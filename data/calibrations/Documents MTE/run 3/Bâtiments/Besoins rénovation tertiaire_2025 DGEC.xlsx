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https://i4ce.sharepoint.com/Documents partages/71 - Poleco/Panorama/Edition 2025/2025 Assemblage/"/>
    </mc:Choice>
  </mc:AlternateContent>
  <xr:revisionPtr revIDLastSave="2118" documentId="8_{646282E7-29E2-4FF0-A039-7359827744DC}" xr6:coauthVersionLast="47" xr6:coauthVersionMax="47" xr10:uidLastSave="{316217D5-C8FC-43E3-9270-DC9D195D398A}"/>
  <bookViews>
    <workbookView xWindow="-110" yWindow="-110" windowWidth="19420" windowHeight="10420" xr2:uid="{C5B71E89-6D19-495C-B557-2E3C121AC0FE}"/>
  </bookViews>
  <sheets>
    <sheet name="TER_RENO" sheetId="1" r:id="rId1"/>
    <sheet name="axTER" sheetId="2" r:id="rId2"/>
  </sheets>
  <definedNames>
    <definedName name="_xlnm._FilterDatabase" localSheetId="0" hidden="1">TER_RENO!$KV$512:$ML$612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22" i="1" l="1"/>
  <c r="E821" i="1"/>
  <c r="E828" i="1"/>
  <c r="E827" i="1"/>
  <c r="E826" i="1"/>
  <c r="BB990" i="1"/>
  <c r="BA990" i="1"/>
  <c r="AZ990" i="1"/>
  <c r="AY990" i="1"/>
  <c r="AX990" i="1"/>
  <c r="AW990" i="1"/>
  <c r="AV990" i="1"/>
  <c r="AU990" i="1"/>
  <c r="AT990" i="1"/>
  <c r="AS990" i="1"/>
  <c r="AR990" i="1"/>
  <c r="AQ990" i="1"/>
  <c r="AP990" i="1"/>
  <c r="AO990" i="1"/>
  <c r="AN990" i="1"/>
  <c r="AM990" i="1"/>
  <c r="AL990" i="1"/>
  <c r="AK990" i="1"/>
  <c r="AJ990" i="1"/>
  <c r="AI990" i="1"/>
  <c r="AH990" i="1"/>
  <c r="AG990" i="1"/>
  <c r="AF990" i="1"/>
  <c r="AE990" i="1"/>
  <c r="AD990" i="1"/>
  <c r="AC990" i="1"/>
  <c r="AB990" i="1"/>
  <c r="M990" i="1"/>
  <c r="L990" i="1"/>
  <c r="K990" i="1"/>
  <c r="J990" i="1"/>
  <c r="I990" i="1"/>
  <c r="H990" i="1"/>
  <c r="C990" i="1"/>
  <c r="LU612" i="1" l="1"/>
  <c r="LU611" i="1"/>
  <c r="LU610" i="1"/>
  <c r="LU609" i="1"/>
  <c r="LU608" i="1"/>
  <c r="LU607" i="1"/>
  <c r="LU606" i="1"/>
  <c r="LU605" i="1"/>
  <c r="LU604" i="1"/>
  <c r="LU603" i="1"/>
  <c r="LU602" i="1"/>
  <c r="LU601" i="1"/>
  <c r="LU600" i="1"/>
  <c r="LU599" i="1"/>
  <c r="LU598" i="1"/>
  <c r="LU597" i="1"/>
  <c r="LU596" i="1"/>
  <c r="LU595" i="1"/>
  <c r="LU594" i="1"/>
  <c r="LU593" i="1"/>
  <c r="LU592" i="1"/>
  <c r="LU591" i="1"/>
  <c r="LU590" i="1"/>
  <c r="LU589" i="1"/>
  <c r="LU588" i="1"/>
  <c r="LU587" i="1"/>
  <c r="LU586" i="1"/>
  <c r="LU585" i="1"/>
  <c r="LU584" i="1"/>
  <c r="LU583" i="1"/>
  <c r="LU582" i="1"/>
  <c r="LU581" i="1"/>
  <c r="LU580" i="1"/>
  <c r="LU579" i="1"/>
  <c r="LU578" i="1"/>
  <c r="LU577" i="1"/>
  <c r="LU576" i="1"/>
  <c r="LU575" i="1"/>
  <c r="LU574" i="1"/>
  <c r="LU573" i="1"/>
  <c r="LU572" i="1"/>
  <c r="LU571" i="1"/>
  <c r="LU570" i="1"/>
  <c r="LU569" i="1"/>
  <c r="LU568" i="1"/>
  <c r="LU567" i="1"/>
  <c r="LU566" i="1"/>
  <c r="LU565" i="1"/>
  <c r="LU564" i="1"/>
  <c r="LU563" i="1"/>
  <c r="LU562" i="1"/>
  <c r="LU561" i="1"/>
  <c r="LU560" i="1"/>
  <c r="LU559" i="1"/>
  <c r="LU558" i="1"/>
  <c r="LU557" i="1"/>
  <c r="LU556" i="1"/>
  <c r="LU555" i="1"/>
  <c r="LU554" i="1"/>
  <c r="LU553" i="1"/>
  <c r="LU552" i="1"/>
  <c r="LU551" i="1"/>
  <c r="LU550" i="1"/>
  <c r="LU549" i="1"/>
  <c r="LU548" i="1"/>
  <c r="LU547" i="1"/>
  <c r="LU546" i="1"/>
  <c r="LU545" i="1"/>
  <c r="LU544" i="1"/>
  <c r="LU543" i="1"/>
  <c r="LU542" i="1"/>
  <c r="LU541" i="1"/>
  <c r="LU540" i="1"/>
  <c r="LU539" i="1"/>
  <c r="LU538" i="1"/>
  <c r="LU537" i="1"/>
  <c r="LU536" i="1"/>
  <c r="LU535" i="1"/>
  <c r="LU534" i="1"/>
  <c r="LU533" i="1"/>
  <c r="LU532" i="1"/>
  <c r="LU531" i="1"/>
  <c r="LU530" i="1"/>
  <c r="LU529" i="1"/>
  <c r="LU528" i="1"/>
  <c r="LU527" i="1"/>
  <c r="LU526" i="1"/>
  <c r="LU525" i="1"/>
  <c r="LU524" i="1"/>
  <c r="LU523" i="1"/>
  <c r="LU522" i="1"/>
  <c r="LU521" i="1"/>
  <c r="LU520" i="1"/>
  <c r="LU519" i="1"/>
  <c r="LU518" i="1"/>
  <c r="LU517" i="1"/>
  <c r="LU516" i="1"/>
  <c r="LU515" i="1"/>
  <c r="LU514" i="1"/>
  <c r="LU513" i="1"/>
  <c r="LR644" i="1"/>
  <c r="ML644" i="1"/>
  <c r="MB644" i="1"/>
  <c r="MB650" i="1"/>
  <c r="MB649" i="1"/>
  <c r="MB648" i="1"/>
  <c r="MB647" i="1"/>
  <c r="ME612" i="1"/>
  <c r="ME611" i="1"/>
  <c r="ME610" i="1"/>
  <c r="ME609" i="1"/>
  <c r="ME608" i="1"/>
  <c r="ME607" i="1"/>
  <c r="ME606" i="1"/>
  <c r="ME605" i="1"/>
  <c r="ME604" i="1"/>
  <c r="ME603" i="1"/>
  <c r="ME602" i="1"/>
  <c r="ME601" i="1"/>
  <c r="ME600" i="1"/>
  <c r="ME599" i="1"/>
  <c r="ME598" i="1"/>
  <c r="ME597" i="1"/>
  <c r="ME596" i="1"/>
  <c r="ME595" i="1"/>
  <c r="ME594" i="1"/>
  <c r="ME593" i="1"/>
  <c r="ME592" i="1"/>
  <c r="ME591" i="1"/>
  <c r="ME590" i="1"/>
  <c r="ME589" i="1"/>
  <c r="ME588" i="1"/>
  <c r="ME587" i="1"/>
  <c r="ME586" i="1"/>
  <c r="ME585" i="1"/>
  <c r="ME584" i="1"/>
  <c r="ME583" i="1"/>
  <c r="ME582" i="1"/>
  <c r="ME581" i="1"/>
  <c r="ME580" i="1"/>
  <c r="ME579" i="1"/>
  <c r="ME578" i="1"/>
  <c r="ME577" i="1"/>
  <c r="ME576" i="1"/>
  <c r="ME575" i="1"/>
  <c r="ME574" i="1"/>
  <c r="ME573" i="1"/>
  <c r="ME572" i="1"/>
  <c r="ME571" i="1"/>
  <c r="ME570" i="1"/>
  <c r="ME569" i="1"/>
  <c r="ME568" i="1"/>
  <c r="ME567" i="1"/>
  <c r="ME566" i="1"/>
  <c r="ME565" i="1"/>
  <c r="ME564" i="1"/>
  <c r="ME563" i="1"/>
  <c r="ME562" i="1"/>
  <c r="ME561" i="1"/>
  <c r="ME560" i="1"/>
  <c r="ME559" i="1"/>
  <c r="ME558" i="1"/>
  <c r="ME557" i="1"/>
  <c r="ME556" i="1"/>
  <c r="ME555" i="1"/>
  <c r="ME554" i="1"/>
  <c r="ME553" i="1"/>
  <c r="ME552" i="1"/>
  <c r="ME551" i="1"/>
  <c r="ME550" i="1"/>
  <c r="ME549" i="1"/>
  <c r="ME548" i="1"/>
  <c r="ME547" i="1"/>
  <c r="ME546" i="1"/>
  <c r="ME545" i="1"/>
  <c r="ME544" i="1"/>
  <c r="ME543" i="1"/>
  <c r="ME542" i="1"/>
  <c r="ME541" i="1"/>
  <c r="ME540" i="1"/>
  <c r="ME539" i="1"/>
  <c r="ME538" i="1"/>
  <c r="ME537" i="1"/>
  <c r="ME536" i="1"/>
  <c r="ME535" i="1"/>
  <c r="ME534" i="1"/>
  <c r="ME533" i="1"/>
  <c r="ME532" i="1"/>
  <c r="ME531" i="1"/>
  <c r="ME530" i="1"/>
  <c r="ME529" i="1"/>
  <c r="ME528" i="1"/>
  <c r="ME527" i="1"/>
  <c r="ME526" i="1"/>
  <c r="ME525" i="1"/>
  <c r="ME524" i="1"/>
  <c r="ME523" i="1"/>
  <c r="ME522" i="1"/>
  <c r="ME521" i="1"/>
  <c r="ME520" i="1"/>
  <c r="ME519" i="1"/>
  <c r="ME518" i="1"/>
  <c r="ME517" i="1"/>
  <c r="ME516" i="1"/>
  <c r="ME515" i="1"/>
  <c r="ME514" i="1"/>
  <c r="ME513" i="1"/>
  <c r="MD612" i="1"/>
  <c r="MD611" i="1"/>
  <c r="MD610" i="1"/>
  <c r="MD609" i="1"/>
  <c r="MD608" i="1"/>
  <c r="MD607" i="1"/>
  <c r="MD606" i="1"/>
  <c r="MD605" i="1"/>
  <c r="MD604" i="1"/>
  <c r="MD603" i="1"/>
  <c r="MD602" i="1"/>
  <c r="MD601" i="1"/>
  <c r="MD600" i="1"/>
  <c r="MD599" i="1"/>
  <c r="MD598" i="1"/>
  <c r="MD597" i="1"/>
  <c r="MD596" i="1"/>
  <c r="MD595" i="1"/>
  <c r="MD594" i="1"/>
  <c r="MD593" i="1"/>
  <c r="MD592" i="1"/>
  <c r="MD591" i="1"/>
  <c r="MD590" i="1"/>
  <c r="MD589" i="1"/>
  <c r="MD588" i="1"/>
  <c r="MD587" i="1"/>
  <c r="MD586" i="1"/>
  <c r="MD585" i="1"/>
  <c r="MD584" i="1"/>
  <c r="MD583" i="1"/>
  <c r="MD582" i="1"/>
  <c r="MD581" i="1"/>
  <c r="MD580" i="1"/>
  <c r="MD579" i="1"/>
  <c r="MD578" i="1"/>
  <c r="MD577" i="1"/>
  <c r="MD576" i="1"/>
  <c r="MD575" i="1"/>
  <c r="MD574" i="1"/>
  <c r="MD573" i="1"/>
  <c r="MD572" i="1"/>
  <c r="MD571" i="1"/>
  <c r="MD570" i="1"/>
  <c r="MD569" i="1"/>
  <c r="MD568" i="1"/>
  <c r="MD567" i="1"/>
  <c r="MD566" i="1"/>
  <c r="MD565" i="1"/>
  <c r="MD564" i="1"/>
  <c r="MD563" i="1"/>
  <c r="MD562" i="1"/>
  <c r="MD561" i="1"/>
  <c r="MD560" i="1"/>
  <c r="MD559" i="1"/>
  <c r="MD558" i="1"/>
  <c r="MD557" i="1"/>
  <c r="MD556" i="1"/>
  <c r="MD555" i="1"/>
  <c r="MD554" i="1"/>
  <c r="MD553" i="1"/>
  <c r="MD552" i="1"/>
  <c r="MD551" i="1"/>
  <c r="MD550" i="1"/>
  <c r="MD549" i="1"/>
  <c r="MD548" i="1"/>
  <c r="MD547" i="1"/>
  <c r="MD546" i="1"/>
  <c r="MD545" i="1"/>
  <c r="MD544" i="1"/>
  <c r="MD543" i="1"/>
  <c r="MD542" i="1"/>
  <c r="MD541" i="1"/>
  <c r="MD540" i="1"/>
  <c r="MD539" i="1"/>
  <c r="MD538" i="1"/>
  <c r="MD537" i="1"/>
  <c r="MD536" i="1"/>
  <c r="MD535" i="1"/>
  <c r="MD534" i="1"/>
  <c r="MD533" i="1"/>
  <c r="MD532" i="1"/>
  <c r="MD531" i="1"/>
  <c r="MD530" i="1"/>
  <c r="MD529" i="1"/>
  <c r="MD528" i="1"/>
  <c r="MD527" i="1"/>
  <c r="MD526" i="1"/>
  <c r="MD525" i="1"/>
  <c r="MD524" i="1"/>
  <c r="MD523" i="1"/>
  <c r="MD522" i="1"/>
  <c r="MD521" i="1"/>
  <c r="MD520" i="1"/>
  <c r="MD519" i="1"/>
  <c r="MD518" i="1"/>
  <c r="MD517" i="1"/>
  <c r="MD516" i="1"/>
  <c r="MD515" i="1"/>
  <c r="MD514" i="1"/>
  <c r="MD513" i="1"/>
  <c r="LT612" i="1"/>
  <c r="LT611" i="1"/>
  <c r="LT610" i="1"/>
  <c r="LT609" i="1"/>
  <c r="LT608" i="1"/>
  <c r="LT607" i="1"/>
  <c r="LT606" i="1"/>
  <c r="LT605" i="1"/>
  <c r="LT604" i="1"/>
  <c r="LT603" i="1"/>
  <c r="LT602" i="1"/>
  <c r="LT601" i="1"/>
  <c r="LT600" i="1"/>
  <c r="LT599" i="1"/>
  <c r="LT598" i="1"/>
  <c r="LT597" i="1"/>
  <c r="LT596" i="1"/>
  <c r="LT595" i="1"/>
  <c r="LT594" i="1"/>
  <c r="LT593" i="1"/>
  <c r="LT592" i="1"/>
  <c r="LT591" i="1"/>
  <c r="LT590" i="1"/>
  <c r="LT589" i="1"/>
  <c r="LT588" i="1"/>
  <c r="LT587" i="1"/>
  <c r="LT586" i="1"/>
  <c r="LT585" i="1"/>
  <c r="LT584" i="1"/>
  <c r="LT583" i="1"/>
  <c r="LT582" i="1"/>
  <c r="LT581" i="1"/>
  <c r="LT580" i="1"/>
  <c r="LT579" i="1"/>
  <c r="LT578" i="1"/>
  <c r="LT577" i="1"/>
  <c r="LT576" i="1"/>
  <c r="LT575" i="1"/>
  <c r="LT574" i="1"/>
  <c r="LT573" i="1"/>
  <c r="LT572" i="1"/>
  <c r="LT571" i="1"/>
  <c r="LT570" i="1"/>
  <c r="LT569" i="1"/>
  <c r="LT568" i="1"/>
  <c r="LT567" i="1"/>
  <c r="LT566" i="1"/>
  <c r="LT565" i="1"/>
  <c r="LT564" i="1"/>
  <c r="LT563" i="1"/>
  <c r="LT562" i="1"/>
  <c r="LT561" i="1"/>
  <c r="LT560" i="1"/>
  <c r="LT559" i="1"/>
  <c r="LT558" i="1"/>
  <c r="LT557" i="1"/>
  <c r="LT556" i="1"/>
  <c r="LT555" i="1"/>
  <c r="LT554" i="1"/>
  <c r="LT553" i="1"/>
  <c r="LT552" i="1"/>
  <c r="LT551" i="1"/>
  <c r="LT550" i="1"/>
  <c r="LT549" i="1"/>
  <c r="LT548" i="1"/>
  <c r="LT547" i="1"/>
  <c r="LT546" i="1"/>
  <c r="LT545" i="1"/>
  <c r="LT544" i="1"/>
  <c r="LT543" i="1"/>
  <c r="LT542" i="1"/>
  <c r="LT541" i="1"/>
  <c r="LT540" i="1"/>
  <c r="LT539" i="1"/>
  <c r="LT538" i="1"/>
  <c r="LT537" i="1"/>
  <c r="LT536" i="1"/>
  <c r="LT535" i="1"/>
  <c r="LT534" i="1"/>
  <c r="LT533" i="1"/>
  <c r="LT532" i="1"/>
  <c r="LT531" i="1"/>
  <c r="LT530" i="1"/>
  <c r="LT529" i="1"/>
  <c r="LT528" i="1"/>
  <c r="LT527" i="1"/>
  <c r="LT526" i="1"/>
  <c r="LT525" i="1"/>
  <c r="LT524" i="1"/>
  <c r="LT523" i="1"/>
  <c r="LT522" i="1"/>
  <c r="LT521" i="1"/>
  <c r="LT520" i="1"/>
  <c r="LT519" i="1"/>
  <c r="LT518" i="1"/>
  <c r="LT517" i="1"/>
  <c r="LT516" i="1"/>
  <c r="LT515" i="1"/>
  <c r="LT514" i="1"/>
  <c r="LT513" i="1"/>
  <c r="LK886" i="1"/>
  <c r="LJ886" i="1"/>
  <c r="LI886" i="1"/>
  <c r="LH886" i="1"/>
  <c r="I842" i="1" l="1"/>
  <c r="H842" i="1"/>
  <c r="C842" i="1"/>
  <c r="LK612" i="1"/>
  <c r="LJ612" i="1"/>
  <c r="LK611" i="1"/>
  <c r="LJ611" i="1"/>
  <c r="LK610" i="1"/>
  <c r="LJ610" i="1"/>
  <c r="LK609" i="1"/>
  <c r="LJ609" i="1"/>
  <c r="LK608" i="1"/>
  <c r="LJ608" i="1"/>
  <c r="LK607" i="1"/>
  <c r="LJ607" i="1"/>
  <c r="LK606" i="1"/>
  <c r="LJ606" i="1"/>
  <c r="LK605" i="1"/>
  <c r="LJ605" i="1"/>
  <c r="LK604" i="1"/>
  <c r="LJ604" i="1"/>
  <c r="LK603" i="1"/>
  <c r="LJ603" i="1"/>
  <c r="LK602" i="1"/>
  <c r="LJ602" i="1"/>
  <c r="LK601" i="1"/>
  <c r="LJ601" i="1"/>
  <c r="LK600" i="1"/>
  <c r="LJ600" i="1"/>
  <c r="LK599" i="1"/>
  <c r="LJ599" i="1"/>
  <c r="LK598" i="1"/>
  <c r="LJ598" i="1"/>
  <c r="LK597" i="1"/>
  <c r="LJ597" i="1"/>
  <c r="LK596" i="1"/>
  <c r="LJ596" i="1"/>
  <c r="LK595" i="1"/>
  <c r="LJ595" i="1"/>
  <c r="LK594" i="1"/>
  <c r="LJ594" i="1"/>
  <c r="LK593" i="1"/>
  <c r="LJ593" i="1"/>
  <c r="LK592" i="1"/>
  <c r="LJ592" i="1"/>
  <c r="LK591" i="1"/>
  <c r="LJ591" i="1"/>
  <c r="LK590" i="1"/>
  <c r="LJ590" i="1"/>
  <c r="LK589" i="1"/>
  <c r="LJ589" i="1"/>
  <c r="LK588" i="1"/>
  <c r="LJ588" i="1"/>
  <c r="LK587" i="1"/>
  <c r="LJ587" i="1"/>
  <c r="LK586" i="1"/>
  <c r="LJ586" i="1"/>
  <c r="LK585" i="1"/>
  <c r="LJ585" i="1"/>
  <c r="LK584" i="1"/>
  <c r="LJ584" i="1"/>
  <c r="LK583" i="1"/>
  <c r="LJ583" i="1"/>
  <c r="LK582" i="1"/>
  <c r="LJ582" i="1"/>
  <c r="LK581" i="1"/>
  <c r="LJ581" i="1"/>
  <c r="LK580" i="1"/>
  <c r="LJ580" i="1"/>
  <c r="LK579" i="1"/>
  <c r="LJ579" i="1"/>
  <c r="LK578" i="1"/>
  <c r="LJ578" i="1"/>
  <c r="LK577" i="1"/>
  <c r="LJ577" i="1"/>
  <c r="LK576" i="1"/>
  <c r="LJ576" i="1"/>
  <c r="LK575" i="1"/>
  <c r="LJ575" i="1"/>
  <c r="LK574" i="1"/>
  <c r="LJ574" i="1"/>
  <c r="LK573" i="1"/>
  <c r="LJ573" i="1"/>
  <c r="LK572" i="1"/>
  <c r="LJ572" i="1"/>
  <c r="LK571" i="1"/>
  <c r="LJ571" i="1"/>
  <c r="LK570" i="1"/>
  <c r="LJ570" i="1"/>
  <c r="LK569" i="1"/>
  <c r="LJ569" i="1"/>
  <c r="LK568" i="1"/>
  <c r="LJ568" i="1"/>
  <c r="LK567" i="1"/>
  <c r="LJ567" i="1"/>
  <c r="LK566" i="1"/>
  <c r="LJ566" i="1"/>
  <c r="LK565" i="1"/>
  <c r="LJ565" i="1"/>
  <c r="LK564" i="1"/>
  <c r="LJ564" i="1"/>
  <c r="LK563" i="1"/>
  <c r="LJ563" i="1"/>
  <c r="LK562" i="1"/>
  <c r="LJ562" i="1"/>
  <c r="LK561" i="1"/>
  <c r="LJ561" i="1"/>
  <c r="LK560" i="1"/>
  <c r="LJ560" i="1"/>
  <c r="LK559" i="1"/>
  <c r="LJ559" i="1"/>
  <c r="LK558" i="1"/>
  <c r="LJ558" i="1"/>
  <c r="LK557" i="1"/>
  <c r="LJ557" i="1"/>
  <c r="LK556" i="1"/>
  <c r="LJ556" i="1"/>
  <c r="LK555" i="1"/>
  <c r="LJ555" i="1"/>
  <c r="LK554" i="1"/>
  <c r="LJ554" i="1"/>
  <c r="LK553" i="1"/>
  <c r="LJ553" i="1"/>
  <c r="LK552" i="1"/>
  <c r="LJ552" i="1"/>
  <c r="LK551" i="1"/>
  <c r="LJ551" i="1"/>
  <c r="LK550" i="1"/>
  <c r="LJ550" i="1"/>
  <c r="LK549" i="1"/>
  <c r="LJ549" i="1"/>
  <c r="LK548" i="1"/>
  <c r="LJ548" i="1"/>
  <c r="LK547" i="1"/>
  <c r="LJ547" i="1"/>
  <c r="LK546" i="1"/>
  <c r="LJ546" i="1"/>
  <c r="LK545" i="1"/>
  <c r="LJ545" i="1"/>
  <c r="LK544" i="1"/>
  <c r="LJ544" i="1"/>
  <c r="LK543" i="1"/>
  <c r="LJ543" i="1"/>
  <c r="LK542" i="1"/>
  <c r="LJ542" i="1"/>
  <c r="LK541" i="1"/>
  <c r="LJ541" i="1"/>
  <c r="LK540" i="1"/>
  <c r="LJ540" i="1"/>
  <c r="LK539" i="1"/>
  <c r="LJ539" i="1"/>
  <c r="LK538" i="1"/>
  <c r="LJ538" i="1"/>
  <c r="LK537" i="1"/>
  <c r="LJ537" i="1"/>
  <c r="LK536" i="1"/>
  <c r="LJ536" i="1"/>
  <c r="LK535" i="1"/>
  <c r="LJ535" i="1"/>
  <c r="LK534" i="1"/>
  <c r="LJ534" i="1"/>
  <c r="LK533" i="1"/>
  <c r="LJ533" i="1"/>
  <c r="LK532" i="1"/>
  <c r="LJ532" i="1"/>
  <c r="LK531" i="1"/>
  <c r="LJ531" i="1"/>
  <c r="LK530" i="1"/>
  <c r="LJ530" i="1"/>
  <c r="LK529" i="1"/>
  <c r="LJ529" i="1"/>
  <c r="LK528" i="1"/>
  <c r="LJ528" i="1"/>
  <c r="LK527" i="1"/>
  <c r="LJ527" i="1"/>
  <c r="LK526" i="1"/>
  <c r="LJ526" i="1"/>
  <c r="LK525" i="1"/>
  <c r="LJ525" i="1"/>
  <c r="LK524" i="1"/>
  <c r="LJ524" i="1"/>
  <c r="LK523" i="1"/>
  <c r="LJ523" i="1"/>
  <c r="LK522" i="1"/>
  <c r="LJ522" i="1"/>
  <c r="LK521" i="1"/>
  <c r="LJ521" i="1"/>
  <c r="LK520" i="1"/>
  <c r="LJ520" i="1"/>
  <c r="LK519" i="1"/>
  <c r="LJ519" i="1"/>
  <c r="LK518" i="1"/>
  <c r="LJ518" i="1"/>
  <c r="LK517" i="1"/>
  <c r="LJ517" i="1"/>
  <c r="LK516" i="1"/>
  <c r="LJ516" i="1"/>
  <c r="LK515" i="1"/>
  <c r="LJ515" i="1"/>
  <c r="LK514" i="1"/>
  <c r="LJ514" i="1"/>
  <c r="LK513" i="1"/>
  <c r="LJ513" i="1"/>
  <c r="I791" i="1"/>
  <c r="H791" i="1"/>
  <c r="L695" i="1" l="1"/>
  <c r="LC929" i="1"/>
  <c r="JR929" i="1"/>
  <c r="LC937" i="1"/>
  <c r="JR937" i="1"/>
  <c r="JR938" i="1"/>
  <c r="JS938" i="1"/>
  <c r="JT938" i="1"/>
  <c r="JU938" i="1"/>
  <c r="JV938" i="1"/>
  <c r="JW938" i="1"/>
  <c r="JX938" i="1"/>
  <c r="JY938" i="1"/>
  <c r="JZ938" i="1"/>
  <c r="KA938" i="1"/>
  <c r="KB938" i="1"/>
  <c r="KC938" i="1"/>
  <c r="KD938" i="1"/>
  <c r="KE938" i="1"/>
  <c r="KF938" i="1"/>
  <c r="KG938" i="1"/>
  <c r="KH938" i="1"/>
  <c r="KI938" i="1"/>
  <c r="KJ938" i="1"/>
  <c r="KK938" i="1"/>
  <c r="KL938" i="1"/>
  <c r="KM938" i="1"/>
  <c r="KN938" i="1"/>
  <c r="KO938" i="1"/>
  <c r="KP938" i="1"/>
  <c r="KQ938" i="1"/>
  <c r="KR938" i="1"/>
  <c r="KS938" i="1"/>
  <c r="KT938" i="1"/>
  <c r="KU938" i="1"/>
  <c r="KV938" i="1"/>
  <c r="KW938" i="1"/>
  <c r="KX938" i="1"/>
  <c r="KY938" i="1"/>
  <c r="KZ938" i="1"/>
  <c r="LA938" i="1"/>
  <c r="LC938" i="1"/>
  <c r="LC944" i="1"/>
  <c r="JR944" i="1"/>
  <c r="LC919" i="1"/>
  <c r="JR919" i="1"/>
  <c r="LC882" i="1"/>
  <c r="JR882" i="1"/>
  <c r="LC813" i="1"/>
  <c r="JR813" i="1"/>
  <c r="LC762" i="1"/>
  <c r="JR762" i="1"/>
  <c r="LC623" i="1"/>
  <c r="JR623" i="1"/>
  <c r="LC509" i="1"/>
  <c r="JR509" i="1"/>
  <c r="LC494" i="1"/>
  <c r="JR494" i="1"/>
  <c r="LC445" i="1"/>
  <c r="JR445" i="1"/>
  <c r="LC427" i="1"/>
  <c r="JR427" i="1"/>
  <c r="LC411" i="1"/>
  <c r="JR411" i="1"/>
  <c r="LC394" i="1"/>
  <c r="JR394" i="1"/>
  <c r="LC337" i="1"/>
  <c r="JR337" i="1"/>
  <c r="LC227" i="1"/>
  <c r="JR227" i="1"/>
  <c r="LC186" i="1"/>
  <c r="JR186" i="1"/>
  <c r="LC149" i="1"/>
  <c r="JR149" i="1"/>
  <c r="E156" i="2"/>
  <c r="E155" i="2"/>
  <c r="E154" i="2"/>
  <c r="E153" i="2"/>
  <c r="E152" i="2"/>
  <c r="E151" i="2"/>
  <c r="O57" i="2"/>
  <c r="N57" i="2"/>
  <c r="I57" i="2"/>
  <c r="O56" i="2"/>
  <c r="N56" i="2"/>
  <c r="I56" i="2"/>
  <c r="H46" i="2"/>
  <c r="G45" i="2"/>
  <c r="J39" i="2"/>
  <c r="I39" i="2"/>
  <c r="H39" i="2"/>
  <c r="H34" i="2"/>
  <c r="I33" i="2"/>
  <c r="J27" i="2"/>
  <c r="I27" i="2"/>
  <c r="H27" i="2"/>
  <c r="G27" i="2"/>
  <c r="K27" i="2" s="1"/>
  <c r="K39" i="2" s="1"/>
  <c r="J26" i="2"/>
  <c r="I26" i="2"/>
  <c r="H26" i="2"/>
  <c r="G26" i="2"/>
  <c r="K26" i="2" s="1"/>
  <c r="L11" i="2"/>
  <c r="K11" i="2"/>
  <c r="J11" i="2"/>
  <c r="I11" i="2"/>
  <c r="H11" i="2"/>
  <c r="I989" i="1"/>
  <c r="H989" i="1"/>
  <c r="I988" i="1"/>
  <c r="H988" i="1"/>
  <c r="I987" i="1"/>
  <c r="H987" i="1"/>
  <c r="I986" i="1"/>
  <c r="H986" i="1"/>
  <c r="I985" i="1"/>
  <c r="H985" i="1"/>
  <c r="I984" i="1"/>
  <c r="H984" i="1"/>
  <c r="I983" i="1"/>
  <c r="H983" i="1"/>
  <c r="H982" i="1"/>
  <c r="I981" i="1"/>
  <c r="BB980" i="1"/>
  <c r="BA980" i="1"/>
  <c r="AZ980" i="1"/>
  <c r="AY980" i="1"/>
  <c r="AX980" i="1"/>
  <c r="AW980" i="1"/>
  <c r="AV980" i="1"/>
  <c r="AU980" i="1"/>
  <c r="AT980" i="1"/>
  <c r="AS980" i="1"/>
  <c r="AR980" i="1"/>
  <c r="AQ980" i="1"/>
  <c r="AP980" i="1"/>
  <c r="AO980" i="1"/>
  <c r="AN980" i="1"/>
  <c r="AM980" i="1"/>
  <c r="AL980" i="1"/>
  <c r="AK980" i="1"/>
  <c r="AJ980" i="1"/>
  <c r="AI980" i="1"/>
  <c r="AH980" i="1"/>
  <c r="AG980" i="1"/>
  <c r="AF980" i="1"/>
  <c r="AE980" i="1"/>
  <c r="AD980" i="1"/>
  <c r="AC980" i="1"/>
  <c r="AB980" i="1"/>
  <c r="AA980" i="1"/>
  <c r="Z980" i="1"/>
  <c r="Y980" i="1"/>
  <c r="X980" i="1"/>
  <c r="W980" i="1"/>
  <c r="V980" i="1"/>
  <c r="U980" i="1"/>
  <c r="T980" i="1"/>
  <c r="S980" i="1"/>
  <c r="ML955" i="1"/>
  <c r="MK955" i="1"/>
  <c r="MJ955" i="1"/>
  <c r="MI955" i="1"/>
  <c r="MH955" i="1"/>
  <c r="MG955" i="1"/>
  <c r="MF955" i="1"/>
  <c r="ME955" i="1"/>
  <c r="MD955" i="1"/>
  <c r="MC955" i="1"/>
  <c r="MB955" i="1"/>
  <c r="MA955" i="1"/>
  <c r="LZ955" i="1"/>
  <c r="LY955" i="1"/>
  <c r="LX955" i="1"/>
  <c r="LW955" i="1"/>
  <c r="LV955" i="1"/>
  <c r="LU955" i="1"/>
  <c r="LT955" i="1"/>
  <c r="LS955" i="1"/>
  <c r="LR955" i="1"/>
  <c r="LQ955" i="1"/>
  <c r="LP955" i="1"/>
  <c r="LO955" i="1"/>
  <c r="LN955" i="1"/>
  <c r="LM955" i="1"/>
  <c r="LL955" i="1"/>
  <c r="LK955" i="1"/>
  <c r="LJ955" i="1"/>
  <c r="LI955" i="1"/>
  <c r="LH955" i="1"/>
  <c r="LG955" i="1"/>
  <c r="LF955" i="1"/>
  <c r="LE955" i="1"/>
  <c r="LD955" i="1"/>
  <c r="LC955" i="1"/>
  <c r="LA955" i="1"/>
  <c r="KZ955" i="1"/>
  <c r="KY955" i="1"/>
  <c r="KX955" i="1"/>
  <c r="KW955" i="1"/>
  <c r="KV955" i="1"/>
  <c r="KU955" i="1"/>
  <c r="KT955" i="1"/>
  <c r="KS955" i="1"/>
  <c r="KR955" i="1"/>
  <c r="KQ955" i="1"/>
  <c r="KP955" i="1"/>
  <c r="KO955" i="1"/>
  <c r="KN955" i="1"/>
  <c r="KM955" i="1"/>
  <c r="KL955" i="1"/>
  <c r="KK955" i="1"/>
  <c r="KJ955" i="1"/>
  <c r="KI955" i="1"/>
  <c r="KH955" i="1"/>
  <c r="KG955" i="1"/>
  <c r="KF955" i="1"/>
  <c r="KE955" i="1"/>
  <c r="KD955" i="1"/>
  <c r="KC955" i="1"/>
  <c r="KB955" i="1"/>
  <c r="KA955" i="1"/>
  <c r="JZ955" i="1"/>
  <c r="JY955" i="1"/>
  <c r="JX955" i="1"/>
  <c r="JW955" i="1"/>
  <c r="JV955" i="1"/>
  <c r="JU955" i="1"/>
  <c r="JT955" i="1"/>
  <c r="JS955" i="1"/>
  <c r="JR955" i="1"/>
  <c r="JP955" i="1"/>
  <c r="JO955" i="1"/>
  <c r="JN955" i="1"/>
  <c r="JM955" i="1"/>
  <c r="JL955" i="1"/>
  <c r="JK955" i="1"/>
  <c r="JJ955" i="1"/>
  <c r="JI955" i="1"/>
  <c r="JH955" i="1"/>
  <c r="JG955" i="1"/>
  <c r="JF955" i="1"/>
  <c r="JE955" i="1"/>
  <c r="JD955" i="1"/>
  <c r="JC955" i="1"/>
  <c r="JB955" i="1"/>
  <c r="JA955" i="1"/>
  <c r="IZ955" i="1"/>
  <c r="IY955" i="1"/>
  <c r="IX955" i="1"/>
  <c r="IW955" i="1"/>
  <c r="IV955" i="1"/>
  <c r="IU955" i="1"/>
  <c r="IT955" i="1"/>
  <c r="IS955" i="1"/>
  <c r="IR955" i="1"/>
  <c r="IQ955" i="1"/>
  <c r="IP955" i="1"/>
  <c r="IO955" i="1"/>
  <c r="IN955" i="1"/>
  <c r="IM955" i="1"/>
  <c r="IL955" i="1"/>
  <c r="IK955" i="1"/>
  <c r="IJ955" i="1"/>
  <c r="II955" i="1"/>
  <c r="IH955" i="1"/>
  <c r="IG955" i="1"/>
  <c r="IE955" i="1"/>
  <c r="ID955" i="1"/>
  <c r="IC955" i="1"/>
  <c r="IB955" i="1"/>
  <c r="IA955" i="1"/>
  <c r="HZ955" i="1"/>
  <c r="HY955" i="1"/>
  <c r="HX955" i="1"/>
  <c r="HW955" i="1"/>
  <c r="HV955" i="1"/>
  <c r="HU955" i="1"/>
  <c r="HT955" i="1"/>
  <c r="HS955" i="1"/>
  <c r="HR955" i="1"/>
  <c r="HQ955" i="1"/>
  <c r="HP955" i="1"/>
  <c r="HO955" i="1"/>
  <c r="HN955" i="1"/>
  <c r="HM955" i="1"/>
  <c r="HL955" i="1"/>
  <c r="HK955" i="1"/>
  <c r="HJ955" i="1"/>
  <c r="HI955" i="1"/>
  <c r="HH955" i="1"/>
  <c r="HG955" i="1"/>
  <c r="HF955" i="1"/>
  <c r="HE955" i="1"/>
  <c r="HD955" i="1"/>
  <c r="HC955" i="1"/>
  <c r="HB955" i="1"/>
  <c r="HA955" i="1"/>
  <c r="GZ955" i="1"/>
  <c r="GY955" i="1"/>
  <c r="GX955" i="1"/>
  <c r="GW955" i="1"/>
  <c r="GV955" i="1"/>
  <c r="GT955" i="1"/>
  <c r="GS955" i="1"/>
  <c r="GR955" i="1"/>
  <c r="GQ955" i="1"/>
  <c r="GP955" i="1"/>
  <c r="GO955" i="1"/>
  <c r="GN955" i="1"/>
  <c r="GM955" i="1"/>
  <c r="GL955" i="1"/>
  <c r="GK955" i="1"/>
  <c r="GJ955" i="1"/>
  <c r="GI955" i="1"/>
  <c r="GH955" i="1"/>
  <c r="GG955" i="1"/>
  <c r="GF955" i="1"/>
  <c r="GE955" i="1"/>
  <c r="GD955" i="1"/>
  <c r="GC955" i="1"/>
  <c r="GB955" i="1"/>
  <c r="GA955" i="1"/>
  <c r="FZ955" i="1"/>
  <c r="FY955" i="1"/>
  <c r="FX955" i="1"/>
  <c r="FW955" i="1"/>
  <c r="FV955" i="1"/>
  <c r="FU955" i="1"/>
  <c r="FT955" i="1"/>
  <c r="FS955" i="1"/>
  <c r="FR955" i="1"/>
  <c r="FQ955" i="1"/>
  <c r="FP955" i="1"/>
  <c r="FO955" i="1"/>
  <c r="FN955" i="1"/>
  <c r="FM955" i="1"/>
  <c r="FL955" i="1"/>
  <c r="FK955" i="1"/>
  <c r="FI955" i="1"/>
  <c r="FH955" i="1"/>
  <c r="FG955" i="1"/>
  <c r="FF955" i="1"/>
  <c r="FE955" i="1"/>
  <c r="FD955" i="1"/>
  <c r="FC955" i="1"/>
  <c r="FB955" i="1"/>
  <c r="FA955" i="1"/>
  <c r="EZ955" i="1"/>
  <c r="EY955" i="1"/>
  <c r="EX955" i="1"/>
  <c r="EW955" i="1"/>
  <c r="EV955" i="1"/>
  <c r="EU955" i="1"/>
  <c r="ET955" i="1"/>
  <c r="ES955" i="1"/>
  <c r="ER955" i="1"/>
  <c r="EQ955" i="1"/>
  <c r="EP955" i="1"/>
  <c r="EO955" i="1"/>
  <c r="EN955" i="1"/>
  <c r="EM955" i="1"/>
  <c r="EL955" i="1"/>
  <c r="EK955" i="1"/>
  <c r="EJ955" i="1"/>
  <c r="EI955" i="1"/>
  <c r="EH955" i="1"/>
  <c r="EG955" i="1"/>
  <c r="EF955" i="1"/>
  <c r="EE955" i="1"/>
  <c r="ED955" i="1"/>
  <c r="EC955" i="1"/>
  <c r="EB955" i="1"/>
  <c r="EA955" i="1"/>
  <c r="DZ955" i="1"/>
  <c r="DX955" i="1"/>
  <c r="DW955" i="1"/>
  <c r="DV955" i="1"/>
  <c r="DU955" i="1"/>
  <c r="DT955" i="1"/>
  <c r="DS955" i="1"/>
  <c r="DR955" i="1"/>
  <c r="DQ955" i="1"/>
  <c r="DP955" i="1"/>
  <c r="DO955" i="1"/>
  <c r="DN955" i="1"/>
  <c r="DM955" i="1"/>
  <c r="DL955" i="1"/>
  <c r="DK955" i="1"/>
  <c r="DJ955" i="1"/>
  <c r="DI955" i="1"/>
  <c r="DH955" i="1"/>
  <c r="DG955" i="1"/>
  <c r="DF955" i="1"/>
  <c r="DE955" i="1"/>
  <c r="DD955" i="1"/>
  <c r="DC955" i="1"/>
  <c r="DB955" i="1"/>
  <c r="DA955" i="1"/>
  <c r="CZ955" i="1"/>
  <c r="CY955" i="1"/>
  <c r="CX955" i="1"/>
  <c r="CW955" i="1"/>
  <c r="CV955" i="1"/>
  <c r="CU955" i="1"/>
  <c r="CT955" i="1"/>
  <c r="CS955" i="1"/>
  <c r="CR955" i="1"/>
  <c r="CQ955" i="1"/>
  <c r="CP955" i="1"/>
  <c r="CO955" i="1"/>
  <c r="CM955" i="1"/>
  <c r="CL955" i="1"/>
  <c r="CK955" i="1"/>
  <c r="CJ955" i="1"/>
  <c r="CI955" i="1"/>
  <c r="CH955" i="1"/>
  <c r="CG955" i="1"/>
  <c r="CF955" i="1"/>
  <c r="CE955" i="1"/>
  <c r="CD955" i="1"/>
  <c r="CC955" i="1"/>
  <c r="CB955" i="1"/>
  <c r="CA955" i="1"/>
  <c r="BZ955" i="1"/>
  <c r="BY955" i="1"/>
  <c r="BX955" i="1"/>
  <c r="BW955" i="1"/>
  <c r="BV955" i="1"/>
  <c r="BU955" i="1"/>
  <c r="BT955" i="1"/>
  <c r="BS955" i="1"/>
  <c r="BR955" i="1"/>
  <c r="BQ955" i="1"/>
  <c r="BP955" i="1"/>
  <c r="BO955" i="1"/>
  <c r="BN955" i="1"/>
  <c r="BM955" i="1"/>
  <c r="BL955" i="1"/>
  <c r="BK955" i="1"/>
  <c r="BJ955" i="1"/>
  <c r="BI955" i="1"/>
  <c r="BH955" i="1"/>
  <c r="BG955" i="1"/>
  <c r="BF955" i="1"/>
  <c r="BE955" i="1"/>
  <c r="BD955" i="1"/>
  <c r="BB955" i="1"/>
  <c r="BA955" i="1"/>
  <c r="AZ955" i="1"/>
  <c r="AY955" i="1"/>
  <c r="AX955" i="1"/>
  <c r="AW955" i="1"/>
  <c r="AV955" i="1"/>
  <c r="AU955" i="1"/>
  <c r="AT955" i="1"/>
  <c r="AS955" i="1"/>
  <c r="AR955" i="1"/>
  <c r="AQ955" i="1"/>
  <c r="AP955" i="1"/>
  <c r="AO955" i="1"/>
  <c r="AN955" i="1"/>
  <c r="AM955" i="1"/>
  <c r="AL955" i="1"/>
  <c r="AK955" i="1"/>
  <c r="AJ955" i="1"/>
  <c r="AI955" i="1"/>
  <c r="AH955" i="1"/>
  <c r="AG955" i="1"/>
  <c r="AF955" i="1"/>
  <c r="AE955" i="1"/>
  <c r="AD955" i="1"/>
  <c r="AC955" i="1"/>
  <c r="AB955" i="1"/>
  <c r="AA955" i="1"/>
  <c r="Z955" i="1"/>
  <c r="Y955" i="1"/>
  <c r="X955" i="1"/>
  <c r="W955" i="1"/>
  <c r="V955" i="1"/>
  <c r="U955" i="1"/>
  <c r="T955" i="1"/>
  <c r="S955" i="1"/>
  <c r="Q955" i="1"/>
  <c r="P955" i="1"/>
  <c r="O955" i="1"/>
  <c r="N955" i="1"/>
  <c r="M955" i="1"/>
  <c r="L955" i="1"/>
  <c r="K955" i="1"/>
  <c r="J955" i="1"/>
  <c r="I955" i="1"/>
  <c r="H955" i="1"/>
  <c r="LA947" i="1"/>
  <c r="LA956" i="1" s="1"/>
  <c r="KZ947" i="1"/>
  <c r="KZ956" i="1" s="1"/>
  <c r="KY947" i="1"/>
  <c r="KY956" i="1" s="1"/>
  <c r="KX947" i="1"/>
  <c r="KX956" i="1" s="1"/>
  <c r="KW947" i="1"/>
  <c r="KW956" i="1" s="1"/>
  <c r="KV947" i="1"/>
  <c r="KV956" i="1" s="1"/>
  <c r="KU947" i="1"/>
  <c r="KU956" i="1" s="1"/>
  <c r="KT947" i="1"/>
  <c r="KT956" i="1" s="1"/>
  <c r="KS947" i="1"/>
  <c r="KS956" i="1" s="1"/>
  <c r="KR947" i="1"/>
  <c r="KR956" i="1" s="1"/>
  <c r="KQ947" i="1"/>
  <c r="KQ956" i="1" s="1"/>
  <c r="KP947" i="1"/>
  <c r="KP956" i="1" s="1"/>
  <c r="KO947" i="1"/>
  <c r="KO956" i="1" s="1"/>
  <c r="KN947" i="1"/>
  <c r="KN956" i="1" s="1"/>
  <c r="KM947" i="1"/>
  <c r="KM956" i="1" s="1"/>
  <c r="KL947" i="1"/>
  <c r="KL956" i="1" s="1"/>
  <c r="KK947" i="1"/>
  <c r="KK956" i="1" s="1"/>
  <c r="KJ947" i="1"/>
  <c r="KJ956" i="1" s="1"/>
  <c r="KI947" i="1"/>
  <c r="KI956" i="1" s="1"/>
  <c r="KH947" i="1"/>
  <c r="KH956" i="1" s="1"/>
  <c r="KG947" i="1"/>
  <c r="KG956" i="1" s="1"/>
  <c r="KF947" i="1"/>
  <c r="KF956" i="1" s="1"/>
  <c r="KE947" i="1"/>
  <c r="KE956" i="1" s="1"/>
  <c r="KD947" i="1"/>
  <c r="KD956" i="1" s="1"/>
  <c r="KC947" i="1"/>
  <c r="KC956" i="1" s="1"/>
  <c r="KB947" i="1"/>
  <c r="KB956" i="1" s="1"/>
  <c r="KA947" i="1"/>
  <c r="KA956" i="1" s="1"/>
  <c r="ML945" i="1"/>
  <c r="MK945" i="1"/>
  <c r="MJ945" i="1"/>
  <c r="MI945" i="1"/>
  <c r="MH945" i="1"/>
  <c r="MG945" i="1"/>
  <c r="MF945" i="1"/>
  <c r="ME945" i="1"/>
  <c r="MD945" i="1"/>
  <c r="MC945" i="1"/>
  <c r="MB945" i="1"/>
  <c r="MA945" i="1"/>
  <c r="LZ945" i="1"/>
  <c r="LY945" i="1"/>
  <c r="LX945" i="1"/>
  <c r="LW945" i="1"/>
  <c r="LV945" i="1"/>
  <c r="LU945" i="1"/>
  <c r="LT945" i="1"/>
  <c r="LS945" i="1"/>
  <c r="LR945" i="1"/>
  <c r="LQ945" i="1"/>
  <c r="LP945" i="1"/>
  <c r="LO945" i="1"/>
  <c r="LN945" i="1"/>
  <c r="LM945" i="1"/>
  <c r="LL945" i="1"/>
  <c r="LK945" i="1"/>
  <c r="LJ945" i="1"/>
  <c r="LI945" i="1"/>
  <c r="LH945" i="1"/>
  <c r="LG945" i="1"/>
  <c r="LF945" i="1"/>
  <c r="LE945" i="1"/>
  <c r="LD945" i="1"/>
  <c r="LC945" i="1"/>
  <c r="LA945" i="1"/>
  <c r="KZ945" i="1"/>
  <c r="KY945" i="1"/>
  <c r="KX945" i="1"/>
  <c r="KW945" i="1"/>
  <c r="KV945" i="1"/>
  <c r="KU945" i="1"/>
  <c r="KT945" i="1"/>
  <c r="KS945" i="1"/>
  <c r="KR945" i="1"/>
  <c r="KQ945" i="1"/>
  <c r="KP945" i="1"/>
  <c r="KO945" i="1"/>
  <c r="KN945" i="1"/>
  <c r="KM945" i="1"/>
  <c r="KL945" i="1"/>
  <c r="KK945" i="1"/>
  <c r="KJ945" i="1"/>
  <c r="KI945" i="1"/>
  <c r="KH945" i="1"/>
  <c r="KG945" i="1"/>
  <c r="KF945" i="1"/>
  <c r="KE945" i="1"/>
  <c r="KD945" i="1"/>
  <c r="KC945" i="1"/>
  <c r="KB945" i="1"/>
  <c r="KA945" i="1"/>
  <c r="JZ945" i="1"/>
  <c r="JY945" i="1"/>
  <c r="JX945" i="1"/>
  <c r="JW945" i="1"/>
  <c r="JV945" i="1"/>
  <c r="JU945" i="1"/>
  <c r="JT945" i="1"/>
  <c r="JS945" i="1"/>
  <c r="JR945" i="1"/>
  <c r="JP945" i="1"/>
  <c r="JO945" i="1"/>
  <c r="JN945" i="1"/>
  <c r="JM945" i="1"/>
  <c r="JL945" i="1"/>
  <c r="JK945" i="1"/>
  <c r="JJ945" i="1"/>
  <c r="JI945" i="1"/>
  <c r="JH945" i="1"/>
  <c r="JG945" i="1"/>
  <c r="JF945" i="1"/>
  <c r="JE945" i="1"/>
  <c r="JD945" i="1"/>
  <c r="JC945" i="1"/>
  <c r="JB945" i="1"/>
  <c r="JA945" i="1"/>
  <c r="IZ945" i="1"/>
  <c r="IY945" i="1"/>
  <c r="IX945" i="1"/>
  <c r="IW945" i="1"/>
  <c r="IV945" i="1"/>
  <c r="IU945" i="1"/>
  <c r="IT945" i="1"/>
  <c r="IS945" i="1"/>
  <c r="IR945" i="1"/>
  <c r="IQ945" i="1"/>
  <c r="IP945" i="1"/>
  <c r="IO945" i="1"/>
  <c r="IN945" i="1"/>
  <c r="IM945" i="1"/>
  <c r="IL945" i="1"/>
  <c r="IK945" i="1"/>
  <c r="IJ945" i="1"/>
  <c r="II945" i="1"/>
  <c r="IH945" i="1"/>
  <c r="IG945" i="1"/>
  <c r="IE945" i="1"/>
  <c r="ID945" i="1"/>
  <c r="IC945" i="1"/>
  <c r="IB945" i="1"/>
  <c r="IA945" i="1"/>
  <c r="HZ945" i="1"/>
  <c r="HY945" i="1"/>
  <c r="HX945" i="1"/>
  <c r="HW945" i="1"/>
  <c r="HV945" i="1"/>
  <c r="HU945" i="1"/>
  <c r="HT945" i="1"/>
  <c r="HS945" i="1"/>
  <c r="HR945" i="1"/>
  <c r="HQ945" i="1"/>
  <c r="HP945" i="1"/>
  <c r="HO945" i="1"/>
  <c r="HN945" i="1"/>
  <c r="HM945" i="1"/>
  <c r="HL945" i="1"/>
  <c r="HK945" i="1"/>
  <c r="HJ945" i="1"/>
  <c r="HI945" i="1"/>
  <c r="HH945" i="1"/>
  <c r="HG945" i="1"/>
  <c r="HF945" i="1"/>
  <c r="HE945" i="1"/>
  <c r="HD945" i="1"/>
  <c r="HC945" i="1"/>
  <c r="HB945" i="1"/>
  <c r="HA945" i="1"/>
  <c r="GZ945" i="1"/>
  <c r="GY945" i="1"/>
  <c r="GX945" i="1"/>
  <c r="GW945" i="1"/>
  <c r="GV945" i="1"/>
  <c r="GT945" i="1"/>
  <c r="GS945" i="1"/>
  <c r="GR945" i="1"/>
  <c r="GQ945" i="1"/>
  <c r="GP945" i="1"/>
  <c r="GO945" i="1"/>
  <c r="GN945" i="1"/>
  <c r="GM945" i="1"/>
  <c r="GL945" i="1"/>
  <c r="GK945" i="1"/>
  <c r="GJ945" i="1"/>
  <c r="GI945" i="1"/>
  <c r="GH945" i="1"/>
  <c r="GG945" i="1"/>
  <c r="GF945" i="1"/>
  <c r="GE945" i="1"/>
  <c r="GD945" i="1"/>
  <c r="GC945" i="1"/>
  <c r="GB945" i="1"/>
  <c r="GA945" i="1"/>
  <c r="FZ945" i="1"/>
  <c r="FY945" i="1"/>
  <c r="FX945" i="1"/>
  <c r="FW945" i="1"/>
  <c r="FV945" i="1"/>
  <c r="FU945" i="1"/>
  <c r="FT945" i="1"/>
  <c r="FS945" i="1"/>
  <c r="FR945" i="1"/>
  <c r="FQ945" i="1"/>
  <c r="FP945" i="1"/>
  <c r="FO945" i="1"/>
  <c r="FN945" i="1"/>
  <c r="FM945" i="1"/>
  <c r="FL945" i="1"/>
  <c r="FK945" i="1"/>
  <c r="FI945" i="1"/>
  <c r="FH945" i="1"/>
  <c r="FG945" i="1"/>
  <c r="FF945" i="1"/>
  <c r="FE945" i="1"/>
  <c r="FD945" i="1"/>
  <c r="FC945" i="1"/>
  <c r="FB945" i="1"/>
  <c r="FA945" i="1"/>
  <c r="EZ945" i="1"/>
  <c r="EY945" i="1"/>
  <c r="EX945" i="1"/>
  <c r="EW945" i="1"/>
  <c r="EV945" i="1"/>
  <c r="EU945" i="1"/>
  <c r="ET945" i="1"/>
  <c r="ES945" i="1"/>
  <c r="ER945" i="1"/>
  <c r="EQ945" i="1"/>
  <c r="EP945" i="1"/>
  <c r="EO945" i="1"/>
  <c r="EN945" i="1"/>
  <c r="EM945" i="1"/>
  <c r="EL945" i="1"/>
  <c r="EK945" i="1"/>
  <c r="EJ945" i="1"/>
  <c r="EI945" i="1"/>
  <c r="EH945" i="1"/>
  <c r="EG945" i="1"/>
  <c r="EF945" i="1"/>
  <c r="EE945" i="1"/>
  <c r="ED945" i="1"/>
  <c r="EC945" i="1"/>
  <c r="EB945" i="1"/>
  <c r="EA945" i="1"/>
  <c r="DZ945" i="1"/>
  <c r="DX945" i="1"/>
  <c r="DW945" i="1"/>
  <c r="DV945" i="1"/>
  <c r="DU945" i="1"/>
  <c r="DT945" i="1"/>
  <c r="DS945" i="1"/>
  <c r="DR945" i="1"/>
  <c r="DQ945" i="1"/>
  <c r="DP945" i="1"/>
  <c r="DO945" i="1"/>
  <c r="DN945" i="1"/>
  <c r="DM945" i="1"/>
  <c r="DL945" i="1"/>
  <c r="DK945" i="1"/>
  <c r="DJ945" i="1"/>
  <c r="DI945" i="1"/>
  <c r="DH945" i="1"/>
  <c r="DG945" i="1"/>
  <c r="DF945" i="1"/>
  <c r="DE945" i="1"/>
  <c r="DD945" i="1"/>
  <c r="DC945" i="1"/>
  <c r="DB945" i="1"/>
  <c r="DA945" i="1"/>
  <c r="CZ945" i="1"/>
  <c r="CY945" i="1"/>
  <c r="CX945" i="1"/>
  <c r="CW945" i="1"/>
  <c r="CV945" i="1"/>
  <c r="CU945" i="1"/>
  <c r="CT945" i="1"/>
  <c r="CS945" i="1"/>
  <c r="CR945" i="1"/>
  <c r="CQ945" i="1"/>
  <c r="CP945" i="1"/>
  <c r="CO945" i="1"/>
  <c r="CM945" i="1"/>
  <c r="CL945" i="1"/>
  <c r="CK945" i="1"/>
  <c r="CJ945" i="1"/>
  <c r="CI945" i="1"/>
  <c r="CH945" i="1"/>
  <c r="CG945" i="1"/>
  <c r="CF945" i="1"/>
  <c r="CE945" i="1"/>
  <c r="CD945" i="1"/>
  <c r="CC945" i="1"/>
  <c r="CB945" i="1"/>
  <c r="CA945" i="1"/>
  <c r="BZ945" i="1"/>
  <c r="BY945" i="1"/>
  <c r="BX945" i="1"/>
  <c r="BW945" i="1"/>
  <c r="BV945" i="1"/>
  <c r="BU945" i="1"/>
  <c r="BT945" i="1"/>
  <c r="BS945" i="1"/>
  <c r="BR945" i="1"/>
  <c r="BQ945" i="1"/>
  <c r="BP945" i="1"/>
  <c r="BO945" i="1"/>
  <c r="BN945" i="1"/>
  <c r="BM945" i="1"/>
  <c r="BL945" i="1"/>
  <c r="BK945" i="1"/>
  <c r="BJ945" i="1"/>
  <c r="BI945" i="1"/>
  <c r="BH945" i="1"/>
  <c r="BG945" i="1"/>
  <c r="BF945" i="1"/>
  <c r="BE945" i="1"/>
  <c r="BD945" i="1"/>
  <c r="BB945" i="1"/>
  <c r="BA945" i="1"/>
  <c r="AZ945" i="1"/>
  <c r="AY945" i="1"/>
  <c r="AX945" i="1"/>
  <c r="AW945" i="1"/>
  <c r="AV945" i="1"/>
  <c r="AU945" i="1"/>
  <c r="AT945" i="1"/>
  <c r="AS945" i="1"/>
  <c r="AR945" i="1"/>
  <c r="AQ945" i="1"/>
  <c r="AP945" i="1"/>
  <c r="AO945" i="1"/>
  <c r="AN945" i="1"/>
  <c r="AM945" i="1"/>
  <c r="AL945" i="1"/>
  <c r="AK945" i="1"/>
  <c r="AJ945" i="1"/>
  <c r="AI945" i="1"/>
  <c r="AH945" i="1"/>
  <c r="AG945" i="1"/>
  <c r="AF945" i="1"/>
  <c r="AE945" i="1"/>
  <c r="AD945" i="1"/>
  <c r="AC945" i="1"/>
  <c r="AB945" i="1"/>
  <c r="AA945" i="1"/>
  <c r="Z945" i="1"/>
  <c r="Y945" i="1"/>
  <c r="X945" i="1"/>
  <c r="W945" i="1"/>
  <c r="V945" i="1"/>
  <c r="U945" i="1"/>
  <c r="T945" i="1"/>
  <c r="S945" i="1"/>
  <c r="Q945" i="1"/>
  <c r="P945" i="1"/>
  <c r="O945" i="1"/>
  <c r="N945" i="1"/>
  <c r="M945" i="1"/>
  <c r="L945" i="1"/>
  <c r="K945" i="1"/>
  <c r="J945" i="1"/>
  <c r="I945" i="1"/>
  <c r="H945" i="1"/>
  <c r="ML938" i="1"/>
  <c r="MK938" i="1"/>
  <c r="MJ938" i="1"/>
  <c r="MI938" i="1"/>
  <c r="MH938" i="1"/>
  <c r="MG938" i="1"/>
  <c r="MF938" i="1"/>
  <c r="ME938" i="1"/>
  <c r="MD938" i="1"/>
  <c r="MC938" i="1"/>
  <c r="MB938" i="1"/>
  <c r="MA938" i="1"/>
  <c r="LZ938" i="1"/>
  <c r="LY938" i="1"/>
  <c r="LX938" i="1"/>
  <c r="LW938" i="1"/>
  <c r="LV938" i="1"/>
  <c r="LU938" i="1"/>
  <c r="LT938" i="1"/>
  <c r="LS938" i="1"/>
  <c r="LR938" i="1"/>
  <c r="LQ938" i="1"/>
  <c r="LP938" i="1"/>
  <c r="LO938" i="1"/>
  <c r="LN938" i="1"/>
  <c r="LM938" i="1"/>
  <c r="LL938" i="1"/>
  <c r="LK938" i="1"/>
  <c r="LJ938" i="1"/>
  <c r="LI938" i="1"/>
  <c r="LH938" i="1"/>
  <c r="LG938" i="1"/>
  <c r="LF938" i="1"/>
  <c r="LE938" i="1"/>
  <c r="LD938" i="1"/>
  <c r="JP938" i="1"/>
  <c r="JO938" i="1"/>
  <c r="JN938" i="1"/>
  <c r="JM938" i="1"/>
  <c r="JL938" i="1"/>
  <c r="JK938" i="1"/>
  <c r="JJ938" i="1"/>
  <c r="JI938" i="1"/>
  <c r="JH938" i="1"/>
  <c r="JG938" i="1"/>
  <c r="JF938" i="1"/>
  <c r="JE938" i="1"/>
  <c r="JD938" i="1"/>
  <c r="JC938" i="1"/>
  <c r="JB938" i="1"/>
  <c r="JA938" i="1"/>
  <c r="IZ938" i="1"/>
  <c r="IY938" i="1"/>
  <c r="IX938" i="1"/>
  <c r="IW938" i="1"/>
  <c r="IV938" i="1"/>
  <c r="IU938" i="1"/>
  <c r="IT938" i="1"/>
  <c r="IS938" i="1"/>
  <c r="IR938" i="1"/>
  <c r="IQ938" i="1"/>
  <c r="IP938" i="1"/>
  <c r="IO938" i="1"/>
  <c r="IN938" i="1"/>
  <c r="IM938" i="1"/>
  <c r="IL938" i="1"/>
  <c r="IK938" i="1"/>
  <c r="IJ938" i="1"/>
  <c r="II938" i="1"/>
  <c r="IH938" i="1"/>
  <c r="IG938" i="1"/>
  <c r="IE938" i="1"/>
  <c r="ID938" i="1"/>
  <c r="IC938" i="1"/>
  <c r="IB938" i="1"/>
  <c r="IA938" i="1"/>
  <c r="HZ938" i="1"/>
  <c r="HY938" i="1"/>
  <c r="HX938" i="1"/>
  <c r="HW938" i="1"/>
  <c r="HV938" i="1"/>
  <c r="HU938" i="1"/>
  <c r="HT938" i="1"/>
  <c r="HS938" i="1"/>
  <c r="HR938" i="1"/>
  <c r="HQ938" i="1"/>
  <c r="HP938" i="1"/>
  <c r="HO938" i="1"/>
  <c r="HN938" i="1"/>
  <c r="HM938" i="1"/>
  <c r="HL938" i="1"/>
  <c r="HK938" i="1"/>
  <c r="HJ938" i="1"/>
  <c r="HI938" i="1"/>
  <c r="HH938" i="1"/>
  <c r="HG938" i="1"/>
  <c r="HF938" i="1"/>
  <c r="HE938" i="1"/>
  <c r="HD938" i="1"/>
  <c r="HC938" i="1"/>
  <c r="HB938" i="1"/>
  <c r="HA938" i="1"/>
  <c r="GZ938" i="1"/>
  <c r="GY938" i="1"/>
  <c r="GX938" i="1"/>
  <c r="GW938" i="1"/>
  <c r="GV938" i="1"/>
  <c r="GT938" i="1"/>
  <c r="GS938" i="1"/>
  <c r="GR938" i="1"/>
  <c r="GQ938" i="1"/>
  <c r="GP938" i="1"/>
  <c r="GO938" i="1"/>
  <c r="GN938" i="1"/>
  <c r="GM938" i="1"/>
  <c r="GL938" i="1"/>
  <c r="GK938" i="1"/>
  <c r="GJ938" i="1"/>
  <c r="GI938" i="1"/>
  <c r="GH938" i="1"/>
  <c r="GG938" i="1"/>
  <c r="GF938" i="1"/>
  <c r="GE938" i="1"/>
  <c r="GD938" i="1"/>
  <c r="GC938" i="1"/>
  <c r="GB938" i="1"/>
  <c r="GA938" i="1"/>
  <c r="FZ938" i="1"/>
  <c r="FY938" i="1"/>
  <c r="FX938" i="1"/>
  <c r="FW938" i="1"/>
  <c r="FV938" i="1"/>
  <c r="FU938" i="1"/>
  <c r="FT938" i="1"/>
  <c r="FS938" i="1"/>
  <c r="FR938" i="1"/>
  <c r="FQ938" i="1"/>
  <c r="FP938" i="1"/>
  <c r="FO938" i="1"/>
  <c r="FN938" i="1"/>
  <c r="FM938" i="1"/>
  <c r="FL938" i="1"/>
  <c r="FK938" i="1"/>
  <c r="FI938" i="1"/>
  <c r="FH938" i="1"/>
  <c r="FG938" i="1"/>
  <c r="FF938" i="1"/>
  <c r="FE938" i="1"/>
  <c r="FD938" i="1"/>
  <c r="FC938" i="1"/>
  <c r="FB938" i="1"/>
  <c r="FA938" i="1"/>
  <c r="EZ938" i="1"/>
  <c r="EY938" i="1"/>
  <c r="EX938" i="1"/>
  <c r="EW938" i="1"/>
  <c r="EV938" i="1"/>
  <c r="EU938" i="1"/>
  <c r="ET938" i="1"/>
  <c r="ES938" i="1"/>
  <c r="ER938" i="1"/>
  <c r="EQ938" i="1"/>
  <c r="EP938" i="1"/>
  <c r="EO938" i="1"/>
  <c r="EN938" i="1"/>
  <c r="EM938" i="1"/>
  <c r="EL938" i="1"/>
  <c r="EK938" i="1"/>
  <c r="EJ938" i="1"/>
  <c r="EI938" i="1"/>
  <c r="EH938" i="1"/>
  <c r="EG938" i="1"/>
  <c r="EF938" i="1"/>
  <c r="EE938" i="1"/>
  <c r="ED938" i="1"/>
  <c r="EC938" i="1"/>
  <c r="EB938" i="1"/>
  <c r="EA938" i="1"/>
  <c r="DZ938" i="1"/>
  <c r="DX938" i="1"/>
  <c r="DW938" i="1"/>
  <c r="DV938" i="1"/>
  <c r="DU938" i="1"/>
  <c r="DT938" i="1"/>
  <c r="DS938" i="1"/>
  <c r="DR938" i="1"/>
  <c r="DQ938" i="1"/>
  <c r="DP938" i="1"/>
  <c r="DO938" i="1"/>
  <c r="DN938" i="1"/>
  <c r="DM938" i="1"/>
  <c r="DL938" i="1"/>
  <c r="DK938" i="1"/>
  <c r="DJ938" i="1"/>
  <c r="DI938" i="1"/>
  <c r="DH938" i="1"/>
  <c r="DG938" i="1"/>
  <c r="DF938" i="1"/>
  <c r="DE938" i="1"/>
  <c r="DD938" i="1"/>
  <c r="DC938" i="1"/>
  <c r="DB938" i="1"/>
  <c r="DA938" i="1"/>
  <c r="CZ938" i="1"/>
  <c r="CY938" i="1"/>
  <c r="CX938" i="1"/>
  <c r="CW938" i="1"/>
  <c r="CV938" i="1"/>
  <c r="CU938" i="1"/>
  <c r="CT938" i="1"/>
  <c r="CS938" i="1"/>
  <c r="CR938" i="1"/>
  <c r="CQ938" i="1"/>
  <c r="CP938" i="1"/>
  <c r="CO938" i="1"/>
  <c r="CM938" i="1"/>
  <c r="CL938" i="1"/>
  <c r="CK938" i="1"/>
  <c r="CJ938" i="1"/>
  <c r="CI938" i="1"/>
  <c r="CH938" i="1"/>
  <c r="CG938" i="1"/>
  <c r="CF938" i="1"/>
  <c r="CE938" i="1"/>
  <c r="CD938" i="1"/>
  <c r="CC938" i="1"/>
  <c r="CB938" i="1"/>
  <c r="CA938" i="1"/>
  <c r="BZ938" i="1"/>
  <c r="BY938" i="1"/>
  <c r="BX938" i="1"/>
  <c r="BW938" i="1"/>
  <c r="BV938" i="1"/>
  <c r="BU938" i="1"/>
  <c r="BT938" i="1"/>
  <c r="BS938" i="1"/>
  <c r="BR938" i="1"/>
  <c r="BQ938" i="1"/>
  <c r="BP938" i="1"/>
  <c r="BO938" i="1"/>
  <c r="BN938" i="1"/>
  <c r="BM938" i="1"/>
  <c r="BL938" i="1"/>
  <c r="BK938" i="1"/>
  <c r="BJ938" i="1"/>
  <c r="BI938" i="1"/>
  <c r="BH938" i="1"/>
  <c r="BG938" i="1"/>
  <c r="BF938" i="1"/>
  <c r="BE938" i="1"/>
  <c r="BD938" i="1"/>
  <c r="BB938" i="1"/>
  <c r="BA938" i="1"/>
  <c r="AZ938" i="1"/>
  <c r="AY938" i="1"/>
  <c r="AX938" i="1"/>
  <c r="AW938" i="1"/>
  <c r="AV938" i="1"/>
  <c r="AU938" i="1"/>
  <c r="AT938" i="1"/>
  <c r="AS938" i="1"/>
  <c r="AR938" i="1"/>
  <c r="AQ938" i="1"/>
  <c r="AP938" i="1"/>
  <c r="AO938" i="1"/>
  <c r="AN938" i="1"/>
  <c r="AM938" i="1"/>
  <c r="AL938" i="1"/>
  <c r="AK938" i="1"/>
  <c r="AJ938" i="1"/>
  <c r="AI938" i="1"/>
  <c r="AH938" i="1"/>
  <c r="AG938" i="1"/>
  <c r="AF938" i="1"/>
  <c r="AE938" i="1"/>
  <c r="AD938" i="1"/>
  <c r="AC938" i="1"/>
  <c r="AB938" i="1"/>
  <c r="AA938" i="1"/>
  <c r="Z938" i="1"/>
  <c r="Y938" i="1"/>
  <c r="X938" i="1"/>
  <c r="W938" i="1"/>
  <c r="V938" i="1"/>
  <c r="U938" i="1"/>
  <c r="T938" i="1"/>
  <c r="S938" i="1"/>
  <c r="Q938" i="1"/>
  <c r="P938" i="1"/>
  <c r="O938" i="1"/>
  <c r="N938" i="1"/>
  <c r="M938" i="1"/>
  <c r="L938" i="1"/>
  <c r="K938" i="1"/>
  <c r="J938" i="1"/>
  <c r="I938" i="1"/>
  <c r="H938" i="1"/>
  <c r="LG932" i="1"/>
  <c r="LF932" i="1"/>
  <c r="LE932" i="1"/>
  <c r="LD932" i="1"/>
  <c r="IK932" i="1"/>
  <c r="IJ932" i="1"/>
  <c r="II932" i="1"/>
  <c r="IH932" i="1"/>
  <c r="GZ932" i="1"/>
  <c r="GY932" i="1"/>
  <c r="GX932" i="1"/>
  <c r="GW932" i="1"/>
  <c r="FO932" i="1"/>
  <c r="FN932" i="1"/>
  <c r="FM932" i="1"/>
  <c r="FL932" i="1"/>
  <c r="ED932" i="1"/>
  <c r="EC932" i="1"/>
  <c r="EB932" i="1"/>
  <c r="EA932" i="1"/>
  <c r="CS932" i="1"/>
  <c r="CR932" i="1"/>
  <c r="CQ932" i="1"/>
  <c r="CP932" i="1"/>
  <c r="BH932" i="1"/>
  <c r="BG932" i="1"/>
  <c r="BF932" i="1"/>
  <c r="BE932" i="1"/>
  <c r="ML930" i="1"/>
  <c r="MK930" i="1"/>
  <c r="MJ930" i="1"/>
  <c r="MI930" i="1"/>
  <c r="MH930" i="1"/>
  <c r="MG930" i="1"/>
  <c r="MF930" i="1"/>
  <c r="ME930" i="1"/>
  <c r="MD930" i="1"/>
  <c r="MC930" i="1"/>
  <c r="MB930" i="1"/>
  <c r="MA930" i="1"/>
  <c r="LZ930" i="1"/>
  <c r="LY930" i="1"/>
  <c r="LX930" i="1"/>
  <c r="LW930" i="1"/>
  <c r="LV930" i="1"/>
  <c r="LU930" i="1"/>
  <c r="LT930" i="1"/>
  <c r="LS930" i="1"/>
  <c r="LR930" i="1"/>
  <c r="LQ930" i="1"/>
  <c r="LP930" i="1"/>
  <c r="LO930" i="1"/>
  <c r="LN930" i="1"/>
  <c r="LM930" i="1"/>
  <c r="LL930" i="1"/>
  <c r="LK930" i="1"/>
  <c r="LJ930" i="1"/>
  <c r="LI930" i="1"/>
  <c r="LH930" i="1"/>
  <c r="LG930" i="1"/>
  <c r="LF930" i="1"/>
  <c r="LE930" i="1"/>
  <c r="LD930" i="1"/>
  <c r="LC930" i="1"/>
  <c r="LA930" i="1"/>
  <c r="KZ930" i="1"/>
  <c r="KY930" i="1"/>
  <c r="KX930" i="1"/>
  <c r="KW930" i="1"/>
  <c r="KV930" i="1"/>
  <c r="KU930" i="1"/>
  <c r="KT930" i="1"/>
  <c r="KS930" i="1"/>
  <c r="KR930" i="1"/>
  <c r="KQ930" i="1"/>
  <c r="KP930" i="1"/>
  <c r="KO930" i="1"/>
  <c r="KN930" i="1"/>
  <c r="KM930" i="1"/>
  <c r="KL930" i="1"/>
  <c r="KK930" i="1"/>
  <c r="KJ930" i="1"/>
  <c r="KI930" i="1"/>
  <c r="KH930" i="1"/>
  <c r="KG930" i="1"/>
  <c r="KF930" i="1"/>
  <c r="KE930" i="1"/>
  <c r="KD930" i="1"/>
  <c r="KC930" i="1"/>
  <c r="KB930" i="1"/>
  <c r="KA930" i="1"/>
  <c r="JZ930" i="1"/>
  <c r="JY930" i="1"/>
  <c r="JX930" i="1"/>
  <c r="JW930" i="1"/>
  <c r="JV930" i="1"/>
  <c r="JU930" i="1"/>
  <c r="JT930" i="1"/>
  <c r="JS930" i="1"/>
  <c r="JR930" i="1"/>
  <c r="JP930" i="1"/>
  <c r="JO930" i="1"/>
  <c r="JN930" i="1"/>
  <c r="JM930" i="1"/>
  <c r="JL930" i="1"/>
  <c r="JK930" i="1"/>
  <c r="JJ930" i="1"/>
  <c r="JI930" i="1"/>
  <c r="JH930" i="1"/>
  <c r="JG930" i="1"/>
  <c r="JF930" i="1"/>
  <c r="JE930" i="1"/>
  <c r="JD930" i="1"/>
  <c r="JC930" i="1"/>
  <c r="JB930" i="1"/>
  <c r="JA930" i="1"/>
  <c r="IZ930" i="1"/>
  <c r="IY930" i="1"/>
  <c r="IX930" i="1"/>
  <c r="IW930" i="1"/>
  <c r="IV930" i="1"/>
  <c r="IU930" i="1"/>
  <c r="IT930" i="1"/>
  <c r="IS930" i="1"/>
  <c r="IR930" i="1"/>
  <c r="IQ930" i="1"/>
  <c r="IP930" i="1"/>
  <c r="IO930" i="1"/>
  <c r="IN930" i="1"/>
  <c r="IM930" i="1"/>
  <c r="IL930" i="1"/>
  <c r="IK930" i="1"/>
  <c r="IJ930" i="1"/>
  <c r="II930" i="1"/>
  <c r="IH930" i="1"/>
  <c r="IG930" i="1"/>
  <c r="IE930" i="1"/>
  <c r="ID930" i="1"/>
  <c r="IC930" i="1"/>
  <c r="IB930" i="1"/>
  <c r="IA930" i="1"/>
  <c r="HZ930" i="1"/>
  <c r="HY930" i="1"/>
  <c r="HX930" i="1"/>
  <c r="HW930" i="1"/>
  <c r="HV930" i="1"/>
  <c r="HU930" i="1"/>
  <c r="HT930" i="1"/>
  <c r="HS930" i="1"/>
  <c r="HR930" i="1"/>
  <c r="HQ930" i="1"/>
  <c r="HP930" i="1"/>
  <c r="HO930" i="1"/>
  <c r="HN930" i="1"/>
  <c r="HM930" i="1"/>
  <c r="HL930" i="1"/>
  <c r="HK930" i="1"/>
  <c r="HJ930" i="1"/>
  <c r="HI930" i="1"/>
  <c r="HH930" i="1"/>
  <c r="HG930" i="1"/>
  <c r="HF930" i="1"/>
  <c r="HE930" i="1"/>
  <c r="HD930" i="1"/>
  <c r="HC930" i="1"/>
  <c r="HB930" i="1"/>
  <c r="HA930" i="1"/>
  <c r="GZ930" i="1"/>
  <c r="GY930" i="1"/>
  <c r="GX930" i="1"/>
  <c r="GW930" i="1"/>
  <c r="GV930" i="1"/>
  <c r="GT930" i="1"/>
  <c r="GS930" i="1"/>
  <c r="GR930" i="1"/>
  <c r="GQ930" i="1"/>
  <c r="GP930" i="1"/>
  <c r="GO930" i="1"/>
  <c r="GN930" i="1"/>
  <c r="GM930" i="1"/>
  <c r="GL930" i="1"/>
  <c r="GK930" i="1"/>
  <c r="GJ930" i="1"/>
  <c r="GI930" i="1"/>
  <c r="GH930" i="1"/>
  <c r="GG930" i="1"/>
  <c r="GF930" i="1"/>
  <c r="GE930" i="1"/>
  <c r="GD930" i="1"/>
  <c r="GC930" i="1"/>
  <c r="GB930" i="1"/>
  <c r="GA930" i="1"/>
  <c r="FZ930" i="1"/>
  <c r="FY930" i="1"/>
  <c r="FX930" i="1"/>
  <c r="FW930" i="1"/>
  <c r="FV930" i="1"/>
  <c r="FU930" i="1"/>
  <c r="FT930" i="1"/>
  <c r="FS930" i="1"/>
  <c r="FR930" i="1"/>
  <c r="FQ930" i="1"/>
  <c r="FP930" i="1"/>
  <c r="FO930" i="1"/>
  <c r="FN930" i="1"/>
  <c r="FM930" i="1"/>
  <c r="FL930" i="1"/>
  <c r="FK930" i="1"/>
  <c r="FI930" i="1"/>
  <c r="FH930" i="1"/>
  <c r="FG930" i="1"/>
  <c r="FF930" i="1"/>
  <c r="FE930" i="1"/>
  <c r="FD930" i="1"/>
  <c r="FC930" i="1"/>
  <c r="FB930" i="1"/>
  <c r="FA930" i="1"/>
  <c r="EZ930" i="1"/>
  <c r="EY930" i="1"/>
  <c r="EX930" i="1"/>
  <c r="EW930" i="1"/>
  <c r="EV930" i="1"/>
  <c r="EU930" i="1"/>
  <c r="ET930" i="1"/>
  <c r="ES930" i="1"/>
  <c r="ER930" i="1"/>
  <c r="EQ930" i="1"/>
  <c r="EP930" i="1"/>
  <c r="EO930" i="1"/>
  <c r="EN930" i="1"/>
  <c r="EM930" i="1"/>
  <c r="EL930" i="1"/>
  <c r="EK930" i="1"/>
  <c r="EJ930" i="1"/>
  <c r="EI930" i="1"/>
  <c r="EH930" i="1"/>
  <c r="EG930" i="1"/>
  <c r="EF930" i="1"/>
  <c r="EE930" i="1"/>
  <c r="ED930" i="1"/>
  <c r="EC930" i="1"/>
  <c r="EB930" i="1"/>
  <c r="EA930" i="1"/>
  <c r="DZ930" i="1"/>
  <c r="DX930" i="1"/>
  <c r="DW930" i="1"/>
  <c r="DV930" i="1"/>
  <c r="DU930" i="1"/>
  <c r="DT930" i="1"/>
  <c r="DS930" i="1"/>
  <c r="DR930" i="1"/>
  <c r="DQ930" i="1"/>
  <c r="DP930" i="1"/>
  <c r="DO930" i="1"/>
  <c r="DN930" i="1"/>
  <c r="DM930" i="1"/>
  <c r="DL930" i="1"/>
  <c r="DK930" i="1"/>
  <c r="DJ930" i="1"/>
  <c r="DI930" i="1"/>
  <c r="DH930" i="1"/>
  <c r="DG930" i="1"/>
  <c r="DF930" i="1"/>
  <c r="DE930" i="1"/>
  <c r="DD930" i="1"/>
  <c r="DC930" i="1"/>
  <c r="DB930" i="1"/>
  <c r="DA930" i="1"/>
  <c r="CZ930" i="1"/>
  <c r="CY930" i="1"/>
  <c r="CX930" i="1"/>
  <c r="CW930" i="1"/>
  <c r="CV930" i="1"/>
  <c r="CU930" i="1"/>
  <c r="CT930" i="1"/>
  <c r="CS930" i="1"/>
  <c r="CR930" i="1"/>
  <c r="CQ930" i="1"/>
  <c r="CP930" i="1"/>
  <c r="CO930" i="1"/>
  <c r="CM930" i="1"/>
  <c r="CL930" i="1"/>
  <c r="CK930" i="1"/>
  <c r="CJ930" i="1"/>
  <c r="CI930" i="1"/>
  <c r="CH930" i="1"/>
  <c r="CG930" i="1"/>
  <c r="CF930" i="1"/>
  <c r="CE930" i="1"/>
  <c r="CD930" i="1"/>
  <c r="CC930" i="1"/>
  <c r="CB930" i="1"/>
  <c r="CA930" i="1"/>
  <c r="BZ930" i="1"/>
  <c r="BY930" i="1"/>
  <c r="BX930" i="1"/>
  <c r="BW930" i="1"/>
  <c r="BV930" i="1"/>
  <c r="BU930" i="1"/>
  <c r="BT930" i="1"/>
  <c r="BS930" i="1"/>
  <c r="BR930" i="1"/>
  <c r="BQ930" i="1"/>
  <c r="BP930" i="1"/>
  <c r="BO930" i="1"/>
  <c r="BN930" i="1"/>
  <c r="BM930" i="1"/>
  <c r="BL930" i="1"/>
  <c r="BK930" i="1"/>
  <c r="BJ930" i="1"/>
  <c r="BI930" i="1"/>
  <c r="BH930" i="1"/>
  <c r="BG930" i="1"/>
  <c r="BF930" i="1"/>
  <c r="BE930" i="1"/>
  <c r="BD930" i="1"/>
  <c r="BB930" i="1"/>
  <c r="BA930" i="1"/>
  <c r="AZ930" i="1"/>
  <c r="AY930" i="1"/>
  <c r="AX930" i="1"/>
  <c r="AW930" i="1"/>
  <c r="AV930" i="1"/>
  <c r="AU930" i="1"/>
  <c r="AT930" i="1"/>
  <c r="AS930" i="1"/>
  <c r="AR930" i="1"/>
  <c r="AQ930" i="1"/>
  <c r="AP930" i="1"/>
  <c r="AO930" i="1"/>
  <c r="AN930" i="1"/>
  <c r="AM930" i="1"/>
  <c r="AL930" i="1"/>
  <c r="AK930" i="1"/>
  <c r="AJ930" i="1"/>
  <c r="AI930" i="1"/>
  <c r="AH930" i="1"/>
  <c r="AG930" i="1"/>
  <c r="AF930" i="1"/>
  <c r="AE930" i="1"/>
  <c r="AD930" i="1"/>
  <c r="AC930" i="1"/>
  <c r="AB930" i="1"/>
  <c r="AA930" i="1"/>
  <c r="Z930" i="1"/>
  <c r="Y930" i="1"/>
  <c r="X930" i="1"/>
  <c r="W930" i="1"/>
  <c r="V930" i="1"/>
  <c r="U930" i="1"/>
  <c r="T930" i="1"/>
  <c r="S930" i="1"/>
  <c r="Q930" i="1"/>
  <c r="P930" i="1"/>
  <c r="O930" i="1"/>
  <c r="N930" i="1"/>
  <c r="M930" i="1"/>
  <c r="L930" i="1"/>
  <c r="K930" i="1"/>
  <c r="J930" i="1"/>
  <c r="I930" i="1"/>
  <c r="H930" i="1"/>
  <c r="EG922" i="1"/>
  <c r="HB922" i="1"/>
  <c r="HA922" i="1"/>
  <c r="JS922" i="1"/>
  <c r="ML920" i="1"/>
  <c r="MK920" i="1"/>
  <c r="MJ920" i="1"/>
  <c r="MI920" i="1"/>
  <c r="MH920" i="1"/>
  <c r="MG920" i="1"/>
  <c r="MF920" i="1"/>
  <c r="ME920" i="1"/>
  <c r="MD920" i="1"/>
  <c r="MC920" i="1"/>
  <c r="MB920" i="1"/>
  <c r="MA920" i="1"/>
  <c r="LZ920" i="1"/>
  <c r="LY920" i="1"/>
  <c r="LX920" i="1"/>
  <c r="LW920" i="1"/>
  <c r="LV920" i="1"/>
  <c r="LU920" i="1"/>
  <c r="LT920" i="1"/>
  <c r="LS920" i="1"/>
  <c r="LR920" i="1"/>
  <c r="LQ920" i="1"/>
  <c r="LP920" i="1"/>
  <c r="LO920" i="1"/>
  <c r="LN920" i="1"/>
  <c r="LM920" i="1"/>
  <c r="LL920" i="1"/>
  <c r="LK920" i="1"/>
  <c r="LJ920" i="1"/>
  <c r="LI920" i="1"/>
  <c r="LH920" i="1"/>
  <c r="LG920" i="1"/>
  <c r="LF920" i="1"/>
  <c r="LE920" i="1"/>
  <c r="LD920" i="1"/>
  <c r="LC920" i="1"/>
  <c r="LA920" i="1"/>
  <c r="KZ920" i="1"/>
  <c r="KY920" i="1"/>
  <c r="KX920" i="1"/>
  <c r="KW920" i="1"/>
  <c r="KV920" i="1"/>
  <c r="KU920" i="1"/>
  <c r="KT920" i="1"/>
  <c r="KS920" i="1"/>
  <c r="KR920" i="1"/>
  <c r="KQ920" i="1"/>
  <c r="KP920" i="1"/>
  <c r="KO920" i="1"/>
  <c r="KN920" i="1"/>
  <c r="KM920" i="1"/>
  <c r="KL920" i="1"/>
  <c r="KK920" i="1"/>
  <c r="KJ920" i="1"/>
  <c r="KI920" i="1"/>
  <c r="KH920" i="1"/>
  <c r="KG920" i="1"/>
  <c r="KF920" i="1"/>
  <c r="KE920" i="1"/>
  <c r="KD920" i="1"/>
  <c r="KC920" i="1"/>
  <c r="KB920" i="1"/>
  <c r="KA920" i="1"/>
  <c r="JZ920" i="1"/>
  <c r="JY920" i="1"/>
  <c r="JX920" i="1"/>
  <c r="JW920" i="1"/>
  <c r="JV920" i="1"/>
  <c r="JU920" i="1"/>
  <c r="JT920" i="1"/>
  <c r="JS920" i="1"/>
  <c r="JR920" i="1"/>
  <c r="JP920" i="1"/>
  <c r="JO920" i="1"/>
  <c r="JN920" i="1"/>
  <c r="JM920" i="1"/>
  <c r="JL920" i="1"/>
  <c r="JK920" i="1"/>
  <c r="JJ920" i="1"/>
  <c r="JI920" i="1"/>
  <c r="JH920" i="1"/>
  <c r="JG920" i="1"/>
  <c r="JF920" i="1"/>
  <c r="JE920" i="1"/>
  <c r="JD920" i="1"/>
  <c r="JC920" i="1"/>
  <c r="JB920" i="1"/>
  <c r="JA920" i="1"/>
  <c r="IZ920" i="1"/>
  <c r="IY920" i="1"/>
  <c r="IX920" i="1"/>
  <c r="IW920" i="1"/>
  <c r="IV920" i="1"/>
  <c r="IU920" i="1"/>
  <c r="IT920" i="1"/>
  <c r="IS920" i="1"/>
  <c r="IR920" i="1"/>
  <c r="IQ920" i="1"/>
  <c r="IP920" i="1"/>
  <c r="IO920" i="1"/>
  <c r="IN920" i="1"/>
  <c r="IM920" i="1"/>
  <c r="IL920" i="1"/>
  <c r="IK920" i="1"/>
  <c r="IJ920" i="1"/>
  <c r="II920" i="1"/>
  <c r="IH920" i="1"/>
  <c r="IG920" i="1"/>
  <c r="IE920" i="1"/>
  <c r="ID920" i="1"/>
  <c r="IC920" i="1"/>
  <c r="IB920" i="1"/>
  <c r="IA920" i="1"/>
  <c r="HZ920" i="1"/>
  <c r="HY920" i="1"/>
  <c r="HX920" i="1"/>
  <c r="HW920" i="1"/>
  <c r="HV920" i="1"/>
  <c r="HU920" i="1"/>
  <c r="HT920" i="1"/>
  <c r="HS920" i="1"/>
  <c r="HR920" i="1"/>
  <c r="HQ920" i="1"/>
  <c r="HP920" i="1"/>
  <c r="HO920" i="1"/>
  <c r="HN920" i="1"/>
  <c r="HM920" i="1"/>
  <c r="HL920" i="1"/>
  <c r="HK920" i="1"/>
  <c r="HJ920" i="1"/>
  <c r="HI920" i="1"/>
  <c r="HH920" i="1"/>
  <c r="HG920" i="1"/>
  <c r="HF920" i="1"/>
  <c r="HE920" i="1"/>
  <c r="HD920" i="1"/>
  <c r="HC920" i="1"/>
  <c r="HB920" i="1"/>
  <c r="HA920" i="1"/>
  <c r="GZ920" i="1"/>
  <c r="GY920" i="1"/>
  <c r="GX920" i="1"/>
  <c r="GW920" i="1"/>
  <c r="GV920" i="1"/>
  <c r="GT920" i="1"/>
  <c r="GS920" i="1"/>
  <c r="GR920" i="1"/>
  <c r="GQ920" i="1"/>
  <c r="GP920" i="1"/>
  <c r="GO920" i="1"/>
  <c r="GN920" i="1"/>
  <c r="GM920" i="1"/>
  <c r="GL920" i="1"/>
  <c r="GK920" i="1"/>
  <c r="GJ920" i="1"/>
  <c r="GI920" i="1"/>
  <c r="GH920" i="1"/>
  <c r="GG920" i="1"/>
  <c r="GF920" i="1"/>
  <c r="GE920" i="1"/>
  <c r="GD920" i="1"/>
  <c r="GC920" i="1"/>
  <c r="GB920" i="1"/>
  <c r="GA920" i="1"/>
  <c r="FZ920" i="1"/>
  <c r="FY920" i="1"/>
  <c r="FX920" i="1"/>
  <c r="FW920" i="1"/>
  <c r="FV920" i="1"/>
  <c r="FU920" i="1"/>
  <c r="FT920" i="1"/>
  <c r="FS920" i="1"/>
  <c r="FR920" i="1"/>
  <c r="FQ920" i="1"/>
  <c r="FP920" i="1"/>
  <c r="FO920" i="1"/>
  <c r="FN920" i="1"/>
  <c r="FM920" i="1"/>
  <c r="FL920" i="1"/>
  <c r="FK920" i="1"/>
  <c r="FI920" i="1"/>
  <c r="FH920" i="1"/>
  <c r="FG920" i="1"/>
  <c r="FF920" i="1"/>
  <c r="FE920" i="1"/>
  <c r="FD920" i="1"/>
  <c r="FC920" i="1"/>
  <c r="FB920" i="1"/>
  <c r="FA920" i="1"/>
  <c r="EZ920" i="1"/>
  <c r="EY920" i="1"/>
  <c r="EX920" i="1"/>
  <c r="EW920" i="1"/>
  <c r="EV920" i="1"/>
  <c r="EU920" i="1"/>
  <c r="ET920" i="1"/>
  <c r="ES920" i="1"/>
  <c r="ER920" i="1"/>
  <c r="EQ920" i="1"/>
  <c r="EP920" i="1"/>
  <c r="EO920" i="1"/>
  <c r="EN920" i="1"/>
  <c r="EM920" i="1"/>
  <c r="EL920" i="1"/>
  <c r="EK920" i="1"/>
  <c r="EJ920" i="1"/>
  <c r="EI920" i="1"/>
  <c r="EH920" i="1"/>
  <c r="EG920" i="1"/>
  <c r="EF920" i="1"/>
  <c r="EE920" i="1"/>
  <c r="ED920" i="1"/>
  <c r="EC920" i="1"/>
  <c r="EB920" i="1"/>
  <c r="EA920" i="1"/>
  <c r="DZ920" i="1"/>
  <c r="DX920" i="1"/>
  <c r="DW920" i="1"/>
  <c r="DV920" i="1"/>
  <c r="DU920" i="1"/>
  <c r="DT920" i="1"/>
  <c r="DS920" i="1"/>
  <c r="DR920" i="1"/>
  <c r="DQ920" i="1"/>
  <c r="DP920" i="1"/>
  <c r="DO920" i="1"/>
  <c r="DN920" i="1"/>
  <c r="DM920" i="1"/>
  <c r="DL920" i="1"/>
  <c r="DK920" i="1"/>
  <c r="DJ920" i="1"/>
  <c r="DI920" i="1"/>
  <c r="DH920" i="1"/>
  <c r="DG920" i="1"/>
  <c r="DF920" i="1"/>
  <c r="DE920" i="1"/>
  <c r="DD920" i="1"/>
  <c r="DC920" i="1"/>
  <c r="DB920" i="1"/>
  <c r="DA920" i="1"/>
  <c r="CZ920" i="1"/>
  <c r="CY920" i="1"/>
  <c r="CX920" i="1"/>
  <c r="CW920" i="1"/>
  <c r="CV920" i="1"/>
  <c r="CU920" i="1"/>
  <c r="CT920" i="1"/>
  <c r="CS920" i="1"/>
  <c r="CR920" i="1"/>
  <c r="CQ920" i="1"/>
  <c r="CP920" i="1"/>
  <c r="CO920" i="1"/>
  <c r="CM920" i="1"/>
  <c r="CL920" i="1"/>
  <c r="CK920" i="1"/>
  <c r="CJ920" i="1"/>
  <c r="CI920" i="1"/>
  <c r="CH920" i="1"/>
  <c r="CG920" i="1"/>
  <c r="CF920" i="1"/>
  <c r="CE920" i="1"/>
  <c r="CD920" i="1"/>
  <c r="CC920" i="1"/>
  <c r="CB920" i="1"/>
  <c r="CA920" i="1"/>
  <c r="BZ920" i="1"/>
  <c r="BY920" i="1"/>
  <c r="BX920" i="1"/>
  <c r="BW920" i="1"/>
  <c r="BV920" i="1"/>
  <c r="BU920" i="1"/>
  <c r="BT920" i="1"/>
  <c r="BS920" i="1"/>
  <c r="BR920" i="1"/>
  <c r="BQ920" i="1"/>
  <c r="BP920" i="1"/>
  <c r="BO920" i="1"/>
  <c r="BN920" i="1"/>
  <c r="BM920" i="1"/>
  <c r="BL920" i="1"/>
  <c r="BK920" i="1"/>
  <c r="BJ920" i="1"/>
  <c r="BI920" i="1"/>
  <c r="BH920" i="1"/>
  <c r="BG920" i="1"/>
  <c r="BF920" i="1"/>
  <c r="BE920" i="1"/>
  <c r="BD920" i="1"/>
  <c r="BB920" i="1"/>
  <c r="BA920" i="1"/>
  <c r="AZ920" i="1"/>
  <c r="AY920" i="1"/>
  <c r="AX920" i="1"/>
  <c r="AW920" i="1"/>
  <c r="AV920" i="1"/>
  <c r="AU920" i="1"/>
  <c r="AT920" i="1"/>
  <c r="AS920" i="1"/>
  <c r="AR920" i="1"/>
  <c r="AQ920" i="1"/>
  <c r="AP920" i="1"/>
  <c r="AO920" i="1"/>
  <c r="AN920" i="1"/>
  <c r="AM920" i="1"/>
  <c r="AL920" i="1"/>
  <c r="AK920" i="1"/>
  <c r="AJ920" i="1"/>
  <c r="AI920" i="1"/>
  <c r="AH920" i="1"/>
  <c r="AG920" i="1"/>
  <c r="AF920" i="1"/>
  <c r="AE920" i="1"/>
  <c r="AD920" i="1"/>
  <c r="AC920" i="1"/>
  <c r="AB920" i="1"/>
  <c r="AA920" i="1"/>
  <c r="Z920" i="1"/>
  <c r="Y920" i="1"/>
  <c r="X920" i="1"/>
  <c r="W920" i="1"/>
  <c r="V920" i="1"/>
  <c r="U920" i="1"/>
  <c r="T920" i="1"/>
  <c r="S920" i="1"/>
  <c r="Q920" i="1"/>
  <c r="P920" i="1"/>
  <c r="O920" i="1"/>
  <c r="N920" i="1"/>
  <c r="M920" i="1"/>
  <c r="L920" i="1"/>
  <c r="K920" i="1"/>
  <c r="J920" i="1"/>
  <c r="I920" i="1"/>
  <c r="H920" i="1"/>
  <c r="F903" i="1"/>
  <c r="F902" i="1" s="1"/>
  <c r="F905" i="1" s="1"/>
  <c r="GZ894" i="1"/>
  <c r="GY894" i="1"/>
  <c r="GX894" i="1"/>
  <c r="GW894" i="1"/>
  <c r="FO894" i="1"/>
  <c r="FN894" i="1"/>
  <c r="FM894" i="1"/>
  <c r="FL894" i="1"/>
  <c r="ED894" i="1"/>
  <c r="EC894" i="1"/>
  <c r="EB894" i="1"/>
  <c r="EA894" i="1"/>
  <c r="CS894" i="1"/>
  <c r="CR894" i="1"/>
  <c r="CQ894" i="1"/>
  <c r="CP894" i="1"/>
  <c r="BH894" i="1"/>
  <c r="BG894" i="1"/>
  <c r="BF894" i="1"/>
  <c r="BE894" i="1"/>
  <c r="W894" i="1"/>
  <c r="V894" i="1"/>
  <c r="U894" i="1"/>
  <c r="T894" i="1"/>
  <c r="GZ893" i="1"/>
  <c r="GY893" i="1"/>
  <c r="GX893" i="1"/>
  <c r="GW893" i="1"/>
  <c r="FO893" i="1"/>
  <c r="FN893" i="1"/>
  <c r="FM893" i="1"/>
  <c r="FL893" i="1"/>
  <c r="ED893" i="1"/>
  <c r="EC893" i="1"/>
  <c r="EB893" i="1"/>
  <c r="EA893" i="1"/>
  <c r="CS893" i="1"/>
  <c r="CR893" i="1"/>
  <c r="CQ893" i="1"/>
  <c r="CP893" i="1"/>
  <c r="BH893" i="1"/>
  <c r="BG893" i="1"/>
  <c r="BF893" i="1"/>
  <c r="BE893" i="1"/>
  <c r="W893" i="1"/>
  <c r="V893" i="1"/>
  <c r="U893" i="1"/>
  <c r="T893" i="1"/>
  <c r="JZ886" i="1"/>
  <c r="JY886" i="1"/>
  <c r="JX886" i="1"/>
  <c r="JW886" i="1"/>
  <c r="IO886" i="1"/>
  <c r="IN886" i="1"/>
  <c r="IM886" i="1"/>
  <c r="IL886" i="1"/>
  <c r="P931" i="1"/>
  <c r="M931" i="1"/>
  <c r="I931" i="1"/>
  <c r="H931" i="1"/>
  <c r="HA885" i="1"/>
  <c r="FP885" i="1"/>
  <c r="EE885" i="1"/>
  <c r="CT885" i="1"/>
  <c r="BI885" i="1"/>
  <c r="O885" i="1"/>
  <c r="ML883" i="1"/>
  <c r="MK883" i="1"/>
  <c r="MJ883" i="1"/>
  <c r="MI883" i="1"/>
  <c r="MH883" i="1"/>
  <c r="MG883" i="1"/>
  <c r="MF883" i="1"/>
  <c r="ME883" i="1"/>
  <c r="MD883" i="1"/>
  <c r="MC883" i="1"/>
  <c r="MB883" i="1"/>
  <c r="MA883" i="1"/>
  <c r="LZ883" i="1"/>
  <c r="LY883" i="1"/>
  <c r="LX883" i="1"/>
  <c r="LW883" i="1"/>
  <c r="LV883" i="1"/>
  <c r="LU883" i="1"/>
  <c r="LT883" i="1"/>
  <c r="LS883" i="1"/>
  <c r="LR883" i="1"/>
  <c r="LQ883" i="1"/>
  <c r="LP883" i="1"/>
  <c r="LO883" i="1"/>
  <c r="LN883" i="1"/>
  <c r="LM883" i="1"/>
  <c r="LL883" i="1"/>
  <c r="LK883" i="1"/>
  <c r="LJ883" i="1"/>
  <c r="LI883" i="1"/>
  <c r="LH883" i="1"/>
  <c r="LG883" i="1"/>
  <c r="LF883" i="1"/>
  <c r="LE883" i="1"/>
  <c r="LD883" i="1"/>
  <c r="LC883" i="1"/>
  <c r="LA883" i="1"/>
  <c r="KZ883" i="1"/>
  <c r="KY883" i="1"/>
  <c r="KX883" i="1"/>
  <c r="KW883" i="1"/>
  <c r="KV883" i="1"/>
  <c r="KU883" i="1"/>
  <c r="KT883" i="1"/>
  <c r="KS883" i="1"/>
  <c r="KR883" i="1"/>
  <c r="KQ883" i="1"/>
  <c r="KP883" i="1"/>
  <c r="KO883" i="1"/>
  <c r="KN883" i="1"/>
  <c r="KM883" i="1"/>
  <c r="KL883" i="1"/>
  <c r="KK883" i="1"/>
  <c r="KJ883" i="1"/>
  <c r="KI883" i="1"/>
  <c r="KH883" i="1"/>
  <c r="KG883" i="1"/>
  <c r="KF883" i="1"/>
  <c r="KE883" i="1"/>
  <c r="KD883" i="1"/>
  <c r="KC883" i="1"/>
  <c r="KB883" i="1"/>
  <c r="KA883" i="1"/>
  <c r="JZ883" i="1"/>
  <c r="JY883" i="1"/>
  <c r="JX883" i="1"/>
  <c r="JW883" i="1"/>
  <c r="JV883" i="1"/>
  <c r="JU883" i="1"/>
  <c r="JT883" i="1"/>
  <c r="JS883" i="1"/>
  <c r="JR883" i="1"/>
  <c r="JP883" i="1"/>
  <c r="JO883" i="1"/>
  <c r="JN883" i="1"/>
  <c r="JM883" i="1"/>
  <c r="JL883" i="1"/>
  <c r="JK883" i="1"/>
  <c r="JJ883" i="1"/>
  <c r="JI883" i="1"/>
  <c r="JH883" i="1"/>
  <c r="JG883" i="1"/>
  <c r="JF883" i="1"/>
  <c r="JE883" i="1"/>
  <c r="JD883" i="1"/>
  <c r="JC883" i="1"/>
  <c r="JB883" i="1"/>
  <c r="JA883" i="1"/>
  <c r="IZ883" i="1"/>
  <c r="IY883" i="1"/>
  <c r="IX883" i="1"/>
  <c r="IW883" i="1"/>
  <c r="IV883" i="1"/>
  <c r="IU883" i="1"/>
  <c r="IT883" i="1"/>
  <c r="IS883" i="1"/>
  <c r="IR883" i="1"/>
  <c r="IQ883" i="1"/>
  <c r="IP883" i="1"/>
  <c r="IO883" i="1"/>
  <c r="IN883" i="1"/>
  <c r="IM883" i="1"/>
  <c r="IL883" i="1"/>
  <c r="IK883" i="1"/>
  <c r="IJ883" i="1"/>
  <c r="II883" i="1"/>
  <c r="IH883" i="1"/>
  <c r="IG883" i="1"/>
  <c r="IE883" i="1"/>
  <c r="ID883" i="1"/>
  <c r="IC883" i="1"/>
  <c r="IB883" i="1"/>
  <c r="IA883" i="1"/>
  <c r="HZ883" i="1"/>
  <c r="HY883" i="1"/>
  <c r="HX883" i="1"/>
  <c r="HW883" i="1"/>
  <c r="HV883" i="1"/>
  <c r="HU883" i="1"/>
  <c r="HT883" i="1"/>
  <c r="HS883" i="1"/>
  <c r="HR883" i="1"/>
  <c r="HQ883" i="1"/>
  <c r="HP883" i="1"/>
  <c r="HO883" i="1"/>
  <c r="HN883" i="1"/>
  <c r="HM883" i="1"/>
  <c r="HL883" i="1"/>
  <c r="HK883" i="1"/>
  <c r="HJ883" i="1"/>
  <c r="HI883" i="1"/>
  <c r="HH883" i="1"/>
  <c r="HG883" i="1"/>
  <c r="HF883" i="1"/>
  <c r="HE883" i="1"/>
  <c r="HD883" i="1"/>
  <c r="HC883" i="1"/>
  <c r="HB883" i="1"/>
  <c r="HA883" i="1"/>
  <c r="GZ883" i="1"/>
  <c r="GY883" i="1"/>
  <c r="GX883" i="1"/>
  <c r="GW883" i="1"/>
  <c r="GV883" i="1"/>
  <c r="GT883" i="1"/>
  <c r="GS883" i="1"/>
  <c r="GR883" i="1"/>
  <c r="GQ883" i="1"/>
  <c r="GP883" i="1"/>
  <c r="GO883" i="1"/>
  <c r="GN883" i="1"/>
  <c r="GM883" i="1"/>
  <c r="GL883" i="1"/>
  <c r="GK883" i="1"/>
  <c r="GJ883" i="1"/>
  <c r="GI883" i="1"/>
  <c r="GH883" i="1"/>
  <c r="GG883" i="1"/>
  <c r="GF883" i="1"/>
  <c r="GE883" i="1"/>
  <c r="GD883" i="1"/>
  <c r="GC883" i="1"/>
  <c r="GB883" i="1"/>
  <c r="GA883" i="1"/>
  <c r="FZ883" i="1"/>
  <c r="FY883" i="1"/>
  <c r="FX883" i="1"/>
  <c r="FW883" i="1"/>
  <c r="FV883" i="1"/>
  <c r="FU883" i="1"/>
  <c r="FT883" i="1"/>
  <c r="FS883" i="1"/>
  <c r="FR883" i="1"/>
  <c r="FQ883" i="1"/>
  <c r="FP883" i="1"/>
  <c r="FO883" i="1"/>
  <c r="FN883" i="1"/>
  <c r="FM883" i="1"/>
  <c r="FL883" i="1"/>
  <c r="FK883" i="1"/>
  <c r="FI883" i="1"/>
  <c r="FH883" i="1"/>
  <c r="FG883" i="1"/>
  <c r="FF883" i="1"/>
  <c r="FE883" i="1"/>
  <c r="FD883" i="1"/>
  <c r="FC883" i="1"/>
  <c r="FB883" i="1"/>
  <c r="FA883" i="1"/>
  <c r="EZ883" i="1"/>
  <c r="EY883" i="1"/>
  <c r="EX883" i="1"/>
  <c r="EW883" i="1"/>
  <c r="EV883" i="1"/>
  <c r="EU883" i="1"/>
  <c r="ET883" i="1"/>
  <c r="ES883" i="1"/>
  <c r="ER883" i="1"/>
  <c r="EQ883" i="1"/>
  <c r="EP883" i="1"/>
  <c r="EO883" i="1"/>
  <c r="EN883" i="1"/>
  <c r="EM883" i="1"/>
  <c r="EL883" i="1"/>
  <c r="EK883" i="1"/>
  <c r="EJ883" i="1"/>
  <c r="EI883" i="1"/>
  <c r="EH883" i="1"/>
  <c r="EG883" i="1"/>
  <c r="EF883" i="1"/>
  <c r="EE883" i="1"/>
  <c r="ED883" i="1"/>
  <c r="EC883" i="1"/>
  <c r="EB883" i="1"/>
  <c r="EA883" i="1"/>
  <c r="DZ883" i="1"/>
  <c r="DX883" i="1"/>
  <c r="DW883" i="1"/>
  <c r="DV883" i="1"/>
  <c r="DU883" i="1"/>
  <c r="DT883" i="1"/>
  <c r="DS883" i="1"/>
  <c r="DR883" i="1"/>
  <c r="DQ883" i="1"/>
  <c r="DP883" i="1"/>
  <c r="DO883" i="1"/>
  <c r="DN883" i="1"/>
  <c r="DM883" i="1"/>
  <c r="DL883" i="1"/>
  <c r="DK883" i="1"/>
  <c r="DJ883" i="1"/>
  <c r="DI883" i="1"/>
  <c r="DH883" i="1"/>
  <c r="DG883" i="1"/>
  <c r="DF883" i="1"/>
  <c r="DE883" i="1"/>
  <c r="DD883" i="1"/>
  <c r="DC883" i="1"/>
  <c r="DB883" i="1"/>
  <c r="DA883" i="1"/>
  <c r="CZ883" i="1"/>
  <c r="CY883" i="1"/>
  <c r="CX883" i="1"/>
  <c r="CW883" i="1"/>
  <c r="CV883" i="1"/>
  <c r="CU883" i="1"/>
  <c r="CT883" i="1"/>
  <c r="CS883" i="1"/>
  <c r="CR883" i="1"/>
  <c r="CQ883" i="1"/>
  <c r="CP883" i="1"/>
  <c r="CO883" i="1"/>
  <c r="CM883" i="1"/>
  <c r="CL883" i="1"/>
  <c r="CK883" i="1"/>
  <c r="CJ883" i="1"/>
  <c r="CI883" i="1"/>
  <c r="CH883" i="1"/>
  <c r="CG883" i="1"/>
  <c r="CF883" i="1"/>
  <c r="CE883" i="1"/>
  <c r="CD883" i="1"/>
  <c r="CC883" i="1"/>
  <c r="CB883" i="1"/>
  <c r="CA883" i="1"/>
  <c r="BZ883" i="1"/>
  <c r="BY883" i="1"/>
  <c r="BX883" i="1"/>
  <c r="BW883" i="1"/>
  <c r="BV883" i="1"/>
  <c r="BU883" i="1"/>
  <c r="BT883" i="1"/>
  <c r="BS883" i="1"/>
  <c r="BR883" i="1"/>
  <c r="BQ883" i="1"/>
  <c r="BP883" i="1"/>
  <c r="BO883" i="1"/>
  <c r="BN883" i="1"/>
  <c r="BM883" i="1"/>
  <c r="BL883" i="1"/>
  <c r="BK883" i="1"/>
  <c r="BJ883" i="1"/>
  <c r="BI883" i="1"/>
  <c r="BH883" i="1"/>
  <c r="BG883" i="1"/>
  <c r="BF883" i="1"/>
  <c r="BE883" i="1"/>
  <c r="BD883" i="1"/>
  <c r="BB883" i="1"/>
  <c r="BA883" i="1"/>
  <c r="AZ883" i="1"/>
  <c r="AY883" i="1"/>
  <c r="AX883" i="1"/>
  <c r="AW883" i="1"/>
  <c r="AV883" i="1"/>
  <c r="AU883" i="1"/>
  <c r="AT883" i="1"/>
  <c r="AS883" i="1"/>
  <c r="AR883" i="1"/>
  <c r="AQ883" i="1"/>
  <c r="AP883" i="1"/>
  <c r="AO883" i="1"/>
  <c r="AN883" i="1"/>
  <c r="AM883" i="1"/>
  <c r="AL883" i="1"/>
  <c r="AK883" i="1"/>
  <c r="AJ883" i="1"/>
  <c r="AI883" i="1"/>
  <c r="AH883" i="1"/>
  <c r="AG883" i="1"/>
  <c r="AF883" i="1"/>
  <c r="AE883" i="1"/>
  <c r="AD883" i="1"/>
  <c r="AC883" i="1"/>
  <c r="AB883" i="1"/>
  <c r="AA883" i="1"/>
  <c r="Z883" i="1"/>
  <c r="Y883" i="1"/>
  <c r="X883" i="1"/>
  <c r="W883" i="1"/>
  <c r="V883" i="1"/>
  <c r="U883" i="1"/>
  <c r="T883" i="1"/>
  <c r="S883" i="1"/>
  <c r="Q883" i="1"/>
  <c r="P883" i="1"/>
  <c r="O883" i="1"/>
  <c r="N883" i="1"/>
  <c r="M883" i="1"/>
  <c r="L883" i="1"/>
  <c r="K883" i="1"/>
  <c r="J883" i="1"/>
  <c r="I883" i="1"/>
  <c r="H883" i="1"/>
  <c r="Q878" i="1"/>
  <c r="P878" i="1"/>
  <c r="O878" i="1"/>
  <c r="N878" i="1"/>
  <c r="M878" i="1"/>
  <c r="L878" i="1"/>
  <c r="K878" i="1"/>
  <c r="J878" i="1"/>
  <c r="I878" i="1"/>
  <c r="H878" i="1"/>
  <c r="Q874" i="1"/>
  <c r="P874" i="1"/>
  <c r="O874" i="1"/>
  <c r="N874" i="1"/>
  <c r="M874" i="1"/>
  <c r="L874" i="1"/>
  <c r="K874" i="1"/>
  <c r="J874" i="1"/>
  <c r="I874" i="1"/>
  <c r="H874" i="1"/>
  <c r="I841" i="1"/>
  <c r="H841" i="1"/>
  <c r="BB840" i="1"/>
  <c r="BA840" i="1"/>
  <c r="AZ840" i="1"/>
  <c r="AY840" i="1"/>
  <c r="AX840" i="1"/>
  <c r="AW840" i="1"/>
  <c r="AV840" i="1"/>
  <c r="AU840" i="1"/>
  <c r="AT840" i="1"/>
  <c r="AS840" i="1"/>
  <c r="AR840" i="1"/>
  <c r="AQ840" i="1"/>
  <c r="AP840" i="1"/>
  <c r="AO840" i="1"/>
  <c r="AN840" i="1"/>
  <c r="AM840" i="1"/>
  <c r="AL840" i="1"/>
  <c r="AK840" i="1"/>
  <c r="AJ840" i="1"/>
  <c r="AI840" i="1"/>
  <c r="AH840" i="1"/>
  <c r="AG840" i="1"/>
  <c r="AF840" i="1"/>
  <c r="AE840" i="1"/>
  <c r="AD840" i="1"/>
  <c r="AC840" i="1"/>
  <c r="AB840" i="1"/>
  <c r="AA840" i="1"/>
  <c r="Z840" i="1"/>
  <c r="Y840" i="1"/>
  <c r="M840" i="1"/>
  <c r="L840" i="1"/>
  <c r="K840" i="1"/>
  <c r="J840" i="1"/>
  <c r="I840" i="1"/>
  <c r="H840" i="1"/>
  <c r="BB839" i="1"/>
  <c r="BA839" i="1"/>
  <c r="AZ839" i="1"/>
  <c r="AY839" i="1"/>
  <c r="AX839" i="1"/>
  <c r="AW839" i="1"/>
  <c r="AV839" i="1"/>
  <c r="AU839" i="1"/>
  <c r="AT839" i="1"/>
  <c r="AS839" i="1"/>
  <c r="AR839" i="1"/>
  <c r="AQ839" i="1"/>
  <c r="AP839" i="1"/>
  <c r="AO839" i="1"/>
  <c r="AN839" i="1"/>
  <c r="AM839" i="1"/>
  <c r="AL839" i="1"/>
  <c r="AK839" i="1"/>
  <c r="AJ839" i="1"/>
  <c r="AI839" i="1"/>
  <c r="AH839" i="1"/>
  <c r="AG839" i="1"/>
  <c r="AF839" i="1"/>
  <c r="AE839" i="1"/>
  <c r="AD839" i="1"/>
  <c r="AC839" i="1"/>
  <c r="AB839" i="1"/>
  <c r="AA839" i="1"/>
  <c r="Z839" i="1"/>
  <c r="Y839" i="1"/>
  <c r="M839" i="1"/>
  <c r="L839" i="1"/>
  <c r="K839" i="1"/>
  <c r="J839" i="1"/>
  <c r="I839" i="1"/>
  <c r="H839" i="1"/>
  <c r="BB838" i="1"/>
  <c r="BA838" i="1"/>
  <c r="AZ838" i="1"/>
  <c r="AY838" i="1"/>
  <c r="AX838" i="1"/>
  <c r="AW838" i="1"/>
  <c r="AV838" i="1"/>
  <c r="AU838" i="1"/>
  <c r="AT838" i="1"/>
  <c r="AS838" i="1"/>
  <c r="AR838" i="1"/>
  <c r="AQ838" i="1"/>
  <c r="AP838" i="1"/>
  <c r="AO838" i="1"/>
  <c r="AN838" i="1"/>
  <c r="AM838" i="1"/>
  <c r="AL838" i="1"/>
  <c r="AK838" i="1"/>
  <c r="AJ838" i="1"/>
  <c r="AI838" i="1"/>
  <c r="AH838" i="1"/>
  <c r="AG838" i="1"/>
  <c r="AF838" i="1"/>
  <c r="AE838" i="1"/>
  <c r="AD838" i="1"/>
  <c r="AC838" i="1"/>
  <c r="AB838" i="1"/>
  <c r="AA838" i="1"/>
  <c r="Z838" i="1"/>
  <c r="Y838" i="1"/>
  <c r="M838" i="1"/>
  <c r="L838" i="1"/>
  <c r="K838" i="1"/>
  <c r="J838" i="1"/>
  <c r="I838" i="1"/>
  <c r="H838" i="1"/>
  <c r="BB837" i="1"/>
  <c r="BA837" i="1"/>
  <c r="AZ837" i="1"/>
  <c r="AY837" i="1"/>
  <c r="AX837" i="1"/>
  <c r="AW837" i="1"/>
  <c r="AV837" i="1"/>
  <c r="AU837" i="1"/>
  <c r="AT837" i="1"/>
  <c r="AS837" i="1"/>
  <c r="AR837" i="1"/>
  <c r="AQ837" i="1"/>
  <c r="AP837" i="1"/>
  <c r="AO837" i="1"/>
  <c r="AN837" i="1"/>
  <c r="AM837" i="1"/>
  <c r="AL837" i="1"/>
  <c r="AK837" i="1"/>
  <c r="AJ837" i="1"/>
  <c r="AI837" i="1"/>
  <c r="AH837" i="1"/>
  <c r="AG837" i="1"/>
  <c r="AF837" i="1"/>
  <c r="AE837" i="1"/>
  <c r="AD837" i="1"/>
  <c r="AC837" i="1"/>
  <c r="AB837" i="1"/>
  <c r="AA837" i="1"/>
  <c r="Z837" i="1"/>
  <c r="Y837" i="1"/>
  <c r="M837" i="1"/>
  <c r="L837" i="1"/>
  <c r="K837" i="1"/>
  <c r="J837" i="1"/>
  <c r="I837" i="1"/>
  <c r="H837" i="1"/>
  <c r="BB836" i="1"/>
  <c r="BA836" i="1"/>
  <c r="AZ836" i="1"/>
  <c r="AY836" i="1"/>
  <c r="AX836" i="1"/>
  <c r="AW836" i="1"/>
  <c r="AV836" i="1"/>
  <c r="AU836" i="1"/>
  <c r="AT836" i="1"/>
  <c r="AS836" i="1"/>
  <c r="AR836" i="1"/>
  <c r="AQ836" i="1"/>
  <c r="AP836" i="1"/>
  <c r="AO836" i="1"/>
  <c r="AN836" i="1"/>
  <c r="AM836" i="1"/>
  <c r="AL836" i="1"/>
  <c r="AK836" i="1"/>
  <c r="AJ836" i="1"/>
  <c r="AI836" i="1"/>
  <c r="AH836" i="1"/>
  <c r="AG836" i="1"/>
  <c r="AF836" i="1"/>
  <c r="AE836" i="1"/>
  <c r="AD836" i="1"/>
  <c r="AC836" i="1"/>
  <c r="AB836" i="1"/>
  <c r="AA836" i="1"/>
  <c r="Z836" i="1"/>
  <c r="Y836" i="1"/>
  <c r="M836" i="1"/>
  <c r="L836" i="1"/>
  <c r="K836" i="1"/>
  <c r="J836" i="1"/>
  <c r="I836" i="1"/>
  <c r="H836" i="1"/>
  <c r="BB835" i="1"/>
  <c r="BA835" i="1"/>
  <c r="AZ835" i="1"/>
  <c r="AY835" i="1"/>
  <c r="AX835" i="1"/>
  <c r="AW835" i="1"/>
  <c r="AV835" i="1"/>
  <c r="AU835" i="1"/>
  <c r="AT835" i="1"/>
  <c r="AS835" i="1"/>
  <c r="AR835" i="1"/>
  <c r="AQ835" i="1"/>
  <c r="AP835" i="1"/>
  <c r="AO835" i="1"/>
  <c r="AN835" i="1"/>
  <c r="AM835" i="1"/>
  <c r="AL835" i="1"/>
  <c r="AK835" i="1"/>
  <c r="AJ835" i="1"/>
  <c r="AI835" i="1"/>
  <c r="AH835" i="1"/>
  <c r="AG835" i="1"/>
  <c r="AF835" i="1"/>
  <c r="AE835" i="1"/>
  <c r="AD835" i="1"/>
  <c r="AC835" i="1"/>
  <c r="AB835" i="1"/>
  <c r="AA835" i="1"/>
  <c r="Z835" i="1"/>
  <c r="Y835" i="1"/>
  <c r="M835" i="1"/>
  <c r="L835" i="1"/>
  <c r="K835" i="1"/>
  <c r="J835" i="1"/>
  <c r="I835" i="1"/>
  <c r="H835" i="1"/>
  <c r="BB834" i="1"/>
  <c r="BA834" i="1"/>
  <c r="AZ834" i="1"/>
  <c r="AY834" i="1"/>
  <c r="AX834" i="1"/>
  <c r="AW834" i="1"/>
  <c r="AV834" i="1"/>
  <c r="AU834" i="1"/>
  <c r="AT834" i="1"/>
  <c r="AS834" i="1"/>
  <c r="AR834" i="1"/>
  <c r="AQ834" i="1"/>
  <c r="AP834" i="1"/>
  <c r="AO834" i="1"/>
  <c r="AN834" i="1"/>
  <c r="AM834" i="1"/>
  <c r="AL834" i="1"/>
  <c r="AK834" i="1"/>
  <c r="AJ834" i="1"/>
  <c r="AI834" i="1"/>
  <c r="AH834" i="1"/>
  <c r="AG834" i="1"/>
  <c r="AF834" i="1"/>
  <c r="AE834" i="1"/>
  <c r="AD834" i="1"/>
  <c r="AC834" i="1"/>
  <c r="AB834" i="1"/>
  <c r="AA834" i="1"/>
  <c r="Z834" i="1"/>
  <c r="Y834" i="1"/>
  <c r="M834" i="1"/>
  <c r="L834" i="1"/>
  <c r="K834" i="1"/>
  <c r="J834" i="1"/>
  <c r="I834" i="1"/>
  <c r="H834" i="1"/>
  <c r="I833" i="1"/>
  <c r="BB832" i="1"/>
  <c r="BA832" i="1"/>
  <c r="AZ832" i="1"/>
  <c r="AY832" i="1"/>
  <c r="AX832" i="1"/>
  <c r="AW832" i="1"/>
  <c r="AV832" i="1"/>
  <c r="AU832" i="1"/>
  <c r="AT832" i="1"/>
  <c r="AS832" i="1"/>
  <c r="AR832" i="1"/>
  <c r="AQ832" i="1"/>
  <c r="AP832" i="1"/>
  <c r="AO832" i="1"/>
  <c r="AN832" i="1"/>
  <c r="AM832" i="1"/>
  <c r="AL832" i="1"/>
  <c r="AK832" i="1"/>
  <c r="AJ832" i="1"/>
  <c r="AI832" i="1"/>
  <c r="AH832" i="1"/>
  <c r="AG832" i="1"/>
  <c r="AF832" i="1"/>
  <c r="AE832" i="1"/>
  <c r="AD832" i="1"/>
  <c r="AC832" i="1"/>
  <c r="AB832" i="1"/>
  <c r="AA832" i="1"/>
  <c r="Z832" i="1"/>
  <c r="Y832" i="1"/>
  <c r="X832" i="1"/>
  <c r="W832" i="1"/>
  <c r="V832" i="1"/>
  <c r="U832" i="1"/>
  <c r="T832" i="1"/>
  <c r="S832" i="1"/>
  <c r="ML814" i="1"/>
  <c r="MK814" i="1"/>
  <c r="MK816" i="1" s="1"/>
  <c r="MJ814" i="1"/>
  <c r="MI814" i="1"/>
  <c r="MH814" i="1"/>
  <c r="MH816" i="1" s="1"/>
  <c r="MG814" i="1"/>
  <c r="MG816" i="1" s="1"/>
  <c r="MF814" i="1"/>
  <c r="ME814" i="1"/>
  <c r="MD814" i="1"/>
  <c r="MC814" i="1"/>
  <c r="MC816" i="1" s="1"/>
  <c r="MB814" i="1"/>
  <c r="MA814" i="1"/>
  <c r="LZ814" i="1"/>
  <c r="LY814" i="1"/>
  <c r="LY816" i="1" s="1"/>
  <c r="LX814" i="1"/>
  <c r="LX816" i="1" s="1"/>
  <c r="LW814" i="1"/>
  <c r="LW816" i="1" s="1"/>
  <c r="LV814" i="1"/>
  <c r="LV816" i="1" s="1"/>
  <c r="LU814" i="1"/>
  <c r="LU816" i="1" s="1"/>
  <c r="LT814" i="1"/>
  <c r="LT816" i="1" s="1"/>
  <c r="LS814" i="1"/>
  <c r="LS816" i="1" s="1"/>
  <c r="LR814" i="1"/>
  <c r="LQ814" i="1"/>
  <c r="LQ816" i="1" s="1"/>
  <c r="LP814" i="1"/>
  <c r="LO814" i="1"/>
  <c r="LO816" i="1" s="1"/>
  <c r="LN814" i="1"/>
  <c r="LM814" i="1"/>
  <c r="LM816" i="1" s="1"/>
  <c r="LL814" i="1"/>
  <c r="LL816" i="1" s="1"/>
  <c r="LK814" i="1"/>
  <c r="LJ814" i="1"/>
  <c r="LI814" i="1"/>
  <c r="LH814" i="1"/>
  <c r="LG814" i="1"/>
  <c r="LF814" i="1"/>
  <c r="LE814" i="1"/>
  <c r="LD814" i="1"/>
  <c r="LC814" i="1"/>
  <c r="LA814" i="1"/>
  <c r="KZ814" i="1"/>
  <c r="KY814" i="1"/>
  <c r="KX814" i="1"/>
  <c r="KW814" i="1"/>
  <c r="KV814" i="1"/>
  <c r="KU814" i="1"/>
  <c r="KT814" i="1"/>
  <c r="KS814" i="1"/>
  <c r="KR814" i="1"/>
  <c r="KQ814" i="1"/>
  <c r="KP814" i="1"/>
  <c r="KO814" i="1"/>
  <c r="KN814" i="1"/>
  <c r="KM814" i="1"/>
  <c r="KL814" i="1"/>
  <c r="KK814" i="1"/>
  <c r="KJ814" i="1"/>
  <c r="KI814" i="1"/>
  <c r="KH814" i="1"/>
  <c r="KG814" i="1"/>
  <c r="KG816" i="1" s="1"/>
  <c r="KF814" i="1"/>
  <c r="KE814" i="1"/>
  <c r="KD814" i="1"/>
  <c r="KC814" i="1"/>
  <c r="KC816" i="1" s="1"/>
  <c r="KB814" i="1"/>
  <c r="KA814" i="1"/>
  <c r="JZ814" i="1"/>
  <c r="JY814" i="1"/>
  <c r="JX814" i="1"/>
  <c r="JW814" i="1"/>
  <c r="JV814" i="1"/>
  <c r="JU814" i="1"/>
  <c r="JT814" i="1"/>
  <c r="JS814" i="1"/>
  <c r="JR814" i="1"/>
  <c r="JP814" i="1"/>
  <c r="JO814" i="1"/>
  <c r="JN814" i="1"/>
  <c r="JM814" i="1"/>
  <c r="JL814" i="1"/>
  <c r="JK814" i="1"/>
  <c r="JJ814" i="1"/>
  <c r="JI814" i="1"/>
  <c r="JH814" i="1"/>
  <c r="JG814" i="1"/>
  <c r="JF814" i="1"/>
  <c r="JE814" i="1"/>
  <c r="JD814" i="1"/>
  <c r="JC814" i="1"/>
  <c r="JB814" i="1"/>
  <c r="JA814" i="1"/>
  <c r="IZ814" i="1"/>
  <c r="IY814" i="1"/>
  <c r="IX814" i="1"/>
  <c r="IW814" i="1"/>
  <c r="IV814" i="1"/>
  <c r="IU814" i="1"/>
  <c r="IT814" i="1"/>
  <c r="IS814" i="1"/>
  <c r="IR814" i="1"/>
  <c r="IQ814" i="1"/>
  <c r="IP814" i="1"/>
  <c r="IO814" i="1"/>
  <c r="IN814" i="1"/>
  <c r="IM814" i="1"/>
  <c r="IL814" i="1"/>
  <c r="IK814" i="1"/>
  <c r="IJ814" i="1"/>
  <c r="II814" i="1"/>
  <c r="IH814" i="1"/>
  <c r="IG814" i="1"/>
  <c r="IE814" i="1"/>
  <c r="ID814" i="1"/>
  <c r="IC814" i="1"/>
  <c r="IB814" i="1"/>
  <c r="IA814" i="1"/>
  <c r="HZ814" i="1"/>
  <c r="HY814" i="1"/>
  <c r="HX814" i="1"/>
  <c r="HW814" i="1"/>
  <c r="HV814" i="1"/>
  <c r="HU814" i="1"/>
  <c r="HT814" i="1"/>
  <c r="HS814" i="1"/>
  <c r="HR814" i="1"/>
  <c r="HQ814" i="1"/>
  <c r="HP814" i="1"/>
  <c r="HO814" i="1"/>
  <c r="HN814" i="1"/>
  <c r="HM814" i="1"/>
  <c r="HL814" i="1"/>
  <c r="HK814" i="1"/>
  <c r="HJ814" i="1"/>
  <c r="HI814" i="1"/>
  <c r="HH814" i="1"/>
  <c r="HG814" i="1"/>
  <c r="HF814" i="1"/>
  <c r="HE814" i="1"/>
  <c r="HD814" i="1"/>
  <c r="HC814" i="1"/>
  <c r="HB814" i="1"/>
  <c r="HA814" i="1"/>
  <c r="GZ814" i="1"/>
  <c r="GY814" i="1"/>
  <c r="GX814" i="1"/>
  <c r="GW814" i="1"/>
  <c r="GV814" i="1"/>
  <c r="GT814" i="1"/>
  <c r="GS814" i="1"/>
  <c r="GR814" i="1"/>
  <c r="GQ814" i="1"/>
  <c r="GP814" i="1"/>
  <c r="GO814" i="1"/>
  <c r="GN814" i="1"/>
  <c r="GM814" i="1"/>
  <c r="GL814" i="1"/>
  <c r="GK814" i="1"/>
  <c r="GJ814" i="1"/>
  <c r="GI814" i="1"/>
  <c r="GH814" i="1"/>
  <c r="GG814" i="1"/>
  <c r="GF814" i="1"/>
  <c r="GE814" i="1"/>
  <c r="GD814" i="1"/>
  <c r="GC814" i="1"/>
  <c r="GB814" i="1"/>
  <c r="GA814" i="1"/>
  <c r="FZ814" i="1"/>
  <c r="FY814" i="1"/>
  <c r="FX814" i="1"/>
  <c r="FW814" i="1"/>
  <c r="FV814" i="1"/>
  <c r="FU814" i="1"/>
  <c r="FT814" i="1"/>
  <c r="FS814" i="1"/>
  <c r="FR814" i="1"/>
  <c r="FQ814" i="1"/>
  <c r="FP814" i="1"/>
  <c r="FO814" i="1"/>
  <c r="FN814" i="1"/>
  <c r="FM814" i="1"/>
  <c r="FL814" i="1"/>
  <c r="FK814" i="1"/>
  <c r="FI814" i="1"/>
  <c r="FH814" i="1"/>
  <c r="FG814" i="1"/>
  <c r="FF814" i="1"/>
  <c r="FE814" i="1"/>
  <c r="FD814" i="1"/>
  <c r="FC814" i="1"/>
  <c r="FB814" i="1"/>
  <c r="FA814" i="1"/>
  <c r="EZ814" i="1"/>
  <c r="EY814" i="1"/>
  <c r="EX814" i="1"/>
  <c r="EW814" i="1"/>
  <c r="EV814" i="1"/>
  <c r="EU814" i="1"/>
  <c r="ET814" i="1"/>
  <c r="ES814" i="1"/>
  <c r="ER814" i="1"/>
  <c r="EQ814" i="1"/>
  <c r="EP814" i="1"/>
  <c r="EO814" i="1"/>
  <c r="EN814" i="1"/>
  <c r="EM814" i="1"/>
  <c r="EL814" i="1"/>
  <c r="EK814" i="1"/>
  <c r="EJ814" i="1"/>
  <c r="EI814" i="1"/>
  <c r="EH814" i="1"/>
  <c r="EG814" i="1"/>
  <c r="EF814" i="1"/>
  <c r="EE814" i="1"/>
  <c r="ED814" i="1"/>
  <c r="EC814" i="1"/>
  <c r="EB814" i="1"/>
  <c r="EA814" i="1"/>
  <c r="DZ814" i="1"/>
  <c r="DX814" i="1"/>
  <c r="DW814" i="1"/>
  <c r="DV814" i="1"/>
  <c r="DU814" i="1"/>
  <c r="DT814" i="1"/>
  <c r="DS814" i="1"/>
  <c r="DR814" i="1"/>
  <c r="DQ814" i="1"/>
  <c r="DP814" i="1"/>
  <c r="DO814" i="1"/>
  <c r="DN814" i="1"/>
  <c r="DM814" i="1"/>
  <c r="DL814" i="1"/>
  <c r="DK814" i="1"/>
  <c r="DJ814" i="1"/>
  <c r="DI814" i="1"/>
  <c r="DH814" i="1"/>
  <c r="DG814" i="1"/>
  <c r="DF814" i="1"/>
  <c r="DE814" i="1"/>
  <c r="DD814" i="1"/>
  <c r="DC814" i="1"/>
  <c r="DB814" i="1"/>
  <c r="DA814" i="1"/>
  <c r="CZ814" i="1"/>
  <c r="CY814" i="1"/>
  <c r="CX814" i="1"/>
  <c r="CW814" i="1"/>
  <c r="CV814" i="1"/>
  <c r="CU814" i="1"/>
  <c r="CT814" i="1"/>
  <c r="CS814" i="1"/>
  <c r="CR814" i="1"/>
  <c r="CQ814" i="1"/>
  <c r="CP814" i="1"/>
  <c r="CO814" i="1"/>
  <c r="CM814" i="1"/>
  <c r="CL814" i="1"/>
  <c r="CK814" i="1"/>
  <c r="CJ814" i="1"/>
  <c r="CI814" i="1"/>
  <c r="CH814" i="1"/>
  <c r="CG814" i="1"/>
  <c r="CF814" i="1"/>
  <c r="CE814" i="1"/>
  <c r="CD814" i="1"/>
  <c r="CC814" i="1"/>
  <c r="CB814" i="1"/>
  <c r="CA814" i="1"/>
  <c r="BZ814" i="1"/>
  <c r="BY814" i="1"/>
  <c r="BX814" i="1"/>
  <c r="BW814" i="1"/>
  <c r="BV814" i="1"/>
  <c r="BU814" i="1"/>
  <c r="BT814" i="1"/>
  <c r="BS814" i="1"/>
  <c r="BR814" i="1"/>
  <c r="BQ814" i="1"/>
  <c r="BP814" i="1"/>
  <c r="BO814" i="1"/>
  <c r="BN814" i="1"/>
  <c r="BM814" i="1"/>
  <c r="BL814" i="1"/>
  <c r="BK814" i="1"/>
  <c r="BJ814" i="1"/>
  <c r="BI814" i="1"/>
  <c r="BH814" i="1"/>
  <c r="BG814" i="1"/>
  <c r="BF814" i="1"/>
  <c r="BE814" i="1"/>
  <c r="BD814" i="1"/>
  <c r="BB814" i="1"/>
  <c r="BA814" i="1"/>
  <c r="AZ814" i="1"/>
  <c r="AY814" i="1"/>
  <c r="AX814" i="1"/>
  <c r="AW814" i="1"/>
  <c r="AV814" i="1"/>
  <c r="AU814" i="1"/>
  <c r="AT814" i="1"/>
  <c r="AS814" i="1"/>
  <c r="AR814" i="1"/>
  <c r="AQ814" i="1"/>
  <c r="AP814" i="1"/>
  <c r="AO814" i="1"/>
  <c r="AN814" i="1"/>
  <c r="AM814" i="1"/>
  <c r="AL814" i="1"/>
  <c r="AK814" i="1"/>
  <c r="AJ814" i="1"/>
  <c r="AI814" i="1"/>
  <c r="AH814" i="1"/>
  <c r="AG814" i="1"/>
  <c r="AF814" i="1"/>
  <c r="AE814" i="1"/>
  <c r="AD814" i="1"/>
  <c r="AC814" i="1"/>
  <c r="AB814" i="1"/>
  <c r="AA814" i="1"/>
  <c r="Z814" i="1"/>
  <c r="Y814" i="1"/>
  <c r="X814" i="1"/>
  <c r="W814" i="1"/>
  <c r="V814" i="1"/>
  <c r="U814" i="1"/>
  <c r="T814" i="1"/>
  <c r="S814" i="1"/>
  <c r="Q814" i="1"/>
  <c r="P814" i="1"/>
  <c r="O814" i="1"/>
  <c r="N814" i="1"/>
  <c r="M814" i="1"/>
  <c r="L814" i="1"/>
  <c r="K814" i="1"/>
  <c r="J814" i="1"/>
  <c r="I814" i="1"/>
  <c r="H814" i="1"/>
  <c r="AA790" i="1"/>
  <c r="Z790" i="1"/>
  <c r="Y790" i="1"/>
  <c r="I790" i="1"/>
  <c r="H790" i="1"/>
  <c r="AA789" i="1"/>
  <c r="Z789" i="1"/>
  <c r="Y789" i="1"/>
  <c r="I789" i="1"/>
  <c r="H789" i="1"/>
  <c r="H788" i="1"/>
  <c r="H787" i="1"/>
  <c r="H786" i="1"/>
  <c r="H785" i="1"/>
  <c r="H784" i="1"/>
  <c r="H783" i="1"/>
  <c r="E782" i="1"/>
  <c r="BB781" i="1"/>
  <c r="BA781" i="1"/>
  <c r="AZ781" i="1"/>
  <c r="AY781" i="1"/>
  <c r="AX781" i="1"/>
  <c r="AW781" i="1"/>
  <c r="AV781" i="1"/>
  <c r="AU781" i="1"/>
  <c r="AT781" i="1"/>
  <c r="AS781" i="1"/>
  <c r="AR781" i="1"/>
  <c r="AQ781" i="1"/>
  <c r="AP781" i="1"/>
  <c r="AO781" i="1"/>
  <c r="AN781" i="1"/>
  <c r="AM781" i="1"/>
  <c r="AL781" i="1"/>
  <c r="AK781" i="1"/>
  <c r="AJ781" i="1"/>
  <c r="AI781" i="1"/>
  <c r="AH781" i="1"/>
  <c r="AG781" i="1"/>
  <c r="AF781" i="1"/>
  <c r="AE781" i="1"/>
  <c r="AD781" i="1"/>
  <c r="AC781" i="1"/>
  <c r="AB781" i="1"/>
  <c r="AA781" i="1"/>
  <c r="Z781" i="1"/>
  <c r="Y781" i="1"/>
  <c r="X781" i="1"/>
  <c r="W781" i="1"/>
  <c r="V781" i="1"/>
  <c r="U781" i="1"/>
  <c r="T781" i="1"/>
  <c r="S781" i="1"/>
  <c r="C780" i="1"/>
  <c r="HA776" i="1"/>
  <c r="FP776" i="1"/>
  <c r="EE776" i="1"/>
  <c r="CT776" i="1"/>
  <c r="BI776" i="1"/>
  <c r="HA775" i="1"/>
  <c r="FP775" i="1"/>
  <c r="EE775" i="1"/>
  <c r="CT775" i="1"/>
  <c r="BI775" i="1"/>
  <c r="HA774" i="1"/>
  <c r="FP774" i="1"/>
  <c r="EE774" i="1"/>
  <c r="CT774" i="1"/>
  <c r="BI774" i="1"/>
  <c r="M774" i="1"/>
  <c r="L774" i="1"/>
  <c r="K774" i="1"/>
  <c r="J774" i="1"/>
  <c r="I774" i="1"/>
  <c r="H774" i="1"/>
  <c r="HA772" i="1"/>
  <c r="FP772" i="1"/>
  <c r="EE772" i="1"/>
  <c r="CT772" i="1"/>
  <c r="BI772" i="1"/>
  <c r="HA771" i="1"/>
  <c r="FP771" i="1"/>
  <c r="EE771" i="1"/>
  <c r="CT771" i="1"/>
  <c r="BI771" i="1"/>
  <c r="HA770" i="1"/>
  <c r="FP770" i="1"/>
  <c r="EE770" i="1"/>
  <c r="CT770" i="1"/>
  <c r="BI770" i="1"/>
  <c r="HA769" i="1"/>
  <c r="FP769" i="1"/>
  <c r="EE769" i="1"/>
  <c r="CT769" i="1"/>
  <c r="BI769" i="1"/>
  <c r="HA768" i="1"/>
  <c r="FP768" i="1"/>
  <c r="EE768" i="1"/>
  <c r="CT768" i="1"/>
  <c r="BI768" i="1"/>
  <c r="HA767" i="1"/>
  <c r="FP767" i="1"/>
  <c r="EE767" i="1"/>
  <c r="CT767" i="1"/>
  <c r="BI767" i="1"/>
  <c r="HA766" i="1"/>
  <c r="FP766" i="1"/>
  <c r="EE766" i="1"/>
  <c r="CT766" i="1"/>
  <c r="BI766" i="1"/>
  <c r="HA765" i="1"/>
  <c r="FP765" i="1"/>
  <c r="EE765" i="1"/>
  <c r="CT765" i="1"/>
  <c r="BI765" i="1"/>
  <c r="ML763" i="1"/>
  <c r="MK763" i="1"/>
  <c r="MJ763" i="1"/>
  <c r="MI763" i="1"/>
  <c r="MH763" i="1"/>
  <c r="MG763" i="1"/>
  <c r="MF763" i="1"/>
  <c r="ME763" i="1"/>
  <c r="MD763" i="1"/>
  <c r="MC763" i="1"/>
  <c r="MB763" i="1"/>
  <c r="MA763" i="1"/>
  <c r="LZ763" i="1"/>
  <c r="LY763" i="1"/>
  <c r="LX763" i="1"/>
  <c r="LW763" i="1"/>
  <c r="LV763" i="1"/>
  <c r="LU763" i="1"/>
  <c r="LT763" i="1"/>
  <c r="LS763" i="1"/>
  <c r="LR763" i="1"/>
  <c r="LQ763" i="1"/>
  <c r="LP763" i="1"/>
  <c r="LO763" i="1"/>
  <c r="LN763" i="1"/>
  <c r="LM763" i="1"/>
  <c r="LL763" i="1"/>
  <c r="LK763" i="1"/>
  <c r="LJ763" i="1"/>
  <c r="LI763" i="1"/>
  <c r="LH763" i="1"/>
  <c r="LG763" i="1"/>
  <c r="LF763" i="1"/>
  <c r="LE763" i="1"/>
  <c r="LD763" i="1"/>
  <c r="LC763" i="1"/>
  <c r="LA763" i="1"/>
  <c r="KZ763" i="1"/>
  <c r="KY763" i="1"/>
  <c r="KX763" i="1"/>
  <c r="KW763" i="1"/>
  <c r="KV763" i="1"/>
  <c r="KU763" i="1"/>
  <c r="KT763" i="1"/>
  <c r="KS763" i="1"/>
  <c r="KR763" i="1"/>
  <c r="KQ763" i="1"/>
  <c r="KP763" i="1"/>
  <c r="KO763" i="1"/>
  <c r="KN763" i="1"/>
  <c r="KM763" i="1"/>
  <c r="KL763" i="1"/>
  <c r="KK763" i="1"/>
  <c r="KJ763" i="1"/>
  <c r="KI763" i="1"/>
  <c r="KH763" i="1"/>
  <c r="KG763" i="1"/>
  <c r="KF763" i="1"/>
  <c r="KE763" i="1"/>
  <c r="KD763" i="1"/>
  <c r="KC763" i="1"/>
  <c r="KB763" i="1"/>
  <c r="KA763" i="1"/>
  <c r="JZ763" i="1"/>
  <c r="JY763" i="1"/>
  <c r="JX763" i="1"/>
  <c r="JW763" i="1"/>
  <c r="JV763" i="1"/>
  <c r="JU763" i="1"/>
  <c r="JT763" i="1"/>
  <c r="JS763" i="1"/>
  <c r="JR763" i="1"/>
  <c r="JP763" i="1"/>
  <c r="JO763" i="1"/>
  <c r="JN763" i="1"/>
  <c r="JM763" i="1"/>
  <c r="JL763" i="1"/>
  <c r="JK763" i="1"/>
  <c r="JJ763" i="1"/>
  <c r="JI763" i="1"/>
  <c r="JH763" i="1"/>
  <c r="JG763" i="1"/>
  <c r="JF763" i="1"/>
  <c r="JE763" i="1"/>
  <c r="JD763" i="1"/>
  <c r="JC763" i="1"/>
  <c r="JB763" i="1"/>
  <c r="JA763" i="1"/>
  <c r="IZ763" i="1"/>
  <c r="IY763" i="1"/>
  <c r="IX763" i="1"/>
  <c r="IW763" i="1"/>
  <c r="IV763" i="1"/>
  <c r="IU763" i="1"/>
  <c r="IT763" i="1"/>
  <c r="IS763" i="1"/>
  <c r="IR763" i="1"/>
  <c r="IQ763" i="1"/>
  <c r="IP763" i="1"/>
  <c r="IO763" i="1"/>
  <c r="IN763" i="1"/>
  <c r="IM763" i="1"/>
  <c r="IL763" i="1"/>
  <c r="IK763" i="1"/>
  <c r="IJ763" i="1"/>
  <c r="II763" i="1"/>
  <c r="IH763" i="1"/>
  <c r="IG763" i="1"/>
  <c r="IE763" i="1"/>
  <c r="ID763" i="1"/>
  <c r="IC763" i="1"/>
  <c r="IB763" i="1"/>
  <c r="IA763" i="1"/>
  <c r="HZ763" i="1"/>
  <c r="HY763" i="1"/>
  <c r="HX763" i="1"/>
  <c r="HW763" i="1"/>
  <c r="HV763" i="1"/>
  <c r="HU763" i="1"/>
  <c r="HT763" i="1"/>
  <c r="HS763" i="1"/>
  <c r="HR763" i="1"/>
  <c r="HQ763" i="1"/>
  <c r="HP763" i="1"/>
  <c r="HO763" i="1"/>
  <c r="HN763" i="1"/>
  <c r="HM763" i="1"/>
  <c r="HL763" i="1"/>
  <c r="HK763" i="1"/>
  <c r="HJ763" i="1"/>
  <c r="HI763" i="1"/>
  <c r="HH763" i="1"/>
  <c r="HG763" i="1"/>
  <c r="HF763" i="1"/>
  <c r="HE763" i="1"/>
  <c r="HD763" i="1"/>
  <c r="HC763" i="1"/>
  <c r="HB763" i="1"/>
  <c r="HA763" i="1"/>
  <c r="GZ763" i="1"/>
  <c r="GY763" i="1"/>
  <c r="GX763" i="1"/>
  <c r="GW763" i="1"/>
  <c r="GV763" i="1"/>
  <c r="GT763" i="1"/>
  <c r="GS763" i="1"/>
  <c r="GR763" i="1"/>
  <c r="GQ763" i="1"/>
  <c r="GP763" i="1"/>
  <c r="GO763" i="1"/>
  <c r="GN763" i="1"/>
  <c r="GM763" i="1"/>
  <c r="GL763" i="1"/>
  <c r="GK763" i="1"/>
  <c r="GJ763" i="1"/>
  <c r="GI763" i="1"/>
  <c r="GH763" i="1"/>
  <c r="GG763" i="1"/>
  <c r="GF763" i="1"/>
  <c r="GE763" i="1"/>
  <c r="GD763" i="1"/>
  <c r="GC763" i="1"/>
  <c r="GB763" i="1"/>
  <c r="GA763" i="1"/>
  <c r="FZ763" i="1"/>
  <c r="FY763" i="1"/>
  <c r="FX763" i="1"/>
  <c r="FW763" i="1"/>
  <c r="FV763" i="1"/>
  <c r="FU763" i="1"/>
  <c r="FT763" i="1"/>
  <c r="FS763" i="1"/>
  <c r="FR763" i="1"/>
  <c r="FQ763" i="1"/>
  <c r="FP763" i="1"/>
  <c r="FO763" i="1"/>
  <c r="FN763" i="1"/>
  <c r="FM763" i="1"/>
  <c r="FL763" i="1"/>
  <c r="FK763" i="1"/>
  <c r="FI763" i="1"/>
  <c r="FH763" i="1"/>
  <c r="FG763" i="1"/>
  <c r="FF763" i="1"/>
  <c r="FE763" i="1"/>
  <c r="FD763" i="1"/>
  <c r="FC763" i="1"/>
  <c r="FB763" i="1"/>
  <c r="FA763" i="1"/>
  <c r="EZ763" i="1"/>
  <c r="EY763" i="1"/>
  <c r="EX763" i="1"/>
  <c r="EW763" i="1"/>
  <c r="EV763" i="1"/>
  <c r="EU763" i="1"/>
  <c r="ET763" i="1"/>
  <c r="ES763" i="1"/>
  <c r="ER763" i="1"/>
  <c r="EQ763" i="1"/>
  <c r="EP763" i="1"/>
  <c r="EO763" i="1"/>
  <c r="EN763" i="1"/>
  <c r="EM763" i="1"/>
  <c r="EL763" i="1"/>
  <c r="EK763" i="1"/>
  <c r="EJ763" i="1"/>
  <c r="EI763" i="1"/>
  <c r="EH763" i="1"/>
  <c r="EG763" i="1"/>
  <c r="EF763" i="1"/>
  <c r="EE763" i="1"/>
  <c r="ED763" i="1"/>
  <c r="EC763" i="1"/>
  <c r="EB763" i="1"/>
  <c r="EA763" i="1"/>
  <c r="DZ763" i="1"/>
  <c r="DX763" i="1"/>
  <c r="DW763" i="1"/>
  <c r="DV763" i="1"/>
  <c r="DU763" i="1"/>
  <c r="DT763" i="1"/>
  <c r="DS763" i="1"/>
  <c r="DR763" i="1"/>
  <c r="DQ763" i="1"/>
  <c r="DP763" i="1"/>
  <c r="DO763" i="1"/>
  <c r="DN763" i="1"/>
  <c r="DM763" i="1"/>
  <c r="DL763" i="1"/>
  <c r="DK763" i="1"/>
  <c r="DJ763" i="1"/>
  <c r="DI763" i="1"/>
  <c r="DH763" i="1"/>
  <c r="DG763" i="1"/>
  <c r="DF763" i="1"/>
  <c r="DE763" i="1"/>
  <c r="DD763" i="1"/>
  <c r="DC763" i="1"/>
  <c r="DB763" i="1"/>
  <c r="DA763" i="1"/>
  <c r="CZ763" i="1"/>
  <c r="CY763" i="1"/>
  <c r="CX763" i="1"/>
  <c r="CW763" i="1"/>
  <c r="CV763" i="1"/>
  <c r="CU763" i="1"/>
  <c r="CT763" i="1"/>
  <c r="CS763" i="1"/>
  <c r="CR763" i="1"/>
  <c r="CQ763" i="1"/>
  <c r="CP763" i="1"/>
  <c r="CO763" i="1"/>
  <c r="CM763" i="1"/>
  <c r="CL763" i="1"/>
  <c r="CK763" i="1"/>
  <c r="CJ763" i="1"/>
  <c r="CI763" i="1"/>
  <c r="CH763" i="1"/>
  <c r="CG763" i="1"/>
  <c r="CF763" i="1"/>
  <c r="CE763" i="1"/>
  <c r="CD763" i="1"/>
  <c r="CC763" i="1"/>
  <c r="CB763" i="1"/>
  <c r="CA763" i="1"/>
  <c r="BZ763" i="1"/>
  <c r="BY763" i="1"/>
  <c r="BX763" i="1"/>
  <c r="BW763" i="1"/>
  <c r="BV763" i="1"/>
  <c r="BU763" i="1"/>
  <c r="BT763" i="1"/>
  <c r="BS763" i="1"/>
  <c r="BR763" i="1"/>
  <c r="BQ763" i="1"/>
  <c r="BP763" i="1"/>
  <c r="BO763" i="1"/>
  <c r="BN763" i="1"/>
  <c r="BM763" i="1"/>
  <c r="BL763" i="1"/>
  <c r="BK763" i="1"/>
  <c r="BJ763" i="1"/>
  <c r="BI763" i="1"/>
  <c r="BH763" i="1"/>
  <c r="BG763" i="1"/>
  <c r="BF763" i="1"/>
  <c r="BE763" i="1"/>
  <c r="BD763" i="1"/>
  <c r="BB763" i="1"/>
  <c r="BA763" i="1"/>
  <c r="AZ763" i="1"/>
  <c r="AY763" i="1"/>
  <c r="AX763" i="1"/>
  <c r="AW763" i="1"/>
  <c r="AV763" i="1"/>
  <c r="AU763" i="1"/>
  <c r="AT763" i="1"/>
  <c r="AS763" i="1"/>
  <c r="AR763" i="1"/>
  <c r="AQ763" i="1"/>
  <c r="AP763" i="1"/>
  <c r="AO763" i="1"/>
  <c r="AN763" i="1"/>
  <c r="AM763" i="1"/>
  <c r="AL763" i="1"/>
  <c r="AK763" i="1"/>
  <c r="AJ763" i="1"/>
  <c r="AI763" i="1"/>
  <c r="AH763" i="1"/>
  <c r="AG763" i="1"/>
  <c r="AF763" i="1"/>
  <c r="AE763" i="1"/>
  <c r="AD763" i="1"/>
  <c r="AC763" i="1"/>
  <c r="AB763" i="1"/>
  <c r="AA763" i="1"/>
  <c r="Z763" i="1"/>
  <c r="Y763" i="1"/>
  <c r="X763" i="1"/>
  <c r="W763" i="1"/>
  <c r="V763" i="1"/>
  <c r="U763" i="1"/>
  <c r="T763" i="1"/>
  <c r="S763" i="1"/>
  <c r="M763" i="1"/>
  <c r="L763" i="1"/>
  <c r="K763" i="1"/>
  <c r="J763" i="1"/>
  <c r="I763" i="1"/>
  <c r="H763" i="1"/>
  <c r="BB680" i="1"/>
  <c r="LA679" i="1"/>
  <c r="BB679" i="1"/>
  <c r="JP674" i="1"/>
  <c r="BB674" i="1"/>
  <c r="LR673" i="1"/>
  <c r="KG673" i="1"/>
  <c r="JP673" i="1"/>
  <c r="BB673" i="1"/>
  <c r="JP672" i="1"/>
  <c r="BB672" i="1"/>
  <c r="KY666" i="1"/>
  <c r="KI666" i="1"/>
  <c r="JY666" i="1"/>
  <c r="IX666" i="1"/>
  <c r="IN666" i="1"/>
  <c r="LA660" i="1"/>
  <c r="BB660" i="1"/>
  <c r="ML650" i="1"/>
  <c r="LR650" i="1"/>
  <c r="L698" i="1" s="1"/>
  <c r="LA650" i="1"/>
  <c r="KG650" i="1"/>
  <c r="J698" i="1" s="1"/>
  <c r="IV650" i="1"/>
  <c r="ML649" i="1"/>
  <c r="LR649" i="1"/>
  <c r="LA649" i="1"/>
  <c r="KG649" i="1"/>
  <c r="IV649" i="1"/>
  <c r="ML648" i="1"/>
  <c r="LR648" i="1"/>
  <c r="L699" i="1" s="1"/>
  <c r="LA648" i="1"/>
  <c r="KG648" i="1"/>
  <c r="J699" i="1" s="1"/>
  <c r="IV648" i="1"/>
  <c r="ML647" i="1"/>
  <c r="LR647" i="1"/>
  <c r="L696" i="1" s="1"/>
  <c r="LA647" i="1"/>
  <c r="LA696" i="1" s="1"/>
  <c r="KG647" i="1"/>
  <c r="J696" i="1" s="1"/>
  <c r="IV647" i="1"/>
  <c r="JP644" i="1"/>
  <c r="IV644" i="1"/>
  <c r="ML624" i="1"/>
  <c r="MK624" i="1"/>
  <c r="MJ624" i="1"/>
  <c r="MI624" i="1"/>
  <c r="MH624" i="1"/>
  <c r="MG624" i="1"/>
  <c r="MF624" i="1"/>
  <c r="ME624" i="1"/>
  <c r="MD624" i="1"/>
  <c r="MC624" i="1"/>
  <c r="MB624" i="1"/>
  <c r="MA624" i="1"/>
  <c r="LZ624" i="1"/>
  <c r="LY624" i="1"/>
  <c r="LX624" i="1"/>
  <c r="LW624" i="1"/>
  <c r="LV624" i="1"/>
  <c r="LU624" i="1"/>
  <c r="LT624" i="1"/>
  <c r="LS624" i="1"/>
  <c r="LR624" i="1"/>
  <c r="LQ624" i="1"/>
  <c r="LP624" i="1"/>
  <c r="LO624" i="1"/>
  <c r="LN624" i="1"/>
  <c r="LM624" i="1"/>
  <c r="LL624" i="1"/>
  <c r="LK624" i="1"/>
  <c r="LJ624" i="1"/>
  <c r="LI624" i="1"/>
  <c r="LH624" i="1"/>
  <c r="LG624" i="1"/>
  <c r="LF624" i="1"/>
  <c r="LE624" i="1"/>
  <c r="LD624" i="1"/>
  <c r="LC624" i="1"/>
  <c r="LA624" i="1"/>
  <c r="KZ624" i="1"/>
  <c r="KY624" i="1"/>
  <c r="KX624" i="1"/>
  <c r="KW624" i="1"/>
  <c r="KV624" i="1"/>
  <c r="KU624" i="1"/>
  <c r="KT624" i="1"/>
  <c r="KS624" i="1"/>
  <c r="KR624" i="1"/>
  <c r="KQ624" i="1"/>
  <c r="KP624" i="1"/>
  <c r="KO624" i="1"/>
  <c r="KN624" i="1"/>
  <c r="KM624" i="1"/>
  <c r="KL624" i="1"/>
  <c r="KK624" i="1"/>
  <c r="KJ624" i="1"/>
  <c r="KI624" i="1"/>
  <c r="KH624" i="1"/>
  <c r="KG624" i="1"/>
  <c r="KF624" i="1"/>
  <c r="KE624" i="1"/>
  <c r="KD624" i="1"/>
  <c r="KC624" i="1"/>
  <c r="KB624" i="1"/>
  <c r="KA624" i="1"/>
  <c r="JZ624" i="1"/>
  <c r="JY624" i="1"/>
  <c r="JX624" i="1"/>
  <c r="JW624" i="1"/>
  <c r="JV624" i="1"/>
  <c r="JU624" i="1"/>
  <c r="JT624" i="1"/>
  <c r="JS624" i="1"/>
  <c r="JR624" i="1"/>
  <c r="JP624" i="1"/>
  <c r="JO624" i="1"/>
  <c r="JN624" i="1"/>
  <c r="JM624" i="1"/>
  <c r="JL624" i="1"/>
  <c r="JK624" i="1"/>
  <c r="JJ624" i="1"/>
  <c r="JI624" i="1"/>
  <c r="JH624" i="1"/>
  <c r="JG624" i="1"/>
  <c r="JF624" i="1"/>
  <c r="JE624" i="1"/>
  <c r="JD624" i="1"/>
  <c r="JC624" i="1"/>
  <c r="JB624" i="1"/>
  <c r="JA624" i="1"/>
  <c r="IZ624" i="1"/>
  <c r="IY624" i="1"/>
  <c r="IX624" i="1"/>
  <c r="IW624" i="1"/>
  <c r="IV624" i="1"/>
  <c r="IU624" i="1"/>
  <c r="IT624" i="1"/>
  <c r="IS624" i="1"/>
  <c r="IR624" i="1"/>
  <c r="IQ624" i="1"/>
  <c r="IP624" i="1"/>
  <c r="IO624" i="1"/>
  <c r="IN624" i="1"/>
  <c r="IM624" i="1"/>
  <c r="IL624" i="1"/>
  <c r="IK624" i="1"/>
  <c r="IJ624" i="1"/>
  <c r="II624" i="1"/>
  <c r="IH624" i="1"/>
  <c r="IG624" i="1"/>
  <c r="IE624" i="1"/>
  <c r="ID624" i="1"/>
  <c r="IC624" i="1"/>
  <c r="IB624" i="1"/>
  <c r="IA624" i="1"/>
  <c r="HZ624" i="1"/>
  <c r="HY624" i="1"/>
  <c r="HX624" i="1"/>
  <c r="HW624" i="1"/>
  <c r="HV624" i="1"/>
  <c r="HU624" i="1"/>
  <c r="HT624" i="1"/>
  <c r="HS624" i="1"/>
  <c r="HR624" i="1"/>
  <c r="HQ624" i="1"/>
  <c r="HP624" i="1"/>
  <c r="HO624" i="1"/>
  <c r="HN624" i="1"/>
  <c r="HM624" i="1"/>
  <c r="HL624" i="1"/>
  <c r="HK624" i="1"/>
  <c r="HJ624" i="1"/>
  <c r="HI624" i="1"/>
  <c r="HH624" i="1"/>
  <c r="HG624" i="1"/>
  <c r="HF624" i="1"/>
  <c r="HE624" i="1"/>
  <c r="HD624" i="1"/>
  <c r="HC624" i="1"/>
  <c r="HB624" i="1"/>
  <c r="HA624" i="1"/>
  <c r="GZ624" i="1"/>
  <c r="GY624" i="1"/>
  <c r="GX624" i="1"/>
  <c r="GW624" i="1"/>
  <c r="GV624" i="1"/>
  <c r="GT624" i="1"/>
  <c r="GS624" i="1"/>
  <c r="GR624" i="1"/>
  <c r="GQ624" i="1"/>
  <c r="GP624" i="1"/>
  <c r="GO624" i="1"/>
  <c r="GN624" i="1"/>
  <c r="GM624" i="1"/>
  <c r="GL624" i="1"/>
  <c r="GK624" i="1"/>
  <c r="GJ624" i="1"/>
  <c r="GI624" i="1"/>
  <c r="GH624" i="1"/>
  <c r="GG624" i="1"/>
  <c r="GF624" i="1"/>
  <c r="GE624" i="1"/>
  <c r="GD624" i="1"/>
  <c r="GC624" i="1"/>
  <c r="GB624" i="1"/>
  <c r="GA624" i="1"/>
  <c r="FZ624" i="1"/>
  <c r="FY624" i="1"/>
  <c r="FX624" i="1"/>
  <c r="FW624" i="1"/>
  <c r="FV624" i="1"/>
  <c r="FU624" i="1"/>
  <c r="FT624" i="1"/>
  <c r="FS624" i="1"/>
  <c r="FR624" i="1"/>
  <c r="FQ624" i="1"/>
  <c r="FP624" i="1"/>
  <c r="FO624" i="1"/>
  <c r="FN624" i="1"/>
  <c r="FM624" i="1"/>
  <c r="FL624" i="1"/>
  <c r="FK624" i="1"/>
  <c r="FI624" i="1"/>
  <c r="FH624" i="1"/>
  <c r="FG624" i="1"/>
  <c r="FF624" i="1"/>
  <c r="FE624" i="1"/>
  <c r="FD624" i="1"/>
  <c r="FC624" i="1"/>
  <c r="FB624" i="1"/>
  <c r="FA624" i="1"/>
  <c r="EZ624" i="1"/>
  <c r="EY624" i="1"/>
  <c r="EX624" i="1"/>
  <c r="EW624" i="1"/>
  <c r="EV624" i="1"/>
  <c r="EU624" i="1"/>
  <c r="ET624" i="1"/>
  <c r="ES624" i="1"/>
  <c r="ER624" i="1"/>
  <c r="EQ624" i="1"/>
  <c r="EP624" i="1"/>
  <c r="EO624" i="1"/>
  <c r="EN624" i="1"/>
  <c r="EM624" i="1"/>
  <c r="EL624" i="1"/>
  <c r="EK624" i="1"/>
  <c r="EJ624" i="1"/>
  <c r="EI624" i="1"/>
  <c r="EH624" i="1"/>
  <c r="EG624" i="1"/>
  <c r="EF624" i="1"/>
  <c r="EE624" i="1"/>
  <c r="ED624" i="1"/>
  <c r="EC624" i="1"/>
  <c r="EB624" i="1"/>
  <c r="EA624" i="1"/>
  <c r="DZ624" i="1"/>
  <c r="DX624" i="1"/>
  <c r="DW624" i="1"/>
  <c r="DV624" i="1"/>
  <c r="DU624" i="1"/>
  <c r="DT624" i="1"/>
  <c r="DS624" i="1"/>
  <c r="DR624" i="1"/>
  <c r="DQ624" i="1"/>
  <c r="DP624" i="1"/>
  <c r="DO624" i="1"/>
  <c r="DN624" i="1"/>
  <c r="DM624" i="1"/>
  <c r="DL624" i="1"/>
  <c r="DK624" i="1"/>
  <c r="DJ624" i="1"/>
  <c r="DI624" i="1"/>
  <c r="DH624" i="1"/>
  <c r="DG624" i="1"/>
  <c r="DF624" i="1"/>
  <c r="DE624" i="1"/>
  <c r="DD624" i="1"/>
  <c r="DC624" i="1"/>
  <c r="DB624" i="1"/>
  <c r="DA624" i="1"/>
  <c r="CZ624" i="1"/>
  <c r="CY624" i="1"/>
  <c r="CX624" i="1"/>
  <c r="CW624" i="1"/>
  <c r="CV624" i="1"/>
  <c r="CU624" i="1"/>
  <c r="CT624" i="1"/>
  <c r="CS624" i="1"/>
  <c r="CR624" i="1"/>
  <c r="CQ624" i="1"/>
  <c r="CP624" i="1"/>
  <c r="CO624" i="1"/>
  <c r="CM624" i="1"/>
  <c r="CL624" i="1"/>
  <c r="CK624" i="1"/>
  <c r="CJ624" i="1"/>
  <c r="CI624" i="1"/>
  <c r="CH624" i="1"/>
  <c r="CG624" i="1"/>
  <c r="CF624" i="1"/>
  <c r="CE624" i="1"/>
  <c r="CD624" i="1"/>
  <c r="CC624" i="1"/>
  <c r="CB624" i="1"/>
  <c r="CA624" i="1"/>
  <c r="BZ624" i="1"/>
  <c r="BY624" i="1"/>
  <c r="BX624" i="1"/>
  <c r="BW624" i="1"/>
  <c r="BV624" i="1"/>
  <c r="BU624" i="1"/>
  <c r="BT624" i="1"/>
  <c r="BS624" i="1"/>
  <c r="BR624" i="1"/>
  <c r="BQ624" i="1"/>
  <c r="BP624" i="1"/>
  <c r="BO624" i="1"/>
  <c r="BN624" i="1"/>
  <c r="BM624" i="1"/>
  <c r="BL624" i="1"/>
  <c r="BK624" i="1"/>
  <c r="BJ624" i="1"/>
  <c r="BI624" i="1"/>
  <c r="BH624" i="1"/>
  <c r="BG624" i="1"/>
  <c r="BF624" i="1"/>
  <c r="BE624" i="1"/>
  <c r="BD624" i="1"/>
  <c r="BB624" i="1"/>
  <c r="BA624" i="1"/>
  <c r="AZ624" i="1"/>
  <c r="AY624" i="1"/>
  <c r="AX624" i="1"/>
  <c r="AW624" i="1"/>
  <c r="AV624" i="1"/>
  <c r="AU624" i="1"/>
  <c r="AT624" i="1"/>
  <c r="AS624" i="1"/>
  <c r="AR624" i="1"/>
  <c r="AQ624" i="1"/>
  <c r="AP624" i="1"/>
  <c r="AO624" i="1"/>
  <c r="AN624" i="1"/>
  <c r="AM624" i="1"/>
  <c r="AL624" i="1"/>
  <c r="AK624" i="1"/>
  <c r="AJ624" i="1"/>
  <c r="AI624" i="1"/>
  <c r="AH624" i="1"/>
  <c r="AG624" i="1"/>
  <c r="AF624" i="1"/>
  <c r="AE624" i="1"/>
  <c r="AD624" i="1"/>
  <c r="AC624" i="1"/>
  <c r="AB624" i="1"/>
  <c r="AA624" i="1"/>
  <c r="Z624" i="1"/>
  <c r="Y624" i="1"/>
  <c r="X624" i="1"/>
  <c r="W624" i="1"/>
  <c r="V624" i="1"/>
  <c r="U624" i="1"/>
  <c r="T624" i="1"/>
  <c r="S624" i="1"/>
  <c r="Q624" i="1"/>
  <c r="P624" i="1"/>
  <c r="O624" i="1"/>
  <c r="N624" i="1"/>
  <c r="M624" i="1"/>
  <c r="L624" i="1"/>
  <c r="K624" i="1"/>
  <c r="J624" i="1"/>
  <c r="I624" i="1"/>
  <c r="H624" i="1"/>
  <c r="KT612" i="1"/>
  <c r="KS612" i="1"/>
  <c r="JZ612" i="1"/>
  <c r="JY612" i="1"/>
  <c r="JI612" i="1"/>
  <c r="IO612" i="1"/>
  <c r="KT611" i="1"/>
  <c r="KS611" i="1"/>
  <c r="JZ611" i="1"/>
  <c r="JY611" i="1"/>
  <c r="JI611" i="1"/>
  <c r="IO611" i="1"/>
  <c r="KT610" i="1"/>
  <c r="KS610" i="1"/>
  <c r="JZ610" i="1"/>
  <c r="JY610" i="1"/>
  <c r="JI610" i="1"/>
  <c r="IO610" i="1"/>
  <c r="KT609" i="1"/>
  <c r="KS609" i="1"/>
  <c r="JZ609" i="1"/>
  <c r="JY609" i="1"/>
  <c r="JI609" i="1"/>
  <c r="IO609" i="1"/>
  <c r="KT608" i="1"/>
  <c r="KS608" i="1"/>
  <c r="JZ608" i="1"/>
  <c r="JY608" i="1"/>
  <c r="JI608" i="1"/>
  <c r="IO608" i="1"/>
  <c r="KT607" i="1"/>
  <c r="KS607" i="1"/>
  <c r="JZ607" i="1"/>
  <c r="JY607" i="1"/>
  <c r="JI607" i="1"/>
  <c r="IO607" i="1"/>
  <c r="KT606" i="1"/>
  <c r="KS606" i="1"/>
  <c r="JZ606" i="1"/>
  <c r="JY606" i="1"/>
  <c r="JI606" i="1"/>
  <c r="IO606" i="1"/>
  <c r="KT605" i="1"/>
  <c r="KS605" i="1"/>
  <c r="JZ605" i="1"/>
  <c r="JY605" i="1"/>
  <c r="JI605" i="1"/>
  <c r="IO605" i="1"/>
  <c r="KT604" i="1"/>
  <c r="KS604" i="1"/>
  <c r="JZ604" i="1"/>
  <c r="JY604" i="1"/>
  <c r="JI604" i="1"/>
  <c r="IO604" i="1"/>
  <c r="KT603" i="1"/>
  <c r="KS603" i="1"/>
  <c r="JZ603" i="1"/>
  <c r="JY603" i="1"/>
  <c r="JI603" i="1"/>
  <c r="IO603" i="1"/>
  <c r="KT602" i="1"/>
  <c r="KS602" i="1"/>
  <c r="JZ602" i="1"/>
  <c r="JY602" i="1"/>
  <c r="JI602" i="1"/>
  <c r="IO602" i="1"/>
  <c r="KT601" i="1"/>
  <c r="KS601" i="1"/>
  <c r="JZ601" i="1"/>
  <c r="JY601" i="1"/>
  <c r="JI601" i="1"/>
  <c r="IO601" i="1"/>
  <c r="KT600" i="1"/>
  <c r="KS600" i="1"/>
  <c r="JZ600" i="1"/>
  <c r="JY600" i="1"/>
  <c r="JI600" i="1"/>
  <c r="IO600" i="1"/>
  <c r="KT599" i="1"/>
  <c r="KS599" i="1"/>
  <c r="JZ599" i="1"/>
  <c r="JY599" i="1"/>
  <c r="JI599" i="1"/>
  <c r="IO599" i="1"/>
  <c r="KT598" i="1"/>
  <c r="KS598" i="1"/>
  <c r="JZ598" i="1"/>
  <c r="JY598" i="1"/>
  <c r="JI598" i="1"/>
  <c r="IO598" i="1"/>
  <c r="KT597" i="1"/>
  <c r="KS597" i="1"/>
  <c r="JZ597" i="1"/>
  <c r="JY597" i="1"/>
  <c r="JI597" i="1"/>
  <c r="IO597" i="1"/>
  <c r="KT596" i="1"/>
  <c r="KS596" i="1"/>
  <c r="JZ596" i="1"/>
  <c r="JY596" i="1"/>
  <c r="JI596" i="1"/>
  <c r="IO596" i="1"/>
  <c r="KT595" i="1"/>
  <c r="KS595" i="1"/>
  <c r="JZ595" i="1"/>
  <c r="JY595" i="1"/>
  <c r="JI595" i="1"/>
  <c r="IO595" i="1"/>
  <c r="KT594" i="1"/>
  <c r="KS594" i="1"/>
  <c r="JZ594" i="1"/>
  <c r="JY594" i="1"/>
  <c r="JI594" i="1"/>
  <c r="IO594" i="1"/>
  <c r="KT593" i="1"/>
  <c r="KS593" i="1"/>
  <c r="JZ593" i="1"/>
  <c r="JY593" i="1"/>
  <c r="JI593" i="1"/>
  <c r="IO593" i="1"/>
  <c r="KT592" i="1"/>
  <c r="KS592" i="1"/>
  <c r="JZ592" i="1"/>
  <c r="JY592" i="1"/>
  <c r="JI592" i="1"/>
  <c r="IO592" i="1"/>
  <c r="KT591" i="1"/>
  <c r="KS591" i="1"/>
  <c r="JZ591" i="1"/>
  <c r="JY591" i="1"/>
  <c r="JI591" i="1"/>
  <c r="IO591" i="1"/>
  <c r="KT590" i="1"/>
  <c r="KS590" i="1"/>
  <c r="JZ590" i="1"/>
  <c r="JY590" i="1"/>
  <c r="JI590" i="1"/>
  <c r="IO590" i="1"/>
  <c r="KT589" i="1"/>
  <c r="KS589" i="1"/>
  <c r="JZ589" i="1"/>
  <c r="JY589" i="1"/>
  <c r="JI589" i="1"/>
  <c r="IO589" i="1"/>
  <c r="KT588" i="1"/>
  <c r="KS588" i="1"/>
  <c r="JZ588" i="1"/>
  <c r="JY588" i="1"/>
  <c r="JI588" i="1"/>
  <c r="IO588" i="1"/>
  <c r="KT587" i="1"/>
  <c r="KS587" i="1"/>
  <c r="JZ587" i="1"/>
  <c r="JY587" i="1"/>
  <c r="JI587" i="1"/>
  <c r="IO587" i="1"/>
  <c r="KT586" i="1"/>
  <c r="KS586" i="1"/>
  <c r="JZ586" i="1"/>
  <c r="JY586" i="1"/>
  <c r="JI586" i="1"/>
  <c r="IO586" i="1"/>
  <c r="KT585" i="1"/>
  <c r="KS585" i="1"/>
  <c r="JZ585" i="1"/>
  <c r="JY585" i="1"/>
  <c r="JI585" i="1"/>
  <c r="IO585" i="1"/>
  <c r="KT584" i="1"/>
  <c r="KS584" i="1"/>
  <c r="JZ584" i="1"/>
  <c r="JY584" i="1"/>
  <c r="JI584" i="1"/>
  <c r="IO584" i="1"/>
  <c r="KT583" i="1"/>
  <c r="KS583" i="1"/>
  <c r="JZ583" i="1"/>
  <c r="JY583" i="1"/>
  <c r="JI583" i="1"/>
  <c r="IO583" i="1"/>
  <c r="KT582" i="1"/>
  <c r="KS582" i="1"/>
  <c r="JZ582" i="1"/>
  <c r="JY582" i="1"/>
  <c r="JI582" i="1"/>
  <c r="IO582" i="1"/>
  <c r="KT581" i="1"/>
  <c r="KS581" i="1"/>
  <c r="JZ581" i="1"/>
  <c r="JY581" i="1"/>
  <c r="JI581" i="1"/>
  <c r="IO581" i="1"/>
  <c r="KT580" i="1"/>
  <c r="KS580" i="1"/>
  <c r="JZ580" i="1"/>
  <c r="JY580" i="1"/>
  <c r="JI580" i="1"/>
  <c r="IO580" i="1"/>
  <c r="KT579" i="1"/>
  <c r="KS579" i="1"/>
  <c r="JZ579" i="1"/>
  <c r="JY579" i="1"/>
  <c r="JI579" i="1"/>
  <c r="IO579" i="1"/>
  <c r="KT578" i="1"/>
  <c r="KS578" i="1"/>
  <c r="JZ578" i="1"/>
  <c r="JY578" i="1"/>
  <c r="JI578" i="1"/>
  <c r="IO578" i="1"/>
  <c r="KT577" i="1"/>
  <c r="KS577" i="1"/>
  <c r="JZ577" i="1"/>
  <c r="JY577" i="1"/>
  <c r="JI577" i="1"/>
  <c r="IO577" i="1"/>
  <c r="KT576" i="1"/>
  <c r="KS576" i="1"/>
  <c r="JZ576" i="1"/>
  <c r="JY576" i="1"/>
  <c r="JI576" i="1"/>
  <c r="IO576" i="1"/>
  <c r="KT575" i="1"/>
  <c r="KS575" i="1"/>
  <c r="JZ575" i="1"/>
  <c r="JY575" i="1"/>
  <c r="JI575" i="1"/>
  <c r="IO575" i="1"/>
  <c r="KT574" i="1"/>
  <c r="KS574" i="1"/>
  <c r="JZ574" i="1"/>
  <c r="JY574" i="1"/>
  <c r="JI574" i="1"/>
  <c r="IO574" i="1"/>
  <c r="KT573" i="1"/>
  <c r="KS573" i="1"/>
  <c r="JZ573" i="1"/>
  <c r="JY573" i="1"/>
  <c r="JI573" i="1"/>
  <c r="IO573" i="1"/>
  <c r="KT572" i="1"/>
  <c r="KS572" i="1"/>
  <c r="JZ572" i="1"/>
  <c r="JY572" i="1"/>
  <c r="JI572" i="1"/>
  <c r="IO572" i="1"/>
  <c r="KT571" i="1"/>
  <c r="KS571" i="1"/>
  <c r="JZ571" i="1"/>
  <c r="JY571" i="1"/>
  <c r="JI571" i="1"/>
  <c r="IO571" i="1"/>
  <c r="KT570" i="1"/>
  <c r="KS570" i="1"/>
  <c r="JZ570" i="1"/>
  <c r="JY570" i="1"/>
  <c r="JI570" i="1"/>
  <c r="IO570" i="1"/>
  <c r="KT569" i="1"/>
  <c r="KS569" i="1"/>
  <c r="JZ569" i="1"/>
  <c r="JY569" i="1"/>
  <c r="JI569" i="1"/>
  <c r="IO569" i="1"/>
  <c r="KT568" i="1"/>
  <c r="KS568" i="1"/>
  <c r="JZ568" i="1"/>
  <c r="JY568" i="1"/>
  <c r="JI568" i="1"/>
  <c r="IO568" i="1"/>
  <c r="KT567" i="1"/>
  <c r="KS567" i="1"/>
  <c r="JZ567" i="1"/>
  <c r="JY567" i="1"/>
  <c r="JI567" i="1"/>
  <c r="IO567" i="1"/>
  <c r="KT566" i="1"/>
  <c r="KS566" i="1"/>
  <c r="JZ566" i="1"/>
  <c r="JY566" i="1"/>
  <c r="JI566" i="1"/>
  <c r="IO566" i="1"/>
  <c r="KT565" i="1"/>
  <c r="KS565" i="1"/>
  <c r="JZ565" i="1"/>
  <c r="JY565" i="1"/>
  <c r="JI565" i="1"/>
  <c r="IO565" i="1"/>
  <c r="KT564" i="1"/>
  <c r="KS564" i="1"/>
  <c r="JZ564" i="1"/>
  <c r="JY564" i="1"/>
  <c r="JI564" i="1"/>
  <c r="IO564" i="1"/>
  <c r="KT563" i="1"/>
  <c r="KS563" i="1"/>
  <c r="JZ563" i="1"/>
  <c r="JY563" i="1"/>
  <c r="JI563" i="1"/>
  <c r="IO563" i="1"/>
  <c r="KT562" i="1"/>
  <c r="KS562" i="1"/>
  <c r="JZ562" i="1"/>
  <c r="JY562" i="1"/>
  <c r="JI562" i="1"/>
  <c r="IO562" i="1"/>
  <c r="KT561" i="1"/>
  <c r="KS561" i="1"/>
  <c r="JZ561" i="1"/>
  <c r="JY561" i="1"/>
  <c r="JI561" i="1"/>
  <c r="IO561" i="1"/>
  <c r="KT560" i="1"/>
  <c r="KS560" i="1"/>
  <c r="JZ560" i="1"/>
  <c r="JY560" i="1"/>
  <c r="JI560" i="1"/>
  <c r="IO560" i="1"/>
  <c r="KT559" i="1"/>
  <c r="KS559" i="1"/>
  <c r="JZ559" i="1"/>
  <c r="JY559" i="1"/>
  <c r="JI559" i="1"/>
  <c r="IO559" i="1"/>
  <c r="KT558" i="1"/>
  <c r="KS558" i="1"/>
  <c r="JZ558" i="1"/>
  <c r="JY558" i="1"/>
  <c r="JI558" i="1"/>
  <c r="IO558" i="1"/>
  <c r="KT557" i="1"/>
  <c r="KS557" i="1"/>
  <c r="JZ557" i="1"/>
  <c r="JY557" i="1"/>
  <c r="JI557" i="1"/>
  <c r="IO557" i="1"/>
  <c r="KT556" i="1"/>
  <c r="KS556" i="1"/>
  <c r="JZ556" i="1"/>
  <c r="JY556" i="1"/>
  <c r="JI556" i="1"/>
  <c r="IO556" i="1"/>
  <c r="KT555" i="1"/>
  <c r="KS555" i="1"/>
  <c r="JZ555" i="1"/>
  <c r="JY555" i="1"/>
  <c r="JI555" i="1"/>
  <c r="IO555" i="1"/>
  <c r="KT554" i="1"/>
  <c r="KS554" i="1"/>
  <c r="JZ554" i="1"/>
  <c r="JY554" i="1"/>
  <c r="JI554" i="1"/>
  <c r="IO554" i="1"/>
  <c r="KT553" i="1"/>
  <c r="KS553" i="1"/>
  <c r="JZ553" i="1"/>
  <c r="JY553" i="1"/>
  <c r="JI553" i="1"/>
  <c r="IO553" i="1"/>
  <c r="KT552" i="1"/>
  <c r="KS552" i="1"/>
  <c r="JZ552" i="1"/>
  <c r="JY552" i="1"/>
  <c r="JI552" i="1"/>
  <c r="IO552" i="1"/>
  <c r="KT551" i="1"/>
  <c r="KS551" i="1"/>
  <c r="JZ551" i="1"/>
  <c r="JY551" i="1"/>
  <c r="JI551" i="1"/>
  <c r="IO551" i="1"/>
  <c r="KT550" i="1"/>
  <c r="KS550" i="1"/>
  <c r="JZ550" i="1"/>
  <c r="JY550" i="1"/>
  <c r="JI550" i="1"/>
  <c r="IO550" i="1"/>
  <c r="KT549" i="1"/>
  <c r="KS549" i="1"/>
  <c r="JZ549" i="1"/>
  <c r="JY549" i="1"/>
  <c r="JI549" i="1"/>
  <c r="IO549" i="1"/>
  <c r="KT548" i="1"/>
  <c r="KS548" i="1"/>
  <c r="JZ548" i="1"/>
  <c r="JY548" i="1"/>
  <c r="JI548" i="1"/>
  <c r="IO548" i="1"/>
  <c r="KT547" i="1"/>
  <c r="KS547" i="1"/>
  <c r="JZ547" i="1"/>
  <c r="JY547" i="1"/>
  <c r="JI547" i="1"/>
  <c r="IO547" i="1"/>
  <c r="KT546" i="1"/>
  <c r="KS546" i="1"/>
  <c r="JZ546" i="1"/>
  <c r="JY546" i="1"/>
  <c r="JI546" i="1"/>
  <c r="IO546" i="1"/>
  <c r="KT545" i="1"/>
  <c r="KS545" i="1"/>
  <c r="JZ545" i="1"/>
  <c r="JY545" i="1"/>
  <c r="JI545" i="1"/>
  <c r="IO545" i="1"/>
  <c r="KT544" i="1"/>
  <c r="KS544" i="1"/>
  <c r="JZ544" i="1"/>
  <c r="JY544" i="1"/>
  <c r="JI544" i="1"/>
  <c r="IO544" i="1"/>
  <c r="KT543" i="1"/>
  <c r="KS543" i="1"/>
  <c r="JZ543" i="1"/>
  <c r="JY543" i="1"/>
  <c r="JI543" i="1"/>
  <c r="IO543" i="1"/>
  <c r="KT542" i="1"/>
  <c r="KS542" i="1"/>
  <c r="JZ542" i="1"/>
  <c r="JY542" i="1"/>
  <c r="JI542" i="1"/>
  <c r="IO542" i="1"/>
  <c r="KT541" i="1"/>
  <c r="KS541" i="1"/>
  <c r="JZ541" i="1"/>
  <c r="JY541" i="1"/>
  <c r="JI541" i="1"/>
  <c r="IO541" i="1"/>
  <c r="KT540" i="1"/>
  <c r="KS540" i="1"/>
  <c r="JZ540" i="1"/>
  <c r="JY540" i="1"/>
  <c r="JI540" i="1"/>
  <c r="IO540" i="1"/>
  <c r="KT539" i="1"/>
  <c r="KS539" i="1"/>
  <c r="JZ539" i="1"/>
  <c r="JY539" i="1"/>
  <c r="JI539" i="1"/>
  <c r="IO539" i="1"/>
  <c r="KT538" i="1"/>
  <c r="KS538" i="1"/>
  <c r="JZ538" i="1"/>
  <c r="JY538" i="1"/>
  <c r="JI538" i="1"/>
  <c r="IO538" i="1"/>
  <c r="KT537" i="1"/>
  <c r="KS537" i="1"/>
  <c r="JZ537" i="1"/>
  <c r="JY537" i="1"/>
  <c r="JI537" i="1"/>
  <c r="IO537" i="1"/>
  <c r="KT536" i="1"/>
  <c r="KS536" i="1"/>
  <c r="JZ536" i="1"/>
  <c r="JY536" i="1"/>
  <c r="JI536" i="1"/>
  <c r="IO536" i="1"/>
  <c r="KT535" i="1"/>
  <c r="KS535" i="1"/>
  <c r="JZ535" i="1"/>
  <c r="JY535" i="1"/>
  <c r="JI535" i="1"/>
  <c r="IO535" i="1"/>
  <c r="KT534" i="1"/>
  <c r="KS534" i="1"/>
  <c r="JZ534" i="1"/>
  <c r="JY534" i="1"/>
  <c r="JI534" i="1"/>
  <c r="IO534" i="1"/>
  <c r="KT533" i="1"/>
  <c r="KS533" i="1"/>
  <c r="JZ533" i="1"/>
  <c r="JY533" i="1"/>
  <c r="JI533" i="1"/>
  <c r="IO533" i="1"/>
  <c r="KT532" i="1"/>
  <c r="KS532" i="1"/>
  <c r="JZ532" i="1"/>
  <c r="JY532" i="1"/>
  <c r="JI532" i="1"/>
  <c r="IO532" i="1"/>
  <c r="KT531" i="1"/>
  <c r="KS531" i="1"/>
  <c r="JZ531" i="1"/>
  <c r="JY531" i="1"/>
  <c r="JI531" i="1"/>
  <c r="IO531" i="1"/>
  <c r="KT530" i="1"/>
  <c r="KS530" i="1"/>
  <c r="JZ530" i="1"/>
  <c r="JY530" i="1"/>
  <c r="JI530" i="1"/>
  <c r="IO530" i="1"/>
  <c r="KT529" i="1"/>
  <c r="KS529" i="1"/>
  <c r="JZ529" i="1"/>
  <c r="JY529" i="1"/>
  <c r="JI529" i="1"/>
  <c r="IO529" i="1"/>
  <c r="KT528" i="1"/>
  <c r="KS528" i="1"/>
  <c r="JZ528" i="1"/>
  <c r="JY528" i="1"/>
  <c r="JI528" i="1"/>
  <c r="IO528" i="1"/>
  <c r="KT527" i="1"/>
  <c r="KS527" i="1"/>
  <c r="JZ527" i="1"/>
  <c r="JY527" i="1"/>
  <c r="JI527" i="1"/>
  <c r="IO527" i="1"/>
  <c r="KT526" i="1"/>
  <c r="KS526" i="1"/>
  <c r="JZ526" i="1"/>
  <c r="JY526" i="1"/>
  <c r="JI526" i="1"/>
  <c r="IO526" i="1"/>
  <c r="KT525" i="1"/>
  <c r="KS525" i="1"/>
  <c r="JZ525" i="1"/>
  <c r="JY525" i="1"/>
  <c r="JI525" i="1"/>
  <c r="IO525" i="1"/>
  <c r="KT524" i="1"/>
  <c r="KS524" i="1"/>
  <c r="JZ524" i="1"/>
  <c r="JY524" i="1"/>
  <c r="JI524" i="1"/>
  <c r="IO524" i="1"/>
  <c r="KT523" i="1"/>
  <c r="KS523" i="1"/>
  <c r="JZ523" i="1"/>
  <c r="JY523" i="1"/>
  <c r="JI523" i="1"/>
  <c r="IO523" i="1"/>
  <c r="KT522" i="1"/>
  <c r="KS522" i="1"/>
  <c r="JZ522" i="1"/>
  <c r="JY522" i="1"/>
  <c r="JI522" i="1"/>
  <c r="IO522" i="1"/>
  <c r="KT521" i="1"/>
  <c r="KS521" i="1"/>
  <c r="JZ521" i="1"/>
  <c r="JY521" i="1"/>
  <c r="JI521" i="1"/>
  <c r="IO521" i="1"/>
  <c r="KT520" i="1"/>
  <c r="KS520" i="1"/>
  <c r="JZ520" i="1"/>
  <c r="JY520" i="1"/>
  <c r="JI520" i="1"/>
  <c r="IO520" i="1"/>
  <c r="KT519" i="1"/>
  <c r="KS519" i="1"/>
  <c r="JZ519" i="1"/>
  <c r="JY519" i="1"/>
  <c r="JI519" i="1"/>
  <c r="IO519" i="1"/>
  <c r="KT518" i="1"/>
  <c r="KS518" i="1"/>
  <c r="JZ518" i="1"/>
  <c r="JY518" i="1"/>
  <c r="JI518" i="1"/>
  <c r="IO518" i="1"/>
  <c r="KT517" i="1"/>
  <c r="KS517" i="1"/>
  <c r="JZ517" i="1"/>
  <c r="JY517" i="1"/>
  <c r="JI517" i="1"/>
  <c r="IO517" i="1"/>
  <c r="KT516" i="1"/>
  <c r="KS516" i="1"/>
  <c r="JZ516" i="1"/>
  <c r="JY516" i="1"/>
  <c r="JI516" i="1"/>
  <c r="IO516" i="1"/>
  <c r="KT515" i="1"/>
  <c r="KS515" i="1"/>
  <c r="JZ515" i="1"/>
  <c r="JY515" i="1"/>
  <c r="JI515" i="1"/>
  <c r="IO515" i="1"/>
  <c r="KT514" i="1"/>
  <c r="KS514" i="1"/>
  <c r="JZ514" i="1"/>
  <c r="JY514" i="1"/>
  <c r="JI514" i="1"/>
  <c r="IO514" i="1"/>
  <c r="KT513" i="1"/>
  <c r="KS513" i="1"/>
  <c r="JZ513" i="1"/>
  <c r="JY513" i="1"/>
  <c r="JI513" i="1"/>
  <c r="IO513" i="1"/>
  <c r="D512" i="1"/>
  <c r="IS510" i="1"/>
  <c r="IV690" i="1" s="1"/>
  <c r="AE510" i="1"/>
  <c r="AH673" i="1" s="1"/>
  <c r="ML495" i="1"/>
  <c r="MK495" i="1"/>
  <c r="MJ495" i="1"/>
  <c r="MI495" i="1"/>
  <c r="MH495" i="1"/>
  <c r="MG495" i="1"/>
  <c r="MF495" i="1"/>
  <c r="ME495" i="1"/>
  <c r="MD495" i="1"/>
  <c r="MC495" i="1"/>
  <c r="MB495" i="1"/>
  <c r="MA495" i="1"/>
  <c r="LZ495" i="1"/>
  <c r="LY495" i="1"/>
  <c r="LX495" i="1"/>
  <c r="LW495" i="1"/>
  <c r="LV495" i="1"/>
  <c r="LU495" i="1"/>
  <c r="LT495" i="1"/>
  <c r="LS495" i="1"/>
  <c r="LR495" i="1"/>
  <c r="LQ495" i="1"/>
  <c r="LP495" i="1"/>
  <c r="LO495" i="1"/>
  <c r="LN495" i="1"/>
  <c r="LM495" i="1"/>
  <c r="LL495" i="1"/>
  <c r="LK495" i="1"/>
  <c r="LJ495" i="1"/>
  <c r="LI495" i="1"/>
  <c r="LH495" i="1"/>
  <c r="LG495" i="1"/>
  <c r="LF495" i="1"/>
  <c r="LE495" i="1"/>
  <c r="LD495" i="1"/>
  <c r="LC495" i="1"/>
  <c r="LA495" i="1"/>
  <c r="KZ495" i="1"/>
  <c r="KY495" i="1"/>
  <c r="KX495" i="1"/>
  <c r="KW495" i="1"/>
  <c r="KV495" i="1"/>
  <c r="KU495" i="1"/>
  <c r="KT495" i="1"/>
  <c r="KS495" i="1"/>
  <c r="KR495" i="1"/>
  <c r="KQ495" i="1"/>
  <c r="KP495" i="1"/>
  <c r="KO495" i="1"/>
  <c r="KN495" i="1"/>
  <c r="KM495" i="1"/>
  <c r="KL495" i="1"/>
  <c r="KK495" i="1"/>
  <c r="KJ495" i="1"/>
  <c r="KI495" i="1"/>
  <c r="KH495" i="1"/>
  <c r="KG495" i="1"/>
  <c r="KF495" i="1"/>
  <c r="KE495" i="1"/>
  <c r="KD495" i="1"/>
  <c r="KC495" i="1"/>
  <c r="KB495" i="1"/>
  <c r="KA495" i="1"/>
  <c r="JZ495" i="1"/>
  <c r="JY495" i="1"/>
  <c r="JX495" i="1"/>
  <c r="JW495" i="1"/>
  <c r="JV495" i="1"/>
  <c r="JU495" i="1"/>
  <c r="JT495" i="1"/>
  <c r="JS495" i="1"/>
  <c r="JR495" i="1"/>
  <c r="JP495" i="1"/>
  <c r="JO495" i="1"/>
  <c r="JN495" i="1"/>
  <c r="JM495" i="1"/>
  <c r="JL495" i="1"/>
  <c r="JK495" i="1"/>
  <c r="JJ495" i="1"/>
  <c r="JI495" i="1"/>
  <c r="JH495" i="1"/>
  <c r="JG495" i="1"/>
  <c r="JF495" i="1"/>
  <c r="JE495" i="1"/>
  <c r="JD495" i="1"/>
  <c r="JC495" i="1"/>
  <c r="JB495" i="1"/>
  <c r="JA495" i="1"/>
  <c r="IZ495" i="1"/>
  <c r="IY495" i="1"/>
  <c r="IX495" i="1"/>
  <c r="IW495" i="1"/>
  <c r="IV495" i="1"/>
  <c r="IU495" i="1"/>
  <c r="IT495" i="1"/>
  <c r="IS495" i="1"/>
  <c r="IR495" i="1"/>
  <c r="IQ495" i="1"/>
  <c r="IP495" i="1"/>
  <c r="IO495" i="1"/>
  <c r="IN495" i="1"/>
  <c r="IM495" i="1"/>
  <c r="IL495" i="1"/>
  <c r="IK495" i="1"/>
  <c r="IJ495" i="1"/>
  <c r="II495" i="1"/>
  <c r="IH495" i="1"/>
  <c r="IG495" i="1"/>
  <c r="IE495" i="1"/>
  <c r="ID495" i="1"/>
  <c r="IC495" i="1"/>
  <c r="IB495" i="1"/>
  <c r="IA495" i="1"/>
  <c r="HZ495" i="1"/>
  <c r="HY495" i="1"/>
  <c r="HX495" i="1"/>
  <c r="HW495" i="1"/>
  <c r="HV495" i="1"/>
  <c r="HU495" i="1"/>
  <c r="HT495" i="1"/>
  <c r="HS495" i="1"/>
  <c r="HR495" i="1"/>
  <c r="HQ495" i="1"/>
  <c r="HP495" i="1"/>
  <c r="HO495" i="1"/>
  <c r="HN495" i="1"/>
  <c r="HM495" i="1"/>
  <c r="HL495" i="1"/>
  <c r="HK495" i="1"/>
  <c r="HJ495" i="1"/>
  <c r="HI495" i="1"/>
  <c r="HH495" i="1"/>
  <c r="HG495" i="1"/>
  <c r="HF495" i="1"/>
  <c r="HE495" i="1"/>
  <c r="HD495" i="1"/>
  <c r="HC495" i="1"/>
  <c r="HB495" i="1"/>
  <c r="HA495" i="1"/>
  <c r="GZ495" i="1"/>
  <c r="GY495" i="1"/>
  <c r="GX495" i="1"/>
  <c r="GW495" i="1"/>
  <c r="GV495" i="1"/>
  <c r="GT495" i="1"/>
  <c r="GS495" i="1"/>
  <c r="GR495" i="1"/>
  <c r="GQ495" i="1"/>
  <c r="GP495" i="1"/>
  <c r="GO495" i="1"/>
  <c r="GN495" i="1"/>
  <c r="GM495" i="1"/>
  <c r="GL495" i="1"/>
  <c r="GK495" i="1"/>
  <c r="GJ495" i="1"/>
  <c r="GI495" i="1"/>
  <c r="GH495" i="1"/>
  <c r="GG495" i="1"/>
  <c r="GF495" i="1"/>
  <c r="GE495" i="1"/>
  <c r="GD495" i="1"/>
  <c r="GC495" i="1"/>
  <c r="GB495" i="1"/>
  <c r="GA495" i="1"/>
  <c r="FZ495" i="1"/>
  <c r="FY495" i="1"/>
  <c r="FX495" i="1"/>
  <c r="FW495" i="1"/>
  <c r="FV495" i="1"/>
  <c r="FU495" i="1"/>
  <c r="FT495" i="1"/>
  <c r="FS495" i="1"/>
  <c r="FR495" i="1"/>
  <c r="FQ495" i="1"/>
  <c r="FP495" i="1"/>
  <c r="FO495" i="1"/>
  <c r="FN495" i="1"/>
  <c r="FM495" i="1"/>
  <c r="FL495" i="1"/>
  <c r="FK495" i="1"/>
  <c r="FI495" i="1"/>
  <c r="FH495" i="1"/>
  <c r="FG495" i="1"/>
  <c r="FF495" i="1"/>
  <c r="FE495" i="1"/>
  <c r="FD495" i="1"/>
  <c r="FC495" i="1"/>
  <c r="FB495" i="1"/>
  <c r="FA495" i="1"/>
  <c r="EZ495" i="1"/>
  <c r="EY495" i="1"/>
  <c r="EX495" i="1"/>
  <c r="EW495" i="1"/>
  <c r="EV495" i="1"/>
  <c r="EU495" i="1"/>
  <c r="ET495" i="1"/>
  <c r="ES495" i="1"/>
  <c r="ER495" i="1"/>
  <c r="EQ495" i="1"/>
  <c r="EP495" i="1"/>
  <c r="EO495" i="1"/>
  <c r="EN495" i="1"/>
  <c r="EM495" i="1"/>
  <c r="EL495" i="1"/>
  <c r="EK495" i="1"/>
  <c r="EJ495" i="1"/>
  <c r="EI495" i="1"/>
  <c r="EH495" i="1"/>
  <c r="EG495" i="1"/>
  <c r="EF495" i="1"/>
  <c r="EE495" i="1"/>
  <c r="ED495" i="1"/>
  <c r="EC495" i="1"/>
  <c r="EB495" i="1"/>
  <c r="EA495" i="1"/>
  <c r="DZ495" i="1"/>
  <c r="DX495" i="1"/>
  <c r="DW495" i="1"/>
  <c r="DV495" i="1"/>
  <c r="DU495" i="1"/>
  <c r="DT495" i="1"/>
  <c r="DS495" i="1"/>
  <c r="DR495" i="1"/>
  <c r="DQ495" i="1"/>
  <c r="DP495" i="1"/>
  <c r="DO495" i="1"/>
  <c r="DN495" i="1"/>
  <c r="DM495" i="1"/>
  <c r="DL495" i="1"/>
  <c r="DK495" i="1"/>
  <c r="DJ495" i="1"/>
  <c r="DI495" i="1"/>
  <c r="DH495" i="1"/>
  <c r="DG495" i="1"/>
  <c r="DF495" i="1"/>
  <c r="DE495" i="1"/>
  <c r="DD495" i="1"/>
  <c r="DC495" i="1"/>
  <c r="DB495" i="1"/>
  <c r="DA495" i="1"/>
  <c r="CZ495" i="1"/>
  <c r="CY495" i="1"/>
  <c r="CX495" i="1"/>
  <c r="CW495" i="1"/>
  <c r="CV495" i="1"/>
  <c r="CU495" i="1"/>
  <c r="CT495" i="1"/>
  <c r="CS495" i="1"/>
  <c r="CR495" i="1"/>
  <c r="CQ495" i="1"/>
  <c r="CP495" i="1"/>
  <c r="CO495" i="1"/>
  <c r="CM495" i="1"/>
  <c r="CL495" i="1"/>
  <c r="CK495" i="1"/>
  <c r="CJ495" i="1"/>
  <c r="CI495" i="1"/>
  <c r="CH495" i="1"/>
  <c r="CG495" i="1"/>
  <c r="CF495" i="1"/>
  <c r="CE495" i="1"/>
  <c r="CD495" i="1"/>
  <c r="CC495" i="1"/>
  <c r="CB495" i="1"/>
  <c r="CA495" i="1"/>
  <c r="BZ495" i="1"/>
  <c r="BY495" i="1"/>
  <c r="BX495" i="1"/>
  <c r="BW495" i="1"/>
  <c r="BV495" i="1"/>
  <c r="BU495" i="1"/>
  <c r="BT495" i="1"/>
  <c r="BS495" i="1"/>
  <c r="BR495" i="1"/>
  <c r="BQ495" i="1"/>
  <c r="BP495" i="1"/>
  <c r="BO495" i="1"/>
  <c r="BN495" i="1"/>
  <c r="BM495" i="1"/>
  <c r="BL495" i="1"/>
  <c r="BK495" i="1"/>
  <c r="BJ495" i="1"/>
  <c r="BI495" i="1"/>
  <c r="BH495" i="1"/>
  <c r="BG495" i="1"/>
  <c r="BF495" i="1"/>
  <c r="BE495" i="1"/>
  <c r="BD495" i="1"/>
  <c r="BB495" i="1"/>
  <c r="BA495" i="1"/>
  <c r="AZ495" i="1"/>
  <c r="AY495" i="1"/>
  <c r="AX495" i="1"/>
  <c r="AW495" i="1"/>
  <c r="AV495" i="1"/>
  <c r="AU495" i="1"/>
  <c r="AT495" i="1"/>
  <c r="AS495" i="1"/>
  <c r="AR495" i="1"/>
  <c r="AQ495" i="1"/>
  <c r="AP495" i="1"/>
  <c r="AO495" i="1"/>
  <c r="AN495" i="1"/>
  <c r="AM495" i="1"/>
  <c r="AL495" i="1"/>
  <c r="AK495" i="1"/>
  <c r="AJ495" i="1"/>
  <c r="AI495" i="1"/>
  <c r="AH495" i="1"/>
  <c r="AG495" i="1"/>
  <c r="AF495" i="1"/>
  <c r="AE495" i="1"/>
  <c r="AD495" i="1"/>
  <c r="AC495" i="1"/>
  <c r="AB495" i="1"/>
  <c r="AA495" i="1"/>
  <c r="Z495" i="1"/>
  <c r="Y495" i="1"/>
  <c r="X495" i="1"/>
  <c r="W495" i="1"/>
  <c r="V495" i="1"/>
  <c r="U495" i="1"/>
  <c r="T495" i="1"/>
  <c r="S495" i="1"/>
  <c r="M495" i="1"/>
  <c r="L495" i="1"/>
  <c r="K495" i="1"/>
  <c r="J495" i="1"/>
  <c r="I495" i="1"/>
  <c r="H495" i="1"/>
  <c r="I474" i="1"/>
  <c r="H474" i="1"/>
  <c r="I473" i="1"/>
  <c r="H473" i="1"/>
  <c r="I472" i="1"/>
  <c r="H472" i="1"/>
  <c r="I471" i="1"/>
  <c r="H471" i="1"/>
  <c r="I470" i="1"/>
  <c r="H470" i="1"/>
  <c r="BB469" i="1"/>
  <c r="BA469" i="1"/>
  <c r="AZ469" i="1"/>
  <c r="AY469" i="1"/>
  <c r="AX469" i="1"/>
  <c r="AW469" i="1"/>
  <c r="AV469" i="1"/>
  <c r="AU469" i="1"/>
  <c r="AT469" i="1"/>
  <c r="AS469" i="1"/>
  <c r="AR469" i="1"/>
  <c r="AQ469" i="1"/>
  <c r="AP469" i="1"/>
  <c r="AO469" i="1"/>
  <c r="AN469" i="1"/>
  <c r="AM469" i="1"/>
  <c r="AL469" i="1"/>
  <c r="AK469" i="1"/>
  <c r="AJ469" i="1"/>
  <c r="AI469" i="1"/>
  <c r="AH469" i="1"/>
  <c r="AG469" i="1"/>
  <c r="AF469" i="1"/>
  <c r="AE469" i="1"/>
  <c r="AD469" i="1"/>
  <c r="AC469" i="1"/>
  <c r="AB469" i="1"/>
  <c r="AA469" i="1"/>
  <c r="Z469" i="1"/>
  <c r="Y469" i="1"/>
  <c r="M469" i="1"/>
  <c r="L469" i="1"/>
  <c r="K469" i="1"/>
  <c r="J469" i="1"/>
  <c r="I469" i="1"/>
  <c r="H469" i="1"/>
  <c r="X468" i="1"/>
  <c r="W468" i="1"/>
  <c r="V468" i="1"/>
  <c r="U468" i="1"/>
  <c r="T468" i="1"/>
  <c r="S468" i="1"/>
  <c r="I468" i="1"/>
  <c r="H468" i="1"/>
  <c r="E468" i="1"/>
  <c r="BB467" i="1"/>
  <c r="BA467" i="1"/>
  <c r="AZ467" i="1"/>
  <c r="AY467" i="1"/>
  <c r="AX467" i="1"/>
  <c r="AW467" i="1"/>
  <c r="AV467" i="1"/>
  <c r="AU467" i="1"/>
  <c r="AT467" i="1"/>
  <c r="AS467" i="1"/>
  <c r="AR467" i="1"/>
  <c r="AQ467" i="1"/>
  <c r="AP467" i="1"/>
  <c r="AO467" i="1"/>
  <c r="AN467" i="1"/>
  <c r="AM467" i="1"/>
  <c r="AL467" i="1"/>
  <c r="AK467" i="1"/>
  <c r="AJ467" i="1"/>
  <c r="AI467" i="1"/>
  <c r="AH467" i="1"/>
  <c r="AG467" i="1"/>
  <c r="AF467" i="1"/>
  <c r="AE467" i="1"/>
  <c r="AD467" i="1"/>
  <c r="AC467" i="1"/>
  <c r="AB467" i="1"/>
  <c r="AA467" i="1"/>
  <c r="Z467" i="1"/>
  <c r="Y467" i="1"/>
  <c r="X467" i="1"/>
  <c r="W467" i="1"/>
  <c r="V467" i="1"/>
  <c r="U467" i="1"/>
  <c r="T467" i="1"/>
  <c r="S467" i="1"/>
  <c r="ML446" i="1"/>
  <c r="MK446" i="1"/>
  <c r="MJ446" i="1"/>
  <c r="MI446" i="1"/>
  <c r="MH446" i="1"/>
  <c r="MG446" i="1"/>
  <c r="MF446" i="1"/>
  <c r="ME446" i="1"/>
  <c r="MD446" i="1"/>
  <c r="MC446" i="1"/>
  <c r="MB446" i="1"/>
  <c r="MA446" i="1"/>
  <c r="LZ446" i="1"/>
  <c r="LY446" i="1"/>
  <c r="LX446" i="1"/>
  <c r="LW446" i="1"/>
  <c r="LV446" i="1"/>
  <c r="LU446" i="1"/>
  <c r="LT446" i="1"/>
  <c r="LS446" i="1"/>
  <c r="LR446" i="1"/>
  <c r="LQ446" i="1"/>
  <c r="LP446" i="1"/>
  <c r="LO446" i="1"/>
  <c r="LN446" i="1"/>
  <c r="LM446" i="1"/>
  <c r="LL446" i="1"/>
  <c r="LK446" i="1"/>
  <c r="LJ446" i="1"/>
  <c r="LI446" i="1"/>
  <c r="LH446" i="1"/>
  <c r="LG446" i="1"/>
  <c r="LF446" i="1"/>
  <c r="LE446" i="1"/>
  <c r="LD446" i="1"/>
  <c r="LC446" i="1"/>
  <c r="LA446" i="1"/>
  <c r="KZ446" i="1"/>
  <c r="KY446" i="1"/>
  <c r="KX446" i="1"/>
  <c r="KW446" i="1"/>
  <c r="KV446" i="1"/>
  <c r="KU446" i="1"/>
  <c r="KT446" i="1"/>
  <c r="KS446" i="1"/>
  <c r="KR446" i="1"/>
  <c r="KQ446" i="1"/>
  <c r="KP446" i="1"/>
  <c r="KO446" i="1"/>
  <c r="KN446" i="1"/>
  <c r="KM446" i="1"/>
  <c r="KL446" i="1"/>
  <c r="KK446" i="1"/>
  <c r="KJ446" i="1"/>
  <c r="KI446" i="1"/>
  <c r="KH446" i="1"/>
  <c r="KG446" i="1"/>
  <c r="KF446" i="1"/>
  <c r="KE446" i="1"/>
  <c r="KD446" i="1"/>
  <c r="KC446" i="1"/>
  <c r="KB446" i="1"/>
  <c r="KA446" i="1"/>
  <c r="JZ446" i="1"/>
  <c r="JY446" i="1"/>
  <c r="JX446" i="1"/>
  <c r="JW446" i="1"/>
  <c r="JV446" i="1"/>
  <c r="JU446" i="1"/>
  <c r="JT446" i="1"/>
  <c r="JS446" i="1"/>
  <c r="JR446" i="1"/>
  <c r="JP446" i="1"/>
  <c r="JO446" i="1"/>
  <c r="JN446" i="1"/>
  <c r="JM446" i="1"/>
  <c r="JL446" i="1"/>
  <c r="JK446" i="1"/>
  <c r="JJ446" i="1"/>
  <c r="JI446" i="1"/>
  <c r="JH446" i="1"/>
  <c r="JG446" i="1"/>
  <c r="JF446" i="1"/>
  <c r="JE446" i="1"/>
  <c r="JD446" i="1"/>
  <c r="JC446" i="1"/>
  <c r="JB446" i="1"/>
  <c r="JA446" i="1"/>
  <c r="IZ446" i="1"/>
  <c r="IY446" i="1"/>
  <c r="IX446" i="1"/>
  <c r="IW446" i="1"/>
  <c r="IV446" i="1"/>
  <c r="IU446" i="1"/>
  <c r="IT446" i="1"/>
  <c r="IS446" i="1"/>
  <c r="IR446" i="1"/>
  <c r="IQ446" i="1"/>
  <c r="IP446" i="1"/>
  <c r="IO446" i="1"/>
  <c r="IN446" i="1"/>
  <c r="IM446" i="1"/>
  <c r="IL446" i="1"/>
  <c r="IK446" i="1"/>
  <c r="IJ446" i="1"/>
  <c r="II446" i="1"/>
  <c r="IH446" i="1"/>
  <c r="IG446" i="1"/>
  <c r="IE446" i="1"/>
  <c r="ID446" i="1"/>
  <c r="IC446" i="1"/>
  <c r="IB446" i="1"/>
  <c r="IA446" i="1"/>
  <c r="HZ446" i="1"/>
  <c r="HY446" i="1"/>
  <c r="HX446" i="1"/>
  <c r="HW446" i="1"/>
  <c r="HV446" i="1"/>
  <c r="HU446" i="1"/>
  <c r="HT446" i="1"/>
  <c r="HS446" i="1"/>
  <c r="HR446" i="1"/>
  <c r="HQ446" i="1"/>
  <c r="HP446" i="1"/>
  <c r="HO446" i="1"/>
  <c r="HN446" i="1"/>
  <c r="HM446" i="1"/>
  <c r="HL446" i="1"/>
  <c r="HK446" i="1"/>
  <c r="HJ446" i="1"/>
  <c r="HI446" i="1"/>
  <c r="HH446" i="1"/>
  <c r="HG446" i="1"/>
  <c r="HF446" i="1"/>
  <c r="HE446" i="1"/>
  <c r="HD446" i="1"/>
  <c r="HC446" i="1"/>
  <c r="HB446" i="1"/>
  <c r="HA446" i="1"/>
  <c r="GZ446" i="1"/>
  <c r="GY446" i="1"/>
  <c r="GX446" i="1"/>
  <c r="GW446" i="1"/>
  <c r="GV446" i="1"/>
  <c r="GT446" i="1"/>
  <c r="GS446" i="1"/>
  <c r="GR446" i="1"/>
  <c r="GQ446" i="1"/>
  <c r="GP446" i="1"/>
  <c r="GO446" i="1"/>
  <c r="GN446" i="1"/>
  <c r="GM446" i="1"/>
  <c r="GL446" i="1"/>
  <c r="GK446" i="1"/>
  <c r="GJ446" i="1"/>
  <c r="GI446" i="1"/>
  <c r="GH446" i="1"/>
  <c r="GG446" i="1"/>
  <c r="GF446" i="1"/>
  <c r="GE446" i="1"/>
  <c r="GD446" i="1"/>
  <c r="GC446" i="1"/>
  <c r="GB446" i="1"/>
  <c r="GA446" i="1"/>
  <c r="FZ446" i="1"/>
  <c r="FY446" i="1"/>
  <c r="FX446" i="1"/>
  <c r="FW446" i="1"/>
  <c r="FV446" i="1"/>
  <c r="FU446" i="1"/>
  <c r="FT446" i="1"/>
  <c r="FS446" i="1"/>
  <c r="FR446" i="1"/>
  <c r="FQ446" i="1"/>
  <c r="FP446" i="1"/>
  <c r="FO446" i="1"/>
  <c r="FN446" i="1"/>
  <c r="FM446" i="1"/>
  <c r="FL446" i="1"/>
  <c r="FK446" i="1"/>
  <c r="FI446" i="1"/>
  <c r="FH446" i="1"/>
  <c r="FG446" i="1"/>
  <c r="FF446" i="1"/>
  <c r="FE446" i="1"/>
  <c r="FD446" i="1"/>
  <c r="FC446" i="1"/>
  <c r="FB446" i="1"/>
  <c r="FA446" i="1"/>
  <c r="EZ446" i="1"/>
  <c r="EY446" i="1"/>
  <c r="EX446" i="1"/>
  <c r="EW446" i="1"/>
  <c r="EV446" i="1"/>
  <c r="EU446" i="1"/>
  <c r="ET446" i="1"/>
  <c r="ES446" i="1"/>
  <c r="ER446" i="1"/>
  <c r="EQ446" i="1"/>
  <c r="EP446" i="1"/>
  <c r="EO446" i="1"/>
  <c r="EN446" i="1"/>
  <c r="EM446" i="1"/>
  <c r="EL446" i="1"/>
  <c r="EK446" i="1"/>
  <c r="EJ446" i="1"/>
  <c r="EI446" i="1"/>
  <c r="EH446" i="1"/>
  <c r="EG446" i="1"/>
  <c r="EF446" i="1"/>
  <c r="EE446" i="1"/>
  <c r="ED446" i="1"/>
  <c r="EC446" i="1"/>
  <c r="EB446" i="1"/>
  <c r="EA446" i="1"/>
  <c r="DZ446" i="1"/>
  <c r="DX446" i="1"/>
  <c r="DW446" i="1"/>
  <c r="DV446" i="1"/>
  <c r="DU446" i="1"/>
  <c r="DT446" i="1"/>
  <c r="DS446" i="1"/>
  <c r="DR446" i="1"/>
  <c r="DQ446" i="1"/>
  <c r="DP446" i="1"/>
  <c r="DO446" i="1"/>
  <c r="DN446" i="1"/>
  <c r="DM446" i="1"/>
  <c r="DL446" i="1"/>
  <c r="DK446" i="1"/>
  <c r="DJ446" i="1"/>
  <c r="DI446" i="1"/>
  <c r="DH446" i="1"/>
  <c r="DG446" i="1"/>
  <c r="DF446" i="1"/>
  <c r="DE446" i="1"/>
  <c r="DD446" i="1"/>
  <c r="DC446" i="1"/>
  <c r="DB446" i="1"/>
  <c r="DA446" i="1"/>
  <c r="CZ446" i="1"/>
  <c r="CY446" i="1"/>
  <c r="CX446" i="1"/>
  <c r="CW446" i="1"/>
  <c r="CV446" i="1"/>
  <c r="CU446" i="1"/>
  <c r="CT446" i="1"/>
  <c r="CS446" i="1"/>
  <c r="CR446" i="1"/>
  <c r="CQ446" i="1"/>
  <c r="CP446" i="1"/>
  <c r="CO446" i="1"/>
  <c r="CM446" i="1"/>
  <c r="CL446" i="1"/>
  <c r="CK446" i="1"/>
  <c r="CJ446" i="1"/>
  <c r="CI446" i="1"/>
  <c r="CH446" i="1"/>
  <c r="CG446" i="1"/>
  <c r="CF446" i="1"/>
  <c r="CE446" i="1"/>
  <c r="CD446" i="1"/>
  <c r="CC446" i="1"/>
  <c r="CB446" i="1"/>
  <c r="CA446" i="1"/>
  <c r="BZ446" i="1"/>
  <c r="BY446" i="1"/>
  <c r="BX446" i="1"/>
  <c r="BW446" i="1"/>
  <c r="BV446" i="1"/>
  <c r="BU446" i="1"/>
  <c r="BT446" i="1"/>
  <c r="BS446" i="1"/>
  <c r="BR446" i="1"/>
  <c r="BQ446" i="1"/>
  <c r="BP446" i="1"/>
  <c r="BO446" i="1"/>
  <c r="BN446" i="1"/>
  <c r="BM446" i="1"/>
  <c r="BL446" i="1"/>
  <c r="BK446" i="1"/>
  <c r="BJ446" i="1"/>
  <c r="BI446" i="1"/>
  <c r="BH446" i="1"/>
  <c r="BG446" i="1"/>
  <c r="BF446" i="1"/>
  <c r="BE446" i="1"/>
  <c r="BD446" i="1"/>
  <c r="BB446" i="1"/>
  <c r="BA446" i="1"/>
  <c r="AZ446" i="1"/>
  <c r="AY446" i="1"/>
  <c r="AX446" i="1"/>
  <c r="AW446" i="1"/>
  <c r="AV446" i="1"/>
  <c r="AU446" i="1"/>
  <c r="AT446" i="1"/>
  <c r="AS446" i="1"/>
  <c r="AR446" i="1"/>
  <c r="AQ446" i="1"/>
  <c r="AP446" i="1"/>
  <c r="AO446" i="1"/>
  <c r="AN446" i="1"/>
  <c r="AM446" i="1"/>
  <c r="AL446" i="1"/>
  <c r="AK446" i="1"/>
  <c r="AJ446" i="1"/>
  <c r="AI446" i="1"/>
  <c r="AH446" i="1"/>
  <c r="AG446" i="1"/>
  <c r="AF446" i="1"/>
  <c r="AE446" i="1"/>
  <c r="AD446" i="1"/>
  <c r="AC446" i="1"/>
  <c r="AB446" i="1"/>
  <c r="AA446" i="1"/>
  <c r="Z446" i="1"/>
  <c r="Y446" i="1"/>
  <c r="X446" i="1"/>
  <c r="W446" i="1"/>
  <c r="V446" i="1"/>
  <c r="U446" i="1"/>
  <c r="T446" i="1"/>
  <c r="S446" i="1"/>
  <c r="M446" i="1"/>
  <c r="L446" i="1"/>
  <c r="K446" i="1"/>
  <c r="J446" i="1"/>
  <c r="I446" i="1"/>
  <c r="H446" i="1"/>
  <c r="BB437" i="1"/>
  <c r="BB776" i="1" s="1"/>
  <c r="BA437" i="1"/>
  <c r="BA776" i="1" s="1"/>
  <c r="AZ437" i="1"/>
  <c r="AZ776" i="1" s="1"/>
  <c r="AY437" i="1"/>
  <c r="AY776" i="1" s="1"/>
  <c r="AX437" i="1"/>
  <c r="AX776" i="1" s="1"/>
  <c r="AW437" i="1"/>
  <c r="AW776" i="1" s="1"/>
  <c r="AV437" i="1"/>
  <c r="AV776" i="1" s="1"/>
  <c r="AU437" i="1"/>
  <c r="AU776" i="1" s="1"/>
  <c r="AT437" i="1"/>
  <c r="AT776" i="1" s="1"/>
  <c r="AS437" i="1"/>
  <c r="AS776" i="1" s="1"/>
  <c r="AR437" i="1"/>
  <c r="AR776" i="1" s="1"/>
  <c r="AQ437" i="1"/>
  <c r="AQ776" i="1" s="1"/>
  <c r="AP437" i="1"/>
  <c r="AP776" i="1" s="1"/>
  <c r="AO437" i="1"/>
  <c r="AO776" i="1" s="1"/>
  <c r="AN437" i="1"/>
  <c r="AN776" i="1" s="1"/>
  <c r="AM437" i="1"/>
  <c r="AM776" i="1" s="1"/>
  <c r="AL437" i="1"/>
  <c r="AL776" i="1" s="1"/>
  <c r="AK437" i="1"/>
  <c r="AK776" i="1" s="1"/>
  <c r="AJ437" i="1"/>
  <c r="AJ776" i="1" s="1"/>
  <c r="AI437" i="1"/>
  <c r="AI776" i="1" s="1"/>
  <c r="AH437" i="1"/>
  <c r="AH776" i="1" s="1"/>
  <c r="AG437" i="1"/>
  <c r="AG776" i="1" s="1"/>
  <c r="AF437" i="1"/>
  <c r="AF776" i="1" s="1"/>
  <c r="AE437" i="1"/>
  <c r="AE776" i="1" s="1"/>
  <c r="AD437" i="1"/>
  <c r="AD776" i="1" s="1"/>
  <c r="AC437" i="1"/>
  <c r="AC776" i="1" s="1"/>
  <c r="AB437" i="1"/>
  <c r="AB776" i="1" s="1"/>
  <c r="AA437" i="1"/>
  <c r="AA776" i="1" s="1"/>
  <c r="Z437" i="1"/>
  <c r="Z776" i="1" s="1"/>
  <c r="Y437" i="1"/>
  <c r="Y776" i="1" s="1"/>
  <c r="X437" i="1"/>
  <c r="X776" i="1" s="1"/>
  <c r="ML428" i="1"/>
  <c r="MK428" i="1"/>
  <c r="MJ428" i="1"/>
  <c r="MI428" i="1"/>
  <c r="MH428" i="1"/>
  <c r="MG428" i="1"/>
  <c r="MF428" i="1"/>
  <c r="ME428" i="1"/>
  <c r="MD428" i="1"/>
  <c r="MC428" i="1"/>
  <c r="MB428" i="1"/>
  <c r="MA428" i="1"/>
  <c r="LZ428" i="1"/>
  <c r="LY428" i="1"/>
  <c r="LX428" i="1"/>
  <c r="LW428" i="1"/>
  <c r="LV428" i="1"/>
  <c r="LU428" i="1"/>
  <c r="LT428" i="1"/>
  <c r="LS428" i="1"/>
  <c r="LR428" i="1"/>
  <c r="LQ428" i="1"/>
  <c r="LP428" i="1"/>
  <c r="LO428" i="1"/>
  <c r="LN428" i="1"/>
  <c r="LM428" i="1"/>
  <c r="LL428" i="1"/>
  <c r="LK428" i="1"/>
  <c r="LJ428" i="1"/>
  <c r="LI428" i="1"/>
  <c r="LH428" i="1"/>
  <c r="LG428" i="1"/>
  <c r="LF428" i="1"/>
  <c r="LE428" i="1"/>
  <c r="LD428" i="1"/>
  <c r="LC428" i="1"/>
  <c r="LA428" i="1"/>
  <c r="KZ428" i="1"/>
  <c r="KY428" i="1"/>
  <c r="KX428" i="1"/>
  <c r="KW428" i="1"/>
  <c r="KV428" i="1"/>
  <c r="KU428" i="1"/>
  <c r="KT428" i="1"/>
  <c r="KS428" i="1"/>
  <c r="KR428" i="1"/>
  <c r="KQ428" i="1"/>
  <c r="KP428" i="1"/>
  <c r="KO428" i="1"/>
  <c r="KN428" i="1"/>
  <c r="KM428" i="1"/>
  <c r="KL428" i="1"/>
  <c r="KK428" i="1"/>
  <c r="KJ428" i="1"/>
  <c r="KI428" i="1"/>
  <c r="KH428" i="1"/>
  <c r="KG428" i="1"/>
  <c r="KF428" i="1"/>
  <c r="KE428" i="1"/>
  <c r="KD428" i="1"/>
  <c r="KC428" i="1"/>
  <c r="KB428" i="1"/>
  <c r="KA428" i="1"/>
  <c r="JZ428" i="1"/>
  <c r="JY428" i="1"/>
  <c r="JX428" i="1"/>
  <c r="JW428" i="1"/>
  <c r="JV428" i="1"/>
  <c r="JU428" i="1"/>
  <c r="JT428" i="1"/>
  <c r="JS428" i="1"/>
  <c r="JR428" i="1"/>
  <c r="JP428" i="1"/>
  <c r="JO428" i="1"/>
  <c r="JN428" i="1"/>
  <c r="JM428" i="1"/>
  <c r="JL428" i="1"/>
  <c r="JK428" i="1"/>
  <c r="JJ428" i="1"/>
  <c r="JI428" i="1"/>
  <c r="JH428" i="1"/>
  <c r="JG428" i="1"/>
  <c r="JF428" i="1"/>
  <c r="JE428" i="1"/>
  <c r="JD428" i="1"/>
  <c r="JC428" i="1"/>
  <c r="JB428" i="1"/>
  <c r="JA428" i="1"/>
  <c r="IZ428" i="1"/>
  <c r="IY428" i="1"/>
  <c r="IX428" i="1"/>
  <c r="IW428" i="1"/>
  <c r="IV428" i="1"/>
  <c r="IU428" i="1"/>
  <c r="IT428" i="1"/>
  <c r="IS428" i="1"/>
  <c r="IR428" i="1"/>
  <c r="IQ428" i="1"/>
  <c r="IP428" i="1"/>
  <c r="IO428" i="1"/>
  <c r="IN428" i="1"/>
  <c r="IM428" i="1"/>
  <c r="IL428" i="1"/>
  <c r="IK428" i="1"/>
  <c r="IJ428" i="1"/>
  <c r="II428" i="1"/>
  <c r="IH428" i="1"/>
  <c r="IG428" i="1"/>
  <c r="IE428" i="1"/>
  <c r="ID428" i="1"/>
  <c r="IC428" i="1"/>
  <c r="IB428" i="1"/>
  <c r="IA428" i="1"/>
  <c r="HZ428" i="1"/>
  <c r="HY428" i="1"/>
  <c r="HX428" i="1"/>
  <c r="HW428" i="1"/>
  <c r="HV428" i="1"/>
  <c r="HU428" i="1"/>
  <c r="HT428" i="1"/>
  <c r="HS428" i="1"/>
  <c r="HR428" i="1"/>
  <c r="HQ428" i="1"/>
  <c r="HP428" i="1"/>
  <c r="HO428" i="1"/>
  <c r="HN428" i="1"/>
  <c r="HM428" i="1"/>
  <c r="HL428" i="1"/>
  <c r="HK428" i="1"/>
  <c r="HJ428" i="1"/>
  <c r="HI428" i="1"/>
  <c r="HH428" i="1"/>
  <c r="HG428" i="1"/>
  <c r="HF428" i="1"/>
  <c r="HE428" i="1"/>
  <c r="HD428" i="1"/>
  <c r="HC428" i="1"/>
  <c r="HB428" i="1"/>
  <c r="HA428" i="1"/>
  <c r="GZ428" i="1"/>
  <c r="GY428" i="1"/>
  <c r="GX428" i="1"/>
  <c r="GW428" i="1"/>
  <c r="GV428" i="1"/>
  <c r="GT428" i="1"/>
  <c r="GS428" i="1"/>
  <c r="GR428" i="1"/>
  <c r="GQ428" i="1"/>
  <c r="GP428" i="1"/>
  <c r="GO428" i="1"/>
  <c r="GN428" i="1"/>
  <c r="GM428" i="1"/>
  <c r="GL428" i="1"/>
  <c r="GK428" i="1"/>
  <c r="GJ428" i="1"/>
  <c r="GI428" i="1"/>
  <c r="GH428" i="1"/>
  <c r="GG428" i="1"/>
  <c r="GF428" i="1"/>
  <c r="GE428" i="1"/>
  <c r="GD428" i="1"/>
  <c r="GC428" i="1"/>
  <c r="GB428" i="1"/>
  <c r="GA428" i="1"/>
  <c r="FZ428" i="1"/>
  <c r="FY428" i="1"/>
  <c r="FX428" i="1"/>
  <c r="FW428" i="1"/>
  <c r="FV428" i="1"/>
  <c r="FU428" i="1"/>
  <c r="FT428" i="1"/>
  <c r="FS428" i="1"/>
  <c r="FR428" i="1"/>
  <c r="FQ428" i="1"/>
  <c r="FP428" i="1"/>
  <c r="FO428" i="1"/>
  <c r="FN428" i="1"/>
  <c r="FM428" i="1"/>
  <c r="FL428" i="1"/>
  <c r="FK428" i="1"/>
  <c r="FI428" i="1"/>
  <c r="FH428" i="1"/>
  <c r="FG428" i="1"/>
  <c r="FF428" i="1"/>
  <c r="FE428" i="1"/>
  <c r="FD428" i="1"/>
  <c r="FC428" i="1"/>
  <c r="FB428" i="1"/>
  <c r="FA428" i="1"/>
  <c r="EZ428" i="1"/>
  <c r="EY428" i="1"/>
  <c r="EX428" i="1"/>
  <c r="EW428" i="1"/>
  <c r="EV428" i="1"/>
  <c r="EU428" i="1"/>
  <c r="ET428" i="1"/>
  <c r="ES428" i="1"/>
  <c r="ER428" i="1"/>
  <c r="EQ428" i="1"/>
  <c r="EP428" i="1"/>
  <c r="EO428" i="1"/>
  <c r="EN428" i="1"/>
  <c r="EM428" i="1"/>
  <c r="EL428" i="1"/>
  <c r="EK428" i="1"/>
  <c r="EJ428" i="1"/>
  <c r="EI428" i="1"/>
  <c r="EH428" i="1"/>
  <c r="EG428" i="1"/>
  <c r="EF428" i="1"/>
  <c r="EE428" i="1"/>
  <c r="ED428" i="1"/>
  <c r="EC428" i="1"/>
  <c r="EB428" i="1"/>
  <c r="EA428" i="1"/>
  <c r="DZ428" i="1"/>
  <c r="DX428" i="1"/>
  <c r="DW428" i="1"/>
  <c r="DV428" i="1"/>
  <c r="DU428" i="1"/>
  <c r="DT428" i="1"/>
  <c r="DS428" i="1"/>
  <c r="DR428" i="1"/>
  <c r="DQ428" i="1"/>
  <c r="DP428" i="1"/>
  <c r="DO428" i="1"/>
  <c r="DN428" i="1"/>
  <c r="DM428" i="1"/>
  <c r="DL428" i="1"/>
  <c r="DK428" i="1"/>
  <c r="DJ428" i="1"/>
  <c r="DI428" i="1"/>
  <c r="DH428" i="1"/>
  <c r="DG428" i="1"/>
  <c r="DF428" i="1"/>
  <c r="DE428" i="1"/>
  <c r="DD428" i="1"/>
  <c r="DC428" i="1"/>
  <c r="DB428" i="1"/>
  <c r="DA428" i="1"/>
  <c r="CZ428" i="1"/>
  <c r="CY428" i="1"/>
  <c r="CX428" i="1"/>
  <c r="CW428" i="1"/>
  <c r="CV428" i="1"/>
  <c r="CU428" i="1"/>
  <c r="CT428" i="1"/>
  <c r="CS428" i="1"/>
  <c r="CR428" i="1"/>
  <c r="CQ428" i="1"/>
  <c r="CP428" i="1"/>
  <c r="CO428" i="1"/>
  <c r="CM428" i="1"/>
  <c r="CL428" i="1"/>
  <c r="CK428" i="1"/>
  <c r="CJ428" i="1"/>
  <c r="CI428" i="1"/>
  <c r="CH428" i="1"/>
  <c r="CG428" i="1"/>
  <c r="CF428" i="1"/>
  <c r="CE428" i="1"/>
  <c r="CD428" i="1"/>
  <c r="CC428" i="1"/>
  <c r="CB428" i="1"/>
  <c r="CA428" i="1"/>
  <c r="BZ428" i="1"/>
  <c r="BY428" i="1"/>
  <c r="BX428" i="1"/>
  <c r="BW428" i="1"/>
  <c r="BV428" i="1"/>
  <c r="BU428" i="1"/>
  <c r="BT428" i="1"/>
  <c r="BS428" i="1"/>
  <c r="BR428" i="1"/>
  <c r="BQ428" i="1"/>
  <c r="BP428" i="1"/>
  <c r="BO428" i="1"/>
  <c r="BN428" i="1"/>
  <c r="BM428" i="1"/>
  <c r="BL428" i="1"/>
  <c r="BK428" i="1"/>
  <c r="BJ428" i="1"/>
  <c r="BI428" i="1"/>
  <c r="BH428" i="1"/>
  <c r="BG428" i="1"/>
  <c r="BF428" i="1"/>
  <c r="BE428" i="1"/>
  <c r="BD428" i="1"/>
  <c r="BB428" i="1"/>
  <c r="BA428" i="1"/>
  <c r="AZ428" i="1"/>
  <c r="AY428" i="1"/>
  <c r="AX428" i="1"/>
  <c r="AW428" i="1"/>
  <c r="AV428" i="1"/>
  <c r="AU428" i="1"/>
  <c r="AT428" i="1"/>
  <c r="AS428" i="1"/>
  <c r="AR428" i="1"/>
  <c r="AQ428" i="1"/>
  <c r="AP428" i="1"/>
  <c r="AO428" i="1"/>
  <c r="AN428" i="1"/>
  <c r="AM428" i="1"/>
  <c r="AL428" i="1"/>
  <c r="AK428" i="1"/>
  <c r="AJ428" i="1"/>
  <c r="AI428" i="1"/>
  <c r="AH428" i="1"/>
  <c r="AG428" i="1"/>
  <c r="AF428" i="1"/>
  <c r="AE428" i="1"/>
  <c r="AD428" i="1"/>
  <c r="AC428" i="1"/>
  <c r="AB428" i="1"/>
  <c r="AA428" i="1"/>
  <c r="Z428" i="1"/>
  <c r="Y428" i="1"/>
  <c r="X428" i="1"/>
  <c r="W428" i="1"/>
  <c r="V428" i="1"/>
  <c r="U428" i="1"/>
  <c r="T428" i="1"/>
  <c r="S428" i="1"/>
  <c r="M428" i="1"/>
  <c r="L428" i="1"/>
  <c r="K428" i="1"/>
  <c r="J428" i="1"/>
  <c r="I428" i="1"/>
  <c r="H428" i="1"/>
  <c r="BB421" i="1"/>
  <c r="BB775" i="1" s="1"/>
  <c r="BA421" i="1"/>
  <c r="BA775" i="1" s="1"/>
  <c r="AZ421" i="1"/>
  <c r="AZ775" i="1" s="1"/>
  <c r="AY421" i="1"/>
  <c r="AY775" i="1" s="1"/>
  <c r="AX421" i="1"/>
  <c r="AX775" i="1" s="1"/>
  <c r="AW421" i="1"/>
  <c r="AW775" i="1" s="1"/>
  <c r="AV421" i="1"/>
  <c r="AV775" i="1" s="1"/>
  <c r="AU421" i="1"/>
  <c r="AU775" i="1" s="1"/>
  <c r="AT421" i="1"/>
  <c r="AT775" i="1" s="1"/>
  <c r="AS421" i="1"/>
  <c r="AS775" i="1" s="1"/>
  <c r="AR421" i="1"/>
  <c r="AR775" i="1" s="1"/>
  <c r="AQ421" i="1"/>
  <c r="AQ775" i="1" s="1"/>
  <c r="AP421" i="1"/>
  <c r="AP775" i="1" s="1"/>
  <c r="AO421" i="1"/>
  <c r="AO775" i="1" s="1"/>
  <c r="AN421" i="1"/>
  <c r="AN775" i="1" s="1"/>
  <c r="AM421" i="1"/>
  <c r="AM775" i="1" s="1"/>
  <c r="AL421" i="1"/>
  <c r="AL775" i="1" s="1"/>
  <c r="AK421" i="1"/>
  <c r="AK775" i="1" s="1"/>
  <c r="AJ421" i="1"/>
  <c r="AJ775" i="1" s="1"/>
  <c r="AI421" i="1"/>
  <c r="AI775" i="1" s="1"/>
  <c r="AH421" i="1"/>
  <c r="AH775" i="1" s="1"/>
  <c r="AG421" i="1"/>
  <c r="AG775" i="1" s="1"/>
  <c r="AF421" i="1"/>
  <c r="AF775" i="1" s="1"/>
  <c r="AE421" i="1"/>
  <c r="AE775" i="1" s="1"/>
  <c r="AD421" i="1"/>
  <c r="AD775" i="1" s="1"/>
  <c r="AC421" i="1"/>
  <c r="AC775" i="1" s="1"/>
  <c r="AB421" i="1"/>
  <c r="AB775" i="1" s="1"/>
  <c r="AA421" i="1"/>
  <c r="AA775" i="1" s="1"/>
  <c r="Z421" i="1"/>
  <c r="Z775" i="1" s="1"/>
  <c r="Y421" i="1"/>
  <c r="Y775" i="1" s="1"/>
  <c r="X421" i="1"/>
  <c r="X775" i="1" s="1"/>
  <c r="ML412" i="1"/>
  <c r="MK412" i="1"/>
  <c r="MJ412" i="1"/>
  <c r="MI412" i="1"/>
  <c r="MH412" i="1"/>
  <c r="MG412" i="1"/>
  <c r="MF412" i="1"/>
  <c r="ME412" i="1"/>
  <c r="MD412" i="1"/>
  <c r="MC412" i="1"/>
  <c r="MB412" i="1"/>
  <c r="MA412" i="1"/>
  <c r="LZ412" i="1"/>
  <c r="LY412" i="1"/>
  <c r="LX412" i="1"/>
  <c r="LW412" i="1"/>
  <c r="LV412" i="1"/>
  <c r="LU412" i="1"/>
  <c r="LT412" i="1"/>
  <c r="LS412" i="1"/>
  <c r="LR412" i="1"/>
  <c r="LQ412" i="1"/>
  <c r="LP412" i="1"/>
  <c r="LO412" i="1"/>
  <c r="LN412" i="1"/>
  <c r="LM412" i="1"/>
  <c r="LL412" i="1"/>
  <c r="LK412" i="1"/>
  <c r="LJ412" i="1"/>
  <c r="LI412" i="1"/>
  <c r="LH412" i="1"/>
  <c r="LG412" i="1"/>
  <c r="LF412" i="1"/>
  <c r="LE412" i="1"/>
  <c r="LD412" i="1"/>
  <c r="LC412" i="1"/>
  <c r="LA412" i="1"/>
  <c r="KZ412" i="1"/>
  <c r="KY412" i="1"/>
  <c r="KX412" i="1"/>
  <c r="KW412" i="1"/>
  <c r="KV412" i="1"/>
  <c r="KU412" i="1"/>
  <c r="KT412" i="1"/>
  <c r="KS412" i="1"/>
  <c r="KR412" i="1"/>
  <c r="KQ412" i="1"/>
  <c r="KP412" i="1"/>
  <c r="KO412" i="1"/>
  <c r="KN412" i="1"/>
  <c r="KM412" i="1"/>
  <c r="KL412" i="1"/>
  <c r="KK412" i="1"/>
  <c r="KJ412" i="1"/>
  <c r="KI412" i="1"/>
  <c r="KH412" i="1"/>
  <c r="KG412" i="1"/>
  <c r="KF412" i="1"/>
  <c r="KE412" i="1"/>
  <c r="KD412" i="1"/>
  <c r="KC412" i="1"/>
  <c r="KB412" i="1"/>
  <c r="KA412" i="1"/>
  <c r="JZ412" i="1"/>
  <c r="JY412" i="1"/>
  <c r="JX412" i="1"/>
  <c r="JW412" i="1"/>
  <c r="JV412" i="1"/>
  <c r="JU412" i="1"/>
  <c r="JT412" i="1"/>
  <c r="JS412" i="1"/>
  <c r="JR412" i="1"/>
  <c r="JP412" i="1"/>
  <c r="JO412" i="1"/>
  <c r="JN412" i="1"/>
  <c r="JM412" i="1"/>
  <c r="JL412" i="1"/>
  <c r="JK412" i="1"/>
  <c r="JJ412" i="1"/>
  <c r="JI412" i="1"/>
  <c r="JH412" i="1"/>
  <c r="JG412" i="1"/>
  <c r="JF412" i="1"/>
  <c r="JE412" i="1"/>
  <c r="JD412" i="1"/>
  <c r="JC412" i="1"/>
  <c r="JB412" i="1"/>
  <c r="JA412" i="1"/>
  <c r="IZ412" i="1"/>
  <c r="IY412" i="1"/>
  <c r="IX412" i="1"/>
  <c r="IW412" i="1"/>
  <c r="IV412" i="1"/>
  <c r="IU412" i="1"/>
  <c r="IT412" i="1"/>
  <c r="IS412" i="1"/>
  <c r="IR412" i="1"/>
  <c r="IQ412" i="1"/>
  <c r="IP412" i="1"/>
  <c r="IO412" i="1"/>
  <c r="IN412" i="1"/>
  <c r="IM412" i="1"/>
  <c r="IL412" i="1"/>
  <c r="IK412" i="1"/>
  <c r="IJ412" i="1"/>
  <c r="II412" i="1"/>
  <c r="IH412" i="1"/>
  <c r="IG412" i="1"/>
  <c r="IE412" i="1"/>
  <c r="ID412" i="1"/>
  <c r="IC412" i="1"/>
  <c r="IB412" i="1"/>
  <c r="IA412" i="1"/>
  <c r="HZ412" i="1"/>
  <c r="HY412" i="1"/>
  <c r="HX412" i="1"/>
  <c r="HW412" i="1"/>
  <c r="HV412" i="1"/>
  <c r="HU412" i="1"/>
  <c r="HT412" i="1"/>
  <c r="HS412" i="1"/>
  <c r="HR412" i="1"/>
  <c r="HQ412" i="1"/>
  <c r="HP412" i="1"/>
  <c r="HO412" i="1"/>
  <c r="HN412" i="1"/>
  <c r="HM412" i="1"/>
  <c r="HL412" i="1"/>
  <c r="HK412" i="1"/>
  <c r="HJ412" i="1"/>
  <c r="HI412" i="1"/>
  <c r="HH412" i="1"/>
  <c r="HG412" i="1"/>
  <c r="HF412" i="1"/>
  <c r="HE412" i="1"/>
  <c r="HD412" i="1"/>
  <c r="HC412" i="1"/>
  <c r="HB412" i="1"/>
  <c r="HA412" i="1"/>
  <c r="GZ412" i="1"/>
  <c r="GY412" i="1"/>
  <c r="GX412" i="1"/>
  <c r="GW412" i="1"/>
  <c r="GV412" i="1"/>
  <c r="GT412" i="1"/>
  <c r="GS412" i="1"/>
  <c r="GR412" i="1"/>
  <c r="GQ412" i="1"/>
  <c r="GP412" i="1"/>
  <c r="GO412" i="1"/>
  <c r="GN412" i="1"/>
  <c r="GM412" i="1"/>
  <c r="GL412" i="1"/>
  <c r="GK412" i="1"/>
  <c r="GJ412" i="1"/>
  <c r="GI412" i="1"/>
  <c r="GH412" i="1"/>
  <c r="GG412" i="1"/>
  <c r="GF412" i="1"/>
  <c r="GE412" i="1"/>
  <c r="GD412" i="1"/>
  <c r="GC412" i="1"/>
  <c r="GB412" i="1"/>
  <c r="GA412" i="1"/>
  <c r="FZ412" i="1"/>
  <c r="FY412" i="1"/>
  <c r="FX412" i="1"/>
  <c r="FW412" i="1"/>
  <c r="FV412" i="1"/>
  <c r="FU412" i="1"/>
  <c r="FT412" i="1"/>
  <c r="FS412" i="1"/>
  <c r="FR412" i="1"/>
  <c r="FQ412" i="1"/>
  <c r="FP412" i="1"/>
  <c r="FO412" i="1"/>
  <c r="FN412" i="1"/>
  <c r="FM412" i="1"/>
  <c r="FL412" i="1"/>
  <c r="FK412" i="1"/>
  <c r="FI412" i="1"/>
  <c r="FH412" i="1"/>
  <c r="FG412" i="1"/>
  <c r="FF412" i="1"/>
  <c r="FE412" i="1"/>
  <c r="FD412" i="1"/>
  <c r="FC412" i="1"/>
  <c r="FB412" i="1"/>
  <c r="FA412" i="1"/>
  <c r="EZ412" i="1"/>
  <c r="EY412" i="1"/>
  <c r="EX412" i="1"/>
  <c r="EW412" i="1"/>
  <c r="EV412" i="1"/>
  <c r="EU412" i="1"/>
  <c r="ET412" i="1"/>
  <c r="ES412" i="1"/>
  <c r="ER412" i="1"/>
  <c r="EQ412" i="1"/>
  <c r="EP412" i="1"/>
  <c r="EO412" i="1"/>
  <c r="EN412" i="1"/>
  <c r="EM412" i="1"/>
  <c r="EL412" i="1"/>
  <c r="EK412" i="1"/>
  <c r="EJ412" i="1"/>
  <c r="EI412" i="1"/>
  <c r="EH412" i="1"/>
  <c r="EG412" i="1"/>
  <c r="EF412" i="1"/>
  <c r="EE412" i="1"/>
  <c r="ED412" i="1"/>
  <c r="EC412" i="1"/>
  <c r="EB412" i="1"/>
  <c r="EA412" i="1"/>
  <c r="DZ412" i="1"/>
  <c r="DX412" i="1"/>
  <c r="DW412" i="1"/>
  <c r="DV412" i="1"/>
  <c r="DU412" i="1"/>
  <c r="DT412" i="1"/>
  <c r="DS412" i="1"/>
  <c r="DR412" i="1"/>
  <c r="DQ412" i="1"/>
  <c r="DP412" i="1"/>
  <c r="DO412" i="1"/>
  <c r="DN412" i="1"/>
  <c r="DM412" i="1"/>
  <c r="DL412" i="1"/>
  <c r="DK412" i="1"/>
  <c r="DJ412" i="1"/>
  <c r="DI412" i="1"/>
  <c r="DH412" i="1"/>
  <c r="DG412" i="1"/>
  <c r="DF412" i="1"/>
  <c r="DE412" i="1"/>
  <c r="DD412" i="1"/>
  <c r="DC412" i="1"/>
  <c r="DB412" i="1"/>
  <c r="DA412" i="1"/>
  <c r="CZ412" i="1"/>
  <c r="CY412" i="1"/>
  <c r="CX412" i="1"/>
  <c r="CW412" i="1"/>
  <c r="CV412" i="1"/>
  <c r="CU412" i="1"/>
  <c r="CT412" i="1"/>
  <c r="CS412" i="1"/>
  <c r="CR412" i="1"/>
  <c r="CQ412" i="1"/>
  <c r="CP412" i="1"/>
  <c r="CO412" i="1"/>
  <c r="CM412" i="1"/>
  <c r="CL412" i="1"/>
  <c r="CK412" i="1"/>
  <c r="CJ412" i="1"/>
  <c r="CI412" i="1"/>
  <c r="CH412" i="1"/>
  <c r="CG412" i="1"/>
  <c r="CF412" i="1"/>
  <c r="CE412" i="1"/>
  <c r="CD412" i="1"/>
  <c r="CC412" i="1"/>
  <c r="CB412" i="1"/>
  <c r="CA412" i="1"/>
  <c r="BZ412" i="1"/>
  <c r="BY412" i="1"/>
  <c r="BX412" i="1"/>
  <c r="BW412" i="1"/>
  <c r="BV412" i="1"/>
  <c r="BU412" i="1"/>
  <c r="BT412" i="1"/>
  <c r="BS412" i="1"/>
  <c r="BR412" i="1"/>
  <c r="BQ412" i="1"/>
  <c r="BP412" i="1"/>
  <c r="BO412" i="1"/>
  <c r="BN412" i="1"/>
  <c r="BM412" i="1"/>
  <c r="BL412" i="1"/>
  <c r="BK412" i="1"/>
  <c r="BJ412" i="1"/>
  <c r="BI412" i="1"/>
  <c r="BH412" i="1"/>
  <c r="BG412" i="1"/>
  <c r="BF412" i="1"/>
  <c r="BE412" i="1"/>
  <c r="BD412" i="1"/>
  <c r="BB412" i="1"/>
  <c r="BA412" i="1"/>
  <c r="AZ412" i="1"/>
  <c r="AY412" i="1"/>
  <c r="AX412" i="1"/>
  <c r="AW412" i="1"/>
  <c r="AV412" i="1"/>
  <c r="AU412" i="1"/>
  <c r="AT412" i="1"/>
  <c r="AS412" i="1"/>
  <c r="AR412" i="1"/>
  <c r="AQ412" i="1"/>
  <c r="AP412" i="1"/>
  <c r="AO412" i="1"/>
  <c r="AN412" i="1"/>
  <c r="AM412" i="1"/>
  <c r="AL412" i="1"/>
  <c r="AK412" i="1"/>
  <c r="AJ412" i="1"/>
  <c r="AI412" i="1"/>
  <c r="AH412" i="1"/>
  <c r="AG412" i="1"/>
  <c r="AF412" i="1"/>
  <c r="AE412" i="1"/>
  <c r="AD412" i="1"/>
  <c r="AC412" i="1"/>
  <c r="AB412" i="1"/>
  <c r="AA412" i="1"/>
  <c r="Z412" i="1"/>
  <c r="Y412" i="1"/>
  <c r="X412" i="1"/>
  <c r="W412" i="1"/>
  <c r="V412" i="1"/>
  <c r="U412" i="1"/>
  <c r="T412" i="1"/>
  <c r="S412" i="1"/>
  <c r="M412" i="1"/>
  <c r="L412" i="1"/>
  <c r="K412" i="1"/>
  <c r="J412" i="1"/>
  <c r="I412" i="1"/>
  <c r="H412" i="1"/>
  <c r="X404" i="1"/>
  <c r="ML395" i="1"/>
  <c r="MK395" i="1"/>
  <c r="MJ395" i="1"/>
  <c r="MI395" i="1"/>
  <c r="MH395" i="1"/>
  <c r="MG395" i="1"/>
  <c r="MF395" i="1"/>
  <c r="ME395" i="1"/>
  <c r="MD395" i="1"/>
  <c r="MC395" i="1"/>
  <c r="MB395" i="1"/>
  <c r="MA395" i="1"/>
  <c r="LZ395" i="1"/>
  <c r="LY395" i="1"/>
  <c r="LX395" i="1"/>
  <c r="LW395" i="1"/>
  <c r="LV395" i="1"/>
  <c r="LU395" i="1"/>
  <c r="LT395" i="1"/>
  <c r="LS395" i="1"/>
  <c r="LR395" i="1"/>
  <c r="LQ395" i="1"/>
  <c r="LP395" i="1"/>
  <c r="LO395" i="1"/>
  <c r="LN395" i="1"/>
  <c r="LM395" i="1"/>
  <c r="LL395" i="1"/>
  <c r="LK395" i="1"/>
  <c r="LJ395" i="1"/>
  <c r="LI395" i="1"/>
  <c r="LH395" i="1"/>
  <c r="LG395" i="1"/>
  <c r="LF395" i="1"/>
  <c r="LE395" i="1"/>
  <c r="LD395" i="1"/>
  <c r="LC395" i="1"/>
  <c r="LA395" i="1"/>
  <c r="KZ395" i="1"/>
  <c r="KY395" i="1"/>
  <c r="KX395" i="1"/>
  <c r="KW395" i="1"/>
  <c r="KV395" i="1"/>
  <c r="KU395" i="1"/>
  <c r="KT395" i="1"/>
  <c r="KS395" i="1"/>
  <c r="KR395" i="1"/>
  <c r="KQ395" i="1"/>
  <c r="KP395" i="1"/>
  <c r="KO395" i="1"/>
  <c r="KN395" i="1"/>
  <c r="KM395" i="1"/>
  <c r="KL395" i="1"/>
  <c r="KK395" i="1"/>
  <c r="KJ395" i="1"/>
  <c r="KI395" i="1"/>
  <c r="KH395" i="1"/>
  <c r="KG395" i="1"/>
  <c r="KF395" i="1"/>
  <c r="KE395" i="1"/>
  <c r="KD395" i="1"/>
  <c r="KC395" i="1"/>
  <c r="KB395" i="1"/>
  <c r="KA395" i="1"/>
  <c r="JZ395" i="1"/>
  <c r="JY395" i="1"/>
  <c r="JX395" i="1"/>
  <c r="JW395" i="1"/>
  <c r="JV395" i="1"/>
  <c r="JU395" i="1"/>
  <c r="JT395" i="1"/>
  <c r="JS395" i="1"/>
  <c r="JR395" i="1"/>
  <c r="JP395" i="1"/>
  <c r="JO395" i="1"/>
  <c r="JN395" i="1"/>
  <c r="JM395" i="1"/>
  <c r="JL395" i="1"/>
  <c r="JK395" i="1"/>
  <c r="JJ395" i="1"/>
  <c r="JI395" i="1"/>
  <c r="JH395" i="1"/>
  <c r="JG395" i="1"/>
  <c r="JF395" i="1"/>
  <c r="JE395" i="1"/>
  <c r="JD395" i="1"/>
  <c r="JC395" i="1"/>
  <c r="JB395" i="1"/>
  <c r="JA395" i="1"/>
  <c r="IZ395" i="1"/>
  <c r="IY395" i="1"/>
  <c r="IX395" i="1"/>
  <c r="IW395" i="1"/>
  <c r="IV395" i="1"/>
  <c r="IU395" i="1"/>
  <c r="IT395" i="1"/>
  <c r="IS395" i="1"/>
  <c r="IR395" i="1"/>
  <c r="IQ395" i="1"/>
  <c r="IP395" i="1"/>
  <c r="IO395" i="1"/>
  <c r="IN395" i="1"/>
  <c r="IM395" i="1"/>
  <c r="IL395" i="1"/>
  <c r="IK395" i="1"/>
  <c r="IJ395" i="1"/>
  <c r="II395" i="1"/>
  <c r="IH395" i="1"/>
  <c r="IG395" i="1"/>
  <c r="IE395" i="1"/>
  <c r="ID395" i="1"/>
  <c r="IC395" i="1"/>
  <c r="IB395" i="1"/>
  <c r="IA395" i="1"/>
  <c r="HZ395" i="1"/>
  <c r="HY395" i="1"/>
  <c r="HX395" i="1"/>
  <c r="HW395" i="1"/>
  <c r="HV395" i="1"/>
  <c r="HU395" i="1"/>
  <c r="HT395" i="1"/>
  <c r="HS395" i="1"/>
  <c r="HR395" i="1"/>
  <c r="HQ395" i="1"/>
  <c r="HP395" i="1"/>
  <c r="HO395" i="1"/>
  <c r="HN395" i="1"/>
  <c r="HM395" i="1"/>
  <c r="HL395" i="1"/>
  <c r="HK395" i="1"/>
  <c r="HJ395" i="1"/>
  <c r="HI395" i="1"/>
  <c r="HH395" i="1"/>
  <c r="HG395" i="1"/>
  <c r="HF395" i="1"/>
  <c r="HE395" i="1"/>
  <c r="HD395" i="1"/>
  <c r="HC395" i="1"/>
  <c r="HB395" i="1"/>
  <c r="HA395" i="1"/>
  <c r="GZ395" i="1"/>
  <c r="GY395" i="1"/>
  <c r="GX395" i="1"/>
  <c r="GW395" i="1"/>
  <c r="GV395" i="1"/>
  <c r="GT395" i="1"/>
  <c r="GS395" i="1"/>
  <c r="GR395" i="1"/>
  <c r="GQ395" i="1"/>
  <c r="GP395" i="1"/>
  <c r="GO395" i="1"/>
  <c r="GN395" i="1"/>
  <c r="GM395" i="1"/>
  <c r="GL395" i="1"/>
  <c r="GK395" i="1"/>
  <c r="GJ395" i="1"/>
  <c r="GI395" i="1"/>
  <c r="GH395" i="1"/>
  <c r="GG395" i="1"/>
  <c r="GF395" i="1"/>
  <c r="GE395" i="1"/>
  <c r="GD395" i="1"/>
  <c r="GC395" i="1"/>
  <c r="GB395" i="1"/>
  <c r="GA395" i="1"/>
  <c r="FZ395" i="1"/>
  <c r="FY395" i="1"/>
  <c r="FX395" i="1"/>
  <c r="FW395" i="1"/>
  <c r="FV395" i="1"/>
  <c r="FU395" i="1"/>
  <c r="FT395" i="1"/>
  <c r="FS395" i="1"/>
  <c r="FR395" i="1"/>
  <c r="FQ395" i="1"/>
  <c r="FP395" i="1"/>
  <c r="FO395" i="1"/>
  <c r="FN395" i="1"/>
  <c r="FM395" i="1"/>
  <c r="FL395" i="1"/>
  <c r="FK395" i="1"/>
  <c r="FI395" i="1"/>
  <c r="FH395" i="1"/>
  <c r="FG395" i="1"/>
  <c r="FF395" i="1"/>
  <c r="FE395" i="1"/>
  <c r="FD395" i="1"/>
  <c r="FC395" i="1"/>
  <c r="FB395" i="1"/>
  <c r="FA395" i="1"/>
  <c r="EZ395" i="1"/>
  <c r="EY395" i="1"/>
  <c r="EX395" i="1"/>
  <c r="EW395" i="1"/>
  <c r="EV395" i="1"/>
  <c r="EU395" i="1"/>
  <c r="ET395" i="1"/>
  <c r="ES395" i="1"/>
  <c r="ER395" i="1"/>
  <c r="EQ395" i="1"/>
  <c r="EP395" i="1"/>
  <c r="EO395" i="1"/>
  <c r="EN395" i="1"/>
  <c r="EM395" i="1"/>
  <c r="EL395" i="1"/>
  <c r="EK395" i="1"/>
  <c r="EJ395" i="1"/>
  <c r="EI395" i="1"/>
  <c r="EH395" i="1"/>
  <c r="EG395" i="1"/>
  <c r="EF395" i="1"/>
  <c r="EE395" i="1"/>
  <c r="ED395" i="1"/>
  <c r="EC395" i="1"/>
  <c r="EB395" i="1"/>
  <c r="EA395" i="1"/>
  <c r="DZ395" i="1"/>
  <c r="DX395" i="1"/>
  <c r="DW395" i="1"/>
  <c r="DV395" i="1"/>
  <c r="DU395" i="1"/>
  <c r="DT395" i="1"/>
  <c r="DS395" i="1"/>
  <c r="DR395" i="1"/>
  <c r="DQ395" i="1"/>
  <c r="DP395" i="1"/>
  <c r="DO395" i="1"/>
  <c r="DN395" i="1"/>
  <c r="DM395" i="1"/>
  <c r="DL395" i="1"/>
  <c r="DK395" i="1"/>
  <c r="DJ395" i="1"/>
  <c r="DI395" i="1"/>
  <c r="DH395" i="1"/>
  <c r="DG395" i="1"/>
  <c r="DF395" i="1"/>
  <c r="DE395" i="1"/>
  <c r="DD395" i="1"/>
  <c r="DC395" i="1"/>
  <c r="DB395" i="1"/>
  <c r="DA395" i="1"/>
  <c r="CZ395" i="1"/>
  <c r="CY395" i="1"/>
  <c r="CX395" i="1"/>
  <c r="CW395" i="1"/>
  <c r="CV395" i="1"/>
  <c r="CU395" i="1"/>
  <c r="CT395" i="1"/>
  <c r="CS395" i="1"/>
  <c r="CR395" i="1"/>
  <c r="CQ395" i="1"/>
  <c r="CP395" i="1"/>
  <c r="CO395" i="1"/>
  <c r="CM395" i="1"/>
  <c r="CL395" i="1"/>
  <c r="CK395" i="1"/>
  <c r="CJ395" i="1"/>
  <c r="CI395" i="1"/>
  <c r="CH395" i="1"/>
  <c r="CG395" i="1"/>
  <c r="CF395" i="1"/>
  <c r="CE395" i="1"/>
  <c r="CD395" i="1"/>
  <c r="CC395" i="1"/>
  <c r="CB395" i="1"/>
  <c r="CA395" i="1"/>
  <c r="BZ395" i="1"/>
  <c r="BY395" i="1"/>
  <c r="BX395" i="1"/>
  <c r="BW395" i="1"/>
  <c r="BV395" i="1"/>
  <c r="BU395" i="1"/>
  <c r="BT395" i="1"/>
  <c r="BS395" i="1"/>
  <c r="BR395" i="1"/>
  <c r="BQ395" i="1"/>
  <c r="BP395" i="1"/>
  <c r="BO395" i="1"/>
  <c r="BN395" i="1"/>
  <c r="BM395" i="1"/>
  <c r="BL395" i="1"/>
  <c r="BK395" i="1"/>
  <c r="BJ395" i="1"/>
  <c r="BI395" i="1"/>
  <c r="BH395" i="1"/>
  <c r="BG395" i="1"/>
  <c r="BF395" i="1"/>
  <c r="BE395" i="1"/>
  <c r="BD395" i="1"/>
  <c r="BB395" i="1"/>
  <c r="BA395" i="1"/>
  <c r="AZ395" i="1"/>
  <c r="AY395" i="1"/>
  <c r="AX395" i="1"/>
  <c r="AW395" i="1"/>
  <c r="AV395" i="1"/>
  <c r="AU395" i="1"/>
  <c r="AT395" i="1"/>
  <c r="AS395" i="1"/>
  <c r="AR395" i="1"/>
  <c r="AQ395" i="1"/>
  <c r="AP395" i="1"/>
  <c r="AO395" i="1"/>
  <c r="AN395" i="1"/>
  <c r="AM395" i="1"/>
  <c r="AL395" i="1"/>
  <c r="AK395" i="1"/>
  <c r="AJ395" i="1"/>
  <c r="AI395" i="1"/>
  <c r="AH395" i="1"/>
  <c r="AG395" i="1"/>
  <c r="AF395" i="1"/>
  <c r="AE395" i="1"/>
  <c r="AD395" i="1"/>
  <c r="AC395" i="1"/>
  <c r="AB395" i="1"/>
  <c r="AA395" i="1"/>
  <c r="Z395" i="1"/>
  <c r="Y395" i="1"/>
  <c r="X395" i="1"/>
  <c r="W395" i="1"/>
  <c r="V395" i="1"/>
  <c r="U395" i="1"/>
  <c r="T395" i="1"/>
  <c r="S395" i="1"/>
  <c r="M395" i="1"/>
  <c r="L395" i="1"/>
  <c r="K395" i="1"/>
  <c r="J395" i="1"/>
  <c r="I395" i="1"/>
  <c r="H395" i="1"/>
  <c r="H374" i="1"/>
  <c r="H373" i="1"/>
  <c r="H372" i="1"/>
  <c r="H371" i="1"/>
  <c r="H370" i="1"/>
  <c r="BB369" i="1"/>
  <c r="M369" i="1"/>
  <c r="I369" i="1"/>
  <c r="H369" i="1"/>
  <c r="X368" i="1"/>
  <c r="W368" i="1"/>
  <c r="V368" i="1"/>
  <c r="U368" i="1"/>
  <c r="T368" i="1"/>
  <c r="S368" i="1"/>
  <c r="I368" i="1"/>
  <c r="H368" i="1"/>
  <c r="BB367" i="1"/>
  <c r="BA367" i="1"/>
  <c r="AZ367" i="1"/>
  <c r="AY367" i="1"/>
  <c r="AX367" i="1"/>
  <c r="AW367" i="1"/>
  <c r="AV367" i="1"/>
  <c r="AU367" i="1"/>
  <c r="AT367" i="1"/>
  <c r="AS367" i="1"/>
  <c r="AR367" i="1"/>
  <c r="AQ367" i="1"/>
  <c r="AP367" i="1"/>
  <c r="AO367" i="1"/>
  <c r="AN367" i="1"/>
  <c r="AM367" i="1"/>
  <c r="AL367" i="1"/>
  <c r="AK367" i="1"/>
  <c r="AJ367" i="1"/>
  <c r="AI367" i="1"/>
  <c r="AH367" i="1"/>
  <c r="AG367" i="1"/>
  <c r="AF367" i="1"/>
  <c r="AE367" i="1"/>
  <c r="AD367" i="1"/>
  <c r="AC367" i="1"/>
  <c r="AB367" i="1"/>
  <c r="AA367" i="1"/>
  <c r="Z367" i="1"/>
  <c r="Y367" i="1"/>
  <c r="X367" i="1"/>
  <c r="W367" i="1"/>
  <c r="V367" i="1"/>
  <c r="U367" i="1"/>
  <c r="T367" i="1"/>
  <c r="S367" i="1"/>
  <c r="BA347" i="1"/>
  <c r="AZ347" i="1"/>
  <c r="AZ369" i="1" s="1"/>
  <c r="AY347" i="1"/>
  <c r="AX347" i="1"/>
  <c r="AW347" i="1"/>
  <c r="AV347" i="1"/>
  <c r="AV369" i="1" s="1"/>
  <c r="AU347" i="1"/>
  <c r="AT347" i="1"/>
  <c r="AS347" i="1"/>
  <c r="AR347" i="1"/>
  <c r="AR369" i="1" s="1"/>
  <c r="AQ347" i="1"/>
  <c r="AP347" i="1"/>
  <c r="AO347" i="1"/>
  <c r="AN347" i="1"/>
  <c r="AN369" i="1" s="1"/>
  <c r="AM347" i="1"/>
  <c r="AL347" i="1"/>
  <c r="AK347" i="1"/>
  <c r="AJ347" i="1"/>
  <c r="AJ369" i="1" s="1"/>
  <c r="AI347" i="1"/>
  <c r="AH347" i="1"/>
  <c r="AG347" i="1"/>
  <c r="AF347" i="1"/>
  <c r="AF369" i="1" s="1"/>
  <c r="AE347" i="1"/>
  <c r="AD347" i="1"/>
  <c r="AC347" i="1"/>
  <c r="J369" i="1" s="1"/>
  <c r="AB347" i="1"/>
  <c r="AB369" i="1" s="1"/>
  <c r="AA347" i="1"/>
  <c r="Z347" i="1"/>
  <c r="Y347" i="1"/>
  <c r="Y404" i="1" s="1"/>
  <c r="ML346" i="1"/>
  <c r="LY420" i="1" s="1"/>
  <c r="LA346" i="1"/>
  <c r="JP346" i="1"/>
  <c r="IZ346" i="1" s="1"/>
  <c r="IE346" i="1"/>
  <c r="HW346" i="1" s="1"/>
  <c r="GT346" i="1"/>
  <c r="FI346" i="1"/>
  <c r="FF346" i="1" s="1"/>
  <c r="DX346" i="1"/>
  <c r="DD346" i="1" s="1"/>
  <c r="CM346" i="1"/>
  <c r="BO346" i="1" s="1"/>
  <c r="ML345" i="1"/>
  <c r="LJ345" i="1" s="1"/>
  <c r="LA345" i="1"/>
  <c r="KK345" i="1" s="1"/>
  <c r="JP345" i="1"/>
  <c r="JH345" i="1" s="1"/>
  <c r="IE345" i="1"/>
  <c r="GT345" i="1"/>
  <c r="GR345" i="1" s="1"/>
  <c r="FI345" i="1"/>
  <c r="DX345" i="1"/>
  <c r="DB345" i="1" s="1"/>
  <c r="CM345" i="1"/>
  <c r="CE345" i="1" s="1"/>
  <c r="ML344" i="1"/>
  <c r="MK344" i="1" s="1"/>
  <c r="LA344" i="1"/>
  <c r="KS344" i="1" s="1"/>
  <c r="JP344" i="1"/>
  <c r="JO344" i="1" s="1"/>
  <c r="IE344" i="1"/>
  <c r="GT344" i="1"/>
  <c r="GN344" i="1" s="1"/>
  <c r="FI344" i="1"/>
  <c r="EX344" i="1" s="1"/>
  <c r="DX344" i="1"/>
  <c r="DK344" i="1" s="1"/>
  <c r="CM344" i="1"/>
  <c r="CE344" i="1" s="1"/>
  <c r="ML343" i="1"/>
  <c r="LX343" i="1" s="1"/>
  <c r="LA343" i="1"/>
  <c r="KH343" i="1" s="1"/>
  <c r="JP343" i="1"/>
  <c r="IX343" i="1" s="1"/>
  <c r="IE343" i="1"/>
  <c r="GT343" i="1"/>
  <c r="FI343" i="1"/>
  <c r="EX343" i="1" s="1"/>
  <c r="DX343" i="1"/>
  <c r="CV343" i="1" s="1"/>
  <c r="CM343" i="1"/>
  <c r="CJ343" i="1" s="1"/>
  <c r="ML342" i="1"/>
  <c r="LQ432" i="1" s="1"/>
  <c r="LA342" i="1"/>
  <c r="JP342" i="1"/>
  <c r="JA432" i="1" s="1"/>
  <c r="IE342" i="1"/>
  <c r="GT342" i="1"/>
  <c r="FX342" i="1" s="1"/>
  <c r="FI342" i="1"/>
  <c r="FA342" i="1" s="1"/>
  <c r="DX342" i="1"/>
  <c r="DK342" i="1" s="1"/>
  <c r="CM342" i="1"/>
  <c r="CE342" i="1" s="1"/>
  <c r="ML341" i="1"/>
  <c r="LK431" i="1" s="1"/>
  <c r="LA341" i="1"/>
  <c r="KX341" i="1" s="1"/>
  <c r="JP341" i="1"/>
  <c r="JO415" i="1" s="1"/>
  <c r="IE341" i="1"/>
  <c r="HG341" i="1" s="1"/>
  <c r="GT341" i="1"/>
  <c r="GO341" i="1" s="1"/>
  <c r="FI341" i="1"/>
  <c r="EX341" i="1" s="1"/>
  <c r="DX341" i="1"/>
  <c r="DU341" i="1" s="1"/>
  <c r="CM341" i="1"/>
  <c r="CE341" i="1" s="1"/>
  <c r="ML340" i="1"/>
  <c r="LM430" i="1" s="1"/>
  <c r="LA340" i="1"/>
  <c r="KK340" i="1" s="1"/>
  <c r="JP340" i="1"/>
  <c r="IE340" i="1"/>
  <c r="IB340" i="1" s="1"/>
  <c r="GT340" i="1"/>
  <c r="GO340" i="1" s="1"/>
  <c r="FI340" i="1"/>
  <c r="FE340" i="1" s="1"/>
  <c r="DX340" i="1"/>
  <c r="DO340" i="1" s="1"/>
  <c r="CM340" i="1"/>
  <c r="CE340" i="1" s="1"/>
  <c r="ML339" i="1"/>
  <c r="MG339" i="1" s="1"/>
  <c r="LA339" i="1"/>
  <c r="KX339" i="1" s="1"/>
  <c r="JP339" i="1"/>
  <c r="JO339" i="1" s="1"/>
  <c r="JP396" i="1" s="1"/>
  <c r="IE339" i="1"/>
  <c r="HG339" i="1" s="1"/>
  <c r="GT339" i="1"/>
  <c r="FY339" i="1" s="1"/>
  <c r="FI339" i="1"/>
  <c r="FA339" i="1" s="1"/>
  <c r="DX339" i="1"/>
  <c r="DL339" i="1" s="1"/>
  <c r="CM339" i="1"/>
  <c r="CJ339" i="1" s="1"/>
  <c r="ML338" i="1"/>
  <c r="MK338" i="1"/>
  <c r="MJ338" i="1"/>
  <c r="MI338" i="1"/>
  <c r="MH338" i="1"/>
  <c r="MG338" i="1"/>
  <c r="MF338" i="1"/>
  <c r="ME338" i="1"/>
  <c r="MD338" i="1"/>
  <c r="MC338" i="1"/>
  <c r="MB338" i="1"/>
  <c r="MA338" i="1"/>
  <c r="LZ338" i="1"/>
  <c r="LY338" i="1"/>
  <c r="LX338" i="1"/>
  <c r="LW338" i="1"/>
  <c r="LV338" i="1"/>
  <c r="LU338" i="1"/>
  <c r="LT338" i="1"/>
  <c r="LS338" i="1"/>
  <c r="LR338" i="1"/>
  <c r="LQ338" i="1"/>
  <c r="LP338" i="1"/>
  <c r="LO338" i="1"/>
  <c r="LN338" i="1"/>
  <c r="LM338" i="1"/>
  <c r="LL338" i="1"/>
  <c r="LK338" i="1"/>
  <c r="LJ338" i="1"/>
  <c r="LI338" i="1"/>
  <c r="LH338" i="1"/>
  <c r="LG338" i="1"/>
  <c r="LF338" i="1"/>
  <c r="LE338" i="1"/>
  <c r="LD338" i="1"/>
  <c r="LC338" i="1"/>
  <c r="LA338" i="1"/>
  <c r="KZ338" i="1"/>
  <c r="KY338" i="1"/>
  <c r="KX338" i="1"/>
  <c r="KW338" i="1"/>
  <c r="KV338" i="1"/>
  <c r="KU338" i="1"/>
  <c r="KT338" i="1"/>
  <c r="KS338" i="1"/>
  <c r="KR338" i="1"/>
  <c r="KQ338" i="1"/>
  <c r="KP338" i="1"/>
  <c r="KO338" i="1"/>
  <c r="KN338" i="1"/>
  <c r="KM338" i="1"/>
  <c r="KL338" i="1"/>
  <c r="KK338" i="1"/>
  <c r="KJ338" i="1"/>
  <c r="KI338" i="1"/>
  <c r="KH338" i="1"/>
  <c r="KG338" i="1"/>
  <c r="KF338" i="1"/>
  <c r="KE338" i="1"/>
  <c r="KD338" i="1"/>
  <c r="KC338" i="1"/>
  <c r="KB338" i="1"/>
  <c r="KA338" i="1"/>
  <c r="JZ338" i="1"/>
  <c r="JY338" i="1"/>
  <c r="JX338" i="1"/>
  <c r="JW338" i="1"/>
  <c r="JV338" i="1"/>
  <c r="JU338" i="1"/>
  <c r="JT338" i="1"/>
  <c r="JS338" i="1"/>
  <c r="JR338" i="1"/>
  <c r="JP338" i="1"/>
  <c r="JO338" i="1"/>
  <c r="JN338" i="1"/>
  <c r="JM338" i="1"/>
  <c r="JL338" i="1"/>
  <c r="JK338" i="1"/>
  <c r="JJ338" i="1"/>
  <c r="JI338" i="1"/>
  <c r="JH338" i="1"/>
  <c r="JG338" i="1"/>
  <c r="JF338" i="1"/>
  <c r="JE338" i="1"/>
  <c r="JD338" i="1"/>
  <c r="JC338" i="1"/>
  <c r="JB338" i="1"/>
  <c r="JA338" i="1"/>
  <c r="IZ338" i="1"/>
  <c r="IY338" i="1"/>
  <c r="IX338" i="1"/>
  <c r="IW338" i="1"/>
  <c r="IV338" i="1"/>
  <c r="IU338" i="1"/>
  <c r="IT338" i="1"/>
  <c r="IS338" i="1"/>
  <c r="IR338" i="1"/>
  <c r="IQ338" i="1"/>
  <c r="IP338" i="1"/>
  <c r="IO338" i="1"/>
  <c r="IN338" i="1"/>
  <c r="IM338" i="1"/>
  <c r="IL338" i="1"/>
  <c r="IK338" i="1"/>
  <c r="IJ338" i="1"/>
  <c r="II338" i="1"/>
  <c r="IH338" i="1"/>
  <c r="IG338" i="1"/>
  <c r="IE338" i="1"/>
  <c r="ID338" i="1"/>
  <c r="IC338" i="1"/>
  <c r="IB338" i="1"/>
  <c r="IA338" i="1"/>
  <c r="HZ338" i="1"/>
  <c r="HY338" i="1"/>
  <c r="HX338" i="1"/>
  <c r="HW338" i="1"/>
  <c r="HV338" i="1"/>
  <c r="HU338" i="1"/>
  <c r="HT338" i="1"/>
  <c r="HS338" i="1"/>
  <c r="HR338" i="1"/>
  <c r="HQ338" i="1"/>
  <c r="HP338" i="1"/>
  <c r="HO338" i="1"/>
  <c r="HN338" i="1"/>
  <c r="HM338" i="1"/>
  <c r="HL338" i="1"/>
  <c r="HK338" i="1"/>
  <c r="HJ338" i="1"/>
  <c r="HI338" i="1"/>
  <c r="HH338" i="1"/>
  <c r="HG338" i="1"/>
  <c r="HF338" i="1"/>
  <c r="HE338" i="1"/>
  <c r="HD338" i="1"/>
  <c r="HC338" i="1"/>
  <c r="HB338" i="1"/>
  <c r="HA338" i="1"/>
  <c r="GZ338" i="1"/>
  <c r="GY338" i="1"/>
  <c r="GX338" i="1"/>
  <c r="GW338" i="1"/>
  <c r="GV338" i="1"/>
  <c r="GT338" i="1"/>
  <c r="GS338" i="1"/>
  <c r="GR338" i="1"/>
  <c r="GQ338" i="1"/>
  <c r="GP338" i="1"/>
  <c r="GO338" i="1"/>
  <c r="GN338" i="1"/>
  <c r="GM338" i="1"/>
  <c r="GL338" i="1"/>
  <c r="GK338" i="1"/>
  <c r="GJ338" i="1"/>
  <c r="GI338" i="1"/>
  <c r="GH338" i="1"/>
  <c r="GG338" i="1"/>
  <c r="GF338" i="1"/>
  <c r="GE338" i="1"/>
  <c r="GD338" i="1"/>
  <c r="GC338" i="1"/>
  <c r="GB338" i="1"/>
  <c r="GA338" i="1"/>
  <c r="FZ338" i="1"/>
  <c r="FY338" i="1"/>
  <c r="FX338" i="1"/>
  <c r="FW338" i="1"/>
  <c r="FV338" i="1"/>
  <c r="FU338" i="1"/>
  <c r="FT338" i="1"/>
  <c r="FS338" i="1"/>
  <c r="FR338" i="1"/>
  <c r="FQ338" i="1"/>
  <c r="FP338" i="1"/>
  <c r="FO338" i="1"/>
  <c r="FN338" i="1"/>
  <c r="FM338" i="1"/>
  <c r="FL338" i="1"/>
  <c r="FK338" i="1"/>
  <c r="FI338" i="1"/>
  <c r="FH338" i="1"/>
  <c r="FG338" i="1"/>
  <c r="FF338" i="1"/>
  <c r="FE338" i="1"/>
  <c r="FD338" i="1"/>
  <c r="FC338" i="1"/>
  <c r="FB338" i="1"/>
  <c r="FA338" i="1"/>
  <c r="EZ338" i="1"/>
  <c r="EY338" i="1"/>
  <c r="EX338" i="1"/>
  <c r="EW338" i="1"/>
  <c r="EV338" i="1"/>
  <c r="EU338" i="1"/>
  <c r="ET338" i="1"/>
  <c r="ES338" i="1"/>
  <c r="ER338" i="1"/>
  <c r="EQ338" i="1"/>
  <c r="EP338" i="1"/>
  <c r="EO338" i="1"/>
  <c r="EN338" i="1"/>
  <c r="EM338" i="1"/>
  <c r="EL338" i="1"/>
  <c r="EK338" i="1"/>
  <c r="EJ338" i="1"/>
  <c r="EI338" i="1"/>
  <c r="EH338" i="1"/>
  <c r="EG338" i="1"/>
  <c r="EF338" i="1"/>
  <c r="EE338" i="1"/>
  <c r="ED338" i="1"/>
  <c r="EC338" i="1"/>
  <c r="EB338" i="1"/>
  <c r="EA338" i="1"/>
  <c r="DZ338" i="1"/>
  <c r="DX338" i="1"/>
  <c r="DW338" i="1"/>
  <c r="DV338" i="1"/>
  <c r="DU338" i="1"/>
  <c r="DT338" i="1"/>
  <c r="DS338" i="1"/>
  <c r="DR338" i="1"/>
  <c r="DQ338" i="1"/>
  <c r="DP338" i="1"/>
  <c r="DO338" i="1"/>
  <c r="DN338" i="1"/>
  <c r="DM338" i="1"/>
  <c r="DL338" i="1"/>
  <c r="DK338" i="1"/>
  <c r="DJ338" i="1"/>
  <c r="DI338" i="1"/>
  <c r="DH338" i="1"/>
  <c r="DG338" i="1"/>
  <c r="DF338" i="1"/>
  <c r="DE338" i="1"/>
  <c r="DD338" i="1"/>
  <c r="DC338" i="1"/>
  <c r="DB338" i="1"/>
  <c r="DA338" i="1"/>
  <c r="CZ338" i="1"/>
  <c r="CY338" i="1"/>
  <c r="CX338" i="1"/>
  <c r="CW338" i="1"/>
  <c r="CV338" i="1"/>
  <c r="CU338" i="1"/>
  <c r="CT338" i="1"/>
  <c r="CS338" i="1"/>
  <c r="CR338" i="1"/>
  <c r="CQ338" i="1"/>
  <c r="CP338" i="1"/>
  <c r="CO338" i="1"/>
  <c r="CM338" i="1"/>
  <c r="CL338" i="1"/>
  <c r="CK338" i="1"/>
  <c r="CJ338" i="1"/>
  <c r="CI338" i="1"/>
  <c r="CH338" i="1"/>
  <c r="CG338" i="1"/>
  <c r="CF338" i="1"/>
  <c r="CE338" i="1"/>
  <c r="CD338" i="1"/>
  <c r="CC338" i="1"/>
  <c r="CB338" i="1"/>
  <c r="CA338" i="1"/>
  <c r="BZ338" i="1"/>
  <c r="BY338" i="1"/>
  <c r="BX338" i="1"/>
  <c r="BW338" i="1"/>
  <c r="BV338" i="1"/>
  <c r="BU338" i="1"/>
  <c r="BT338" i="1"/>
  <c r="BS338" i="1"/>
  <c r="BR338" i="1"/>
  <c r="BQ338" i="1"/>
  <c r="BP338" i="1"/>
  <c r="BO338" i="1"/>
  <c r="BN338" i="1"/>
  <c r="BM338" i="1"/>
  <c r="BL338" i="1"/>
  <c r="BK338" i="1"/>
  <c r="BJ338" i="1"/>
  <c r="BI338" i="1"/>
  <c r="BH338" i="1"/>
  <c r="BG338" i="1"/>
  <c r="BF338" i="1"/>
  <c r="BE338" i="1"/>
  <c r="BD338" i="1"/>
  <c r="BB338" i="1"/>
  <c r="BA338" i="1"/>
  <c r="AZ338" i="1"/>
  <c r="AY338" i="1"/>
  <c r="AX338" i="1"/>
  <c r="AW338" i="1"/>
  <c r="AV338" i="1"/>
  <c r="AU338" i="1"/>
  <c r="AT338" i="1"/>
  <c r="AS338" i="1"/>
  <c r="AR338" i="1"/>
  <c r="AQ338" i="1"/>
  <c r="AP338" i="1"/>
  <c r="AO338" i="1"/>
  <c r="AN338" i="1"/>
  <c r="AM338" i="1"/>
  <c r="AL338" i="1"/>
  <c r="AK338" i="1"/>
  <c r="AJ338" i="1"/>
  <c r="AI338" i="1"/>
  <c r="AH338" i="1"/>
  <c r="AG338" i="1"/>
  <c r="AF338" i="1"/>
  <c r="AE338" i="1"/>
  <c r="AD338" i="1"/>
  <c r="AC338" i="1"/>
  <c r="AB338" i="1"/>
  <c r="AA338" i="1"/>
  <c r="Z338" i="1"/>
  <c r="Y338" i="1"/>
  <c r="X338" i="1"/>
  <c r="W338" i="1"/>
  <c r="V338" i="1"/>
  <c r="U338" i="1"/>
  <c r="T338" i="1"/>
  <c r="S338" i="1"/>
  <c r="M338" i="1"/>
  <c r="L338" i="1"/>
  <c r="K338" i="1"/>
  <c r="J338" i="1"/>
  <c r="I338" i="1"/>
  <c r="H338" i="1"/>
  <c r="H273" i="1"/>
  <c r="H272" i="1"/>
  <c r="H271" i="1"/>
  <c r="H270" i="1"/>
  <c r="H269" i="1"/>
  <c r="BB266" i="1"/>
  <c r="BA266" i="1"/>
  <c r="AZ266" i="1"/>
  <c r="AY266" i="1"/>
  <c r="AX266" i="1"/>
  <c r="AW266" i="1"/>
  <c r="AV266" i="1"/>
  <c r="AU266" i="1"/>
  <c r="AT266" i="1"/>
  <c r="AS266" i="1"/>
  <c r="AR266" i="1"/>
  <c r="AQ266" i="1"/>
  <c r="AP266" i="1"/>
  <c r="AO266" i="1"/>
  <c r="AN266" i="1"/>
  <c r="AM266" i="1"/>
  <c r="AL266" i="1"/>
  <c r="AK266" i="1"/>
  <c r="AJ266" i="1"/>
  <c r="AI266" i="1"/>
  <c r="AH266" i="1"/>
  <c r="AG266" i="1"/>
  <c r="AF266" i="1"/>
  <c r="AE266" i="1"/>
  <c r="AD266" i="1"/>
  <c r="AC266" i="1"/>
  <c r="AB266" i="1"/>
  <c r="AA266" i="1"/>
  <c r="Z266" i="1"/>
  <c r="Y266" i="1"/>
  <c r="X266" i="1"/>
  <c r="W266" i="1"/>
  <c r="V266" i="1"/>
  <c r="U266" i="1"/>
  <c r="T266" i="1"/>
  <c r="S266" i="1"/>
  <c r="BB232" i="1"/>
  <c r="BB268" i="1" s="1"/>
  <c r="AH232" i="1"/>
  <c r="S232" i="1"/>
  <c r="H268" i="1" s="1"/>
  <c r="ID231" i="1"/>
  <c r="IC231" i="1"/>
  <c r="IB231" i="1"/>
  <c r="IA231" i="1"/>
  <c r="HZ231" i="1"/>
  <c r="HY231" i="1"/>
  <c r="HX231" i="1"/>
  <c r="HW231" i="1"/>
  <c r="HV231" i="1"/>
  <c r="HU231" i="1"/>
  <c r="HT231" i="1"/>
  <c r="HS231" i="1"/>
  <c r="HR231" i="1"/>
  <c r="HQ231" i="1"/>
  <c r="HP231" i="1"/>
  <c r="HO231" i="1"/>
  <c r="HN231" i="1"/>
  <c r="HM231" i="1"/>
  <c r="HL231" i="1"/>
  <c r="HK231" i="1"/>
  <c r="HJ231" i="1"/>
  <c r="HI231" i="1"/>
  <c r="HH231" i="1"/>
  <c r="HG231" i="1"/>
  <c r="HF231" i="1"/>
  <c r="HE231" i="1"/>
  <c r="HD231" i="1"/>
  <c r="HC231" i="1"/>
  <c r="HB231" i="1"/>
  <c r="GS231" i="1"/>
  <c r="GR231" i="1"/>
  <c r="GQ231" i="1"/>
  <c r="GP231" i="1"/>
  <c r="GO231" i="1"/>
  <c r="GN231" i="1"/>
  <c r="GM231" i="1"/>
  <c r="GL231" i="1"/>
  <c r="GK231" i="1"/>
  <c r="GJ231" i="1"/>
  <c r="GI231" i="1"/>
  <c r="GH231" i="1"/>
  <c r="GG231" i="1"/>
  <c r="GF231" i="1"/>
  <c r="GE231" i="1"/>
  <c r="GD231" i="1"/>
  <c r="GC231" i="1"/>
  <c r="GB231" i="1"/>
  <c r="GA231" i="1"/>
  <c r="FZ231" i="1"/>
  <c r="FY231" i="1"/>
  <c r="FX231" i="1"/>
  <c r="FW231" i="1"/>
  <c r="FV231" i="1"/>
  <c r="FU231" i="1"/>
  <c r="FT231" i="1"/>
  <c r="FS231" i="1"/>
  <c r="FR231" i="1"/>
  <c r="FQ231" i="1"/>
  <c r="FH231" i="1"/>
  <c r="FG231" i="1"/>
  <c r="FF231" i="1"/>
  <c r="FE231" i="1"/>
  <c r="FD231" i="1"/>
  <c r="FC231" i="1"/>
  <c r="FB231" i="1"/>
  <c r="FA231" i="1"/>
  <c r="EZ231" i="1"/>
  <c r="EY231" i="1"/>
  <c r="EX231" i="1"/>
  <c r="EW231" i="1"/>
  <c r="EV231" i="1"/>
  <c r="EU231" i="1"/>
  <c r="ET231" i="1"/>
  <c r="ES231" i="1"/>
  <c r="ER231" i="1"/>
  <c r="EQ231" i="1"/>
  <c r="EP231" i="1"/>
  <c r="EO231" i="1"/>
  <c r="EN231" i="1"/>
  <c r="EM231" i="1"/>
  <c r="EL231" i="1"/>
  <c r="EK231" i="1"/>
  <c r="EJ231" i="1"/>
  <c r="EI231" i="1"/>
  <c r="EH231" i="1"/>
  <c r="EG231" i="1"/>
  <c r="EF231" i="1"/>
  <c r="DW231" i="1"/>
  <c r="DV231" i="1"/>
  <c r="DU231" i="1"/>
  <c r="DT231" i="1"/>
  <c r="DS231" i="1"/>
  <c r="DR231" i="1"/>
  <c r="DQ231" i="1"/>
  <c r="DP231" i="1"/>
  <c r="DO231" i="1"/>
  <c r="DN231" i="1"/>
  <c r="DM231" i="1"/>
  <c r="DL231" i="1"/>
  <c r="DK231" i="1"/>
  <c r="DJ231" i="1"/>
  <c r="DI231" i="1"/>
  <c r="DH231" i="1"/>
  <c r="DG231" i="1"/>
  <c r="DF231" i="1"/>
  <c r="DE231" i="1"/>
  <c r="DD231" i="1"/>
  <c r="DC231" i="1"/>
  <c r="DB231" i="1"/>
  <c r="DA231" i="1"/>
  <c r="CZ231" i="1"/>
  <c r="CY231" i="1"/>
  <c r="CX231" i="1"/>
  <c r="CW231" i="1"/>
  <c r="CV231" i="1"/>
  <c r="CU231" i="1"/>
  <c r="CL231" i="1"/>
  <c r="CK231" i="1"/>
  <c r="CJ231" i="1"/>
  <c r="CI231" i="1"/>
  <c r="CH231" i="1"/>
  <c r="CG231" i="1"/>
  <c r="CF231" i="1"/>
  <c r="CE231" i="1"/>
  <c r="CD231" i="1"/>
  <c r="CC231" i="1"/>
  <c r="CB231" i="1"/>
  <c r="CA231" i="1"/>
  <c r="BZ231" i="1"/>
  <c r="BY231" i="1"/>
  <c r="BX231" i="1"/>
  <c r="BW231" i="1"/>
  <c r="BV231" i="1"/>
  <c r="BU231" i="1"/>
  <c r="BT231" i="1"/>
  <c r="BS231" i="1"/>
  <c r="BR231" i="1"/>
  <c r="BQ231" i="1"/>
  <c r="BP231" i="1"/>
  <c r="BO231" i="1"/>
  <c r="BN231" i="1"/>
  <c r="BM231" i="1"/>
  <c r="BL231" i="1"/>
  <c r="BK231" i="1"/>
  <c r="BJ231" i="1"/>
  <c r="BB230" i="1"/>
  <c r="AH230" i="1"/>
  <c r="S230" i="1"/>
  <c r="M230" i="1"/>
  <c r="H230" i="1"/>
  <c r="IE229" i="1"/>
  <c r="HU229" i="1"/>
  <c r="HK229" i="1"/>
  <c r="HA229" i="1"/>
  <c r="GT229" i="1"/>
  <c r="GJ229" i="1"/>
  <c r="FZ229" i="1"/>
  <c r="FP229" i="1"/>
  <c r="FI229" i="1"/>
  <c r="EY229" i="1"/>
  <c r="EO229" i="1"/>
  <c r="EE229" i="1"/>
  <c r="DX229" i="1"/>
  <c r="DN229" i="1"/>
  <c r="DD229" i="1"/>
  <c r="CT229" i="1"/>
  <c r="CM229" i="1"/>
  <c r="CC229" i="1"/>
  <c r="BS229" i="1"/>
  <c r="BI229" i="1"/>
  <c r="BA229" i="1"/>
  <c r="AZ229" i="1"/>
  <c r="AZ232" i="1" s="1"/>
  <c r="AZ268" i="1" s="1"/>
  <c r="AY229" i="1"/>
  <c r="AX229" i="1"/>
  <c r="AX230" i="1" s="1"/>
  <c r="AW229" i="1"/>
  <c r="AW230" i="1" s="1"/>
  <c r="AV229" i="1"/>
  <c r="AV232" i="1" s="1"/>
  <c r="AV268" i="1" s="1"/>
  <c r="AU229" i="1"/>
  <c r="AT229" i="1"/>
  <c r="AS229" i="1"/>
  <c r="AR229" i="1"/>
  <c r="AR232" i="1" s="1"/>
  <c r="E254" i="1" s="1"/>
  <c r="AQ229" i="1"/>
  <c r="AQ232" i="1" s="1"/>
  <c r="AQ268" i="1" s="1"/>
  <c r="AP229" i="1"/>
  <c r="AP230" i="1" s="1"/>
  <c r="AO229" i="1"/>
  <c r="AO232" i="1" s="1"/>
  <c r="AO268" i="1" s="1"/>
  <c r="AN229" i="1"/>
  <c r="AN232" i="1" s="1"/>
  <c r="AN268" i="1" s="1"/>
  <c r="AM229" i="1"/>
  <c r="AM230" i="1" s="1"/>
  <c r="AL229" i="1"/>
  <c r="AL230" i="1" s="1"/>
  <c r="AK229" i="1"/>
  <c r="AJ229" i="1"/>
  <c r="AJ232" i="1" s="1"/>
  <c r="AJ268" i="1" s="1"/>
  <c r="AI229" i="1"/>
  <c r="AI232" i="1" s="1"/>
  <c r="AI268" i="1" s="1"/>
  <c r="AG229" i="1"/>
  <c r="AG230" i="1" s="1"/>
  <c r="AF229" i="1"/>
  <c r="AF232" i="1" s="1"/>
  <c r="AF268" i="1" s="1"/>
  <c r="AE229" i="1"/>
  <c r="AE232" i="1" s="1"/>
  <c r="AE268" i="1" s="1"/>
  <c r="AD229" i="1"/>
  <c r="AD230" i="1" s="1"/>
  <c r="AC229" i="1"/>
  <c r="AC232" i="1" s="1"/>
  <c r="AB229" i="1"/>
  <c r="AB232" i="1" s="1"/>
  <c r="AB268" i="1" s="1"/>
  <c r="AA229" i="1"/>
  <c r="AA232" i="1" s="1"/>
  <c r="AA268" i="1" s="1"/>
  <c r="Z229" i="1"/>
  <c r="Y229" i="1"/>
  <c r="Y232" i="1" s="1"/>
  <c r="Y268" i="1" s="1"/>
  <c r="X229" i="1"/>
  <c r="X232" i="1" s="1"/>
  <c r="I268" i="1" s="1"/>
  <c r="W229" i="1"/>
  <c r="W232" i="1" s="1"/>
  <c r="V229" i="1"/>
  <c r="V230" i="1" s="1"/>
  <c r="U229" i="1"/>
  <c r="U230" i="1" s="1"/>
  <c r="T229" i="1"/>
  <c r="T232" i="1" s="1"/>
  <c r="L229" i="1"/>
  <c r="K229" i="1"/>
  <c r="K230" i="1" s="1"/>
  <c r="J229" i="1"/>
  <c r="J230" i="1" s="1"/>
  <c r="I229" i="1"/>
  <c r="I230" i="1" s="1"/>
  <c r="ML228" i="1"/>
  <c r="MK228" i="1"/>
  <c r="MJ228" i="1"/>
  <c r="MI228" i="1"/>
  <c r="MH228" i="1"/>
  <c r="MG228" i="1"/>
  <c r="MF228" i="1"/>
  <c r="ME228" i="1"/>
  <c r="MD228" i="1"/>
  <c r="MC228" i="1"/>
  <c r="MB228" i="1"/>
  <c r="MA228" i="1"/>
  <c r="LZ228" i="1"/>
  <c r="LY228" i="1"/>
  <c r="LX228" i="1"/>
  <c r="LW228" i="1"/>
  <c r="LV228" i="1"/>
  <c r="LU228" i="1"/>
  <c r="LT228" i="1"/>
  <c r="LS228" i="1"/>
  <c r="LR228" i="1"/>
  <c r="LQ228" i="1"/>
  <c r="LP228" i="1"/>
  <c r="LO228" i="1"/>
  <c r="LN228" i="1"/>
  <c r="LM228" i="1"/>
  <c r="LL228" i="1"/>
  <c r="LK228" i="1"/>
  <c r="LJ228" i="1"/>
  <c r="LI228" i="1"/>
  <c r="LH228" i="1"/>
  <c r="LG228" i="1"/>
  <c r="LF228" i="1"/>
  <c r="LE228" i="1"/>
  <c r="LD228" i="1"/>
  <c r="LC228" i="1"/>
  <c r="LA228" i="1"/>
  <c r="KZ228" i="1"/>
  <c r="KY228" i="1"/>
  <c r="KX228" i="1"/>
  <c r="KW228" i="1"/>
  <c r="KV228" i="1"/>
  <c r="KU228" i="1"/>
  <c r="KT228" i="1"/>
  <c r="KS228" i="1"/>
  <c r="KR228" i="1"/>
  <c r="KQ228" i="1"/>
  <c r="KP228" i="1"/>
  <c r="KO228" i="1"/>
  <c r="KN228" i="1"/>
  <c r="KM228" i="1"/>
  <c r="KL228" i="1"/>
  <c r="KK228" i="1"/>
  <c r="KJ228" i="1"/>
  <c r="KI228" i="1"/>
  <c r="KH228" i="1"/>
  <c r="KG228" i="1"/>
  <c r="KF228" i="1"/>
  <c r="KE228" i="1"/>
  <c r="KD228" i="1"/>
  <c r="KC228" i="1"/>
  <c r="KB228" i="1"/>
  <c r="KA228" i="1"/>
  <c r="JZ228" i="1"/>
  <c r="JY228" i="1"/>
  <c r="JX228" i="1"/>
  <c r="JW228" i="1"/>
  <c r="JV228" i="1"/>
  <c r="JU228" i="1"/>
  <c r="JT228" i="1"/>
  <c r="JS228" i="1"/>
  <c r="JR228" i="1"/>
  <c r="JP228" i="1"/>
  <c r="JO228" i="1"/>
  <c r="JN228" i="1"/>
  <c r="JM228" i="1"/>
  <c r="JL228" i="1"/>
  <c r="JK228" i="1"/>
  <c r="JJ228" i="1"/>
  <c r="JI228" i="1"/>
  <c r="JH228" i="1"/>
  <c r="JG228" i="1"/>
  <c r="JF228" i="1"/>
  <c r="JE228" i="1"/>
  <c r="JD228" i="1"/>
  <c r="JC228" i="1"/>
  <c r="JB228" i="1"/>
  <c r="JA228" i="1"/>
  <c r="IZ228" i="1"/>
  <c r="IY228" i="1"/>
  <c r="IX228" i="1"/>
  <c r="IW228" i="1"/>
  <c r="IV228" i="1"/>
  <c r="IU228" i="1"/>
  <c r="IT228" i="1"/>
  <c r="IS228" i="1"/>
  <c r="IR228" i="1"/>
  <c r="IQ228" i="1"/>
  <c r="IP228" i="1"/>
  <c r="IO228" i="1"/>
  <c r="IN228" i="1"/>
  <c r="IM228" i="1"/>
  <c r="IL228" i="1"/>
  <c r="IK228" i="1"/>
  <c r="IJ228" i="1"/>
  <c r="II228" i="1"/>
  <c r="IH228" i="1"/>
  <c r="IG228" i="1"/>
  <c r="IE228" i="1"/>
  <c r="ID228" i="1"/>
  <c r="IC228" i="1"/>
  <c r="IB228" i="1"/>
  <c r="IA228" i="1"/>
  <c r="HZ228" i="1"/>
  <c r="HY228" i="1"/>
  <c r="HX228" i="1"/>
  <c r="HW228" i="1"/>
  <c r="HV228" i="1"/>
  <c r="HU228" i="1"/>
  <c r="HT228" i="1"/>
  <c r="HS228" i="1"/>
  <c r="HR228" i="1"/>
  <c r="HQ228" i="1"/>
  <c r="HP228" i="1"/>
  <c r="HO228" i="1"/>
  <c r="HN228" i="1"/>
  <c r="HM228" i="1"/>
  <c r="HL228" i="1"/>
  <c r="HK228" i="1"/>
  <c r="HJ228" i="1"/>
  <c r="HI228" i="1"/>
  <c r="HH228" i="1"/>
  <c r="HG228" i="1"/>
  <c r="HF228" i="1"/>
  <c r="HE228" i="1"/>
  <c r="HD228" i="1"/>
  <c r="HC228" i="1"/>
  <c r="HB228" i="1"/>
  <c r="HA228" i="1"/>
  <c r="GZ228" i="1"/>
  <c r="GY228" i="1"/>
  <c r="GX228" i="1"/>
  <c r="GW228" i="1"/>
  <c r="GV228" i="1"/>
  <c r="GT228" i="1"/>
  <c r="GS228" i="1"/>
  <c r="GR228" i="1"/>
  <c r="GQ228" i="1"/>
  <c r="GP228" i="1"/>
  <c r="GO228" i="1"/>
  <c r="GN228" i="1"/>
  <c r="GM228" i="1"/>
  <c r="GL228" i="1"/>
  <c r="GK228" i="1"/>
  <c r="GJ228" i="1"/>
  <c r="GI228" i="1"/>
  <c r="GH228" i="1"/>
  <c r="GG228" i="1"/>
  <c r="GF228" i="1"/>
  <c r="GE228" i="1"/>
  <c r="GD228" i="1"/>
  <c r="GC228" i="1"/>
  <c r="GB228" i="1"/>
  <c r="GA228" i="1"/>
  <c r="FZ228" i="1"/>
  <c r="FY228" i="1"/>
  <c r="FX228" i="1"/>
  <c r="FW228" i="1"/>
  <c r="FV228" i="1"/>
  <c r="FU228" i="1"/>
  <c r="FT228" i="1"/>
  <c r="FS228" i="1"/>
  <c r="FR228" i="1"/>
  <c r="FQ228" i="1"/>
  <c r="FP228" i="1"/>
  <c r="FO228" i="1"/>
  <c r="FN228" i="1"/>
  <c r="FM228" i="1"/>
  <c r="FL228" i="1"/>
  <c r="FK228" i="1"/>
  <c r="FI228" i="1"/>
  <c r="FH228" i="1"/>
  <c r="FG228" i="1"/>
  <c r="FF228" i="1"/>
  <c r="FE228" i="1"/>
  <c r="FD228" i="1"/>
  <c r="FC228" i="1"/>
  <c r="FB228" i="1"/>
  <c r="FA228" i="1"/>
  <c r="EZ228" i="1"/>
  <c r="EY228" i="1"/>
  <c r="EX228" i="1"/>
  <c r="EW228" i="1"/>
  <c r="EV228" i="1"/>
  <c r="EU228" i="1"/>
  <c r="ET228" i="1"/>
  <c r="ES228" i="1"/>
  <c r="ER228" i="1"/>
  <c r="EQ228" i="1"/>
  <c r="EP228" i="1"/>
  <c r="EO228" i="1"/>
  <c r="EN228" i="1"/>
  <c r="EM228" i="1"/>
  <c r="EL228" i="1"/>
  <c r="EK228" i="1"/>
  <c r="EJ228" i="1"/>
  <c r="EI228" i="1"/>
  <c r="EH228" i="1"/>
  <c r="EG228" i="1"/>
  <c r="EF228" i="1"/>
  <c r="EE228" i="1"/>
  <c r="ED228" i="1"/>
  <c r="EC228" i="1"/>
  <c r="EB228" i="1"/>
  <c r="EA228" i="1"/>
  <c r="DZ228" i="1"/>
  <c r="DX228" i="1"/>
  <c r="DW228" i="1"/>
  <c r="DV228" i="1"/>
  <c r="DU228" i="1"/>
  <c r="DT228" i="1"/>
  <c r="DS228" i="1"/>
  <c r="DR228" i="1"/>
  <c r="DQ228" i="1"/>
  <c r="DP228" i="1"/>
  <c r="DO228" i="1"/>
  <c r="DN228" i="1"/>
  <c r="DM228" i="1"/>
  <c r="DL228" i="1"/>
  <c r="DK228" i="1"/>
  <c r="DJ228" i="1"/>
  <c r="DI228" i="1"/>
  <c r="DH228" i="1"/>
  <c r="DG228" i="1"/>
  <c r="DF228" i="1"/>
  <c r="DE228" i="1"/>
  <c r="DD228" i="1"/>
  <c r="DC228" i="1"/>
  <c r="DB228" i="1"/>
  <c r="DA228" i="1"/>
  <c r="CZ228" i="1"/>
  <c r="CY228" i="1"/>
  <c r="CX228" i="1"/>
  <c r="CW228" i="1"/>
  <c r="CV228" i="1"/>
  <c r="CU228" i="1"/>
  <c r="CT228" i="1"/>
  <c r="CS228" i="1"/>
  <c r="CR228" i="1"/>
  <c r="CQ228" i="1"/>
  <c r="CP228" i="1"/>
  <c r="CO228" i="1"/>
  <c r="CM228" i="1"/>
  <c r="CL228" i="1"/>
  <c r="CK228" i="1"/>
  <c r="CJ228" i="1"/>
  <c r="CI228" i="1"/>
  <c r="CH228" i="1"/>
  <c r="CG228" i="1"/>
  <c r="CF228" i="1"/>
  <c r="CE228" i="1"/>
  <c r="CD228" i="1"/>
  <c r="CC228" i="1"/>
  <c r="CB228" i="1"/>
  <c r="CA228" i="1"/>
  <c r="BZ228" i="1"/>
  <c r="BY228" i="1"/>
  <c r="BX228" i="1"/>
  <c r="BW228" i="1"/>
  <c r="BV228" i="1"/>
  <c r="BU228" i="1"/>
  <c r="BT228" i="1"/>
  <c r="BS228" i="1"/>
  <c r="BR228" i="1"/>
  <c r="BQ228" i="1"/>
  <c r="BP228" i="1"/>
  <c r="BO228" i="1"/>
  <c r="BN228" i="1"/>
  <c r="BM228" i="1"/>
  <c r="BL228" i="1"/>
  <c r="BK228" i="1"/>
  <c r="BJ228" i="1"/>
  <c r="BI228" i="1"/>
  <c r="BH228" i="1"/>
  <c r="BG228" i="1"/>
  <c r="BF228" i="1"/>
  <c r="BE228" i="1"/>
  <c r="BD228" i="1"/>
  <c r="BB228" i="1"/>
  <c r="BA228" i="1"/>
  <c r="AZ228" i="1"/>
  <c r="AY228" i="1"/>
  <c r="AX228" i="1"/>
  <c r="AW228" i="1"/>
  <c r="AV228" i="1"/>
  <c r="AU228" i="1"/>
  <c r="AT228" i="1"/>
  <c r="AS228" i="1"/>
  <c r="AR228" i="1"/>
  <c r="AQ228" i="1"/>
  <c r="AP228" i="1"/>
  <c r="AO228" i="1"/>
  <c r="AN228" i="1"/>
  <c r="AM228" i="1"/>
  <c r="AL228" i="1"/>
  <c r="AK228" i="1"/>
  <c r="AJ228" i="1"/>
  <c r="AI228" i="1"/>
  <c r="AH228" i="1"/>
  <c r="AG228" i="1"/>
  <c r="AF228" i="1"/>
  <c r="AE228" i="1"/>
  <c r="AD228" i="1"/>
  <c r="AC228" i="1"/>
  <c r="AB228" i="1"/>
  <c r="AA228" i="1"/>
  <c r="Z228" i="1"/>
  <c r="Y228" i="1"/>
  <c r="X228" i="1"/>
  <c r="W228" i="1"/>
  <c r="V228" i="1"/>
  <c r="U228" i="1"/>
  <c r="T228" i="1"/>
  <c r="S228" i="1"/>
  <c r="M228" i="1"/>
  <c r="L228" i="1"/>
  <c r="K228" i="1"/>
  <c r="J228" i="1"/>
  <c r="I228" i="1"/>
  <c r="H228" i="1"/>
  <c r="E222" i="1"/>
  <c r="D222" i="1"/>
  <c r="K221" i="1"/>
  <c r="J221" i="1"/>
  <c r="H221" i="1"/>
  <c r="K220" i="1"/>
  <c r="J220" i="1"/>
  <c r="H220" i="1"/>
  <c r="K219" i="1"/>
  <c r="J219" i="1"/>
  <c r="H219" i="1"/>
  <c r="K218" i="1"/>
  <c r="J218" i="1"/>
  <c r="H218" i="1"/>
  <c r="K217" i="1"/>
  <c r="J217" i="1"/>
  <c r="H217" i="1"/>
  <c r="K216" i="1"/>
  <c r="J216" i="1"/>
  <c r="H216" i="1"/>
  <c r="K215" i="1"/>
  <c r="J215" i="1"/>
  <c r="H215" i="1"/>
  <c r="K214" i="1"/>
  <c r="J214" i="1"/>
  <c r="H214" i="1"/>
  <c r="E213" i="1"/>
  <c r="D213" i="1"/>
  <c r="ML196" i="1"/>
  <c r="MB196" i="1"/>
  <c r="LR196" i="1"/>
  <c r="LH196" i="1"/>
  <c r="LH347" i="1" s="1"/>
  <c r="LA196" i="1"/>
  <c r="KQ196" i="1"/>
  <c r="KG196" i="1"/>
  <c r="JW196" i="1"/>
  <c r="JP196" i="1"/>
  <c r="JF196" i="1"/>
  <c r="IV196" i="1"/>
  <c r="IL196" i="1"/>
  <c r="Q196" i="1"/>
  <c r="P196" i="1"/>
  <c r="O196" i="1"/>
  <c r="N196" i="1"/>
  <c r="M196" i="1"/>
  <c r="L196" i="1"/>
  <c r="K196" i="1"/>
  <c r="J196" i="1"/>
  <c r="I196" i="1"/>
  <c r="H196" i="1"/>
  <c r="H232" i="1" s="1"/>
  <c r="MK195" i="1"/>
  <c r="MJ195" i="1"/>
  <c r="MI195" i="1"/>
  <c r="MH195" i="1"/>
  <c r="MG195" i="1"/>
  <c r="MF195" i="1"/>
  <c r="ME195" i="1"/>
  <c r="MD195" i="1"/>
  <c r="MC195" i="1"/>
  <c r="MA195" i="1"/>
  <c r="LZ195" i="1"/>
  <c r="LY195" i="1"/>
  <c r="LX195" i="1"/>
  <c r="LW195" i="1"/>
  <c r="LV195" i="1"/>
  <c r="LU195" i="1"/>
  <c r="LT195" i="1"/>
  <c r="LS195" i="1"/>
  <c r="LQ195" i="1"/>
  <c r="LP195" i="1"/>
  <c r="LO195" i="1"/>
  <c r="LN195" i="1"/>
  <c r="LM195" i="1"/>
  <c r="LL195" i="1"/>
  <c r="LK195" i="1"/>
  <c r="LJ195" i="1"/>
  <c r="LI195" i="1"/>
  <c r="KZ195" i="1"/>
  <c r="KY195" i="1"/>
  <c r="KX195" i="1"/>
  <c r="KW195" i="1"/>
  <c r="KV195" i="1"/>
  <c r="KU195" i="1"/>
  <c r="KT195" i="1"/>
  <c r="KS195" i="1"/>
  <c r="KR195" i="1"/>
  <c r="KP195" i="1"/>
  <c r="KO195" i="1"/>
  <c r="KN195" i="1"/>
  <c r="KM195" i="1"/>
  <c r="KL195" i="1"/>
  <c r="KK195" i="1"/>
  <c r="KJ195" i="1"/>
  <c r="KI195" i="1"/>
  <c r="KH195" i="1"/>
  <c r="KF195" i="1"/>
  <c r="KE195" i="1"/>
  <c r="KD195" i="1"/>
  <c r="KC195" i="1"/>
  <c r="KB195" i="1"/>
  <c r="KA195" i="1"/>
  <c r="JZ195" i="1"/>
  <c r="JY195" i="1"/>
  <c r="JX195" i="1"/>
  <c r="JO195" i="1"/>
  <c r="JN195" i="1"/>
  <c r="JM195" i="1"/>
  <c r="JL195" i="1"/>
  <c r="JK195" i="1"/>
  <c r="JJ195" i="1"/>
  <c r="JI195" i="1"/>
  <c r="JH195" i="1"/>
  <c r="JG195" i="1"/>
  <c r="JE195" i="1"/>
  <c r="JD195" i="1"/>
  <c r="JC195" i="1"/>
  <c r="JB195" i="1"/>
  <c r="JA195" i="1"/>
  <c r="IZ195" i="1"/>
  <c r="IY195" i="1"/>
  <c r="IX195" i="1"/>
  <c r="IW195" i="1"/>
  <c r="IU195" i="1"/>
  <c r="IT195" i="1"/>
  <c r="IS195" i="1"/>
  <c r="IR195" i="1"/>
  <c r="IQ195" i="1"/>
  <c r="IP195" i="1"/>
  <c r="IO195" i="1"/>
  <c r="IN195" i="1"/>
  <c r="IM195" i="1"/>
  <c r="MK194" i="1"/>
  <c r="MJ194" i="1"/>
  <c r="MI194" i="1"/>
  <c r="MH194" i="1"/>
  <c r="MG194" i="1"/>
  <c r="MF194" i="1"/>
  <c r="ME194" i="1"/>
  <c r="MD194" i="1"/>
  <c r="MC194" i="1"/>
  <c r="MA194" i="1"/>
  <c r="LZ194" i="1"/>
  <c r="LY194" i="1"/>
  <c r="LX194" i="1"/>
  <c r="LW194" i="1"/>
  <c r="LV194" i="1"/>
  <c r="LU194" i="1"/>
  <c r="LT194" i="1"/>
  <c r="LS194" i="1"/>
  <c r="LQ194" i="1"/>
  <c r="LP194" i="1"/>
  <c r="LO194" i="1"/>
  <c r="LN194" i="1"/>
  <c r="LM194" i="1"/>
  <c r="LL194" i="1"/>
  <c r="LK194" i="1"/>
  <c r="LJ194" i="1"/>
  <c r="LI194" i="1"/>
  <c r="KZ194" i="1"/>
  <c r="KY194" i="1"/>
  <c r="KX194" i="1"/>
  <c r="KW194" i="1"/>
  <c r="KV194" i="1"/>
  <c r="KU194" i="1"/>
  <c r="KT194" i="1"/>
  <c r="KS194" i="1"/>
  <c r="KR194" i="1"/>
  <c r="KP194" i="1"/>
  <c r="KO194" i="1"/>
  <c r="KN194" i="1"/>
  <c r="KM194" i="1"/>
  <c r="KL194" i="1"/>
  <c r="KK194" i="1"/>
  <c r="KJ194" i="1"/>
  <c r="KI194" i="1"/>
  <c r="KH194" i="1"/>
  <c r="KF194" i="1"/>
  <c r="KE194" i="1"/>
  <c r="KD194" i="1"/>
  <c r="KC194" i="1"/>
  <c r="KB194" i="1"/>
  <c r="KA194" i="1"/>
  <c r="JZ194" i="1"/>
  <c r="JY194" i="1"/>
  <c r="JX194" i="1"/>
  <c r="JO194" i="1"/>
  <c r="JN194" i="1"/>
  <c r="JM194" i="1"/>
  <c r="JL194" i="1"/>
  <c r="JK194" i="1"/>
  <c r="JJ194" i="1"/>
  <c r="JI194" i="1"/>
  <c r="JH194" i="1"/>
  <c r="JG194" i="1"/>
  <c r="JE194" i="1"/>
  <c r="JD194" i="1"/>
  <c r="JC194" i="1"/>
  <c r="JB194" i="1"/>
  <c r="JA194" i="1"/>
  <c r="IZ194" i="1"/>
  <c r="IY194" i="1"/>
  <c r="IX194" i="1"/>
  <c r="IW194" i="1"/>
  <c r="IU194" i="1"/>
  <c r="IT194" i="1"/>
  <c r="IS194" i="1"/>
  <c r="IR194" i="1"/>
  <c r="IQ194" i="1"/>
  <c r="IP194" i="1"/>
  <c r="IO194" i="1"/>
  <c r="IN194" i="1"/>
  <c r="IM194" i="1"/>
  <c r="MK193" i="1"/>
  <c r="MJ193" i="1"/>
  <c r="MI193" i="1"/>
  <c r="MH193" i="1"/>
  <c r="MG193" i="1"/>
  <c r="MF193" i="1"/>
  <c r="ME193" i="1"/>
  <c r="MD193" i="1"/>
  <c r="MC193" i="1"/>
  <c r="MA193" i="1"/>
  <c r="LZ193" i="1"/>
  <c r="LY193" i="1"/>
  <c r="LX193" i="1"/>
  <c r="LW193" i="1"/>
  <c r="LV193" i="1"/>
  <c r="LU193" i="1"/>
  <c r="LT193" i="1"/>
  <c r="LS193" i="1"/>
  <c r="LQ193" i="1"/>
  <c r="LP193" i="1"/>
  <c r="LO193" i="1"/>
  <c r="LN193" i="1"/>
  <c r="LM193" i="1"/>
  <c r="LL193" i="1"/>
  <c r="LK193" i="1"/>
  <c r="LJ193" i="1"/>
  <c r="LI193" i="1"/>
  <c r="KZ193" i="1"/>
  <c r="KY193" i="1"/>
  <c r="KX193" i="1"/>
  <c r="KW193" i="1"/>
  <c r="KV193" i="1"/>
  <c r="KU193" i="1"/>
  <c r="KT193" i="1"/>
  <c r="KS193" i="1"/>
  <c r="KR193" i="1"/>
  <c r="KP193" i="1"/>
  <c r="KO193" i="1"/>
  <c r="KN193" i="1"/>
  <c r="KM193" i="1"/>
  <c r="KL193" i="1"/>
  <c r="KK193" i="1"/>
  <c r="KJ193" i="1"/>
  <c r="KI193" i="1"/>
  <c r="KH193" i="1"/>
  <c r="KF193" i="1"/>
  <c r="KE193" i="1"/>
  <c r="KD193" i="1"/>
  <c r="KC193" i="1"/>
  <c r="KB193" i="1"/>
  <c r="KA193" i="1"/>
  <c r="JZ193" i="1"/>
  <c r="JY193" i="1"/>
  <c r="JX193" i="1"/>
  <c r="JO193" i="1"/>
  <c r="JN193" i="1"/>
  <c r="JM193" i="1"/>
  <c r="JL193" i="1"/>
  <c r="JK193" i="1"/>
  <c r="JJ193" i="1"/>
  <c r="JI193" i="1"/>
  <c r="JH193" i="1"/>
  <c r="JG193" i="1"/>
  <c r="JE193" i="1"/>
  <c r="JD193" i="1"/>
  <c r="JC193" i="1"/>
  <c r="JB193" i="1"/>
  <c r="JA193" i="1"/>
  <c r="IZ193" i="1"/>
  <c r="IY193" i="1"/>
  <c r="IX193" i="1"/>
  <c r="IW193" i="1"/>
  <c r="IU193" i="1"/>
  <c r="IT193" i="1"/>
  <c r="IS193" i="1"/>
  <c r="IR193" i="1"/>
  <c r="IQ193" i="1"/>
  <c r="IP193" i="1"/>
  <c r="IO193" i="1"/>
  <c r="IN193" i="1"/>
  <c r="IM193" i="1"/>
  <c r="MK192" i="1"/>
  <c r="MJ192" i="1"/>
  <c r="MI192" i="1"/>
  <c r="MH192" i="1"/>
  <c r="MG192" i="1"/>
  <c r="MF192" i="1"/>
  <c r="ME192" i="1"/>
  <c r="MD192" i="1"/>
  <c r="MC192" i="1"/>
  <c r="MA192" i="1"/>
  <c r="LZ192" i="1"/>
  <c r="LY192" i="1"/>
  <c r="LX192" i="1"/>
  <c r="LW192" i="1"/>
  <c r="LV192" i="1"/>
  <c r="LU192" i="1"/>
  <c r="LT192" i="1"/>
  <c r="LS192" i="1"/>
  <c r="LQ192" i="1"/>
  <c r="LP192" i="1"/>
  <c r="LO192" i="1"/>
  <c r="LN192" i="1"/>
  <c r="LM192" i="1"/>
  <c r="LL192" i="1"/>
  <c r="LK192" i="1"/>
  <c r="LJ192" i="1"/>
  <c r="LI192" i="1"/>
  <c r="KZ192" i="1"/>
  <c r="KY192" i="1"/>
  <c r="KX192" i="1"/>
  <c r="KW192" i="1"/>
  <c r="KV192" i="1"/>
  <c r="KU192" i="1"/>
  <c r="KT192" i="1"/>
  <c r="KS192" i="1"/>
  <c r="KR192" i="1"/>
  <c r="KP192" i="1"/>
  <c r="KO192" i="1"/>
  <c r="KN192" i="1"/>
  <c r="KM192" i="1"/>
  <c r="KL192" i="1"/>
  <c r="KK192" i="1"/>
  <c r="KJ192" i="1"/>
  <c r="KI192" i="1"/>
  <c r="KH192" i="1"/>
  <c r="KF192" i="1"/>
  <c r="KE192" i="1"/>
  <c r="KD192" i="1"/>
  <c r="KC192" i="1"/>
  <c r="KB192" i="1"/>
  <c r="KA192" i="1"/>
  <c r="JZ192" i="1"/>
  <c r="JY192" i="1"/>
  <c r="JX192" i="1"/>
  <c r="JO192" i="1"/>
  <c r="JN192" i="1"/>
  <c r="JM192" i="1"/>
  <c r="JL192" i="1"/>
  <c r="JK192" i="1"/>
  <c r="JJ192" i="1"/>
  <c r="JI192" i="1"/>
  <c r="JH192" i="1"/>
  <c r="JG192" i="1"/>
  <c r="JE192" i="1"/>
  <c r="JD192" i="1"/>
  <c r="JC192" i="1"/>
  <c r="JB192" i="1"/>
  <c r="JA192" i="1"/>
  <c r="IZ192" i="1"/>
  <c r="IY192" i="1"/>
  <c r="IX192" i="1"/>
  <c r="IW192" i="1"/>
  <c r="IU192" i="1"/>
  <c r="IT192" i="1"/>
  <c r="IS192" i="1"/>
  <c r="IR192" i="1"/>
  <c r="IQ192" i="1"/>
  <c r="IP192" i="1"/>
  <c r="IO192" i="1"/>
  <c r="IN192" i="1"/>
  <c r="IM192" i="1"/>
  <c r="MK191" i="1"/>
  <c r="MJ191" i="1"/>
  <c r="MI191" i="1"/>
  <c r="MH191" i="1"/>
  <c r="MG191" i="1"/>
  <c r="MF191" i="1"/>
  <c r="ME191" i="1"/>
  <c r="MD191" i="1"/>
  <c r="MC191" i="1"/>
  <c r="MA191" i="1"/>
  <c r="LZ191" i="1"/>
  <c r="LY191" i="1"/>
  <c r="LX191" i="1"/>
  <c r="LW191" i="1"/>
  <c r="LV191" i="1"/>
  <c r="LU191" i="1"/>
  <c r="LT191" i="1"/>
  <c r="LS191" i="1"/>
  <c r="LQ191" i="1"/>
  <c r="LP191" i="1"/>
  <c r="LO191" i="1"/>
  <c r="LN191" i="1"/>
  <c r="LM191" i="1"/>
  <c r="LL191" i="1"/>
  <c r="LK191" i="1"/>
  <c r="LJ191" i="1"/>
  <c r="LI191" i="1"/>
  <c r="KZ191" i="1"/>
  <c r="KY191" i="1"/>
  <c r="KX191" i="1"/>
  <c r="KW191" i="1"/>
  <c r="KV191" i="1"/>
  <c r="KU191" i="1"/>
  <c r="KT191" i="1"/>
  <c r="KS191" i="1"/>
  <c r="KR191" i="1"/>
  <c r="KP191" i="1"/>
  <c r="KO191" i="1"/>
  <c r="KN191" i="1"/>
  <c r="KM191" i="1"/>
  <c r="KL191" i="1"/>
  <c r="KK191" i="1"/>
  <c r="KJ191" i="1"/>
  <c r="KI191" i="1"/>
  <c r="KH191" i="1"/>
  <c r="KF191" i="1"/>
  <c r="KE191" i="1"/>
  <c r="KD191" i="1"/>
  <c r="KC191" i="1"/>
  <c r="KB191" i="1"/>
  <c r="KA191" i="1"/>
  <c r="JZ191" i="1"/>
  <c r="JY191" i="1"/>
  <c r="JX191" i="1"/>
  <c r="JO191" i="1"/>
  <c r="JN191" i="1"/>
  <c r="JM191" i="1"/>
  <c r="JL191" i="1"/>
  <c r="JK191" i="1"/>
  <c r="JJ191" i="1"/>
  <c r="JI191" i="1"/>
  <c r="JH191" i="1"/>
  <c r="JG191" i="1"/>
  <c r="JE191" i="1"/>
  <c r="JD191" i="1"/>
  <c r="JC191" i="1"/>
  <c r="JB191" i="1"/>
  <c r="JA191" i="1"/>
  <c r="IZ191" i="1"/>
  <c r="IY191" i="1"/>
  <c r="IX191" i="1"/>
  <c r="IW191" i="1"/>
  <c r="IU191" i="1"/>
  <c r="IT191" i="1"/>
  <c r="IS191" i="1"/>
  <c r="IR191" i="1"/>
  <c r="IQ191" i="1"/>
  <c r="IP191" i="1"/>
  <c r="IO191" i="1"/>
  <c r="IN191" i="1"/>
  <c r="IM191" i="1"/>
  <c r="MK190" i="1"/>
  <c r="MJ190" i="1"/>
  <c r="MI190" i="1"/>
  <c r="MH190" i="1"/>
  <c r="MG190" i="1"/>
  <c r="MF190" i="1"/>
  <c r="ME190" i="1"/>
  <c r="MD190" i="1"/>
  <c r="MC190" i="1"/>
  <c r="MA190" i="1"/>
  <c r="LZ190" i="1"/>
  <c r="LY190" i="1"/>
  <c r="LX190" i="1"/>
  <c r="LW190" i="1"/>
  <c r="LV190" i="1"/>
  <c r="LU190" i="1"/>
  <c r="LT190" i="1"/>
  <c r="LS190" i="1"/>
  <c r="LQ190" i="1"/>
  <c r="LP190" i="1"/>
  <c r="LO190" i="1"/>
  <c r="LN190" i="1"/>
  <c r="LM190" i="1"/>
  <c r="LL190" i="1"/>
  <c r="LK190" i="1"/>
  <c r="LJ190" i="1"/>
  <c r="LI190" i="1"/>
  <c r="KZ190" i="1"/>
  <c r="KY190" i="1"/>
  <c r="KX190" i="1"/>
  <c r="KW190" i="1"/>
  <c r="KV190" i="1"/>
  <c r="KU190" i="1"/>
  <c r="KT190" i="1"/>
  <c r="KS190" i="1"/>
  <c r="KR190" i="1"/>
  <c r="KP190" i="1"/>
  <c r="KO190" i="1"/>
  <c r="KN190" i="1"/>
  <c r="KM190" i="1"/>
  <c r="KL190" i="1"/>
  <c r="KK190" i="1"/>
  <c r="KJ190" i="1"/>
  <c r="KI190" i="1"/>
  <c r="KH190" i="1"/>
  <c r="KF190" i="1"/>
  <c r="KE190" i="1"/>
  <c r="KD190" i="1"/>
  <c r="KC190" i="1"/>
  <c r="KB190" i="1"/>
  <c r="KA190" i="1"/>
  <c r="JZ190" i="1"/>
  <c r="JY190" i="1"/>
  <c r="JX190" i="1"/>
  <c r="JO190" i="1"/>
  <c r="JN190" i="1"/>
  <c r="JM190" i="1"/>
  <c r="JL190" i="1"/>
  <c r="JK190" i="1"/>
  <c r="JJ190" i="1"/>
  <c r="JI190" i="1"/>
  <c r="JH190" i="1"/>
  <c r="JG190" i="1"/>
  <c r="JE190" i="1"/>
  <c r="JD190" i="1"/>
  <c r="JC190" i="1"/>
  <c r="JB190" i="1"/>
  <c r="JA190" i="1"/>
  <c r="IZ190" i="1"/>
  <c r="IY190" i="1"/>
  <c r="IX190" i="1"/>
  <c r="IW190" i="1"/>
  <c r="IU190" i="1"/>
  <c r="IT190" i="1"/>
  <c r="IS190" i="1"/>
  <c r="IR190" i="1"/>
  <c r="IQ190" i="1"/>
  <c r="IP190" i="1"/>
  <c r="IO190" i="1"/>
  <c r="IN190" i="1"/>
  <c r="IM190" i="1"/>
  <c r="MK189" i="1"/>
  <c r="MJ189" i="1"/>
  <c r="MI189" i="1"/>
  <c r="MH189" i="1"/>
  <c r="MG189" i="1"/>
  <c r="MF189" i="1"/>
  <c r="ME189" i="1"/>
  <c r="MD189" i="1"/>
  <c r="MC189" i="1"/>
  <c r="MA189" i="1"/>
  <c r="LZ189" i="1"/>
  <c r="LY189" i="1"/>
  <c r="LX189" i="1"/>
  <c r="LW189" i="1"/>
  <c r="LV189" i="1"/>
  <c r="LU189" i="1"/>
  <c r="LT189" i="1"/>
  <c r="LS189" i="1"/>
  <c r="LQ189" i="1"/>
  <c r="LP189" i="1"/>
  <c r="LO189" i="1"/>
  <c r="LN189" i="1"/>
  <c r="LM189" i="1"/>
  <c r="LL189" i="1"/>
  <c r="LK189" i="1"/>
  <c r="LJ189" i="1"/>
  <c r="LI189" i="1"/>
  <c r="KZ189" i="1"/>
  <c r="KY189" i="1"/>
  <c r="KX189" i="1"/>
  <c r="KW189" i="1"/>
  <c r="KV189" i="1"/>
  <c r="KU189" i="1"/>
  <c r="KT189" i="1"/>
  <c r="KS189" i="1"/>
  <c r="KR189" i="1"/>
  <c r="KP189" i="1"/>
  <c r="KO189" i="1"/>
  <c r="KN189" i="1"/>
  <c r="KM189" i="1"/>
  <c r="KL189" i="1"/>
  <c r="KK189" i="1"/>
  <c r="KJ189" i="1"/>
  <c r="KI189" i="1"/>
  <c r="KH189" i="1"/>
  <c r="KF189" i="1"/>
  <c r="KE189" i="1"/>
  <c r="KD189" i="1"/>
  <c r="KC189" i="1"/>
  <c r="KB189" i="1"/>
  <c r="KA189" i="1"/>
  <c r="JZ189" i="1"/>
  <c r="JY189" i="1"/>
  <c r="JX189" i="1"/>
  <c r="JO189" i="1"/>
  <c r="JN189" i="1"/>
  <c r="JM189" i="1"/>
  <c r="JL189" i="1"/>
  <c r="JK189" i="1"/>
  <c r="JJ189" i="1"/>
  <c r="JI189" i="1"/>
  <c r="JH189" i="1"/>
  <c r="JG189" i="1"/>
  <c r="JE189" i="1"/>
  <c r="JD189" i="1"/>
  <c r="JC189" i="1"/>
  <c r="JB189" i="1"/>
  <c r="JA189" i="1"/>
  <c r="IZ189" i="1"/>
  <c r="IY189" i="1"/>
  <c r="IX189" i="1"/>
  <c r="IW189" i="1"/>
  <c r="IU189" i="1"/>
  <c r="IT189" i="1"/>
  <c r="IS189" i="1"/>
  <c r="IR189" i="1"/>
  <c r="IQ189" i="1"/>
  <c r="IP189" i="1"/>
  <c r="IO189" i="1"/>
  <c r="IN189" i="1"/>
  <c r="IM189" i="1"/>
  <c r="MK188" i="1"/>
  <c r="MJ188" i="1"/>
  <c r="MI188" i="1"/>
  <c r="MH188" i="1"/>
  <c r="MG188" i="1"/>
  <c r="MF188" i="1"/>
  <c r="ME188" i="1"/>
  <c r="MD188" i="1"/>
  <c r="MC188" i="1"/>
  <c r="MA188" i="1"/>
  <c r="LZ188" i="1"/>
  <c r="LY188" i="1"/>
  <c r="LX188" i="1"/>
  <c r="LW188" i="1"/>
  <c r="LV188" i="1"/>
  <c r="LU188" i="1"/>
  <c r="LT188" i="1"/>
  <c r="LS188" i="1"/>
  <c r="LQ188" i="1"/>
  <c r="LP188" i="1"/>
  <c r="LO188" i="1"/>
  <c r="LN188" i="1"/>
  <c r="LM188" i="1"/>
  <c r="LL188" i="1"/>
  <c r="LK188" i="1"/>
  <c r="LJ188" i="1"/>
  <c r="LI188" i="1"/>
  <c r="KZ188" i="1"/>
  <c r="KY188" i="1"/>
  <c r="KX188" i="1"/>
  <c r="KW188" i="1"/>
  <c r="KV188" i="1"/>
  <c r="KU188" i="1"/>
  <c r="KT188" i="1"/>
  <c r="KS188" i="1"/>
  <c r="KR188" i="1"/>
  <c r="KP188" i="1"/>
  <c r="KO188" i="1"/>
  <c r="KN188" i="1"/>
  <c r="KM188" i="1"/>
  <c r="KL188" i="1"/>
  <c r="KK188" i="1"/>
  <c r="KJ188" i="1"/>
  <c r="KI188" i="1"/>
  <c r="KH188" i="1"/>
  <c r="KF188" i="1"/>
  <c r="KE188" i="1"/>
  <c r="KD188" i="1"/>
  <c r="KC188" i="1"/>
  <c r="KB188" i="1"/>
  <c r="KA188" i="1"/>
  <c r="JZ188" i="1"/>
  <c r="JY188" i="1"/>
  <c r="JX188" i="1"/>
  <c r="JO188" i="1"/>
  <c r="JN188" i="1"/>
  <c r="JM188" i="1"/>
  <c r="JL188" i="1"/>
  <c r="JK188" i="1"/>
  <c r="JJ188" i="1"/>
  <c r="JI188" i="1"/>
  <c r="JH188" i="1"/>
  <c r="JG188" i="1"/>
  <c r="JE188" i="1"/>
  <c r="JD188" i="1"/>
  <c r="JC188" i="1"/>
  <c r="JB188" i="1"/>
  <c r="JA188" i="1"/>
  <c r="IZ188" i="1"/>
  <c r="IY188" i="1"/>
  <c r="IX188" i="1"/>
  <c r="IW188" i="1"/>
  <c r="IU188" i="1"/>
  <c r="IT188" i="1"/>
  <c r="IS188" i="1"/>
  <c r="IR188" i="1"/>
  <c r="IQ188" i="1"/>
  <c r="IP188" i="1"/>
  <c r="IO188" i="1"/>
  <c r="IN188" i="1"/>
  <c r="IM188" i="1"/>
  <c r="ML187" i="1"/>
  <c r="MK187" i="1"/>
  <c r="MJ187" i="1"/>
  <c r="MI187" i="1"/>
  <c r="MH187" i="1"/>
  <c r="MG187" i="1"/>
  <c r="MF187" i="1"/>
  <c r="ME187" i="1"/>
  <c r="MD187" i="1"/>
  <c r="MC187" i="1"/>
  <c r="MB187" i="1"/>
  <c r="MA187" i="1"/>
  <c r="LZ187" i="1"/>
  <c r="LY187" i="1"/>
  <c r="LX187" i="1"/>
  <c r="LW187" i="1"/>
  <c r="LV187" i="1"/>
  <c r="LU187" i="1"/>
  <c r="LT187" i="1"/>
  <c r="LS187" i="1"/>
  <c r="LR187" i="1"/>
  <c r="LQ187" i="1"/>
  <c r="LP187" i="1"/>
  <c r="LO187" i="1"/>
  <c r="LN187" i="1"/>
  <c r="LM187" i="1"/>
  <c r="LL187" i="1"/>
  <c r="LK187" i="1"/>
  <c r="LJ187" i="1"/>
  <c r="LI187" i="1"/>
  <c r="LH187" i="1"/>
  <c r="LG187" i="1"/>
  <c r="LF187" i="1"/>
  <c r="LE187" i="1"/>
  <c r="LD187" i="1"/>
  <c r="LC187" i="1"/>
  <c r="LA187" i="1"/>
  <c r="KZ187" i="1"/>
  <c r="KY187" i="1"/>
  <c r="KX187" i="1"/>
  <c r="KW187" i="1"/>
  <c r="KV187" i="1"/>
  <c r="KU187" i="1"/>
  <c r="KT187" i="1"/>
  <c r="KS187" i="1"/>
  <c r="KR187" i="1"/>
  <c r="KQ187" i="1"/>
  <c r="KP187" i="1"/>
  <c r="KO187" i="1"/>
  <c r="KN187" i="1"/>
  <c r="KM187" i="1"/>
  <c r="KL187" i="1"/>
  <c r="KK187" i="1"/>
  <c r="KJ187" i="1"/>
  <c r="KI187" i="1"/>
  <c r="KH187" i="1"/>
  <c r="KG187" i="1"/>
  <c r="KF187" i="1"/>
  <c r="KE187" i="1"/>
  <c r="KD187" i="1"/>
  <c r="KC187" i="1"/>
  <c r="KB187" i="1"/>
  <c r="KA187" i="1"/>
  <c r="JZ187" i="1"/>
  <c r="JY187" i="1"/>
  <c r="JX187" i="1"/>
  <c r="JW187" i="1"/>
  <c r="JV187" i="1"/>
  <c r="JU187" i="1"/>
  <c r="JT187" i="1"/>
  <c r="JS187" i="1"/>
  <c r="JR187" i="1"/>
  <c r="JP187" i="1"/>
  <c r="JO187" i="1"/>
  <c r="JN187" i="1"/>
  <c r="JM187" i="1"/>
  <c r="JL187" i="1"/>
  <c r="JK187" i="1"/>
  <c r="JJ187" i="1"/>
  <c r="JI187" i="1"/>
  <c r="JH187" i="1"/>
  <c r="JG187" i="1"/>
  <c r="JF187" i="1"/>
  <c r="JE187" i="1"/>
  <c r="JD187" i="1"/>
  <c r="JC187" i="1"/>
  <c r="JB187" i="1"/>
  <c r="JA187" i="1"/>
  <c r="IZ187" i="1"/>
  <c r="IY187" i="1"/>
  <c r="IX187" i="1"/>
  <c r="IW187" i="1"/>
  <c r="IV187" i="1"/>
  <c r="IU187" i="1"/>
  <c r="IT187" i="1"/>
  <c r="IS187" i="1"/>
  <c r="IR187" i="1"/>
  <c r="IQ187" i="1"/>
  <c r="IP187" i="1"/>
  <c r="IO187" i="1"/>
  <c r="IN187" i="1"/>
  <c r="IM187" i="1"/>
  <c r="IL187" i="1"/>
  <c r="IK187" i="1"/>
  <c r="IJ187" i="1"/>
  <c r="II187" i="1"/>
  <c r="IH187" i="1"/>
  <c r="IG187" i="1"/>
  <c r="IE187" i="1"/>
  <c r="ID187" i="1"/>
  <c r="IC187" i="1"/>
  <c r="IB187" i="1"/>
  <c r="IA187" i="1"/>
  <c r="HZ187" i="1"/>
  <c r="HY187" i="1"/>
  <c r="HX187" i="1"/>
  <c r="HW187" i="1"/>
  <c r="HV187" i="1"/>
  <c r="HU187" i="1"/>
  <c r="HT187" i="1"/>
  <c r="HS187" i="1"/>
  <c r="HR187" i="1"/>
  <c r="HQ187" i="1"/>
  <c r="HP187" i="1"/>
  <c r="HO187" i="1"/>
  <c r="HN187" i="1"/>
  <c r="HM187" i="1"/>
  <c r="HL187" i="1"/>
  <c r="HK187" i="1"/>
  <c r="HJ187" i="1"/>
  <c r="HI187" i="1"/>
  <c r="HH187" i="1"/>
  <c r="HG187" i="1"/>
  <c r="HF187" i="1"/>
  <c r="HE187" i="1"/>
  <c r="HD187" i="1"/>
  <c r="HC187" i="1"/>
  <c r="HB187" i="1"/>
  <c r="HA187" i="1"/>
  <c r="GZ187" i="1"/>
  <c r="GY187" i="1"/>
  <c r="GX187" i="1"/>
  <c r="GW187" i="1"/>
  <c r="GV187" i="1"/>
  <c r="GT187" i="1"/>
  <c r="GS187" i="1"/>
  <c r="GR187" i="1"/>
  <c r="GQ187" i="1"/>
  <c r="GP187" i="1"/>
  <c r="GO187" i="1"/>
  <c r="GN187" i="1"/>
  <c r="GM187" i="1"/>
  <c r="GL187" i="1"/>
  <c r="GK187" i="1"/>
  <c r="GJ187" i="1"/>
  <c r="GI187" i="1"/>
  <c r="GH187" i="1"/>
  <c r="GG187" i="1"/>
  <c r="GF187" i="1"/>
  <c r="GE187" i="1"/>
  <c r="GD187" i="1"/>
  <c r="GC187" i="1"/>
  <c r="GB187" i="1"/>
  <c r="GA187" i="1"/>
  <c r="FZ187" i="1"/>
  <c r="FY187" i="1"/>
  <c r="FX187" i="1"/>
  <c r="FW187" i="1"/>
  <c r="FV187" i="1"/>
  <c r="FU187" i="1"/>
  <c r="FT187" i="1"/>
  <c r="FS187" i="1"/>
  <c r="FR187" i="1"/>
  <c r="FQ187" i="1"/>
  <c r="FP187" i="1"/>
  <c r="FO187" i="1"/>
  <c r="FN187" i="1"/>
  <c r="FM187" i="1"/>
  <c r="FL187" i="1"/>
  <c r="FK187" i="1"/>
  <c r="FI187" i="1"/>
  <c r="FH187" i="1"/>
  <c r="FG187" i="1"/>
  <c r="FF187" i="1"/>
  <c r="FE187" i="1"/>
  <c r="FD187" i="1"/>
  <c r="FC187" i="1"/>
  <c r="FB187" i="1"/>
  <c r="FA187" i="1"/>
  <c r="EZ187" i="1"/>
  <c r="EY187" i="1"/>
  <c r="EX187" i="1"/>
  <c r="EW187" i="1"/>
  <c r="EV187" i="1"/>
  <c r="EU187" i="1"/>
  <c r="ET187" i="1"/>
  <c r="ES187" i="1"/>
  <c r="ER187" i="1"/>
  <c r="EQ187" i="1"/>
  <c r="EP187" i="1"/>
  <c r="EO187" i="1"/>
  <c r="EN187" i="1"/>
  <c r="EM187" i="1"/>
  <c r="EL187" i="1"/>
  <c r="EK187" i="1"/>
  <c r="EJ187" i="1"/>
  <c r="EI187" i="1"/>
  <c r="EH187" i="1"/>
  <c r="EG187" i="1"/>
  <c r="EF187" i="1"/>
  <c r="EE187" i="1"/>
  <c r="ED187" i="1"/>
  <c r="EC187" i="1"/>
  <c r="EB187" i="1"/>
  <c r="EA187" i="1"/>
  <c r="DZ187" i="1"/>
  <c r="DX187" i="1"/>
  <c r="DW187" i="1"/>
  <c r="DV187" i="1"/>
  <c r="DU187" i="1"/>
  <c r="DT187" i="1"/>
  <c r="DS187" i="1"/>
  <c r="DR187" i="1"/>
  <c r="DQ187" i="1"/>
  <c r="DP187" i="1"/>
  <c r="DO187" i="1"/>
  <c r="DN187" i="1"/>
  <c r="DM187" i="1"/>
  <c r="DL187" i="1"/>
  <c r="DK187" i="1"/>
  <c r="DJ187" i="1"/>
  <c r="DI187" i="1"/>
  <c r="DH187" i="1"/>
  <c r="DG187" i="1"/>
  <c r="DF187" i="1"/>
  <c r="DE187" i="1"/>
  <c r="DD187" i="1"/>
  <c r="DC187" i="1"/>
  <c r="DB187" i="1"/>
  <c r="DA187" i="1"/>
  <c r="CZ187" i="1"/>
  <c r="CY187" i="1"/>
  <c r="CX187" i="1"/>
  <c r="CW187" i="1"/>
  <c r="CV187" i="1"/>
  <c r="CU187" i="1"/>
  <c r="CT187" i="1"/>
  <c r="CS187" i="1"/>
  <c r="CR187" i="1"/>
  <c r="CQ187" i="1"/>
  <c r="CP187" i="1"/>
  <c r="CO187" i="1"/>
  <c r="CM187" i="1"/>
  <c r="CL187" i="1"/>
  <c r="CK187" i="1"/>
  <c r="CJ187" i="1"/>
  <c r="CI187" i="1"/>
  <c r="CH187" i="1"/>
  <c r="CG187" i="1"/>
  <c r="CF187" i="1"/>
  <c r="CE187" i="1"/>
  <c r="CD187" i="1"/>
  <c r="CC187" i="1"/>
  <c r="CB187" i="1"/>
  <c r="CA187" i="1"/>
  <c r="BZ187" i="1"/>
  <c r="BY187" i="1"/>
  <c r="BX187" i="1"/>
  <c r="BW187" i="1"/>
  <c r="BV187" i="1"/>
  <c r="BU187" i="1"/>
  <c r="BT187" i="1"/>
  <c r="BS187" i="1"/>
  <c r="BR187" i="1"/>
  <c r="BQ187" i="1"/>
  <c r="BP187" i="1"/>
  <c r="BO187" i="1"/>
  <c r="BN187" i="1"/>
  <c r="BM187" i="1"/>
  <c r="BL187" i="1"/>
  <c r="BK187" i="1"/>
  <c r="BJ187" i="1"/>
  <c r="BI187" i="1"/>
  <c r="BH187" i="1"/>
  <c r="BG187" i="1"/>
  <c r="BF187" i="1"/>
  <c r="BE187" i="1"/>
  <c r="BD187" i="1"/>
  <c r="BB187" i="1"/>
  <c r="BA187" i="1"/>
  <c r="AZ187" i="1"/>
  <c r="AY187" i="1"/>
  <c r="AX187" i="1"/>
  <c r="AW187" i="1"/>
  <c r="AV187" i="1"/>
  <c r="AU187" i="1"/>
  <c r="AT187" i="1"/>
  <c r="AS187" i="1"/>
  <c r="AR187" i="1"/>
  <c r="AQ187" i="1"/>
  <c r="AP187" i="1"/>
  <c r="AO187" i="1"/>
  <c r="AN187" i="1"/>
  <c r="AM187" i="1"/>
  <c r="AL187" i="1"/>
  <c r="AK187" i="1"/>
  <c r="AJ187" i="1"/>
  <c r="AI187" i="1"/>
  <c r="AH187" i="1"/>
  <c r="AG187" i="1"/>
  <c r="AF187" i="1"/>
  <c r="AE187" i="1"/>
  <c r="AD187" i="1"/>
  <c r="AC187" i="1"/>
  <c r="AB187" i="1"/>
  <c r="AA187" i="1"/>
  <c r="Z187" i="1"/>
  <c r="Y187" i="1"/>
  <c r="X187" i="1"/>
  <c r="W187" i="1"/>
  <c r="V187" i="1"/>
  <c r="U187" i="1"/>
  <c r="T187" i="1"/>
  <c r="S187" i="1"/>
  <c r="Q187" i="1"/>
  <c r="P187" i="1"/>
  <c r="O187" i="1"/>
  <c r="N187" i="1"/>
  <c r="M187" i="1"/>
  <c r="L187" i="1"/>
  <c r="K187" i="1"/>
  <c r="J187" i="1"/>
  <c r="I187" i="1"/>
  <c r="H187" i="1"/>
  <c r="E183" i="1"/>
  <c r="D183" i="1"/>
  <c r="K182" i="1"/>
  <c r="J182" i="1"/>
  <c r="H182" i="1"/>
  <c r="K181" i="1"/>
  <c r="J181" i="1"/>
  <c r="H181" i="1"/>
  <c r="K180" i="1"/>
  <c r="J180" i="1"/>
  <c r="H180" i="1"/>
  <c r="K179" i="1"/>
  <c r="J179" i="1"/>
  <c r="H179" i="1"/>
  <c r="K178" i="1"/>
  <c r="J178" i="1"/>
  <c r="H178" i="1"/>
  <c r="K177" i="1"/>
  <c r="J177" i="1"/>
  <c r="H177" i="1"/>
  <c r="K176" i="1"/>
  <c r="J176" i="1"/>
  <c r="H176" i="1"/>
  <c r="K175" i="1"/>
  <c r="J175" i="1"/>
  <c r="H175" i="1"/>
  <c r="E175" i="1"/>
  <c r="D175" i="1"/>
  <c r="LA159" i="1"/>
  <c r="E182" i="1" s="1"/>
  <c r="KQ159" i="1"/>
  <c r="KG159" i="1"/>
  <c r="JW159" i="1"/>
  <c r="D182" i="1" s="1"/>
  <c r="JP159" i="1"/>
  <c r="E181" i="1" s="1"/>
  <c r="JF159" i="1"/>
  <c r="IV159" i="1"/>
  <c r="IL159" i="1"/>
  <c r="D181" i="1" s="1"/>
  <c r="KZ158" i="1"/>
  <c r="KY158" i="1"/>
  <c r="KX158" i="1"/>
  <c r="KW158" i="1"/>
  <c r="KV158" i="1"/>
  <c r="KU158" i="1"/>
  <c r="KT158" i="1"/>
  <c r="KS158" i="1"/>
  <c r="KR158" i="1"/>
  <c r="KP158" i="1"/>
  <c r="KO158" i="1"/>
  <c r="KN158" i="1"/>
  <c r="KM158" i="1"/>
  <c r="KL158" i="1"/>
  <c r="KK158" i="1"/>
  <c r="KJ158" i="1"/>
  <c r="KI158" i="1"/>
  <c r="KH158" i="1"/>
  <c r="KF158" i="1"/>
  <c r="KE158" i="1"/>
  <c r="KD158" i="1"/>
  <c r="KC158" i="1"/>
  <c r="KB158" i="1"/>
  <c r="KA158" i="1"/>
  <c r="JZ158" i="1"/>
  <c r="JY158" i="1"/>
  <c r="JX158" i="1"/>
  <c r="IE158" i="1"/>
  <c r="HU158" i="1"/>
  <c r="HK158" i="1"/>
  <c r="HA158" i="1"/>
  <c r="HA195" i="1" s="1"/>
  <c r="GV158" i="1"/>
  <c r="GT158" i="1"/>
  <c r="GJ158" i="1"/>
  <c r="FZ158" i="1"/>
  <c r="FP158" i="1"/>
  <c r="FK158" i="1"/>
  <c r="FI158" i="1"/>
  <c r="FI195" i="1" s="1"/>
  <c r="EY158" i="1"/>
  <c r="EO158" i="1"/>
  <c r="EO195" i="1" s="1"/>
  <c r="EE158" i="1"/>
  <c r="DZ158" i="1"/>
  <c r="DX158" i="1"/>
  <c r="DX195" i="1" s="1"/>
  <c r="DN158" i="1"/>
  <c r="DD158" i="1"/>
  <c r="DD195" i="1" s="1"/>
  <c r="CT158" i="1"/>
  <c r="CO158" i="1"/>
  <c r="CM158" i="1"/>
  <c r="CM195" i="1" s="1"/>
  <c r="CC158" i="1"/>
  <c r="BS158" i="1"/>
  <c r="BI158" i="1"/>
  <c r="BD158" i="1"/>
  <c r="KZ157" i="1"/>
  <c r="KY157" i="1"/>
  <c r="KX157" i="1"/>
  <c r="KW157" i="1"/>
  <c r="KV157" i="1"/>
  <c r="KU157" i="1"/>
  <c r="KT157" i="1"/>
  <c r="KS157" i="1"/>
  <c r="KR157" i="1"/>
  <c r="KP157" i="1"/>
  <c r="KO157" i="1"/>
  <c r="KN157" i="1"/>
  <c r="KM157" i="1"/>
  <c r="KL157" i="1"/>
  <c r="KK157" i="1"/>
  <c r="KJ157" i="1"/>
  <c r="KI157" i="1"/>
  <c r="KH157" i="1"/>
  <c r="KF157" i="1"/>
  <c r="KE157" i="1"/>
  <c r="KD157" i="1"/>
  <c r="KC157" i="1"/>
  <c r="KB157" i="1"/>
  <c r="KA157" i="1"/>
  <c r="JZ157" i="1"/>
  <c r="JY157" i="1"/>
  <c r="JX157" i="1"/>
  <c r="IE157" i="1"/>
  <c r="IE194" i="1" s="1"/>
  <c r="HU157" i="1"/>
  <c r="HU194" i="1" s="1"/>
  <c r="HK157" i="1"/>
  <c r="HK194" i="1" s="1"/>
  <c r="HA157" i="1"/>
  <c r="HA194" i="1" s="1"/>
  <c r="GV157" i="1"/>
  <c r="GT157" i="1"/>
  <c r="GT194" i="1" s="1"/>
  <c r="GJ157" i="1"/>
  <c r="FZ157" i="1"/>
  <c r="FP157" i="1"/>
  <c r="FK157" i="1"/>
  <c r="FI157" i="1"/>
  <c r="FI194" i="1" s="1"/>
  <c r="EY157" i="1"/>
  <c r="EO157" i="1"/>
  <c r="EE157" i="1"/>
  <c r="DZ157" i="1"/>
  <c r="DX157" i="1"/>
  <c r="DX194" i="1" s="1"/>
  <c r="DN157" i="1"/>
  <c r="DD157" i="1"/>
  <c r="CT157" i="1"/>
  <c r="CT194" i="1" s="1"/>
  <c r="CO157" i="1"/>
  <c r="CM157" i="1"/>
  <c r="CM194" i="1" s="1"/>
  <c r="CC157" i="1"/>
  <c r="CC194" i="1" s="1"/>
  <c r="BS157" i="1"/>
  <c r="BI157" i="1"/>
  <c r="BI194" i="1" s="1"/>
  <c r="BD157" i="1"/>
  <c r="KZ156" i="1"/>
  <c r="KY156" i="1"/>
  <c r="KX156" i="1"/>
  <c r="KW156" i="1"/>
  <c r="KV156" i="1"/>
  <c r="KU156" i="1"/>
  <c r="KT156" i="1"/>
  <c r="KS156" i="1"/>
  <c r="KR156" i="1"/>
  <c r="KP156" i="1"/>
  <c r="KO156" i="1"/>
  <c r="KN156" i="1"/>
  <c r="KM156" i="1"/>
  <c r="KL156" i="1"/>
  <c r="KK156" i="1"/>
  <c r="KJ156" i="1"/>
  <c r="KI156" i="1"/>
  <c r="KH156" i="1"/>
  <c r="KF156" i="1"/>
  <c r="KE156" i="1"/>
  <c r="KD156" i="1"/>
  <c r="KC156" i="1"/>
  <c r="KB156" i="1"/>
  <c r="KA156" i="1"/>
  <c r="JZ156" i="1"/>
  <c r="JY156" i="1"/>
  <c r="JX156" i="1"/>
  <c r="IE156" i="1"/>
  <c r="IE193" i="1" s="1"/>
  <c r="HU156" i="1"/>
  <c r="HU193" i="1" s="1"/>
  <c r="HK156" i="1"/>
  <c r="HK193" i="1" s="1"/>
  <c r="HA156" i="1"/>
  <c r="HA193" i="1" s="1"/>
  <c r="GV156" i="1"/>
  <c r="GT156" i="1"/>
  <c r="GT193" i="1" s="1"/>
  <c r="GJ156" i="1"/>
  <c r="FZ156" i="1"/>
  <c r="FP156" i="1"/>
  <c r="FP193" i="1" s="1"/>
  <c r="FK156" i="1"/>
  <c r="FI156" i="1"/>
  <c r="FI193" i="1" s="1"/>
  <c r="EY156" i="1"/>
  <c r="EO156" i="1"/>
  <c r="EE156" i="1"/>
  <c r="DZ156" i="1"/>
  <c r="DX156" i="1"/>
  <c r="DX193" i="1" s="1"/>
  <c r="DN156" i="1"/>
  <c r="DD156" i="1"/>
  <c r="CT156" i="1"/>
  <c r="CO156" i="1"/>
  <c r="CM156" i="1"/>
  <c r="CM193" i="1" s="1"/>
  <c r="CC156" i="1"/>
  <c r="CC193" i="1" s="1"/>
  <c r="BS156" i="1"/>
  <c r="BI156" i="1"/>
  <c r="BI193" i="1" s="1"/>
  <c r="BD156" i="1"/>
  <c r="KZ155" i="1"/>
  <c r="KY155" i="1"/>
  <c r="KX155" i="1"/>
  <c r="KW155" i="1"/>
  <c r="KV155" i="1"/>
  <c r="KU155" i="1"/>
  <c r="KT155" i="1"/>
  <c r="KS155" i="1"/>
  <c r="KR155" i="1"/>
  <c r="KP155" i="1"/>
  <c r="KO155" i="1"/>
  <c r="KN155" i="1"/>
  <c r="KM155" i="1"/>
  <c r="KL155" i="1"/>
  <c r="KK155" i="1"/>
  <c r="KJ155" i="1"/>
  <c r="KI155" i="1"/>
  <c r="KH155" i="1"/>
  <c r="KF155" i="1"/>
  <c r="KE155" i="1"/>
  <c r="KD155" i="1"/>
  <c r="KC155" i="1"/>
  <c r="KB155" i="1"/>
  <c r="KA155" i="1"/>
  <c r="JZ155" i="1"/>
  <c r="JY155" i="1"/>
  <c r="JX155" i="1"/>
  <c r="IE155" i="1"/>
  <c r="IE192" i="1" s="1"/>
  <c r="HU155" i="1"/>
  <c r="HU192" i="1" s="1"/>
  <c r="HK155" i="1"/>
  <c r="HA155" i="1"/>
  <c r="HA192" i="1" s="1"/>
  <c r="GV155" i="1"/>
  <c r="GT155" i="1"/>
  <c r="GJ155" i="1"/>
  <c r="FZ155" i="1"/>
  <c r="FZ192" i="1" s="1"/>
  <c r="FP155" i="1"/>
  <c r="FP192" i="1" s="1"/>
  <c r="FK155" i="1"/>
  <c r="FI155" i="1"/>
  <c r="FI192" i="1" s="1"/>
  <c r="EY155" i="1"/>
  <c r="EY192" i="1" s="1"/>
  <c r="EO155" i="1"/>
  <c r="EO192" i="1" s="1"/>
  <c r="EE155" i="1"/>
  <c r="DZ155" i="1"/>
  <c r="DX155" i="1"/>
  <c r="DX192" i="1" s="1"/>
  <c r="DN155" i="1"/>
  <c r="DD155" i="1"/>
  <c r="CT155" i="1"/>
  <c r="CO155" i="1"/>
  <c r="CM155" i="1"/>
  <c r="CM192" i="1" s="1"/>
  <c r="CC155" i="1"/>
  <c r="CC192" i="1" s="1"/>
  <c r="BS155" i="1"/>
  <c r="BI155" i="1"/>
  <c r="BI192" i="1" s="1"/>
  <c r="BD155" i="1"/>
  <c r="KZ154" i="1"/>
  <c r="KY154" i="1"/>
  <c r="KX154" i="1"/>
  <c r="KW154" i="1"/>
  <c r="KV154" i="1"/>
  <c r="KU154" i="1"/>
  <c r="KT154" i="1"/>
  <c r="KS154" i="1"/>
  <c r="KR154" i="1"/>
  <c r="KP154" i="1"/>
  <c r="KO154" i="1"/>
  <c r="KN154" i="1"/>
  <c r="KM154" i="1"/>
  <c r="KL154" i="1"/>
  <c r="KK154" i="1"/>
  <c r="KJ154" i="1"/>
  <c r="KI154" i="1"/>
  <c r="KH154" i="1"/>
  <c r="KF154" i="1"/>
  <c r="KE154" i="1"/>
  <c r="KD154" i="1"/>
  <c r="KC154" i="1"/>
  <c r="KB154" i="1"/>
  <c r="KA154" i="1"/>
  <c r="JZ154" i="1"/>
  <c r="JY154" i="1"/>
  <c r="JX154" i="1"/>
  <c r="IE154" i="1"/>
  <c r="IE191" i="1" s="1"/>
  <c r="HU154" i="1"/>
  <c r="HU191" i="1" s="1"/>
  <c r="HK154" i="1"/>
  <c r="HA154" i="1"/>
  <c r="HA191" i="1" s="1"/>
  <c r="GV154" i="1"/>
  <c r="GT154" i="1"/>
  <c r="GJ154" i="1"/>
  <c r="FZ154" i="1"/>
  <c r="FP154" i="1"/>
  <c r="FK154" i="1"/>
  <c r="FI154" i="1"/>
  <c r="FI191" i="1" s="1"/>
  <c r="EY154" i="1"/>
  <c r="EO154" i="1"/>
  <c r="EE154" i="1"/>
  <c r="EE191" i="1" s="1"/>
  <c r="DZ154" i="1"/>
  <c r="DX154" i="1"/>
  <c r="DX191" i="1" s="1"/>
  <c r="DN154" i="1"/>
  <c r="DN191" i="1" s="1"/>
  <c r="DD154" i="1"/>
  <c r="CT154" i="1"/>
  <c r="CO154" i="1"/>
  <c r="CM154" i="1"/>
  <c r="CM191" i="1" s="1"/>
  <c r="CC154" i="1"/>
  <c r="CC191" i="1" s="1"/>
  <c r="BS154" i="1"/>
  <c r="BS191" i="1" s="1"/>
  <c r="BI154" i="1"/>
  <c r="BD154" i="1"/>
  <c r="KZ153" i="1"/>
  <c r="KY153" i="1"/>
  <c r="KX153" i="1"/>
  <c r="KW153" i="1"/>
  <c r="KV153" i="1"/>
  <c r="KU153" i="1"/>
  <c r="KT153" i="1"/>
  <c r="KS153" i="1"/>
  <c r="KR153" i="1"/>
  <c r="KP153" i="1"/>
  <c r="KO153" i="1"/>
  <c r="KN153" i="1"/>
  <c r="KM153" i="1"/>
  <c r="KL153" i="1"/>
  <c r="KK153" i="1"/>
  <c r="KJ153" i="1"/>
  <c r="KI153" i="1"/>
  <c r="KH153" i="1"/>
  <c r="KF153" i="1"/>
  <c r="KE153" i="1"/>
  <c r="KD153" i="1"/>
  <c r="KC153" i="1"/>
  <c r="KB153" i="1"/>
  <c r="KA153" i="1"/>
  <c r="JZ153" i="1"/>
  <c r="JY153" i="1"/>
  <c r="JX153" i="1"/>
  <c r="IE153" i="1"/>
  <c r="IE190" i="1" s="1"/>
  <c r="HU153" i="1"/>
  <c r="HU190" i="1" s="1"/>
  <c r="HK153" i="1"/>
  <c r="HA153" i="1"/>
  <c r="HA190" i="1" s="1"/>
  <c r="GV153" i="1"/>
  <c r="GT153" i="1"/>
  <c r="GT190" i="1" s="1"/>
  <c r="GJ153" i="1"/>
  <c r="FZ153" i="1"/>
  <c r="FP153" i="1"/>
  <c r="FK153" i="1"/>
  <c r="FI153" i="1"/>
  <c r="FI190" i="1" s="1"/>
  <c r="EY153" i="1"/>
  <c r="EO153" i="1"/>
  <c r="EE153" i="1"/>
  <c r="DZ153" i="1"/>
  <c r="DX153" i="1"/>
  <c r="DX190" i="1" s="1"/>
  <c r="DN153" i="1"/>
  <c r="DN190" i="1" s="1"/>
  <c r="DD153" i="1"/>
  <c r="CT153" i="1"/>
  <c r="CT190" i="1" s="1"/>
  <c r="CO153" i="1"/>
  <c r="CM153" i="1"/>
  <c r="CM190" i="1" s="1"/>
  <c r="CC153" i="1"/>
  <c r="BS153" i="1"/>
  <c r="BI153" i="1"/>
  <c r="BD153" i="1"/>
  <c r="KZ152" i="1"/>
  <c r="KY152" i="1"/>
  <c r="KX152" i="1"/>
  <c r="KW152" i="1"/>
  <c r="KV152" i="1"/>
  <c r="KU152" i="1"/>
  <c r="KT152" i="1"/>
  <c r="KS152" i="1"/>
  <c r="KR152" i="1"/>
  <c r="KP152" i="1"/>
  <c r="KO152" i="1"/>
  <c r="KN152" i="1"/>
  <c r="KM152" i="1"/>
  <c r="KL152" i="1"/>
  <c r="KK152" i="1"/>
  <c r="KJ152" i="1"/>
  <c r="KI152" i="1"/>
  <c r="KH152" i="1"/>
  <c r="KF152" i="1"/>
  <c r="KE152" i="1"/>
  <c r="KD152" i="1"/>
  <c r="KC152" i="1"/>
  <c r="KB152" i="1"/>
  <c r="KA152" i="1"/>
  <c r="JZ152" i="1"/>
  <c r="JY152" i="1"/>
  <c r="JX152" i="1"/>
  <c r="IE152" i="1"/>
  <c r="IE189" i="1" s="1"/>
  <c r="HU152" i="1"/>
  <c r="HK152" i="1"/>
  <c r="HA152" i="1"/>
  <c r="GV152" i="1"/>
  <c r="GT152" i="1"/>
  <c r="GT189" i="1" s="1"/>
  <c r="GJ152" i="1"/>
  <c r="FZ152" i="1"/>
  <c r="FZ189" i="1" s="1"/>
  <c r="FP152" i="1"/>
  <c r="FK152" i="1"/>
  <c r="FI152" i="1"/>
  <c r="FI189" i="1" s="1"/>
  <c r="EY152" i="1"/>
  <c r="EO152" i="1"/>
  <c r="EE152" i="1"/>
  <c r="DZ152" i="1"/>
  <c r="DX152" i="1"/>
  <c r="DX189" i="1" s="1"/>
  <c r="DN152" i="1"/>
  <c r="DN189" i="1" s="1"/>
  <c r="DD152" i="1"/>
  <c r="CT152" i="1"/>
  <c r="CT189" i="1" s="1"/>
  <c r="CO152" i="1"/>
  <c r="CM152" i="1"/>
  <c r="CM189" i="1" s="1"/>
  <c r="CC152" i="1"/>
  <c r="BS152" i="1"/>
  <c r="BI152" i="1"/>
  <c r="BD152" i="1"/>
  <c r="KZ151" i="1"/>
  <c r="KY151" i="1"/>
  <c r="KX151" i="1"/>
  <c r="KW151" i="1"/>
  <c r="KV151" i="1"/>
  <c r="KU151" i="1"/>
  <c r="KT151" i="1"/>
  <c r="KS151" i="1"/>
  <c r="KR151" i="1"/>
  <c r="KP151" i="1"/>
  <c r="KO151" i="1"/>
  <c r="KN151" i="1"/>
  <c r="KM151" i="1"/>
  <c r="KL151" i="1"/>
  <c r="KK151" i="1"/>
  <c r="KJ151" i="1"/>
  <c r="KI151" i="1"/>
  <c r="KH151" i="1"/>
  <c r="KF151" i="1"/>
  <c r="KE151" i="1"/>
  <c r="KD151" i="1"/>
  <c r="KC151" i="1"/>
  <c r="KB151" i="1"/>
  <c r="KA151" i="1"/>
  <c r="JZ151" i="1"/>
  <c r="JY151" i="1"/>
  <c r="JX151" i="1"/>
  <c r="IE151" i="1"/>
  <c r="HU151" i="1"/>
  <c r="HK151" i="1"/>
  <c r="HA151" i="1"/>
  <c r="GV151" i="1"/>
  <c r="GT151" i="1"/>
  <c r="GT188" i="1" s="1"/>
  <c r="GJ151" i="1"/>
  <c r="FZ151" i="1"/>
  <c r="FZ188" i="1" s="1"/>
  <c r="FP151" i="1"/>
  <c r="FK151" i="1"/>
  <c r="FI151" i="1"/>
  <c r="EY151" i="1"/>
  <c r="EO151" i="1"/>
  <c r="EE151" i="1"/>
  <c r="DZ151" i="1"/>
  <c r="DX151" i="1"/>
  <c r="DN151" i="1"/>
  <c r="DN188" i="1" s="1"/>
  <c r="DD151" i="1"/>
  <c r="CT151" i="1"/>
  <c r="CT188" i="1" s="1"/>
  <c r="CO151" i="1"/>
  <c r="CM151" i="1"/>
  <c r="CC151" i="1"/>
  <c r="BS151" i="1"/>
  <c r="BI151" i="1"/>
  <c r="BD151" i="1"/>
  <c r="ML150" i="1"/>
  <c r="MK150" i="1"/>
  <c r="MJ150" i="1"/>
  <c r="MI150" i="1"/>
  <c r="MH150" i="1"/>
  <c r="MG150" i="1"/>
  <c r="MF150" i="1"/>
  <c r="ME150" i="1"/>
  <c r="MD150" i="1"/>
  <c r="MC150" i="1"/>
  <c r="MB150" i="1"/>
  <c r="MA150" i="1"/>
  <c r="LZ150" i="1"/>
  <c r="LY150" i="1"/>
  <c r="LX150" i="1"/>
  <c r="LW150" i="1"/>
  <c r="LV150" i="1"/>
  <c r="LU150" i="1"/>
  <c r="LT150" i="1"/>
  <c r="LS150" i="1"/>
  <c r="LR150" i="1"/>
  <c r="LQ150" i="1"/>
  <c r="LP150" i="1"/>
  <c r="LO150" i="1"/>
  <c r="LN150" i="1"/>
  <c r="LM150" i="1"/>
  <c r="LL150" i="1"/>
  <c r="LK150" i="1"/>
  <c r="LJ150" i="1"/>
  <c r="LI150" i="1"/>
  <c r="LH150" i="1"/>
  <c r="LG150" i="1"/>
  <c r="LF150" i="1"/>
  <c r="LE150" i="1"/>
  <c r="LD150" i="1"/>
  <c r="LC150" i="1"/>
  <c r="LA150" i="1"/>
  <c r="KZ150" i="1"/>
  <c r="KY150" i="1"/>
  <c r="KX150" i="1"/>
  <c r="KW150" i="1"/>
  <c r="KV150" i="1"/>
  <c r="KU150" i="1"/>
  <c r="KT150" i="1"/>
  <c r="KS150" i="1"/>
  <c r="KR150" i="1"/>
  <c r="KQ150" i="1"/>
  <c r="KP150" i="1"/>
  <c r="KO150" i="1"/>
  <c r="KN150" i="1"/>
  <c r="KM150" i="1"/>
  <c r="KL150" i="1"/>
  <c r="KK150" i="1"/>
  <c r="KJ150" i="1"/>
  <c r="KI150" i="1"/>
  <c r="KH150" i="1"/>
  <c r="KG150" i="1"/>
  <c r="KF150" i="1"/>
  <c r="KE150" i="1"/>
  <c r="KD150" i="1"/>
  <c r="KC150" i="1"/>
  <c r="KB150" i="1"/>
  <c r="KA150" i="1"/>
  <c r="JZ150" i="1"/>
  <c r="JY150" i="1"/>
  <c r="JX150" i="1"/>
  <c r="JW150" i="1"/>
  <c r="JV150" i="1"/>
  <c r="JU150" i="1"/>
  <c r="JT150" i="1"/>
  <c r="JS150" i="1"/>
  <c r="JR150" i="1"/>
  <c r="JP150" i="1"/>
  <c r="JO150" i="1"/>
  <c r="JN150" i="1"/>
  <c r="JM150" i="1"/>
  <c r="JL150" i="1"/>
  <c r="JK150" i="1"/>
  <c r="JJ150" i="1"/>
  <c r="JI150" i="1"/>
  <c r="JH150" i="1"/>
  <c r="JG150" i="1"/>
  <c r="JF150" i="1"/>
  <c r="JE150" i="1"/>
  <c r="JD150" i="1"/>
  <c r="JC150" i="1"/>
  <c r="JB150" i="1"/>
  <c r="JA150" i="1"/>
  <c r="IZ150" i="1"/>
  <c r="IY150" i="1"/>
  <c r="IX150" i="1"/>
  <c r="IW150" i="1"/>
  <c r="IV150" i="1"/>
  <c r="IU150" i="1"/>
  <c r="IT150" i="1"/>
  <c r="IS150" i="1"/>
  <c r="IR150" i="1"/>
  <c r="IQ150" i="1"/>
  <c r="IP150" i="1"/>
  <c r="IO150" i="1"/>
  <c r="IN150" i="1"/>
  <c r="IM150" i="1"/>
  <c r="IL150" i="1"/>
  <c r="IK150" i="1"/>
  <c r="IJ150" i="1"/>
  <c r="II150" i="1"/>
  <c r="IH150" i="1"/>
  <c r="IG150" i="1"/>
  <c r="IE150" i="1"/>
  <c r="ID150" i="1"/>
  <c r="IC150" i="1"/>
  <c r="IB150" i="1"/>
  <c r="IA150" i="1"/>
  <c r="HZ150" i="1"/>
  <c r="HY150" i="1"/>
  <c r="HX150" i="1"/>
  <c r="HW150" i="1"/>
  <c r="HV150" i="1"/>
  <c r="HU150" i="1"/>
  <c r="HT150" i="1"/>
  <c r="HS150" i="1"/>
  <c r="HR150" i="1"/>
  <c r="HQ150" i="1"/>
  <c r="HP150" i="1"/>
  <c r="HO150" i="1"/>
  <c r="HN150" i="1"/>
  <c r="HM150" i="1"/>
  <c r="HL150" i="1"/>
  <c r="HK150" i="1"/>
  <c r="HJ150" i="1"/>
  <c r="HI150" i="1"/>
  <c r="HH150" i="1"/>
  <c r="HG150" i="1"/>
  <c r="HF150" i="1"/>
  <c r="HE150" i="1"/>
  <c r="HD150" i="1"/>
  <c r="HC150" i="1"/>
  <c r="HB150" i="1"/>
  <c r="HA150" i="1"/>
  <c r="GZ150" i="1"/>
  <c r="GY150" i="1"/>
  <c r="GX150" i="1"/>
  <c r="GW150" i="1"/>
  <c r="GV150" i="1"/>
  <c r="GT150" i="1"/>
  <c r="GS150" i="1"/>
  <c r="GR150" i="1"/>
  <c r="GQ150" i="1"/>
  <c r="GP150" i="1"/>
  <c r="GO150" i="1"/>
  <c r="GN150" i="1"/>
  <c r="GM150" i="1"/>
  <c r="GL150" i="1"/>
  <c r="GK150" i="1"/>
  <c r="GJ150" i="1"/>
  <c r="GI150" i="1"/>
  <c r="GH150" i="1"/>
  <c r="GG150" i="1"/>
  <c r="GF150" i="1"/>
  <c r="GE150" i="1"/>
  <c r="GD150" i="1"/>
  <c r="GC150" i="1"/>
  <c r="GB150" i="1"/>
  <c r="GA150" i="1"/>
  <c r="FZ150" i="1"/>
  <c r="FY150" i="1"/>
  <c r="FX150" i="1"/>
  <c r="FW150" i="1"/>
  <c r="FV150" i="1"/>
  <c r="FU150" i="1"/>
  <c r="FT150" i="1"/>
  <c r="FS150" i="1"/>
  <c r="FR150" i="1"/>
  <c r="FQ150" i="1"/>
  <c r="FP150" i="1"/>
  <c r="FO150" i="1"/>
  <c r="FN150" i="1"/>
  <c r="FM150" i="1"/>
  <c r="FL150" i="1"/>
  <c r="FK150" i="1"/>
  <c r="FI150" i="1"/>
  <c r="FH150" i="1"/>
  <c r="FG150" i="1"/>
  <c r="FF150" i="1"/>
  <c r="FE150" i="1"/>
  <c r="FD150" i="1"/>
  <c r="FC150" i="1"/>
  <c r="FB150" i="1"/>
  <c r="FA150" i="1"/>
  <c r="EZ150" i="1"/>
  <c r="EY150" i="1"/>
  <c r="EX150" i="1"/>
  <c r="EW150" i="1"/>
  <c r="EV150" i="1"/>
  <c r="EU150" i="1"/>
  <c r="ET150" i="1"/>
  <c r="ES150" i="1"/>
  <c r="ER150" i="1"/>
  <c r="EQ150" i="1"/>
  <c r="EP150" i="1"/>
  <c r="EO150" i="1"/>
  <c r="EN150" i="1"/>
  <c r="EM150" i="1"/>
  <c r="EL150" i="1"/>
  <c r="EK150" i="1"/>
  <c r="EJ150" i="1"/>
  <c r="EI150" i="1"/>
  <c r="EH150" i="1"/>
  <c r="EG150" i="1"/>
  <c r="EF150" i="1"/>
  <c r="EE150" i="1"/>
  <c r="ED150" i="1"/>
  <c r="EC150" i="1"/>
  <c r="EB150" i="1"/>
  <c r="EA150" i="1"/>
  <c r="DZ150" i="1"/>
  <c r="DX150" i="1"/>
  <c r="DW150" i="1"/>
  <c r="DV150" i="1"/>
  <c r="DU150" i="1"/>
  <c r="DT150" i="1"/>
  <c r="DS150" i="1"/>
  <c r="DR150" i="1"/>
  <c r="DQ150" i="1"/>
  <c r="DP150" i="1"/>
  <c r="DO150" i="1"/>
  <c r="DN150" i="1"/>
  <c r="DM150" i="1"/>
  <c r="DL150" i="1"/>
  <c r="DK150" i="1"/>
  <c r="DJ150" i="1"/>
  <c r="DI150" i="1"/>
  <c r="DH150" i="1"/>
  <c r="DG150" i="1"/>
  <c r="DF150" i="1"/>
  <c r="DE150" i="1"/>
  <c r="DD150" i="1"/>
  <c r="DC150" i="1"/>
  <c r="DB150" i="1"/>
  <c r="DA150" i="1"/>
  <c r="CZ150" i="1"/>
  <c r="CY150" i="1"/>
  <c r="CX150" i="1"/>
  <c r="CW150" i="1"/>
  <c r="CV150" i="1"/>
  <c r="CU150" i="1"/>
  <c r="CT150" i="1"/>
  <c r="CS150" i="1"/>
  <c r="CR150" i="1"/>
  <c r="CQ150" i="1"/>
  <c r="CP150" i="1"/>
  <c r="CO150" i="1"/>
  <c r="CM150" i="1"/>
  <c r="CL150" i="1"/>
  <c r="CK150" i="1"/>
  <c r="CJ150" i="1"/>
  <c r="CI150" i="1"/>
  <c r="CH150" i="1"/>
  <c r="CG150" i="1"/>
  <c r="CF150" i="1"/>
  <c r="CE150" i="1"/>
  <c r="CD150" i="1"/>
  <c r="CC150" i="1"/>
  <c r="CB150" i="1"/>
  <c r="CA150" i="1"/>
  <c r="BZ150" i="1"/>
  <c r="BY150" i="1"/>
  <c r="BX150" i="1"/>
  <c r="BW150" i="1"/>
  <c r="BV150" i="1"/>
  <c r="BU150" i="1"/>
  <c r="BT150" i="1"/>
  <c r="BS150" i="1"/>
  <c r="BR150" i="1"/>
  <c r="BQ150" i="1"/>
  <c r="BP150" i="1"/>
  <c r="BO150" i="1"/>
  <c r="BN150" i="1"/>
  <c r="BM150" i="1"/>
  <c r="BL150" i="1"/>
  <c r="BK150" i="1"/>
  <c r="BJ150" i="1"/>
  <c r="BI150" i="1"/>
  <c r="BH150" i="1"/>
  <c r="BG150" i="1"/>
  <c r="BF150" i="1"/>
  <c r="BE150" i="1"/>
  <c r="BD150" i="1"/>
  <c r="BB150" i="1"/>
  <c r="BA150" i="1"/>
  <c r="AZ150" i="1"/>
  <c r="AY150" i="1"/>
  <c r="AX150" i="1"/>
  <c r="AW150" i="1"/>
  <c r="AV150" i="1"/>
  <c r="AU150" i="1"/>
  <c r="AT150" i="1"/>
  <c r="AS150" i="1"/>
  <c r="AR150" i="1"/>
  <c r="AQ150" i="1"/>
  <c r="AP150" i="1"/>
  <c r="AO150" i="1"/>
  <c r="AN150" i="1"/>
  <c r="AM150" i="1"/>
  <c r="AL150" i="1"/>
  <c r="AK150" i="1"/>
  <c r="AJ150" i="1"/>
  <c r="AI150" i="1"/>
  <c r="AH150" i="1"/>
  <c r="AG150" i="1"/>
  <c r="AF150" i="1"/>
  <c r="AE150" i="1"/>
  <c r="AD150" i="1"/>
  <c r="AC150" i="1"/>
  <c r="AB150" i="1"/>
  <c r="AA150" i="1"/>
  <c r="Z150" i="1"/>
  <c r="Y150" i="1"/>
  <c r="X150" i="1"/>
  <c r="W150" i="1"/>
  <c r="V150" i="1"/>
  <c r="U150" i="1"/>
  <c r="T150" i="1"/>
  <c r="S150" i="1"/>
  <c r="Q150" i="1"/>
  <c r="P150" i="1"/>
  <c r="O150" i="1"/>
  <c r="N150" i="1"/>
  <c r="M150" i="1"/>
  <c r="L150" i="1"/>
  <c r="K150" i="1"/>
  <c r="J150" i="1"/>
  <c r="I150" i="1"/>
  <c r="H150" i="1"/>
  <c r="MD816" i="1" l="1"/>
  <c r="ML816" i="1"/>
  <c r="ME816" i="1"/>
  <c r="MI816" i="1"/>
  <c r="MF816" i="1"/>
  <c r="MJ816" i="1"/>
  <c r="LN816" i="1"/>
  <c r="LR816" i="1"/>
  <c r="LZ816" i="1"/>
  <c r="MA816" i="1"/>
  <c r="LP816" i="1"/>
  <c r="MB816" i="1"/>
  <c r="LA699" i="1"/>
  <c r="LA698" i="1"/>
  <c r="LJ342" i="1"/>
  <c r="DH341" i="1"/>
  <c r="LY342" i="1"/>
  <c r="JY345" i="1"/>
  <c r="GH156" i="1"/>
  <c r="GB157" i="1"/>
  <c r="LP342" i="1"/>
  <c r="MD342" i="1"/>
  <c r="DW341" i="1"/>
  <c r="DX398" i="1" s="1"/>
  <c r="LJ341" i="1"/>
  <c r="LQ342" i="1"/>
  <c r="MF342" i="1"/>
  <c r="DR343" i="1"/>
  <c r="JZ345" i="1"/>
  <c r="JO341" i="1"/>
  <c r="JP398" i="1" s="1"/>
  <c r="LI342" i="1"/>
  <c r="LI399" i="1" s="1"/>
  <c r="LV342" i="1"/>
  <c r="MK342" i="1"/>
  <c r="DC345" i="1"/>
  <c r="DC402" i="1" s="1"/>
  <c r="LR341" i="1"/>
  <c r="FR154" i="1"/>
  <c r="CA151" i="1"/>
  <c r="BU152" i="1"/>
  <c r="ED152" i="1"/>
  <c r="DC341" i="1"/>
  <c r="LX341" i="1"/>
  <c r="LM346" i="1"/>
  <c r="CE339" i="1"/>
  <c r="LU340" i="1"/>
  <c r="MG341" i="1"/>
  <c r="EH342" i="1"/>
  <c r="IM345" i="1"/>
  <c r="IM402" i="1" s="1"/>
  <c r="DK151" i="1"/>
  <c r="FN151" i="1"/>
  <c r="ID151" i="1"/>
  <c r="DL152" i="1"/>
  <c r="EH152" i="1"/>
  <c r="FN152" i="1"/>
  <c r="LL342" i="1"/>
  <c r="LT342" i="1"/>
  <c r="LZ342" i="1"/>
  <c r="MG342" i="1"/>
  <c r="BW343" i="1"/>
  <c r="IU345" i="1"/>
  <c r="MC432" i="1"/>
  <c r="EN158" i="1"/>
  <c r="FN158" i="1"/>
  <c r="FY229" i="1"/>
  <c r="HI229" i="1"/>
  <c r="BW339" i="1"/>
  <c r="KG339" i="1"/>
  <c r="IN341" i="1"/>
  <c r="LN342" i="1"/>
  <c r="LU342" i="1"/>
  <c r="MB342" i="1"/>
  <c r="MJ342" i="1"/>
  <c r="CE343" i="1"/>
  <c r="KK343" i="1"/>
  <c r="DD344" i="1"/>
  <c r="JB345" i="1"/>
  <c r="BU156" i="1"/>
  <c r="EH340" i="1"/>
  <c r="LJ340" i="1"/>
  <c r="LX340" i="1"/>
  <c r="IM343" i="1"/>
  <c r="IM400" i="1" s="1"/>
  <c r="DJ344" i="1"/>
  <c r="DK401" i="1" s="1"/>
  <c r="CB156" i="1"/>
  <c r="DA156" i="1"/>
  <c r="DB158" i="1"/>
  <c r="EA158" i="1"/>
  <c r="ET340" i="1"/>
  <c r="LM340" i="1"/>
  <c r="MF340" i="1"/>
  <c r="CU341" i="1"/>
  <c r="CU398" i="1" s="1"/>
  <c r="DK341" i="1"/>
  <c r="IU341" i="1"/>
  <c r="KO341" i="1"/>
  <c r="LL341" i="1"/>
  <c r="LZ341" i="1"/>
  <c r="ES342" i="1"/>
  <c r="JB342" i="1"/>
  <c r="JB343" i="1"/>
  <c r="KW343" i="1"/>
  <c r="CU344" i="1"/>
  <c r="CU401" i="1" s="1"/>
  <c r="DP344" i="1"/>
  <c r="DR345" i="1"/>
  <c r="KW345" i="1"/>
  <c r="LX346" i="1"/>
  <c r="BR151" i="1"/>
  <c r="BP152" i="1"/>
  <c r="HD152" i="1"/>
  <c r="BK154" i="1"/>
  <c r="CR154" i="1"/>
  <c r="GW154" i="1"/>
  <c r="DT155" i="1"/>
  <c r="GY155" i="1"/>
  <c r="FO157" i="1"/>
  <c r="FF340" i="1"/>
  <c r="FF397" i="1" s="1"/>
  <c r="LR340" i="1"/>
  <c r="MH340" i="1"/>
  <c r="CV341" i="1"/>
  <c r="DR341" i="1"/>
  <c r="JH341" i="1"/>
  <c r="KW341" i="1"/>
  <c r="KX398" i="1" s="1"/>
  <c r="LQ341" i="1"/>
  <c r="MF341" i="1"/>
  <c r="DD342" i="1"/>
  <c r="JO342" i="1"/>
  <c r="JP399" i="1" s="1"/>
  <c r="DB343" i="1"/>
  <c r="JL343" i="1"/>
  <c r="DC344" i="1"/>
  <c r="DS344" i="1"/>
  <c r="ES346" i="1"/>
  <c r="LN415" i="1"/>
  <c r="LJ436" i="1"/>
  <c r="CB153" i="1"/>
  <c r="ED153" i="1"/>
  <c r="GN153" i="1"/>
  <c r="CV154" i="1"/>
  <c r="GF154" i="1"/>
  <c r="CQ155" i="1"/>
  <c r="FN156" i="1"/>
  <c r="GF157" i="1"/>
  <c r="CB229" i="1"/>
  <c r="HO229" i="1"/>
  <c r="DF339" i="1"/>
  <c r="IP339" i="1"/>
  <c r="EW342" i="1"/>
  <c r="CZ346" i="1"/>
  <c r="EH346" i="1"/>
  <c r="EX346" i="1"/>
  <c r="LN346" i="1"/>
  <c r="MB346" i="1"/>
  <c r="AO404" i="1"/>
  <c r="AO774" i="1" s="1"/>
  <c r="AO777" i="1" s="1"/>
  <c r="AW404" i="1"/>
  <c r="AW774" i="1" s="1"/>
  <c r="AW777" i="1" s="1"/>
  <c r="LT416" i="1"/>
  <c r="DP339" i="1"/>
  <c r="GO339" i="1"/>
  <c r="JD339" i="1"/>
  <c r="ES340" i="1"/>
  <c r="DB341" i="1"/>
  <c r="DP341" i="1"/>
  <c r="FF341" i="1"/>
  <c r="FF342" i="1"/>
  <c r="IN342" i="1"/>
  <c r="LM342" i="1"/>
  <c r="LR342" i="1"/>
  <c r="LR399" i="1" s="1"/>
  <c r="LX342" i="1"/>
  <c r="LY399" i="1" s="1"/>
  <c r="MC342" i="1"/>
  <c r="MD399" i="1" s="1"/>
  <c r="MH342" i="1"/>
  <c r="MH399" i="1" s="1"/>
  <c r="BO343" i="1"/>
  <c r="JZ343" i="1"/>
  <c r="CX344" i="1"/>
  <c r="EG344" i="1"/>
  <c r="DJ346" i="1"/>
  <c r="EK346" i="1"/>
  <c r="FA346" i="1"/>
  <c r="LI346" i="1"/>
  <c r="LI403" i="1" s="1"/>
  <c r="LR346" i="1"/>
  <c r="MD346" i="1"/>
  <c r="DC339" i="1"/>
  <c r="FB156" i="1"/>
  <c r="FW156" i="1"/>
  <c r="EG158" i="1"/>
  <c r="CV339" i="1"/>
  <c r="DW339" i="1"/>
  <c r="HO340" i="1"/>
  <c r="BO342" i="1"/>
  <c r="GD345" i="1"/>
  <c r="DP346" i="1"/>
  <c r="EP346" i="1"/>
  <c r="LL346" i="1"/>
  <c r="LT346" i="1"/>
  <c r="MG346" i="1"/>
  <c r="Y230" i="1"/>
  <c r="AP232" i="1"/>
  <c r="AP268" i="1" s="1"/>
  <c r="AC230" i="1"/>
  <c r="JC429" i="1"/>
  <c r="HJ154" i="1"/>
  <c r="FT229" i="1"/>
  <c r="U232" i="1"/>
  <c r="IU339" i="1"/>
  <c r="JK339" i="1"/>
  <c r="DC340" i="1"/>
  <c r="EK340" i="1"/>
  <c r="EX340" i="1"/>
  <c r="FR340" i="1"/>
  <c r="CX341" i="1"/>
  <c r="DF341" i="1"/>
  <c r="DL341" i="1"/>
  <c r="DS341" i="1"/>
  <c r="EP341" i="1"/>
  <c r="CU342" i="1"/>
  <c r="CU399" i="1" s="1"/>
  <c r="DP342" i="1"/>
  <c r="EK342" i="1"/>
  <c r="EX342" i="1"/>
  <c r="EX399" i="1" s="1"/>
  <c r="FX344" i="1"/>
  <c r="IN344" i="1"/>
  <c r="LQ344" i="1"/>
  <c r="KH345" i="1"/>
  <c r="MD416" i="1"/>
  <c r="JM431" i="1"/>
  <c r="LR436" i="1"/>
  <c r="AX232" i="1"/>
  <c r="AX268" i="1" s="1"/>
  <c r="IT339" i="1"/>
  <c r="JF339" i="1"/>
  <c r="DJ342" i="1"/>
  <c r="FW152" i="1"/>
  <c r="BH153" i="1"/>
  <c r="EX153" i="1"/>
  <c r="HN154" i="1"/>
  <c r="CZ155" i="1"/>
  <c r="EC155" i="1"/>
  <c r="GS155" i="1"/>
  <c r="BX156" i="1"/>
  <c r="HT156" i="1"/>
  <c r="ED157" i="1"/>
  <c r="GZ157" i="1"/>
  <c r="BG158" i="1"/>
  <c r="F222" i="1"/>
  <c r="F254" i="1"/>
  <c r="BO339" i="1"/>
  <c r="CU339" i="1"/>
  <c r="ES339" i="1"/>
  <c r="IZ339" i="1"/>
  <c r="LQ339" i="1"/>
  <c r="DN340" i="1"/>
  <c r="EL340" i="1"/>
  <c r="FB340" i="1"/>
  <c r="GG340" i="1"/>
  <c r="LP340" i="1"/>
  <c r="MB340" i="1"/>
  <c r="CZ341" i="1"/>
  <c r="DG341" i="1"/>
  <c r="DN341" i="1"/>
  <c r="DV341" i="1"/>
  <c r="DV398" i="1" s="1"/>
  <c r="ES341" i="1"/>
  <c r="IX341" i="1"/>
  <c r="JZ341" i="1"/>
  <c r="DC342" i="1"/>
  <c r="DD399" i="1" s="1"/>
  <c r="DS342" i="1"/>
  <c r="EO342" i="1"/>
  <c r="FE342" i="1"/>
  <c r="GG344" i="1"/>
  <c r="MB344" i="1"/>
  <c r="CV345" i="1"/>
  <c r="KP345" i="1"/>
  <c r="MD420" i="1"/>
  <c r="LW432" i="1"/>
  <c r="FT339" i="1"/>
  <c r="IR413" i="1"/>
  <c r="IY413" i="1"/>
  <c r="JN339" i="1"/>
  <c r="JO396" i="1" s="1"/>
  <c r="JH339" i="1"/>
  <c r="JC339" i="1"/>
  <c r="IX339" i="1"/>
  <c r="IR339" i="1"/>
  <c r="IM339" i="1"/>
  <c r="IM396" i="1" s="1"/>
  <c r="JL339" i="1"/>
  <c r="JL396" i="1" s="1"/>
  <c r="JG339" i="1"/>
  <c r="JB339" i="1"/>
  <c r="IV339" i="1"/>
  <c r="IV396" i="1" s="1"/>
  <c r="IQ339" i="1"/>
  <c r="IQ396" i="1" s="1"/>
  <c r="KP339" i="1"/>
  <c r="FY340" i="1"/>
  <c r="GN340" i="1"/>
  <c r="GO397" i="1" s="1"/>
  <c r="JK341" i="1"/>
  <c r="JC341" i="1"/>
  <c r="IT341" i="1"/>
  <c r="JJ341" i="1"/>
  <c r="IZ341" i="1"/>
  <c r="IP341" i="1"/>
  <c r="EW344" i="1"/>
  <c r="EX401" i="1" s="1"/>
  <c r="LL344" i="1"/>
  <c r="LV344" i="1"/>
  <c r="MG344" i="1"/>
  <c r="CJ345" i="1"/>
  <c r="BW345" i="1"/>
  <c r="BO345" i="1"/>
  <c r="CJ151" i="1"/>
  <c r="GE152" i="1"/>
  <c r="BI195" i="1"/>
  <c r="BN158" i="1"/>
  <c r="HF158" i="1"/>
  <c r="L182" i="1"/>
  <c r="DU339" i="1"/>
  <c r="DS339" i="1"/>
  <c r="DK339" i="1"/>
  <c r="DB339" i="1"/>
  <c r="DR339" i="1"/>
  <c r="DH339" i="1"/>
  <c r="CX339" i="1"/>
  <c r="IN339" i="1"/>
  <c r="IY339" i="1"/>
  <c r="JJ339" i="1"/>
  <c r="KC339" i="1"/>
  <c r="GB340" i="1"/>
  <c r="JO340" i="1"/>
  <c r="IU340" i="1"/>
  <c r="FY341" i="1"/>
  <c r="IM341" i="1"/>
  <c r="IM398" i="1" s="1"/>
  <c r="JD341" i="1"/>
  <c r="DP343" i="1"/>
  <c r="DC343" i="1"/>
  <c r="IT433" i="1"/>
  <c r="JH343" i="1"/>
  <c r="IU343" i="1"/>
  <c r="JF343" i="1"/>
  <c r="IQ343" i="1"/>
  <c r="IM418" i="1"/>
  <c r="JB344" i="1"/>
  <c r="IT434" i="1"/>
  <c r="IZ344" i="1"/>
  <c r="LP344" i="1"/>
  <c r="LZ344" i="1"/>
  <c r="FE346" i="1"/>
  <c r="FF403" i="1" s="1"/>
  <c r="EW346" i="1"/>
  <c r="EO346" i="1"/>
  <c r="EG346" i="1"/>
  <c r="FB346" i="1"/>
  <c r="ET346" i="1"/>
  <c r="ET403" i="1" s="1"/>
  <c r="EL346" i="1"/>
  <c r="IM415" i="1"/>
  <c r="DT151" i="1"/>
  <c r="DU152" i="1"/>
  <c r="GH154" i="1"/>
  <c r="CV155" i="1"/>
  <c r="GJ193" i="1"/>
  <c r="GM193" i="1" s="1"/>
  <c r="GM156" i="1"/>
  <c r="GQ158" i="1"/>
  <c r="KT339" i="1"/>
  <c r="KW339" i="1"/>
  <c r="KX396" i="1" s="1"/>
  <c r="KK339" i="1"/>
  <c r="JZ339" i="1"/>
  <c r="KS339" i="1"/>
  <c r="KH339" i="1"/>
  <c r="JY339" i="1"/>
  <c r="GQ340" i="1"/>
  <c r="GS340" i="1"/>
  <c r="GL340" i="1"/>
  <c r="GD340" i="1"/>
  <c r="FX340" i="1"/>
  <c r="FQ340" i="1"/>
  <c r="FQ397" i="1" s="1"/>
  <c r="GR340" i="1"/>
  <c r="GJ340" i="1"/>
  <c r="GC340" i="1"/>
  <c r="FV340" i="1"/>
  <c r="FF344" i="1"/>
  <c r="EP344" i="1"/>
  <c r="FA344" i="1"/>
  <c r="EO344" i="1"/>
  <c r="MD434" i="1"/>
  <c r="MB434" i="1"/>
  <c r="LX418" i="1"/>
  <c r="MJ344" i="1"/>
  <c r="MK401" i="1" s="1"/>
  <c r="MD344" i="1"/>
  <c r="LY344" i="1"/>
  <c r="LT344" i="1"/>
  <c r="LN344" i="1"/>
  <c r="LI344" i="1"/>
  <c r="LI401" i="1" s="1"/>
  <c r="MH344" i="1"/>
  <c r="MC344" i="1"/>
  <c r="LX344" i="1"/>
  <c r="LR344" i="1"/>
  <c r="LM344" i="1"/>
  <c r="KS816" i="1"/>
  <c r="LA816" i="1"/>
  <c r="DN195" i="1"/>
  <c r="DM195" i="1" s="1"/>
  <c r="DS158" i="1"/>
  <c r="DP155" i="1"/>
  <c r="KS342" i="1"/>
  <c r="KG342" i="1"/>
  <c r="GD346" i="1"/>
  <c r="GN346" i="1"/>
  <c r="FV346" i="1"/>
  <c r="LY418" i="1"/>
  <c r="FB152" i="1"/>
  <c r="IB152" i="1"/>
  <c r="HC154" i="1"/>
  <c r="FM155" i="1"/>
  <c r="BT156" i="1"/>
  <c r="DU156" i="1"/>
  <c r="GQ156" i="1"/>
  <c r="CS157" i="1"/>
  <c r="EE195" i="1"/>
  <c r="EI195" i="1" s="1"/>
  <c r="EF158" i="1"/>
  <c r="GK339" i="1"/>
  <c r="GJ339" i="1"/>
  <c r="GD339" i="1"/>
  <c r="KO339" i="1"/>
  <c r="FT340" i="1"/>
  <c r="GH340" i="1"/>
  <c r="LZ343" i="1"/>
  <c r="LJ343" i="1"/>
  <c r="LM417" i="1"/>
  <c r="EK344" i="1"/>
  <c r="LJ344" i="1"/>
  <c r="LU344" i="1"/>
  <c r="LU401" i="1" s="1"/>
  <c r="MF344" i="1"/>
  <c r="MH418" i="1"/>
  <c r="IL922" i="1"/>
  <c r="KH816" i="1"/>
  <c r="KP816" i="1"/>
  <c r="KX816" i="1"/>
  <c r="CP922" i="1"/>
  <c r="LH922" i="1"/>
  <c r="L181" i="1"/>
  <c r="BI777" i="1"/>
  <c r="BI886" i="1" s="1"/>
  <c r="HA777" i="1"/>
  <c r="HA886" i="1" s="1"/>
  <c r="LK888" i="1"/>
  <c r="FP922" i="1"/>
  <c r="CR156" i="1"/>
  <c r="BH157" i="1"/>
  <c r="FG158" i="1"/>
  <c r="FR158" i="1"/>
  <c r="GY158" i="1"/>
  <c r="L179" i="1"/>
  <c r="AG232" i="1"/>
  <c r="AG268" i="1" s="1"/>
  <c r="EP340" i="1"/>
  <c r="FA340" i="1"/>
  <c r="KG341" i="1"/>
  <c r="CX342" i="1"/>
  <c r="EG342" i="1"/>
  <c r="EP342" i="1"/>
  <c r="IZ342" i="1"/>
  <c r="JH416" i="1"/>
  <c r="KB816" i="1"/>
  <c r="KF816" i="1"/>
  <c r="KJ816" i="1"/>
  <c r="KN816" i="1"/>
  <c r="KR816" i="1"/>
  <c r="KV816" i="1"/>
  <c r="KZ816" i="1"/>
  <c r="IH922" i="1"/>
  <c r="BY153" i="1"/>
  <c r="BI191" i="1"/>
  <c r="BN191" i="1" s="1"/>
  <c r="BR154" i="1"/>
  <c r="FG154" i="1"/>
  <c r="FU154" i="1"/>
  <c r="FY154" i="1"/>
  <c r="BO152" i="1"/>
  <c r="BI189" i="1"/>
  <c r="GM152" i="1"/>
  <c r="DD191" i="1"/>
  <c r="DG191" i="1" s="1"/>
  <c r="DG154" i="1"/>
  <c r="CQ151" i="1"/>
  <c r="EN151" i="1"/>
  <c r="GS151" i="1"/>
  <c r="JY159" i="1"/>
  <c r="KC159" i="1"/>
  <c r="KU159" i="1"/>
  <c r="KY159" i="1"/>
  <c r="BL152" i="1"/>
  <c r="CI152" i="1"/>
  <c r="DA152" i="1"/>
  <c r="DQ152" i="1"/>
  <c r="GN152" i="1"/>
  <c r="HS152" i="1"/>
  <c r="DM153" i="1"/>
  <c r="FO153" i="1"/>
  <c r="HT153" i="1"/>
  <c r="BJ154" i="1"/>
  <c r="CU154" i="1"/>
  <c r="DK154" i="1"/>
  <c r="EB154" i="1"/>
  <c r="FD154" i="1"/>
  <c r="FQ154" i="1"/>
  <c r="EG155" i="1"/>
  <c r="EE192" i="1"/>
  <c r="EI192" i="1" s="1"/>
  <c r="DL156" i="1"/>
  <c r="DI156" i="1"/>
  <c r="BS194" i="1"/>
  <c r="BU194" i="1" s="1"/>
  <c r="BY157" i="1"/>
  <c r="BU157" i="1"/>
  <c r="CC195" i="1"/>
  <c r="CD195" i="1" s="1"/>
  <c r="CE158" i="1"/>
  <c r="GO158" i="1"/>
  <c r="GS158" i="1"/>
  <c r="GL158" i="1"/>
  <c r="GK158" i="1"/>
  <c r="CV151" i="1"/>
  <c r="DU151" i="1"/>
  <c r="FH151" i="1"/>
  <c r="GX151" i="1"/>
  <c r="CR152" i="1"/>
  <c r="DI152" i="1"/>
  <c r="EW152" i="1"/>
  <c r="GP152" i="1"/>
  <c r="GY152" i="1"/>
  <c r="BU153" i="1"/>
  <c r="CS153" i="1"/>
  <c r="GI153" i="1"/>
  <c r="CQ154" i="1"/>
  <c r="CY154" i="1"/>
  <c r="DP154" i="1"/>
  <c r="EO191" i="1"/>
  <c r="EI191" i="1" s="1"/>
  <c r="EV154" i="1"/>
  <c r="CA155" i="1"/>
  <c r="FV155" i="1"/>
  <c r="EO193" i="1"/>
  <c r="EX156" i="1"/>
  <c r="EQ156" i="1"/>
  <c r="EP156" i="1"/>
  <c r="EO194" i="1"/>
  <c r="EU157" i="1"/>
  <c r="EQ157" i="1"/>
  <c r="HU195" i="1"/>
  <c r="HW158" i="1"/>
  <c r="GS342" i="1"/>
  <c r="GL342" i="1"/>
  <c r="FR342" i="1"/>
  <c r="GK343" i="1"/>
  <c r="GR343" i="1"/>
  <c r="IT419" i="1"/>
  <c r="JO345" i="1"/>
  <c r="JP402" i="1" s="1"/>
  <c r="JJ345" i="1"/>
  <c r="JD345" i="1"/>
  <c r="IY345" i="1"/>
  <c r="IT345" i="1"/>
  <c r="IN345" i="1"/>
  <c r="MG345" i="1"/>
  <c r="MD435" i="1"/>
  <c r="LR419" i="1"/>
  <c r="MF345" i="1"/>
  <c r="LL345" i="1"/>
  <c r="IS436" i="1"/>
  <c r="JG346" i="1"/>
  <c r="IT346" i="1"/>
  <c r="KW346" i="1"/>
  <c r="KS346" i="1"/>
  <c r="KC346" i="1"/>
  <c r="Y369" i="1"/>
  <c r="JC414" i="1"/>
  <c r="IY419" i="1"/>
  <c r="IT420" i="1"/>
  <c r="BY158" i="1"/>
  <c r="HQ158" i="1"/>
  <c r="L180" i="1"/>
  <c r="IM196" i="1"/>
  <c r="JD196" i="1"/>
  <c r="JY196" i="1"/>
  <c r="KC196" i="1"/>
  <c r="KH196" i="1"/>
  <c r="LO196" i="1"/>
  <c r="LT196" i="1"/>
  <c r="LX196" i="1"/>
  <c r="L221" i="1"/>
  <c r="L232" i="1"/>
  <c r="W267" i="1" s="1"/>
  <c r="CK229" i="1"/>
  <c r="ET229" i="1"/>
  <c r="HJ229" i="1"/>
  <c r="AO230" i="1"/>
  <c r="AW232" i="1"/>
  <c r="AW268" i="1" s="1"/>
  <c r="FU339" i="1"/>
  <c r="GF339" i="1"/>
  <c r="GP339" i="1"/>
  <c r="MB339" i="1"/>
  <c r="CY340" i="1"/>
  <c r="DT340" i="1"/>
  <c r="HW340" i="1"/>
  <c r="JD340" i="1"/>
  <c r="LL340" i="1"/>
  <c r="LQ340" i="1"/>
  <c r="LV340" i="1"/>
  <c r="MC340" i="1"/>
  <c r="MK340" i="1"/>
  <c r="CJ341" i="1"/>
  <c r="BW341" i="1"/>
  <c r="JC431" i="1"/>
  <c r="JK415" i="1"/>
  <c r="IR415" i="1"/>
  <c r="JL341" i="1"/>
  <c r="JG341" i="1"/>
  <c r="JB341" i="1"/>
  <c r="IV341" i="1"/>
  <c r="IQ341" i="1"/>
  <c r="KK341" i="1"/>
  <c r="FY342" i="1"/>
  <c r="KO342" i="1"/>
  <c r="FQ343" i="1"/>
  <c r="IR343" i="1"/>
  <c r="IZ343" i="1"/>
  <c r="JG343" i="1"/>
  <c r="JN343" i="1"/>
  <c r="KX343" i="1"/>
  <c r="KS343" i="1"/>
  <c r="KG343" i="1"/>
  <c r="FB344" i="1"/>
  <c r="ET344" i="1"/>
  <c r="EL344" i="1"/>
  <c r="KD344" i="1"/>
  <c r="DW345" i="1"/>
  <c r="DX402" i="1" s="1"/>
  <c r="DK345" i="1"/>
  <c r="GF345" i="1"/>
  <c r="IP345" i="1"/>
  <c r="IV345" i="1"/>
  <c r="JC345" i="1"/>
  <c r="JK345" i="1"/>
  <c r="LQ345" i="1"/>
  <c r="DV346" i="1"/>
  <c r="DS346" i="1"/>
  <c r="DH346" i="1"/>
  <c r="CU346" i="1"/>
  <c r="CU403" i="1" s="1"/>
  <c r="IN346" i="1"/>
  <c r="JB346" i="1"/>
  <c r="KD346" i="1"/>
  <c r="Z404" i="1"/>
  <c r="Z774" i="1" s="1"/>
  <c r="Z777" i="1" s="1"/>
  <c r="AD404" i="1"/>
  <c r="AD885" i="1" s="1"/>
  <c r="AH404" i="1"/>
  <c r="AH885" i="1" s="1"/>
  <c r="AL404" i="1"/>
  <c r="AL885" i="1" s="1"/>
  <c r="AP404" i="1"/>
  <c r="AP885" i="1" s="1"/>
  <c r="AT404" i="1"/>
  <c r="AT774" i="1" s="1"/>
  <c r="AT777" i="1" s="1"/>
  <c r="AX404" i="1"/>
  <c r="AX885" i="1" s="1"/>
  <c r="AO369" i="1"/>
  <c r="LM414" i="1"/>
  <c r="IY415" i="1"/>
  <c r="IN417" i="1"/>
  <c r="JJ419" i="1"/>
  <c r="JH420" i="1"/>
  <c r="IO435" i="1"/>
  <c r="GR154" i="1"/>
  <c r="DT156" i="1"/>
  <c r="GE156" i="1"/>
  <c r="HL156" i="1"/>
  <c r="BV158" i="1"/>
  <c r="DK158" i="1"/>
  <c r="FL158" i="1"/>
  <c r="HN158" i="1"/>
  <c r="IB158" i="1"/>
  <c r="L175" i="1"/>
  <c r="L216" i="1"/>
  <c r="JF340" i="1"/>
  <c r="LR430" i="1"/>
  <c r="LU414" i="1"/>
  <c r="MJ340" i="1"/>
  <c r="MD340" i="1"/>
  <c r="LY340" i="1"/>
  <c r="KS341" i="1"/>
  <c r="KH341" i="1"/>
  <c r="JY341" i="1"/>
  <c r="GG342" i="1"/>
  <c r="GD343" i="1"/>
  <c r="IZ433" i="1"/>
  <c r="IX417" i="1"/>
  <c r="JO343" i="1"/>
  <c r="JJ343" i="1"/>
  <c r="JD343" i="1"/>
  <c r="IY343" i="1"/>
  <c r="IY400" i="1" s="1"/>
  <c r="IT343" i="1"/>
  <c r="IN343" i="1"/>
  <c r="MG343" i="1"/>
  <c r="MF343" i="1"/>
  <c r="LL343" i="1"/>
  <c r="GS344" i="1"/>
  <c r="GT401" i="1" s="1"/>
  <c r="GL344" i="1"/>
  <c r="FR344" i="1"/>
  <c r="KG344" i="1"/>
  <c r="IQ345" i="1"/>
  <c r="IX345" i="1"/>
  <c r="JF345" i="1"/>
  <c r="JL345" i="1"/>
  <c r="LX345" i="1"/>
  <c r="IQ346" i="1"/>
  <c r="JJ346" i="1"/>
  <c r="KL346" i="1"/>
  <c r="MG414" i="1"/>
  <c r="IZ415" i="1"/>
  <c r="JD417" i="1"/>
  <c r="JO419" i="1"/>
  <c r="ML430" i="1"/>
  <c r="JB433" i="1"/>
  <c r="JE435" i="1"/>
  <c r="BE154" i="1"/>
  <c r="CP154" i="1"/>
  <c r="FL154" i="1"/>
  <c r="GO154" i="1"/>
  <c r="HB154" i="1"/>
  <c r="IB191" i="1"/>
  <c r="DC155" i="1"/>
  <c r="DW155" i="1"/>
  <c r="FR155" i="1"/>
  <c r="HR155" i="1"/>
  <c r="DQ156" i="1"/>
  <c r="EK156" i="1"/>
  <c r="HM156" i="1"/>
  <c r="DM157" i="1"/>
  <c r="GI157" i="1"/>
  <c r="HM157" i="1"/>
  <c r="BZ158" i="1"/>
  <c r="CQ158" i="1"/>
  <c r="FM158" i="1"/>
  <c r="GF158" i="1"/>
  <c r="HR158" i="1"/>
  <c r="L177" i="1"/>
  <c r="L215" i="1"/>
  <c r="DB229" i="1"/>
  <c r="IC229" i="1"/>
  <c r="CZ339" i="1"/>
  <c r="DG339" i="1"/>
  <c r="DN339" i="1"/>
  <c r="DV339" i="1"/>
  <c r="FZ339" i="1"/>
  <c r="FZ396" i="1" s="1"/>
  <c r="IZ413" i="1"/>
  <c r="JG429" i="1"/>
  <c r="JK413" i="1"/>
  <c r="KT396" i="1"/>
  <c r="DJ340" i="1"/>
  <c r="EG340" i="1"/>
  <c r="EO340" i="1"/>
  <c r="EW340" i="1"/>
  <c r="IT340" i="1"/>
  <c r="LI340" i="1"/>
  <c r="LI397" i="1" s="1"/>
  <c r="LN340" i="1"/>
  <c r="LT340" i="1"/>
  <c r="LZ340" i="1"/>
  <c r="MG340" i="1"/>
  <c r="BO341" i="1"/>
  <c r="IR341" i="1"/>
  <c r="IY341" i="1"/>
  <c r="JF341" i="1"/>
  <c r="JN341" i="1"/>
  <c r="KC341" i="1"/>
  <c r="KP341" i="1"/>
  <c r="FB342" i="1"/>
  <c r="FB399" i="1" s="1"/>
  <c r="ET342" i="1"/>
  <c r="EL342" i="1"/>
  <c r="EL399" i="1" s="1"/>
  <c r="GN342" i="1"/>
  <c r="KD342" i="1"/>
  <c r="DW343" i="1"/>
  <c r="DK343" i="1"/>
  <c r="GF343" i="1"/>
  <c r="IP343" i="1"/>
  <c r="IV343" i="1"/>
  <c r="JC343" i="1"/>
  <c r="JK343" i="1"/>
  <c r="JY343" i="1"/>
  <c r="KP343" i="1"/>
  <c r="LQ343" i="1"/>
  <c r="BO344" i="1"/>
  <c r="EH344" i="1"/>
  <c r="ES344" i="1"/>
  <c r="FE344" i="1"/>
  <c r="FY344" i="1"/>
  <c r="KO344" i="1"/>
  <c r="DP345" i="1"/>
  <c r="FQ345" i="1"/>
  <c r="FQ402" i="1" s="1"/>
  <c r="IR345" i="1"/>
  <c r="IZ345" i="1"/>
  <c r="JG345" i="1"/>
  <c r="JN345" i="1"/>
  <c r="JO402" i="1" s="1"/>
  <c r="KX345" i="1"/>
  <c r="KS345" i="1"/>
  <c r="KG345" i="1"/>
  <c r="LZ345" i="1"/>
  <c r="CX346" i="1"/>
  <c r="DO346" i="1"/>
  <c r="IY346" i="1"/>
  <c r="IZ403" i="1" s="1"/>
  <c r="JL346" i="1"/>
  <c r="KO346" i="1"/>
  <c r="JO413" i="1"/>
  <c r="MK414" i="1"/>
  <c r="JH415" i="1"/>
  <c r="LI417" i="1"/>
  <c r="LX419" i="1"/>
  <c r="IV431" i="1"/>
  <c r="JJ435" i="1"/>
  <c r="CV922" i="1"/>
  <c r="FR922" i="1"/>
  <c r="IX667" i="1"/>
  <c r="BE922" i="1"/>
  <c r="EA922" i="1"/>
  <c r="GW922" i="1"/>
  <c r="LR416" i="1"/>
  <c r="LI418" i="1"/>
  <c r="FP777" i="1"/>
  <c r="I787" i="1" s="1"/>
  <c r="KK816" i="1"/>
  <c r="KO816" i="1"/>
  <c r="KW816" i="1"/>
  <c r="BJ922" i="1"/>
  <c r="JX922" i="1"/>
  <c r="HQ152" i="1"/>
  <c r="BI188" i="1"/>
  <c r="IQ196" i="1"/>
  <c r="KL196" i="1"/>
  <c r="KX340" i="1"/>
  <c r="KP340" i="1"/>
  <c r="KH340" i="1"/>
  <c r="JZ340" i="1"/>
  <c r="KW340" i="1"/>
  <c r="KO340" i="1"/>
  <c r="KG340" i="1"/>
  <c r="JY340" i="1"/>
  <c r="GJ341" i="1"/>
  <c r="EL343" i="1"/>
  <c r="FE345" i="1"/>
  <c r="EW345" i="1"/>
  <c r="EO345" i="1"/>
  <c r="EG345" i="1"/>
  <c r="FF345" i="1"/>
  <c r="FF402" i="1" s="1"/>
  <c r="ET345" i="1"/>
  <c r="EK345" i="1"/>
  <c r="FB345" i="1"/>
  <c r="ES345" i="1"/>
  <c r="EH345" i="1"/>
  <c r="BK151" i="1"/>
  <c r="CL151" i="1"/>
  <c r="EG151" i="1"/>
  <c r="FY151" i="1"/>
  <c r="GY151" i="1"/>
  <c r="KM159" i="1"/>
  <c r="KV159" i="1"/>
  <c r="CF152" i="1"/>
  <c r="CS152" i="1"/>
  <c r="EP152" i="1"/>
  <c r="F175" i="1"/>
  <c r="F183" i="1"/>
  <c r="CC188" i="1"/>
  <c r="KV196" i="1"/>
  <c r="MD196" i="1"/>
  <c r="AS232" i="1"/>
  <c r="AS268" i="1" s="1"/>
  <c r="AS230" i="1"/>
  <c r="BA230" i="1"/>
  <c r="BA232" i="1"/>
  <c r="BA268" i="1" s="1"/>
  <c r="CX229" i="1"/>
  <c r="HX229" i="1"/>
  <c r="AZ230" i="1"/>
  <c r="EH339" i="1"/>
  <c r="IB339" i="1"/>
  <c r="HW339" i="1"/>
  <c r="HO339" i="1"/>
  <c r="LU339" i="1"/>
  <c r="MF339" i="1"/>
  <c r="MG396" i="1" s="1"/>
  <c r="JG430" i="1"/>
  <c r="IV430" i="1"/>
  <c r="JH430" i="1"/>
  <c r="IR430" i="1"/>
  <c r="JL414" i="1"/>
  <c r="JD414" i="1"/>
  <c r="IV414" i="1"/>
  <c r="IN414" i="1"/>
  <c r="JL430" i="1"/>
  <c r="IQ430" i="1"/>
  <c r="JP414" i="1"/>
  <c r="JG414" i="1"/>
  <c r="IU414" i="1"/>
  <c r="JC430" i="1"/>
  <c r="JK414" i="1"/>
  <c r="IY414" i="1"/>
  <c r="JA430" i="1"/>
  <c r="IZ414" i="1"/>
  <c r="JN340" i="1"/>
  <c r="JH340" i="1"/>
  <c r="JC340" i="1"/>
  <c r="IX340" i="1"/>
  <c r="IR340" i="1"/>
  <c r="IM340" i="1"/>
  <c r="IM397" i="1" s="1"/>
  <c r="IW430" i="1"/>
  <c r="JO414" i="1"/>
  <c r="IR414" i="1"/>
  <c r="JL340" i="1"/>
  <c r="JG340" i="1"/>
  <c r="JB340" i="1"/>
  <c r="IV340" i="1"/>
  <c r="IQ340" i="1"/>
  <c r="KL340" i="1"/>
  <c r="KL397" i="1" s="1"/>
  <c r="FZ341" i="1"/>
  <c r="GK341" i="1"/>
  <c r="JG432" i="1"/>
  <c r="IV432" i="1"/>
  <c r="JJ416" i="1"/>
  <c r="IY416" i="1"/>
  <c r="JC432" i="1"/>
  <c r="IQ432" i="1"/>
  <c r="JD416" i="1"/>
  <c r="IR416" i="1"/>
  <c r="JH432" i="1"/>
  <c r="IM432" i="1"/>
  <c r="JO416" i="1"/>
  <c r="IX416" i="1"/>
  <c r="JM432" i="1"/>
  <c r="IR432" i="1"/>
  <c r="IT416" i="1"/>
  <c r="JN342" i="1"/>
  <c r="JH342" i="1"/>
  <c r="JC342" i="1"/>
  <c r="IX342" i="1"/>
  <c r="IR342" i="1"/>
  <c r="IM342" i="1"/>
  <c r="JC416" i="1"/>
  <c r="JL342" i="1"/>
  <c r="JF342" i="1"/>
  <c r="IY342" i="1"/>
  <c r="IQ342" i="1"/>
  <c r="JL432" i="1"/>
  <c r="IN416" i="1"/>
  <c r="JK342" i="1"/>
  <c r="JD342" i="1"/>
  <c r="JD399" i="1" s="1"/>
  <c r="IV342" i="1"/>
  <c r="IP342" i="1"/>
  <c r="EP343" i="1"/>
  <c r="GQ345" i="1"/>
  <c r="GS345" i="1"/>
  <c r="GS402" i="1" s="1"/>
  <c r="GN345" i="1"/>
  <c r="GH345" i="1"/>
  <c r="GC345" i="1"/>
  <c r="FX345" i="1"/>
  <c r="FR345" i="1"/>
  <c r="GP345" i="1"/>
  <c r="GJ345" i="1"/>
  <c r="GB345" i="1"/>
  <c r="FU345" i="1"/>
  <c r="GO345" i="1"/>
  <c r="GG345" i="1"/>
  <c r="FZ345" i="1"/>
  <c r="FT345" i="1"/>
  <c r="GC346" i="1"/>
  <c r="JH414" i="1"/>
  <c r="MC429" i="1"/>
  <c r="BF151" i="1"/>
  <c r="BO151" i="1"/>
  <c r="CE151" i="1"/>
  <c r="CR151" i="1"/>
  <c r="EB151" i="1"/>
  <c r="EK151" i="1"/>
  <c r="FF151" i="1"/>
  <c r="FR151" i="1"/>
  <c r="GL151" i="1"/>
  <c r="HJ151" i="1"/>
  <c r="HX151" i="1"/>
  <c r="KA159" i="1"/>
  <c r="KE159" i="1"/>
  <c r="KJ159" i="1"/>
  <c r="KN159" i="1"/>
  <c r="KS159" i="1"/>
  <c r="KW159" i="1"/>
  <c r="BG152" i="1"/>
  <c r="CA152" i="1"/>
  <c r="BY152" i="1"/>
  <c r="CJ152" i="1"/>
  <c r="DE152" i="1"/>
  <c r="DM152" i="1"/>
  <c r="EQ152" i="1"/>
  <c r="FV152" i="1"/>
  <c r="GA152" i="1"/>
  <c r="GI152" i="1"/>
  <c r="GQ152" i="1"/>
  <c r="HM152" i="1"/>
  <c r="IA152" i="1"/>
  <c r="KT159" i="1"/>
  <c r="KX159" i="1"/>
  <c r="BP153" i="1"/>
  <c r="CJ153" i="1"/>
  <c r="DJ153" i="1"/>
  <c r="EA153" i="1"/>
  <c r="EU153" i="1"/>
  <c r="FL153" i="1"/>
  <c r="GF153" i="1"/>
  <c r="GZ153" i="1"/>
  <c r="HM153" i="1"/>
  <c r="KH159" i="1"/>
  <c r="KL159" i="1"/>
  <c r="KP159" i="1"/>
  <c r="BG154" i="1"/>
  <c r="BN154" i="1"/>
  <c r="BV154" i="1"/>
  <c r="CE154" i="1"/>
  <c r="DB154" i="1"/>
  <c r="DC154" i="1"/>
  <c r="DT154" i="1"/>
  <c r="EG154" i="1"/>
  <c r="EZ154" i="1"/>
  <c r="FH154" i="1"/>
  <c r="FN154" i="1"/>
  <c r="GC154" i="1"/>
  <c r="GK154" i="1"/>
  <c r="GS154" i="1"/>
  <c r="GY154" i="1"/>
  <c r="HF154" i="1"/>
  <c r="HW154" i="1"/>
  <c r="IB154" i="1"/>
  <c r="BF155" i="1"/>
  <c r="BO155" i="1"/>
  <c r="CE155" i="1"/>
  <c r="CR155" i="1"/>
  <c r="DK155" i="1"/>
  <c r="FA155" i="1"/>
  <c r="FN155" i="1"/>
  <c r="GP155" i="1"/>
  <c r="HC155" i="1"/>
  <c r="HW155" i="1"/>
  <c r="BP156" i="1"/>
  <c r="CF156" i="1"/>
  <c r="CZ156" i="1"/>
  <c r="DE156" i="1"/>
  <c r="DM156" i="1"/>
  <c r="EL156" i="1"/>
  <c r="ET156" i="1"/>
  <c r="FV156" i="1"/>
  <c r="GA156" i="1"/>
  <c r="GI156" i="1"/>
  <c r="HH156" i="1"/>
  <c r="HP156" i="1"/>
  <c r="HX156" i="1"/>
  <c r="DU157" i="1"/>
  <c r="EL157" i="1"/>
  <c r="FF157" i="1"/>
  <c r="FW157" i="1"/>
  <c r="GQ157" i="1"/>
  <c r="HH194" i="1"/>
  <c r="BE158" i="1"/>
  <c r="BJ158" i="1"/>
  <c r="BR158" i="1"/>
  <c r="CI158" i="1"/>
  <c r="CV158" i="1"/>
  <c r="DO158" i="1"/>
  <c r="DW158" i="1"/>
  <c r="EC158" i="1"/>
  <c r="EJ158" i="1"/>
  <c r="ER158" i="1"/>
  <c r="FA158" i="1"/>
  <c r="FX158" i="1"/>
  <c r="FV158" i="1"/>
  <c r="GG158" i="1"/>
  <c r="GW158" i="1"/>
  <c r="HB158" i="1"/>
  <c r="HJ158" i="1"/>
  <c r="IA158" i="1"/>
  <c r="L178" i="1"/>
  <c r="HA188" i="1"/>
  <c r="CC189" i="1"/>
  <c r="CH189" i="1" s="1"/>
  <c r="HU189" i="1"/>
  <c r="BS195" i="1"/>
  <c r="L219" i="1"/>
  <c r="AT230" i="1"/>
  <c r="AT232" i="1"/>
  <c r="AT268" i="1" s="1"/>
  <c r="BQ229" i="1"/>
  <c r="CH229" i="1"/>
  <c r="EW229" i="1"/>
  <c r="FX229" i="1"/>
  <c r="GD229" i="1"/>
  <c r="HD229" i="1"/>
  <c r="HZ229" i="1"/>
  <c r="T230" i="1"/>
  <c r="AE230" i="1"/>
  <c r="AI230" i="1"/>
  <c r="AL232" i="1"/>
  <c r="AL268" i="1" s="1"/>
  <c r="EK339" i="1"/>
  <c r="LL339" i="1"/>
  <c r="LV339" i="1"/>
  <c r="CJ340" i="1"/>
  <c r="BW340" i="1"/>
  <c r="BO340" i="1"/>
  <c r="DD340" i="1"/>
  <c r="IN340" i="1"/>
  <c r="IY340" i="1"/>
  <c r="JJ340" i="1"/>
  <c r="KC340" i="1"/>
  <c r="KS340" i="1"/>
  <c r="EH341" i="1"/>
  <c r="FT341" i="1"/>
  <c r="GD341" i="1"/>
  <c r="IB341" i="1"/>
  <c r="HW341" i="1"/>
  <c r="HO341" i="1"/>
  <c r="ML431" i="1"/>
  <c r="MA431" i="1"/>
  <c r="LQ431" i="1"/>
  <c r="MC431" i="1"/>
  <c r="LM431" i="1"/>
  <c r="MH415" i="1"/>
  <c r="LX415" i="1"/>
  <c r="LM415" i="1"/>
  <c r="LV431" i="1"/>
  <c r="MJ415" i="1"/>
  <c r="LT415" i="1"/>
  <c r="LR431" i="1"/>
  <c r="MC415" i="1"/>
  <c r="LI415" i="1"/>
  <c r="MJ341" i="1"/>
  <c r="MD341" i="1"/>
  <c r="LY341" i="1"/>
  <c r="LT341" i="1"/>
  <c r="LN341" i="1"/>
  <c r="LI341" i="1"/>
  <c r="LI398" i="1" s="1"/>
  <c r="MH431" i="1"/>
  <c r="LY415" i="1"/>
  <c r="MK341" i="1"/>
  <c r="MK398" i="1" s="1"/>
  <c r="MC341" i="1"/>
  <c r="LV341" i="1"/>
  <c r="LP341" i="1"/>
  <c r="MG431" i="1"/>
  <c r="LR415" i="1"/>
  <c r="MH341" i="1"/>
  <c r="MB341" i="1"/>
  <c r="LU341" i="1"/>
  <c r="LM341" i="1"/>
  <c r="DU342" i="1"/>
  <c r="DW342" i="1"/>
  <c r="DX399" i="1" s="1"/>
  <c r="DR342" i="1"/>
  <c r="DL342" i="1"/>
  <c r="DL399" i="1" s="1"/>
  <c r="DG342" i="1"/>
  <c r="DB342" i="1"/>
  <c r="CV342" i="1"/>
  <c r="DV342" i="1"/>
  <c r="DO342" i="1"/>
  <c r="DH342" i="1"/>
  <c r="CZ342" i="1"/>
  <c r="DT342" i="1"/>
  <c r="DN342" i="1"/>
  <c r="DF342" i="1"/>
  <c r="CY342" i="1"/>
  <c r="FQ342" i="1"/>
  <c r="GD342" i="1"/>
  <c r="IT342" i="1"/>
  <c r="JG342" i="1"/>
  <c r="KX342" i="1"/>
  <c r="KP342" i="1"/>
  <c r="KH342" i="1"/>
  <c r="JZ342" i="1"/>
  <c r="KW342" i="1"/>
  <c r="KL342" i="1"/>
  <c r="KC342" i="1"/>
  <c r="KT342" i="1"/>
  <c r="KK342" i="1"/>
  <c r="JY342" i="1"/>
  <c r="CU343" i="1"/>
  <c r="CV400" i="1" s="1"/>
  <c r="DH343" i="1"/>
  <c r="FV343" i="1"/>
  <c r="IB343" i="1"/>
  <c r="HW343" i="1"/>
  <c r="HO343" i="1"/>
  <c r="HG343" i="1"/>
  <c r="LR343" i="1"/>
  <c r="DU344" i="1"/>
  <c r="DW344" i="1"/>
  <c r="DX401" i="1" s="1"/>
  <c r="DR344" i="1"/>
  <c r="DL344" i="1"/>
  <c r="DL401" i="1" s="1"/>
  <c r="DG344" i="1"/>
  <c r="DB344" i="1"/>
  <c r="CV344" i="1"/>
  <c r="DV344" i="1"/>
  <c r="DO344" i="1"/>
  <c r="DH344" i="1"/>
  <c r="CZ344" i="1"/>
  <c r="DT344" i="1"/>
  <c r="DN344" i="1"/>
  <c r="DF344" i="1"/>
  <c r="CY344" i="1"/>
  <c r="FQ344" i="1"/>
  <c r="FQ401" i="1" s="1"/>
  <c r="GD344" i="1"/>
  <c r="IT344" i="1"/>
  <c r="JG344" i="1"/>
  <c r="KX344" i="1"/>
  <c r="KP344" i="1"/>
  <c r="KH344" i="1"/>
  <c r="JZ344" i="1"/>
  <c r="KW344" i="1"/>
  <c r="KL344" i="1"/>
  <c r="KC344" i="1"/>
  <c r="KD401" i="1" s="1"/>
  <c r="KT344" i="1"/>
  <c r="KT401" i="1" s="1"/>
  <c r="KK344" i="1"/>
  <c r="JY344" i="1"/>
  <c r="CU345" i="1"/>
  <c r="CU402" i="1" s="1"/>
  <c r="DH345" i="1"/>
  <c r="EX345" i="1"/>
  <c r="FV345" i="1"/>
  <c r="GK345" i="1"/>
  <c r="IB345" i="1"/>
  <c r="HW345" i="1"/>
  <c r="HO345" i="1"/>
  <c r="HG345" i="1"/>
  <c r="LR345" i="1"/>
  <c r="IM414" i="1"/>
  <c r="MD415" i="1"/>
  <c r="IM430" i="1"/>
  <c r="LW431" i="1"/>
  <c r="EX152" i="1"/>
  <c r="CI154" i="1"/>
  <c r="EK154" i="1"/>
  <c r="IA154" i="1"/>
  <c r="CZ158" i="1"/>
  <c r="FE158" i="1"/>
  <c r="EO190" i="1"/>
  <c r="HZ191" i="1"/>
  <c r="FE339" i="1"/>
  <c r="EW339" i="1"/>
  <c r="EO339" i="1"/>
  <c r="EG339" i="1"/>
  <c r="FB339" i="1"/>
  <c r="ET339" i="1"/>
  <c r="EL339" i="1"/>
  <c r="ML429" i="1"/>
  <c r="MA429" i="1"/>
  <c r="LQ429" i="1"/>
  <c r="MG429" i="1"/>
  <c r="LR429" i="1"/>
  <c r="MH413" i="1"/>
  <c r="LZ413" i="1"/>
  <c r="LR413" i="1"/>
  <c r="LJ413" i="1"/>
  <c r="LW429" i="1"/>
  <c r="ML413" i="1"/>
  <c r="MC413" i="1"/>
  <c r="LQ413" i="1"/>
  <c r="MH429" i="1"/>
  <c r="LK429" i="1"/>
  <c r="MK413" i="1"/>
  <c r="LV413" i="1"/>
  <c r="LI413" i="1"/>
  <c r="LV429" i="1"/>
  <c r="MG413" i="1"/>
  <c r="LN413" i="1"/>
  <c r="MJ339" i="1"/>
  <c r="MD339" i="1"/>
  <c r="LY339" i="1"/>
  <c r="LT339" i="1"/>
  <c r="LN339" i="1"/>
  <c r="LI339" i="1"/>
  <c r="LI396" i="1" s="1"/>
  <c r="LM429" i="1"/>
  <c r="MD413" i="1"/>
  <c r="LM413" i="1"/>
  <c r="MH339" i="1"/>
  <c r="MH396" i="1" s="1"/>
  <c r="MC339" i="1"/>
  <c r="LX339" i="1"/>
  <c r="LR339" i="1"/>
  <c r="LM339" i="1"/>
  <c r="GQ341" i="1"/>
  <c r="GS341" i="1"/>
  <c r="GT398" i="1" s="1"/>
  <c r="GN341" i="1"/>
  <c r="GO398" i="1" s="1"/>
  <c r="GH341" i="1"/>
  <c r="GC341" i="1"/>
  <c r="FX341" i="1"/>
  <c r="FR341" i="1"/>
  <c r="GR341" i="1"/>
  <c r="GL341" i="1"/>
  <c r="GG341" i="1"/>
  <c r="GB341" i="1"/>
  <c r="FV341" i="1"/>
  <c r="FQ341" i="1"/>
  <c r="FQ398" i="1" s="1"/>
  <c r="IB342" i="1"/>
  <c r="HG342" i="1"/>
  <c r="HW342" i="1"/>
  <c r="HO342" i="1"/>
  <c r="FE343" i="1"/>
  <c r="EW343" i="1"/>
  <c r="EX400" i="1" s="1"/>
  <c r="EO343" i="1"/>
  <c r="EG343" i="1"/>
  <c r="FF343" i="1"/>
  <c r="FF400" i="1" s="1"/>
  <c r="ET343" i="1"/>
  <c r="EK343" i="1"/>
  <c r="FB343" i="1"/>
  <c r="ES343" i="1"/>
  <c r="EH343" i="1"/>
  <c r="IB344" i="1"/>
  <c r="HG344" i="1"/>
  <c r="HW344" i="1"/>
  <c r="HO344" i="1"/>
  <c r="EL345" i="1"/>
  <c r="LU413" i="1"/>
  <c r="FA151" i="1"/>
  <c r="HW151" i="1"/>
  <c r="KI159" i="1"/>
  <c r="KR159" i="1"/>
  <c r="KZ159" i="1"/>
  <c r="BX152" i="1"/>
  <c r="DJ152" i="1"/>
  <c r="EK152" i="1"/>
  <c r="FE152" i="1"/>
  <c r="GF152" i="1"/>
  <c r="HG152" i="1"/>
  <c r="HL152" i="1"/>
  <c r="HT152" i="1"/>
  <c r="CP153" i="1"/>
  <c r="DF153" i="1"/>
  <c r="EQ153" i="1"/>
  <c r="GB153" i="1"/>
  <c r="BF154" i="1"/>
  <c r="BY154" i="1"/>
  <c r="CD154" i="1"/>
  <c r="CL154" i="1"/>
  <c r="DS154" i="1"/>
  <c r="EA154" i="1"/>
  <c r="EF154" i="1"/>
  <c r="EN154" i="1"/>
  <c r="FE154" i="1"/>
  <c r="FM154" i="1"/>
  <c r="GP154" i="1"/>
  <c r="GX154" i="1"/>
  <c r="HQ154" i="1"/>
  <c r="HV154" i="1"/>
  <c r="ID154" i="1"/>
  <c r="JZ159" i="1"/>
  <c r="KD159" i="1"/>
  <c r="BK155" i="1"/>
  <c r="EN155" i="1"/>
  <c r="GL155" i="1"/>
  <c r="BL156" i="1"/>
  <c r="DJ156" i="1"/>
  <c r="EH156" i="1"/>
  <c r="FE156" i="1"/>
  <c r="GF156" i="1"/>
  <c r="HD156" i="1"/>
  <c r="BE157" i="1"/>
  <c r="CP157" i="1"/>
  <c r="DF157" i="1"/>
  <c r="EA157" i="1"/>
  <c r="FL157" i="1"/>
  <c r="GW157" i="1"/>
  <c r="BO158" i="1"/>
  <c r="CH158" i="1"/>
  <c r="CP158" i="1"/>
  <c r="CU158" i="1"/>
  <c r="DC158" i="1"/>
  <c r="DT158" i="1"/>
  <c r="EB158" i="1"/>
  <c r="EZ158" i="1"/>
  <c r="FH158" i="1"/>
  <c r="FU158" i="1"/>
  <c r="GC158" i="1"/>
  <c r="HG158" i="1"/>
  <c r="HZ158" i="1"/>
  <c r="IR196" i="1"/>
  <c r="JN196" i="1"/>
  <c r="HA189" i="1"/>
  <c r="JL196" i="1"/>
  <c r="KB196" i="1"/>
  <c r="LW196" i="1"/>
  <c r="FZ193" i="1"/>
  <c r="FR193" i="1" s="1"/>
  <c r="IE195" i="1"/>
  <c r="HK436" i="1" s="1"/>
  <c r="L220" i="1"/>
  <c r="AK230" i="1"/>
  <c r="AK232" i="1"/>
  <c r="AK268" i="1" s="1"/>
  <c r="HS229" i="1"/>
  <c r="EX339" i="1"/>
  <c r="LJ339" i="1"/>
  <c r="DU340" i="1"/>
  <c r="DW340" i="1"/>
  <c r="DR340" i="1"/>
  <c r="DL340" i="1"/>
  <c r="DG340" i="1"/>
  <c r="DB340" i="1"/>
  <c r="CV340" i="1"/>
  <c r="DV340" i="1"/>
  <c r="DP340" i="1"/>
  <c r="DP397" i="1" s="1"/>
  <c r="DK340" i="1"/>
  <c r="DF340" i="1"/>
  <c r="CZ340" i="1"/>
  <c r="CU340" i="1"/>
  <c r="CU397" i="1" s="1"/>
  <c r="FE341" i="1"/>
  <c r="FF398" i="1" s="1"/>
  <c r="EW341" i="1"/>
  <c r="EX398" i="1" s="1"/>
  <c r="EO341" i="1"/>
  <c r="EG341" i="1"/>
  <c r="FB341" i="1"/>
  <c r="ET341" i="1"/>
  <c r="EL341" i="1"/>
  <c r="GQ343" i="1"/>
  <c r="GS343" i="1"/>
  <c r="GN343" i="1"/>
  <c r="GH343" i="1"/>
  <c r="GC343" i="1"/>
  <c r="FX343" i="1"/>
  <c r="FR343" i="1"/>
  <c r="GP343" i="1"/>
  <c r="GJ343" i="1"/>
  <c r="GB343" i="1"/>
  <c r="FU343" i="1"/>
  <c r="GO343" i="1"/>
  <c r="GG343" i="1"/>
  <c r="FZ343" i="1"/>
  <c r="FT343" i="1"/>
  <c r="JP434" i="1"/>
  <c r="JB434" i="1"/>
  <c r="IN434" i="1"/>
  <c r="JO418" i="1"/>
  <c r="JD418" i="1"/>
  <c r="IT418" i="1"/>
  <c r="JD434" i="1"/>
  <c r="JJ418" i="1"/>
  <c r="IX418" i="1"/>
  <c r="IW434" i="1"/>
  <c r="JH418" i="1"/>
  <c r="IN418" i="1"/>
  <c r="IO434" i="1"/>
  <c r="IY418" i="1"/>
  <c r="JN344" i="1"/>
  <c r="JH344" i="1"/>
  <c r="JC344" i="1"/>
  <c r="IX344" i="1"/>
  <c r="IR344" i="1"/>
  <c r="IM344" i="1"/>
  <c r="JN418" i="1"/>
  <c r="JL344" i="1"/>
  <c r="JF344" i="1"/>
  <c r="IY344" i="1"/>
  <c r="IQ344" i="1"/>
  <c r="JJ434" i="1"/>
  <c r="JC418" i="1"/>
  <c r="JK344" i="1"/>
  <c r="JD344" i="1"/>
  <c r="JD401" i="1" s="1"/>
  <c r="IV344" i="1"/>
  <c r="IP344" i="1"/>
  <c r="EP345" i="1"/>
  <c r="GQ346" i="1"/>
  <c r="GP346" i="1"/>
  <c r="GK346" i="1"/>
  <c r="GF346" i="1"/>
  <c r="FZ346" i="1"/>
  <c r="FU346" i="1"/>
  <c r="GO346" i="1"/>
  <c r="GH346" i="1"/>
  <c r="GB346" i="1"/>
  <c r="FT346" i="1"/>
  <c r="GS346" i="1"/>
  <c r="GJ346" i="1"/>
  <c r="FY346" i="1"/>
  <c r="FQ346" i="1"/>
  <c r="GR346" i="1"/>
  <c r="GG346" i="1"/>
  <c r="FX346" i="1"/>
  <c r="LY413" i="1"/>
  <c r="JN416" i="1"/>
  <c r="JI434" i="1"/>
  <c r="BG151" i="1"/>
  <c r="BZ151" i="1"/>
  <c r="CI151" i="1"/>
  <c r="DP151" i="1"/>
  <c r="EC151" i="1"/>
  <c r="EV151" i="1"/>
  <c r="FM151" i="1"/>
  <c r="FV151" i="1"/>
  <c r="HR151" i="1"/>
  <c r="JX159" i="1"/>
  <c r="KB159" i="1"/>
  <c r="KF159" i="1"/>
  <c r="KK159" i="1"/>
  <c r="KO159" i="1"/>
  <c r="BT152" i="1"/>
  <c r="CB152" i="1"/>
  <c r="CW152" i="1"/>
  <c r="DF152" i="1"/>
  <c r="EC152" i="1"/>
  <c r="EL152" i="1"/>
  <c r="ET152" i="1"/>
  <c r="FF152" i="1"/>
  <c r="FS152" i="1"/>
  <c r="GB152" i="1"/>
  <c r="HH152" i="1"/>
  <c r="HP152" i="1"/>
  <c r="HX152" i="1"/>
  <c r="CX153" i="1"/>
  <c r="EL153" i="1"/>
  <c r="FF153" i="1"/>
  <c r="FW153" i="1"/>
  <c r="GQ153" i="1"/>
  <c r="GW153" i="1"/>
  <c r="BO154" i="1"/>
  <c r="BZ154" i="1"/>
  <c r="CH154" i="1"/>
  <c r="DO154" i="1"/>
  <c r="DW154" i="1"/>
  <c r="EC154" i="1"/>
  <c r="EJ154" i="1"/>
  <c r="ER154" i="1"/>
  <c r="FA154" i="1"/>
  <c r="FX154" i="1"/>
  <c r="FV154" i="1"/>
  <c r="GG154" i="1"/>
  <c r="GL154" i="1"/>
  <c r="GQ154" i="1"/>
  <c r="HG154" i="1"/>
  <c r="HR154" i="1"/>
  <c r="HZ154" i="1"/>
  <c r="BG155" i="1"/>
  <c r="BZ155" i="1"/>
  <c r="CI155" i="1"/>
  <c r="EB155" i="1"/>
  <c r="EK155" i="1"/>
  <c r="FE155" i="1"/>
  <c r="GD155" i="1"/>
  <c r="GX155" i="1"/>
  <c r="HG155" i="1"/>
  <c r="BG156" i="1"/>
  <c r="CA156" i="1"/>
  <c r="BY156" i="1"/>
  <c r="CJ156" i="1"/>
  <c r="CW156" i="1"/>
  <c r="DF156" i="1"/>
  <c r="EC156" i="1"/>
  <c r="EU156" i="1"/>
  <c r="FF156" i="1"/>
  <c r="FS156" i="1"/>
  <c r="GB156" i="1"/>
  <c r="GY156" i="1"/>
  <c r="HQ156" i="1"/>
  <c r="IB156" i="1"/>
  <c r="CX157" i="1"/>
  <c r="HT157" i="1"/>
  <c r="BF158" i="1"/>
  <c r="BK158" i="1"/>
  <c r="CD158" i="1"/>
  <c r="CL158" i="1"/>
  <c r="CR158" i="1"/>
  <c r="CY158" i="1"/>
  <c r="DG158" i="1"/>
  <c r="DP158" i="1"/>
  <c r="EK158" i="1"/>
  <c r="EV158" i="1"/>
  <c r="FD158" i="1"/>
  <c r="FQ158" i="1"/>
  <c r="FY158" i="1"/>
  <c r="GR158" i="1"/>
  <c r="GP158" i="1"/>
  <c r="GX158" i="1"/>
  <c r="HC158" i="1"/>
  <c r="HV158" i="1"/>
  <c r="ID158" i="1"/>
  <c r="F181" i="1"/>
  <c r="J183" i="1"/>
  <c r="K183" i="1"/>
  <c r="HU188" i="1"/>
  <c r="JC196" i="1"/>
  <c r="JH196" i="1"/>
  <c r="JX196" i="1"/>
  <c r="LN196" i="1"/>
  <c r="LS196" i="1"/>
  <c r="EO189" i="1"/>
  <c r="HK190" i="1"/>
  <c r="HH190" i="1" s="1"/>
  <c r="CT191" i="1"/>
  <c r="DN192" i="1"/>
  <c r="JB196" i="1"/>
  <c r="JG196" i="1"/>
  <c r="EY193" i="1"/>
  <c r="FE193" i="1" s="1"/>
  <c r="CT195" i="1"/>
  <c r="CY195" i="1" s="1"/>
  <c r="L218" i="1"/>
  <c r="Z230" i="1"/>
  <c r="Z232" i="1"/>
  <c r="Z268" i="1" s="1"/>
  <c r="AU230" i="1"/>
  <c r="AU232" i="1"/>
  <c r="AU268" i="1" s="1"/>
  <c r="AY232" i="1"/>
  <c r="AY268" i="1" s="1"/>
  <c r="AY230" i="1"/>
  <c r="BN229" i="1"/>
  <c r="CI229" i="1"/>
  <c r="DR229" i="1"/>
  <c r="GS229" i="1"/>
  <c r="HF229" i="1"/>
  <c r="HT229" i="1"/>
  <c r="ID229" i="1"/>
  <c r="AF230" i="1"/>
  <c r="AN230" i="1"/>
  <c r="EP339" i="1"/>
  <c r="FF339" i="1"/>
  <c r="GQ339" i="1"/>
  <c r="GS339" i="1"/>
  <c r="GN339" i="1"/>
  <c r="GO396" i="1" s="1"/>
  <c r="GH339" i="1"/>
  <c r="GC339" i="1"/>
  <c r="FX339" i="1"/>
  <c r="FY396" i="1" s="1"/>
  <c r="FR339" i="1"/>
  <c r="GR339" i="1"/>
  <c r="GL339" i="1"/>
  <c r="GL396" i="1" s="1"/>
  <c r="GG339" i="1"/>
  <c r="GB339" i="1"/>
  <c r="FV339" i="1"/>
  <c r="FQ339" i="1"/>
  <c r="LP339" i="1"/>
  <c r="LZ339" i="1"/>
  <c r="MK339" i="1"/>
  <c r="ML396" i="1" s="1"/>
  <c r="CX340" i="1"/>
  <c r="DH340" i="1"/>
  <c r="DS340" i="1"/>
  <c r="IP340" i="1"/>
  <c r="IZ340" i="1"/>
  <c r="JK340" i="1"/>
  <c r="KD340" i="1"/>
  <c r="KT340" i="1"/>
  <c r="EK341" i="1"/>
  <c r="FA341" i="1"/>
  <c r="FU341" i="1"/>
  <c r="GF341" i="1"/>
  <c r="GP341" i="1"/>
  <c r="GQ342" i="1"/>
  <c r="GP342" i="1"/>
  <c r="GK342" i="1"/>
  <c r="GF342" i="1"/>
  <c r="FZ342" i="1"/>
  <c r="FU342" i="1"/>
  <c r="GR342" i="1"/>
  <c r="GJ342" i="1"/>
  <c r="GC342" i="1"/>
  <c r="FV342" i="1"/>
  <c r="GO342" i="1"/>
  <c r="GH342" i="1"/>
  <c r="GB342" i="1"/>
  <c r="FT342" i="1"/>
  <c r="IU342" i="1"/>
  <c r="JJ342" i="1"/>
  <c r="DU343" i="1"/>
  <c r="DT343" i="1"/>
  <c r="DO343" i="1"/>
  <c r="DJ343" i="1"/>
  <c r="DD343" i="1"/>
  <c r="CY343" i="1"/>
  <c r="DV343" i="1"/>
  <c r="DN343" i="1"/>
  <c r="DG343" i="1"/>
  <c r="CZ343" i="1"/>
  <c r="CZ400" i="1" s="1"/>
  <c r="DS343" i="1"/>
  <c r="DL343" i="1"/>
  <c r="DF343" i="1"/>
  <c r="CX343" i="1"/>
  <c r="FA343" i="1"/>
  <c r="FY343" i="1"/>
  <c r="GL343" i="1"/>
  <c r="LZ433" i="1"/>
  <c r="LL433" i="1"/>
  <c r="MJ417" i="1"/>
  <c r="LY417" i="1"/>
  <c r="LN417" i="1"/>
  <c r="MI433" i="1"/>
  <c r="LS433" i="1"/>
  <c r="MH417" i="1"/>
  <c r="LT417" i="1"/>
  <c r="MB433" i="1"/>
  <c r="LX417" i="1"/>
  <c r="MC417" i="1"/>
  <c r="MJ343" i="1"/>
  <c r="MD343" i="1"/>
  <c r="LY343" i="1"/>
  <c r="LT343" i="1"/>
  <c r="LN343" i="1"/>
  <c r="LI343" i="1"/>
  <c r="LI400" i="1" s="1"/>
  <c r="MH433" i="1"/>
  <c r="MD417" i="1"/>
  <c r="MK343" i="1"/>
  <c r="MK400" i="1" s="1"/>
  <c r="MC343" i="1"/>
  <c r="LV343" i="1"/>
  <c r="LP343" i="1"/>
  <c r="LT433" i="1"/>
  <c r="LR417" i="1"/>
  <c r="MH343" i="1"/>
  <c r="MB343" i="1"/>
  <c r="LU343" i="1"/>
  <c r="LM343" i="1"/>
  <c r="GQ344" i="1"/>
  <c r="GP344" i="1"/>
  <c r="GK344" i="1"/>
  <c r="GL401" i="1" s="1"/>
  <c r="GF344" i="1"/>
  <c r="FZ344" i="1"/>
  <c r="FU344" i="1"/>
  <c r="GR344" i="1"/>
  <c r="GJ344" i="1"/>
  <c r="GC344" i="1"/>
  <c r="FV344" i="1"/>
  <c r="FV401" i="1" s="1"/>
  <c r="GO344" i="1"/>
  <c r="GO401" i="1" s="1"/>
  <c r="GH344" i="1"/>
  <c r="GB344" i="1"/>
  <c r="FT344" i="1"/>
  <c r="IU344" i="1"/>
  <c r="JJ344" i="1"/>
  <c r="DU345" i="1"/>
  <c r="DT345" i="1"/>
  <c r="DO345" i="1"/>
  <c r="DJ345" i="1"/>
  <c r="DD345" i="1"/>
  <c r="DD402" i="1" s="1"/>
  <c r="CY345" i="1"/>
  <c r="DV345" i="1"/>
  <c r="DN345" i="1"/>
  <c r="DG345" i="1"/>
  <c r="CZ345" i="1"/>
  <c r="CZ402" i="1" s="1"/>
  <c r="DS345" i="1"/>
  <c r="DL345" i="1"/>
  <c r="DF345" i="1"/>
  <c r="CX345" i="1"/>
  <c r="FA345" i="1"/>
  <c r="FY345" i="1"/>
  <c r="GL345" i="1"/>
  <c r="MJ435" i="1"/>
  <c r="LW435" i="1"/>
  <c r="MD419" i="1"/>
  <c r="LT419" i="1"/>
  <c r="LI419" i="1"/>
  <c r="ME435" i="1"/>
  <c r="LO435" i="1"/>
  <c r="LY419" i="1"/>
  <c r="LM419" i="1"/>
  <c r="LJ435" i="1"/>
  <c r="MH419" i="1"/>
  <c r="LN419" i="1"/>
  <c r="LX435" i="1"/>
  <c r="MC419" i="1"/>
  <c r="MJ345" i="1"/>
  <c r="MD345" i="1"/>
  <c r="LY345" i="1"/>
  <c r="LT345" i="1"/>
  <c r="LN345" i="1"/>
  <c r="LI345" i="1"/>
  <c r="MK345" i="1"/>
  <c r="MC345" i="1"/>
  <c r="LV345" i="1"/>
  <c r="LP345" i="1"/>
  <c r="MJ419" i="1"/>
  <c r="MH345" i="1"/>
  <c r="MB345" i="1"/>
  <c r="LU345" i="1"/>
  <c r="LM345" i="1"/>
  <c r="FR346" i="1"/>
  <c r="GL346" i="1"/>
  <c r="IQ414" i="1"/>
  <c r="IM416" i="1"/>
  <c r="IR418" i="1"/>
  <c r="JM430" i="1"/>
  <c r="IW432" i="1"/>
  <c r="LN433" i="1"/>
  <c r="LR435" i="1"/>
  <c r="KC343" i="1"/>
  <c r="KO343" i="1"/>
  <c r="KC345" i="1"/>
  <c r="KO345" i="1"/>
  <c r="CJ346" i="1"/>
  <c r="BW346" i="1"/>
  <c r="CE346" i="1"/>
  <c r="DC346" i="1"/>
  <c r="DK346" i="1"/>
  <c r="DK403" i="1" s="1"/>
  <c r="IB346" i="1"/>
  <c r="HG346" i="1"/>
  <c r="HO346" i="1"/>
  <c r="IU346" i="1"/>
  <c r="JF346" i="1"/>
  <c r="JO346" i="1"/>
  <c r="KG346" i="1"/>
  <c r="MH436" i="1"/>
  <c r="LS436" i="1"/>
  <c r="MH420" i="1"/>
  <c r="LX420" i="1"/>
  <c r="LM420" i="1"/>
  <c r="ME436" i="1"/>
  <c r="LL436" i="1"/>
  <c r="MJ420" i="1"/>
  <c r="LT420" i="1"/>
  <c r="MK346" i="1"/>
  <c r="ML403" i="1" s="1"/>
  <c r="MF346" i="1"/>
  <c r="LZ346" i="1"/>
  <c r="LU346" i="1"/>
  <c r="LZ436" i="1"/>
  <c r="MC420" i="1"/>
  <c r="LI420" i="1"/>
  <c r="MJ346" i="1"/>
  <c r="MC346" i="1"/>
  <c r="LV346" i="1"/>
  <c r="LP346" i="1"/>
  <c r="LK346" i="1"/>
  <c r="LR420" i="1"/>
  <c r="MH346" i="1"/>
  <c r="LY346" i="1"/>
  <c r="LQ346" i="1"/>
  <c r="LR403" i="1" s="1"/>
  <c r="LJ346" i="1"/>
  <c r="AW369" i="1"/>
  <c r="LV414" i="1"/>
  <c r="JN420" i="1"/>
  <c r="LX436" i="1"/>
  <c r="CY339" i="1"/>
  <c r="DD339" i="1"/>
  <c r="DJ339" i="1"/>
  <c r="DO339" i="1"/>
  <c r="DT339" i="1"/>
  <c r="JL429" i="1"/>
  <c r="JA429" i="1"/>
  <c r="IQ429" i="1"/>
  <c r="JH429" i="1"/>
  <c r="IV429" i="1"/>
  <c r="JL413" i="1"/>
  <c r="JD413" i="1"/>
  <c r="IV413" i="1"/>
  <c r="IN413" i="1"/>
  <c r="JM429" i="1"/>
  <c r="IR429" i="1"/>
  <c r="JP413" i="1"/>
  <c r="JG413" i="1"/>
  <c r="IU413" i="1"/>
  <c r="IM429" i="1"/>
  <c r="JC413" i="1"/>
  <c r="IQ413" i="1"/>
  <c r="KD339" i="1"/>
  <c r="KL339" i="1"/>
  <c r="FU340" i="1"/>
  <c r="FZ340" i="1"/>
  <c r="GF340" i="1"/>
  <c r="GK340" i="1"/>
  <c r="GP340" i="1"/>
  <c r="HG340" i="1"/>
  <c r="MG430" i="1"/>
  <c r="LV430" i="1"/>
  <c r="LK430" i="1"/>
  <c r="MC430" i="1"/>
  <c r="LQ430" i="1"/>
  <c r="MH414" i="1"/>
  <c r="LZ414" i="1"/>
  <c r="LR414" i="1"/>
  <c r="LJ414" i="1"/>
  <c r="LW430" i="1"/>
  <c r="ML414" i="1"/>
  <c r="MC414" i="1"/>
  <c r="LQ414" i="1"/>
  <c r="MA430" i="1"/>
  <c r="MD414" i="1"/>
  <c r="LN414" i="1"/>
  <c r="CY341" i="1"/>
  <c r="DD341" i="1"/>
  <c r="DJ341" i="1"/>
  <c r="DO341" i="1"/>
  <c r="DO398" i="1" s="1"/>
  <c r="DT341" i="1"/>
  <c r="KT341" i="1"/>
  <c r="KL341" i="1"/>
  <c r="KD341" i="1"/>
  <c r="KD398" i="1" s="1"/>
  <c r="CJ342" i="1"/>
  <c r="BW342" i="1"/>
  <c r="KT343" i="1"/>
  <c r="KL343" i="1"/>
  <c r="KD343" i="1"/>
  <c r="CJ344" i="1"/>
  <c r="BW344" i="1"/>
  <c r="KT345" i="1"/>
  <c r="KL345" i="1"/>
  <c r="KL402" i="1" s="1"/>
  <c r="KD345" i="1"/>
  <c r="DU346" i="1"/>
  <c r="DW346" i="1"/>
  <c r="DX403" i="1" s="1"/>
  <c r="DR346" i="1"/>
  <c r="DL346" i="1"/>
  <c r="DG346" i="1"/>
  <c r="DB346" i="1"/>
  <c r="CV346" i="1"/>
  <c r="DT346" i="1"/>
  <c r="DN346" i="1"/>
  <c r="DF346" i="1"/>
  <c r="CY346" i="1"/>
  <c r="JN436" i="1"/>
  <c r="IZ436" i="1"/>
  <c r="JJ420" i="1"/>
  <c r="IY420" i="1"/>
  <c r="IN420" i="1"/>
  <c r="JE436" i="1"/>
  <c r="JO420" i="1"/>
  <c r="JC420" i="1"/>
  <c r="IM420" i="1"/>
  <c r="JM436" i="1"/>
  <c r="IR436" i="1"/>
  <c r="IX420" i="1"/>
  <c r="JN346" i="1"/>
  <c r="JH346" i="1"/>
  <c r="JC346" i="1"/>
  <c r="IX346" i="1"/>
  <c r="IR346" i="1"/>
  <c r="IM346" i="1"/>
  <c r="IM403" i="1" s="1"/>
  <c r="JH436" i="1"/>
  <c r="JD420" i="1"/>
  <c r="JK346" i="1"/>
  <c r="JD346" i="1"/>
  <c r="IV346" i="1"/>
  <c r="IP346" i="1"/>
  <c r="KX346" i="1"/>
  <c r="KP346" i="1"/>
  <c r="KH346" i="1"/>
  <c r="JZ346" i="1"/>
  <c r="KT346" i="1"/>
  <c r="KK346" i="1"/>
  <c r="JY346" i="1"/>
  <c r="AC404" i="1"/>
  <c r="AC774" i="1" s="1"/>
  <c r="AC777" i="1" s="1"/>
  <c r="AC369" i="1"/>
  <c r="AG404" i="1"/>
  <c r="AG774" i="1" s="1"/>
  <c r="AG777" i="1" s="1"/>
  <c r="AG369" i="1"/>
  <c r="AK404" i="1"/>
  <c r="AK774" i="1" s="1"/>
  <c r="AK777" i="1" s="1"/>
  <c r="AK369" i="1"/>
  <c r="AS404" i="1"/>
  <c r="AS369" i="1"/>
  <c r="BB404" i="1"/>
  <c r="BB885" i="1" s="1"/>
  <c r="BA369" i="1"/>
  <c r="IM413" i="1"/>
  <c r="JH413" i="1"/>
  <c r="LI414" i="1"/>
  <c r="LY414" i="1"/>
  <c r="IR420" i="1"/>
  <c r="LN420" i="1"/>
  <c r="IW429" i="1"/>
  <c r="MH430" i="1"/>
  <c r="IX436" i="1"/>
  <c r="JL431" i="1"/>
  <c r="JA431" i="1"/>
  <c r="IQ431" i="1"/>
  <c r="JG431" i="1"/>
  <c r="IR431" i="1"/>
  <c r="JL415" i="1"/>
  <c r="JD415" i="1"/>
  <c r="IV415" i="1"/>
  <c r="IN415" i="1"/>
  <c r="JH431" i="1"/>
  <c r="IM431" i="1"/>
  <c r="JP415" i="1"/>
  <c r="JG415" i="1"/>
  <c r="IU415" i="1"/>
  <c r="MG432" i="1"/>
  <c r="LV432" i="1"/>
  <c r="LK432" i="1"/>
  <c r="MH416" i="1"/>
  <c r="LX416" i="1"/>
  <c r="LM416" i="1"/>
  <c r="MA432" i="1"/>
  <c r="LM432" i="1"/>
  <c r="LY416" i="1"/>
  <c r="LI416" i="1"/>
  <c r="ML432" i="1"/>
  <c r="LR432" i="1"/>
  <c r="MC416" i="1"/>
  <c r="JH433" i="1"/>
  <c r="IS433" i="1"/>
  <c r="JN417" i="1"/>
  <c r="JC417" i="1"/>
  <c r="IR417" i="1"/>
  <c r="JI433" i="1"/>
  <c r="IN433" i="1"/>
  <c r="JO417" i="1"/>
  <c r="IY417" i="1"/>
  <c r="IM417" i="1"/>
  <c r="JN433" i="1"/>
  <c r="JJ417" i="1"/>
  <c r="IT417" i="1"/>
  <c r="MJ434" i="1"/>
  <c r="LW434" i="1"/>
  <c r="MC418" i="1"/>
  <c r="LR418" i="1"/>
  <c r="MI434" i="1"/>
  <c r="LO434" i="1"/>
  <c r="MD418" i="1"/>
  <c r="LN418" i="1"/>
  <c r="LT434" i="1"/>
  <c r="MJ418" i="1"/>
  <c r="LT418" i="1"/>
  <c r="JM435" i="1"/>
  <c r="IX435" i="1"/>
  <c r="JH419" i="1"/>
  <c r="IX419" i="1"/>
  <c r="IM419" i="1"/>
  <c r="JD435" i="1"/>
  <c r="JD419" i="1"/>
  <c r="IR419" i="1"/>
  <c r="IR435" i="1"/>
  <c r="JC419" i="1"/>
  <c r="IQ415" i="1"/>
  <c r="JC415" i="1"/>
  <c r="LN416" i="1"/>
  <c r="MJ416" i="1"/>
  <c r="JH417" i="1"/>
  <c r="LM418" i="1"/>
  <c r="IN419" i="1"/>
  <c r="JN419" i="1"/>
  <c r="IW431" i="1"/>
  <c r="MH432" i="1"/>
  <c r="JP433" i="1"/>
  <c r="LN434" i="1"/>
  <c r="IW435" i="1"/>
  <c r="P888" i="1"/>
  <c r="EF922" i="1"/>
  <c r="IM922" i="1"/>
  <c r="CT777" i="1"/>
  <c r="CT886" i="1" s="1"/>
  <c r="KD816" i="1"/>
  <c r="KL816" i="1"/>
  <c r="KT816" i="1"/>
  <c r="CU922" i="1"/>
  <c r="IV646" i="1"/>
  <c r="EE777" i="1"/>
  <c r="I786" i="1" s="1"/>
  <c r="KA816" i="1"/>
  <c r="KE816" i="1"/>
  <c r="KI816" i="1"/>
  <c r="KM816" i="1"/>
  <c r="KQ816" i="1"/>
  <c r="KU816" i="1"/>
  <c r="KY816" i="1"/>
  <c r="IL888" i="1"/>
  <c r="LH888" i="1"/>
  <c r="M888" i="1"/>
  <c r="M932" i="1" s="1"/>
  <c r="M933" i="1" s="1"/>
  <c r="GR429" i="1"/>
  <c r="GN429" i="1"/>
  <c r="GJ429" i="1"/>
  <c r="GF429" i="1"/>
  <c r="GB429" i="1"/>
  <c r="FX429" i="1"/>
  <c r="FT429" i="1"/>
  <c r="GP429" i="1"/>
  <c r="GK429" i="1"/>
  <c r="GE429" i="1"/>
  <c r="FZ429" i="1"/>
  <c r="FU429" i="1"/>
  <c r="GR413" i="1"/>
  <c r="GN413" i="1"/>
  <c r="GJ413" i="1"/>
  <c r="GF413" i="1"/>
  <c r="GB413" i="1"/>
  <c r="FX413" i="1"/>
  <c r="FT413" i="1"/>
  <c r="GT429" i="1"/>
  <c r="GO429" i="1"/>
  <c r="GI429" i="1"/>
  <c r="GD429" i="1"/>
  <c r="FY429" i="1"/>
  <c r="FS429" i="1"/>
  <c r="GQ413" i="1"/>
  <c r="GM413" i="1"/>
  <c r="GI413" i="1"/>
  <c r="GE413" i="1"/>
  <c r="GA413" i="1"/>
  <c r="FW413" i="1"/>
  <c r="FS413" i="1"/>
  <c r="GL429" i="1"/>
  <c r="GA429" i="1"/>
  <c r="FQ429" i="1"/>
  <c r="GS429" i="1"/>
  <c r="GH429" i="1"/>
  <c r="FW429" i="1"/>
  <c r="GQ429" i="1"/>
  <c r="GG429" i="1"/>
  <c r="FV429" i="1"/>
  <c r="GC429" i="1"/>
  <c r="GS413" i="1"/>
  <c r="GK413" i="1"/>
  <c r="GC413" i="1"/>
  <c r="FU413" i="1"/>
  <c r="FR429" i="1"/>
  <c r="GP413" i="1"/>
  <c r="GH413" i="1"/>
  <c r="FZ413" i="1"/>
  <c r="FR413" i="1"/>
  <c r="GO413" i="1"/>
  <c r="GG413" i="1"/>
  <c r="FY413" i="1"/>
  <c r="FQ413" i="1"/>
  <c r="GM429" i="1"/>
  <c r="GT413" i="1"/>
  <c r="GL413" i="1"/>
  <c r="GD413" i="1"/>
  <c r="FV413" i="1"/>
  <c r="DV190" i="1"/>
  <c r="DR190" i="1"/>
  <c r="DW190" i="1"/>
  <c r="DU190" i="1"/>
  <c r="DQ190" i="1"/>
  <c r="DO190" i="1"/>
  <c r="DT190" i="1"/>
  <c r="DP190" i="1"/>
  <c r="DS190" i="1"/>
  <c r="FW192" i="1"/>
  <c r="FS192" i="1"/>
  <c r="FU192" i="1"/>
  <c r="FY192" i="1"/>
  <c r="FT192" i="1"/>
  <c r="FV192" i="1"/>
  <c r="FX192" i="1"/>
  <c r="FR192" i="1"/>
  <c r="FQ192" i="1"/>
  <c r="GL193" i="1"/>
  <c r="HQ193" i="1"/>
  <c r="HM193" i="1"/>
  <c r="HP193" i="1"/>
  <c r="HL193" i="1"/>
  <c r="HT193" i="1"/>
  <c r="HO193" i="1"/>
  <c r="HR193" i="1"/>
  <c r="HB193" i="1"/>
  <c r="HS193" i="1"/>
  <c r="HN193" i="1"/>
  <c r="HG193" i="1"/>
  <c r="BY194" i="1"/>
  <c r="CB194" i="1"/>
  <c r="DW435" i="1"/>
  <c r="DS435" i="1"/>
  <c r="DO435" i="1"/>
  <c r="DK435" i="1"/>
  <c r="DG435" i="1"/>
  <c r="DC435" i="1"/>
  <c r="CY435" i="1"/>
  <c r="CU435" i="1"/>
  <c r="DV435" i="1"/>
  <c r="DQ435" i="1"/>
  <c r="DL435" i="1"/>
  <c r="DF435" i="1"/>
  <c r="DA435" i="1"/>
  <c r="CV435" i="1"/>
  <c r="DU419" i="1"/>
  <c r="DQ419" i="1"/>
  <c r="DM419" i="1"/>
  <c r="DI419" i="1"/>
  <c r="DE419" i="1"/>
  <c r="DA419" i="1"/>
  <c r="CW419" i="1"/>
  <c r="DX435" i="1"/>
  <c r="DP435" i="1"/>
  <c r="DI435" i="1"/>
  <c r="DB435" i="1"/>
  <c r="DW419" i="1"/>
  <c r="DR419" i="1"/>
  <c r="DL419" i="1"/>
  <c r="DG419" i="1"/>
  <c r="DB419" i="1"/>
  <c r="CV419" i="1"/>
  <c r="DU435" i="1"/>
  <c r="DN435" i="1"/>
  <c r="DH435" i="1"/>
  <c r="CZ435" i="1"/>
  <c r="DV419" i="1"/>
  <c r="DP419" i="1"/>
  <c r="DK419" i="1"/>
  <c r="DF419" i="1"/>
  <c r="CZ419" i="1"/>
  <c r="CU419" i="1"/>
  <c r="DR435" i="1"/>
  <c r="DD435" i="1"/>
  <c r="DM435" i="1"/>
  <c r="CX435" i="1"/>
  <c r="DJ435" i="1"/>
  <c r="CW435" i="1"/>
  <c r="DT435" i="1"/>
  <c r="DE435" i="1"/>
  <c r="DX419" i="1"/>
  <c r="DN419" i="1"/>
  <c r="DC419" i="1"/>
  <c r="DT419" i="1"/>
  <c r="DJ419" i="1"/>
  <c r="CY419" i="1"/>
  <c r="DS419" i="1"/>
  <c r="DH419" i="1"/>
  <c r="CX419" i="1"/>
  <c r="DO419" i="1"/>
  <c r="DD419" i="1"/>
  <c r="F182" i="1"/>
  <c r="CJ435" i="1"/>
  <c r="CF435" i="1"/>
  <c r="CB435" i="1"/>
  <c r="BX435" i="1"/>
  <c r="BT435" i="1"/>
  <c r="BP435" i="1"/>
  <c r="BL435" i="1"/>
  <c r="CI435" i="1"/>
  <c r="CD435" i="1"/>
  <c r="BY435" i="1"/>
  <c r="BS435" i="1"/>
  <c r="BN435" i="1"/>
  <c r="CL419" i="1"/>
  <c r="CH419" i="1"/>
  <c r="CD419" i="1"/>
  <c r="BZ419" i="1"/>
  <c r="BV419" i="1"/>
  <c r="BR419" i="1"/>
  <c r="BN419" i="1"/>
  <c r="BJ419" i="1"/>
  <c r="CM435" i="1"/>
  <c r="CG435" i="1"/>
  <c r="BZ435" i="1"/>
  <c r="BR435" i="1"/>
  <c r="BK435" i="1"/>
  <c r="CJ419" i="1"/>
  <c r="CE419" i="1"/>
  <c r="BY419" i="1"/>
  <c r="BT419" i="1"/>
  <c r="BO419" i="1"/>
  <c r="CL435" i="1"/>
  <c r="CE435" i="1"/>
  <c r="BW435" i="1"/>
  <c r="BQ435" i="1"/>
  <c r="BJ435" i="1"/>
  <c r="CI419" i="1"/>
  <c r="CC419" i="1"/>
  <c r="BX419" i="1"/>
  <c r="BS419" i="1"/>
  <c r="BM419" i="1"/>
  <c r="CH435" i="1"/>
  <c r="BU435" i="1"/>
  <c r="CC435" i="1"/>
  <c r="BO435" i="1"/>
  <c r="CA435" i="1"/>
  <c r="BM435" i="1"/>
  <c r="CK435" i="1"/>
  <c r="BV435" i="1"/>
  <c r="CK419" i="1"/>
  <c r="CA419" i="1"/>
  <c r="BP419" i="1"/>
  <c r="CG419" i="1"/>
  <c r="BW419" i="1"/>
  <c r="BL419" i="1"/>
  <c r="CF419" i="1"/>
  <c r="BU419" i="1"/>
  <c r="BK419" i="1"/>
  <c r="CM419" i="1"/>
  <c r="CB419" i="1"/>
  <c r="BQ419" i="1"/>
  <c r="DW436" i="1"/>
  <c r="DS436" i="1"/>
  <c r="DO436" i="1"/>
  <c r="DK436" i="1"/>
  <c r="DG436" i="1"/>
  <c r="DC436" i="1"/>
  <c r="CY436" i="1"/>
  <c r="CU436" i="1"/>
  <c r="DV436" i="1"/>
  <c r="DQ436" i="1"/>
  <c r="DL436" i="1"/>
  <c r="DF436" i="1"/>
  <c r="DA436" i="1"/>
  <c r="CV436" i="1"/>
  <c r="DU420" i="1"/>
  <c r="DQ420" i="1"/>
  <c r="DM420" i="1"/>
  <c r="DI420" i="1"/>
  <c r="DE420" i="1"/>
  <c r="DA420" i="1"/>
  <c r="CW420" i="1"/>
  <c r="DR436" i="1"/>
  <c r="DJ436" i="1"/>
  <c r="DD436" i="1"/>
  <c r="CW436" i="1"/>
  <c r="DW420" i="1"/>
  <c r="DR420" i="1"/>
  <c r="DL420" i="1"/>
  <c r="DG420" i="1"/>
  <c r="DB420" i="1"/>
  <c r="CV420" i="1"/>
  <c r="DX436" i="1"/>
  <c r="DP436" i="1"/>
  <c r="DI436" i="1"/>
  <c r="DB436" i="1"/>
  <c r="DV420" i="1"/>
  <c r="DP420" i="1"/>
  <c r="DK420" i="1"/>
  <c r="DF420" i="1"/>
  <c r="CZ420" i="1"/>
  <c r="CU420" i="1"/>
  <c r="DT436" i="1"/>
  <c r="DE436" i="1"/>
  <c r="DN436" i="1"/>
  <c r="CZ436" i="1"/>
  <c r="DM436" i="1"/>
  <c r="CX436" i="1"/>
  <c r="DU436" i="1"/>
  <c r="DH436" i="1"/>
  <c r="DS420" i="1"/>
  <c r="DH420" i="1"/>
  <c r="CX420" i="1"/>
  <c r="DO420" i="1"/>
  <c r="DD420" i="1"/>
  <c r="DX420" i="1"/>
  <c r="DN420" i="1"/>
  <c r="DC420" i="1"/>
  <c r="DT420" i="1"/>
  <c r="DJ420" i="1"/>
  <c r="CY420" i="1"/>
  <c r="DV431" i="1"/>
  <c r="DR431" i="1"/>
  <c r="DN431" i="1"/>
  <c r="DJ431" i="1"/>
  <c r="DF431" i="1"/>
  <c r="DB431" i="1"/>
  <c r="CX431" i="1"/>
  <c r="DU431" i="1"/>
  <c r="DP431" i="1"/>
  <c r="DK431" i="1"/>
  <c r="DE431" i="1"/>
  <c r="CZ431" i="1"/>
  <c r="CU431" i="1"/>
  <c r="DV415" i="1"/>
  <c r="DR415" i="1"/>
  <c r="DN415" i="1"/>
  <c r="DJ415" i="1"/>
  <c r="DF415" i="1"/>
  <c r="DB415" i="1"/>
  <c r="CX415" i="1"/>
  <c r="DT431" i="1"/>
  <c r="DO431" i="1"/>
  <c r="DI431" i="1"/>
  <c r="DD431" i="1"/>
  <c r="CY431" i="1"/>
  <c r="DU415" i="1"/>
  <c r="DQ415" i="1"/>
  <c r="DM415" i="1"/>
  <c r="DI415" i="1"/>
  <c r="DE415" i="1"/>
  <c r="DA415" i="1"/>
  <c r="CW415" i="1"/>
  <c r="DW431" i="1"/>
  <c r="DL431" i="1"/>
  <c r="DA431" i="1"/>
  <c r="DS431" i="1"/>
  <c r="DH431" i="1"/>
  <c r="CW431" i="1"/>
  <c r="DQ431" i="1"/>
  <c r="DG431" i="1"/>
  <c r="CV431" i="1"/>
  <c r="DX431" i="1"/>
  <c r="DM431" i="1"/>
  <c r="DC431" i="1"/>
  <c r="DS415" i="1"/>
  <c r="DK415" i="1"/>
  <c r="DC415" i="1"/>
  <c r="CU415" i="1"/>
  <c r="DX415" i="1"/>
  <c r="DP415" i="1"/>
  <c r="DH415" i="1"/>
  <c r="CZ415" i="1"/>
  <c r="DW415" i="1"/>
  <c r="DO415" i="1"/>
  <c r="DG415" i="1"/>
  <c r="CY415" i="1"/>
  <c r="DT415" i="1"/>
  <c r="DL415" i="1"/>
  <c r="DD415" i="1"/>
  <c r="CV415" i="1"/>
  <c r="IE431" i="1"/>
  <c r="IA431" i="1"/>
  <c r="HW431" i="1"/>
  <c r="HS431" i="1"/>
  <c r="HO431" i="1"/>
  <c r="HK431" i="1"/>
  <c r="HG431" i="1"/>
  <c r="HC431" i="1"/>
  <c r="IC431" i="1"/>
  <c r="HX431" i="1"/>
  <c r="HR431" i="1"/>
  <c r="HM431" i="1"/>
  <c r="HH431" i="1"/>
  <c r="HB431" i="1"/>
  <c r="IE415" i="1"/>
  <c r="IA415" i="1"/>
  <c r="HW415" i="1"/>
  <c r="HS415" i="1"/>
  <c r="HO415" i="1"/>
  <c r="HK415" i="1"/>
  <c r="HG415" i="1"/>
  <c r="HC415" i="1"/>
  <c r="IB431" i="1"/>
  <c r="HV431" i="1"/>
  <c r="HQ431" i="1"/>
  <c r="HL431" i="1"/>
  <c r="HF431" i="1"/>
  <c r="ID415" i="1"/>
  <c r="HZ415" i="1"/>
  <c r="HV415" i="1"/>
  <c r="HR415" i="1"/>
  <c r="HN415" i="1"/>
  <c r="HJ415" i="1"/>
  <c r="HF415" i="1"/>
  <c r="HB415" i="1"/>
  <c r="HY431" i="1"/>
  <c r="HN431" i="1"/>
  <c r="HD431" i="1"/>
  <c r="HU431" i="1"/>
  <c r="HJ431" i="1"/>
  <c r="ID431" i="1"/>
  <c r="HT431" i="1"/>
  <c r="HI431" i="1"/>
  <c r="HZ431" i="1"/>
  <c r="HP431" i="1"/>
  <c r="HE431" i="1"/>
  <c r="HX415" i="1"/>
  <c r="HP415" i="1"/>
  <c r="HH415" i="1"/>
  <c r="IC415" i="1"/>
  <c r="HU415" i="1"/>
  <c r="HM415" i="1"/>
  <c r="HE415" i="1"/>
  <c r="IB415" i="1"/>
  <c r="HT415" i="1"/>
  <c r="HL415" i="1"/>
  <c r="HD415" i="1"/>
  <c r="HY415" i="1"/>
  <c r="HQ415" i="1"/>
  <c r="HI415" i="1"/>
  <c r="CL191" i="1"/>
  <c r="DV432" i="1"/>
  <c r="DR432" i="1"/>
  <c r="DN432" i="1"/>
  <c r="DJ432" i="1"/>
  <c r="DF432" i="1"/>
  <c r="DB432" i="1"/>
  <c r="CX432" i="1"/>
  <c r="DU416" i="1"/>
  <c r="DQ416" i="1"/>
  <c r="DM416" i="1"/>
  <c r="DI416" i="1"/>
  <c r="DE416" i="1"/>
  <c r="DA416" i="1"/>
  <c r="CW416" i="1"/>
  <c r="DU432" i="1"/>
  <c r="DP432" i="1"/>
  <c r="DK432" i="1"/>
  <c r="DE432" i="1"/>
  <c r="CZ432" i="1"/>
  <c r="CU432" i="1"/>
  <c r="DW416" i="1"/>
  <c r="DR416" i="1"/>
  <c r="DL416" i="1"/>
  <c r="DG416" i="1"/>
  <c r="DB416" i="1"/>
  <c r="CV416" i="1"/>
  <c r="DK399" i="1"/>
  <c r="DT432" i="1"/>
  <c r="DO432" i="1"/>
  <c r="DI432" i="1"/>
  <c r="DD432" i="1"/>
  <c r="CY432" i="1"/>
  <c r="DV416" i="1"/>
  <c r="DP416" i="1"/>
  <c r="DK416" i="1"/>
  <c r="DF416" i="1"/>
  <c r="CZ416" i="1"/>
  <c r="CU416" i="1"/>
  <c r="DQ432" i="1"/>
  <c r="DG432" i="1"/>
  <c r="CV432" i="1"/>
  <c r="DX432" i="1"/>
  <c r="DM432" i="1"/>
  <c r="DC432" i="1"/>
  <c r="DW432" i="1"/>
  <c r="DL432" i="1"/>
  <c r="DA432" i="1"/>
  <c r="DS432" i="1"/>
  <c r="DH432" i="1"/>
  <c r="CW432" i="1"/>
  <c r="DS416" i="1"/>
  <c r="DH416" i="1"/>
  <c r="CX416" i="1"/>
  <c r="DO416" i="1"/>
  <c r="DD416" i="1"/>
  <c r="DX416" i="1"/>
  <c r="DN416" i="1"/>
  <c r="DC416" i="1"/>
  <c r="DT416" i="1"/>
  <c r="DJ416" i="1"/>
  <c r="CY416" i="1"/>
  <c r="CM433" i="1"/>
  <c r="CI433" i="1"/>
  <c r="CE433" i="1"/>
  <c r="CA433" i="1"/>
  <c r="BW433" i="1"/>
  <c r="BS433" i="1"/>
  <c r="BO433" i="1"/>
  <c r="BK433" i="1"/>
  <c r="CL417" i="1"/>
  <c r="CH417" i="1"/>
  <c r="CD417" i="1"/>
  <c r="BZ417" i="1"/>
  <c r="BV417" i="1"/>
  <c r="BR417" i="1"/>
  <c r="BN417" i="1"/>
  <c r="BJ417" i="1"/>
  <c r="CH433" i="1"/>
  <c r="CC433" i="1"/>
  <c r="BX433" i="1"/>
  <c r="BR433" i="1"/>
  <c r="BM433" i="1"/>
  <c r="CJ417" i="1"/>
  <c r="CE417" i="1"/>
  <c r="BY417" i="1"/>
  <c r="BT417" i="1"/>
  <c r="BO417" i="1"/>
  <c r="CL433" i="1"/>
  <c r="CG433" i="1"/>
  <c r="CB433" i="1"/>
  <c r="BV433" i="1"/>
  <c r="BQ433" i="1"/>
  <c r="BL433" i="1"/>
  <c r="CI417" i="1"/>
  <c r="CC417" i="1"/>
  <c r="BX417" i="1"/>
  <c r="BS417" i="1"/>
  <c r="BM417" i="1"/>
  <c r="CJ433" i="1"/>
  <c r="BY433" i="1"/>
  <c r="BN433" i="1"/>
  <c r="CF433" i="1"/>
  <c r="BU433" i="1"/>
  <c r="BJ433" i="1"/>
  <c r="CD433" i="1"/>
  <c r="BT433" i="1"/>
  <c r="CK433" i="1"/>
  <c r="BZ433" i="1"/>
  <c r="BP433" i="1"/>
  <c r="CK417" i="1"/>
  <c r="CA417" i="1"/>
  <c r="BP417" i="1"/>
  <c r="CG417" i="1"/>
  <c r="BW417" i="1"/>
  <c r="BL417" i="1"/>
  <c r="CF417" i="1"/>
  <c r="BU417" i="1"/>
  <c r="BK417" i="1"/>
  <c r="CM417" i="1"/>
  <c r="CB417" i="1"/>
  <c r="BQ417" i="1"/>
  <c r="CH192" i="1"/>
  <c r="CJ434" i="1"/>
  <c r="CF434" i="1"/>
  <c r="CB434" i="1"/>
  <c r="BX434" i="1"/>
  <c r="BT434" i="1"/>
  <c r="BP434" i="1"/>
  <c r="BL434" i="1"/>
  <c r="CI434" i="1"/>
  <c r="CD434" i="1"/>
  <c r="BY434" i="1"/>
  <c r="BS434" i="1"/>
  <c r="BN434" i="1"/>
  <c r="CL418" i="1"/>
  <c r="CH418" i="1"/>
  <c r="CD418" i="1"/>
  <c r="BZ418" i="1"/>
  <c r="BV418" i="1"/>
  <c r="BR418" i="1"/>
  <c r="BN418" i="1"/>
  <c r="BJ418" i="1"/>
  <c r="CL434" i="1"/>
  <c r="CE434" i="1"/>
  <c r="BW434" i="1"/>
  <c r="BQ434" i="1"/>
  <c r="BJ434" i="1"/>
  <c r="CJ418" i="1"/>
  <c r="CE418" i="1"/>
  <c r="BY418" i="1"/>
  <c r="BT418" i="1"/>
  <c r="BO418" i="1"/>
  <c r="CK434" i="1"/>
  <c r="CC434" i="1"/>
  <c r="BV434" i="1"/>
  <c r="BO434" i="1"/>
  <c r="CI418" i="1"/>
  <c r="CC418" i="1"/>
  <c r="BX418" i="1"/>
  <c r="BS418" i="1"/>
  <c r="BM418" i="1"/>
  <c r="CG434" i="1"/>
  <c r="BR434" i="1"/>
  <c r="CA434" i="1"/>
  <c r="BM434" i="1"/>
  <c r="CM434" i="1"/>
  <c r="BZ434" i="1"/>
  <c r="BK434" i="1"/>
  <c r="CH434" i="1"/>
  <c r="BU434" i="1"/>
  <c r="CF418" i="1"/>
  <c r="BU418" i="1"/>
  <c r="BK418" i="1"/>
  <c r="CM418" i="1"/>
  <c r="CB418" i="1"/>
  <c r="BQ418" i="1"/>
  <c r="CK418" i="1"/>
  <c r="CA418" i="1"/>
  <c r="BP418" i="1"/>
  <c r="CG418" i="1"/>
  <c r="BW418" i="1"/>
  <c r="BL418" i="1"/>
  <c r="CL193" i="1"/>
  <c r="CF193" i="1"/>
  <c r="IB434" i="1"/>
  <c r="HX434" i="1"/>
  <c r="HT434" i="1"/>
  <c r="HP434" i="1"/>
  <c r="HL434" i="1"/>
  <c r="HH434" i="1"/>
  <c r="HD434" i="1"/>
  <c r="ID434" i="1"/>
  <c r="HY434" i="1"/>
  <c r="HS434" i="1"/>
  <c r="HN434" i="1"/>
  <c r="HI434" i="1"/>
  <c r="HC434" i="1"/>
  <c r="ID418" i="1"/>
  <c r="HZ418" i="1"/>
  <c r="HV418" i="1"/>
  <c r="HR418" i="1"/>
  <c r="HN418" i="1"/>
  <c r="HJ418" i="1"/>
  <c r="HF418" i="1"/>
  <c r="HB418" i="1"/>
  <c r="IE434" i="1"/>
  <c r="HW434" i="1"/>
  <c r="HQ434" i="1"/>
  <c r="HJ434" i="1"/>
  <c r="HB434" i="1"/>
  <c r="IE418" i="1"/>
  <c r="HY418" i="1"/>
  <c r="HT418" i="1"/>
  <c r="HO418" i="1"/>
  <c r="HI418" i="1"/>
  <c r="HD418" i="1"/>
  <c r="IC434" i="1"/>
  <c r="HV434" i="1"/>
  <c r="HO434" i="1"/>
  <c r="HG434" i="1"/>
  <c r="IC418" i="1"/>
  <c r="HX418" i="1"/>
  <c r="HS418" i="1"/>
  <c r="HM418" i="1"/>
  <c r="HH418" i="1"/>
  <c r="HC418" i="1"/>
  <c r="HR434" i="1"/>
  <c r="HE434" i="1"/>
  <c r="IA434" i="1"/>
  <c r="HM434" i="1"/>
  <c r="HZ434" i="1"/>
  <c r="HK434" i="1"/>
  <c r="HU434" i="1"/>
  <c r="HF434" i="1"/>
  <c r="HU418" i="1"/>
  <c r="HK418" i="1"/>
  <c r="IB418" i="1"/>
  <c r="HQ418" i="1"/>
  <c r="HG418" i="1"/>
  <c r="IA418" i="1"/>
  <c r="HP418" i="1"/>
  <c r="HE418" i="1"/>
  <c r="HW418" i="1"/>
  <c r="HL418" i="1"/>
  <c r="IB193" i="1"/>
  <c r="HW193" i="1"/>
  <c r="CJ436" i="1"/>
  <c r="CF436" i="1"/>
  <c r="CB436" i="1"/>
  <c r="BX436" i="1"/>
  <c r="BT436" i="1"/>
  <c r="BP436" i="1"/>
  <c r="BL436" i="1"/>
  <c r="CI436" i="1"/>
  <c r="CD436" i="1"/>
  <c r="BY436" i="1"/>
  <c r="BS436" i="1"/>
  <c r="BN436" i="1"/>
  <c r="CL420" i="1"/>
  <c r="CH420" i="1"/>
  <c r="CD420" i="1"/>
  <c r="BZ420" i="1"/>
  <c r="BV420" i="1"/>
  <c r="BR420" i="1"/>
  <c r="BN420" i="1"/>
  <c r="BJ420" i="1"/>
  <c r="CH436" i="1"/>
  <c r="CA436" i="1"/>
  <c r="BU436" i="1"/>
  <c r="BM436" i="1"/>
  <c r="CJ420" i="1"/>
  <c r="CE420" i="1"/>
  <c r="BY420" i="1"/>
  <c r="BT420" i="1"/>
  <c r="BO420" i="1"/>
  <c r="CM436" i="1"/>
  <c r="CG436" i="1"/>
  <c r="BZ436" i="1"/>
  <c r="BR436" i="1"/>
  <c r="BK436" i="1"/>
  <c r="CI420" i="1"/>
  <c r="CC420" i="1"/>
  <c r="BX420" i="1"/>
  <c r="BS420" i="1"/>
  <c r="BM420" i="1"/>
  <c r="CK436" i="1"/>
  <c r="BV436" i="1"/>
  <c r="CE436" i="1"/>
  <c r="BQ436" i="1"/>
  <c r="CC436" i="1"/>
  <c r="BO436" i="1"/>
  <c r="CL436" i="1"/>
  <c r="BW436" i="1"/>
  <c r="BJ436" i="1"/>
  <c r="CF420" i="1"/>
  <c r="BU420" i="1"/>
  <c r="BK420" i="1"/>
  <c r="CM420" i="1"/>
  <c r="CB420" i="1"/>
  <c r="BQ420" i="1"/>
  <c r="CK420" i="1"/>
  <c r="CA420" i="1"/>
  <c r="BP420" i="1"/>
  <c r="CG420" i="1"/>
  <c r="BW420" i="1"/>
  <c r="BL420" i="1"/>
  <c r="DV430" i="1"/>
  <c r="DR430" i="1"/>
  <c r="DN430" i="1"/>
  <c r="DJ430" i="1"/>
  <c r="DF430" i="1"/>
  <c r="DB430" i="1"/>
  <c r="CX430" i="1"/>
  <c r="DU430" i="1"/>
  <c r="DP430" i="1"/>
  <c r="DK430" i="1"/>
  <c r="DE430" i="1"/>
  <c r="CZ430" i="1"/>
  <c r="CU430" i="1"/>
  <c r="DV414" i="1"/>
  <c r="DR414" i="1"/>
  <c r="DN414" i="1"/>
  <c r="DJ414" i="1"/>
  <c r="DF414" i="1"/>
  <c r="DB414" i="1"/>
  <c r="CX414" i="1"/>
  <c r="DO397" i="1"/>
  <c r="DT430" i="1"/>
  <c r="DO430" i="1"/>
  <c r="DI430" i="1"/>
  <c r="DD430" i="1"/>
  <c r="CY430" i="1"/>
  <c r="DU414" i="1"/>
  <c r="DQ414" i="1"/>
  <c r="DM414" i="1"/>
  <c r="DI414" i="1"/>
  <c r="DE414" i="1"/>
  <c r="DA414" i="1"/>
  <c r="CW414" i="1"/>
  <c r="DQ430" i="1"/>
  <c r="DG430" i="1"/>
  <c r="CV430" i="1"/>
  <c r="DX430" i="1"/>
  <c r="DM430" i="1"/>
  <c r="DC430" i="1"/>
  <c r="DW430" i="1"/>
  <c r="DL430" i="1"/>
  <c r="DA430" i="1"/>
  <c r="DS414" i="1"/>
  <c r="DK414" i="1"/>
  <c r="DC414" i="1"/>
  <c r="CU414" i="1"/>
  <c r="DS430" i="1"/>
  <c r="DX414" i="1"/>
  <c r="DP414" i="1"/>
  <c r="DH414" i="1"/>
  <c r="CZ414" i="1"/>
  <c r="DH430" i="1"/>
  <c r="DW414" i="1"/>
  <c r="DO414" i="1"/>
  <c r="DG414" i="1"/>
  <c r="CY414" i="1"/>
  <c r="CW430" i="1"/>
  <c r="DT414" i="1"/>
  <c r="DL414" i="1"/>
  <c r="DD414" i="1"/>
  <c r="CV414" i="1"/>
  <c r="CM432" i="1"/>
  <c r="CI432" i="1"/>
  <c r="CE432" i="1"/>
  <c r="CA432" i="1"/>
  <c r="BW432" i="1"/>
  <c r="BS432" i="1"/>
  <c r="BO432" i="1"/>
  <c r="BK432" i="1"/>
  <c r="CL416" i="1"/>
  <c r="CH416" i="1"/>
  <c r="CD416" i="1"/>
  <c r="BZ416" i="1"/>
  <c r="BV416" i="1"/>
  <c r="BR416" i="1"/>
  <c r="BN416" i="1"/>
  <c r="BJ416" i="1"/>
  <c r="CH432" i="1"/>
  <c r="CC432" i="1"/>
  <c r="BX432" i="1"/>
  <c r="BR432" i="1"/>
  <c r="BM432" i="1"/>
  <c r="CJ416" i="1"/>
  <c r="CE416" i="1"/>
  <c r="BY416" i="1"/>
  <c r="BT416" i="1"/>
  <c r="BO416" i="1"/>
  <c r="CL432" i="1"/>
  <c r="CG432" i="1"/>
  <c r="CB432" i="1"/>
  <c r="BV432" i="1"/>
  <c r="BQ432" i="1"/>
  <c r="BL432" i="1"/>
  <c r="CI416" i="1"/>
  <c r="CC416" i="1"/>
  <c r="BX416" i="1"/>
  <c r="BS416" i="1"/>
  <c r="BM416" i="1"/>
  <c r="CD432" i="1"/>
  <c r="BT432" i="1"/>
  <c r="CK432" i="1"/>
  <c r="BZ432" i="1"/>
  <c r="BP432" i="1"/>
  <c r="CJ432" i="1"/>
  <c r="BY432" i="1"/>
  <c r="BN432" i="1"/>
  <c r="CF432" i="1"/>
  <c r="BU432" i="1"/>
  <c r="BJ432" i="1"/>
  <c r="CF416" i="1"/>
  <c r="BU416" i="1"/>
  <c r="BK416" i="1"/>
  <c r="CM416" i="1"/>
  <c r="CB416" i="1"/>
  <c r="BQ416" i="1"/>
  <c r="CK416" i="1"/>
  <c r="CA416" i="1"/>
  <c r="BP416" i="1"/>
  <c r="CG416" i="1"/>
  <c r="BW416" i="1"/>
  <c r="BL416" i="1"/>
  <c r="CI191" i="1"/>
  <c r="CD191" i="1"/>
  <c r="DW191" i="1"/>
  <c r="DS191" i="1"/>
  <c r="DO191" i="1"/>
  <c r="DT191" i="1"/>
  <c r="DU191" i="1"/>
  <c r="DR191" i="1"/>
  <c r="DP191" i="1"/>
  <c r="DV191" i="1"/>
  <c r="DQ191" i="1"/>
  <c r="DW433" i="1"/>
  <c r="DS433" i="1"/>
  <c r="DO433" i="1"/>
  <c r="DK433" i="1"/>
  <c r="DG433" i="1"/>
  <c r="DV433" i="1"/>
  <c r="DQ433" i="1"/>
  <c r="DL433" i="1"/>
  <c r="DF433" i="1"/>
  <c r="DB433" i="1"/>
  <c r="CX433" i="1"/>
  <c r="DU417" i="1"/>
  <c r="DQ417" i="1"/>
  <c r="DM417" i="1"/>
  <c r="DI417" i="1"/>
  <c r="DE417" i="1"/>
  <c r="DA417" i="1"/>
  <c r="CW417" i="1"/>
  <c r="DT433" i="1"/>
  <c r="DM433" i="1"/>
  <c r="DE433" i="1"/>
  <c r="CZ433" i="1"/>
  <c r="CU433" i="1"/>
  <c r="DW417" i="1"/>
  <c r="DR417" i="1"/>
  <c r="DL417" i="1"/>
  <c r="DG417" i="1"/>
  <c r="DB417" i="1"/>
  <c r="CV417" i="1"/>
  <c r="DR433" i="1"/>
  <c r="DJ433" i="1"/>
  <c r="DD433" i="1"/>
  <c r="CY433" i="1"/>
  <c r="DV417" i="1"/>
  <c r="DP417" i="1"/>
  <c r="DK417" i="1"/>
  <c r="DF417" i="1"/>
  <c r="CZ417" i="1"/>
  <c r="CU417" i="1"/>
  <c r="DN433" i="1"/>
  <c r="DA433" i="1"/>
  <c r="DX433" i="1"/>
  <c r="DI433" i="1"/>
  <c r="CW433" i="1"/>
  <c r="DU433" i="1"/>
  <c r="DH433" i="1"/>
  <c r="CV433" i="1"/>
  <c r="DP433" i="1"/>
  <c r="DC433" i="1"/>
  <c r="DX417" i="1"/>
  <c r="DN417" i="1"/>
  <c r="DC417" i="1"/>
  <c r="DT417" i="1"/>
  <c r="DJ417" i="1"/>
  <c r="CY417" i="1"/>
  <c r="DS417" i="1"/>
  <c r="DH417" i="1"/>
  <c r="CX417" i="1"/>
  <c r="DO417" i="1"/>
  <c r="DD417" i="1"/>
  <c r="GS434" i="1"/>
  <c r="GO434" i="1"/>
  <c r="GK434" i="1"/>
  <c r="GG434" i="1"/>
  <c r="GC434" i="1"/>
  <c r="FY434" i="1"/>
  <c r="FU434" i="1"/>
  <c r="FQ434" i="1"/>
  <c r="GQ434" i="1"/>
  <c r="GL434" i="1"/>
  <c r="GF434" i="1"/>
  <c r="GA434" i="1"/>
  <c r="FV434" i="1"/>
  <c r="GQ418" i="1"/>
  <c r="GM418" i="1"/>
  <c r="GI418" i="1"/>
  <c r="GE418" i="1"/>
  <c r="GA418" i="1"/>
  <c r="FW418" i="1"/>
  <c r="FS418" i="1"/>
  <c r="GN434" i="1"/>
  <c r="GH434" i="1"/>
  <c r="FZ434" i="1"/>
  <c r="FS434" i="1"/>
  <c r="GR418" i="1"/>
  <c r="GL418" i="1"/>
  <c r="GG418" i="1"/>
  <c r="GB418" i="1"/>
  <c r="FV418" i="1"/>
  <c r="FQ418" i="1"/>
  <c r="GT434" i="1"/>
  <c r="GM434" i="1"/>
  <c r="GE434" i="1"/>
  <c r="FX434" i="1"/>
  <c r="FR434" i="1"/>
  <c r="GP418" i="1"/>
  <c r="GK418" i="1"/>
  <c r="GF418" i="1"/>
  <c r="FZ418" i="1"/>
  <c r="FU418" i="1"/>
  <c r="GI434" i="1"/>
  <c r="FT434" i="1"/>
  <c r="GR434" i="1"/>
  <c r="GD434" i="1"/>
  <c r="GP434" i="1"/>
  <c r="GB434" i="1"/>
  <c r="GJ434" i="1"/>
  <c r="FW434" i="1"/>
  <c r="GS418" i="1"/>
  <c r="GH418" i="1"/>
  <c r="FX418" i="1"/>
  <c r="GO418" i="1"/>
  <c r="GD418" i="1"/>
  <c r="FT418" i="1"/>
  <c r="GN418" i="1"/>
  <c r="GC418" i="1"/>
  <c r="FR418" i="1"/>
  <c r="GT418" i="1"/>
  <c r="GJ418" i="1"/>
  <c r="FY418" i="1"/>
  <c r="IB435" i="1"/>
  <c r="HX435" i="1"/>
  <c r="HT435" i="1"/>
  <c r="HP435" i="1"/>
  <c r="HL435" i="1"/>
  <c r="HH435" i="1"/>
  <c r="HD435" i="1"/>
  <c r="ID435" i="1"/>
  <c r="HY435" i="1"/>
  <c r="HS435" i="1"/>
  <c r="HN435" i="1"/>
  <c r="HI435" i="1"/>
  <c r="HC435" i="1"/>
  <c r="ID419" i="1"/>
  <c r="HZ419" i="1"/>
  <c r="HV419" i="1"/>
  <c r="HR419" i="1"/>
  <c r="HN419" i="1"/>
  <c r="HJ419" i="1"/>
  <c r="HF419" i="1"/>
  <c r="HB419" i="1"/>
  <c r="HZ435" i="1"/>
  <c r="HR435" i="1"/>
  <c r="HK435" i="1"/>
  <c r="HE435" i="1"/>
  <c r="IE419" i="1"/>
  <c r="HY419" i="1"/>
  <c r="HT419" i="1"/>
  <c r="HO419" i="1"/>
  <c r="HI419" i="1"/>
  <c r="HD419" i="1"/>
  <c r="IE435" i="1"/>
  <c r="HW435" i="1"/>
  <c r="HQ435" i="1"/>
  <c r="HJ435" i="1"/>
  <c r="HB435" i="1"/>
  <c r="IC419" i="1"/>
  <c r="HX419" i="1"/>
  <c r="HS419" i="1"/>
  <c r="HM419" i="1"/>
  <c r="HH419" i="1"/>
  <c r="HC419" i="1"/>
  <c r="HU435" i="1"/>
  <c r="HF435" i="1"/>
  <c r="IC435" i="1"/>
  <c r="HO435" i="1"/>
  <c r="IA435" i="1"/>
  <c r="HM435" i="1"/>
  <c r="HV435" i="1"/>
  <c r="HG435" i="1"/>
  <c r="IA419" i="1"/>
  <c r="HP419" i="1"/>
  <c r="HE419" i="1"/>
  <c r="HW419" i="1"/>
  <c r="HL419" i="1"/>
  <c r="HU419" i="1"/>
  <c r="HK419" i="1"/>
  <c r="IB419" i="1"/>
  <c r="HQ419" i="1"/>
  <c r="HG419" i="1"/>
  <c r="DI195" i="1"/>
  <c r="CM430" i="1"/>
  <c r="CI430" i="1"/>
  <c r="CE430" i="1"/>
  <c r="CA430" i="1"/>
  <c r="BW430" i="1"/>
  <c r="BS430" i="1"/>
  <c r="BO430" i="1"/>
  <c r="BK430" i="1"/>
  <c r="CH430" i="1"/>
  <c r="CC430" i="1"/>
  <c r="BX430" i="1"/>
  <c r="BR430" i="1"/>
  <c r="BM430" i="1"/>
  <c r="CM414" i="1"/>
  <c r="CI414" i="1"/>
  <c r="CE414" i="1"/>
  <c r="CA414" i="1"/>
  <c r="BW414" i="1"/>
  <c r="BS414" i="1"/>
  <c r="BO414" i="1"/>
  <c r="BK414" i="1"/>
  <c r="CL430" i="1"/>
  <c r="CG430" i="1"/>
  <c r="CB430" i="1"/>
  <c r="BV430" i="1"/>
  <c r="BQ430" i="1"/>
  <c r="BL430" i="1"/>
  <c r="CL414" i="1"/>
  <c r="CH414" i="1"/>
  <c r="CD414" i="1"/>
  <c r="BZ414" i="1"/>
  <c r="BV414" i="1"/>
  <c r="BR414" i="1"/>
  <c r="BN414" i="1"/>
  <c r="BJ414" i="1"/>
  <c r="CD430" i="1"/>
  <c r="BT430" i="1"/>
  <c r="CK430" i="1"/>
  <c r="BZ430" i="1"/>
  <c r="BP430" i="1"/>
  <c r="CJ430" i="1"/>
  <c r="BY430" i="1"/>
  <c r="BN430" i="1"/>
  <c r="CF430" i="1"/>
  <c r="CF414" i="1"/>
  <c r="BX414" i="1"/>
  <c r="BP414" i="1"/>
  <c r="BU430" i="1"/>
  <c r="CK414" i="1"/>
  <c r="CC414" i="1"/>
  <c r="BU414" i="1"/>
  <c r="BM414" i="1"/>
  <c r="BJ430" i="1"/>
  <c r="CJ414" i="1"/>
  <c r="CB414" i="1"/>
  <c r="BT414" i="1"/>
  <c r="BL414" i="1"/>
  <c r="CG414" i="1"/>
  <c r="BY414" i="1"/>
  <c r="BQ414" i="1"/>
  <c r="DV189" i="1"/>
  <c r="DR189" i="1"/>
  <c r="DW189" i="1"/>
  <c r="DU189" i="1"/>
  <c r="DQ189" i="1"/>
  <c r="DO189" i="1"/>
  <c r="DT189" i="1"/>
  <c r="DP189" i="1"/>
  <c r="DS189" i="1"/>
  <c r="GR430" i="1"/>
  <c r="GN430" i="1"/>
  <c r="GJ430" i="1"/>
  <c r="GF430" i="1"/>
  <c r="GB430" i="1"/>
  <c r="FX430" i="1"/>
  <c r="FT430" i="1"/>
  <c r="GP430" i="1"/>
  <c r="GK430" i="1"/>
  <c r="GE430" i="1"/>
  <c r="FZ430" i="1"/>
  <c r="FU430" i="1"/>
  <c r="GR414" i="1"/>
  <c r="GN414" i="1"/>
  <c r="GJ414" i="1"/>
  <c r="GF414" i="1"/>
  <c r="GB414" i="1"/>
  <c r="FX414" i="1"/>
  <c r="FT414" i="1"/>
  <c r="GT430" i="1"/>
  <c r="GO430" i="1"/>
  <c r="GI430" i="1"/>
  <c r="GD430" i="1"/>
  <c r="FY430" i="1"/>
  <c r="FS430" i="1"/>
  <c r="GQ414" i="1"/>
  <c r="GM414" i="1"/>
  <c r="GI414" i="1"/>
  <c r="GE414" i="1"/>
  <c r="GA414" i="1"/>
  <c r="FW414" i="1"/>
  <c r="FS414" i="1"/>
  <c r="GQ430" i="1"/>
  <c r="GG430" i="1"/>
  <c r="FV430" i="1"/>
  <c r="GM430" i="1"/>
  <c r="GC430" i="1"/>
  <c r="FR430" i="1"/>
  <c r="GL430" i="1"/>
  <c r="GA430" i="1"/>
  <c r="FQ430" i="1"/>
  <c r="GS430" i="1"/>
  <c r="GH430" i="1"/>
  <c r="GS414" i="1"/>
  <c r="GK414" i="1"/>
  <c r="GC414" i="1"/>
  <c r="FU414" i="1"/>
  <c r="FW430" i="1"/>
  <c r="GP414" i="1"/>
  <c r="GH414" i="1"/>
  <c r="FZ414" i="1"/>
  <c r="FR414" i="1"/>
  <c r="GO414" i="1"/>
  <c r="GG414" i="1"/>
  <c r="FY414" i="1"/>
  <c r="FQ414" i="1"/>
  <c r="GT414" i="1"/>
  <c r="GL414" i="1"/>
  <c r="GD414" i="1"/>
  <c r="FV414" i="1"/>
  <c r="CM431" i="1"/>
  <c r="CI431" i="1"/>
  <c r="CE431" i="1"/>
  <c r="CA431" i="1"/>
  <c r="BW431" i="1"/>
  <c r="BS431" i="1"/>
  <c r="BO431" i="1"/>
  <c r="BK431" i="1"/>
  <c r="CH431" i="1"/>
  <c r="CC431" i="1"/>
  <c r="BX431" i="1"/>
  <c r="BR431" i="1"/>
  <c r="BM431" i="1"/>
  <c r="CM415" i="1"/>
  <c r="CI415" i="1"/>
  <c r="CE415" i="1"/>
  <c r="CA415" i="1"/>
  <c r="BW415" i="1"/>
  <c r="BS415" i="1"/>
  <c r="BO415" i="1"/>
  <c r="BK415" i="1"/>
  <c r="CL431" i="1"/>
  <c r="CG431" i="1"/>
  <c r="CB431" i="1"/>
  <c r="BV431" i="1"/>
  <c r="BQ431" i="1"/>
  <c r="BL431" i="1"/>
  <c r="CL415" i="1"/>
  <c r="CH415" i="1"/>
  <c r="CD415" i="1"/>
  <c r="BZ415" i="1"/>
  <c r="BV415" i="1"/>
  <c r="BR415" i="1"/>
  <c r="BN415" i="1"/>
  <c r="BJ415" i="1"/>
  <c r="CJ431" i="1"/>
  <c r="BY431" i="1"/>
  <c r="BN431" i="1"/>
  <c r="CF431" i="1"/>
  <c r="BU431" i="1"/>
  <c r="BJ431" i="1"/>
  <c r="CD431" i="1"/>
  <c r="BT431" i="1"/>
  <c r="CK431" i="1"/>
  <c r="BZ431" i="1"/>
  <c r="BP431" i="1"/>
  <c r="CF415" i="1"/>
  <c r="BX415" i="1"/>
  <c r="BP415" i="1"/>
  <c r="CK415" i="1"/>
  <c r="CC415" i="1"/>
  <c r="BU415" i="1"/>
  <c r="BM415" i="1"/>
  <c r="CJ415" i="1"/>
  <c r="CB415" i="1"/>
  <c r="BT415" i="1"/>
  <c r="BL415" i="1"/>
  <c r="CG415" i="1"/>
  <c r="BY415" i="1"/>
  <c r="BQ415" i="1"/>
  <c r="DK191" i="1"/>
  <c r="DM191" i="1"/>
  <c r="IB433" i="1"/>
  <c r="HX433" i="1"/>
  <c r="HT433" i="1"/>
  <c r="HP433" i="1"/>
  <c r="HL433" i="1"/>
  <c r="HH433" i="1"/>
  <c r="HD433" i="1"/>
  <c r="ID433" i="1"/>
  <c r="HY433" i="1"/>
  <c r="HS433" i="1"/>
  <c r="HN433" i="1"/>
  <c r="HI433" i="1"/>
  <c r="HC433" i="1"/>
  <c r="ID417" i="1"/>
  <c r="HZ417" i="1"/>
  <c r="HV417" i="1"/>
  <c r="HR417" i="1"/>
  <c r="HN417" i="1"/>
  <c r="HJ417" i="1"/>
  <c r="HF417" i="1"/>
  <c r="HB417" i="1"/>
  <c r="IC433" i="1"/>
  <c r="HV433" i="1"/>
  <c r="HO433" i="1"/>
  <c r="HG433" i="1"/>
  <c r="IE417" i="1"/>
  <c r="HY417" i="1"/>
  <c r="HT417" i="1"/>
  <c r="HO417" i="1"/>
  <c r="HI417" i="1"/>
  <c r="HD417" i="1"/>
  <c r="IA433" i="1"/>
  <c r="HU433" i="1"/>
  <c r="HM433" i="1"/>
  <c r="HF433" i="1"/>
  <c r="IC417" i="1"/>
  <c r="HX417" i="1"/>
  <c r="HS417" i="1"/>
  <c r="HM417" i="1"/>
  <c r="HH417" i="1"/>
  <c r="HC417" i="1"/>
  <c r="IE433" i="1"/>
  <c r="HQ433" i="1"/>
  <c r="HB433" i="1"/>
  <c r="HZ433" i="1"/>
  <c r="HK433" i="1"/>
  <c r="HW433" i="1"/>
  <c r="HJ433" i="1"/>
  <c r="HR433" i="1"/>
  <c r="HE433" i="1"/>
  <c r="IA417" i="1"/>
  <c r="HP417" i="1"/>
  <c r="HE417" i="1"/>
  <c r="HW417" i="1"/>
  <c r="HL417" i="1"/>
  <c r="HU417" i="1"/>
  <c r="HK417" i="1"/>
  <c r="IB417" i="1"/>
  <c r="HQ417" i="1"/>
  <c r="HG417" i="1"/>
  <c r="ID192" i="1"/>
  <c r="HX192" i="1"/>
  <c r="IE430" i="1"/>
  <c r="IA430" i="1"/>
  <c r="HW430" i="1"/>
  <c r="HS430" i="1"/>
  <c r="HO430" i="1"/>
  <c r="HK430" i="1"/>
  <c r="HG430" i="1"/>
  <c r="HC430" i="1"/>
  <c r="IC430" i="1"/>
  <c r="HX430" i="1"/>
  <c r="HR430" i="1"/>
  <c r="HM430" i="1"/>
  <c r="HH430" i="1"/>
  <c r="HB430" i="1"/>
  <c r="IE414" i="1"/>
  <c r="IA414" i="1"/>
  <c r="HW414" i="1"/>
  <c r="HS414" i="1"/>
  <c r="HO414" i="1"/>
  <c r="HK414" i="1"/>
  <c r="HG414" i="1"/>
  <c r="HC414" i="1"/>
  <c r="IB430" i="1"/>
  <c r="HV430" i="1"/>
  <c r="HQ430" i="1"/>
  <c r="HL430" i="1"/>
  <c r="HF430" i="1"/>
  <c r="ID414" i="1"/>
  <c r="HZ414" i="1"/>
  <c r="HV414" i="1"/>
  <c r="HR414" i="1"/>
  <c r="HN414" i="1"/>
  <c r="HJ414" i="1"/>
  <c r="HF414" i="1"/>
  <c r="HB414" i="1"/>
  <c r="ID430" i="1"/>
  <c r="HT430" i="1"/>
  <c r="HI430" i="1"/>
  <c r="HZ430" i="1"/>
  <c r="HP430" i="1"/>
  <c r="HE430" i="1"/>
  <c r="HY430" i="1"/>
  <c r="HN430" i="1"/>
  <c r="HD430" i="1"/>
  <c r="HU430" i="1"/>
  <c r="HJ430" i="1"/>
  <c r="HX414" i="1"/>
  <c r="HP414" i="1"/>
  <c r="HH414" i="1"/>
  <c r="IC414" i="1"/>
  <c r="HU414" i="1"/>
  <c r="HM414" i="1"/>
  <c r="HE414" i="1"/>
  <c r="IB414" i="1"/>
  <c r="HT414" i="1"/>
  <c r="HL414" i="1"/>
  <c r="HD414" i="1"/>
  <c r="HY414" i="1"/>
  <c r="HQ414" i="1"/>
  <c r="HI414" i="1"/>
  <c r="CI192" i="1"/>
  <c r="FE192" i="1"/>
  <c r="FA192" i="1"/>
  <c r="FD192" i="1"/>
  <c r="FF192" i="1"/>
  <c r="FH192" i="1"/>
  <c r="FC192" i="1"/>
  <c r="FG192" i="1"/>
  <c r="FB192" i="1"/>
  <c r="EZ192" i="1"/>
  <c r="HZ192" i="1"/>
  <c r="DO195" i="1"/>
  <c r="DV195" i="1"/>
  <c r="C984" i="1"/>
  <c r="C785" i="1"/>
  <c r="C836" i="1"/>
  <c r="C471" i="1"/>
  <c r="C371" i="1"/>
  <c r="C270" i="1"/>
  <c r="BW151" i="1"/>
  <c r="CZ151" i="1"/>
  <c r="GD151" i="1"/>
  <c r="GP151" i="1"/>
  <c r="HC151" i="1"/>
  <c r="FO152" i="1"/>
  <c r="DB153" i="1"/>
  <c r="EM153" i="1"/>
  <c r="FX153" i="1"/>
  <c r="GR153" i="1"/>
  <c r="HE153" i="1"/>
  <c r="IC190" i="1"/>
  <c r="HY190" i="1"/>
  <c r="EW192" i="1"/>
  <c r="ES192" i="1"/>
  <c r="ES155" i="1"/>
  <c r="EW155" i="1"/>
  <c r="FF433" i="1"/>
  <c r="FB433" i="1"/>
  <c r="EX433" i="1"/>
  <c r="ET433" i="1"/>
  <c r="EP433" i="1"/>
  <c r="EL433" i="1"/>
  <c r="EH433" i="1"/>
  <c r="FI433" i="1"/>
  <c r="FD433" i="1"/>
  <c r="EY433" i="1"/>
  <c r="ES433" i="1"/>
  <c r="EN433" i="1"/>
  <c r="EI433" i="1"/>
  <c r="FH417" i="1"/>
  <c r="FD417" i="1"/>
  <c r="EZ417" i="1"/>
  <c r="EV417" i="1"/>
  <c r="ER417" i="1"/>
  <c r="EN417" i="1"/>
  <c r="EJ417" i="1"/>
  <c r="EF417" i="1"/>
  <c r="FC433" i="1"/>
  <c r="EV433" i="1"/>
  <c r="EO433" i="1"/>
  <c r="EG433" i="1"/>
  <c r="FE417" i="1"/>
  <c r="EY417" i="1"/>
  <c r="ET417" i="1"/>
  <c r="EO417" i="1"/>
  <c r="EI417" i="1"/>
  <c r="FH433" i="1"/>
  <c r="FA433" i="1"/>
  <c r="EU433" i="1"/>
  <c r="EM433" i="1"/>
  <c r="EF433" i="1"/>
  <c r="FI417" i="1"/>
  <c r="FC417" i="1"/>
  <c r="EX417" i="1"/>
  <c r="ES417" i="1"/>
  <c r="EM417" i="1"/>
  <c r="EH417" i="1"/>
  <c r="EW433" i="1"/>
  <c r="EJ433" i="1"/>
  <c r="FG433" i="1"/>
  <c r="ER433" i="1"/>
  <c r="FE433" i="1"/>
  <c r="EQ433" i="1"/>
  <c r="EZ433" i="1"/>
  <c r="EK433" i="1"/>
  <c r="FA417" i="1"/>
  <c r="EP417" i="1"/>
  <c r="FG417" i="1"/>
  <c r="EW417" i="1"/>
  <c r="EL417" i="1"/>
  <c r="FF417" i="1"/>
  <c r="EU417" i="1"/>
  <c r="EK417" i="1"/>
  <c r="FB417" i="1"/>
  <c r="EQ417" i="1"/>
  <c r="EG417" i="1"/>
  <c r="IA155" i="1"/>
  <c r="BH156" i="1"/>
  <c r="GZ156" i="1"/>
  <c r="BQ157" i="1"/>
  <c r="CK194" i="1"/>
  <c r="CG194" i="1"/>
  <c r="DB157" i="1"/>
  <c r="DJ157" i="1"/>
  <c r="DV157" i="1"/>
  <c r="FG157" i="1"/>
  <c r="FT157" i="1"/>
  <c r="FX157" i="1"/>
  <c r="HE157" i="1"/>
  <c r="IC194" i="1"/>
  <c r="HY194" i="1"/>
  <c r="IC157" i="1"/>
  <c r="EO188" i="1"/>
  <c r="GJ190" i="1"/>
  <c r="HV190" i="1"/>
  <c r="IA190" i="1"/>
  <c r="BY191" i="1"/>
  <c r="BU191" i="1"/>
  <c r="CE194" i="1"/>
  <c r="HQ194" i="1"/>
  <c r="HM194" i="1"/>
  <c r="HV194" i="1"/>
  <c r="C981" i="1"/>
  <c r="C833" i="1"/>
  <c r="C782" i="1"/>
  <c r="C468" i="1"/>
  <c r="C267" i="1"/>
  <c r="C368" i="1"/>
  <c r="BP151" i="1"/>
  <c r="CB151" i="1"/>
  <c r="DE151" i="1"/>
  <c r="DQ151" i="1"/>
  <c r="ED151" i="1"/>
  <c r="EL151" i="1"/>
  <c r="EX151" i="1"/>
  <c r="FS151" i="1"/>
  <c r="GA151" i="1"/>
  <c r="GM151" i="1"/>
  <c r="GZ151" i="1"/>
  <c r="HL151" i="1"/>
  <c r="HT151" i="1"/>
  <c r="BQ152" i="1"/>
  <c r="GR152" i="1"/>
  <c r="HY152" i="1"/>
  <c r="IC152" i="1"/>
  <c r="BF153" i="1"/>
  <c r="BV153" i="1"/>
  <c r="CH153" i="1"/>
  <c r="CU153" i="1"/>
  <c r="DG153" i="1"/>
  <c r="DS153" i="1"/>
  <c r="EF153" i="1"/>
  <c r="EJ153" i="1"/>
  <c r="EN153" i="1"/>
  <c r="EZ153" i="1"/>
  <c r="FM153" i="1"/>
  <c r="FY153" i="1"/>
  <c r="GK153" i="1"/>
  <c r="GX153" i="1"/>
  <c r="HJ153" i="1"/>
  <c r="HV153" i="1"/>
  <c r="CZ154" i="1"/>
  <c r="DH154" i="1"/>
  <c r="DL154" i="1"/>
  <c r="ES154" i="1"/>
  <c r="EW154" i="1"/>
  <c r="FI432" i="1"/>
  <c r="FE432" i="1"/>
  <c r="FA432" i="1"/>
  <c r="EW432" i="1"/>
  <c r="ES432" i="1"/>
  <c r="EO432" i="1"/>
  <c r="EK432" i="1"/>
  <c r="EG432" i="1"/>
  <c r="FH416" i="1"/>
  <c r="FD416" i="1"/>
  <c r="EZ416" i="1"/>
  <c r="EV416" i="1"/>
  <c r="ER416" i="1"/>
  <c r="EN416" i="1"/>
  <c r="EJ416" i="1"/>
  <c r="EF416" i="1"/>
  <c r="FH432" i="1"/>
  <c r="FC432" i="1"/>
  <c r="EX432" i="1"/>
  <c r="ER432" i="1"/>
  <c r="EM432" i="1"/>
  <c r="EH432" i="1"/>
  <c r="FE416" i="1"/>
  <c r="EY416" i="1"/>
  <c r="ET416" i="1"/>
  <c r="EO416" i="1"/>
  <c r="EI416" i="1"/>
  <c r="FG432" i="1"/>
  <c r="FB432" i="1"/>
  <c r="EV432" i="1"/>
  <c r="EQ432" i="1"/>
  <c r="EL432" i="1"/>
  <c r="EF432" i="1"/>
  <c r="FI416" i="1"/>
  <c r="FC416" i="1"/>
  <c r="EX416" i="1"/>
  <c r="ES416" i="1"/>
  <c r="EM416" i="1"/>
  <c r="EH416" i="1"/>
  <c r="FD432" i="1"/>
  <c r="ET432" i="1"/>
  <c r="EI432" i="1"/>
  <c r="EZ432" i="1"/>
  <c r="EP432" i="1"/>
  <c r="EY432" i="1"/>
  <c r="EN432" i="1"/>
  <c r="FF432" i="1"/>
  <c r="EU432" i="1"/>
  <c r="EJ432" i="1"/>
  <c r="FF416" i="1"/>
  <c r="EU416" i="1"/>
  <c r="EK416" i="1"/>
  <c r="FB416" i="1"/>
  <c r="EQ416" i="1"/>
  <c r="EG416" i="1"/>
  <c r="FA416" i="1"/>
  <c r="EP416" i="1"/>
  <c r="FG416" i="1"/>
  <c r="EW416" i="1"/>
  <c r="EL416" i="1"/>
  <c r="GD154" i="1"/>
  <c r="HO154" i="1"/>
  <c r="HS154" i="1"/>
  <c r="BH155" i="1"/>
  <c r="BL155" i="1"/>
  <c r="BP155" i="1"/>
  <c r="BT155" i="1"/>
  <c r="BX155" i="1"/>
  <c r="CB155" i="1"/>
  <c r="CF155" i="1"/>
  <c r="CJ155" i="1"/>
  <c r="CS155" i="1"/>
  <c r="CW155" i="1"/>
  <c r="DA155" i="1"/>
  <c r="DE155" i="1"/>
  <c r="DI155" i="1"/>
  <c r="DM155" i="1"/>
  <c r="DQ155" i="1"/>
  <c r="DU155" i="1"/>
  <c r="ED155" i="1"/>
  <c r="EH155" i="1"/>
  <c r="EL155" i="1"/>
  <c r="EP155" i="1"/>
  <c r="ET155" i="1"/>
  <c r="EX155" i="1"/>
  <c r="FB155" i="1"/>
  <c r="FF155" i="1"/>
  <c r="FO155" i="1"/>
  <c r="FS155" i="1"/>
  <c r="FW155" i="1"/>
  <c r="GA155" i="1"/>
  <c r="GE155" i="1"/>
  <c r="GI155" i="1"/>
  <c r="GM155" i="1"/>
  <c r="GQ155" i="1"/>
  <c r="GZ155" i="1"/>
  <c r="HD155" i="1"/>
  <c r="HH155" i="1"/>
  <c r="HL155" i="1"/>
  <c r="HP155" i="1"/>
  <c r="HT155" i="1"/>
  <c r="HX155" i="1"/>
  <c r="IB155" i="1"/>
  <c r="BE156" i="1"/>
  <c r="BM156" i="1"/>
  <c r="BQ156" i="1"/>
  <c r="CK193" i="1"/>
  <c r="CG193" i="1"/>
  <c r="CG156" i="1"/>
  <c r="CK156" i="1"/>
  <c r="CP156" i="1"/>
  <c r="CX156" i="1"/>
  <c r="DB156" i="1"/>
  <c r="DR156" i="1"/>
  <c r="DV156" i="1"/>
  <c r="EA156" i="1"/>
  <c r="EI156" i="1"/>
  <c r="EM156" i="1"/>
  <c r="FC156" i="1"/>
  <c r="FG156" i="1"/>
  <c r="FL156" i="1"/>
  <c r="FT156" i="1"/>
  <c r="FX156" i="1"/>
  <c r="GN156" i="1"/>
  <c r="GR156" i="1"/>
  <c r="GW156" i="1"/>
  <c r="HI193" i="1"/>
  <c r="HE193" i="1"/>
  <c r="HE156" i="1"/>
  <c r="HI156" i="1"/>
  <c r="IC193" i="1"/>
  <c r="HY193" i="1"/>
  <c r="HY156" i="1"/>
  <c r="IC156" i="1"/>
  <c r="BF157" i="1"/>
  <c r="BJ157" i="1"/>
  <c r="BN157" i="1"/>
  <c r="BR157" i="1"/>
  <c r="BV157" i="1"/>
  <c r="BZ157" i="1"/>
  <c r="CD157" i="1"/>
  <c r="CH157" i="1"/>
  <c r="CL157" i="1"/>
  <c r="CQ157" i="1"/>
  <c r="CU157" i="1"/>
  <c r="CY157" i="1"/>
  <c r="DC157" i="1"/>
  <c r="DG157" i="1"/>
  <c r="DK157" i="1"/>
  <c r="DO157" i="1"/>
  <c r="DS157" i="1"/>
  <c r="DW157" i="1"/>
  <c r="EB157" i="1"/>
  <c r="EF157" i="1"/>
  <c r="EJ157" i="1"/>
  <c r="EN157" i="1"/>
  <c r="ER157" i="1"/>
  <c r="EV157" i="1"/>
  <c r="EZ157" i="1"/>
  <c r="FD157" i="1"/>
  <c r="FH157" i="1"/>
  <c r="FM157" i="1"/>
  <c r="FQ157" i="1"/>
  <c r="FU157" i="1"/>
  <c r="FY157" i="1"/>
  <c r="GC157" i="1"/>
  <c r="GG157" i="1"/>
  <c r="GK157" i="1"/>
  <c r="GO157" i="1"/>
  <c r="GS157" i="1"/>
  <c r="GX157" i="1"/>
  <c r="HB157" i="1"/>
  <c r="HF157" i="1"/>
  <c r="HJ157" i="1"/>
  <c r="HN157" i="1"/>
  <c r="HR157" i="1"/>
  <c r="HV157" i="1"/>
  <c r="HZ157" i="1"/>
  <c r="ID157" i="1"/>
  <c r="BW158" i="1"/>
  <c r="CA158" i="1"/>
  <c r="DH158" i="1"/>
  <c r="DL158" i="1"/>
  <c r="ES158" i="1"/>
  <c r="EW158" i="1"/>
  <c r="FF436" i="1"/>
  <c r="FB436" i="1"/>
  <c r="EX436" i="1"/>
  <c r="ET436" i="1"/>
  <c r="EP436" i="1"/>
  <c r="EL436" i="1"/>
  <c r="EH436" i="1"/>
  <c r="FI436" i="1"/>
  <c r="FD436" i="1"/>
  <c r="EY436" i="1"/>
  <c r="ES436" i="1"/>
  <c r="EN436" i="1"/>
  <c r="EI436" i="1"/>
  <c r="FH420" i="1"/>
  <c r="FD420" i="1"/>
  <c r="EZ420" i="1"/>
  <c r="EV420" i="1"/>
  <c r="ER420" i="1"/>
  <c r="EN420" i="1"/>
  <c r="EJ420" i="1"/>
  <c r="EF420" i="1"/>
  <c r="FH436" i="1"/>
  <c r="FA436" i="1"/>
  <c r="EU436" i="1"/>
  <c r="EM436" i="1"/>
  <c r="EF436" i="1"/>
  <c r="FE420" i="1"/>
  <c r="EY420" i="1"/>
  <c r="ET420" i="1"/>
  <c r="EO420" i="1"/>
  <c r="EI420" i="1"/>
  <c r="FG436" i="1"/>
  <c r="EZ436" i="1"/>
  <c r="ER436" i="1"/>
  <c r="EK436" i="1"/>
  <c r="FI420" i="1"/>
  <c r="FC420" i="1"/>
  <c r="EX420" i="1"/>
  <c r="ES420" i="1"/>
  <c r="EM420" i="1"/>
  <c r="EH420" i="1"/>
  <c r="FC436" i="1"/>
  <c r="EO436" i="1"/>
  <c r="EW436" i="1"/>
  <c r="EJ436" i="1"/>
  <c r="EV436" i="1"/>
  <c r="EG436" i="1"/>
  <c r="FE436" i="1"/>
  <c r="EQ436" i="1"/>
  <c r="FF420" i="1"/>
  <c r="EU420" i="1"/>
  <c r="EK420" i="1"/>
  <c r="FB420" i="1"/>
  <c r="EQ420" i="1"/>
  <c r="EG420" i="1"/>
  <c r="FA420" i="1"/>
  <c r="EP420" i="1"/>
  <c r="FG420" i="1"/>
  <c r="EW420" i="1"/>
  <c r="EL420" i="1"/>
  <c r="GD158" i="1"/>
  <c r="GH158" i="1"/>
  <c r="HO158" i="1"/>
  <c r="HS158" i="1"/>
  <c r="BD159" i="1"/>
  <c r="CO159" i="1"/>
  <c r="DZ159" i="1"/>
  <c r="FK159" i="1"/>
  <c r="GV159" i="1"/>
  <c r="L176" i="1"/>
  <c r="DD188" i="1"/>
  <c r="DX188" i="1"/>
  <c r="FP188" i="1"/>
  <c r="GJ188" i="1"/>
  <c r="GA188" i="1" s="1"/>
  <c r="IO196" i="1"/>
  <c r="IS196" i="1"/>
  <c r="KA196" i="1"/>
  <c r="KE196" i="1"/>
  <c r="LI196" i="1"/>
  <c r="LM196" i="1"/>
  <c r="LQ196" i="1"/>
  <c r="DD189" i="1"/>
  <c r="CX189" i="1" s="1"/>
  <c r="FP189" i="1"/>
  <c r="GJ189" i="1"/>
  <c r="GG189" i="1" s="1"/>
  <c r="DD190" i="1"/>
  <c r="CZ190" i="1" s="1"/>
  <c r="FP190" i="1"/>
  <c r="FZ190" i="1"/>
  <c r="HB190" i="1"/>
  <c r="HW190" i="1"/>
  <c r="IB190" i="1"/>
  <c r="BT191" i="1"/>
  <c r="BZ191" i="1"/>
  <c r="CE191" i="1"/>
  <c r="CJ191" i="1"/>
  <c r="GJ191" i="1"/>
  <c r="GT191" i="1"/>
  <c r="HK191" i="1"/>
  <c r="HG191" i="1" s="1"/>
  <c r="HV191" i="1"/>
  <c r="IA191" i="1"/>
  <c r="BS192" i="1"/>
  <c r="BN192" i="1" s="1"/>
  <c r="CD192" i="1"/>
  <c r="CT192" i="1"/>
  <c r="EQ192" i="1"/>
  <c r="EV192" i="1"/>
  <c r="CH193" i="1"/>
  <c r="DD193" i="1"/>
  <c r="DN193" i="1"/>
  <c r="EE193" i="1"/>
  <c r="HC193" i="1"/>
  <c r="HH193" i="1"/>
  <c r="HX193" i="1"/>
  <c r="ID193" i="1"/>
  <c r="CF194" i="1"/>
  <c r="CL194" i="1"/>
  <c r="EY194" i="1"/>
  <c r="FP194" i="1"/>
  <c r="FZ194" i="1"/>
  <c r="HB194" i="1"/>
  <c r="HG194" i="1"/>
  <c r="HL194" i="1"/>
  <c r="HR194" i="1"/>
  <c r="HW194" i="1"/>
  <c r="IB194" i="1"/>
  <c r="BJ195" i="1"/>
  <c r="GJ195" i="1"/>
  <c r="GT195" i="1"/>
  <c r="HK195" i="1"/>
  <c r="HB195" i="1" s="1"/>
  <c r="K437" i="1"/>
  <c r="K776" i="1" s="1"/>
  <c r="K421" i="1"/>
  <c r="K775" i="1" s="1"/>
  <c r="IX196" i="1"/>
  <c r="KN196" i="1"/>
  <c r="KR196" i="1"/>
  <c r="KW196" i="1"/>
  <c r="MI196" i="1"/>
  <c r="F213" i="1"/>
  <c r="J222" i="1"/>
  <c r="L217" i="1"/>
  <c r="C988" i="1"/>
  <c r="C789" i="1"/>
  <c r="C840" i="1"/>
  <c r="DL151" i="1"/>
  <c r="EW151" i="1"/>
  <c r="GH151" i="1"/>
  <c r="BM153" i="1"/>
  <c r="BQ153" i="1"/>
  <c r="CK153" i="1"/>
  <c r="DR153" i="1"/>
  <c r="FC153" i="1"/>
  <c r="FT153" i="1"/>
  <c r="HI153" i="1"/>
  <c r="HQ153" i="1"/>
  <c r="HY153" i="1"/>
  <c r="ED156" i="1"/>
  <c r="EM157" i="1"/>
  <c r="FC157" i="1"/>
  <c r="GR157" i="1"/>
  <c r="HY157" i="1"/>
  <c r="BS159" i="1"/>
  <c r="BS230" i="1" s="1"/>
  <c r="CM159" i="1"/>
  <c r="DD159" i="1"/>
  <c r="DX159" i="1"/>
  <c r="EO159" i="1"/>
  <c r="EO230" i="1" s="1"/>
  <c r="FI159" i="1"/>
  <c r="FZ159" i="1"/>
  <c r="FZ230" i="1" s="1"/>
  <c r="GT159" i="1"/>
  <c r="E179" i="1" s="1"/>
  <c r="HK159" i="1"/>
  <c r="HK230" i="1" s="1"/>
  <c r="IE159" i="1"/>
  <c r="KI196" i="1"/>
  <c r="FI430" i="1"/>
  <c r="FE430" i="1"/>
  <c r="FA430" i="1"/>
  <c r="EW430" i="1"/>
  <c r="ES430" i="1"/>
  <c r="EO430" i="1"/>
  <c r="EK430" i="1"/>
  <c r="EG430" i="1"/>
  <c r="FH430" i="1"/>
  <c r="FC430" i="1"/>
  <c r="EX430" i="1"/>
  <c r="ER430" i="1"/>
  <c r="EM430" i="1"/>
  <c r="EH430" i="1"/>
  <c r="FI414" i="1"/>
  <c r="FE414" i="1"/>
  <c r="FA414" i="1"/>
  <c r="EW414" i="1"/>
  <c r="ES414" i="1"/>
  <c r="EO414" i="1"/>
  <c r="EK414" i="1"/>
  <c r="EG414" i="1"/>
  <c r="FG430" i="1"/>
  <c r="FB430" i="1"/>
  <c r="EV430" i="1"/>
  <c r="EQ430" i="1"/>
  <c r="EL430" i="1"/>
  <c r="EF430" i="1"/>
  <c r="FH414" i="1"/>
  <c r="FD414" i="1"/>
  <c r="EZ414" i="1"/>
  <c r="EV414" i="1"/>
  <c r="ER414" i="1"/>
  <c r="EN414" i="1"/>
  <c r="EJ414" i="1"/>
  <c r="EF414" i="1"/>
  <c r="FD430" i="1"/>
  <c r="ET430" i="1"/>
  <c r="EI430" i="1"/>
  <c r="EZ430" i="1"/>
  <c r="EP430" i="1"/>
  <c r="EY430" i="1"/>
  <c r="EN430" i="1"/>
  <c r="EJ430" i="1"/>
  <c r="FF414" i="1"/>
  <c r="EX414" i="1"/>
  <c r="EP414" i="1"/>
  <c r="EH414" i="1"/>
  <c r="FC414" i="1"/>
  <c r="EU414" i="1"/>
  <c r="EM414" i="1"/>
  <c r="FF430" i="1"/>
  <c r="FB414" i="1"/>
  <c r="ET414" i="1"/>
  <c r="EL414" i="1"/>
  <c r="EU430" i="1"/>
  <c r="FG414" i="1"/>
  <c r="EY414" i="1"/>
  <c r="EQ414" i="1"/>
  <c r="EI414" i="1"/>
  <c r="BI190" i="1"/>
  <c r="CC190" i="1"/>
  <c r="DD192" i="1"/>
  <c r="EU192" i="1"/>
  <c r="CJ194" i="1"/>
  <c r="GS435" i="1"/>
  <c r="GO435" i="1"/>
  <c r="GK435" i="1"/>
  <c r="GG435" i="1"/>
  <c r="GC435" i="1"/>
  <c r="FY435" i="1"/>
  <c r="FU435" i="1"/>
  <c r="FQ435" i="1"/>
  <c r="GQ435" i="1"/>
  <c r="GL435" i="1"/>
  <c r="GF435" i="1"/>
  <c r="GA435" i="1"/>
  <c r="FV435" i="1"/>
  <c r="GQ419" i="1"/>
  <c r="GM419" i="1"/>
  <c r="GI419" i="1"/>
  <c r="GE419" i="1"/>
  <c r="GA419" i="1"/>
  <c r="FW419" i="1"/>
  <c r="FS419" i="1"/>
  <c r="GP435" i="1"/>
  <c r="GI435" i="1"/>
  <c r="GB435" i="1"/>
  <c r="FT435" i="1"/>
  <c r="GR419" i="1"/>
  <c r="GL419" i="1"/>
  <c r="GG419" i="1"/>
  <c r="GB419" i="1"/>
  <c r="FV419" i="1"/>
  <c r="FQ419" i="1"/>
  <c r="GN435" i="1"/>
  <c r="GH435" i="1"/>
  <c r="FZ435" i="1"/>
  <c r="FS435" i="1"/>
  <c r="GP419" i="1"/>
  <c r="GK419" i="1"/>
  <c r="GF419" i="1"/>
  <c r="FZ419" i="1"/>
  <c r="FU419" i="1"/>
  <c r="GJ435" i="1"/>
  <c r="FW435" i="1"/>
  <c r="GT435" i="1"/>
  <c r="GE435" i="1"/>
  <c r="FR435" i="1"/>
  <c r="GR435" i="1"/>
  <c r="GD435" i="1"/>
  <c r="GM435" i="1"/>
  <c r="FX435" i="1"/>
  <c r="GN419" i="1"/>
  <c r="GC419" i="1"/>
  <c r="FR419" i="1"/>
  <c r="GT419" i="1"/>
  <c r="GJ419" i="1"/>
  <c r="FY419" i="1"/>
  <c r="GS419" i="1"/>
  <c r="GH419" i="1"/>
  <c r="FX419" i="1"/>
  <c r="GO419" i="1"/>
  <c r="GD419" i="1"/>
  <c r="FT419" i="1"/>
  <c r="IA194" i="1"/>
  <c r="J437" i="1"/>
  <c r="J776" i="1" s="1"/>
  <c r="J421" i="1"/>
  <c r="J775" i="1" s="1"/>
  <c r="J232" i="1"/>
  <c r="U267" i="1" s="1"/>
  <c r="IL347" i="1"/>
  <c r="D220" i="1"/>
  <c r="LA347" i="1"/>
  <c r="E221" i="1"/>
  <c r="LL196" i="1"/>
  <c r="MH196" i="1"/>
  <c r="C985" i="1"/>
  <c r="C837" i="1"/>
  <c r="C786" i="1"/>
  <c r="C472" i="1"/>
  <c r="C271" i="1"/>
  <c r="C372" i="1"/>
  <c r="BL151" i="1"/>
  <c r="BX151" i="1"/>
  <c r="CF151" i="1"/>
  <c r="CS151" i="1"/>
  <c r="CW151" i="1"/>
  <c r="DI151" i="1"/>
  <c r="EH151" i="1"/>
  <c r="EP151" i="1"/>
  <c r="FB151" i="1"/>
  <c r="FW151" i="1"/>
  <c r="GI151" i="1"/>
  <c r="HD151" i="1"/>
  <c r="HP151" i="1"/>
  <c r="IB151" i="1"/>
  <c r="BE152" i="1"/>
  <c r="BM152" i="1"/>
  <c r="CG152" i="1"/>
  <c r="CP152" i="1"/>
  <c r="CX152" i="1"/>
  <c r="DV152" i="1"/>
  <c r="FC152" i="1"/>
  <c r="FL152" i="1"/>
  <c r="FT152" i="1"/>
  <c r="FX152" i="1"/>
  <c r="GW152" i="1"/>
  <c r="HE152" i="1"/>
  <c r="HI152" i="1"/>
  <c r="BJ153" i="1"/>
  <c r="BZ153" i="1"/>
  <c r="CL153" i="1"/>
  <c r="CY153" i="1"/>
  <c r="DK153" i="1"/>
  <c r="DW153" i="1"/>
  <c r="ER153" i="1"/>
  <c r="FD153" i="1"/>
  <c r="FQ153" i="1"/>
  <c r="GC153" i="1"/>
  <c r="GO153" i="1"/>
  <c r="HB153" i="1"/>
  <c r="HN153" i="1"/>
  <c r="HZ153" i="1"/>
  <c r="BW154" i="1"/>
  <c r="CA154" i="1"/>
  <c r="C982" i="1"/>
  <c r="C834" i="1"/>
  <c r="C783" i="1"/>
  <c r="C469" i="1"/>
  <c r="C268" i="1"/>
  <c r="C369" i="1"/>
  <c r="C986" i="1"/>
  <c r="C838" i="1"/>
  <c r="C787" i="1"/>
  <c r="C473" i="1"/>
  <c r="C272" i="1"/>
  <c r="C373" i="1"/>
  <c r="BE151" i="1"/>
  <c r="BM151" i="1"/>
  <c r="BQ151" i="1"/>
  <c r="BU151" i="1"/>
  <c r="BY151" i="1"/>
  <c r="CG151" i="1"/>
  <c r="CK151" i="1"/>
  <c r="CP151" i="1"/>
  <c r="CX151" i="1"/>
  <c r="DB151" i="1"/>
  <c r="DF151" i="1"/>
  <c r="DJ151" i="1"/>
  <c r="DR151" i="1"/>
  <c r="DV151" i="1"/>
  <c r="EA151" i="1"/>
  <c r="EI151" i="1"/>
  <c r="EM151" i="1"/>
  <c r="EQ151" i="1"/>
  <c r="EU151" i="1"/>
  <c r="FC151" i="1"/>
  <c r="FG151" i="1"/>
  <c r="FL151" i="1"/>
  <c r="FT151" i="1"/>
  <c r="FX151" i="1"/>
  <c r="GB151" i="1"/>
  <c r="GF151" i="1"/>
  <c r="GN151" i="1"/>
  <c r="GR151" i="1"/>
  <c r="GW151" i="1"/>
  <c r="HE151" i="1"/>
  <c r="HI151" i="1"/>
  <c r="HM151" i="1"/>
  <c r="HQ151" i="1"/>
  <c r="HY151" i="1"/>
  <c r="IC151" i="1"/>
  <c r="BF152" i="1"/>
  <c r="BJ152" i="1"/>
  <c r="BN152" i="1"/>
  <c r="BR152" i="1"/>
  <c r="BV152" i="1"/>
  <c r="BZ152" i="1"/>
  <c r="CD152" i="1"/>
  <c r="CH152" i="1"/>
  <c r="CL152" i="1"/>
  <c r="CQ152" i="1"/>
  <c r="CU152" i="1"/>
  <c r="CY152" i="1"/>
  <c r="DC152" i="1"/>
  <c r="DG152" i="1"/>
  <c r="DK152" i="1"/>
  <c r="DO152" i="1"/>
  <c r="DS152" i="1"/>
  <c r="DW152" i="1"/>
  <c r="EB152" i="1"/>
  <c r="EF152" i="1"/>
  <c r="EJ152" i="1"/>
  <c r="EN152" i="1"/>
  <c r="ER152" i="1"/>
  <c r="EV152" i="1"/>
  <c r="EZ152" i="1"/>
  <c r="FD152" i="1"/>
  <c r="FH152" i="1"/>
  <c r="FM152" i="1"/>
  <c r="FQ152" i="1"/>
  <c r="FU152" i="1"/>
  <c r="FY152" i="1"/>
  <c r="GC152" i="1"/>
  <c r="GG152" i="1"/>
  <c r="GK152" i="1"/>
  <c r="GO152" i="1"/>
  <c r="GS152" i="1"/>
  <c r="GX152" i="1"/>
  <c r="HB152" i="1"/>
  <c r="HF152" i="1"/>
  <c r="HJ152" i="1"/>
  <c r="HN152" i="1"/>
  <c r="HR152" i="1"/>
  <c r="HV152" i="1"/>
  <c r="HZ152" i="1"/>
  <c r="ID152" i="1"/>
  <c r="BG153" i="1"/>
  <c r="BK153" i="1"/>
  <c r="BO153" i="1"/>
  <c r="BW153" i="1"/>
  <c r="CA153" i="1"/>
  <c r="CE153" i="1"/>
  <c r="CI153" i="1"/>
  <c r="CR153" i="1"/>
  <c r="CV153" i="1"/>
  <c r="CZ153" i="1"/>
  <c r="DH153" i="1"/>
  <c r="DL153" i="1"/>
  <c r="DP153" i="1"/>
  <c r="DT153" i="1"/>
  <c r="EC153" i="1"/>
  <c r="EG153" i="1"/>
  <c r="EK153" i="1"/>
  <c r="ES153" i="1"/>
  <c r="EW153" i="1"/>
  <c r="FA153" i="1"/>
  <c r="FE153" i="1"/>
  <c r="FN153" i="1"/>
  <c r="FR153" i="1"/>
  <c r="FV153" i="1"/>
  <c r="GD153" i="1"/>
  <c r="GH153" i="1"/>
  <c r="GL153" i="1"/>
  <c r="GP153" i="1"/>
  <c r="GY153" i="1"/>
  <c r="HC153" i="1"/>
  <c r="HG153" i="1"/>
  <c r="HO153" i="1"/>
  <c r="HS153" i="1"/>
  <c r="HW153" i="1"/>
  <c r="IA153" i="1"/>
  <c r="BH154" i="1"/>
  <c r="BL154" i="1"/>
  <c r="BP154" i="1"/>
  <c r="BT154" i="1"/>
  <c r="BX154" i="1"/>
  <c r="CB154" i="1"/>
  <c r="CF154" i="1"/>
  <c r="CJ154" i="1"/>
  <c r="CS154" i="1"/>
  <c r="CW154" i="1"/>
  <c r="DA154" i="1"/>
  <c r="DE154" i="1"/>
  <c r="DI154" i="1"/>
  <c r="DM154" i="1"/>
  <c r="DQ154" i="1"/>
  <c r="DU154" i="1"/>
  <c r="ED154" i="1"/>
  <c r="EH154" i="1"/>
  <c r="EL154" i="1"/>
  <c r="EP154" i="1"/>
  <c r="ET154" i="1"/>
  <c r="EX154" i="1"/>
  <c r="FB154" i="1"/>
  <c r="FF154" i="1"/>
  <c r="FO154" i="1"/>
  <c r="FS154" i="1"/>
  <c r="FW154" i="1"/>
  <c r="GA154" i="1"/>
  <c r="GE154" i="1"/>
  <c r="GI154" i="1"/>
  <c r="GM154" i="1"/>
  <c r="GZ154" i="1"/>
  <c r="HD154" i="1"/>
  <c r="HH154" i="1"/>
  <c r="HL154" i="1"/>
  <c r="HP154" i="1"/>
  <c r="HT154" i="1"/>
  <c r="HX154" i="1"/>
  <c r="BE155" i="1"/>
  <c r="BM155" i="1"/>
  <c r="BQ155" i="1"/>
  <c r="BU155" i="1"/>
  <c r="BY155" i="1"/>
  <c r="CK192" i="1"/>
  <c r="CG192" i="1"/>
  <c r="CG155" i="1"/>
  <c r="CK155" i="1"/>
  <c r="CP155" i="1"/>
  <c r="CX155" i="1"/>
  <c r="DB155" i="1"/>
  <c r="DF155" i="1"/>
  <c r="DJ155" i="1"/>
  <c r="DR155" i="1"/>
  <c r="DV155" i="1"/>
  <c r="EA155" i="1"/>
  <c r="EI155" i="1"/>
  <c r="EM155" i="1"/>
  <c r="EQ155" i="1"/>
  <c r="EU155" i="1"/>
  <c r="FC155" i="1"/>
  <c r="FG155" i="1"/>
  <c r="FL155" i="1"/>
  <c r="FT155" i="1"/>
  <c r="FX155" i="1"/>
  <c r="GB155" i="1"/>
  <c r="GF155" i="1"/>
  <c r="GN155" i="1"/>
  <c r="GR155" i="1"/>
  <c r="GW155" i="1"/>
  <c r="HE155" i="1"/>
  <c r="HI155" i="1"/>
  <c r="HM155" i="1"/>
  <c r="HQ155" i="1"/>
  <c r="IC192" i="1"/>
  <c r="HY192" i="1"/>
  <c r="HY155" i="1"/>
  <c r="IC155" i="1"/>
  <c r="BF156" i="1"/>
  <c r="BJ156" i="1"/>
  <c r="BN156" i="1"/>
  <c r="BR156" i="1"/>
  <c r="BV156" i="1"/>
  <c r="BZ156" i="1"/>
  <c r="CD156" i="1"/>
  <c r="CH156" i="1"/>
  <c r="CL156" i="1"/>
  <c r="CQ156" i="1"/>
  <c r="CU156" i="1"/>
  <c r="CY156" i="1"/>
  <c r="DC156" i="1"/>
  <c r="DG156" i="1"/>
  <c r="DK156" i="1"/>
  <c r="DO156" i="1"/>
  <c r="DS156" i="1"/>
  <c r="DW156" i="1"/>
  <c r="EB156" i="1"/>
  <c r="EF156" i="1"/>
  <c r="EJ156" i="1"/>
  <c r="EN156" i="1"/>
  <c r="ER156" i="1"/>
  <c r="EV156" i="1"/>
  <c r="EZ156" i="1"/>
  <c r="FD156" i="1"/>
  <c r="FH156" i="1"/>
  <c r="FM156" i="1"/>
  <c r="FQ156" i="1"/>
  <c r="FU156" i="1"/>
  <c r="FY156" i="1"/>
  <c r="GC156" i="1"/>
  <c r="GG156" i="1"/>
  <c r="GK156" i="1"/>
  <c r="GO156" i="1"/>
  <c r="GS156" i="1"/>
  <c r="GX156" i="1"/>
  <c r="HB156" i="1"/>
  <c r="HF156" i="1"/>
  <c r="HJ156" i="1"/>
  <c r="HN156" i="1"/>
  <c r="HR156" i="1"/>
  <c r="HV156" i="1"/>
  <c r="HZ156" i="1"/>
  <c r="ID156" i="1"/>
  <c r="BG157" i="1"/>
  <c r="BK157" i="1"/>
  <c r="BO157" i="1"/>
  <c r="BW157" i="1"/>
  <c r="CA157" i="1"/>
  <c r="CE157" i="1"/>
  <c r="CI157" i="1"/>
  <c r="CR157" i="1"/>
  <c r="CV157" i="1"/>
  <c r="CZ157" i="1"/>
  <c r="DH157" i="1"/>
  <c r="DL157" i="1"/>
  <c r="DP157" i="1"/>
  <c r="DT157" i="1"/>
  <c r="EC157" i="1"/>
  <c r="EG157" i="1"/>
  <c r="EK157" i="1"/>
  <c r="ES157" i="1"/>
  <c r="EW157" i="1"/>
  <c r="FA157" i="1"/>
  <c r="FE157" i="1"/>
  <c r="FF435" i="1"/>
  <c r="FB435" i="1"/>
  <c r="EX435" i="1"/>
  <c r="ET435" i="1"/>
  <c r="EP435" i="1"/>
  <c r="EL435" i="1"/>
  <c r="EH435" i="1"/>
  <c r="FI435" i="1"/>
  <c r="FD435" i="1"/>
  <c r="EY435" i="1"/>
  <c r="ES435" i="1"/>
  <c r="EN435" i="1"/>
  <c r="EI435" i="1"/>
  <c r="FH419" i="1"/>
  <c r="FD419" i="1"/>
  <c r="EZ419" i="1"/>
  <c r="EV419" i="1"/>
  <c r="ER419" i="1"/>
  <c r="EN419" i="1"/>
  <c r="EJ419" i="1"/>
  <c r="EF419" i="1"/>
  <c r="FG435" i="1"/>
  <c r="EZ435" i="1"/>
  <c r="ER435" i="1"/>
  <c r="EK435" i="1"/>
  <c r="FE419" i="1"/>
  <c r="EY419" i="1"/>
  <c r="ET419" i="1"/>
  <c r="EO419" i="1"/>
  <c r="EI419" i="1"/>
  <c r="ET402" i="1"/>
  <c r="FE435" i="1"/>
  <c r="EW435" i="1"/>
  <c r="EQ435" i="1"/>
  <c r="EJ435" i="1"/>
  <c r="FI419" i="1"/>
  <c r="FC419" i="1"/>
  <c r="EX419" i="1"/>
  <c r="ES419" i="1"/>
  <c r="EM419" i="1"/>
  <c r="EH419" i="1"/>
  <c r="FA435" i="1"/>
  <c r="EM435" i="1"/>
  <c r="EV435" i="1"/>
  <c r="EG435" i="1"/>
  <c r="FH435" i="1"/>
  <c r="EU435" i="1"/>
  <c r="EF435" i="1"/>
  <c r="FC435" i="1"/>
  <c r="EO435" i="1"/>
  <c r="FA419" i="1"/>
  <c r="EP419" i="1"/>
  <c r="FG419" i="1"/>
  <c r="EW419" i="1"/>
  <c r="EL419" i="1"/>
  <c r="FF419" i="1"/>
  <c r="EU419" i="1"/>
  <c r="EK419" i="1"/>
  <c r="FB419" i="1"/>
  <c r="EQ419" i="1"/>
  <c r="EG419" i="1"/>
  <c r="FN157" i="1"/>
  <c r="FR157" i="1"/>
  <c r="FV157" i="1"/>
  <c r="GD157" i="1"/>
  <c r="GH157" i="1"/>
  <c r="GL157" i="1"/>
  <c r="GP157" i="1"/>
  <c r="GY157" i="1"/>
  <c r="HC157" i="1"/>
  <c r="HG157" i="1"/>
  <c r="HO157" i="1"/>
  <c r="HS157" i="1"/>
  <c r="HW157" i="1"/>
  <c r="IA157" i="1"/>
  <c r="BH158" i="1"/>
  <c r="BL158" i="1"/>
  <c r="BP158" i="1"/>
  <c r="BT158" i="1"/>
  <c r="BX158" i="1"/>
  <c r="CB158" i="1"/>
  <c r="CF158" i="1"/>
  <c r="CJ158" i="1"/>
  <c r="CS158" i="1"/>
  <c r="CW158" i="1"/>
  <c r="DA158" i="1"/>
  <c r="DE158" i="1"/>
  <c r="DI158" i="1"/>
  <c r="DM158" i="1"/>
  <c r="DQ158" i="1"/>
  <c r="DU158" i="1"/>
  <c r="ED158" i="1"/>
  <c r="EH158" i="1"/>
  <c r="EL158" i="1"/>
  <c r="EP158" i="1"/>
  <c r="ET158" i="1"/>
  <c r="EX158" i="1"/>
  <c r="FB158" i="1"/>
  <c r="FF158" i="1"/>
  <c r="FO158" i="1"/>
  <c r="FS158" i="1"/>
  <c r="FW158" i="1"/>
  <c r="GA158" i="1"/>
  <c r="GE158" i="1"/>
  <c r="GI158" i="1"/>
  <c r="GM158" i="1"/>
  <c r="GZ158" i="1"/>
  <c r="HD158" i="1"/>
  <c r="HH158" i="1"/>
  <c r="HL158" i="1"/>
  <c r="HP158" i="1"/>
  <c r="HT158" i="1"/>
  <c r="HX158" i="1"/>
  <c r="BI159" i="1"/>
  <c r="CC159" i="1"/>
  <c r="CC230" i="1" s="1"/>
  <c r="CT159" i="1"/>
  <c r="D177" i="1" s="1"/>
  <c r="DN159" i="1"/>
  <c r="DN230" i="1" s="1"/>
  <c r="EE159" i="1"/>
  <c r="EY159" i="1"/>
  <c r="EY230" i="1" s="1"/>
  <c r="FP159" i="1"/>
  <c r="D179" i="1" s="1"/>
  <c r="GJ159" i="1"/>
  <c r="GJ230" i="1" s="1"/>
  <c r="HA159" i="1"/>
  <c r="HU159" i="1"/>
  <c r="HU230" i="1" s="1"/>
  <c r="BS188" i="1"/>
  <c r="CM188" i="1"/>
  <c r="EE188" i="1"/>
  <c r="EY188" i="1"/>
  <c r="HK188" i="1"/>
  <c r="IE188" i="1"/>
  <c r="BS189" i="1"/>
  <c r="EE189" i="1"/>
  <c r="EY189" i="1"/>
  <c r="HK189" i="1"/>
  <c r="HG189" i="1" s="1"/>
  <c r="BS190" i="1"/>
  <c r="EE190" i="1"/>
  <c r="EY190" i="1"/>
  <c r="HC190" i="1"/>
  <c r="HX190" i="1"/>
  <c r="ID190" i="1"/>
  <c r="BV191" i="1"/>
  <c r="CA191" i="1"/>
  <c r="CF191" i="1"/>
  <c r="EY191" i="1"/>
  <c r="FP191" i="1"/>
  <c r="FZ191" i="1"/>
  <c r="HW191" i="1"/>
  <c r="CE192" i="1"/>
  <c r="CJ192" i="1"/>
  <c r="ER192" i="1"/>
  <c r="EX192" i="1"/>
  <c r="GJ192" i="1"/>
  <c r="GE192" i="1" s="1"/>
  <c r="GT192" i="1"/>
  <c r="HK192" i="1"/>
  <c r="HD192" i="1" s="1"/>
  <c r="HV192" i="1"/>
  <c r="IA192" i="1"/>
  <c r="BS193" i="1"/>
  <c r="BQ193" i="1" s="1"/>
  <c r="CD193" i="1"/>
  <c r="CI193" i="1"/>
  <c r="CT193" i="1"/>
  <c r="HD193" i="1"/>
  <c r="HJ193" i="1"/>
  <c r="HZ193" i="1"/>
  <c r="CH194" i="1"/>
  <c r="DD194" i="1"/>
  <c r="CY194" i="1" s="1"/>
  <c r="DN194" i="1"/>
  <c r="EE194" i="1"/>
  <c r="HC194" i="1"/>
  <c r="HN194" i="1"/>
  <c r="HS194" i="1"/>
  <c r="HX194" i="1"/>
  <c r="ID194" i="1"/>
  <c r="EY195" i="1"/>
  <c r="FP195" i="1"/>
  <c r="FZ195" i="1"/>
  <c r="H267" i="1"/>
  <c r="S267" i="1"/>
  <c r="IN196" i="1"/>
  <c r="IT196" i="1"/>
  <c r="IY196" i="1"/>
  <c r="JJ196" i="1"/>
  <c r="JO196" i="1"/>
  <c r="KD196" i="1"/>
  <c r="KJ196" i="1"/>
  <c r="KO196" i="1"/>
  <c r="KS196" i="1"/>
  <c r="KX196" i="1"/>
  <c r="LJ196" i="1"/>
  <c r="LZ196" i="1"/>
  <c r="ME196" i="1"/>
  <c r="MJ196" i="1"/>
  <c r="K222" i="1"/>
  <c r="L214" i="1"/>
  <c r="DH151" i="1"/>
  <c r="ES151" i="1"/>
  <c r="FE151" i="1"/>
  <c r="HG151" i="1"/>
  <c r="HO151" i="1"/>
  <c r="HS151" i="1"/>
  <c r="IA151" i="1"/>
  <c r="BH152" i="1"/>
  <c r="GZ152" i="1"/>
  <c r="BE153" i="1"/>
  <c r="CG153" i="1"/>
  <c r="DV153" i="1"/>
  <c r="EI153" i="1"/>
  <c r="FG153" i="1"/>
  <c r="IC153" i="1"/>
  <c r="BW155" i="1"/>
  <c r="DH155" i="1"/>
  <c r="DL155" i="1"/>
  <c r="GH155" i="1"/>
  <c r="HO155" i="1"/>
  <c r="HS155" i="1"/>
  <c r="CS156" i="1"/>
  <c r="FO156" i="1"/>
  <c r="BM157" i="1"/>
  <c r="CG157" i="1"/>
  <c r="CK157" i="1"/>
  <c r="DR157" i="1"/>
  <c r="EI157" i="1"/>
  <c r="GN157" i="1"/>
  <c r="HI194" i="1"/>
  <c r="HE194" i="1"/>
  <c r="HI157" i="1"/>
  <c r="HQ157" i="1"/>
  <c r="FI188" i="1"/>
  <c r="IW196" i="1"/>
  <c r="JA196" i="1"/>
  <c r="JE196" i="1"/>
  <c r="KM196" i="1"/>
  <c r="LU196" i="1"/>
  <c r="LY196" i="1"/>
  <c r="FI431" i="1"/>
  <c r="FE431" i="1"/>
  <c r="FA431" i="1"/>
  <c r="EW431" i="1"/>
  <c r="ES431" i="1"/>
  <c r="EO431" i="1"/>
  <c r="EK431" i="1"/>
  <c r="EG431" i="1"/>
  <c r="FH431" i="1"/>
  <c r="FC431" i="1"/>
  <c r="EX431" i="1"/>
  <c r="ER431" i="1"/>
  <c r="EM431" i="1"/>
  <c r="EH431" i="1"/>
  <c r="FI415" i="1"/>
  <c r="FE415" i="1"/>
  <c r="FA415" i="1"/>
  <c r="EW415" i="1"/>
  <c r="ES415" i="1"/>
  <c r="EO415" i="1"/>
  <c r="EK415" i="1"/>
  <c r="EG415" i="1"/>
  <c r="FG431" i="1"/>
  <c r="FB431" i="1"/>
  <c r="EV431" i="1"/>
  <c r="EQ431" i="1"/>
  <c r="EL431" i="1"/>
  <c r="EF431" i="1"/>
  <c r="FH415" i="1"/>
  <c r="FD415" i="1"/>
  <c r="EZ415" i="1"/>
  <c r="EV415" i="1"/>
  <c r="ER415" i="1"/>
  <c r="EN415" i="1"/>
  <c r="EJ415" i="1"/>
  <c r="EF415" i="1"/>
  <c r="EY431" i="1"/>
  <c r="EN431" i="1"/>
  <c r="FF431" i="1"/>
  <c r="EU431" i="1"/>
  <c r="EJ431" i="1"/>
  <c r="FD431" i="1"/>
  <c r="ET431" i="1"/>
  <c r="EI431" i="1"/>
  <c r="EZ431" i="1"/>
  <c r="EP431" i="1"/>
  <c r="FF415" i="1"/>
  <c r="EX415" i="1"/>
  <c r="EP415" i="1"/>
  <c r="EH415" i="1"/>
  <c r="FC415" i="1"/>
  <c r="EU415" i="1"/>
  <c r="EM415" i="1"/>
  <c r="FB415" i="1"/>
  <c r="ET415" i="1"/>
  <c r="EL415" i="1"/>
  <c r="FG415" i="1"/>
  <c r="EY415" i="1"/>
  <c r="EQ415" i="1"/>
  <c r="EI415" i="1"/>
  <c r="GR431" i="1"/>
  <c r="GN431" i="1"/>
  <c r="GJ431" i="1"/>
  <c r="GF431" i="1"/>
  <c r="GB431" i="1"/>
  <c r="FX431" i="1"/>
  <c r="FT431" i="1"/>
  <c r="GP431" i="1"/>
  <c r="GK431" i="1"/>
  <c r="GE431" i="1"/>
  <c r="FZ431" i="1"/>
  <c r="FU431" i="1"/>
  <c r="GR415" i="1"/>
  <c r="GN415" i="1"/>
  <c r="GJ415" i="1"/>
  <c r="GF415" i="1"/>
  <c r="GB415" i="1"/>
  <c r="FX415" i="1"/>
  <c r="FT415" i="1"/>
  <c r="GT431" i="1"/>
  <c r="GO431" i="1"/>
  <c r="GI431" i="1"/>
  <c r="GD431" i="1"/>
  <c r="FY431" i="1"/>
  <c r="FS431" i="1"/>
  <c r="GQ415" i="1"/>
  <c r="GM415" i="1"/>
  <c r="GI415" i="1"/>
  <c r="GE415" i="1"/>
  <c r="GA415" i="1"/>
  <c r="FW415" i="1"/>
  <c r="FS415" i="1"/>
  <c r="GL431" i="1"/>
  <c r="GA431" i="1"/>
  <c r="FQ431" i="1"/>
  <c r="GS431" i="1"/>
  <c r="GH431" i="1"/>
  <c r="FW431" i="1"/>
  <c r="GQ431" i="1"/>
  <c r="GG431" i="1"/>
  <c r="FV431" i="1"/>
  <c r="GM431" i="1"/>
  <c r="GC431" i="1"/>
  <c r="FR431" i="1"/>
  <c r="GS415" i="1"/>
  <c r="GK415" i="1"/>
  <c r="GC415" i="1"/>
  <c r="FU415" i="1"/>
  <c r="GP415" i="1"/>
  <c r="GH415" i="1"/>
  <c r="FZ415" i="1"/>
  <c r="FR415" i="1"/>
  <c r="GO415" i="1"/>
  <c r="GG415" i="1"/>
  <c r="FY415" i="1"/>
  <c r="FQ415" i="1"/>
  <c r="GT415" i="1"/>
  <c r="GL415" i="1"/>
  <c r="GD415" i="1"/>
  <c r="FV415" i="1"/>
  <c r="BX191" i="1"/>
  <c r="IE432" i="1"/>
  <c r="IA432" i="1"/>
  <c r="HW432" i="1"/>
  <c r="HS432" i="1"/>
  <c r="HO432" i="1"/>
  <c r="HK432" i="1"/>
  <c r="HG432" i="1"/>
  <c r="HC432" i="1"/>
  <c r="ID416" i="1"/>
  <c r="HZ416" i="1"/>
  <c r="HV416" i="1"/>
  <c r="HR416" i="1"/>
  <c r="HN416" i="1"/>
  <c r="HJ416" i="1"/>
  <c r="HF416" i="1"/>
  <c r="HB416" i="1"/>
  <c r="IC432" i="1"/>
  <c r="HX432" i="1"/>
  <c r="HR432" i="1"/>
  <c r="HM432" i="1"/>
  <c r="HH432" i="1"/>
  <c r="HB432" i="1"/>
  <c r="IE416" i="1"/>
  <c r="HY416" i="1"/>
  <c r="HT416" i="1"/>
  <c r="HO416" i="1"/>
  <c r="HI416" i="1"/>
  <c r="HD416" i="1"/>
  <c r="IB432" i="1"/>
  <c r="HV432" i="1"/>
  <c r="HQ432" i="1"/>
  <c r="HL432" i="1"/>
  <c r="HF432" i="1"/>
  <c r="IC416" i="1"/>
  <c r="HX416" i="1"/>
  <c r="HS416" i="1"/>
  <c r="HM416" i="1"/>
  <c r="HH416" i="1"/>
  <c r="HC416" i="1"/>
  <c r="ID432" i="1"/>
  <c r="HT432" i="1"/>
  <c r="HI432" i="1"/>
  <c r="HZ432" i="1"/>
  <c r="HP432" i="1"/>
  <c r="HE432" i="1"/>
  <c r="HY432" i="1"/>
  <c r="HN432" i="1"/>
  <c r="HD432" i="1"/>
  <c r="HU432" i="1"/>
  <c r="HJ432" i="1"/>
  <c r="HU416" i="1"/>
  <c r="HK416" i="1"/>
  <c r="IB416" i="1"/>
  <c r="HQ416" i="1"/>
  <c r="HG416" i="1"/>
  <c r="IA416" i="1"/>
  <c r="HP416" i="1"/>
  <c r="HE416" i="1"/>
  <c r="HW416" i="1"/>
  <c r="HL416" i="1"/>
  <c r="EP192" i="1"/>
  <c r="DW434" i="1"/>
  <c r="DS434" i="1"/>
  <c r="DO434" i="1"/>
  <c r="DK434" i="1"/>
  <c r="DG434" i="1"/>
  <c r="DC434" i="1"/>
  <c r="CY434" i="1"/>
  <c r="CU434" i="1"/>
  <c r="DV434" i="1"/>
  <c r="DQ434" i="1"/>
  <c r="DL434" i="1"/>
  <c r="DF434" i="1"/>
  <c r="DA434" i="1"/>
  <c r="CV434" i="1"/>
  <c r="DU418" i="1"/>
  <c r="DQ418" i="1"/>
  <c r="DM418" i="1"/>
  <c r="DI418" i="1"/>
  <c r="DE418" i="1"/>
  <c r="DA418" i="1"/>
  <c r="CW418" i="1"/>
  <c r="DU434" i="1"/>
  <c r="DN434" i="1"/>
  <c r="DH434" i="1"/>
  <c r="CZ434" i="1"/>
  <c r="DW418" i="1"/>
  <c r="DR418" i="1"/>
  <c r="DL418" i="1"/>
  <c r="DG418" i="1"/>
  <c r="DB418" i="1"/>
  <c r="CV418" i="1"/>
  <c r="DT434" i="1"/>
  <c r="DM434" i="1"/>
  <c r="DE434" i="1"/>
  <c r="CX434" i="1"/>
  <c r="DV418" i="1"/>
  <c r="DP418" i="1"/>
  <c r="DK418" i="1"/>
  <c r="DF418" i="1"/>
  <c r="CZ418" i="1"/>
  <c r="CU418" i="1"/>
  <c r="DP434" i="1"/>
  <c r="DB434" i="1"/>
  <c r="DJ434" i="1"/>
  <c r="CW434" i="1"/>
  <c r="DX434" i="1"/>
  <c r="DI434" i="1"/>
  <c r="DR434" i="1"/>
  <c r="DD434" i="1"/>
  <c r="DS418" i="1"/>
  <c r="DH418" i="1"/>
  <c r="CX418" i="1"/>
  <c r="DO418" i="1"/>
  <c r="DD418" i="1"/>
  <c r="DX418" i="1"/>
  <c r="DN418" i="1"/>
  <c r="DC418" i="1"/>
  <c r="DT418" i="1"/>
  <c r="DJ418" i="1"/>
  <c r="CY418" i="1"/>
  <c r="GJ194" i="1"/>
  <c r="HF194" i="1"/>
  <c r="HP194" i="1"/>
  <c r="C989" i="1"/>
  <c r="C841" i="1"/>
  <c r="C790" i="1"/>
  <c r="BH151" i="1"/>
  <c r="BT151" i="1"/>
  <c r="DA151" i="1"/>
  <c r="DM151" i="1"/>
  <c r="ET151" i="1"/>
  <c r="FO151" i="1"/>
  <c r="GE151" i="1"/>
  <c r="GQ151" i="1"/>
  <c r="HH151" i="1"/>
  <c r="CK152" i="1"/>
  <c r="DB152" i="1"/>
  <c r="DR152" i="1"/>
  <c r="EA152" i="1"/>
  <c r="EI152" i="1"/>
  <c r="EM152" i="1"/>
  <c r="EU152" i="1"/>
  <c r="FG152" i="1"/>
  <c r="BN153" i="1"/>
  <c r="BR153" i="1"/>
  <c r="CD153" i="1"/>
  <c r="CQ153" i="1"/>
  <c r="DC153" i="1"/>
  <c r="DO153" i="1"/>
  <c r="EB153" i="1"/>
  <c r="EV153" i="1"/>
  <c r="FH153" i="1"/>
  <c r="FU153" i="1"/>
  <c r="GG153" i="1"/>
  <c r="GS153" i="1"/>
  <c r="HF153" i="1"/>
  <c r="HR153" i="1"/>
  <c r="ID153" i="1"/>
  <c r="C983" i="1"/>
  <c r="C784" i="1"/>
  <c r="C835" i="1"/>
  <c r="C470" i="1"/>
  <c r="C370" i="1"/>
  <c r="C269" i="1"/>
  <c r="C987" i="1"/>
  <c r="C788" i="1"/>
  <c r="C839" i="1"/>
  <c r="C474" i="1"/>
  <c r="C374" i="1"/>
  <c r="C273" i="1"/>
  <c r="BJ151" i="1"/>
  <c r="BN151" i="1"/>
  <c r="BV151" i="1"/>
  <c r="CD151" i="1"/>
  <c r="CH151" i="1"/>
  <c r="CU151" i="1"/>
  <c r="CY151" i="1"/>
  <c r="DC151" i="1"/>
  <c r="DG151" i="1"/>
  <c r="DO151" i="1"/>
  <c r="DS151" i="1"/>
  <c r="DW151" i="1"/>
  <c r="EF151" i="1"/>
  <c r="EJ151" i="1"/>
  <c r="ER151" i="1"/>
  <c r="EZ151" i="1"/>
  <c r="FD151" i="1"/>
  <c r="FQ151" i="1"/>
  <c r="FU151" i="1"/>
  <c r="GC151" i="1"/>
  <c r="GG151" i="1"/>
  <c r="GK151" i="1"/>
  <c r="GO151" i="1"/>
  <c r="HB151" i="1"/>
  <c r="HF151" i="1"/>
  <c r="HN151" i="1"/>
  <c r="HV151" i="1"/>
  <c r="HZ151" i="1"/>
  <c r="BK152" i="1"/>
  <c r="BW152" i="1"/>
  <c r="CE152" i="1"/>
  <c r="CV152" i="1"/>
  <c r="CZ152" i="1"/>
  <c r="DH152" i="1"/>
  <c r="DP152" i="1"/>
  <c r="DT152" i="1"/>
  <c r="EG152" i="1"/>
  <c r="ES152" i="1"/>
  <c r="FA152" i="1"/>
  <c r="FR152" i="1"/>
  <c r="GD152" i="1"/>
  <c r="GH152" i="1"/>
  <c r="GL152" i="1"/>
  <c r="HC152" i="1"/>
  <c r="HO152" i="1"/>
  <c r="HW152" i="1"/>
  <c r="BL153" i="1"/>
  <c r="BT153" i="1"/>
  <c r="BX153" i="1"/>
  <c r="CF153" i="1"/>
  <c r="CW153" i="1"/>
  <c r="DA153" i="1"/>
  <c r="DE153" i="1"/>
  <c r="DI153" i="1"/>
  <c r="DQ153" i="1"/>
  <c r="DU153" i="1"/>
  <c r="EH153" i="1"/>
  <c r="EP153" i="1"/>
  <c r="ET153" i="1"/>
  <c r="FB153" i="1"/>
  <c r="FS153" i="1"/>
  <c r="GA153" i="1"/>
  <c r="GE153" i="1"/>
  <c r="GM153" i="1"/>
  <c r="HD153" i="1"/>
  <c r="HH153" i="1"/>
  <c r="HL153" i="1"/>
  <c r="HP153" i="1"/>
  <c r="HX153" i="1"/>
  <c r="IB153" i="1"/>
  <c r="BM154" i="1"/>
  <c r="BQ154" i="1"/>
  <c r="BU154" i="1"/>
  <c r="CK191" i="1"/>
  <c r="CG191" i="1"/>
  <c r="CG154" i="1"/>
  <c r="CK154" i="1"/>
  <c r="CX154" i="1"/>
  <c r="DF154" i="1"/>
  <c r="DJ154" i="1"/>
  <c r="DR154" i="1"/>
  <c r="DV154" i="1"/>
  <c r="EI154" i="1"/>
  <c r="EM154" i="1"/>
  <c r="EQ154" i="1"/>
  <c r="EU154" i="1"/>
  <c r="FC154" i="1"/>
  <c r="FT154" i="1"/>
  <c r="GB154" i="1"/>
  <c r="GN154" i="1"/>
  <c r="HE154" i="1"/>
  <c r="HI154" i="1"/>
  <c r="HM154" i="1"/>
  <c r="IC191" i="1"/>
  <c r="HY191" i="1"/>
  <c r="HY154" i="1"/>
  <c r="IC154" i="1"/>
  <c r="BJ155" i="1"/>
  <c r="BN155" i="1"/>
  <c r="BR155" i="1"/>
  <c r="BV155" i="1"/>
  <c r="CD155" i="1"/>
  <c r="CH155" i="1"/>
  <c r="CL155" i="1"/>
  <c r="CU155" i="1"/>
  <c r="CY155" i="1"/>
  <c r="DG155" i="1"/>
  <c r="DO155" i="1"/>
  <c r="DS155" i="1"/>
  <c r="EF155" i="1"/>
  <c r="EJ155" i="1"/>
  <c r="ER155" i="1"/>
  <c r="EV155" i="1"/>
  <c r="EZ155" i="1"/>
  <c r="FD155" i="1"/>
  <c r="FH155" i="1"/>
  <c r="FQ155" i="1"/>
  <c r="FU155" i="1"/>
  <c r="FY155" i="1"/>
  <c r="GC155" i="1"/>
  <c r="GG155" i="1"/>
  <c r="GK155" i="1"/>
  <c r="GO155" i="1"/>
  <c r="HB155" i="1"/>
  <c r="HF155" i="1"/>
  <c r="HJ155" i="1"/>
  <c r="HN155" i="1"/>
  <c r="HV155" i="1"/>
  <c r="HZ155" i="1"/>
  <c r="ID155" i="1"/>
  <c r="BK156" i="1"/>
  <c r="BO156" i="1"/>
  <c r="BW156" i="1"/>
  <c r="CE156" i="1"/>
  <c r="CI156" i="1"/>
  <c r="CV156" i="1"/>
  <c r="DH156" i="1"/>
  <c r="DP156" i="1"/>
  <c r="EG156" i="1"/>
  <c r="ES156" i="1"/>
  <c r="EW156" i="1"/>
  <c r="FA156" i="1"/>
  <c r="FF434" i="1"/>
  <c r="FB434" i="1"/>
  <c r="EX434" i="1"/>
  <c r="ET434" i="1"/>
  <c r="EP434" i="1"/>
  <c r="EL434" i="1"/>
  <c r="EH434" i="1"/>
  <c r="FI434" i="1"/>
  <c r="FD434" i="1"/>
  <c r="EY434" i="1"/>
  <c r="ES434" i="1"/>
  <c r="EN434" i="1"/>
  <c r="EI434" i="1"/>
  <c r="FH418" i="1"/>
  <c r="FD418" i="1"/>
  <c r="EZ418" i="1"/>
  <c r="EV418" i="1"/>
  <c r="ER418" i="1"/>
  <c r="EN418" i="1"/>
  <c r="EJ418" i="1"/>
  <c r="EF418" i="1"/>
  <c r="FE434" i="1"/>
  <c r="EW434" i="1"/>
  <c r="EQ434" i="1"/>
  <c r="EJ434" i="1"/>
  <c r="FE418" i="1"/>
  <c r="EY418" i="1"/>
  <c r="ET418" i="1"/>
  <c r="EO418" i="1"/>
  <c r="EI418" i="1"/>
  <c r="FC434" i="1"/>
  <c r="EV434" i="1"/>
  <c r="EO434" i="1"/>
  <c r="EG434" i="1"/>
  <c r="FI418" i="1"/>
  <c r="FC418" i="1"/>
  <c r="EX418" i="1"/>
  <c r="ES418" i="1"/>
  <c r="EM418" i="1"/>
  <c r="EH418" i="1"/>
  <c r="EZ434" i="1"/>
  <c r="EK434" i="1"/>
  <c r="FH434" i="1"/>
  <c r="EU434" i="1"/>
  <c r="EF434" i="1"/>
  <c r="FG434" i="1"/>
  <c r="ER434" i="1"/>
  <c r="FA434" i="1"/>
  <c r="EM434" i="1"/>
  <c r="FF418" i="1"/>
  <c r="EU418" i="1"/>
  <c r="EK418" i="1"/>
  <c r="FB418" i="1"/>
  <c r="EQ418" i="1"/>
  <c r="EG418" i="1"/>
  <c r="FA418" i="1"/>
  <c r="EP418" i="1"/>
  <c r="FG418" i="1"/>
  <c r="EW418" i="1"/>
  <c r="EL418" i="1"/>
  <c r="FR156" i="1"/>
  <c r="GD156" i="1"/>
  <c r="GL156" i="1"/>
  <c r="GP156" i="1"/>
  <c r="HC156" i="1"/>
  <c r="HG156" i="1"/>
  <c r="HO156" i="1"/>
  <c r="HS156" i="1"/>
  <c r="HW156" i="1"/>
  <c r="IA156" i="1"/>
  <c r="BL157" i="1"/>
  <c r="BP157" i="1"/>
  <c r="BT157" i="1"/>
  <c r="BX157" i="1"/>
  <c r="CB157" i="1"/>
  <c r="CF157" i="1"/>
  <c r="CJ157" i="1"/>
  <c r="CW157" i="1"/>
  <c r="DA157" i="1"/>
  <c r="DE157" i="1"/>
  <c r="DI157" i="1"/>
  <c r="DQ157" i="1"/>
  <c r="EH157" i="1"/>
  <c r="EP157" i="1"/>
  <c r="ET157" i="1"/>
  <c r="EX157" i="1"/>
  <c r="FB157" i="1"/>
  <c r="FS157" i="1"/>
  <c r="GA157" i="1"/>
  <c r="GE157" i="1"/>
  <c r="GM157" i="1"/>
  <c r="HD157" i="1"/>
  <c r="HH157" i="1"/>
  <c r="HL157" i="1"/>
  <c r="HP157" i="1"/>
  <c r="HX157" i="1"/>
  <c r="IB157" i="1"/>
  <c r="BM158" i="1"/>
  <c r="BQ158" i="1"/>
  <c r="BU158" i="1"/>
  <c r="CG158" i="1"/>
  <c r="CK158" i="1"/>
  <c r="CX158" i="1"/>
  <c r="DF158" i="1"/>
  <c r="DJ158" i="1"/>
  <c r="DR158" i="1"/>
  <c r="DV158" i="1"/>
  <c r="EI158" i="1"/>
  <c r="EM158" i="1"/>
  <c r="EQ158" i="1"/>
  <c r="EU158" i="1"/>
  <c r="FC158" i="1"/>
  <c r="FT158" i="1"/>
  <c r="GB158" i="1"/>
  <c r="GN158" i="1"/>
  <c r="HE158" i="1"/>
  <c r="HI158" i="1"/>
  <c r="HM158" i="1"/>
  <c r="HY158" i="1"/>
  <c r="IC158" i="1"/>
  <c r="JI196" i="1"/>
  <c r="JM196" i="1"/>
  <c r="KU196" i="1"/>
  <c r="KY196" i="1"/>
  <c r="MC196" i="1"/>
  <c r="MG196" i="1"/>
  <c r="MK196" i="1"/>
  <c r="HZ190" i="1"/>
  <c r="BW191" i="1"/>
  <c r="CB191" i="1"/>
  <c r="CH191" i="1"/>
  <c r="HX191" i="1"/>
  <c r="ID191" i="1"/>
  <c r="CF192" i="1"/>
  <c r="CL192" i="1"/>
  <c r="ET192" i="1"/>
  <c r="HW192" i="1"/>
  <c r="IB192" i="1"/>
  <c r="CE193" i="1"/>
  <c r="CJ193" i="1"/>
  <c r="HF193" i="1"/>
  <c r="HV193" i="1"/>
  <c r="IA193" i="1"/>
  <c r="CD194" i="1"/>
  <c r="CI194" i="1"/>
  <c r="HD194" i="1"/>
  <c r="HJ194" i="1"/>
  <c r="HO194" i="1"/>
  <c r="HT194" i="1"/>
  <c r="HZ194" i="1"/>
  <c r="I437" i="1"/>
  <c r="I776" i="1" s="1"/>
  <c r="I421" i="1"/>
  <c r="I775" i="1" s="1"/>
  <c r="M437" i="1"/>
  <c r="M776" i="1" s="1"/>
  <c r="M421" i="1"/>
  <c r="M775" i="1" s="1"/>
  <c r="D513" i="1"/>
  <c r="D514" i="1" s="1"/>
  <c r="M232" i="1"/>
  <c r="IP196" i="1"/>
  <c r="IU196" i="1"/>
  <c r="IZ196" i="1"/>
  <c r="JK196" i="1"/>
  <c r="E220" i="1"/>
  <c r="JP347" i="1"/>
  <c r="JZ196" i="1"/>
  <c r="KF196" i="1"/>
  <c r="KK196" i="1"/>
  <c r="KP196" i="1"/>
  <c r="KT196" i="1"/>
  <c r="KZ196" i="1"/>
  <c r="LK196" i="1"/>
  <c r="LP196" i="1"/>
  <c r="LV196" i="1"/>
  <c r="MA196" i="1"/>
  <c r="MF196" i="1"/>
  <c r="BK229" i="1"/>
  <c r="BP229" i="1"/>
  <c r="BV229" i="1"/>
  <c r="CA229" i="1"/>
  <c r="CE229" i="1"/>
  <c r="CJ229" i="1"/>
  <c r="CV229" i="1"/>
  <c r="DA229" i="1"/>
  <c r="DF229" i="1"/>
  <c r="DL229" i="1"/>
  <c r="DQ229" i="1"/>
  <c r="DV229" i="1"/>
  <c r="EH229" i="1"/>
  <c r="EM229" i="1"/>
  <c r="EQ229" i="1"/>
  <c r="EV229" i="1"/>
  <c r="FB229" i="1"/>
  <c r="FG229" i="1"/>
  <c r="FQ229" i="1"/>
  <c r="FV229" i="1"/>
  <c r="GB229" i="1"/>
  <c r="GG229" i="1"/>
  <c r="GL229" i="1"/>
  <c r="GR229" i="1"/>
  <c r="HB229" i="1"/>
  <c r="HG229" i="1"/>
  <c r="HL229" i="1"/>
  <c r="HR229" i="1"/>
  <c r="HV229" i="1"/>
  <c r="IA229" i="1"/>
  <c r="W230" i="1"/>
  <c r="AB230" i="1"/>
  <c r="AQ230" i="1"/>
  <c r="AV230" i="1"/>
  <c r="AC268" i="1"/>
  <c r="J268" i="1"/>
  <c r="AH268" i="1"/>
  <c r="K268" i="1"/>
  <c r="AM232" i="1"/>
  <c r="AM268" i="1" s="1"/>
  <c r="L268" i="1"/>
  <c r="BP339" i="1"/>
  <c r="BX339" i="1"/>
  <c r="CF339" i="1"/>
  <c r="HH339" i="1"/>
  <c r="HP339" i="1"/>
  <c r="HX339" i="1"/>
  <c r="BP340" i="1"/>
  <c r="BP397" i="1" s="1"/>
  <c r="BX340" i="1"/>
  <c r="CF340" i="1"/>
  <c r="CF397" i="1" s="1"/>
  <c r="HH340" i="1"/>
  <c r="HP340" i="1"/>
  <c r="HX340" i="1"/>
  <c r="BP341" i="1"/>
  <c r="BX341" i="1"/>
  <c r="CF341" i="1"/>
  <c r="CF398" i="1" s="1"/>
  <c r="HH341" i="1"/>
  <c r="HH398" i="1" s="1"/>
  <c r="HP341" i="1"/>
  <c r="HX341" i="1"/>
  <c r="BP342" i="1"/>
  <c r="BX342" i="1"/>
  <c r="CF342" i="1"/>
  <c r="CF399" i="1" s="1"/>
  <c r="HH342" i="1"/>
  <c r="HP342" i="1"/>
  <c r="HX342" i="1"/>
  <c r="LQ399" i="1"/>
  <c r="BP343" i="1"/>
  <c r="BX343" i="1"/>
  <c r="CF343" i="1"/>
  <c r="HH343" i="1"/>
  <c r="HP343" i="1"/>
  <c r="HX343" i="1"/>
  <c r="KH400" i="1"/>
  <c r="BP344" i="1"/>
  <c r="BX344" i="1"/>
  <c r="CF344" i="1"/>
  <c r="CF401" i="1" s="1"/>
  <c r="HH344" i="1"/>
  <c r="HP344" i="1"/>
  <c r="HX344" i="1"/>
  <c r="IM401" i="1"/>
  <c r="BP345" i="1"/>
  <c r="BX345" i="1"/>
  <c r="CF345" i="1"/>
  <c r="CF402" i="1" s="1"/>
  <c r="HH345" i="1"/>
  <c r="HP345" i="1"/>
  <c r="HX345" i="1"/>
  <c r="BP346" i="1"/>
  <c r="BP403" i="1" s="1"/>
  <c r="BX346" i="1"/>
  <c r="CF346" i="1"/>
  <c r="HH346" i="1"/>
  <c r="HP346" i="1"/>
  <c r="HX346" i="1"/>
  <c r="AA369" i="1"/>
  <c r="AB404" i="1"/>
  <c r="AA404" i="1"/>
  <c r="AE369" i="1"/>
  <c r="AE404" i="1"/>
  <c r="AF404" i="1"/>
  <c r="AI369" i="1"/>
  <c r="AJ404" i="1"/>
  <c r="AI404" i="1"/>
  <c r="AM369" i="1"/>
  <c r="AM404" i="1"/>
  <c r="AN404" i="1"/>
  <c r="AQ369" i="1"/>
  <c r="AR404" i="1"/>
  <c r="AQ404" i="1"/>
  <c r="AU369" i="1"/>
  <c r="AU404" i="1"/>
  <c r="AV404" i="1"/>
  <c r="AY369" i="1"/>
  <c r="AZ404" i="1"/>
  <c r="AY404" i="1"/>
  <c r="K369" i="1"/>
  <c r="H421" i="1"/>
  <c r="H775" i="1" s="1"/>
  <c r="H437" i="1"/>
  <c r="H776" i="1" s="1"/>
  <c r="L437" i="1"/>
  <c r="L776" i="1" s="1"/>
  <c r="L421" i="1"/>
  <c r="L775" i="1" s="1"/>
  <c r="D221" i="1"/>
  <c r="JW347" i="1"/>
  <c r="BL229" i="1"/>
  <c r="BR229" i="1"/>
  <c r="BW229" i="1"/>
  <c r="CF229" i="1"/>
  <c r="CL229" i="1"/>
  <c r="CW229" i="1"/>
  <c r="DH229" i="1"/>
  <c r="DM229" i="1"/>
  <c r="EI229" i="1"/>
  <c r="EN229" i="1"/>
  <c r="ER229" i="1"/>
  <c r="EX229" i="1"/>
  <c r="FC229" i="1"/>
  <c r="FH229" i="1"/>
  <c r="FR229" i="1"/>
  <c r="GC229" i="1"/>
  <c r="GH229" i="1"/>
  <c r="GN229" i="1"/>
  <c r="HC229" i="1"/>
  <c r="HH229" i="1"/>
  <c r="HN229" i="1"/>
  <c r="HW229" i="1"/>
  <c r="IB229" i="1"/>
  <c r="X230" i="1"/>
  <c r="AR230" i="1"/>
  <c r="I232" i="1"/>
  <c r="T267" i="1" s="1"/>
  <c r="AD232" i="1"/>
  <c r="AD268" i="1" s="1"/>
  <c r="D254" i="1"/>
  <c r="M268" i="1"/>
  <c r="BK339" i="1"/>
  <c r="BS339" i="1"/>
  <c r="CA339" i="1"/>
  <c r="CI339" i="1"/>
  <c r="FH339" i="1"/>
  <c r="FD339" i="1"/>
  <c r="EZ339" i="1"/>
  <c r="EV339" i="1"/>
  <c r="ER339" i="1"/>
  <c r="EN339" i="1"/>
  <c r="EJ339" i="1"/>
  <c r="EF339" i="1"/>
  <c r="FG339" i="1"/>
  <c r="FC339" i="1"/>
  <c r="EY339" i="1"/>
  <c r="EU339" i="1"/>
  <c r="EQ339" i="1"/>
  <c r="EM339" i="1"/>
  <c r="EI339" i="1"/>
  <c r="HC339" i="1"/>
  <c r="HK339" i="1"/>
  <c r="HS339" i="1"/>
  <c r="IA339" i="1"/>
  <c r="LA429" i="1"/>
  <c r="KW429" i="1"/>
  <c r="KS429" i="1"/>
  <c r="KO429" i="1"/>
  <c r="KK429" i="1"/>
  <c r="KG429" i="1"/>
  <c r="KC429" i="1"/>
  <c r="JY429" i="1"/>
  <c r="KX429" i="1"/>
  <c r="KR429" i="1"/>
  <c r="KM429" i="1"/>
  <c r="KH429" i="1"/>
  <c r="KB429" i="1"/>
  <c r="LA413" i="1"/>
  <c r="KW413" i="1"/>
  <c r="KS413" i="1"/>
  <c r="KO413" i="1"/>
  <c r="KK413" i="1"/>
  <c r="KG413" i="1"/>
  <c r="KC413" i="1"/>
  <c r="JY413" i="1"/>
  <c r="KZ339" i="1"/>
  <c r="LA396" i="1" s="1"/>
  <c r="KV339" i="1"/>
  <c r="KR339" i="1"/>
  <c r="KN339" i="1"/>
  <c r="KJ339" i="1"/>
  <c r="KF339" i="1"/>
  <c r="KB339" i="1"/>
  <c r="JX339" i="1"/>
  <c r="KV429" i="1"/>
  <c r="KQ429" i="1"/>
  <c r="KL429" i="1"/>
  <c r="KF429" i="1"/>
  <c r="KA429" i="1"/>
  <c r="KZ413" i="1"/>
  <c r="KV413" i="1"/>
  <c r="KR413" i="1"/>
  <c r="KN413" i="1"/>
  <c r="KJ413" i="1"/>
  <c r="KF413" i="1"/>
  <c r="KB413" i="1"/>
  <c r="JX413" i="1"/>
  <c r="KY339" i="1"/>
  <c r="KY396" i="1" s="1"/>
  <c r="KU339" i="1"/>
  <c r="KQ339" i="1"/>
  <c r="KM339" i="1"/>
  <c r="KI339" i="1"/>
  <c r="KE339" i="1"/>
  <c r="KA339" i="1"/>
  <c r="KY429" i="1"/>
  <c r="KN429" i="1"/>
  <c r="KD429" i="1"/>
  <c r="KU429" i="1"/>
  <c r="KJ429" i="1"/>
  <c r="JZ429" i="1"/>
  <c r="KT429" i="1"/>
  <c r="KI429" i="1"/>
  <c r="JX429" i="1"/>
  <c r="KE429" i="1"/>
  <c r="KX413" i="1"/>
  <c r="KP413" i="1"/>
  <c r="KH413" i="1"/>
  <c r="JZ413" i="1"/>
  <c r="KU413" i="1"/>
  <c r="KM413" i="1"/>
  <c r="KE413" i="1"/>
  <c r="KZ429" i="1"/>
  <c r="KT413" i="1"/>
  <c r="KL413" i="1"/>
  <c r="KD413" i="1"/>
  <c r="KP429" i="1"/>
  <c r="KY413" i="1"/>
  <c r="KQ413" i="1"/>
  <c r="KI413" i="1"/>
  <c r="KA413" i="1"/>
  <c r="BK340" i="1"/>
  <c r="BS340" i="1"/>
  <c r="CA340" i="1"/>
  <c r="CI340" i="1"/>
  <c r="FH340" i="1"/>
  <c r="FI397" i="1" s="1"/>
  <c r="FD340" i="1"/>
  <c r="FE397" i="1" s="1"/>
  <c r="EZ340" i="1"/>
  <c r="EV340" i="1"/>
  <c r="ER340" i="1"/>
  <c r="EN340" i="1"/>
  <c r="EJ340" i="1"/>
  <c r="EF340" i="1"/>
  <c r="FG340" i="1"/>
  <c r="FG397" i="1" s="1"/>
  <c r="FC340" i="1"/>
  <c r="EY340" i="1"/>
  <c r="EU340" i="1"/>
  <c r="EQ340" i="1"/>
  <c r="EM340" i="1"/>
  <c r="EI340" i="1"/>
  <c r="HC340" i="1"/>
  <c r="HK340" i="1"/>
  <c r="HS340" i="1"/>
  <c r="IA340" i="1"/>
  <c r="IB397" i="1" s="1"/>
  <c r="LA430" i="1"/>
  <c r="KW430" i="1"/>
  <c r="KS430" i="1"/>
  <c r="KO430" i="1"/>
  <c r="KK430" i="1"/>
  <c r="KG430" i="1"/>
  <c r="KC430" i="1"/>
  <c r="JY430" i="1"/>
  <c r="KX430" i="1"/>
  <c r="KR430" i="1"/>
  <c r="KM430" i="1"/>
  <c r="KH430" i="1"/>
  <c r="KB430" i="1"/>
  <c r="LA414" i="1"/>
  <c r="KW414" i="1"/>
  <c r="KS414" i="1"/>
  <c r="KO414" i="1"/>
  <c r="KK414" i="1"/>
  <c r="KG414" i="1"/>
  <c r="KC414" i="1"/>
  <c r="JY414" i="1"/>
  <c r="KZ340" i="1"/>
  <c r="KV340" i="1"/>
  <c r="KR340" i="1"/>
  <c r="KN340" i="1"/>
  <c r="KJ340" i="1"/>
  <c r="KF340" i="1"/>
  <c r="KB340" i="1"/>
  <c r="JX340" i="1"/>
  <c r="JX397" i="1" s="1"/>
  <c r="KV430" i="1"/>
  <c r="KQ430" i="1"/>
  <c r="KL430" i="1"/>
  <c r="KF430" i="1"/>
  <c r="KA430" i="1"/>
  <c r="KZ414" i="1"/>
  <c r="KV414" i="1"/>
  <c r="KR414" i="1"/>
  <c r="KN414" i="1"/>
  <c r="KJ414" i="1"/>
  <c r="KF414" i="1"/>
  <c r="KB414" i="1"/>
  <c r="JX414" i="1"/>
  <c r="KY340" i="1"/>
  <c r="KU340" i="1"/>
  <c r="KQ340" i="1"/>
  <c r="KM340" i="1"/>
  <c r="KI340" i="1"/>
  <c r="KE340" i="1"/>
  <c r="KA340" i="1"/>
  <c r="KT430" i="1"/>
  <c r="KI430" i="1"/>
  <c r="JX430" i="1"/>
  <c r="KZ430" i="1"/>
  <c r="KP430" i="1"/>
  <c r="KE430" i="1"/>
  <c r="KY430" i="1"/>
  <c r="KN430" i="1"/>
  <c r="KD430" i="1"/>
  <c r="KU430" i="1"/>
  <c r="KJ430" i="1"/>
  <c r="JZ430" i="1"/>
  <c r="KX414" i="1"/>
  <c r="KP414" i="1"/>
  <c r="KH414" i="1"/>
  <c r="JZ414" i="1"/>
  <c r="KU414" i="1"/>
  <c r="KM414" i="1"/>
  <c r="KE414" i="1"/>
  <c r="KT414" i="1"/>
  <c r="KL414" i="1"/>
  <c r="KD414" i="1"/>
  <c r="KY414" i="1"/>
  <c r="KQ414" i="1"/>
  <c r="KI414" i="1"/>
  <c r="KA414" i="1"/>
  <c r="BK341" i="1"/>
  <c r="BS341" i="1"/>
  <c r="CA341" i="1"/>
  <c r="CI341" i="1"/>
  <c r="CJ398" i="1" s="1"/>
  <c r="FH341" i="1"/>
  <c r="FI398" i="1" s="1"/>
  <c r="FD341" i="1"/>
  <c r="EZ341" i="1"/>
  <c r="EV341" i="1"/>
  <c r="ER341" i="1"/>
  <c r="EN341" i="1"/>
  <c r="EJ341" i="1"/>
  <c r="EF341" i="1"/>
  <c r="FG341" i="1"/>
  <c r="FC341" i="1"/>
  <c r="EY341" i="1"/>
  <c r="EY398" i="1" s="1"/>
  <c r="EU341" i="1"/>
  <c r="EQ341" i="1"/>
  <c r="EM341" i="1"/>
  <c r="EI341" i="1"/>
  <c r="HC341" i="1"/>
  <c r="HK341" i="1"/>
  <c r="HS341" i="1"/>
  <c r="IA341" i="1"/>
  <c r="LA431" i="1"/>
  <c r="KW431" i="1"/>
  <c r="KS431" i="1"/>
  <c r="KO431" i="1"/>
  <c r="KK431" i="1"/>
  <c r="KG431" i="1"/>
  <c r="KC431" i="1"/>
  <c r="JY431" i="1"/>
  <c r="KZ415" i="1"/>
  <c r="KV415" i="1"/>
  <c r="KR415" i="1"/>
  <c r="KX431" i="1"/>
  <c r="KR431" i="1"/>
  <c r="KM431" i="1"/>
  <c r="KH431" i="1"/>
  <c r="KB431" i="1"/>
  <c r="KY415" i="1"/>
  <c r="KT415" i="1"/>
  <c r="KO415" i="1"/>
  <c r="KK415" i="1"/>
  <c r="KG415" i="1"/>
  <c r="KC415" i="1"/>
  <c r="JY415" i="1"/>
  <c r="KZ341" i="1"/>
  <c r="KV341" i="1"/>
  <c r="KR341" i="1"/>
  <c r="KN341" i="1"/>
  <c r="KJ341" i="1"/>
  <c r="KF341" i="1"/>
  <c r="KB341" i="1"/>
  <c r="JX341" i="1"/>
  <c r="JX398" i="1" s="1"/>
  <c r="KV431" i="1"/>
  <c r="KQ431" i="1"/>
  <c r="KL431" i="1"/>
  <c r="KF431" i="1"/>
  <c r="KA431" i="1"/>
  <c r="KX415" i="1"/>
  <c r="KS415" i="1"/>
  <c r="KN415" i="1"/>
  <c r="KJ415" i="1"/>
  <c r="KF415" i="1"/>
  <c r="KB415" i="1"/>
  <c r="JX415" i="1"/>
  <c r="LA398" i="1"/>
  <c r="KY341" i="1"/>
  <c r="KY398" i="1" s="1"/>
  <c r="KU341" i="1"/>
  <c r="KQ341" i="1"/>
  <c r="KM341" i="1"/>
  <c r="KI341" i="1"/>
  <c r="KI398" i="1" s="1"/>
  <c r="KE341" i="1"/>
  <c r="KA341" i="1"/>
  <c r="KY431" i="1"/>
  <c r="KN431" i="1"/>
  <c r="KD431" i="1"/>
  <c r="KU431" i="1"/>
  <c r="KJ431" i="1"/>
  <c r="JZ431" i="1"/>
  <c r="KT431" i="1"/>
  <c r="KI431" i="1"/>
  <c r="JX431" i="1"/>
  <c r="KZ431" i="1"/>
  <c r="KP431" i="1"/>
  <c r="KE431" i="1"/>
  <c r="LA415" i="1"/>
  <c r="KP415" i="1"/>
  <c r="KH415" i="1"/>
  <c r="JZ415" i="1"/>
  <c r="KW415" i="1"/>
  <c r="KM415" i="1"/>
  <c r="KE415" i="1"/>
  <c r="KU415" i="1"/>
  <c r="KL415" i="1"/>
  <c r="KD415" i="1"/>
  <c r="KQ415" i="1"/>
  <c r="KI415" i="1"/>
  <c r="KA415" i="1"/>
  <c r="BK342" i="1"/>
  <c r="BS342" i="1"/>
  <c r="CA342" i="1"/>
  <c r="CI342" i="1"/>
  <c r="FH342" i="1"/>
  <c r="FD342" i="1"/>
  <c r="EZ342" i="1"/>
  <c r="FA399" i="1" s="1"/>
  <c r="EV342" i="1"/>
  <c r="ER342" i="1"/>
  <c r="EN342" i="1"/>
  <c r="EJ342" i="1"/>
  <c r="EF342" i="1"/>
  <c r="FG342" i="1"/>
  <c r="FC342" i="1"/>
  <c r="EY342" i="1"/>
  <c r="EU342" i="1"/>
  <c r="EQ342" i="1"/>
  <c r="EM342" i="1"/>
  <c r="EI342" i="1"/>
  <c r="HC342" i="1"/>
  <c r="HK342" i="1"/>
  <c r="HS342" i="1"/>
  <c r="IA342" i="1"/>
  <c r="LA432" i="1"/>
  <c r="KW432" i="1"/>
  <c r="KS432" i="1"/>
  <c r="KO432" i="1"/>
  <c r="KK432" i="1"/>
  <c r="KG432" i="1"/>
  <c r="KC432" i="1"/>
  <c r="JY432" i="1"/>
  <c r="KZ416" i="1"/>
  <c r="KV416" i="1"/>
  <c r="KR416" i="1"/>
  <c r="KN416" i="1"/>
  <c r="KJ416" i="1"/>
  <c r="KF416" i="1"/>
  <c r="KB416" i="1"/>
  <c r="JX416" i="1"/>
  <c r="KX432" i="1"/>
  <c r="KR432" i="1"/>
  <c r="KM432" i="1"/>
  <c r="KH432" i="1"/>
  <c r="KB432" i="1"/>
  <c r="KY416" i="1"/>
  <c r="KT416" i="1"/>
  <c r="KO416" i="1"/>
  <c r="KI416" i="1"/>
  <c r="KD416" i="1"/>
  <c r="JY416" i="1"/>
  <c r="KZ342" i="1"/>
  <c r="KV342" i="1"/>
  <c r="KR342" i="1"/>
  <c r="KS399" i="1" s="1"/>
  <c r="KN342" i="1"/>
  <c r="KJ342" i="1"/>
  <c r="KF342" i="1"/>
  <c r="KB342" i="1"/>
  <c r="JX342" i="1"/>
  <c r="JX399" i="1" s="1"/>
  <c r="KV432" i="1"/>
  <c r="KQ432" i="1"/>
  <c r="KL432" i="1"/>
  <c r="KF432" i="1"/>
  <c r="KA432" i="1"/>
  <c r="KX416" i="1"/>
  <c r="KS416" i="1"/>
  <c r="KM416" i="1"/>
  <c r="KH416" i="1"/>
  <c r="KC416" i="1"/>
  <c r="KY342" i="1"/>
  <c r="KU342" i="1"/>
  <c r="KQ342" i="1"/>
  <c r="KM342" i="1"/>
  <c r="KI342" i="1"/>
  <c r="KE342" i="1"/>
  <c r="KA342" i="1"/>
  <c r="KT432" i="1"/>
  <c r="KI432" i="1"/>
  <c r="JX432" i="1"/>
  <c r="KZ432" i="1"/>
  <c r="KP432" i="1"/>
  <c r="KE432" i="1"/>
  <c r="KY432" i="1"/>
  <c r="KN432" i="1"/>
  <c r="KD432" i="1"/>
  <c r="KU432" i="1"/>
  <c r="KJ432" i="1"/>
  <c r="JZ432" i="1"/>
  <c r="KU416" i="1"/>
  <c r="KK416" i="1"/>
  <c r="JZ416" i="1"/>
  <c r="KQ416" i="1"/>
  <c r="KG416" i="1"/>
  <c r="LA416" i="1"/>
  <c r="KP416" i="1"/>
  <c r="KE416" i="1"/>
  <c r="KW416" i="1"/>
  <c r="KL416" i="1"/>
  <c r="KA416" i="1"/>
  <c r="BK343" i="1"/>
  <c r="BS343" i="1"/>
  <c r="CA343" i="1"/>
  <c r="CI343" i="1"/>
  <c r="FH343" i="1"/>
  <c r="FD343" i="1"/>
  <c r="EZ343" i="1"/>
  <c r="EV343" i="1"/>
  <c r="ER343" i="1"/>
  <c r="EN343" i="1"/>
  <c r="EO400" i="1" s="1"/>
  <c r="EJ343" i="1"/>
  <c r="EF343" i="1"/>
  <c r="FG343" i="1"/>
  <c r="FC343" i="1"/>
  <c r="EY343" i="1"/>
  <c r="EY400" i="1" s="1"/>
  <c r="EU343" i="1"/>
  <c r="EQ343" i="1"/>
  <c r="EM343" i="1"/>
  <c r="EM400" i="1" s="1"/>
  <c r="EI343" i="1"/>
  <c r="HC343" i="1"/>
  <c r="HK343" i="1"/>
  <c r="HS343" i="1"/>
  <c r="IA343" i="1"/>
  <c r="KX433" i="1"/>
  <c r="KT433" i="1"/>
  <c r="KP433" i="1"/>
  <c r="KL433" i="1"/>
  <c r="KH433" i="1"/>
  <c r="KD433" i="1"/>
  <c r="JZ433" i="1"/>
  <c r="KY433" i="1"/>
  <c r="KS433" i="1"/>
  <c r="KN433" i="1"/>
  <c r="KI433" i="1"/>
  <c r="KC433" i="1"/>
  <c r="JX433" i="1"/>
  <c r="KZ417" i="1"/>
  <c r="KV417" i="1"/>
  <c r="KR417" i="1"/>
  <c r="KN417" i="1"/>
  <c r="KJ417" i="1"/>
  <c r="KF417" i="1"/>
  <c r="KB417" i="1"/>
  <c r="JX417" i="1"/>
  <c r="KV433" i="1"/>
  <c r="KO433" i="1"/>
  <c r="KG433" i="1"/>
  <c r="KA433" i="1"/>
  <c r="KY417" i="1"/>
  <c r="KT417" i="1"/>
  <c r="KO417" i="1"/>
  <c r="KI417" i="1"/>
  <c r="KD417" i="1"/>
  <c r="JY417" i="1"/>
  <c r="KZ343" i="1"/>
  <c r="LA400" i="1" s="1"/>
  <c r="KV343" i="1"/>
  <c r="KR343" i="1"/>
  <c r="KN343" i="1"/>
  <c r="KJ343" i="1"/>
  <c r="KF343" i="1"/>
  <c r="KB343" i="1"/>
  <c r="JX343" i="1"/>
  <c r="JX400" i="1" s="1"/>
  <c r="LA433" i="1"/>
  <c r="KU433" i="1"/>
  <c r="KM433" i="1"/>
  <c r="KF433" i="1"/>
  <c r="JY433" i="1"/>
  <c r="KX417" i="1"/>
  <c r="KS417" i="1"/>
  <c r="KM417" i="1"/>
  <c r="KH417" i="1"/>
  <c r="KC417" i="1"/>
  <c r="KY343" i="1"/>
  <c r="KU343" i="1"/>
  <c r="KQ343" i="1"/>
  <c r="KM343" i="1"/>
  <c r="KI343" i="1"/>
  <c r="KI400" i="1" s="1"/>
  <c r="KE343" i="1"/>
  <c r="KA343" i="1"/>
  <c r="KW433" i="1"/>
  <c r="KJ433" i="1"/>
  <c r="KR433" i="1"/>
  <c r="KE433" i="1"/>
  <c r="KQ433" i="1"/>
  <c r="KB433" i="1"/>
  <c r="KZ433" i="1"/>
  <c r="KK433" i="1"/>
  <c r="LA417" i="1"/>
  <c r="KP417" i="1"/>
  <c r="KE417" i="1"/>
  <c r="KW417" i="1"/>
  <c r="KL417" i="1"/>
  <c r="KA417" i="1"/>
  <c r="KU417" i="1"/>
  <c r="KK417" i="1"/>
  <c r="JZ417" i="1"/>
  <c r="KQ417" i="1"/>
  <c r="KG417" i="1"/>
  <c r="BK344" i="1"/>
  <c r="BS344" i="1"/>
  <c r="CA344" i="1"/>
  <c r="CI344" i="1"/>
  <c r="FH344" i="1"/>
  <c r="FI401" i="1" s="1"/>
  <c r="FD344" i="1"/>
  <c r="EZ344" i="1"/>
  <c r="EV344" i="1"/>
  <c r="ER344" i="1"/>
  <c r="EN344" i="1"/>
  <c r="EJ344" i="1"/>
  <c r="EK401" i="1" s="1"/>
  <c r="EF344" i="1"/>
  <c r="EF401" i="1" s="1"/>
  <c r="FG344" i="1"/>
  <c r="FC344" i="1"/>
  <c r="FC401" i="1" s="1"/>
  <c r="EY344" i="1"/>
  <c r="EY401" i="1" s="1"/>
  <c r="EU344" i="1"/>
  <c r="EQ344" i="1"/>
  <c r="EM344" i="1"/>
  <c r="EI344" i="1"/>
  <c r="HC344" i="1"/>
  <c r="HK344" i="1"/>
  <c r="HS344" i="1"/>
  <c r="IA344" i="1"/>
  <c r="JP401" i="1"/>
  <c r="KX434" i="1"/>
  <c r="KT434" i="1"/>
  <c r="KP434" i="1"/>
  <c r="KL434" i="1"/>
  <c r="KH434" i="1"/>
  <c r="KD434" i="1"/>
  <c r="JZ434" i="1"/>
  <c r="KY434" i="1"/>
  <c r="KS434" i="1"/>
  <c r="KN434" i="1"/>
  <c r="KI434" i="1"/>
  <c r="KC434" i="1"/>
  <c r="JX434" i="1"/>
  <c r="KZ418" i="1"/>
  <c r="KV418" i="1"/>
  <c r="KR418" i="1"/>
  <c r="KN418" i="1"/>
  <c r="KJ418" i="1"/>
  <c r="KF418" i="1"/>
  <c r="KB418" i="1"/>
  <c r="JX418" i="1"/>
  <c r="KW434" i="1"/>
  <c r="KQ434" i="1"/>
  <c r="KJ434" i="1"/>
  <c r="KB434" i="1"/>
  <c r="KY418" i="1"/>
  <c r="KT418" i="1"/>
  <c r="KO418" i="1"/>
  <c r="KI418" i="1"/>
  <c r="KD418" i="1"/>
  <c r="JY418" i="1"/>
  <c r="KZ344" i="1"/>
  <c r="LA401" i="1" s="1"/>
  <c r="KV344" i="1"/>
  <c r="KR344" i="1"/>
  <c r="KN344" i="1"/>
  <c r="KJ344" i="1"/>
  <c r="KF344" i="1"/>
  <c r="KB344" i="1"/>
  <c r="JX344" i="1"/>
  <c r="JX401" i="1" s="1"/>
  <c r="KV434" i="1"/>
  <c r="KO434" i="1"/>
  <c r="KG434" i="1"/>
  <c r="KA434" i="1"/>
  <c r="KX418" i="1"/>
  <c r="KS418" i="1"/>
  <c r="KM418" i="1"/>
  <c r="KH418" i="1"/>
  <c r="KC418" i="1"/>
  <c r="KY344" i="1"/>
  <c r="KU344" i="1"/>
  <c r="KQ344" i="1"/>
  <c r="KM344" i="1"/>
  <c r="KI344" i="1"/>
  <c r="KE344" i="1"/>
  <c r="KA344" i="1"/>
  <c r="KZ434" i="1"/>
  <c r="KK434" i="1"/>
  <c r="KU434" i="1"/>
  <c r="KF434" i="1"/>
  <c r="KR434" i="1"/>
  <c r="KE434" i="1"/>
  <c r="LA434" i="1"/>
  <c r="KM434" i="1"/>
  <c r="JY434" i="1"/>
  <c r="KU418" i="1"/>
  <c r="KK418" i="1"/>
  <c r="JZ418" i="1"/>
  <c r="KQ418" i="1"/>
  <c r="KG418" i="1"/>
  <c r="LA418" i="1"/>
  <c r="KP418" i="1"/>
  <c r="KE418" i="1"/>
  <c r="KW418" i="1"/>
  <c r="KL418" i="1"/>
  <c r="KA418" i="1"/>
  <c r="BK345" i="1"/>
  <c r="BS345" i="1"/>
  <c r="CA345" i="1"/>
  <c r="CI345" i="1"/>
  <c r="FH345" i="1"/>
  <c r="FD345" i="1"/>
  <c r="EZ345" i="1"/>
  <c r="EV345" i="1"/>
  <c r="ER345" i="1"/>
  <c r="EN345" i="1"/>
  <c r="EJ345" i="1"/>
  <c r="EF345" i="1"/>
  <c r="FG345" i="1"/>
  <c r="FC345" i="1"/>
  <c r="EY345" i="1"/>
  <c r="EU345" i="1"/>
  <c r="EQ345" i="1"/>
  <c r="EM345" i="1"/>
  <c r="EI345" i="1"/>
  <c r="HC345" i="1"/>
  <c r="HK345" i="1"/>
  <c r="HS345" i="1"/>
  <c r="IA345" i="1"/>
  <c r="KX435" i="1"/>
  <c r="KT435" i="1"/>
  <c r="KP435" i="1"/>
  <c r="KL435" i="1"/>
  <c r="KH435" i="1"/>
  <c r="KD435" i="1"/>
  <c r="JZ435" i="1"/>
  <c r="KY435" i="1"/>
  <c r="KS435" i="1"/>
  <c r="KN435" i="1"/>
  <c r="KI435" i="1"/>
  <c r="KC435" i="1"/>
  <c r="JX435" i="1"/>
  <c r="KZ419" i="1"/>
  <c r="KV419" i="1"/>
  <c r="KR419" i="1"/>
  <c r="KN419" i="1"/>
  <c r="KJ419" i="1"/>
  <c r="KF419" i="1"/>
  <c r="KB419" i="1"/>
  <c r="JX419" i="1"/>
  <c r="KZ435" i="1"/>
  <c r="KR435" i="1"/>
  <c r="KK435" i="1"/>
  <c r="KE435" i="1"/>
  <c r="KY419" i="1"/>
  <c r="KT419" i="1"/>
  <c r="KO419" i="1"/>
  <c r="KI419" i="1"/>
  <c r="KD419" i="1"/>
  <c r="JY419" i="1"/>
  <c r="KZ345" i="1"/>
  <c r="LA402" i="1" s="1"/>
  <c r="KV345" i="1"/>
  <c r="KR345" i="1"/>
  <c r="KN345" i="1"/>
  <c r="KJ345" i="1"/>
  <c r="KK402" i="1" s="1"/>
  <c r="KF345" i="1"/>
  <c r="KB345" i="1"/>
  <c r="JX345" i="1"/>
  <c r="JX402" i="1" s="1"/>
  <c r="KW435" i="1"/>
  <c r="KQ435" i="1"/>
  <c r="KJ435" i="1"/>
  <c r="KB435" i="1"/>
  <c r="KX419" i="1"/>
  <c r="KS419" i="1"/>
  <c r="KM419" i="1"/>
  <c r="KH419" i="1"/>
  <c r="KC419" i="1"/>
  <c r="KY345" i="1"/>
  <c r="KU345" i="1"/>
  <c r="KQ345" i="1"/>
  <c r="KQ402" i="1" s="1"/>
  <c r="KM345" i="1"/>
  <c r="KI345" i="1"/>
  <c r="KE345" i="1"/>
  <c r="KA345" i="1"/>
  <c r="LA435" i="1"/>
  <c r="KM435" i="1"/>
  <c r="JY435" i="1"/>
  <c r="KV435" i="1"/>
  <c r="KG435" i="1"/>
  <c r="KU435" i="1"/>
  <c r="KF435" i="1"/>
  <c r="KO435" i="1"/>
  <c r="KA435" i="1"/>
  <c r="LA419" i="1"/>
  <c r="KP419" i="1"/>
  <c r="KE419" i="1"/>
  <c r="KW419" i="1"/>
  <c r="KL419" i="1"/>
  <c r="KA419" i="1"/>
  <c r="KU419" i="1"/>
  <c r="KK419" i="1"/>
  <c r="JZ419" i="1"/>
  <c r="KQ419" i="1"/>
  <c r="KG419" i="1"/>
  <c r="BK346" i="1"/>
  <c r="BS346" i="1"/>
  <c r="CA346" i="1"/>
  <c r="CI346" i="1"/>
  <c r="FH346" i="1"/>
  <c r="FD346" i="1"/>
  <c r="EZ346" i="1"/>
  <c r="EV346" i="1"/>
  <c r="ER346" i="1"/>
  <c r="EN346" i="1"/>
  <c r="EJ346" i="1"/>
  <c r="EF346" i="1"/>
  <c r="FG346" i="1"/>
  <c r="FG403" i="1" s="1"/>
  <c r="FC346" i="1"/>
  <c r="EY346" i="1"/>
  <c r="EY403" i="1" s="1"/>
  <c r="EU346" i="1"/>
  <c r="EQ346" i="1"/>
  <c r="EM346" i="1"/>
  <c r="EI346" i="1"/>
  <c r="HC346" i="1"/>
  <c r="HK346" i="1"/>
  <c r="HS346" i="1"/>
  <c r="IA346" i="1"/>
  <c r="KX436" i="1"/>
  <c r="KT436" i="1"/>
  <c r="KP436" i="1"/>
  <c r="KL436" i="1"/>
  <c r="KH436" i="1"/>
  <c r="KD436" i="1"/>
  <c r="JZ436" i="1"/>
  <c r="KY436" i="1"/>
  <c r="KS436" i="1"/>
  <c r="KN436" i="1"/>
  <c r="KI436" i="1"/>
  <c r="KC436" i="1"/>
  <c r="JX436" i="1"/>
  <c r="KZ420" i="1"/>
  <c r="KV420" i="1"/>
  <c r="KR420" i="1"/>
  <c r="KN420" i="1"/>
  <c r="KJ420" i="1"/>
  <c r="KF420" i="1"/>
  <c r="KB420" i="1"/>
  <c r="JX420" i="1"/>
  <c r="LA436" i="1"/>
  <c r="KU436" i="1"/>
  <c r="KM436" i="1"/>
  <c r="KF436" i="1"/>
  <c r="JY436" i="1"/>
  <c r="KY420" i="1"/>
  <c r="KT420" i="1"/>
  <c r="KO420" i="1"/>
  <c r="KI420" i="1"/>
  <c r="KD420" i="1"/>
  <c r="JY420" i="1"/>
  <c r="KZ346" i="1"/>
  <c r="LA403" i="1" s="1"/>
  <c r="KV346" i="1"/>
  <c r="KR346" i="1"/>
  <c r="KN346" i="1"/>
  <c r="KJ346" i="1"/>
  <c r="KF346" i="1"/>
  <c r="KB346" i="1"/>
  <c r="JX346" i="1"/>
  <c r="JX403" i="1" s="1"/>
  <c r="KZ436" i="1"/>
  <c r="KR436" i="1"/>
  <c r="KK436" i="1"/>
  <c r="KE436" i="1"/>
  <c r="KX420" i="1"/>
  <c r="KS420" i="1"/>
  <c r="KM420" i="1"/>
  <c r="KH420" i="1"/>
  <c r="KC420" i="1"/>
  <c r="KY346" i="1"/>
  <c r="KU346" i="1"/>
  <c r="KQ346" i="1"/>
  <c r="KM346" i="1"/>
  <c r="KI346" i="1"/>
  <c r="KE346" i="1"/>
  <c r="KA346" i="1"/>
  <c r="KW436" i="1"/>
  <c r="KQ436" i="1"/>
  <c r="KJ436" i="1"/>
  <c r="KV436" i="1"/>
  <c r="KA436" i="1"/>
  <c r="KO436" i="1"/>
  <c r="KG436" i="1"/>
  <c r="KB436" i="1"/>
  <c r="KU420" i="1"/>
  <c r="KK420" i="1"/>
  <c r="JZ420" i="1"/>
  <c r="KQ420" i="1"/>
  <c r="KG420" i="1"/>
  <c r="LA420" i="1"/>
  <c r="KP420" i="1"/>
  <c r="KE420" i="1"/>
  <c r="KW420" i="1"/>
  <c r="KL420" i="1"/>
  <c r="KA420" i="1"/>
  <c r="AD369" i="1"/>
  <c r="AL369" i="1"/>
  <c r="AT369" i="1"/>
  <c r="BY229" i="1"/>
  <c r="BU229" i="1"/>
  <c r="BX229" i="1"/>
  <c r="DK229" i="1"/>
  <c r="DG229" i="1"/>
  <c r="DI229" i="1"/>
  <c r="DW229" i="1"/>
  <c r="DS229" i="1"/>
  <c r="DO229" i="1"/>
  <c r="DT229" i="1"/>
  <c r="EK229" i="1"/>
  <c r="EG229" i="1"/>
  <c r="EJ229" i="1"/>
  <c r="FE229" i="1"/>
  <c r="FA229" i="1"/>
  <c r="FD229" i="1"/>
  <c r="GQ229" i="1"/>
  <c r="GM229" i="1"/>
  <c r="GO229" i="1"/>
  <c r="BL339" i="1"/>
  <c r="BT339" i="1"/>
  <c r="CB339" i="1"/>
  <c r="HD339" i="1"/>
  <c r="HL339" i="1"/>
  <c r="HT339" i="1"/>
  <c r="BL340" i="1"/>
  <c r="BT340" i="1"/>
  <c r="CB340" i="1"/>
  <c r="HD340" i="1"/>
  <c r="HL340" i="1"/>
  <c r="HT340" i="1"/>
  <c r="BL341" i="1"/>
  <c r="BT341" i="1"/>
  <c r="CB341" i="1"/>
  <c r="HD341" i="1"/>
  <c r="HL341" i="1"/>
  <c r="HT341" i="1"/>
  <c r="BL342" i="1"/>
  <c r="BT342" i="1"/>
  <c r="CB342" i="1"/>
  <c r="HD342" i="1"/>
  <c r="HL342" i="1"/>
  <c r="HT342" i="1"/>
  <c r="BL343" i="1"/>
  <c r="BT343" i="1"/>
  <c r="CB343" i="1"/>
  <c r="HD343" i="1"/>
  <c r="HL343" i="1"/>
  <c r="HT343" i="1"/>
  <c r="BL344" i="1"/>
  <c r="BT344" i="1"/>
  <c r="CB344" i="1"/>
  <c r="HD344" i="1"/>
  <c r="HL344" i="1"/>
  <c r="HT344" i="1"/>
  <c r="BL345" i="1"/>
  <c r="BT345" i="1"/>
  <c r="CB345" i="1"/>
  <c r="HD345" i="1"/>
  <c r="HL345" i="1"/>
  <c r="HT345" i="1"/>
  <c r="BL346" i="1"/>
  <c r="BT346" i="1"/>
  <c r="CB346" i="1"/>
  <c r="HD346" i="1"/>
  <c r="HL346" i="1"/>
  <c r="HT346" i="1"/>
  <c r="Y885" i="1"/>
  <c r="Y774" i="1"/>
  <c r="Y777" i="1" s="1"/>
  <c r="AW885" i="1"/>
  <c r="K232" i="1"/>
  <c r="V267" i="1" s="1"/>
  <c r="BJ229" i="1"/>
  <c r="BO229" i="1"/>
  <c r="BT229" i="1"/>
  <c r="BZ229" i="1"/>
  <c r="CD229" i="1"/>
  <c r="DC229" i="1"/>
  <c r="CY229" i="1"/>
  <c r="CU229" i="1"/>
  <c r="CZ229" i="1"/>
  <c r="DE229" i="1"/>
  <c r="DJ229" i="1"/>
  <c r="DP229" i="1"/>
  <c r="DU229" i="1"/>
  <c r="EF229" i="1"/>
  <c r="EL229" i="1"/>
  <c r="EP229" i="1"/>
  <c r="EU229" i="1"/>
  <c r="EZ229" i="1"/>
  <c r="FF229" i="1"/>
  <c r="FW229" i="1"/>
  <c r="FS229" i="1"/>
  <c r="FU229" i="1"/>
  <c r="GI229" i="1"/>
  <c r="GE229" i="1"/>
  <c r="GA229" i="1"/>
  <c r="GF229" i="1"/>
  <c r="GK229" i="1"/>
  <c r="GP229" i="1"/>
  <c r="HQ229" i="1"/>
  <c r="HM229" i="1"/>
  <c r="HP229" i="1"/>
  <c r="L230" i="1"/>
  <c r="AA230" i="1"/>
  <c r="AJ230" i="1"/>
  <c r="V232" i="1"/>
  <c r="AR268" i="1"/>
  <c r="CL339" i="1"/>
  <c r="CH339" i="1"/>
  <c r="CD339" i="1"/>
  <c r="BZ339" i="1"/>
  <c r="BV339" i="1"/>
  <c r="BR339" i="1"/>
  <c r="BN339" i="1"/>
  <c r="BJ339" i="1"/>
  <c r="CK339" i="1"/>
  <c r="CG339" i="1"/>
  <c r="CC339" i="1"/>
  <c r="BY339" i="1"/>
  <c r="BU339" i="1"/>
  <c r="BQ339" i="1"/>
  <c r="BM339" i="1"/>
  <c r="ID339" i="1"/>
  <c r="HZ339" i="1"/>
  <c r="HV339" i="1"/>
  <c r="HR339" i="1"/>
  <c r="HN339" i="1"/>
  <c r="HJ339" i="1"/>
  <c r="HF339" i="1"/>
  <c r="HB339" i="1"/>
  <c r="IC339" i="1"/>
  <c r="HY339" i="1"/>
  <c r="HU339" i="1"/>
  <c r="HQ339" i="1"/>
  <c r="HM339" i="1"/>
  <c r="HI339" i="1"/>
  <c r="HE339" i="1"/>
  <c r="CL340" i="1"/>
  <c r="CM397" i="1" s="1"/>
  <c r="CH340" i="1"/>
  <c r="CD340" i="1"/>
  <c r="BZ340" i="1"/>
  <c r="BV340" i="1"/>
  <c r="BR340" i="1"/>
  <c r="BN340" i="1"/>
  <c r="BJ340" i="1"/>
  <c r="BJ397" i="1" s="1"/>
  <c r="CK340" i="1"/>
  <c r="CG340" i="1"/>
  <c r="CC340" i="1"/>
  <c r="BY340" i="1"/>
  <c r="BU340" i="1"/>
  <c r="BQ340" i="1"/>
  <c r="BM340" i="1"/>
  <c r="ID340" i="1"/>
  <c r="IE397" i="1" s="1"/>
  <c r="HZ340" i="1"/>
  <c r="HV340" i="1"/>
  <c r="HR340" i="1"/>
  <c r="HN340" i="1"/>
  <c r="HJ340" i="1"/>
  <c r="HF340" i="1"/>
  <c r="HB340" i="1"/>
  <c r="HB397" i="1" s="1"/>
  <c r="IC340" i="1"/>
  <c r="IC397" i="1" s="1"/>
  <c r="HY340" i="1"/>
  <c r="HU340" i="1"/>
  <c r="HQ340" i="1"/>
  <c r="HM340" i="1"/>
  <c r="HI340" i="1"/>
  <c r="HE340" i="1"/>
  <c r="CL341" i="1"/>
  <c r="CM398" i="1" s="1"/>
  <c r="CH341" i="1"/>
  <c r="CD341" i="1"/>
  <c r="BZ341" i="1"/>
  <c r="BV341" i="1"/>
  <c r="BR341" i="1"/>
  <c r="BN341" i="1"/>
  <c r="BJ341" i="1"/>
  <c r="BJ398" i="1" s="1"/>
  <c r="CK341" i="1"/>
  <c r="CG341" i="1"/>
  <c r="CC341" i="1"/>
  <c r="BY341" i="1"/>
  <c r="BU341" i="1"/>
  <c r="BQ341" i="1"/>
  <c r="BM341" i="1"/>
  <c r="ID341" i="1"/>
  <c r="HZ341" i="1"/>
  <c r="HV341" i="1"/>
  <c r="HR341" i="1"/>
  <c r="HN341" i="1"/>
  <c r="HJ341" i="1"/>
  <c r="HF341" i="1"/>
  <c r="HG398" i="1" s="1"/>
  <c r="HB341" i="1"/>
  <c r="HB398" i="1" s="1"/>
  <c r="IC341" i="1"/>
  <c r="HY341" i="1"/>
  <c r="HU341" i="1"/>
  <c r="HQ341" i="1"/>
  <c r="HM341" i="1"/>
  <c r="HI341" i="1"/>
  <c r="HE341" i="1"/>
  <c r="CL342" i="1"/>
  <c r="CH342" i="1"/>
  <c r="CD342" i="1"/>
  <c r="CE399" i="1" s="1"/>
  <c r="BZ342" i="1"/>
  <c r="BV342" i="1"/>
  <c r="BR342" i="1"/>
  <c r="BN342" i="1"/>
  <c r="BJ342" i="1"/>
  <c r="BJ399" i="1" s="1"/>
  <c r="CK342" i="1"/>
  <c r="CG342" i="1"/>
  <c r="CC342" i="1"/>
  <c r="BY342" i="1"/>
  <c r="BU342" i="1"/>
  <c r="BQ342" i="1"/>
  <c r="BM342" i="1"/>
  <c r="ID342" i="1"/>
  <c r="HZ342" i="1"/>
  <c r="HV342" i="1"/>
  <c r="HR342" i="1"/>
  <c r="HN342" i="1"/>
  <c r="HJ342" i="1"/>
  <c r="HF342" i="1"/>
  <c r="HB342" i="1"/>
  <c r="HB399" i="1" s="1"/>
  <c r="IC342" i="1"/>
  <c r="HY342" i="1"/>
  <c r="HU342" i="1"/>
  <c r="HQ342" i="1"/>
  <c r="HM342" i="1"/>
  <c r="HI342" i="1"/>
  <c r="HE342" i="1"/>
  <c r="ML399" i="1"/>
  <c r="CL343" i="1"/>
  <c r="CM400" i="1" s="1"/>
  <c r="CH343" i="1"/>
  <c r="CD343" i="1"/>
  <c r="BZ343" i="1"/>
  <c r="BV343" i="1"/>
  <c r="BR343" i="1"/>
  <c r="BN343" i="1"/>
  <c r="BJ343" i="1"/>
  <c r="BJ400" i="1" s="1"/>
  <c r="CK343" i="1"/>
  <c r="CK400" i="1" s="1"/>
  <c r="CG343" i="1"/>
  <c r="CC343" i="1"/>
  <c r="BY343" i="1"/>
  <c r="BU343" i="1"/>
  <c r="BQ343" i="1"/>
  <c r="BM343" i="1"/>
  <c r="ID343" i="1"/>
  <c r="HZ343" i="1"/>
  <c r="HV343" i="1"/>
  <c r="HR343" i="1"/>
  <c r="HN343" i="1"/>
  <c r="HJ343" i="1"/>
  <c r="HF343" i="1"/>
  <c r="HB343" i="1"/>
  <c r="HB400" i="1" s="1"/>
  <c r="IC343" i="1"/>
  <c r="HY343" i="1"/>
  <c r="HU343" i="1"/>
  <c r="HQ343" i="1"/>
  <c r="HM343" i="1"/>
  <c r="HI343" i="1"/>
  <c r="HE343" i="1"/>
  <c r="CL344" i="1"/>
  <c r="CM401" i="1" s="1"/>
  <c r="CH344" i="1"/>
  <c r="CD344" i="1"/>
  <c r="CE401" i="1" s="1"/>
  <c r="BZ344" i="1"/>
  <c r="BV344" i="1"/>
  <c r="BR344" i="1"/>
  <c r="BN344" i="1"/>
  <c r="BJ344" i="1"/>
  <c r="BJ401" i="1" s="1"/>
  <c r="CK344" i="1"/>
  <c r="CG344" i="1"/>
  <c r="CC344" i="1"/>
  <c r="BY344" i="1"/>
  <c r="BU344" i="1"/>
  <c r="BQ344" i="1"/>
  <c r="BM344" i="1"/>
  <c r="ID344" i="1"/>
  <c r="IE401" i="1" s="1"/>
  <c r="HZ344" i="1"/>
  <c r="HV344" i="1"/>
  <c r="HR344" i="1"/>
  <c r="HN344" i="1"/>
  <c r="HJ344" i="1"/>
  <c r="HF344" i="1"/>
  <c r="HB344" i="1"/>
  <c r="HB401" i="1" s="1"/>
  <c r="IC344" i="1"/>
  <c r="HY344" i="1"/>
  <c r="HU344" i="1"/>
  <c r="HQ344" i="1"/>
  <c r="HM344" i="1"/>
  <c r="HI344" i="1"/>
  <c r="HE344" i="1"/>
  <c r="ML401" i="1"/>
  <c r="CL345" i="1"/>
  <c r="CH345" i="1"/>
  <c r="CD345" i="1"/>
  <c r="CE402" i="1" s="1"/>
  <c r="BZ345" i="1"/>
  <c r="BV345" i="1"/>
  <c r="BR345" i="1"/>
  <c r="BN345" i="1"/>
  <c r="BJ345" i="1"/>
  <c r="BJ402" i="1" s="1"/>
  <c r="CK345" i="1"/>
  <c r="CG345" i="1"/>
  <c r="CC345" i="1"/>
  <c r="BY345" i="1"/>
  <c r="BU345" i="1"/>
  <c r="BQ345" i="1"/>
  <c r="BM345" i="1"/>
  <c r="ID345" i="1"/>
  <c r="IE402" i="1" s="1"/>
  <c r="HZ345" i="1"/>
  <c r="HV345" i="1"/>
  <c r="HR345" i="1"/>
  <c r="HN345" i="1"/>
  <c r="HJ345" i="1"/>
  <c r="HF345" i="1"/>
  <c r="HB345" i="1"/>
  <c r="HB402" i="1" s="1"/>
  <c r="IC345" i="1"/>
  <c r="HY345" i="1"/>
  <c r="HU345" i="1"/>
  <c r="HQ345" i="1"/>
  <c r="HM345" i="1"/>
  <c r="HI345" i="1"/>
  <c r="HE345" i="1"/>
  <c r="CL346" i="1"/>
  <c r="CM403" i="1" s="1"/>
  <c r="CH346" i="1"/>
  <c r="CD346" i="1"/>
  <c r="BZ346" i="1"/>
  <c r="BV346" i="1"/>
  <c r="BR346" i="1"/>
  <c r="BN346" i="1"/>
  <c r="BJ346" i="1"/>
  <c r="BJ403" i="1" s="1"/>
  <c r="CK346" i="1"/>
  <c r="CG346" i="1"/>
  <c r="CC346" i="1"/>
  <c r="BY346" i="1"/>
  <c r="BU346" i="1"/>
  <c r="BQ346" i="1"/>
  <c r="BM346" i="1"/>
  <c r="ID346" i="1"/>
  <c r="HZ346" i="1"/>
  <c r="HV346" i="1"/>
  <c r="HR346" i="1"/>
  <c r="HN346" i="1"/>
  <c r="HJ346" i="1"/>
  <c r="HF346" i="1"/>
  <c r="HB346" i="1"/>
  <c r="IC346" i="1"/>
  <c r="HY346" i="1"/>
  <c r="HU346" i="1"/>
  <c r="HQ346" i="1"/>
  <c r="HM346" i="1"/>
  <c r="HI346" i="1"/>
  <c r="HE346" i="1"/>
  <c r="Z885" i="1"/>
  <c r="AL774" i="1"/>
  <c r="AL777" i="1" s="1"/>
  <c r="Z369" i="1"/>
  <c r="AH369" i="1"/>
  <c r="AP369" i="1"/>
  <c r="AX369" i="1"/>
  <c r="MD398" i="1"/>
  <c r="X885" i="1"/>
  <c r="X774" i="1"/>
  <c r="X777" i="1" s="1"/>
  <c r="KG646" i="1"/>
  <c r="JN429" i="1"/>
  <c r="JJ429" i="1"/>
  <c r="JF429" i="1"/>
  <c r="JB429" i="1"/>
  <c r="IX429" i="1"/>
  <c r="IT429" i="1"/>
  <c r="IP429" i="1"/>
  <c r="MJ429" i="1"/>
  <c r="MF429" i="1"/>
  <c r="MB429" i="1"/>
  <c r="LX429" i="1"/>
  <c r="LT429" i="1"/>
  <c r="LP429" i="1"/>
  <c r="LL429" i="1"/>
  <c r="JN430" i="1"/>
  <c r="JJ430" i="1"/>
  <c r="JF430" i="1"/>
  <c r="JB430" i="1"/>
  <c r="IX430" i="1"/>
  <c r="IT430" i="1"/>
  <c r="IP430" i="1"/>
  <c r="MJ430" i="1"/>
  <c r="MF430" i="1"/>
  <c r="MB430" i="1"/>
  <c r="LX430" i="1"/>
  <c r="LT430" i="1"/>
  <c r="LP430" i="1"/>
  <c r="LL430" i="1"/>
  <c r="JN431" i="1"/>
  <c r="JJ431" i="1"/>
  <c r="JF431" i="1"/>
  <c r="JB431" i="1"/>
  <c r="IX431" i="1"/>
  <c r="IT431" i="1"/>
  <c r="IP431" i="1"/>
  <c r="MJ431" i="1"/>
  <c r="MF431" i="1"/>
  <c r="MB431" i="1"/>
  <c r="LX431" i="1"/>
  <c r="LT431" i="1"/>
  <c r="LP431" i="1"/>
  <c r="LL431" i="1"/>
  <c r="MI415" i="1"/>
  <c r="ME415" i="1"/>
  <c r="MA415" i="1"/>
  <c r="LW415" i="1"/>
  <c r="LS415" i="1"/>
  <c r="LO415" i="1"/>
  <c r="LK415" i="1"/>
  <c r="JN432" i="1"/>
  <c r="JJ432" i="1"/>
  <c r="JF432" i="1"/>
  <c r="JB432" i="1"/>
  <c r="IX432" i="1"/>
  <c r="IT432" i="1"/>
  <c r="IP432" i="1"/>
  <c r="JM416" i="1"/>
  <c r="JI416" i="1"/>
  <c r="JE416" i="1"/>
  <c r="JA416" i="1"/>
  <c r="IW416" i="1"/>
  <c r="IS416" i="1"/>
  <c r="IO416" i="1"/>
  <c r="MJ432" i="1"/>
  <c r="MF432" i="1"/>
  <c r="MB432" i="1"/>
  <c r="LX432" i="1"/>
  <c r="LT432" i="1"/>
  <c r="LP432" i="1"/>
  <c r="LL432" i="1"/>
  <c r="MI416" i="1"/>
  <c r="ME416" i="1"/>
  <c r="MA416" i="1"/>
  <c r="LW416" i="1"/>
  <c r="LS416" i="1"/>
  <c r="LO416" i="1"/>
  <c r="LK416" i="1"/>
  <c r="JO433" i="1"/>
  <c r="JK433" i="1"/>
  <c r="JG433" i="1"/>
  <c r="JC433" i="1"/>
  <c r="IY433" i="1"/>
  <c r="IU433" i="1"/>
  <c r="IQ433" i="1"/>
  <c r="IM433" i="1"/>
  <c r="JL433" i="1"/>
  <c r="JF433" i="1"/>
  <c r="JA433" i="1"/>
  <c r="IV433" i="1"/>
  <c r="IP433" i="1"/>
  <c r="JM417" i="1"/>
  <c r="JI417" i="1"/>
  <c r="JE417" i="1"/>
  <c r="JA417" i="1"/>
  <c r="IW417" i="1"/>
  <c r="IS417" i="1"/>
  <c r="IO417" i="1"/>
  <c r="MK433" i="1"/>
  <c r="MG433" i="1"/>
  <c r="MC433" i="1"/>
  <c r="LY433" i="1"/>
  <c r="LU433" i="1"/>
  <c r="LQ433" i="1"/>
  <c r="LM433" i="1"/>
  <c r="LI433" i="1"/>
  <c r="ML433" i="1"/>
  <c r="MF433" i="1"/>
  <c r="MA433" i="1"/>
  <c r="LV433" i="1"/>
  <c r="LP433" i="1"/>
  <c r="LK433" i="1"/>
  <c r="MI417" i="1"/>
  <c r="ME417" i="1"/>
  <c r="MA417" i="1"/>
  <c r="LW417" i="1"/>
  <c r="LS417" i="1"/>
  <c r="LO417" i="1"/>
  <c r="LK417" i="1"/>
  <c r="JO434" i="1"/>
  <c r="JK434" i="1"/>
  <c r="JG434" i="1"/>
  <c r="JC434" i="1"/>
  <c r="IY434" i="1"/>
  <c r="IU434" i="1"/>
  <c r="IQ434" i="1"/>
  <c r="IM434" i="1"/>
  <c r="JL434" i="1"/>
  <c r="JF434" i="1"/>
  <c r="JA434" i="1"/>
  <c r="IV434" i="1"/>
  <c r="IP434" i="1"/>
  <c r="JM418" i="1"/>
  <c r="JI418" i="1"/>
  <c r="JE418" i="1"/>
  <c r="JA418" i="1"/>
  <c r="IW418" i="1"/>
  <c r="IS418" i="1"/>
  <c r="IO418" i="1"/>
  <c r="MK434" i="1"/>
  <c r="MG434" i="1"/>
  <c r="MC434" i="1"/>
  <c r="LY434" i="1"/>
  <c r="LU434" i="1"/>
  <c r="LQ434" i="1"/>
  <c r="LM434" i="1"/>
  <c r="LI434" i="1"/>
  <c r="ML434" i="1"/>
  <c r="MF434" i="1"/>
  <c r="MA434" i="1"/>
  <c r="LV434" i="1"/>
  <c r="LP434" i="1"/>
  <c r="LK434" i="1"/>
  <c r="MI418" i="1"/>
  <c r="ME418" i="1"/>
  <c r="MA418" i="1"/>
  <c r="LW418" i="1"/>
  <c r="LS418" i="1"/>
  <c r="LO418" i="1"/>
  <c r="LK418" i="1"/>
  <c r="JO435" i="1"/>
  <c r="JK435" i="1"/>
  <c r="JG435" i="1"/>
  <c r="JC435" i="1"/>
  <c r="IY435" i="1"/>
  <c r="IU435" i="1"/>
  <c r="IQ435" i="1"/>
  <c r="IM435" i="1"/>
  <c r="JL435" i="1"/>
  <c r="JF435" i="1"/>
  <c r="JA435" i="1"/>
  <c r="IV435" i="1"/>
  <c r="IP435" i="1"/>
  <c r="JM419" i="1"/>
  <c r="JI419" i="1"/>
  <c r="JE419" i="1"/>
  <c r="JA419" i="1"/>
  <c r="IW419" i="1"/>
  <c r="IS419" i="1"/>
  <c r="IO419" i="1"/>
  <c r="MK435" i="1"/>
  <c r="MG435" i="1"/>
  <c r="MC435" i="1"/>
  <c r="LY435" i="1"/>
  <c r="LU435" i="1"/>
  <c r="LQ435" i="1"/>
  <c r="LM435" i="1"/>
  <c r="LI435" i="1"/>
  <c r="ML435" i="1"/>
  <c r="MF435" i="1"/>
  <c r="MA435" i="1"/>
  <c r="LV435" i="1"/>
  <c r="LP435" i="1"/>
  <c r="LK435" i="1"/>
  <c r="MI419" i="1"/>
  <c r="ME419" i="1"/>
  <c r="MA419" i="1"/>
  <c r="LW419" i="1"/>
  <c r="LS419" i="1"/>
  <c r="LO419" i="1"/>
  <c r="LK419" i="1"/>
  <c r="JO436" i="1"/>
  <c r="JK436" i="1"/>
  <c r="JG436" i="1"/>
  <c r="JC436" i="1"/>
  <c r="IY436" i="1"/>
  <c r="IU436" i="1"/>
  <c r="IQ436" i="1"/>
  <c r="IM436" i="1"/>
  <c r="JL436" i="1"/>
  <c r="JF436" i="1"/>
  <c r="JA436" i="1"/>
  <c r="IV436" i="1"/>
  <c r="IP436" i="1"/>
  <c r="JM420" i="1"/>
  <c r="JI420" i="1"/>
  <c r="JE420" i="1"/>
  <c r="JA420" i="1"/>
  <c r="IW420" i="1"/>
  <c r="IS420" i="1"/>
  <c r="IO420" i="1"/>
  <c r="MK436" i="1"/>
  <c r="MG436" i="1"/>
  <c r="MC436" i="1"/>
  <c r="LY436" i="1"/>
  <c r="LU436" i="1"/>
  <c r="LQ436" i="1"/>
  <c r="LM436" i="1"/>
  <c r="LI436" i="1"/>
  <c r="ML436" i="1"/>
  <c r="MF436" i="1"/>
  <c r="MA436" i="1"/>
  <c r="LV436" i="1"/>
  <c r="LP436" i="1"/>
  <c r="LK436" i="1"/>
  <c r="MI420" i="1"/>
  <c r="ME420" i="1"/>
  <c r="MA420" i="1"/>
  <c r="LW420" i="1"/>
  <c r="LS420" i="1"/>
  <c r="LO420" i="1"/>
  <c r="LK420" i="1"/>
  <c r="L369" i="1"/>
  <c r="BA404" i="1"/>
  <c r="IO413" i="1"/>
  <c r="IS413" i="1"/>
  <c r="IW413" i="1"/>
  <c r="JA413" i="1"/>
  <c r="JE413" i="1"/>
  <c r="JI413" i="1"/>
  <c r="JM413" i="1"/>
  <c r="LK413" i="1"/>
  <c r="LO413" i="1"/>
  <c r="LS413" i="1"/>
  <c r="LW413" i="1"/>
  <c r="MA413" i="1"/>
  <c r="ME413" i="1"/>
  <c r="MI413" i="1"/>
  <c r="IO414" i="1"/>
  <c r="IS414" i="1"/>
  <c r="IW414" i="1"/>
  <c r="JA414" i="1"/>
  <c r="JE414" i="1"/>
  <c r="JI414" i="1"/>
  <c r="JM414" i="1"/>
  <c r="LK414" i="1"/>
  <c r="LO414" i="1"/>
  <c r="LS414" i="1"/>
  <c r="LW414" i="1"/>
  <c r="MA414" i="1"/>
  <c r="ME414" i="1"/>
  <c r="MI414" i="1"/>
  <c r="IO415" i="1"/>
  <c r="IS415" i="1"/>
  <c r="IW415" i="1"/>
  <c r="JA415" i="1"/>
  <c r="JE415" i="1"/>
  <c r="JI415" i="1"/>
  <c r="JM415" i="1"/>
  <c r="LJ415" i="1"/>
  <c r="LP415" i="1"/>
  <c r="LU415" i="1"/>
  <c r="LZ415" i="1"/>
  <c r="MF415" i="1"/>
  <c r="MK415" i="1"/>
  <c r="IP416" i="1"/>
  <c r="IU416" i="1"/>
  <c r="IZ416" i="1"/>
  <c r="JF416" i="1"/>
  <c r="JK416" i="1"/>
  <c r="JP416" i="1"/>
  <c r="LJ416" i="1"/>
  <c r="LP416" i="1"/>
  <c r="LU416" i="1"/>
  <c r="LZ416" i="1"/>
  <c r="MF416" i="1"/>
  <c r="MK416" i="1"/>
  <c r="IP417" i="1"/>
  <c r="IU417" i="1"/>
  <c r="IZ417" i="1"/>
  <c r="JF417" i="1"/>
  <c r="JK417" i="1"/>
  <c r="JP417" i="1"/>
  <c r="LJ417" i="1"/>
  <c r="LP417" i="1"/>
  <c r="LU417" i="1"/>
  <c r="LZ417" i="1"/>
  <c r="MF417" i="1"/>
  <c r="MK417" i="1"/>
  <c r="IP418" i="1"/>
  <c r="IU418" i="1"/>
  <c r="IZ418" i="1"/>
  <c r="JF418" i="1"/>
  <c r="JK418" i="1"/>
  <c r="JP418" i="1"/>
  <c r="LJ418" i="1"/>
  <c r="LP418" i="1"/>
  <c r="LU418" i="1"/>
  <c r="LZ418" i="1"/>
  <c r="MF418" i="1"/>
  <c r="MK418" i="1"/>
  <c r="IP419" i="1"/>
  <c r="IU419" i="1"/>
  <c r="IZ419" i="1"/>
  <c r="JF419" i="1"/>
  <c r="JK419" i="1"/>
  <c r="JP419" i="1"/>
  <c r="LJ419" i="1"/>
  <c r="LP419" i="1"/>
  <c r="LU419" i="1"/>
  <c r="LZ419" i="1"/>
  <c r="MF419" i="1"/>
  <c r="MK419" i="1"/>
  <c r="IP420" i="1"/>
  <c r="IU420" i="1"/>
  <c r="IZ420" i="1"/>
  <c r="JF420" i="1"/>
  <c r="JK420" i="1"/>
  <c r="JP420" i="1"/>
  <c r="LJ420" i="1"/>
  <c r="LP420" i="1"/>
  <c r="LU420" i="1"/>
  <c r="LZ420" i="1"/>
  <c r="MF420" i="1"/>
  <c r="MK420" i="1"/>
  <c r="IN429" i="1"/>
  <c r="IS429" i="1"/>
  <c r="IY429" i="1"/>
  <c r="JD429" i="1"/>
  <c r="JI429" i="1"/>
  <c r="JO429" i="1"/>
  <c r="LI429" i="1"/>
  <c r="LN429" i="1"/>
  <c r="LS429" i="1"/>
  <c r="LY429" i="1"/>
  <c r="MD429" i="1"/>
  <c r="MI429" i="1"/>
  <c r="IN430" i="1"/>
  <c r="IS430" i="1"/>
  <c r="IY430" i="1"/>
  <c r="JD430" i="1"/>
  <c r="JI430" i="1"/>
  <c r="JO430" i="1"/>
  <c r="LI430" i="1"/>
  <c r="LN430" i="1"/>
  <c r="LS430" i="1"/>
  <c r="LY430" i="1"/>
  <c r="MD430" i="1"/>
  <c r="MI430" i="1"/>
  <c r="IN431" i="1"/>
  <c r="IS431" i="1"/>
  <c r="IY431" i="1"/>
  <c r="JD431" i="1"/>
  <c r="JI431" i="1"/>
  <c r="JO431" i="1"/>
  <c r="LI431" i="1"/>
  <c r="LN431" i="1"/>
  <c r="LS431" i="1"/>
  <c r="LY431" i="1"/>
  <c r="MD431" i="1"/>
  <c r="MI431" i="1"/>
  <c r="IN432" i="1"/>
  <c r="IS432" i="1"/>
  <c r="IY432" i="1"/>
  <c r="JD432" i="1"/>
  <c r="JI432" i="1"/>
  <c r="JO432" i="1"/>
  <c r="LI432" i="1"/>
  <c r="LN432" i="1"/>
  <c r="LS432" i="1"/>
  <c r="LY432" i="1"/>
  <c r="MD432" i="1"/>
  <c r="MI432" i="1"/>
  <c r="IO433" i="1"/>
  <c r="IW433" i="1"/>
  <c r="JD433" i="1"/>
  <c r="JJ433" i="1"/>
  <c r="LO433" i="1"/>
  <c r="LW433" i="1"/>
  <c r="MD433" i="1"/>
  <c r="MJ433" i="1"/>
  <c r="IR434" i="1"/>
  <c r="IX434" i="1"/>
  <c r="JE434" i="1"/>
  <c r="JM434" i="1"/>
  <c r="LJ434" i="1"/>
  <c r="LR434" i="1"/>
  <c r="LX434" i="1"/>
  <c r="ME434" i="1"/>
  <c r="IS435" i="1"/>
  <c r="IZ435" i="1"/>
  <c r="JH435" i="1"/>
  <c r="JN435" i="1"/>
  <c r="LL435" i="1"/>
  <c r="LS435" i="1"/>
  <c r="LZ435" i="1"/>
  <c r="MH435" i="1"/>
  <c r="IN436" i="1"/>
  <c r="IT436" i="1"/>
  <c r="JB436" i="1"/>
  <c r="JI436" i="1"/>
  <c r="JP436" i="1"/>
  <c r="LN436" i="1"/>
  <c r="LT436" i="1"/>
  <c r="MB436" i="1"/>
  <c r="MI436" i="1"/>
  <c r="I784" i="1"/>
  <c r="BM229" i="1"/>
  <c r="CG229" i="1"/>
  <c r="ES229" i="1"/>
  <c r="HE229" i="1"/>
  <c r="HY229" i="1"/>
  <c r="CW339" i="1"/>
  <c r="DA339" i="1"/>
  <c r="DE339" i="1"/>
  <c r="DI339" i="1"/>
  <c r="DM339" i="1"/>
  <c r="DQ339" i="1"/>
  <c r="FS339" i="1"/>
  <c r="FW339" i="1"/>
  <c r="GA339" i="1"/>
  <c r="GE339" i="1"/>
  <c r="GI339" i="1"/>
  <c r="GJ396" i="1" s="1"/>
  <c r="GM339" i="1"/>
  <c r="IO339" i="1"/>
  <c r="IS339" i="1"/>
  <c r="IW339" i="1"/>
  <c r="JA339" i="1"/>
  <c r="JE339" i="1"/>
  <c r="JI339" i="1"/>
  <c r="JM339" i="1"/>
  <c r="LK339" i="1"/>
  <c r="LO339" i="1"/>
  <c r="LS339" i="1"/>
  <c r="LW339" i="1"/>
  <c r="MA339" i="1"/>
  <c r="ME339" i="1"/>
  <c r="ME396" i="1" s="1"/>
  <c r="MI339" i="1"/>
  <c r="CW340" i="1"/>
  <c r="DA340" i="1"/>
  <c r="DE340" i="1"/>
  <c r="DI340" i="1"/>
  <c r="DM340" i="1"/>
  <c r="DQ340" i="1"/>
  <c r="FS340" i="1"/>
  <c r="FW340" i="1"/>
  <c r="GA340" i="1"/>
  <c r="GE340" i="1"/>
  <c r="GF397" i="1" s="1"/>
  <c r="GI340" i="1"/>
  <c r="GM340" i="1"/>
  <c r="IO340" i="1"/>
  <c r="IS340" i="1"/>
  <c r="IW340" i="1"/>
  <c r="JA340" i="1"/>
  <c r="JE340" i="1"/>
  <c r="JI340" i="1"/>
  <c r="JM340" i="1"/>
  <c r="LK340" i="1"/>
  <c r="LO340" i="1"/>
  <c r="LS340" i="1"/>
  <c r="LS397" i="1" s="1"/>
  <c r="LW340" i="1"/>
  <c r="MA340" i="1"/>
  <c r="ME340" i="1"/>
  <c r="MI340" i="1"/>
  <c r="CW341" i="1"/>
  <c r="DA341" i="1"/>
  <c r="DE341" i="1"/>
  <c r="DI341" i="1"/>
  <c r="DM341" i="1"/>
  <c r="DQ341" i="1"/>
  <c r="FS341" i="1"/>
  <c r="FT398" i="1" s="1"/>
  <c r="FW341" i="1"/>
  <c r="GA341" i="1"/>
  <c r="GE341" i="1"/>
  <c r="GI341" i="1"/>
  <c r="GM341" i="1"/>
  <c r="IO341" i="1"/>
  <c r="IS341" i="1"/>
  <c r="IW341" i="1"/>
  <c r="IW398" i="1" s="1"/>
  <c r="JA341" i="1"/>
  <c r="JA398" i="1" s="1"/>
  <c r="JE341" i="1"/>
  <c r="JI341" i="1"/>
  <c r="JM341" i="1"/>
  <c r="LK341" i="1"/>
  <c r="LO341" i="1"/>
  <c r="LS341" i="1"/>
  <c r="LW341" i="1"/>
  <c r="MA341" i="1"/>
  <c r="MA398" i="1" s="1"/>
  <c r="ME341" i="1"/>
  <c r="MI341" i="1"/>
  <c r="CW342" i="1"/>
  <c r="DA342" i="1"/>
  <c r="DE342" i="1"/>
  <c r="DF399" i="1" s="1"/>
  <c r="DI342" i="1"/>
  <c r="DM342" i="1"/>
  <c r="DM399" i="1" s="1"/>
  <c r="DQ342" i="1"/>
  <c r="FS342" i="1"/>
  <c r="FW342" i="1"/>
  <c r="GA342" i="1"/>
  <c r="GE342" i="1"/>
  <c r="GI342" i="1"/>
  <c r="GM342" i="1"/>
  <c r="IO342" i="1"/>
  <c r="IS342" i="1"/>
  <c r="IW342" i="1"/>
  <c r="JA342" i="1"/>
  <c r="JE342" i="1"/>
  <c r="JI342" i="1"/>
  <c r="JM342" i="1"/>
  <c r="LK342" i="1"/>
  <c r="LO342" i="1"/>
  <c r="LS342" i="1"/>
  <c r="LS399" i="1" s="1"/>
  <c r="LW342" i="1"/>
  <c r="MA342" i="1"/>
  <c r="ME342" i="1"/>
  <c r="ME399" i="1" s="1"/>
  <c r="MI342" i="1"/>
  <c r="CW343" i="1"/>
  <c r="DA343" i="1"/>
  <c r="DE343" i="1"/>
  <c r="DI343" i="1"/>
  <c r="DM343" i="1"/>
  <c r="DQ343" i="1"/>
  <c r="FS343" i="1"/>
  <c r="FW343" i="1"/>
  <c r="GA343" i="1"/>
  <c r="GE343" i="1"/>
  <c r="GI343" i="1"/>
  <c r="GM343" i="1"/>
  <c r="IO343" i="1"/>
  <c r="IS343" i="1"/>
  <c r="IW343" i="1"/>
  <c r="JA343" i="1"/>
  <c r="JE343" i="1"/>
  <c r="JI343" i="1"/>
  <c r="JM343" i="1"/>
  <c r="LK343" i="1"/>
  <c r="LO343" i="1"/>
  <c r="LS343" i="1"/>
  <c r="LW343" i="1"/>
  <c r="LX400" i="1" s="1"/>
  <c r="MA343" i="1"/>
  <c r="ME343" i="1"/>
  <c r="MI343" i="1"/>
  <c r="CW344" i="1"/>
  <c r="DA344" i="1"/>
  <c r="DE344" i="1"/>
  <c r="DI344" i="1"/>
  <c r="DM344" i="1"/>
  <c r="DQ344" i="1"/>
  <c r="FS344" i="1"/>
  <c r="FW344" i="1"/>
  <c r="GA344" i="1"/>
  <c r="GE344" i="1"/>
  <c r="GI344" i="1"/>
  <c r="GM344" i="1"/>
  <c r="IO344" i="1"/>
  <c r="IS344" i="1"/>
  <c r="IW344" i="1"/>
  <c r="JA344" i="1"/>
  <c r="JE344" i="1"/>
  <c r="JE401" i="1" s="1"/>
  <c r="JI344" i="1"/>
  <c r="JM344" i="1"/>
  <c r="LK344" i="1"/>
  <c r="LO344" i="1"/>
  <c r="LS344" i="1"/>
  <c r="LW344" i="1"/>
  <c r="MA344" i="1"/>
  <c r="ME344" i="1"/>
  <c r="ME401" i="1" s="1"/>
  <c r="MI344" i="1"/>
  <c r="CW345" i="1"/>
  <c r="DA345" i="1"/>
  <c r="DB402" i="1" s="1"/>
  <c r="DE345" i="1"/>
  <c r="DI345" i="1"/>
  <c r="DM345" i="1"/>
  <c r="DQ345" i="1"/>
  <c r="FS345" i="1"/>
  <c r="FW345" i="1"/>
  <c r="GA345" i="1"/>
  <c r="GE345" i="1"/>
  <c r="GI345" i="1"/>
  <c r="GM345" i="1"/>
  <c r="IO345" i="1"/>
  <c r="IS345" i="1"/>
  <c r="IW345" i="1"/>
  <c r="JA345" i="1"/>
  <c r="JE345" i="1"/>
  <c r="JI345" i="1"/>
  <c r="JI402" i="1" s="1"/>
  <c r="JM345" i="1"/>
  <c r="LK345" i="1"/>
  <c r="LK402" i="1" s="1"/>
  <c r="LO345" i="1"/>
  <c r="LS345" i="1"/>
  <c r="LW345" i="1"/>
  <c r="LW402" i="1" s="1"/>
  <c r="MA345" i="1"/>
  <c r="ME345" i="1"/>
  <c r="MI345" i="1"/>
  <c r="CW346" i="1"/>
  <c r="CX403" i="1" s="1"/>
  <c r="DA346" i="1"/>
  <c r="DE346" i="1"/>
  <c r="DE403" i="1" s="1"/>
  <c r="DI346" i="1"/>
  <c r="DM346" i="1"/>
  <c r="DQ346" i="1"/>
  <c r="FS346" i="1"/>
  <c r="FW346" i="1"/>
  <c r="GA346" i="1"/>
  <c r="GE346" i="1"/>
  <c r="GI346" i="1"/>
  <c r="GM346" i="1"/>
  <c r="IO346" i="1"/>
  <c r="IS346" i="1"/>
  <c r="IW346" i="1"/>
  <c r="JA346" i="1"/>
  <c r="JA403" i="1" s="1"/>
  <c r="JE346" i="1"/>
  <c r="JI346" i="1"/>
  <c r="JM346" i="1"/>
  <c r="LO346" i="1"/>
  <c r="LS346" i="1"/>
  <c r="LW346" i="1"/>
  <c r="MA346" i="1"/>
  <c r="ME346" i="1"/>
  <c r="MI346" i="1"/>
  <c r="ML347" i="1"/>
  <c r="IP413" i="1"/>
  <c r="IT413" i="1"/>
  <c r="IX413" i="1"/>
  <c r="JB413" i="1"/>
  <c r="JF413" i="1"/>
  <c r="JJ413" i="1"/>
  <c r="JN413" i="1"/>
  <c r="LL413" i="1"/>
  <c r="LP413" i="1"/>
  <c r="LT413" i="1"/>
  <c r="LX413" i="1"/>
  <c r="MB413" i="1"/>
  <c r="MF413" i="1"/>
  <c r="MJ413" i="1"/>
  <c r="IP414" i="1"/>
  <c r="IT414" i="1"/>
  <c r="IX414" i="1"/>
  <c r="JB414" i="1"/>
  <c r="JF414" i="1"/>
  <c r="JJ414" i="1"/>
  <c r="JN414" i="1"/>
  <c r="LL414" i="1"/>
  <c r="LP414" i="1"/>
  <c r="LT414" i="1"/>
  <c r="LX414" i="1"/>
  <c r="MB414" i="1"/>
  <c r="MF414" i="1"/>
  <c r="MJ414" i="1"/>
  <c r="IP415" i="1"/>
  <c r="IT415" i="1"/>
  <c r="IX415" i="1"/>
  <c r="JB415" i="1"/>
  <c r="JF415" i="1"/>
  <c r="JJ415" i="1"/>
  <c r="JN415" i="1"/>
  <c r="LL415" i="1"/>
  <c r="LQ415" i="1"/>
  <c r="LV415" i="1"/>
  <c r="MB415" i="1"/>
  <c r="MG415" i="1"/>
  <c r="ML415" i="1"/>
  <c r="IQ416" i="1"/>
  <c r="IV416" i="1"/>
  <c r="JB416" i="1"/>
  <c r="JG416" i="1"/>
  <c r="JL416" i="1"/>
  <c r="LL416" i="1"/>
  <c r="LQ416" i="1"/>
  <c r="LV416" i="1"/>
  <c r="MB416" i="1"/>
  <c r="MG416" i="1"/>
  <c r="ML416" i="1"/>
  <c r="IQ417" i="1"/>
  <c r="IV417" i="1"/>
  <c r="JB417" i="1"/>
  <c r="JG417" i="1"/>
  <c r="JL417" i="1"/>
  <c r="LL417" i="1"/>
  <c r="LQ417" i="1"/>
  <c r="LV417" i="1"/>
  <c r="MB417" i="1"/>
  <c r="MG417" i="1"/>
  <c r="ML417" i="1"/>
  <c r="IQ418" i="1"/>
  <c r="IV418" i="1"/>
  <c r="JB418" i="1"/>
  <c r="JG418" i="1"/>
  <c r="JL418" i="1"/>
  <c r="LL418" i="1"/>
  <c r="LQ418" i="1"/>
  <c r="LV418" i="1"/>
  <c r="MB418" i="1"/>
  <c r="MG418" i="1"/>
  <c r="ML418" i="1"/>
  <c r="IQ419" i="1"/>
  <c r="IV419" i="1"/>
  <c r="JB419" i="1"/>
  <c r="JG419" i="1"/>
  <c r="JL419" i="1"/>
  <c r="LL419" i="1"/>
  <c r="LQ419" i="1"/>
  <c r="LV419" i="1"/>
  <c r="MB419" i="1"/>
  <c r="MG419" i="1"/>
  <c r="ML419" i="1"/>
  <c r="IQ420" i="1"/>
  <c r="IV420" i="1"/>
  <c r="JB420" i="1"/>
  <c r="JG420" i="1"/>
  <c r="JL420" i="1"/>
  <c r="LL420" i="1"/>
  <c r="LQ420" i="1"/>
  <c r="LV420" i="1"/>
  <c r="MB420" i="1"/>
  <c r="MG420" i="1"/>
  <c r="ML420" i="1"/>
  <c r="IO429" i="1"/>
  <c r="IU429" i="1"/>
  <c r="IZ429" i="1"/>
  <c r="JE429" i="1"/>
  <c r="JK429" i="1"/>
  <c r="JP429" i="1"/>
  <c r="LJ429" i="1"/>
  <c r="LO429" i="1"/>
  <c r="LU429" i="1"/>
  <c r="LZ429" i="1"/>
  <c r="ME429" i="1"/>
  <c r="MK429" i="1"/>
  <c r="IO430" i="1"/>
  <c r="IU430" i="1"/>
  <c r="IZ430" i="1"/>
  <c r="JE430" i="1"/>
  <c r="JK430" i="1"/>
  <c r="JP430" i="1"/>
  <c r="LJ430" i="1"/>
  <c r="LO430" i="1"/>
  <c r="LU430" i="1"/>
  <c r="LZ430" i="1"/>
  <c r="ME430" i="1"/>
  <c r="MK430" i="1"/>
  <c r="IO431" i="1"/>
  <c r="IU431" i="1"/>
  <c r="IZ431" i="1"/>
  <c r="JE431" i="1"/>
  <c r="JK431" i="1"/>
  <c r="JP431" i="1"/>
  <c r="LJ431" i="1"/>
  <c r="LO431" i="1"/>
  <c r="LU431" i="1"/>
  <c r="LZ431" i="1"/>
  <c r="ME431" i="1"/>
  <c r="MK431" i="1"/>
  <c r="IO432" i="1"/>
  <c r="IU432" i="1"/>
  <c r="IZ432" i="1"/>
  <c r="JE432" i="1"/>
  <c r="JK432" i="1"/>
  <c r="JP432" i="1"/>
  <c r="LJ432" i="1"/>
  <c r="LO432" i="1"/>
  <c r="LU432" i="1"/>
  <c r="LZ432" i="1"/>
  <c r="ME432" i="1"/>
  <c r="MK432" i="1"/>
  <c r="IR433" i="1"/>
  <c r="IX433" i="1"/>
  <c r="JE433" i="1"/>
  <c r="JM433" i="1"/>
  <c r="LJ433" i="1"/>
  <c r="LR433" i="1"/>
  <c r="LX433" i="1"/>
  <c r="ME433" i="1"/>
  <c r="IS434" i="1"/>
  <c r="IZ434" i="1"/>
  <c r="JH434" i="1"/>
  <c r="JN434" i="1"/>
  <c r="LL434" i="1"/>
  <c r="LS434" i="1"/>
  <c r="LZ434" i="1"/>
  <c r="MH434" i="1"/>
  <c r="IN435" i="1"/>
  <c r="IT435" i="1"/>
  <c r="JB435" i="1"/>
  <c r="JI435" i="1"/>
  <c r="JP435" i="1"/>
  <c r="LN435" i="1"/>
  <c r="LT435" i="1"/>
  <c r="MB435" i="1"/>
  <c r="MI435" i="1"/>
  <c r="IO436" i="1"/>
  <c r="IW436" i="1"/>
  <c r="JD436" i="1"/>
  <c r="JJ436" i="1"/>
  <c r="LO436" i="1"/>
  <c r="LW436" i="1"/>
  <c r="MD436" i="1"/>
  <c r="MJ436" i="1"/>
  <c r="LA646" i="1"/>
  <c r="KY667" i="1"/>
  <c r="AH674" i="1"/>
  <c r="IV673" i="1"/>
  <c r="JP646" i="1"/>
  <c r="KI667" i="1"/>
  <c r="AH672" i="1"/>
  <c r="IJ922" i="1"/>
  <c r="CR922" i="1"/>
  <c r="GY922" i="1"/>
  <c r="FN922" i="1"/>
  <c r="EC922" i="1"/>
  <c r="BG922" i="1"/>
  <c r="V922" i="1"/>
  <c r="LF922" i="1"/>
  <c r="JU922" i="1"/>
  <c r="IM888" i="1"/>
  <c r="LK922" i="1"/>
  <c r="LL922" i="1" s="1"/>
  <c r="LM922" i="1" s="1"/>
  <c r="LN922" i="1" s="1"/>
  <c r="LO922" i="1" s="1"/>
  <c r="LP922" i="1" s="1"/>
  <c r="LQ922" i="1" s="1"/>
  <c r="LR922" i="1" s="1"/>
  <c r="LS922" i="1" s="1"/>
  <c r="LT922" i="1" s="1"/>
  <c r="LU922" i="1" s="1"/>
  <c r="LV922" i="1" s="1"/>
  <c r="LW922" i="1" s="1"/>
  <c r="LX922" i="1" s="1"/>
  <c r="LY922" i="1" s="1"/>
  <c r="LZ922" i="1" s="1"/>
  <c r="MA922" i="1" s="1"/>
  <c r="MB922" i="1" s="1"/>
  <c r="MC922" i="1" s="1"/>
  <c r="MD922" i="1" s="1"/>
  <c r="ME922" i="1" s="1"/>
  <c r="MF922" i="1" s="1"/>
  <c r="MG922" i="1" s="1"/>
  <c r="MH922" i="1" s="1"/>
  <c r="MI922" i="1" s="1"/>
  <c r="MJ922" i="1" s="1"/>
  <c r="MK922" i="1" s="1"/>
  <c r="ML922" i="1" s="1"/>
  <c r="JZ922" i="1"/>
  <c r="KA922" i="1" s="1"/>
  <c r="KB922" i="1" s="1"/>
  <c r="KC922" i="1" s="1"/>
  <c r="KD922" i="1" s="1"/>
  <c r="KE922" i="1" s="1"/>
  <c r="KF922" i="1" s="1"/>
  <c r="KG922" i="1" s="1"/>
  <c r="KH922" i="1" s="1"/>
  <c r="KI922" i="1" s="1"/>
  <c r="KJ922" i="1" s="1"/>
  <c r="KK922" i="1" s="1"/>
  <c r="KL922" i="1" s="1"/>
  <c r="KM922" i="1" s="1"/>
  <c r="KN922" i="1" s="1"/>
  <c r="KO922" i="1" s="1"/>
  <c r="KP922" i="1" s="1"/>
  <c r="KQ922" i="1" s="1"/>
  <c r="KR922" i="1" s="1"/>
  <c r="KS922" i="1" s="1"/>
  <c r="KT922" i="1" s="1"/>
  <c r="KU922" i="1" s="1"/>
  <c r="KV922" i="1" s="1"/>
  <c r="KW922" i="1" s="1"/>
  <c r="KX922" i="1" s="1"/>
  <c r="KY922" i="1" s="1"/>
  <c r="KZ922" i="1" s="1"/>
  <c r="LA922" i="1" s="1"/>
  <c r="IO922" i="1"/>
  <c r="IP922" i="1" s="1"/>
  <c r="IQ922" i="1" s="1"/>
  <c r="IR922" i="1" s="1"/>
  <c r="IS922" i="1" s="1"/>
  <c r="IT922" i="1" s="1"/>
  <c r="IU922" i="1" s="1"/>
  <c r="IV922" i="1" s="1"/>
  <c r="IW922" i="1" s="1"/>
  <c r="IX922" i="1" s="1"/>
  <c r="IY922" i="1" s="1"/>
  <c r="IZ922" i="1" s="1"/>
  <c r="JA922" i="1" s="1"/>
  <c r="JB922" i="1" s="1"/>
  <c r="JC922" i="1" s="1"/>
  <c r="JD922" i="1" s="1"/>
  <c r="JE922" i="1" s="1"/>
  <c r="JF922" i="1" s="1"/>
  <c r="JG922" i="1" s="1"/>
  <c r="JH922" i="1" s="1"/>
  <c r="JI922" i="1" s="1"/>
  <c r="JJ922" i="1" s="1"/>
  <c r="JK922" i="1" s="1"/>
  <c r="JL922" i="1" s="1"/>
  <c r="JM922" i="1" s="1"/>
  <c r="JN922" i="1" s="1"/>
  <c r="JO922" i="1" s="1"/>
  <c r="JP922" i="1" s="1"/>
  <c r="HD922" i="1"/>
  <c r="HE922" i="1" s="1"/>
  <c r="HF922" i="1" s="1"/>
  <c r="HG922" i="1" s="1"/>
  <c r="HH922" i="1" s="1"/>
  <c r="HI922" i="1" s="1"/>
  <c r="HJ922" i="1" s="1"/>
  <c r="HK922" i="1" s="1"/>
  <c r="HL922" i="1" s="1"/>
  <c r="HM922" i="1" s="1"/>
  <c r="HN922" i="1" s="1"/>
  <c r="HO922" i="1" s="1"/>
  <c r="HP922" i="1" s="1"/>
  <c r="HQ922" i="1" s="1"/>
  <c r="HR922" i="1" s="1"/>
  <c r="HS922" i="1" s="1"/>
  <c r="HT922" i="1" s="1"/>
  <c r="HU922" i="1" s="1"/>
  <c r="HV922" i="1" s="1"/>
  <c r="HW922" i="1" s="1"/>
  <c r="HX922" i="1" s="1"/>
  <c r="HY922" i="1" s="1"/>
  <c r="HZ922" i="1" s="1"/>
  <c r="IA922" i="1" s="1"/>
  <c r="IB922" i="1" s="1"/>
  <c r="IC922" i="1" s="1"/>
  <c r="ID922" i="1" s="1"/>
  <c r="IE922" i="1" s="1"/>
  <c r="FS922" i="1"/>
  <c r="FT922" i="1" s="1"/>
  <c r="FU922" i="1" s="1"/>
  <c r="FV922" i="1" s="1"/>
  <c r="FW922" i="1" s="1"/>
  <c r="FX922" i="1" s="1"/>
  <c r="FY922" i="1" s="1"/>
  <c r="FZ922" i="1" s="1"/>
  <c r="GA922" i="1" s="1"/>
  <c r="GB922" i="1" s="1"/>
  <c r="GC922" i="1" s="1"/>
  <c r="GD922" i="1" s="1"/>
  <c r="GE922" i="1" s="1"/>
  <c r="GF922" i="1" s="1"/>
  <c r="GG922" i="1" s="1"/>
  <c r="GH922" i="1" s="1"/>
  <c r="GI922" i="1" s="1"/>
  <c r="GJ922" i="1" s="1"/>
  <c r="GK922" i="1" s="1"/>
  <c r="GL922" i="1" s="1"/>
  <c r="GM922" i="1" s="1"/>
  <c r="GN922" i="1" s="1"/>
  <c r="GO922" i="1" s="1"/>
  <c r="GP922" i="1" s="1"/>
  <c r="GQ922" i="1" s="1"/>
  <c r="GR922" i="1" s="1"/>
  <c r="GS922" i="1" s="1"/>
  <c r="GT922" i="1" s="1"/>
  <c r="EH922" i="1"/>
  <c r="EI922" i="1" s="1"/>
  <c r="EJ922" i="1" s="1"/>
  <c r="EK922" i="1" s="1"/>
  <c r="EL922" i="1" s="1"/>
  <c r="EM922" i="1" s="1"/>
  <c r="EN922" i="1" s="1"/>
  <c r="EO922" i="1" s="1"/>
  <c r="EP922" i="1" s="1"/>
  <c r="EQ922" i="1" s="1"/>
  <c r="ER922" i="1" s="1"/>
  <c r="ES922" i="1" s="1"/>
  <c r="ET922" i="1" s="1"/>
  <c r="EU922" i="1" s="1"/>
  <c r="EV922" i="1" s="1"/>
  <c r="EW922" i="1" s="1"/>
  <c r="EX922" i="1" s="1"/>
  <c r="EY922" i="1" s="1"/>
  <c r="EZ922" i="1" s="1"/>
  <c r="FA922" i="1" s="1"/>
  <c r="FB922" i="1" s="1"/>
  <c r="FC922" i="1" s="1"/>
  <c r="FD922" i="1" s="1"/>
  <c r="FE922" i="1" s="1"/>
  <c r="FF922" i="1" s="1"/>
  <c r="FG922" i="1" s="1"/>
  <c r="FH922" i="1" s="1"/>
  <c r="FI922" i="1" s="1"/>
  <c r="CW922" i="1"/>
  <c r="CX922" i="1" s="1"/>
  <c r="CY922" i="1" s="1"/>
  <c r="CZ922" i="1" s="1"/>
  <c r="DA922" i="1" s="1"/>
  <c r="DB922" i="1" s="1"/>
  <c r="DC922" i="1" s="1"/>
  <c r="DD922" i="1" s="1"/>
  <c r="DE922" i="1" s="1"/>
  <c r="DF922" i="1" s="1"/>
  <c r="DG922" i="1" s="1"/>
  <c r="DH922" i="1" s="1"/>
  <c r="DI922" i="1" s="1"/>
  <c r="DJ922" i="1" s="1"/>
  <c r="DK922" i="1" s="1"/>
  <c r="DL922" i="1" s="1"/>
  <c r="DM922" i="1" s="1"/>
  <c r="DN922" i="1" s="1"/>
  <c r="DO922" i="1" s="1"/>
  <c r="DP922" i="1" s="1"/>
  <c r="DQ922" i="1" s="1"/>
  <c r="DR922" i="1" s="1"/>
  <c r="DS922" i="1" s="1"/>
  <c r="DT922" i="1" s="1"/>
  <c r="DU922" i="1" s="1"/>
  <c r="DV922" i="1" s="1"/>
  <c r="DW922" i="1" s="1"/>
  <c r="DX922" i="1" s="1"/>
  <c r="BL922" i="1"/>
  <c r="BM922" i="1" s="1"/>
  <c r="BN922" i="1" s="1"/>
  <c r="BO922" i="1" s="1"/>
  <c r="BP922" i="1" s="1"/>
  <c r="BQ922" i="1" s="1"/>
  <c r="BR922" i="1" s="1"/>
  <c r="BS922" i="1" s="1"/>
  <c r="BT922" i="1" s="1"/>
  <c r="BU922" i="1" s="1"/>
  <c r="BV922" i="1" s="1"/>
  <c r="BW922" i="1" s="1"/>
  <c r="BX922" i="1" s="1"/>
  <c r="BY922" i="1" s="1"/>
  <c r="BZ922" i="1" s="1"/>
  <c r="CA922" i="1" s="1"/>
  <c r="CB922" i="1" s="1"/>
  <c r="CC922" i="1" s="1"/>
  <c r="CD922" i="1" s="1"/>
  <c r="CE922" i="1" s="1"/>
  <c r="CF922" i="1" s="1"/>
  <c r="CG922" i="1" s="1"/>
  <c r="CH922" i="1" s="1"/>
  <c r="CI922" i="1" s="1"/>
  <c r="CJ922" i="1" s="1"/>
  <c r="CK922" i="1" s="1"/>
  <c r="CL922" i="1" s="1"/>
  <c r="CM922" i="1" s="1"/>
  <c r="AA922" i="1"/>
  <c r="AB922" i="1" s="1"/>
  <c r="AC922" i="1" s="1"/>
  <c r="AD922" i="1" s="1"/>
  <c r="AE922" i="1" s="1"/>
  <c r="AF922" i="1" s="1"/>
  <c r="AG922" i="1" s="1"/>
  <c r="AH922" i="1" s="1"/>
  <c r="AI922" i="1" s="1"/>
  <c r="AJ922" i="1" s="1"/>
  <c r="AK922" i="1" s="1"/>
  <c r="AL922" i="1" s="1"/>
  <c r="AM922" i="1" s="1"/>
  <c r="AN922" i="1" s="1"/>
  <c r="AO922" i="1" s="1"/>
  <c r="AP922" i="1" s="1"/>
  <c r="AQ922" i="1" s="1"/>
  <c r="AR922" i="1" s="1"/>
  <c r="AS922" i="1" s="1"/>
  <c r="AT922" i="1" s="1"/>
  <c r="AU922" i="1" s="1"/>
  <c r="AV922" i="1" s="1"/>
  <c r="AW922" i="1" s="1"/>
  <c r="AX922" i="1" s="1"/>
  <c r="AY922" i="1" s="1"/>
  <c r="AZ922" i="1" s="1"/>
  <c r="BA922" i="1" s="1"/>
  <c r="BB922" i="1" s="1"/>
  <c r="K931" i="1"/>
  <c r="K888" i="1"/>
  <c r="O931" i="1"/>
  <c r="O888" i="1"/>
  <c r="O892" i="1"/>
  <c r="IN888" i="1"/>
  <c r="S981" i="1"/>
  <c r="H981" i="1"/>
  <c r="L931" i="1"/>
  <c r="L888" i="1"/>
  <c r="H888" i="1"/>
  <c r="JY888" i="1"/>
  <c r="T981" i="1"/>
  <c r="LJ888" i="1"/>
  <c r="I888" i="1"/>
  <c r="JZ888" i="1"/>
  <c r="J931" i="1"/>
  <c r="J888" i="1"/>
  <c r="N931" i="1"/>
  <c r="N888" i="1"/>
  <c r="IO888" i="1"/>
  <c r="JW888" i="1"/>
  <c r="LI888" i="1"/>
  <c r="GX922" i="1"/>
  <c r="BF922" i="1"/>
  <c r="LE922" i="1"/>
  <c r="JT922" i="1"/>
  <c r="II922" i="1"/>
  <c r="FM922" i="1"/>
  <c r="EB922" i="1"/>
  <c r="CQ922" i="1"/>
  <c r="U922" i="1"/>
  <c r="JX888" i="1"/>
  <c r="HC922" i="1"/>
  <c r="BK922" i="1"/>
  <c r="LJ922" i="1"/>
  <c r="LJ931" i="1" s="1"/>
  <c r="JY922" i="1"/>
  <c r="IN922" i="1"/>
  <c r="IN931" i="1" s="1"/>
  <c r="Z922" i="1"/>
  <c r="LG922" i="1"/>
  <c r="JV922" i="1"/>
  <c r="IK922" i="1"/>
  <c r="GZ922" i="1"/>
  <c r="FO922" i="1"/>
  <c r="ED922" i="1"/>
  <c r="CS922" i="1"/>
  <c r="BH922" i="1"/>
  <c r="W922" i="1"/>
  <c r="LI922" i="1"/>
  <c r="FQ922" i="1"/>
  <c r="Y922" i="1"/>
  <c r="LD922" i="1"/>
  <c r="FL922" i="1"/>
  <c r="T922" i="1"/>
  <c r="JW922" i="1"/>
  <c r="EE922" i="1"/>
  <c r="LC922" i="1"/>
  <c r="JR922" i="1"/>
  <c r="IG922" i="1"/>
  <c r="GV922" i="1"/>
  <c r="FK922" i="1"/>
  <c r="DZ922" i="1"/>
  <c r="CO922" i="1"/>
  <c r="BD922" i="1"/>
  <c r="S922" i="1"/>
  <c r="X922" i="1"/>
  <c r="BI922" i="1"/>
  <c r="CT922" i="1"/>
  <c r="HB191" i="1" l="1"/>
  <c r="FX402" i="1"/>
  <c r="DB399" i="1"/>
  <c r="GF766" i="1"/>
  <c r="IC398" i="1"/>
  <c r="LN396" i="1"/>
  <c r="LR400" i="1"/>
  <c r="DP399" i="1"/>
  <c r="DP768" i="1" s="1"/>
  <c r="MA402" i="1"/>
  <c r="JA400" i="1"/>
  <c r="ML400" i="1"/>
  <c r="JM400" i="1"/>
  <c r="FS396" i="1"/>
  <c r="HW400" i="1"/>
  <c r="KA402" i="1"/>
  <c r="EM399" i="1"/>
  <c r="DL400" i="1"/>
  <c r="DK400" i="1"/>
  <c r="CY397" i="1"/>
  <c r="LM398" i="1"/>
  <c r="LK398" i="1"/>
  <c r="EM402" i="1"/>
  <c r="CE189" i="1"/>
  <c r="JL400" i="1"/>
  <c r="HE195" i="1"/>
  <c r="ML657" i="1"/>
  <c r="ML653" i="1"/>
  <c r="MB654" i="1"/>
  <c r="LH656" i="1"/>
  <c r="LH652" i="1"/>
  <c r="LR654" i="1"/>
  <c r="LH643" i="1"/>
  <c r="LH639" i="1"/>
  <c r="LR640" i="1"/>
  <c r="MB641" i="1"/>
  <c r="ML642" i="1"/>
  <c r="ML641" i="1"/>
  <c r="ML635" i="1"/>
  <c r="LR637" i="1"/>
  <c r="LH636" i="1"/>
  <c r="ML656" i="1"/>
  <c r="MB657" i="1"/>
  <c r="MB653" i="1"/>
  <c r="LH655" i="1"/>
  <c r="LR657" i="1"/>
  <c r="LR653" i="1"/>
  <c r="LH642" i="1"/>
  <c r="LR643" i="1"/>
  <c r="LR639" i="1"/>
  <c r="MB640" i="1"/>
  <c r="ML640" i="1"/>
  <c r="MB637" i="1"/>
  <c r="LR636" i="1"/>
  <c r="LH635" i="1"/>
  <c r="ML655" i="1"/>
  <c r="MB656" i="1"/>
  <c r="MB652" i="1"/>
  <c r="LH654" i="1"/>
  <c r="LR656" i="1"/>
  <c r="LR652" i="1"/>
  <c r="LH641" i="1"/>
  <c r="LR642" i="1"/>
  <c r="MB643" i="1"/>
  <c r="MB639" i="1"/>
  <c r="ML639" i="1"/>
  <c r="ML637" i="1"/>
  <c r="MB636" i="1"/>
  <c r="LR635" i="1"/>
  <c r="ML652" i="1"/>
  <c r="ML654" i="1"/>
  <c r="MB655" i="1"/>
  <c r="LH657" i="1"/>
  <c r="LH653" i="1"/>
  <c r="LR655" i="1"/>
  <c r="LH640" i="1"/>
  <c r="LR641" i="1"/>
  <c r="MB642" i="1"/>
  <c r="ML643" i="1"/>
  <c r="ML636" i="1"/>
  <c r="MB635" i="1"/>
  <c r="LH637" i="1"/>
  <c r="KP398" i="1"/>
  <c r="MG612" i="1"/>
  <c r="MG608" i="1"/>
  <c r="MG604" i="1"/>
  <c r="MG600" i="1"/>
  <c r="MG596" i="1"/>
  <c r="MG592" i="1"/>
  <c r="MG588" i="1"/>
  <c r="MG584" i="1"/>
  <c r="MG580" i="1"/>
  <c r="MG576" i="1"/>
  <c r="MG572" i="1"/>
  <c r="MG568" i="1"/>
  <c r="MG564" i="1"/>
  <c r="MG560" i="1"/>
  <c r="MG556" i="1"/>
  <c r="MG552" i="1"/>
  <c r="MG548" i="1"/>
  <c r="MG544" i="1"/>
  <c r="MG540" i="1"/>
  <c r="MG536" i="1"/>
  <c r="MG532" i="1"/>
  <c r="MG528" i="1"/>
  <c r="MG524" i="1"/>
  <c r="MG520" i="1"/>
  <c r="MG516" i="1"/>
  <c r="MF612" i="1"/>
  <c r="MF608" i="1"/>
  <c r="MF604" i="1"/>
  <c r="MF600" i="1"/>
  <c r="MF596" i="1"/>
  <c r="MF592" i="1"/>
  <c r="MF588" i="1"/>
  <c r="MF584" i="1"/>
  <c r="MF580" i="1"/>
  <c r="MF576" i="1"/>
  <c r="MF572" i="1"/>
  <c r="MF568" i="1"/>
  <c r="MF564" i="1"/>
  <c r="MF560" i="1"/>
  <c r="MF556" i="1"/>
  <c r="MF552" i="1"/>
  <c r="MF548" i="1"/>
  <c r="MF544" i="1"/>
  <c r="MF540" i="1"/>
  <c r="MF536" i="1"/>
  <c r="MF532" i="1"/>
  <c r="MF528" i="1"/>
  <c r="MF524" i="1"/>
  <c r="MF520" i="1"/>
  <c r="MF516" i="1"/>
  <c r="MB612" i="1"/>
  <c r="LV610" i="1"/>
  <c r="LW609" i="1"/>
  <c r="MB608" i="1"/>
  <c r="LV606" i="1"/>
  <c r="LW605" i="1"/>
  <c r="MB604" i="1"/>
  <c r="LV602" i="1"/>
  <c r="LW601" i="1"/>
  <c r="MB600" i="1"/>
  <c r="LV598" i="1"/>
  <c r="LW597" i="1"/>
  <c r="MB596" i="1"/>
  <c r="LV594" i="1"/>
  <c r="LW593" i="1"/>
  <c r="MB592" i="1"/>
  <c r="LV590" i="1"/>
  <c r="LW589" i="1"/>
  <c r="MB588" i="1"/>
  <c r="LV586" i="1"/>
  <c r="LW585" i="1"/>
  <c r="MB584" i="1"/>
  <c r="LV582" i="1"/>
  <c r="LW581" i="1"/>
  <c r="MB580" i="1"/>
  <c r="LV578" i="1"/>
  <c r="LW577" i="1"/>
  <c r="MB576" i="1"/>
  <c r="LV574" i="1"/>
  <c r="LW573" i="1"/>
  <c r="MB572" i="1"/>
  <c r="LV570" i="1"/>
  <c r="MG611" i="1"/>
  <c r="MG607" i="1"/>
  <c r="MG603" i="1"/>
  <c r="MG599" i="1"/>
  <c r="MG595" i="1"/>
  <c r="MG591" i="1"/>
  <c r="MG587" i="1"/>
  <c r="MG583" i="1"/>
  <c r="MG579" i="1"/>
  <c r="MG606" i="1"/>
  <c r="MG598" i="1"/>
  <c r="MG590" i="1"/>
  <c r="MG582" i="1"/>
  <c r="MG575" i="1"/>
  <c r="MG570" i="1"/>
  <c r="MG565" i="1"/>
  <c r="MG559" i="1"/>
  <c r="MG554" i="1"/>
  <c r="MG549" i="1"/>
  <c r="MG543" i="1"/>
  <c r="MG538" i="1"/>
  <c r="MG533" i="1"/>
  <c r="MG527" i="1"/>
  <c r="MG522" i="1"/>
  <c r="MG517" i="1"/>
  <c r="MF611" i="1"/>
  <c r="MF606" i="1"/>
  <c r="MF601" i="1"/>
  <c r="MF595" i="1"/>
  <c r="MF590" i="1"/>
  <c r="MF585" i="1"/>
  <c r="MF579" i="1"/>
  <c r="MF574" i="1"/>
  <c r="MF569" i="1"/>
  <c r="MF563" i="1"/>
  <c r="MF558" i="1"/>
  <c r="MF553" i="1"/>
  <c r="MF547" i="1"/>
  <c r="MF542" i="1"/>
  <c r="MF537" i="1"/>
  <c r="MF531" i="1"/>
  <c r="MF526" i="1"/>
  <c r="MF521" i="1"/>
  <c r="MF515" i="1"/>
  <c r="LV612" i="1"/>
  <c r="LW611" i="1"/>
  <c r="MB610" i="1"/>
  <c r="MB609" i="1"/>
  <c r="LW608" i="1"/>
  <c r="MB607" i="1"/>
  <c r="LV599" i="1"/>
  <c r="LW598" i="1"/>
  <c r="LV597" i="1"/>
  <c r="LV596" i="1"/>
  <c r="LW595" i="1"/>
  <c r="MB594" i="1"/>
  <c r="MB593" i="1"/>
  <c r="LW592" i="1"/>
  <c r="MB591" i="1"/>
  <c r="LV583" i="1"/>
  <c r="LW582" i="1"/>
  <c r="LV581" i="1"/>
  <c r="LV580" i="1"/>
  <c r="LW579" i="1"/>
  <c r="MB578" i="1"/>
  <c r="MB577" i="1"/>
  <c r="LW576" i="1"/>
  <c r="MB575" i="1"/>
  <c r="LV569" i="1"/>
  <c r="LW568" i="1"/>
  <c r="MB567" i="1"/>
  <c r="LV565" i="1"/>
  <c r="LW564" i="1"/>
  <c r="MB563" i="1"/>
  <c r="LV561" i="1"/>
  <c r="LW560" i="1"/>
  <c r="MB559" i="1"/>
  <c r="LV557" i="1"/>
  <c r="LW556" i="1"/>
  <c r="MB555" i="1"/>
  <c r="LV553" i="1"/>
  <c r="LW552" i="1"/>
  <c r="MB551" i="1"/>
  <c r="LV549" i="1"/>
  <c r="LW548" i="1"/>
  <c r="MB547" i="1"/>
  <c r="LV545" i="1"/>
  <c r="LW544" i="1"/>
  <c r="MB543" i="1"/>
  <c r="LV541" i="1"/>
  <c r="LW540" i="1"/>
  <c r="MG605" i="1"/>
  <c r="MG597" i="1"/>
  <c r="MG589" i="1"/>
  <c r="MG581" i="1"/>
  <c r="MG574" i="1"/>
  <c r="MG569" i="1"/>
  <c r="MG563" i="1"/>
  <c r="MG558" i="1"/>
  <c r="MG553" i="1"/>
  <c r="MG547" i="1"/>
  <c r="MG542" i="1"/>
  <c r="MG537" i="1"/>
  <c r="MG531" i="1"/>
  <c r="MG526" i="1"/>
  <c r="MG521" i="1"/>
  <c r="MG515" i="1"/>
  <c r="MF610" i="1"/>
  <c r="MF605" i="1"/>
  <c r="MF599" i="1"/>
  <c r="MF594" i="1"/>
  <c r="MF589" i="1"/>
  <c r="MF583" i="1"/>
  <c r="MF578" i="1"/>
  <c r="MF573" i="1"/>
  <c r="MF567" i="1"/>
  <c r="MF562" i="1"/>
  <c r="MF557" i="1"/>
  <c r="MF551" i="1"/>
  <c r="MF546" i="1"/>
  <c r="MF541" i="1"/>
  <c r="MF535" i="1"/>
  <c r="MF530" i="1"/>
  <c r="MF525" i="1"/>
  <c r="MF519" i="1"/>
  <c r="MF514" i="1"/>
  <c r="LV611" i="1"/>
  <c r="LW610" i="1"/>
  <c r="LV609" i="1"/>
  <c r="LV608" i="1"/>
  <c r="LW607" i="1"/>
  <c r="MB606" i="1"/>
  <c r="MB605" i="1"/>
  <c r="LW604" i="1"/>
  <c r="MB603" i="1"/>
  <c r="LV595" i="1"/>
  <c r="LW594" i="1"/>
  <c r="LV593" i="1"/>
  <c r="LV592" i="1"/>
  <c r="LW591" i="1"/>
  <c r="MB590" i="1"/>
  <c r="MB589" i="1"/>
  <c r="LW588" i="1"/>
  <c r="MB587" i="1"/>
  <c r="LV579" i="1"/>
  <c r="LW578" i="1"/>
  <c r="LV577" i="1"/>
  <c r="LV576" i="1"/>
  <c r="LW575" i="1"/>
  <c r="MB574" i="1"/>
  <c r="MB573" i="1"/>
  <c r="LW572" i="1"/>
  <c r="MB571" i="1"/>
  <c r="LV568" i="1"/>
  <c r="LW567" i="1"/>
  <c r="MB566" i="1"/>
  <c r="LV564" i="1"/>
  <c r="LW563" i="1"/>
  <c r="MB562" i="1"/>
  <c r="LV560" i="1"/>
  <c r="LW559" i="1"/>
  <c r="MB558" i="1"/>
  <c r="LV556" i="1"/>
  <c r="LW555" i="1"/>
  <c r="MB554" i="1"/>
  <c r="LV552" i="1"/>
  <c r="LW551" i="1"/>
  <c r="MB550" i="1"/>
  <c r="LV548" i="1"/>
  <c r="LW547" i="1"/>
  <c r="MB546" i="1"/>
  <c r="LV544" i="1"/>
  <c r="LW543" i="1"/>
  <c r="MB542" i="1"/>
  <c r="MG602" i="1"/>
  <c r="MG586" i="1"/>
  <c r="MG573" i="1"/>
  <c r="MG562" i="1"/>
  <c r="MG551" i="1"/>
  <c r="MG541" i="1"/>
  <c r="MG530" i="1"/>
  <c r="MG519" i="1"/>
  <c r="MF609" i="1"/>
  <c r="MF598" i="1"/>
  <c r="MF587" i="1"/>
  <c r="MF577" i="1"/>
  <c r="MF566" i="1"/>
  <c r="MF555" i="1"/>
  <c r="MF545" i="1"/>
  <c r="MF534" i="1"/>
  <c r="MF523" i="1"/>
  <c r="MF513" i="1"/>
  <c r="MB611" i="1"/>
  <c r="LW606" i="1"/>
  <c r="MB597" i="1"/>
  <c r="LV588" i="1"/>
  <c r="LV587" i="1"/>
  <c r="LW586" i="1"/>
  <c r="LV585" i="1"/>
  <c r="LV584" i="1"/>
  <c r="LW583" i="1"/>
  <c r="MB579" i="1"/>
  <c r="LW574" i="1"/>
  <c r="LV567" i="1"/>
  <c r="LV566" i="1"/>
  <c r="LW565" i="1"/>
  <c r="LV559" i="1"/>
  <c r="LV558" i="1"/>
  <c r="LW557" i="1"/>
  <c r="LV551" i="1"/>
  <c r="LV550" i="1"/>
  <c r="LW549" i="1"/>
  <c r="LV543" i="1"/>
  <c r="LV542" i="1"/>
  <c r="LW541" i="1"/>
  <c r="LV540" i="1"/>
  <c r="LW539" i="1"/>
  <c r="MB538" i="1"/>
  <c r="LV536" i="1"/>
  <c r="LW535" i="1"/>
  <c r="MB534" i="1"/>
  <c r="LV532" i="1"/>
  <c r="LW531" i="1"/>
  <c r="MB530" i="1"/>
  <c r="LV528" i="1"/>
  <c r="LW527" i="1"/>
  <c r="MB526" i="1"/>
  <c r="LV524" i="1"/>
  <c r="LW523" i="1"/>
  <c r="MB522" i="1"/>
  <c r="LV520" i="1"/>
  <c r="LW519" i="1"/>
  <c r="MB518" i="1"/>
  <c r="LV516" i="1"/>
  <c r="LW515" i="1"/>
  <c r="MB514" i="1"/>
  <c r="LV523" i="1"/>
  <c r="LW522" i="1"/>
  <c r="MB521" i="1"/>
  <c r="MB517" i="1"/>
  <c r="MG610" i="1"/>
  <c r="MG578" i="1"/>
  <c r="MG557" i="1"/>
  <c r="MG535" i="1"/>
  <c r="MG525" i="1"/>
  <c r="MF603" i="1"/>
  <c r="MF571" i="1"/>
  <c r="MF550" i="1"/>
  <c r="MF529" i="1"/>
  <c r="LV604" i="1"/>
  <c r="LW602" i="1"/>
  <c r="LW599" i="1"/>
  <c r="MB595" i="1"/>
  <c r="LV572" i="1"/>
  <c r="LW570" i="1"/>
  <c r="LV563" i="1"/>
  <c r="LW561" i="1"/>
  <c r="LV554" i="1"/>
  <c r="LV547" i="1"/>
  <c r="LW545" i="1"/>
  <c r="LW537" i="1"/>
  <c r="LV534" i="1"/>
  <c r="LW533" i="1"/>
  <c r="MB532" i="1"/>
  <c r="MB528" i="1"/>
  <c r="LV522" i="1"/>
  <c r="LW521" i="1"/>
  <c r="LV518" i="1"/>
  <c r="LW517" i="1"/>
  <c r="MB516" i="1"/>
  <c r="MG593" i="1"/>
  <c r="MG566" i="1"/>
  <c r="MG555" i="1"/>
  <c r="MG523" i="1"/>
  <c r="MF602" i="1"/>
  <c r="MF591" i="1"/>
  <c r="MF570" i="1"/>
  <c r="MF549" i="1"/>
  <c r="MF517" i="1"/>
  <c r="LW596" i="1"/>
  <c r="LW587" i="1"/>
  <c r="MB585" i="1"/>
  <c r="MB583" i="1"/>
  <c r="LV573" i="1"/>
  <c r="MB565" i="1"/>
  <c r="LW558" i="1"/>
  <c r="MB556" i="1"/>
  <c r="MB549" i="1"/>
  <c r="LW542" i="1"/>
  <c r="MB540" i="1"/>
  <c r="LV537" i="1"/>
  <c r="LW536" i="1"/>
  <c r="MB535" i="1"/>
  <c r="LV529" i="1"/>
  <c r="LW528" i="1"/>
  <c r="MB527" i="1"/>
  <c r="LV521" i="1"/>
  <c r="LW520" i="1"/>
  <c r="MB519" i="1"/>
  <c r="LV513" i="1"/>
  <c r="MG601" i="1"/>
  <c r="MG585" i="1"/>
  <c r="MG571" i="1"/>
  <c r="MG561" i="1"/>
  <c r="MG550" i="1"/>
  <c r="MG539" i="1"/>
  <c r="MG529" i="1"/>
  <c r="MG518" i="1"/>
  <c r="MF607" i="1"/>
  <c r="MF597" i="1"/>
  <c r="MF586" i="1"/>
  <c r="MF575" i="1"/>
  <c r="MF565" i="1"/>
  <c r="MF554" i="1"/>
  <c r="MF543" i="1"/>
  <c r="MF533" i="1"/>
  <c r="MF522" i="1"/>
  <c r="LW612" i="1"/>
  <c r="LV607" i="1"/>
  <c r="LW603" i="1"/>
  <c r="MB602" i="1"/>
  <c r="MB601" i="1"/>
  <c r="LW600" i="1"/>
  <c r="MB599" i="1"/>
  <c r="MB598" i="1"/>
  <c r="LV589" i="1"/>
  <c r="LW580" i="1"/>
  <c r="LV575" i="1"/>
  <c r="LW571" i="1"/>
  <c r="MB570" i="1"/>
  <c r="MB569" i="1"/>
  <c r="MB568" i="1"/>
  <c r="LW562" i="1"/>
  <c r="MB561" i="1"/>
  <c r="MB560" i="1"/>
  <c r="LW554" i="1"/>
  <c r="MB553" i="1"/>
  <c r="MB552" i="1"/>
  <c r="LW546" i="1"/>
  <c r="MB545" i="1"/>
  <c r="MB544" i="1"/>
  <c r="LV539" i="1"/>
  <c r="LW538" i="1"/>
  <c r="MB537" i="1"/>
  <c r="LV535" i="1"/>
  <c r="LW534" i="1"/>
  <c r="MB533" i="1"/>
  <c r="LV531" i="1"/>
  <c r="LW530" i="1"/>
  <c r="MB529" i="1"/>
  <c r="LV527" i="1"/>
  <c r="LW526" i="1"/>
  <c r="MB525" i="1"/>
  <c r="LV519" i="1"/>
  <c r="LW518" i="1"/>
  <c r="LV515" i="1"/>
  <c r="LW514" i="1"/>
  <c r="MB513" i="1"/>
  <c r="MG594" i="1"/>
  <c r="MG567" i="1"/>
  <c r="MG546" i="1"/>
  <c r="MG514" i="1"/>
  <c r="MF593" i="1"/>
  <c r="MF582" i="1"/>
  <c r="MF561" i="1"/>
  <c r="MF539" i="1"/>
  <c r="MF518" i="1"/>
  <c r="LV603" i="1"/>
  <c r="LV601" i="1"/>
  <c r="LV600" i="1"/>
  <c r="LW590" i="1"/>
  <c r="MB581" i="1"/>
  <c r="LV571" i="1"/>
  <c r="LW569" i="1"/>
  <c r="LV562" i="1"/>
  <c r="LV555" i="1"/>
  <c r="LW553" i="1"/>
  <c r="LV546" i="1"/>
  <c r="LV538" i="1"/>
  <c r="MB536" i="1"/>
  <c r="LV530" i="1"/>
  <c r="LW529" i="1"/>
  <c r="LV526" i="1"/>
  <c r="LW525" i="1"/>
  <c r="MB524" i="1"/>
  <c r="MB520" i="1"/>
  <c r="LV514" i="1"/>
  <c r="LW513" i="1"/>
  <c r="MG609" i="1"/>
  <c r="MG577" i="1"/>
  <c r="MG545" i="1"/>
  <c r="MG534" i="1"/>
  <c r="MG513" i="1"/>
  <c r="MF581" i="1"/>
  <c r="MF559" i="1"/>
  <c r="MF538" i="1"/>
  <c r="MF527" i="1"/>
  <c r="LV605" i="1"/>
  <c r="LV591" i="1"/>
  <c r="MB586" i="1"/>
  <c r="LW584" i="1"/>
  <c r="MB582" i="1"/>
  <c r="LW566" i="1"/>
  <c r="MB564" i="1"/>
  <c r="MB557" i="1"/>
  <c r="LW550" i="1"/>
  <c r="MB548" i="1"/>
  <c r="MB541" i="1"/>
  <c r="MB539" i="1"/>
  <c r="LV533" i="1"/>
  <c r="LW532" i="1"/>
  <c r="MB531" i="1"/>
  <c r="LV525" i="1"/>
  <c r="LW524" i="1"/>
  <c r="MB523" i="1"/>
  <c r="LV517" i="1"/>
  <c r="LW516" i="1"/>
  <c r="MB515" i="1"/>
  <c r="HM401" i="1"/>
  <c r="HM770" i="1" s="1"/>
  <c r="GH398" i="1"/>
  <c r="GH767" i="1" s="1"/>
  <c r="DW399" i="1"/>
  <c r="DW768" i="1" s="1"/>
  <c r="FU398" i="1"/>
  <c r="MK399" i="1"/>
  <c r="JZ402" i="1"/>
  <c r="CX401" i="1"/>
  <c r="LO399" i="1"/>
  <c r="IO399" i="1"/>
  <c r="JK401" i="1"/>
  <c r="IR402" i="1"/>
  <c r="AT885" i="1"/>
  <c r="LJ398" i="1"/>
  <c r="EQ399" i="1"/>
  <c r="EQ768" i="1" s="1"/>
  <c r="FG399" i="1"/>
  <c r="FG768" i="1" s="1"/>
  <c r="EM397" i="1"/>
  <c r="EM766" i="1" s="1"/>
  <c r="HX401" i="1"/>
  <c r="BL194" i="1"/>
  <c r="HX188" i="1"/>
  <c r="GS193" i="1"/>
  <c r="EP398" i="1"/>
  <c r="JO399" i="1"/>
  <c r="JG400" i="1"/>
  <c r="IV398" i="1"/>
  <c r="JA402" i="1"/>
  <c r="GM402" i="1"/>
  <c r="GM771" i="1" s="1"/>
  <c r="DJ400" i="1"/>
  <c r="DJ769" i="1" s="1"/>
  <c r="CK401" i="1"/>
  <c r="CK770" i="1" s="1"/>
  <c r="BO399" i="1"/>
  <c r="KU403" i="1"/>
  <c r="CJ401" i="1"/>
  <c r="KG399" i="1"/>
  <c r="DJ191" i="1"/>
  <c r="DL195" i="1"/>
  <c r="BV194" i="1"/>
  <c r="GQ193" i="1"/>
  <c r="LY403" i="1"/>
  <c r="EM768" i="1"/>
  <c r="HI191" i="1"/>
  <c r="JY399" i="1"/>
  <c r="DF768" i="1"/>
  <c r="GT230" i="1"/>
  <c r="HC191" i="1"/>
  <c r="HJ436" i="1"/>
  <c r="HJ437" i="1" s="1"/>
  <c r="HJ776" i="1" s="1"/>
  <c r="AG885" i="1"/>
  <c r="EU403" i="1"/>
  <c r="EU772" i="1" s="1"/>
  <c r="EW403" i="1"/>
  <c r="EW772" i="1" s="1"/>
  <c r="HX402" i="1"/>
  <c r="HX771" i="1" s="1"/>
  <c r="HE191" i="1"/>
  <c r="JI403" i="1"/>
  <c r="MI401" i="1"/>
  <c r="IS401" i="1"/>
  <c r="DQ401" i="1"/>
  <c r="DQ770" i="1" s="1"/>
  <c r="MA400" i="1"/>
  <c r="DB397" i="1"/>
  <c r="DB766" i="1" s="1"/>
  <c r="JA396" i="1"/>
  <c r="BW401" i="1"/>
  <c r="BW770" i="1" s="1"/>
  <c r="HV420" i="1"/>
  <c r="MC403" i="1"/>
  <c r="MG397" i="1"/>
  <c r="LV397" i="1"/>
  <c r="IQ398" i="1"/>
  <c r="IN398" i="1"/>
  <c r="IU402" i="1"/>
  <c r="LJ399" i="1"/>
  <c r="KU400" i="1"/>
  <c r="JD400" i="1"/>
  <c r="DT397" i="1"/>
  <c r="DT766" i="1" s="1"/>
  <c r="JG403" i="1"/>
  <c r="JE403" i="1"/>
  <c r="DN403" i="1"/>
  <c r="HY398" i="1"/>
  <c r="HY767" i="1" s="1"/>
  <c r="LK399" i="1"/>
  <c r="ES403" i="1"/>
  <c r="ES772" i="1" s="1"/>
  <c r="KM398" i="1"/>
  <c r="BX401" i="1"/>
  <c r="BX770" i="1" s="1"/>
  <c r="JD403" i="1"/>
  <c r="ME403" i="1"/>
  <c r="LO403" i="1"/>
  <c r="IS402" i="1"/>
  <c r="GM401" i="1"/>
  <c r="GM770" i="1" s="1"/>
  <c r="LS398" i="1"/>
  <c r="MA397" i="1"/>
  <c r="GM397" i="1"/>
  <c r="GM766" i="1" s="1"/>
  <c r="AP774" i="1"/>
  <c r="AP777" i="1" s="1"/>
  <c r="AP783" i="1" s="1"/>
  <c r="CM772" i="1"/>
  <c r="HI400" i="1"/>
  <c r="HI769" i="1" s="1"/>
  <c r="CK398" i="1"/>
  <c r="CK767" i="1" s="1"/>
  <c r="KE401" i="1"/>
  <c r="EW399" i="1"/>
  <c r="EW768" i="1" s="1"/>
  <c r="BP192" i="1"/>
  <c r="BR191" i="1"/>
  <c r="BO192" i="1"/>
  <c r="BI196" i="1"/>
  <c r="D214" i="1" s="1"/>
  <c r="DR195" i="1"/>
  <c r="DS195" i="1"/>
  <c r="DF191" i="1"/>
  <c r="DE191" i="1"/>
  <c r="DJ195" i="1"/>
  <c r="DG195" i="1"/>
  <c r="DW398" i="1"/>
  <c r="CA194" i="1"/>
  <c r="BZ194" i="1"/>
  <c r="GR193" i="1"/>
  <c r="GP193" i="1"/>
  <c r="KP403" i="1"/>
  <c r="DD400" i="1"/>
  <c r="DD769" i="1" s="1"/>
  <c r="GG396" i="1"/>
  <c r="FV402" i="1"/>
  <c r="FV771" i="1" s="1"/>
  <c r="KH399" i="1"/>
  <c r="DC399" i="1"/>
  <c r="DC768" i="1" s="1"/>
  <c r="FZ398" i="1"/>
  <c r="FZ767" i="1" s="1"/>
  <c r="FF401" i="1"/>
  <c r="FF770" i="1" s="1"/>
  <c r="IQ402" i="1"/>
  <c r="EL401" i="1"/>
  <c r="JC398" i="1"/>
  <c r="LM397" i="1"/>
  <c r="MG401" i="1"/>
  <c r="GK396" i="1"/>
  <c r="GK765" i="1" s="1"/>
  <c r="GS397" i="1"/>
  <c r="FF399" i="1"/>
  <c r="FP886" i="1"/>
  <c r="FP888" i="1" s="1"/>
  <c r="FP893" i="1" s="1"/>
  <c r="MA403" i="1"/>
  <c r="JE400" i="1"/>
  <c r="IO398" i="1"/>
  <c r="CX398" i="1"/>
  <c r="CX767" i="1" s="1"/>
  <c r="IW397" i="1"/>
  <c r="GI397" i="1"/>
  <c r="GI766" i="1" s="1"/>
  <c r="JH403" i="1"/>
  <c r="JH400" i="1"/>
  <c r="KC403" i="1"/>
  <c r="FC403" i="1"/>
  <c r="FC772" i="1" s="1"/>
  <c r="KI402" i="1"/>
  <c r="KY402" i="1"/>
  <c r="FG401" i="1"/>
  <c r="FG770" i="1" s="1"/>
  <c r="KA400" i="1"/>
  <c r="KO399" i="1"/>
  <c r="EY399" i="1"/>
  <c r="EY768" i="1" s="1"/>
  <c r="KQ398" i="1"/>
  <c r="EM398" i="1"/>
  <c r="EM767" i="1" s="1"/>
  <c r="KI396" i="1"/>
  <c r="KW396" i="1"/>
  <c r="BP399" i="1"/>
  <c r="BP768" i="1" s="1"/>
  <c r="BN194" i="1"/>
  <c r="BK192" i="1"/>
  <c r="BL191" i="1"/>
  <c r="BM191" i="1"/>
  <c r="BJ194" i="1"/>
  <c r="BK191" i="1"/>
  <c r="BP194" i="1"/>
  <c r="BO191" i="1"/>
  <c r="BO194" i="1"/>
  <c r="BM194" i="1"/>
  <c r="DP195" i="1"/>
  <c r="DU195" i="1"/>
  <c r="DW195" i="1"/>
  <c r="DL191" i="1"/>
  <c r="DI191" i="1"/>
  <c r="DE195" i="1"/>
  <c r="DH195" i="1"/>
  <c r="DK195" i="1"/>
  <c r="BT194" i="1"/>
  <c r="BX194" i="1"/>
  <c r="GK193" i="1"/>
  <c r="GO193" i="1"/>
  <c r="IR403" i="1"/>
  <c r="GL397" i="1"/>
  <c r="LQ402" i="1"/>
  <c r="MD402" i="1"/>
  <c r="FZ401" i="1"/>
  <c r="FZ770" i="1" s="1"/>
  <c r="MH400" i="1"/>
  <c r="CU191" i="1"/>
  <c r="DK397" i="1"/>
  <c r="DK766" i="1" s="1"/>
  <c r="DC397" i="1"/>
  <c r="DC766" i="1" s="1"/>
  <c r="KP399" i="1"/>
  <c r="DD397" i="1"/>
  <c r="DD766" i="1" s="1"/>
  <c r="KH402" i="1"/>
  <c r="ET399" i="1"/>
  <c r="ET768" i="1" s="1"/>
  <c r="LN397" i="1"/>
  <c r="JC402" i="1"/>
  <c r="EL403" i="1"/>
  <c r="EL772" i="1" s="1"/>
  <c r="LU399" i="1"/>
  <c r="MG399" i="1"/>
  <c r="DB403" i="1"/>
  <c r="DB772" i="1" s="1"/>
  <c r="LS401" i="1"/>
  <c r="DB768" i="1"/>
  <c r="MI397" i="1"/>
  <c r="IS397" i="1"/>
  <c r="LK396" i="1"/>
  <c r="GN396" i="1"/>
  <c r="GN765" i="1" s="1"/>
  <c r="CI402" i="1"/>
  <c r="CI771" i="1" s="1"/>
  <c r="EQ398" i="1"/>
  <c r="EQ767" i="1" s="1"/>
  <c r="BP401" i="1"/>
  <c r="BP770" i="1" s="1"/>
  <c r="BQ191" i="1"/>
  <c r="BR194" i="1"/>
  <c r="BQ192" i="1"/>
  <c r="BK194" i="1"/>
  <c r="BJ191" i="1"/>
  <c r="BQ194" i="1"/>
  <c r="DQ195" i="1"/>
  <c r="DT195" i="1"/>
  <c r="DH191" i="1"/>
  <c r="DF195" i="1"/>
  <c r="BW194" i="1"/>
  <c r="GN193" i="1"/>
  <c r="IQ403" i="1"/>
  <c r="CY403" i="1"/>
  <c r="CV403" i="1"/>
  <c r="CY398" i="1"/>
  <c r="CY767" i="1" s="1"/>
  <c r="KD396" i="1"/>
  <c r="LL403" i="1"/>
  <c r="GH401" i="1"/>
  <c r="GH770" i="1" s="1"/>
  <c r="GG401" i="1"/>
  <c r="GG770" i="1" s="1"/>
  <c r="BP191" i="1"/>
  <c r="DU397" i="1"/>
  <c r="DU766" i="1" s="1"/>
  <c r="FY398" i="1"/>
  <c r="LR402" i="1"/>
  <c r="CV401" i="1"/>
  <c r="CV770" i="1" s="1"/>
  <c r="DS401" i="1"/>
  <c r="DS770" i="1" s="1"/>
  <c r="JZ400" i="1"/>
  <c r="MG400" i="1"/>
  <c r="IV402" i="1"/>
  <c r="IN402" i="1"/>
  <c r="LJ401" i="1"/>
  <c r="MH401" i="1"/>
  <c r="IU398" i="1"/>
  <c r="LR398" i="1"/>
  <c r="ET771" i="1"/>
  <c r="KP397" i="1"/>
  <c r="LZ402" i="1"/>
  <c r="JK400" i="1"/>
  <c r="MK397" i="1"/>
  <c r="IY402" i="1"/>
  <c r="IZ398" i="1"/>
  <c r="JL398" i="1"/>
  <c r="LQ397" i="1"/>
  <c r="LR401" i="1"/>
  <c r="FR397" i="1"/>
  <c r="FR766" i="1" s="1"/>
  <c r="JK396" i="1"/>
  <c r="JD396" i="1"/>
  <c r="LR397" i="1"/>
  <c r="KX402" i="1"/>
  <c r="LZ398" i="1"/>
  <c r="ET397" i="1"/>
  <c r="LJ397" i="1"/>
  <c r="DD401" i="1"/>
  <c r="DD770" i="1" s="1"/>
  <c r="KH396" i="1"/>
  <c r="EH399" i="1"/>
  <c r="EH768" i="1" s="1"/>
  <c r="LN403" i="1"/>
  <c r="I777" i="1"/>
  <c r="I818" i="1" s="1"/>
  <c r="T833" i="1" s="1"/>
  <c r="IQ399" i="1"/>
  <c r="LS400" i="1"/>
  <c r="DQ400" i="1"/>
  <c r="DQ769" i="1" s="1"/>
  <c r="MI398" i="1"/>
  <c r="JI398" i="1"/>
  <c r="HI399" i="1"/>
  <c r="HI768" i="1" s="1"/>
  <c r="LM403" i="1"/>
  <c r="FE401" i="1"/>
  <c r="FE770" i="1" s="1"/>
  <c r="KO397" i="1"/>
  <c r="EW397" i="1"/>
  <c r="EW766" i="1" s="1"/>
  <c r="JM403" i="1"/>
  <c r="ME402" i="1"/>
  <c r="GB402" i="1"/>
  <c r="GB771" i="1" s="1"/>
  <c r="LW401" i="1"/>
  <c r="DE401" i="1"/>
  <c r="DE770" i="1" s="1"/>
  <c r="DN400" i="1"/>
  <c r="DN769" i="1" s="1"/>
  <c r="JM399" i="1"/>
  <c r="IW399" i="1"/>
  <c r="GB398" i="1"/>
  <c r="GB767" i="1" s="1"/>
  <c r="DN398" i="1"/>
  <c r="DN767" i="1" s="1"/>
  <c r="FS397" i="1"/>
  <c r="FS766" i="1" s="1"/>
  <c r="LO396" i="1"/>
  <c r="JE396" i="1"/>
  <c r="CK403" i="1"/>
  <c r="CK772" i="1" s="1"/>
  <c r="BO400" i="1"/>
  <c r="BO769" i="1" s="1"/>
  <c r="EG403" i="1"/>
  <c r="EG772" i="1" s="1"/>
  <c r="FC402" i="1"/>
  <c r="FC771" i="1" s="1"/>
  <c r="KY401" i="1"/>
  <c r="KW401" i="1"/>
  <c r="EI399" i="1"/>
  <c r="EI768" i="1" s="1"/>
  <c r="KA398" i="1"/>
  <c r="KC397" i="1"/>
  <c r="CK195" i="1"/>
  <c r="HG420" i="1"/>
  <c r="HU436" i="1"/>
  <c r="HU437" i="1" s="1"/>
  <c r="HU776" i="1" s="1"/>
  <c r="BJ192" i="1"/>
  <c r="FA193" i="1"/>
  <c r="CE195" i="1"/>
  <c r="GT397" i="1"/>
  <c r="GT766" i="1" s="1"/>
  <c r="DT398" i="1"/>
  <c r="DT767" i="1" s="1"/>
  <c r="LY402" i="1"/>
  <c r="EL400" i="1"/>
  <c r="DG399" i="1"/>
  <c r="DG768" i="1" s="1"/>
  <c r="FR402" i="1"/>
  <c r="FR771" i="1" s="1"/>
  <c r="IV397" i="1"/>
  <c r="IU397" i="1"/>
  <c r="LS403" i="1"/>
  <c r="CX772" i="1"/>
  <c r="LO401" i="1"/>
  <c r="JM396" i="1"/>
  <c r="HB403" i="1"/>
  <c r="BO402" i="1"/>
  <c r="BO771" i="1" s="1"/>
  <c r="BW400" i="1"/>
  <c r="BW769" i="1" s="1"/>
  <c r="ML397" i="1"/>
  <c r="KE403" i="1"/>
  <c r="KS403" i="1"/>
  <c r="EG402" i="1"/>
  <c r="EQ397" i="1"/>
  <c r="EQ766" i="1" s="1"/>
  <c r="KU396" i="1"/>
  <c r="BP402" i="1"/>
  <c r="BP771" i="1" s="1"/>
  <c r="BX400" i="1"/>
  <c r="BX769" i="1" s="1"/>
  <c r="HP397" i="1"/>
  <c r="HP766" i="1" s="1"/>
  <c r="BP766" i="1"/>
  <c r="CH195" i="1"/>
  <c r="ER193" i="1"/>
  <c r="HY195" i="1"/>
  <c r="HM420" i="1"/>
  <c r="HD436" i="1"/>
  <c r="HD437" i="1" s="1"/>
  <c r="HD776" i="1" s="1"/>
  <c r="HB188" i="1"/>
  <c r="BR188" i="1"/>
  <c r="BM192" i="1"/>
  <c r="GT402" i="1"/>
  <c r="GT771" i="1" s="1"/>
  <c r="CI195" i="1"/>
  <c r="DH403" i="1"/>
  <c r="DH772" i="1" s="1"/>
  <c r="KT400" i="1"/>
  <c r="DK398" i="1"/>
  <c r="DK767" i="1" s="1"/>
  <c r="FV397" i="1"/>
  <c r="FV766" i="1" s="1"/>
  <c r="KP402" i="1"/>
  <c r="DP400" i="1"/>
  <c r="FV396" i="1"/>
  <c r="FV765" i="1" s="1"/>
  <c r="LX347" i="1"/>
  <c r="DU399" i="1"/>
  <c r="DU768" i="1" s="1"/>
  <c r="CA195" i="1"/>
  <c r="CL195" i="1"/>
  <c r="GG402" i="1"/>
  <c r="GG771" i="1" s="1"/>
  <c r="IV400" i="1"/>
  <c r="JO398" i="1"/>
  <c r="IU400" i="1"/>
  <c r="KX400" i="1"/>
  <c r="EP403" i="1"/>
  <c r="EP772" i="1" s="1"/>
  <c r="LM399" i="1"/>
  <c r="DI403" i="1"/>
  <c r="DI772" i="1" s="1"/>
  <c r="MA401" i="1"/>
  <c r="DJ399" i="1"/>
  <c r="DJ768" i="1" s="1"/>
  <c r="IS398" i="1"/>
  <c r="LK397" i="1"/>
  <c r="HW402" i="1"/>
  <c r="HW771" i="1" s="1"/>
  <c r="IC400" i="1"/>
  <c r="EQ403" i="1"/>
  <c r="EM401" i="1"/>
  <c r="EM770" i="1" s="1"/>
  <c r="EO401" i="1"/>
  <c r="EO770" i="1" s="1"/>
  <c r="KQ399" i="1"/>
  <c r="EG399" i="1"/>
  <c r="EG768" i="1" s="1"/>
  <c r="FG398" i="1"/>
  <c r="FG767" i="1" s="1"/>
  <c r="KQ397" i="1"/>
  <c r="EU397" i="1"/>
  <c r="EU766" i="1" s="1"/>
  <c r="KG396" i="1"/>
  <c r="BP400" i="1"/>
  <c r="BP769" i="1" s="1"/>
  <c r="HH397" i="1"/>
  <c r="HH766" i="1" s="1"/>
  <c r="IC195" i="1"/>
  <c r="CG195" i="1"/>
  <c r="CF195" i="1"/>
  <c r="CZ191" i="1"/>
  <c r="CJ195" i="1"/>
  <c r="BX195" i="1"/>
  <c r="KT403" i="1"/>
  <c r="JL403" i="1"/>
  <c r="KT398" i="1"/>
  <c r="FB402" i="1"/>
  <c r="GS401" i="1"/>
  <c r="GS770" i="1" s="1"/>
  <c r="CY400" i="1"/>
  <c r="CZ397" i="1"/>
  <c r="DC401" i="1"/>
  <c r="KT399" i="1"/>
  <c r="IZ402" i="1"/>
  <c r="KP401" i="1"/>
  <c r="JZ398" i="1"/>
  <c r="IR398" i="1"/>
  <c r="JK402" i="1"/>
  <c r="EQ193" i="1"/>
  <c r="LN401" i="1"/>
  <c r="LY401" i="1"/>
  <c r="EP401" i="1"/>
  <c r="EP770" i="1" s="1"/>
  <c r="EX403" i="1"/>
  <c r="EX772" i="1" s="1"/>
  <c r="JC396" i="1"/>
  <c r="IR396" i="1"/>
  <c r="EL397" i="1"/>
  <c r="FB403" i="1"/>
  <c r="MC399" i="1"/>
  <c r="DC400" i="1"/>
  <c r="DC769" i="1" s="1"/>
  <c r="LZ399" i="1"/>
  <c r="LU397" i="1"/>
  <c r="DC398" i="1"/>
  <c r="DB400" i="1"/>
  <c r="DB769" i="1" s="1"/>
  <c r="DB398" i="1"/>
  <c r="DB767" i="1" s="1"/>
  <c r="IC769" i="1"/>
  <c r="HO400" i="1"/>
  <c r="HO769" i="1" s="1"/>
  <c r="BY400" i="1"/>
  <c r="BY769" i="1" s="1"/>
  <c r="MD403" i="1"/>
  <c r="LZ401" i="1"/>
  <c r="FA403" i="1"/>
  <c r="FA772" i="1" s="1"/>
  <c r="IN400" i="1"/>
  <c r="EH192" i="1"/>
  <c r="J777" i="1"/>
  <c r="EJ195" i="1"/>
  <c r="LU403" i="1"/>
  <c r="LQ398" i="1"/>
  <c r="MI402" i="1"/>
  <c r="GE402" i="1"/>
  <c r="GE771" i="1" s="1"/>
  <c r="MA399" i="1"/>
  <c r="IW403" i="1"/>
  <c r="IO402" i="1"/>
  <c r="LO400" i="1"/>
  <c r="CX400" i="1"/>
  <c r="CX769" i="1" s="1"/>
  <c r="LW399" i="1"/>
  <c r="LW397" i="1"/>
  <c r="IO396" i="1"/>
  <c r="GB396" i="1"/>
  <c r="GB765" i="1" s="1"/>
  <c r="BW403" i="1"/>
  <c r="BW772" i="1" s="1"/>
  <c r="BY399" i="1"/>
  <c r="BY768" i="1" s="1"/>
  <c r="BJ768" i="1"/>
  <c r="CJ770" i="1"/>
  <c r="EO769" i="1"/>
  <c r="KE397" i="1"/>
  <c r="EK397" i="1"/>
  <c r="EK766" i="1" s="1"/>
  <c r="CF400" i="1"/>
  <c r="CF769" i="1" s="1"/>
  <c r="EN191" i="1"/>
  <c r="GQ396" i="1"/>
  <c r="BQ400" i="1"/>
  <c r="BQ769" i="1" s="1"/>
  <c r="HB767" i="1"/>
  <c r="FA402" i="1"/>
  <c r="FA771" i="1" s="1"/>
  <c r="KO401" i="1"/>
  <c r="FC399" i="1"/>
  <c r="FC768" i="1" s="1"/>
  <c r="BX403" i="1"/>
  <c r="BX772" i="1" s="1"/>
  <c r="MC402" i="1"/>
  <c r="MD400" i="1"/>
  <c r="DS400" i="1"/>
  <c r="DS769" i="1" s="1"/>
  <c r="CY401" i="1"/>
  <c r="CY770" i="1" s="1"/>
  <c r="JC399" i="1"/>
  <c r="LJ400" i="1"/>
  <c r="EP399" i="1"/>
  <c r="DS398" i="1"/>
  <c r="DS767" i="1" s="1"/>
  <c r="DS402" i="1"/>
  <c r="DS771" i="1" s="1"/>
  <c r="JC400" i="1"/>
  <c r="CV398" i="1"/>
  <c r="MG398" i="1"/>
  <c r="LY398" i="1"/>
  <c r="LS402" i="1"/>
  <c r="DR402" i="1"/>
  <c r="DR771" i="1" s="1"/>
  <c r="DB771" i="1"/>
  <c r="DJ401" i="1"/>
  <c r="DJ770" i="1" s="1"/>
  <c r="JI400" i="1"/>
  <c r="GF398" i="1"/>
  <c r="GF767" i="1" s="1"/>
  <c r="DQ398" i="1"/>
  <c r="DQ767" i="1" s="1"/>
  <c r="FX397" i="1"/>
  <c r="FX766" i="1" s="1"/>
  <c r="JI396" i="1"/>
  <c r="I785" i="1"/>
  <c r="HY401" i="1"/>
  <c r="HY770" i="1" s="1"/>
  <c r="CM770" i="1"/>
  <c r="IR399" i="1"/>
  <c r="IC399" i="1"/>
  <c r="IC768" i="1" s="1"/>
  <c r="HO398" i="1"/>
  <c r="HO767" i="1" s="1"/>
  <c r="AO885" i="1"/>
  <c r="AC885" i="1"/>
  <c r="KA403" i="1"/>
  <c r="EI403" i="1"/>
  <c r="EI772" i="1" s="1"/>
  <c r="KM402" i="1"/>
  <c r="FG400" i="1"/>
  <c r="FG769" i="1" s="1"/>
  <c r="ES400" i="1"/>
  <c r="ES769" i="1" s="1"/>
  <c r="EO399" i="1"/>
  <c r="EO768" i="1" s="1"/>
  <c r="CB195" i="1"/>
  <c r="BU195" i="1"/>
  <c r="KL400" i="1"/>
  <c r="KH401" i="1"/>
  <c r="CY399" i="1"/>
  <c r="EH397" i="1"/>
  <c r="EH766" i="1" s="1"/>
  <c r="KH398" i="1"/>
  <c r="FB397" i="1"/>
  <c r="FB766" i="1" s="1"/>
  <c r="DE772" i="1"/>
  <c r="LO402" i="1"/>
  <c r="DN402" i="1"/>
  <c r="DN771" i="1" s="1"/>
  <c r="JM401" i="1"/>
  <c r="IW401" i="1"/>
  <c r="GJ401" i="1"/>
  <c r="GJ770" i="1" s="1"/>
  <c r="ME400" i="1"/>
  <c r="ME398" i="1"/>
  <c r="BY401" i="1"/>
  <c r="BY770" i="1" s="1"/>
  <c r="LV399" i="1"/>
  <c r="CE768" i="1"/>
  <c r="BB774" i="1"/>
  <c r="BB777" i="1" s="1"/>
  <c r="BB783" i="1" s="1"/>
  <c r="AK885" i="1"/>
  <c r="EI397" i="1"/>
  <c r="EI766" i="1" s="1"/>
  <c r="KM396" i="1"/>
  <c r="HH400" i="1"/>
  <c r="HH769" i="1" s="1"/>
  <c r="BW195" i="1"/>
  <c r="HD190" i="1"/>
  <c r="BY195" i="1"/>
  <c r="HM190" i="1"/>
  <c r="BZ195" i="1"/>
  <c r="HF190" i="1"/>
  <c r="LM396" i="1"/>
  <c r="LW403" i="1"/>
  <c r="DI402" i="1"/>
  <c r="DI771" i="1" s="1"/>
  <c r="GF401" i="1"/>
  <c r="GF770" i="1" s="1"/>
  <c r="FX398" i="1"/>
  <c r="FX767" i="1" s="1"/>
  <c r="EF770" i="1"/>
  <c r="KK400" i="1"/>
  <c r="HP398" i="1"/>
  <c r="HP767" i="1" s="1"/>
  <c r="BV195" i="1"/>
  <c r="BT195" i="1"/>
  <c r="DH402" i="1"/>
  <c r="DV402" i="1"/>
  <c r="DV771" i="1" s="1"/>
  <c r="GR401" i="1"/>
  <c r="GR770" i="1" s="1"/>
  <c r="LV400" i="1"/>
  <c r="MH398" i="1"/>
  <c r="JY931" i="1"/>
  <c r="CB399" i="1"/>
  <c r="CB768" i="1" s="1"/>
  <c r="GC396" i="1"/>
  <c r="GC765" i="1" s="1"/>
  <c r="DO402" i="1"/>
  <c r="DO771" i="1" s="1"/>
  <c r="GK401" i="1"/>
  <c r="GK770" i="1" s="1"/>
  <c r="LN400" i="1"/>
  <c r="KN398" i="1"/>
  <c r="DS397" i="1"/>
  <c r="DS766" i="1" s="1"/>
  <c r="GS398" i="1"/>
  <c r="GS767" i="1" s="1"/>
  <c r="JZ401" i="1"/>
  <c r="MC398" i="1"/>
  <c r="F220" i="1"/>
  <c r="K777" i="1"/>
  <c r="K818" i="1" s="1"/>
  <c r="V833" i="1" s="1"/>
  <c r="KD403" i="1"/>
  <c r="M777" i="1"/>
  <c r="GD398" i="1"/>
  <c r="KP396" i="1"/>
  <c r="GR397" i="1"/>
  <c r="GR766" i="1" s="1"/>
  <c r="JD398" i="1"/>
  <c r="JH396" i="1"/>
  <c r="HY402" i="1"/>
  <c r="HY771" i="1" s="1"/>
  <c r="HU399" i="1"/>
  <c r="HU768" i="1" s="1"/>
  <c r="HE398" i="1"/>
  <c r="CG398" i="1"/>
  <c r="CG767" i="1" s="1"/>
  <c r="BY397" i="1"/>
  <c r="BY766" i="1" s="1"/>
  <c r="HT397" i="1"/>
  <c r="HT766" i="1" s="1"/>
  <c r="BT397" i="1"/>
  <c r="BT766" i="1" s="1"/>
  <c r="BL188" i="1"/>
  <c r="DL403" i="1"/>
  <c r="DL772" i="1" s="1"/>
  <c r="JG401" i="1"/>
  <c r="IR401" i="1"/>
  <c r="DW397" i="1"/>
  <c r="DW766" i="1" s="1"/>
  <c r="BT401" i="1"/>
  <c r="BT770" i="1" s="1"/>
  <c r="KF402" i="1"/>
  <c r="KV402" i="1"/>
  <c r="DG403" i="1"/>
  <c r="DG772" i="1" s="1"/>
  <c r="LZ396" i="1"/>
  <c r="GK402" i="1"/>
  <c r="GK771" i="1" s="1"/>
  <c r="IU401" i="1"/>
  <c r="LN398" i="1"/>
  <c r="GH402" i="1"/>
  <c r="GH771" i="1" s="1"/>
  <c r="JL402" i="1"/>
  <c r="LZ397" i="1"/>
  <c r="LV401" i="1"/>
  <c r="MC401" i="1"/>
  <c r="JZ396" i="1"/>
  <c r="LQ401" i="1"/>
  <c r="BN195" i="1"/>
  <c r="JK398" i="1"/>
  <c r="FU396" i="1"/>
  <c r="FU765" i="1" s="1"/>
  <c r="IY398" i="1"/>
  <c r="JF347" i="1"/>
  <c r="DL398" i="1"/>
  <c r="EX397" i="1"/>
  <c r="EX766" i="1" s="1"/>
  <c r="IU396" i="1"/>
  <c r="LJ403" i="1"/>
  <c r="DP398" i="1"/>
  <c r="DP767" i="1" s="1"/>
  <c r="EH403" i="1"/>
  <c r="EH772" i="1" s="1"/>
  <c r="JE402" i="1"/>
  <c r="JE398" i="1"/>
  <c r="BJ772" i="1"/>
  <c r="IE770" i="1"/>
  <c r="HB766" i="1"/>
  <c r="EO403" i="1"/>
  <c r="EO772" i="1" s="1"/>
  <c r="EQ402" i="1"/>
  <c r="EQ771" i="1" s="1"/>
  <c r="GL402" i="1"/>
  <c r="GL771" i="1" s="1"/>
  <c r="IU399" i="1"/>
  <c r="JG399" i="1"/>
  <c r="GL398" i="1"/>
  <c r="GL767" i="1" s="1"/>
  <c r="JZ397" i="1"/>
  <c r="DP403" i="1"/>
  <c r="DP772" i="1" s="1"/>
  <c r="EH401" i="1"/>
  <c r="JK403" i="1"/>
  <c r="IN403" i="1"/>
  <c r="DV403" i="1"/>
  <c r="DV772" i="1" s="1"/>
  <c r="FB401" i="1"/>
  <c r="GP396" i="1"/>
  <c r="GP765" i="1" s="1"/>
  <c r="IU403" i="1"/>
  <c r="LM401" i="1"/>
  <c r="GD397" i="1"/>
  <c r="IZ401" i="1"/>
  <c r="IQ400" i="1"/>
  <c r="FZ397" i="1"/>
  <c r="FZ766" i="1" s="1"/>
  <c r="DT399" i="1"/>
  <c r="ET398" i="1"/>
  <c r="ET767" i="1" s="1"/>
  <c r="FY401" i="1"/>
  <c r="FY770" i="1" s="1"/>
  <c r="KX403" i="1"/>
  <c r="IN401" i="1"/>
  <c r="HM402" i="1"/>
  <c r="HM771" i="1" s="1"/>
  <c r="HO399" i="1"/>
  <c r="HO768" i="1" s="1"/>
  <c r="BY398" i="1"/>
  <c r="BY767" i="1" s="1"/>
  <c r="EM403" i="1"/>
  <c r="EM772" i="1" s="1"/>
  <c r="EK770" i="1"/>
  <c r="FC400" i="1"/>
  <c r="FC769" i="1" s="1"/>
  <c r="LN399" i="1"/>
  <c r="EU398" i="1"/>
  <c r="EU767" i="1" s="1"/>
  <c r="EW398" i="1"/>
  <c r="EW767" i="1" s="1"/>
  <c r="IB766" i="1"/>
  <c r="IS403" i="1"/>
  <c r="JI401" i="1"/>
  <c r="LK400" i="1"/>
  <c r="MI399" i="1"/>
  <c r="DQ399" i="1"/>
  <c r="DQ768" i="1" s="1"/>
  <c r="DJ398" i="1"/>
  <c r="DJ767" i="1" s="1"/>
  <c r="DR397" i="1"/>
  <c r="DR766" i="1" s="1"/>
  <c r="BM403" i="1"/>
  <c r="BM772" i="1" s="1"/>
  <c r="JY401" i="1"/>
  <c r="HB768" i="1"/>
  <c r="BO768" i="1"/>
  <c r="HQ398" i="1"/>
  <c r="HQ767" i="1" s="1"/>
  <c r="CG397" i="1"/>
  <c r="CG766" i="1" s="1"/>
  <c r="HD398" i="1"/>
  <c r="HD767" i="1" s="1"/>
  <c r="LY397" i="1"/>
  <c r="BL397" i="1"/>
  <c r="BL766" i="1" s="1"/>
  <c r="KE402" i="1"/>
  <c r="MD401" i="1"/>
  <c r="KA399" i="1"/>
  <c r="FE766" i="1"/>
  <c r="KA396" i="1"/>
  <c r="KO396" i="1"/>
  <c r="HP400" i="1"/>
  <c r="HP769" i="1" s="1"/>
  <c r="HP399" i="1"/>
  <c r="HP768" i="1" s="1"/>
  <c r="HH767" i="1"/>
  <c r="HG192" i="1"/>
  <c r="DT159" i="1"/>
  <c r="DT230" i="1" s="1"/>
  <c r="BK195" i="1"/>
  <c r="MH403" i="1"/>
  <c r="MG403" i="1"/>
  <c r="FB400" i="1"/>
  <c r="FB769" i="1" s="1"/>
  <c r="CV397" i="1"/>
  <c r="CV766" i="1" s="1"/>
  <c r="BP195" i="1"/>
  <c r="LR396" i="1"/>
  <c r="FT401" i="1"/>
  <c r="FT770" i="1" s="1"/>
  <c r="AH774" i="1"/>
  <c r="AH777" i="1" s="1"/>
  <c r="AH886" i="1" s="1"/>
  <c r="BJ770" i="1"/>
  <c r="IC767" i="1"/>
  <c r="BJ767" i="1"/>
  <c r="JY397" i="1"/>
  <c r="HL398" i="1"/>
  <c r="HL767" i="1" s="1"/>
  <c r="BL398" i="1"/>
  <c r="BL767" i="1" s="1"/>
  <c r="KY403" i="1"/>
  <c r="EY397" i="1"/>
  <c r="EY766" i="1" s="1"/>
  <c r="BX399" i="1"/>
  <c r="BX768" i="1" s="1"/>
  <c r="MJ403" i="1"/>
  <c r="JM402" i="1"/>
  <c r="GI402" i="1"/>
  <c r="GI771" i="1" s="1"/>
  <c r="IO401" i="1"/>
  <c r="IW400" i="1"/>
  <c r="DM768" i="1"/>
  <c r="CW399" i="1"/>
  <c r="CW768" i="1" s="1"/>
  <c r="LO397" i="1"/>
  <c r="JE397" i="1"/>
  <c r="IW396" i="1"/>
  <c r="AX774" i="1"/>
  <c r="AX777" i="1" s="1"/>
  <c r="AX783" i="1" s="1"/>
  <c r="BQ403" i="1"/>
  <c r="BQ772" i="1" s="1"/>
  <c r="HG402" i="1"/>
  <c r="HG771" i="1" s="1"/>
  <c r="CG402" i="1"/>
  <c r="CG771" i="1" s="1"/>
  <c r="HG401" i="1"/>
  <c r="HG770" i="1" s="1"/>
  <c r="CG401" i="1"/>
  <c r="CG770" i="1" s="1"/>
  <c r="JY400" i="1"/>
  <c r="HY400" i="1"/>
  <c r="HY769" i="1" s="1"/>
  <c r="CM769" i="1"/>
  <c r="CG399" i="1"/>
  <c r="CG768" i="1" s="1"/>
  <c r="HY397" i="1"/>
  <c r="HY766" i="1" s="1"/>
  <c r="BW397" i="1"/>
  <c r="BW766" i="1" s="1"/>
  <c r="IN396" i="1"/>
  <c r="KI401" i="1"/>
  <c r="EG400" i="1"/>
  <c r="HH191" i="1"/>
  <c r="DT400" i="1"/>
  <c r="DT769" i="1" s="1"/>
  <c r="CU400" i="1"/>
  <c r="CU769" i="1" s="1"/>
  <c r="DX397" i="1"/>
  <c r="DX766" i="1" s="1"/>
  <c r="DW402" i="1"/>
  <c r="DW771" i="1" s="1"/>
  <c r="CV399" i="1"/>
  <c r="DS399" i="1"/>
  <c r="DS768" i="1" s="1"/>
  <c r="GO402" i="1"/>
  <c r="GO771" i="1" s="1"/>
  <c r="IZ399" i="1"/>
  <c r="IR397" i="1"/>
  <c r="GK398" i="1"/>
  <c r="GK767" i="1" s="1"/>
  <c r="JG402" i="1"/>
  <c r="JO400" i="1"/>
  <c r="JG398" i="1"/>
  <c r="GC397" i="1"/>
  <c r="GC766" i="1" s="1"/>
  <c r="JP397" i="1"/>
  <c r="JO397" i="1"/>
  <c r="IZ396" i="1"/>
  <c r="IY396" i="1"/>
  <c r="BO195" i="1"/>
  <c r="BQ195" i="1"/>
  <c r="BR195" i="1"/>
  <c r="BM195" i="1"/>
  <c r="CV402" i="1"/>
  <c r="DH398" i="1"/>
  <c r="DH767" i="1" s="1"/>
  <c r="DG398" i="1"/>
  <c r="DG767" i="1" s="1"/>
  <c r="GG397" i="1"/>
  <c r="GG766" i="1" s="1"/>
  <c r="GH397" i="1"/>
  <c r="GH766" i="1" s="1"/>
  <c r="E176" i="1"/>
  <c r="CM230" i="1"/>
  <c r="IB195" i="1"/>
  <c r="IA195" i="1"/>
  <c r="HT436" i="1"/>
  <c r="HT437" i="1" s="1"/>
  <c r="HT776" i="1" s="1"/>
  <c r="HN436" i="1"/>
  <c r="HN437" i="1" s="1"/>
  <c r="HN776" i="1" s="1"/>
  <c r="HJ420" i="1"/>
  <c r="HY420" i="1"/>
  <c r="HE436" i="1"/>
  <c r="HE437" i="1" s="1"/>
  <c r="HE776" i="1" s="1"/>
  <c r="HG436" i="1"/>
  <c r="HG437" i="1" s="1"/>
  <c r="HG776" i="1" s="1"/>
  <c r="HU420" i="1"/>
  <c r="HE420" i="1"/>
  <c r="ID195" i="1"/>
  <c r="HW195" i="1"/>
  <c r="HP436" i="1"/>
  <c r="HP437" i="1" s="1"/>
  <c r="HP776" i="1" s="1"/>
  <c r="HI436" i="1"/>
  <c r="HI437" i="1" s="1"/>
  <c r="HI776" i="1" s="1"/>
  <c r="HF420" i="1"/>
  <c r="HT420" i="1"/>
  <c r="HS420" i="1"/>
  <c r="HB436" i="1"/>
  <c r="HB437" i="1" s="1"/>
  <c r="HB776" i="1" s="1"/>
  <c r="HQ420" i="1"/>
  <c r="HL420" i="1"/>
  <c r="EP194" i="1"/>
  <c r="EQ194" i="1"/>
  <c r="ET193" i="1"/>
  <c r="EU193" i="1"/>
  <c r="EW193" i="1"/>
  <c r="EX193" i="1"/>
  <c r="ES193" i="1"/>
  <c r="EG191" i="1"/>
  <c r="EL191" i="1"/>
  <c r="EJ191" i="1"/>
  <c r="EM191" i="1"/>
  <c r="EL192" i="1"/>
  <c r="EG192" i="1"/>
  <c r="EM192" i="1"/>
  <c r="GD396" i="1"/>
  <c r="GD765" i="1" s="1"/>
  <c r="EL195" i="1"/>
  <c r="EM195" i="1"/>
  <c r="EK195" i="1"/>
  <c r="EN195" i="1"/>
  <c r="EH195" i="1"/>
  <c r="JX931" i="1"/>
  <c r="I788" i="1"/>
  <c r="DN401" i="1"/>
  <c r="DN770" i="1" s="1"/>
  <c r="DF398" i="1"/>
  <c r="DF767" i="1" s="1"/>
  <c r="GB397" i="1"/>
  <c r="GB766" i="1" s="1"/>
  <c r="AD774" i="1"/>
  <c r="AD777" i="1" s="1"/>
  <c r="AD783" i="1" s="1"/>
  <c r="HI403" i="1"/>
  <c r="HE402" i="1"/>
  <c r="HE771" i="1" s="1"/>
  <c r="KQ401" i="1"/>
  <c r="EW401" i="1"/>
  <c r="EW770" i="1" s="1"/>
  <c r="FC397" i="1"/>
  <c r="FC766" i="1" s="1"/>
  <c r="MH397" i="1"/>
  <c r="ET194" i="1"/>
  <c r="EF192" i="1"/>
  <c r="FY397" i="1"/>
  <c r="FY766" i="1" s="1"/>
  <c r="EF191" i="1"/>
  <c r="EK191" i="1"/>
  <c r="EG195" i="1"/>
  <c r="KT402" i="1"/>
  <c r="CZ398" i="1"/>
  <c r="CZ767" i="1" s="1"/>
  <c r="HR190" i="1"/>
  <c r="HL190" i="1"/>
  <c r="HE190" i="1"/>
  <c r="HN190" i="1"/>
  <c r="HJ190" i="1"/>
  <c r="HQ190" i="1"/>
  <c r="HS190" i="1"/>
  <c r="HP190" i="1"/>
  <c r="HO190" i="1"/>
  <c r="BU400" i="1"/>
  <c r="BU769" i="1" s="1"/>
  <c r="HQ399" i="1"/>
  <c r="HQ768" i="1" s="1"/>
  <c r="HE397" i="1"/>
  <c r="HE766" i="1" s="1"/>
  <c r="GQ398" i="1"/>
  <c r="GQ767" i="1" s="1"/>
  <c r="GP398" i="1"/>
  <c r="GP767" i="1" s="1"/>
  <c r="FF193" i="1"/>
  <c r="FB193" i="1"/>
  <c r="EZ193" i="1"/>
  <c r="FG193" i="1"/>
  <c r="FD193" i="1"/>
  <c r="FC193" i="1"/>
  <c r="DC191" i="1"/>
  <c r="CW191" i="1"/>
  <c r="CY191" i="1"/>
  <c r="CV191" i="1"/>
  <c r="DB191" i="1"/>
  <c r="CX191" i="1"/>
  <c r="MD347" i="1"/>
  <c r="FU402" i="1"/>
  <c r="FU771" i="1" s="1"/>
  <c r="IO403" i="1"/>
  <c r="IW402" i="1"/>
  <c r="FS402" i="1"/>
  <c r="FS771" i="1" s="1"/>
  <c r="JM398" i="1"/>
  <c r="ME397" i="1"/>
  <c r="HY403" i="1"/>
  <c r="BU403" i="1"/>
  <c r="BU772" i="1" s="1"/>
  <c r="IC401" i="1"/>
  <c r="IC770" i="1" s="1"/>
  <c r="HT401" i="1"/>
  <c r="HT770" i="1" s="1"/>
  <c r="LJ396" i="1"/>
  <c r="IC436" i="1"/>
  <c r="IC437" i="1" s="1"/>
  <c r="IC776" i="1" s="1"/>
  <c r="HD420" i="1"/>
  <c r="HZ420" i="1"/>
  <c r="EK192" i="1"/>
  <c r="LK401" i="1"/>
  <c r="JA401" i="1"/>
  <c r="FX401" i="1"/>
  <c r="JA399" i="1"/>
  <c r="MI396" i="1"/>
  <c r="IS396" i="1"/>
  <c r="GE396" i="1"/>
  <c r="HM403" i="1"/>
  <c r="IC403" i="1"/>
  <c r="IE403" i="1"/>
  <c r="JY402" i="1"/>
  <c r="HI402" i="1"/>
  <c r="HI771" i="1" s="1"/>
  <c r="BU402" i="1"/>
  <c r="BU771" i="1" s="1"/>
  <c r="CK402" i="1"/>
  <c r="CK771" i="1" s="1"/>
  <c r="HQ400" i="1"/>
  <c r="HQ769" i="1" s="1"/>
  <c r="BW398" i="1"/>
  <c r="BW767" i="1" s="1"/>
  <c r="IC766" i="1"/>
  <c r="HT399" i="1"/>
  <c r="HT768" i="1" s="1"/>
  <c r="BT399" i="1"/>
  <c r="BT768" i="1" s="1"/>
  <c r="EQ772" i="1"/>
  <c r="KS402" i="1"/>
  <c r="CJ402" i="1"/>
  <c r="CJ771" i="1" s="1"/>
  <c r="EI401" i="1"/>
  <c r="EI770" i="1" s="1"/>
  <c r="EY770" i="1"/>
  <c r="IZ400" i="1"/>
  <c r="FC398" i="1"/>
  <c r="FC767" i="1" s="1"/>
  <c r="FE398" i="1"/>
  <c r="FE767" i="1" s="1"/>
  <c r="BS398" i="1"/>
  <c r="BS767" i="1" s="1"/>
  <c r="HH403" i="1"/>
  <c r="HX399" i="1"/>
  <c r="HX768" i="1" s="1"/>
  <c r="BL195" i="1"/>
  <c r="FH193" i="1"/>
  <c r="EN192" i="1"/>
  <c r="HT190" i="1"/>
  <c r="HP420" i="1"/>
  <c r="HV436" i="1"/>
  <c r="HV437" i="1" s="1"/>
  <c r="HV776" i="1" s="1"/>
  <c r="HM436" i="1"/>
  <c r="HM437" i="1" s="1"/>
  <c r="HM776" i="1" s="1"/>
  <c r="ID436" i="1"/>
  <c r="HI190" i="1"/>
  <c r="EP193" i="1"/>
  <c r="DA191" i="1"/>
  <c r="CD189" i="1"/>
  <c r="EJ192" i="1"/>
  <c r="EH191" i="1"/>
  <c r="EF195" i="1"/>
  <c r="DO403" i="1"/>
  <c r="DO772" i="1" s="1"/>
  <c r="EU400" i="1"/>
  <c r="EU769" i="1" s="1"/>
  <c r="EG769" i="1"/>
  <c r="KE399" i="1"/>
  <c r="KU399" i="1"/>
  <c r="CJ399" i="1"/>
  <c r="CJ768" i="1" s="1"/>
  <c r="KE398" i="1"/>
  <c r="ES398" i="1"/>
  <c r="ES767" i="1" s="1"/>
  <c r="KA397" i="1"/>
  <c r="BX402" i="1"/>
  <c r="BX771" i="1" s="1"/>
  <c r="BX398" i="1"/>
  <c r="BX767" i="1" s="1"/>
  <c r="HX397" i="1"/>
  <c r="HX766" i="1" s="1"/>
  <c r="HB192" i="1"/>
  <c r="MG347" i="1"/>
  <c r="EW190" i="1"/>
  <c r="HY188" i="1"/>
  <c r="FR401" i="1"/>
  <c r="FR770" i="1" s="1"/>
  <c r="JG396" i="1"/>
  <c r="KM401" i="1"/>
  <c r="EQ401" i="1"/>
  <c r="EQ770" i="1" s="1"/>
  <c r="FA400" i="1"/>
  <c r="FA769" i="1" s="1"/>
  <c r="KI399" i="1"/>
  <c r="FA768" i="1"/>
  <c r="KU397" i="1"/>
  <c r="EG397" i="1"/>
  <c r="EG766" i="1" s="1"/>
  <c r="CJ397" i="1"/>
  <c r="CJ766" i="1" s="1"/>
  <c r="HP402" i="1"/>
  <c r="HP771" i="1" s="1"/>
  <c r="HX400" i="1"/>
  <c r="HX769" i="1" s="1"/>
  <c r="KS347" i="1"/>
  <c r="IN347" i="1"/>
  <c r="GQ397" i="1"/>
  <c r="GQ766" i="1" s="1"/>
  <c r="MK403" i="1"/>
  <c r="DT402" i="1"/>
  <c r="DT771" i="1" s="1"/>
  <c r="LI931" i="1"/>
  <c r="HU400" i="1"/>
  <c r="HU769" i="1" s="1"/>
  <c r="HM398" i="1"/>
  <c r="HM767" i="1" s="1"/>
  <c r="CC397" i="1"/>
  <c r="CC766" i="1" s="1"/>
  <c r="HL401" i="1"/>
  <c r="HL770" i="1" s="1"/>
  <c r="BL401" i="1"/>
  <c r="BL770" i="1" s="1"/>
  <c r="HM397" i="1"/>
  <c r="HM766" i="1" s="1"/>
  <c r="FC770" i="1"/>
  <c r="KN400" i="1"/>
  <c r="IB188" i="1"/>
  <c r="ER398" i="1"/>
  <c r="ER767" i="1" s="1"/>
  <c r="HZ188" i="1"/>
  <c r="L183" i="1"/>
  <c r="ET400" i="1"/>
  <c r="ET769" i="1" s="1"/>
  <c r="GG398" i="1"/>
  <c r="DV401" i="1"/>
  <c r="DH399" i="1"/>
  <c r="EH402" i="1"/>
  <c r="EH771" i="1" s="1"/>
  <c r="CC399" i="1"/>
  <c r="CC768" i="1" s="1"/>
  <c r="HU397" i="1"/>
  <c r="HU766" i="1" s="1"/>
  <c r="HT403" i="1"/>
  <c r="BT403" i="1"/>
  <c r="BT772" i="1" s="1"/>
  <c r="HI401" i="1"/>
  <c r="HI770" i="1" s="1"/>
  <c r="BO193" i="1"/>
  <c r="FQ771" i="1"/>
  <c r="HJ192" i="1"/>
  <c r="CG437" i="1"/>
  <c r="CG776" i="1" s="1"/>
  <c r="GD188" i="1"/>
  <c r="IU347" i="1"/>
  <c r="LN402" i="1"/>
  <c r="MK402" i="1"/>
  <c r="GP401" i="1"/>
  <c r="GP770" i="1" s="1"/>
  <c r="MC400" i="1"/>
  <c r="LU400" i="1"/>
  <c r="DV400" i="1"/>
  <c r="DV769" i="1" s="1"/>
  <c r="DH397" i="1"/>
  <c r="DH766" i="1" s="1"/>
  <c r="DW401" i="1"/>
  <c r="DW770" i="1" s="1"/>
  <c r="JZ399" i="1"/>
  <c r="KL399" i="1"/>
  <c r="DV399" i="1"/>
  <c r="DV768" i="1" s="1"/>
  <c r="JC397" i="1"/>
  <c r="HU402" i="1"/>
  <c r="HU771" i="1" s="1"/>
  <c r="CB402" i="1"/>
  <c r="CB771" i="1" s="1"/>
  <c r="HL400" i="1"/>
  <c r="HL769" i="1" s="1"/>
  <c r="BL400" i="1"/>
  <c r="BL769" i="1" s="1"/>
  <c r="CA403" i="1"/>
  <c r="EY767" i="1"/>
  <c r="BJ193" i="1"/>
  <c r="BP188" i="1"/>
  <c r="HW188" i="1"/>
  <c r="DP437" i="1"/>
  <c r="DP776" i="1" s="1"/>
  <c r="DV437" i="1"/>
  <c r="DV776" i="1" s="1"/>
  <c r="LV402" i="1"/>
  <c r="DO400" i="1"/>
  <c r="DO769" i="1" s="1"/>
  <c r="CZ399" i="1"/>
  <c r="CZ768" i="1" s="1"/>
  <c r="EP400" i="1"/>
  <c r="EP769" i="1" s="1"/>
  <c r="JH399" i="1"/>
  <c r="EP402" i="1"/>
  <c r="EP771" i="1" s="1"/>
  <c r="KW397" i="1"/>
  <c r="KX397" i="1"/>
  <c r="IY403" i="1"/>
  <c r="DP402" i="1"/>
  <c r="DP771" i="1" s="1"/>
  <c r="KP400" i="1"/>
  <c r="JK421" i="1"/>
  <c r="KG401" i="1"/>
  <c r="LM400" i="1"/>
  <c r="IR347" i="1"/>
  <c r="JD347" i="1"/>
  <c r="MC396" i="1"/>
  <c r="JY347" i="1"/>
  <c r="KW403" i="1"/>
  <c r="LM402" i="1"/>
  <c r="JD402" i="1"/>
  <c r="MF397" i="1"/>
  <c r="ID189" i="1"/>
  <c r="HU196" i="1"/>
  <c r="HU232" i="1" s="1"/>
  <c r="L273" i="1" s="1"/>
  <c r="HY189" i="1"/>
  <c r="GP402" i="1"/>
  <c r="GP771" i="1" s="1"/>
  <c r="IM399" i="1"/>
  <c r="IN399" i="1"/>
  <c r="DX400" i="1"/>
  <c r="DX769" i="1" s="1"/>
  <c r="DW400" i="1"/>
  <c r="DW769" i="1" s="1"/>
  <c r="EP397" i="1"/>
  <c r="EP766" i="1" s="1"/>
  <c r="EO397" i="1"/>
  <c r="EO766" i="1" s="1"/>
  <c r="DK402" i="1"/>
  <c r="DL402" i="1"/>
  <c r="DL771" i="1" s="1"/>
  <c r="ET401" i="1"/>
  <c r="ET770" i="1" s="1"/>
  <c r="MC347" i="1"/>
  <c r="MC397" i="1"/>
  <c r="MG402" i="1"/>
  <c r="MH402" i="1"/>
  <c r="IS400" i="1"/>
  <c r="LW437" i="1"/>
  <c r="BY403" i="1"/>
  <c r="BY772" i="1" s="1"/>
  <c r="CC401" i="1"/>
  <c r="CC770" i="1" s="1"/>
  <c r="CE770" i="1"/>
  <c r="IR400" i="1"/>
  <c r="HM399" i="1"/>
  <c r="HM768" i="1" s="1"/>
  <c r="KO398" i="1"/>
  <c r="BM398" i="1"/>
  <c r="BM767" i="1" s="1"/>
  <c r="CC398" i="1"/>
  <c r="CC767" i="1" s="1"/>
  <c r="HO397" i="1"/>
  <c r="HO766" i="1" s="1"/>
  <c r="HN397" i="1"/>
  <c r="HN766" i="1" s="1"/>
  <c r="HT398" i="1"/>
  <c r="HT767" i="1" s="1"/>
  <c r="BT398" i="1"/>
  <c r="BT767" i="1" s="1"/>
  <c r="KM403" i="1"/>
  <c r="HC403" i="1"/>
  <c r="CI403" i="1"/>
  <c r="CI772" i="1" s="1"/>
  <c r="HS402" i="1"/>
  <c r="HS771" i="1" s="1"/>
  <c r="BS401" i="1"/>
  <c r="BS770" i="1" s="1"/>
  <c r="KQ400" i="1"/>
  <c r="JP400" i="1"/>
  <c r="HX398" i="1"/>
  <c r="HX767" i="1" s="1"/>
  <c r="GP397" i="1"/>
  <c r="GP766" i="1" s="1"/>
  <c r="JC347" i="1"/>
  <c r="JC401" i="1"/>
  <c r="KX401" i="1"/>
  <c r="DO401" i="1"/>
  <c r="DO770" i="1" s="1"/>
  <c r="DP401" i="1"/>
  <c r="DP770" i="1" s="1"/>
  <c r="DH401" i="1"/>
  <c r="DH770" i="1" s="1"/>
  <c r="DG401" i="1"/>
  <c r="KD399" i="1"/>
  <c r="KC347" i="1"/>
  <c r="JM397" i="1"/>
  <c r="MD397" i="1"/>
  <c r="BM399" i="1"/>
  <c r="BM768" i="1" s="1"/>
  <c r="JH398" i="1"/>
  <c r="HW398" i="1"/>
  <c r="HW767" i="1" s="1"/>
  <c r="BM397" i="1"/>
  <c r="BM766" i="1" s="1"/>
  <c r="ML398" i="1"/>
  <c r="EK403" i="1"/>
  <c r="EK772" i="1" s="1"/>
  <c r="EJ403" i="1"/>
  <c r="EJ772" i="1" s="1"/>
  <c r="FD400" i="1"/>
  <c r="FD769" i="1" s="1"/>
  <c r="IM347" i="1"/>
  <c r="D178" i="1"/>
  <c r="EE230" i="1"/>
  <c r="BL437" i="1"/>
  <c r="BL776" i="1" s="1"/>
  <c r="DT403" i="1"/>
  <c r="DT772" i="1" s="1"/>
  <c r="DU403" i="1"/>
  <c r="DU772" i="1" s="1"/>
  <c r="CZ771" i="1"/>
  <c r="CY402" i="1"/>
  <c r="CY771" i="1" s="1"/>
  <c r="FU401" i="1"/>
  <c r="FU770" i="1" s="1"/>
  <c r="LP400" i="1"/>
  <c r="DH400" i="1"/>
  <c r="DH769" i="1" s="1"/>
  <c r="DG400" i="1"/>
  <c r="DN397" i="1"/>
  <c r="DN766" i="1" s="1"/>
  <c r="DM397" i="1"/>
  <c r="DM766" i="1" s="1"/>
  <c r="LO398" i="1"/>
  <c r="JH402" i="1"/>
  <c r="MF401" i="1"/>
  <c r="IN397" i="1"/>
  <c r="IP399" i="1"/>
  <c r="BK402" i="1"/>
  <c r="BK771" i="1" s="1"/>
  <c r="ES401" i="1"/>
  <c r="ES770" i="1" s="1"/>
  <c r="JM437" i="1"/>
  <c r="JI399" i="1"/>
  <c r="IS399" i="1"/>
  <c r="IT399" i="1"/>
  <c r="JI397" i="1"/>
  <c r="ME421" i="1"/>
  <c r="LO421" i="1"/>
  <c r="LM437" i="1"/>
  <c r="MC437" i="1"/>
  <c r="JA437" i="1"/>
  <c r="HF400" i="1"/>
  <c r="HF769" i="1" s="1"/>
  <c r="BR400" i="1"/>
  <c r="BR769" i="1" s="1"/>
  <c r="HF399" i="1"/>
  <c r="HF768" i="1" s="1"/>
  <c r="BR399" i="1"/>
  <c r="BR768" i="1" s="1"/>
  <c r="BR397" i="1"/>
  <c r="BR766" i="1" s="1"/>
  <c r="CB403" i="1"/>
  <c r="CB772" i="1" s="1"/>
  <c r="HT400" i="1"/>
  <c r="HT769" i="1" s="1"/>
  <c r="BT400" i="1"/>
  <c r="BT769" i="1" s="1"/>
  <c r="HC402" i="1"/>
  <c r="HC771" i="1" s="1"/>
  <c r="HC401" i="1"/>
  <c r="HC770" i="1" s="1"/>
  <c r="EU401" i="1"/>
  <c r="EU770" i="1" s="1"/>
  <c r="KY400" i="1"/>
  <c r="EQ400" i="1"/>
  <c r="EQ769" i="1" s="1"/>
  <c r="BS399" i="1"/>
  <c r="BS768" i="1" s="1"/>
  <c r="KK398" i="1"/>
  <c r="IA398" i="1"/>
  <c r="IA767" i="1" s="1"/>
  <c r="EI398" i="1"/>
  <c r="EI767" i="1" s="1"/>
  <c r="CA398" i="1"/>
  <c r="CA767" i="1" s="1"/>
  <c r="KY397" i="1"/>
  <c r="CA397" i="1"/>
  <c r="CA766" i="1" s="1"/>
  <c r="GS159" i="1"/>
  <c r="GS230" i="1" s="1"/>
  <c r="JO347" i="1"/>
  <c r="CK188" i="1"/>
  <c r="HG195" i="1"/>
  <c r="HC195" i="1"/>
  <c r="HH195" i="1"/>
  <c r="HI195" i="1"/>
  <c r="FU397" i="1"/>
  <c r="FU766" i="1" s="1"/>
  <c r="KJ399" i="1"/>
  <c r="KZ399" i="1"/>
  <c r="EU399" i="1"/>
  <c r="EU768" i="1" s="1"/>
  <c r="KU398" i="1"/>
  <c r="HK398" i="1"/>
  <c r="HK767" i="1" s="1"/>
  <c r="KP347" i="1"/>
  <c r="FR159" i="1"/>
  <c r="FR230" i="1" s="1"/>
  <c r="EV398" i="1"/>
  <c r="EV767" i="1" s="1"/>
  <c r="IC188" i="1"/>
  <c r="LQ347" i="1"/>
  <c r="BJ437" i="1"/>
  <c r="BJ776" i="1" s="1"/>
  <c r="CU189" i="1"/>
  <c r="DS403" i="1"/>
  <c r="DS772" i="1" s="1"/>
  <c r="KD400" i="1"/>
  <c r="DE398" i="1"/>
  <c r="DE767" i="1" s="1"/>
  <c r="LQ403" i="1"/>
  <c r="KG403" i="1"/>
  <c r="IW437" i="1"/>
  <c r="DF402" i="1"/>
  <c r="DF771" i="1" s="1"/>
  <c r="DK769" i="1"/>
  <c r="JK399" i="1"/>
  <c r="EL398" i="1"/>
  <c r="EL767" i="1" s="1"/>
  <c r="IR421" i="1"/>
  <c r="EX402" i="1"/>
  <c r="EX771" i="1" s="1"/>
  <c r="FG772" i="1"/>
  <c r="BK403" i="1"/>
  <c r="BK772" i="1" s="1"/>
  <c r="IA402" i="1"/>
  <c r="IA771" i="1" s="1"/>
  <c r="EY402" i="1"/>
  <c r="EY771" i="1" s="1"/>
  <c r="EK402" i="1"/>
  <c r="EK771" i="1" s="1"/>
  <c r="IA401" i="1"/>
  <c r="IA770" i="1" s="1"/>
  <c r="CA401" i="1"/>
  <c r="CA770" i="1" s="1"/>
  <c r="HC400" i="1"/>
  <c r="HC769" i="1" s="1"/>
  <c r="CI400" i="1"/>
  <c r="CI769" i="1" s="1"/>
  <c r="IB399" i="1"/>
  <c r="IB768" i="1" s="1"/>
  <c r="EZ399" i="1"/>
  <c r="EZ768" i="1" s="1"/>
  <c r="FG766" i="1"/>
  <c r="BK397" i="1"/>
  <c r="BK766" i="1" s="1"/>
  <c r="KL421" i="1"/>
  <c r="KK347" i="1"/>
  <c r="CU770" i="1"/>
  <c r="DK770" i="1"/>
  <c r="LJ347" i="1"/>
  <c r="IY347" i="1"/>
  <c r="BN193" i="1"/>
  <c r="HF192" i="1"/>
  <c r="BK188" i="1"/>
  <c r="LL347" i="1"/>
  <c r="EV190" i="1"/>
  <c r="IY421" i="1"/>
  <c r="JH421" i="1"/>
  <c r="JZ403" i="1"/>
  <c r="IV403" i="1"/>
  <c r="JC403" i="1"/>
  <c r="JO421" i="1"/>
  <c r="DF403" i="1"/>
  <c r="DF772" i="1" s="1"/>
  <c r="DX772" i="1"/>
  <c r="LV403" i="1"/>
  <c r="JO403" i="1"/>
  <c r="DL397" i="1"/>
  <c r="DL766" i="1" s="1"/>
  <c r="EL402" i="1"/>
  <c r="EL771" i="1" s="1"/>
  <c r="FV398" i="1"/>
  <c r="GR398" i="1"/>
  <c r="GR767" i="1" s="1"/>
  <c r="MD396" i="1"/>
  <c r="JH401" i="1"/>
  <c r="KW399" i="1"/>
  <c r="LV398" i="1"/>
  <c r="FZ402" i="1"/>
  <c r="FZ771" i="1" s="1"/>
  <c r="FY402" i="1"/>
  <c r="FY771" i="1" s="1"/>
  <c r="IY399" i="1"/>
  <c r="IX347" i="1"/>
  <c r="FE402" i="1"/>
  <c r="FE771" i="1" s="1"/>
  <c r="KG397" i="1"/>
  <c r="KH347" i="1"/>
  <c r="BP398" i="1"/>
  <c r="BP767" i="1" s="1"/>
  <c r="BX397" i="1"/>
  <c r="BX766" i="1" s="1"/>
  <c r="MJ347" i="1"/>
  <c r="KX347" i="1"/>
  <c r="KD347" i="1"/>
  <c r="IT347" i="1"/>
  <c r="GY159" i="1"/>
  <c r="EK159" i="1"/>
  <c r="CA159" i="1"/>
  <c r="CA230" i="1" s="1"/>
  <c r="BG159" i="1"/>
  <c r="HR159" i="1"/>
  <c r="HR230" i="1" s="1"/>
  <c r="EN159" i="1"/>
  <c r="EN230" i="1" s="1"/>
  <c r="CQ159" i="1"/>
  <c r="BZ159" i="1"/>
  <c r="BZ230" i="1" s="1"/>
  <c r="GW159" i="1"/>
  <c r="FG159" i="1"/>
  <c r="BY159" i="1"/>
  <c r="BY230" i="1" s="1"/>
  <c r="BE159" i="1"/>
  <c r="EP159" i="1"/>
  <c r="EP230" i="1" s="1"/>
  <c r="BQ188" i="1"/>
  <c r="BR437" i="1"/>
  <c r="BR776" i="1" s="1"/>
  <c r="FQ770" i="1"/>
  <c r="DL769" i="1"/>
  <c r="CU767" i="1"/>
  <c r="KL403" i="1"/>
  <c r="KL398" i="1"/>
  <c r="JB347" i="1"/>
  <c r="JH347" i="1"/>
  <c r="IV401" i="1"/>
  <c r="JL401" i="1"/>
  <c r="IX401" i="1"/>
  <c r="EH398" i="1"/>
  <c r="EH767" i="1" s="1"/>
  <c r="DG397" i="1"/>
  <c r="DG766" i="1" s="1"/>
  <c r="EH400" i="1"/>
  <c r="EH769" i="1" s="1"/>
  <c r="GC398" i="1"/>
  <c r="GC767" i="1" s="1"/>
  <c r="FR398" i="1"/>
  <c r="FR767" i="1" s="1"/>
  <c r="LN347" i="1"/>
  <c r="KL401" i="1"/>
  <c r="IQ347" i="1"/>
  <c r="JD397" i="1"/>
  <c r="LP402" i="1"/>
  <c r="HN401" i="1"/>
  <c r="HN770" i="1" s="1"/>
  <c r="BN398" i="1"/>
  <c r="BN767" i="1" s="1"/>
  <c r="FH403" i="1"/>
  <c r="FH772" i="1" s="1"/>
  <c r="KJ347" i="1"/>
  <c r="HQ159" i="1"/>
  <c r="HQ230" i="1" s="1"/>
  <c r="LQ421" i="1"/>
  <c r="BZ401" i="1"/>
  <c r="BZ770" i="1" s="1"/>
  <c r="HR399" i="1"/>
  <c r="HR768" i="1" s="1"/>
  <c r="HR398" i="1"/>
  <c r="HR767" i="1" s="1"/>
  <c r="CD398" i="1"/>
  <c r="CD767" i="1" s="1"/>
  <c r="CE398" i="1"/>
  <c r="CE767" i="1" s="1"/>
  <c r="EX195" i="1"/>
  <c r="ES195" i="1"/>
  <c r="EP195" i="1"/>
  <c r="BQ189" i="1"/>
  <c r="BM189" i="1"/>
  <c r="BL189" i="1"/>
  <c r="BK189" i="1"/>
  <c r="BO398" i="1"/>
  <c r="BO767" i="1" s="1"/>
  <c r="HO401" i="1"/>
  <c r="HO770" i="1" s="1"/>
  <c r="HH401" i="1"/>
  <c r="HH770" i="1" s="1"/>
  <c r="BU401" i="1"/>
  <c r="BU770" i="1" s="1"/>
  <c r="IX403" i="1"/>
  <c r="JD421" i="1"/>
  <c r="LZ403" i="1"/>
  <c r="KO347" i="1"/>
  <c r="KO402" i="1"/>
  <c r="FW193" i="1"/>
  <c r="GG193" i="1"/>
  <c r="FU193" i="1"/>
  <c r="FX193" i="1"/>
  <c r="GA193" i="1"/>
  <c r="FT193" i="1"/>
  <c r="GH193" i="1"/>
  <c r="FS193" i="1"/>
  <c r="FQ193" i="1"/>
  <c r="GC193" i="1"/>
  <c r="FY193" i="1"/>
  <c r="LM421" i="1"/>
  <c r="LI421" i="1"/>
  <c r="MH421" i="1"/>
  <c r="DA401" i="1"/>
  <c r="DA770" i="1" s="1"/>
  <c r="DB401" i="1"/>
  <c r="DB770" i="1" s="1"/>
  <c r="GN398" i="1"/>
  <c r="GN767" i="1" s="1"/>
  <c r="HZ403" i="1"/>
  <c r="HQ397" i="1"/>
  <c r="HQ766" i="1" s="1"/>
  <c r="HR397" i="1"/>
  <c r="HR766" i="1" s="1"/>
  <c r="BN397" i="1"/>
  <c r="BN766" i="1" s="1"/>
  <c r="LX403" i="1"/>
  <c r="IY401" i="1"/>
  <c r="HC397" i="1"/>
  <c r="HC766" i="1" s="1"/>
  <c r="KN396" i="1"/>
  <c r="EU195" i="1"/>
  <c r="MK347" i="1"/>
  <c r="DR401" i="1"/>
  <c r="HI189" i="1"/>
  <c r="ET195" i="1"/>
  <c r="GB193" i="1"/>
  <c r="DV188" i="1"/>
  <c r="DQ188" i="1"/>
  <c r="EB159" i="1"/>
  <c r="FT397" i="1"/>
  <c r="FT766" i="1" s="1"/>
  <c r="BQ397" i="1"/>
  <c r="BQ766" i="1" s="1"/>
  <c r="DE400" i="1"/>
  <c r="DE769" i="1" s="1"/>
  <c r="DC437" i="1"/>
  <c r="DC776" i="1" s="1"/>
  <c r="HX770" i="1"/>
  <c r="DG402" i="1"/>
  <c r="DG771" i="1" s="1"/>
  <c r="GC401" i="1"/>
  <c r="GC770" i="1" s="1"/>
  <c r="GD401" i="1"/>
  <c r="GD770" i="1" s="1"/>
  <c r="LY400" i="1"/>
  <c r="LZ400" i="1"/>
  <c r="FQ396" i="1"/>
  <c r="FQ765" i="1" s="1"/>
  <c r="FR396" i="1"/>
  <c r="FR765" i="1" s="1"/>
  <c r="DS192" i="1"/>
  <c r="DU192" i="1"/>
  <c r="DT192" i="1"/>
  <c r="DQ192" i="1"/>
  <c r="DR192" i="1"/>
  <c r="DO192" i="1"/>
  <c r="DV192" i="1"/>
  <c r="GS771" i="1"/>
  <c r="IV399" i="1"/>
  <c r="IV347" i="1"/>
  <c r="LU396" i="1"/>
  <c r="LU347" i="1"/>
  <c r="LQ437" i="1"/>
  <c r="JG437" i="1"/>
  <c r="LL437" i="1"/>
  <c r="ML402" i="1"/>
  <c r="BR402" i="1"/>
  <c r="BR771" i="1" s="1"/>
  <c r="BV400" i="1"/>
  <c r="BV769" i="1" s="1"/>
  <c r="KI403" i="1"/>
  <c r="EM771" i="1"/>
  <c r="EN402" i="1"/>
  <c r="EN771" i="1" s="1"/>
  <c r="KN347" i="1"/>
  <c r="FV193" i="1"/>
  <c r="DP192" i="1"/>
  <c r="LI347" i="1"/>
  <c r="DW192" i="1"/>
  <c r="GJ397" i="1"/>
  <c r="GJ766" i="1" s="1"/>
  <c r="GK397" i="1"/>
  <c r="GK766" i="1" s="1"/>
  <c r="DU400" i="1"/>
  <c r="DU769" i="1" s="1"/>
  <c r="CL400" i="1"/>
  <c r="CL769" i="1" s="1"/>
  <c r="DU398" i="1"/>
  <c r="DU767" i="1" s="1"/>
  <c r="DD398" i="1"/>
  <c r="DD767" i="1" s="1"/>
  <c r="CZ403" i="1"/>
  <c r="GR396" i="1"/>
  <c r="P932" i="1"/>
  <c r="P933" i="1" s="1"/>
  <c r="IM421" i="1"/>
  <c r="AS885" i="1"/>
  <c r="AS774" i="1"/>
  <c r="AS777" i="1" s="1"/>
  <c r="DT401" i="1"/>
  <c r="DT770" i="1" s="1"/>
  <c r="DU401" i="1"/>
  <c r="DU770" i="1" s="1"/>
  <c r="LT347" i="1"/>
  <c r="CJ189" i="1"/>
  <c r="CL189" i="1"/>
  <c r="CI189" i="1"/>
  <c r="CK189" i="1"/>
  <c r="CG189" i="1"/>
  <c r="CF189" i="1"/>
  <c r="CC196" i="1"/>
  <c r="CC232" i="1" s="1"/>
  <c r="AR269" i="1" s="1"/>
  <c r="GC402" i="1"/>
  <c r="GC771" i="1" s="1"/>
  <c r="GD402" i="1"/>
  <c r="GD771" i="1" s="1"/>
  <c r="GR402" i="1"/>
  <c r="GQ402" i="1"/>
  <c r="IR437" i="1"/>
  <c r="JG397" i="1"/>
  <c r="JG347" i="1"/>
  <c r="JH397" i="1"/>
  <c r="CX402" i="1"/>
  <c r="CX771" i="1" s="1"/>
  <c r="CW402" i="1"/>
  <c r="CW771" i="1" s="1"/>
  <c r="IO400" i="1"/>
  <c r="IP400" i="1"/>
  <c r="DE397" i="1"/>
  <c r="DE766" i="1" s="1"/>
  <c r="DF397" i="1"/>
  <c r="DF766" i="1" s="1"/>
  <c r="BK401" i="1"/>
  <c r="BK770" i="1" s="1"/>
  <c r="EV400" i="1"/>
  <c r="EV769" i="1" s="1"/>
  <c r="HC399" i="1"/>
  <c r="HC768" i="1" s="1"/>
  <c r="IX399" i="1"/>
  <c r="CV159" i="1"/>
  <c r="CV230" i="1" s="1"/>
  <c r="CX159" i="1"/>
  <c r="CX230" i="1" s="1"/>
  <c r="KL396" i="1"/>
  <c r="KL347" i="1"/>
  <c r="DC403" i="1"/>
  <c r="DD403" i="1"/>
  <c r="DD772" i="1" s="1"/>
  <c r="FV770" i="1"/>
  <c r="JK397" i="1"/>
  <c r="JL397" i="1"/>
  <c r="LQ396" i="1"/>
  <c r="LP396" i="1"/>
  <c r="GT396" i="1"/>
  <c r="GS396" i="1"/>
  <c r="GS765" i="1" s="1"/>
  <c r="MB347" i="1"/>
  <c r="JG421" i="1"/>
  <c r="DR403" i="1"/>
  <c r="DR772" i="1" s="1"/>
  <c r="DQ403" i="1"/>
  <c r="DQ772" i="1" s="1"/>
  <c r="FX771" i="1"/>
  <c r="MA396" i="1"/>
  <c r="MB396" i="1"/>
  <c r="FX396" i="1"/>
  <c r="FX765" i="1" s="1"/>
  <c r="HJ403" i="1"/>
  <c r="CD397" i="1"/>
  <c r="CD766" i="1" s="1"/>
  <c r="IP403" i="1"/>
  <c r="IT403" i="1"/>
  <c r="EV401" i="1"/>
  <c r="EV770" i="1" s="1"/>
  <c r="KE400" i="1"/>
  <c r="IT397" i="1"/>
  <c r="JX396" i="1"/>
  <c r="JX404" i="1" s="1"/>
  <c r="JX455" i="1" s="1"/>
  <c r="JY396" i="1"/>
  <c r="FF772" i="1"/>
  <c r="FH159" i="1"/>
  <c r="FH230" i="1" s="1"/>
  <c r="CZ769" i="1"/>
  <c r="CY190" i="1"/>
  <c r="DS437" i="1"/>
  <c r="DS776" i="1" s="1"/>
  <c r="CU437" i="1"/>
  <c r="CU776" i="1" s="1"/>
  <c r="HU401" i="1"/>
  <c r="HU770" i="1" s="1"/>
  <c r="ID401" i="1"/>
  <c r="ID770" i="1" s="1"/>
  <c r="CW398" i="1"/>
  <c r="CW767" i="1" s="1"/>
  <c r="DU402" i="1"/>
  <c r="DU771" i="1" s="1"/>
  <c r="GH396" i="1"/>
  <c r="GH765" i="1" s="1"/>
  <c r="GM396" i="1"/>
  <c r="GM765" i="1" s="1"/>
  <c r="KH403" i="1"/>
  <c r="LI402" i="1"/>
  <c r="LI404" i="1" s="1"/>
  <c r="LI455" i="1" s="1"/>
  <c r="LJ402" i="1"/>
  <c r="GQ401" i="1"/>
  <c r="GQ770" i="1" s="1"/>
  <c r="CU195" i="1"/>
  <c r="CV195" i="1"/>
  <c r="CW195" i="1"/>
  <c r="CX195" i="1"/>
  <c r="DA195" i="1"/>
  <c r="DB195" i="1"/>
  <c r="IB189" i="1"/>
  <c r="HV189" i="1"/>
  <c r="IC189" i="1"/>
  <c r="HZ189" i="1"/>
  <c r="HW189" i="1"/>
  <c r="JL347" i="1"/>
  <c r="IY397" i="1"/>
  <c r="IX397" i="1"/>
  <c r="EE886" i="1"/>
  <c r="EE892" i="1" s="1"/>
  <c r="MH437" i="1"/>
  <c r="MK421" i="1"/>
  <c r="MA437" i="1"/>
  <c r="IQ437" i="1"/>
  <c r="HN403" i="1"/>
  <c r="BZ403" i="1"/>
  <c r="BZ772" i="1" s="1"/>
  <c r="BQ402" i="1"/>
  <c r="BQ771" i="1" s="1"/>
  <c r="HJ400" i="1"/>
  <c r="HJ769" i="1" s="1"/>
  <c r="HZ400" i="1"/>
  <c r="HZ769" i="1" s="1"/>
  <c r="CK769" i="1"/>
  <c r="HF397" i="1"/>
  <c r="HF766" i="1" s="1"/>
  <c r="HG397" i="1"/>
  <c r="HG766" i="1" s="1"/>
  <c r="HV397" i="1"/>
  <c r="HV766" i="1" s="1"/>
  <c r="HW397" i="1"/>
  <c r="HW766" i="1" s="1"/>
  <c r="CH397" i="1"/>
  <c r="CH766" i="1" s="1"/>
  <c r="IP402" i="1"/>
  <c r="HD400" i="1"/>
  <c r="HD769" i="1" s="1"/>
  <c r="JL399" i="1"/>
  <c r="JP403" i="1"/>
  <c r="FD402" i="1"/>
  <c r="FD771" i="1" s="1"/>
  <c r="EZ401" i="1"/>
  <c r="EZ770" i="1" s="1"/>
  <c r="EK398" i="1"/>
  <c r="EK767" i="1" s="1"/>
  <c r="FA398" i="1"/>
  <c r="FA767" i="1" s="1"/>
  <c r="LX397" i="1"/>
  <c r="KZ437" i="1"/>
  <c r="FA397" i="1"/>
  <c r="FA766" i="1" s="1"/>
  <c r="EZ397" i="1"/>
  <c r="EZ766" i="1" s="1"/>
  <c r="LR347" i="1"/>
  <c r="CF403" i="1"/>
  <c r="CF772" i="1" s="1"/>
  <c r="LQ400" i="1"/>
  <c r="LP347" i="1"/>
  <c r="HX189" i="1"/>
  <c r="GE193" i="1"/>
  <c r="IA189" i="1"/>
  <c r="LR437" i="1"/>
  <c r="ML421" i="1"/>
  <c r="MG421" i="1"/>
  <c r="JL421" i="1"/>
  <c r="IQ421" i="1"/>
  <c r="LV421" i="1"/>
  <c r="MJ421" i="1"/>
  <c r="LT421" i="1"/>
  <c r="FX770" i="1"/>
  <c r="MI400" i="1"/>
  <c r="JA397" i="1"/>
  <c r="DI397" i="1"/>
  <c r="DI766" i="1" s="1"/>
  <c r="LS396" i="1"/>
  <c r="IZ421" i="1"/>
  <c r="LJ421" i="1"/>
  <c r="LK437" i="1"/>
  <c r="MG437" i="1"/>
  <c r="LU402" i="1"/>
  <c r="HJ402" i="1"/>
  <c r="HJ771" i="1" s="1"/>
  <c r="HZ402" i="1"/>
  <c r="HZ771" i="1" s="1"/>
  <c r="BV402" i="1"/>
  <c r="BV771" i="1" s="1"/>
  <c r="CM402" i="1"/>
  <c r="CM771" i="1" s="1"/>
  <c r="CL402" i="1"/>
  <c r="CL771" i="1" s="1"/>
  <c r="HJ401" i="1"/>
  <c r="HJ770" i="1" s="1"/>
  <c r="HZ401" i="1"/>
  <c r="HZ770" i="1" s="1"/>
  <c r="HM400" i="1"/>
  <c r="HM769" i="1" s="1"/>
  <c r="ID400" i="1"/>
  <c r="ID769" i="1" s="1"/>
  <c r="BJ769" i="1"/>
  <c r="BZ400" i="1"/>
  <c r="BZ769" i="1" s="1"/>
  <c r="ID399" i="1"/>
  <c r="ID768" i="1" s="1"/>
  <c r="BZ399" i="1"/>
  <c r="BZ768" i="1" s="1"/>
  <c r="LP398" i="1"/>
  <c r="ID398" i="1"/>
  <c r="ID767" i="1" s="1"/>
  <c r="BZ398" i="1"/>
  <c r="BZ767" i="1" s="1"/>
  <c r="LV396" i="1"/>
  <c r="HT402" i="1"/>
  <c r="HT771" i="1" s="1"/>
  <c r="BT402" i="1"/>
  <c r="BT771" i="1" s="1"/>
  <c r="HD399" i="1"/>
  <c r="HD768" i="1" s="1"/>
  <c r="IP398" i="1"/>
  <c r="CB398" i="1"/>
  <c r="CB767" i="1" s="1"/>
  <c r="HK402" i="1"/>
  <c r="HK771" i="1" s="1"/>
  <c r="FG402" i="1"/>
  <c r="FG771" i="1" s="1"/>
  <c r="ER402" i="1"/>
  <c r="ER771" i="1" s="1"/>
  <c r="FH402" i="1"/>
  <c r="FH771" i="1" s="1"/>
  <c r="KF400" i="1"/>
  <c r="KV400" i="1"/>
  <c r="HK400" i="1"/>
  <c r="HK769" i="1" s="1"/>
  <c r="FH400" i="1"/>
  <c r="FH769" i="1" s="1"/>
  <c r="BK400" i="1"/>
  <c r="BK769" i="1" s="1"/>
  <c r="ER399" i="1"/>
  <c r="ER768" i="1" s="1"/>
  <c r="FI399" i="1"/>
  <c r="FI768" i="1" s="1"/>
  <c r="FH399" i="1"/>
  <c r="FH768" i="1" s="1"/>
  <c r="BK399" i="1"/>
  <c r="BK768" i="1" s="1"/>
  <c r="HS398" i="1"/>
  <c r="HS767" i="1" s="1"/>
  <c r="EN398" i="1"/>
  <c r="EN767" i="1" s="1"/>
  <c r="HP401" i="1"/>
  <c r="HP770" i="1" s="1"/>
  <c r="MF347" i="1"/>
  <c r="LK347" i="1"/>
  <c r="GD193" i="1"/>
  <c r="HD189" i="1"/>
  <c r="EG401" i="1"/>
  <c r="EG770" i="1" s="1"/>
  <c r="HX159" i="1"/>
  <c r="HX230" i="1" s="1"/>
  <c r="EG159" i="1"/>
  <c r="EG230" i="1" s="1"/>
  <c r="EF159" i="1"/>
  <c r="EF230" i="1" s="1"/>
  <c r="CZ195" i="1"/>
  <c r="GI193" i="1"/>
  <c r="GT767" i="1"/>
  <c r="LY347" i="1"/>
  <c r="HJ188" i="1"/>
  <c r="HI188" i="1"/>
  <c r="HC188" i="1"/>
  <c r="HD188" i="1"/>
  <c r="HG188" i="1"/>
  <c r="HH188" i="1"/>
  <c r="EO402" i="1"/>
  <c r="EO771" i="1" s="1"/>
  <c r="FN159" i="1"/>
  <c r="FY159" i="1"/>
  <c r="FY230" i="1" s="1"/>
  <c r="DK159" i="1"/>
  <c r="EQ437" i="1"/>
  <c r="EQ776" i="1" s="1"/>
  <c r="FH437" i="1"/>
  <c r="FH776" i="1" s="1"/>
  <c r="FI437" i="1"/>
  <c r="FI776" i="1" s="1"/>
  <c r="BP159" i="1"/>
  <c r="BP230" i="1" s="1"/>
  <c r="DC195" i="1"/>
  <c r="GF193" i="1"/>
  <c r="DV397" i="1"/>
  <c r="DV766" i="1" s="1"/>
  <c r="DT437" i="1"/>
  <c r="DT776" i="1" s="1"/>
  <c r="DW188" i="1"/>
  <c r="DW403" i="1"/>
  <c r="DW772" i="1" s="1"/>
  <c r="LY421" i="1"/>
  <c r="IP401" i="1"/>
  <c r="IP347" i="1"/>
  <c r="IQ401" i="1"/>
  <c r="JN347" i="1"/>
  <c r="JO401" i="1"/>
  <c r="FB398" i="1"/>
  <c r="FB767" i="1" s="1"/>
  <c r="HZ195" i="1"/>
  <c r="IB436" i="1"/>
  <c r="HL436" i="1"/>
  <c r="HL437" i="1" s="1"/>
  <c r="HL776" i="1" s="1"/>
  <c r="HY436" i="1"/>
  <c r="HC436" i="1"/>
  <c r="HC437" i="1" s="1"/>
  <c r="HC776" i="1" s="1"/>
  <c r="HR420" i="1"/>
  <c r="HB420" i="1"/>
  <c r="HF436" i="1"/>
  <c r="HF437" i="1" s="1"/>
  <c r="HF776" i="1" s="1"/>
  <c r="HO420" i="1"/>
  <c r="HZ436" i="1"/>
  <c r="IC420" i="1"/>
  <c r="HH420" i="1"/>
  <c r="IE436" i="1"/>
  <c r="IE437" i="1" s="1"/>
  <c r="IE776" i="1" s="1"/>
  <c r="HO436" i="1"/>
  <c r="HO437" i="1" s="1"/>
  <c r="HO776" i="1" s="1"/>
  <c r="HK420" i="1"/>
  <c r="ID403" i="1"/>
  <c r="HU403" i="1"/>
  <c r="HV195" i="1"/>
  <c r="HX436" i="1"/>
  <c r="HX437" i="1" s="1"/>
  <c r="HX776" i="1" s="1"/>
  <c r="HH436" i="1"/>
  <c r="HH437" i="1" s="1"/>
  <c r="HH776" i="1" s="1"/>
  <c r="HS436" i="1"/>
  <c r="HS437" i="1" s="1"/>
  <c r="HS776" i="1" s="1"/>
  <c r="ID420" i="1"/>
  <c r="HN420" i="1"/>
  <c r="IA436" i="1"/>
  <c r="IA437" i="1" s="1"/>
  <c r="IA776" i="1" s="1"/>
  <c r="IE420" i="1"/>
  <c r="HI420" i="1"/>
  <c r="HR436" i="1"/>
  <c r="HR437" i="1" s="1"/>
  <c r="HR776" i="1" s="1"/>
  <c r="HX420" i="1"/>
  <c r="HC420" i="1"/>
  <c r="HQ436" i="1"/>
  <c r="HW436" i="1"/>
  <c r="HW437" i="1" s="1"/>
  <c r="HW776" i="1" s="1"/>
  <c r="IB420" i="1"/>
  <c r="IA420" i="1"/>
  <c r="HW420" i="1"/>
  <c r="HX195" i="1"/>
  <c r="LZ421" i="1"/>
  <c r="EP190" i="1"/>
  <c r="ER190" i="1"/>
  <c r="EQ190" i="1"/>
  <c r="ES190" i="1"/>
  <c r="CZ401" i="1"/>
  <c r="CZ770" i="1" s="1"/>
  <c r="KX399" i="1"/>
  <c r="DO399" i="1"/>
  <c r="DO768" i="1" s="1"/>
  <c r="LV437" i="1"/>
  <c r="ML437" i="1"/>
  <c r="JL437" i="1"/>
  <c r="HQ403" i="1"/>
  <c r="HR403" i="1"/>
  <c r="CC403" i="1"/>
  <c r="CC772" i="1" s="1"/>
  <c r="BN403" i="1"/>
  <c r="BN772" i="1" s="1"/>
  <c r="CE403" i="1"/>
  <c r="CE772" i="1" s="1"/>
  <c r="IC402" i="1"/>
  <c r="IC771" i="1" s="1"/>
  <c r="HN402" i="1"/>
  <c r="HN771" i="1" s="1"/>
  <c r="IE771" i="1"/>
  <c r="BY402" i="1"/>
  <c r="BY771" i="1" s="1"/>
  <c r="BJ771" i="1"/>
  <c r="BZ402" i="1"/>
  <c r="BZ771" i="1" s="1"/>
  <c r="HQ401" i="1"/>
  <c r="HQ770" i="1" s="1"/>
  <c r="HB770" i="1"/>
  <c r="HR401" i="1"/>
  <c r="HR770" i="1" s="1"/>
  <c r="BM401" i="1"/>
  <c r="BM770" i="1" s="1"/>
  <c r="BN401" i="1"/>
  <c r="BN770" i="1" s="1"/>
  <c r="HB769" i="1"/>
  <c r="HR400" i="1"/>
  <c r="HR769" i="1" s="1"/>
  <c r="BM400" i="1"/>
  <c r="BM769" i="1" s="1"/>
  <c r="CD400" i="1"/>
  <c r="CD769" i="1" s="1"/>
  <c r="HE399" i="1"/>
  <c r="HE768" i="1" s="1"/>
  <c r="HG399" i="1"/>
  <c r="HG768" i="1" s="1"/>
  <c r="HW399" i="1"/>
  <c r="HW768" i="1" s="1"/>
  <c r="BQ399" i="1"/>
  <c r="BQ768" i="1" s="1"/>
  <c r="CH399" i="1"/>
  <c r="CH768" i="1" s="1"/>
  <c r="HE767" i="1"/>
  <c r="HU398" i="1"/>
  <c r="HU767" i="1" s="1"/>
  <c r="HG767" i="1"/>
  <c r="BQ398" i="1"/>
  <c r="BQ767" i="1" s="1"/>
  <c r="BR398" i="1"/>
  <c r="BR767" i="1" s="1"/>
  <c r="CH398" i="1"/>
  <c r="CH767" i="1" s="1"/>
  <c r="HI397" i="1"/>
  <c r="HI766" i="1" s="1"/>
  <c r="HJ397" i="1"/>
  <c r="HJ766" i="1" s="1"/>
  <c r="HZ397" i="1"/>
  <c r="HZ766" i="1" s="1"/>
  <c r="BU397" i="1"/>
  <c r="BU766" i="1" s="1"/>
  <c r="CK397" i="1"/>
  <c r="CK766" i="1" s="1"/>
  <c r="CM766" i="1"/>
  <c r="HL402" i="1"/>
  <c r="HL771" i="1" s="1"/>
  <c r="HD401" i="1"/>
  <c r="HD770" i="1" s="1"/>
  <c r="CC400" i="1"/>
  <c r="CC769" i="1" s="1"/>
  <c r="KQ403" i="1"/>
  <c r="KK403" i="1"/>
  <c r="IB403" i="1"/>
  <c r="EY772" i="1"/>
  <c r="EU402" i="1"/>
  <c r="EU771" i="1" s="1"/>
  <c r="EG771" i="1"/>
  <c r="EW402" i="1"/>
  <c r="EW771" i="1" s="1"/>
  <c r="KA401" i="1"/>
  <c r="HS401" i="1"/>
  <c r="HS770" i="1" s="1"/>
  <c r="IA400" i="1"/>
  <c r="IA769" i="1" s="1"/>
  <c r="EI400" i="1"/>
  <c r="EI769" i="1" s="1"/>
  <c r="EY769" i="1"/>
  <c r="EK400" i="1"/>
  <c r="EK769" i="1" s="1"/>
  <c r="CA400" i="1"/>
  <c r="CA769" i="1" s="1"/>
  <c r="KY399" i="1"/>
  <c r="KB399" i="1"/>
  <c r="KR399" i="1"/>
  <c r="EJ399" i="1"/>
  <c r="EJ768" i="1" s="1"/>
  <c r="CA399" i="1"/>
  <c r="CA768" i="1" s="1"/>
  <c r="KF398" i="1"/>
  <c r="KV398" i="1"/>
  <c r="FI767" i="1"/>
  <c r="BK398" i="1"/>
  <c r="BK767" i="1" s="1"/>
  <c r="KI397" i="1"/>
  <c r="KF397" i="1"/>
  <c r="KV397" i="1"/>
  <c r="HS397" i="1"/>
  <c r="HS766" i="1" s="1"/>
  <c r="EN397" i="1"/>
  <c r="EN766" i="1" s="1"/>
  <c r="FD397" i="1"/>
  <c r="FD766" i="1" s="1"/>
  <c r="BS397" i="1"/>
  <c r="BS766" i="1" s="1"/>
  <c r="KE396" i="1"/>
  <c r="KB396" i="1"/>
  <c r="KR396" i="1"/>
  <c r="KC421" i="1"/>
  <c r="H777" i="1"/>
  <c r="S782" i="1" s="1"/>
  <c r="HX403" i="1"/>
  <c r="HH402" i="1"/>
  <c r="HH771" i="1" s="1"/>
  <c r="CF770" i="1"/>
  <c r="HH399" i="1"/>
  <c r="HH768" i="1" s="1"/>
  <c r="CF767" i="1"/>
  <c r="CF766" i="1"/>
  <c r="JK347" i="1"/>
  <c r="FH401" i="1"/>
  <c r="FH770" i="1" s="1"/>
  <c r="BK159" i="1"/>
  <c r="GL159" i="1"/>
  <c r="GL230" i="1" s="1"/>
  <c r="FA159" i="1"/>
  <c r="FA230" i="1" s="1"/>
  <c r="DP159" i="1"/>
  <c r="DP230" i="1" s="1"/>
  <c r="CE159" i="1"/>
  <c r="CE230" i="1" s="1"/>
  <c r="HV159" i="1"/>
  <c r="FU159" i="1"/>
  <c r="FU230" i="1" s="1"/>
  <c r="ER159" i="1"/>
  <c r="ER230" i="1" s="1"/>
  <c r="DS159" i="1"/>
  <c r="DS230" i="1" s="1"/>
  <c r="CY159" i="1"/>
  <c r="CY230" i="1" s="1"/>
  <c r="BV159" i="1"/>
  <c r="BV230" i="1" s="1"/>
  <c r="DA159" i="1"/>
  <c r="DA230" i="1" s="1"/>
  <c r="IA159" i="1"/>
  <c r="IA230" i="1" s="1"/>
  <c r="FE159" i="1"/>
  <c r="LZ347" i="1"/>
  <c r="JJ347" i="1"/>
  <c r="EF402" i="1"/>
  <c r="EF771" i="1" s="1"/>
  <c r="FV159" i="1"/>
  <c r="FV230" i="1" s="1"/>
  <c r="ID159" i="1"/>
  <c r="ID230" i="1" s="1"/>
  <c r="GX159" i="1"/>
  <c r="CL159" i="1"/>
  <c r="CL230" i="1" s="1"/>
  <c r="BF159" i="1"/>
  <c r="EY437" i="1"/>
  <c r="EY776" i="1" s="1"/>
  <c r="KG347" i="1"/>
  <c r="BR193" i="1"/>
  <c r="BN188" i="1"/>
  <c r="EN399" i="1"/>
  <c r="EN768" i="1" s="1"/>
  <c r="EL768" i="1"/>
  <c r="FB768" i="1"/>
  <c r="FE400" i="1"/>
  <c r="FE769" i="1" s="1"/>
  <c r="CL398" i="1"/>
  <c r="CL767" i="1" s="1"/>
  <c r="CW194" i="1"/>
  <c r="GH192" i="1"/>
  <c r="DO766" i="1"/>
  <c r="DT768" i="1"/>
  <c r="GI396" i="1"/>
  <c r="GI765" i="1" s="1"/>
  <c r="IN421" i="1"/>
  <c r="KT397" i="1"/>
  <c r="MK396" i="1"/>
  <c r="EV193" i="1"/>
  <c r="MD421" i="1"/>
  <c r="LN421" i="1"/>
  <c r="HG190" i="1"/>
  <c r="HA196" i="1"/>
  <c r="D218" i="1" s="1"/>
  <c r="IQ397" i="1"/>
  <c r="JP421" i="1"/>
  <c r="IU421" i="1"/>
  <c r="JH437" i="1"/>
  <c r="IV421" i="1"/>
  <c r="MI403" i="1"/>
  <c r="DN772" i="1"/>
  <c r="GJ402" i="1"/>
  <c r="GJ771" i="1" s="1"/>
  <c r="DE402" i="1"/>
  <c r="DE771" i="1" s="1"/>
  <c r="GA401" i="1"/>
  <c r="GA770" i="1" s="1"/>
  <c r="CX770" i="1"/>
  <c r="LW400" i="1"/>
  <c r="DF400" i="1"/>
  <c r="DF769" i="1" s="1"/>
  <c r="JE399" i="1"/>
  <c r="DN399" i="1"/>
  <c r="DN768" i="1" s="1"/>
  <c r="LW398" i="1"/>
  <c r="GI398" i="1"/>
  <c r="GI767" i="1" s="1"/>
  <c r="FT767" i="1"/>
  <c r="IO397" i="1"/>
  <c r="CX397" i="1"/>
  <c r="CX766" i="1" s="1"/>
  <c r="LW396" i="1"/>
  <c r="LU421" i="1"/>
  <c r="IV437" i="1"/>
  <c r="IM437" i="1"/>
  <c r="JC437" i="1"/>
  <c r="HE403" i="1"/>
  <c r="HG403" i="1"/>
  <c r="HW403" i="1"/>
  <c r="CG403" i="1"/>
  <c r="CG772" i="1" s="1"/>
  <c r="BR403" i="1"/>
  <c r="BR772" i="1" s="1"/>
  <c r="CH403" i="1"/>
  <c r="CH772" i="1" s="1"/>
  <c r="HQ402" i="1"/>
  <c r="HQ771" i="1" s="1"/>
  <c r="HB771" i="1"/>
  <c r="HR402" i="1"/>
  <c r="HR771" i="1" s="1"/>
  <c r="BM402" i="1"/>
  <c r="BM771" i="1" s="1"/>
  <c r="CE771" i="1"/>
  <c r="HE401" i="1"/>
  <c r="HE770" i="1" s="1"/>
  <c r="HV401" i="1"/>
  <c r="HV770" i="1" s="1"/>
  <c r="BQ401" i="1"/>
  <c r="BQ770" i="1" s="1"/>
  <c r="BR401" i="1"/>
  <c r="BR770" i="1" s="1"/>
  <c r="CH401" i="1"/>
  <c r="CH770" i="1" s="1"/>
  <c r="HE400" i="1"/>
  <c r="HE769" i="1" s="1"/>
  <c r="HG400" i="1"/>
  <c r="HG769" i="1" s="1"/>
  <c r="HW769" i="1"/>
  <c r="CG400" i="1"/>
  <c r="CG769" i="1" s="1"/>
  <c r="CH400" i="1"/>
  <c r="CH769" i="1" s="1"/>
  <c r="MF399" i="1"/>
  <c r="HY399" i="1"/>
  <c r="HY768" i="1" s="1"/>
  <c r="HK399" i="1"/>
  <c r="HK768" i="1" s="1"/>
  <c r="HZ399" i="1"/>
  <c r="HZ768" i="1" s="1"/>
  <c r="BU399" i="1"/>
  <c r="BU768" i="1" s="1"/>
  <c r="CK399" i="1"/>
  <c r="CK768" i="1" s="1"/>
  <c r="BV399" i="1"/>
  <c r="BV768" i="1" s="1"/>
  <c r="CL399" i="1"/>
  <c r="CL768" i="1" s="1"/>
  <c r="HJ398" i="1"/>
  <c r="HJ767" i="1" s="1"/>
  <c r="HZ398" i="1"/>
  <c r="HZ767" i="1" s="1"/>
  <c r="BU398" i="1"/>
  <c r="BU767" i="1" s="1"/>
  <c r="CM767" i="1"/>
  <c r="IE766" i="1"/>
  <c r="BJ766" i="1"/>
  <c r="BZ397" i="1"/>
  <c r="BZ766" i="1" s="1"/>
  <c r="HL403" i="1"/>
  <c r="BL403" i="1"/>
  <c r="BL772" i="1" s="1"/>
  <c r="HD402" i="1"/>
  <c r="HD771" i="1" s="1"/>
  <c r="CB401" i="1"/>
  <c r="CB770" i="1" s="1"/>
  <c r="HL399" i="1"/>
  <c r="HL768" i="1" s="1"/>
  <c r="BL399" i="1"/>
  <c r="BL768" i="1" s="1"/>
  <c r="IP397" i="1"/>
  <c r="CB397" i="1"/>
  <c r="CB766" i="1" s="1"/>
  <c r="KN403" i="1"/>
  <c r="HS403" i="1"/>
  <c r="EN403" i="1"/>
  <c r="EN772" i="1" s="1"/>
  <c r="FD403" i="1"/>
  <c r="FD772" i="1" s="1"/>
  <c r="BS403" i="1"/>
  <c r="BS772" i="1" s="1"/>
  <c r="LX402" i="1"/>
  <c r="KU402" i="1"/>
  <c r="IB402" i="1"/>
  <c r="IB771" i="1" s="1"/>
  <c r="EI402" i="1"/>
  <c r="EI771" i="1" s="1"/>
  <c r="CA402" i="1"/>
  <c r="CA771" i="1" s="1"/>
  <c r="KU401" i="1"/>
  <c r="KB401" i="1"/>
  <c r="KR401" i="1"/>
  <c r="HK401" i="1"/>
  <c r="HK770" i="1" s="1"/>
  <c r="FI770" i="1"/>
  <c r="KM400" i="1"/>
  <c r="HS400" i="1"/>
  <c r="HS769" i="1" s="1"/>
  <c r="EM769" i="1"/>
  <c r="EN400" i="1"/>
  <c r="EN769" i="1" s="1"/>
  <c r="BS400" i="1"/>
  <c r="BS769" i="1" s="1"/>
  <c r="KM399" i="1"/>
  <c r="HS399" i="1"/>
  <c r="HS768" i="1" s="1"/>
  <c r="FD399" i="1"/>
  <c r="FD768" i="1" s="1"/>
  <c r="HC398" i="1"/>
  <c r="HC767" i="1" s="1"/>
  <c r="EG398" i="1"/>
  <c r="EG767" i="1" s="1"/>
  <c r="CJ767" i="1"/>
  <c r="KM397" i="1"/>
  <c r="KJ397" i="1"/>
  <c r="KZ397" i="1"/>
  <c r="KR437" i="1"/>
  <c r="HK397" i="1"/>
  <c r="HK766" i="1" s="1"/>
  <c r="ER397" i="1"/>
  <c r="ER766" i="1" s="1"/>
  <c r="FI766" i="1"/>
  <c r="HP403" i="1"/>
  <c r="BP772" i="1"/>
  <c r="CF771" i="1"/>
  <c r="IM404" i="1"/>
  <c r="IM455" i="1" s="1"/>
  <c r="CF768" i="1"/>
  <c r="KH397" i="1"/>
  <c r="LV347" i="1"/>
  <c r="KT347" i="1"/>
  <c r="JZ347" i="1"/>
  <c r="IZ347" i="1"/>
  <c r="HW159" i="1"/>
  <c r="HW230" i="1" s="1"/>
  <c r="L222" i="1"/>
  <c r="LW347" i="1"/>
  <c r="CR159" i="1"/>
  <c r="FF159" i="1"/>
  <c r="FF230" i="1" s="1"/>
  <c r="EC159" i="1"/>
  <c r="CI159" i="1"/>
  <c r="CI230" i="1" s="1"/>
  <c r="BO159" i="1"/>
  <c r="BO230" i="1" s="1"/>
  <c r="HJ159" i="1"/>
  <c r="HJ230" i="1" s="1"/>
  <c r="FM159" i="1"/>
  <c r="EV159" i="1"/>
  <c r="EV230" i="1" s="1"/>
  <c r="BR159" i="1"/>
  <c r="BR230" i="1" s="1"/>
  <c r="MH347" i="1"/>
  <c r="KW347" i="1"/>
  <c r="GT196" i="1"/>
  <c r="GT347" i="1" s="1"/>
  <c r="LM347" i="1"/>
  <c r="FE403" i="1"/>
  <c r="FE772" i="1" s="1"/>
  <c r="DU159" i="1"/>
  <c r="DU230" i="1" s="1"/>
  <c r="CJ159" i="1"/>
  <c r="CJ230" i="1" s="1"/>
  <c r="EK399" i="1"/>
  <c r="EK768" i="1" s="1"/>
  <c r="BZ437" i="1"/>
  <c r="BZ776" i="1" s="1"/>
  <c r="CC437" i="1"/>
  <c r="CC776" i="1" s="1"/>
  <c r="BS437" i="1"/>
  <c r="BS776" i="1" s="1"/>
  <c r="CI437" i="1"/>
  <c r="CI776" i="1" s="1"/>
  <c r="CZ194" i="1"/>
  <c r="GA192" i="1"/>
  <c r="CD403" i="1"/>
  <c r="CD772" i="1" s="1"/>
  <c r="DL768" i="1"/>
  <c r="CY768" i="1"/>
  <c r="CW403" i="1"/>
  <c r="CW772" i="1" s="1"/>
  <c r="KD402" i="1"/>
  <c r="JC421" i="1"/>
  <c r="LK403" i="1"/>
  <c r="KD397" i="1"/>
  <c r="LY396" i="1"/>
  <c r="MC421" i="1"/>
  <c r="LR421" i="1"/>
  <c r="LU398" i="1"/>
  <c r="IZ397" i="1"/>
  <c r="GJ765" i="1"/>
  <c r="FS765" i="1"/>
  <c r="GE765" i="1"/>
  <c r="J932" i="1"/>
  <c r="J933" i="1" s="1"/>
  <c r="IU437" i="1"/>
  <c r="JJ421" i="1"/>
  <c r="MI437" i="1"/>
  <c r="JJ437" i="1"/>
  <c r="Y886" i="1"/>
  <c r="Y783" i="1"/>
  <c r="IT421" i="1"/>
  <c r="IT437" i="1"/>
  <c r="CT888" i="1"/>
  <c r="CT893" i="1" s="1"/>
  <c r="CT892" i="1"/>
  <c r="I783" i="1"/>
  <c r="X886" i="1"/>
  <c r="JB399" i="1"/>
  <c r="AO886" i="1"/>
  <c r="AO783" i="1"/>
  <c r="LT402" i="1"/>
  <c r="LT400" i="1"/>
  <c r="LT398" i="1"/>
  <c r="LT396" i="1"/>
  <c r="JZ437" i="1"/>
  <c r="KA437" i="1"/>
  <c r="KV437" i="1"/>
  <c r="KG437" i="1"/>
  <c r="JZ421" i="1"/>
  <c r="KF421" i="1"/>
  <c r="KV421" i="1"/>
  <c r="KS421" i="1"/>
  <c r="JJ396" i="1"/>
  <c r="AQ885" i="1"/>
  <c r="AQ774" i="1"/>
  <c r="AQ777" i="1" s="1"/>
  <c r="LL401" i="1"/>
  <c r="X267" i="1"/>
  <c r="I267" i="1"/>
  <c r="GO159" i="1"/>
  <c r="GO230" i="1" s="1"/>
  <c r="GE159" i="1"/>
  <c r="HK403" i="1"/>
  <c r="HJ399" i="1"/>
  <c r="HJ768" i="1" s="1"/>
  <c r="EJ398" i="1"/>
  <c r="EJ767" i="1" s="1"/>
  <c r="KM347" i="1"/>
  <c r="DC193" i="1"/>
  <c r="CY193" i="1"/>
  <c r="CU193" i="1"/>
  <c r="DA193" i="1"/>
  <c r="CV193" i="1"/>
  <c r="CW193" i="1"/>
  <c r="CZ193" i="1"/>
  <c r="CX193" i="1"/>
  <c r="DB193" i="1"/>
  <c r="FE191" i="1"/>
  <c r="FA191" i="1"/>
  <c r="FF191" i="1"/>
  <c r="EZ191" i="1"/>
  <c r="FG191" i="1"/>
  <c r="EQ191" i="1"/>
  <c r="FD191" i="1"/>
  <c r="FB191" i="1"/>
  <c r="FH191" i="1"/>
  <c r="FC191" i="1"/>
  <c r="EV191" i="1"/>
  <c r="FH189" i="1"/>
  <c r="FD189" i="1"/>
  <c r="EZ189" i="1"/>
  <c r="FA189" i="1"/>
  <c r="FG189" i="1"/>
  <c r="FC189" i="1"/>
  <c r="FF189" i="1"/>
  <c r="FB189" i="1"/>
  <c r="FE189" i="1"/>
  <c r="KF347" i="1"/>
  <c r="CM429" i="1"/>
  <c r="CI429" i="1"/>
  <c r="CE429" i="1"/>
  <c r="CA429" i="1"/>
  <c r="BW429" i="1"/>
  <c r="BS429" i="1"/>
  <c r="BO429" i="1"/>
  <c r="BK429" i="1"/>
  <c r="CH429" i="1"/>
  <c r="CC429" i="1"/>
  <c r="BX429" i="1"/>
  <c r="BR429" i="1"/>
  <c r="BM429" i="1"/>
  <c r="CM413" i="1"/>
  <c r="CM421" i="1" s="1"/>
  <c r="CM775" i="1" s="1"/>
  <c r="CI413" i="1"/>
  <c r="CI421" i="1" s="1"/>
  <c r="CI775" i="1" s="1"/>
  <c r="CE413" i="1"/>
  <c r="CE421" i="1" s="1"/>
  <c r="CE775" i="1" s="1"/>
  <c r="CA413" i="1"/>
  <c r="CA421" i="1" s="1"/>
  <c r="CA775" i="1" s="1"/>
  <c r="BW413" i="1"/>
  <c r="BW421" i="1" s="1"/>
  <c r="BW775" i="1" s="1"/>
  <c r="BS413" i="1"/>
  <c r="BS421" i="1" s="1"/>
  <c r="BS775" i="1" s="1"/>
  <c r="BO413" i="1"/>
  <c r="BO421" i="1" s="1"/>
  <c r="BO775" i="1" s="1"/>
  <c r="BK413" i="1"/>
  <c r="BK421" i="1" s="1"/>
  <c r="BK775" i="1" s="1"/>
  <c r="CJ396" i="1"/>
  <c r="CF396" i="1"/>
  <c r="CB396" i="1"/>
  <c r="BX396" i="1"/>
  <c r="BT396" i="1"/>
  <c r="BP396" i="1"/>
  <c r="BL396" i="1"/>
  <c r="CL429" i="1"/>
  <c r="CG429" i="1"/>
  <c r="CB429" i="1"/>
  <c r="BV429" i="1"/>
  <c r="BQ429" i="1"/>
  <c r="BL429" i="1"/>
  <c r="CL413" i="1"/>
  <c r="CL421" i="1" s="1"/>
  <c r="CL775" i="1" s="1"/>
  <c r="CH413" i="1"/>
  <c r="CH421" i="1" s="1"/>
  <c r="CH775" i="1" s="1"/>
  <c r="CD413" i="1"/>
  <c r="CD421" i="1" s="1"/>
  <c r="CD775" i="1" s="1"/>
  <c r="BZ413" i="1"/>
  <c r="BZ421" i="1" s="1"/>
  <c r="BZ775" i="1" s="1"/>
  <c r="BV413" i="1"/>
  <c r="BV421" i="1" s="1"/>
  <c r="BV775" i="1" s="1"/>
  <c r="BR413" i="1"/>
  <c r="BR421" i="1" s="1"/>
  <c r="BR775" i="1" s="1"/>
  <c r="BN413" i="1"/>
  <c r="BN421" i="1" s="1"/>
  <c r="BN775" i="1" s="1"/>
  <c r="BJ413" i="1"/>
  <c r="BJ421" i="1" s="1"/>
  <c r="BJ775" i="1" s="1"/>
  <c r="CM396" i="1"/>
  <c r="CI396" i="1"/>
  <c r="CE396" i="1"/>
  <c r="CA396" i="1"/>
  <c r="BW396" i="1"/>
  <c r="BS396" i="1"/>
  <c r="BO396" i="1"/>
  <c r="BK396" i="1"/>
  <c r="CJ429" i="1"/>
  <c r="BY429" i="1"/>
  <c r="BN429" i="1"/>
  <c r="CF429" i="1"/>
  <c r="BU429" i="1"/>
  <c r="BJ429" i="1"/>
  <c r="CD429" i="1"/>
  <c r="BT429" i="1"/>
  <c r="BZ429" i="1"/>
  <c r="CF413" i="1"/>
  <c r="CF421" i="1" s="1"/>
  <c r="CF775" i="1" s="1"/>
  <c r="BX413" i="1"/>
  <c r="BX421" i="1" s="1"/>
  <c r="BX775" i="1" s="1"/>
  <c r="BP413" i="1"/>
  <c r="BP421" i="1" s="1"/>
  <c r="BP775" i="1" s="1"/>
  <c r="BP429" i="1"/>
  <c r="CK413" i="1"/>
  <c r="CK421" i="1" s="1"/>
  <c r="CK775" i="1" s="1"/>
  <c r="CC413" i="1"/>
  <c r="CC421" i="1" s="1"/>
  <c r="CC775" i="1" s="1"/>
  <c r="BU413" i="1"/>
  <c r="BU421" i="1" s="1"/>
  <c r="BU775" i="1" s="1"/>
  <c r="BM413" i="1"/>
  <c r="BM421" i="1" s="1"/>
  <c r="BM775" i="1" s="1"/>
  <c r="CJ413" i="1"/>
  <c r="CJ421" i="1" s="1"/>
  <c r="CJ775" i="1" s="1"/>
  <c r="CB413" i="1"/>
  <c r="CB421" i="1" s="1"/>
  <c r="CB775" i="1" s="1"/>
  <c r="BT413" i="1"/>
  <c r="BT421" i="1" s="1"/>
  <c r="BT775" i="1" s="1"/>
  <c r="BL413" i="1"/>
  <c r="BL421" i="1" s="1"/>
  <c r="BL775" i="1" s="1"/>
  <c r="CK429" i="1"/>
  <c r="CG413" i="1"/>
  <c r="CG421" i="1" s="1"/>
  <c r="CG775" i="1" s="1"/>
  <c r="BY413" i="1"/>
  <c r="BY421" i="1" s="1"/>
  <c r="BY775" i="1" s="1"/>
  <c r="BQ413" i="1"/>
  <c r="BQ421" i="1" s="1"/>
  <c r="BQ775" i="1" s="1"/>
  <c r="CH396" i="1"/>
  <c r="BZ396" i="1"/>
  <c r="BR396" i="1"/>
  <c r="BJ396" i="1"/>
  <c r="CG396" i="1"/>
  <c r="BY396" i="1"/>
  <c r="BQ396" i="1"/>
  <c r="CL396" i="1"/>
  <c r="CD396" i="1"/>
  <c r="BV396" i="1"/>
  <c r="BN396" i="1"/>
  <c r="CM196" i="1"/>
  <c r="CK396" i="1"/>
  <c r="CC396" i="1"/>
  <c r="BU396" i="1"/>
  <c r="BM396" i="1"/>
  <c r="GF402" i="1"/>
  <c r="GF771" i="1" s="1"/>
  <c r="EV397" i="1"/>
  <c r="EV766" i="1" s="1"/>
  <c r="EM437" i="1"/>
  <c r="EM776" i="1" s="1"/>
  <c r="ES437" i="1"/>
  <c r="ES776" i="1" s="1"/>
  <c r="GI190" i="1"/>
  <c r="GE190" i="1"/>
  <c r="GA190" i="1"/>
  <c r="GH190" i="1"/>
  <c r="GC190" i="1"/>
  <c r="GD190" i="1"/>
  <c r="GG190" i="1"/>
  <c r="GB190" i="1"/>
  <c r="GF190" i="1"/>
  <c r="EP189" i="1"/>
  <c r="DD196" i="1"/>
  <c r="DD347" i="1" s="1"/>
  <c r="DJ188" i="1"/>
  <c r="DF188" i="1"/>
  <c r="DG188" i="1"/>
  <c r="DM188" i="1"/>
  <c r="DI188" i="1"/>
  <c r="DE188" i="1"/>
  <c r="DL188" i="1"/>
  <c r="DH188" i="1"/>
  <c r="DK188" i="1"/>
  <c r="GA159" i="1"/>
  <c r="GA230" i="1" s="1"/>
  <c r="KR347" i="1"/>
  <c r="CI188" i="1"/>
  <c r="IE400" i="1"/>
  <c r="IE769" i="1" s="1"/>
  <c r="BN437" i="1"/>
  <c r="BN776" i="1" s="1"/>
  <c r="CW188" i="1"/>
  <c r="FW401" i="1"/>
  <c r="FW770" i="1" s="1"/>
  <c r="GN401" i="1"/>
  <c r="GN770" i="1" s="1"/>
  <c r="DR400" i="1"/>
  <c r="DR769" i="1" s="1"/>
  <c r="CI399" i="1"/>
  <c r="CI768" i="1" s="1"/>
  <c r="CY437" i="1"/>
  <c r="CY776" i="1" s="1"/>
  <c r="CJ403" i="1"/>
  <c r="CJ772" i="1" s="1"/>
  <c r="CD401" i="1"/>
  <c r="CD770" i="1" s="1"/>
  <c r="CB400" i="1"/>
  <c r="CB769" i="1" s="1"/>
  <c r="HI398" i="1"/>
  <c r="HI767" i="1" s="1"/>
  <c r="DR398" i="1"/>
  <c r="DR767" i="1" s="1"/>
  <c r="FZ196" i="1"/>
  <c r="FZ347" i="1" s="1"/>
  <c r="BS402" i="1"/>
  <c r="BS771" i="1" s="1"/>
  <c r="BL402" i="1"/>
  <c r="BL771" i="1" s="1"/>
  <c r="EV189" i="1"/>
  <c r="DD771" i="1"/>
  <c r="GL765" i="1"/>
  <c r="GF396" i="1"/>
  <c r="FY765" i="1"/>
  <c r="GO765" i="1"/>
  <c r="IO931" i="1"/>
  <c r="U981" i="1"/>
  <c r="JZ931" i="1"/>
  <c r="L932" i="1"/>
  <c r="L933" i="1" s="1"/>
  <c r="IM931" i="1"/>
  <c r="LU437" i="1"/>
  <c r="JK437" i="1"/>
  <c r="IO437" i="1"/>
  <c r="MF421" i="1"/>
  <c r="LP421" i="1"/>
  <c r="JF421" i="1"/>
  <c r="IP421" i="1"/>
  <c r="BI892" i="1"/>
  <c r="BI888" i="1"/>
  <c r="BI893" i="1" s="1"/>
  <c r="MD437" i="1"/>
  <c r="LI437" i="1"/>
  <c r="IY437" i="1"/>
  <c r="MA421" i="1"/>
  <c r="LK421" i="1"/>
  <c r="JA421" i="1"/>
  <c r="BA885" i="1"/>
  <c r="BA774" i="1"/>
  <c r="BA777" i="1" s="1"/>
  <c r="LP437" i="1"/>
  <c r="MF437" i="1"/>
  <c r="IX437" i="1"/>
  <c r="JN437" i="1"/>
  <c r="Z886" i="1"/>
  <c r="Z783" i="1"/>
  <c r="LT403" i="1"/>
  <c r="JY403" i="1"/>
  <c r="KG402" i="1"/>
  <c r="JB402" i="1"/>
  <c r="MF400" i="1"/>
  <c r="KW400" i="1"/>
  <c r="LP399" i="1"/>
  <c r="MF398" i="1"/>
  <c r="KG398" i="1"/>
  <c r="JB398" i="1"/>
  <c r="MF396" i="1"/>
  <c r="MJ402" i="1"/>
  <c r="JF402" i="1"/>
  <c r="MJ400" i="1"/>
  <c r="JF400" i="1"/>
  <c r="MJ398" i="1"/>
  <c r="JF397" i="1"/>
  <c r="MJ396" i="1"/>
  <c r="MB403" i="1"/>
  <c r="KB403" i="1"/>
  <c r="KR403" i="1"/>
  <c r="JJ403" i="1"/>
  <c r="KJ402" i="1"/>
  <c r="KZ402" i="1"/>
  <c r="IT402" i="1"/>
  <c r="KF401" i="1"/>
  <c r="KV401" i="1"/>
  <c r="KB400" i="1"/>
  <c r="KR400" i="1"/>
  <c r="KC400" i="1"/>
  <c r="LX399" i="1"/>
  <c r="KN399" i="1"/>
  <c r="KK399" i="1"/>
  <c r="JJ399" i="1"/>
  <c r="LX398" i="1"/>
  <c r="KB398" i="1"/>
  <c r="KR398" i="1"/>
  <c r="KC398" i="1"/>
  <c r="KJ437" i="1"/>
  <c r="KY437" i="1"/>
  <c r="JX437" i="1"/>
  <c r="KF437" i="1"/>
  <c r="KN397" i="1"/>
  <c r="KB437" i="1"/>
  <c r="KX437" i="1"/>
  <c r="KK437" i="1"/>
  <c r="LA437" i="1"/>
  <c r="LX396" i="1"/>
  <c r="KI421" i="1"/>
  <c r="KD421" i="1"/>
  <c r="KE421" i="1"/>
  <c r="KH421" i="1"/>
  <c r="KJ421" i="1"/>
  <c r="KZ421" i="1"/>
  <c r="KF396" i="1"/>
  <c r="KV396" i="1"/>
  <c r="KG421" i="1"/>
  <c r="KW421" i="1"/>
  <c r="KK396" i="1"/>
  <c r="L777" i="1"/>
  <c r="AV885" i="1"/>
  <c r="AV774" i="1"/>
  <c r="AV777" i="1" s="1"/>
  <c r="AR885" i="1"/>
  <c r="AR774" i="1"/>
  <c r="AR777" i="1" s="1"/>
  <c r="AF885" i="1"/>
  <c r="AF774" i="1"/>
  <c r="AF777" i="1" s="1"/>
  <c r="AB885" i="1"/>
  <c r="AB774" i="1"/>
  <c r="AB777" i="1" s="1"/>
  <c r="MF403" i="1"/>
  <c r="JN403" i="1"/>
  <c r="MB401" i="1"/>
  <c r="JN401" i="1"/>
  <c r="MB399" i="1"/>
  <c r="JN399" i="1"/>
  <c r="IX398" i="1"/>
  <c r="LL397" i="1"/>
  <c r="IX396" i="1"/>
  <c r="M686" i="1"/>
  <c r="LA657" i="1"/>
  <c r="IV657" i="1"/>
  <c r="X657" i="1"/>
  <c r="JP656" i="1"/>
  <c r="AH656" i="1"/>
  <c r="JW655" i="1"/>
  <c r="BB655" i="1"/>
  <c r="KG654" i="1"/>
  <c r="IL654" i="1"/>
  <c r="M654" i="1"/>
  <c r="LA653" i="1"/>
  <c r="IV653" i="1"/>
  <c r="X653" i="1"/>
  <c r="JP652" i="1"/>
  <c r="AH652" i="1"/>
  <c r="M687" i="1"/>
  <c r="KG657" i="1"/>
  <c r="IL657" i="1"/>
  <c r="M657" i="1"/>
  <c r="LA656" i="1"/>
  <c r="LA695" i="1" s="1"/>
  <c r="IV656" i="1"/>
  <c r="X656" i="1"/>
  <c r="JP655" i="1"/>
  <c r="AH655" i="1"/>
  <c r="L701" i="1"/>
  <c r="JW654" i="1"/>
  <c r="BB654" i="1"/>
  <c r="KG653" i="1"/>
  <c r="J700" i="1" s="1"/>
  <c r="IL653" i="1"/>
  <c r="M653" i="1"/>
  <c r="LA652" i="1"/>
  <c r="IV652" i="1"/>
  <c r="X652" i="1"/>
  <c r="LA644" i="1"/>
  <c r="KG643" i="1"/>
  <c r="IL643" i="1"/>
  <c r="M643" i="1"/>
  <c r="LA642" i="1"/>
  <c r="IV642" i="1"/>
  <c r="X642" i="1"/>
  <c r="JP641" i="1"/>
  <c r="AH641" i="1"/>
  <c r="JW640" i="1"/>
  <c r="BB640" i="1"/>
  <c r="KG639" i="1"/>
  <c r="IL639" i="1"/>
  <c r="M639" i="1"/>
  <c r="LA637" i="1"/>
  <c r="IV637" i="1"/>
  <c r="X637" i="1"/>
  <c r="JP636" i="1"/>
  <c r="AH636" i="1"/>
  <c r="JW635" i="1"/>
  <c r="BB635" i="1"/>
  <c r="ML632" i="1"/>
  <c r="KG632" i="1"/>
  <c r="IL632" i="1"/>
  <c r="M632" i="1"/>
  <c r="LA631" i="1"/>
  <c r="IV631" i="1"/>
  <c r="X631" i="1"/>
  <c r="LH630" i="1"/>
  <c r="JP630" i="1"/>
  <c r="AH630" i="1"/>
  <c r="LR629" i="1"/>
  <c r="JW629" i="1"/>
  <c r="BB629" i="1"/>
  <c r="ML628" i="1"/>
  <c r="KG628" i="1"/>
  <c r="IL628" i="1"/>
  <c r="M628" i="1"/>
  <c r="LA627" i="1"/>
  <c r="IV627" i="1"/>
  <c r="X627" i="1"/>
  <c r="LH626" i="1"/>
  <c r="JP626" i="1"/>
  <c r="AH626" i="1"/>
  <c r="LH612" i="1"/>
  <c r="KA612" i="1"/>
  <c r="JP612" i="1"/>
  <c r="IV612" i="1"/>
  <c r="IL612" i="1"/>
  <c r="AH612" i="1"/>
  <c r="M612" i="1"/>
  <c r="LR611" i="1"/>
  <c r="LA611" i="1"/>
  <c r="JK611" i="1"/>
  <c r="IQ611" i="1"/>
  <c r="BB611" i="1"/>
  <c r="AC611" i="1"/>
  <c r="ML610" i="1"/>
  <c r="LM610" i="1"/>
  <c r="KV610" i="1"/>
  <c r="KG610" i="1"/>
  <c r="JJ610" i="1"/>
  <c r="IP610" i="1"/>
  <c r="AW610" i="1"/>
  <c r="AB610" i="1"/>
  <c r="LL609" i="1"/>
  <c r="KU609" i="1"/>
  <c r="KB609" i="1"/>
  <c r="JW609" i="1"/>
  <c r="AV609" i="1"/>
  <c r="X609" i="1"/>
  <c r="LH608" i="1"/>
  <c r="KA608" i="1"/>
  <c r="JP608" i="1"/>
  <c r="IV608" i="1"/>
  <c r="IL608" i="1"/>
  <c r="AH608" i="1"/>
  <c r="M608" i="1"/>
  <c r="LR607" i="1"/>
  <c r="LA607" i="1"/>
  <c r="JK607" i="1"/>
  <c r="IQ607" i="1"/>
  <c r="BB607" i="1"/>
  <c r="AC607" i="1"/>
  <c r="ML606" i="1"/>
  <c r="LM606" i="1"/>
  <c r="KV606" i="1"/>
  <c r="KG606" i="1"/>
  <c r="JJ606" i="1"/>
  <c r="IP606" i="1"/>
  <c r="AW606" i="1"/>
  <c r="AB606" i="1"/>
  <c r="LL605" i="1"/>
  <c r="KU605" i="1"/>
  <c r="KB605" i="1"/>
  <c r="JW605" i="1"/>
  <c r="AV605" i="1"/>
  <c r="X605" i="1"/>
  <c r="LH604" i="1"/>
  <c r="KA604" i="1"/>
  <c r="JP604" i="1"/>
  <c r="IV604" i="1"/>
  <c r="IL604" i="1"/>
  <c r="AH604" i="1"/>
  <c r="M604" i="1"/>
  <c r="LR603" i="1"/>
  <c r="LA603" i="1"/>
  <c r="JK603" i="1"/>
  <c r="IQ603" i="1"/>
  <c r="BB603" i="1"/>
  <c r="AC603" i="1"/>
  <c r="ML602" i="1"/>
  <c r="LM602" i="1"/>
  <c r="KV602" i="1"/>
  <c r="KG602" i="1"/>
  <c r="JJ602" i="1"/>
  <c r="IP602" i="1"/>
  <c r="AW602" i="1"/>
  <c r="AB602" i="1"/>
  <c r="LL601" i="1"/>
  <c r="KU601" i="1"/>
  <c r="KB601" i="1"/>
  <c r="JW601" i="1"/>
  <c r="AV601" i="1"/>
  <c r="X601" i="1"/>
  <c r="LH600" i="1"/>
  <c r="KA600" i="1"/>
  <c r="JP600" i="1"/>
  <c r="IV600" i="1"/>
  <c r="IL600" i="1"/>
  <c r="AH600" i="1"/>
  <c r="M600" i="1"/>
  <c r="LR599" i="1"/>
  <c r="LA599" i="1"/>
  <c r="JK599" i="1"/>
  <c r="IQ599" i="1"/>
  <c r="BB599" i="1"/>
  <c r="AC599" i="1"/>
  <c r="ML598" i="1"/>
  <c r="ML660" i="1" s="1"/>
  <c r="LM598" i="1"/>
  <c r="KV598" i="1"/>
  <c r="KG598" i="1"/>
  <c r="JJ598" i="1"/>
  <c r="IP598" i="1"/>
  <c r="AW598" i="1"/>
  <c r="AB598" i="1"/>
  <c r="LL597" i="1"/>
  <c r="KU597" i="1"/>
  <c r="KB597" i="1"/>
  <c r="JW597" i="1"/>
  <c r="AV597" i="1"/>
  <c r="X597" i="1"/>
  <c r="LH596" i="1"/>
  <c r="KA596" i="1"/>
  <c r="JP596" i="1"/>
  <c r="IV596" i="1"/>
  <c r="IL596" i="1"/>
  <c r="AH596" i="1"/>
  <c r="M596" i="1"/>
  <c r="LR595" i="1"/>
  <c r="LA595" i="1"/>
  <c r="JK595" i="1"/>
  <c r="IQ595" i="1"/>
  <c r="BB595" i="1"/>
  <c r="AC595" i="1"/>
  <c r="ML594" i="1"/>
  <c r="LM594" i="1"/>
  <c r="KV594" i="1"/>
  <c r="KG594" i="1"/>
  <c r="JJ594" i="1"/>
  <c r="JW657" i="1"/>
  <c r="IL656" i="1"/>
  <c r="LA655" i="1"/>
  <c r="X655" i="1"/>
  <c r="JP654" i="1"/>
  <c r="L700" i="1"/>
  <c r="BB653" i="1"/>
  <c r="KG652" i="1"/>
  <c r="J701" i="1" s="1"/>
  <c r="M652" i="1"/>
  <c r="JP643" i="1"/>
  <c r="X643" i="1"/>
  <c r="KG642" i="1"/>
  <c r="BB642" i="1"/>
  <c r="IV641" i="1"/>
  <c r="M641" i="1"/>
  <c r="KG640" i="1"/>
  <c r="AH640" i="1"/>
  <c r="IV639" i="1"/>
  <c r="JW637" i="1"/>
  <c r="AH637" i="1"/>
  <c r="LA636" i="1"/>
  <c r="IL636" i="1"/>
  <c r="JP635" i="1"/>
  <c r="X635" i="1"/>
  <c r="LA632" i="1"/>
  <c r="BB632" i="1"/>
  <c r="LR631" i="1"/>
  <c r="JP631" i="1"/>
  <c r="M631" i="1"/>
  <c r="KG630" i="1"/>
  <c r="BB630" i="1"/>
  <c r="LH629" i="1"/>
  <c r="IV629" i="1"/>
  <c r="M629" i="1"/>
  <c r="JW628" i="1"/>
  <c r="AH628" i="1"/>
  <c r="LH627" i="1"/>
  <c r="IL627" i="1"/>
  <c r="ML626" i="1"/>
  <c r="JW626" i="1"/>
  <c r="X626" i="1"/>
  <c r="ML612" i="1"/>
  <c r="LL612" i="1"/>
  <c r="JJ612" i="1"/>
  <c r="AC612" i="1"/>
  <c r="LH611" i="1"/>
  <c r="JJ611" i="1"/>
  <c r="AH611" i="1"/>
  <c r="LH610" i="1"/>
  <c r="IL610" i="1"/>
  <c r="AC610" i="1"/>
  <c r="LA609" i="1"/>
  <c r="KG609" i="1"/>
  <c r="JP609" i="1"/>
  <c r="IV609" i="1"/>
  <c r="IL609" i="1"/>
  <c r="AC609" i="1"/>
  <c r="LA608" i="1"/>
  <c r="BB608" i="1"/>
  <c r="AB608" i="1"/>
  <c r="KV607" i="1"/>
  <c r="KG607" i="1"/>
  <c r="IL607" i="1"/>
  <c r="AB607" i="1"/>
  <c r="LA606" i="1"/>
  <c r="KB606" i="1"/>
  <c r="JW606" i="1"/>
  <c r="IV606" i="1"/>
  <c r="BB606" i="1"/>
  <c r="X606" i="1"/>
  <c r="LR605" i="1"/>
  <c r="KV605" i="1"/>
  <c r="KA605" i="1"/>
  <c r="JK605" i="1"/>
  <c r="IQ605" i="1"/>
  <c r="BB605" i="1"/>
  <c r="AB605" i="1"/>
  <c r="LR604" i="1"/>
  <c r="KV604" i="1"/>
  <c r="KG604" i="1"/>
  <c r="JW604" i="1"/>
  <c r="IQ604" i="1"/>
  <c r="AW604" i="1"/>
  <c r="X604" i="1"/>
  <c r="LM603" i="1"/>
  <c r="KU603" i="1"/>
  <c r="KB603" i="1"/>
  <c r="JW603" i="1"/>
  <c r="IV603" i="1"/>
  <c r="AW603" i="1"/>
  <c r="X603" i="1"/>
  <c r="LR602" i="1"/>
  <c r="KU602" i="1"/>
  <c r="KA602" i="1"/>
  <c r="JP602" i="1"/>
  <c r="IQ602" i="1"/>
  <c r="AV602" i="1"/>
  <c r="M602" i="1"/>
  <c r="LM601" i="1"/>
  <c r="JJ601" i="1"/>
  <c r="IP601" i="1"/>
  <c r="AW601" i="1"/>
  <c r="M601" i="1"/>
  <c r="LM600" i="1"/>
  <c r="KU600" i="1"/>
  <c r="KB600" i="1"/>
  <c r="JK600" i="1"/>
  <c r="IP600" i="1"/>
  <c r="AV600" i="1"/>
  <c r="ML599" i="1"/>
  <c r="LL599" i="1"/>
  <c r="KA599" i="1"/>
  <c r="JP599" i="1"/>
  <c r="IP599" i="1"/>
  <c r="AV599" i="1"/>
  <c r="M599" i="1"/>
  <c r="LL598" i="1"/>
  <c r="JK598" i="1"/>
  <c r="AH598" i="1"/>
  <c r="ML597" i="1"/>
  <c r="LH597" i="1"/>
  <c r="AH597" i="1"/>
  <c r="ML596" i="1"/>
  <c r="LL596" i="1"/>
  <c r="JJ596" i="1"/>
  <c r="AC596" i="1"/>
  <c r="LH595" i="1"/>
  <c r="JJ595" i="1"/>
  <c r="AH595" i="1"/>
  <c r="LH594" i="1"/>
  <c r="AV594" i="1"/>
  <c r="X594" i="1"/>
  <c r="LH593" i="1"/>
  <c r="KA593" i="1"/>
  <c r="JP593" i="1"/>
  <c r="IV593" i="1"/>
  <c r="IL593" i="1"/>
  <c r="AH593" i="1"/>
  <c r="M593" i="1"/>
  <c r="LR592" i="1"/>
  <c r="LA592" i="1"/>
  <c r="JK592" i="1"/>
  <c r="IQ592" i="1"/>
  <c r="BB592" i="1"/>
  <c r="AC592" i="1"/>
  <c r="ML591" i="1"/>
  <c r="LM591" i="1"/>
  <c r="KV591" i="1"/>
  <c r="KG591" i="1"/>
  <c r="JJ591" i="1"/>
  <c r="IP591" i="1"/>
  <c r="AW591" i="1"/>
  <c r="AB591" i="1"/>
  <c r="LL590" i="1"/>
  <c r="KU590" i="1"/>
  <c r="KB590" i="1"/>
  <c r="JW590" i="1"/>
  <c r="AV590" i="1"/>
  <c r="X590" i="1"/>
  <c r="LH589" i="1"/>
  <c r="KA589" i="1"/>
  <c r="JP589" i="1"/>
  <c r="IV589" i="1"/>
  <c r="IL589" i="1"/>
  <c r="AH589" i="1"/>
  <c r="M589" i="1"/>
  <c r="LR588" i="1"/>
  <c r="LA588" i="1"/>
  <c r="JK588" i="1"/>
  <c r="IQ588" i="1"/>
  <c r="BB588" i="1"/>
  <c r="AC588" i="1"/>
  <c r="ML587" i="1"/>
  <c r="LM587" i="1"/>
  <c r="KV587" i="1"/>
  <c r="KG587" i="1"/>
  <c r="JJ587" i="1"/>
  <c r="IP587" i="1"/>
  <c r="AW587" i="1"/>
  <c r="AB587" i="1"/>
  <c r="LL586" i="1"/>
  <c r="KU586" i="1"/>
  <c r="KB586" i="1"/>
  <c r="JW586" i="1"/>
  <c r="AV586" i="1"/>
  <c r="X586" i="1"/>
  <c r="LH585" i="1"/>
  <c r="KA585" i="1"/>
  <c r="JP585" i="1"/>
  <c r="IV585" i="1"/>
  <c r="IL585" i="1"/>
  <c r="AH585" i="1"/>
  <c r="M585" i="1"/>
  <c r="LR584" i="1"/>
  <c r="LA584" i="1"/>
  <c r="JK584" i="1"/>
  <c r="IQ584" i="1"/>
  <c r="BB584" i="1"/>
  <c r="AC584" i="1"/>
  <c r="ML583" i="1"/>
  <c r="LM583" i="1"/>
  <c r="KV583" i="1"/>
  <c r="KG583" i="1"/>
  <c r="JJ583" i="1"/>
  <c r="IP583" i="1"/>
  <c r="AW583" i="1"/>
  <c r="AB583" i="1"/>
  <c r="LL582" i="1"/>
  <c r="KU582" i="1"/>
  <c r="KB582" i="1"/>
  <c r="JW582" i="1"/>
  <c r="AV582" i="1"/>
  <c r="X582" i="1"/>
  <c r="LH581" i="1"/>
  <c r="KA581" i="1"/>
  <c r="JP581" i="1"/>
  <c r="IV581" i="1"/>
  <c r="IL581" i="1"/>
  <c r="AH581" i="1"/>
  <c r="M581" i="1"/>
  <c r="LR580" i="1"/>
  <c r="LA580" i="1"/>
  <c r="JK580" i="1"/>
  <c r="IQ580" i="1"/>
  <c r="BB580" i="1"/>
  <c r="AC580" i="1"/>
  <c r="ML579" i="1"/>
  <c r="LM579" i="1"/>
  <c r="KV579" i="1"/>
  <c r="KG579" i="1"/>
  <c r="KG660" i="1" s="1"/>
  <c r="JJ579" i="1"/>
  <c r="IP579" i="1"/>
  <c r="AW579" i="1"/>
  <c r="AB579" i="1"/>
  <c r="LL578" i="1"/>
  <c r="KU578" i="1"/>
  <c r="KB578" i="1"/>
  <c r="JW578" i="1"/>
  <c r="AV578" i="1"/>
  <c r="X578" i="1"/>
  <c r="LH577" i="1"/>
  <c r="KA577" i="1"/>
  <c r="JP577" i="1"/>
  <c r="IV577" i="1"/>
  <c r="IL577" i="1"/>
  <c r="AH577" i="1"/>
  <c r="M577" i="1"/>
  <c r="LR576" i="1"/>
  <c r="LA576" i="1"/>
  <c r="JK576" i="1"/>
  <c r="IQ576" i="1"/>
  <c r="BB576" i="1"/>
  <c r="AC576" i="1"/>
  <c r="ML575" i="1"/>
  <c r="LM575" i="1"/>
  <c r="KV575" i="1"/>
  <c r="KG575" i="1"/>
  <c r="JJ575" i="1"/>
  <c r="IP575" i="1"/>
  <c r="AW575" i="1"/>
  <c r="AB575" i="1"/>
  <c r="LL574" i="1"/>
  <c r="KU574" i="1"/>
  <c r="KB574" i="1"/>
  <c r="JW574" i="1"/>
  <c r="AV574" i="1"/>
  <c r="X574" i="1"/>
  <c r="LH573" i="1"/>
  <c r="KA573" i="1"/>
  <c r="JP573" i="1"/>
  <c r="IV573" i="1"/>
  <c r="IL573" i="1"/>
  <c r="AH573" i="1"/>
  <c r="M573" i="1"/>
  <c r="LR572" i="1"/>
  <c r="LA572" i="1"/>
  <c r="JK572" i="1"/>
  <c r="IQ572" i="1"/>
  <c r="BB572" i="1"/>
  <c r="AC572" i="1"/>
  <c r="ML571" i="1"/>
  <c r="LM571" i="1"/>
  <c r="KV571" i="1"/>
  <c r="KG571" i="1"/>
  <c r="JJ571" i="1"/>
  <c r="IP571" i="1"/>
  <c r="AW571" i="1"/>
  <c r="AB571" i="1"/>
  <c r="LL570" i="1"/>
  <c r="KU570" i="1"/>
  <c r="KB570" i="1"/>
  <c r="JW570" i="1"/>
  <c r="AV570" i="1"/>
  <c r="X570" i="1"/>
  <c r="LH569" i="1"/>
  <c r="KA569" i="1"/>
  <c r="JP569" i="1"/>
  <c r="IV569" i="1"/>
  <c r="IL569" i="1"/>
  <c r="AH569" i="1"/>
  <c r="M569" i="1"/>
  <c r="LR568" i="1"/>
  <c r="LA568" i="1"/>
  <c r="JK568" i="1"/>
  <c r="IQ568" i="1"/>
  <c r="BB568" i="1"/>
  <c r="AC568" i="1"/>
  <c r="ML567" i="1"/>
  <c r="LM567" i="1"/>
  <c r="KV567" i="1"/>
  <c r="KG567" i="1"/>
  <c r="JJ567" i="1"/>
  <c r="IP567" i="1"/>
  <c r="AW567" i="1"/>
  <c r="AB567" i="1"/>
  <c r="LL566" i="1"/>
  <c r="KU566" i="1"/>
  <c r="KB566" i="1"/>
  <c r="JW566" i="1"/>
  <c r="AV566" i="1"/>
  <c r="X566" i="1"/>
  <c r="LH565" i="1"/>
  <c r="KA565" i="1"/>
  <c r="JP565" i="1"/>
  <c r="IV565" i="1"/>
  <c r="IL565" i="1"/>
  <c r="AH565" i="1"/>
  <c r="M565" i="1"/>
  <c r="LR564" i="1"/>
  <c r="LA564" i="1"/>
  <c r="JK564" i="1"/>
  <c r="IQ564" i="1"/>
  <c r="BB564" i="1"/>
  <c r="AC564" i="1"/>
  <c r="ML563" i="1"/>
  <c r="LM563" i="1"/>
  <c r="KV563" i="1"/>
  <c r="KG563" i="1"/>
  <c r="JJ563" i="1"/>
  <c r="IP563" i="1"/>
  <c r="AW563" i="1"/>
  <c r="AB563" i="1"/>
  <c r="LL562" i="1"/>
  <c r="KU562" i="1"/>
  <c r="KB562" i="1"/>
  <c r="JW562" i="1"/>
  <c r="AV562" i="1"/>
  <c r="X562" i="1"/>
  <c r="LH561" i="1"/>
  <c r="KA561" i="1"/>
  <c r="JP561" i="1"/>
  <c r="IV561" i="1"/>
  <c r="IL561" i="1"/>
  <c r="AH561" i="1"/>
  <c r="M561" i="1"/>
  <c r="LR560" i="1"/>
  <c r="LA560" i="1"/>
  <c r="JK560" i="1"/>
  <c r="IQ560" i="1"/>
  <c r="BB560" i="1"/>
  <c r="AC560" i="1"/>
  <c r="ML559" i="1"/>
  <c r="LM559" i="1"/>
  <c r="KV559" i="1"/>
  <c r="KG559" i="1"/>
  <c r="JJ559" i="1"/>
  <c r="IP559" i="1"/>
  <c r="AW559" i="1"/>
  <c r="AB559" i="1"/>
  <c r="LL558" i="1"/>
  <c r="KU558" i="1"/>
  <c r="KB558" i="1"/>
  <c r="JW558" i="1"/>
  <c r="AV558" i="1"/>
  <c r="X558" i="1"/>
  <c r="LH557" i="1"/>
  <c r="KA557" i="1"/>
  <c r="JP557" i="1"/>
  <c r="IV557" i="1"/>
  <c r="IL557" i="1"/>
  <c r="AH557" i="1"/>
  <c r="M557" i="1"/>
  <c r="LR556" i="1"/>
  <c r="LA556" i="1"/>
  <c r="JK556" i="1"/>
  <c r="IQ556" i="1"/>
  <c r="BB556" i="1"/>
  <c r="AC556" i="1"/>
  <c r="ML555" i="1"/>
  <c r="LM555" i="1"/>
  <c r="KV555" i="1"/>
  <c r="KG555" i="1"/>
  <c r="JJ555" i="1"/>
  <c r="IP555" i="1"/>
  <c r="AW555" i="1"/>
  <c r="AB555" i="1"/>
  <c r="LL554" i="1"/>
  <c r="KU554" i="1"/>
  <c r="KB554" i="1"/>
  <c r="JW554" i="1"/>
  <c r="AV554" i="1"/>
  <c r="X554" i="1"/>
  <c r="LH553" i="1"/>
  <c r="KA553" i="1"/>
  <c r="JP553" i="1"/>
  <c r="IV553" i="1"/>
  <c r="IL553" i="1"/>
  <c r="AH553" i="1"/>
  <c r="M553" i="1"/>
  <c r="LR552" i="1"/>
  <c r="LA552" i="1"/>
  <c r="JK552" i="1"/>
  <c r="IQ552" i="1"/>
  <c r="BB552" i="1"/>
  <c r="AC552" i="1"/>
  <c r="ML551" i="1"/>
  <c r="LM551" i="1"/>
  <c r="KV551" i="1"/>
  <c r="KG551" i="1"/>
  <c r="JJ551" i="1"/>
  <c r="IP551" i="1"/>
  <c r="AW551" i="1"/>
  <c r="AB551" i="1"/>
  <c r="LL550" i="1"/>
  <c r="KU550" i="1"/>
  <c r="KB550" i="1"/>
  <c r="JW550" i="1"/>
  <c r="AV550" i="1"/>
  <c r="X550" i="1"/>
  <c r="LH549" i="1"/>
  <c r="KA549" i="1"/>
  <c r="JP549" i="1"/>
  <c r="IV549" i="1"/>
  <c r="IL549" i="1"/>
  <c r="AH549" i="1"/>
  <c r="M549" i="1"/>
  <c r="LR548" i="1"/>
  <c r="LA548" i="1"/>
  <c r="JK548" i="1"/>
  <c r="IQ548" i="1"/>
  <c r="BB548" i="1"/>
  <c r="AC548" i="1"/>
  <c r="ML547" i="1"/>
  <c r="LM547" i="1"/>
  <c r="KV547" i="1"/>
  <c r="KG547" i="1"/>
  <c r="JJ547" i="1"/>
  <c r="IP547" i="1"/>
  <c r="AW547" i="1"/>
  <c r="AB547" i="1"/>
  <c r="LL546" i="1"/>
  <c r="KU546" i="1"/>
  <c r="KB546" i="1"/>
  <c r="JW546" i="1"/>
  <c r="AV546" i="1"/>
  <c r="X546" i="1"/>
  <c r="LH545" i="1"/>
  <c r="KA545" i="1"/>
  <c r="JP545" i="1"/>
  <c r="IV545" i="1"/>
  <c r="IL545" i="1"/>
  <c r="AH545" i="1"/>
  <c r="M545" i="1"/>
  <c r="LR544" i="1"/>
  <c r="LA544" i="1"/>
  <c r="JK544" i="1"/>
  <c r="IQ544" i="1"/>
  <c r="BB544" i="1"/>
  <c r="AC544" i="1"/>
  <c r="ML543" i="1"/>
  <c r="LM543" i="1"/>
  <c r="KV543" i="1"/>
  <c r="KG543" i="1"/>
  <c r="JJ543" i="1"/>
  <c r="IP543" i="1"/>
  <c r="AW543" i="1"/>
  <c r="AB543" i="1"/>
  <c r="LL542" i="1"/>
  <c r="KU542" i="1"/>
  <c r="KB542" i="1"/>
  <c r="JW542" i="1"/>
  <c r="AV542" i="1"/>
  <c r="X542" i="1"/>
  <c r="LH541" i="1"/>
  <c r="KA541" i="1"/>
  <c r="JP541" i="1"/>
  <c r="IV541" i="1"/>
  <c r="IL541" i="1"/>
  <c r="AH541" i="1"/>
  <c r="M541" i="1"/>
  <c r="LR540" i="1"/>
  <c r="LA540" i="1"/>
  <c r="JK540" i="1"/>
  <c r="IQ540" i="1"/>
  <c r="BB540" i="1"/>
  <c r="AC540" i="1"/>
  <c r="ML539" i="1"/>
  <c r="LM539" i="1"/>
  <c r="KV539" i="1"/>
  <c r="KG539" i="1"/>
  <c r="JJ539" i="1"/>
  <c r="IP539" i="1"/>
  <c r="AW539" i="1"/>
  <c r="AB539" i="1"/>
  <c r="LL538" i="1"/>
  <c r="KU538" i="1"/>
  <c r="KB538" i="1"/>
  <c r="JW538" i="1"/>
  <c r="AV538" i="1"/>
  <c r="X538" i="1"/>
  <c r="LH537" i="1"/>
  <c r="KA537" i="1"/>
  <c r="JP537" i="1"/>
  <c r="IV537" i="1"/>
  <c r="IL537" i="1"/>
  <c r="AH537" i="1"/>
  <c r="M537" i="1"/>
  <c r="LR536" i="1"/>
  <c r="LA536" i="1"/>
  <c r="JK536" i="1"/>
  <c r="IQ536" i="1"/>
  <c r="BB536" i="1"/>
  <c r="AC536" i="1"/>
  <c r="ML535" i="1"/>
  <c r="LM535" i="1"/>
  <c r="KV535" i="1"/>
  <c r="KG535" i="1"/>
  <c r="JJ535" i="1"/>
  <c r="IP535" i="1"/>
  <c r="AW535" i="1"/>
  <c r="AB535" i="1"/>
  <c r="LL534" i="1"/>
  <c r="KU534" i="1"/>
  <c r="KB534" i="1"/>
  <c r="JW534" i="1"/>
  <c r="AV534" i="1"/>
  <c r="X534" i="1"/>
  <c r="LH533" i="1"/>
  <c r="KA533" i="1"/>
  <c r="JP533" i="1"/>
  <c r="IV533" i="1"/>
  <c r="IL533" i="1"/>
  <c r="AH533" i="1"/>
  <c r="M533" i="1"/>
  <c r="LR532" i="1"/>
  <c r="LA532" i="1"/>
  <c r="JK532" i="1"/>
  <c r="IQ532" i="1"/>
  <c r="BB532" i="1"/>
  <c r="AC532" i="1"/>
  <c r="ML531" i="1"/>
  <c r="LM531" i="1"/>
  <c r="KV531" i="1"/>
  <c r="KG531" i="1"/>
  <c r="JJ531" i="1"/>
  <c r="IP531" i="1"/>
  <c r="AW531" i="1"/>
  <c r="AB531" i="1"/>
  <c r="LL530" i="1"/>
  <c r="KU530" i="1"/>
  <c r="KB530" i="1"/>
  <c r="JW530" i="1"/>
  <c r="AV530" i="1"/>
  <c r="X530" i="1"/>
  <c r="LH529" i="1"/>
  <c r="KA529" i="1"/>
  <c r="JP529" i="1"/>
  <c r="IV529" i="1"/>
  <c r="IL529" i="1"/>
  <c r="AH529" i="1"/>
  <c r="M529" i="1"/>
  <c r="LR528" i="1"/>
  <c r="LA528" i="1"/>
  <c r="JK528" i="1"/>
  <c r="IQ528" i="1"/>
  <c r="BB528" i="1"/>
  <c r="AC528" i="1"/>
  <c r="ML527" i="1"/>
  <c r="LM527" i="1"/>
  <c r="KV527" i="1"/>
  <c r="KG527" i="1"/>
  <c r="JJ527" i="1"/>
  <c r="IP527" i="1"/>
  <c r="AW527" i="1"/>
  <c r="AB527" i="1"/>
  <c r="LL526" i="1"/>
  <c r="KU526" i="1"/>
  <c r="KB526" i="1"/>
  <c r="JW526" i="1"/>
  <c r="AV526" i="1"/>
  <c r="X526" i="1"/>
  <c r="LH525" i="1"/>
  <c r="KA525" i="1"/>
  <c r="JP525" i="1"/>
  <c r="IV525" i="1"/>
  <c r="IL525" i="1"/>
  <c r="AH525" i="1"/>
  <c r="M525" i="1"/>
  <c r="LR524" i="1"/>
  <c r="LA524" i="1"/>
  <c r="JK524" i="1"/>
  <c r="IQ524" i="1"/>
  <c r="BB524" i="1"/>
  <c r="AC524" i="1"/>
  <c r="ML523" i="1"/>
  <c r="LM523" i="1"/>
  <c r="KV523" i="1"/>
  <c r="KG523" i="1"/>
  <c r="JJ523" i="1"/>
  <c r="IP523" i="1"/>
  <c r="AW523" i="1"/>
  <c r="AB523" i="1"/>
  <c r="LL522" i="1"/>
  <c r="KU522" i="1"/>
  <c r="KB522" i="1"/>
  <c r="JW522" i="1"/>
  <c r="AV522" i="1"/>
  <c r="X522" i="1"/>
  <c r="LH521" i="1"/>
  <c r="KA521" i="1"/>
  <c r="JP521" i="1"/>
  <c r="IV521" i="1"/>
  <c r="IL521" i="1"/>
  <c r="AH521" i="1"/>
  <c r="M521" i="1"/>
  <c r="LR520" i="1"/>
  <c r="LA520" i="1"/>
  <c r="JK520" i="1"/>
  <c r="IQ520" i="1"/>
  <c r="BB520" i="1"/>
  <c r="AC520" i="1"/>
  <c r="ML519" i="1"/>
  <c r="LM519" i="1"/>
  <c r="KV519" i="1"/>
  <c r="KG519" i="1"/>
  <c r="JJ519" i="1"/>
  <c r="IP519" i="1"/>
  <c r="AW519" i="1"/>
  <c r="AB519" i="1"/>
  <c r="LL518" i="1"/>
  <c r="KU518" i="1"/>
  <c r="KB518" i="1"/>
  <c r="JW518" i="1"/>
  <c r="AV518" i="1"/>
  <c r="X518" i="1"/>
  <c r="LH517" i="1"/>
  <c r="KA517" i="1"/>
  <c r="JP517" i="1"/>
  <c r="IV517" i="1"/>
  <c r="IL517" i="1"/>
  <c r="AH517" i="1"/>
  <c r="M517" i="1"/>
  <c r="LR516" i="1"/>
  <c r="LA516" i="1"/>
  <c r="JK516" i="1"/>
  <c r="IQ516" i="1"/>
  <c r="BB516" i="1"/>
  <c r="AC516" i="1"/>
  <c r="ML515" i="1"/>
  <c r="LM515" i="1"/>
  <c r="KV515" i="1"/>
  <c r="KG515" i="1"/>
  <c r="JJ515" i="1"/>
  <c r="IP515" i="1"/>
  <c r="AW515" i="1"/>
  <c r="AB515" i="1"/>
  <c r="LL514" i="1"/>
  <c r="KU514" i="1"/>
  <c r="KB514" i="1"/>
  <c r="JW514" i="1"/>
  <c r="AV514" i="1"/>
  <c r="X514" i="1"/>
  <c r="LL513" i="1"/>
  <c r="KU513" i="1"/>
  <c r="KB513" i="1"/>
  <c r="JW513" i="1"/>
  <c r="AV513" i="1"/>
  <c r="X513" i="1"/>
  <c r="JP657" i="1"/>
  <c r="BB656" i="1"/>
  <c r="KG655" i="1"/>
  <c r="M655" i="1"/>
  <c r="IV654" i="1"/>
  <c r="AH653" i="1"/>
  <c r="JW652" i="1"/>
  <c r="KG644" i="1"/>
  <c r="IV643" i="1"/>
  <c r="JW642" i="1"/>
  <c r="AH642" i="1"/>
  <c r="LA641" i="1"/>
  <c r="IL641" i="1"/>
  <c r="JP640" i="1"/>
  <c r="X640" i="1"/>
  <c r="LA639" i="1"/>
  <c r="BB639" i="1"/>
  <c r="JP637" i="1"/>
  <c r="M637" i="1"/>
  <c r="KG636" i="1"/>
  <c r="BB636" i="1"/>
  <c r="IV635" i="1"/>
  <c r="M635" i="1"/>
  <c r="JW632" i="1"/>
  <c r="AH632" i="1"/>
  <c r="LH631" i="1"/>
  <c r="IL631" i="1"/>
  <c r="ML630" i="1"/>
  <c r="JW630" i="1"/>
  <c r="X630" i="1"/>
  <c r="LA629" i="1"/>
  <c r="IL629" i="1"/>
  <c r="LR628" i="1"/>
  <c r="JP628" i="1"/>
  <c r="X628" i="1"/>
  <c r="KG627" i="1"/>
  <c r="BB627" i="1"/>
  <c r="LR626" i="1"/>
  <c r="IV626" i="1"/>
  <c r="M626" i="1"/>
  <c r="LA612" i="1"/>
  <c r="BB612" i="1"/>
  <c r="AB612" i="1"/>
  <c r="KV611" i="1"/>
  <c r="KG611" i="1"/>
  <c r="IL611" i="1"/>
  <c r="AB611" i="1"/>
  <c r="LA610" i="1"/>
  <c r="KB610" i="1"/>
  <c r="JW610" i="1"/>
  <c r="IV610" i="1"/>
  <c r="BB610" i="1"/>
  <c r="X610" i="1"/>
  <c r="LR609" i="1"/>
  <c r="KV609" i="1"/>
  <c r="KA609" i="1"/>
  <c r="JK609" i="1"/>
  <c r="IQ609" i="1"/>
  <c r="BB609" i="1"/>
  <c r="AB609" i="1"/>
  <c r="LR608" i="1"/>
  <c r="KV608" i="1"/>
  <c r="KG608" i="1"/>
  <c r="JW608" i="1"/>
  <c r="IQ608" i="1"/>
  <c r="AW608" i="1"/>
  <c r="X608" i="1"/>
  <c r="LM607" i="1"/>
  <c r="KU607" i="1"/>
  <c r="KB607" i="1"/>
  <c r="JW607" i="1"/>
  <c r="IV607" i="1"/>
  <c r="AW607" i="1"/>
  <c r="X607" i="1"/>
  <c r="LR606" i="1"/>
  <c r="KU606" i="1"/>
  <c r="KA606" i="1"/>
  <c r="JP606" i="1"/>
  <c r="IQ606" i="1"/>
  <c r="AV606" i="1"/>
  <c r="M606" i="1"/>
  <c r="LM605" i="1"/>
  <c r="JJ605" i="1"/>
  <c r="IP605" i="1"/>
  <c r="AW605" i="1"/>
  <c r="M605" i="1"/>
  <c r="LM604" i="1"/>
  <c r="KU604" i="1"/>
  <c r="KB604" i="1"/>
  <c r="JK604" i="1"/>
  <c r="IP604" i="1"/>
  <c r="AV604" i="1"/>
  <c r="ML603" i="1"/>
  <c r="LL603" i="1"/>
  <c r="KA603" i="1"/>
  <c r="JP603" i="1"/>
  <c r="IP603" i="1"/>
  <c r="AV603" i="1"/>
  <c r="M603" i="1"/>
  <c r="LL602" i="1"/>
  <c r="JK602" i="1"/>
  <c r="AH602" i="1"/>
  <c r="ML601" i="1"/>
  <c r="LH601" i="1"/>
  <c r="AH601" i="1"/>
  <c r="ML600" i="1"/>
  <c r="LL600" i="1"/>
  <c r="JJ600" i="1"/>
  <c r="AC600" i="1"/>
  <c r="LH599" i="1"/>
  <c r="JJ599" i="1"/>
  <c r="AH599" i="1"/>
  <c r="ML679" i="1"/>
  <c r="LH598" i="1"/>
  <c r="IL598" i="1"/>
  <c r="AC598" i="1"/>
  <c r="LA597" i="1"/>
  <c r="KG597" i="1"/>
  <c r="JP597" i="1"/>
  <c r="IV597" i="1"/>
  <c r="IL597" i="1"/>
  <c r="AC597" i="1"/>
  <c r="LA596" i="1"/>
  <c r="BB596" i="1"/>
  <c r="AB596" i="1"/>
  <c r="KV595" i="1"/>
  <c r="KG595" i="1"/>
  <c r="IL595" i="1"/>
  <c r="AB595" i="1"/>
  <c r="LA594" i="1"/>
  <c r="KB594" i="1"/>
  <c r="JW594" i="1"/>
  <c r="IV594" i="1"/>
  <c r="IL594" i="1"/>
  <c r="AH594" i="1"/>
  <c r="M594" i="1"/>
  <c r="LR593" i="1"/>
  <c r="LA593" i="1"/>
  <c r="JK593" i="1"/>
  <c r="IQ593" i="1"/>
  <c r="BB593" i="1"/>
  <c r="AC593" i="1"/>
  <c r="ML592" i="1"/>
  <c r="LM592" i="1"/>
  <c r="KV592" i="1"/>
  <c r="KG592" i="1"/>
  <c r="JJ592" i="1"/>
  <c r="IP592" i="1"/>
  <c r="AW592" i="1"/>
  <c r="AB592" i="1"/>
  <c r="LL591" i="1"/>
  <c r="KU591" i="1"/>
  <c r="KB591" i="1"/>
  <c r="JW591" i="1"/>
  <c r="AV591" i="1"/>
  <c r="X591" i="1"/>
  <c r="LH590" i="1"/>
  <c r="KA590" i="1"/>
  <c r="JP590" i="1"/>
  <c r="IV590" i="1"/>
  <c r="IL590" i="1"/>
  <c r="AH590" i="1"/>
  <c r="M590" i="1"/>
  <c r="LR589" i="1"/>
  <c r="LA589" i="1"/>
  <c r="JK589" i="1"/>
  <c r="IQ589" i="1"/>
  <c r="BB589" i="1"/>
  <c r="AC589" i="1"/>
  <c r="ML588" i="1"/>
  <c r="LM588" i="1"/>
  <c r="KV588" i="1"/>
  <c r="KG588" i="1"/>
  <c r="JJ588" i="1"/>
  <c r="IP588" i="1"/>
  <c r="AW588" i="1"/>
  <c r="AB588" i="1"/>
  <c r="LL587" i="1"/>
  <c r="KU587" i="1"/>
  <c r="KB587" i="1"/>
  <c r="JW587" i="1"/>
  <c r="AV587" i="1"/>
  <c r="X587" i="1"/>
  <c r="LH586" i="1"/>
  <c r="KA586" i="1"/>
  <c r="JP586" i="1"/>
  <c r="IV586" i="1"/>
  <c r="IL586" i="1"/>
  <c r="AH586" i="1"/>
  <c r="M586" i="1"/>
  <c r="LR585" i="1"/>
  <c r="LA585" i="1"/>
  <c r="JK585" i="1"/>
  <c r="IQ585" i="1"/>
  <c r="BB585" i="1"/>
  <c r="AC585" i="1"/>
  <c r="ML584" i="1"/>
  <c r="LM584" i="1"/>
  <c r="KV584" i="1"/>
  <c r="KG584" i="1"/>
  <c r="JJ584" i="1"/>
  <c r="IP584" i="1"/>
  <c r="AW584" i="1"/>
  <c r="AB584" i="1"/>
  <c r="LL583" i="1"/>
  <c r="KU583" i="1"/>
  <c r="KB583" i="1"/>
  <c r="JW583" i="1"/>
  <c r="AV583" i="1"/>
  <c r="X583" i="1"/>
  <c r="LH582" i="1"/>
  <c r="KA582" i="1"/>
  <c r="JP582" i="1"/>
  <c r="IV582" i="1"/>
  <c r="IL582" i="1"/>
  <c r="AH582" i="1"/>
  <c r="M582" i="1"/>
  <c r="LR581" i="1"/>
  <c r="LA581" i="1"/>
  <c r="JK581" i="1"/>
  <c r="IQ581" i="1"/>
  <c r="BB581" i="1"/>
  <c r="AC581" i="1"/>
  <c r="ML580" i="1"/>
  <c r="LM580" i="1"/>
  <c r="KV580" i="1"/>
  <c r="KG580" i="1"/>
  <c r="JJ580" i="1"/>
  <c r="IP580" i="1"/>
  <c r="AW580" i="1"/>
  <c r="AB580" i="1"/>
  <c r="LL579" i="1"/>
  <c r="KU579" i="1"/>
  <c r="KB579" i="1"/>
  <c r="KG679" i="1" s="1"/>
  <c r="JW579" i="1"/>
  <c r="AV579" i="1"/>
  <c r="X579" i="1"/>
  <c r="LH578" i="1"/>
  <c r="KA578" i="1"/>
  <c r="JP578" i="1"/>
  <c r="IV578" i="1"/>
  <c r="IL578" i="1"/>
  <c r="AH578" i="1"/>
  <c r="M578" i="1"/>
  <c r="LR577" i="1"/>
  <c r="LA577" i="1"/>
  <c r="JK577" i="1"/>
  <c r="IQ577" i="1"/>
  <c r="BB577" i="1"/>
  <c r="AC577" i="1"/>
  <c r="ML576" i="1"/>
  <c r="LM576" i="1"/>
  <c r="KV576" i="1"/>
  <c r="KG576" i="1"/>
  <c r="JJ576" i="1"/>
  <c r="IP576" i="1"/>
  <c r="AW576" i="1"/>
  <c r="AB576" i="1"/>
  <c r="LL575" i="1"/>
  <c r="KU575" i="1"/>
  <c r="KB575" i="1"/>
  <c r="JW575" i="1"/>
  <c r="AV575" i="1"/>
  <c r="X575" i="1"/>
  <c r="LH574" i="1"/>
  <c r="KA574" i="1"/>
  <c r="JP574" i="1"/>
  <c r="IV574" i="1"/>
  <c r="IL574" i="1"/>
  <c r="AH574" i="1"/>
  <c r="M574" i="1"/>
  <c r="LR573" i="1"/>
  <c r="LA573" i="1"/>
  <c r="JK573" i="1"/>
  <c r="IQ573" i="1"/>
  <c r="BB573" i="1"/>
  <c r="AC573" i="1"/>
  <c r="ML572" i="1"/>
  <c r="LM572" i="1"/>
  <c r="KV572" i="1"/>
  <c r="KG572" i="1"/>
  <c r="JJ572" i="1"/>
  <c r="IP572" i="1"/>
  <c r="AW572" i="1"/>
  <c r="AB572" i="1"/>
  <c r="LL571" i="1"/>
  <c r="KU571" i="1"/>
  <c r="KB571" i="1"/>
  <c r="JW571" i="1"/>
  <c r="AV571" i="1"/>
  <c r="X571" i="1"/>
  <c r="LH570" i="1"/>
  <c r="KA570" i="1"/>
  <c r="JP570" i="1"/>
  <c r="IV570" i="1"/>
  <c r="IL570" i="1"/>
  <c r="AH570" i="1"/>
  <c r="M570" i="1"/>
  <c r="LR569" i="1"/>
  <c r="LA569" i="1"/>
  <c r="JK569" i="1"/>
  <c r="IQ569" i="1"/>
  <c r="BB569" i="1"/>
  <c r="AC569" i="1"/>
  <c r="ML568" i="1"/>
  <c r="LM568" i="1"/>
  <c r="KV568" i="1"/>
  <c r="KG568" i="1"/>
  <c r="JJ568" i="1"/>
  <c r="IP568" i="1"/>
  <c r="AW568" i="1"/>
  <c r="AB568" i="1"/>
  <c r="LL567" i="1"/>
  <c r="KU567" i="1"/>
  <c r="KB567" i="1"/>
  <c r="JW567" i="1"/>
  <c r="AV567" i="1"/>
  <c r="X567" i="1"/>
  <c r="LH566" i="1"/>
  <c r="KA566" i="1"/>
  <c r="JP566" i="1"/>
  <c r="IV566" i="1"/>
  <c r="IL566" i="1"/>
  <c r="AH566" i="1"/>
  <c r="M566" i="1"/>
  <c r="LR565" i="1"/>
  <c r="LA565" i="1"/>
  <c r="JK565" i="1"/>
  <c r="IQ565" i="1"/>
  <c r="BB565" i="1"/>
  <c r="AC565" i="1"/>
  <c r="ML564" i="1"/>
  <c r="LM564" i="1"/>
  <c r="KV564" i="1"/>
  <c r="KG564" i="1"/>
  <c r="JJ564" i="1"/>
  <c r="IP564" i="1"/>
  <c r="AW564" i="1"/>
  <c r="AB564" i="1"/>
  <c r="LL563" i="1"/>
  <c r="KU563" i="1"/>
  <c r="KB563" i="1"/>
  <c r="JW563" i="1"/>
  <c r="AV563" i="1"/>
  <c r="X563" i="1"/>
  <c r="LH562" i="1"/>
  <c r="KA562" i="1"/>
  <c r="JP562" i="1"/>
  <c r="IV562" i="1"/>
  <c r="IL562" i="1"/>
  <c r="AH562" i="1"/>
  <c r="M562" i="1"/>
  <c r="LR561" i="1"/>
  <c r="LA561" i="1"/>
  <c r="JK561" i="1"/>
  <c r="IQ561" i="1"/>
  <c r="BB561" i="1"/>
  <c r="AC561" i="1"/>
  <c r="ML560" i="1"/>
  <c r="LM560" i="1"/>
  <c r="KV560" i="1"/>
  <c r="KG560" i="1"/>
  <c r="JJ560" i="1"/>
  <c r="IP560" i="1"/>
  <c r="AW560" i="1"/>
  <c r="AB560" i="1"/>
  <c r="LL559" i="1"/>
  <c r="KU559" i="1"/>
  <c r="KB559" i="1"/>
  <c r="JW559" i="1"/>
  <c r="AV559" i="1"/>
  <c r="X559" i="1"/>
  <c r="LH558" i="1"/>
  <c r="KA558" i="1"/>
  <c r="JP558" i="1"/>
  <c r="IV558" i="1"/>
  <c r="IL558" i="1"/>
  <c r="AH558" i="1"/>
  <c r="M558" i="1"/>
  <c r="LR557" i="1"/>
  <c r="LA557" i="1"/>
  <c r="JK557" i="1"/>
  <c r="IQ557" i="1"/>
  <c r="BB557" i="1"/>
  <c r="AC557" i="1"/>
  <c r="ML556" i="1"/>
  <c r="LM556" i="1"/>
  <c r="KV556" i="1"/>
  <c r="KG556" i="1"/>
  <c r="JJ556" i="1"/>
  <c r="IP556" i="1"/>
  <c r="AW556" i="1"/>
  <c r="AB556" i="1"/>
  <c r="LL555" i="1"/>
  <c r="KU555" i="1"/>
  <c r="KB555" i="1"/>
  <c r="JW555" i="1"/>
  <c r="AV555" i="1"/>
  <c r="X555" i="1"/>
  <c r="LH554" i="1"/>
  <c r="KA554" i="1"/>
  <c r="JP554" i="1"/>
  <c r="IV554" i="1"/>
  <c r="IL554" i="1"/>
  <c r="AH554" i="1"/>
  <c r="M554" i="1"/>
  <c r="LR553" i="1"/>
  <c r="LA553" i="1"/>
  <c r="JK553" i="1"/>
  <c r="IQ553" i="1"/>
  <c r="BB553" i="1"/>
  <c r="AC553" i="1"/>
  <c r="ML552" i="1"/>
  <c r="LM552" i="1"/>
  <c r="KV552" i="1"/>
  <c r="KG552" i="1"/>
  <c r="JJ552" i="1"/>
  <c r="IP552" i="1"/>
  <c r="AW552" i="1"/>
  <c r="AB552" i="1"/>
  <c r="LL551" i="1"/>
  <c r="KU551" i="1"/>
  <c r="KB551" i="1"/>
  <c r="JW551" i="1"/>
  <c r="AV551" i="1"/>
  <c r="X551" i="1"/>
  <c r="LH550" i="1"/>
  <c r="KA550" i="1"/>
  <c r="JP550" i="1"/>
  <c r="IV550" i="1"/>
  <c r="IL550" i="1"/>
  <c r="AH550" i="1"/>
  <c r="M550" i="1"/>
  <c r="LR549" i="1"/>
  <c r="LA549" i="1"/>
  <c r="JK549" i="1"/>
  <c r="IQ549" i="1"/>
  <c r="BB549" i="1"/>
  <c r="AC549" i="1"/>
  <c r="ML548" i="1"/>
  <c r="LM548" i="1"/>
  <c r="KV548" i="1"/>
  <c r="KG548" i="1"/>
  <c r="JJ548" i="1"/>
  <c r="IP548" i="1"/>
  <c r="AW548" i="1"/>
  <c r="AB548" i="1"/>
  <c r="LL547" i="1"/>
  <c r="KU547" i="1"/>
  <c r="KB547" i="1"/>
  <c r="JW547" i="1"/>
  <c r="AV547" i="1"/>
  <c r="X547" i="1"/>
  <c r="LH546" i="1"/>
  <c r="KA546" i="1"/>
  <c r="JP546" i="1"/>
  <c r="IV546" i="1"/>
  <c r="IL546" i="1"/>
  <c r="AH546" i="1"/>
  <c r="M546" i="1"/>
  <c r="LR545" i="1"/>
  <c r="LA545" i="1"/>
  <c r="JK545" i="1"/>
  <c r="IQ545" i="1"/>
  <c r="BB545" i="1"/>
  <c r="AC545" i="1"/>
  <c r="ML544" i="1"/>
  <c r="LM544" i="1"/>
  <c r="KV544" i="1"/>
  <c r="KG544" i="1"/>
  <c r="JJ544" i="1"/>
  <c r="IP544" i="1"/>
  <c r="AW544" i="1"/>
  <c r="AB544" i="1"/>
  <c r="LL543" i="1"/>
  <c r="KU543" i="1"/>
  <c r="KB543" i="1"/>
  <c r="JW543" i="1"/>
  <c r="AV543" i="1"/>
  <c r="X543" i="1"/>
  <c r="LH542" i="1"/>
  <c r="KA542" i="1"/>
  <c r="JP542" i="1"/>
  <c r="IV542" i="1"/>
  <c r="IL542" i="1"/>
  <c r="AH542" i="1"/>
  <c r="M542" i="1"/>
  <c r="LR541" i="1"/>
  <c r="LA541" i="1"/>
  <c r="JK541" i="1"/>
  <c r="IQ541" i="1"/>
  <c r="BB541" i="1"/>
  <c r="AC541" i="1"/>
  <c r="ML540" i="1"/>
  <c r="LM540" i="1"/>
  <c r="KV540" i="1"/>
  <c r="KG540" i="1"/>
  <c r="JJ540" i="1"/>
  <c r="IP540" i="1"/>
  <c r="AW540" i="1"/>
  <c r="AB540" i="1"/>
  <c r="LL539" i="1"/>
  <c r="KU539" i="1"/>
  <c r="KB539" i="1"/>
  <c r="JW539" i="1"/>
  <c r="AV539" i="1"/>
  <c r="X539" i="1"/>
  <c r="LH538" i="1"/>
  <c r="KA538" i="1"/>
  <c r="JP538" i="1"/>
  <c r="IV538" i="1"/>
  <c r="IL538" i="1"/>
  <c r="AH538" i="1"/>
  <c r="M538" i="1"/>
  <c r="LR537" i="1"/>
  <c r="LA537" i="1"/>
  <c r="JK537" i="1"/>
  <c r="IQ537" i="1"/>
  <c r="BB537" i="1"/>
  <c r="AC537" i="1"/>
  <c r="ML536" i="1"/>
  <c r="LM536" i="1"/>
  <c r="KV536" i="1"/>
  <c r="KG536" i="1"/>
  <c r="JJ536" i="1"/>
  <c r="IP536" i="1"/>
  <c r="AW536" i="1"/>
  <c r="AB536" i="1"/>
  <c r="LL535" i="1"/>
  <c r="KU535" i="1"/>
  <c r="KB535" i="1"/>
  <c r="JW535" i="1"/>
  <c r="AV535" i="1"/>
  <c r="X535" i="1"/>
  <c r="LH534" i="1"/>
  <c r="KA534" i="1"/>
  <c r="JP534" i="1"/>
  <c r="IV534" i="1"/>
  <c r="IL534" i="1"/>
  <c r="AH534" i="1"/>
  <c r="M534" i="1"/>
  <c r="LR533" i="1"/>
  <c r="LA533" i="1"/>
  <c r="JK533" i="1"/>
  <c r="IQ533" i="1"/>
  <c r="BB533" i="1"/>
  <c r="AC533" i="1"/>
  <c r="ML532" i="1"/>
  <c r="LM532" i="1"/>
  <c r="KV532" i="1"/>
  <c r="KG532" i="1"/>
  <c r="JJ532" i="1"/>
  <c r="IP532" i="1"/>
  <c r="AW532" i="1"/>
  <c r="AB532" i="1"/>
  <c r="LL531" i="1"/>
  <c r="KU531" i="1"/>
  <c r="KB531" i="1"/>
  <c r="JW531" i="1"/>
  <c r="AV531" i="1"/>
  <c r="X531" i="1"/>
  <c r="LH530" i="1"/>
  <c r="KA530" i="1"/>
  <c r="JP530" i="1"/>
  <c r="IV530" i="1"/>
  <c r="IL530" i="1"/>
  <c r="AH530" i="1"/>
  <c r="M530" i="1"/>
  <c r="LR529" i="1"/>
  <c r="LA529" i="1"/>
  <c r="JK529" i="1"/>
  <c r="IQ529" i="1"/>
  <c r="BB529" i="1"/>
  <c r="AC529" i="1"/>
  <c r="ML528" i="1"/>
  <c r="LM528" i="1"/>
  <c r="KV528" i="1"/>
  <c r="KG528" i="1"/>
  <c r="JJ528" i="1"/>
  <c r="IP528" i="1"/>
  <c r="AW528" i="1"/>
  <c r="AB528" i="1"/>
  <c r="LL527" i="1"/>
  <c r="KU527" i="1"/>
  <c r="KB527" i="1"/>
  <c r="JW527" i="1"/>
  <c r="AV527" i="1"/>
  <c r="X527" i="1"/>
  <c r="LH526" i="1"/>
  <c r="KA526" i="1"/>
  <c r="JP526" i="1"/>
  <c r="IV526" i="1"/>
  <c r="IL526" i="1"/>
  <c r="AH526" i="1"/>
  <c r="M526" i="1"/>
  <c r="LR525" i="1"/>
  <c r="LA525" i="1"/>
  <c r="JK525" i="1"/>
  <c r="IQ525" i="1"/>
  <c r="BB525" i="1"/>
  <c r="AC525" i="1"/>
  <c r="ML524" i="1"/>
  <c r="LM524" i="1"/>
  <c r="KV524" i="1"/>
  <c r="KG524" i="1"/>
  <c r="JJ524" i="1"/>
  <c r="IP524" i="1"/>
  <c r="AW524" i="1"/>
  <c r="AB524" i="1"/>
  <c r="LL523" i="1"/>
  <c r="KU523" i="1"/>
  <c r="KB523" i="1"/>
  <c r="JW523" i="1"/>
  <c r="AV523" i="1"/>
  <c r="X523" i="1"/>
  <c r="LH522" i="1"/>
  <c r="KA522" i="1"/>
  <c r="JP522" i="1"/>
  <c r="IV522" i="1"/>
  <c r="IL522" i="1"/>
  <c r="AH522" i="1"/>
  <c r="M522" i="1"/>
  <c r="LR521" i="1"/>
  <c r="LA521" i="1"/>
  <c r="JK521" i="1"/>
  <c r="IQ521" i="1"/>
  <c r="BB521" i="1"/>
  <c r="AC521" i="1"/>
  <c r="ML520" i="1"/>
  <c r="LM520" i="1"/>
  <c r="KV520" i="1"/>
  <c r="KG520" i="1"/>
  <c r="JJ520" i="1"/>
  <c r="IP520" i="1"/>
  <c r="AW520" i="1"/>
  <c r="AB520" i="1"/>
  <c r="LL519" i="1"/>
  <c r="KU519" i="1"/>
  <c r="KB519" i="1"/>
  <c r="JW519" i="1"/>
  <c r="AV519" i="1"/>
  <c r="X519" i="1"/>
  <c r="LH518" i="1"/>
  <c r="KA518" i="1"/>
  <c r="JP518" i="1"/>
  <c r="IV518" i="1"/>
  <c r="IL518" i="1"/>
  <c r="AH518" i="1"/>
  <c r="M518" i="1"/>
  <c r="LR517" i="1"/>
  <c r="LA517" i="1"/>
  <c r="JK517" i="1"/>
  <c r="IQ517" i="1"/>
  <c r="BB517" i="1"/>
  <c r="AC517" i="1"/>
  <c r="ML516" i="1"/>
  <c r="LM516" i="1"/>
  <c r="KV516" i="1"/>
  <c r="KG516" i="1"/>
  <c r="JJ516" i="1"/>
  <c r="IP516" i="1"/>
  <c r="AW516" i="1"/>
  <c r="AB516" i="1"/>
  <c r="LL515" i="1"/>
  <c r="KU515" i="1"/>
  <c r="KB515" i="1"/>
  <c r="JW515" i="1"/>
  <c r="AV515" i="1"/>
  <c r="X515" i="1"/>
  <c r="LH514" i="1"/>
  <c r="KA514" i="1"/>
  <c r="JP514" i="1"/>
  <c r="IV514" i="1"/>
  <c r="IL514" i="1"/>
  <c r="AH514" i="1"/>
  <c r="M514" i="1"/>
  <c r="LH513" i="1"/>
  <c r="KA513" i="1"/>
  <c r="JP513" i="1"/>
  <c r="IV513" i="1"/>
  <c r="IL513" i="1"/>
  <c r="AH513" i="1"/>
  <c r="M513" i="1"/>
  <c r="JW656" i="1"/>
  <c r="IL655" i="1"/>
  <c r="X654" i="1"/>
  <c r="LA643" i="1"/>
  <c r="M642" i="1"/>
  <c r="BB641" i="1"/>
  <c r="IV640" i="1"/>
  <c r="JW639" i="1"/>
  <c r="X636" i="1"/>
  <c r="IL635" i="1"/>
  <c r="JP632" i="1"/>
  <c r="KG631" i="1"/>
  <c r="LR630" i="1"/>
  <c r="M630" i="1"/>
  <c r="AH629" i="1"/>
  <c r="IV628" i="1"/>
  <c r="JW627" i="1"/>
  <c r="LA626" i="1"/>
  <c r="LR612" i="1"/>
  <c r="AW612" i="1"/>
  <c r="LM611" i="1"/>
  <c r="IV611" i="1"/>
  <c r="AV611" i="1"/>
  <c r="LL610" i="1"/>
  <c r="KA610" i="1"/>
  <c r="JK610" i="1"/>
  <c r="AV610" i="1"/>
  <c r="LM609" i="1"/>
  <c r="IP609" i="1"/>
  <c r="M609" i="1"/>
  <c r="KU608" i="1"/>
  <c r="AC608" i="1"/>
  <c r="LH607" i="1"/>
  <c r="AH607" i="1"/>
  <c r="LH606" i="1"/>
  <c r="IL606" i="1"/>
  <c r="JP605" i="1"/>
  <c r="IL605" i="1"/>
  <c r="AB604" i="1"/>
  <c r="KV603" i="1"/>
  <c r="X602" i="1"/>
  <c r="KV601" i="1"/>
  <c r="KA601" i="1"/>
  <c r="JK601" i="1"/>
  <c r="AB601" i="1"/>
  <c r="KV600" i="1"/>
  <c r="IQ600" i="1"/>
  <c r="AB600" i="1"/>
  <c r="KV599" i="1"/>
  <c r="KG599" i="1"/>
  <c r="JW599" i="1"/>
  <c r="IL599" i="1"/>
  <c r="BB598" i="1"/>
  <c r="LR597" i="1"/>
  <c r="JK597" i="1"/>
  <c r="IP597" i="1"/>
  <c r="AB597" i="1"/>
  <c r="KV596" i="1"/>
  <c r="KG596" i="1"/>
  <c r="JW596" i="1"/>
  <c r="IP596" i="1"/>
  <c r="X596" i="1"/>
  <c r="KU595" i="1"/>
  <c r="KA595" i="1"/>
  <c r="JP595" i="1"/>
  <c r="M595" i="1"/>
  <c r="IQ594" i="1"/>
  <c r="AW594" i="1"/>
  <c r="KU593" i="1"/>
  <c r="KB593" i="1"/>
  <c r="JJ593" i="1"/>
  <c r="AW593" i="1"/>
  <c r="KU592" i="1"/>
  <c r="KA592" i="1"/>
  <c r="JP592" i="1"/>
  <c r="IL592" i="1"/>
  <c r="M592" i="1"/>
  <c r="LA591" i="1"/>
  <c r="IL591" i="1"/>
  <c r="M591" i="1"/>
  <c r="LA590" i="1"/>
  <c r="KG590" i="1"/>
  <c r="JJ590" i="1"/>
  <c r="AB590" i="1"/>
  <c r="LL589" i="1"/>
  <c r="IP589" i="1"/>
  <c r="AB589" i="1"/>
  <c r="LL588" i="1"/>
  <c r="IV588" i="1"/>
  <c r="AH588" i="1"/>
  <c r="LR587" i="1"/>
  <c r="JP587" i="1"/>
  <c r="IQ587" i="1"/>
  <c r="AH587" i="1"/>
  <c r="LR586" i="1"/>
  <c r="IQ586" i="1"/>
  <c r="AW586" i="1"/>
  <c r="KU585" i="1"/>
  <c r="KB585" i="1"/>
  <c r="JJ585" i="1"/>
  <c r="AW585" i="1"/>
  <c r="KU584" i="1"/>
  <c r="KA584" i="1"/>
  <c r="JP584" i="1"/>
  <c r="IL584" i="1"/>
  <c r="M584" i="1"/>
  <c r="LA583" i="1"/>
  <c r="IL583" i="1"/>
  <c r="M583" i="1"/>
  <c r="LA582" i="1"/>
  <c r="KG582" i="1"/>
  <c r="JJ582" i="1"/>
  <c r="AB582" i="1"/>
  <c r="LL581" i="1"/>
  <c r="IP581" i="1"/>
  <c r="AB581" i="1"/>
  <c r="LL580" i="1"/>
  <c r="IV580" i="1"/>
  <c r="AH580" i="1"/>
  <c r="LR579" i="1"/>
  <c r="JP579" i="1"/>
  <c r="IQ579" i="1"/>
  <c r="AH579" i="1"/>
  <c r="LR578" i="1"/>
  <c r="IQ578" i="1"/>
  <c r="AW578" i="1"/>
  <c r="KU577" i="1"/>
  <c r="KB577" i="1"/>
  <c r="JJ577" i="1"/>
  <c r="AW577" i="1"/>
  <c r="KU576" i="1"/>
  <c r="KA576" i="1"/>
  <c r="JP576" i="1"/>
  <c r="IL576" i="1"/>
  <c r="M576" i="1"/>
  <c r="LA575" i="1"/>
  <c r="IL575" i="1"/>
  <c r="M575" i="1"/>
  <c r="LA574" i="1"/>
  <c r="KG574" i="1"/>
  <c r="JJ574" i="1"/>
  <c r="AB574" i="1"/>
  <c r="LL573" i="1"/>
  <c r="IP573" i="1"/>
  <c r="AB573" i="1"/>
  <c r="LL572" i="1"/>
  <c r="IV572" i="1"/>
  <c r="AH572" i="1"/>
  <c r="LR571" i="1"/>
  <c r="JP571" i="1"/>
  <c r="IQ571" i="1"/>
  <c r="AH571" i="1"/>
  <c r="LR570" i="1"/>
  <c r="IQ570" i="1"/>
  <c r="AW570" i="1"/>
  <c r="KU569" i="1"/>
  <c r="KB569" i="1"/>
  <c r="JJ569" i="1"/>
  <c r="AW569" i="1"/>
  <c r="KU568" i="1"/>
  <c r="KA568" i="1"/>
  <c r="JP568" i="1"/>
  <c r="IL568" i="1"/>
  <c r="M568" i="1"/>
  <c r="LA567" i="1"/>
  <c r="IL567" i="1"/>
  <c r="M567" i="1"/>
  <c r="LA566" i="1"/>
  <c r="KG566" i="1"/>
  <c r="JJ566" i="1"/>
  <c r="AB566" i="1"/>
  <c r="LL565" i="1"/>
  <c r="IP565" i="1"/>
  <c r="AB565" i="1"/>
  <c r="LL564" i="1"/>
  <c r="IV564" i="1"/>
  <c r="AH564" i="1"/>
  <c r="LR563" i="1"/>
  <c r="JP563" i="1"/>
  <c r="IQ563" i="1"/>
  <c r="AH563" i="1"/>
  <c r="LR562" i="1"/>
  <c r="IQ562" i="1"/>
  <c r="AW562" i="1"/>
  <c r="KU561" i="1"/>
  <c r="KB561" i="1"/>
  <c r="JJ561" i="1"/>
  <c r="AW561" i="1"/>
  <c r="KU560" i="1"/>
  <c r="KA560" i="1"/>
  <c r="JP560" i="1"/>
  <c r="IL560" i="1"/>
  <c r="M560" i="1"/>
  <c r="LA559" i="1"/>
  <c r="IL559" i="1"/>
  <c r="M559" i="1"/>
  <c r="LA558" i="1"/>
  <c r="KG558" i="1"/>
  <c r="JJ558" i="1"/>
  <c r="AB558" i="1"/>
  <c r="LL557" i="1"/>
  <c r="IP557" i="1"/>
  <c r="AB557" i="1"/>
  <c r="LL556" i="1"/>
  <c r="IV556" i="1"/>
  <c r="AH556" i="1"/>
  <c r="LR555" i="1"/>
  <c r="JP555" i="1"/>
  <c r="IQ555" i="1"/>
  <c r="AH555" i="1"/>
  <c r="LR554" i="1"/>
  <c r="IQ554" i="1"/>
  <c r="AW554" i="1"/>
  <c r="KU553" i="1"/>
  <c r="KB553" i="1"/>
  <c r="JJ553" i="1"/>
  <c r="AW553" i="1"/>
  <c r="KU552" i="1"/>
  <c r="KA552" i="1"/>
  <c r="JP552" i="1"/>
  <c r="IL552" i="1"/>
  <c r="M552" i="1"/>
  <c r="LA551" i="1"/>
  <c r="IL551" i="1"/>
  <c r="M551" i="1"/>
  <c r="LA550" i="1"/>
  <c r="KG550" i="1"/>
  <c r="JJ550" i="1"/>
  <c r="AB550" i="1"/>
  <c r="LL549" i="1"/>
  <c r="IP549" i="1"/>
  <c r="AB549" i="1"/>
  <c r="LL548" i="1"/>
  <c r="IV548" i="1"/>
  <c r="AH548" i="1"/>
  <c r="LR547" i="1"/>
  <c r="JP547" i="1"/>
  <c r="IQ547" i="1"/>
  <c r="AH547" i="1"/>
  <c r="LR546" i="1"/>
  <c r="IQ546" i="1"/>
  <c r="AW546" i="1"/>
  <c r="KU545" i="1"/>
  <c r="KB545" i="1"/>
  <c r="JJ545" i="1"/>
  <c r="AW545" i="1"/>
  <c r="KU544" i="1"/>
  <c r="KA544" i="1"/>
  <c r="JP544" i="1"/>
  <c r="IL544" i="1"/>
  <c r="M544" i="1"/>
  <c r="LA543" i="1"/>
  <c r="IL543" i="1"/>
  <c r="M543" i="1"/>
  <c r="LA542" i="1"/>
  <c r="KG542" i="1"/>
  <c r="JJ542" i="1"/>
  <c r="AB542" i="1"/>
  <c r="LL541" i="1"/>
  <c r="IP541" i="1"/>
  <c r="AB541" i="1"/>
  <c r="LL540" i="1"/>
  <c r="IV540" i="1"/>
  <c r="AH540" i="1"/>
  <c r="LR539" i="1"/>
  <c r="JP539" i="1"/>
  <c r="IQ539" i="1"/>
  <c r="AH539" i="1"/>
  <c r="LR538" i="1"/>
  <c r="IQ538" i="1"/>
  <c r="AW538" i="1"/>
  <c r="KU537" i="1"/>
  <c r="KB537" i="1"/>
  <c r="JJ537" i="1"/>
  <c r="AW537" i="1"/>
  <c r="KU536" i="1"/>
  <c r="KA536" i="1"/>
  <c r="JP536" i="1"/>
  <c r="IL536" i="1"/>
  <c r="M536" i="1"/>
  <c r="LA535" i="1"/>
  <c r="IL535" i="1"/>
  <c r="M535" i="1"/>
  <c r="LA534" i="1"/>
  <c r="KG534" i="1"/>
  <c r="JJ534" i="1"/>
  <c r="AB534" i="1"/>
  <c r="LL533" i="1"/>
  <c r="IP533" i="1"/>
  <c r="AB533" i="1"/>
  <c r="LL532" i="1"/>
  <c r="IV532" i="1"/>
  <c r="AH532" i="1"/>
  <c r="LR531" i="1"/>
  <c r="JP531" i="1"/>
  <c r="IQ531" i="1"/>
  <c r="AH531" i="1"/>
  <c r="LR530" i="1"/>
  <c r="IQ530" i="1"/>
  <c r="AW530" i="1"/>
  <c r="KU529" i="1"/>
  <c r="KB529" i="1"/>
  <c r="JJ529" i="1"/>
  <c r="BB657" i="1"/>
  <c r="M656" i="1"/>
  <c r="JW653" i="1"/>
  <c r="IL652" i="1"/>
  <c r="JW643" i="1"/>
  <c r="X641" i="1"/>
  <c r="IL640" i="1"/>
  <c r="JP639" i="1"/>
  <c r="KG637" i="1"/>
  <c r="M636" i="1"/>
  <c r="AH635" i="1"/>
  <c r="IV632" i="1"/>
  <c r="JW631" i="1"/>
  <c r="LA630" i="1"/>
  <c r="ML629" i="1"/>
  <c r="X629" i="1"/>
  <c r="BB628" i="1"/>
  <c r="JP627" i="1"/>
  <c r="KG626" i="1"/>
  <c r="LM612" i="1"/>
  <c r="IQ612" i="1"/>
  <c r="AV612" i="1"/>
  <c r="LL611" i="1"/>
  <c r="KB611" i="1"/>
  <c r="JW611" i="1"/>
  <c r="IP611" i="1"/>
  <c r="X611" i="1"/>
  <c r="KU610" i="1"/>
  <c r="AH610" i="1"/>
  <c r="LH609" i="1"/>
  <c r="ML608" i="1"/>
  <c r="IP608" i="1"/>
  <c r="ML607" i="1"/>
  <c r="IP607" i="1"/>
  <c r="M607" i="1"/>
  <c r="JK606" i="1"/>
  <c r="AH606" i="1"/>
  <c r="LH605" i="1"/>
  <c r="KG605" i="1"/>
  <c r="AH605" i="1"/>
  <c r="LL604" i="1"/>
  <c r="IL603" i="1"/>
  <c r="JW602" i="1"/>
  <c r="IL602" i="1"/>
  <c r="IL601" i="1"/>
  <c r="X600" i="1"/>
  <c r="KU599" i="1"/>
  <c r="KB599" i="1"/>
  <c r="AW599" i="1"/>
  <c r="LR598" i="1"/>
  <c r="IV598" i="1"/>
  <c r="AV598" i="1"/>
  <c r="LM597" i="1"/>
  <c r="KA597" i="1"/>
  <c r="JJ597" i="1"/>
  <c r="M597" i="1"/>
  <c r="KU596" i="1"/>
  <c r="KB596" i="1"/>
  <c r="JK596" i="1"/>
  <c r="ML595" i="1"/>
  <c r="AW595" i="1"/>
  <c r="LR594" i="1"/>
  <c r="JP594" i="1"/>
  <c r="IP594" i="1"/>
  <c r="AC594" i="1"/>
  <c r="LM593" i="1"/>
  <c r="AV593" i="1"/>
  <c r="AV592" i="1"/>
  <c r="IV591" i="1"/>
  <c r="BB591" i="1"/>
  <c r="ML590" i="1"/>
  <c r="KV590" i="1"/>
  <c r="BB590" i="1"/>
  <c r="ML589" i="1"/>
  <c r="KV589" i="1"/>
  <c r="KG589" i="1"/>
  <c r="JW589" i="1"/>
  <c r="X589" i="1"/>
  <c r="LH588" i="1"/>
  <c r="KB588" i="1"/>
  <c r="JW588" i="1"/>
  <c r="X588" i="1"/>
  <c r="LH587" i="1"/>
  <c r="KA587" i="1"/>
  <c r="JK587" i="1"/>
  <c r="AC587" i="1"/>
  <c r="LM586" i="1"/>
  <c r="JK586" i="1"/>
  <c r="IP586" i="1"/>
  <c r="AC586" i="1"/>
  <c r="LM585" i="1"/>
  <c r="AV585" i="1"/>
  <c r="AV584" i="1"/>
  <c r="IV583" i="1"/>
  <c r="BB583" i="1"/>
  <c r="ML582" i="1"/>
  <c r="KV582" i="1"/>
  <c r="BB582" i="1"/>
  <c r="ML581" i="1"/>
  <c r="KV581" i="1"/>
  <c r="KG581" i="1"/>
  <c r="JW581" i="1"/>
  <c r="X581" i="1"/>
  <c r="LH580" i="1"/>
  <c r="KB580" i="1"/>
  <c r="JW580" i="1"/>
  <c r="X580" i="1"/>
  <c r="LH579" i="1"/>
  <c r="KA579" i="1"/>
  <c r="JK579" i="1"/>
  <c r="AC579" i="1"/>
  <c r="LM578" i="1"/>
  <c r="JK578" i="1"/>
  <c r="IP578" i="1"/>
  <c r="AC578" i="1"/>
  <c r="LM577" i="1"/>
  <c r="AV577" i="1"/>
  <c r="AV576" i="1"/>
  <c r="IV575" i="1"/>
  <c r="BB575" i="1"/>
  <c r="ML574" i="1"/>
  <c r="KV574" i="1"/>
  <c r="BB574" i="1"/>
  <c r="ML573" i="1"/>
  <c r="KV573" i="1"/>
  <c r="KG573" i="1"/>
  <c r="JW573" i="1"/>
  <c r="X573" i="1"/>
  <c r="LH572" i="1"/>
  <c r="KB572" i="1"/>
  <c r="JW572" i="1"/>
  <c r="X572" i="1"/>
  <c r="LH571" i="1"/>
  <c r="KA571" i="1"/>
  <c r="JK571" i="1"/>
  <c r="AC571" i="1"/>
  <c r="LM570" i="1"/>
  <c r="JK570" i="1"/>
  <c r="IP570" i="1"/>
  <c r="AC570" i="1"/>
  <c r="LM569" i="1"/>
  <c r="AV569" i="1"/>
  <c r="AV568" i="1"/>
  <c r="IV567" i="1"/>
  <c r="BB567" i="1"/>
  <c r="ML566" i="1"/>
  <c r="KV566" i="1"/>
  <c r="BB566" i="1"/>
  <c r="ML565" i="1"/>
  <c r="KV565" i="1"/>
  <c r="KG565" i="1"/>
  <c r="JW565" i="1"/>
  <c r="X565" i="1"/>
  <c r="LH564" i="1"/>
  <c r="KB564" i="1"/>
  <c r="JW564" i="1"/>
  <c r="X564" i="1"/>
  <c r="LH563" i="1"/>
  <c r="KA563" i="1"/>
  <c r="JK563" i="1"/>
  <c r="AC563" i="1"/>
  <c r="LM562" i="1"/>
  <c r="JK562" i="1"/>
  <c r="IP562" i="1"/>
  <c r="AC562" i="1"/>
  <c r="LM561" i="1"/>
  <c r="AV561" i="1"/>
  <c r="AV560" i="1"/>
  <c r="IV559" i="1"/>
  <c r="BB559" i="1"/>
  <c r="BB665" i="1" s="1"/>
  <c r="ML558" i="1"/>
  <c r="KV558" i="1"/>
  <c r="BB558" i="1"/>
  <c r="ML557" i="1"/>
  <c r="KV557" i="1"/>
  <c r="KG557" i="1"/>
  <c r="JW557" i="1"/>
  <c r="X557" i="1"/>
  <c r="LH556" i="1"/>
  <c r="KB556" i="1"/>
  <c r="JW556" i="1"/>
  <c r="X556" i="1"/>
  <c r="LH555" i="1"/>
  <c r="KA555" i="1"/>
  <c r="JK555" i="1"/>
  <c r="AC555" i="1"/>
  <c r="LM554" i="1"/>
  <c r="JK554" i="1"/>
  <c r="IP554" i="1"/>
  <c r="AC554" i="1"/>
  <c r="LM553" i="1"/>
  <c r="AV553" i="1"/>
  <c r="AV552" i="1"/>
  <c r="IV551" i="1"/>
  <c r="BB551" i="1"/>
  <c r="ML550" i="1"/>
  <c r="KV550" i="1"/>
  <c r="BB550" i="1"/>
  <c r="ML549" i="1"/>
  <c r="KV549" i="1"/>
  <c r="KG549" i="1"/>
  <c r="JW549" i="1"/>
  <c r="X549" i="1"/>
  <c r="LH548" i="1"/>
  <c r="KB548" i="1"/>
  <c r="JW548" i="1"/>
  <c r="X548" i="1"/>
  <c r="LH547" i="1"/>
  <c r="KA547" i="1"/>
  <c r="JK547" i="1"/>
  <c r="AC547" i="1"/>
  <c r="LM546" i="1"/>
  <c r="JK546" i="1"/>
  <c r="IP546" i="1"/>
  <c r="AC546" i="1"/>
  <c r="LM545" i="1"/>
  <c r="AV545" i="1"/>
  <c r="AV544" i="1"/>
  <c r="IV543" i="1"/>
  <c r="BB543" i="1"/>
  <c r="ML542" i="1"/>
  <c r="KV542" i="1"/>
  <c r="BB542" i="1"/>
  <c r="ML541" i="1"/>
  <c r="KV541" i="1"/>
  <c r="KG541" i="1"/>
  <c r="JW541" i="1"/>
  <c r="X541" i="1"/>
  <c r="LH540" i="1"/>
  <c r="KB540" i="1"/>
  <c r="JW540" i="1"/>
  <c r="X540" i="1"/>
  <c r="LH539" i="1"/>
  <c r="KA539" i="1"/>
  <c r="JK539" i="1"/>
  <c r="AC539" i="1"/>
  <c r="LM538" i="1"/>
  <c r="JK538" i="1"/>
  <c r="IP538" i="1"/>
  <c r="AC538" i="1"/>
  <c r="LM537" i="1"/>
  <c r="AV537" i="1"/>
  <c r="AV536" i="1"/>
  <c r="IV535" i="1"/>
  <c r="BB535" i="1"/>
  <c r="ML534" i="1"/>
  <c r="KV534" i="1"/>
  <c r="BB534" i="1"/>
  <c r="ML533" i="1"/>
  <c r="KV533" i="1"/>
  <c r="KG533" i="1"/>
  <c r="JW533" i="1"/>
  <c r="X533" i="1"/>
  <c r="LH532" i="1"/>
  <c r="KB532" i="1"/>
  <c r="JW532" i="1"/>
  <c r="X532" i="1"/>
  <c r="LH531" i="1"/>
  <c r="KA531" i="1"/>
  <c r="JK531" i="1"/>
  <c r="AC531" i="1"/>
  <c r="LM530" i="1"/>
  <c r="JK530" i="1"/>
  <c r="IP530" i="1"/>
  <c r="AC530" i="1"/>
  <c r="LM529" i="1"/>
  <c r="AV529" i="1"/>
  <c r="AV528" i="1"/>
  <c r="IV527" i="1"/>
  <c r="BB527" i="1"/>
  <c r="ML526" i="1"/>
  <c r="KV526" i="1"/>
  <c r="BB526" i="1"/>
  <c r="ML525" i="1"/>
  <c r="KV525" i="1"/>
  <c r="KG525" i="1"/>
  <c r="JW525" i="1"/>
  <c r="X525" i="1"/>
  <c r="LH524" i="1"/>
  <c r="KB524" i="1"/>
  <c r="JW524" i="1"/>
  <c r="X524" i="1"/>
  <c r="LH523" i="1"/>
  <c r="KA523" i="1"/>
  <c r="JK523" i="1"/>
  <c r="AC523" i="1"/>
  <c r="LM522" i="1"/>
  <c r="JK522" i="1"/>
  <c r="IP522" i="1"/>
  <c r="AC522" i="1"/>
  <c r="LM521" i="1"/>
  <c r="AV521" i="1"/>
  <c r="AV520" i="1"/>
  <c r="IV519" i="1"/>
  <c r="BB519" i="1"/>
  <c r="ML518" i="1"/>
  <c r="KV518" i="1"/>
  <c r="BB518" i="1"/>
  <c r="ML517" i="1"/>
  <c r="KV517" i="1"/>
  <c r="KG517" i="1"/>
  <c r="JW517" i="1"/>
  <c r="X517" i="1"/>
  <c r="LH516" i="1"/>
  <c r="KB516" i="1"/>
  <c r="JW516" i="1"/>
  <c r="X516" i="1"/>
  <c r="LH515" i="1"/>
  <c r="KA515" i="1"/>
  <c r="JK515" i="1"/>
  <c r="AC515" i="1"/>
  <c r="LM514" i="1"/>
  <c r="JK514" i="1"/>
  <c r="IP514" i="1"/>
  <c r="AC514" i="1"/>
  <c r="LR513" i="1"/>
  <c r="IQ513" i="1"/>
  <c r="AW513" i="1"/>
  <c r="AH657" i="1"/>
  <c r="LA654" i="1"/>
  <c r="BB652" i="1"/>
  <c r="JP642" i="1"/>
  <c r="AH639" i="1"/>
  <c r="JW636" i="1"/>
  <c r="LR632" i="1"/>
  <c r="BB631" i="1"/>
  <c r="KG629" i="1"/>
  <c r="ML627" i="1"/>
  <c r="IL626" i="1"/>
  <c r="KB620" i="1"/>
  <c r="ML611" i="1"/>
  <c r="KA611" i="1"/>
  <c r="LR610" i="1"/>
  <c r="LM608" i="1"/>
  <c r="KB608" i="1"/>
  <c r="JJ608" i="1"/>
  <c r="KA607" i="1"/>
  <c r="JJ607" i="1"/>
  <c r="AC606" i="1"/>
  <c r="IV605" i="1"/>
  <c r="LA604" i="1"/>
  <c r="BB604" i="1"/>
  <c r="AH603" i="1"/>
  <c r="BB602" i="1"/>
  <c r="IQ601" i="1"/>
  <c r="LR600" i="1"/>
  <c r="KG600" i="1"/>
  <c r="KU598" i="1"/>
  <c r="KA598" i="1"/>
  <c r="JP598" i="1"/>
  <c r="X598" i="1"/>
  <c r="IQ597" i="1"/>
  <c r="LR596" i="1"/>
  <c r="LL595" i="1"/>
  <c r="IV595" i="1"/>
  <c r="X595" i="1"/>
  <c r="JK594" i="1"/>
  <c r="AB594" i="1"/>
  <c r="LH592" i="1"/>
  <c r="IV592" i="1"/>
  <c r="LR591" i="1"/>
  <c r="KA591" i="1"/>
  <c r="JK591" i="1"/>
  <c r="AH591" i="1"/>
  <c r="JK590" i="1"/>
  <c r="LM589" i="1"/>
  <c r="KB589" i="1"/>
  <c r="JP588" i="1"/>
  <c r="AV588" i="1"/>
  <c r="BB587" i="1"/>
  <c r="KV586" i="1"/>
  <c r="LL585" i="1"/>
  <c r="KG585" i="1"/>
  <c r="X585" i="1"/>
  <c r="JW584" i="1"/>
  <c r="AH584" i="1"/>
  <c r="IQ583" i="1"/>
  <c r="LR582" i="1"/>
  <c r="IQ582" i="1"/>
  <c r="AC582" i="1"/>
  <c r="AW581" i="1"/>
  <c r="KU580" i="1"/>
  <c r="ML578" i="1"/>
  <c r="JJ578" i="1"/>
  <c r="AB578" i="1"/>
  <c r="LH576" i="1"/>
  <c r="IV576" i="1"/>
  <c r="LR575" i="1"/>
  <c r="KA575" i="1"/>
  <c r="JK575" i="1"/>
  <c r="AH575" i="1"/>
  <c r="JK574" i="1"/>
  <c r="LM573" i="1"/>
  <c r="KB573" i="1"/>
  <c r="JP572" i="1"/>
  <c r="AV572" i="1"/>
  <c r="BB571" i="1"/>
  <c r="KV570" i="1"/>
  <c r="LL569" i="1"/>
  <c r="KG569" i="1"/>
  <c r="X569" i="1"/>
  <c r="JW568" i="1"/>
  <c r="AH568" i="1"/>
  <c r="IQ567" i="1"/>
  <c r="LR566" i="1"/>
  <c r="IQ566" i="1"/>
  <c r="AC566" i="1"/>
  <c r="AW565" i="1"/>
  <c r="KU564" i="1"/>
  <c r="ML562" i="1"/>
  <c r="JJ562" i="1"/>
  <c r="AB562" i="1"/>
  <c r="LH560" i="1"/>
  <c r="IV560" i="1"/>
  <c r="LR559" i="1"/>
  <c r="KA559" i="1"/>
  <c r="JK559" i="1"/>
  <c r="AH559" i="1"/>
  <c r="JK558" i="1"/>
  <c r="LM557" i="1"/>
  <c r="KB557" i="1"/>
  <c r="JP556" i="1"/>
  <c r="AV556" i="1"/>
  <c r="BB555" i="1"/>
  <c r="KV554" i="1"/>
  <c r="LL553" i="1"/>
  <c r="KG553" i="1"/>
  <c r="X553" i="1"/>
  <c r="JW552" i="1"/>
  <c r="AH552" i="1"/>
  <c r="IQ551" i="1"/>
  <c r="LR550" i="1"/>
  <c r="IQ550" i="1"/>
  <c r="AC550" i="1"/>
  <c r="AW549" i="1"/>
  <c r="KU548" i="1"/>
  <c r="ML546" i="1"/>
  <c r="JJ546" i="1"/>
  <c r="AB546" i="1"/>
  <c r="LH544" i="1"/>
  <c r="IV544" i="1"/>
  <c r="LR543" i="1"/>
  <c r="KA543" i="1"/>
  <c r="JK543" i="1"/>
  <c r="AH543" i="1"/>
  <c r="JK542" i="1"/>
  <c r="LM541" i="1"/>
  <c r="KB541" i="1"/>
  <c r="JP540" i="1"/>
  <c r="AV540" i="1"/>
  <c r="BB539" i="1"/>
  <c r="KV538" i="1"/>
  <c r="LL537" i="1"/>
  <c r="KG537" i="1"/>
  <c r="X537" i="1"/>
  <c r="JW536" i="1"/>
  <c r="AH536" i="1"/>
  <c r="IQ535" i="1"/>
  <c r="LR534" i="1"/>
  <c r="IQ534" i="1"/>
  <c r="AC534" i="1"/>
  <c r="AW533" i="1"/>
  <c r="KU532" i="1"/>
  <c r="ML530" i="1"/>
  <c r="JJ530" i="1"/>
  <c r="AB530" i="1"/>
  <c r="AH528" i="1"/>
  <c r="LH527" i="1"/>
  <c r="KA527" i="1"/>
  <c r="JK527" i="1"/>
  <c r="IL527" i="1"/>
  <c r="LR526" i="1"/>
  <c r="JK526" i="1"/>
  <c r="IP526" i="1"/>
  <c r="AB526" i="1"/>
  <c r="KU525" i="1"/>
  <c r="IP525" i="1"/>
  <c r="AB525" i="1"/>
  <c r="KU524" i="1"/>
  <c r="IV524" i="1"/>
  <c r="AH524" i="1"/>
  <c r="LA523" i="1"/>
  <c r="IQ523" i="1"/>
  <c r="AH523" i="1"/>
  <c r="LA522" i="1"/>
  <c r="KG522" i="1"/>
  <c r="AW522" i="1"/>
  <c r="LL521" i="1"/>
  <c r="IP521" i="1"/>
  <c r="X521" i="1"/>
  <c r="KU520" i="1"/>
  <c r="KA520" i="1"/>
  <c r="JP520" i="1"/>
  <c r="IL520" i="1"/>
  <c r="LR519" i="1"/>
  <c r="JP519" i="1"/>
  <c r="M519" i="1"/>
  <c r="IQ518" i="1"/>
  <c r="AC518" i="1"/>
  <c r="LL517" i="1"/>
  <c r="KB517" i="1"/>
  <c r="AV517" i="1"/>
  <c r="LL516" i="1"/>
  <c r="KA516" i="1"/>
  <c r="AV516" i="1"/>
  <c r="LR515" i="1"/>
  <c r="IV515" i="1"/>
  <c r="BB515" i="1"/>
  <c r="LR514" i="1"/>
  <c r="JJ514" i="1"/>
  <c r="BB514" i="1"/>
  <c r="ML513" i="1"/>
  <c r="IP513" i="1"/>
  <c r="AB513" i="1"/>
  <c r="M685" i="1"/>
  <c r="KG656" i="1"/>
  <c r="J695" i="1" s="1"/>
  <c r="AH654" i="1"/>
  <c r="IL642" i="1"/>
  <c r="LA640" i="1"/>
  <c r="X639" i="1"/>
  <c r="IV636" i="1"/>
  <c r="LH632" i="1"/>
  <c r="AH631" i="1"/>
  <c r="JP629" i="1"/>
  <c r="LR627" i="1"/>
  <c r="BB626" i="1"/>
  <c r="JR617" i="1"/>
  <c r="IP612" i="1"/>
  <c r="KU611" i="1"/>
  <c r="JP610" i="1"/>
  <c r="M610" i="1"/>
  <c r="LL608" i="1"/>
  <c r="LL607" i="1"/>
  <c r="LL606" i="1"/>
  <c r="ML605" i="1"/>
  <c r="JJ604" i="1"/>
  <c r="AC604" i="1"/>
  <c r="JJ603" i="1"/>
  <c r="AB603" i="1"/>
  <c r="AC602" i="1"/>
  <c r="JP601" i="1"/>
  <c r="LA600" i="1"/>
  <c r="LM599" i="1"/>
  <c r="AB599" i="1"/>
  <c r="M598" i="1"/>
  <c r="LM596" i="1"/>
  <c r="AW596" i="1"/>
  <c r="IP595" i="1"/>
  <c r="LL594" i="1"/>
  <c r="KA594" i="1"/>
  <c r="ML593" i="1"/>
  <c r="JW593" i="1"/>
  <c r="AB593" i="1"/>
  <c r="LH591" i="1"/>
  <c r="AC591" i="1"/>
  <c r="AW590" i="1"/>
  <c r="KU589" i="1"/>
  <c r="KA588" i="1"/>
  <c r="M588" i="1"/>
  <c r="IV587" i="1"/>
  <c r="M587" i="1"/>
  <c r="BB586" i="1"/>
  <c r="KV585" i="1"/>
  <c r="IP585" i="1"/>
  <c r="LL584" i="1"/>
  <c r="KB584" i="1"/>
  <c r="X584" i="1"/>
  <c r="JP583" i="1"/>
  <c r="LM582" i="1"/>
  <c r="IP582" i="1"/>
  <c r="JJ581" i="1"/>
  <c r="AV581" i="1"/>
  <c r="IL580" i="1"/>
  <c r="LA579" i="1"/>
  <c r="IL579" i="1"/>
  <c r="LA578" i="1"/>
  <c r="KG578" i="1"/>
  <c r="ML577" i="1"/>
  <c r="JW577" i="1"/>
  <c r="AB577" i="1"/>
  <c r="LH575" i="1"/>
  <c r="AC575" i="1"/>
  <c r="AW574" i="1"/>
  <c r="KU573" i="1"/>
  <c r="KA572" i="1"/>
  <c r="M572" i="1"/>
  <c r="IV571" i="1"/>
  <c r="M571" i="1"/>
  <c r="BB570" i="1"/>
  <c r="KV569" i="1"/>
  <c r="IP569" i="1"/>
  <c r="LL568" i="1"/>
  <c r="KB568" i="1"/>
  <c r="X568" i="1"/>
  <c r="JP567" i="1"/>
  <c r="LM566" i="1"/>
  <c r="IP566" i="1"/>
  <c r="JJ565" i="1"/>
  <c r="AV565" i="1"/>
  <c r="IL564" i="1"/>
  <c r="LA563" i="1"/>
  <c r="IL563" i="1"/>
  <c r="LA562" i="1"/>
  <c r="KG562" i="1"/>
  <c r="ML561" i="1"/>
  <c r="JW561" i="1"/>
  <c r="AB561" i="1"/>
  <c r="LH559" i="1"/>
  <c r="AC559" i="1"/>
  <c r="AW558" i="1"/>
  <c r="KU557" i="1"/>
  <c r="KA556" i="1"/>
  <c r="M556" i="1"/>
  <c r="IV555" i="1"/>
  <c r="M555" i="1"/>
  <c r="BB554" i="1"/>
  <c r="KV553" i="1"/>
  <c r="IP553" i="1"/>
  <c r="LL552" i="1"/>
  <c r="KB552" i="1"/>
  <c r="X552" i="1"/>
  <c r="JP551" i="1"/>
  <c r="LM550" i="1"/>
  <c r="IP550" i="1"/>
  <c r="JJ549" i="1"/>
  <c r="AV549" i="1"/>
  <c r="IL548" i="1"/>
  <c r="LA547" i="1"/>
  <c r="IL547" i="1"/>
  <c r="LA546" i="1"/>
  <c r="KG546" i="1"/>
  <c r="ML545" i="1"/>
  <c r="JW545" i="1"/>
  <c r="AB545" i="1"/>
  <c r="LH543" i="1"/>
  <c r="AC543" i="1"/>
  <c r="AW542" i="1"/>
  <c r="KU541" i="1"/>
  <c r="KA540" i="1"/>
  <c r="M540" i="1"/>
  <c r="IV539" i="1"/>
  <c r="M539" i="1"/>
  <c r="BB538" i="1"/>
  <c r="KV537" i="1"/>
  <c r="IP537" i="1"/>
  <c r="LL536" i="1"/>
  <c r="KB536" i="1"/>
  <c r="X536" i="1"/>
  <c r="JP535" i="1"/>
  <c r="LM534" i="1"/>
  <c r="IP534" i="1"/>
  <c r="JJ533" i="1"/>
  <c r="AV533" i="1"/>
  <c r="IL532" i="1"/>
  <c r="LA531" i="1"/>
  <c r="IL531" i="1"/>
  <c r="LA530" i="1"/>
  <c r="KG530" i="1"/>
  <c r="ML529" i="1"/>
  <c r="JW529" i="1"/>
  <c r="AW529" i="1"/>
  <c r="LL528" i="1"/>
  <c r="IV528" i="1"/>
  <c r="X528" i="1"/>
  <c r="LA527" i="1"/>
  <c r="AH527" i="1"/>
  <c r="LM526" i="1"/>
  <c r="KG526" i="1"/>
  <c r="JJ526" i="1"/>
  <c r="M524" i="1"/>
  <c r="JP523" i="1"/>
  <c r="M523" i="1"/>
  <c r="KV522" i="1"/>
  <c r="IQ522" i="1"/>
  <c r="AB522" i="1"/>
  <c r="KV521" i="1"/>
  <c r="KG521" i="1"/>
  <c r="JW521" i="1"/>
  <c r="AH520" i="1"/>
  <c r="LH519" i="1"/>
  <c r="KA519" i="1"/>
  <c r="JK519" i="1"/>
  <c r="IL519" i="1"/>
  <c r="LR518" i="1"/>
  <c r="JK518" i="1"/>
  <c r="IP518" i="1"/>
  <c r="AB518" i="1"/>
  <c r="KU517" i="1"/>
  <c r="IP517" i="1"/>
  <c r="AB517" i="1"/>
  <c r="KU516" i="1"/>
  <c r="IV516" i="1"/>
  <c r="AH516" i="1"/>
  <c r="LA515" i="1"/>
  <c r="IQ515" i="1"/>
  <c r="AH515" i="1"/>
  <c r="LA514" i="1"/>
  <c r="KG514" i="1"/>
  <c r="AW514" i="1"/>
  <c r="LM513" i="1"/>
  <c r="JK513" i="1"/>
  <c r="JP653" i="1"/>
  <c r="BB643" i="1"/>
  <c r="KG641" i="1"/>
  <c r="M640" i="1"/>
  <c r="IL637" i="1"/>
  <c r="LA635" i="1"/>
  <c r="X632" i="1"/>
  <c r="IV630" i="1"/>
  <c r="LH628" i="1"/>
  <c r="AH627" i="1"/>
  <c r="KV612" i="1"/>
  <c r="KG612" i="1"/>
  <c r="JW612" i="1"/>
  <c r="AW611" i="1"/>
  <c r="ML609" i="1"/>
  <c r="AW609" i="1"/>
  <c r="LA605" i="1"/>
  <c r="AC605" i="1"/>
  <c r="KG603" i="1"/>
  <c r="LH602" i="1"/>
  <c r="KB602" i="1"/>
  <c r="IV602" i="1"/>
  <c r="LR601" i="1"/>
  <c r="KG601" i="1"/>
  <c r="BB601" i="1"/>
  <c r="BB600" i="1"/>
  <c r="X599" i="1"/>
  <c r="IQ598" i="1"/>
  <c r="KV597" i="1"/>
  <c r="BB597" i="1"/>
  <c r="AV596" i="1"/>
  <c r="JW595" i="1"/>
  <c r="KU594" i="1"/>
  <c r="LL593" i="1"/>
  <c r="KG593" i="1"/>
  <c r="X593" i="1"/>
  <c r="JW592" i="1"/>
  <c r="AH592" i="1"/>
  <c r="IQ591" i="1"/>
  <c r="LR590" i="1"/>
  <c r="IQ590" i="1"/>
  <c r="AC590" i="1"/>
  <c r="AW589" i="1"/>
  <c r="KU588" i="1"/>
  <c r="ML586" i="1"/>
  <c r="JJ586" i="1"/>
  <c r="AB586" i="1"/>
  <c r="LH584" i="1"/>
  <c r="IV584" i="1"/>
  <c r="LR583" i="1"/>
  <c r="KA583" i="1"/>
  <c r="JK583" i="1"/>
  <c r="AH583" i="1"/>
  <c r="JK582" i="1"/>
  <c r="LM581" i="1"/>
  <c r="KB581" i="1"/>
  <c r="JP580" i="1"/>
  <c r="AV580" i="1"/>
  <c r="BB579" i="1"/>
  <c r="KV578" i="1"/>
  <c r="LL577" i="1"/>
  <c r="KG577" i="1"/>
  <c r="X577" i="1"/>
  <c r="JW576" i="1"/>
  <c r="AH576" i="1"/>
  <c r="IQ575" i="1"/>
  <c r="LR574" i="1"/>
  <c r="IQ574" i="1"/>
  <c r="AC574" i="1"/>
  <c r="AW573" i="1"/>
  <c r="KU572" i="1"/>
  <c r="ML570" i="1"/>
  <c r="JJ570" i="1"/>
  <c r="AB570" i="1"/>
  <c r="LH568" i="1"/>
  <c r="IV568" i="1"/>
  <c r="LR567" i="1"/>
  <c r="KA567" i="1"/>
  <c r="JK567" i="1"/>
  <c r="AH567" i="1"/>
  <c r="JK566" i="1"/>
  <c r="LM565" i="1"/>
  <c r="KB565" i="1"/>
  <c r="JP564" i="1"/>
  <c r="AV564" i="1"/>
  <c r="BB563" i="1"/>
  <c r="KV562" i="1"/>
  <c r="LL561" i="1"/>
  <c r="KG561" i="1"/>
  <c r="X561" i="1"/>
  <c r="JW560" i="1"/>
  <c r="AH560" i="1"/>
  <c r="IQ559" i="1"/>
  <c r="LR558" i="1"/>
  <c r="IQ558" i="1"/>
  <c r="AC558" i="1"/>
  <c r="AW557" i="1"/>
  <c r="KU556" i="1"/>
  <c r="ML554" i="1"/>
  <c r="JJ554" i="1"/>
  <c r="AB554" i="1"/>
  <c r="LH552" i="1"/>
  <c r="IV552" i="1"/>
  <c r="LR551" i="1"/>
  <c r="KA551" i="1"/>
  <c r="JK551" i="1"/>
  <c r="AH551" i="1"/>
  <c r="JK550" i="1"/>
  <c r="LM549" i="1"/>
  <c r="KB549" i="1"/>
  <c r="JP548" i="1"/>
  <c r="AV548" i="1"/>
  <c r="BB547" i="1"/>
  <c r="KV546" i="1"/>
  <c r="LL545" i="1"/>
  <c r="KG545" i="1"/>
  <c r="X545" i="1"/>
  <c r="JW544" i="1"/>
  <c r="AH544" i="1"/>
  <c r="IQ543" i="1"/>
  <c r="LR542" i="1"/>
  <c r="IQ542" i="1"/>
  <c r="AC542" i="1"/>
  <c r="AW541" i="1"/>
  <c r="KU540" i="1"/>
  <c r="ML538" i="1"/>
  <c r="JJ538" i="1"/>
  <c r="AB538" i="1"/>
  <c r="LH536" i="1"/>
  <c r="IV536" i="1"/>
  <c r="LR535" i="1"/>
  <c r="KA535" i="1"/>
  <c r="JK535" i="1"/>
  <c r="AH535" i="1"/>
  <c r="JK534" i="1"/>
  <c r="LM533" i="1"/>
  <c r="KB533" i="1"/>
  <c r="JP532" i="1"/>
  <c r="AV532" i="1"/>
  <c r="BB531" i="1"/>
  <c r="KV530" i="1"/>
  <c r="LL529" i="1"/>
  <c r="KG529" i="1"/>
  <c r="AB529" i="1"/>
  <c r="LH528" i="1"/>
  <c r="KB528" i="1"/>
  <c r="JW528" i="1"/>
  <c r="M528" i="1"/>
  <c r="IQ527" i="1"/>
  <c r="AC527" i="1"/>
  <c r="LA526" i="1"/>
  <c r="AW526" i="1"/>
  <c r="LM525" i="1"/>
  <c r="JJ525" i="1"/>
  <c r="AW525" i="1"/>
  <c r="JP524" i="1"/>
  <c r="IL524" i="1"/>
  <c r="IL523" i="1"/>
  <c r="ML522" i="1"/>
  <c r="ML521" i="1"/>
  <c r="KU521" i="1"/>
  <c r="KB521" i="1"/>
  <c r="JJ521" i="1"/>
  <c r="AW521" i="1"/>
  <c r="LL520" i="1"/>
  <c r="IV520" i="1"/>
  <c r="X520" i="1"/>
  <c r="LA519" i="1"/>
  <c r="AH519" i="1"/>
  <c r="LM518" i="1"/>
  <c r="KG518" i="1"/>
  <c r="JJ518" i="1"/>
  <c r="M516" i="1"/>
  <c r="JP515" i="1"/>
  <c r="M515" i="1"/>
  <c r="KV514" i="1"/>
  <c r="IQ514" i="1"/>
  <c r="AB514" i="1"/>
  <c r="LA513" i="1"/>
  <c r="KG513" i="1"/>
  <c r="JJ513" i="1"/>
  <c r="BB513" i="1"/>
  <c r="IV655" i="1"/>
  <c r="IL630" i="1"/>
  <c r="KB612" i="1"/>
  <c r="IQ610" i="1"/>
  <c r="LA602" i="1"/>
  <c r="JW600" i="1"/>
  <c r="IQ596" i="1"/>
  <c r="IP593" i="1"/>
  <c r="IP590" i="1"/>
  <c r="AC583" i="1"/>
  <c r="KU581" i="1"/>
  <c r="JP575" i="1"/>
  <c r="JJ573" i="1"/>
  <c r="JW569" i="1"/>
  <c r="AW566" i="1"/>
  <c r="M564" i="1"/>
  <c r="M563" i="1"/>
  <c r="KV561" i="1"/>
  <c r="LL560" i="1"/>
  <c r="X560" i="1"/>
  <c r="LM558" i="1"/>
  <c r="AV557" i="1"/>
  <c r="LA555" i="1"/>
  <c r="LA554" i="1"/>
  <c r="ML553" i="1"/>
  <c r="AB553" i="1"/>
  <c r="KA548" i="1"/>
  <c r="BB546" i="1"/>
  <c r="KB544" i="1"/>
  <c r="IL540" i="1"/>
  <c r="IL539" i="1"/>
  <c r="KG538" i="1"/>
  <c r="LH535" i="1"/>
  <c r="IV531" i="1"/>
  <c r="IP529" i="1"/>
  <c r="IL528" i="1"/>
  <c r="LR523" i="1"/>
  <c r="BB523" i="1"/>
  <c r="JW520" i="1"/>
  <c r="LA518" i="1"/>
  <c r="LM517" i="1"/>
  <c r="AW517" i="1"/>
  <c r="BB637" i="1"/>
  <c r="LA628" i="1"/>
  <c r="KU612" i="1"/>
  <c r="AH609" i="1"/>
  <c r="AV608" i="1"/>
  <c r="AV607" i="1"/>
  <c r="LH603" i="1"/>
  <c r="IV601" i="1"/>
  <c r="IV599" i="1"/>
  <c r="JW598" i="1"/>
  <c r="KB595" i="1"/>
  <c r="BB594" i="1"/>
  <c r="KB592" i="1"/>
  <c r="IL588" i="1"/>
  <c r="IL587" i="1"/>
  <c r="KG586" i="1"/>
  <c r="LH583" i="1"/>
  <c r="IV579" i="1"/>
  <c r="IP577" i="1"/>
  <c r="IP574" i="1"/>
  <c r="AC567" i="1"/>
  <c r="KU565" i="1"/>
  <c r="JP559" i="1"/>
  <c r="JJ557" i="1"/>
  <c r="JW553" i="1"/>
  <c r="AW550" i="1"/>
  <c r="M548" i="1"/>
  <c r="M547" i="1"/>
  <c r="KV545" i="1"/>
  <c r="LL544" i="1"/>
  <c r="X544" i="1"/>
  <c r="LM542" i="1"/>
  <c r="AV541" i="1"/>
  <c r="LA539" i="1"/>
  <c r="LA538" i="1"/>
  <c r="ML537" i="1"/>
  <c r="AB537" i="1"/>
  <c r="KA532" i="1"/>
  <c r="BB530" i="1"/>
  <c r="JP528" i="1"/>
  <c r="LR527" i="1"/>
  <c r="M527" i="1"/>
  <c r="AC526" i="1"/>
  <c r="KB525" i="1"/>
  <c r="LR522" i="1"/>
  <c r="BB522" i="1"/>
  <c r="AB521" i="1"/>
  <c r="KB520" i="1"/>
  <c r="IQ519" i="1"/>
  <c r="JJ517" i="1"/>
  <c r="IL516" i="1"/>
  <c r="IL515" i="1"/>
  <c r="AC513" i="1"/>
  <c r="AH643" i="1"/>
  <c r="KG635" i="1"/>
  <c r="M627" i="1"/>
  <c r="X612" i="1"/>
  <c r="M611" i="1"/>
  <c r="JJ609" i="1"/>
  <c r="JK608" i="1"/>
  <c r="JP607" i="1"/>
  <c r="ML604" i="1"/>
  <c r="KB598" i="1"/>
  <c r="AW597" i="1"/>
  <c r="LM595" i="1"/>
  <c r="AV595" i="1"/>
  <c r="KV593" i="1"/>
  <c r="LL592" i="1"/>
  <c r="X592" i="1"/>
  <c r="LM590" i="1"/>
  <c r="AV589" i="1"/>
  <c r="LA587" i="1"/>
  <c r="LA586" i="1"/>
  <c r="ML585" i="1"/>
  <c r="AB585" i="1"/>
  <c r="KA580" i="1"/>
  <c r="BB578" i="1"/>
  <c r="KB576" i="1"/>
  <c r="IL572" i="1"/>
  <c r="IL571" i="1"/>
  <c r="KG570" i="1"/>
  <c r="LH567" i="1"/>
  <c r="IV563" i="1"/>
  <c r="IP561" i="1"/>
  <c r="IP558" i="1"/>
  <c r="AC551" i="1"/>
  <c r="KU549" i="1"/>
  <c r="JP543" i="1"/>
  <c r="JJ541" i="1"/>
  <c r="JW537" i="1"/>
  <c r="AW534" i="1"/>
  <c r="M532" i="1"/>
  <c r="M531" i="1"/>
  <c r="KV529" i="1"/>
  <c r="X529" i="1"/>
  <c r="KA528" i="1"/>
  <c r="JP527" i="1"/>
  <c r="LL525" i="1"/>
  <c r="AV525" i="1"/>
  <c r="KA524" i="1"/>
  <c r="IV523" i="1"/>
  <c r="JJ522" i="1"/>
  <c r="LH520" i="1"/>
  <c r="JP516" i="1"/>
  <c r="ML514" i="1"/>
  <c r="KV513" i="1"/>
  <c r="JW641" i="1"/>
  <c r="ML631" i="1"/>
  <c r="JK612" i="1"/>
  <c r="JP611" i="1"/>
  <c r="LA601" i="1"/>
  <c r="AC601" i="1"/>
  <c r="AW600" i="1"/>
  <c r="LA598" i="1"/>
  <c r="JP591" i="1"/>
  <c r="JJ589" i="1"/>
  <c r="JW585" i="1"/>
  <c r="AW582" i="1"/>
  <c r="M580" i="1"/>
  <c r="M579" i="1"/>
  <c r="KV577" i="1"/>
  <c r="LL576" i="1"/>
  <c r="X576" i="1"/>
  <c r="LM574" i="1"/>
  <c r="AV573" i="1"/>
  <c r="LA571" i="1"/>
  <c r="LA570" i="1"/>
  <c r="ML569" i="1"/>
  <c r="AB569" i="1"/>
  <c r="KA564" i="1"/>
  <c r="BB562" i="1"/>
  <c r="KB560" i="1"/>
  <c r="IL556" i="1"/>
  <c r="IL555" i="1"/>
  <c r="KG554" i="1"/>
  <c r="LH551" i="1"/>
  <c r="IV547" i="1"/>
  <c r="IP545" i="1"/>
  <c r="IP542" i="1"/>
  <c r="AC535" i="1"/>
  <c r="KU533" i="1"/>
  <c r="KU528" i="1"/>
  <c r="IQ526" i="1"/>
  <c r="LL524" i="1"/>
  <c r="AV524" i="1"/>
  <c r="M520" i="1"/>
  <c r="AC519" i="1"/>
  <c r="AW518" i="1"/>
  <c r="LO347" i="1"/>
  <c r="JM347" i="1"/>
  <c r="CJ188" i="1"/>
  <c r="EJ401" i="1"/>
  <c r="EJ770" i="1" s="1"/>
  <c r="FA401" i="1"/>
  <c r="FA770" i="1" s="1"/>
  <c r="HN159" i="1"/>
  <c r="GK159" i="1"/>
  <c r="GK230" i="1" s="1"/>
  <c r="FQ159" i="1"/>
  <c r="EJ159" i="1"/>
  <c r="EJ230" i="1" s="1"/>
  <c r="DO159" i="1"/>
  <c r="DO230" i="1" s="1"/>
  <c r="CU159" i="1"/>
  <c r="CU230" i="1" s="1"/>
  <c r="BN159" i="1"/>
  <c r="FO159" i="1"/>
  <c r="BT159" i="1"/>
  <c r="BT230" i="1" s="1"/>
  <c r="HF403" i="1"/>
  <c r="HO403" i="1"/>
  <c r="CW401" i="1"/>
  <c r="CW770" i="1" s="1"/>
  <c r="DF401" i="1"/>
  <c r="DF770" i="1" s="1"/>
  <c r="DV770" i="1"/>
  <c r="HN399" i="1"/>
  <c r="HN768" i="1" s="1"/>
  <c r="IE399" i="1"/>
  <c r="IE768" i="1" s="1"/>
  <c r="FW398" i="1"/>
  <c r="FW767" i="1" s="1"/>
  <c r="FS398" i="1"/>
  <c r="FS767" i="1" s="1"/>
  <c r="GJ398" i="1"/>
  <c r="GJ767" i="1" s="1"/>
  <c r="FQ767" i="1"/>
  <c r="GG767" i="1"/>
  <c r="FH398" i="1"/>
  <c r="FH767" i="1" s="1"/>
  <c r="EZ398" i="1"/>
  <c r="EZ767" i="1" s="1"/>
  <c r="FD398" i="1"/>
  <c r="FD767" i="1" s="1"/>
  <c r="EO398" i="1"/>
  <c r="EO767" i="1" s="1"/>
  <c r="EX767" i="1"/>
  <c r="JA347" i="1"/>
  <c r="HS159" i="1"/>
  <c r="ES159" i="1"/>
  <c r="ES230" i="1" s="1"/>
  <c r="GI195" i="1"/>
  <c r="GE195" i="1"/>
  <c r="GA195" i="1"/>
  <c r="GG195" i="1"/>
  <c r="GB195" i="1"/>
  <c r="GC195" i="1"/>
  <c r="GF195" i="1"/>
  <c r="GD195" i="1"/>
  <c r="GH195" i="1"/>
  <c r="EK194" i="1"/>
  <c r="EG194" i="1"/>
  <c r="EL194" i="1"/>
  <c r="EF194" i="1"/>
  <c r="EM194" i="1"/>
  <c r="EJ194" i="1"/>
  <c r="EN194" i="1"/>
  <c r="EI194" i="1"/>
  <c r="EH194" i="1"/>
  <c r="GS433" i="1"/>
  <c r="GO433" i="1"/>
  <c r="GK433" i="1"/>
  <c r="GG433" i="1"/>
  <c r="GC433" i="1"/>
  <c r="FY433" i="1"/>
  <c r="FU433" i="1"/>
  <c r="FQ433" i="1"/>
  <c r="GQ433" i="1"/>
  <c r="GL433" i="1"/>
  <c r="GF433" i="1"/>
  <c r="GA433" i="1"/>
  <c r="FV433" i="1"/>
  <c r="GQ417" i="1"/>
  <c r="GM417" i="1"/>
  <c r="GI417" i="1"/>
  <c r="GE417" i="1"/>
  <c r="GA417" i="1"/>
  <c r="FW417" i="1"/>
  <c r="FS417" i="1"/>
  <c r="GT433" i="1"/>
  <c r="GM433" i="1"/>
  <c r="GE433" i="1"/>
  <c r="FX433" i="1"/>
  <c r="FR433" i="1"/>
  <c r="GR417" i="1"/>
  <c r="GL417" i="1"/>
  <c r="GG417" i="1"/>
  <c r="GB417" i="1"/>
  <c r="FV417" i="1"/>
  <c r="FQ417" i="1"/>
  <c r="GS400" i="1"/>
  <c r="GO400" i="1"/>
  <c r="GK400" i="1"/>
  <c r="GG400" i="1"/>
  <c r="GC400" i="1"/>
  <c r="FY400" i="1"/>
  <c r="FU400" i="1"/>
  <c r="FQ400" i="1"/>
  <c r="GR433" i="1"/>
  <c r="GJ433" i="1"/>
  <c r="GD433" i="1"/>
  <c r="FW433" i="1"/>
  <c r="GP417" i="1"/>
  <c r="GK417" i="1"/>
  <c r="GF417" i="1"/>
  <c r="FZ417" i="1"/>
  <c r="FU417" i="1"/>
  <c r="GR400" i="1"/>
  <c r="GN400" i="1"/>
  <c r="GJ400" i="1"/>
  <c r="GF400" i="1"/>
  <c r="GB400" i="1"/>
  <c r="FX400" i="1"/>
  <c r="FT400" i="1"/>
  <c r="GH433" i="1"/>
  <c r="FS433" i="1"/>
  <c r="GP433" i="1"/>
  <c r="GB433" i="1"/>
  <c r="GN433" i="1"/>
  <c r="FZ433" i="1"/>
  <c r="GI433" i="1"/>
  <c r="FT433" i="1"/>
  <c r="GN417" i="1"/>
  <c r="GC417" i="1"/>
  <c r="FR417" i="1"/>
  <c r="GT400" i="1"/>
  <c r="GL400" i="1"/>
  <c r="GD400" i="1"/>
  <c r="FV400" i="1"/>
  <c r="GT417" i="1"/>
  <c r="GJ417" i="1"/>
  <c r="FY417" i="1"/>
  <c r="GQ400" i="1"/>
  <c r="GI400" i="1"/>
  <c r="GA400" i="1"/>
  <c r="FS400" i="1"/>
  <c r="GS417" i="1"/>
  <c r="GH417" i="1"/>
  <c r="FX417" i="1"/>
  <c r="GP400" i="1"/>
  <c r="GH400" i="1"/>
  <c r="FZ400" i="1"/>
  <c r="FR400" i="1"/>
  <c r="GO417" i="1"/>
  <c r="GD417" i="1"/>
  <c r="FT417" i="1"/>
  <c r="GM400" i="1"/>
  <c r="GE400" i="1"/>
  <c r="FW400" i="1"/>
  <c r="ET191" i="1"/>
  <c r="EN190" i="1"/>
  <c r="EJ190" i="1"/>
  <c r="EF190" i="1"/>
  <c r="EK190" i="1"/>
  <c r="EM190" i="1"/>
  <c r="EI190" i="1"/>
  <c r="EG190" i="1"/>
  <c r="EL190" i="1"/>
  <c r="EH190" i="1"/>
  <c r="HT189" i="1"/>
  <c r="HP189" i="1"/>
  <c r="HL189" i="1"/>
  <c r="HQ189" i="1"/>
  <c r="HS189" i="1"/>
  <c r="HO189" i="1"/>
  <c r="HM189" i="1"/>
  <c r="HR189" i="1"/>
  <c r="HN189" i="1"/>
  <c r="EU189" i="1"/>
  <c r="LS347" i="1"/>
  <c r="KB347" i="1"/>
  <c r="IE429" i="1"/>
  <c r="IA429" i="1"/>
  <c r="HW429" i="1"/>
  <c r="HS429" i="1"/>
  <c r="HO429" i="1"/>
  <c r="HK429" i="1"/>
  <c r="HG429" i="1"/>
  <c r="HC429" i="1"/>
  <c r="IC429" i="1"/>
  <c r="HX429" i="1"/>
  <c r="HR429" i="1"/>
  <c r="HM429" i="1"/>
  <c r="HH429" i="1"/>
  <c r="HB429" i="1"/>
  <c r="IE413" i="1"/>
  <c r="IA413" i="1"/>
  <c r="HW413" i="1"/>
  <c r="HW421" i="1" s="1"/>
  <c r="HW775" i="1" s="1"/>
  <c r="HS413" i="1"/>
  <c r="HO413" i="1"/>
  <c r="HK413" i="1"/>
  <c r="HG413" i="1"/>
  <c r="HC413" i="1"/>
  <c r="IB396" i="1"/>
  <c r="HX396" i="1"/>
  <c r="HT396" i="1"/>
  <c r="HP396" i="1"/>
  <c r="HL396" i="1"/>
  <c r="HH396" i="1"/>
  <c r="HD396" i="1"/>
  <c r="IB429" i="1"/>
  <c r="HV429" i="1"/>
  <c r="HQ429" i="1"/>
  <c r="HL429" i="1"/>
  <c r="HF429" i="1"/>
  <c r="ID413" i="1"/>
  <c r="HZ413" i="1"/>
  <c r="HZ421" i="1" s="1"/>
  <c r="HZ775" i="1" s="1"/>
  <c r="HV413" i="1"/>
  <c r="HR413" i="1"/>
  <c r="HN413" i="1"/>
  <c r="HN421" i="1" s="1"/>
  <c r="HN775" i="1" s="1"/>
  <c r="HJ413" i="1"/>
  <c r="HF413" i="1"/>
  <c r="HB413" i="1"/>
  <c r="IE396" i="1"/>
  <c r="IA396" i="1"/>
  <c r="HW396" i="1"/>
  <c r="HS396" i="1"/>
  <c r="HO396" i="1"/>
  <c r="HK396" i="1"/>
  <c r="HG396" i="1"/>
  <c r="HC396" i="1"/>
  <c r="HY429" i="1"/>
  <c r="HN429" i="1"/>
  <c r="HD429" i="1"/>
  <c r="HU429" i="1"/>
  <c r="HJ429" i="1"/>
  <c r="ID429" i="1"/>
  <c r="HT429" i="1"/>
  <c r="HI429" i="1"/>
  <c r="HZ429" i="1"/>
  <c r="HX413" i="1"/>
  <c r="HP413" i="1"/>
  <c r="HH413" i="1"/>
  <c r="HP429" i="1"/>
  <c r="IC413" i="1"/>
  <c r="HU413" i="1"/>
  <c r="HM413" i="1"/>
  <c r="HM421" i="1" s="1"/>
  <c r="HM775" i="1" s="1"/>
  <c r="HE413" i="1"/>
  <c r="HE429" i="1"/>
  <c r="IB413" i="1"/>
  <c r="HT413" i="1"/>
  <c r="HL413" i="1"/>
  <c r="HL421" i="1" s="1"/>
  <c r="HL775" i="1" s="1"/>
  <c r="HD413" i="1"/>
  <c r="HY413" i="1"/>
  <c r="HQ413" i="1"/>
  <c r="HI413" i="1"/>
  <c r="HZ396" i="1"/>
  <c r="HR396" i="1"/>
  <c r="HJ396" i="1"/>
  <c r="HB396" i="1"/>
  <c r="HY396" i="1"/>
  <c r="HQ396" i="1"/>
  <c r="HI396" i="1"/>
  <c r="ID396" i="1"/>
  <c r="HV396" i="1"/>
  <c r="HN396" i="1"/>
  <c r="HF396" i="1"/>
  <c r="IE196" i="1"/>
  <c r="IC396" i="1"/>
  <c r="HU396" i="1"/>
  <c r="HM396" i="1"/>
  <c r="HE396" i="1"/>
  <c r="CE188" i="1"/>
  <c r="EZ402" i="1"/>
  <c r="EZ771" i="1" s="1"/>
  <c r="ES402" i="1"/>
  <c r="ES771" i="1" s="1"/>
  <c r="FI402" i="1"/>
  <c r="FI771" i="1" s="1"/>
  <c r="FB771" i="1"/>
  <c r="ES194" i="1"/>
  <c r="HE192" i="1"/>
  <c r="HM159" i="1"/>
  <c r="HM230" i="1" s="1"/>
  <c r="GR159" i="1"/>
  <c r="GR230" i="1" s="1"/>
  <c r="FX159" i="1"/>
  <c r="FC159" i="1"/>
  <c r="FC230" i="1" s="1"/>
  <c r="EI159" i="1"/>
  <c r="DJ159" i="1"/>
  <c r="DJ230" i="1" s="1"/>
  <c r="CP159" i="1"/>
  <c r="BU159" i="1"/>
  <c r="BU230" i="1" s="1"/>
  <c r="GI159" i="1"/>
  <c r="GI230" i="1" s="1"/>
  <c r="EH159" i="1"/>
  <c r="EH230" i="1" s="1"/>
  <c r="CF159" i="1"/>
  <c r="CF230" i="1" s="1"/>
  <c r="FW402" i="1"/>
  <c r="FW771" i="1" s="1"/>
  <c r="GQ771" i="1"/>
  <c r="FT402" i="1"/>
  <c r="FT771" i="1" s="1"/>
  <c r="DK192" i="1"/>
  <c r="DG192" i="1"/>
  <c r="DM192" i="1"/>
  <c r="DH192" i="1"/>
  <c r="DI192" i="1"/>
  <c r="DL192" i="1"/>
  <c r="DF192" i="1"/>
  <c r="DJ192" i="1"/>
  <c r="DE192" i="1"/>
  <c r="CJ190" i="1"/>
  <c r="CF190" i="1"/>
  <c r="CG190" i="1"/>
  <c r="CI190" i="1"/>
  <c r="CE190" i="1"/>
  <c r="CL190" i="1"/>
  <c r="CH190" i="1"/>
  <c r="CD190" i="1"/>
  <c r="CK190" i="1"/>
  <c r="FH397" i="1"/>
  <c r="FH766" i="1" s="1"/>
  <c r="EP437" i="1"/>
  <c r="EP776" i="1" s="1"/>
  <c r="FD437" i="1"/>
  <c r="FD776" i="1" s="1"/>
  <c r="ES397" i="1"/>
  <c r="ES766" i="1" s="1"/>
  <c r="EV437" i="1"/>
  <c r="EV776" i="1" s="1"/>
  <c r="EL766" i="1"/>
  <c r="ER437" i="1"/>
  <c r="ER776" i="1" s="1"/>
  <c r="EG437" i="1"/>
  <c r="EG776" i="1" s="1"/>
  <c r="EW437" i="1"/>
  <c r="EW776" i="1" s="1"/>
  <c r="IE230" i="1"/>
  <c r="E180" i="1"/>
  <c r="FI230" i="1"/>
  <c r="E178" i="1"/>
  <c r="DL159" i="1"/>
  <c r="DL230" i="1" s="1"/>
  <c r="GQ195" i="1"/>
  <c r="GM195" i="1"/>
  <c r="GR195" i="1"/>
  <c r="GL195" i="1"/>
  <c r="GP195" i="1"/>
  <c r="GK195" i="1"/>
  <c r="GN195" i="1"/>
  <c r="GO195" i="1"/>
  <c r="GS195" i="1"/>
  <c r="DW193" i="1"/>
  <c r="DS193" i="1"/>
  <c r="DO193" i="1"/>
  <c r="DV193" i="1"/>
  <c r="DQ193" i="1"/>
  <c r="DU193" i="1"/>
  <c r="DP193" i="1"/>
  <c r="DT193" i="1"/>
  <c r="DR193" i="1"/>
  <c r="BL193" i="1"/>
  <c r="DC192" i="1"/>
  <c r="CY192" i="1"/>
  <c r="CU192" i="1"/>
  <c r="DB192" i="1"/>
  <c r="CW192" i="1"/>
  <c r="DA192" i="1"/>
  <c r="CV192" i="1"/>
  <c r="CZ192" i="1"/>
  <c r="CX192" i="1"/>
  <c r="GQ191" i="1"/>
  <c r="GM191" i="1"/>
  <c r="GR191" i="1"/>
  <c r="GL191" i="1"/>
  <c r="GS191" i="1"/>
  <c r="GP191" i="1"/>
  <c r="GK191" i="1"/>
  <c r="GN191" i="1"/>
  <c r="GO191" i="1"/>
  <c r="FW190" i="1"/>
  <c r="FS190" i="1"/>
  <c r="FX190" i="1"/>
  <c r="FR190" i="1"/>
  <c r="FV190" i="1"/>
  <c r="FQ190" i="1"/>
  <c r="FY190" i="1"/>
  <c r="FU190" i="1"/>
  <c r="FT190" i="1"/>
  <c r="DJ190" i="1"/>
  <c r="DF190" i="1"/>
  <c r="DK190" i="1"/>
  <c r="DM190" i="1"/>
  <c r="DI190" i="1"/>
  <c r="DE190" i="1"/>
  <c r="DL190" i="1"/>
  <c r="DH190" i="1"/>
  <c r="DG190" i="1"/>
  <c r="HJ189" i="1"/>
  <c r="FV189" i="1"/>
  <c r="FR189" i="1"/>
  <c r="FS189" i="1"/>
  <c r="FY189" i="1"/>
  <c r="FU189" i="1"/>
  <c r="FQ189" i="1"/>
  <c r="FX189" i="1"/>
  <c r="FT189" i="1"/>
  <c r="FW189" i="1"/>
  <c r="DJ189" i="1"/>
  <c r="DF189" i="1"/>
  <c r="DK189" i="1"/>
  <c r="DM189" i="1"/>
  <c r="DI189" i="1"/>
  <c r="DE189" i="1"/>
  <c r="DL189" i="1"/>
  <c r="DH189" i="1"/>
  <c r="DG189" i="1"/>
  <c r="BR189" i="1"/>
  <c r="ME347" i="1"/>
  <c r="KA347" i="1"/>
  <c r="HV188" i="1"/>
  <c r="GP188" i="1"/>
  <c r="GL188" i="1"/>
  <c r="GM188" i="1"/>
  <c r="GS188" i="1"/>
  <c r="GO188" i="1"/>
  <c r="GK188" i="1"/>
  <c r="GJ196" i="1"/>
  <c r="GJ232" i="1" s="1"/>
  <c r="GR188" i="1"/>
  <c r="GN188" i="1"/>
  <c r="GQ188" i="1"/>
  <c r="CL188" i="1"/>
  <c r="BJ188" i="1"/>
  <c r="ER403" i="1"/>
  <c r="ER772" i="1" s="1"/>
  <c r="FI403" i="1"/>
  <c r="FI772" i="1" s="1"/>
  <c r="FB772" i="1"/>
  <c r="EW195" i="1"/>
  <c r="BM193" i="1"/>
  <c r="EV399" i="1"/>
  <c r="EV768" i="1" s="1"/>
  <c r="FE399" i="1"/>
  <c r="FE768" i="1" s="1"/>
  <c r="EP768" i="1"/>
  <c r="FF768" i="1"/>
  <c r="HL159" i="1"/>
  <c r="HL230" i="1" s="1"/>
  <c r="FS159" i="1"/>
  <c r="FS230" i="1" s="1"/>
  <c r="DQ159" i="1"/>
  <c r="DQ230" i="1" s="1"/>
  <c r="DD230" i="1"/>
  <c r="HE188" i="1"/>
  <c r="BM188" i="1"/>
  <c r="ER400" i="1"/>
  <c r="ER769" i="1" s="1"/>
  <c r="EF400" i="1"/>
  <c r="EF769" i="1" s="1"/>
  <c r="FI400" i="1"/>
  <c r="FI769" i="1" s="1"/>
  <c r="EX769" i="1"/>
  <c r="CZ159" i="1"/>
  <c r="CZ230" i="1" s="1"/>
  <c r="IA397" i="1"/>
  <c r="IA766" i="1" s="1"/>
  <c r="HQ437" i="1"/>
  <c r="HQ776" i="1" s="1"/>
  <c r="GI189" i="1"/>
  <c r="GC189" i="1"/>
  <c r="GH189" i="1"/>
  <c r="HN400" i="1"/>
  <c r="HN769" i="1" s="1"/>
  <c r="IB400" i="1"/>
  <c r="IB769" i="1" s="1"/>
  <c r="CI398" i="1"/>
  <c r="CI767" i="1" s="1"/>
  <c r="FW397" i="1"/>
  <c r="FW766" i="1" s="1"/>
  <c r="GN397" i="1"/>
  <c r="GN766" i="1" s="1"/>
  <c r="BV397" i="1"/>
  <c r="BV766" i="1" s="1"/>
  <c r="BY437" i="1"/>
  <c r="BY776" i="1" s="1"/>
  <c r="CK437" i="1"/>
  <c r="CK776" i="1" s="1"/>
  <c r="BO397" i="1"/>
  <c r="BO766" i="1" s="1"/>
  <c r="CE397" i="1"/>
  <c r="CE766" i="1" s="1"/>
  <c r="BQ437" i="1"/>
  <c r="BQ776" i="1" s="1"/>
  <c r="CL437" i="1"/>
  <c r="CL776" i="1" s="1"/>
  <c r="BM437" i="1"/>
  <c r="BM776" i="1" s="1"/>
  <c r="CH437" i="1"/>
  <c r="CH776" i="1" s="1"/>
  <c r="BW437" i="1"/>
  <c r="BW776" i="1" s="1"/>
  <c r="CM437" i="1"/>
  <c r="CM776" i="1" s="1"/>
  <c r="CV188" i="1"/>
  <c r="DA188" i="1"/>
  <c r="CT196" i="1"/>
  <c r="ID402" i="1"/>
  <c r="ID771" i="1" s="1"/>
  <c r="HO402" i="1"/>
  <c r="HO771" i="1" s="1"/>
  <c r="DB194" i="1"/>
  <c r="CU194" i="1"/>
  <c r="GE401" i="1"/>
  <c r="GE770" i="1" s="1"/>
  <c r="FS401" i="1"/>
  <c r="FS770" i="1" s="1"/>
  <c r="GB401" i="1"/>
  <c r="GB770" i="1" s="1"/>
  <c r="GD192" i="1"/>
  <c r="DM400" i="1"/>
  <c r="DM769" i="1" s="1"/>
  <c r="DI400" i="1"/>
  <c r="DI769" i="1" s="1"/>
  <c r="CY769" i="1"/>
  <c r="BN399" i="1"/>
  <c r="BN768" i="1" s="1"/>
  <c r="BW399" i="1"/>
  <c r="BW768" i="1" s="1"/>
  <c r="CM399" i="1"/>
  <c r="CM768" i="1" s="1"/>
  <c r="CU190" i="1"/>
  <c r="CX190" i="1"/>
  <c r="DP766" i="1"/>
  <c r="DQ397" i="1"/>
  <c r="DQ766" i="1" s="1"/>
  <c r="DA437" i="1"/>
  <c r="DA776" i="1" s="1"/>
  <c r="DM437" i="1"/>
  <c r="DM776" i="1" s="1"/>
  <c r="DQ437" i="1"/>
  <c r="DQ776" i="1" s="1"/>
  <c r="DJ397" i="1"/>
  <c r="DJ766" i="1" s="1"/>
  <c r="DD437" i="1"/>
  <c r="DD776" i="1" s="1"/>
  <c r="CU766" i="1"/>
  <c r="CZ437" i="1"/>
  <c r="CZ776" i="1" s="1"/>
  <c r="DU437" i="1"/>
  <c r="DU776" i="1" s="1"/>
  <c r="DJ437" i="1"/>
  <c r="DJ776" i="1" s="1"/>
  <c r="DC189" i="1"/>
  <c r="CW189" i="1"/>
  <c r="DB189" i="1"/>
  <c r="DS188" i="1"/>
  <c r="DU188" i="1"/>
  <c r="DR188" i="1"/>
  <c r="CL403" i="1"/>
  <c r="CL772" i="1" s="1"/>
  <c r="BO403" i="1"/>
  <c r="BO772" i="1" s="1"/>
  <c r="HF401" i="1"/>
  <c r="HF770" i="1" s="1"/>
  <c r="IB401" i="1"/>
  <c r="IB770" i="1" s="1"/>
  <c r="CL401" i="1"/>
  <c r="CL770" i="1" s="1"/>
  <c r="BO401" i="1"/>
  <c r="BO770" i="1" s="1"/>
  <c r="BN400" i="1"/>
  <c r="BN769" i="1" s="1"/>
  <c r="CV768" i="1"/>
  <c r="DD768" i="1"/>
  <c r="DX768" i="1"/>
  <c r="DA399" i="1"/>
  <c r="DA768" i="1" s="1"/>
  <c r="CX399" i="1"/>
  <c r="CX768" i="1" s="1"/>
  <c r="HN398" i="1"/>
  <c r="HN767" i="1" s="1"/>
  <c r="IE398" i="1"/>
  <c r="IE767" i="1" s="1"/>
  <c r="IB398" i="1"/>
  <c r="IB767" i="1" s="1"/>
  <c r="DM398" i="1"/>
  <c r="DM767" i="1" s="1"/>
  <c r="DI398" i="1"/>
  <c r="DI767" i="1" s="1"/>
  <c r="DV767" i="1"/>
  <c r="DW767" i="1"/>
  <c r="GI188" i="1"/>
  <c r="GC188" i="1"/>
  <c r="GH188" i="1"/>
  <c r="DJ403" i="1"/>
  <c r="DJ772" i="1" s="1"/>
  <c r="DC772" i="1"/>
  <c r="BN402" i="1"/>
  <c r="BN771" i="1" s="1"/>
  <c r="BW402" i="1"/>
  <c r="BW771" i="1" s="1"/>
  <c r="IA188" i="1"/>
  <c r="DX771" i="1"/>
  <c r="DA402" i="1"/>
  <c r="DA771" i="1" s="1"/>
  <c r="DJ402" i="1"/>
  <c r="DJ771" i="1" s="1"/>
  <c r="DC771" i="1"/>
  <c r="GQ765" i="1"/>
  <c r="GT765" i="1"/>
  <c r="FT396" i="1"/>
  <c r="O932" i="1"/>
  <c r="O933" i="1" s="1"/>
  <c r="O893" i="1"/>
  <c r="O894" i="1" s="1"/>
  <c r="O889" i="1"/>
  <c r="JP437" i="1"/>
  <c r="LN437" i="1"/>
  <c r="IO421" i="1"/>
  <c r="MB437" i="1"/>
  <c r="JB397" i="1"/>
  <c r="AW886" i="1"/>
  <c r="AW783" i="1"/>
  <c r="KC401" i="1"/>
  <c r="AM885" i="1"/>
  <c r="AM774" i="1"/>
  <c r="AM777" i="1" s="1"/>
  <c r="AA885" i="1"/>
  <c r="AA774" i="1"/>
  <c r="AA777" i="1" s="1"/>
  <c r="LP403" i="1"/>
  <c r="LL399" i="1"/>
  <c r="KY347" i="1"/>
  <c r="FD401" i="1"/>
  <c r="FD770" i="1" s="1"/>
  <c r="IA403" i="1"/>
  <c r="HD403" i="1"/>
  <c r="DI401" i="1"/>
  <c r="DI770" i="1" s="1"/>
  <c r="DR770" i="1"/>
  <c r="IA399" i="1"/>
  <c r="IA768" i="1" s="1"/>
  <c r="DR159" i="1"/>
  <c r="ET437" i="1"/>
  <c r="ET776" i="1" s="1"/>
  <c r="GS436" i="1"/>
  <c r="GO436" i="1"/>
  <c r="GK436" i="1"/>
  <c r="GG436" i="1"/>
  <c r="GC436" i="1"/>
  <c r="FY436" i="1"/>
  <c r="FU436" i="1"/>
  <c r="FQ436" i="1"/>
  <c r="GQ436" i="1"/>
  <c r="GL436" i="1"/>
  <c r="GF436" i="1"/>
  <c r="GA436" i="1"/>
  <c r="FV436" i="1"/>
  <c r="GQ420" i="1"/>
  <c r="GM420" i="1"/>
  <c r="GI420" i="1"/>
  <c r="GE420" i="1"/>
  <c r="GA420" i="1"/>
  <c r="FW420" i="1"/>
  <c r="FS420" i="1"/>
  <c r="GR436" i="1"/>
  <c r="GJ436" i="1"/>
  <c r="GD436" i="1"/>
  <c r="FW436" i="1"/>
  <c r="GR420" i="1"/>
  <c r="GL420" i="1"/>
  <c r="GG420" i="1"/>
  <c r="GB420" i="1"/>
  <c r="FV420" i="1"/>
  <c r="FQ420" i="1"/>
  <c r="GS403" i="1"/>
  <c r="GO403" i="1"/>
  <c r="GK403" i="1"/>
  <c r="GG403" i="1"/>
  <c r="GC403" i="1"/>
  <c r="FY403" i="1"/>
  <c r="FU403" i="1"/>
  <c r="FQ403" i="1"/>
  <c r="GP436" i="1"/>
  <c r="GI436" i="1"/>
  <c r="GB436" i="1"/>
  <c r="FT436" i="1"/>
  <c r="GP420" i="1"/>
  <c r="GK420" i="1"/>
  <c r="GF420" i="1"/>
  <c r="FZ420" i="1"/>
  <c r="FU420" i="1"/>
  <c r="GR403" i="1"/>
  <c r="GN403" i="1"/>
  <c r="GJ403" i="1"/>
  <c r="GF403" i="1"/>
  <c r="GB403" i="1"/>
  <c r="FX403" i="1"/>
  <c r="FT403" i="1"/>
  <c r="GM436" i="1"/>
  <c r="FX436" i="1"/>
  <c r="GH436" i="1"/>
  <c r="FS436" i="1"/>
  <c r="GT436" i="1"/>
  <c r="GE436" i="1"/>
  <c r="FR436" i="1"/>
  <c r="GN436" i="1"/>
  <c r="FZ436" i="1"/>
  <c r="GS420" i="1"/>
  <c r="GH420" i="1"/>
  <c r="FX420" i="1"/>
  <c r="GT403" i="1"/>
  <c r="GL403" i="1"/>
  <c r="GD403" i="1"/>
  <c r="FV403" i="1"/>
  <c r="GO420" i="1"/>
  <c r="GD420" i="1"/>
  <c r="FT420" i="1"/>
  <c r="GQ403" i="1"/>
  <c r="GI403" i="1"/>
  <c r="GA403" i="1"/>
  <c r="FS403" i="1"/>
  <c r="GN420" i="1"/>
  <c r="GC420" i="1"/>
  <c r="FR420" i="1"/>
  <c r="GP403" i="1"/>
  <c r="GH403" i="1"/>
  <c r="FZ403" i="1"/>
  <c r="FR403" i="1"/>
  <c r="GT420" i="1"/>
  <c r="GJ420" i="1"/>
  <c r="FY420" i="1"/>
  <c r="GM403" i="1"/>
  <c r="GE403" i="1"/>
  <c r="FW403" i="1"/>
  <c r="EK193" i="1"/>
  <c r="EG193" i="1"/>
  <c r="EM193" i="1"/>
  <c r="EH193" i="1"/>
  <c r="EN193" i="1"/>
  <c r="EL193" i="1"/>
  <c r="EF193" i="1"/>
  <c r="EJ193" i="1"/>
  <c r="EI193" i="1"/>
  <c r="MI347" i="1"/>
  <c r="IS347" i="1"/>
  <c r="EF403" i="1"/>
  <c r="EF772" i="1" s="1"/>
  <c r="EW191" i="1"/>
  <c r="HT159" i="1"/>
  <c r="ED159" i="1"/>
  <c r="GQ190" i="1"/>
  <c r="GM190" i="1"/>
  <c r="GS190" i="1"/>
  <c r="GN190" i="1"/>
  <c r="GR190" i="1"/>
  <c r="GL190" i="1"/>
  <c r="GP190" i="1"/>
  <c r="GK190" i="1"/>
  <c r="GO190" i="1"/>
  <c r="EJ400" i="1"/>
  <c r="EJ769" i="1" s="1"/>
  <c r="HD397" i="1"/>
  <c r="HD766" i="1" s="1"/>
  <c r="GE189" i="1"/>
  <c r="FQ766" i="1"/>
  <c r="DA400" i="1"/>
  <c r="DA769" i="1" s="1"/>
  <c r="DF437" i="1"/>
  <c r="DF776" i="1" s="1"/>
  <c r="V782" i="1"/>
  <c r="MK437" i="1"/>
  <c r="JE437" i="1"/>
  <c r="MB421" i="1"/>
  <c r="LL421" i="1"/>
  <c r="JB421" i="1"/>
  <c r="JO437" i="1"/>
  <c r="AL886" i="1"/>
  <c r="AL783" i="1"/>
  <c r="JY398" i="1"/>
  <c r="GE230" i="1"/>
  <c r="AS886" i="1"/>
  <c r="AS783" i="1"/>
  <c r="AK886" i="1"/>
  <c r="AK783" i="1"/>
  <c r="AC886" i="1"/>
  <c r="AC783" i="1"/>
  <c r="J783" i="1"/>
  <c r="LT401" i="1"/>
  <c r="LT399" i="1"/>
  <c r="LT397" i="1"/>
  <c r="FE230" i="1"/>
  <c r="EK230" i="1"/>
  <c r="DK230" i="1"/>
  <c r="KF403" i="1"/>
  <c r="KV403" i="1"/>
  <c r="KN402" i="1"/>
  <c r="JJ402" i="1"/>
  <c r="KJ401" i="1"/>
  <c r="KZ401" i="1"/>
  <c r="KS401" i="1"/>
  <c r="IT401" i="1"/>
  <c r="LA399" i="1"/>
  <c r="KC399" i="1"/>
  <c r="KU437" i="1"/>
  <c r="KE437" i="1"/>
  <c r="KI437" i="1"/>
  <c r="KL437" i="1"/>
  <c r="KB397" i="1"/>
  <c r="KR397" i="1"/>
  <c r="KH437" i="1"/>
  <c r="JY437" i="1"/>
  <c r="KO437" i="1"/>
  <c r="KS397" i="1"/>
  <c r="JJ397" i="1"/>
  <c r="KQ421" i="1"/>
  <c r="KM421" i="1"/>
  <c r="KP421" i="1"/>
  <c r="KQ347" i="1"/>
  <c r="KQ396" i="1"/>
  <c r="JX421" i="1"/>
  <c r="KN421" i="1"/>
  <c r="KJ396" i="1"/>
  <c r="KZ396" i="1"/>
  <c r="KK421" i="1"/>
  <c r="LA421" i="1"/>
  <c r="KC396" i="1"/>
  <c r="IT396" i="1"/>
  <c r="AY885" i="1"/>
  <c r="AY774" i="1"/>
  <c r="AY777" i="1" s="1"/>
  <c r="AU885" i="1"/>
  <c r="AU774" i="1"/>
  <c r="AU777" i="1" s="1"/>
  <c r="AI885" i="1"/>
  <c r="AI774" i="1"/>
  <c r="AI777" i="1" s="1"/>
  <c r="AE885" i="1"/>
  <c r="AE774" i="1"/>
  <c r="AE777" i="1" s="1"/>
  <c r="LL402" i="1"/>
  <c r="IX402" i="1"/>
  <c r="LL400" i="1"/>
  <c r="IX400" i="1"/>
  <c r="LL398" i="1"/>
  <c r="MB397" i="1"/>
  <c r="JN397" i="1"/>
  <c r="LL396" i="1"/>
  <c r="FG230" i="1"/>
  <c r="EU191" i="1"/>
  <c r="ER189" i="1"/>
  <c r="KU347" i="1"/>
  <c r="CF188" i="1"/>
  <c r="ER401" i="1"/>
  <c r="ER770" i="1" s="1"/>
  <c r="EN401" i="1"/>
  <c r="EN770" i="1" s="1"/>
  <c r="EH770" i="1"/>
  <c r="EX770" i="1"/>
  <c r="HF159" i="1"/>
  <c r="GG159" i="1"/>
  <c r="FD159" i="1"/>
  <c r="FD230" i="1" s="1"/>
  <c r="DG159" i="1"/>
  <c r="DG230" i="1" s="1"/>
  <c r="CH159" i="1"/>
  <c r="BJ159" i="1"/>
  <c r="HH159" i="1"/>
  <c r="HH230" i="1" s="1"/>
  <c r="ET159" i="1"/>
  <c r="BH159" i="1"/>
  <c r="DL770" i="1"/>
  <c r="DC770" i="1"/>
  <c r="HV399" i="1"/>
  <c r="HV768" i="1" s="1"/>
  <c r="GE398" i="1"/>
  <c r="GE767" i="1" s="1"/>
  <c r="GM398" i="1"/>
  <c r="GM767" i="1" s="1"/>
  <c r="GA398" i="1"/>
  <c r="GA767" i="1" s="1"/>
  <c r="FU767" i="1"/>
  <c r="EF398" i="1"/>
  <c r="EF767" i="1" s="1"/>
  <c r="ES189" i="1"/>
  <c r="KV347" i="1"/>
  <c r="HO159" i="1"/>
  <c r="DH159" i="1"/>
  <c r="FW195" i="1"/>
  <c r="FS195" i="1"/>
  <c r="FV195" i="1"/>
  <c r="FQ195" i="1"/>
  <c r="FR195" i="1"/>
  <c r="FU195" i="1"/>
  <c r="FY195" i="1"/>
  <c r="FT195" i="1"/>
  <c r="FX195" i="1"/>
  <c r="DW194" i="1"/>
  <c r="DS194" i="1"/>
  <c r="DO194" i="1"/>
  <c r="DU194" i="1"/>
  <c r="DP194" i="1"/>
  <c r="DV194" i="1"/>
  <c r="DT194" i="1"/>
  <c r="DQ194" i="1"/>
  <c r="DR194" i="1"/>
  <c r="GQ192" i="1"/>
  <c r="GM192" i="1"/>
  <c r="GP192" i="1"/>
  <c r="GK192" i="1"/>
  <c r="GO192" i="1"/>
  <c r="GR192" i="1"/>
  <c r="GL192" i="1"/>
  <c r="GS192" i="1"/>
  <c r="GN192" i="1"/>
  <c r="GI191" i="1"/>
  <c r="GE191" i="1"/>
  <c r="GA191" i="1"/>
  <c r="GG191" i="1"/>
  <c r="GB191" i="1"/>
  <c r="GC191" i="1"/>
  <c r="GF191" i="1"/>
  <c r="GD191" i="1"/>
  <c r="GH191" i="1"/>
  <c r="FH190" i="1"/>
  <c r="FD190" i="1"/>
  <c r="EZ190" i="1"/>
  <c r="FG190" i="1"/>
  <c r="FC190" i="1"/>
  <c r="FA190" i="1"/>
  <c r="FF190" i="1"/>
  <c r="FB190" i="1"/>
  <c r="FE190" i="1"/>
  <c r="CB190" i="1"/>
  <c r="BX190" i="1"/>
  <c r="BT190" i="1"/>
  <c r="BU190" i="1"/>
  <c r="CA190" i="1"/>
  <c r="BW190" i="1"/>
  <c r="BZ190" i="1"/>
  <c r="BV190" i="1"/>
  <c r="BY190" i="1"/>
  <c r="EQ189" i="1"/>
  <c r="CB189" i="1"/>
  <c r="BX189" i="1"/>
  <c r="BT189" i="1"/>
  <c r="BU189" i="1"/>
  <c r="CA189" i="1"/>
  <c r="BW189" i="1"/>
  <c r="BZ189" i="1"/>
  <c r="BV189" i="1"/>
  <c r="BY189" i="1"/>
  <c r="JX347" i="1"/>
  <c r="EY196" i="1"/>
  <c r="EY232" i="1" s="1"/>
  <c r="FH188" i="1"/>
  <c r="FD188" i="1"/>
  <c r="EZ188" i="1"/>
  <c r="FA188" i="1"/>
  <c r="FG188" i="1"/>
  <c r="FC188" i="1"/>
  <c r="FF188" i="1"/>
  <c r="FB188" i="1"/>
  <c r="FE188" i="1"/>
  <c r="BS196" i="1"/>
  <c r="BS232" i="1" s="1"/>
  <c r="CB188" i="1"/>
  <c r="BX188" i="1"/>
  <c r="BT188" i="1"/>
  <c r="CA188" i="1"/>
  <c r="BW188" i="1"/>
  <c r="BU188" i="1"/>
  <c r="BZ188" i="1"/>
  <c r="BV188" i="1"/>
  <c r="BY188" i="1"/>
  <c r="HA230" i="1"/>
  <c r="D180" i="1"/>
  <c r="BI230" i="1"/>
  <c r="D176" i="1"/>
  <c r="EV402" i="1"/>
  <c r="EV771" i="1" s="1"/>
  <c r="FF771" i="1"/>
  <c r="EW194" i="1"/>
  <c r="HI192" i="1"/>
  <c r="IC159" i="1"/>
  <c r="HI159" i="1"/>
  <c r="GN159" i="1"/>
  <c r="GN230" i="1" s="1"/>
  <c r="FT159" i="1"/>
  <c r="EU159" i="1"/>
  <c r="EU230" i="1" s="1"/>
  <c r="EA159" i="1"/>
  <c r="DF159" i="1"/>
  <c r="DF230" i="1" s="1"/>
  <c r="CK159" i="1"/>
  <c r="BQ159" i="1"/>
  <c r="IB159" i="1"/>
  <c r="IB230" i="1" s="1"/>
  <c r="FW159" i="1"/>
  <c r="FW230" i="1" s="1"/>
  <c r="DI159" i="1"/>
  <c r="BX159" i="1"/>
  <c r="BX230" i="1" s="1"/>
  <c r="GN402" i="1"/>
  <c r="GN771" i="1" s="1"/>
  <c r="BP190" i="1"/>
  <c r="BL190" i="1"/>
  <c r="BM190" i="1"/>
  <c r="BO190" i="1"/>
  <c r="BK190" i="1"/>
  <c r="BR190" i="1"/>
  <c r="BN190" i="1"/>
  <c r="BJ190" i="1"/>
  <c r="BQ190" i="1"/>
  <c r="EF397" i="1"/>
  <c r="EF766" i="1" s="1"/>
  <c r="EJ397" i="1"/>
  <c r="EJ766" i="1" s="1"/>
  <c r="EU437" i="1"/>
  <c r="EU776" i="1" s="1"/>
  <c r="FF437" i="1"/>
  <c r="FF776" i="1" s="1"/>
  <c r="EJ437" i="1"/>
  <c r="EJ776" i="1" s="1"/>
  <c r="EZ437" i="1"/>
  <c r="EZ776" i="1" s="1"/>
  <c r="EF437" i="1"/>
  <c r="EF776" i="1" s="1"/>
  <c r="FB437" i="1"/>
  <c r="FB776" i="1" s="1"/>
  <c r="FF766" i="1"/>
  <c r="EX437" i="1"/>
  <c r="EX776" i="1" s="1"/>
  <c r="EK437" i="1"/>
  <c r="EK776" i="1" s="1"/>
  <c r="FA437" i="1"/>
  <c r="FA776" i="1" s="1"/>
  <c r="KZ347" i="1"/>
  <c r="HQ195" i="1"/>
  <c r="HM195" i="1"/>
  <c r="HS195" i="1"/>
  <c r="HN195" i="1"/>
  <c r="HJ195" i="1"/>
  <c r="HD195" i="1"/>
  <c r="HR195" i="1"/>
  <c r="HL195" i="1"/>
  <c r="HO195" i="1"/>
  <c r="HP195" i="1"/>
  <c r="HT195" i="1"/>
  <c r="GI194" i="1"/>
  <c r="GE194" i="1"/>
  <c r="GA194" i="1"/>
  <c r="GH194" i="1"/>
  <c r="GC194" i="1"/>
  <c r="GG194" i="1"/>
  <c r="GB194" i="1"/>
  <c r="GF194" i="1"/>
  <c r="GD194" i="1"/>
  <c r="DK193" i="1"/>
  <c r="DG193" i="1"/>
  <c r="DL193" i="1"/>
  <c r="DF193" i="1"/>
  <c r="DJ193" i="1"/>
  <c r="DE193" i="1"/>
  <c r="DM193" i="1"/>
  <c r="DI193" i="1"/>
  <c r="DH193" i="1"/>
  <c r="HQ191" i="1"/>
  <c r="HM191" i="1"/>
  <c r="HS191" i="1"/>
  <c r="HN191" i="1"/>
  <c r="HR191" i="1"/>
  <c r="HL191" i="1"/>
  <c r="HO191" i="1"/>
  <c r="HP191" i="1"/>
  <c r="HT191" i="1"/>
  <c r="HJ191" i="1"/>
  <c r="HD191" i="1"/>
  <c r="EX191" i="1"/>
  <c r="EX190" i="1"/>
  <c r="HF189" i="1"/>
  <c r="EX189" i="1"/>
  <c r="BN189" i="1"/>
  <c r="IO347" i="1"/>
  <c r="FV188" i="1"/>
  <c r="FR188" i="1"/>
  <c r="FW188" i="1"/>
  <c r="FP196" i="1"/>
  <c r="FY188" i="1"/>
  <c r="FU188" i="1"/>
  <c r="FQ188" i="1"/>
  <c r="FX188" i="1"/>
  <c r="FT188" i="1"/>
  <c r="FS188" i="1"/>
  <c r="CH188" i="1"/>
  <c r="EZ403" i="1"/>
  <c r="EZ772" i="1" s="1"/>
  <c r="EV403" i="1"/>
  <c r="EV772" i="1" s="1"/>
  <c r="ES399" i="1"/>
  <c r="ES768" i="1" s="1"/>
  <c r="GZ159" i="1"/>
  <c r="EX159" i="1"/>
  <c r="EX230" i="1" s="1"/>
  <c r="DE159" i="1"/>
  <c r="HE189" i="1"/>
  <c r="EV188" i="1"/>
  <c r="ER188" i="1"/>
  <c r="ES188" i="1"/>
  <c r="EO196" i="1"/>
  <c r="EO232" i="1" s="1"/>
  <c r="EU188" i="1"/>
  <c r="EQ188" i="1"/>
  <c r="EX188" i="1"/>
  <c r="ET188" i="1"/>
  <c r="EP188" i="1"/>
  <c r="EW188" i="1"/>
  <c r="EZ400" i="1"/>
  <c r="EZ769" i="1" s="1"/>
  <c r="EW400" i="1"/>
  <c r="EW769" i="1" s="1"/>
  <c r="EL769" i="1"/>
  <c r="HC159" i="1"/>
  <c r="HC230" i="1" s="1"/>
  <c r="BW159" i="1"/>
  <c r="BW230" i="1" s="1"/>
  <c r="HH189" i="1"/>
  <c r="ID397" i="1"/>
  <c r="ID766" i="1" s="1"/>
  <c r="ID437" i="1"/>
  <c r="ID776" i="1" s="1"/>
  <c r="HL397" i="1"/>
  <c r="HL766" i="1" s="1"/>
  <c r="GB189" i="1"/>
  <c r="HV400" i="1"/>
  <c r="HV769" i="1" s="1"/>
  <c r="BV398" i="1"/>
  <c r="BV767" i="1" s="1"/>
  <c r="GA397" i="1"/>
  <c r="GA766" i="1" s="1"/>
  <c r="GD766" i="1"/>
  <c r="GE397" i="1"/>
  <c r="GE766" i="1" s="1"/>
  <c r="GO766" i="1"/>
  <c r="CJ437" i="1"/>
  <c r="CJ776" i="1" s="1"/>
  <c r="BT437" i="1"/>
  <c r="BT776" i="1" s="1"/>
  <c r="CI397" i="1"/>
  <c r="CI766" i="1" s="1"/>
  <c r="BV437" i="1"/>
  <c r="BV776" i="1" s="1"/>
  <c r="BK437" i="1"/>
  <c r="BK776" i="1" s="1"/>
  <c r="CA437" i="1"/>
  <c r="CA776" i="1" s="1"/>
  <c r="CZ188" i="1"/>
  <c r="DC188" i="1"/>
  <c r="HF402" i="1"/>
  <c r="HF771" i="1" s="1"/>
  <c r="CX194" i="1"/>
  <c r="GL770" i="1"/>
  <c r="GO770" i="1"/>
  <c r="GG192" i="1"/>
  <c r="GB192" i="1"/>
  <c r="GI192" i="1"/>
  <c r="CV769" i="1"/>
  <c r="DC190" i="1"/>
  <c r="CW190" i="1"/>
  <c r="DB190" i="1"/>
  <c r="CW397" i="1"/>
  <c r="CW766" i="1" s="1"/>
  <c r="CW437" i="1"/>
  <c r="CW776" i="1" s="1"/>
  <c r="DL437" i="1"/>
  <c r="DL776" i="1" s="1"/>
  <c r="DX437" i="1"/>
  <c r="DX776" i="1" s="1"/>
  <c r="DI437" i="1"/>
  <c r="DI776" i="1" s="1"/>
  <c r="CY766" i="1"/>
  <c r="DE437" i="1"/>
  <c r="DE776" i="1" s="1"/>
  <c r="CX437" i="1"/>
  <c r="CX776" i="1" s="1"/>
  <c r="DN437" i="1"/>
  <c r="DN776" i="1" s="1"/>
  <c r="CV189" i="1"/>
  <c r="DA189" i="1"/>
  <c r="DP188" i="1"/>
  <c r="DN196" i="1"/>
  <c r="HW401" i="1"/>
  <c r="HW770" i="1" s="1"/>
  <c r="CI401" i="1"/>
  <c r="CI770" i="1" s="1"/>
  <c r="CE400" i="1"/>
  <c r="CE769" i="1" s="1"/>
  <c r="CJ400" i="1"/>
  <c r="CJ769" i="1" s="1"/>
  <c r="DI399" i="1"/>
  <c r="DI768" i="1" s="1"/>
  <c r="DR399" i="1"/>
  <c r="DR768" i="1" s="1"/>
  <c r="HV398" i="1"/>
  <c r="HV767" i="1" s="1"/>
  <c r="CV767" i="1"/>
  <c r="GB188" i="1"/>
  <c r="GG188" i="1"/>
  <c r="DM403" i="1"/>
  <c r="DM772" i="1" s="1"/>
  <c r="DA403" i="1"/>
  <c r="DA772" i="1" s="1"/>
  <c r="CH402" i="1"/>
  <c r="CH771" i="1" s="1"/>
  <c r="DM402" i="1"/>
  <c r="DM771" i="1" s="1"/>
  <c r="FW396" i="1"/>
  <c r="GG765" i="1"/>
  <c r="LZ437" i="1"/>
  <c r="JD437" i="1"/>
  <c r="JE421" i="1"/>
  <c r="J818" i="1"/>
  <c r="U833" i="1" s="1"/>
  <c r="U782" i="1"/>
  <c r="JB403" i="1"/>
  <c r="AG886" i="1"/>
  <c r="AG783" i="1"/>
  <c r="JJ400" i="1"/>
  <c r="JJ398" i="1"/>
  <c r="KN437" i="1"/>
  <c r="KW437" i="1"/>
  <c r="KA421" i="1"/>
  <c r="KS396" i="1"/>
  <c r="GB159" i="1"/>
  <c r="GB230" i="1" s="1"/>
  <c r="EM159" i="1"/>
  <c r="EM230" i="1" s="1"/>
  <c r="HD159" i="1"/>
  <c r="CS159" i="1"/>
  <c r="KI347" i="1"/>
  <c r="EW159" i="1"/>
  <c r="FE194" i="1"/>
  <c r="FA194" i="1"/>
  <c r="FG194" i="1"/>
  <c r="FB194" i="1"/>
  <c r="FH194" i="1"/>
  <c r="FF194" i="1"/>
  <c r="EZ194" i="1"/>
  <c r="EX194" i="1"/>
  <c r="FD194" i="1"/>
  <c r="FC194" i="1"/>
  <c r="ER194" i="1"/>
  <c r="GR432" i="1"/>
  <c r="GN432" i="1"/>
  <c r="GJ432" i="1"/>
  <c r="GF432" i="1"/>
  <c r="GB432" i="1"/>
  <c r="FX432" i="1"/>
  <c r="FT432" i="1"/>
  <c r="GQ416" i="1"/>
  <c r="GM416" i="1"/>
  <c r="GI416" i="1"/>
  <c r="GE416" i="1"/>
  <c r="GA416" i="1"/>
  <c r="FW416" i="1"/>
  <c r="FS416" i="1"/>
  <c r="GP432" i="1"/>
  <c r="GK432" i="1"/>
  <c r="GE432" i="1"/>
  <c r="FZ432" i="1"/>
  <c r="FU432" i="1"/>
  <c r="GR416" i="1"/>
  <c r="GL416" i="1"/>
  <c r="GG416" i="1"/>
  <c r="GB416" i="1"/>
  <c r="FV416" i="1"/>
  <c r="FQ416" i="1"/>
  <c r="GS399" i="1"/>
  <c r="GO399" i="1"/>
  <c r="GK399" i="1"/>
  <c r="GG399" i="1"/>
  <c r="GC399" i="1"/>
  <c r="FY399" i="1"/>
  <c r="FU399" i="1"/>
  <c r="FQ399" i="1"/>
  <c r="GT432" i="1"/>
  <c r="GO432" i="1"/>
  <c r="GI432" i="1"/>
  <c r="GD432" i="1"/>
  <c r="FY432" i="1"/>
  <c r="FS432" i="1"/>
  <c r="GP416" i="1"/>
  <c r="GK416" i="1"/>
  <c r="GF416" i="1"/>
  <c r="FZ416" i="1"/>
  <c r="FU416" i="1"/>
  <c r="GR399" i="1"/>
  <c r="GN399" i="1"/>
  <c r="GJ399" i="1"/>
  <c r="GF399" i="1"/>
  <c r="GB399" i="1"/>
  <c r="FX399" i="1"/>
  <c r="FT399" i="1"/>
  <c r="GQ432" i="1"/>
  <c r="GG432" i="1"/>
  <c r="FV432" i="1"/>
  <c r="GM432" i="1"/>
  <c r="GC432" i="1"/>
  <c r="FR432" i="1"/>
  <c r="GL432" i="1"/>
  <c r="GA432" i="1"/>
  <c r="FQ432" i="1"/>
  <c r="GS432" i="1"/>
  <c r="GH432" i="1"/>
  <c r="FW432" i="1"/>
  <c r="GS416" i="1"/>
  <c r="GH416" i="1"/>
  <c r="FX416" i="1"/>
  <c r="GO416" i="1"/>
  <c r="GD416" i="1"/>
  <c r="FT416" i="1"/>
  <c r="GQ399" i="1"/>
  <c r="GI399" i="1"/>
  <c r="GA399" i="1"/>
  <c r="FS399" i="1"/>
  <c r="GN416" i="1"/>
  <c r="GC416" i="1"/>
  <c r="FR416" i="1"/>
  <c r="GP399" i="1"/>
  <c r="GH399" i="1"/>
  <c r="FZ399" i="1"/>
  <c r="FR399" i="1"/>
  <c r="GT416" i="1"/>
  <c r="GJ416" i="1"/>
  <c r="FY416" i="1"/>
  <c r="GT399" i="1"/>
  <c r="GD399" i="1"/>
  <c r="GM399" i="1"/>
  <c r="FW399" i="1"/>
  <c r="GL399" i="1"/>
  <c r="FV399" i="1"/>
  <c r="GE399" i="1"/>
  <c r="GP189" i="1"/>
  <c r="GL189" i="1"/>
  <c r="GS189" i="1"/>
  <c r="GO189" i="1"/>
  <c r="GK189" i="1"/>
  <c r="GM189" i="1"/>
  <c r="GR189" i="1"/>
  <c r="GN189" i="1"/>
  <c r="GQ189" i="1"/>
  <c r="GD159" i="1"/>
  <c r="GD189" i="1"/>
  <c r="CY188" i="1"/>
  <c r="DB188" i="1"/>
  <c r="HV402" i="1"/>
  <c r="HV771" i="1" s="1"/>
  <c r="DG437" i="1"/>
  <c r="DG776" i="1" s="1"/>
  <c r="CA772" i="1"/>
  <c r="HF398" i="1"/>
  <c r="HF767" i="1" s="1"/>
  <c r="DA398" i="1"/>
  <c r="DA767" i="1" s="1"/>
  <c r="DC767" i="1"/>
  <c r="CY772" i="1"/>
  <c r="CC402" i="1"/>
  <c r="CC771" i="1" s="1"/>
  <c r="LK931" i="1"/>
  <c r="N932" i="1"/>
  <c r="N933" i="1" s="1"/>
  <c r="H932" i="1"/>
  <c r="H933" i="1" s="1"/>
  <c r="W981" i="1"/>
  <c r="K932" i="1"/>
  <c r="K933" i="1" s="1"/>
  <c r="HA892" i="1"/>
  <c r="HA888" i="1"/>
  <c r="HA893" i="1" s="1"/>
  <c r="LO437" i="1"/>
  <c r="LY437" i="1"/>
  <c r="IS437" i="1"/>
  <c r="LW421" i="1"/>
  <c r="JM421" i="1"/>
  <c r="IW421" i="1"/>
  <c r="LT437" i="1"/>
  <c r="MJ437" i="1"/>
  <c r="JB437" i="1"/>
  <c r="AT886" i="1"/>
  <c r="AT783" i="1"/>
  <c r="AD886" i="1"/>
  <c r="JB401" i="1"/>
  <c r="KO400" i="1"/>
  <c r="I932" i="1"/>
  <c r="I933" i="1" s="1"/>
  <c r="V981" i="1"/>
  <c r="I782" i="1"/>
  <c r="M818" i="1"/>
  <c r="X782" i="1"/>
  <c r="ME437" i="1"/>
  <c r="LJ437" i="1"/>
  <c r="IZ437" i="1"/>
  <c r="LX421" i="1"/>
  <c r="JN421" i="1"/>
  <c r="IX421" i="1"/>
  <c r="LS437" i="1"/>
  <c r="JI437" i="1"/>
  <c r="IN437" i="1"/>
  <c r="MI421" i="1"/>
  <c r="LS421" i="1"/>
  <c r="JI421" i="1"/>
  <c r="IS421" i="1"/>
  <c r="LX437" i="1"/>
  <c r="IP437" i="1"/>
  <c r="JF437" i="1"/>
  <c r="KO403" i="1"/>
  <c r="MF402" i="1"/>
  <c r="KW402" i="1"/>
  <c r="LP401" i="1"/>
  <c r="KG400" i="1"/>
  <c r="JB400" i="1"/>
  <c r="KW398" i="1"/>
  <c r="LP397" i="1"/>
  <c r="JB396" i="1"/>
  <c r="CT230" i="1"/>
  <c r="JF403" i="1"/>
  <c r="MJ401" i="1"/>
  <c r="JF401" i="1"/>
  <c r="MJ399" i="1"/>
  <c r="JF399" i="1"/>
  <c r="JF398" i="1"/>
  <c r="MJ397" i="1"/>
  <c r="JF396" i="1"/>
  <c r="IP396" i="1"/>
  <c r="KJ403" i="1"/>
  <c r="KZ403" i="1"/>
  <c r="KB402" i="1"/>
  <c r="KR402" i="1"/>
  <c r="KC402" i="1"/>
  <c r="LX401" i="1"/>
  <c r="KN401" i="1"/>
  <c r="KK401" i="1"/>
  <c r="JJ401" i="1"/>
  <c r="KJ400" i="1"/>
  <c r="KZ400" i="1"/>
  <c r="KS400" i="1"/>
  <c r="IT400" i="1"/>
  <c r="KF399" i="1"/>
  <c r="KV399" i="1"/>
  <c r="KJ398" i="1"/>
  <c r="KZ398" i="1"/>
  <c r="KS398" i="1"/>
  <c r="IT398" i="1"/>
  <c r="KD437" i="1"/>
  <c r="KP437" i="1"/>
  <c r="KT437" i="1"/>
  <c r="LA397" i="1"/>
  <c r="KQ437" i="1"/>
  <c r="KM437" i="1"/>
  <c r="KC437" i="1"/>
  <c r="KS437" i="1"/>
  <c r="KK397" i="1"/>
  <c r="KY421" i="1"/>
  <c r="KT421" i="1"/>
  <c r="KU421" i="1"/>
  <c r="KX421" i="1"/>
  <c r="KB421" i="1"/>
  <c r="KR421" i="1"/>
  <c r="JY421" i="1"/>
  <c r="KO421" i="1"/>
  <c r="MH404" i="1"/>
  <c r="MH455" i="1" s="1"/>
  <c r="AZ885" i="1"/>
  <c r="AZ774" i="1"/>
  <c r="AZ777" i="1" s="1"/>
  <c r="AN885" i="1"/>
  <c r="AN774" i="1"/>
  <c r="AN777" i="1" s="1"/>
  <c r="AJ885" i="1"/>
  <c r="AJ774" i="1"/>
  <c r="AJ777" i="1" s="1"/>
  <c r="MB402" i="1"/>
  <c r="JN402" i="1"/>
  <c r="MB400" i="1"/>
  <c r="JN400" i="1"/>
  <c r="MB398" i="1"/>
  <c r="JN398" i="1"/>
  <c r="JN396" i="1"/>
  <c r="FP230" i="1"/>
  <c r="HV230" i="1"/>
  <c r="BK230" i="1"/>
  <c r="EV194" i="1"/>
  <c r="EP191" i="1"/>
  <c r="JI347" i="1"/>
  <c r="EL770" i="1"/>
  <c r="FB770" i="1"/>
  <c r="HZ159" i="1"/>
  <c r="HB159" i="1"/>
  <c r="GC159" i="1"/>
  <c r="EZ159" i="1"/>
  <c r="EZ230" i="1" s="1"/>
  <c r="DW159" i="1"/>
  <c r="DW230" i="1" s="1"/>
  <c r="DC159" i="1"/>
  <c r="DC230" i="1" s="1"/>
  <c r="CD159" i="1"/>
  <c r="GQ159" i="1"/>
  <c r="GQ230" i="1" s="1"/>
  <c r="DM159" i="1"/>
  <c r="DM230" i="1" s="1"/>
  <c r="HV403" i="1"/>
  <c r="GQ194" i="1"/>
  <c r="GM194" i="1"/>
  <c r="GS194" i="1"/>
  <c r="GN194" i="1"/>
  <c r="GR194" i="1"/>
  <c r="GL194" i="1"/>
  <c r="GP194" i="1"/>
  <c r="GK194" i="1"/>
  <c r="GO194" i="1"/>
  <c r="DM401" i="1"/>
  <c r="DM770" i="1" s="1"/>
  <c r="DX770" i="1"/>
  <c r="DG770" i="1"/>
  <c r="FV767" i="1"/>
  <c r="GD767" i="1"/>
  <c r="FY767" i="1"/>
  <c r="GO767" i="1"/>
  <c r="EP767" i="1"/>
  <c r="FF767" i="1"/>
  <c r="JE347" i="1"/>
  <c r="IW347" i="1"/>
  <c r="FI429" i="1"/>
  <c r="FE429" i="1"/>
  <c r="FA429" i="1"/>
  <c r="EW429" i="1"/>
  <c r="ES429" i="1"/>
  <c r="EO429" i="1"/>
  <c r="EK429" i="1"/>
  <c r="EG429" i="1"/>
  <c r="FH429" i="1"/>
  <c r="FC429" i="1"/>
  <c r="EX429" i="1"/>
  <c r="ER429" i="1"/>
  <c r="EM429" i="1"/>
  <c r="EH429" i="1"/>
  <c r="FI413" i="1"/>
  <c r="FI421" i="1" s="1"/>
  <c r="FI775" i="1" s="1"/>
  <c r="FE413" i="1"/>
  <c r="FE421" i="1" s="1"/>
  <c r="FE775" i="1" s="1"/>
  <c r="FA413" i="1"/>
  <c r="FA421" i="1" s="1"/>
  <c r="FA775" i="1" s="1"/>
  <c r="EW413" i="1"/>
  <c r="EW421" i="1" s="1"/>
  <c r="EW775" i="1" s="1"/>
  <c r="ES413" i="1"/>
  <c r="ES421" i="1" s="1"/>
  <c r="ES775" i="1" s="1"/>
  <c r="EO413" i="1"/>
  <c r="EO421" i="1" s="1"/>
  <c r="EO775" i="1" s="1"/>
  <c r="EK413" i="1"/>
  <c r="EK421" i="1" s="1"/>
  <c r="EK775" i="1" s="1"/>
  <c r="EG413" i="1"/>
  <c r="EG421" i="1" s="1"/>
  <c r="EG775" i="1" s="1"/>
  <c r="FF396" i="1"/>
  <c r="FB396" i="1"/>
  <c r="EX396" i="1"/>
  <c r="ET396" i="1"/>
  <c r="EP396" i="1"/>
  <c r="EL396" i="1"/>
  <c r="EH396" i="1"/>
  <c r="FG429" i="1"/>
  <c r="FB429" i="1"/>
  <c r="EV429" i="1"/>
  <c r="EQ429" i="1"/>
  <c r="EL429" i="1"/>
  <c r="EF429" i="1"/>
  <c r="FH413" i="1"/>
  <c r="FH421" i="1" s="1"/>
  <c r="FH775" i="1" s="1"/>
  <c r="FD413" i="1"/>
  <c r="FD421" i="1" s="1"/>
  <c r="FD775" i="1" s="1"/>
  <c r="EZ413" i="1"/>
  <c r="EZ421" i="1" s="1"/>
  <c r="EZ775" i="1" s="1"/>
  <c r="EV413" i="1"/>
  <c r="EV421" i="1" s="1"/>
  <c r="EV775" i="1" s="1"/>
  <c r="ER413" i="1"/>
  <c r="ER421" i="1" s="1"/>
  <c r="ER775" i="1" s="1"/>
  <c r="EN413" i="1"/>
  <c r="EN421" i="1" s="1"/>
  <c r="EN775" i="1" s="1"/>
  <c r="EJ413" i="1"/>
  <c r="EJ421" i="1" s="1"/>
  <c r="EJ775" i="1" s="1"/>
  <c r="EF413" i="1"/>
  <c r="EF421" i="1" s="1"/>
  <c r="EF775" i="1" s="1"/>
  <c r="FI396" i="1"/>
  <c r="FE396" i="1"/>
  <c r="FA396" i="1"/>
  <c r="EW396" i="1"/>
  <c r="ES396" i="1"/>
  <c r="EO396" i="1"/>
  <c r="EK396" i="1"/>
  <c r="EG396" i="1"/>
  <c r="EY429" i="1"/>
  <c r="EN429" i="1"/>
  <c r="FF429" i="1"/>
  <c r="EU429" i="1"/>
  <c r="EJ429" i="1"/>
  <c r="FD429" i="1"/>
  <c r="ET429" i="1"/>
  <c r="EI429" i="1"/>
  <c r="FF413" i="1"/>
  <c r="FF421" i="1" s="1"/>
  <c r="FF775" i="1" s="1"/>
  <c r="EX413" i="1"/>
  <c r="EX421" i="1" s="1"/>
  <c r="EX775" i="1" s="1"/>
  <c r="EP413" i="1"/>
  <c r="EP421" i="1" s="1"/>
  <c r="EP775" i="1" s="1"/>
  <c r="EH413" i="1"/>
  <c r="EH421" i="1" s="1"/>
  <c r="EH775" i="1" s="1"/>
  <c r="FC413" i="1"/>
  <c r="FC421" i="1" s="1"/>
  <c r="FC775" i="1" s="1"/>
  <c r="EU413" i="1"/>
  <c r="EU421" i="1" s="1"/>
  <c r="EU775" i="1" s="1"/>
  <c r="EM413" i="1"/>
  <c r="EM421" i="1" s="1"/>
  <c r="EM775" i="1" s="1"/>
  <c r="EZ429" i="1"/>
  <c r="FB413" i="1"/>
  <c r="FB421" i="1" s="1"/>
  <c r="FB775" i="1" s="1"/>
  <c r="ET413" i="1"/>
  <c r="ET421" i="1" s="1"/>
  <c r="ET775" i="1" s="1"/>
  <c r="EL413" i="1"/>
  <c r="EL421" i="1" s="1"/>
  <c r="EL775" i="1" s="1"/>
  <c r="EP429" i="1"/>
  <c r="FG413" i="1"/>
  <c r="FG421" i="1" s="1"/>
  <c r="FG775" i="1" s="1"/>
  <c r="EY413" i="1"/>
  <c r="EY421" i="1" s="1"/>
  <c r="EY775" i="1" s="1"/>
  <c r="EQ413" i="1"/>
  <c r="EQ421" i="1" s="1"/>
  <c r="EQ775" i="1" s="1"/>
  <c r="EI413" i="1"/>
  <c r="EI421" i="1" s="1"/>
  <c r="EI775" i="1" s="1"/>
  <c r="FH396" i="1"/>
  <c r="EZ396" i="1"/>
  <c r="ER396" i="1"/>
  <c r="EJ396" i="1"/>
  <c r="FG396" i="1"/>
  <c r="EY396" i="1"/>
  <c r="EQ396" i="1"/>
  <c r="EI396" i="1"/>
  <c r="FD396" i="1"/>
  <c r="EV396" i="1"/>
  <c r="EN396" i="1"/>
  <c r="EF396" i="1"/>
  <c r="FC396" i="1"/>
  <c r="EU396" i="1"/>
  <c r="EM396" i="1"/>
  <c r="FI196" i="1"/>
  <c r="E216" i="1" s="1"/>
  <c r="HG159" i="1"/>
  <c r="FE195" i="1"/>
  <c r="FA195" i="1"/>
  <c r="FF195" i="1"/>
  <c r="EZ195" i="1"/>
  <c r="EV195" i="1"/>
  <c r="FD195" i="1"/>
  <c r="FG195" i="1"/>
  <c r="FH195" i="1"/>
  <c r="FC195" i="1"/>
  <c r="FB195" i="1"/>
  <c r="EQ195" i="1"/>
  <c r="EU194" i="1"/>
  <c r="DK194" i="1"/>
  <c r="DG194" i="1"/>
  <c r="DJ194" i="1"/>
  <c r="DE194" i="1"/>
  <c r="DF194" i="1"/>
  <c r="DI194" i="1"/>
  <c r="DM194" i="1"/>
  <c r="DH194" i="1"/>
  <c r="DL194" i="1"/>
  <c r="BY193" i="1"/>
  <c r="BU193" i="1"/>
  <c r="BZ193" i="1"/>
  <c r="BT193" i="1"/>
  <c r="CA193" i="1"/>
  <c r="BP193" i="1"/>
  <c r="BX193" i="1"/>
  <c r="BK193" i="1"/>
  <c r="CB193" i="1"/>
  <c r="BW193" i="1"/>
  <c r="BV193" i="1"/>
  <c r="HQ192" i="1"/>
  <c r="HM192" i="1"/>
  <c r="HR192" i="1"/>
  <c r="HL192" i="1"/>
  <c r="HS192" i="1"/>
  <c r="HC192" i="1"/>
  <c r="HP192" i="1"/>
  <c r="HN192" i="1"/>
  <c r="HT192" i="1"/>
  <c r="HO192" i="1"/>
  <c r="HH192" i="1"/>
  <c r="FW191" i="1"/>
  <c r="FS191" i="1"/>
  <c r="FV191" i="1"/>
  <c r="FQ191" i="1"/>
  <c r="FU191" i="1"/>
  <c r="FX191" i="1"/>
  <c r="FY191" i="1"/>
  <c r="FT191" i="1"/>
  <c r="FR191" i="1"/>
  <c r="EU190" i="1"/>
  <c r="HC189" i="1"/>
  <c r="EN189" i="1"/>
  <c r="EJ189" i="1"/>
  <c r="EF189" i="1"/>
  <c r="EG189" i="1"/>
  <c r="EM189" i="1"/>
  <c r="EI189" i="1"/>
  <c r="EL189" i="1"/>
  <c r="EH189" i="1"/>
  <c r="EK189" i="1"/>
  <c r="BO189" i="1"/>
  <c r="MA347" i="1"/>
  <c r="HK196" i="1"/>
  <c r="HK232" i="1" s="1"/>
  <c r="HT188" i="1"/>
  <c r="HP188" i="1"/>
  <c r="HL188" i="1"/>
  <c r="HS188" i="1"/>
  <c r="HO188" i="1"/>
  <c r="HM188" i="1"/>
  <c r="HR188" i="1"/>
  <c r="HN188" i="1"/>
  <c r="HQ188" i="1"/>
  <c r="EE196" i="1"/>
  <c r="EE347" i="1" s="1"/>
  <c r="I372" i="1" s="1"/>
  <c r="EN188" i="1"/>
  <c r="EJ188" i="1"/>
  <c r="EF188" i="1"/>
  <c r="EK188" i="1"/>
  <c r="EM188" i="1"/>
  <c r="EI188" i="1"/>
  <c r="EL188" i="1"/>
  <c r="EH188" i="1"/>
  <c r="EG188" i="1"/>
  <c r="BO188" i="1"/>
  <c r="EJ402" i="1"/>
  <c r="EJ771" i="1" s="1"/>
  <c r="HY159" i="1"/>
  <c r="HE159" i="1"/>
  <c r="HE230" i="1" s="1"/>
  <c r="GF159" i="1"/>
  <c r="FL159" i="1"/>
  <c r="EQ159" i="1"/>
  <c r="DV159" i="1"/>
  <c r="DV230" i="1" s="1"/>
  <c r="DB159" i="1"/>
  <c r="CG159" i="1"/>
  <c r="CG230" i="1" s="1"/>
  <c r="BM159" i="1"/>
  <c r="BM230" i="1" s="1"/>
  <c r="HP159" i="1"/>
  <c r="HP230" i="1" s="1"/>
  <c r="FB159" i="1"/>
  <c r="FB230" i="1" s="1"/>
  <c r="CW159" i="1"/>
  <c r="BL159" i="1"/>
  <c r="BL230" i="1" s="1"/>
  <c r="F221" i="1"/>
  <c r="GA402" i="1"/>
  <c r="GA771" i="1" s="1"/>
  <c r="GR771" i="1"/>
  <c r="EN437" i="1"/>
  <c r="EN776" i="1" s="1"/>
  <c r="EI437" i="1"/>
  <c r="EI776" i="1" s="1"/>
  <c r="EL437" i="1"/>
  <c r="EL776" i="1" s="1"/>
  <c r="FG437" i="1"/>
  <c r="FG776" i="1" s="1"/>
  <c r="ET766" i="1"/>
  <c r="EH437" i="1"/>
  <c r="EH776" i="1" s="1"/>
  <c r="FC437" i="1"/>
  <c r="FC776" i="1" s="1"/>
  <c r="EO437" i="1"/>
  <c r="EO776" i="1" s="1"/>
  <c r="FE437" i="1"/>
  <c r="FE776" i="1" s="1"/>
  <c r="F179" i="1"/>
  <c r="DX230" i="1"/>
  <c r="E177" i="1"/>
  <c r="F177" i="1" s="1"/>
  <c r="GH159" i="1"/>
  <c r="GH230" i="1" s="1"/>
  <c r="HF195" i="1"/>
  <c r="ER195" i="1"/>
  <c r="FW194" i="1"/>
  <c r="FS194" i="1"/>
  <c r="FX194" i="1"/>
  <c r="FR194" i="1"/>
  <c r="FY194" i="1"/>
  <c r="FV194" i="1"/>
  <c r="FQ194" i="1"/>
  <c r="FU194" i="1"/>
  <c r="FT194" i="1"/>
  <c r="BY192" i="1"/>
  <c r="BU192" i="1"/>
  <c r="CA192" i="1"/>
  <c r="BV192" i="1"/>
  <c r="BW192" i="1"/>
  <c r="BZ192" i="1"/>
  <c r="BT192" i="1"/>
  <c r="CB192" i="1"/>
  <c r="BL192" i="1"/>
  <c r="BX192" i="1"/>
  <c r="BR192" i="1"/>
  <c r="HF191" i="1"/>
  <c r="ER191" i="1"/>
  <c r="ET190" i="1"/>
  <c r="HB189" i="1"/>
  <c r="ET189" i="1"/>
  <c r="BJ189" i="1"/>
  <c r="KE347" i="1"/>
  <c r="ID188" i="1"/>
  <c r="HF188" i="1"/>
  <c r="DV429" i="1"/>
  <c r="DR429" i="1"/>
  <c r="DN429" i="1"/>
  <c r="DJ429" i="1"/>
  <c r="DF429" i="1"/>
  <c r="DB429" i="1"/>
  <c r="CX429" i="1"/>
  <c r="DU429" i="1"/>
  <c r="DP429" i="1"/>
  <c r="DK429" i="1"/>
  <c r="DE429" i="1"/>
  <c r="CZ429" i="1"/>
  <c r="CU429" i="1"/>
  <c r="DV413" i="1"/>
  <c r="DV421" i="1" s="1"/>
  <c r="DV775" i="1" s="1"/>
  <c r="DR413" i="1"/>
  <c r="DR421" i="1" s="1"/>
  <c r="DR775" i="1" s="1"/>
  <c r="DN413" i="1"/>
  <c r="DN421" i="1" s="1"/>
  <c r="DN775" i="1" s="1"/>
  <c r="DJ413" i="1"/>
  <c r="DJ421" i="1" s="1"/>
  <c r="DJ775" i="1" s="1"/>
  <c r="DF413" i="1"/>
  <c r="DF421" i="1" s="1"/>
  <c r="DF775" i="1" s="1"/>
  <c r="DB413" i="1"/>
  <c r="DB421" i="1" s="1"/>
  <c r="DB775" i="1" s="1"/>
  <c r="CX413" i="1"/>
  <c r="CX421" i="1" s="1"/>
  <c r="CX775" i="1" s="1"/>
  <c r="DW396" i="1"/>
  <c r="DS396" i="1"/>
  <c r="DO396" i="1"/>
  <c r="DK396" i="1"/>
  <c r="DG396" i="1"/>
  <c r="DC396" i="1"/>
  <c r="CY396" i="1"/>
  <c r="CU396" i="1"/>
  <c r="DT429" i="1"/>
  <c r="DO429" i="1"/>
  <c r="DI429" i="1"/>
  <c r="DD429" i="1"/>
  <c r="CY429" i="1"/>
  <c r="DU413" i="1"/>
  <c r="DU421" i="1" s="1"/>
  <c r="DU775" i="1" s="1"/>
  <c r="DQ413" i="1"/>
  <c r="DQ421" i="1" s="1"/>
  <c r="DQ775" i="1" s="1"/>
  <c r="DM413" i="1"/>
  <c r="DM421" i="1" s="1"/>
  <c r="DM775" i="1" s="1"/>
  <c r="DI413" i="1"/>
  <c r="DI421" i="1" s="1"/>
  <c r="DI775" i="1" s="1"/>
  <c r="DE413" i="1"/>
  <c r="DE421" i="1" s="1"/>
  <c r="DE775" i="1" s="1"/>
  <c r="DA413" i="1"/>
  <c r="DA421" i="1" s="1"/>
  <c r="DA775" i="1" s="1"/>
  <c r="CW413" i="1"/>
  <c r="CW421" i="1" s="1"/>
  <c r="CW775" i="1" s="1"/>
  <c r="DV396" i="1"/>
  <c r="DR396" i="1"/>
  <c r="DN396" i="1"/>
  <c r="DJ396" i="1"/>
  <c r="DF396" i="1"/>
  <c r="DB396" i="1"/>
  <c r="CX396" i="1"/>
  <c r="DW429" i="1"/>
  <c r="DL429" i="1"/>
  <c r="DA429" i="1"/>
  <c r="DS429" i="1"/>
  <c r="DH429" i="1"/>
  <c r="CW429" i="1"/>
  <c r="DQ429" i="1"/>
  <c r="DG429" i="1"/>
  <c r="CV429" i="1"/>
  <c r="DX429" i="1"/>
  <c r="DS413" i="1"/>
  <c r="DS421" i="1" s="1"/>
  <c r="DS775" i="1" s="1"/>
  <c r="DK413" i="1"/>
  <c r="DK421" i="1" s="1"/>
  <c r="DK775" i="1" s="1"/>
  <c r="DC413" i="1"/>
  <c r="DC421" i="1" s="1"/>
  <c r="DC775" i="1" s="1"/>
  <c r="CU413" i="1"/>
  <c r="CU421" i="1" s="1"/>
  <c r="CU775" i="1" s="1"/>
  <c r="DM429" i="1"/>
  <c r="DX413" i="1"/>
  <c r="DX421" i="1" s="1"/>
  <c r="DX775" i="1" s="1"/>
  <c r="DP413" i="1"/>
  <c r="DP421" i="1" s="1"/>
  <c r="DP775" i="1" s="1"/>
  <c r="DH413" i="1"/>
  <c r="DH421" i="1" s="1"/>
  <c r="DH775" i="1" s="1"/>
  <c r="CZ413" i="1"/>
  <c r="CZ421" i="1" s="1"/>
  <c r="CZ775" i="1" s="1"/>
  <c r="DC429" i="1"/>
  <c r="DW413" i="1"/>
  <c r="DW421" i="1" s="1"/>
  <c r="DW775" i="1" s="1"/>
  <c r="DO413" i="1"/>
  <c r="DO421" i="1" s="1"/>
  <c r="DO775" i="1" s="1"/>
  <c r="DG413" i="1"/>
  <c r="DG421" i="1" s="1"/>
  <c r="DG775" i="1" s="1"/>
  <c r="CY413" i="1"/>
  <c r="CY421" i="1" s="1"/>
  <c r="CY775" i="1" s="1"/>
  <c r="DT413" i="1"/>
  <c r="DT421" i="1" s="1"/>
  <c r="DT775" i="1" s="1"/>
  <c r="DL413" i="1"/>
  <c r="DL421" i="1" s="1"/>
  <c r="DL775" i="1" s="1"/>
  <c r="DD413" i="1"/>
  <c r="DD421" i="1" s="1"/>
  <c r="DD775" i="1" s="1"/>
  <c r="CV413" i="1"/>
  <c r="CV421" i="1" s="1"/>
  <c r="CV775" i="1" s="1"/>
  <c r="DU396" i="1"/>
  <c r="DM396" i="1"/>
  <c r="DE396" i="1"/>
  <c r="CW396" i="1"/>
  <c r="DT396" i="1"/>
  <c r="DL396" i="1"/>
  <c r="DD396" i="1"/>
  <c r="CV396" i="1"/>
  <c r="DQ396" i="1"/>
  <c r="DI396" i="1"/>
  <c r="DA396" i="1"/>
  <c r="DX396" i="1"/>
  <c r="DP396" i="1"/>
  <c r="DH396" i="1"/>
  <c r="CZ396" i="1"/>
  <c r="DX196" i="1"/>
  <c r="CD188" i="1"/>
  <c r="ET772" i="1"/>
  <c r="EF399" i="1"/>
  <c r="EF768" i="1" s="1"/>
  <c r="EX768" i="1"/>
  <c r="ES191" i="1"/>
  <c r="GM159" i="1"/>
  <c r="GM230" i="1" s="1"/>
  <c r="EL159" i="1"/>
  <c r="CB159" i="1"/>
  <c r="EW189" i="1"/>
  <c r="CG188" i="1"/>
  <c r="FF769" i="1"/>
  <c r="GP159" i="1"/>
  <c r="GP230" i="1" s="1"/>
  <c r="BP189" i="1"/>
  <c r="HZ437" i="1"/>
  <c r="HZ776" i="1" s="1"/>
  <c r="IB437" i="1"/>
  <c r="IB776" i="1" s="1"/>
  <c r="HK437" i="1"/>
  <c r="HK776" i="1" s="1"/>
  <c r="GF189" i="1"/>
  <c r="GA189" i="1"/>
  <c r="GL766" i="1"/>
  <c r="GS766" i="1"/>
  <c r="CL397" i="1"/>
  <c r="CL766" i="1" s="1"/>
  <c r="BU437" i="1"/>
  <c r="BU776" i="1" s="1"/>
  <c r="CF437" i="1"/>
  <c r="CF776" i="1" s="1"/>
  <c r="BP437" i="1"/>
  <c r="BP776" i="1" s="1"/>
  <c r="CD437" i="1"/>
  <c r="CD776" i="1" s="1"/>
  <c r="CB437" i="1"/>
  <c r="CB776" i="1" s="1"/>
  <c r="BX437" i="1"/>
  <c r="BX776" i="1" s="1"/>
  <c r="BO437" i="1"/>
  <c r="BO776" i="1" s="1"/>
  <c r="CE437" i="1"/>
  <c r="CE776" i="1" s="1"/>
  <c r="CU188" i="1"/>
  <c r="CX188" i="1"/>
  <c r="DA194" i="1"/>
  <c r="CV194" i="1"/>
  <c r="DC194" i="1"/>
  <c r="GI401" i="1"/>
  <c r="GI770" i="1" s="1"/>
  <c r="GT770" i="1"/>
  <c r="GC192" i="1"/>
  <c r="GF192" i="1"/>
  <c r="CW400" i="1"/>
  <c r="CW769" i="1" s="1"/>
  <c r="DP769" i="1"/>
  <c r="DG769" i="1"/>
  <c r="CD399" i="1"/>
  <c r="CD768" i="1" s="1"/>
  <c r="CV190" i="1"/>
  <c r="DA190" i="1"/>
  <c r="CZ766" i="1"/>
  <c r="DA397" i="1"/>
  <c r="DA766" i="1" s="1"/>
  <c r="DH437" i="1"/>
  <c r="DH776" i="1" s="1"/>
  <c r="DW437" i="1"/>
  <c r="DW776" i="1" s="1"/>
  <c r="CV437" i="1"/>
  <c r="CV776" i="1" s="1"/>
  <c r="DO437" i="1"/>
  <c r="DO776" i="1" s="1"/>
  <c r="DK437" i="1"/>
  <c r="DK776" i="1" s="1"/>
  <c r="DB437" i="1"/>
  <c r="DB776" i="1" s="1"/>
  <c r="DR437" i="1"/>
  <c r="DR776" i="1" s="1"/>
  <c r="CZ189" i="1"/>
  <c r="CY189" i="1"/>
  <c r="DT188" i="1"/>
  <c r="DO188" i="1"/>
  <c r="BV403" i="1"/>
  <c r="BV772" i="1" s="1"/>
  <c r="BV401" i="1"/>
  <c r="BV770" i="1" s="1"/>
  <c r="DE399" i="1"/>
  <c r="DE768" i="1" s="1"/>
  <c r="DH768" i="1"/>
  <c r="CU768" i="1"/>
  <c r="DK768" i="1"/>
  <c r="DL767" i="1"/>
  <c r="DX767" i="1"/>
  <c r="DO767" i="1"/>
  <c r="GF188" i="1"/>
  <c r="GE188" i="1"/>
  <c r="CZ772" i="1"/>
  <c r="CV772" i="1"/>
  <c r="CU772" i="1"/>
  <c r="DK772" i="1"/>
  <c r="CD402" i="1"/>
  <c r="CD771" i="1" s="1"/>
  <c r="DH771" i="1"/>
  <c r="DQ402" i="1"/>
  <c r="DQ771" i="1" s="1"/>
  <c r="CV771" i="1"/>
  <c r="CU771" i="1"/>
  <c r="DK771" i="1"/>
  <c r="FZ765" i="1"/>
  <c r="GA396" i="1"/>
  <c r="GR765" i="1"/>
  <c r="BI232" i="1" l="1"/>
  <c r="HT421" i="1"/>
  <c r="HT775" i="1" s="1"/>
  <c r="FP892" i="1"/>
  <c r="HH421" i="1"/>
  <c r="HH775" i="1" s="1"/>
  <c r="IB421" i="1"/>
  <c r="IB775" i="1" s="1"/>
  <c r="HV421" i="1"/>
  <c r="HV775" i="1" s="1"/>
  <c r="HX421" i="1"/>
  <c r="HX775" i="1" s="1"/>
  <c r="MB683" i="1"/>
  <c r="MB672" i="1"/>
  <c r="MB673" i="1"/>
  <c r="MB627" i="1"/>
  <c r="MB680" i="1"/>
  <c r="MB682" i="1"/>
  <c r="MB665" i="1"/>
  <c r="MB687" i="1"/>
  <c r="MB676" i="1"/>
  <c r="MB681" i="1"/>
  <c r="MB690" i="1"/>
  <c r="MB686" i="1"/>
  <c r="MB674" i="1"/>
  <c r="MB685" i="1"/>
  <c r="MB675" i="1"/>
  <c r="MB670" i="1"/>
  <c r="MB689" i="1"/>
  <c r="MB664" i="1"/>
  <c r="MB662" i="1"/>
  <c r="MB679" i="1"/>
  <c r="MB629" i="1"/>
  <c r="MB631" i="1"/>
  <c r="MB678" i="1"/>
  <c r="MB659" i="1"/>
  <c r="MB626" i="1"/>
  <c r="MB630" i="1"/>
  <c r="MB628" i="1"/>
  <c r="AH665" i="1"/>
  <c r="MB632" i="1"/>
  <c r="MB666" i="1"/>
  <c r="MB661" i="1"/>
  <c r="MB668" i="1"/>
  <c r="MB663" i="1"/>
  <c r="MB660" i="1"/>
  <c r="HY772" i="1"/>
  <c r="K783" i="1"/>
  <c r="HE421" i="1"/>
  <c r="HE775" i="1" s="1"/>
  <c r="AH783" i="1"/>
  <c r="HY421" i="1"/>
  <c r="HY775" i="1" s="1"/>
  <c r="JP665" i="1"/>
  <c r="LA701" i="1"/>
  <c r="LA700" i="1"/>
  <c r="LR679" i="1"/>
  <c r="LR660" i="1"/>
  <c r="HI421" i="1"/>
  <c r="HI775" i="1" s="1"/>
  <c r="ID421" i="1"/>
  <c r="ID775" i="1" s="1"/>
  <c r="HR421" i="1"/>
  <c r="HR775" i="1" s="1"/>
  <c r="HY196" i="1"/>
  <c r="HY347" i="1" s="1"/>
  <c r="AV374" i="1" s="1"/>
  <c r="KW404" i="1"/>
  <c r="KW455" i="1" s="1"/>
  <c r="ML690" i="1"/>
  <c r="ML689" i="1"/>
  <c r="LA663" i="1"/>
  <c r="ML675" i="1"/>
  <c r="LA662" i="1"/>
  <c r="ML680" i="1"/>
  <c r="ML663" i="1"/>
  <c r="ML662" i="1"/>
  <c r="MI404" i="1"/>
  <c r="MI455" i="1" s="1"/>
  <c r="LK404" i="1"/>
  <c r="LK455" i="1" s="1"/>
  <c r="JO404" i="1"/>
  <c r="JO455" i="1" s="1"/>
  <c r="KY404" i="1"/>
  <c r="KY455" i="1" s="1"/>
  <c r="MD404" i="1"/>
  <c r="MD455" i="1" s="1"/>
  <c r="MA404" i="1"/>
  <c r="MA455" i="1" s="1"/>
  <c r="JH404" i="1"/>
  <c r="JH455" i="1" s="1"/>
  <c r="HB196" i="1"/>
  <c r="HB347" i="1" s="1"/>
  <c r="Y374" i="1" s="1"/>
  <c r="JD404" i="1"/>
  <c r="JD455" i="1" s="1"/>
  <c r="HW196" i="1"/>
  <c r="HW347" i="1" s="1"/>
  <c r="AT374" i="1" s="1"/>
  <c r="BB886" i="1"/>
  <c r="BB892" i="1" s="1"/>
  <c r="HG421" i="1"/>
  <c r="HG775" i="1" s="1"/>
  <c r="LY404" i="1"/>
  <c r="LY455" i="1" s="1"/>
  <c r="IC772" i="1"/>
  <c r="HV772" i="1"/>
  <c r="M783" i="1"/>
  <c r="HG772" i="1"/>
  <c r="LS404" i="1"/>
  <c r="LS455" i="1" s="1"/>
  <c r="ML404" i="1"/>
  <c r="ML455" i="1" s="1"/>
  <c r="JZ404" i="1"/>
  <c r="JZ455" i="1" s="1"/>
  <c r="BI347" i="1"/>
  <c r="I370" i="1" s="1"/>
  <c r="T782" i="1"/>
  <c r="IV404" i="1"/>
  <c r="IV455" i="1" s="1"/>
  <c r="LW404" i="1"/>
  <c r="LW455" i="1" s="1"/>
  <c r="HA232" i="1"/>
  <c r="I273" i="1" s="1"/>
  <c r="HO421" i="1"/>
  <c r="HO775" i="1" s="1"/>
  <c r="JG404" i="1"/>
  <c r="JG455" i="1" s="1"/>
  <c r="LZ404" i="1"/>
  <c r="LZ455" i="1" s="1"/>
  <c r="MG404" i="1"/>
  <c r="MG455" i="1" s="1"/>
  <c r="IA772" i="1"/>
  <c r="IE421" i="1"/>
  <c r="IE775" i="1" s="1"/>
  <c r="HO772" i="1"/>
  <c r="IC196" i="1"/>
  <c r="IC347" i="1" s="1"/>
  <c r="AZ374" i="1" s="1"/>
  <c r="KG689" i="1"/>
  <c r="LR690" i="1"/>
  <c r="LR689" i="1"/>
  <c r="EE888" i="1"/>
  <c r="EE893" i="1" s="1"/>
  <c r="BQ196" i="1"/>
  <c r="BQ347" i="1" s="1"/>
  <c r="AF370" i="1" s="1"/>
  <c r="HQ421" i="1"/>
  <c r="HQ775" i="1" s="1"/>
  <c r="HC421" i="1"/>
  <c r="HC775" i="1" s="1"/>
  <c r="HF772" i="1"/>
  <c r="HC196" i="1"/>
  <c r="HC347" i="1" s="1"/>
  <c r="Z374" i="1" s="1"/>
  <c r="HP421" i="1"/>
  <c r="HP775" i="1" s="1"/>
  <c r="HF421" i="1"/>
  <c r="HF775" i="1" s="1"/>
  <c r="AP886" i="1"/>
  <c r="AP931" i="1" s="1"/>
  <c r="AX886" i="1"/>
  <c r="AX888" i="1" s="1"/>
  <c r="HB772" i="1"/>
  <c r="ME404" i="1"/>
  <c r="ME455" i="1" s="1"/>
  <c r="LR404" i="1"/>
  <c r="LR455" i="1" s="1"/>
  <c r="IA421" i="1"/>
  <c r="IA775" i="1" s="1"/>
  <c r="IV683" i="1"/>
  <c r="JW663" i="1"/>
  <c r="JW662" i="1"/>
  <c r="LR662" i="1"/>
  <c r="IS404" i="1"/>
  <c r="IS455" i="1" s="1"/>
  <c r="KU404" i="1"/>
  <c r="KU455" i="1" s="1"/>
  <c r="KX404" i="1"/>
  <c r="KX455" i="1" s="1"/>
  <c r="JC404" i="1"/>
  <c r="JC455" i="1" s="1"/>
  <c r="IW404" i="1"/>
  <c r="IW455" i="1" s="1"/>
  <c r="JM404" i="1"/>
  <c r="JM455" i="1" s="1"/>
  <c r="LM404" i="1"/>
  <c r="LM455" i="1" s="1"/>
  <c r="IU404" i="1"/>
  <c r="IU455" i="1" s="1"/>
  <c r="LN404" i="1"/>
  <c r="LN455" i="1" s="1"/>
  <c r="KP404" i="1"/>
  <c r="KP455" i="1" s="1"/>
  <c r="KG663" i="1"/>
  <c r="LH663" i="1"/>
  <c r="LH662" i="1"/>
  <c r="FX437" i="1"/>
  <c r="FX776" i="1" s="1"/>
  <c r="LR663" i="1"/>
  <c r="KG662" i="1"/>
  <c r="HX196" i="1"/>
  <c r="HX232" i="1" s="1"/>
  <c r="AU273" i="1" s="1"/>
  <c r="FS421" i="1"/>
  <c r="FS775" i="1" s="1"/>
  <c r="GI421" i="1"/>
  <c r="GI775" i="1" s="1"/>
  <c r="HC232" i="1"/>
  <c r="Z273" i="1" s="1"/>
  <c r="M663" i="1"/>
  <c r="M662" i="1"/>
  <c r="IR404" i="1"/>
  <c r="IR455" i="1" s="1"/>
  <c r="JL404" i="1"/>
  <c r="JL455" i="1" s="1"/>
  <c r="JA404" i="1"/>
  <c r="JA455" i="1" s="1"/>
  <c r="HI196" i="1"/>
  <c r="HI347" i="1" s="1"/>
  <c r="AF374" i="1" s="1"/>
  <c r="AR273" i="1"/>
  <c r="IB196" i="1"/>
  <c r="IB347" i="1" s="1"/>
  <c r="AY374" i="1" s="1"/>
  <c r="LJ404" i="1"/>
  <c r="LJ455" i="1" s="1"/>
  <c r="KH404" i="1"/>
  <c r="KH455" i="1" s="1"/>
  <c r="KE404" i="1"/>
  <c r="KE455" i="1" s="1"/>
  <c r="KA404" i="1"/>
  <c r="KA455" i="1" s="1"/>
  <c r="KG404" i="1"/>
  <c r="KG455" i="1" s="1"/>
  <c r="JY404" i="1"/>
  <c r="JY455" i="1" s="1"/>
  <c r="CK196" i="1"/>
  <c r="CK347" i="1" s="1"/>
  <c r="AZ370" i="1" s="1"/>
  <c r="HB421" i="1"/>
  <c r="HB775" i="1" s="1"/>
  <c r="HS421" i="1"/>
  <c r="HS775" i="1" s="1"/>
  <c r="HD772" i="1"/>
  <c r="HU421" i="1"/>
  <c r="HU775" i="1" s="1"/>
  <c r="N685" i="1"/>
  <c r="E259" i="1"/>
  <c r="HK772" i="1"/>
  <c r="HC772" i="1"/>
  <c r="IE772" i="1"/>
  <c r="HU772" i="1"/>
  <c r="HU347" i="1"/>
  <c r="HJ772" i="1"/>
  <c r="HM772" i="1"/>
  <c r="BN196" i="1"/>
  <c r="BN347" i="1" s="1"/>
  <c r="AC370" i="1" s="1"/>
  <c r="HD421" i="1"/>
  <c r="HD775" i="1" s="1"/>
  <c r="IC421" i="1"/>
  <c r="IC775" i="1" s="1"/>
  <c r="HJ421" i="1"/>
  <c r="HJ775" i="1" s="1"/>
  <c r="HK421" i="1"/>
  <c r="HK775" i="1" s="1"/>
  <c r="MC404" i="1"/>
  <c r="MC455" i="1" s="1"/>
  <c r="LR668" i="1"/>
  <c r="L697" i="1" s="1"/>
  <c r="LR680" i="1"/>
  <c r="LR665" i="1"/>
  <c r="F178" i="1"/>
  <c r="F176" i="1"/>
  <c r="HL772" i="1"/>
  <c r="HT772" i="1"/>
  <c r="H782" i="1"/>
  <c r="HG196" i="1"/>
  <c r="HG347" i="1" s="1"/>
  <c r="AD374" i="1" s="1"/>
  <c r="IN404" i="1"/>
  <c r="IN455" i="1" s="1"/>
  <c r="LO404" i="1"/>
  <c r="LO455" i="1" s="1"/>
  <c r="KM404" i="1"/>
  <c r="KM455" i="1" s="1"/>
  <c r="HE772" i="1"/>
  <c r="IO404" i="1"/>
  <c r="IO455" i="1" s="1"/>
  <c r="JK404" i="1"/>
  <c r="JK455" i="1" s="1"/>
  <c r="LV404" i="1"/>
  <c r="LV455" i="1" s="1"/>
  <c r="FR404" i="1"/>
  <c r="FR455" i="1" s="1"/>
  <c r="Z473" i="1" s="1"/>
  <c r="HZ196" i="1"/>
  <c r="HZ347" i="1" s="1"/>
  <c r="AW374" i="1" s="1"/>
  <c r="KJ660" i="1"/>
  <c r="JP683" i="1"/>
  <c r="H818" i="1"/>
  <c r="H833" i="1" s="1"/>
  <c r="IZ404" i="1"/>
  <c r="IZ455" i="1" s="1"/>
  <c r="GA196" i="1"/>
  <c r="GA232" i="1" s="1"/>
  <c r="AI272" i="1" s="1"/>
  <c r="FY421" i="1"/>
  <c r="FY775" i="1" s="1"/>
  <c r="HY437" i="1"/>
  <c r="HY776" i="1" s="1"/>
  <c r="MK404" i="1"/>
  <c r="MK455" i="1" s="1"/>
  <c r="HI772" i="1"/>
  <c r="GJ421" i="1"/>
  <c r="GJ775" i="1" s="1"/>
  <c r="GN421" i="1"/>
  <c r="GN775" i="1" s="1"/>
  <c r="FX421" i="1"/>
  <c r="FX775" i="1" s="1"/>
  <c r="GL437" i="1"/>
  <c r="GL776" i="1" s="1"/>
  <c r="GN437" i="1"/>
  <c r="GN776" i="1" s="1"/>
  <c r="GA772" i="1"/>
  <c r="GL772" i="1"/>
  <c r="HP772" i="1"/>
  <c r="GF437" i="1"/>
  <c r="GF776" i="1" s="1"/>
  <c r="GC421" i="1"/>
  <c r="GC775" i="1" s="1"/>
  <c r="GO421" i="1"/>
  <c r="GO775" i="1" s="1"/>
  <c r="GE421" i="1"/>
  <c r="GE775" i="1" s="1"/>
  <c r="FT437" i="1"/>
  <c r="FT776" i="1" s="1"/>
  <c r="EO347" i="1"/>
  <c r="AH372" i="1" s="1"/>
  <c r="BK196" i="1"/>
  <c r="BK347" i="1" s="1"/>
  <c r="Z370" i="1" s="1"/>
  <c r="HR772" i="1"/>
  <c r="KN404" i="1"/>
  <c r="KN455" i="1" s="1"/>
  <c r="KB404" i="1"/>
  <c r="KB455" i="1" s="1"/>
  <c r="LP404" i="1"/>
  <c r="LP455" i="1" s="1"/>
  <c r="GQ768" i="1"/>
  <c r="GC404" i="1"/>
  <c r="GC455" i="1" s="1"/>
  <c r="AK473" i="1" s="1"/>
  <c r="GG421" i="1"/>
  <c r="GG775" i="1" s="1"/>
  <c r="HQ772" i="1"/>
  <c r="ID772" i="1"/>
  <c r="IQ404" i="1"/>
  <c r="IQ455" i="1" s="1"/>
  <c r="HH196" i="1"/>
  <c r="HH232" i="1" s="1"/>
  <c r="AE273" i="1" s="1"/>
  <c r="FW421" i="1"/>
  <c r="FW775" i="1" s="1"/>
  <c r="GM421" i="1"/>
  <c r="GM775" i="1" s="1"/>
  <c r="FQ437" i="1"/>
  <c r="FQ776" i="1" s="1"/>
  <c r="E217" i="1"/>
  <c r="HW772" i="1"/>
  <c r="KI404" i="1"/>
  <c r="KI455" i="1" s="1"/>
  <c r="IY404" i="1"/>
  <c r="IY455" i="1" s="1"/>
  <c r="LQ404" i="1"/>
  <c r="LQ455" i="1" s="1"/>
  <c r="JI404" i="1"/>
  <c r="JI455" i="1" s="1"/>
  <c r="JP404" i="1"/>
  <c r="JP455" i="1" s="1"/>
  <c r="FV437" i="1"/>
  <c r="FV776" i="1" s="1"/>
  <c r="HH772" i="1"/>
  <c r="GF421" i="1"/>
  <c r="GF775" i="1" s="1"/>
  <c r="GF772" i="1"/>
  <c r="DQ196" i="1"/>
  <c r="DQ347" i="1" s="1"/>
  <c r="AU371" i="1" s="1"/>
  <c r="M665" i="1"/>
  <c r="HN772" i="1"/>
  <c r="KD404" i="1"/>
  <c r="KD455" i="1" s="1"/>
  <c r="HZ772" i="1"/>
  <c r="GH437" i="1"/>
  <c r="GH776" i="1" s="1"/>
  <c r="FX404" i="1"/>
  <c r="FX455" i="1" s="1"/>
  <c r="AF473" i="1" s="1"/>
  <c r="GC769" i="1"/>
  <c r="LA404" i="1"/>
  <c r="LA455" i="1" s="1"/>
  <c r="GT421" i="1"/>
  <c r="GT775" i="1" s="1"/>
  <c r="FT421" i="1"/>
  <c r="FT775" i="1" s="1"/>
  <c r="GH421" i="1"/>
  <c r="GH775" i="1" s="1"/>
  <c r="GS437" i="1"/>
  <c r="GS776" i="1" s="1"/>
  <c r="FR437" i="1"/>
  <c r="FR776" i="1" s="1"/>
  <c r="GB437" i="1"/>
  <c r="GB776" i="1" s="1"/>
  <c r="MB404" i="1"/>
  <c r="MB455" i="1" s="1"/>
  <c r="KR404" i="1"/>
  <c r="KR455" i="1" s="1"/>
  <c r="GT772" i="1"/>
  <c r="KO404" i="1"/>
  <c r="KO455" i="1" s="1"/>
  <c r="GS421" i="1"/>
  <c r="GS775" i="1" s="1"/>
  <c r="GC437" i="1"/>
  <c r="GC776" i="1" s="1"/>
  <c r="GK437" i="1"/>
  <c r="GK776" i="1" s="1"/>
  <c r="HD196" i="1"/>
  <c r="HD347" i="1" s="1"/>
  <c r="AA374" i="1" s="1"/>
  <c r="FW769" i="1"/>
  <c r="GH769" i="1"/>
  <c r="GQ769" i="1"/>
  <c r="FV769" i="1"/>
  <c r="FX769" i="1"/>
  <c r="GN769" i="1"/>
  <c r="FU769" i="1"/>
  <c r="GK769" i="1"/>
  <c r="FV421" i="1"/>
  <c r="FV775" i="1" s="1"/>
  <c r="GA421" i="1"/>
  <c r="GA775" i="1" s="1"/>
  <c r="GQ421" i="1"/>
  <c r="GQ775" i="1" s="1"/>
  <c r="DD232" i="1"/>
  <c r="AH270" i="1" s="1"/>
  <c r="LU404" i="1"/>
  <c r="LU455" i="1" s="1"/>
  <c r="HJ196" i="1"/>
  <c r="HJ347" i="1" s="1"/>
  <c r="AG374" i="1" s="1"/>
  <c r="FY437" i="1"/>
  <c r="FY776" i="1" s="1"/>
  <c r="FI347" i="1"/>
  <c r="M372" i="1" s="1"/>
  <c r="EE894" i="1"/>
  <c r="FV768" i="1"/>
  <c r="GD768" i="1"/>
  <c r="GP768" i="1"/>
  <c r="FS768" i="1"/>
  <c r="GG437" i="1"/>
  <c r="GG776" i="1" s="1"/>
  <c r="GB768" i="1"/>
  <c r="GR768" i="1"/>
  <c r="GK421" i="1"/>
  <c r="GK775" i="1" s="1"/>
  <c r="GD437" i="1"/>
  <c r="GD776" i="1" s="1"/>
  <c r="FQ768" i="1"/>
  <c r="GG404" i="1"/>
  <c r="FQ421" i="1"/>
  <c r="FQ775" i="1" s="1"/>
  <c r="GL421" i="1"/>
  <c r="GL775" i="1" s="1"/>
  <c r="GE437" i="1"/>
  <c r="GE776" i="1" s="1"/>
  <c r="GR437" i="1"/>
  <c r="GR776" i="1" s="1"/>
  <c r="HG230" i="1"/>
  <c r="FZ772" i="1"/>
  <c r="GI772" i="1"/>
  <c r="FZ437" i="1"/>
  <c r="FZ776" i="1" s="1"/>
  <c r="GT437" i="1"/>
  <c r="GT776" i="1" s="1"/>
  <c r="FU421" i="1"/>
  <c r="FU775" i="1" s="1"/>
  <c r="GP421" i="1"/>
  <c r="GP775" i="1" s="1"/>
  <c r="GS772" i="1"/>
  <c r="FU437" i="1"/>
  <c r="FU776" i="1" s="1"/>
  <c r="BR196" i="1"/>
  <c r="BR347" i="1" s="1"/>
  <c r="AG370" i="1" s="1"/>
  <c r="LA665" i="1"/>
  <c r="E255" i="1"/>
  <c r="HS772" i="1"/>
  <c r="GD196" i="1"/>
  <c r="GD347" i="1" s="1"/>
  <c r="AL373" i="1" s="1"/>
  <c r="FR421" i="1"/>
  <c r="FR775" i="1" s="1"/>
  <c r="GI437" i="1"/>
  <c r="GI776" i="1" s="1"/>
  <c r="GR421" i="1"/>
  <c r="GR775" i="1" s="1"/>
  <c r="FQ772" i="1"/>
  <c r="DW196" i="1"/>
  <c r="DW347" i="1" s="1"/>
  <c r="BA371" i="1" s="1"/>
  <c r="ML661" i="1"/>
  <c r="X660" i="1"/>
  <c r="AH678" i="1"/>
  <c r="JP676" i="1"/>
  <c r="LA659" i="1"/>
  <c r="LA681" i="1"/>
  <c r="KG678" i="1"/>
  <c r="KB621" i="1"/>
  <c r="X664" i="1"/>
  <c r="JE404" i="1"/>
  <c r="JE455" i="1" s="1"/>
  <c r="GT232" i="1"/>
  <c r="M272" i="1" s="1"/>
  <c r="L269" i="1"/>
  <c r="CC347" i="1"/>
  <c r="KT404" i="1"/>
  <c r="KT455" i="1" s="1"/>
  <c r="HX772" i="1"/>
  <c r="KL404" i="1"/>
  <c r="KL455" i="1" s="1"/>
  <c r="HA347" i="1"/>
  <c r="I374" i="1" s="1"/>
  <c r="HB230" i="1"/>
  <c r="GD421" i="1"/>
  <c r="GD775" i="1" s="1"/>
  <c r="GK404" i="1"/>
  <c r="GK455" i="1" s="1"/>
  <c r="AS473" i="1" s="1"/>
  <c r="BP196" i="1"/>
  <c r="BP232" i="1" s="1"/>
  <c r="AE269" i="1" s="1"/>
  <c r="HY230" i="1"/>
  <c r="HA894" i="1"/>
  <c r="FZ768" i="1"/>
  <c r="GI768" i="1"/>
  <c r="FW437" i="1"/>
  <c r="FW776" i="1" s="1"/>
  <c r="GA437" i="1"/>
  <c r="GA776" i="1" s="1"/>
  <c r="GM437" i="1"/>
  <c r="GM776" i="1" s="1"/>
  <c r="GJ768" i="1"/>
  <c r="FZ421" i="1"/>
  <c r="FZ775" i="1" s="1"/>
  <c r="FS437" i="1"/>
  <c r="FS776" i="1" s="1"/>
  <c r="GO437" i="1"/>
  <c r="GO776" i="1" s="1"/>
  <c r="FY404" i="1"/>
  <c r="GO404" i="1"/>
  <c r="GO455" i="1" s="1"/>
  <c r="AW473" i="1" s="1"/>
  <c r="GB421" i="1"/>
  <c r="GB775" i="1" s="1"/>
  <c r="GP437" i="1"/>
  <c r="GP776" i="1" s="1"/>
  <c r="GJ437" i="1"/>
  <c r="GJ776" i="1" s="1"/>
  <c r="BL196" i="1"/>
  <c r="BL232" i="1" s="1"/>
  <c r="AA269" i="1" s="1"/>
  <c r="BS347" i="1"/>
  <c r="K370" i="1" s="1"/>
  <c r="GE772" i="1"/>
  <c r="FS772" i="1"/>
  <c r="FX772" i="1"/>
  <c r="GN772" i="1"/>
  <c r="GQ437" i="1"/>
  <c r="GQ776" i="1" s="1"/>
  <c r="DV196" i="1"/>
  <c r="DV347" i="1" s="1"/>
  <c r="AZ371" i="1" s="1"/>
  <c r="FZ769" i="1"/>
  <c r="AH683" i="1"/>
  <c r="BI894" i="1"/>
  <c r="IB772" i="1"/>
  <c r="DL404" i="1"/>
  <c r="DL765" i="1"/>
  <c r="EN765" i="1"/>
  <c r="EN404" i="1"/>
  <c r="ER765" i="1"/>
  <c r="ER404" i="1"/>
  <c r="ER455" i="1" s="1"/>
  <c r="AK472" i="1" s="1"/>
  <c r="EK765" i="1"/>
  <c r="EK404" i="1"/>
  <c r="FA765" i="1"/>
  <c r="FA404" i="1"/>
  <c r="FA455" i="1" s="1"/>
  <c r="AT472" i="1" s="1"/>
  <c r="DB196" i="1"/>
  <c r="DB347" i="1" s="1"/>
  <c r="AF371" i="1" s="1"/>
  <c r="DP196" i="1"/>
  <c r="DP232" i="1" s="1"/>
  <c r="AT270" i="1" s="1"/>
  <c r="AH271" i="1"/>
  <c r="K271" i="1"/>
  <c r="D257" i="1"/>
  <c r="FV196" i="1"/>
  <c r="FV232" i="1" s="1"/>
  <c r="AD272" i="1" s="1"/>
  <c r="AY783" i="1"/>
  <c r="AY886" i="1"/>
  <c r="DR196" i="1"/>
  <c r="DR347" i="1" s="1"/>
  <c r="AV371" i="1" s="1"/>
  <c r="GO196" i="1"/>
  <c r="GO232" i="1" s="1"/>
  <c r="AW272" i="1" s="1"/>
  <c r="HU765" i="1"/>
  <c r="HU404" i="1"/>
  <c r="HU455" i="1" s="1"/>
  <c r="HS765" i="1"/>
  <c r="HS404" i="1"/>
  <c r="LA673" i="1"/>
  <c r="AH675" i="1"/>
  <c r="AH670" i="1"/>
  <c r="BB676" i="1"/>
  <c r="AH680" i="1"/>
  <c r="JP681" i="1"/>
  <c r="LA680" i="1"/>
  <c r="IV665" i="1"/>
  <c r="IY665" i="1" s="1"/>
  <c r="M659" i="1"/>
  <c r="M666" i="1"/>
  <c r="JP659" i="1"/>
  <c r="JP666" i="1"/>
  <c r="M661" i="1"/>
  <c r="JP661" i="1"/>
  <c r="LA686" i="1"/>
  <c r="BB664" i="1"/>
  <c r="LR675" i="1"/>
  <c r="IV679" i="1"/>
  <c r="BB675" i="1"/>
  <c r="BB670" i="1"/>
  <c r="LR674" i="1"/>
  <c r="LR670" i="1"/>
  <c r="LR685" i="1"/>
  <c r="JW661" i="1"/>
  <c r="JZ661" i="1" s="1"/>
  <c r="ML681" i="1"/>
  <c r="AH664" i="1"/>
  <c r="KG676" i="1"/>
  <c r="KG687" i="1"/>
  <c r="LR678" i="1"/>
  <c r="IL660" i="1"/>
  <c r="IO660" i="1" s="1"/>
  <c r="LH660" i="1"/>
  <c r="K748" i="1" s="1"/>
  <c r="LA678" i="1"/>
  <c r="KG665" i="1"/>
  <c r="EQ230" i="1"/>
  <c r="IX404" i="1"/>
  <c r="IX455" i="1" s="1"/>
  <c r="EI230" i="1"/>
  <c r="MF404" i="1"/>
  <c r="MF455" i="1" s="1"/>
  <c r="Z892" i="1"/>
  <c r="Z888" i="1"/>
  <c r="Z931" i="1"/>
  <c r="GI404" i="1"/>
  <c r="DL196" i="1"/>
  <c r="DL232" i="1" s="1"/>
  <c r="AP270" i="1" s="1"/>
  <c r="DG196" i="1"/>
  <c r="DG347" i="1" s="1"/>
  <c r="AK371" i="1" s="1"/>
  <c r="AH371" i="1"/>
  <c r="K371" i="1"/>
  <c r="BM765" i="1"/>
  <c r="BM404" i="1"/>
  <c r="E214" i="1"/>
  <c r="F214" i="1" s="1"/>
  <c r="CM232" i="1"/>
  <c r="CL765" i="1"/>
  <c r="CL404" i="1"/>
  <c r="BJ765" i="1"/>
  <c r="BJ404" i="1"/>
  <c r="BS765" i="1"/>
  <c r="BS404" i="1"/>
  <c r="BS455" i="1" s="1"/>
  <c r="CI765" i="1"/>
  <c r="CI404" i="1"/>
  <c r="CI455" i="1" s="1"/>
  <c r="AX470" i="1" s="1"/>
  <c r="BL765" i="1"/>
  <c r="BL404" i="1"/>
  <c r="BL455" i="1" s="1"/>
  <c r="AA470" i="1" s="1"/>
  <c r="CB765" i="1"/>
  <c r="CB404" i="1"/>
  <c r="K270" i="1"/>
  <c r="GJ404" i="1"/>
  <c r="GE196" i="1"/>
  <c r="GE232" i="1" s="1"/>
  <c r="AM272" i="1" s="1"/>
  <c r="CB230" i="1"/>
  <c r="DQ765" i="1"/>
  <c r="DQ404" i="1"/>
  <c r="DQ455" i="1" s="1"/>
  <c r="AU471" i="1" s="1"/>
  <c r="DV765" i="1"/>
  <c r="DV404" i="1"/>
  <c r="DW765" i="1"/>
  <c r="DW404" i="1"/>
  <c r="DW455" i="1" s="1"/>
  <c r="BA471" i="1" s="1"/>
  <c r="BT196" i="1"/>
  <c r="BT232" i="1" s="1"/>
  <c r="AI269" i="1" s="1"/>
  <c r="AM783" i="1"/>
  <c r="AM886" i="1"/>
  <c r="CV196" i="1"/>
  <c r="CV232" i="1" s="1"/>
  <c r="Z270" i="1" s="1"/>
  <c r="GP196" i="1"/>
  <c r="GP232" i="1" s="1"/>
  <c r="AX272" i="1" s="1"/>
  <c r="HQ765" i="1"/>
  <c r="HQ404" i="1"/>
  <c r="HQ455" i="1" s="1"/>
  <c r="AN474" i="1" s="1"/>
  <c r="HP765" i="1"/>
  <c r="HP404" i="1"/>
  <c r="HP455" i="1" s="1"/>
  <c r="AM474" i="1" s="1"/>
  <c r="KG664" i="1"/>
  <c r="KG666" i="1"/>
  <c r="KG668" i="1"/>
  <c r="J697" i="1" s="1"/>
  <c r="BB681" i="1"/>
  <c r="GA765" i="1"/>
  <c r="GA404" i="1"/>
  <c r="GA455" i="1" s="1"/>
  <c r="AI473" i="1" s="1"/>
  <c r="GF196" i="1"/>
  <c r="GF347" i="1" s="1"/>
  <c r="AN373" i="1" s="1"/>
  <c r="DO196" i="1"/>
  <c r="DO232" i="1" s="1"/>
  <c r="AS270" i="1" s="1"/>
  <c r="CX196" i="1"/>
  <c r="CX232" i="1" s="1"/>
  <c r="AB270" i="1" s="1"/>
  <c r="E215" i="1"/>
  <c r="DX232" i="1"/>
  <c r="DX765" i="1"/>
  <c r="DX404" i="1"/>
  <c r="DX347" i="1"/>
  <c r="DT765" i="1"/>
  <c r="DT404" i="1"/>
  <c r="DU765" i="1"/>
  <c r="DU404" i="1"/>
  <c r="DJ765" i="1"/>
  <c r="DJ404" i="1"/>
  <c r="DJ455" i="1" s="1"/>
  <c r="AN471" i="1" s="1"/>
  <c r="CU765" i="1"/>
  <c r="CU404" i="1"/>
  <c r="DK765" i="1"/>
  <c r="DK404" i="1"/>
  <c r="HF196" i="1"/>
  <c r="HF232" i="1" s="1"/>
  <c r="DB230" i="1"/>
  <c r="BO196" i="1"/>
  <c r="BO232" i="1" s="1"/>
  <c r="AD269" i="1" s="1"/>
  <c r="EI196" i="1"/>
  <c r="EI232" i="1" s="1"/>
  <c r="AB271" i="1" s="1"/>
  <c r="EJ196" i="1"/>
  <c r="EJ232" i="1" s="1"/>
  <c r="HQ196" i="1"/>
  <c r="HQ232" i="1" s="1"/>
  <c r="AN273" i="1" s="1"/>
  <c r="HO196" i="1"/>
  <c r="HO347" i="1" s="1"/>
  <c r="AL374" i="1" s="1"/>
  <c r="HT196" i="1"/>
  <c r="HT347" i="1" s="1"/>
  <c r="AQ374" i="1" s="1"/>
  <c r="FC765" i="1"/>
  <c r="FC404" i="1"/>
  <c r="FC455" i="1" s="1"/>
  <c r="AV472" i="1" s="1"/>
  <c r="EV765" i="1"/>
  <c r="EV404" i="1"/>
  <c r="EV455" i="1" s="1"/>
  <c r="AO472" i="1" s="1"/>
  <c r="EY765" i="1"/>
  <c r="EY404" i="1"/>
  <c r="EY455" i="1" s="1"/>
  <c r="EZ765" i="1"/>
  <c r="EZ404" i="1"/>
  <c r="EO765" i="1"/>
  <c r="EO404" i="1"/>
  <c r="FE765" i="1"/>
  <c r="FE404" i="1"/>
  <c r="FE455" i="1" s="1"/>
  <c r="AX472" i="1" s="1"/>
  <c r="EH765" i="1"/>
  <c r="EH404" i="1"/>
  <c r="EH455" i="1" s="1"/>
  <c r="AA472" i="1" s="1"/>
  <c r="EX404" i="1"/>
  <c r="EX455" i="1" s="1"/>
  <c r="AQ472" i="1" s="1"/>
  <c r="EX765" i="1"/>
  <c r="JN404" i="1"/>
  <c r="JN455" i="1" s="1"/>
  <c r="IP404" i="1"/>
  <c r="IP455" i="1" s="1"/>
  <c r="AD931" i="1"/>
  <c r="AD888" i="1"/>
  <c r="AD892" i="1"/>
  <c r="CY196" i="1"/>
  <c r="CY232" i="1" s="1"/>
  <c r="GL768" i="1"/>
  <c r="GT768" i="1"/>
  <c r="FR768" i="1"/>
  <c r="GA768" i="1"/>
  <c r="GF768" i="1"/>
  <c r="FU768" i="1"/>
  <c r="GK768" i="1"/>
  <c r="AG931" i="1"/>
  <c r="AG892" i="1"/>
  <c r="AG888" i="1"/>
  <c r="AH931" i="1"/>
  <c r="AH888" i="1"/>
  <c r="AH892" i="1"/>
  <c r="FV404" i="1"/>
  <c r="EX196" i="1"/>
  <c r="EX232" i="1" s="1"/>
  <c r="AQ271" i="1" s="1"/>
  <c r="ES196" i="1"/>
  <c r="ES232" i="1" s="1"/>
  <c r="AL271" i="1" s="1"/>
  <c r="FX196" i="1"/>
  <c r="FX232" i="1" s="1"/>
  <c r="AF272" i="1" s="1"/>
  <c r="D217" i="1"/>
  <c r="FP232" i="1"/>
  <c r="I272" i="1" s="1"/>
  <c r="FP347" i="1"/>
  <c r="I373" i="1" s="1"/>
  <c r="HI230" i="1"/>
  <c r="I269" i="1"/>
  <c r="C250" i="1"/>
  <c r="BU196" i="1"/>
  <c r="BU232" i="1" s="1"/>
  <c r="AJ269" i="1" s="1"/>
  <c r="BX196" i="1"/>
  <c r="BX347" i="1" s="1"/>
  <c r="AM370" i="1" s="1"/>
  <c r="FE196" i="1"/>
  <c r="FE232" i="1" s="1"/>
  <c r="AX271" i="1" s="1"/>
  <c r="FG196" i="1"/>
  <c r="FG232" i="1" s="1"/>
  <c r="AZ271" i="1" s="1"/>
  <c r="FH196" i="1"/>
  <c r="FH232" i="1" s="1"/>
  <c r="BA271" i="1" s="1"/>
  <c r="CH230" i="1"/>
  <c r="HF230" i="1"/>
  <c r="AK931" i="1"/>
  <c r="AK892" i="1"/>
  <c r="AK888" i="1"/>
  <c r="DE230" i="1"/>
  <c r="AL888" i="1"/>
  <c r="AL931" i="1"/>
  <c r="AL892" i="1"/>
  <c r="HT230" i="1"/>
  <c r="FW772" i="1"/>
  <c r="GH772" i="1"/>
  <c r="GQ772" i="1"/>
  <c r="FV772" i="1"/>
  <c r="FT772" i="1"/>
  <c r="GJ772" i="1"/>
  <c r="GG772" i="1"/>
  <c r="DR230" i="1"/>
  <c r="CD230" i="1"/>
  <c r="GP404" i="1"/>
  <c r="GH196" i="1"/>
  <c r="GH232" i="1" s="1"/>
  <c r="AP272" i="1" s="1"/>
  <c r="DU196" i="1"/>
  <c r="DU232" i="1" s="1"/>
  <c r="AY270" i="1" s="1"/>
  <c r="BM196" i="1"/>
  <c r="BM232" i="1" s="1"/>
  <c r="AB269" i="1" s="1"/>
  <c r="BJ196" i="1"/>
  <c r="BJ232" i="1" s="1"/>
  <c r="Y269" i="1" s="1"/>
  <c r="GR196" i="1"/>
  <c r="GR232" i="1" s="1"/>
  <c r="AZ272" i="1" s="1"/>
  <c r="GS196" i="1"/>
  <c r="GS232" i="1" s="1"/>
  <c r="BA272" i="1" s="1"/>
  <c r="GJ347" i="1"/>
  <c r="F180" i="1"/>
  <c r="FX230" i="1"/>
  <c r="IC765" i="1"/>
  <c r="IC404" i="1"/>
  <c r="IC455" i="1" s="1"/>
  <c r="AZ474" i="1" s="1"/>
  <c r="HV765" i="1"/>
  <c r="HV404" i="1"/>
  <c r="HV455" i="1" s="1"/>
  <c r="AS474" i="1" s="1"/>
  <c r="HY765" i="1"/>
  <c r="HY404" i="1"/>
  <c r="HY455" i="1" s="1"/>
  <c r="AV474" i="1" s="1"/>
  <c r="HZ765" i="1"/>
  <c r="HZ404" i="1"/>
  <c r="HG765" i="1"/>
  <c r="HG404" i="1"/>
  <c r="HG455" i="1" s="1"/>
  <c r="AD474" i="1" s="1"/>
  <c r="HW765" i="1"/>
  <c r="HW404" i="1"/>
  <c r="HW455" i="1" s="1"/>
  <c r="AT474" i="1" s="1"/>
  <c r="HD765" i="1"/>
  <c r="HD404" i="1"/>
  <c r="HD455" i="1" s="1"/>
  <c r="AA474" i="1" s="1"/>
  <c r="HT765" i="1"/>
  <c r="HT404" i="1"/>
  <c r="GE769" i="1"/>
  <c r="GP769" i="1"/>
  <c r="FS769" i="1"/>
  <c r="GD769" i="1"/>
  <c r="GB769" i="1"/>
  <c r="GR769" i="1"/>
  <c r="FY769" i="1"/>
  <c r="GO769" i="1"/>
  <c r="HS230" i="1"/>
  <c r="CJ196" i="1"/>
  <c r="CJ232" i="1" s="1"/>
  <c r="AY269" i="1" s="1"/>
  <c r="ML686" i="1"/>
  <c r="BB682" i="1"/>
  <c r="LA666" i="1"/>
  <c r="LA668" i="1"/>
  <c r="LA697" i="1" s="1"/>
  <c r="LA664" i="1"/>
  <c r="KG661" i="1"/>
  <c r="AH676" i="1"/>
  <c r="ML678" i="1"/>
  <c r="IV685" i="1"/>
  <c r="IV670" i="1"/>
  <c r="IV674" i="1"/>
  <c r="LR661" i="1"/>
  <c r="BB678" i="1"/>
  <c r="IV672" i="1"/>
  <c r="JW664" i="1"/>
  <c r="JZ664" i="1" s="1"/>
  <c r="ML673" i="1"/>
  <c r="AH666" i="1"/>
  <c r="AH659" i="1"/>
  <c r="KG685" i="1"/>
  <c r="KG670" i="1"/>
  <c r="KG674" i="1"/>
  <c r="AH661" i="1"/>
  <c r="KG672" i="1"/>
  <c r="LR686" i="1"/>
  <c r="IV689" i="1"/>
  <c r="IV675" i="1"/>
  <c r="IV682" i="1"/>
  <c r="JP679" i="1"/>
  <c r="JW665" i="1"/>
  <c r="JZ665" i="1" s="1"/>
  <c r="ML683" i="1"/>
  <c r="JW666" i="1"/>
  <c r="JZ666" i="1" s="1"/>
  <c r="JW659" i="1"/>
  <c r="JZ659" i="1" s="1"/>
  <c r="ML682" i="1"/>
  <c r="KG681" i="1"/>
  <c r="KG620" i="1"/>
  <c r="IL664" i="1"/>
  <c r="IO664" i="1" s="1"/>
  <c r="LH664" i="1"/>
  <c r="IV660" i="1"/>
  <c r="IY660" i="1" s="1"/>
  <c r="BB683" i="1"/>
  <c r="LA683" i="1"/>
  <c r="N687" i="1"/>
  <c r="N686" i="1"/>
  <c r="AB783" i="1"/>
  <c r="AB886" i="1"/>
  <c r="AR783" i="1"/>
  <c r="AR886" i="1"/>
  <c r="L783" i="1"/>
  <c r="KV404" i="1"/>
  <c r="KV455" i="1" s="1"/>
  <c r="MJ404" i="1"/>
  <c r="MJ455" i="1" s="1"/>
  <c r="BA886" i="1"/>
  <c r="BA783" i="1"/>
  <c r="FP894" i="1"/>
  <c r="GF765" i="1"/>
  <c r="GF404" i="1"/>
  <c r="GF455" i="1" s="1"/>
  <c r="AN473" i="1" s="1"/>
  <c r="GL404" i="1"/>
  <c r="CI196" i="1"/>
  <c r="CI232" i="1" s="1"/>
  <c r="AX269" i="1" s="1"/>
  <c r="DE196" i="1"/>
  <c r="DE347" i="1" s="1"/>
  <c r="AI371" i="1" s="1"/>
  <c r="DF196" i="1"/>
  <c r="DF232" i="1" s="1"/>
  <c r="AJ270" i="1" s="1"/>
  <c r="BU765" i="1"/>
  <c r="BU404" i="1"/>
  <c r="BN765" i="1"/>
  <c r="BN404" i="1"/>
  <c r="BQ765" i="1"/>
  <c r="BQ404" i="1"/>
  <c r="BQ455" i="1" s="1"/>
  <c r="AF470" i="1" s="1"/>
  <c r="BR765" i="1"/>
  <c r="BR404" i="1"/>
  <c r="BR455" i="1" s="1"/>
  <c r="AG470" i="1" s="1"/>
  <c r="CM347" i="1"/>
  <c r="BW765" i="1"/>
  <c r="BW404" i="1"/>
  <c r="BW455" i="1" s="1"/>
  <c r="AL470" i="1" s="1"/>
  <c r="CM765" i="1"/>
  <c r="CM404" i="1"/>
  <c r="BP765" i="1"/>
  <c r="BP404" i="1"/>
  <c r="CF765" i="1"/>
  <c r="CF404" i="1"/>
  <c r="CF455" i="1" s="1"/>
  <c r="AU470" i="1" s="1"/>
  <c r="DH230" i="1"/>
  <c r="CT894" i="1"/>
  <c r="DI230" i="1"/>
  <c r="FZ232" i="1"/>
  <c r="FS404" i="1"/>
  <c r="GN404" i="1"/>
  <c r="DP765" i="1"/>
  <c r="DP404" i="1"/>
  <c r="DP455" i="1" s="1"/>
  <c r="AT471" i="1" s="1"/>
  <c r="DG765" i="1"/>
  <c r="DG404" i="1"/>
  <c r="HP196" i="1"/>
  <c r="HP347" i="1" s="1"/>
  <c r="AM374" i="1" s="1"/>
  <c r="EQ765" i="1"/>
  <c r="EQ404" i="1"/>
  <c r="EQ455" i="1" s="1"/>
  <c r="AJ472" i="1" s="1"/>
  <c r="ET765" i="1"/>
  <c r="ET404" i="1"/>
  <c r="ET455" i="1" s="1"/>
  <c r="AM472" i="1" s="1"/>
  <c r="AJ783" i="1"/>
  <c r="AJ886" i="1"/>
  <c r="EW230" i="1"/>
  <c r="FY196" i="1"/>
  <c r="FY232" i="1" s="1"/>
  <c r="AG272" i="1" s="1"/>
  <c r="BZ196" i="1"/>
  <c r="BZ232" i="1" s="1"/>
  <c r="AO269" i="1" s="1"/>
  <c r="FD196" i="1"/>
  <c r="FD347" i="1" s="1"/>
  <c r="AW372" i="1" s="1"/>
  <c r="HO230" i="1"/>
  <c r="AI783" i="1"/>
  <c r="AI886" i="1"/>
  <c r="MK889" i="1"/>
  <c r="MG889" i="1"/>
  <c r="MC889" i="1"/>
  <c r="LY889" i="1"/>
  <c r="LU889" i="1"/>
  <c r="LQ889" i="1"/>
  <c r="LM889" i="1"/>
  <c r="LI889" i="1"/>
  <c r="LI890" i="1" s="1"/>
  <c r="KY889" i="1"/>
  <c r="KU889" i="1"/>
  <c r="KQ889" i="1"/>
  <c r="KM889" i="1"/>
  <c r="KI889" i="1"/>
  <c r="KE889" i="1"/>
  <c r="KA889" i="1"/>
  <c r="JW889" i="1"/>
  <c r="JW890" i="1" s="1"/>
  <c r="JM889" i="1"/>
  <c r="JI889" i="1"/>
  <c r="JE889" i="1"/>
  <c r="JA889" i="1"/>
  <c r="IW889" i="1"/>
  <c r="IS889" i="1"/>
  <c r="IO889" i="1"/>
  <c r="IO890" i="1" s="1"/>
  <c r="IE889" i="1"/>
  <c r="IA889" i="1"/>
  <c r="HW889" i="1"/>
  <c r="HS889" i="1"/>
  <c r="HO889" i="1"/>
  <c r="HK889" i="1"/>
  <c r="HG889" i="1"/>
  <c r="HC889" i="1"/>
  <c r="GS889" i="1"/>
  <c r="GO889" i="1"/>
  <c r="GK889" i="1"/>
  <c r="GG889" i="1"/>
  <c r="GC889" i="1"/>
  <c r="FY889" i="1"/>
  <c r="FU889" i="1"/>
  <c r="FQ889" i="1"/>
  <c r="FG889" i="1"/>
  <c r="FC889" i="1"/>
  <c r="EY889" i="1"/>
  <c r="EU889" i="1"/>
  <c r="EQ889" i="1"/>
  <c r="EM889" i="1"/>
  <c r="EI889" i="1"/>
  <c r="EE889" i="1"/>
  <c r="DU889" i="1"/>
  <c r="DQ889" i="1"/>
  <c r="DM889" i="1"/>
  <c r="DI889" i="1"/>
  <c r="DE889" i="1"/>
  <c r="DA889" i="1"/>
  <c r="CW889" i="1"/>
  <c r="CM889" i="1"/>
  <c r="CI889" i="1"/>
  <c r="CE889" i="1"/>
  <c r="CA889" i="1"/>
  <c r="BW889" i="1"/>
  <c r="BS889" i="1"/>
  <c r="BO889" i="1"/>
  <c r="BK889" i="1"/>
  <c r="BA889" i="1"/>
  <c r="AW889" i="1"/>
  <c r="AS889" i="1"/>
  <c r="AO889" i="1"/>
  <c r="AK889" i="1"/>
  <c r="AG889" i="1"/>
  <c r="AC889" i="1"/>
  <c r="Y889" i="1"/>
  <c r="O890" i="1"/>
  <c r="MH889" i="1"/>
  <c r="MB889" i="1"/>
  <c r="LW889" i="1"/>
  <c r="LR889" i="1"/>
  <c r="LL889" i="1"/>
  <c r="LA889" i="1"/>
  <c r="KV889" i="1"/>
  <c r="KP889" i="1"/>
  <c r="KK889" i="1"/>
  <c r="KF889" i="1"/>
  <c r="JZ889" i="1"/>
  <c r="JZ890" i="1" s="1"/>
  <c r="JO889" i="1"/>
  <c r="JJ889" i="1"/>
  <c r="JD889" i="1"/>
  <c r="IY889" i="1"/>
  <c r="IT889" i="1"/>
  <c r="IN889" i="1"/>
  <c r="IN890" i="1" s="1"/>
  <c r="IC889" i="1"/>
  <c r="HX889" i="1"/>
  <c r="HR889" i="1"/>
  <c r="HM889" i="1"/>
  <c r="HH889" i="1"/>
  <c r="HB889" i="1"/>
  <c r="GQ889" i="1"/>
  <c r="GL889" i="1"/>
  <c r="GF889" i="1"/>
  <c r="GA889" i="1"/>
  <c r="FV889" i="1"/>
  <c r="FP889" i="1"/>
  <c r="FP890" i="1" s="1"/>
  <c r="FE889" i="1"/>
  <c r="EZ889" i="1"/>
  <c r="ET889" i="1"/>
  <c r="EO889" i="1"/>
  <c r="EJ889" i="1"/>
  <c r="DX889" i="1"/>
  <c r="DS889" i="1"/>
  <c r="DN889" i="1"/>
  <c r="DH889" i="1"/>
  <c r="DC889" i="1"/>
  <c r="CX889" i="1"/>
  <c r="CL889" i="1"/>
  <c r="CG889" i="1"/>
  <c r="CB889" i="1"/>
  <c r="BV889" i="1"/>
  <c r="BQ889" i="1"/>
  <c r="BL889" i="1"/>
  <c r="AZ889" i="1"/>
  <c r="AU889" i="1"/>
  <c r="AP889" i="1"/>
  <c r="AJ889" i="1"/>
  <c r="AE889" i="1"/>
  <c r="Z889" i="1"/>
  <c r="ML889" i="1"/>
  <c r="MF889" i="1"/>
  <c r="MA889" i="1"/>
  <c r="LV889" i="1"/>
  <c r="LP889" i="1"/>
  <c r="LK889" i="1"/>
  <c r="LK890" i="1" s="1"/>
  <c r="KZ889" i="1"/>
  <c r="KT889" i="1"/>
  <c r="KO889" i="1"/>
  <c r="KJ889" i="1"/>
  <c r="KD889" i="1"/>
  <c r="JY889" i="1"/>
  <c r="JY890" i="1" s="1"/>
  <c r="JN889" i="1"/>
  <c r="JH889" i="1"/>
  <c r="JC889" i="1"/>
  <c r="IX889" i="1"/>
  <c r="IR889" i="1"/>
  <c r="IM889" i="1"/>
  <c r="IM890" i="1" s="1"/>
  <c r="IB889" i="1"/>
  <c r="HV889" i="1"/>
  <c r="HQ889" i="1"/>
  <c r="HL889" i="1"/>
  <c r="HF889" i="1"/>
  <c r="HA889" i="1"/>
  <c r="HA890" i="1" s="1"/>
  <c r="GP889" i="1"/>
  <c r="GJ889" i="1"/>
  <c r="GE889" i="1"/>
  <c r="FZ889" i="1"/>
  <c r="FT889" i="1"/>
  <c r="FI889" i="1"/>
  <c r="FD889" i="1"/>
  <c r="EX889" i="1"/>
  <c r="ES889" i="1"/>
  <c r="EN889" i="1"/>
  <c r="EH889" i="1"/>
  <c r="DW889" i="1"/>
  <c r="DR889" i="1"/>
  <c r="DL889" i="1"/>
  <c r="DG889" i="1"/>
  <c r="DB889" i="1"/>
  <c r="CV889" i="1"/>
  <c r="CK889" i="1"/>
  <c r="CF889" i="1"/>
  <c r="BZ889" i="1"/>
  <c r="BU889" i="1"/>
  <c r="BP889" i="1"/>
  <c r="BJ889" i="1"/>
  <c r="AY889" i="1"/>
  <c r="AT889" i="1"/>
  <c r="AN889" i="1"/>
  <c r="AI889" i="1"/>
  <c r="AD889" i="1"/>
  <c r="X889" i="1"/>
  <c r="MI889" i="1"/>
  <c r="LX889" i="1"/>
  <c r="LN889" i="1"/>
  <c r="KW889" i="1"/>
  <c r="KL889" i="1"/>
  <c r="KB889" i="1"/>
  <c r="JK889" i="1"/>
  <c r="IZ889" i="1"/>
  <c r="IP889" i="1"/>
  <c r="HY889" i="1"/>
  <c r="HN889" i="1"/>
  <c r="HD889" i="1"/>
  <c r="GM889" i="1"/>
  <c r="GB889" i="1"/>
  <c r="FR889" i="1"/>
  <c r="FA889" i="1"/>
  <c r="EP889" i="1"/>
  <c r="EF889" i="1"/>
  <c r="DO889" i="1"/>
  <c r="DD889" i="1"/>
  <c r="CT889" i="1"/>
  <c r="CT890" i="1" s="1"/>
  <c r="CC889" i="1"/>
  <c r="BR889" i="1"/>
  <c r="BB889" i="1"/>
  <c r="AQ889" i="1"/>
  <c r="AF889" i="1"/>
  <c r="ME889" i="1"/>
  <c r="LT889" i="1"/>
  <c r="LJ889" i="1"/>
  <c r="LJ890" i="1" s="1"/>
  <c r="KS889" i="1"/>
  <c r="KH889" i="1"/>
  <c r="JX889" i="1"/>
  <c r="JX890" i="1" s="1"/>
  <c r="JG889" i="1"/>
  <c r="IV889" i="1"/>
  <c r="IL889" i="1"/>
  <c r="IL890" i="1" s="1"/>
  <c r="HU889" i="1"/>
  <c r="HJ889" i="1"/>
  <c r="GT889" i="1"/>
  <c r="GI889" i="1"/>
  <c r="FX889" i="1"/>
  <c r="FH889" i="1"/>
  <c r="EW889" i="1"/>
  <c r="EL889" i="1"/>
  <c r="DV889" i="1"/>
  <c r="DK889" i="1"/>
  <c r="CZ889" i="1"/>
  <c r="CJ889" i="1"/>
  <c r="BY889" i="1"/>
  <c r="BN889" i="1"/>
  <c r="AX889" i="1"/>
  <c r="AM889" i="1"/>
  <c r="AB889" i="1"/>
  <c r="LS889" i="1"/>
  <c r="KR889" i="1"/>
  <c r="JP889" i="1"/>
  <c r="IU889" i="1"/>
  <c r="HT889" i="1"/>
  <c r="GR889" i="1"/>
  <c r="FW889" i="1"/>
  <c r="EV889" i="1"/>
  <c r="DT889" i="1"/>
  <c r="CY889" i="1"/>
  <c r="BX889" i="1"/>
  <c r="AV889" i="1"/>
  <c r="AA889" i="1"/>
  <c r="MJ889" i="1"/>
  <c r="LO889" i="1"/>
  <c r="KN889" i="1"/>
  <c r="JL889" i="1"/>
  <c r="IQ889" i="1"/>
  <c r="HP889" i="1"/>
  <c r="GN889" i="1"/>
  <c r="FS889" i="1"/>
  <c r="ER889" i="1"/>
  <c r="DP889" i="1"/>
  <c r="CU889" i="1"/>
  <c r="BT889" i="1"/>
  <c r="AR889" i="1"/>
  <c r="MD889" i="1"/>
  <c r="LH889" i="1"/>
  <c r="LH890" i="1" s="1"/>
  <c r="KG889" i="1"/>
  <c r="JF889" i="1"/>
  <c r="ID889" i="1"/>
  <c r="HI889" i="1"/>
  <c r="GH889" i="1"/>
  <c r="FF889" i="1"/>
  <c r="EK889" i="1"/>
  <c r="DJ889" i="1"/>
  <c r="CH889" i="1"/>
  <c r="BM889" i="1"/>
  <c r="AL889" i="1"/>
  <c r="LZ889" i="1"/>
  <c r="KX889" i="1"/>
  <c r="KC889" i="1"/>
  <c r="JB889" i="1"/>
  <c r="HZ889" i="1"/>
  <c r="HE889" i="1"/>
  <c r="GD889" i="1"/>
  <c r="FB889" i="1"/>
  <c r="EG889" i="1"/>
  <c r="DF889" i="1"/>
  <c r="CD889" i="1"/>
  <c r="BI889" i="1"/>
  <c r="BI890" i="1" s="1"/>
  <c r="AH889" i="1"/>
  <c r="HR765" i="1"/>
  <c r="HR404" i="1"/>
  <c r="HR455" i="1" s="1"/>
  <c r="AO474" i="1" s="1"/>
  <c r="FD765" i="1"/>
  <c r="FD404" i="1"/>
  <c r="FD455" i="1" s="1"/>
  <c r="AW472" i="1" s="1"/>
  <c r="FH765" i="1"/>
  <c r="FH404" i="1"/>
  <c r="FH455" i="1" s="1"/>
  <c r="BA472" i="1" s="1"/>
  <c r="FI765" i="1"/>
  <c r="FI404" i="1"/>
  <c r="FB765" i="1"/>
  <c r="FB404" i="1"/>
  <c r="JF404" i="1"/>
  <c r="JF455" i="1" s="1"/>
  <c r="FY768" i="1"/>
  <c r="KS404" i="1"/>
  <c r="KS455" i="1" s="1"/>
  <c r="BJ230" i="1"/>
  <c r="EQ196" i="1"/>
  <c r="EQ347" i="1" s="1"/>
  <c r="AJ372" i="1" s="1"/>
  <c r="CH196" i="1"/>
  <c r="CH232" i="1" s="1"/>
  <c r="AW269" i="1" s="1"/>
  <c r="FQ196" i="1"/>
  <c r="FQ232" i="1" s="1"/>
  <c r="Y272" i="1" s="1"/>
  <c r="FW196" i="1"/>
  <c r="FW232" i="1" s="1"/>
  <c r="AE272" i="1" s="1"/>
  <c r="BQ230" i="1"/>
  <c r="BY196" i="1"/>
  <c r="BY232" i="1" s="1"/>
  <c r="AN269" i="1" s="1"/>
  <c r="CB196" i="1"/>
  <c r="CB232" i="1" s="1"/>
  <c r="AQ269" i="1" s="1"/>
  <c r="FB196" i="1"/>
  <c r="FB232" i="1" s="1"/>
  <c r="AU271" i="1" s="1"/>
  <c r="FA196" i="1"/>
  <c r="FA232" i="1" s="1"/>
  <c r="AT271" i="1" s="1"/>
  <c r="L271" i="1"/>
  <c r="E257" i="1"/>
  <c r="H257" i="1" s="1"/>
  <c r="AR271" i="1"/>
  <c r="ET230" i="1"/>
  <c r="CF196" i="1"/>
  <c r="CF232" i="1" s="1"/>
  <c r="AU269" i="1" s="1"/>
  <c r="LL404" i="1"/>
  <c r="LL455" i="1" s="1"/>
  <c r="AE783" i="1"/>
  <c r="AE886" i="1"/>
  <c r="GC230" i="1"/>
  <c r="KZ404" i="1"/>
  <c r="KZ455" i="1" s="1"/>
  <c r="KQ404" i="1"/>
  <c r="KQ455" i="1" s="1"/>
  <c r="GP772" i="1"/>
  <c r="GD772" i="1"/>
  <c r="FU772" i="1"/>
  <c r="GK772" i="1"/>
  <c r="AA783" i="1"/>
  <c r="AA886" i="1"/>
  <c r="AW892" i="1"/>
  <c r="AW931" i="1"/>
  <c r="AW888" i="1"/>
  <c r="GS404" i="1"/>
  <c r="FT765" i="1"/>
  <c r="FT404" i="1"/>
  <c r="FT455" i="1" s="1"/>
  <c r="AB473" i="1" s="1"/>
  <c r="GQ404" i="1"/>
  <c r="IA196" i="1"/>
  <c r="IA232" i="1" s="1"/>
  <c r="AX273" i="1" s="1"/>
  <c r="GC196" i="1"/>
  <c r="GC232" i="1" s="1"/>
  <c r="AK272" i="1" s="1"/>
  <c r="DS196" i="1"/>
  <c r="DS232" i="1" s="1"/>
  <c r="AW270" i="1" s="1"/>
  <c r="D215" i="1"/>
  <c r="CT347" i="1"/>
  <c r="I371" i="1" s="1"/>
  <c r="HE196" i="1"/>
  <c r="HE232" i="1" s="1"/>
  <c r="AB273" i="1" s="1"/>
  <c r="CL196" i="1"/>
  <c r="CL232" i="1" s="1"/>
  <c r="BA269" i="1" s="1"/>
  <c r="E258" i="1"/>
  <c r="AR272" i="1"/>
  <c r="L272" i="1"/>
  <c r="GM196" i="1"/>
  <c r="GM232" i="1" s="1"/>
  <c r="AU272" i="1" s="1"/>
  <c r="HV196" i="1"/>
  <c r="HV232" i="1" s="1"/>
  <c r="AS273" i="1" s="1"/>
  <c r="HE765" i="1"/>
  <c r="HE404" i="1"/>
  <c r="HE455" i="1" s="1"/>
  <c r="AB474" i="1" s="1"/>
  <c r="E218" i="1"/>
  <c r="F218" i="1" s="1"/>
  <c r="IE232" i="1"/>
  <c r="ID765" i="1"/>
  <c r="ID404" i="1"/>
  <c r="HB765" i="1"/>
  <c r="HB404" i="1"/>
  <c r="HB455" i="1" s="1"/>
  <c r="Y474" i="1" s="1"/>
  <c r="HK765" i="1"/>
  <c r="HK404" i="1"/>
  <c r="IA765" i="1"/>
  <c r="IA404" i="1"/>
  <c r="IA455" i="1" s="1"/>
  <c r="AX474" i="1" s="1"/>
  <c r="HH765" i="1"/>
  <c r="HH404" i="1"/>
  <c r="HX765" i="1"/>
  <c r="HX404" i="1"/>
  <c r="HX455" i="1" s="1"/>
  <c r="AU474" i="1" s="1"/>
  <c r="GM769" i="1"/>
  <c r="FR769" i="1"/>
  <c r="GA769" i="1"/>
  <c r="GL769" i="1"/>
  <c r="GF769" i="1"/>
  <c r="GS769" i="1"/>
  <c r="BB666" i="1"/>
  <c r="BB659" i="1"/>
  <c r="JP678" i="1"/>
  <c r="LA661" i="1"/>
  <c r="IV687" i="1"/>
  <c r="IV676" i="1"/>
  <c r="JW660" i="1"/>
  <c r="LH665" i="1"/>
  <c r="ML666" i="1"/>
  <c r="ML664" i="1"/>
  <c r="KG675" i="1"/>
  <c r="LR687" i="1"/>
  <c r="LR676" i="1"/>
  <c r="IV678" i="1"/>
  <c r="JP680" i="1"/>
  <c r="KG686" i="1"/>
  <c r="KG680" i="1"/>
  <c r="KG690" i="1"/>
  <c r="LA675" i="1"/>
  <c r="IL665" i="1"/>
  <c r="IO665" i="1" s="1"/>
  <c r="IL659" i="1"/>
  <c r="IO659" i="1" s="1"/>
  <c r="IL666" i="1"/>
  <c r="IO666" i="1" s="1"/>
  <c r="LH659" i="1"/>
  <c r="LH666" i="1"/>
  <c r="IL661" i="1"/>
  <c r="IO661" i="1" s="1"/>
  <c r="LH661" i="1"/>
  <c r="JW617" i="1"/>
  <c r="JP682" i="1"/>
  <c r="AH679" i="1"/>
  <c r="KG683" i="1"/>
  <c r="KG682" i="1"/>
  <c r="X661" i="1"/>
  <c r="LA672" i="1"/>
  <c r="IV664" i="1"/>
  <c r="IY664" i="1" s="1"/>
  <c r="ML676" i="1"/>
  <c r="ML687" i="1"/>
  <c r="M660" i="1"/>
  <c r="JP660" i="1"/>
  <c r="LR683" i="1"/>
  <c r="FQ230" i="1"/>
  <c r="CW230" i="1"/>
  <c r="HN230" i="1"/>
  <c r="KK404" i="1"/>
  <c r="KK455" i="1" s="1"/>
  <c r="KF404" i="1"/>
  <c r="KF455" i="1" s="1"/>
  <c r="EL230" i="1"/>
  <c r="GM404" i="1"/>
  <c r="CW196" i="1"/>
  <c r="CW232" i="1" s="1"/>
  <c r="AA270" i="1" s="1"/>
  <c r="DK196" i="1"/>
  <c r="DK232" i="1" s="1"/>
  <c r="AO270" i="1" s="1"/>
  <c r="DI196" i="1"/>
  <c r="DI232" i="1" s="1"/>
  <c r="AM270" i="1" s="1"/>
  <c r="DJ196" i="1"/>
  <c r="DJ232" i="1" s="1"/>
  <c r="AN270" i="1" s="1"/>
  <c r="CC765" i="1"/>
  <c r="CC404" i="1"/>
  <c r="BV765" i="1"/>
  <c r="BV404" i="1"/>
  <c r="BV455" i="1" s="1"/>
  <c r="AK470" i="1" s="1"/>
  <c r="BY765" i="1"/>
  <c r="BY404" i="1"/>
  <c r="BZ765" i="1"/>
  <c r="BZ404" i="1"/>
  <c r="BZ455" i="1" s="1"/>
  <c r="AO470" i="1" s="1"/>
  <c r="BK765" i="1"/>
  <c r="BK404" i="1"/>
  <c r="BK455" i="1" s="1"/>
  <c r="Z470" i="1" s="1"/>
  <c r="CA765" i="1"/>
  <c r="CA404" i="1"/>
  <c r="CA455" i="1" s="1"/>
  <c r="AP470" i="1" s="1"/>
  <c r="BT765" i="1"/>
  <c r="BT404" i="1"/>
  <c r="CJ765" i="1"/>
  <c r="CJ404" i="1"/>
  <c r="CJ455" i="1" s="1"/>
  <c r="AY470" i="1" s="1"/>
  <c r="LT404" i="1"/>
  <c r="LT455" i="1" s="1"/>
  <c r="GF230" i="1"/>
  <c r="Y931" i="1"/>
  <c r="Y892" i="1"/>
  <c r="Y888" i="1"/>
  <c r="CD196" i="1"/>
  <c r="CD232" i="1" s="1"/>
  <c r="AS269" i="1" s="1"/>
  <c r="DM765" i="1"/>
  <c r="DM404" i="1"/>
  <c r="DM455" i="1" s="1"/>
  <c r="AQ471" i="1" s="1"/>
  <c r="DF765" i="1"/>
  <c r="DF404" i="1"/>
  <c r="EL196" i="1"/>
  <c r="EL232" i="1" s="1"/>
  <c r="AE271" i="1" s="1"/>
  <c r="EF196" i="1"/>
  <c r="EF232" i="1" s="1"/>
  <c r="Y271" i="1" s="1"/>
  <c r="HM196" i="1"/>
  <c r="HM232" i="1" s="1"/>
  <c r="AJ273" i="1" s="1"/>
  <c r="EU765" i="1"/>
  <c r="EU404" i="1"/>
  <c r="EU455" i="1" s="1"/>
  <c r="AN472" i="1" s="1"/>
  <c r="AZ783" i="1"/>
  <c r="AZ886" i="1"/>
  <c r="JB404" i="1"/>
  <c r="JB455" i="1" s="1"/>
  <c r="GG768" i="1"/>
  <c r="FW765" i="1"/>
  <c r="FW404" i="1"/>
  <c r="FW455" i="1" s="1"/>
  <c r="AE473" i="1" s="1"/>
  <c r="GB196" i="1"/>
  <c r="GB232" i="1" s="1"/>
  <c r="AJ272" i="1" s="1"/>
  <c r="ET196" i="1"/>
  <c r="ET232" i="1" s="1"/>
  <c r="AM271" i="1" s="1"/>
  <c r="FT196" i="1"/>
  <c r="FT232" i="1" s="1"/>
  <c r="AB272" i="1" s="1"/>
  <c r="FC196" i="1"/>
  <c r="FC347" i="1" s="1"/>
  <c r="AV372" i="1" s="1"/>
  <c r="GC772" i="1"/>
  <c r="GN196" i="1"/>
  <c r="GN232" i="1" s="1"/>
  <c r="AV272" i="1" s="1"/>
  <c r="HN765" i="1"/>
  <c r="HN404" i="1"/>
  <c r="HN455" i="1" s="1"/>
  <c r="AK474" i="1" s="1"/>
  <c r="HC765" i="1"/>
  <c r="HC404" i="1"/>
  <c r="BN230" i="1"/>
  <c r="GD404" i="1"/>
  <c r="FZ404" i="1"/>
  <c r="DT196" i="1"/>
  <c r="DT232" i="1" s="1"/>
  <c r="AX270" i="1" s="1"/>
  <c r="CU196" i="1"/>
  <c r="CU232" i="1" s="1"/>
  <c r="Y270" i="1" s="1"/>
  <c r="CG196" i="1"/>
  <c r="CG232" i="1" s="1"/>
  <c r="AV269" i="1" s="1"/>
  <c r="CZ765" i="1"/>
  <c r="CZ404" i="1"/>
  <c r="CZ455" i="1" s="1"/>
  <c r="AD471" i="1" s="1"/>
  <c r="DA765" i="1"/>
  <c r="DA404" i="1"/>
  <c r="CV404" i="1"/>
  <c r="CV765" i="1"/>
  <c r="CW765" i="1"/>
  <c r="CW404" i="1"/>
  <c r="CX765" i="1"/>
  <c r="CX404" i="1"/>
  <c r="CX455" i="1" s="1"/>
  <c r="AB471" i="1" s="1"/>
  <c r="DN765" i="1"/>
  <c r="DN404" i="1"/>
  <c r="CY765" i="1"/>
  <c r="CY404" i="1"/>
  <c r="CY455" i="1" s="1"/>
  <c r="DO765" i="1"/>
  <c r="DO404" i="1"/>
  <c r="DO455" i="1" s="1"/>
  <c r="AS471" i="1" s="1"/>
  <c r="ID196" i="1"/>
  <c r="ID232" i="1" s="1"/>
  <c r="BA273" i="1" s="1"/>
  <c r="EG196" i="1"/>
  <c r="EG232" i="1" s="1"/>
  <c r="Z271" i="1" s="1"/>
  <c r="EM196" i="1"/>
  <c r="EM347" i="1" s="1"/>
  <c r="AF372" i="1" s="1"/>
  <c r="EN196" i="1"/>
  <c r="EN232" i="1" s="1"/>
  <c r="AG271" i="1" s="1"/>
  <c r="HN196" i="1"/>
  <c r="HN347" i="1" s="1"/>
  <c r="AK374" i="1" s="1"/>
  <c r="HS196" i="1"/>
  <c r="HS232" i="1" s="1"/>
  <c r="AP273" i="1" s="1"/>
  <c r="K273" i="1"/>
  <c r="D259" i="1"/>
  <c r="AH273" i="1"/>
  <c r="BB372" i="1"/>
  <c r="FG765" i="1"/>
  <c r="FG404" i="1"/>
  <c r="ES765" i="1"/>
  <c r="ES404" i="1"/>
  <c r="ES455" i="1" s="1"/>
  <c r="AL472" i="1" s="1"/>
  <c r="EL765" i="1"/>
  <c r="EL404" i="1"/>
  <c r="EL455" i="1" s="1"/>
  <c r="AE472" i="1" s="1"/>
  <c r="HZ230" i="1"/>
  <c r="AN783" i="1"/>
  <c r="AN886" i="1"/>
  <c r="FW768" i="1"/>
  <c r="FT768" i="1"/>
  <c r="GO768" i="1"/>
  <c r="DC196" i="1"/>
  <c r="DC232" i="1" s="1"/>
  <c r="AG270" i="1" s="1"/>
  <c r="EW196" i="1"/>
  <c r="EW232" i="1" s="1"/>
  <c r="AP271" i="1" s="1"/>
  <c r="ER196" i="1"/>
  <c r="ER232" i="1" s="1"/>
  <c r="AK271" i="1" s="1"/>
  <c r="IC230" i="1"/>
  <c r="BW196" i="1"/>
  <c r="BW232" i="1" s="1"/>
  <c r="AL269" i="1" s="1"/>
  <c r="GG230" i="1"/>
  <c r="AU783" i="1"/>
  <c r="AU886" i="1"/>
  <c r="IT404" i="1"/>
  <c r="IT455" i="1" s="1"/>
  <c r="FU404" i="1"/>
  <c r="GR404" i="1"/>
  <c r="DH765" i="1"/>
  <c r="DH404" i="1"/>
  <c r="DI765" i="1"/>
  <c r="DI404" i="1"/>
  <c r="DI455" i="1" s="1"/>
  <c r="AM471" i="1" s="1"/>
  <c r="DD765" i="1"/>
  <c r="DD404" i="1"/>
  <c r="DE765" i="1"/>
  <c r="DE404" i="1"/>
  <c r="DE455" i="1" s="1"/>
  <c r="AI471" i="1" s="1"/>
  <c r="DB765" i="1"/>
  <c r="DB404" i="1"/>
  <c r="DR765" i="1"/>
  <c r="DR404" i="1"/>
  <c r="DR455" i="1" s="1"/>
  <c r="AV471" i="1" s="1"/>
  <c r="DC765" i="1"/>
  <c r="DC404" i="1"/>
  <c r="DS765" i="1"/>
  <c r="DS404" i="1"/>
  <c r="DS455" i="1" s="1"/>
  <c r="AW471" i="1" s="1"/>
  <c r="EH196" i="1"/>
  <c r="EH232" i="1" s="1"/>
  <c r="AA271" i="1" s="1"/>
  <c r="EK196" i="1"/>
  <c r="EK232" i="1" s="1"/>
  <c r="AD271" i="1" s="1"/>
  <c r="D216" i="1"/>
  <c r="F216" i="1" s="1"/>
  <c r="EE232" i="1"/>
  <c r="I271" i="1" s="1"/>
  <c r="HR196" i="1"/>
  <c r="HR232" i="1" s="1"/>
  <c r="AO273" i="1" s="1"/>
  <c r="HL196" i="1"/>
  <c r="HL232" i="1" s="1"/>
  <c r="AI273" i="1" s="1"/>
  <c r="HK347" i="1"/>
  <c r="EM765" i="1"/>
  <c r="EM404" i="1"/>
  <c r="EM455" i="1" s="1"/>
  <c r="AF472" i="1" s="1"/>
  <c r="EF765" i="1"/>
  <c r="EF404" i="1"/>
  <c r="EI765" i="1"/>
  <c r="EI404" i="1"/>
  <c r="EI455" i="1" s="1"/>
  <c r="AB472" i="1" s="1"/>
  <c r="EJ765" i="1"/>
  <c r="EJ404" i="1"/>
  <c r="EG765" i="1"/>
  <c r="EG404" i="1"/>
  <c r="EG455" i="1" s="1"/>
  <c r="Z472" i="1" s="1"/>
  <c r="EW765" i="1"/>
  <c r="EW404" i="1"/>
  <c r="EP765" i="1"/>
  <c r="EP404" i="1"/>
  <c r="EP455" i="1" s="1"/>
  <c r="AI472" i="1" s="1"/>
  <c r="FF765" i="1"/>
  <c r="FF404" i="1"/>
  <c r="CT232" i="1"/>
  <c r="I270" i="1" s="1"/>
  <c r="AT931" i="1"/>
  <c r="AT888" i="1"/>
  <c r="AT892" i="1"/>
  <c r="GD230" i="1"/>
  <c r="GE768" i="1"/>
  <c r="GM768" i="1"/>
  <c r="GH768" i="1"/>
  <c r="FX768" i="1"/>
  <c r="GN768" i="1"/>
  <c r="GC768" i="1"/>
  <c r="GS768" i="1"/>
  <c r="HD230" i="1"/>
  <c r="HD232" i="1"/>
  <c r="AA273" i="1" s="1"/>
  <c r="FQ404" i="1"/>
  <c r="GG196" i="1"/>
  <c r="GG347" i="1" s="1"/>
  <c r="AO373" i="1" s="1"/>
  <c r="DN347" i="1"/>
  <c r="DN232" i="1"/>
  <c r="CZ196" i="1"/>
  <c r="CZ232" i="1" s="1"/>
  <c r="AD270" i="1" s="1"/>
  <c r="EP196" i="1"/>
  <c r="EP232" i="1" s="1"/>
  <c r="AI271" i="1" s="1"/>
  <c r="EU196" i="1"/>
  <c r="EU232" i="1" s="1"/>
  <c r="AN271" i="1" s="1"/>
  <c r="EV196" i="1"/>
  <c r="EV232" i="1" s="1"/>
  <c r="AO271" i="1" s="1"/>
  <c r="FS196" i="1"/>
  <c r="FS232" i="1" s="1"/>
  <c r="AA272" i="1" s="1"/>
  <c r="FU196" i="1"/>
  <c r="FU232" i="1" s="1"/>
  <c r="FR196" i="1"/>
  <c r="FR232" i="1" s="1"/>
  <c r="Z272" i="1" s="1"/>
  <c r="CK230" i="1"/>
  <c r="FT230" i="1"/>
  <c r="BV196" i="1"/>
  <c r="BV232" i="1" s="1"/>
  <c r="AK269" i="1" s="1"/>
  <c r="CA196" i="1"/>
  <c r="CA232" i="1" s="1"/>
  <c r="AP269" i="1" s="1"/>
  <c r="K269" i="1"/>
  <c r="D255" i="1"/>
  <c r="G255" i="1" s="1"/>
  <c r="AH269" i="1"/>
  <c r="FF196" i="1"/>
  <c r="FF232" i="1" s="1"/>
  <c r="AY271" i="1" s="1"/>
  <c r="EZ196" i="1"/>
  <c r="EZ232" i="1" s="1"/>
  <c r="AS271" i="1" s="1"/>
  <c r="EY347" i="1"/>
  <c r="KC404" i="1"/>
  <c r="KC455" i="1" s="1"/>
  <c r="KJ404" i="1"/>
  <c r="KJ455" i="1" s="1"/>
  <c r="AC931" i="1"/>
  <c r="AC892" i="1"/>
  <c r="AC888" i="1"/>
  <c r="AS931" i="1"/>
  <c r="AS892" i="1"/>
  <c r="AS888" i="1"/>
  <c r="GM772" i="1"/>
  <c r="FR772" i="1"/>
  <c r="GB772" i="1"/>
  <c r="GR772" i="1"/>
  <c r="FY772" i="1"/>
  <c r="GO772" i="1"/>
  <c r="ML895" i="1"/>
  <c r="MH895" i="1"/>
  <c r="MD895" i="1"/>
  <c r="LZ895" i="1"/>
  <c r="LV895" i="1"/>
  <c r="LR895" i="1"/>
  <c r="LN895" i="1"/>
  <c r="LJ895" i="1"/>
  <c r="LJ932" i="1" s="1"/>
  <c r="KZ895" i="1"/>
  <c r="KV895" i="1"/>
  <c r="KR895" i="1"/>
  <c r="KN895" i="1"/>
  <c r="KJ895" i="1"/>
  <c r="KF895" i="1"/>
  <c r="KB895" i="1"/>
  <c r="JX895" i="1"/>
  <c r="JX932" i="1" s="1"/>
  <c r="JN895" i="1"/>
  <c r="JJ895" i="1"/>
  <c r="JF895" i="1"/>
  <c r="JB895" i="1"/>
  <c r="IX895" i="1"/>
  <c r="IT895" i="1"/>
  <c r="IP895" i="1"/>
  <c r="IL895" i="1"/>
  <c r="IB895" i="1"/>
  <c r="HX895" i="1"/>
  <c r="HT895" i="1"/>
  <c r="HP895" i="1"/>
  <c r="HL895" i="1"/>
  <c r="HH895" i="1"/>
  <c r="HD895" i="1"/>
  <c r="GT895" i="1"/>
  <c r="GP895" i="1"/>
  <c r="GL895" i="1"/>
  <c r="GH895" i="1"/>
  <c r="GD895" i="1"/>
  <c r="FZ895" i="1"/>
  <c r="FV895" i="1"/>
  <c r="FR895" i="1"/>
  <c r="FH895" i="1"/>
  <c r="FD895" i="1"/>
  <c r="EZ895" i="1"/>
  <c r="EV895" i="1"/>
  <c r="ER895" i="1"/>
  <c r="EN895" i="1"/>
  <c r="EJ895" i="1"/>
  <c r="EF895" i="1"/>
  <c r="DV895" i="1"/>
  <c r="DR895" i="1"/>
  <c r="DN895" i="1"/>
  <c r="DJ895" i="1"/>
  <c r="DF895" i="1"/>
  <c r="DB895" i="1"/>
  <c r="CX895" i="1"/>
  <c r="CT895" i="1"/>
  <c r="CJ895" i="1"/>
  <c r="CF895" i="1"/>
  <c r="CB895" i="1"/>
  <c r="BX895" i="1"/>
  <c r="BT895" i="1"/>
  <c r="BP895" i="1"/>
  <c r="BL895" i="1"/>
  <c r="BB895" i="1"/>
  <c r="AX895" i="1"/>
  <c r="AT895" i="1"/>
  <c r="AP895" i="1"/>
  <c r="AL895" i="1"/>
  <c r="AH895" i="1"/>
  <c r="AD895" i="1"/>
  <c r="Z895" i="1"/>
  <c r="MI895" i="1"/>
  <c r="MC895" i="1"/>
  <c r="LX895" i="1"/>
  <c r="LS895" i="1"/>
  <c r="LM895" i="1"/>
  <c r="LH895" i="1"/>
  <c r="KW895" i="1"/>
  <c r="KQ895" i="1"/>
  <c r="MJ895" i="1"/>
  <c r="MB895" i="1"/>
  <c r="LU895" i="1"/>
  <c r="LO895" i="1"/>
  <c r="LA895" i="1"/>
  <c r="KT895" i="1"/>
  <c r="KM895" i="1"/>
  <c r="KH895" i="1"/>
  <c r="KC895" i="1"/>
  <c r="JW895" i="1"/>
  <c r="JL895" i="1"/>
  <c r="JG895" i="1"/>
  <c r="JA895" i="1"/>
  <c r="IV895" i="1"/>
  <c r="IQ895" i="1"/>
  <c r="IE895" i="1"/>
  <c r="HZ895" i="1"/>
  <c r="HU895" i="1"/>
  <c r="HO895" i="1"/>
  <c r="HJ895" i="1"/>
  <c r="HE895" i="1"/>
  <c r="GS895" i="1"/>
  <c r="GN895" i="1"/>
  <c r="GI895" i="1"/>
  <c r="GC895" i="1"/>
  <c r="FX895" i="1"/>
  <c r="FS895" i="1"/>
  <c r="FG895" i="1"/>
  <c r="FB895" i="1"/>
  <c r="EW895" i="1"/>
  <c r="EQ895" i="1"/>
  <c r="EL895" i="1"/>
  <c r="EG895" i="1"/>
  <c r="DU895" i="1"/>
  <c r="DP895" i="1"/>
  <c r="DK895" i="1"/>
  <c r="DE895" i="1"/>
  <c r="CZ895" i="1"/>
  <c r="CU895" i="1"/>
  <c r="CI895" i="1"/>
  <c r="CD895" i="1"/>
  <c r="BY895" i="1"/>
  <c r="BS895" i="1"/>
  <c r="BN895" i="1"/>
  <c r="BI895" i="1"/>
  <c r="AW895" i="1"/>
  <c r="AR895" i="1"/>
  <c r="AM895" i="1"/>
  <c r="AG895" i="1"/>
  <c r="AB895" i="1"/>
  <c r="MG895" i="1"/>
  <c r="MA895" i="1"/>
  <c r="LT895" i="1"/>
  <c r="LL895" i="1"/>
  <c r="KY895" i="1"/>
  <c r="KS895" i="1"/>
  <c r="KL895" i="1"/>
  <c r="KG895" i="1"/>
  <c r="KA895" i="1"/>
  <c r="JP895" i="1"/>
  <c r="JK895" i="1"/>
  <c r="JE895" i="1"/>
  <c r="IZ895" i="1"/>
  <c r="IU895" i="1"/>
  <c r="IO895" i="1"/>
  <c r="IO932" i="1" s="1"/>
  <c r="ID895" i="1"/>
  <c r="HY895" i="1"/>
  <c r="HS895" i="1"/>
  <c r="HN895" i="1"/>
  <c r="HI895" i="1"/>
  <c r="HC895" i="1"/>
  <c r="GR895" i="1"/>
  <c r="GM895" i="1"/>
  <c r="GG895" i="1"/>
  <c r="GB895" i="1"/>
  <c r="FW895" i="1"/>
  <c r="FQ895" i="1"/>
  <c r="FF895" i="1"/>
  <c r="FA895" i="1"/>
  <c r="EU895" i="1"/>
  <c r="EP895" i="1"/>
  <c r="EK895" i="1"/>
  <c r="EE895" i="1"/>
  <c r="DT895" i="1"/>
  <c r="DO895" i="1"/>
  <c r="DI895" i="1"/>
  <c r="DD895" i="1"/>
  <c r="CY895" i="1"/>
  <c r="CM895" i="1"/>
  <c r="CH895" i="1"/>
  <c r="CC895" i="1"/>
  <c r="BW895" i="1"/>
  <c r="BR895" i="1"/>
  <c r="BM895" i="1"/>
  <c r="BA895" i="1"/>
  <c r="AV895" i="1"/>
  <c r="AQ895" i="1"/>
  <c r="AK895" i="1"/>
  <c r="AF895" i="1"/>
  <c r="AA895" i="1"/>
  <c r="MK895" i="1"/>
  <c r="LW895" i="1"/>
  <c r="LI895" i="1"/>
  <c r="LI932" i="1" s="1"/>
  <c r="KO895" i="1"/>
  <c r="KD895" i="1"/>
  <c r="JM895" i="1"/>
  <c r="JC895" i="1"/>
  <c r="IR895" i="1"/>
  <c r="IA895" i="1"/>
  <c r="HQ895" i="1"/>
  <c r="HF895" i="1"/>
  <c r="GO895" i="1"/>
  <c r="GE895" i="1"/>
  <c r="FT895" i="1"/>
  <c r="FC895" i="1"/>
  <c r="ES895" i="1"/>
  <c r="EH895" i="1"/>
  <c r="DQ895" i="1"/>
  <c r="DG895" i="1"/>
  <c r="CV895" i="1"/>
  <c r="CE895" i="1"/>
  <c r="BU895" i="1"/>
  <c r="BJ895" i="1"/>
  <c r="AS895" i="1"/>
  <c r="AI895" i="1"/>
  <c r="X895" i="1"/>
  <c r="MF895" i="1"/>
  <c r="LQ895" i="1"/>
  <c r="KX895" i="1"/>
  <c r="KK895" i="1"/>
  <c r="JZ895" i="1"/>
  <c r="JZ932" i="1" s="1"/>
  <c r="JI895" i="1"/>
  <c r="IY895" i="1"/>
  <c r="IN895" i="1"/>
  <c r="IN932" i="1" s="1"/>
  <c r="HW895" i="1"/>
  <c r="HM895" i="1"/>
  <c r="HB895" i="1"/>
  <c r="GK895" i="1"/>
  <c r="GA895" i="1"/>
  <c r="FP895" i="1"/>
  <c r="EY895" i="1"/>
  <c r="EO895" i="1"/>
  <c r="DX895" i="1"/>
  <c r="DM895" i="1"/>
  <c r="DC895" i="1"/>
  <c r="CL895" i="1"/>
  <c r="CA895" i="1"/>
  <c r="BQ895" i="1"/>
  <c r="AZ895" i="1"/>
  <c r="AO895" i="1"/>
  <c r="AE895" i="1"/>
  <c r="LY895" i="1"/>
  <c r="KP895" i="1"/>
  <c r="JO895" i="1"/>
  <c r="IS895" i="1"/>
  <c r="HR895" i="1"/>
  <c r="GQ895" i="1"/>
  <c r="FU895" i="1"/>
  <c r="ET895" i="1"/>
  <c r="DS895" i="1"/>
  <c r="CW895" i="1"/>
  <c r="BV895" i="1"/>
  <c r="AU895" i="1"/>
  <c r="Y895" i="1"/>
  <c r="LP895" i="1"/>
  <c r="KI895" i="1"/>
  <c r="JH895" i="1"/>
  <c r="IM895" i="1"/>
  <c r="IM932" i="1" s="1"/>
  <c r="HK895" i="1"/>
  <c r="GJ895" i="1"/>
  <c r="FI895" i="1"/>
  <c r="EM895" i="1"/>
  <c r="DL895" i="1"/>
  <c r="CK895" i="1"/>
  <c r="BO895" i="1"/>
  <c r="AN895" i="1"/>
  <c r="LK895" i="1"/>
  <c r="LK932" i="1" s="1"/>
  <c r="JD895" i="1"/>
  <c r="HG895" i="1"/>
  <c r="FE895" i="1"/>
  <c r="DH895" i="1"/>
  <c r="BK895" i="1"/>
  <c r="KU895" i="1"/>
  <c r="IW895" i="1"/>
  <c r="HA895" i="1"/>
  <c r="EX895" i="1"/>
  <c r="DA895" i="1"/>
  <c r="AY895" i="1"/>
  <c r="KE895" i="1"/>
  <c r="IC895" i="1"/>
  <c r="GF895" i="1"/>
  <c r="EI895" i="1"/>
  <c r="CG895" i="1"/>
  <c r="AJ895" i="1"/>
  <c r="ME895" i="1"/>
  <c r="JY895" i="1"/>
  <c r="JY932" i="1" s="1"/>
  <c r="HV895" i="1"/>
  <c r="FY895" i="1"/>
  <c r="DW895" i="1"/>
  <c r="BZ895" i="1"/>
  <c r="AC895" i="1"/>
  <c r="GT404" i="1"/>
  <c r="GI196" i="1"/>
  <c r="GI232" i="1" s="1"/>
  <c r="AQ272" i="1" s="1"/>
  <c r="DA196" i="1"/>
  <c r="DA232" i="1" s="1"/>
  <c r="AE270" i="1" s="1"/>
  <c r="GQ196" i="1"/>
  <c r="GQ347" i="1" s="1"/>
  <c r="AY373" i="1" s="1"/>
  <c r="GK196" i="1"/>
  <c r="GK232" i="1" s="1"/>
  <c r="AS272" i="1" s="1"/>
  <c r="GL196" i="1"/>
  <c r="GL232" i="1" s="1"/>
  <c r="AT272" i="1" s="1"/>
  <c r="FI232" i="1"/>
  <c r="CE196" i="1"/>
  <c r="CE232" i="1" s="1"/>
  <c r="AT269" i="1" s="1"/>
  <c r="HM765" i="1"/>
  <c r="HM404" i="1"/>
  <c r="HF765" i="1"/>
  <c r="HF404" i="1"/>
  <c r="HF455" i="1" s="1"/>
  <c r="HI765" i="1"/>
  <c r="HI404" i="1"/>
  <c r="HJ765" i="1"/>
  <c r="HJ404" i="1"/>
  <c r="HJ455" i="1" s="1"/>
  <c r="AG474" i="1" s="1"/>
  <c r="IE347" i="1"/>
  <c r="HO765" i="1"/>
  <c r="HO404" i="1"/>
  <c r="HO455" i="1" s="1"/>
  <c r="AL474" i="1" s="1"/>
  <c r="IE765" i="1"/>
  <c r="IE404" i="1"/>
  <c r="HL765" i="1"/>
  <c r="HL404" i="1"/>
  <c r="HL455" i="1" s="1"/>
  <c r="AI474" i="1" s="1"/>
  <c r="IB765" i="1"/>
  <c r="IB404" i="1"/>
  <c r="GI769" i="1"/>
  <c r="GT769" i="1"/>
  <c r="FT769" i="1"/>
  <c r="GJ769" i="1"/>
  <c r="FQ769" i="1"/>
  <c r="GG769" i="1"/>
  <c r="LA682" i="1"/>
  <c r="LA690" i="1"/>
  <c r="JP675" i="1"/>
  <c r="JP670" i="1"/>
  <c r="IV681" i="1"/>
  <c r="LR682" i="1"/>
  <c r="LA687" i="1"/>
  <c r="LA676" i="1"/>
  <c r="KG659" i="1"/>
  <c r="BB661" i="1"/>
  <c r="LR659" i="1"/>
  <c r="LR666" i="1"/>
  <c r="LR664" i="1"/>
  <c r="K732" i="1" s="1"/>
  <c r="LR681" i="1"/>
  <c r="AH681" i="1"/>
  <c r="IV666" i="1"/>
  <c r="IV668" i="1"/>
  <c r="IV659" i="1"/>
  <c r="IY659" i="1" s="1"/>
  <c r="ML674" i="1"/>
  <c r="ML670" i="1"/>
  <c r="ML685" i="1"/>
  <c r="IV661" i="1"/>
  <c r="IY661" i="1" s="1"/>
  <c r="ML672" i="1"/>
  <c r="AH682" i="1"/>
  <c r="ML659" i="1"/>
  <c r="X665" i="1"/>
  <c r="X659" i="1"/>
  <c r="X666" i="1"/>
  <c r="LA685" i="1"/>
  <c r="LA674" i="1"/>
  <c r="LA670" i="1"/>
  <c r="LA689" i="1"/>
  <c r="LR672" i="1"/>
  <c r="IV686" i="1"/>
  <c r="IV680" i="1"/>
  <c r="M664" i="1"/>
  <c r="JP664" i="1"/>
  <c r="AH660" i="1"/>
  <c r="ML665" i="1"/>
  <c r="AF783" i="1"/>
  <c r="AF886" i="1"/>
  <c r="AV783" i="1"/>
  <c r="AV886" i="1"/>
  <c r="W782" i="1"/>
  <c r="L818" i="1"/>
  <c r="W833" i="1" s="1"/>
  <c r="LX404" i="1"/>
  <c r="LX455" i="1" s="1"/>
  <c r="GH404" i="1"/>
  <c r="AH373" i="1"/>
  <c r="K373" i="1"/>
  <c r="DH196" i="1"/>
  <c r="DH232" i="1" s="1"/>
  <c r="AL270" i="1" s="1"/>
  <c r="DM196" i="1"/>
  <c r="DM347" i="1" s="1"/>
  <c r="AQ371" i="1" s="1"/>
  <c r="CK765" i="1"/>
  <c r="CK404" i="1"/>
  <c r="CK455" i="1" s="1"/>
  <c r="AZ470" i="1" s="1"/>
  <c r="CD765" i="1"/>
  <c r="CD404" i="1"/>
  <c r="CG765" i="1"/>
  <c r="CG404" i="1"/>
  <c r="CG455" i="1" s="1"/>
  <c r="AV470" i="1" s="1"/>
  <c r="CH765" i="1"/>
  <c r="CH404" i="1"/>
  <c r="BO765" i="1"/>
  <c r="BO404" i="1"/>
  <c r="BO455" i="1" s="1"/>
  <c r="AD470" i="1" s="1"/>
  <c r="CE765" i="1"/>
  <c r="CE404" i="1"/>
  <c r="BX765" i="1"/>
  <c r="BX404" i="1"/>
  <c r="BX455" i="1" s="1"/>
  <c r="AM470" i="1" s="1"/>
  <c r="AQ783" i="1"/>
  <c r="AQ886" i="1"/>
  <c r="JJ404" i="1"/>
  <c r="JJ455" i="1" s="1"/>
  <c r="AO931" i="1"/>
  <c r="AO892" i="1"/>
  <c r="AO888" i="1"/>
  <c r="X931" i="1"/>
  <c r="X892" i="1"/>
  <c r="X888" i="1"/>
  <c r="GE404" i="1"/>
  <c r="M373" i="1"/>
  <c r="BB373" i="1"/>
  <c r="GB404" i="1"/>
  <c r="K727" i="1" l="1"/>
  <c r="HI232" i="1"/>
  <c r="AF273" i="1" s="1"/>
  <c r="HB232" i="1"/>
  <c r="Y273" i="1" s="1"/>
  <c r="BB272" i="1"/>
  <c r="D827" i="1"/>
  <c r="K734" i="1"/>
  <c r="LR815" i="1"/>
  <c r="LN815" i="1"/>
  <c r="LQ815" i="1"/>
  <c r="LM815" i="1"/>
  <c r="LP815" i="1"/>
  <c r="LL815" i="1"/>
  <c r="LO815" i="1"/>
  <c r="LU817" i="1"/>
  <c r="LS817" i="1"/>
  <c r="LY817" i="1"/>
  <c r="LW817" i="1"/>
  <c r="LT817" i="1"/>
  <c r="LV817" i="1"/>
  <c r="LX817" i="1"/>
  <c r="LZ817" i="1"/>
  <c r="MA817" i="1"/>
  <c r="MB817" i="1"/>
  <c r="LV777" i="1"/>
  <c r="LZ777" i="1"/>
  <c r="LT777" i="1"/>
  <c r="MB777" i="1"/>
  <c r="AR791" i="1" s="1"/>
  <c r="LS777" i="1"/>
  <c r="LW777" i="1"/>
  <c r="MA777" i="1"/>
  <c r="LX777" i="1"/>
  <c r="LU777" i="1"/>
  <c r="LY777" i="1"/>
  <c r="D256" i="1"/>
  <c r="MA815" i="1"/>
  <c r="LW815" i="1"/>
  <c r="LS815" i="1"/>
  <c r="LY815" i="1"/>
  <c r="LZ815" i="1"/>
  <c r="LV815" i="1"/>
  <c r="LU815" i="1"/>
  <c r="MB815" i="1"/>
  <c r="LX815" i="1"/>
  <c r="LT815" i="1"/>
  <c r="K744" i="1"/>
  <c r="K739" i="1"/>
  <c r="K740" i="1"/>
  <c r="K743" i="1"/>
  <c r="K738" i="1"/>
  <c r="MB667" i="1"/>
  <c r="K742" i="1"/>
  <c r="K737" i="1"/>
  <c r="K741" i="1"/>
  <c r="GA347" i="1"/>
  <c r="AI373" i="1" s="1"/>
  <c r="K753" i="1"/>
  <c r="K747" i="1"/>
  <c r="K754" i="1"/>
  <c r="K730" i="1"/>
  <c r="K729" i="1"/>
  <c r="K731" i="1"/>
  <c r="K750" i="1"/>
  <c r="K752" i="1"/>
  <c r="K749" i="1"/>
  <c r="K733" i="1"/>
  <c r="K751" i="1"/>
  <c r="K728" i="1"/>
  <c r="G259" i="1"/>
  <c r="AH890" i="1"/>
  <c r="J370" i="1"/>
  <c r="FY885" i="1"/>
  <c r="BN232" i="1"/>
  <c r="J269" i="1" s="1"/>
  <c r="F258" i="1"/>
  <c r="I258" i="1" s="1"/>
  <c r="H258" i="1"/>
  <c r="HX347" i="1"/>
  <c r="AU374" i="1" s="1"/>
  <c r="GD232" i="1"/>
  <c r="AL272" i="1" s="1"/>
  <c r="GK885" i="1"/>
  <c r="HY232" i="1"/>
  <c r="AV273" i="1" s="1"/>
  <c r="AP888" i="1"/>
  <c r="AP890" i="1" s="1"/>
  <c r="S833" i="1"/>
  <c r="AP892" i="1"/>
  <c r="HW232" i="1"/>
  <c r="AT273" i="1" s="1"/>
  <c r="IC232" i="1"/>
  <c r="AZ273" i="1" s="1"/>
  <c r="AL890" i="1"/>
  <c r="EE890" i="1"/>
  <c r="G751" i="1"/>
  <c r="D828" i="1"/>
  <c r="MD817" i="1" s="1"/>
  <c r="G754" i="1"/>
  <c r="MJ815" i="1"/>
  <c r="MF815" i="1"/>
  <c r="MI815" i="1"/>
  <c r="ME815" i="1"/>
  <c r="ML815" i="1"/>
  <c r="MH815" i="1"/>
  <c r="MD815" i="1"/>
  <c r="MK815" i="1"/>
  <c r="MG815" i="1"/>
  <c r="MC815" i="1"/>
  <c r="G731" i="1"/>
  <c r="KW664" i="1"/>
  <c r="G752" i="1"/>
  <c r="G730" i="1"/>
  <c r="KW659" i="1"/>
  <c r="G747" i="1"/>
  <c r="KW661" i="1"/>
  <c r="G749" i="1"/>
  <c r="KW665" i="1"/>
  <c r="G753" i="1"/>
  <c r="G750" i="1"/>
  <c r="JZ660" i="1"/>
  <c r="G748" i="1"/>
  <c r="D821" i="1"/>
  <c r="D826" i="1"/>
  <c r="F826" i="1" s="1"/>
  <c r="BB931" i="1"/>
  <c r="BB888" i="1"/>
  <c r="BB890" i="1" s="1"/>
  <c r="HZ232" i="1"/>
  <c r="AW273" i="1" s="1"/>
  <c r="AX931" i="1"/>
  <c r="AX982" i="1" s="1"/>
  <c r="HJ232" i="1"/>
  <c r="AG273" i="1" s="1"/>
  <c r="BK232" i="1"/>
  <c r="Z269" i="1" s="1"/>
  <c r="IB232" i="1"/>
  <c r="AY273" i="1" s="1"/>
  <c r="BQ232" i="1"/>
  <c r="AF269" i="1" s="1"/>
  <c r="Z890" i="1"/>
  <c r="AK890" i="1"/>
  <c r="AX892" i="1"/>
  <c r="DQ232" i="1"/>
  <c r="AU270" i="1" s="1"/>
  <c r="DB232" i="1"/>
  <c r="AF270" i="1" s="1"/>
  <c r="G732" i="1"/>
  <c r="FR774" i="1"/>
  <c r="FR777" i="1" s="1"/>
  <c r="CK232" i="1"/>
  <c r="AZ269" i="1" s="1"/>
  <c r="L374" i="1"/>
  <c r="AR374" i="1"/>
  <c r="LR667" i="1"/>
  <c r="K372" i="1"/>
  <c r="F217" i="1"/>
  <c r="HG232" i="1"/>
  <c r="AD273" i="1" s="1"/>
  <c r="BR232" i="1"/>
  <c r="AG269" i="1" s="1"/>
  <c r="FX885" i="1"/>
  <c r="AX890" i="1"/>
  <c r="GC885" i="1"/>
  <c r="DR232" i="1"/>
  <c r="AV270" i="1" s="1"/>
  <c r="HH347" i="1"/>
  <c r="AE374" i="1" s="1"/>
  <c r="AG890" i="1"/>
  <c r="DG232" i="1"/>
  <c r="AK270" i="1" s="1"/>
  <c r="AH370" i="1"/>
  <c r="CL347" i="1"/>
  <c r="BA370" i="1" s="1"/>
  <c r="HV347" i="1"/>
  <c r="AS374" i="1" s="1"/>
  <c r="KJ665" i="1"/>
  <c r="G733" i="1"/>
  <c r="KJ661" i="1"/>
  <c r="G729" i="1"/>
  <c r="KJ659" i="1"/>
  <c r="G727" i="1"/>
  <c r="G734" i="1"/>
  <c r="BP347" i="1"/>
  <c r="AE370" i="1" s="1"/>
  <c r="G728" i="1"/>
  <c r="KJ664" i="1"/>
  <c r="CE347" i="1"/>
  <c r="AT370" i="1" s="1"/>
  <c r="GG885" i="1"/>
  <c r="GB347" i="1"/>
  <c r="AJ373" i="1" s="1"/>
  <c r="IA347" i="1"/>
  <c r="AX374" i="1" s="1"/>
  <c r="HE347" i="1"/>
  <c r="AB374" i="1" s="1"/>
  <c r="DS347" i="1"/>
  <c r="AW371" i="1" s="1"/>
  <c r="HR347" i="1"/>
  <c r="AO374" i="1" s="1"/>
  <c r="EK347" i="1"/>
  <c r="AD372" i="1" s="1"/>
  <c r="FT347" i="1"/>
  <c r="AB373" i="1" s="1"/>
  <c r="CF347" i="1"/>
  <c r="AU370" i="1" s="1"/>
  <c r="FB347" i="1"/>
  <c r="AU372" i="1" s="1"/>
  <c r="BY347" i="1"/>
  <c r="AN370" i="1" s="1"/>
  <c r="FW347" i="1"/>
  <c r="AE373" i="1" s="1"/>
  <c r="CH347" i="1"/>
  <c r="AW370" i="1" s="1"/>
  <c r="AD890" i="1"/>
  <c r="DU347" i="1"/>
  <c r="AY371" i="1" s="1"/>
  <c r="FH347" i="1"/>
  <c r="BA372" i="1" s="1"/>
  <c r="BO347" i="1"/>
  <c r="AD370" i="1" s="1"/>
  <c r="HF347" i="1"/>
  <c r="AC374" i="1" s="1"/>
  <c r="BL347" i="1"/>
  <c r="AA370" i="1" s="1"/>
  <c r="GC347" i="1"/>
  <c r="AK373" i="1" s="1"/>
  <c r="DW232" i="1"/>
  <c r="BA270" i="1" s="1"/>
  <c r="BZ347" i="1"/>
  <c r="AO370" i="1" s="1"/>
  <c r="FR885" i="1"/>
  <c r="CI347" i="1"/>
  <c r="AX370" i="1" s="1"/>
  <c r="BJ347" i="1"/>
  <c r="Y370" i="1" s="1"/>
  <c r="FY455" i="1"/>
  <c r="AG473" i="1" s="1"/>
  <c r="GG455" i="1"/>
  <c r="AO473" i="1" s="1"/>
  <c r="HL347" i="1"/>
  <c r="AI374" i="1" s="1"/>
  <c r="EH347" i="1"/>
  <c r="AA372" i="1" s="1"/>
  <c r="BX232" i="1"/>
  <c r="AM269" i="1" s="1"/>
  <c r="FA347" i="1"/>
  <c r="AT372" i="1" s="1"/>
  <c r="CB347" i="1"/>
  <c r="AQ370" i="1" s="1"/>
  <c r="FQ347" i="1"/>
  <c r="Y373" i="1" s="1"/>
  <c r="HO232" i="1"/>
  <c r="AL273" i="1" s="1"/>
  <c r="GS347" i="1"/>
  <c r="BA373" i="1" s="1"/>
  <c r="DO347" i="1"/>
  <c r="AS371" i="1" s="1"/>
  <c r="CV347" i="1"/>
  <c r="Z371" i="1" s="1"/>
  <c r="BT347" i="1"/>
  <c r="AI370" i="1" s="1"/>
  <c r="DV232" i="1"/>
  <c r="AZ270" i="1" s="1"/>
  <c r="EZ347" i="1"/>
  <c r="AS372" i="1" s="1"/>
  <c r="BW347" i="1"/>
  <c r="AL370" i="1" s="1"/>
  <c r="ER347" i="1"/>
  <c r="AK372" i="1" s="1"/>
  <c r="DC347" i="1"/>
  <c r="AG371" i="1" s="1"/>
  <c r="DI347" i="1"/>
  <c r="AM371" i="1" s="1"/>
  <c r="CW347" i="1"/>
  <c r="AA371" i="1" s="1"/>
  <c r="FC232" i="1"/>
  <c r="AV271" i="1" s="1"/>
  <c r="GO885" i="1"/>
  <c r="FF347" i="1"/>
  <c r="AY372" i="1" s="1"/>
  <c r="EM232" i="1"/>
  <c r="AF271" i="1" s="1"/>
  <c r="EW347" i="1"/>
  <c r="AP372" i="1" s="1"/>
  <c r="ET347" i="1"/>
  <c r="AM372" i="1" s="1"/>
  <c r="DJ347" i="1"/>
  <c r="AN371" i="1" s="1"/>
  <c r="DK347" i="1"/>
  <c r="AO371" i="1" s="1"/>
  <c r="DF347" i="1"/>
  <c r="AJ371" i="1" s="1"/>
  <c r="BU347" i="1"/>
  <c r="AJ370" i="1" s="1"/>
  <c r="EX347" i="1"/>
  <c r="AQ372" i="1" s="1"/>
  <c r="CY347" i="1"/>
  <c r="AC371" i="1" s="1"/>
  <c r="EJ347" i="1"/>
  <c r="AR370" i="1"/>
  <c r="L370" i="1"/>
  <c r="GR347" i="1"/>
  <c r="AZ373" i="1" s="1"/>
  <c r="BM347" i="1"/>
  <c r="AB370" i="1" s="1"/>
  <c r="GH347" i="1"/>
  <c r="AP373" i="1" s="1"/>
  <c r="HT232" i="1"/>
  <c r="AQ273" i="1" s="1"/>
  <c r="FE347" i="1"/>
  <c r="AX372" i="1" s="1"/>
  <c r="FX347" i="1"/>
  <c r="AF373" i="1" s="1"/>
  <c r="AR472" i="1"/>
  <c r="L472" i="1"/>
  <c r="CH885" i="1"/>
  <c r="DC885" i="1"/>
  <c r="BT885" i="1"/>
  <c r="BY885" i="1"/>
  <c r="HK885" i="1"/>
  <c r="FI885" i="1"/>
  <c r="AC890" i="1"/>
  <c r="AS890" i="1"/>
  <c r="DG885" i="1"/>
  <c r="AP982" i="1"/>
  <c r="CM885" i="1"/>
  <c r="BU885" i="1"/>
  <c r="AB931" i="1"/>
  <c r="AB888" i="1"/>
  <c r="AB890" i="1" s="1"/>
  <c r="AB892" i="1"/>
  <c r="KD777" i="1"/>
  <c r="AE790" i="1" s="1"/>
  <c r="KG777" i="1"/>
  <c r="KC777" i="1"/>
  <c r="AD790" i="1" s="1"/>
  <c r="KA777" i="1"/>
  <c r="AB790" i="1" s="1"/>
  <c r="KF777" i="1"/>
  <c r="AG790" i="1" s="1"/>
  <c r="KE777" i="1"/>
  <c r="AF790" i="1" s="1"/>
  <c r="KB777" i="1"/>
  <c r="HT885" i="1"/>
  <c r="HZ885" i="1"/>
  <c r="AR373" i="1"/>
  <c r="L373" i="1"/>
  <c r="AL932" i="1"/>
  <c r="AL933" i="1" s="1"/>
  <c r="AL893" i="1"/>
  <c r="AL894" i="1" s="1"/>
  <c r="AK982" i="1"/>
  <c r="I254" i="1"/>
  <c r="H254" i="1"/>
  <c r="G254" i="1"/>
  <c r="AH982" i="1"/>
  <c r="K982" i="1"/>
  <c r="EZ885" i="1"/>
  <c r="DK885" i="1"/>
  <c r="CU885" i="1"/>
  <c r="DT885" i="1"/>
  <c r="DX885" i="1"/>
  <c r="F215" i="1"/>
  <c r="DV885" i="1"/>
  <c r="GQ232" i="1"/>
  <c r="AY272" i="1" s="1"/>
  <c r="H259" i="1"/>
  <c r="CL885" i="1"/>
  <c r="Z982" i="1"/>
  <c r="HS885" i="1"/>
  <c r="L474" i="1"/>
  <c r="AR474" i="1"/>
  <c r="G257" i="1"/>
  <c r="DP347" i="1"/>
  <c r="AT371" i="1" s="1"/>
  <c r="EN885" i="1"/>
  <c r="DL885" i="1"/>
  <c r="FD232" i="1"/>
  <c r="AW271" i="1" s="1"/>
  <c r="FX774" i="1"/>
  <c r="FX777" i="1" s="1"/>
  <c r="EQ232" i="1"/>
  <c r="AJ271" i="1" s="1"/>
  <c r="DE232" i="1"/>
  <c r="AI270" i="1" s="1"/>
  <c r="HN232" i="1"/>
  <c r="AK273" i="1" s="1"/>
  <c r="GG232" i="1"/>
  <c r="AO272" i="1" s="1"/>
  <c r="GF232" i="1"/>
  <c r="AN272" i="1" s="1"/>
  <c r="AO982" i="1"/>
  <c r="CE885" i="1"/>
  <c r="CD885" i="1"/>
  <c r="GH885" i="1"/>
  <c r="GH455" i="1"/>
  <c r="AP473" i="1" s="1"/>
  <c r="KY815" i="1"/>
  <c r="KU815" i="1"/>
  <c r="KQ815" i="1"/>
  <c r="KM815" i="1"/>
  <c r="KI815" i="1"/>
  <c r="KX815" i="1"/>
  <c r="KT815" i="1"/>
  <c r="KP815" i="1"/>
  <c r="KL815" i="1"/>
  <c r="KH815" i="1"/>
  <c r="KZ815" i="1"/>
  <c r="KR815" i="1"/>
  <c r="KJ815" i="1"/>
  <c r="KW815" i="1"/>
  <c r="KO815" i="1"/>
  <c r="KV815" i="1"/>
  <c r="KS815" i="1"/>
  <c r="KK815" i="1"/>
  <c r="LA815" i="1"/>
  <c r="KN815" i="1"/>
  <c r="MJ777" i="1"/>
  <c r="MF777" i="1"/>
  <c r="MI777" i="1"/>
  <c r="ME777" i="1"/>
  <c r="MG777" i="1"/>
  <c r="ML777" i="1"/>
  <c r="BB791" i="1" s="1"/>
  <c r="MD777" i="1"/>
  <c r="MK777" i="1"/>
  <c r="MH777" i="1"/>
  <c r="MC777" i="1"/>
  <c r="IV667" i="1"/>
  <c r="IY667" i="1" s="1"/>
  <c r="IY666" i="1"/>
  <c r="JP777" i="1"/>
  <c r="JL777" i="1"/>
  <c r="JH777" i="1"/>
  <c r="JD777" i="1"/>
  <c r="IZ777" i="1"/>
  <c r="JO777" i="1"/>
  <c r="JK777" i="1"/>
  <c r="JG777" i="1"/>
  <c r="JC777" i="1"/>
  <c r="IY777" i="1"/>
  <c r="JI777" i="1"/>
  <c r="JA777" i="1"/>
  <c r="JN777" i="1"/>
  <c r="JF777" i="1"/>
  <c r="IX777" i="1"/>
  <c r="JJ777" i="1"/>
  <c r="JE777" i="1"/>
  <c r="JM777" i="1"/>
  <c r="JB777" i="1"/>
  <c r="IW777" i="1"/>
  <c r="IE885" i="1"/>
  <c r="HM885" i="1"/>
  <c r="GT885" i="1"/>
  <c r="GT455" i="1"/>
  <c r="AS982" i="1"/>
  <c r="AR372" i="1"/>
  <c r="L372" i="1"/>
  <c r="AT982" i="1"/>
  <c r="EW885" i="1"/>
  <c r="EF885" i="1"/>
  <c r="DD885" i="1"/>
  <c r="FG885" i="1"/>
  <c r="AC471" i="1"/>
  <c r="J471" i="1"/>
  <c r="CW885" i="1"/>
  <c r="CV885" i="1"/>
  <c r="DF885" i="1"/>
  <c r="I982" i="1"/>
  <c r="CE455" i="1"/>
  <c r="AT470" i="1" s="1"/>
  <c r="CG885" i="1"/>
  <c r="CG774" i="1"/>
  <c r="CG777" i="1" s="1"/>
  <c r="CD455" i="1"/>
  <c r="AS470" i="1" s="1"/>
  <c r="DH347" i="1"/>
  <c r="AL371" i="1" s="1"/>
  <c r="AV931" i="1"/>
  <c r="AV892" i="1"/>
  <c r="AV888" i="1"/>
  <c r="AV890" i="1" s="1"/>
  <c r="KX777" i="1"/>
  <c r="AY790" i="1" s="1"/>
  <c r="KT777" i="1"/>
  <c r="AU790" i="1" s="1"/>
  <c r="KP777" i="1"/>
  <c r="AQ790" i="1" s="1"/>
  <c r="KL777" i="1"/>
  <c r="AM790" i="1" s="1"/>
  <c r="KH777" i="1"/>
  <c r="AI790" i="1" s="1"/>
  <c r="D822" i="1"/>
  <c r="LA777" i="1"/>
  <c r="KW777" i="1"/>
  <c r="AX790" i="1" s="1"/>
  <c r="KS777" i="1"/>
  <c r="AT790" i="1" s="1"/>
  <c r="KO777" i="1"/>
  <c r="AP790" i="1" s="1"/>
  <c r="KK777" i="1"/>
  <c r="AL790" i="1" s="1"/>
  <c r="KY777" i="1"/>
  <c r="AZ790" i="1" s="1"/>
  <c r="KQ777" i="1"/>
  <c r="KI777" i="1"/>
  <c r="AJ790" i="1" s="1"/>
  <c r="KV777" i="1"/>
  <c r="AW790" i="1" s="1"/>
  <c r="KN777" i="1"/>
  <c r="AO790" i="1" s="1"/>
  <c r="KZ777" i="1"/>
  <c r="BA790" i="1" s="1"/>
  <c r="KJ777" i="1"/>
  <c r="AK790" i="1" s="1"/>
  <c r="KU777" i="1"/>
  <c r="AV790" i="1" s="1"/>
  <c r="KR777" i="1"/>
  <c r="AS790" i="1" s="1"/>
  <c r="KM777" i="1"/>
  <c r="AN790" i="1" s="1"/>
  <c r="HL885" i="1"/>
  <c r="HL774" i="1"/>
  <c r="HL777" i="1" s="1"/>
  <c r="IE455" i="1"/>
  <c r="IE774" i="1" s="1"/>
  <c r="IE777" i="1" s="1"/>
  <c r="HF885" i="1"/>
  <c r="HF774" i="1"/>
  <c r="HF777" i="1" s="1"/>
  <c r="HM455" i="1"/>
  <c r="AJ474" i="1" s="1"/>
  <c r="BB271" i="1"/>
  <c r="F257" i="1"/>
  <c r="I257" i="1" s="1"/>
  <c r="M271" i="1"/>
  <c r="GK347" i="1"/>
  <c r="AS373" i="1" s="1"/>
  <c r="DA347" i="1"/>
  <c r="AE371" i="1" s="1"/>
  <c r="AC893" i="1"/>
  <c r="AC894" i="1" s="1"/>
  <c r="AC932" i="1"/>
  <c r="AC933" i="1" s="1"/>
  <c r="CA347" i="1"/>
  <c r="AP370" i="1" s="1"/>
  <c r="FR347" i="1"/>
  <c r="Z373" i="1" s="1"/>
  <c r="FS347" i="1"/>
  <c r="AA373" i="1" s="1"/>
  <c r="EU347" i="1"/>
  <c r="AN372" i="1" s="1"/>
  <c r="CZ347" i="1"/>
  <c r="AD371" i="1" s="1"/>
  <c r="EP885" i="1"/>
  <c r="EP774" i="1"/>
  <c r="EP777" i="1" s="1"/>
  <c r="EW455" i="1"/>
  <c r="AP472" i="1" s="1"/>
  <c r="EI885" i="1"/>
  <c r="EI774" i="1"/>
  <c r="EI777" i="1" s="1"/>
  <c r="EF455" i="1"/>
  <c r="Y472" i="1" s="1"/>
  <c r="DS885" i="1"/>
  <c r="DS774" i="1"/>
  <c r="DS777" i="1" s="1"/>
  <c r="DC455" i="1"/>
  <c r="AG471" i="1" s="1"/>
  <c r="DE885" i="1"/>
  <c r="DE774" i="1"/>
  <c r="DE777" i="1" s="1"/>
  <c r="GR885" i="1"/>
  <c r="GR455" i="1"/>
  <c r="AZ473" i="1" s="1"/>
  <c r="AU931" i="1"/>
  <c r="AU892" i="1"/>
  <c r="AU888" i="1"/>
  <c r="AU890" i="1" s="1"/>
  <c r="ES885" i="1"/>
  <c r="ES774" i="1"/>
  <c r="ES777" i="1" s="1"/>
  <c r="HS347" i="1"/>
  <c r="AP374" i="1" s="1"/>
  <c r="EN347" i="1"/>
  <c r="AG372" i="1" s="1"/>
  <c r="EG347" i="1"/>
  <c r="Z372" i="1" s="1"/>
  <c r="DO885" i="1"/>
  <c r="DO774" i="1"/>
  <c r="DO777" i="1" s="1"/>
  <c r="CX885" i="1"/>
  <c r="CX774" i="1"/>
  <c r="CX777" i="1" s="1"/>
  <c r="CW455" i="1"/>
  <c r="AA471" i="1" s="1"/>
  <c r="CV455" i="1"/>
  <c r="Z471" i="1" s="1"/>
  <c r="CZ885" i="1"/>
  <c r="CZ774" i="1"/>
  <c r="CZ777" i="1" s="1"/>
  <c r="CG347" i="1"/>
  <c r="AV370" i="1" s="1"/>
  <c r="DT347" i="1"/>
  <c r="AX371" i="1" s="1"/>
  <c r="HN885" i="1"/>
  <c r="HN774" i="1"/>
  <c r="HN777" i="1" s="1"/>
  <c r="GN347" i="1"/>
  <c r="AV373" i="1" s="1"/>
  <c r="AZ931" i="1"/>
  <c r="AZ892" i="1"/>
  <c r="AZ888" i="1"/>
  <c r="EF347" i="1"/>
  <c r="Y372" i="1" s="1"/>
  <c r="DF455" i="1"/>
  <c r="AJ471" i="1" s="1"/>
  <c r="Y982" i="1"/>
  <c r="CJ885" i="1"/>
  <c r="CJ774" i="1"/>
  <c r="CJ777" i="1" s="1"/>
  <c r="BT455" i="1"/>
  <c r="AI470" i="1" s="1"/>
  <c r="BZ885" i="1"/>
  <c r="BZ774" i="1"/>
  <c r="BZ777" i="1" s="1"/>
  <c r="BY455" i="1"/>
  <c r="AN470" i="1" s="1"/>
  <c r="GM885" i="1"/>
  <c r="GM455" i="1"/>
  <c r="AU473" i="1" s="1"/>
  <c r="KE815" i="1"/>
  <c r="KA815" i="1"/>
  <c r="KD815" i="1"/>
  <c r="KB815" i="1"/>
  <c r="KG815" i="1"/>
  <c r="KF815" i="1"/>
  <c r="KC815" i="1"/>
  <c r="IA774" i="1"/>
  <c r="IA777" i="1" s="1"/>
  <c r="IA885" i="1"/>
  <c r="M273" i="1"/>
  <c r="F259" i="1"/>
  <c r="I259" i="1" s="1"/>
  <c r="BB273" i="1"/>
  <c r="GM347" i="1"/>
  <c r="AU373" i="1" s="1"/>
  <c r="GQ885" i="1"/>
  <c r="GQ455" i="1"/>
  <c r="AY473" i="1" s="1"/>
  <c r="GS885" i="1"/>
  <c r="GS455" i="1"/>
  <c r="BA473" i="1" s="1"/>
  <c r="AA931" i="1"/>
  <c r="AA892" i="1"/>
  <c r="AA888" i="1"/>
  <c r="FB885" i="1"/>
  <c r="FI455" i="1"/>
  <c r="FI774" i="1" s="1"/>
  <c r="FI777" i="1" s="1"/>
  <c r="X890" i="1"/>
  <c r="AT890" i="1"/>
  <c r="AW890" i="1"/>
  <c r="AI931" i="1"/>
  <c r="AI892" i="1"/>
  <c r="AI888" i="1"/>
  <c r="AI890" i="1" s="1"/>
  <c r="AJ892" i="1"/>
  <c r="AJ931" i="1"/>
  <c r="AJ888" i="1"/>
  <c r="GN885" i="1"/>
  <c r="GN455" i="1"/>
  <c r="AV473" i="1" s="1"/>
  <c r="AX932" i="1"/>
  <c r="AX893" i="1"/>
  <c r="BP885" i="1"/>
  <c r="CM455" i="1"/>
  <c r="CM774" i="1" s="1"/>
  <c r="CM777" i="1" s="1"/>
  <c r="BN885" i="1"/>
  <c r="BU455" i="1"/>
  <c r="AJ470" i="1" s="1"/>
  <c r="GL885" i="1"/>
  <c r="GL455" i="1"/>
  <c r="AT473" i="1" s="1"/>
  <c r="LA667" i="1"/>
  <c r="KW667" i="1" s="1"/>
  <c r="KW666" i="1"/>
  <c r="CJ347" i="1"/>
  <c r="AY370" i="1" s="1"/>
  <c r="HT455" i="1"/>
  <c r="AQ474" i="1" s="1"/>
  <c r="HG885" i="1"/>
  <c r="HG774" i="1"/>
  <c r="HG777" i="1" s="1"/>
  <c r="IC885" i="1"/>
  <c r="IC774" i="1"/>
  <c r="IC777" i="1" s="1"/>
  <c r="GP885" i="1"/>
  <c r="GP455" i="1"/>
  <c r="AX473" i="1" s="1"/>
  <c r="HP232" i="1"/>
  <c r="AM273" i="1" s="1"/>
  <c r="BB982" i="1"/>
  <c r="M982" i="1"/>
  <c r="AC273" i="1"/>
  <c r="J273" i="1"/>
  <c r="FG347" i="1"/>
  <c r="AZ372" i="1" s="1"/>
  <c r="FV885" i="1"/>
  <c r="FV455" i="1"/>
  <c r="AD473" i="1" s="1"/>
  <c r="AG932" i="1"/>
  <c r="AG933" i="1" s="1"/>
  <c r="AG893" i="1"/>
  <c r="AG894" i="1" s="1"/>
  <c r="EO885" i="1"/>
  <c r="EZ455" i="1"/>
  <c r="AS472" i="1" s="1"/>
  <c r="FC885" i="1"/>
  <c r="FC774" i="1"/>
  <c r="FC777" i="1" s="1"/>
  <c r="HQ347" i="1"/>
  <c r="AN374" i="1" s="1"/>
  <c r="EI347" i="1"/>
  <c r="AB372" i="1" s="1"/>
  <c r="DK455" i="1"/>
  <c r="AO471" i="1" s="1"/>
  <c r="DU885" i="1"/>
  <c r="DX455" i="1"/>
  <c r="KG667" i="1"/>
  <c r="KJ667" i="1" s="1"/>
  <c r="KJ666" i="1"/>
  <c r="AM931" i="1"/>
  <c r="AM892" i="1"/>
  <c r="AM888" i="1"/>
  <c r="AM890" i="1" s="1"/>
  <c r="DV455" i="1"/>
  <c r="AZ471" i="1" s="1"/>
  <c r="GE347" i="1"/>
  <c r="AM373" i="1" s="1"/>
  <c r="CB885" i="1"/>
  <c r="BL885" i="1"/>
  <c r="BL774" i="1"/>
  <c r="BL777" i="1" s="1"/>
  <c r="BJ885" i="1"/>
  <c r="CL455" i="1"/>
  <c r="BA470" i="1" s="1"/>
  <c r="BM885" i="1"/>
  <c r="DL347" i="1"/>
  <c r="AP371" i="1" s="1"/>
  <c r="Z932" i="1"/>
  <c r="Z933" i="1" s="1"/>
  <c r="Z893" i="1"/>
  <c r="AP670" i="1"/>
  <c r="AL670" i="1"/>
  <c r="AO670" i="1"/>
  <c r="AK670" i="1"/>
  <c r="AQ670" i="1"/>
  <c r="AI670" i="1"/>
  <c r="AN670" i="1"/>
  <c r="AJ670" i="1"/>
  <c r="AM670" i="1"/>
  <c r="HS455" i="1"/>
  <c r="AP474" i="1" s="1"/>
  <c r="ER885" i="1"/>
  <c r="ER774" i="1"/>
  <c r="ER777" i="1" s="1"/>
  <c r="EN455" i="1"/>
  <c r="AG472" i="1" s="1"/>
  <c r="DL455" i="1"/>
  <c r="AP471" i="1" s="1"/>
  <c r="GC774" i="1"/>
  <c r="GC777" i="1" s="1"/>
  <c r="GO774" i="1"/>
  <c r="GO777" i="1" s="1"/>
  <c r="DM232" i="1"/>
  <c r="AQ270" i="1" s="1"/>
  <c r="GE885" i="1"/>
  <c r="GE455" i="1"/>
  <c r="AM473" i="1" s="1"/>
  <c r="AO932" i="1"/>
  <c r="AO933" i="1" s="1"/>
  <c r="AO893" i="1"/>
  <c r="AO894" i="1" s="1"/>
  <c r="BX885" i="1"/>
  <c r="BX774" i="1"/>
  <c r="BX777" i="1" s="1"/>
  <c r="IB885" i="1"/>
  <c r="BB374" i="1"/>
  <c r="M374" i="1"/>
  <c r="HI885" i="1"/>
  <c r="AC474" i="1"/>
  <c r="J474" i="1"/>
  <c r="AS932" i="1"/>
  <c r="AS933" i="1" s="1"/>
  <c r="AS893" i="1"/>
  <c r="AS894" i="1" s="1"/>
  <c r="AC272" i="1"/>
  <c r="J272" i="1"/>
  <c r="AR270" i="1"/>
  <c r="E256" i="1"/>
  <c r="H256" i="1" s="1"/>
  <c r="L270" i="1"/>
  <c r="FQ885" i="1"/>
  <c r="FQ455" i="1"/>
  <c r="Y473" i="1" s="1"/>
  <c r="FF885" i="1"/>
  <c r="EJ885" i="1"/>
  <c r="AH374" i="1"/>
  <c r="K374" i="1"/>
  <c r="DB885" i="1"/>
  <c r="DD455" i="1"/>
  <c r="DD774" i="1" s="1"/>
  <c r="DD777" i="1" s="1"/>
  <c r="DH885" i="1"/>
  <c r="FU885" i="1"/>
  <c r="FU455" i="1"/>
  <c r="FU774" i="1" s="1"/>
  <c r="FU777" i="1" s="1"/>
  <c r="AN931" i="1"/>
  <c r="AN892" i="1"/>
  <c r="AN888" i="1"/>
  <c r="AN890" i="1" s="1"/>
  <c r="FG455" i="1"/>
  <c r="AZ472" i="1" s="1"/>
  <c r="DN885" i="1"/>
  <c r="DA885" i="1"/>
  <c r="FZ885" i="1"/>
  <c r="FZ455" i="1"/>
  <c r="HC885" i="1"/>
  <c r="BK774" i="1"/>
  <c r="BK777" i="1" s="1"/>
  <c r="BK885" i="1"/>
  <c r="CC885" i="1"/>
  <c r="HH885" i="1"/>
  <c r="HK455" i="1"/>
  <c r="ID885" i="1"/>
  <c r="FT885" i="1"/>
  <c r="FT774" i="1"/>
  <c r="FT777" i="1" s="1"/>
  <c r="AW932" i="1"/>
  <c r="AW933" i="1" s="1"/>
  <c r="AW893" i="1"/>
  <c r="AW894" i="1" s="1"/>
  <c r="AE931" i="1"/>
  <c r="AE892" i="1"/>
  <c r="AE888" i="1"/>
  <c r="AE890" i="1" s="1"/>
  <c r="FB455" i="1"/>
  <c r="AU472" i="1" s="1"/>
  <c r="FD885" i="1"/>
  <c r="FD774" i="1"/>
  <c r="FD777" i="1" s="1"/>
  <c r="HR885" i="1"/>
  <c r="HR774" i="1"/>
  <c r="HR777" i="1" s="1"/>
  <c r="FY347" i="1"/>
  <c r="AG373" i="1" s="1"/>
  <c r="EQ885" i="1"/>
  <c r="EQ774" i="1"/>
  <c r="EQ777" i="1" s="1"/>
  <c r="DP885" i="1"/>
  <c r="DP774" i="1"/>
  <c r="DP777" i="1" s="1"/>
  <c r="FS885" i="1"/>
  <c r="FS455" i="1"/>
  <c r="AA473" i="1" s="1"/>
  <c r="AP932" i="1"/>
  <c r="AP933" i="1" s="1"/>
  <c r="AP893" i="1"/>
  <c r="CF885" i="1"/>
  <c r="CF774" i="1"/>
  <c r="CF777" i="1" s="1"/>
  <c r="BP455" i="1"/>
  <c r="AE470" i="1" s="1"/>
  <c r="BB370" i="1"/>
  <c r="M370" i="1"/>
  <c r="BQ885" i="1"/>
  <c r="BQ774" i="1"/>
  <c r="BQ777" i="1" s="1"/>
  <c r="BN455" i="1"/>
  <c r="GF885" i="1"/>
  <c r="GF774" i="1"/>
  <c r="GF777" i="1" s="1"/>
  <c r="AR931" i="1"/>
  <c r="AR892" i="1"/>
  <c r="AR888" i="1"/>
  <c r="AR890" i="1" s="1"/>
  <c r="IV777" i="1"/>
  <c r="IR777" i="1"/>
  <c r="IU777" i="1"/>
  <c r="IQ777" i="1"/>
  <c r="IS777" i="1"/>
  <c r="IP777" i="1"/>
  <c r="IT777" i="1"/>
  <c r="HW885" i="1"/>
  <c r="HW774" i="1"/>
  <c r="HW777" i="1" s="1"/>
  <c r="HZ455" i="1"/>
  <c r="AW474" i="1" s="1"/>
  <c r="HV885" i="1"/>
  <c r="HV774" i="1"/>
  <c r="HV777" i="1" s="1"/>
  <c r="AK932" i="1"/>
  <c r="AK933" i="1" s="1"/>
  <c r="AK893" i="1"/>
  <c r="AK894" i="1" s="1"/>
  <c r="ES347" i="1"/>
  <c r="AL372" i="1" s="1"/>
  <c r="AD932" i="1"/>
  <c r="AD933" i="1" s="1"/>
  <c r="AD893" i="1"/>
  <c r="AD894" i="1" s="1"/>
  <c r="EX885" i="1"/>
  <c r="EX774" i="1"/>
  <c r="EX777" i="1" s="1"/>
  <c r="FE885" i="1"/>
  <c r="FE774" i="1"/>
  <c r="FE777" i="1" s="1"/>
  <c r="EO455" i="1"/>
  <c r="EO774" i="1" s="1"/>
  <c r="EO777" i="1" s="1"/>
  <c r="EV885" i="1"/>
  <c r="EV774" i="1"/>
  <c r="EV777" i="1" s="1"/>
  <c r="AC271" i="1"/>
  <c r="J271" i="1"/>
  <c r="DJ885" i="1"/>
  <c r="DJ774" i="1"/>
  <c r="DJ777" i="1" s="1"/>
  <c r="DU455" i="1"/>
  <c r="AY471" i="1" s="1"/>
  <c r="DT455" i="1"/>
  <c r="AX471" i="1" s="1"/>
  <c r="CX347" i="1"/>
  <c r="AB371" i="1" s="1"/>
  <c r="HQ885" i="1"/>
  <c r="HQ774" i="1"/>
  <c r="HQ777" i="1" s="1"/>
  <c r="GP347" i="1"/>
  <c r="AX373" i="1" s="1"/>
  <c r="DW885" i="1"/>
  <c r="DW774" i="1"/>
  <c r="DW777" i="1" s="1"/>
  <c r="GK774" i="1"/>
  <c r="GK777" i="1" s="1"/>
  <c r="H255" i="1"/>
  <c r="CB455" i="1"/>
  <c r="AQ470" i="1" s="1"/>
  <c r="BS885" i="1"/>
  <c r="BS774" i="1"/>
  <c r="BS777" i="1" s="1"/>
  <c r="BJ455" i="1"/>
  <c r="Y470" i="1" s="1"/>
  <c r="BM455" i="1"/>
  <c r="AB470" i="1" s="1"/>
  <c r="GI885" i="1"/>
  <c r="GI455" i="1"/>
  <c r="AQ473" i="1" s="1"/>
  <c r="Z894" i="1"/>
  <c r="LP777" i="1"/>
  <c r="LL777" i="1"/>
  <c r="AB791" i="1" s="1"/>
  <c r="LO777" i="1"/>
  <c r="LQ777" i="1"/>
  <c r="LN777" i="1"/>
  <c r="LM777" i="1"/>
  <c r="LR777" i="1"/>
  <c r="AH791" i="1" s="1"/>
  <c r="AY931" i="1"/>
  <c r="AY892" i="1"/>
  <c r="AY888" i="1"/>
  <c r="EK885" i="1"/>
  <c r="GB885" i="1"/>
  <c r="GB455" i="1"/>
  <c r="AJ473" i="1" s="1"/>
  <c r="X932" i="1"/>
  <c r="X933" i="1" s="1"/>
  <c r="X893" i="1"/>
  <c r="X894" i="1" s="1"/>
  <c r="AQ931" i="1"/>
  <c r="AQ888" i="1"/>
  <c r="AQ892" i="1"/>
  <c r="BO885" i="1"/>
  <c r="BO774" i="1"/>
  <c r="BO777" i="1" s="1"/>
  <c r="CH455" i="1"/>
  <c r="AW470" i="1" s="1"/>
  <c r="CK885" i="1"/>
  <c r="CK774" i="1"/>
  <c r="CK777" i="1" s="1"/>
  <c r="AF931" i="1"/>
  <c r="AF888" i="1"/>
  <c r="AF890" i="1" s="1"/>
  <c r="AF892" i="1"/>
  <c r="IB455" i="1"/>
  <c r="AY474" i="1" s="1"/>
  <c r="HO885" i="1"/>
  <c r="HO774" i="1"/>
  <c r="HO777" i="1" s="1"/>
  <c r="HJ885" i="1"/>
  <c r="HJ774" i="1"/>
  <c r="HJ777" i="1" s="1"/>
  <c r="HI455" i="1"/>
  <c r="AF474" i="1" s="1"/>
  <c r="GL347" i="1"/>
  <c r="AT373" i="1" s="1"/>
  <c r="GI347" i="1"/>
  <c r="AQ373" i="1" s="1"/>
  <c r="AC982" i="1"/>
  <c r="J982" i="1"/>
  <c r="BV347" i="1"/>
  <c r="AK370" i="1" s="1"/>
  <c r="FU347" i="1"/>
  <c r="EV347" i="1"/>
  <c r="AO372" i="1" s="1"/>
  <c r="EP347" i="1"/>
  <c r="AI372" i="1" s="1"/>
  <c r="L371" i="1"/>
  <c r="AR371" i="1"/>
  <c r="AT893" i="1"/>
  <c r="AT894" i="1" s="1"/>
  <c r="AT932" i="1"/>
  <c r="AT933" i="1" s="1"/>
  <c r="FF455" i="1"/>
  <c r="AY472" i="1" s="1"/>
  <c r="EG885" i="1"/>
  <c r="EG774" i="1"/>
  <c r="EG777" i="1" s="1"/>
  <c r="EJ455" i="1"/>
  <c r="EM885" i="1"/>
  <c r="EM774" i="1"/>
  <c r="EM777" i="1" s="1"/>
  <c r="DR885" i="1"/>
  <c r="DR774" i="1"/>
  <c r="DR777" i="1" s="1"/>
  <c r="DB455" i="1"/>
  <c r="AF471" i="1" s="1"/>
  <c r="DI885" i="1"/>
  <c r="DI774" i="1"/>
  <c r="DI777" i="1" s="1"/>
  <c r="DH455" i="1"/>
  <c r="AL471" i="1" s="1"/>
  <c r="EL885" i="1"/>
  <c r="EL774" i="1"/>
  <c r="EL777" i="1" s="1"/>
  <c r="ID347" i="1"/>
  <c r="BA374" i="1" s="1"/>
  <c r="CY885" i="1"/>
  <c r="CY774" i="1"/>
  <c r="CY777" i="1" s="1"/>
  <c r="DN455" i="1"/>
  <c r="DA455" i="1"/>
  <c r="AE471" i="1" s="1"/>
  <c r="CU347" i="1"/>
  <c r="Y371" i="1" s="1"/>
  <c r="GD885" i="1"/>
  <c r="GD455" i="1"/>
  <c r="AL473" i="1" s="1"/>
  <c r="HC455" i="1"/>
  <c r="Z474" i="1" s="1"/>
  <c r="FW885" i="1"/>
  <c r="FW774" i="1"/>
  <c r="FW777" i="1" s="1"/>
  <c r="EU885" i="1"/>
  <c r="EU774" i="1"/>
  <c r="EU777" i="1" s="1"/>
  <c r="HM347" i="1"/>
  <c r="AJ374" i="1" s="1"/>
  <c r="EL347" i="1"/>
  <c r="AE372" i="1" s="1"/>
  <c r="DM885" i="1"/>
  <c r="DM774" i="1"/>
  <c r="DM777" i="1" s="1"/>
  <c r="CD347" i="1"/>
  <c r="AS370" i="1" s="1"/>
  <c r="Y932" i="1"/>
  <c r="Y933" i="1" s="1"/>
  <c r="Y893" i="1"/>
  <c r="Y894" i="1" s="1"/>
  <c r="CA885" i="1"/>
  <c r="CA774" i="1"/>
  <c r="CA777" i="1" s="1"/>
  <c r="BV885" i="1"/>
  <c r="BV774" i="1"/>
  <c r="BV777" i="1" s="1"/>
  <c r="CC455" i="1"/>
  <c r="CC774" i="1" s="1"/>
  <c r="CC777" i="1" s="1"/>
  <c r="HX885" i="1"/>
  <c r="HX774" i="1"/>
  <c r="HX777" i="1" s="1"/>
  <c r="HH455" i="1"/>
  <c r="AE474" i="1" s="1"/>
  <c r="HB885" i="1"/>
  <c r="HB774" i="1"/>
  <c r="HB777" i="1" s="1"/>
  <c r="ID455" i="1"/>
  <c r="BA474" i="1" s="1"/>
  <c r="HE885" i="1"/>
  <c r="HE774" i="1"/>
  <c r="HE777" i="1" s="1"/>
  <c r="AW982" i="1"/>
  <c r="FH885" i="1"/>
  <c r="FH774" i="1"/>
  <c r="FH777" i="1" s="1"/>
  <c r="AZ890" i="1"/>
  <c r="Y890" i="1"/>
  <c r="AO890" i="1"/>
  <c r="ET885" i="1"/>
  <c r="ET774" i="1"/>
  <c r="ET777" i="1" s="1"/>
  <c r="DG455" i="1"/>
  <c r="AK471" i="1" s="1"/>
  <c r="AH272" i="1"/>
  <c r="K272" i="1"/>
  <c r="D258" i="1"/>
  <c r="G258" i="1" s="1"/>
  <c r="BW885" i="1"/>
  <c r="BW774" i="1"/>
  <c r="BW777" i="1" s="1"/>
  <c r="BR885" i="1"/>
  <c r="BR774" i="1"/>
  <c r="BR777" i="1" s="1"/>
  <c r="BA892" i="1"/>
  <c r="BA888" i="1"/>
  <c r="BA931" i="1"/>
  <c r="HD885" i="1"/>
  <c r="HD774" i="1"/>
  <c r="HD777" i="1" s="1"/>
  <c r="HY885" i="1"/>
  <c r="HY774" i="1"/>
  <c r="HY777" i="1" s="1"/>
  <c r="AL982" i="1"/>
  <c r="AH932" i="1"/>
  <c r="AH933" i="1" s="1"/>
  <c r="AH893" i="1"/>
  <c r="AH894" i="1" s="1"/>
  <c r="AG982" i="1"/>
  <c r="AC270" i="1"/>
  <c r="J270" i="1"/>
  <c r="AD982" i="1"/>
  <c r="EH885" i="1"/>
  <c r="EH774" i="1"/>
  <c r="EH777" i="1" s="1"/>
  <c r="EY885" i="1"/>
  <c r="EY774" i="1"/>
  <c r="EY777" i="1" s="1"/>
  <c r="AC372" i="1"/>
  <c r="J372" i="1"/>
  <c r="J374" i="1"/>
  <c r="CU455" i="1"/>
  <c r="Y471" i="1" s="1"/>
  <c r="BB371" i="1"/>
  <c r="M371" i="1"/>
  <c r="M270" i="1"/>
  <c r="BB270" i="1"/>
  <c r="F256" i="1"/>
  <c r="I256" i="1" s="1"/>
  <c r="GA885" i="1"/>
  <c r="GA774" i="1"/>
  <c r="GA777" i="1" s="1"/>
  <c r="HP885" i="1"/>
  <c r="HP774" i="1"/>
  <c r="HP777" i="1" s="1"/>
  <c r="DQ885" i="1"/>
  <c r="DQ774" i="1"/>
  <c r="DQ777" i="1" s="1"/>
  <c r="GJ885" i="1"/>
  <c r="GJ455" i="1"/>
  <c r="GJ774" i="1" s="1"/>
  <c r="GJ777" i="1" s="1"/>
  <c r="G256" i="1"/>
  <c r="CI885" i="1"/>
  <c r="CI774" i="1"/>
  <c r="CI777" i="1" s="1"/>
  <c r="AH470" i="1"/>
  <c r="K470" i="1"/>
  <c r="M269" i="1"/>
  <c r="F255" i="1"/>
  <c r="I255" i="1" s="1"/>
  <c r="BB269" i="1"/>
  <c r="HU885" i="1"/>
  <c r="HU774" i="1"/>
  <c r="HU777" i="1" s="1"/>
  <c r="GO347" i="1"/>
  <c r="AW373" i="1" s="1"/>
  <c r="FV347" i="1"/>
  <c r="AD373" i="1" s="1"/>
  <c r="FA885" i="1"/>
  <c r="FA774" i="1"/>
  <c r="FA777" i="1" s="1"/>
  <c r="EK455" i="1"/>
  <c r="AD472" i="1" s="1"/>
  <c r="GG774" i="1"/>
  <c r="GG777" i="1" s="1"/>
  <c r="D823" i="1" l="1"/>
  <c r="F828" i="1"/>
  <c r="AP894" i="1"/>
  <c r="LN817" i="1"/>
  <c r="LN818" i="1" s="1"/>
  <c r="D829" i="1"/>
  <c r="F829" i="1" s="1"/>
  <c r="MC817" i="1"/>
  <c r="MC818" i="1" s="1"/>
  <c r="MG817" i="1"/>
  <c r="MG818" i="1" s="1"/>
  <c r="ME817" i="1"/>
  <c r="ME818" i="1" s="1"/>
  <c r="MH817" i="1"/>
  <c r="MH818" i="1" s="1"/>
  <c r="MI817" i="1"/>
  <c r="MI818" i="1" s="1"/>
  <c r="ML817" i="1"/>
  <c r="ML818" i="1" s="1"/>
  <c r="MF817" i="1"/>
  <c r="MF818" i="1" s="1"/>
  <c r="MJ817" i="1"/>
  <c r="MJ818" i="1" s="1"/>
  <c r="MK817" i="1"/>
  <c r="MK818" i="1" s="1"/>
  <c r="AC269" i="1"/>
  <c r="BB932" i="1"/>
  <c r="BB933" i="1" s="1"/>
  <c r="BB893" i="1"/>
  <c r="BB894" i="1" s="1"/>
  <c r="AX894" i="1"/>
  <c r="AX933" i="1"/>
  <c r="LU818" i="1"/>
  <c r="LX818" i="1"/>
  <c r="MB818" i="1"/>
  <c r="MB886" i="1" s="1"/>
  <c r="MB888" i="1" s="1"/>
  <c r="LY818" i="1"/>
  <c r="LV818" i="1"/>
  <c r="LZ818" i="1"/>
  <c r="LS818" i="1"/>
  <c r="MA818" i="1"/>
  <c r="LT818" i="1"/>
  <c r="MD818" i="1"/>
  <c r="LW818" i="1"/>
  <c r="LQ817" i="1"/>
  <c r="LQ818" i="1" s="1"/>
  <c r="LM817" i="1"/>
  <c r="LM818" i="1" s="1"/>
  <c r="LM886" i="1" s="1"/>
  <c r="LM888" i="1" s="1"/>
  <c r="LR817" i="1"/>
  <c r="LR818" i="1" s="1"/>
  <c r="LR886" i="1" s="1"/>
  <c r="LR931" i="1" s="1"/>
  <c r="LP817" i="1"/>
  <c r="LP818" i="1" s="1"/>
  <c r="LL817" i="1"/>
  <c r="LL818" i="1" s="1"/>
  <c r="LO817" i="1"/>
  <c r="LO818" i="1" s="1"/>
  <c r="AS791" i="1"/>
  <c r="AP791" i="1"/>
  <c r="AO791" i="1"/>
  <c r="AQ791" i="1"/>
  <c r="AN791" i="1"/>
  <c r="AX791" i="1"/>
  <c r="AL791" i="1"/>
  <c r="AW791" i="1"/>
  <c r="AU791" i="1"/>
  <c r="AK791" i="1"/>
  <c r="AT791" i="1"/>
  <c r="AI791" i="1"/>
  <c r="AY791" i="1"/>
  <c r="AV791" i="1"/>
  <c r="BA791" i="1"/>
  <c r="AM791" i="1"/>
  <c r="AJ791" i="1"/>
  <c r="AZ791" i="1"/>
  <c r="AE791" i="1"/>
  <c r="AD791" i="1"/>
  <c r="AF791" i="1"/>
  <c r="AG791" i="1"/>
  <c r="FR886" i="1"/>
  <c r="FR892" i="1" s="1"/>
  <c r="Z787" i="1"/>
  <c r="FY774" i="1"/>
  <c r="FY777" i="1" s="1"/>
  <c r="FY886" i="1" s="1"/>
  <c r="M791" i="1"/>
  <c r="K791" i="1"/>
  <c r="J791" i="1"/>
  <c r="AC791" i="1"/>
  <c r="L791" i="1"/>
  <c r="J371" i="1"/>
  <c r="GD774" i="1"/>
  <c r="GD777" i="1" s="1"/>
  <c r="GD886" i="1" s="1"/>
  <c r="GQ774" i="1"/>
  <c r="GQ777" i="1" s="1"/>
  <c r="AY787" i="1" s="1"/>
  <c r="GH774" i="1"/>
  <c r="GH777" i="1" s="1"/>
  <c r="GH886" i="1" s="1"/>
  <c r="CE774" i="1"/>
  <c r="CE777" i="1" s="1"/>
  <c r="CE886" i="1" s="1"/>
  <c r="HC774" i="1"/>
  <c r="HC777" i="1" s="1"/>
  <c r="HC886" i="1" s="1"/>
  <c r="GN774" i="1"/>
  <c r="GN777" i="1" s="1"/>
  <c r="AV787" i="1" s="1"/>
  <c r="DK774" i="1"/>
  <c r="DK777" i="1" s="1"/>
  <c r="DK886" i="1" s="1"/>
  <c r="DH774" i="1"/>
  <c r="DH777" i="1" s="1"/>
  <c r="AL785" i="1" s="1"/>
  <c r="GM774" i="1"/>
  <c r="GM777" i="1" s="1"/>
  <c r="AU787" i="1" s="1"/>
  <c r="CW774" i="1"/>
  <c r="CW777" i="1" s="1"/>
  <c r="CW886" i="1" s="1"/>
  <c r="HS774" i="1"/>
  <c r="HS777" i="1" s="1"/>
  <c r="HS886" i="1" s="1"/>
  <c r="GE774" i="1"/>
  <c r="GE777" i="1" s="1"/>
  <c r="AM787" i="1" s="1"/>
  <c r="DL774" i="1"/>
  <c r="DL777" i="1" s="1"/>
  <c r="AP785" i="1" s="1"/>
  <c r="EO886" i="1"/>
  <c r="AH786" i="1"/>
  <c r="K786" i="1"/>
  <c r="IE886" i="1"/>
  <c r="BB788" i="1"/>
  <c r="M788" i="1"/>
  <c r="M786" i="1"/>
  <c r="FI886" i="1"/>
  <c r="BB786" i="1"/>
  <c r="AH785" i="1"/>
  <c r="K785" i="1"/>
  <c r="DD886" i="1"/>
  <c r="CM886" i="1"/>
  <c r="BB784" i="1"/>
  <c r="M784" i="1"/>
  <c r="AU788" i="1"/>
  <c r="HX886" i="1"/>
  <c r="AR471" i="1"/>
  <c r="L471" i="1"/>
  <c r="GG886" i="1"/>
  <c r="AO787" i="1"/>
  <c r="L473" i="1"/>
  <c r="AR473" i="1"/>
  <c r="BA932" i="1"/>
  <c r="BA933" i="1" s="1"/>
  <c r="BA893" i="1"/>
  <c r="BA894" i="1" s="1"/>
  <c r="BW886" i="1"/>
  <c r="AL784" i="1"/>
  <c r="HB886" i="1"/>
  <c r="Y788" i="1"/>
  <c r="CA886" i="1"/>
  <c r="AP784" i="1"/>
  <c r="AC785" i="1"/>
  <c r="J785" i="1"/>
  <c r="CY886" i="1"/>
  <c r="HJ886" i="1"/>
  <c r="AG788" i="1"/>
  <c r="CK886" i="1"/>
  <c r="AZ784" i="1"/>
  <c r="GB774" i="1"/>
  <c r="GB777" i="1" s="1"/>
  <c r="AY932" i="1"/>
  <c r="AY933" i="1" s="1"/>
  <c r="AY893" i="1"/>
  <c r="AY894" i="1" s="1"/>
  <c r="GI774" i="1"/>
  <c r="GI777" i="1" s="1"/>
  <c r="BS886" i="1"/>
  <c r="AH784" i="1"/>
  <c r="K784" i="1"/>
  <c r="GK886" i="1"/>
  <c r="AS787" i="1"/>
  <c r="HQ886" i="1"/>
  <c r="AN788" i="1"/>
  <c r="FE886" i="1"/>
  <c r="AX786" i="1"/>
  <c r="HV886" i="1"/>
  <c r="AS788" i="1"/>
  <c r="AC789" i="1"/>
  <c r="J789" i="1"/>
  <c r="IQ886" i="1"/>
  <c r="AR932" i="1"/>
  <c r="AR933" i="1" s="1"/>
  <c r="AR893" i="1"/>
  <c r="AR894" i="1" s="1"/>
  <c r="AT785" i="1"/>
  <c r="DP886" i="1"/>
  <c r="BA890" i="1"/>
  <c r="AW786" i="1"/>
  <c r="FD886" i="1"/>
  <c r="AB787" i="1"/>
  <c r="FT886" i="1"/>
  <c r="AH474" i="1"/>
  <c r="K474" i="1"/>
  <c r="DA774" i="1"/>
  <c r="DA777" i="1" s="1"/>
  <c r="J473" i="1"/>
  <c r="AC473" i="1"/>
  <c r="FF774" i="1"/>
  <c r="FF777" i="1" s="1"/>
  <c r="FQ774" i="1"/>
  <c r="FQ777" i="1" s="1"/>
  <c r="HI774" i="1"/>
  <c r="HI777" i="1" s="1"/>
  <c r="IB774" i="1"/>
  <c r="IB777" i="1" s="1"/>
  <c r="BJ774" i="1"/>
  <c r="BJ777" i="1" s="1"/>
  <c r="CB774" i="1"/>
  <c r="CB777" i="1" s="1"/>
  <c r="AM932" i="1"/>
  <c r="AM933" i="1" s="1"/>
  <c r="AM893" i="1"/>
  <c r="AM894" i="1" s="1"/>
  <c r="FV774" i="1"/>
  <c r="FV777" i="1" s="1"/>
  <c r="IC886" i="1"/>
  <c r="AZ788" i="1"/>
  <c r="GL774" i="1"/>
  <c r="GL777" i="1" s="1"/>
  <c r="AI932" i="1"/>
  <c r="AI933" i="1" s="1"/>
  <c r="AI893" i="1"/>
  <c r="AI894" i="1" s="1"/>
  <c r="FB774" i="1"/>
  <c r="FB777" i="1" s="1"/>
  <c r="AA982" i="1"/>
  <c r="IA886" i="1"/>
  <c r="AX788" i="1"/>
  <c r="BZ886" i="1"/>
  <c r="AO784" i="1"/>
  <c r="ES886" i="1"/>
  <c r="AL786" i="1"/>
  <c r="AU982" i="1"/>
  <c r="DE886" i="1"/>
  <c r="AI785" i="1"/>
  <c r="HF886" i="1"/>
  <c r="AC788" i="1"/>
  <c r="J788" i="1"/>
  <c r="KQ817" i="1"/>
  <c r="KQ818" i="1" s="1"/>
  <c r="KY817" i="1"/>
  <c r="KY818" i="1" s="1"/>
  <c r="KJ817" i="1"/>
  <c r="KJ818" i="1" s="1"/>
  <c r="KZ817" i="1"/>
  <c r="KZ818" i="1" s="1"/>
  <c r="KK817" i="1"/>
  <c r="KK818" i="1" s="1"/>
  <c r="KO817" i="1"/>
  <c r="KO818" i="1" s="1"/>
  <c r="KH817" i="1"/>
  <c r="KH818" i="1" s="1"/>
  <c r="KN817" i="1"/>
  <c r="KN818" i="1" s="1"/>
  <c r="KI817" i="1"/>
  <c r="KI818" i="1" s="1"/>
  <c r="KL817" i="1"/>
  <c r="KL818" i="1" s="1"/>
  <c r="KW817" i="1"/>
  <c r="KW818" i="1" s="1"/>
  <c r="KS817" i="1"/>
  <c r="KS818" i="1" s="1"/>
  <c r="KX817" i="1"/>
  <c r="KX818" i="1" s="1"/>
  <c r="KU817" i="1"/>
  <c r="KU818" i="1" s="1"/>
  <c r="KP817" i="1"/>
  <c r="KP818" i="1" s="1"/>
  <c r="KR817" i="1"/>
  <c r="KR818" i="1" s="1"/>
  <c r="LA817" i="1"/>
  <c r="LA818" i="1" s="1"/>
  <c r="KM817" i="1"/>
  <c r="KM818" i="1" s="1"/>
  <c r="KT817" i="1"/>
  <c r="KT818" i="1" s="1"/>
  <c r="KV817" i="1"/>
  <c r="KV818" i="1" s="1"/>
  <c r="AV982" i="1"/>
  <c r="DF774" i="1"/>
  <c r="DF777" i="1" s="1"/>
  <c r="CV774" i="1"/>
  <c r="CV777" i="1" s="1"/>
  <c r="EW774" i="1"/>
  <c r="EW777" i="1" s="1"/>
  <c r="BB473" i="1"/>
  <c r="M473" i="1"/>
  <c r="JB886" i="1"/>
  <c r="AN789" i="1"/>
  <c r="AJ789" i="1"/>
  <c r="IX886" i="1"/>
  <c r="JI886" i="1"/>
  <c r="AU789" i="1"/>
  <c r="AW789" i="1"/>
  <c r="JK886" i="1"/>
  <c r="AT789" i="1"/>
  <c r="JH886" i="1"/>
  <c r="CD774" i="1"/>
  <c r="CD777" i="1" s="1"/>
  <c r="AG787" i="1"/>
  <c r="AB932" i="1"/>
  <c r="AB933" i="1" s="1"/>
  <c r="AB893" i="1"/>
  <c r="AB894" i="1" s="1"/>
  <c r="HK774" i="1"/>
  <c r="HK777" i="1" s="1"/>
  <c r="CH774" i="1"/>
  <c r="CH777" i="1" s="1"/>
  <c r="AI787" i="1"/>
  <c r="GA886" i="1"/>
  <c r="EH886" i="1"/>
  <c r="AA786" i="1"/>
  <c r="AA788" i="1"/>
  <c r="HD886" i="1"/>
  <c r="BA786" i="1"/>
  <c r="FH886" i="1"/>
  <c r="HE886" i="1"/>
  <c r="AB788" i="1"/>
  <c r="AR470" i="1"/>
  <c r="L470" i="1"/>
  <c r="DM886" i="1"/>
  <c r="AQ785" i="1"/>
  <c r="EU886" i="1"/>
  <c r="AN786" i="1"/>
  <c r="DR886" i="1"/>
  <c r="AV785" i="1"/>
  <c r="J472" i="1"/>
  <c r="AC472" i="1"/>
  <c r="BA785" i="1"/>
  <c r="DW886" i="1"/>
  <c r="DJ886" i="1"/>
  <c r="AN785" i="1"/>
  <c r="AO786" i="1"/>
  <c r="EV886" i="1"/>
  <c r="IT886" i="1"/>
  <c r="AF789" i="1"/>
  <c r="AG789" i="1"/>
  <c r="IU886" i="1"/>
  <c r="AC470" i="1"/>
  <c r="J470" i="1"/>
  <c r="AE982" i="1"/>
  <c r="HH774" i="1"/>
  <c r="HH777" i="1" s="1"/>
  <c r="AH473" i="1"/>
  <c r="K473" i="1"/>
  <c r="AN893" i="1"/>
  <c r="AN932" i="1"/>
  <c r="AN933" i="1" s="1"/>
  <c r="FU886" i="1"/>
  <c r="AC787" i="1"/>
  <c r="J787" i="1"/>
  <c r="AH471" i="1"/>
  <c r="K471" i="1"/>
  <c r="BM774" i="1"/>
  <c r="BM777" i="1" s="1"/>
  <c r="M471" i="1"/>
  <c r="BB471" i="1"/>
  <c r="BB470" i="1"/>
  <c r="M470" i="1"/>
  <c r="AJ932" i="1"/>
  <c r="AJ933" i="1" s="1"/>
  <c r="AJ893" i="1"/>
  <c r="AJ894" i="1" s="1"/>
  <c r="AZ932" i="1"/>
  <c r="AZ933" i="1" s="1"/>
  <c r="AZ893" i="1"/>
  <c r="AZ894" i="1" s="1"/>
  <c r="HN886" i="1"/>
  <c r="AK788" i="1"/>
  <c r="AD785" i="1"/>
  <c r="CZ886" i="1"/>
  <c r="CX886" i="1"/>
  <c r="AB785" i="1"/>
  <c r="EP886" i="1"/>
  <c r="AI786" i="1"/>
  <c r="AR790" i="1"/>
  <c r="L790" i="1"/>
  <c r="GT774" i="1"/>
  <c r="GT777" i="1" s="1"/>
  <c r="JM886" i="1"/>
  <c r="AY789" i="1"/>
  <c r="JF886" i="1"/>
  <c r="AR789" i="1"/>
  <c r="L789" i="1"/>
  <c r="AK789" i="1"/>
  <c r="IY886" i="1"/>
  <c r="BA789" i="1"/>
  <c r="JO886" i="1"/>
  <c r="AX789" i="1"/>
  <c r="JL886" i="1"/>
  <c r="AF787" i="1"/>
  <c r="FX886" i="1"/>
  <c r="EN774" i="1"/>
  <c r="EN777" i="1" s="1"/>
  <c r="DX774" i="1"/>
  <c r="DX777" i="1" s="1"/>
  <c r="CU774" i="1"/>
  <c r="CU777" i="1" s="1"/>
  <c r="EZ774" i="1"/>
  <c r="EZ777" i="1" s="1"/>
  <c r="HT774" i="1"/>
  <c r="HT777" i="1" s="1"/>
  <c r="K790" i="1"/>
  <c r="AH790" i="1"/>
  <c r="AB982" i="1"/>
  <c r="DG774" i="1"/>
  <c r="DG777" i="1" s="1"/>
  <c r="AJ890" i="1"/>
  <c r="BY774" i="1"/>
  <c r="BY777" i="1" s="1"/>
  <c r="CI886" i="1"/>
  <c r="AX784" i="1"/>
  <c r="AR787" i="1"/>
  <c r="GJ886" i="1"/>
  <c r="L787" i="1"/>
  <c r="AM788" i="1"/>
  <c r="HP886" i="1"/>
  <c r="FA886" i="1"/>
  <c r="AT786" i="1"/>
  <c r="L788" i="1"/>
  <c r="HU886" i="1"/>
  <c r="AR788" i="1"/>
  <c r="BR886" i="1"/>
  <c r="AG784" i="1"/>
  <c r="BV886" i="1"/>
  <c r="AK784" i="1"/>
  <c r="DI886" i="1"/>
  <c r="AM785" i="1"/>
  <c r="EG886" i="1"/>
  <c r="Z786" i="1"/>
  <c r="HO886" i="1"/>
  <c r="AL788" i="1"/>
  <c r="AF932" i="1"/>
  <c r="AF933" i="1" s="1"/>
  <c r="AF893" i="1"/>
  <c r="AF894" i="1" s="1"/>
  <c r="AQ932" i="1"/>
  <c r="AQ933" i="1" s="1"/>
  <c r="AQ893" i="1"/>
  <c r="AQ894" i="1" s="1"/>
  <c r="EK774" i="1"/>
  <c r="EK777" i="1" s="1"/>
  <c r="AY982" i="1"/>
  <c r="EX886" i="1"/>
  <c r="AQ786" i="1"/>
  <c r="AB789" i="1"/>
  <c r="IP886" i="1"/>
  <c r="AD789" i="1"/>
  <c r="IR886" i="1"/>
  <c r="AR982" i="1"/>
  <c r="L982" i="1"/>
  <c r="BQ886" i="1"/>
  <c r="AF784" i="1"/>
  <c r="FS774" i="1"/>
  <c r="FS777" i="1" s="1"/>
  <c r="EQ886" i="1"/>
  <c r="AJ786" i="1"/>
  <c r="AY890" i="1"/>
  <c r="HR886" i="1"/>
  <c r="AO788" i="1"/>
  <c r="ID774" i="1"/>
  <c r="ID777" i="1" s="1"/>
  <c r="BK886" i="1"/>
  <c r="Z784" i="1"/>
  <c r="FZ774" i="1"/>
  <c r="FZ777" i="1" s="1"/>
  <c r="DN774" i="1"/>
  <c r="DN777" i="1" s="1"/>
  <c r="AN894" i="1"/>
  <c r="DB774" i="1"/>
  <c r="DB777" i="1" s="1"/>
  <c r="EJ774" i="1"/>
  <c r="EJ777" i="1" s="1"/>
  <c r="AM784" i="1"/>
  <c r="BX886" i="1"/>
  <c r="GO886" i="1"/>
  <c r="AW787" i="1"/>
  <c r="AK786" i="1"/>
  <c r="ER886" i="1"/>
  <c r="AA784" i="1"/>
  <c r="BL886" i="1"/>
  <c r="AM982" i="1"/>
  <c r="DU774" i="1"/>
  <c r="DU777" i="1" s="1"/>
  <c r="GP774" i="1"/>
  <c r="GP777" i="1" s="1"/>
  <c r="HG886" i="1"/>
  <c r="AD788" i="1"/>
  <c r="BP774" i="1"/>
  <c r="BP777" i="1" s="1"/>
  <c r="AJ982" i="1"/>
  <c r="AI982" i="1"/>
  <c r="AA932" i="1"/>
  <c r="AA933" i="1" s="1"/>
  <c r="AA893" i="1"/>
  <c r="AA894" i="1" s="1"/>
  <c r="GS774" i="1"/>
  <c r="GS777" i="1" s="1"/>
  <c r="AU932" i="1"/>
  <c r="AU933" i="1" s="1"/>
  <c r="AU893" i="1"/>
  <c r="AU894" i="1" s="1"/>
  <c r="GR774" i="1"/>
  <c r="GR777" i="1" s="1"/>
  <c r="EI886" i="1"/>
  <c r="AB786" i="1"/>
  <c r="BB474" i="1"/>
  <c r="M474" i="1"/>
  <c r="AV932" i="1"/>
  <c r="AV933" i="1" s="1"/>
  <c r="AV893" i="1"/>
  <c r="AV894" i="1" s="1"/>
  <c r="FG774" i="1"/>
  <c r="FG777" i="1" s="1"/>
  <c r="EF774" i="1"/>
  <c r="EF777" i="1" s="1"/>
  <c r="JE886" i="1"/>
  <c r="AQ789" i="1"/>
  <c r="JN886" i="1"/>
  <c r="AZ789" i="1"/>
  <c r="AO789" i="1"/>
  <c r="JC886" i="1"/>
  <c r="AL789" i="1"/>
  <c r="IZ886" i="1"/>
  <c r="BB789" i="1"/>
  <c r="JP886" i="1"/>
  <c r="M789" i="1"/>
  <c r="CL774" i="1"/>
  <c r="CL777" i="1" s="1"/>
  <c r="DV774" i="1"/>
  <c r="DV777" i="1" s="1"/>
  <c r="BU774" i="1"/>
  <c r="BU777" i="1" s="1"/>
  <c r="AQ890" i="1"/>
  <c r="DC774" i="1"/>
  <c r="DC777" i="1" s="1"/>
  <c r="DQ886" i="1"/>
  <c r="AU785" i="1"/>
  <c r="EY886" i="1"/>
  <c r="AR786" i="1"/>
  <c r="L786" i="1"/>
  <c r="HY886" i="1"/>
  <c r="AV788" i="1"/>
  <c r="BA982" i="1"/>
  <c r="ET886" i="1"/>
  <c r="AM786" i="1"/>
  <c r="AE787" i="1"/>
  <c r="FW886" i="1"/>
  <c r="EL886" i="1"/>
  <c r="AE786" i="1"/>
  <c r="EM886" i="1"/>
  <c r="AF786" i="1"/>
  <c r="AC373" i="1"/>
  <c r="J373" i="1"/>
  <c r="AF982" i="1"/>
  <c r="BO886" i="1"/>
  <c r="AD784" i="1"/>
  <c r="AQ982" i="1"/>
  <c r="AH472" i="1"/>
  <c r="K472" i="1"/>
  <c r="HW886" i="1"/>
  <c r="AT788" i="1"/>
  <c r="IS886" i="1"/>
  <c r="AE789" i="1"/>
  <c r="AH789" i="1"/>
  <c r="K789" i="1"/>
  <c r="IV886" i="1"/>
  <c r="AN787" i="1"/>
  <c r="GF886" i="1"/>
  <c r="AU784" i="1"/>
  <c r="CF886" i="1"/>
  <c r="AE932" i="1"/>
  <c r="AE933" i="1" s="1"/>
  <c r="AE893" i="1"/>
  <c r="AE894" i="1" s="1"/>
  <c r="L784" i="1"/>
  <c r="CC886" i="1"/>
  <c r="AR784" i="1"/>
  <c r="AN982" i="1"/>
  <c r="GC886" i="1"/>
  <c r="AK787" i="1"/>
  <c r="FC886" i="1"/>
  <c r="AV786" i="1"/>
  <c r="BN774" i="1"/>
  <c r="BN777" i="1" s="1"/>
  <c r="M472" i="1"/>
  <c r="BB472" i="1"/>
  <c r="AY784" i="1"/>
  <c r="CJ886" i="1"/>
  <c r="AZ982" i="1"/>
  <c r="AS785" i="1"/>
  <c r="DO886" i="1"/>
  <c r="AW785" i="1"/>
  <c r="DS886" i="1"/>
  <c r="AI788" i="1"/>
  <c r="HL886" i="1"/>
  <c r="M790" i="1"/>
  <c r="BB790" i="1"/>
  <c r="CG886" i="1"/>
  <c r="AV784" i="1"/>
  <c r="HM774" i="1"/>
  <c r="HM777" i="1" s="1"/>
  <c r="IW886" i="1"/>
  <c r="AI789" i="1"/>
  <c r="JJ886" i="1"/>
  <c r="AV789" i="1"/>
  <c r="JA886" i="1"/>
  <c r="AM789" i="1"/>
  <c r="AS789" i="1"/>
  <c r="JG886" i="1"/>
  <c r="AP789" i="1"/>
  <c r="JD886" i="1"/>
  <c r="DT774" i="1"/>
  <c r="DT777" i="1" s="1"/>
  <c r="AO785" i="1"/>
  <c r="HZ774" i="1"/>
  <c r="HZ777" i="1" s="1"/>
  <c r="AC790" i="1"/>
  <c r="J790" i="1"/>
  <c r="KE817" i="1"/>
  <c r="KE818" i="1" s="1"/>
  <c r="KD817" i="1"/>
  <c r="KD818" i="1" s="1"/>
  <c r="KF817" i="1"/>
  <c r="KF818" i="1" s="1"/>
  <c r="KC817" i="1"/>
  <c r="KC818" i="1" s="1"/>
  <c r="KA817" i="1"/>
  <c r="KA818" i="1" s="1"/>
  <c r="KG817" i="1"/>
  <c r="KG818" i="1" s="1"/>
  <c r="KB817" i="1"/>
  <c r="KB818" i="1" s="1"/>
  <c r="AA890" i="1"/>
  <c r="BT774" i="1"/>
  <c r="BT777" i="1" s="1"/>
  <c r="FR888" i="1" l="1"/>
  <c r="FR931" i="1"/>
  <c r="GE886" i="1"/>
  <c r="AT784" i="1"/>
  <c r="GN886" i="1"/>
  <c r="GN892" i="1" s="1"/>
  <c r="L842" i="1"/>
  <c r="ML886" i="1"/>
  <c r="ML931" i="1" s="1"/>
  <c r="ML939" i="1" s="1"/>
  <c r="BB842" i="1"/>
  <c r="M842" i="1"/>
  <c r="AR842" i="1"/>
  <c r="AF842" i="1"/>
  <c r="LP886" i="1"/>
  <c r="LP931" i="1" s="1"/>
  <c r="AW842" i="1"/>
  <c r="MG886" i="1"/>
  <c r="MG888" i="1" s="1"/>
  <c r="MG890" i="1" s="1"/>
  <c r="AU842" i="1"/>
  <c r="ME886" i="1"/>
  <c r="ME888" i="1" s="1"/>
  <c r="ME932" i="1" s="1"/>
  <c r="LR941" i="1"/>
  <c r="LR940" i="1"/>
  <c r="LR939" i="1"/>
  <c r="AD842" i="1"/>
  <c r="LN886" i="1"/>
  <c r="LN888" i="1" s="1"/>
  <c r="LN932" i="1" s="1"/>
  <c r="AJ842" i="1"/>
  <c r="LT886" i="1"/>
  <c r="LT931" i="1" s="1"/>
  <c r="AV842" i="1"/>
  <c r="MF886" i="1"/>
  <c r="MF888" i="1" s="1"/>
  <c r="MF932" i="1" s="1"/>
  <c r="AS842" i="1"/>
  <c r="MC886" i="1"/>
  <c r="MC888" i="1" s="1"/>
  <c r="MC932" i="1" s="1"/>
  <c r="BA842" i="1"/>
  <c r="MK886" i="1"/>
  <c r="MK888" i="1" s="1"/>
  <c r="MK932" i="1" s="1"/>
  <c r="AX842" i="1"/>
  <c r="MH886" i="1"/>
  <c r="MH888" i="1" s="1"/>
  <c r="MH890" i="1" s="1"/>
  <c r="AE842" i="1"/>
  <c r="LO886" i="1"/>
  <c r="LO931" i="1" s="1"/>
  <c r="AM842" i="1"/>
  <c r="LW886" i="1"/>
  <c r="LW931" i="1" s="1"/>
  <c r="AY842" i="1"/>
  <c r="MI886" i="1"/>
  <c r="MI931" i="1" s="1"/>
  <c r="AN842" i="1"/>
  <c r="LX886" i="1"/>
  <c r="LX931" i="1" s="1"/>
  <c r="AK842" i="1"/>
  <c r="LU886" i="1"/>
  <c r="LU931" i="1" s="1"/>
  <c r="AL842" i="1"/>
  <c r="LV886" i="1"/>
  <c r="LV888" i="1" s="1"/>
  <c r="LV890" i="1" s="1"/>
  <c r="AZ842" i="1"/>
  <c r="MJ886" i="1"/>
  <c r="MJ888" i="1" s="1"/>
  <c r="MJ932" i="1" s="1"/>
  <c r="AP842" i="1"/>
  <c r="LZ886" i="1"/>
  <c r="LZ931" i="1" s="1"/>
  <c r="AG842" i="1"/>
  <c r="LQ886" i="1"/>
  <c r="LQ931" i="1" s="1"/>
  <c r="AB842" i="1"/>
  <c r="LL886" i="1"/>
  <c r="AT842" i="1"/>
  <c r="MD886" i="1"/>
  <c r="MD931" i="1" s="1"/>
  <c r="AI842" i="1"/>
  <c r="LS886" i="1"/>
  <c r="LS888" i="1" s="1"/>
  <c r="LS932" i="1" s="1"/>
  <c r="AQ842" i="1"/>
  <c r="MA886" i="1"/>
  <c r="MA931" i="1" s="1"/>
  <c r="AO842" i="1"/>
  <c r="LY886" i="1"/>
  <c r="LY888" i="1" s="1"/>
  <c r="LY932" i="1" s="1"/>
  <c r="LM931" i="1"/>
  <c r="MB931" i="1"/>
  <c r="AH842" i="1"/>
  <c r="K842" i="1"/>
  <c r="LR888" i="1"/>
  <c r="LR890" i="1" s="1"/>
  <c r="AC842" i="1"/>
  <c r="J842" i="1"/>
  <c r="Z788" i="1"/>
  <c r="DH886" i="1"/>
  <c r="DH888" i="1" s="1"/>
  <c r="AL787" i="1"/>
  <c r="AP787" i="1"/>
  <c r="AP788" i="1"/>
  <c r="GQ886" i="1"/>
  <c r="GQ931" i="1" s="1"/>
  <c r="DL886" i="1"/>
  <c r="DL892" i="1" s="1"/>
  <c r="AA785" i="1"/>
  <c r="GM886" i="1"/>
  <c r="GM931" i="1" s="1"/>
  <c r="KE886" i="1"/>
  <c r="AF841" i="1"/>
  <c r="KT886" i="1"/>
  <c r="AU841" i="1"/>
  <c r="KB886" i="1"/>
  <c r="AC841" i="1"/>
  <c r="J841" i="1"/>
  <c r="KF886" i="1"/>
  <c r="AG841" i="1"/>
  <c r="KA886" i="1"/>
  <c r="AB841" i="1"/>
  <c r="KJ886" i="1"/>
  <c r="AK841" i="1"/>
  <c r="AH841" i="1"/>
  <c r="K841" i="1"/>
  <c r="KG886" i="1"/>
  <c r="KD886" i="1"/>
  <c r="AE841" i="1"/>
  <c r="KV886" i="1"/>
  <c r="AW841" i="1"/>
  <c r="KN886" i="1"/>
  <c r="AO841" i="1"/>
  <c r="KZ886" i="1"/>
  <c r="BA841" i="1"/>
  <c r="HZ886" i="1"/>
  <c r="AW788" i="1"/>
  <c r="KU886" i="1"/>
  <c r="AV841" i="1"/>
  <c r="CC931" i="1"/>
  <c r="CC888" i="1"/>
  <c r="CC892" i="1"/>
  <c r="IS931" i="1"/>
  <c r="IS888" i="1"/>
  <c r="BO931" i="1"/>
  <c r="BO892" i="1"/>
  <c r="BO888" i="1"/>
  <c r="AG785" i="1"/>
  <c r="DC886" i="1"/>
  <c r="GH931" i="1"/>
  <c r="GH888" i="1"/>
  <c r="GH892" i="1"/>
  <c r="JN931" i="1"/>
  <c r="JN888" i="1"/>
  <c r="HS892" i="1"/>
  <c r="HS888" i="1"/>
  <c r="HS931" i="1"/>
  <c r="JG931" i="1"/>
  <c r="JG888" i="1"/>
  <c r="DH931" i="1"/>
  <c r="DH892" i="1"/>
  <c r="EY892" i="1"/>
  <c r="EY931" i="1"/>
  <c r="EY888" i="1"/>
  <c r="KQ886" i="1"/>
  <c r="L841" i="1"/>
  <c r="AR841" i="1"/>
  <c r="LA886" i="1"/>
  <c r="BB841" i="1"/>
  <c r="M841" i="1"/>
  <c r="JP888" i="1"/>
  <c r="JP931" i="1"/>
  <c r="AZ787" i="1"/>
  <c r="GR886" i="1"/>
  <c r="GP886" i="1"/>
  <c r="AX787" i="1"/>
  <c r="BL931" i="1"/>
  <c r="BL892" i="1"/>
  <c r="BL888" i="1"/>
  <c r="EX931" i="1"/>
  <c r="EX892" i="1"/>
  <c r="EX888" i="1"/>
  <c r="AS786" i="1"/>
  <c r="EZ886" i="1"/>
  <c r="KH886" i="1"/>
  <c r="AI841" i="1"/>
  <c r="JJ931" i="1"/>
  <c r="JJ888" i="1"/>
  <c r="BN886" i="1"/>
  <c r="AC784" i="1"/>
  <c r="J784" i="1"/>
  <c r="GC931" i="1"/>
  <c r="GC892" i="1"/>
  <c r="GC888" i="1"/>
  <c r="HC931" i="1"/>
  <c r="HC892" i="1"/>
  <c r="HC888" i="1"/>
  <c r="GF931" i="1"/>
  <c r="GF892" i="1"/>
  <c r="GF888" i="1"/>
  <c r="HW892" i="1"/>
  <c r="HW888" i="1"/>
  <c r="HW931" i="1"/>
  <c r="EM931" i="1"/>
  <c r="EM892" i="1"/>
  <c r="EM888" i="1"/>
  <c r="GD931" i="1"/>
  <c r="GD888" i="1"/>
  <c r="GD892" i="1"/>
  <c r="ET931" i="1"/>
  <c r="ET892" i="1"/>
  <c r="ET888" i="1"/>
  <c r="HY931" i="1"/>
  <c r="HY888" i="1"/>
  <c r="HY892" i="1"/>
  <c r="BU886" i="1"/>
  <c r="AJ784" i="1"/>
  <c r="CE931" i="1"/>
  <c r="CE892" i="1"/>
  <c r="CE888" i="1"/>
  <c r="MB932" i="1"/>
  <c r="MB890" i="1"/>
  <c r="JE931" i="1"/>
  <c r="JE888" i="1"/>
  <c r="CW931" i="1"/>
  <c r="CW892" i="1"/>
  <c r="CW888" i="1"/>
  <c r="AE784" i="1"/>
  <c r="BP886" i="1"/>
  <c r="DU886" i="1"/>
  <c r="AY785" i="1"/>
  <c r="GO931" i="1"/>
  <c r="GO892" i="1"/>
  <c r="GO888" i="1"/>
  <c r="DB886" i="1"/>
  <c r="AF785" i="1"/>
  <c r="HR931" i="1"/>
  <c r="HR892" i="1"/>
  <c r="HR888" i="1"/>
  <c r="AA787" i="1"/>
  <c r="FS886" i="1"/>
  <c r="IP931" i="1"/>
  <c r="IP888" i="1"/>
  <c r="EK886" i="1"/>
  <c r="AD786" i="1"/>
  <c r="EG931" i="1"/>
  <c r="EG892" i="1"/>
  <c r="EG888" i="1"/>
  <c r="BV931" i="1"/>
  <c r="BV892" i="1"/>
  <c r="BV888" i="1"/>
  <c r="HU931" i="1"/>
  <c r="HU888" i="1"/>
  <c r="HU892" i="1"/>
  <c r="HP931" i="1"/>
  <c r="HP888" i="1"/>
  <c r="HP892" i="1"/>
  <c r="Y785" i="1"/>
  <c r="CU886" i="1"/>
  <c r="JL931" i="1"/>
  <c r="JL888" i="1"/>
  <c r="IY931" i="1"/>
  <c r="IY888" i="1"/>
  <c r="JF888" i="1"/>
  <c r="JF931" i="1"/>
  <c r="GQ892" i="1"/>
  <c r="GQ888" i="1"/>
  <c r="AE788" i="1"/>
  <c r="HH886" i="1"/>
  <c r="FR893" i="1"/>
  <c r="FR894" i="1" s="1"/>
  <c r="FR932" i="1"/>
  <c r="FR933" i="1" s="1"/>
  <c r="FR890" i="1"/>
  <c r="IT931" i="1"/>
  <c r="IT888" i="1"/>
  <c r="DJ931" i="1"/>
  <c r="DJ888" i="1"/>
  <c r="DJ892" i="1"/>
  <c r="EH931" i="1"/>
  <c r="EH892" i="1"/>
  <c r="EH888" i="1"/>
  <c r="HK886" i="1"/>
  <c r="AH788" i="1"/>
  <c r="K788" i="1"/>
  <c r="FY892" i="1"/>
  <c r="FY931" i="1"/>
  <c r="FY888" i="1"/>
  <c r="KL886" i="1"/>
  <c r="AM841" i="1"/>
  <c r="HF931" i="1"/>
  <c r="HF892" i="1"/>
  <c r="HF888" i="1"/>
  <c r="BZ931" i="1"/>
  <c r="BZ892" i="1"/>
  <c r="BZ888" i="1"/>
  <c r="FV886" i="1"/>
  <c r="AD787" i="1"/>
  <c r="BJ886" i="1"/>
  <c r="Y784" i="1"/>
  <c r="FF886" i="1"/>
  <c r="AY786" i="1"/>
  <c r="DP931" i="1"/>
  <c r="DP892" i="1"/>
  <c r="DP888" i="1"/>
  <c r="IQ888" i="1"/>
  <c r="IQ931" i="1"/>
  <c r="HV931" i="1"/>
  <c r="HV892" i="1"/>
  <c r="HV888" i="1"/>
  <c r="HQ931" i="1"/>
  <c r="HQ892" i="1"/>
  <c r="HQ888" i="1"/>
  <c r="HB931" i="1"/>
  <c r="HB892" i="1"/>
  <c r="HB888" i="1"/>
  <c r="GG931" i="1"/>
  <c r="GG892" i="1"/>
  <c r="GG888" i="1"/>
  <c r="DD931" i="1"/>
  <c r="DD888" i="1"/>
  <c r="DD892" i="1"/>
  <c r="FI931" i="1"/>
  <c r="FI892" i="1"/>
  <c r="FI888" i="1"/>
  <c r="IE931" i="1"/>
  <c r="IE892" i="1"/>
  <c r="IE888" i="1"/>
  <c r="AI784" i="1"/>
  <c r="BT886" i="1"/>
  <c r="IW931" i="1"/>
  <c r="IW888" i="1"/>
  <c r="CJ888" i="1"/>
  <c r="CJ931" i="1"/>
  <c r="CJ892" i="1"/>
  <c r="EL931" i="1"/>
  <c r="EL892" i="1"/>
  <c r="EL888" i="1"/>
  <c r="AP841" i="1"/>
  <c r="KO886" i="1"/>
  <c r="DK931" i="1"/>
  <c r="DK892" i="1"/>
  <c r="DK888" i="1"/>
  <c r="DS931" i="1"/>
  <c r="DS892" i="1"/>
  <c r="DS888" i="1"/>
  <c r="JC931" i="1"/>
  <c r="JC888" i="1"/>
  <c r="FZ886" i="1"/>
  <c r="AH787" i="1"/>
  <c r="K787" i="1"/>
  <c r="EQ931" i="1"/>
  <c r="EQ892" i="1"/>
  <c r="EQ888" i="1"/>
  <c r="FA931" i="1"/>
  <c r="FA888" i="1"/>
  <c r="FA892" i="1"/>
  <c r="GJ931" i="1"/>
  <c r="GJ892" i="1"/>
  <c r="GJ888" i="1"/>
  <c r="KR886" i="1"/>
  <c r="AS841" i="1"/>
  <c r="KC886" i="1"/>
  <c r="AD841" i="1"/>
  <c r="AX785" i="1"/>
  <c r="DT886" i="1"/>
  <c r="AX841" i="1"/>
  <c r="KW886" i="1"/>
  <c r="JD931" i="1"/>
  <c r="JD888" i="1"/>
  <c r="CG931" i="1"/>
  <c r="CG892" i="1"/>
  <c r="CG888" i="1"/>
  <c r="HL931" i="1"/>
  <c r="HL892" i="1"/>
  <c r="HL888" i="1"/>
  <c r="GE931" i="1"/>
  <c r="GE892" i="1"/>
  <c r="GE888" i="1"/>
  <c r="FW931" i="1"/>
  <c r="FW892" i="1"/>
  <c r="FW888" i="1"/>
  <c r="DQ931" i="1"/>
  <c r="DQ892" i="1"/>
  <c r="DQ888" i="1"/>
  <c r="DV886" i="1"/>
  <c r="AZ785" i="1"/>
  <c r="IZ931" i="1"/>
  <c r="IZ888" i="1"/>
  <c r="Y786" i="1"/>
  <c r="EF886" i="1"/>
  <c r="GS886" i="1"/>
  <c r="BA787" i="1"/>
  <c r="ER931" i="1"/>
  <c r="ER888" i="1"/>
  <c r="ER892" i="1"/>
  <c r="BX931" i="1"/>
  <c r="BX888" i="1"/>
  <c r="BX892" i="1"/>
  <c r="BK931" i="1"/>
  <c r="BK892" i="1"/>
  <c r="BK888" i="1"/>
  <c r="AK785" i="1"/>
  <c r="DG886" i="1"/>
  <c r="BB785" i="1"/>
  <c r="DX886" i="1"/>
  <c r="M785" i="1"/>
  <c r="KM886" i="1"/>
  <c r="AN841" i="1"/>
  <c r="CX931" i="1"/>
  <c r="CX892" i="1"/>
  <c r="CX888" i="1"/>
  <c r="HN931" i="1"/>
  <c r="HN888" i="1"/>
  <c r="HN892" i="1"/>
  <c r="Z986" i="1"/>
  <c r="IU931" i="1"/>
  <c r="IU888" i="1"/>
  <c r="EV931" i="1"/>
  <c r="EV888" i="1"/>
  <c r="EV892" i="1"/>
  <c r="DW931" i="1"/>
  <c r="DW892" i="1"/>
  <c r="DW888" i="1"/>
  <c r="DR931" i="1"/>
  <c r="DR888" i="1"/>
  <c r="DR892" i="1"/>
  <c r="DM931" i="1"/>
  <c r="DM892" i="1"/>
  <c r="DM888" i="1"/>
  <c r="HE931" i="1"/>
  <c r="HE888" i="1"/>
  <c r="HE892" i="1"/>
  <c r="HD888" i="1"/>
  <c r="HD931" i="1"/>
  <c r="HD892" i="1"/>
  <c r="GA931" i="1"/>
  <c r="GA892" i="1"/>
  <c r="GA888" i="1"/>
  <c r="CD886" i="1"/>
  <c r="AS784" i="1"/>
  <c r="JH931" i="1"/>
  <c r="JH888" i="1"/>
  <c r="EW886" i="1"/>
  <c r="AP786" i="1"/>
  <c r="GL886" i="1"/>
  <c r="AT787" i="1"/>
  <c r="AY788" i="1"/>
  <c r="IB886" i="1"/>
  <c r="FD931" i="1"/>
  <c r="FD888" i="1"/>
  <c r="FD892" i="1"/>
  <c r="BS892" i="1"/>
  <c r="BS888" i="1"/>
  <c r="BS931" i="1"/>
  <c r="LM932" i="1"/>
  <c r="LM890" i="1"/>
  <c r="AJ787" i="1"/>
  <c r="GB886" i="1"/>
  <c r="HJ931" i="1"/>
  <c r="HJ888" i="1"/>
  <c r="HJ892" i="1"/>
  <c r="KK886" i="1"/>
  <c r="AL841" i="1"/>
  <c r="JA931" i="1"/>
  <c r="JA888" i="1"/>
  <c r="DO931" i="1"/>
  <c r="DO888" i="1"/>
  <c r="DO892" i="1"/>
  <c r="FC892" i="1"/>
  <c r="FC888" i="1"/>
  <c r="FC931" i="1"/>
  <c r="IV931" i="1"/>
  <c r="IV888" i="1"/>
  <c r="CL886" i="1"/>
  <c r="BA784" i="1"/>
  <c r="FG886" i="1"/>
  <c r="AZ786" i="1"/>
  <c r="EI931" i="1"/>
  <c r="EI892" i="1"/>
  <c r="EI888" i="1"/>
  <c r="HG931" i="1"/>
  <c r="HG892" i="1"/>
  <c r="HG888" i="1"/>
  <c r="L785" i="1"/>
  <c r="DN886" i="1"/>
  <c r="AR785" i="1"/>
  <c r="ID886" i="1"/>
  <c r="BA788" i="1"/>
  <c r="BQ931" i="1"/>
  <c r="BQ892" i="1"/>
  <c r="BQ888" i="1"/>
  <c r="IR931" i="1"/>
  <c r="IR888" i="1"/>
  <c r="HO931" i="1"/>
  <c r="HO892" i="1"/>
  <c r="HO888" i="1"/>
  <c r="DI931" i="1"/>
  <c r="DI892" i="1"/>
  <c r="DI888" i="1"/>
  <c r="BR931" i="1"/>
  <c r="BR888" i="1"/>
  <c r="BR892" i="1"/>
  <c r="CI931" i="1"/>
  <c r="CI892" i="1"/>
  <c r="CI888" i="1"/>
  <c r="AQ788" i="1"/>
  <c r="HT886" i="1"/>
  <c r="AG786" i="1"/>
  <c r="EN886" i="1"/>
  <c r="KP886" i="1"/>
  <c r="AQ841" i="1"/>
  <c r="JO931" i="1"/>
  <c r="JO888" i="1"/>
  <c r="JM931" i="1"/>
  <c r="JM888" i="1"/>
  <c r="CZ931" i="1"/>
  <c r="CZ888" i="1"/>
  <c r="CZ892" i="1"/>
  <c r="BM886" i="1"/>
  <c r="AB784" i="1"/>
  <c r="FH931" i="1"/>
  <c r="FH888" i="1"/>
  <c r="FH892" i="1"/>
  <c r="KY886" i="1"/>
  <c r="AZ841" i="1"/>
  <c r="KS886" i="1"/>
  <c r="AT841" i="1"/>
  <c r="JI931" i="1"/>
  <c r="JI888" i="1"/>
  <c r="JB931" i="1"/>
  <c r="JB888" i="1"/>
  <c r="Z785" i="1"/>
  <c r="CV886" i="1"/>
  <c r="DE931" i="1"/>
  <c r="DE892" i="1"/>
  <c r="DE888" i="1"/>
  <c r="ES931" i="1"/>
  <c r="ES892" i="1"/>
  <c r="ES888" i="1"/>
  <c r="FB886" i="1"/>
  <c r="AU786" i="1"/>
  <c r="HI886" i="1"/>
  <c r="AF788" i="1"/>
  <c r="FT931" i="1"/>
  <c r="FT892" i="1"/>
  <c r="FT888" i="1"/>
  <c r="FE931" i="1"/>
  <c r="FE892" i="1"/>
  <c r="FE888" i="1"/>
  <c r="GK931" i="1"/>
  <c r="GK892" i="1"/>
  <c r="GK888" i="1"/>
  <c r="AQ787" i="1"/>
  <c r="GI886" i="1"/>
  <c r="CY931" i="1"/>
  <c r="CY892" i="1"/>
  <c r="CY888" i="1"/>
  <c r="CA931" i="1"/>
  <c r="CA892" i="1"/>
  <c r="CA888" i="1"/>
  <c r="BW892" i="1"/>
  <c r="BW931" i="1"/>
  <c r="BW888" i="1"/>
  <c r="CF931" i="1"/>
  <c r="CF888" i="1"/>
  <c r="CF892" i="1"/>
  <c r="KX886" i="1"/>
  <c r="AY841" i="1"/>
  <c r="HM886" i="1"/>
  <c r="AJ788" i="1"/>
  <c r="AC786" i="1"/>
  <c r="J786" i="1"/>
  <c r="EJ886" i="1"/>
  <c r="BY886" i="1"/>
  <c r="AN784" i="1"/>
  <c r="FX931" i="1"/>
  <c r="FX888" i="1"/>
  <c r="FX892" i="1"/>
  <c r="M787" i="1"/>
  <c r="GT886" i="1"/>
  <c r="BB787" i="1"/>
  <c r="EP931" i="1"/>
  <c r="EP888" i="1"/>
  <c r="EP892" i="1"/>
  <c r="FU892" i="1"/>
  <c r="FU888" i="1"/>
  <c r="FU931" i="1"/>
  <c r="EU931" i="1"/>
  <c r="EU892" i="1"/>
  <c r="EU888" i="1"/>
  <c r="CH886" i="1"/>
  <c r="AW784" i="1"/>
  <c r="KI886" i="1"/>
  <c r="AJ841" i="1"/>
  <c r="JK931" i="1"/>
  <c r="JK888" i="1"/>
  <c r="IX931" i="1"/>
  <c r="IX888" i="1"/>
  <c r="DF886" i="1"/>
  <c r="AJ785" i="1"/>
  <c r="IA931" i="1"/>
  <c r="IA892" i="1"/>
  <c r="IA888" i="1"/>
  <c r="IC931" i="1"/>
  <c r="IC892" i="1"/>
  <c r="IC888" i="1"/>
  <c r="AQ784" i="1"/>
  <c r="CB886" i="1"/>
  <c r="FQ886" i="1"/>
  <c r="Y787" i="1"/>
  <c r="DA886" i="1"/>
  <c r="AE785" i="1"/>
  <c r="CK931" i="1"/>
  <c r="CK892" i="1"/>
  <c r="CK888" i="1"/>
  <c r="HX931" i="1"/>
  <c r="HX892" i="1"/>
  <c r="HX888" i="1"/>
  <c r="CM931" i="1"/>
  <c r="CM892" i="1"/>
  <c r="CM888" i="1"/>
  <c r="EO892" i="1"/>
  <c r="EO931" i="1"/>
  <c r="EO888" i="1"/>
  <c r="GN888" i="1" l="1"/>
  <c r="DL931" i="1"/>
  <c r="GN931" i="1"/>
  <c r="MD888" i="1"/>
  <c r="MD890" i="1" s="1"/>
  <c r="LT888" i="1"/>
  <c r="LT890" i="1" s="1"/>
  <c r="ML940" i="1"/>
  <c r="MC890" i="1"/>
  <c r="ML888" i="1"/>
  <c r="ML890" i="1" s="1"/>
  <c r="ML941" i="1"/>
  <c r="ME890" i="1"/>
  <c r="LP888" i="1"/>
  <c r="LP932" i="1" s="1"/>
  <c r="LP933" i="1" s="1"/>
  <c r="LZ888" i="1"/>
  <c r="LZ932" i="1" s="1"/>
  <c r="LZ933" i="1" s="1"/>
  <c r="MC931" i="1"/>
  <c r="MC940" i="1" s="1"/>
  <c r="MK931" i="1"/>
  <c r="MK939" i="1" s="1"/>
  <c r="MA888" i="1"/>
  <c r="MA890" i="1" s="1"/>
  <c r="MH932" i="1"/>
  <c r="LV932" i="1"/>
  <c r="LX888" i="1"/>
  <c r="LX932" i="1" s="1"/>
  <c r="LX933" i="1" s="1"/>
  <c r="LW888" i="1"/>
  <c r="LW932" i="1" s="1"/>
  <c r="LW933" i="1" s="1"/>
  <c r="LV931" i="1"/>
  <c r="LV939" i="1" s="1"/>
  <c r="MH931" i="1"/>
  <c r="MH940" i="1" s="1"/>
  <c r="MJ890" i="1"/>
  <c r="MF890" i="1"/>
  <c r="MK890" i="1"/>
  <c r="LN890" i="1"/>
  <c r="LN931" i="1"/>
  <c r="LN940" i="1" s="1"/>
  <c r="LQ888" i="1"/>
  <c r="LQ932" i="1" s="1"/>
  <c r="LQ933" i="1" s="1"/>
  <c r="ME931" i="1"/>
  <c r="ME941" i="1" s="1"/>
  <c r="MG931" i="1"/>
  <c r="MG941" i="1" s="1"/>
  <c r="LU888" i="1"/>
  <c r="LU890" i="1" s="1"/>
  <c r="MF931" i="1"/>
  <c r="MF939" i="1" s="1"/>
  <c r="LO888" i="1"/>
  <c r="MG932" i="1"/>
  <c r="MG933" i="1" s="1"/>
  <c r="LS890" i="1"/>
  <c r="MJ931" i="1"/>
  <c r="MJ941" i="1" s="1"/>
  <c r="MI888" i="1"/>
  <c r="MI890" i="1" s="1"/>
  <c r="LL931" i="1"/>
  <c r="LL888" i="1"/>
  <c r="LY931" i="1"/>
  <c r="LY933" i="1" s="1"/>
  <c r="LS931" i="1"/>
  <c r="LS933" i="1" s="1"/>
  <c r="LU940" i="1"/>
  <c r="LU939" i="1"/>
  <c r="LU941" i="1"/>
  <c r="MI939" i="1"/>
  <c r="MI940" i="1"/>
  <c r="MI941" i="1"/>
  <c r="LO940" i="1"/>
  <c r="LO939" i="1"/>
  <c r="LO941" i="1"/>
  <c r="LY890" i="1"/>
  <c r="MA939" i="1"/>
  <c r="MA941" i="1"/>
  <c r="MA940" i="1"/>
  <c r="MD941" i="1"/>
  <c r="MD939" i="1"/>
  <c r="MD940" i="1"/>
  <c r="LQ940" i="1"/>
  <c r="LQ939" i="1"/>
  <c r="LQ941" i="1"/>
  <c r="LP939" i="1"/>
  <c r="LP940" i="1"/>
  <c r="LP941" i="1"/>
  <c r="MB940" i="1"/>
  <c r="MB939" i="1"/>
  <c r="MB941" i="1"/>
  <c r="LM941" i="1"/>
  <c r="LM940" i="1"/>
  <c r="LM939" i="1"/>
  <c r="LZ941" i="1"/>
  <c r="LZ939" i="1"/>
  <c r="LZ940" i="1"/>
  <c r="LX939" i="1"/>
  <c r="LX940" i="1"/>
  <c r="LX941" i="1"/>
  <c r="LW940" i="1"/>
  <c r="LW941" i="1"/>
  <c r="LW939" i="1"/>
  <c r="LT940" i="1"/>
  <c r="LT941" i="1"/>
  <c r="LT939" i="1"/>
  <c r="LR942" i="1"/>
  <c r="LM933" i="1"/>
  <c r="LR932" i="1"/>
  <c r="LR933" i="1" s="1"/>
  <c r="MB933" i="1"/>
  <c r="GM888" i="1"/>
  <c r="DL888" i="1"/>
  <c r="DL932" i="1" s="1"/>
  <c r="DL933" i="1" s="1"/>
  <c r="GM892" i="1"/>
  <c r="AH985" i="1"/>
  <c r="K985" i="1"/>
  <c r="CK932" i="1"/>
  <c r="CK933" i="1" s="1"/>
  <c r="CK893" i="1"/>
  <c r="CK894" i="1" s="1"/>
  <c r="CK890" i="1"/>
  <c r="EU932" i="1"/>
  <c r="EU933" i="1" s="1"/>
  <c r="EU893" i="1"/>
  <c r="EU894" i="1" s="1"/>
  <c r="EU890" i="1"/>
  <c r="AL983" i="1"/>
  <c r="AX985" i="1"/>
  <c r="HX932" i="1"/>
  <c r="HX933" i="1" s="1"/>
  <c r="HX893" i="1"/>
  <c r="HX894" i="1" s="1"/>
  <c r="HX890" i="1"/>
  <c r="CB931" i="1"/>
  <c r="CB892" i="1"/>
  <c r="CB888" i="1"/>
  <c r="AZ987" i="1"/>
  <c r="JK932" i="1"/>
  <c r="JK933" i="1" s="1"/>
  <c r="JK890" i="1"/>
  <c r="KI931" i="1"/>
  <c r="KI888" i="1"/>
  <c r="GT931" i="1"/>
  <c r="GT888" i="1"/>
  <c r="GT892" i="1"/>
  <c r="FX932" i="1"/>
  <c r="FX933" i="1" s="1"/>
  <c r="FX893" i="1"/>
  <c r="FX894" i="1" s="1"/>
  <c r="FX890" i="1"/>
  <c r="EJ931" i="1"/>
  <c r="EJ892" i="1"/>
  <c r="EJ888" i="1"/>
  <c r="AU983" i="1"/>
  <c r="CY932" i="1"/>
  <c r="CY933" i="1" s="1"/>
  <c r="CY893" i="1"/>
  <c r="CY894" i="1" s="1"/>
  <c r="CY890" i="1"/>
  <c r="GI931" i="1"/>
  <c r="GI888" i="1"/>
  <c r="GI892" i="1"/>
  <c r="AS986" i="1"/>
  <c r="FT932" i="1"/>
  <c r="FT933" i="1" s="1"/>
  <c r="FT893" i="1"/>
  <c r="FT894" i="1" s="1"/>
  <c r="FT890" i="1"/>
  <c r="HI931" i="1"/>
  <c r="HI888" i="1"/>
  <c r="HI892" i="1"/>
  <c r="AI984" i="1"/>
  <c r="AN988" i="1"/>
  <c r="KY888" i="1"/>
  <c r="KY931" i="1"/>
  <c r="CZ932" i="1"/>
  <c r="CZ933" i="1" s="1"/>
  <c r="CZ893" i="1"/>
  <c r="CZ894" i="1" s="1"/>
  <c r="CZ890" i="1"/>
  <c r="JO932" i="1"/>
  <c r="JO933" i="1" s="1"/>
  <c r="JO890" i="1"/>
  <c r="KP931" i="1"/>
  <c r="KP888" i="1"/>
  <c r="AL987" i="1"/>
  <c r="AB985" i="1"/>
  <c r="K988" i="1"/>
  <c r="AH988" i="1"/>
  <c r="AM988" i="1"/>
  <c r="HJ932" i="1"/>
  <c r="HJ933" i="1" s="1"/>
  <c r="HJ893" i="1"/>
  <c r="HJ894" i="1" s="1"/>
  <c r="HJ890" i="1"/>
  <c r="IB931" i="1"/>
  <c r="IB892" i="1"/>
  <c r="IB888" i="1"/>
  <c r="AI986" i="1"/>
  <c r="AV984" i="1"/>
  <c r="AO985" i="1"/>
  <c r="CX932" i="1"/>
  <c r="CX933" i="1" s="1"/>
  <c r="CX893" i="1"/>
  <c r="CX894" i="1" s="1"/>
  <c r="CX890" i="1"/>
  <c r="DX931" i="1"/>
  <c r="DX892" i="1"/>
  <c r="DX888" i="1"/>
  <c r="ER932" i="1"/>
  <c r="ER933" i="1" s="1"/>
  <c r="ER893" i="1"/>
  <c r="ER894" i="1" s="1"/>
  <c r="ER890" i="1"/>
  <c r="EF931" i="1"/>
  <c r="EF888" i="1"/>
  <c r="EF892" i="1"/>
  <c r="DV931" i="1"/>
  <c r="DV888" i="1"/>
  <c r="DV892" i="1"/>
  <c r="FW932" i="1"/>
  <c r="FW933" i="1" s="1"/>
  <c r="FW893" i="1"/>
  <c r="FW894" i="1" s="1"/>
  <c r="FW890" i="1"/>
  <c r="HL893" i="1"/>
  <c r="HL894" i="1" s="1"/>
  <c r="HL932" i="1"/>
  <c r="HL933" i="1" s="1"/>
  <c r="HL890" i="1"/>
  <c r="KW931" i="1"/>
  <c r="KW888" i="1"/>
  <c r="AR986" i="1"/>
  <c r="L986" i="1"/>
  <c r="EQ932" i="1"/>
  <c r="EQ933" i="1" s="1"/>
  <c r="EQ893" i="1"/>
  <c r="EQ890" i="1"/>
  <c r="EL932" i="1"/>
  <c r="EL893" i="1"/>
  <c r="EL894" i="1" s="1"/>
  <c r="EL890" i="1"/>
  <c r="AI988" i="1"/>
  <c r="IE932" i="1"/>
  <c r="IE933" i="1" s="1"/>
  <c r="IE893" i="1"/>
  <c r="IE894" i="1" s="1"/>
  <c r="IE890" i="1"/>
  <c r="AH984" i="1"/>
  <c r="K984" i="1"/>
  <c r="HB932" i="1"/>
  <c r="HB933" i="1" s="1"/>
  <c r="HB893" i="1"/>
  <c r="HB894" i="1" s="1"/>
  <c r="HB890" i="1"/>
  <c r="HQ932" i="1"/>
  <c r="HQ933" i="1" s="1"/>
  <c r="HQ893" i="1"/>
  <c r="HQ894" i="1" s="1"/>
  <c r="HQ890" i="1"/>
  <c r="DP932" i="1"/>
  <c r="DP933" i="1" s="1"/>
  <c r="DP893" i="1"/>
  <c r="DP894" i="1" s="1"/>
  <c r="DP890" i="1"/>
  <c r="FF931" i="1"/>
  <c r="FF892" i="1"/>
  <c r="FF888" i="1"/>
  <c r="FV931" i="1"/>
  <c r="FV892" i="1"/>
  <c r="FV888" i="1"/>
  <c r="HF932" i="1"/>
  <c r="HF933" i="1" s="1"/>
  <c r="HF893" i="1"/>
  <c r="HF894" i="1" s="1"/>
  <c r="HF890" i="1"/>
  <c r="KL931" i="1"/>
  <c r="KL888" i="1"/>
  <c r="DJ893" i="1"/>
  <c r="DJ894" i="1" s="1"/>
  <c r="DJ932" i="1"/>
  <c r="DJ933" i="1" s="1"/>
  <c r="DJ890" i="1"/>
  <c r="JF932" i="1"/>
  <c r="JF933" i="1" s="1"/>
  <c r="JF890" i="1"/>
  <c r="AX988" i="1"/>
  <c r="HP932" i="1"/>
  <c r="HP933" i="1" s="1"/>
  <c r="HP893" i="1"/>
  <c r="HP894" i="1" s="1"/>
  <c r="HP890" i="1"/>
  <c r="AR987" i="1"/>
  <c r="L987" i="1"/>
  <c r="EG932" i="1"/>
  <c r="EG933" i="1" s="1"/>
  <c r="EG893" i="1"/>
  <c r="EG894" i="1" s="1"/>
  <c r="EG890" i="1"/>
  <c r="EK931" i="1"/>
  <c r="EK892" i="1"/>
  <c r="EK888" i="1"/>
  <c r="AB988" i="1"/>
  <c r="GO932" i="1"/>
  <c r="GO933" i="1" s="1"/>
  <c r="GO893" i="1"/>
  <c r="GO890" i="1"/>
  <c r="DU931" i="1"/>
  <c r="DU892" i="1"/>
  <c r="DU888" i="1"/>
  <c r="AT983" i="1"/>
  <c r="HY932" i="1"/>
  <c r="HY933" i="1" s="1"/>
  <c r="HY893" i="1"/>
  <c r="HY894" i="1" s="1"/>
  <c r="HY890" i="1"/>
  <c r="AM985" i="1"/>
  <c r="EM932" i="1"/>
  <c r="EM933" i="1" s="1"/>
  <c r="EM893" i="1"/>
  <c r="EM894" i="1" s="1"/>
  <c r="EM890" i="1"/>
  <c r="AT987" i="1"/>
  <c r="Z987" i="1"/>
  <c r="AV988" i="1"/>
  <c r="BL893" i="1"/>
  <c r="BL894" i="1" s="1"/>
  <c r="BL932" i="1"/>
  <c r="BL890" i="1"/>
  <c r="GP931" i="1"/>
  <c r="GP892" i="1"/>
  <c r="GP888" i="1"/>
  <c r="JP932" i="1"/>
  <c r="JP933" i="1" s="1"/>
  <c r="JP890" i="1"/>
  <c r="L985" i="1"/>
  <c r="AR985" i="1"/>
  <c r="AL984" i="1"/>
  <c r="HS932" i="1"/>
  <c r="HS933" i="1" s="1"/>
  <c r="HS893" i="1"/>
  <c r="HS894" i="1" s="1"/>
  <c r="HS890" i="1"/>
  <c r="IS932" i="1"/>
  <c r="IS933" i="1" s="1"/>
  <c r="IS890" i="1"/>
  <c r="AR983" i="1"/>
  <c r="L983" i="1"/>
  <c r="KG931" i="1"/>
  <c r="KG888" i="1"/>
  <c r="KJ931" i="1"/>
  <c r="KJ888" i="1"/>
  <c r="KF931" i="1"/>
  <c r="KF888" i="1"/>
  <c r="IX932" i="1"/>
  <c r="IX933" i="1" s="1"/>
  <c r="IX890" i="1"/>
  <c r="FQ931" i="1"/>
  <c r="FQ892" i="1"/>
  <c r="FQ888" i="1"/>
  <c r="AJ988" i="1"/>
  <c r="KX931" i="1"/>
  <c r="KX888" i="1"/>
  <c r="CM932" i="1"/>
  <c r="CM933" i="1" s="1"/>
  <c r="CM893" i="1"/>
  <c r="CM894" i="1" s="1"/>
  <c r="CM890" i="1"/>
  <c r="AZ983" i="1"/>
  <c r="DA931" i="1"/>
  <c r="DA892" i="1"/>
  <c r="DA888" i="1"/>
  <c r="IA893" i="1"/>
  <c r="IA894" i="1" s="1"/>
  <c r="IA932" i="1"/>
  <c r="IA890" i="1"/>
  <c r="DF888" i="1"/>
  <c r="DF931" i="1"/>
  <c r="DF892" i="1"/>
  <c r="AW988" i="1"/>
  <c r="AN985" i="1"/>
  <c r="AC986" i="1"/>
  <c r="J986" i="1"/>
  <c r="EP893" i="1"/>
  <c r="EP894" i="1" s="1"/>
  <c r="EP932" i="1"/>
  <c r="EP933" i="1" s="1"/>
  <c r="EP890" i="1"/>
  <c r="AF986" i="1"/>
  <c r="HM931" i="1"/>
  <c r="HM892" i="1"/>
  <c r="HM888" i="1"/>
  <c r="CA893" i="1"/>
  <c r="CA894" i="1" s="1"/>
  <c r="CA932" i="1"/>
  <c r="CA890" i="1"/>
  <c r="FE932" i="1"/>
  <c r="FE933" i="1" s="1"/>
  <c r="FE893" i="1"/>
  <c r="FE894" i="1" s="1"/>
  <c r="FE890" i="1"/>
  <c r="AL985" i="1"/>
  <c r="CV931" i="1"/>
  <c r="CV892" i="1"/>
  <c r="CV888" i="1"/>
  <c r="JI932" i="1"/>
  <c r="JI933" i="1" s="1"/>
  <c r="JI890" i="1"/>
  <c r="AD984" i="1"/>
  <c r="BA988" i="1"/>
  <c r="EN931" i="1"/>
  <c r="EN888" i="1"/>
  <c r="EN892" i="1"/>
  <c r="CI932" i="1"/>
  <c r="CI933" i="1" s="1"/>
  <c r="CI893" i="1"/>
  <c r="CI894" i="1" s="1"/>
  <c r="CI890" i="1"/>
  <c r="BR932" i="1"/>
  <c r="BR933" i="1" s="1"/>
  <c r="BR893" i="1"/>
  <c r="BR894" i="1" s="1"/>
  <c r="BR890" i="1"/>
  <c r="AM984" i="1"/>
  <c r="IR932" i="1"/>
  <c r="IR933" i="1" s="1"/>
  <c r="IR890" i="1"/>
  <c r="AF983" i="1"/>
  <c r="DN931" i="1"/>
  <c r="DN892" i="1"/>
  <c r="DN888" i="1"/>
  <c r="AD987" i="1"/>
  <c r="AV985" i="1"/>
  <c r="DO932" i="1"/>
  <c r="DO933" i="1" s="1"/>
  <c r="DO893" i="1"/>
  <c r="DO894" i="1" s="1"/>
  <c r="DO890" i="1"/>
  <c r="AG987" i="1"/>
  <c r="EW931" i="1"/>
  <c r="EW888" i="1"/>
  <c r="EW892" i="1"/>
  <c r="CD931" i="1"/>
  <c r="CD892" i="1"/>
  <c r="CD888" i="1"/>
  <c r="HE932" i="1"/>
  <c r="HE933" i="1" s="1"/>
  <c r="HE893" i="1"/>
  <c r="HE894" i="1" s="1"/>
  <c r="HE890" i="1"/>
  <c r="AQ984" i="1"/>
  <c r="BA984" i="1"/>
  <c r="IU932" i="1"/>
  <c r="IU933" i="1" s="1"/>
  <c r="IU890" i="1"/>
  <c r="BK932" i="1"/>
  <c r="BK933" i="1" s="1"/>
  <c r="BK893" i="1"/>
  <c r="BK890" i="1"/>
  <c r="BX932" i="1"/>
  <c r="BX893" i="1"/>
  <c r="BX894" i="1" s="1"/>
  <c r="BX890" i="1"/>
  <c r="AK985" i="1"/>
  <c r="DQ932" i="1"/>
  <c r="DQ933" i="1" s="1"/>
  <c r="DQ893" i="1"/>
  <c r="DQ894" i="1" s="1"/>
  <c r="DQ890" i="1"/>
  <c r="GE932" i="1"/>
  <c r="GE933" i="1" s="1"/>
  <c r="GE893" i="1"/>
  <c r="GE894" i="1" s="1"/>
  <c r="GE890" i="1"/>
  <c r="AV983" i="1"/>
  <c r="KC931" i="1"/>
  <c r="KC888" i="1"/>
  <c r="KR931" i="1"/>
  <c r="KR888" i="1"/>
  <c r="EQ894" i="1"/>
  <c r="FZ931" i="1"/>
  <c r="FZ888" i="1"/>
  <c r="FZ892" i="1"/>
  <c r="AW984" i="1"/>
  <c r="AO984" i="1"/>
  <c r="AY983" i="1"/>
  <c r="M985" i="1"/>
  <c r="BB985" i="1"/>
  <c r="GG932" i="1"/>
  <c r="GG933" i="1" s="1"/>
  <c r="GG893" i="1"/>
  <c r="GG894" i="1" s="1"/>
  <c r="GG890" i="1"/>
  <c r="AS987" i="1"/>
  <c r="BZ932" i="1"/>
  <c r="BZ933" i="1" s="1"/>
  <c r="BZ893" i="1"/>
  <c r="BZ890" i="1"/>
  <c r="FY893" i="1"/>
  <c r="FY894" i="1" s="1"/>
  <c r="FY932" i="1"/>
  <c r="FY933" i="1" s="1"/>
  <c r="FY890" i="1"/>
  <c r="AA985" i="1"/>
  <c r="AN984" i="1"/>
  <c r="GQ932" i="1"/>
  <c r="GQ933" i="1" s="1"/>
  <c r="GQ893" i="1"/>
  <c r="GQ890" i="1"/>
  <c r="GM932" i="1"/>
  <c r="GM933" i="1" s="1"/>
  <c r="GM893" i="1"/>
  <c r="GM894" i="1" s="1"/>
  <c r="GM890" i="1"/>
  <c r="IY932" i="1"/>
  <c r="IY933" i="1" s="1"/>
  <c r="IY890" i="1"/>
  <c r="CU931" i="1"/>
  <c r="CU892" i="1"/>
  <c r="CU888" i="1"/>
  <c r="AM987" i="1"/>
  <c r="BV932" i="1"/>
  <c r="BV933" i="1" s="1"/>
  <c r="BV893" i="1"/>
  <c r="BV890" i="1"/>
  <c r="FS931" i="1"/>
  <c r="FS892" i="1"/>
  <c r="FS888" i="1"/>
  <c r="AO987" i="1"/>
  <c r="GO894" i="1"/>
  <c r="BP931" i="1"/>
  <c r="BP888" i="1"/>
  <c r="BP892" i="1"/>
  <c r="AA984" i="1"/>
  <c r="AV987" i="1"/>
  <c r="HW932" i="1"/>
  <c r="HW933" i="1" s="1"/>
  <c r="HW893" i="1"/>
  <c r="HW894" i="1" s="1"/>
  <c r="HW890" i="1"/>
  <c r="AN986" i="1"/>
  <c r="GC932" i="1"/>
  <c r="GC933" i="1" s="1"/>
  <c r="GC893" i="1"/>
  <c r="GC894" i="1" s="1"/>
  <c r="GC890" i="1"/>
  <c r="AP984" i="1"/>
  <c r="EX932" i="1"/>
  <c r="EX933" i="1" s="1"/>
  <c r="EX893" i="1"/>
  <c r="EX894" i="1" s="1"/>
  <c r="EX890" i="1"/>
  <c r="GR931" i="1"/>
  <c r="GR888" i="1"/>
  <c r="GR892" i="1"/>
  <c r="JG932" i="1"/>
  <c r="JG933" i="1" s="1"/>
  <c r="JG890" i="1"/>
  <c r="GH932" i="1"/>
  <c r="GH933" i="1" s="1"/>
  <c r="GH893" i="1"/>
  <c r="GH894" i="1" s="1"/>
  <c r="GH890" i="1"/>
  <c r="BO932" i="1"/>
  <c r="BO933" i="1" s="1"/>
  <c r="BO893" i="1"/>
  <c r="BO894" i="1" s="1"/>
  <c r="BO890" i="1"/>
  <c r="AE988" i="1"/>
  <c r="KU931" i="1"/>
  <c r="KU888" i="1"/>
  <c r="KZ931" i="1"/>
  <c r="KZ888" i="1"/>
  <c r="KV931" i="1"/>
  <c r="KV888" i="1"/>
  <c r="KT931" i="1"/>
  <c r="KT888" i="1"/>
  <c r="AU987" i="1"/>
  <c r="CH931" i="1"/>
  <c r="CH892" i="1"/>
  <c r="CH888" i="1"/>
  <c r="FU932" i="1"/>
  <c r="FU933" i="1" s="1"/>
  <c r="FU893" i="1"/>
  <c r="FU894" i="1" s="1"/>
  <c r="FU890" i="1"/>
  <c r="AI985" i="1"/>
  <c r="BW932" i="1"/>
  <c r="BW933" i="1" s="1"/>
  <c r="BW893" i="1"/>
  <c r="BW894" i="1" s="1"/>
  <c r="BW890" i="1"/>
  <c r="AC984" i="1"/>
  <c r="J984" i="1"/>
  <c r="GK932" i="1"/>
  <c r="GK933" i="1" s="1"/>
  <c r="GK893" i="1"/>
  <c r="GK894" i="1" s="1"/>
  <c r="GK890" i="1"/>
  <c r="AB986" i="1"/>
  <c r="FB931" i="1"/>
  <c r="FB892" i="1"/>
  <c r="FB888" i="1"/>
  <c r="DE932" i="1"/>
  <c r="DE933" i="1" s="1"/>
  <c r="DE893" i="1"/>
  <c r="DE894" i="1" s="1"/>
  <c r="DE890" i="1"/>
  <c r="AU988" i="1"/>
  <c r="KS931" i="1"/>
  <c r="KS888" i="1"/>
  <c r="FH932" i="1"/>
  <c r="FH933" i="1" s="1"/>
  <c r="FH893" i="1"/>
  <c r="FH894" i="1" s="1"/>
  <c r="FH890" i="1"/>
  <c r="BM931" i="1"/>
  <c r="BM892" i="1"/>
  <c r="BM888" i="1"/>
  <c r="JM932" i="1"/>
  <c r="JM933" i="1" s="1"/>
  <c r="JM890" i="1"/>
  <c r="AG983" i="1"/>
  <c r="HO932" i="1"/>
  <c r="HO933" i="1" s="1"/>
  <c r="HO893" i="1"/>
  <c r="HO894" i="1" s="1"/>
  <c r="HO890" i="1"/>
  <c r="AD988" i="1"/>
  <c r="EI932" i="1"/>
  <c r="EI933" i="1" s="1"/>
  <c r="EI893" i="1"/>
  <c r="EI894" i="1" s="1"/>
  <c r="EI890" i="1"/>
  <c r="FG892" i="1"/>
  <c r="FG931" i="1"/>
  <c r="FG888" i="1"/>
  <c r="CL931" i="1"/>
  <c r="CL892" i="1"/>
  <c r="CL888" i="1"/>
  <c r="FC932" i="1"/>
  <c r="FC933" i="1" s="1"/>
  <c r="FC893" i="1"/>
  <c r="FC894" i="1" s="1"/>
  <c r="FC890" i="1"/>
  <c r="AS984" i="1"/>
  <c r="KK931" i="1"/>
  <c r="KK888" i="1"/>
  <c r="GB931" i="1"/>
  <c r="GB888" i="1"/>
  <c r="GB892" i="1"/>
  <c r="AH983" i="1"/>
  <c r="K983" i="1"/>
  <c r="FD932" i="1"/>
  <c r="FD933" i="1" s="1"/>
  <c r="FD893" i="1"/>
  <c r="FD894" i="1" s="1"/>
  <c r="FD890" i="1"/>
  <c r="JH932" i="1"/>
  <c r="JH933" i="1" s="1"/>
  <c r="JH890" i="1"/>
  <c r="GA932" i="1"/>
  <c r="GA933" i="1" s="1"/>
  <c r="GA893" i="1"/>
  <c r="GA894" i="1" s="1"/>
  <c r="GA890" i="1"/>
  <c r="AA987" i="1"/>
  <c r="AB987" i="1"/>
  <c r="AG988" i="1"/>
  <c r="HN932" i="1"/>
  <c r="HN933" i="1" s="1"/>
  <c r="HN893" i="1"/>
  <c r="HN894" i="1" s="1"/>
  <c r="HN890" i="1"/>
  <c r="AB984" i="1"/>
  <c r="KM931" i="1"/>
  <c r="KM888" i="1"/>
  <c r="DG931" i="1"/>
  <c r="DG892" i="1"/>
  <c r="DG888" i="1"/>
  <c r="BK894" i="1"/>
  <c r="AM983" i="1"/>
  <c r="BX933" i="1"/>
  <c r="IZ932" i="1"/>
  <c r="IZ933" i="1" s="1"/>
  <c r="IZ890" i="1"/>
  <c r="AE986" i="1"/>
  <c r="AI987" i="1"/>
  <c r="JD932" i="1"/>
  <c r="JD933" i="1" s="1"/>
  <c r="JD890" i="1"/>
  <c r="DT892" i="1"/>
  <c r="DT888" i="1"/>
  <c r="DT931" i="1"/>
  <c r="GJ932" i="1"/>
  <c r="GJ933" i="1" s="1"/>
  <c r="GJ893" i="1"/>
  <c r="GJ894" i="1" s="1"/>
  <c r="GJ890" i="1"/>
  <c r="FA932" i="1"/>
  <c r="FA933" i="1" s="1"/>
  <c r="FA893" i="1"/>
  <c r="FA894" i="1" s="1"/>
  <c r="FA890" i="1"/>
  <c r="AJ985" i="1"/>
  <c r="JC932" i="1"/>
  <c r="JC933" i="1" s="1"/>
  <c r="JC890" i="1"/>
  <c r="KO931" i="1"/>
  <c r="KO888" i="1"/>
  <c r="AE985" i="1"/>
  <c r="EL933" i="1"/>
  <c r="CJ932" i="1"/>
  <c r="CJ933" i="1" s="1"/>
  <c r="CJ893" i="1"/>
  <c r="CJ894" i="1" s="1"/>
  <c r="CJ890" i="1"/>
  <c r="BT931" i="1"/>
  <c r="BT888" i="1"/>
  <c r="BT892" i="1"/>
  <c r="M987" i="1"/>
  <c r="BB987" i="1"/>
  <c r="Y987" i="1"/>
  <c r="AN987" i="1"/>
  <c r="AC988" i="1"/>
  <c r="J988" i="1"/>
  <c r="AT984" i="1"/>
  <c r="BJ931" i="1"/>
  <c r="BJ892" i="1"/>
  <c r="BJ888" i="1"/>
  <c r="BZ894" i="1"/>
  <c r="AC987" i="1"/>
  <c r="J987" i="1"/>
  <c r="AG986" i="1"/>
  <c r="HK931" i="1"/>
  <c r="HK892" i="1"/>
  <c r="HK888" i="1"/>
  <c r="IT932" i="1"/>
  <c r="IT933" i="1" s="1"/>
  <c r="IT890" i="1"/>
  <c r="GQ894" i="1"/>
  <c r="AU986" i="1"/>
  <c r="AK988" i="1"/>
  <c r="BV894" i="1"/>
  <c r="Z985" i="1"/>
  <c r="AW986" i="1"/>
  <c r="JE932" i="1"/>
  <c r="JE933" i="1" s="1"/>
  <c r="JE890" i="1"/>
  <c r="CE932" i="1"/>
  <c r="CE933" i="1" s="1"/>
  <c r="CE893" i="1"/>
  <c r="CE894" i="1" s="1"/>
  <c r="CE890" i="1"/>
  <c r="BU931" i="1"/>
  <c r="BU892" i="1"/>
  <c r="BU888" i="1"/>
  <c r="ET893" i="1"/>
  <c r="ET894" i="1" s="1"/>
  <c r="ET932" i="1"/>
  <c r="ET933" i="1" s="1"/>
  <c r="ET890" i="1"/>
  <c r="GD932" i="1"/>
  <c r="GD933" i="1" s="1"/>
  <c r="GD893" i="1"/>
  <c r="GD894" i="1" s="1"/>
  <c r="GD890" i="1"/>
  <c r="AF985" i="1"/>
  <c r="HC932" i="1"/>
  <c r="HC933" i="1" s="1"/>
  <c r="HC893" i="1"/>
  <c r="HC894" i="1" s="1"/>
  <c r="HC890" i="1"/>
  <c r="BN931" i="1"/>
  <c r="BN892" i="1"/>
  <c r="BN888" i="1"/>
  <c r="KH931" i="1"/>
  <c r="KH888" i="1"/>
  <c r="AA983" i="1"/>
  <c r="BL933" i="1"/>
  <c r="KQ931" i="1"/>
  <c r="KQ888" i="1"/>
  <c r="DH932" i="1"/>
  <c r="DH933" i="1" s="1"/>
  <c r="DH893" i="1"/>
  <c r="DH894" i="1" s="1"/>
  <c r="DH890" i="1"/>
  <c r="AS988" i="1"/>
  <c r="JN932" i="1"/>
  <c r="JN933" i="1" s="1"/>
  <c r="JN890" i="1"/>
  <c r="AP986" i="1"/>
  <c r="GN893" i="1"/>
  <c r="GN894" i="1" s="1"/>
  <c r="GN932" i="1"/>
  <c r="GN933" i="1" s="1"/>
  <c r="GN890" i="1"/>
  <c r="KA888" i="1"/>
  <c r="KA931" i="1"/>
  <c r="EO932" i="1"/>
  <c r="EO933" i="1" s="1"/>
  <c r="EO893" i="1"/>
  <c r="EO894" i="1" s="1"/>
  <c r="EO890" i="1"/>
  <c r="IC932" i="1"/>
  <c r="IC933" i="1" s="1"/>
  <c r="IC893" i="1"/>
  <c r="IC894" i="1" s="1"/>
  <c r="IC890" i="1"/>
  <c r="M983" i="1"/>
  <c r="BB983" i="1"/>
  <c r="AX987" i="1"/>
  <c r="IA933" i="1"/>
  <c r="BY931" i="1"/>
  <c r="BY888" i="1"/>
  <c r="BY892" i="1"/>
  <c r="CF932" i="1"/>
  <c r="CF933" i="1" s="1"/>
  <c r="CF893" i="1"/>
  <c r="CF894" i="1" s="1"/>
  <c r="CF890" i="1"/>
  <c r="AP983" i="1"/>
  <c r="CA933" i="1"/>
  <c r="ES932" i="1"/>
  <c r="ES933" i="1" s="1"/>
  <c r="ES893" i="1"/>
  <c r="ES894" i="1" s="1"/>
  <c r="ES890" i="1"/>
  <c r="JB932" i="1"/>
  <c r="JB933" i="1" s="1"/>
  <c r="JB890" i="1"/>
  <c r="BA985" i="1"/>
  <c r="AY988" i="1"/>
  <c r="HT931" i="1"/>
  <c r="HT888" i="1"/>
  <c r="HT892" i="1"/>
  <c r="AX983" i="1"/>
  <c r="DI932" i="1"/>
  <c r="DI933" i="1" s="1"/>
  <c r="DI893" i="1"/>
  <c r="DI894" i="1" s="1"/>
  <c r="DI890" i="1"/>
  <c r="BQ932" i="1"/>
  <c r="BQ933" i="1" s="1"/>
  <c r="BQ893" i="1"/>
  <c r="BQ894" i="1" s="1"/>
  <c r="BQ890" i="1"/>
  <c r="ID931" i="1"/>
  <c r="ID888" i="1"/>
  <c r="ID892" i="1"/>
  <c r="HG932" i="1"/>
  <c r="HG933" i="1" s="1"/>
  <c r="HG893" i="1"/>
  <c r="HG894" i="1" s="1"/>
  <c r="HG890" i="1"/>
  <c r="IV932" i="1"/>
  <c r="IV933" i="1" s="1"/>
  <c r="IV890" i="1"/>
  <c r="JA932" i="1"/>
  <c r="JA933" i="1" s="1"/>
  <c r="JA890" i="1"/>
  <c r="BS932" i="1"/>
  <c r="BS933" i="1" s="1"/>
  <c r="BS893" i="1"/>
  <c r="BS894" i="1" s="1"/>
  <c r="BS890" i="1"/>
  <c r="AW985" i="1"/>
  <c r="GL892" i="1"/>
  <c r="GL888" i="1"/>
  <c r="GL931" i="1"/>
  <c r="AT988" i="1"/>
  <c r="HD932" i="1"/>
  <c r="HD933" i="1" s="1"/>
  <c r="HD893" i="1"/>
  <c r="HD894" i="1" s="1"/>
  <c r="HD890" i="1"/>
  <c r="DM932" i="1"/>
  <c r="DM933" i="1" s="1"/>
  <c r="DM893" i="1"/>
  <c r="DM894" i="1" s="1"/>
  <c r="DM890" i="1"/>
  <c r="DR932" i="1"/>
  <c r="DR933" i="1" s="1"/>
  <c r="DR893" i="1"/>
  <c r="DR894" i="1" s="1"/>
  <c r="DR890" i="1"/>
  <c r="DW932" i="1"/>
  <c r="DW933" i="1" s="1"/>
  <c r="DW893" i="1"/>
  <c r="DW894" i="1" s="1"/>
  <c r="DW890" i="1"/>
  <c r="EV932" i="1"/>
  <c r="EV933" i="1" s="1"/>
  <c r="EV893" i="1"/>
  <c r="EV894" i="1" s="1"/>
  <c r="EV890" i="1"/>
  <c r="AK987" i="1"/>
  <c r="Z983" i="1"/>
  <c r="GS931" i="1"/>
  <c r="GS892" i="1"/>
  <c r="GS888" i="1"/>
  <c r="AL988" i="1"/>
  <c r="AU984" i="1"/>
  <c r="AM986" i="1"/>
  <c r="CG932" i="1"/>
  <c r="CG933" i="1" s="1"/>
  <c r="CG893" i="1"/>
  <c r="CG894" i="1" s="1"/>
  <c r="CG890" i="1"/>
  <c r="AP988" i="1"/>
  <c r="AT985" i="1"/>
  <c r="AO988" i="1"/>
  <c r="DS932" i="1"/>
  <c r="DS933" i="1" s="1"/>
  <c r="DS893" i="1"/>
  <c r="DS894" i="1" s="1"/>
  <c r="DS890" i="1"/>
  <c r="DK932" i="1"/>
  <c r="DK933" i="1" s="1"/>
  <c r="DK893" i="1"/>
  <c r="DK894" i="1" s="1"/>
  <c r="DK890" i="1"/>
  <c r="IW932" i="1"/>
  <c r="IW933" i="1" s="1"/>
  <c r="IW890" i="1"/>
  <c r="FI932" i="1"/>
  <c r="FI933" i="1" s="1"/>
  <c r="FI893" i="1"/>
  <c r="FI894" i="1" s="1"/>
  <c r="FI890" i="1"/>
  <c r="DD932" i="1"/>
  <c r="DD933" i="1" s="1"/>
  <c r="DD893" i="1"/>
  <c r="DD894" i="1" s="1"/>
  <c r="DD890" i="1"/>
  <c r="AO986" i="1"/>
  <c r="HV932" i="1"/>
  <c r="HV933" i="1" s="1"/>
  <c r="HV893" i="1"/>
  <c r="HV894" i="1" s="1"/>
  <c r="HV890" i="1"/>
  <c r="IQ932" i="1"/>
  <c r="IQ933" i="1" s="1"/>
  <c r="IQ890" i="1"/>
  <c r="AO983" i="1"/>
  <c r="EH932" i="1"/>
  <c r="EH933" i="1" s="1"/>
  <c r="EH893" i="1"/>
  <c r="EH894" i="1" s="1"/>
  <c r="EH890" i="1"/>
  <c r="AF988" i="1"/>
  <c r="HH892" i="1"/>
  <c r="HH931" i="1"/>
  <c r="HH888" i="1"/>
  <c r="AY986" i="1"/>
  <c r="L988" i="1"/>
  <c r="AR988" i="1"/>
  <c r="JL932" i="1"/>
  <c r="JL933" i="1" s="1"/>
  <c r="JL890" i="1"/>
  <c r="HU932" i="1"/>
  <c r="HU933" i="1" s="1"/>
  <c r="HU893" i="1"/>
  <c r="HU894" i="1" s="1"/>
  <c r="HU890" i="1"/>
  <c r="AK983" i="1"/>
  <c r="IP932" i="1"/>
  <c r="IP933" i="1" s="1"/>
  <c r="IP890" i="1"/>
  <c r="HR932" i="1"/>
  <c r="HR933" i="1" s="1"/>
  <c r="HR893" i="1"/>
  <c r="HR894" i="1" s="1"/>
  <c r="HR890" i="1"/>
  <c r="DB888" i="1"/>
  <c r="DB892" i="1"/>
  <c r="DB931" i="1"/>
  <c r="CW932" i="1"/>
  <c r="CW933" i="1" s="1"/>
  <c r="CW893" i="1"/>
  <c r="CW894" i="1" s="1"/>
  <c r="CW890" i="1"/>
  <c r="AQ988" i="1"/>
  <c r="AL986" i="1"/>
  <c r="GF932" i="1"/>
  <c r="GF933" i="1" s="1"/>
  <c r="GF893" i="1"/>
  <c r="GF894" i="1" s="1"/>
  <c r="GF890" i="1"/>
  <c r="AK986" i="1"/>
  <c r="JJ932" i="1"/>
  <c r="JJ933" i="1" s="1"/>
  <c r="JJ890" i="1"/>
  <c r="DL893" i="1"/>
  <c r="DL894" i="1" s="1"/>
  <c r="DL890" i="1"/>
  <c r="EZ931" i="1"/>
  <c r="EZ892" i="1"/>
  <c r="EZ888" i="1"/>
  <c r="AQ985" i="1"/>
  <c r="M988" i="1"/>
  <c r="BB988" i="1"/>
  <c r="LA931" i="1"/>
  <c r="LA888" i="1"/>
  <c r="EY932" i="1"/>
  <c r="EY933" i="1" s="1"/>
  <c r="EY893" i="1"/>
  <c r="EY894" i="1" s="1"/>
  <c r="EY890" i="1"/>
  <c r="AP987" i="1"/>
  <c r="AZ988" i="1"/>
  <c r="DC931" i="1"/>
  <c r="DC892" i="1"/>
  <c r="DC888" i="1"/>
  <c r="AD983" i="1"/>
  <c r="CC932" i="1"/>
  <c r="CC933" i="1" s="1"/>
  <c r="CC893" i="1"/>
  <c r="CC894" i="1" s="1"/>
  <c r="CC890" i="1"/>
  <c r="AV986" i="1"/>
  <c r="HZ931" i="1"/>
  <c r="HZ888" i="1"/>
  <c r="HZ892" i="1"/>
  <c r="KN931" i="1"/>
  <c r="KN888" i="1"/>
  <c r="KD931" i="1"/>
  <c r="KD888" i="1"/>
  <c r="KB931" i="1"/>
  <c r="KB888" i="1"/>
  <c r="KE931" i="1"/>
  <c r="KE888" i="1"/>
  <c r="LT932" i="1" l="1"/>
  <c r="LT933" i="1" s="1"/>
  <c r="MD932" i="1"/>
  <c r="MD933" i="1" s="1"/>
  <c r="ML942" i="1"/>
  <c r="ML932" i="1"/>
  <c r="ML933" i="1" s="1"/>
  <c r="LQ890" i="1"/>
  <c r="LZ890" i="1"/>
  <c r="MK941" i="1"/>
  <c r="LP890" i="1"/>
  <c r="MA932" i="1"/>
  <c r="MA933" i="1" s="1"/>
  <c r="MC933" i="1"/>
  <c r="MC941" i="1"/>
  <c r="MC939" i="1"/>
  <c r="MK933" i="1"/>
  <c r="MK940" i="1"/>
  <c r="ME940" i="1"/>
  <c r="ME939" i="1"/>
  <c r="ME933" i="1"/>
  <c r="LV940" i="1"/>
  <c r="LV941" i="1"/>
  <c r="MH941" i="1"/>
  <c r="MH939" i="1"/>
  <c r="LV933" i="1"/>
  <c r="LU932" i="1"/>
  <c r="LU933" i="1" s="1"/>
  <c r="LN941" i="1"/>
  <c r="LN933" i="1"/>
  <c r="MH933" i="1"/>
  <c r="MF933" i="1"/>
  <c r="LN939" i="1"/>
  <c r="LW890" i="1"/>
  <c r="LX890" i="1"/>
  <c r="MG939" i="1"/>
  <c r="MF941" i="1"/>
  <c r="MJ933" i="1"/>
  <c r="MF940" i="1"/>
  <c r="MJ940" i="1"/>
  <c r="MG940" i="1"/>
  <c r="MI932" i="1"/>
  <c r="MI933" i="1" s="1"/>
  <c r="LZ942" i="1"/>
  <c r="LU942" i="1"/>
  <c r="MJ939" i="1"/>
  <c r="LT942" i="1"/>
  <c r="LX942" i="1"/>
  <c r="LM942" i="1"/>
  <c r="MB942" i="1"/>
  <c r="MD942" i="1"/>
  <c r="MA942" i="1"/>
  <c r="LO942" i="1"/>
  <c r="MI942" i="1"/>
  <c r="LO890" i="1"/>
  <c r="LO932" i="1"/>
  <c r="LO933" i="1" s="1"/>
  <c r="LL890" i="1"/>
  <c r="LL932" i="1"/>
  <c r="LL933" i="1" s="1"/>
  <c r="LQ942" i="1"/>
  <c r="LL941" i="1"/>
  <c r="LL939" i="1"/>
  <c r="LL940" i="1"/>
  <c r="LP942" i="1"/>
  <c r="LY940" i="1"/>
  <c r="LY939" i="1"/>
  <c r="LY941" i="1"/>
  <c r="LW942" i="1"/>
  <c r="LS939" i="1"/>
  <c r="LS941" i="1"/>
  <c r="LS940" i="1"/>
  <c r="AW987" i="1"/>
  <c r="DC932" i="1"/>
  <c r="DC933" i="1" s="1"/>
  <c r="DC893" i="1"/>
  <c r="DC894" i="1" s="1"/>
  <c r="DC890" i="1"/>
  <c r="AC989" i="1"/>
  <c r="J989" i="1"/>
  <c r="KB941" i="1"/>
  <c r="KB939" i="1"/>
  <c r="KB940" i="1"/>
  <c r="KB957" i="1" s="1"/>
  <c r="KE932" i="1"/>
  <c r="KE933" i="1" s="1"/>
  <c r="KE890" i="1"/>
  <c r="KD932" i="1"/>
  <c r="KD933" i="1" s="1"/>
  <c r="KD890" i="1"/>
  <c r="AG984" i="1"/>
  <c r="EZ932" i="1"/>
  <c r="EZ933" i="1" s="1"/>
  <c r="EZ893" i="1"/>
  <c r="EZ894" i="1" s="1"/>
  <c r="EZ890" i="1"/>
  <c r="AF984" i="1"/>
  <c r="BA986" i="1"/>
  <c r="AT986" i="1"/>
  <c r="BA987" i="1"/>
  <c r="AQ987" i="1"/>
  <c r="KA932" i="1"/>
  <c r="KA933" i="1" s="1"/>
  <c r="KA890" i="1"/>
  <c r="AR989" i="1"/>
  <c r="L989" i="1"/>
  <c r="KQ941" i="1"/>
  <c r="KQ940" i="1"/>
  <c r="KQ957" i="1" s="1"/>
  <c r="KQ939" i="1"/>
  <c r="KH932" i="1"/>
  <c r="KH933" i="1" s="1"/>
  <c r="KH890" i="1"/>
  <c r="AC983" i="1"/>
  <c r="J983" i="1"/>
  <c r="AJ983" i="1"/>
  <c r="BJ932" i="1"/>
  <c r="BJ933" i="1" s="1"/>
  <c r="BJ893" i="1"/>
  <c r="BJ894" i="1" s="1"/>
  <c r="BJ890" i="1"/>
  <c r="KM932" i="1"/>
  <c r="KM933" i="1" s="1"/>
  <c r="KM890" i="1"/>
  <c r="AJ986" i="1"/>
  <c r="CL932" i="1"/>
  <c r="CL933" i="1" s="1"/>
  <c r="CL893" i="1"/>
  <c r="CL894" i="1" s="1"/>
  <c r="CL890" i="1"/>
  <c r="AZ985" i="1"/>
  <c r="FB932" i="1"/>
  <c r="FB933" i="1" s="1"/>
  <c r="FB893" i="1"/>
  <c r="FB894" i="1" s="1"/>
  <c r="FB890" i="1"/>
  <c r="AW983" i="1"/>
  <c r="AU989" i="1"/>
  <c r="KT941" i="1"/>
  <c r="KT939" i="1"/>
  <c r="KT940" i="1"/>
  <c r="KT957" i="1" s="1"/>
  <c r="BA989" i="1"/>
  <c r="KZ939" i="1"/>
  <c r="KZ941" i="1"/>
  <c r="KZ940" i="1"/>
  <c r="KZ957" i="1" s="1"/>
  <c r="BP893" i="1"/>
  <c r="BP932" i="1"/>
  <c r="BP890" i="1"/>
  <c r="Y984" i="1"/>
  <c r="FZ932" i="1"/>
  <c r="FZ933" i="1" s="1"/>
  <c r="FZ893" i="1"/>
  <c r="FZ894" i="1" s="1"/>
  <c r="FZ890" i="1"/>
  <c r="KR932" i="1"/>
  <c r="KR933" i="1" s="1"/>
  <c r="KR890" i="1"/>
  <c r="AS983" i="1"/>
  <c r="AR984" i="1"/>
  <c r="L984" i="1"/>
  <c r="HM932" i="1"/>
  <c r="HM933" i="1" s="1"/>
  <c r="HM893" i="1"/>
  <c r="HM894" i="1" s="1"/>
  <c r="HM890" i="1"/>
  <c r="AJ984" i="1"/>
  <c r="AY989" i="1"/>
  <c r="KX941" i="1"/>
  <c r="KX939" i="1"/>
  <c r="KX940" i="1"/>
  <c r="KX957" i="1" s="1"/>
  <c r="FQ932" i="1"/>
  <c r="FQ933" i="1" s="1"/>
  <c r="FQ893" i="1"/>
  <c r="FQ894" i="1" s="1"/>
  <c r="FQ890" i="1"/>
  <c r="AK989" i="1"/>
  <c r="KJ941" i="1"/>
  <c r="KJ940" i="1"/>
  <c r="KJ957" i="1" s="1"/>
  <c r="KJ939" i="1"/>
  <c r="DU932" i="1"/>
  <c r="DU933" i="1" s="1"/>
  <c r="DU893" i="1"/>
  <c r="DU894" i="1" s="1"/>
  <c r="DU890" i="1"/>
  <c r="AY985" i="1"/>
  <c r="KW932" i="1"/>
  <c r="KW933" i="1" s="1"/>
  <c r="KW890" i="1"/>
  <c r="AY987" i="1"/>
  <c r="AQ989" i="1"/>
  <c r="KP941" i="1"/>
  <c r="KP940" i="1"/>
  <c r="KP957" i="1" s="1"/>
  <c r="KP939" i="1"/>
  <c r="AC985" i="1"/>
  <c r="J985" i="1"/>
  <c r="AS985" i="1"/>
  <c r="DB932" i="1"/>
  <c r="DB933" i="1" s="1"/>
  <c r="DB893" i="1"/>
  <c r="DB894" i="1" s="1"/>
  <c r="DB890" i="1"/>
  <c r="AE987" i="1"/>
  <c r="AO989" i="1"/>
  <c r="KN940" i="1"/>
  <c r="KN957" i="1" s="1"/>
  <c r="KN939" i="1"/>
  <c r="KN941" i="1"/>
  <c r="AF989" i="1"/>
  <c r="KE940" i="1"/>
  <c r="KE957" i="1" s="1"/>
  <c r="KE941" i="1"/>
  <c r="KE939" i="1"/>
  <c r="AE989" i="1"/>
  <c r="KD939" i="1"/>
  <c r="KD941" i="1"/>
  <c r="KD940" i="1"/>
  <c r="KD957" i="1" s="1"/>
  <c r="HZ932" i="1"/>
  <c r="HZ933" i="1" s="1"/>
  <c r="HZ893" i="1"/>
  <c r="HZ894" i="1" s="1"/>
  <c r="HZ890" i="1"/>
  <c r="LA932" i="1"/>
  <c r="LA890" i="1"/>
  <c r="HH932" i="1"/>
  <c r="HH933" i="1" s="1"/>
  <c r="HH893" i="1"/>
  <c r="HH894" i="1" s="1"/>
  <c r="HH890" i="1"/>
  <c r="GL932" i="1"/>
  <c r="GL933" i="1" s="1"/>
  <c r="GL893" i="1"/>
  <c r="GL894" i="1" s="1"/>
  <c r="GL890" i="1"/>
  <c r="AI989" i="1"/>
  <c r="KH941" i="1"/>
  <c r="KH940" i="1"/>
  <c r="KH957" i="1" s="1"/>
  <c r="KH939" i="1"/>
  <c r="AH987" i="1"/>
  <c r="K987" i="1"/>
  <c r="KO932" i="1"/>
  <c r="KO933" i="1" s="1"/>
  <c r="KO890" i="1"/>
  <c r="AX984" i="1"/>
  <c r="DG893" i="1"/>
  <c r="DG894" i="1" s="1"/>
  <c r="DG932" i="1"/>
  <c r="DG933" i="1" s="1"/>
  <c r="DG890" i="1"/>
  <c r="AN989" i="1"/>
  <c r="KM940" i="1"/>
  <c r="KM957" i="1" s="1"/>
  <c r="KM941" i="1"/>
  <c r="KM939" i="1"/>
  <c r="KK932" i="1"/>
  <c r="KK933" i="1" s="1"/>
  <c r="KK890" i="1"/>
  <c r="AB983" i="1"/>
  <c r="KS932" i="1"/>
  <c r="KS933" i="1" s="1"/>
  <c r="KS890" i="1"/>
  <c r="KV932" i="1"/>
  <c r="KV933" i="1" s="1"/>
  <c r="KV890" i="1"/>
  <c r="KU932" i="1"/>
  <c r="KU890" i="1"/>
  <c r="GR893" i="1"/>
  <c r="GR894" i="1" s="1"/>
  <c r="GR932" i="1"/>
  <c r="GR933" i="1" s="1"/>
  <c r="GR890" i="1"/>
  <c r="AE983" i="1"/>
  <c r="BP933" i="1"/>
  <c r="FS932" i="1"/>
  <c r="FS933" i="1" s="1"/>
  <c r="FS893" i="1"/>
  <c r="FS894" i="1" s="1"/>
  <c r="FS890" i="1"/>
  <c r="AH986" i="1"/>
  <c r="K986" i="1"/>
  <c r="AS989" i="1"/>
  <c r="KR940" i="1"/>
  <c r="KR957" i="1" s="1"/>
  <c r="KR939" i="1"/>
  <c r="KR941" i="1"/>
  <c r="Z984" i="1"/>
  <c r="DF932" i="1"/>
  <c r="DF933" i="1" s="1"/>
  <c r="DF893" i="1"/>
  <c r="DF894" i="1" s="1"/>
  <c r="DF890" i="1"/>
  <c r="DA932" i="1"/>
  <c r="DA933" i="1" s="1"/>
  <c r="DA893" i="1"/>
  <c r="DA894" i="1" s="1"/>
  <c r="DA890" i="1"/>
  <c r="KF932" i="1"/>
  <c r="KF933" i="1" s="1"/>
  <c r="KF890" i="1"/>
  <c r="KG932" i="1"/>
  <c r="KG933" i="1" s="1"/>
  <c r="KG890" i="1"/>
  <c r="AX986" i="1"/>
  <c r="EK932" i="1"/>
  <c r="EK933" i="1" s="1"/>
  <c r="EK893" i="1"/>
  <c r="EK890" i="1"/>
  <c r="AD986" i="1"/>
  <c r="AX989" i="1"/>
  <c r="KW939" i="1"/>
  <c r="KW941" i="1"/>
  <c r="KW940" i="1"/>
  <c r="KW957" i="1" s="1"/>
  <c r="EF932" i="1"/>
  <c r="EF933" i="1" s="1"/>
  <c r="EF893" i="1"/>
  <c r="EF894" i="1" s="1"/>
  <c r="EF890" i="1"/>
  <c r="M984" i="1"/>
  <c r="BB984" i="1"/>
  <c r="GT932" i="1"/>
  <c r="GT933" i="1" s="1"/>
  <c r="GT893" i="1"/>
  <c r="GT894" i="1" s="1"/>
  <c r="GT890" i="1"/>
  <c r="KI932" i="1"/>
  <c r="KI933" i="1" s="1"/>
  <c r="KI890" i="1"/>
  <c r="AQ983" i="1"/>
  <c r="KB932" i="1"/>
  <c r="KB933" i="1" s="1"/>
  <c r="KB890" i="1"/>
  <c r="LA933" i="1"/>
  <c r="BB989" i="1"/>
  <c r="M989" i="1"/>
  <c r="LA941" i="1"/>
  <c r="LA940" i="1"/>
  <c r="LA957" i="1" s="1"/>
  <c r="LA939" i="1"/>
  <c r="GS932" i="1"/>
  <c r="GS933" i="1" s="1"/>
  <c r="GS893" i="1"/>
  <c r="GS894" i="1" s="1"/>
  <c r="GS890" i="1"/>
  <c r="BY932" i="1"/>
  <c r="BY933" i="1" s="1"/>
  <c r="BY893" i="1"/>
  <c r="BY894" i="1" s="1"/>
  <c r="BY890" i="1"/>
  <c r="BN932" i="1"/>
  <c r="BN933" i="1" s="1"/>
  <c r="BN893" i="1"/>
  <c r="BN894" i="1" s="1"/>
  <c r="BN890" i="1"/>
  <c r="BU932" i="1"/>
  <c r="BU933" i="1" s="1"/>
  <c r="BU893" i="1"/>
  <c r="BU890" i="1"/>
  <c r="Y983" i="1"/>
  <c r="BT932" i="1"/>
  <c r="BT933" i="1" s="1"/>
  <c r="BT893" i="1"/>
  <c r="BT894" i="1" s="1"/>
  <c r="BT890" i="1"/>
  <c r="AP989" i="1"/>
  <c r="KO940" i="1"/>
  <c r="KO957" i="1" s="1"/>
  <c r="KO939" i="1"/>
  <c r="KO941" i="1"/>
  <c r="DT932" i="1"/>
  <c r="DT933" i="1" s="1"/>
  <c r="DT893" i="1"/>
  <c r="DT894" i="1" s="1"/>
  <c r="DT890" i="1"/>
  <c r="AL989" i="1"/>
  <c r="KK940" i="1"/>
  <c r="KK957" i="1" s="1"/>
  <c r="KK941" i="1"/>
  <c r="KK939" i="1"/>
  <c r="BA983" i="1"/>
  <c r="AT989" i="1"/>
  <c r="KS940" i="1"/>
  <c r="KS957" i="1" s="1"/>
  <c r="KS939" i="1"/>
  <c r="KS941" i="1"/>
  <c r="AU985" i="1"/>
  <c r="CH932" i="1"/>
  <c r="CH933" i="1" s="1"/>
  <c r="CH893" i="1"/>
  <c r="CH894" i="1" s="1"/>
  <c r="CH890" i="1"/>
  <c r="AW989" i="1"/>
  <c r="KV939" i="1"/>
  <c r="KV941" i="1"/>
  <c r="KV940" i="1"/>
  <c r="KV957" i="1" s="1"/>
  <c r="AV989" i="1"/>
  <c r="KU933" i="1"/>
  <c r="KU941" i="1"/>
  <c r="KU940" i="1"/>
  <c r="KU957" i="1" s="1"/>
  <c r="KU939" i="1"/>
  <c r="AZ986" i="1"/>
  <c r="CU932" i="1"/>
  <c r="CU933" i="1" s="1"/>
  <c r="CU893" i="1"/>
  <c r="CU894" i="1" s="1"/>
  <c r="CU890" i="1"/>
  <c r="KC932" i="1"/>
  <c r="KC933" i="1" s="1"/>
  <c r="KC890" i="1"/>
  <c r="CD932" i="1"/>
  <c r="CD933" i="1" s="1"/>
  <c r="CD893" i="1"/>
  <c r="CD894" i="1" s="1"/>
  <c r="CD890" i="1"/>
  <c r="EW932" i="1"/>
  <c r="EW933" i="1" s="1"/>
  <c r="EW893" i="1"/>
  <c r="EW894" i="1" s="1"/>
  <c r="EW890" i="1"/>
  <c r="DN893" i="1"/>
  <c r="DN894" i="1" s="1"/>
  <c r="DN932" i="1"/>
  <c r="DN933" i="1" s="1"/>
  <c r="DN890" i="1"/>
  <c r="EN932" i="1"/>
  <c r="EN933" i="1" s="1"/>
  <c r="EN893" i="1"/>
  <c r="EN894" i="1" s="1"/>
  <c r="EN890" i="1"/>
  <c r="AJ987" i="1"/>
  <c r="Y986" i="1"/>
  <c r="AG989" i="1"/>
  <c r="KF940" i="1"/>
  <c r="KF957" i="1" s="1"/>
  <c r="KF941" i="1"/>
  <c r="KF939" i="1"/>
  <c r="K989" i="1"/>
  <c r="AH989" i="1"/>
  <c r="KG941" i="1"/>
  <c r="KG939" i="1"/>
  <c r="KG940" i="1"/>
  <c r="KG957" i="1" s="1"/>
  <c r="AY984" i="1"/>
  <c r="EK894" i="1"/>
  <c r="KL932" i="1"/>
  <c r="KL933" i="1" s="1"/>
  <c r="KL890" i="1"/>
  <c r="FF932" i="1"/>
  <c r="FF933" i="1" s="1"/>
  <c r="FF893" i="1"/>
  <c r="FF894" i="1" s="1"/>
  <c r="FF890" i="1"/>
  <c r="DV932" i="1"/>
  <c r="DV933" i="1" s="1"/>
  <c r="DV893" i="1"/>
  <c r="DV894" i="1" s="1"/>
  <c r="DV890" i="1"/>
  <c r="Y985" i="1"/>
  <c r="IB932" i="1"/>
  <c r="IB933" i="1" s="1"/>
  <c r="IB893" i="1"/>
  <c r="IB894" i="1" s="1"/>
  <c r="IB890" i="1"/>
  <c r="AZ989" i="1"/>
  <c r="KY939" i="1"/>
  <c r="KY941" i="1"/>
  <c r="KY940" i="1"/>
  <c r="KY957" i="1" s="1"/>
  <c r="HI932" i="1"/>
  <c r="HI933" i="1" s="1"/>
  <c r="HI893" i="1"/>
  <c r="HI894" i="1" s="1"/>
  <c r="HI890" i="1"/>
  <c r="GI932" i="1"/>
  <c r="GI933" i="1" s="1"/>
  <c r="GI893" i="1"/>
  <c r="GI894" i="1" s="1"/>
  <c r="GI890" i="1"/>
  <c r="EJ932" i="1"/>
  <c r="EJ933" i="1" s="1"/>
  <c r="EJ893" i="1"/>
  <c r="EJ894" i="1" s="1"/>
  <c r="EJ890" i="1"/>
  <c r="BB986" i="1"/>
  <c r="M986" i="1"/>
  <c r="AJ989" i="1"/>
  <c r="KI940" i="1"/>
  <c r="KI957" i="1" s="1"/>
  <c r="KI941" i="1"/>
  <c r="KI939" i="1"/>
  <c r="KN932" i="1"/>
  <c r="KN933" i="1" s="1"/>
  <c r="KN890" i="1"/>
  <c r="ID932" i="1"/>
  <c r="ID933" i="1" s="1"/>
  <c r="ID893" i="1"/>
  <c r="ID894" i="1" s="1"/>
  <c r="ID890" i="1"/>
  <c r="HT932" i="1"/>
  <c r="HT933" i="1" s="1"/>
  <c r="HT893" i="1"/>
  <c r="HT894" i="1" s="1"/>
  <c r="HT890" i="1"/>
  <c r="AN983" i="1"/>
  <c r="AB989" i="1"/>
  <c r="KA940" i="1"/>
  <c r="KA957" i="1" s="1"/>
  <c r="KA941" i="1"/>
  <c r="KA939" i="1"/>
  <c r="KQ932" i="1"/>
  <c r="KQ933" i="1" s="1"/>
  <c r="KQ890" i="1"/>
  <c r="BU894" i="1"/>
  <c r="HK932" i="1"/>
  <c r="HK933" i="1" s="1"/>
  <c r="HK893" i="1"/>
  <c r="HK894" i="1" s="1"/>
  <c r="HK890" i="1"/>
  <c r="AI983" i="1"/>
  <c r="AK984" i="1"/>
  <c r="GB932" i="1"/>
  <c r="GB933" i="1" s="1"/>
  <c r="GB893" i="1"/>
  <c r="GB894" i="1" s="1"/>
  <c r="GB890" i="1"/>
  <c r="FG932" i="1"/>
  <c r="FG933" i="1" s="1"/>
  <c r="FG893" i="1"/>
  <c r="FG894" i="1" s="1"/>
  <c r="FG890" i="1"/>
  <c r="BM932" i="1"/>
  <c r="BM933" i="1" s="1"/>
  <c r="BM893" i="1"/>
  <c r="BM894" i="1" s="1"/>
  <c r="BM890" i="1"/>
  <c r="KT932" i="1"/>
  <c r="KT933" i="1" s="1"/>
  <c r="KT890" i="1"/>
  <c r="KZ932" i="1"/>
  <c r="KZ933" i="1" s="1"/>
  <c r="KZ890" i="1"/>
  <c r="BP894" i="1"/>
  <c r="AA986" i="1"/>
  <c r="AD989" i="1"/>
  <c r="KC940" i="1"/>
  <c r="KC957" i="1" s="1"/>
  <c r="KC939" i="1"/>
  <c r="KC941" i="1"/>
  <c r="AP985" i="1"/>
  <c r="AG985" i="1"/>
  <c r="CV893" i="1"/>
  <c r="CV894" i="1" s="1"/>
  <c r="CV932" i="1"/>
  <c r="CV933" i="1" s="1"/>
  <c r="CV890" i="1"/>
  <c r="AE984" i="1"/>
  <c r="KX932" i="1"/>
  <c r="KX933" i="1" s="1"/>
  <c r="KX890" i="1"/>
  <c r="KJ932" i="1"/>
  <c r="KJ933" i="1" s="1"/>
  <c r="KJ890" i="1"/>
  <c r="GP932" i="1"/>
  <c r="GP933" i="1" s="1"/>
  <c r="GP893" i="1"/>
  <c r="GP894" i="1" s="1"/>
  <c r="GP890" i="1"/>
  <c r="AD985" i="1"/>
  <c r="AM989" i="1"/>
  <c r="KL940" i="1"/>
  <c r="KL957" i="1" s="1"/>
  <c r="KL939" i="1"/>
  <c r="KL941" i="1"/>
  <c r="FV932" i="1"/>
  <c r="FV933" i="1" s="1"/>
  <c r="FV893" i="1"/>
  <c r="FV894" i="1" s="1"/>
  <c r="FV890" i="1"/>
  <c r="AZ984" i="1"/>
  <c r="DX893" i="1"/>
  <c r="DX894" i="1" s="1"/>
  <c r="DX932" i="1"/>
  <c r="DX933" i="1" s="1"/>
  <c r="DX890" i="1"/>
  <c r="KP932" i="1"/>
  <c r="KP933" i="1" s="1"/>
  <c r="KP890" i="1"/>
  <c r="KY932" i="1"/>
  <c r="KY933" i="1" s="1"/>
  <c r="KY890" i="1"/>
  <c r="AF987" i="1"/>
  <c r="AQ986" i="1"/>
  <c r="CB932" i="1"/>
  <c r="CB933" i="1" s="1"/>
  <c r="CB893" i="1"/>
  <c r="CB894" i="1" s="1"/>
  <c r="CB890" i="1"/>
  <c r="LN942" i="1" l="1"/>
  <c r="LV942" i="1"/>
  <c r="MF942" i="1"/>
  <c r="ME942" i="1"/>
  <c r="MC942" i="1"/>
  <c r="MK942" i="1"/>
  <c r="MH942" i="1"/>
  <c r="MJ942" i="1"/>
  <c r="MG942" i="1"/>
  <c r="LS942" i="1"/>
  <c r="LY942" i="1"/>
  <c r="LL942" i="1"/>
  <c r="KA942" i="1"/>
  <c r="KA959" i="1" s="1"/>
  <c r="KA958" i="1" s="1"/>
  <c r="KF942" i="1"/>
  <c r="KF959" i="1" s="1"/>
  <c r="KF958" i="1" s="1"/>
  <c r="KP942" i="1"/>
  <c r="KP959" i="1" s="1"/>
  <c r="KP958" i="1" s="1"/>
  <c r="KT942" i="1"/>
  <c r="KT959" i="1" s="1"/>
  <c r="KT958" i="1" s="1"/>
  <c r="KB942" i="1"/>
  <c r="KB959" i="1" s="1"/>
  <c r="KB958" i="1" s="1"/>
  <c r="KI942" i="1"/>
  <c r="KI959" i="1" s="1"/>
  <c r="KI958" i="1" s="1"/>
  <c r="KK942" i="1"/>
  <c r="KK959" i="1" s="1"/>
  <c r="KK958" i="1" s="1"/>
  <c r="KM942" i="1"/>
  <c r="KM959" i="1" s="1"/>
  <c r="KM958" i="1" s="1"/>
  <c r="KX942" i="1"/>
  <c r="KX959" i="1" s="1"/>
  <c r="KX958" i="1" s="1"/>
  <c r="KZ942" i="1"/>
  <c r="KZ959" i="1" s="1"/>
  <c r="KZ958" i="1" s="1"/>
  <c r="KV942" i="1"/>
  <c r="KV959" i="1" s="1"/>
  <c r="KV958" i="1" s="1"/>
  <c r="KR942" i="1"/>
  <c r="KR959" i="1" s="1"/>
  <c r="KR958" i="1" s="1"/>
  <c r="KU942" i="1"/>
  <c r="KU959" i="1" s="1"/>
  <c r="KU958" i="1" s="1"/>
  <c r="KS942" i="1"/>
  <c r="KS959" i="1" s="1"/>
  <c r="KS958" i="1" s="1"/>
  <c r="KH942" i="1"/>
  <c r="KH959" i="1" s="1"/>
  <c r="KH958" i="1" s="1"/>
  <c r="KE942" i="1"/>
  <c r="KE959" i="1" s="1"/>
  <c r="KE958" i="1" s="1"/>
  <c r="KQ942" i="1"/>
  <c r="KQ959" i="1" s="1"/>
  <c r="KQ958" i="1" s="1"/>
  <c r="KC942" i="1"/>
  <c r="KC959" i="1" s="1"/>
  <c r="KC958" i="1" s="1"/>
  <c r="KW942" i="1"/>
  <c r="KW959" i="1" s="1"/>
  <c r="KW958" i="1" s="1"/>
  <c r="KL942" i="1"/>
  <c r="KL959" i="1" s="1"/>
  <c r="KL958" i="1" s="1"/>
  <c r="KY942" i="1"/>
  <c r="KY959" i="1" s="1"/>
  <c r="KY958" i="1" s="1"/>
  <c r="KG942" i="1"/>
  <c r="KG959" i="1" s="1"/>
  <c r="KG958" i="1" s="1"/>
  <c r="KO942" i="1"/>
  <c r="KO959" i="1" s="1"/>
  <c r="KO958" i="1" s="1"/>
  <c r="LA942" i="1"/>
  <c r="LA959" i="1" s="1"/>
  <c r="LA958" i="1" s="1"/>
  <c r="KD942" i="1"/>
  <c r="KD959" i="1" s="1"/>
  <c r="KD958" i="1" s="1"/>
  <c r="KJ942" i="1"/>
  <c r="KJ959" i="1" s="1"/>
  <c r="KJ958" i="1" s="1"/>
  <c r="KN942" i="1"/>
  <c r="KN959" i="1" s="1"/>
  <c r="KN958" i="1" s="1"/>
</calcChain>
</file>

<file path=xl/sharedStrings.xml><?xml version="1.0" encoding="utf-8"?>
<sst xmlns="http://schemas.openxmlformats.org/spreadsheetml/2006/main" count="7548" uniqueCount="541">
  <si>
    <t>Sources</t>
  </si>
  <si>
    <t>Intro</t>
  </si>
  <si>
    <t>Rénovation des bâtiments tertiaires</t>
  </si>
  <si>
    <t>Dernière modif.</t>
  </si>
  <si>
    <t>Historique</t>
  </si>
  <si>
    <t>SNBC</t>
  </si>
  <si>
    <t>S0</t>
  </si>
  <si>
    <t>S1</t>
  </si>
  <si>
    <t>S2</t>
  </si>
  <si>
    <t>S3</t>
  </si>
  <si>
    <t>S4</t>
  </si>
  <si>
    <t>AME 2023</t>
  </si>
  <si>
    <t>AMS 2023</t>
  </si>
  <si>
    <t>PE 2023</t>
  </si>
  <si>
    <t>Contenu</t>
  </si>
  <si>
    <t>Les travaux d'entretien-amélioration et de rénovation des bâtiments tertiaires.</t>
  </si>
  <si>
    <t>Sommaire</t>
  </si>
  <si>
    <t>Définitions</t>
  </si>
  <si>
    <t>Parc de bâtiments</t>
  </si>
  <si>
    <t>Consommation d'énergie</t>
  </si>
  <si>
    <t>Nombre de rénovations</t>
  </si>
  <si>
    <t>Le dispositif éco-énergie tertiaire (DEET) et les rénovations basse consommation (BBC)</t>
  </si>
  <si>
    <t>Les autres rénovations</t>
  </si>
  <si>
    <t>Coûts</t>
  </si>
  <si>
    <t>Investissements</t>
  </si>
  <si>
    <t>retour</t>
  </si>
  <si>
    <t>Parc tertiaire</t>
  </si>
  <si>
    <t xml:space="preserve">Les bâtiments tertiaires font partie des bâtiments non-résidentiels et hébergent les activités économiques du secteur tertiaire (par opposition aux locaux agricoles et industriels). </t>
  </si>
  <si>
    <t xml:space="preserve">Les surfaces chauffées de ces bâtiments sont recensées par le CEREN qui les regroupe en huit branches. </t>
  </si>
  <si>
    <t>Les consommations énergétiques du tertiaire comprennent non seulement les consommations des bâtiments, mais aussi de l'éclairage public, des armées, des grands centres de recherche, des télécommunications, du secteur de l'eau ou encore des data centers.</t>
  </si>
  <si>
    <t xml:space="preserve">Toutes ces consommations "hors bâtiment" ne sont pas étudiées ici. </t>
  </si>
  <si>
    <t>Travaux de rénovation énergétique</t>
  </si>
  <si>
    <t>Différentes études retiennent des périmètres légèrement différents pour caractériser les coûts de rénovation énergétique</t>
  </si>
  <si>
    <t>Ministère de la Transition Ecologique et Solidaire et Ministère de la Cohésion des Territoires, « Calcul des niveaux optimaux en fonction des coûts des exigences minimales en matière de performance énergétique », pp.26-27</t>
  </si>
  <si>
    <t>Les coûts d’investissement initiaux recouvrent tous les coûts supportés jusqu’à la livraison (...) de l’élément de bâtiment, prêt à l’emploi. (...) tous les coûts des éléments qui n’ont pas d’incidence sur [la performance énergétique] ont été omis (…).</t>
  </si>
  <si>
    <t>rénovation il a cependant été choisi d’intégrer les coûts suivants : échafaudages, ensemble des déposes (systèmes ou isolation préexistante, le cas échéant) finitions « minimales » (par exemple : (…) enduit sur ITE)</t>
  </si>
  <si>
    <t>Observatoire BBC, « Guide méthodologique : comment analyser les coûts associés à la rénovation énergétique ? »</t>
  </si>
  <si>
    <t>Les travaux de rénovation énergétique regroupent les lots « Enveloppe – Rénovation Energétique » et « Equipements – Rénovation Energétique »</t>
  </si>
  <si>
    <t>Enveloppe – Rénovation Energétique</t>
  </si>
  <si>
    <t>o Murs extérieurs</t>
  </si>
  <si>
    <t>o Plancher bas</t>
  </si>
  <si>
    <t>o Toiture</t>
  </si>
  <si>
    <t>o Ouvrants</t>
  </si>
  <si>
    <t>o Protections solaires</t>
  </si>
  <si>
    <t>Equipements – Rénovation Energétique</t>
  </si>
  <si>
    <t>o Solution combinée de Chauffage et ECS</t>
  </si>
  <si>
    <t>o Chauffage</t>
  </si>
  <si>
    <t>o Emetteurs</t>
  </si>
  <si>
    <t>o Régulation</t>
  </si>
  <si>
    <t>o ECS</t>
  </si>
  <si>
    <t>o ECS Solaire</t>
  </si>
  <si>
    <t>o Ventilation</t>
  </si>
  <si>
    <t>o Refroidissement</t>
  </si>
  <si>
    <t>o Eclairage</t>
  </si>
  <si>
    <t>o Production locale d’électricité</t>
  </si>
  <si>
    <t>"(...) ces travaux prennent ainsi en compte : l’isolation des murs, l’isolation des planchers bas, l’isolation des toitures, le remplacement des menuiseries extérieures et des occultations,</t>
  </si>
  <si>
    <t xml:space="preserve">l’étanchéité à l’air de l’enveloppe, la fourniture et la pose des système de ventilation, le changement des systèmes de chauffage et de production d’ECS, le calorifugeage des réseaux de chauffage et d’ECS, </t>
  </si>
  <si>
    <t>les modifications des systèmes de régulations centrales et terminales</t>
  </si>
  <si>
    <r>
      <t xml:space="preserve">et </t>
    </r>
    <r>
      <rPr>
        <u/>
        <sz val="11"/>
        <color rgb="FF0B4EA2"/>
        <rFont val="Arial"/>
        <family val="2"/>
      </rPr>
      <t>l’ensemble des travaux induits</t>
    </r>
    <r>
      <rPr>
        <sz val="11"/>
        <color rgb="FF0B4EA2"/>
        <rFont val="Arial"/>
        <family val="2"/>
        <scheme val="minor"/>
      </rPr>
      <t>, dont la définition est régie par le taux réduit à 5,5% de la taxe sur la valeur ajoutée (TVA) et dont les grands principes sont détaillés dans le chapitre suivant."</t>
    </r>
  </si>
  <si>
    <t>European Commission, « Guidelines Accompanying Commission Delegated Regulation (EU) No 244/2012 ».</t>
  </si>
  <si>
    <t>[LIEN]</t>
  </si>
  <si>
    <t>Dans ses recommandations accompagnant la directive de 2012 sur la performance énergétique des bâtiments, la Commission Européenne fournit (p.6)une liste indicative d'équipements liés à la performance énergétique.</t>
  </si>
  <si>
    <r>
      <t xml:space="preserve">Les dépenses listées peuvent concerner la </t>
    </r>
    <r>
      <rPr>
        <i/>
        <sz val="11"/>
        <color theme="3"/>
        <rFont val="Arial"/>
        <family val="2"/>
        <scheme val="minor"/>
      </rPr>
      <t>structure</t>
    </r>
    <r>
      <rPr>
        <sz val="11"/>
        <color theme="3"/>
        <rFont val="Arial"/>
        <family val="2"/>
        <scheme val="minor"/>
      </rPr>
      <t xml:space="preserve"> (ou </t>
    </r>
    <r>
      <rPr>
        <i/>
        <sz val="11"/>
        <color theme="3"/>
        <rFont val="Arial"/>
        <family val="2"/>
        <scheme val="minor"/>
      </rPr>
      <t>enveloppe</t>
    </r>
    <r>
      <rPr>
        <sz val="11"/>
        <color theme="3"/>
        <rFont val="Arial"/>
        <family val="2"/>
        <scheme val="minor"/>
      </rPr>
      <t xml:space="preserve">) du bâtiment (isolation des murs, des toitures…), ou les </t>
    </r>
    <r>
      <rPr>
        <i/>
        <sz val="11"/>
        <color theme="3"/>
        <rFont val="Arial"/>
        <family val="2"/>
        <scheme val="minor"/>
      </rPr>
      <t>systèmes</t>
    </r>
    <r>
      <rPr>
        <sz val="11"/>
        <color theme="3"/>
        <rFont val="Arial"/>
        <family val="2"/>
        <scheme val="minor"/>
      </rPr>
      <t xml:space="preserve"> (chauffage, eau chaude sanitaire, ventilateurs, calorifugeage des conduites, etc.)</t>
    </r>
  </si>
  <si>
    <t xml:space="preserve">Cependant, nous ne sommes pas en mesure de déterminer si toutes les sources exploitées dans ce document se réfèrent au même périmètre de travaux. </t>
  </si>
  <si>
    <t>Rénovation énergétique et investissements favorables au climat</t>
  </si>
  <si>
    <t xml:space="preserve">Au sein des investissements historiques du secteur, les dépenses d'installation de systèmes de chauffage gaz et fioul, qui sont classés comme investissements fossiles. </t>
  </si>
  <si>
    <t xml:space="preserve">Faute d'une représentation aussi détaillée des travaux, dans cet onglet prospectif, tous les travaux anticipés sont considérés favorables au climat. On considère que les ventes de chaudières gaz et fioul sont négligeables dans les totaux simulés. </t>
  </si>
  <si>
    <t>Les autres travaux de rénovation et le coût des opérations</t>
  </si>
  <si>
    <r>
      <t xml:space="preserve">Les données de référence de l'Observatoire BBC font apparaitre une distinciton importante entre le </t>
    </r>
    <r>
      <rPr>
        <u/>
        <sz val="11"/>
        <color theme="3"/>
        <rFont val="Arial"/>
        <family val="2"/>
      </rPr>
      <t>coût des rénovations énergétiques</t>
    </r>
    <r>
      <rPr>
        <sz val="11"/>
        <color theme="3"/>
        <rFont val="Arial"/>
        <family val="2"/>
        <scheme val="minor"/>
      </rPr>
      <t xml:space="preserve">, le coût des </t>
    </r>
    <r>
      <rPr>
        <u/>
        <sz val="11"/>
        <color theme="3"/>
        <rFont val="Arial"/>
        <family val="2"/>
        <scheme val="minor"/>
      </rPr>
      <t>autres travaux de rénovation</t>
    </r>
    <r>
      <rPr>
        <sz val="11"/>
        <color theme="3"/>
        <rFont val="Arial"/>
        <family val="2"/>
        <scheme val="minor"/>
      </rPr>
      <t xml:space="preserve"> et le </t>
    </r>
    <r>
      <rPr>
        <u/>
        <sz val="11"/>
        <color theme="3"/>
        <rFont val="Arial"/>
        <family val="2"/>
        <scheme val="minor"/>
      </rPr>
      <t>coût total des opérations</t>
    </r>
    <r>
      <rPr>
        <sz val="11"/>
        <color theme="3"/>
        <rFont val="Arial"/>
        <family val="2"/>
        <scheme val="minor"/>
      </rPr>
      <t xml:space="preserve">. </t>
    </r>
  </si>
  <si>
    <r>
      <t xml:space="preserve">Le </t>
    </r>
    <r>
      <rPr>
        <u/>
        <sz val="11"/>
        <color theme="3"/>
        <rFont val="Arial"/>
        <family val="2"/>
      </rPr>
      <t>coût des travaux énergétiques</t>
    </r>
    <r>
      <rPr>
        <sz val="11"/>
        <color theme="3"/>
        <rFont val="Arial"/>
        <family val="2"/>
        <scheme val="minor"/>
      </rPr>
      <t xml:space="preserve"> est décrit ci-dessus, le champ exact varie peu d'une étude à l'autre</t>
    </r>
  </si>
  <si>
    <r>
      <t xml:space="preserve">Les </t>
    </r>
    <r>
      <rPr>
        <u/>
        <sz val="11"/>
        <color theme="3"/>
        <rFont val="Arial"/>
        <family val="2"/>
      </rPr>
      <t>autres travaux de rénovation</t>
    </r>
    <r>
      <rPr>
        <sz val="11"/>
        <color theme="3"/>
        <rFont val="Arial"/>
        <family val="2"/>
        <scheme val="minor"/>
      </rPr>
      <t xml:space="preserve"> comprennent la démolition, le nettoyage, les échafaudages, le gros œuvre, l'étanchéité, la plomberie, la peinture, les ascenseurs… liste non exhautive (voir source Observatoire BBC op. cit., pp.56)</t>
    </r>
  </si>
  <si>
    <r>
      <t xml:space="preserve">Le </t>
    </r>
    <r>
      <rPr>
        <u/>
        <sz val="11"/>
        <color theme="3"/>
        <rFont val="Arial"/>
        <family val="2"/>
      </rPr>
      <t>coût complet des opérations comprend</t>
    </r>
    <r>
      <rPr>
        <sz val="11"/>
        <color theme="3"/>
        <rFont val="Arial"/>
        <family val="2"/>
        <scheme val="minor"/>
      </rPr>
      <t>, outre les travaux de rénovation ci-dessus, le coût du foncier, de la MOE et de l'assistance à MOA, l'ingénierie, les labels et frais de concours, l'instrumentation, l'aménagement et le poste VRD, les frais et taxes, ainsi que les frais  pour imprévus</t>
    </r>
  </si>
  <si>
    <t>Input ADEME</t>
  </si>
  <si>
    <t>Zone input</t>
  </si>
  <si>
    <t>Secteurs CEREN - Surface chauffée [thousand sq m]</t>
  </si>
  <si>
    <t>Secteur</t>
  </si>
  <si>
    <t>Bureaux</t>
  </si>
  <si>
    <t>Cafés-hôtels-restaurants</t>
  </si>
  <si>
    <t>Commerce</t>
  </si>
  <si>
    <t>Enseignement-recherche</t>
  </si>
  <si>
    <t>Habitat communautaire</t>
  </si>
  <si>
    <t>Santé</t>
  </si>
  <si>
    <t>Sport, Loisirs, Culture</t>
  </si>
  <si>
    <t>Transport</t>
  </si>
  <si>
    <t>TOTAL</t>
  </si>
  <si>
    <t>Secteurs CEREN - Surface chauffée construites après 2015 [thousand sq m]</t>
  </si>
  <si>
    <t>Proportion du parc suivant la trajectoire "Décret tertiaire"</t>
  </si>
  <si>
    <t>Secteurs CEREN - Consommation d'énergie  [GWh LHV]</t>
  </si>
  <si>
    <t>&lt;</t>
  </si>
  <si>
    <t>Secteurs CEREN - Consommation par usage [GWh LHV]</t>
  </si>
  <si>
    <t>Usage</t>
  </si>
  <si>
    <t>Chauffage</t>
  </si>
  <si>
    <t>Autres usages thermiques</t>
  </si>
  <si>
    <t>Eau chaude</t>
  </si>
  <si>
    <t>Cuisson</t>
  </si>
  <si>
    <t>Spécifique</t>
  </si>
  <si>
    <t>Climatisation</t>
  </si>
  <si>
    <t>Total</t>
  </si>
  <si>
    <t>Source: tableur SB_VIVALDI _Run5</t>
  </si>
  <si>
    <t>Surfaces chauffées</t>
  </si>
  <si>
    <t>HISTO</t>
  </si>
  <si>
    <t>(unité)</t>
  </si>
  <si>
    <t>(détail)</t>
  </si>
  <si>
    <t>(milliers m²)</t>
  </si>
  <si>
    <t>A</t>
  </si>
  <si>
    <t>"</t>
  </si>
  <si>
    <t>Ensemble</t>
  </si>
  <si>
    <t>A [Historique]</t>
  </si>
  <si>
    <t>Rétrospective ADEME pour la période 2015-2020</t>
  </si>
  <si>
    <t>A [SNBC]</t>
  </si>
  <si>
    <t>Source: DGEC</t>
  </si>
  <si>
    <t>A [ADEME]</t>
  </si>
  <si>
    <t>Source: ADEME, Transitions 2050, modèle VIVALDI</t>
  </si>
  <si>
    <t>A [AME et AMS]</t>
  </si>
  <si>
    <t>Tableur "RUN1 Hypothèses Bâtiments AME AMS 2023 v2", onglet "Construction et parc tertiaire", tableau "Surfaces de parc - AME 2023"</t>
  </si>
  <si>
    <t>Remarque : dans l'AMS 2023, les surfaces chauffés de bureaux diminuent de 0,4%/an en raison de la diffusion du télétravail.</t>
  </si>
  <si>
    <t>A [Planification]</t>
  </si>
  <si>
    <t>Pas de données disponibles</t>
  </si>
  <si>
    <t>Dynamique parc total</t>
  </si>
  <si>
    <t>Dynamique du parc, par branche</t>
  </si>
  <si>
    <t>Scénario :</t>
  </si>
  <si>
    <t>2020-2050</t>
  </si>
  <si>
    <t>Scénario</t>
  </si>
  <si>
    <t>(%)</t>
  </si>
  <si>
    <t>Branche</t>
  </si>
  <si>
    <t>Planification</t>
  </si>
  <si>
    <t>Surfaces chauffées du parc ancien*, par branche</t>
  </si>
  <si>
    <r>
      <t xml:space="preserve">*dans les scénarios SNBC de 2020 et ADEME, ce sont les bâtiments construits </t>
    </r>
    <r>
      <rPr>
        <u/>
        <sz val="11"/>
        <color theme="1"/>
        <rFont val="Arial"/>
        <family val="2"/>
        <scheme val="minor"/>
      </rPr>
      <t>avant 2015</t>
    </r>
    <r>
      <rPr>
        <sz val="11"/>
        <color theme="1"/>
        <rFont val="Arial"/>
        <family val="2"/>
        <scheme val="minor"/>
      </rPr>
      <t xml:space="preserve">. Dans l'AME, l'AMS et la planification écologique, ce sont les bâtiments construits </t>
    </r>
    <r>
      <rPr>
        <u/>
        <sz val="8.8000000000000007"/>
        <color theme="1"/>
        <rFont val="Arial"/>
        <family val="2"/>
      </rPr>
      <t>avant 2020</t>
    </r>
    <r>
      <rPr>
        <sz val="11"/>
        <color theme="1"/>
        <rFont val="Arial"/>
        <family val="2"/>
        <scheme val="minor"/>
      </rPr>
      <t>.</t>
    </r>
  </si>
  <si>
    <t>Source ?</t>
  </si>
  <si>
    <t>Tableur "RUN1 Hypothèses Bâtiments AME AMS 2023 v2", onglet "Construction et parc tertiaire"</t>
  </si>
  <si>
    <t>Calculs I4CE à partir des tableaux O47 et O59 "sorties de parc"</t>
  </si>
  <si>
    <t>Remarque : en AMS, la dynamique du parc de bureaux comprend la conversion en logements.</t>
  </si>
  <si>
    <t>Idem AMS 2023, en attente de confirmation</t>
  </si>
  <si>
    <r>
      <t xml:space="preserve">Evolution des surfaces chauffées du </t>
    </r>
    <r>
      <rPr>
        <b/>
        <u/>
        <sz val="11"/>
        <color theme="1"/>
        <rFont val="Arial"/>
        <family val="2"/>
      </rPr>
      <t>parc ancien</t>
    </r>
    <r>
      <rPr>
        <b/>
        <sz val="11"/>
        <color theme="1"/>
        <rFont val="Arial"/>
        <family val="2"/>
        <scheme val="minor"/>
      </rPr>
      <t>, par scénario</t>
    </r>
  </si>
  <si>
    <r>
      <t xml:space="preserve">Dynamique du parc </t>
    </r>
    <r>
      <rPr>
        <b/>
        <u/>
        <sz val="11"/>
        <color theme="1"/>
        <rFont val="Arial"/>
        <family val="2"/>
      </rPr>
      <t>ancien</t>
    </r>
    <r>
      <rPr>
        <b/>
        <sz val="11"/>
        <color theme="1"/>
        <rFont val="Arial"/>
        <family val="2"/>
        <scheme val="minor"/>
      </rPr>
      <t>, par branche</t>
    </r>
  </si>
  <si>
    <r>
      <t xml:space="preserve">Consommation d'énergie pour le </t>
    </r>
    <r>
      <rPr>
        <b/>
        <u/>
        <sz val="11"/>
        <color theme="1"/>
        <rFont val="Arial"/>
        <family val="2"/>
      </rPr>
      <t>chauffage</t>
    </r>
  </si>
  <si>
    <t>Consommation totale</t>
  </si>
  <si>
    <t>(GWh)</t>
  </si>
  <si>
    <t>Consommation unitaire</t>
  </si>
  <si>
    <t>(kWh/m²)</t>
  </si>
  <si>
    <t>bâtiments neufs (approx.)</t>
  </si>
  <si>
    <t>B</t>
  </si>
  <si>
    <t>bâtiments anciens</t>
  </si>
  <si>
    <t>Direction Générale de l’Energie et du Climat, « Synthèse du scénario de référence de la stratégie française pour l’énergie et le climat (février 2019) », p.12 "Consommation d'énergie par usage dans le résidentiel et le tertiaire".</t>
  </si>
  <si>
    <t>Source: ADEME, Service bâtiments</t>
  </si>
  <si>
    <t>A [AME]</t>
  </si>
  <si>
    <t>Tableur : Tertiaire chauffage Résultats_AME_2023_v3</t>
  </si>
  <si>
    <t>Onglet "Consommation par usage"</t>
  </si>
  <si>
    <t>A [AMS]</t>
  </si>
  <si>
    <t>Tableur : "Résulats_AMS_2023_V4"</t>
  </si>
  <si>
    <t>Onglet "Conso_usage_energie", ligne 12</t>
  </si>
  <si>
    <t xml:space="preserve">Projection approximative des consommations d'énergie des bâtiments neufs, pour mieux identifier la baisse des consommations d'énergie dans les bâtiments anciens. </t>
  </si>
  <si>
    <t>Consommation de chauffage par m², en énergie finale, tout tertiaire</t>
  </si>
  <si>
    <t>kWh / m² dans tous les scénarios en 2020</t>
  </si>
  <si>
    <r>
      <t>consommation en kWh</t>
    </r>
    <r>
      <rPr>
        <vertAlign val="subscript"/>
        <sz val="11"/>
        <color theme="1"/>
        <rFont val="Arial"/>
        <family val="2"/>
        <scheme val="minor"/>
      </rPr>
      <t>ef</t>
    </r>
    <r>
      <rPr>
        <sz val="11"/>
        <color theme="1"/>
        <rFont val="Arial"/>
        <family val="2"/>
        <scheme val="minor"/>
      </rPr>
      <t xml:space="preserve"> par m²</t>
    </r>
  </si>
  <si>
    <t>consommation relative à 2020</t>
  </si>
  <si>
    <t xml:space="preserve">Lecture : de 2020 à 2050, les consommations d'énergie pour le chauffage passent de 100 à 49 kWh/m² dans la SNBC, soit une baisse de 52%. </t>
  </si>
  <si>
    <t xml:space="preserve">43% de cette baisse est réalisée dès 2030 et 70% dès 2040 (100% à 2050). </t>
  </si>
  <si>
    <t>Les travaux contribuent à 34% de la baisse à 2030, le reste de la baisse s'explique par une meilleure maitrise du besoin de chauffage (ex: régulation) et des changements de comportement.</t>
  </si>
  <si>
    <t>Consommation unitaire d'énergie, bâtiments tertiaires construits avant 2015</t>
  </si>
  <si>
    <t>kWh / m²</t>
  </si>
  <si>
    <t>Ancienne méthode : surfaces rénovées et coûts unitaires</t>
  </si>
  <si>
    <t>L'ancienne méthode s'applique à la SNBC de 2020 et aux scénarios de l'ADEME.</t>
  </si>
  <si>
    <t>Surfaces rénovées</t>
  </si>
  <si>
    <t>Dans chaque scénario, on distingue deux catégories de travaux énergétiques : les rénovations légères, et les rénovations lourdes.</t>
  </si>
  <si>
    <t>D'un scénario à l'autre, la nature exacte de ces deux niveaux varie, reflétant les classements et les hypothèses de modèles différents. De manière générale :</t>
  </si>
  <si>
    <t xml:space="preserve">Les rénovations légères portent plutôt sur un élément du bâtiment à la fois, généralement les ouvertures et les systèmes de chauffage. Elles sont motivées lorsque ces équipements arrivent en fin de vie. </t>
  </si>
  <si>
    <t xml:space="preserve">La performance énergétique n'est généralement pas un objectif de ces travaux, mais elle peut être embarquée par contrainte ou par opportunisme si le scénario l'envisage. </t>
  </si>
  <si>
    <t>Il peut aussi s'agir de travaux permettant une meilleure gestion de la consommation d'énergie (mesure, pilotage, régulation...)</t>
  </si>
  <si>
    <t>.</t>
  </si>
  <si>
    <t>Les rénovations lourdes portent sur plusieurs éléments du bâti de façon coordonnée, et sont motivées par la recherche de performance énergétique.</t>
  </si>
  <si>
    <t>Il s'agit généralement de rénovations globales, mais selon le scénario et la classe de bâtiments, elle ne traite pas toujours tous les postes.</t>
  </si>
  <si>
    <t xml:space="preserve">Il peut s'agir de travaux menés avant la fin de vie technique des équipements actuellement en place. </t>
  </si>
  <si>
    <t xml:space="preserve">Ces classements sont une simplification, les travaux plus poussés suggèrent qu'il existe tout une gamme de travaux susceptibles d'être réalisés en fonction de la branche, du contexte économique et réglementaire. </t>
  </si>
  <si>
    <t>Par défaut, on considère que toutes les surfaces conduisent au moins une rénovation légère d'ici 2050.</t>
  </si>
  <si>
    <t>Par simplification, on considère que ces travaux sont exclusifs les uns des autres, de même que les bâtiments détruits ou reconvertis en fin de période ne réalisent pas de rénovation entre temps.</t>
  </si>
  <si>
    <t>Les rénovations lourdes</t>
  </si>
  <si>
    <t>Les bâtiments soumis au dispositif éco-énergie tertiaire</t>
  </si>
  <si>
    <t>Dans les scénarios de l'ADEME, les propriétaires de bâtiments soumis au dispositif éco-énergie tertiaire entreprennent prioritairement des rénovations lourdes.</t>
  </si>
  <si>
    <t xml:space="preserve">A la suite de la loi ELAN, le décret tertiaire, aussi appelé dispositif éco-énergie tertiaire (DEET), fixe des objectifs de réduction de consommation d’énergie pour les bâtiments d’une surface de plus de 1 000 m². </t>
  </si>
  <si>
    <t>Le seuil établi à 1 000 m² permet de couvrir 68% du parc tertiaire (DHUP, 2019).</t>
  </si>
  <si>
    <t>Le propriétaire (ou parfois l’occupant) des bâtiments concernés doivent viser une réduction de consommation énergétique du bâtiment de 40% en 2030, de 50% en 2040, et de 60% en 2050 par rapport à 2010, ou bien de viser une consommation énergétique en-deçà d’un certain seuil selon l’activité tertiaire.</t>
  </si>
  <si>
    <r>
      <t xml:space="preserve">On suppose que les propriétaires concernés par le dispositif privilégient des </t>
    </r>
    <r>
      <rPr>
        <u/>
        <sz val="11"/>
        <color theme="9" tint="-0.249977111117893"/>
        <rFont val="Arial"/>
        <family val="2"/>
        <scheme val="minor"/>
      </rPr>
      <t>rénovations globales</t>
    </r>
    <r>
      <rPr>
        <sz val="11"/>
        <color theme="9" tint="-0.249977111117893"/>
        <rFont val="Arial"/>
        <family val="2"/>
        <scheme val="minor"/>
      </rPr>
      <t>, car pour un niveau de performance élevé celles-ci sont réputées moins coûteuses qu'une succession d'opérations ponctuelles.</t>
    </r>
  </si>
  <si>
    <t xml:space="preserve">Les propriétaires qui possèdent plusieurs bâtiments vont étaler ces rénovations globales dans le temps de manière à ce que leur parc atteigne les objectifs du DEET. </t>
  </si>
  <si>
    <r>
      <t xml:space="preserve">On suppose que les propriétaires des bâtiments soumis au DEET entreprennent des </t>
    </r>
    <r>
      <rPr>
        <u/>
        <sz val="11"/>
        <color theme="9" tint="-0.249977111117893"/>
        <rFont val="Arial"/>
        <family val="2"/>
        <scheme val="minor"/>
      </rPr>
      <t>rénovations "basse consommation"</t>
    </r>
    <r>
      <rPr>
        <sz val="11"/>
        <color theme="9" tint="-0.249977111117893"/>
        <rFont val="Arial"/>
        <family val="2"/>
        <scheme val="minor"/>
      </rPr>
      <t>.</t>
    </r>
  </si>
  <si>
    <t xml:space="preserve">En effet, ces rénovations permettent de réduire les consommations de l'ordre de 50 à 70%, alors que l'objectif sur 30 ans du DEET est de réduire les consommations de 60%. </t>
  </si>
  <si>
    <t>Certains documents suggèrent que les rénovations BBC sont plus performantes que ce que requiert le DEET. C'est le cas des hypothèses retenues par l'étude du CGDD "Scénarios de rénovation énergétique des bâtiments tertiaires - Quelles solutions pour quels coûts à l’horizon 2050 ? " (2020)</t>
  </si>
  <si>
    <t>Dans cette étude, le tableau 5 p.32 indique que pour des gestes "BBC", les gains de besoin unitaire sont plutôt de l'ordre de 70 à 80.</t>
  </si>
  <si>
    <t xml:space="preserve">Mais dans des exemples tirés d'opérations réelles, les bâtiments BBC réduisent plutôt les consommations de 50 à 70%, et nous retiendrons ce repère de performance pour la suite des travaux. </t>
  </si>
  <si>
    <t>Exemples: Région Auvergne-Rhône-Alpes, « Fiches projet rénovation énergétique ».</t>
  </si>
  <si>
    <t>Rénovations lourdes : part du parc rénové</t>
  </si>
  <si>
    <r>
      <t xml:space="preserve">Dans la synthèse du scénario de référence, le rythme de rénovation envisagé pour le secteur tertiaire est de </t>
    </r>
    <r>
      <rPr>
        <b/>
        <sz val="11"/>
        <color theme="3"/>
        <rFont val="Arial"/>
        <family val="2"/>
        <scheme val="minor"/>
      </rPr>
      <t>3% par an en moyenne entre 2015 et 2050</t>
    </r>
    <r>
      <rPr>
        <sz val="11"/>
        <color theme="3"/>
        <rFont val="Arial"/>
        <family val="2"/>
        <scheme val="minor"/>
      </rPr>
      <t xml:space="preserve">. </t>
    </r>
  </si>
  <si>
    <t xml:space="preserve">Cette moyenne est modulée à 2030 et 2040 (voir ci-dessous). </t>
  </si>
  <si>
    <t>On considère qu'à 2050, 95% des bâtiments tertiaires ont fait l'objet d'une rénovation ambitieuse.</t>
  </si>
  <si>
    <t xml:space="preserve">La PPE précise p.34 qu'en cas de développement économique accéléré par rapport aux hypothèses centrales, des rénovations supplémentaires de l'ordre de 1,5% du parc d'ici 2028 devront être envisagées. </t>
  </si>
  <si>
    <t>(ce scénario "haut" n'a pas été retenu ici)</t>
  </si>
  <si>
    <t xml:space="preserve">parts 2050 d'après ADEME, Service bâtiments, et narratifs ci-dessous : </t>
  </si>
  <si>
    <t>"une baisse de la consommation des branches CEREN (- 19 % entre 2015 et 2050 pour les consommations hors chaleur EnR), qui traduit principalement la rénovation énergétique du bâti" (Transitions 2050, p.116)</t>
  </si>
  <si>
    <t>"En 2050, 80 % des locaux tertiaires existants en 2015 (soit 561 millions m2 chauffés) sont rénovés à hauteur des objectifs du Dispositif (Réduction de 60 % des consommations d’énergie finale par rapport à 2010)" (idem, p.118)</t>
  </si>
  <si>
    <t>"les bâtiments de moins de 1 000m², non assujettis au Dispositif Éco Énergie tertiaire, engagent des travaux également"</t>
  </si>
  <si>
    <t>"Les objectifs du Dispositif Éco Énergie tertiaire sont atteints, l’ensemble des surfaces assujetties s’engageant sur la trajectoire du Décret (- 60 % de consommation d’énergie finale en 2050 par rapport à 2010)." (idem, p.127)</t>
  </si>
  <si>
    <t>"L’efficacité énergétique est également présente via
une amélioration du rendement des équipements"</t>
  </si>
  <si>
    <t>"Dans le tertiaire, la rénovation énergétique du parc s’accélère pour suivre et atteindre les objectifs du Dispositif Éco Énergie Tertiaire. En 2050, 72 % des locaux tertiaires présents en 2015 (soit 595 millions m2 de surfaces chauffées) ont fait l’objet d’une rénovation ambitieuse (réduction de 60 % des consommations d’énergie finale par rapport à 2010)." (p.135)</t>
  </si>
  <si>
    <t>La rénovation énergétique du parc tertiaire s’accélère sous l’effet du Dispositif Éco Énergie Tertiaire, sans toutefois en atteindre les objectifs. (idem, p.143)</t>
  </si>
  <si>
    <t>Part du parc tertiaire d'avant 2015 rénové au niveau BBC</t>
  </si>
  <si>
    <t>(% du parc 2050)</t>
  </si>
  <si>
    <t>Rénovations BBC annuelles</t>
  </si>
  <si>
    <t>I4CE, Panorama des financements climat, d'après Observatoire BBC</t>
  </si>
  <si>
    <t>A [SNBC et ADEME]</t>
  </si>
  <si>
    <t xml:space="preserve">On considère que le % de bâtiments rénovés s'applique au stock de bâtiments de 2050. En effet, les bâtiments qui sont détruits entre 2020 et 2050 ne font, a priori, pas l'objet d'une rénovation globale. </t>
  </si>
  <si>
    <t>Les autres rénovations énergétiques</t>
  </si>
  <si>
    <t>Remplacement de systèmes</t>
  </si>
  <si>
    <t>Environ 3% du parc par an, d'après Coda Stratégies</t>
  </si>
  <si>
    <t>A [Prospective]</t>
  </si>
  <si>
    <t>A 2050, tous les bâtiments qui n'ont pas fait l'objet d'une rénovation lourde auront remplacé au moins une fois leur système de chauffage.</t>
  </si>
  <si>
    <t>Les travaux d'isolation légère</t>
  </si>
  <si>
    <t>Environ 1% du parc par an, d'après Coda Stratégies</t>
  </si>
  <si>
    <t>A 2050, 1/3 des bâtiments qui n'ont pas fait l'objet d'une rénovation lourde auront réalisé des travaux d'isolation légère</t>
  </si>
  <si>
    <t>Coût des rénovations "basse consommation"</t>
  </si>
  <si>
    <t>(€ HT / m²)</t>
  </si>
  <si>
    <t>Ces coûts unitaires moyens pour les bâtiments rénovés au niveau BBC sont tirés de l'étude "Scénarios de rénovation énergétique des bâtiments tertiaires - Quelles solutions pour quels coûts à l’horizon 2050 ?" (CGDD, 2020), plus précisément du tableau 5 p.32.</t>
  </si>
  <si>
    <t>L'étude relève que "Les amplitudes observées sur les gains et coûts sont le fait des bâtiments très différents composant le parc tertiaire, tant en terme de morphologie (petit restaurant rapide/hôpital) qu’en terme de paramètres d’occupation (foyer/gymnase"</t>
  </si>
  <si>
    <t>Source concordante : Observatoire BBC, « Etude sur les bâtiments rénovés à basse consommation » (2019)</t>
  </si>
  <si>
    <t>p.51 : sur 62 projets étudiés, le montant moyen des travaux de rénovation énergétique est de 469€ HT/m² SRT, et représente 43% du montant des travaux de rénovation hors VRD</t>
  </si>
  <si>
    <t>Contrairement au CGDD, l'Observatoire BBC conclut que "la rénovation énergétique des bâtiments d’enseignements, et plus principalement des groupes scolaires primaires, semble plus couteuse avec un ratio proche de 540 € HT/m²"</t>
  </si>
  <si>
    <t xml:space="preserve">Les dépenses se répartissent à hauteur de 61% pour l'enveloppe et 31% pour les systèmes. </t>
  </si>
  <si>
    <t>Coût moyen des rénovations "basse consommation"</t>
  </si>
  <si>
    <t>Coût des autres rénovations</t>
  </si>
  <si>
    <t>Travaux énergétiques</t>
  </si>
  <si>
    <t>Remplacement systèmes</t>
  </si>
  <si>
    <t>Isolation légère</t>
  </si>
  <si>
    <t>Nouvelle méthode : panel de 100 bâtiments</t>
  </si>
  <si>
    <t>La nouvelle méthode s'applique à la SNBC de 2020, à l'AMS 2023 et au scénario tiré des annonces de la planification écologique</t>
  </si>
  <si>
    <t>Nous établissons un panel de 100 bâtiments dont les caractéristiques initiales sont représentatives du parc actuel.</t>
  </si>
  <si>
    <t>Le panel subit des transformations pilotées manuellement, de façon à coïncider avec les paramètres techniques des scénarios simulés.</t>
  </si>
  <si>
    <t>Le panel calcule les dépenses réalisées dans les bâtiments en fonction des orientations techniques aux échéances 2030 et 2050</t>
  </si>
  <si>
    <t>Panel de 100 bâtiments : simulation</t>
  </si>
  <si>
    <t>Etat initial</t>
  </si>
  <si>
    <t>conserver l'AME 2023 pour l'évaluation macroéco.</t>
  </si>
  <si>
    <t>Travaux</t>
  </si>
  <si>
    <t>années</t>
  </si>
  <si>
    <t>Conso.</t>
  </si>
  <si>
    <t>Taille</t>
  </si>
  <si>
    <t>Propriétaire</t>
  </si>
  <si>
    <t>Enveloppe</t>
  </si>
  <si>
    <t>Système</t>
  </si>
  <si>
    <t>Chauffage
(TWh EF)</t>
  </si>
  <si>
    <t>Enveloppe
(mio €)</t>
  </si>
  <si>
    <t>Systèmes
(mio €)</t>
  </si>
  <si>
    <t>Systèmes changés</t>
  </si>
  <si>
    <t>Surface panel</t>
  </si>
  <si>
    <t>milliers de m²</t>
  </si>
  <si>
    <t>Surface parc (2020)</t>
  </si>
  <si>
    <t>BUREAUX</t>
  </si>
  <si>
    <t>ETAT</t>
  </si>
  <si>
    <t>ANCIEN</t>
  </si>
  <si>
    <t>GAZ</t>
  </si>
  <si>
    <t>COMPLETE</t>
  </si>
  <si>
    <t>URBAIN</t>
  </si>
  <si>
    <t>Echelle</t>
  </si>
  <si>
    <t>ELEC-J</t>
  </si>
  <si>
    <t>ELEC-PAC</t>
  </si>
  <si>
    <t>SIMPLE</t>
  </si>
  <si>
    <t>CT</t>
  </si>
  <si>
    <t>MOYENNE</t>
  </si>
  <si>
    <t>PRIVE</t>
  </si>
  <si>
    <t>RECENT</t>
  </si>
  <si>
    <t>FIOUL</t>
  </si>
  <si>
    <t>CAHOR</t>
  </si>
  <si>
    <t>COMMERCE</t>
  </si>
  <si>
    <t>BOIS</t>
  </si>
  <si>
    <t>ENSEIGN</t>
  </si>
  <si>
    <t>HABITAT</t>
  </si>
  <si>
    <t>SANTE</t>
  </si>
  <si>
    <t>SPORT</t>
  </si>
  <si>
    <t>TRANSPORT</t>
  </si>
  <si>
    <t>m²</t>
  </si>
  <si>
    <t>TWh</t>
  </si>
  <si>
    <t>*</t>
  </si>
  <si>
    <t>Panel de 100 bâtiments : réanalyse</t>
  </si>
  <si>
    <t>Surfaces</t>
  </si>
  <si>
    <t>Propriétaires</t>
  </si>
  <si>
    <t>Etat</t>
  </si>
  <si>
    <t>Collectivités</t>
  </si>
  <si>
    <t>Privés</t>
  </si>
  <si>
    <t>Ancien</t>
  </si>
  <si>
    <t>Récent</t>
  </si>
  <si>
    <t>Rénovation simple</t>
  </si>
  <si>
    <t>Rénovation moyenne</t>
  </si>
  <si>
    <t>Rénovation complète</t>
  </si>
  <si>
    <r>
      <t xml:space="preserve">Surfaces bâtiments </t>
    </r>
    <r>
      <rPr>
        <u/>
        <sz val="11"/>
        <color theme="1"/>
        <rFont val="Arial"/>
        <family val="2"/>
        <scheme val="minor"/>
      </rPr>
      <t>CT</t>
    </r>
    <r>
      <rPr>
        <sz val="11"/>
        <color theme="1"/>
        <rFont val="Arial"/>
        <family val="2"/>
        <scheme val="minor"/>
      </rPr>
      <t xml:space="preserve"> rénovés après 2020</t>
    </r>
  </si>
  <si>
    <t>Rénovations</t>
  </si>
  <si>
    <t>(milliers m²/an)</t>
  </si>
  <si>
    <t>Part des bâtiments &gt;1000m² rénovés après 2020 (%)</t>
  </si>
  <si>
    <t>Part des bâtiments 500 à 1000m² rénovés après 2020 (%)</t>
  </si>
  <si>
    <r>
      <t xml:space="preserve">Part des bâtiments &gt;1000m² rénovés </t>
    </r>
    <r>
      <rPr>
        <u/>
        <sz val="9.35"/>
        <color theme="1"/>
        <rFont val="Arial"/>
        <family val="2"/>
      </rPr>
      <t>BBC</t>
    </r>
    <r>
      <rPr>
        <sz val="11"/>
        <color theme="1"/>
        <rFont val="Arial"/>
        <family val="2"/>
        <scheme val="minor"/>
      </rPr>
      <t xml:space="preserve"> après 2020 (%)</t>
    </r>
  </si>
  <si>
    <r>
      <t xml:space="preserve">Part des bâtiments </t>
    </r>
    <r>
      <rPr>
        <u/>
        <sz val="11"/>
        <color theme="1"/>
        <rFont val="Arial"/>
        <family val="2"/>
        <scheme val="minor"/>
      </rPr>
      <t>publics</t>
    </r>
    <r>
      <rPr>
        <sz val="11"/>
        <color theme="1"/>
        <rFont val="Arial"/>
        <family val="2"/>
        <scheme val="minor"/>
      </rPr>
      <t xml:space="preserve"> &gt;1000m² rénovés </t>
    </r>
    <r>
      <rPr>
        <u/>
        <sz val="9.35"/>
        <color theme="1"/>
        <rFont val="Arial"/>
        <family val="2"/>
      </rPr>
      <t>BBC</t>
    </r>
    <r>
      <rPr>
        <sz val="11"/>
        <color theme="1"/>
        <rFont val="Arial"/>
        <family val="2"/>
        <scheme val="minor"/>
      </rPr>
      <t xml:space="preserve"> après 2020 (%)</t>
    </r>
  </si>
  <si>
    <t>Systèmes</t>
  </si>
  <si>
    <t>Gaz</t>
  </si>
  <si>
    <t>Fioul</t>
  </si>
  <si>
    <t>Electricité joule</t>
  </si>
  <si>
    <t>Electricité PAC</t>
  </si>
  <si>
    <t>Urbain</t>
  </si>
  <si>
    <t>Bois</t>
  </si>
  <si>
    <t>Comparaison :</t>
  </si>
  <si>
    <t>Consommation de chauffage</t>
  </si>
  <si>
    <t>sorties AMS Vivaldi</t>
  </si>
  <si>
    <t>écart</t>
  </si>
  <si>
    <t>(TWh)</t>
  </si>
  <si>
    <t>Electricité</t>
  </si>
  <si>
    <t>ELEC*</t>
  </si>
  <si>
    <t>17,5 J / 3 PAC</t>
  </si>
  <si>
    <t>15,3 J / 3,7 PAC</t>
  </si>
  <si>
    <t>10 J / 9,4 PAC</t>
  </si>
  <si>
    <t>7,1 J / 17,8 PAC</t>
  </si>
  <si>
    <t>relativement à 2020</t>
  </si>
  <si>
    <t>Panel</t>
  </si>
  <si>
    <t>Cible CGDD</t>
  </si>
  <si>
    <t>dans les bâtiments de plus de 1000m², relativement à 2020</t>
  </si>
  <si>
    <t>Investissements annuels</t>
  </si>
  <si>
    <t>(mio €)</t>
  </si>
  <si>
    <t>dont rénovation simple</t>
  </si>
  <si>
    <t>dont rénovation moyenne</t>
  </si>
  <si>
    <t>dont rénovation complète</t>
  </si>
  <si>
    <t>dont entretien ancien</t>
  </si>
  <si>
    <t>dont entretien récent</t>
  </si>
  <si>
    <t>dont gaz</t>
  </si>
  <si>
    <t>dont fioul</t>
  </si>
  <si>
    <t>dont électricité joule</t>
  </si>
  <si>
    <t>dont électricité PAC</t>
  </si>
  <si>
    <t>dont chauffage urbain</t>
  </si>
  <si>
    <t>dont chauffage bois</t>
  </si>
  <si>
    <r>
      <rPr>
        <sz val="11"/>
        <color theme="1"/>
        <rFont val="Calibri"/>
        <family val="2"/>
      </rPr>
      <t>—</t>
    </r>
    <r>
      <rPr>
        <sz val="11"/>
        <color theme="1"/>
        <rFont val="Arial"/>
        <family val="2"/>
        <scheme val="minor"/>
      </rPr>
      <t>dont Entretien</t>
    </r>
  </si>
  <si>
    <t xml:space="preserve"> En 2030</t>
  </si>
  <si>
    <t>AMS run 2</t>
  </si>
  <si>
    <t>Surfaces raccordées RC (onglet RCU)</t>
  </si>
  <si>
    <t>(pas le même point de départ, 71 000 AMS, 63 000 modèle)</t>
  </si>
  <si>
    <t>Part de la surface assujettie qui applique le DT</t>
  </si>
  <si>
    <t>92% (2050?)</t>
  </si>
  <si>
    <t>(pas le même horizon de temps ni indicateur)</t>
  </si>
  <si>
    <t>Gain énergétique des asujettis qui respectent DT (// 2019)</t>
  </si>
  <si>
    <t>(25% atteignent déjà, 25% vont réduire de 33% de 2019 à 2030, et 50% vont réduire de 45% pour un total de 36% en 2030 par rapport à 2019)</t>
  </si>
  <si>
    <t>Parc public (% rénové BBC)</t>
  </si>
  <si>
    <t>(3% du parc rénové chaque année au niveau BBC, soit 21% du parc de 2024 à 2030)</t>
  </si>
  <si>
    <t>Surfaces 500 à 1000 m2 (% rénové)</t>
  </si>
  <si>
    <t>(rénovation de même dynamique que surfaces assujetties)</t>
  </si>
  <si>
    <t>Fin du nouveau fioul</t>
  </si>
  <si>
    <t>?</t>
  </si>
  <si>
    <t>(fin du fioul en 2030)</t>
  </si>
  <si>
    <t>Fin du nouveau gaz</t>
  </si>
  <si>
    <t>(comparé à environ 500 000 milliers de m² chauffés au gaz aujourd'hui, forte limitation des installations à partir de 2027)</t>
  </si>
  <si>
    <t>Notre modélisation de la transformation du parc de bâtiments tertiaires repose principalement sur des rénovations basse consommation des bâtiments publics avec changement des systèmes de chauffage, des rénovations des grands bâtiments privés qui suivent la tendance des bâtiments publics, et des changements de systèmes de chauffage sans isolation dans des bâtiments publics et privés.</t>
  </si>
  <si>
    <t>L'objectif de la modélisation est de retranscrire la transformation des bâtiments tertiaires en termes d'isolation et de changement de système de chauffage, afin d'atteindre les cibles de bâtiments rénovés et de consommation énergétique de l'AMS 2023, à 2030 et 2050.</t>
  </si>
  <si>
    <t>Pour cela nous appliquons des opérations d'isolation et de changement de système au panel de 100 bâtiments, en suivant certaines conventions :</t>
  </si>
  <si>
    <t xml:space="preserve">Les grands bâtiments et les bâtiments publics font des rénovations plus profondes (BBC) en une fois, que les bâtiments petits et privés. </t>
  </si>
  <si>
    <t>Les grands bâtiments et les bâtiments publics sont plus facilement raccordés aux réseaux de chaleur.</t>
  </si>
  <si>
    <t>Les branches bureaux, enseignement, santé sont plus fréquemment dans des villes et donc plus suceptibles d'être raccordés au gaz, aux réseaux de chaleur, mais pas au bois et au fioul.</t>
  </si>
  <si>
    <t xml:space="preserve">Les branches, commerce, sport-loisirs, habitat communautaire et transports sont plus fréquemment ruraux, chauffés au fioul et au bois, rarement candidats pour le chauffage urbain. </t>
  </si>
  <si>
    <t xml:space="preserve">Les PAC remplacent facilement le gaz et le fioul en combinaison avec l'isolation simple (toitures + PAC air/eau) dans les bâtiments anciens (passoires). </t>
  </si>
  <si>
    <t>Les PAC air/air remplacement facilement le chauffage joule</t>
  </si>
  <si>
    <t>Nous contrôlons la modélisation en comparant différents indicateurs issus de l'AMS 2023 run 2, dont notamment la part des bâtiments publics rénovés et les consommations énergétiques par type d'énergie.</t>
  </si>
  <si>
    <t>Note : dynamiques ignorées</t>
  </si>
  <si>
    <t>- pas de destructions dans le modèle</t>
  </si>
  <si>
    <t>- pas de reconversion dans le modèle</t>
  </si>
  <si>
    <t>Rénovations énergétiques</t>
  </si>
  <si>
    <t>Investissements dans les rénovations énergétiques du parc tertiaire</t>
  </si>
  <si>
    <t>Par branche</t>
  </si>
  <si>
    <t>(millions d'euros)</t>
  </si>
  <si>
    <t>Par type de travaux</t>
  </si>
  <si>
    <t>BBC</t>
  </si>
  <si>
    <t>Investissements dans les rénovations énergétiques du parc tertiaire (courbe lissée)</t>
  </si>
  <si>
    <t>Investissements d'entretien</t>
  </si>
  <si>
    <t>Distribution des rénovations</t>
  </si>
  <si>
    <t>Investissements de rénovation</t>
  </si>
  <si>
    <t>2024-2030</t>
  </si>
  <si>
    <t>2031-2050</t>
  </si>
  <si>
    <t>Autre entretien-amélioration, dont travaux connexes</t>
  </si>
  <si>
    <t>Les travaux connexes sont des travaux qui ont lieu en même temps et dans les mêmes bâtiments que les travaux de rénovation énergétique.</t>
  </si>
  <si>
    <t>Il s'agit :</t>
  </si>
  <si>
    <t>pour partie, de travaux induits par la rénovation énergétique, mais au-delà du périmètre généralement compris dans la rénovation énergétique des travaux induits au sens de la TVA à 5,5%</t>
  </si>
  <si>
    <t>pour partie, de travaux concomittants mais non causés par la rénovation énergétique</t>
  </si>
  <si>
    <t xml:space="preserve">Parce qu'on ne distingue pas aisément ces deux ensembles de travaux, il est difficile de déterminer la dynamique prospective des travaux connexes, surtout lorsque de nombreux projets de rénovation énergétique sont engagés rapidement. </t>
  </si>
  <si>
    <t>Investissements dans le parc tertiaire (historique)</t>
  </si>
  <si>
    <t>&gt;/BAT/€TER_RENO/TER_CLI</t>
  </si>
  <si>
    <t>FPL.ok 23.10.13 12:01</t>
  </si>
  <si>
    <t>Rénovation énergétique, favorable au climat</t>
  </si>
  <si>
    <t>(mio € courants)</t>
  </si>
  <si>
    <t>&gt;/BAT/€TER_RENO/TER_FOS</t>
  </si>
  <si>
    <t>Rénovation énergétique, chaudières gaz et fioul</t>
  </si>
  <si>
    <t>&gt;/BAT/€TER_RENO/TER_ATR</t>
  </si>
  <si>
    <t>Autres entretien-amélioration</t>
  </si>
  <si>
    <t>Deux méthodes sont envisagées pour décrire les travaux connexes</t>
  </si>
  <si>
    <t>Travaux connexes : hypothèses et variantes</t>
  </si>
  <si>
    <t>(mio € 2022)</t>
  </si>
  <si>
    <t>Travaux connexes</t>
  </si>
  <si>
    <t>méthode retenue</t>
  </si>
  <si>
    <t>Ratio 2022 constant</t>
  </si>
  <si>
    <t>X</t>
  </si>
  <si>
    <t>Volume 2022 constant</t>
  </si>
  <si>
    <t>Ecart méthodes</t>
  </si>
  <si>
    <t>Coût unitaire des opérations de rénovation énergétique</t>
  </si>
  <si>
    <t>(€ /m²)</t>
  </si>
  <si>
    <t>Autres travaux</t>
  </si>
  <si>
    <r>
      <t xml:space="preserve">Une </t>
    </r>
    <r>
      <rPr>
        <b/>
        <sz val="11"/>
        <color rgb="FF0B4EA2"/>
        <rFont val="Arial"/>
        <family val="2"/>
      </rPr>
      <t>première méthode</t>
    </r>
    <r>
      <rPr>
        <sz val="11"/>
        <color rgb="FF0B4EA2"/>
        <rFont val="Arial"/>
        <family val="2"/>
        <scheme val="minor"/>
      </rPr>
      <t xml:space="preserve"> consiste à attribuer un ratio constant entre les travaux énergétiques et les travaux connexes. </t>
    </r>
  </si>
  <si>
    <t>On peut se baser sur un ratio documenté par l'observatoire BBC pour la rénovation des bâtiments tertiaires : "Sur 62 projets étudiés, le montant moyen des travaux de rénovation énergétique est de 469€ HT/m² SRT, et représente 43% du montant des travaux de rénovation hors VRD"</t>
  </si>
  <si>
    <t>On déduit, pour une rénovation moyenne, les ordres de grandeur suivants</t>
  </si>
  <si>
    <t>Et le ratio travaux connexes / énergétiques serait de :</t>
  </si>
  <si>
    <t xml:space="preserve">Cette méthode est retenue dans le chiffrage de la mission sur les incidences économiques de l'action climat (pour le segment des bâtiments publics) et pour projeter les besoins budgétaires de rénovation des bâtiments publics par le SGPE. </t>
  </si>
  <si>
    <r>
      <t xml:space="preserve">Une </t>
    </r>
    <r>
      <rPr>
        <b/>
        <sz val="11"/>
        <color rgb="FF0B4EA2"/>
        <rFont val="Arial"/>
        <family val="2"/>
      </rPr>
      <t>seconde méthode</t>
    </r>
    <r>
      <rPr>
        <sz val="11"/>
        <color rgb="FF0B4EA2"/>
        <rFont val="Arial"/>
        <family val="2"/>
        <scheme val="minor"/>
      </rPr>
      <t xml:space="preserve"> considère que ces travaux sont constants en volume à leur niveau de 2022. </t>
    </r>
  </si>
  <si>
    <t>Il s'agit de supposer que ces travaux ont leur propre dynamique de déclenchement, indépendante des rénovations énergétiques. Si davantage de rénovations énergétiques sont entreprises, c'est le ratio de travaux connexes par m² qui baisse.</t>
  </si>
  <si>
    <t xml:space="preserve">C'est une manière de traduire une autre définition de ces travaux connexes comme ayant lieu "de toute façon" (avec ou sans dynamique de la rénovation énergétique). </t>
  </si>
  <si>
    <t xml:space="preserve">Ces deux méthodes balisent un champ d'incertitude, en ce qu'elles constituent des hypothèses hautes et basses de la dynamique des travaux connexes. </t>
  </si>
  <si>
    <t xml:space="preserve">Les autres travaux sont stables à leur niveau de 2022 dans toutes les projections. </t>
  </si>
  <si>
    <t>Synthèse</t>
  </si>
  <si>
    <t>Index des coûts de la construction</t>
  </si>
  <si>
    <t>Indice en euros courants</t>
  </si>
  <si>
    <t>(base 2011)</t>
  </si>
  <si>
    <t>Indice en euros constants 2022</t>
  </si>
  <si>
    <t>D'après l'onglet axIndices</t>
  </si>
  <si>
    <t>B [Prospective]</t>
  </si>
  <si>
    <t>Nous retenons l'hypothèse d'une hausse annuelle de 1% de l'indice des coûts de la construction.</t>
  </si>
  <si>
    <t>Synthèse investissements bâtiments tertiaires</t>
  </si>
  <si>
    <t>Travaux non-énergétiques</t>
  </si>
  <si>
    <t>Répartition au prorata des investissements sur l'échantillon de 100 bâtiments</t>
  </si>
  <si>
    <t>Ventilation des travaux énergétiques du parc tertiaire par type d'acteur à partir de l'échantillon de bâtiments</t>
  </si>
  <si>
    <t>Besoins d'investissements dans la rénovation énergétique des bâtiments de l'Etat selon le SGPE</t>
  </si>
  <si>
    <t>Tous travaux</t>
  </si>
  <si>
    <t>Part rénovation énergétique</t>
  </si>
  <si>
    <t>Secrétariat général à la planification écologique, « La planification écologique dans les bâtiments », juin 2023, p.42</t>
  </si>
  <si>
    <t>Après entretien avec le CEREMA, nous avons la confirmation que le montant a été calculé sur le total des travaux de rénovation énergétique</t>
  </si>
  <si>
    <t>Ils donnent un ordre de grandeur d'un euro de travaux purement énergétiques sur 3 euros de travaux de rénovation globale.</t>
  </si>
  <si>
    <t>Nous gardons cet ordre de grandeur pour les travaux de rénovation des bâtiments de l'Etat</t>
  </si>
  <si>
    <t>Série retenue : ventilation des travaux énergétiques du parc tertiaire par type d'acteur</t>
  </si>
  <si>
    <t>Nous gardons la chronique du SGPE pour les travaux dans le parc de l'Etat</t>
  </si>
  <si>
    <t>Nous gardons l'estimation des besoins pour les collectivités à partir de l'échantillon</t>
  </si>
  <si>
    <t>Nous en déduisons le montant restant pour les entreprises.</t>
  </si>
  <si>
    <t>Scénarios de rénovation tertiaire</t>
  </si>
  <si>
    <t>Commissariat Général au Développement Durable et al., « Scénarios de rénovation énergétique des bâtiments tertiaires - Quelles solutions pour quels coûts à l’horizon 2050 ? »</t>
  </si>
  <si>
    <t>Aperçu des résultats</t>
  </si>
  <si>
    <t>Nom</t>
  </si>
  <si>
    <t>P0</t>
  </si>
  <si>
    <t>REF</t>
  </si>
  <si>
    <t>AME</t>
  </si>
  <si>
    <t>AMSDec0</t>
  </si>
  <si>
    <t>Couverture</t>
  </si>
  <si>
    <t>parc existant</t>
  </si>
  <si>
    <t>parc total</t>
  </si>
  <si>
    <t>Année</t>
  </si>
  <si>
    <t>p.71</t>
  </si>
  <si>
    <t>Conso. unitaire moy. (kWhEF/m² par an)</t>
  </si>
  <si>
    <t>idem</t>
  </si>
  <si>
    <t>Besoin unitaire moy. (kWhEF/m² par an)</t>
  </si>
  <si>
    <t>gain sur besoin moyen (% 2019)</t>
  </si>
  <si>
    <t>Rendement moyen</t>
  </si>
  <si>
    <t>p.69</t>
  </si>
  <si>
    <t>Consommations en énergie primaire (kWhEP/m² par an)</t>
  </si>
  <si>
    <t>n.d.</t>
  </si>
  <si>
    <t xml:space="preserve">Corrections pour séparer les effets de la construction neuve et des rénovations. </t>
  </si>
  <si>
    <t>Dynamiques de construction</t>
  </si>
  <si>
    <t>Surfaces construites (en mm²)</t>
  </si>
  <si>
    <t>en 2010</t>
  </si>
  <si>
    <t>en 2020</t>
  </si>
  <si>
    <t>en 2030</t>
  </si>
  <si>
    <t>en 2040</t>
  </si>
  <si>
    <t>en 2050</t>
  </si>
  <si>
    <t>Scénarios REF &amp; AME</t>
  </si>
  <si>
    <t>Scénarios AMS</t>
  </si>
  <si>
    <t>source: op. cit. pp.54-55, tableaux 13 et 14</t>
  </si>
  <si>
    <t>Dynamiques de construction, par période</t>
  </si>
  <si>
    <t>2010-2020</t>
  </si>
  <si>
    <t>2021-2030</t>
  </si>
  <si>
    <t>2031-2040</t>
  </si>
  <si>
    <t>2041-2050</t>
  </si>
  <si>
    <t>Ancien : 818 millions de m²</t>
  </si>
  <si>
    <t>Besoins unitaires des bâtiments neufs pour le chauffage, scénarios REF et AME</t>
  </si>
  <si>
    <t>Parc existant</t>
  </si>
  <si>
    <t>Parc total</t>
  </si>
  <si>
    <t>Parc neuf</t>
  </si>
  <si>
    <t>Nombre de logements</t>
  </si>
  <si>
    <t>Besoins unitaires des bâtiments neufs pour le chauffage</t>
  </si>
  <si>
    <t>(en kWhEF/m² par an)</t>
  </si>
  <si>
    <t>source: op. cit. p.55, Pour les scénarios AMS, (…), l’hypothèse retenue est de faire baisser les besoins unitaires des bâtiments entrants progressivement entre 2020 et 2050.</t>
  </si>
  <si>
    <t>Besoins unitaires des bâtiments neufs pour le chauffage, scénarios AMS</t>
  </si>
  <si>
    <t>Coûts unitaires rénovations tertiaires</t>
  </si>
  <si>
    <t>Agence de l’Environnement et de la Maîtrise de l’Energie, « Retours d’expérience : 12 projets de rénovation énergétique de bâtiments tertiaires en Auvergne Rhône-Alpes ».</t>
  </si>
  <si>
    <t>Région Auvergne-Rhône-Alpes, « Fiches projet rénovation énergétique », 2017</t>
  </si>
  <si>
    <t>Consommation (GWh)</t>
  </si>
  <si>
    <t>Surface</t>
  </si>
  <si>
    <t>Coût des travaux</t>
  </si>
  <si>
    <t>Avant travaux</t>
  </si>
  <si>
    <t>Après travaux</t>
  </si>
  <si>
    <t>Gain</t>
  </si>
  <si>
    <t>dont conception - réalisation</t>
  </si>
  <si>
    <t>dont EE</t>
  </si>
  <si>
    <t>total / m²</t>
  </si>
  <si>
    <t>EE / m²</t>
  </si>
  <si>
    <t>École des Vennes à Bourg-en-Bresse</t>
  </si>
  <si>
    <t>Groupe scolaire Baudin à Bourg-en-Bresse (01)</t>
  </si>
  <si>
    <t>(…)</t>
  </si>
  <si>
    <t>Paramétrage panel 100</t>
  </si>
  <si>
    <t>Besoins de chauffage enveloppe kWh/m² par an</t>
  </si>
  <si>
    <t>Rendements</t>
  </si>
  <si>
    <t>Coût des travaux énergétiques</t>
  </si>
  <si>
    <t>Enveloppe initiale</t>
  </si>
  <si>
    <t>Enveloppe finale</t>
  </si>
  <si>
    <t>Coût €/m²</t>
  </si>
  <si>
    <t>Travaux d'entretien</t>
  </si>
  <si>
    <t>Coût €/m²/an</t>
  </si>
  <si>
    <t>Systèmes de chauffage</t>
  </si>
  <si>
    <t>Comparaison modèle-runs AMS</t>
  </si>
  <si>
    <t>Run 2</t>
  </si>
  <si>
    <t>Modèle 2023-24</t>
  </si>
  <si>
    <t>Modèle 2025</t>
  </si>
  <si>
    <t xml:space="preserve">Dans le run 3, nous visons, par rapport au run 2 : </t>
  </si>
  <si>
    <t>AMS 2018</t>
  </si>
  <si>
    <t>ADEME Tend.</t>
  </si>
  <si>
    <t>ADEME S1</t>
  </si>
  <si>
    <t>ADEME S2</t>
  </si>
  <si>
    <t>ADEME S3</t>
  </si>
  <si>
    <t>ADEME S4</t>
  </si>
  <si>
    <t>AMS2 2023</t>
  </si>
  <si>
    <t>AMS run 2 2023</t>
  </si>
  <si>
    <t>AMS run 3 2025</t>
  </si>
  <si>
    <t>Sorties modèle run 2</t>
  </si>
  <si>
    <t>Sorties modèle run 3</t>
  </si>
  <si>
    <t>—dont Joule</t>
  </si>
  <si>
    <t>—dont PAC</t>
  </si>
  <si>
    <t>AMS3 2025</t>
  </si>
  <si>
    <t>Evolution de consommation de chauffage 2020-30</t>
  </si>
  <si>
    <t>Evolution de consommation de chauffage 2020-50</t>
  </si>
  <si>
    <t xml:space="preserve">- Les isolations sans changement de système deviennent isolation simple + PAC </t>
  </si>
  <si>
    <t xml:space="preserve">- Quelques bâtiments qui restaient gaz ou fioul en 2030 basculent vers PAC sans isolation. </t>
  </si>
  <si>
    <t>- Moins de rénovations globales avant 2030, elles auront lieu davantage après 2030</t>
  </si>
  <si>
    <t>Modèle 2025a</t>
  </si>
  <si>
    <t>Modèle 2025b</t>
  </si>
  <si>
    <t>Run 3b</t>
  </si>
  <si>
    <t>Run 3a</t>
  </si>
  <si>
    <t xml:space="preserve"> </t>
  </si>
  <si>
    <t>Evolution de consommation de chauffage 2020-40</t>
  </si>
  <si>
    <r>
      <t xml:space="preserve">AMS 2023 run 2 - investissements totaux par période dans les rénovations des enveloppes et les changements de systèmes (en millions d'euros), </t>
    </r>
    <r>
      <rPr>
        <u/>
        <sz val="11"/>
        <color rgb="FF0B4EA2"/>
        <rFont val="Arial"/>
        <family val="2"/>
        <scheme val="minor"/>
      </rPr>
      <t>hors investissements d'entretien</t>
    </r>
    <r>
      <rPr>
        <sz val="11"/>
        <color rgb="FF0B4EA2"/>
        <rFont val="Arial"/>
        <family val="2"/>
        <scheme val="minor"/>
      </rPr>
      <t xml:space="preserve"> :</t>
    </r>
  </si>
  <si>
    <r>
      <t xml:space="preserve">AMS 2023 run 3 - investissements totaux par période dans les rénovations des enveloppes et les changements de systèmes (en millions d'euros) </t>
    </r>
    <r>
      <rPr>
        <u/>
        <sz val="11"/>
        <color rgb="FF009B00"/>
        <rFont val="Arial"/>
        <family val="2"/>
        <scheme val="minor"/>
      </rPr>
      <t xml:space="preserve">hors investissements d'entretien </t>
    </r>
    <r>
      <rPr>
        <sz val="11"/>
        <color rgb="FF009B00"/>
        <rFont val="Arial"/>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</si>
</sst>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
    <numFmt numFmtId="165" formatCode="0.0"/>
    <numFmt numFmtId="166" formatCode="0E+00"/>
    <numFmt numFmtId="167" formatCode="#,##0.0"/>
    <numFmt numFmtId="168" formatCode="_-* #,##0_-;\-* #,##0_-;_-* &quot;-&quot;??_-;_-@_-"/>
    <numFmt numFmtId="169" formatCode="#,##0.00&quot;    &quot;;#,##0.00&quot;    &quot;;&quot;-&quot;#&quot;    &quot;;@&quot; &quot;"/>
    <numFmt numFmtId="170" formatCode="0\ %"/>
  </numFmts>
  <fonts count="47" x14ac:knownFonts="1">
    <font>
      <sz val="11"/>
      <color theme="1"/>
      <name val="Arial"/>
      <family val="2"/>
      <scheme val="minor"/>
    </font>
    <font>
      <sz val="11"/>
      <color theme="1"/>
      <name val="Arial"/>
      <family val="2"/>
      <scheme val="minor"/>
    </font>
    <font>
      <b/>
      <sz val="11"/>
      <color theme="3"/>
      <name val="Arial"/>
      <family val="2"/>
      <scheme val="minor"/>
    </font>
    <font>
      <b/>
      <sz val="11"/>
      <color theme="1"/>
      <name val="Arial"/>
      <family val="2"/>
      <scheme val="minor"/>
    </font>
    <font>
      <u/>
      <sz val="11"/>
      <color theme="10"/>
      <name val="Arial"/>
      <family val="2"/>
      <scheme val="minor"/>
    </font>
    <font>
      <b/>
      <sz val="16"/>
      <color theme="1"/>
      <name val="Arial"/>
      <family val="2"/>
      <scheme val="minor"/>
    </font>
    <font>
      <sz val="11"/>
      <color theme="3"/>
      <name val="Arial"/>
      <family val="2"/>
      <scheme val="minor"/>
    </font>
    <font>
      <sz val="11"/>
      <color theme="2" tint="-0.499984740745262"/>
      <name val="Arial"/>
      <family val="2"/>
      <scheme val="minor"/>
    </font>
    <font>
      <sz val="11"/>
      <color theme="6"/>
      <name val="Arial"/>
      <family val="2"/>
      <scheme val="minor"/>
    </font>
    <font>
      <sz val="11"/>
      <color rgb="FF0B4EA2"/>
      <name val="Arial"/>
      <family val="2"/>
      <scheme val="minor"/>
    </font>
    <font>
      <b/>
      <sz val="12"/>
      <color theme="1"/>
      <name val="Arial"/>
      <family val="2"/>
      <scheme val="minor"/>
    </font>
    <font>
      <b/>
      <u/>
      <sz val="11"/>
      <color rgb="FF0B4EA2"/>
      <name val="Arial"/>
      <family val="2"/>
      <scheme val="minor"/>
    </font>
    <font>
      <u/>
      <sz val="11"/>
      <color rgb="FF0B4EA2"/>
      <name val="Arial"/>
      <family val="2"/>
    </font>
    <font>
      <i/>
      <sz val="11"/>
      <color theme="3"/>
      <name val="Arial"/>
      <family val="2"/>
      <scheme val="minor"/>
    </font>
    <font>
      <u/>
      <sz val="11"/>
      <color theme="3"/>
      <name val="Arial"/>
      <family val="2"/>
    </font>
    <font>
      <u/>
      <sz val="11"/>
      <color theme="3"/>
      <name val="Arial"/>
      <family val="2"/>
      <scheme val="minor"/>
    </font>
    <font>
      <b/>
      <sz val="8"/>
      <color rgb="FFFFFFFF"/>
      <name val="Calibri"/>
      <family val="2"/>
    </font>
    <font>
      <b/>
      <sz val="8"/>
      <color rgb="FF000000"/>
      <name val="Calibri"/>
      <family val="2"/>
    </font>
    <font>
      <sz val="8"/>
      <color rgb="FF000000"/>
      <name val="Calibri"/>
      <family val="2"/>
    </font>
    <font>
      <b/>
      <sz val="8"/>
      <name val="Calibri"/>
      <family val="2"/>
    </font>
    <font>
      <sz val="8"/>
      <name val="Calibri"/>
      <family val="2"/>
    </font>
    <font>
      <sz val="11"/>
      <name val="Arial"/>
      <family val="2"/>
      <scheme val="minor"/>
    </font>
    <font>
      <u/>
      <sz val="11"/>
      <color theme="1"/>
      <name val="Arial"/>
      <family val="2"/>
      <scheme val="minor"/>
    </font>
    <font>
      <u/>
      <sz val="8.8000000000000007"/>
      <color theme="1"/>
      <name val="Arial"/>
      <family val="2"/>
    </font>
    <font>
      <b/>
      <u/>
      <sz val="11"/>
      <color theme="1"/>
      <name val="Arial"/>
      <family val="2"/>
    </font>
    <font>
      <vertAlign val="subscript"/>
      <sz val="11"/>
      <color theme="1"/>
      <name val="Arial"/>
      <family val="2"/>
      <scheme val="minor"/>
    </font>
    <font>
      <sz val="9"/>
      <color theme="1"/>
      <name val="Arial"/>
      <family val="2"/>
      <scheme val="minor"/>
    </font>
    <font>
      <b/>
      <sz val="14"/>
      <color theme="1"/>
      <name val="Arial"/>
      <family val="2"/>
      <scheme val="minor"/>
    </font>
    <font>
      <sz val="11"/>
      <color theme="9" tint="-0.249977111117893"/>
      <name val="Arial"/>
      <family val="2"/>
      <scheme val="minor"/>
    </font>
    <font>
      <u/>
      <sz val="11"/>
      <color theme="9" tint="-0.249977111117893"/>
      <name val="Arial"/>
      <family val="2"/>
      <scheme val="minor"/>
    </font>
    <font>
      <u/>
      <sz val="9.35"/>
      <color theme="1"/>
      <name val="Arial"/>
      <family val="2"/>
    </font>
    <font>
      <i/>
      <sz val="11"/>
      <color theme="1"/>
      <name val="Arial"/>
      <family val="2"/>
      <scheme val="minor"/>
    </font>
    <font>
      <sz val="11"/>
      <color theme="1"/>
      <name val="Calibri"/>
      <family val="2"/>
    </font>
    <font>
      <b/>
      <sz val="11"/>
      <color rgb="FF0B4EA2"/>
      <name val="Arial"/>
      <family val="2"/>
    </font>
    <font>
      <sz val="11"/>
      <color indexed="8"/>
      <name val="Arial"/>
      <family val="2"/>
      <scheme val="minor"/>
    </font>
    <font>
      <sz val="11"/>
      <name val="Arial"/>
      <family val="2"/>
    </font>
    <font>
      <sz val="10"/>
      <color rgb="FF000000"/>
      <name val="Calibri"/>
      <family val="2"/>
    </font>
    <font>
      <sz val="10"/>
      <name val="Arial"/>
      <family val="2"/>
    </font>
    <font>
      <sz val="12"/>
      <name val="Arial"/>
      <family val="2"/>
    </font>
    <font>
      <sz val="11"/>
      <color rgb="FF000000"/>
      <name val="Calibri"/>
      <family val="2"/>
    </font>
    <font>
      <sz val="11"/>
      <color rgb="FF000000"/>
      <name val="Calibri"/>
      <family val="2"/>
      <charset val="1"/>
    </font>
    <font>
      <sz val="11"/>
      <color rgb="FF009B00"/>
      <name val="Arial"/>
      <family val="2"/>
      <scheme val="minor"/>
    </font>
    <font>
      <b/>
      <sz val="11"/>
      <color rgb="FF009B00"/>
      <name val="Arial"/>
      <family val="2"/>
      <scheme val="minor"/>
    </font>
    <font>
      <sz val="11"/>
      <color theme="5"/>
      <name val="Arial"/>
      <family val="2"/>
      <scheme val="minor"/>
    </font>
    <font>
      <i/>
      <sz val="11"/>
      <color rgb="FF009B00"/>
      <name val="Arial"/>
      <family val="2"/>
      <scheme val="minor"/>
    </font>
    <font>
      <u/>
      <sz val="11"/>
      <color rgb="FF0B4EA2"/>
      <name val="Arial"/>
      <family val="2"/>
      <scheme val="minor"/>
    </font>
    <font>
      <u/>
      <sz val="11"/>
      <color rgb="FF009B00"/>
      <name val="Arial"/>
      <family val="2"/>
      <scheme val="minor"/>
    </font>
  </fonts>
  <fills count="31">
    <fill>
      <patternFill patternType="none"/>
    </fill>
    <fill>
      <patternFill patternType="gray125"/>
    </fill>
    <fill>
      <patternFill patternType="solid">
        <fgColor theme="3" tint="0.79998168889431442"/>
        <bgColor indexed="64"/>
      </patternFill>
    </fill>
    <fill>
      <patternFill patternType="solid">
        <fgColor theme="0" tint="-0.14999847407452621"/>
        <bgColor indexed="64"/>
      </patternFill>
    </fill>
    <fill>
      <patternFill patternType="solid">
        <fgColor rgb="FFAFC7E3"/>
        <bgColor indexed="64"/>
      </patternFill>
    </fill>
    <fill>
      <patternFill patternType="solid">
        <fgColor rgb="FFEAB8DE"/>
        <bgColor indexed="64"/>
      </patternFill>
    </fill>
    <fill>
      <patternFill patternType="solid">
        <fgColor rgb="FFCFE5BD"/>
        <bgColor indexed="64"/>
      </patternFill>
    </fill>
    <fill>
      <patternFill patternType="solid">
        <fgColor rgb="FFF7CBB7"/>
        <bgColor indexed="64"/>
      </patternFill>
    </fill>
    <fill>
      <patternFill patternType="solid">
        <fgColor theme="2" tint="-9.9978637043366805E-2"/>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rgb="FF375623"/>
        <bgColor rgb="FF000000"/>
      </patternFill>
    </fill>
    <fill>
      <patternFill patternType="solid">
        <fgColor rgb="FF70AD47"/>
        <bgColor rgb="FF000000"/>
      </patternFill>
    </fill>
    <fill>
      <patternFill patternType="solid">
        <fgColor rgb="FFD6DCE4"/>
        <bgColor rgb="FF000000"/>
      </patternFill>
    </fill>
    <fill>
      <patternFill patternType="solid">
        <fgColor rgb="FFDDEBF7"/>
        <bgColor rgb="FF000000"/>
      </patternFill>
    </fill>
    <fill>
      <patternFill patternType="solid">
        <fgColor rgb="FFFCE4D6"/>
        <bgColor rgb="FF000000"/>
      </patternFill>
    </fill>
    <fill>
      <patternFill patternType="solid">
        <fgColor rgb="FFEDEDED"/>
        <bgColor rgb="FF000000"/>
      </patternFill>
    </fill>
    <fill>
      <patternFill patternType="solid">
        <fgColor rgb="FFFFF2CC"/>
        <bgColor rgb="FF000000"/>
      </patternFill>
    </fill>
    <fill>
      <patternFill patternType="solid">
        <fgColor rgb="FFD9E1F2"/>
        <bgColor rgb="FF000000"/>
      </patternFill>
    </fill>
    <fill>
      <patternFill patternType="solid">
        <fgColor rgb="FFE2EFDA"/>
        <bgColor rgb="FF000000"/>
      </patternFill>
    </fill>
    <fill>
      <patternFill patternType="solid">
        <fgColor rgb="FFF2F2F2"/>
        <bgColor rgb="FF000000"/>
      </patternFill>
    </fill>
    <fill>
      <patternFill patternType="solid">
        <fgColor rgb="FFFFFFFF"/>
        <bgColor rgb="FF000000"/>
      </patternFill>
    </fill>
    <fill>
      <patternFill patternType="solid">
        <fgColor rgb="FFC5D9F1"/>
        <bgColor indexed="64"/>
      </patternFill>
    </fill>
    <fill>
      <patternFill patternType="solid">
        <fgColor rgb="FFFFFFFF"/>
        <bgColor indexed="64"/>
      </patternFill>
    </fill>
    <fill>
      <patternFill patternType="solid">
        <fgColor rgb="FFD9D9D9"/>
        <bgColor indexed="64"/>
      </patternFill>
    </fill>
    <fill>
      <patternFill patternType="solid">
        <fgColor rgb="FFFFFF00"/>
        <bgColor indexed="64"/>
      </patternFill>
    </fill>
    <fill>
      <patternFill patternType="solid">
        <fgColor rgb="FFBFDAFB"/>
        <bgColor indexed="64"/>
      </patternFill>
    </fill>
    <fill>
      <patternFill patternType="lightUp"/>
    </fill>
    <fill>
      <patternFill patternType="solid">
        <fgColor theme="7" tint="0.79998168889431442"/>
        <bgColor indexed="64"/>
      </patternFill>
    </fill>
    <fill>
      <patternFill patternType="solid">
        <fgColor theme="8" tint="0.59999389629810485"/>
        <bgColor indexed="64"/>
      </patternFill>
    </fill>
    <fill>
      <patternFill patternType="solid">
        <fgColor rgb="FF97FF97"/>
        <bgColor indexed="64"/>
      </patternFill>
    </fill>
  </fills>
  <borders count="2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dashed">
        <color auto="1"/>
      </left>
      <right/>
      <top style="dashed">
        <color auto="1"/>
      </top>
      <bottom/>
      <diagonal/>
    </border>
    <border>
      <left/>
      <right/>
      <top style="dashed">
        <color indexed="64"/>
      </top>
      <bottom/>
      <diagonal/>
    </border>
    <border>
      <left/>
      <right style="dashed">
        <color auto="1"/>
      </right>
      <top style="dashed">
        <color auto="1"/>
      </top>
      <bottom/>
      <diagonal/>
    </border>
    <border>
      <left style="dashed">
        <color auto="1"/>
      </left>
      <right/>
      <top/>
      <bottom/>
      <diagonal/>
    </border>
    <border>
      <left style="thin">
        <color auto="1"/>
      </left>
      <right/>
      <top style="thin">
        <color auto="1"/>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dashed">
        <color indexed="64"/>
      </right>
      <top/>
      <bottom/>
      <diagonal/>
    </border>
    <border>
      <left style="thin">
        <color auto="1"/>
      </left>
      <right style="thin">
        <color indexed="64"/>
      </right>
      <top style="thin">
        <color auto="1"/>
      </top>
      <bottom style="thin">
        <color indexed="64"/>
      </bottom>
      <diagonal/>
    </border>
    <border>
      <left style="thin">
        <color auto="1"/>
      </left>
      <right style="thin">
        <color auto="1"/>
      </right>
      <top/>
      <bottom style="thin">
        <color auto="1"/>
      </bottom>
      <diagonal/>
    </border>
    <border>
      <left style="dashed">
        <color auto="1"/>
      </left>
      <right/>
      <top/>
      <bottom style="dashed">
        <color auto="1"/>
      </bottom>
      <diagonal/>
    </border>
    <border>
      <left/>
      <right/>
      <top/>
      <bottom style="dashed">
        <color auto="1"/>
      </bottom>
      <diagonal/>
    </border>
    <border>
      <left/>
      <right style="dashed">
        <color auto="1"/>
      </right>
      <top/>
      <bottom style="dashed">
        <color auto="1"/>
      </bottom>
      <diagonal/>
    </border>
    <border>
      <left style="thin">
        <color indexed="64"/>
      </left>
      <right/>
      <top/>
      <bottom/>
      <diagonal/>
    </border>
    <border>
      <left/>
      <right style="thin">
        <color indexed="64"/>
      </right>
      <top/>
      <bottom/>
      <diagonal/>
    </border>
    <border>
      <left style="thin">
        <color auto="1"/>
      </left>
      <right style="thin">
        <color auto="1"/>
      </right>
      <top/>
      <bottom/>
      <diagonal/>
    </border>
    <border>
      <left style="thin">
        <color indexed="64"/>
      </left>
      <right style="thin">
        <color indexed="64"/>
      </right>
      <top style="thin">
        <color indexed="64"/>
      </top>
      <bottom/>
      <diagonal/>
    </border>
  </borders>
  <cellStyleXfs count="12">
    <xf numFmtId="0" fontId="0" fillId="0" borderId="0"/>
    <xf numFmtId="43" fontId="1" fillId="0" borderId="0" applyFont="0" applyFill="0" applyBorder="0" applyAlignment="0" applyProtection="0"/>
    <xf numFmtId="9" fontId="1" fillId="0" borderId="0" applyFont="0" applyFill="0" applyBorder="0" applyAlignment="0" applyProtection="0"/>
    <xf numFmtId="0" fontId="4" fillId="0" borderId="0" applyNumberFormat="0" applyFill="0" applyBorder="0" applyAlignment="0" applyProtection="0"/>
    <xf numFmtId="0" fontId="34" fillId="0" borderId="0"/>
    <xf numFmtId="0" fontId="36" fillId="0" borderId="0"/>
    <xf numFmtId="0" fontId="36" fillId="0" borderId="0"/>
    <xf numFmtId="0" fontId="37" fillId="0" borderId="0"/>
    <xf numFmtId="0" fontId="38" fillId="0" borderId="0"/>
    <xf numFmtId="169" fontId="39" fillId="0" borderId="0"/>
    <xf numFmtId="9" fontId="39" fillId="0" borderId="0"/>
    <xf numFmtId="170" fontId="40" fillId="0" borderId="0" applyBorder="0" applyProtection="0"/>
  </cellStyleXfs>
  <cellXfs count="452">
    <xf numFmtId="0" fontId="0" fillId="0" borderId="0" xfId="0"/>
    <xf numFmtId="0" fontId="0" fillId="0" borderId="0" xfId="0" applyAlignment="1">
      <alignment horizontal="center" vertical="center"/>
    </xf>
    <xf numFmtId="0" fontId="4" fillId="0" borderId="0" xfId="3" applyAlignment="1">
      <alignment horizontal="center" vertical="center"/>
    </xf>
    <xf numFmtId="0" fontId="5" fillId="0" borderId="0" xfId="0" applyFont="1" applyAlignment="1">
      <alignment vertical="center"/>
    </xf>
    <xf numFmtId="0" fontId="0" fillId="0" borderId="0" xfId="0" applyAlignment="1">
      <alignment vertical="center"/>
    </xf>
    <xf numFmtId="0" fontId="0" fillId="2" borderId="1" xfId="0" applyFill="1" applyBorder="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3" borderId="1" xfId="0" applyFill="1" applyBorder="1" applyAlignment="1">
      <alignment horizontal="center" vertical="center"/>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0" fillId="4" borderId="1" xfId="0" applyFill="1" applyBorder="1" applyAlignment="1">
      <alignment horizontal="center" vertical="center"/>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5" borderId="1" xfId="0" applyFill="1" applyBorder="1" applyAlignment="1">
      <alignment horizontal="center" vertical="center"/>
    </xf>
    <xf numFmtId="0" fontId="0" fillId="5" borderId="2" xfId="0" applyFill="1" applyBorder="1" applyAlignment="1">
      <alignment horizontal="center" vertical="center"/>
    </xf>
    <xf numFmtId="0" fontId="0" fillId="5" borderId="3" xfId="0" applyFill="1" applyBorder="1" applyAlignment="1">
      <alignment horizontal="center" vertical="center"/>
    </xf>
    <xf numFmtId="0" fontId="0" fillId="6" borderId="1" xfId="0" applyFill="1" applyBorder="1" applyAlignment="1">
      <alignment horizontal="center" vertical="center"/>
    </xf>
    <xf numFmtId="0" fontId="0" fillId="6" borderId="2" xfId="0" applyFill="1" applyBorder="1" applyAlignment="1">
      <alignment horizontal="center" vertical="center"/>
    </xf>
    <xf numFmtId="0" fontId="0" fillId="6" borderId="3" xfId="0" applyFill="1" applyBorder="1" applyAlignment="1">
      <alignment horizontal="center" vertical="center"/>
    </xf>
    <xf numFmtId="0" fontId="0" fillId="7" borderId="1" xfId="0" applyFill="1" applyBorder="1" applyAlignment="1">
      <alignment horizontal="center" vertical="center"/>
    </xf>
    <xf numFmtId="0" fontId="0" fillId="7" borderId="2" xfId="0" applyFill="1" applyBorder="1" applyAlignment="1">
      <alignment horizontal="center" vertical="center"/>
    </xf>
    <xf numFmtId="0" fontId="0" fillId="7" borderId="3" xfId="0" applyFill="1" applyBorder="1" applyAlignment="1">
      <alignment horizontal="center" vertical="center"/>
    </xf>
    <xf numFmtId="0" fontId="0" fillId="8" borderId="1" xfId="0" applyFill="1" applyBorder="1" applyAlignment="1">
      <alignment horizontal="center" vertical="center"/>
    </xf>
    <xf numFmtId="0" fontId="0" fillId="8" borderId="2" xfId="0" applyFill="1" applyBorder="1" applyAlignment="1">
      <alignment horizontal="center" vertical="center"/>
    </xf>
    <xf numFmtId="0" fontId="0" fillId="8" borderId="3" xfId="0" applyFill="1" applyBorder="1" applyAlignment="1">
      <alignment horizontal="center" vertical="center"/>
    </xf>
    <xf numFmtId="0" fontId="0" fillId="9" borderId="1" xfId="0" applyFill="1" applyBorder="1" applyAlignment="1">
      <alignment horizontal="center" vertical="center"/>
    </xf>
    <xf numFmtId="0" fontId="0" fillId="9" borderId="2" xfId="0" applyFill="1" applyBorder="1" applyAlignment="1">
      <alignment horizontal="center" vertical="center"/>
    </xf>
    <xf numFmtId="0" fontId="0" fillId="9" borderId="3" xfId="0" applyFill="1" applyBorder="1" applyAlignment="1">
      <alignment horizontal="center" vertical="center"/>
    </xf>
    <xf numFmtId="0" fontId="0" fillId="10" borderId="1" xfId="0" applyFill="1" applyBorder="1" applyAlignment="1">
      <alignment horizontal="center" vertical="center"/>
    </xf>
    <xf numFmtId="0" fontId="0" fillId="10" borderId="2" xfId="0" applyFill="1" applyBorder="1" applyAlignment="1">
      <alignment horizontal="center" vertical="center"/>
    </xf>
    <xf numFmtId="0" fontId="0" fillId="10" borderId="3" xfId="0" applyFill="1" applyBorder="1" applyAlignment="1">
      <alignment horizontal="center" vertical="center"/>
    </xf>
    <xf numFmtId="0" fontId="0" fillId="2" borderId="4" xfId="0" applyFill="1" applyBorder="1" applyAlignment="1">
      <alignment horizontal="left" vertical="center" indent="1"/>
    </xf>
    <xf numFmtId="0" fontId="0" fillId="2" borderId="5" xfId="0" applyFill="1" applyBorder="1" applyAlignment="1">
      <alignment vertical="center"/>
    </xf>
    <xf numFmtId="0" fontId="0" fillId="2" borderId="6" xfId="0" applyFill="1" applyBorder="1" applyAlignment="1">
      <alignment vertical="center"/>
    </xf>
    <xf numFmtId="0" fontId="0" fillId="0" borderId="4" xfId="0" applyBorder="1" applyAlignment="1">
      <alignment horizontal="left" vertical="center" indent="1"/>
    </xf>
    <xf numFmtId="0" fontId="0" fillId="0" borderId="5" xfId="0" applyBorder="1" applyAlignment="1">
      <alignment vertical="center"/>
    </xf>
    <xf numFmtId="0" fontId="0" fillId="0" borderId="6" xfId="0" applyBorder="1" applyAlignment="1">
      <alignment vertical="center"/>
    </xf>
    <xf numFmtId="0" fontId="0" fillId="3" borderId="4" xfId="0" applyFill="1" applyBorder="1" applyAlignment="1">
      <alignment horizontal="left" vertical="center" indent="1"/>
    </xf>
    <xf numFmtId="0" fontId="0" fillId="3" borderId="5" xfId="0" applyFill="1" applyBorder="1" applyAlignment="1">
      <alignment vertical="center"/>
    </xf>
    <xf numFmtId="0" fontId="0" fillId="3" borderId="6" xfId="0" applyFill="1" applyBorder="1" applyAlignment="1">
      <alignment vertical="center"/>
    </xf>
    <xf numFmtId="0" fontId="0" fillId="4" borderId="4" xfId="0" applyFill="1" applyBorder="1" applyAlignment="1">
      <alignment horizontal="left" vertical="center" indent="1"/>
    </xf>
    <xf numFmtId="0" fontId="0" fillId="4" borderId="5" xfId="0" applyFill="1" applyBorder="1" applyAlignment="1">
      <alignment vertical="center"/>
    </xf>
    <xf numFmtId="0" fontId="0" fillId="4" borderId="6" xfId="0" applyFill="1" applyBorder="1" applyAlignment="1">
      <alignment vertical="center"/>
    </xf>
    <xf numFmtId="0" fontId="0" fillId="5" borderId="4" xfId="0" applyFill="1" applyBorder="1" applyAlignment="1">
      <alignment horizontal="left" vertical="center" indent="1"/>
    </xf>
    <xf numFmtId="0" fontId="0" fillId="5" borderId="5" xfId="0" applyFill="1" applyBorder="1" applyAlignment="1">
      <alignment vertical="center"/>
    </xf>
    <xf numFmtId="0" fontId="0" fillId="5" borderId="6" xfId="0" applyFill="1" applyBorder="1" applyAlignment="1">
      <alignment vertical="center"/>
    </xf>
    <xf numFmtId="0" fontId="0" fillId="6" borderId="4" xfId="0" applyFill="1" applyBorder="1" applyAlignment="1">
      <alignment horizontal="left" vertical="center" indent="1"/>
    </xf>
    <xf numFmtId="0" fontId="0" fillId="6" borderId="5" xfId="0" applyFill="1" applyBorder="1" applyAlignment="1">
      <alignment vertical="center"/>
    </xf>
    <xf numFmtId="0" fontId="0" fillId="6" borderId="6" xfId="0" applyFill="1" applyBorder="1" applyAlignment="1">
      <alignment vertical="center"/>
    </xf>
    <xf numFmtId="0" fontId="0" fillId="7" borderId="4" xfId="0" applyFill="1" applyBorder="1" applyAlignment="1">
      <alignment horizontal="left" vertical="center" indent="1"/>
    </xf>
    <xf numFmtId="0" fontId="0" fillId="7" borderId="5" xfId="0" applyFill="1" applyBorder="1" applyAlignment="1">
      <alignment vertical="center"/>
    </xf>
    <xf numFmtId="0" fontId="0" fillId="7" borderId="6" xfId="0" applyFill="1" applyBorder="1" applyAlignment="1">
      <alignment vertical="center"/>
    </xf>
    <xf numFmtId="0" fontId="0" fillId="8" borderId="4" xfId="0" applyFill="1" applyBorder="1" applyAlignment="1">
      <alignment horizontal="left" vertical="center" indent="1"/>
    </xf>
    <xf numFmtId="0" fontId="0" fillId="8" borderId="5" xfId="0" applyFill="1" applyBorder="1" applyAlignment="1">
      <alignment vertical="center"/>
    </xf>
    <xf numFmtId="0" fontId="0" fillId="8" borderId="6" xfId="0" applyFill="1" applyBorder="1" applyAlignment="1">
      <alignment vertical="center"/>
    </xf>
    <xf numFmtId="0" fontId="0" fillId="9" borderId="4" xfId="0" applyFill="1" applyBorder="1" applyAlignment="1">
      <alignment horizontal="left" vertical="center" indent="1"/>
    </xf>
    <xf numFmtId="0" fontId="0" fillId="9" borderId="5" xfId="0" applyFill="1" applyBorder="1" applyAlignment="1">
      <alignment vertical="center"/>
    </xf>
    <xf numFmtId="0" fontId="0" fillId="9" borderId="6" xfId="0" applyFill="1" applyBorder="1" applyAlignment="1">
      <alignment vertical="center"/>
    </xf>
    <xf numFmtId="0" fontId="0" fillId="10" borderId="4" xfId="0" applyFill="1" applyBorder="1" applyAlignment="1">
      <alignment horizontal="left" vertical="center" indent="1"/>
    </xf>
    <xf numFmtId="0" fontId="0" fillId="10" borderId="5" xfId="0" applyFill="1" applyBorder="1" applyAlignment="1">
      <alignment vertical="center"/>
    </xf>
    <xf numFmtId="0" fontId="0" fillId="10" borderId="6" xfId="0" applyFill="1" applyBorder="1" applyAlignment="1">
      <alignment vertical="center"/>
    </xf>
    <xf numFmtId="14" fontId="6" fillId="0" borderId="0" xfId="0" applyNumberFormat="1" applyFont="1" applyAlignment="1">
      <alignment horizontal="left"/>
    </xf>
    <xf numFmtId="0" fontId="0" fillId="0" borderId="0" xfId="0" applyAlignment="1">
      <alignment horizontal="center"/>
    </xf>
    <xf numFmtId="0" fontId="7" fillId="0" borderId="0" xfId="0" applyFont="1" applyAlignment="1">
      <alignment horizontal="center"/>
    </xf>
    <xf numFmtId="0" fontId="8" fillId="0" borderId="0" xfId="0" applyFont="1" applyAlignment="1">
      <alignment horizontal="center"/>
    </xf>
    <xf numFmtId="0" fontId="6" fillId="0" borderId="0" xfId="0" applyFont="1"/>
    <xf numFmtId="0" fontId="10" fillId="0" borderId="0" xfId="0" applyFont="1"/>
    <xf numFmtId="0" fontId="4" fillId="0" borderId="0" xfId="3" applyAlignment="1"/>
    <xf numFmtId="0" fontId="4" fillId="0" borderId="0" xfId="3" applyAlignment="1">
      <alignment horizontal="left" indent="1"/>
    </xf>
    <xf numFmtId="0" fontId="4" fillId="0" borderId="0" xfId="3" applyAlignment="1">
      <alignment horizontal="right" vertical="center" indent="1"/>
    </xf>
    <xf numFmtId="0" fontId="5" fillId="0" borderId="0" xfId="0" applyFont="1"/>
    <xf numFmtId="0" fontId="6" fillId="0" borderId="0" xfId="0" applyFont="1" applyAlignment="1">
      <alignment horizontal="left"/>
    </xf>
    <xf numFmtId="0" fontId="6" fillId="0" borderId="0" xfId="0" applyFont="1" applyAlignment="1">
      <alignment horizontal="left" indent="1"/>
    </xf>
    <xf numFmtId="0" fontId="11" fillId="0" borderId="0" xfId="0" applyFont="1" applyAlignment="1">
      <alignment horizontal="left" indent="1"/>
    </xf>
    <xf numFmtId="0" fontId="9" fillId="0" borderId="0" xfId="0" applyFont="1" applyAlignment="1">
      <alignment horizontal="left" indent="1"/>
    </xf>
    <xf numFmtId="0" fontId="9" fillId="0" borderId="0" xfId="0" applyFont="1"/>
    <xf numFmtId="0" fontId="9" fillId="0" borderId="0" xfId="0" applyFont="1" applyAlignment="1">
      <alignment horizontal="left" indent="2"/>
    </xf>
    <xf numFmtId="0" fontId="4" fillId="0" borderId="0" xfId="3" applyFill="1"/>
    <xf numFmtId="0" fontId="3" fillId="0" borderId="7" xfId="0" applyFont="1" applyBorder="1"/>
    <xf numFmtId="0" fontId="0" fillId="0" borderId="8" xfId="0" applyBorder="1"/>
    <xf numFmtId="0" fontId="0" fillId="0" borderId="9" xfId="0" applyBorder="1"/>
    <xf numFmtId="0" fontId="0" fillId="0" borderId="10" xfId="0" applyBorder="1"/>
    <xf numFmtId="0" fontId="0" fillId="0" borderId="14" xfId="0" applyBorder="1"/>
    <xf numFmtId="0" fontId="17" fillId="12" borderId="15" xfId="0" applyFont="1" applyFill="1" applyBorder="1"/>
    <xf numFmtId="0" fontId="17" fillId="12" borderId="15" xfId="0" applyFont="1" applyFill="1" applyBorder="1" applyAlignment="1">
      <alignment horizontal="center"/>
    </xf>
    <xf numFmtId="0" fontId="17" fillId="12" borderId="16" xfId="0" applyFont="1" applyFill="1" applyBorder="1" applyAlignment="1">
      <alignment horizontal="center"/>
    </xf>
    <xf numFmtId="0" fontId="17" fillId="13" borderId="15" xfId="0" applyFont="1" applyFill="1" applyBorder="1" applyAlignment="1">
      <alignment horizontal="left" vertical="center"/>
    </xf>
    <xf numFmtId="3" fontId="18" fillId="13" borderId="15" xfId="0" applyNumberFormat="1" applyFont="1" applyFill="1" applyBorder="1" applyAlignment="1">
      <alignment horizontal="center"/>
    </xf>
    <xf numFmtId="0" fontId="17" fillId="14" borderId="15" xfId="0" applyFont="1" applyFill="1" applyBorder="1" applyAlignment="1">
      <alignment horizontal="left" vertical="center"/>
    </xf>
    <xf numFmtId="3" fontId="18" fillId="14" borderId="15" xfId="0" applyNumberFormat="1" applyFont="1" applyFill="1" applyBorder="1" applyAlignment="1">
      <alignment horizontal="center"/>
    </xf>
    <xf numFmtId="0" fontId="17" fillId="15" borderId="15" xfId="0" applyFont="1" applyFill="1" applyBorder="1" applyAlignment="1">
      <alignment horizontal="left" vertical="center"/>
    </xf>
    <xf numFmtId="3" fontId="18" fillId="15" borderId="15" xfId="0" applyNumberFormat="1" applyFont="1" applyFill="1" applyBorder="1" applyAlignment="1">
      <alignment horizontal="center"/>
    </xf>
    <xf numFmtId="0" fontId="17" fillId="16" borderId="15" xfId="0" applyFont="1" applyFill="1" applyBorder="1" applyAlignment="1">
      <alignment horizontal="left" vertical="center"/>
    </xf>
    <xf numFmtId="3" fontId="18" fillId="16" borderId="15" xfId="0" applyNumberFormat="1" applyFont="1" applyFill="1" applyBorder="1" applyAlignment="1">
      <alignment horizontal="center"/>
    </xf>
    <xf numFmtId="0" fontId="17" fillId="17" borderId="15" xfId="0" applyFont="1" applyFill="1" applyBorder="1" applyAlignment="1">
      <alignment horizontal="left" vertical="center"/>
    </xf>
    <xf numFmtId="3" fontId="18" fillId="17" borderId="15" xfId="0" applyNumberFormat="1" applyFont="1" applyFill="1" applyBorder="1" applyAlignment="1">
      <alignment horizontal="center"/>
    </xf>
    <xf numFmtId="0" fontId="17" fillId="18" borderId="15" xfId="0" applyFont="1" applyFill="1" applyBorder="1" applyAlignment="1">
      <alignment horizontal="left" vertical="center"/>
    </xf>
    <xf numFmtId="3" fontId="18" fillId="18" borderId="15" xfId="0" applyNumberFormat="1" applyFont="1" applyFill="1" applyBorder="1" applyAlignment="1">
      <alignment horizontal="center"/>
    </xf>
    <xf numFmtId="0" fontId="17" fillId="19" borderId="15" xfId="0" applyFont="1" applyFill="1" applyBorder="1" applyAlignment="1">
      <alignment horizontal="left" vertical="center"/>
    </xf>
    <xf numFmtId="3" fontId="18" fillId="19" borderId="15" xfId="0" applyNumberFormat="1" applyFont="1" applyFill="1" applyBorder="1" applyAlignment="1">
      <alignment horizontal="center"/>
    </xf>
    <xf numFmtId="0" fontId="17" fillId="20" borderId="15" xfId="0" applyFont="1" applyFill="1" applyBorder="1" applyAlignment="1">
      <alignment horizontal="left" vertical="center"/>
    </xf>
    <xf numFmtId="3" fontId="18" fillId="20" borderId="15" xfId="0" applyNumberFormat="1" applyFont="1" applyFill="1" applyBorder="1" applyAlignment="1">
      <alignment horizontal="center"/>
    </xf>
    <xf numFmtId="0" fontId="19" fillId="21" borderId="15" xfId="0" applyFont="1" applyFill="1" applyBorder="1" applyAlignment="1">
      <alignment horizontal="left" vertical="center"/>
    </xf>
    <xf numFmtId="3" fontId="19" fillId="21" borderId="15" xfId="0" applyNumberFormat="1" applyFont="1" applyFill="1" applyBorder="1" applyAlignment="1">
      <alignment horizontal="center"/>
    </xf>
    <xf numFmtId="3" fontId="17" fillId="21" borderId="15" xfId="0" applyNumberFormat="1" applyFont="1" applyFill="1" applyBorder="1" applyAlignment="1">
      <alignment horizontal="center" vertical="center"/>
    </xf>
    <xf numFmtId="3" fontId="17" fillId="0" borderId="15" xfId="0" applyNumberFormat="1" applyFont="1" applyBorder="1" applyAlignment="1">
      <alignment horizontal="center"/>
    </xf>
    <xf numFmtId="9" fontId="18" fillId="21" borderId="15" xfId="2" applyFont="1" applyFill="1" applyBorder="1" applyAlignment="1">
      <alignment horizontal="center" vertical="center"/>
    </xf>
    <xf numFmtId="0" fontId="17" fillId="0" borderId="15" xfId="0" applyFont="1" applyBorder="1" applyAlignment="1">
      <alignment horizontal="left" vertical="center"/>
    </xf>
    <xf numFmtId="0" fontId="20" fillId="0" borderId="15" xfId="0" applyFont="1" applyBorder="1" applyAlignment="1">
      <alignment horizontal="left"/>
    </xf>
    <xf numFmtId="3" fontId="18" fillId="0" borderId="15" xfId="0" applyNumberFormat="1" applyFont="1" applyBorder="1" applyAlignment="1">
      <alignment horizontal="center"/>
    </xf>
    <xf numFmtId="0" fontId="17" fillId="19" borderId="15" xfId="0" applyFont="1" applyFill="1" applyBorder="1"/>
    <xf numFmtId="3" fontId="17" fillId="19" borderId="15" xfId="0" applyNumberFormat="1" applyFont="1" applyFill="1" applyBorder="1" applyAlignment="1">
      <alignment horizontal="center"/>
    </xf>
    <xf numFmtId="0" fontId="20" fillId="0" borderId="0" xfId="0" applyFont="1" applyAlignment="1">
      <alignment horizontal="left"/>
    </xf>
    <xf numFmtId="0" fontId="0" fillId="0" borderId="17" xfId="0" applyBorder="1"/>
    <xf numFmtId="0" fontId="0" fillId="0" borderId="18" xfId="0" applyBorder="1"/>
    <xf numFmtId="0" fontId="0" fillId="0" borderId="19" xfId="0" applyBorder="1"/>
    <xf numFmtId="0" fontId="3" fillId="0" borderId="0" xfId="0" applyFont="1"/>
    <xf numFmtId="0" fontId="0" fillId="22" borderId="15" xfId="0" applyFill="1" applyBorder="1" applyAlignment="1">
      <alignment horizontal="center"/>
    </xf>
    <xf numFmtId="0" fontId="0" fillId="23" borderId="15" xfId="0" applyFill="1" applyBorder="1" applyAlignment="1">
      <alignment horizontal="center"/>
    </xf>
    <xf numFmtId="0" fontId="0" fillId="24" borderId="15" xfId="0" applyFill="1" applyBorder="1" applyAlignment="1">
      <alignment horizontal="center"/>
    </xf>
    <xf numFmtId="0" fontId="0" fillId="4" borderId="15" xfId="0" applyFill="1" applyBorder="1" applyAlignment="1">
      <alignment horizontal="center"/>
    </xf>
    <xf numFmtId="0" fontId="0" fillId="5" borderId="15" xfId="0" applyFill="1" applyBorder="1" applyAlignment="1">
      <alignment horizontal="center"/>
    </xf>
    <xf numFmtId="0" fontId="0" fillId="6" borderId="15" xfId="0" applyFill="1" applyBorder="1" applyAlignment="1">
      <alignment horizontal="center"/>
    </xf>
    <xf numFmtId="0" fontId="0" fillId="7" borderId="15" xfId="0" applyFill="1" applyBorder="1" applyAlignment="1">
      <alignment horizontal="center"/>
    </xf>
    <xf numFmtId="0" fontId="0" fillId="8" borderId="15" xfId="0" applyFill="1" applyBorder="1" applyAlignment="1">
      <alignment horizontal="center"/>
    </xf>
    <xf numFmtId="0" fontId="0" fillId="9" borderId="15" xfId="0" applyFill="1" applyBorder="1" applyAlignment="1">
      <alignment horizontal="center"/>
    </xf>
    <xf numFmtId="0" fontId="0" fillId="10" borderId="15" xfId="0" applyFill="1" applyBorder="1" applyAlignment="1">
      <alignment horizontal="center"/>
    </xf>
    <xf numFmtId="0" fontId="0" fillId="0" borderId="11" xfId="0" applyBorder="1" applyAlignment="1">
      <alignment vertical="center"/>
    </xf>
    <xf numFmtId="0" fontId="0" fillId="0" borderId="12" xfId="0" applyBorder="1" applyAlignment="1">
      <alignment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1" xfId="0" applyBorder="1" applyAlignment="1">
      <alignment horizontal="center" vertical="center"/>
    </xf>
    <xf numFmtId="0" fontId="0" fillId="0" borderId="20" xfId="0" applyBorder="1" applyAlignment="1">
      <alignment horizontal="left" vertical="center" indent="1"/>
    </xf>
    <xf numFmtId="0" fontId="0" fillId="0" borderId="0" xfId="0" quotePrefix="1" applyAlignment="1">
      <alignment horizontal="center" vertical="center"/>
    </xf>
    <xf numFmtId="0" fontId="0" fillId="0" borderId="21" xfId="0" applyBorder="1" applyAlignment="1">
      <alignment horizontal="center" vertical="center"/>
    </xf>
    <xf numFmtId="3" fontId="0" fillId="0" borderId="20" xfId="0" applyNumberFormat="1" applyBorder="1" applyAlignment="1">
      <alignment horizontal="right" vertical="center" indent="1"/>
    </xf>
    <xf numFmtId="3" fontId="0" fillId="0" borderId="0" xfId="0" applyNumberFormat="1" applyAlignment="1">
      <alignment horizontal="right" vertical="center" indent="1"/>
    </xf>
    <xf numFmtId="3" fontId="0" fillId="0" borderId="21" xfId="0" applyNumberFormat="1" applyBorder="1" applyAlignment="1">
      <alignment horizontal="right" vertical="center" indent="1"/>
    </xf>
    <xf numFmtId="3" fontId="0" fillId="2" borderId="20" xfId="2" applyNumberFormat="1" applyFont="1" applyFill="1" applyBorder="1" applyAlignment="1">
      <alignment horizontal="right" vertical="center" indent="1"/>
    </xf>
    <xf numFmtId="3" fontId="0" fillId="0" borderId="0" xfId="2" applyNumberFormat="1" applyFont="1" applyFill="1" applyBorder="1" applyAlignment="1">
      <alignment horizontal="right" vertical="center" indent="1"/>
    </xf>
    <xf numFmtId="3" fontId="0" fillId="2" borderId="0" xfId="2" applyNumberFormat="1" applyFont="1" applyFill="1" applyBorder="1" applyAlignment="1">
      <alignment horizontal="right" vertical="center" indent="1"/>
    </xf>
    <xf numFmtId="3" fontId="0" fillId="2" borderId="21" xfId="2" applyNumberFormat="1" applyFont="1" applyFill="1" applyBorder="1" applyAlignment="1">
      <alignment horizontal="right" vertical="center" indent="1"/>
    </xf>
    <xf numFmtId="3" fontId="0" fillId="0" borderId="20" xfId="2" applyNumberFormat="1" applyFont="1" applyFill="1" applyBorder="1" applyAlignment="1">
      <alignment horizontal="right" vertical="center" indent="1"/>
    </xf>
    <xf numFmtId="0" fontId="0" fillId="0" borderId="21" xfId="0" quotePrefix="1" applyBorder="1" applyAlignment="1">
      <alignment horizontal="center" vertical="center"/>
    </xf>
    <xf numFmtId="0" fontId="0" fillId="0" borderId="11" xfId="0" applyBorder="1" applyAlignment="1">
      <alignment horizontal="left" vertical="center"/>
    </xf>
    <xf numFmtId="0" fontId="0" fillId="0" borderId="12" xfId="0" quotePrefix="1" applyBorder="1" applyAlignment="1">
      <alignment horizontal="center" vertical="center"/>
    </xf>
    <xf numFmtId="3" fontId="0" fillId="2" borderId="11" xfId="0" applyNumberFormat="1" applyFill="1" applyBorder="1" applyAlignment="1">
      <alignment horizontal="right" vertical="center" indent="1"/>
    </xf>
    <xf numFmtId="3" fontId="0" fillId="2" borderId="12" xfId="0" applyNumberFormat="1" applyFill="1" applyBorder="1" applyAlignment="1">
      <alignment horizontal="right" vertical="center" indent="1"/>
    </xf>
    <xf numFmtId="3" fontId="0" fillId="2" borderId="13" xfId="0" applyNumberFormat="1" applyFill="1" applyBorder="1" applyAlignment="1">
      <alignment horizontal="right" vertical="center" indent="1"/>
    </xf>
    <xf numFmtId="3" fontId="0" fillId="0" borderId="11" xfId="2" applyNumberFormat="1" applyFont="1" applyFill="1" applyBorder="1" applyAlignment="1">
      <alignment horizontal="right" vertical="center" indent="1"/>
    </xf>
    <xf numFmtId="3" fontId="0" fillId="0" borderId="12" xfId="2" applyNumberFormat="1" applyFont="1" applyFill="1" applyBorder="1" applyAlignment="1">
      <alignment horizontal="right" vertical="center" indent="1"/>
    </xf>
    <xf numFmtId="3" fontId="0" fillId="0" borderId="13" xfId="2" applyNumberFormat="1" applyFont="1" applyFill="1" applyBorder="1" applyAlignment="1">
      <alignment horizontal="right" vertical="center" indent="1"/>
    </xf>
    <xf numFmtId="0" fontId="0" fillId="0" borderId="2" xfId="0" applyBorder="1" applyAlignment="1">
      <alignment vertical="center"/>
    </xf>
    <xf numFmtId="3" fontId="0" fillId="0" borderId="2" xfId="0" applyNumberFormat="1" applyBorder="1" applyAlignment="1">
      <alignment horizontal="right" vertical="center" indent="1"/>
    </xf>
    <xf numFmtId="0" fontId="6" fillId="0" borderId="0" xfId="0" applyFont="1" applyAlignment="1">
      <alignment vertical="center"/>
    </xf>
    <xf numFmtId="0" fontId="9" fillId="0" borderId="0" xfId="0" applyFont="1" applyAlignment="1">
      <alignment vertical="center"/>
    </xf>
    <xf numFmtId="0" fontId="0" fillId="0" borderId="0" xfId="0" applyAlignment="1">
      <alignment horizontal="left"/>
    </xf>
    <xf numFmtId="0" fontId="0" fillId="2" borderId="0" xfId="0" applyFill="1" applyAlignment="1">
      <alignment horizontal="center"/>
    </xf>
    <xf numFmtId="0" fontId="21" fillId="0" borderId="0" xfId="0" applyFont="1"/>
    <xf numFmtId="0" fontId="21" fillId="0" borderId="0" xfId="0" applyFont="1" applyAlignment="1">
      <alignment horizontal="center"/>
    </xf>
    <xf numFmtId="0" fontId="21" fillId="0" borderId="5" xfId="0" applyFont="1" applyBorder="1"/>
    <xf numFmtId="0" fontId="21" fillId="0" borderId="5" xfId="0" applyFont="1" applyBorder="1" applyAlignment="1">
      <alignment horizontal="center"/>
    </xf>
    <xf numFmtId="0" fontId="0" fillId="0" borderId="5" xfId="0" applyBorder="1"/>
    <xf numFmtId="3" fontId="21" fillId="0" borderId="0" xfId="0" applyNumberFormat="1" applyFont="1" applyAlignment="1">
      <alignment horizontal="center"/>
    </xf>
    <xf numFmtId="164" fontId="21" fillId="0" borderId="0" xfId="2" applyNumberFormat="1" applyFont="1" applyAlignment="1">
      <alignment horizontal="center"/>
    </xf>
    <xf numFmtId="9" fontId="21" fillId="0" borderId="0" xfId="2" applyFont="1" applyAlignment="1">
      <alignment horizontal="center"/>
    </xf>
    <xf numFmtId="0" fontId="21" fillId="0" borderId="2" xfId="0" applyFont="1" applyBorder="1"/>
    <xf numFmtId="0" fontId="0" fillId="0" borderId="2" xfId="0" applyBorder="1"/>
    <xf numFmtId="3" fontId="0" fillId="0" borderId="2" xfId="0" applyNumberFormat="1" applyBorder="1" applyAlignment="1">
      <alignment horizontal="center"/>
    </xf>
    <xf numFmtId="164" fontId="21" fillId="0" borderId="2" xfId="2" applyNumberFormat="1" applyFont="1" applyBorder="1" applyAlignment="1">
      <alignment horizontal="center"/>
    </xf>
    <xf numFmtId="3" fontId="0" fillId="2" borderId="20" xfId="0" applyNumberFormat="1" applyFill="1" applyBorder="1" applyAlignment="1">
      <alignment horizontal="right" vertical="center" indent="1"/>
    </xf>
    <xf numFmtId="3" fontId="0" fillId="2" borderId="0" xfId="0" applyNumberFormat="1" applyFill="1" applyAlignment="1">
      <alignment horizontal="right" vertical="center" indent="1"/>
    </xf>
    <xf numFmtId="3" fontId="0" fillId="2" borderId="21" xfId="0" applyNumberFormat="1" applyFill="1" applyBorder="1" applyAlignment="1">
      <alignment horizontal="right" vertical="center" indent="1"/>
    </xf>
    <xf numFmtId="9" fontId="0" fillId="0" borderId="20" xfId="2" applyFont="1" applyFill="1" applyBorder="1" applyAlignment="1">
      <alignment horizontal="right" vertical="center" indent="1"/>
    </xf>
    <xf numFmtId="9" fontId="0" fillId="0" borderId="0" xfId="2" applyFont="1" applyFill="1" applyBorder="1" applyAlignment="1">
      <alignment horizontal="right" vertical="center" indent="1"/>
    </xf>
    <xf numFmtId="0" fontId="0" fillId="0" borderId="13" xfId="0" applyBorder="1" applyAlignment="1">
      <alignment vertical="center"/>
    </xf>
    <xf numFmtId="3" fontId="0" fillId="0" borderId="11" xfId="0" applyNumberFormat="1" applyBorder="1" applyAlignment="1">
      <alignment horizontal="right" vertical="center" indent="1"/>
    </xf>
    <xf numFmtId="3" fontId="0" fillId="0" borderId="12" xfId="0" applyNumberFormat="1" applyBorder="1" applyAlignment="1">
      <alignment horizontal="right" vertical="center" indent="1"/>
    </xf>
    <xf numFmtId="3" fontId="0" fillId="0" borderId="13" xfId="0" applyNumberFormat="1" applyBorder="1" applyAlignment="1">
      <alignment horizontal="right" vertical="center" indent="1"/>
    </xf>
    <xf numFmtId="0" fontId="0" fillId="0" borderId="0" xfId="0" applyAlignment="1">
      <alignment horizontal="left" vertical="center"/>
    </xf>
    <xf numFmtId="0" fontId="9" fillId="25" borderId="0" xfId="0" applyFont="1" applyFill="1"/>
    <xf numFmtId="0" fontId="0" fillId="0" borderId="20" xfId="0" applyBorder="1" applyAlignment="1">
      <alignment horizontal="left" vertical="center"/>
    </xf>
    <xf numFmtId="0" fontId="0" fillId="0" borderId="21" xfId="0" applyBorder="1" applyAlignment="1">
      <alignment vertical="center"/>
    </xf>
    <xf numFmtId="3" fontId="0" fillId="26" borderId="0" xfId="2" applyNumberFormat="1" applyFont="1" applyFill="1" applyBorder="1" applyAlignment="1">
      <alignment horizontal="right" vertical="center" indent="1"/>
    </xf>
    <xf numFmtId="3" fontId="0" fillId="26" borderId="21" xfId="2" applyNumberFormat="1" applyFont="1" applyFill="1" applyBorder="1" applyAlignment="1">
      <alignment horizontal="right" vertical="center" indent="1"/>
    </xf>
    <xf numFmtId="3" fontId="0" fillId="0" borderId="21" xfId="2" applyNumberFormat="1" applyFont="1" applyFill="1" applyBorder="1" applyAlignment="1">
      <alignment horizontal="right" vertical="center" indent="1"/>
    </xf>
    <xf numFmtId="0" fontId="0" fillId="0" borderId="5" xfId="0" quotePrefix="1" applyBorder="1" applyAlignment="1">
      <alignment horizontal="center" vertical="center"/>
    </xf>
    <xf numFmtId="3" fontId="0" fillId="0" borderId="4" xfId="0" applyNumberFormat="1" applyBorder="1" applyAlignment="1">
      <alignment horizontal="right" vertical="center" indent="1"/>
    </xf>
    <xf numFmtId="3" fontId="0" fillId="0" borderId="5" xfId="0" applyNumberFormat="1" applyBorder="1" applyAlignment="1">
      <alignment horizontal="right" vertical="center" indent="1"/>
    </xf>
    <xf numFmtId="3" fontId="0" fillId="0" borderId="6" xfId="0" applyNumberFormat="1" applyBorder="1" applyAlignment="1">
      <alignment horizontal="right" vertical="center" indent="1"/>
    </xf>
    <xf numFmtId="3" fontId="0" fillId="0" borderId="4" xfId="2" applyNumberFormat="1" applyFont="1" applyFill="1" applyBorder="1" applyAlignment="1">
      <alignment horizontal="right" vertical="center" indent="1"/>
    </xf>
    <xf numFmtId="3" fontId="0" fillId="0" borderId="5" xfId="2" applyNumberFormat="1" applyFont="1" applyFill="1" applyBorder="1" applyAlignment="1">
      <alignment horizontal="right" vertical="center" indent="1"/>
    </xf>
    <xf numFmtId="3" fontId="0" fillId="0" borderId="6" xfId="2" applyNumberFormat="1" applyFont="1" applyFill="1" applyBorder="1" applyAlignment="1">
      <alignment horizontal="right" vertical="center" indent="1"/>
    </xf>
    <xf numFmtId="0" fontId="6" fillId="0" borderId="0" xfId="0" applyFont="1" applyAlignment="1">
      <alignment horizontal="left" vertical="center"/>
    </xf>
    <xf numFmtId="0" fontId="22" fillId="0" borderId="0" xfId="0" applyFont="1"/>
    <xf numFmtId="3" fontId="0" fillId="2" borderId="0" xfId="0" applyNumberFormat="1" applyFill="1" applyAlignment="1">
      <alignment horizontal="center"/>
    </xf>
    <xf numFmtId="0" fontId="0" fillId="0" borderId="5" xfId="0" applyBorder="1" applyAlignment="1">
      <alignment horizontal="center"/>
    </xf>
    <xf numFmtId="3" fontId="0" fillId="0" borderId="0" xfId="0" applyNumberFormat="1" applyAlignment="1">
      <alignment horizontal="right" indent="1"/>
    </xf>
    <xf numFmtId="9" fontId="0" fillId="0" borderId="0" xfId="2" applyFont="1" applyAlignment="1">
      <alignment horizontal="right" indent="1"/>
    </xf>
    <xf numFmtId="0" fontId="0" fillId="25" borderId="0" xfId="0" applyFill="1"/>
    <xf numFmtId="0" fontId="0" fillId="0" borderId="20" xfId="0" applyBorder="1" applyAlignment="1">
      <alignment vertical="center"/>
    </xf>
    <xf numFmtId="3" fontId="26" fillId="0" borderId="20" xfId="0" applyNumberFormat="1" applyFont="1" applyBorder="1" applyAlignment="1">
      <alignment horizontal="right" vertical="center" indent="1"/>
    </xf>
    <xf numFmtId="3" fontId="26" fillId="0" borderId="0" xfId="0" applyNumberFormat="1" applyFont="1" applyAlignment="1">
      <alignment horizontal="right" vertical="center" indent="1"/>
    </xf>
    <xf numFmtId="3" fontId="26" fillId="0" borderId="21" xfId="0" applyNumberFormat="1" applyFont="1" applyBorder="1" applyAlignment="1">
      <alignment horizontal="right" vertical="center" indent="1"/>
    </xf>
    <xf numFmtId="0" fontId="0" fillId="0" borderId="4" xfId="0" applyBorder="1" applyAlignment="1">
      <alignment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4" xfId="0" applyBorder="1"/>
    <xf numFmtId="0" fontId="0" fillId="0" borderId="6" xfId="0" applyBorder="1"/>
    <xf numFmtId="0" fontId="27" fillId="0" borderId="0" xfId="0" applyFont="1"/>
    <xf numFmtId="0" fontId="6" fillId="0" borderId="0" xfId="0" applyFont="1" applyAlignment="1">
      <alignment horizontal="left" indent="2"/>
    </xf>
    <xf numFmtId="0" fontId="4" fillId="0" borderId="0" xfId="3"/>
    <xf numFmtId="0" fontId="28" fillId="0" borderId="0" xfId="0" applyFont="1"/>
    <xf numFmtId="9" fontId="0" fillId="2" borderId="0" xfId="2" applyFont="1" applyFill="1" applyAlignment="1">
      <alignment horizontal="right" vertical="center" indent="1"/>
    </xf>
    <xf numFmtId="9" fontId="0" fillId="0" borderId="0" xfId="2" applyFont="1" applyAlignment="1">
      <alignment horizontal="right" vertical="center" indent="1"/>
    </xf>
    <xf numFmtId="9" fontId="0" fillId="0" borderId="0" xfId="2" applyFont="1" applyFill="1" applyAlignment="1">
      <alignment horizontal="right" vertical="center" indent="1"/>
    </xf>
    <xf numFmtId="9" fontId="0" fillId="2" borderId="21" xfId="2" applyFont="1" applyFill="1" applyBorder="1" applyAlignment="1">
      <alignment horizontal="right" vertical="center" indent="1"/>
    </xf>
    <xf numFmtId="164" fontId="0" fillId="0" borderId="11" xfId="2" applyNumberFormat="1" applyFont="1" applyFill="1" applyBorder="1" applyAlignment="1">
      <alignment horizontal="right" vertical="center" indent="1"/>
    </xf>
    <xf numFmtId="164" fontId="0" fillId="0" borderId="12" xfId="2" applyNumberFormat="1" applyFont="1" applyFill="1" applyBorder="1" applyAlignment="1">
      <alignment horizontal="right" vertical="center" indent="1"/>
    </xf>
    <xf numFmtId="164" fontId="0" fillId="0" borderId="13" xfId="2" applyNumberFormat="1" applyFont="1" applyFill="1" applyBorder="1" applyAlignment="1">
      <alignment horizontal="right" vertical="center" indent="1"/>
    </xf>
    <xf numFmtId="164" fontId="0" fillId="0" borderId="0" xfId="2" applyNumberFormat="1" applyFont="1" applyFill="1" applyBorder="1" applyAlignment="1">
      <alignment horizontal="right" vertical="center" indent="1"/>
    </xf>
    <xf numFmtId="9" fontId="0" fillId="2" borderId="12" xfId="2" applyFont="1" applyFill="1" applyBorder="1" applyAlignment="1">
      <alignment horizontal="right" vertical="center" indent="1"/>
    </xf>
    <xf numFmtId="9" fontId="0" fillId="0" borderId="12" xfId="2" applyFont="1" applyFill="1" applyBorder="1" applyAlignment="1">
      <alignment horizontal="right" vertical="center" indent="1"/>
    </xf>
    <xf numFmtId="9" fontId="0" fillId="2" borderId="13" xfId="2" applyFont="1" applyFill="1" applyBorder="1" applyAlignment="1">
      <alignment horizontal="right" vertical="center" indent="1"/>
    </xf>
    <xf numFmtId="9" fontId="0" fillId="0" borderId="13" xfId="2" applyFont="1" applyFill="1" applyBorder="1" applyAlignment="1">
      <alignment horizontal="right" vertical="center" indent="1"/>
    </xf>
    <xf numFmtId="9" fontId="26" fillId="0" borderId="20" xfId="2" applyFont="1" applyBorder="1" applyAlignment="1">
      <alignment horizontal="right" vertical="center" indent="1"/>
    </xf>
    <xf numFmtId="9" fontId="26" fillId="0" borderId="0" xfId="2" applyFont="1" applyAlignment="1">
      <alignment horizontal="right" vertical="center" indent="1"/>
    </xf>
    <xf numFmtId="9" fontId="26" fillId="0" borderId="21" xfId="2" applyFont="1" applyBorder="1" applyAlignment="1">
      <alignment horizontal="right" vertical="center" indent="1"/>
    </xf>
    <xf numFmtId="9" fontId="26" fillId="0" borderId="0" xfId="2" applyFont="1" applyBorder="1" applyAlignment="1">
      <alignment horizontal="right" vertical="center" indent="1"/>
    </xf>
    <xf numFmtId="9" fontId="0" fillId="0" borderId="0" xfId="2" applyFont="1"/>
    <xf numFmtId="3" fontId="0" fillId="0" borderId="0" xfId="2" applyNumberFormat="1" applyFont="1" applyFill="1" applyAlignment="1">
      <alignment horizontal="right" vertical="center" indent="1"/>
    </xf>
    <xf numFmtId="9" fontId="0" fillId="0" borderId="20" xfId="2" applyFont="1" applyBorder="1" applyAlignment="1">
      <alignment horizontal="right" vertical="center" indent="1"/>
    </xf>
    <xf numFmtId="9" fontId="0" fillId="0" borderId="21" xfId="2" applyFont="1" applyBorder="1" applyAlignment="1">
      <alignment horizontal="right" vertical="center" indent="1"/>
    </xf>
    <xf numFmtId="9" fontId="0" fillId="0" borderId="0" xfId="2" applyFont="1" applyBorder="1" applyAlignment="1">
      <alignment horizontal="right" vertical="center" indent="1"/>
    </xf>
    <xf numFmtId="3" fontId="0" fillId="2" borderId="11" xfId="2" applyNumberFormat="1" applyFont="1" applyFill="1" applyBorder="1" applyAlignment="1">
      <alignment horizontal="right" vertical="center" indent="1"/>
    </xf>
    <xf numFmtId="3" fontId="0" fillId="2" borderId="12" xfId="2" applyNumberFormat="1" applyFont="1" applyFill="1" applyBorder="1" applyAlignment="1">
      <alignment horizontal="right" vertical="center" indent="1"/>
    </xf>
    <xf numFmtId="3" fontId="0" fillId="2" borderId="13" xfId="2" applyNumberFormat="1" applyFont="1" applyFill="1" applyBorder="1" applyAlignment="1">
      <alignment horizontal="right" vertical="center" indent="1"/>
    </xf>
    <xf numFmtId="3" fontId="0" fillId="0" borderId="0" xfId="0" applyNumberFormat="1"/>
    <xf numFmtId="3" fontId="0" fillId="2" borderId="0" xfId="2" applyNumberFormat="1" applyFont="1" applyFill="1" applyAlignment="1">
      <alignment horizontal="right" vertical="center" indent="1"/>
    </xf>
    <xf numFmtId="3" fontId="0" fillId="2" borderId="3" xfId="2" applyNumberFormat="1" applyFont="1" applyFill="1" applyBorder="1" applyAlignment="1">
      <alignment horizontal="right" vertical="center" indent="1"/>
    </xf>
    <xf numFmtId="3" fontId="0" fillId="2" borderId="6" xfId="2" applyNumberFormat="1" applyFont="1" applyFill="1" applyBorder="1" applyAlignment="1">
      <alignment horizontal="right" vertical="center" indent="1"/>
    </xf>
    <xf numFmtId="0" fontId="0" fillId="0" borderId="20" xfId="0" applyBorder="1" applyAlignment="1">
      <alignment horizontal="center" vertical="center"/>
    </xf>
    <xf numFmtId="3" fontId="0" fillId="2" borderId="3" xfId="0" applyNumberFormat="1" applyFill="1" applyBorder="1" applyAlignment="1">
      <alignment horizontal="right" vertical="center" indent="1"/>
    </xf>
    <xf numFmtId="0" fontId="0" fillId="0" borderId="21" xfId="0" quotePrefix="1" applyBorder="1" applyAlignment="1">
      <alignment vertical="center"/>
    </xf>
    <xf numFmtId="3" fontId="0" fillId="2" borderId="6" xfId="0" applyNumberFormat="1" applyFill="1" applyBorder="1" applyAlignment="1">
      <alignment horizontal="right" vertical="center" indent="1"/>
    </xf>
    <xf numFmtId="0" fontId="0" fillId="0" borderId="15" xfId="0" applyBorder="1" applyAlignment="1">
      <alignment horizontal="center"/>
    </xf>
    <xf numFmtId="0" fontId="6" fillId="0" borderId="1" xfId="0" applyFont="1" applyBorder="1"/>
    <xf numFmtId="0" fontId="6" fillId="0" borderId="2" xfId="0" applyFont="1" applyBorder="1"/>
    <xf numFmtId="0" fontId="0" fillId="0" borderId="3" xfId="0" applyBorder="1"/>
    <xf numFmtId="0" fontId="0" fillId="27" borderId="1" xfId="0" applyFill="1" applyBorder="1" applyAlignment="1">
      <alignment horizontal="center"/>
    </xf>
    <xf numFmtId="0" fontId="0" fillId="27" borderId="2" xfId="0" applyFill="1" applyBorder="1" applyAlignment="1">
      <alignment horizontal="center"/>
    </xf>
    <xf numFmtId="0" fontId="0" fillId="27" borderId="3" xfId="0" applyFill="1" applyBorder="1" applyAlignment="1">
      <alignment horizontal="center"/>
    </xf>
    <xf numFmtId="2" fontId="0" fillId="0" borderId="1" xfId="0" applyNumberFormat="1" applyBorder="1" applyAlignment="1">
      <alignment horizontal="center"/>
    </xf>
    <xf numFmtId="2" fontId="0" fillId="0" borderId="3" xfId="0" applyNumberFormat="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6" fillId="0" borderId="20" xfId="0" applyFont="1" applyBorder="1" applyAlignment="1">
      <alignment vertical="center"/>
    </xf>
    <xf numFmtId="0" fontId="0" fillId="0" borderId="21" xfId="0" applyBorder="1" applyAlignment="1">
      <alignment horizontal="center" vertical="center" wrapText="1"/>
    </xf>
    <xf numFmtId="0" fontId="0" fillId="0" borderId="20" xfId="0"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6" fillId="0" borderId="20" xfId="0" applyFont="1" applyBorder="1"/>
    <xf numFmtId="0" fontId="0" fillId="0" borderId="21" xfId="0" applyBorder="1"/>
    <xf numFmtId="0" fontId="0" fillId="0" borderId="20" xfId="0" applyBorder="1"/>
    <xf numFmtId="0" fontId="0" fillId="0" borderId="21" xfId="0" applyBorder="1" applyAlignment="1">
      <alignment horizontal="center"/>
    </xf>
    <xf numFmtId="0" fontId="0" fillId="0" borderId="20" xfId="0" applyBorder="1" applyAlignment="1">
      <alignment horizontal="center"/>
    </xf>
    <xf numFmtId="0" fontId="0" fillId="0" borderId="22" xfId="0" applyBorder="1"/>
    <xf numFmtId="3" fontId="6" fillId="0" borderId="0" xfId="0" applyNumberFormat="1" applyFont="1"/>
    <xf numFmtId="165" fontId="0" fillId="0" borderId="21" xfId="0" applyNumberFormat="1" applyBorder="1" applyAlignment="1">
      <alignment horizontal="center"/>
    </xf>
    <xf numFmtId="1" fontId="0" fillId="0" borderId="20" xfId="0" applyNumberFormat="1" applyBorder="1" applyAlignment="1">
      <alignment horizontal="center"/>
    </xf>
    <xf numFmtId="1" fontId="0" fillId="0" borderId="21" xfId="0" applyNumberFormat="1" applyBorder="1" applyAlignment="1">
      <alignment horizontal="center"/>
    </xf>
    <xf numFmtId="0" fontId="0" fillId="2" borderId="20" xfId="0" applyFill="1" applyBorder="1" applyAlignment="1">
      <alignment horizontal="center"/>
    </xf>
    <xf numFmtId="2" fontId="0" fillId="0" borderId="21" xfId="0" applyNumberFormat="1" applyBorder="1" applyAlignment="1">
      <alignment horizontal="center"/>
    </xf>
    <xf numFmtId="0" fontId="0" fillId="28" borderId="0" xfId="0" applyFill="1" applyAlignment="1">
      <alignment horizontal="center"/>
    </xf>
    <xf numFmtId="166" fontId="6" fillId="0" borderId="0" xfId="0" applyNumberFormat="1" applyFont="1"/>
    <xf numFmtId="1" fontId="0" fillId="0" borderId="20" xfId="0" applyNumberFormat="1" applyBorder="1"/>
    <xf numFmtId="9" fontId="0" fillId="0" borderId="0" xfId="2" applyFont="1" applyFill="1" applyBorder="1"/>
    <xf numFmtId="1" fontId="0" fillId="0" borderId="0" xfId="0" applyNumberFormat="1"/>
    <xf numFmtId="0" fontId="6" fillId="0" borderId="20" xfId="0" applyFont="1" applyBorder="1" applyAlignment="1">
      <alignment horizontal="left"/>
    </xf>
    <xf numFmtId="0" fontId="0" fillId="0" borderId="0" xfId="0" quotePrefix="1" applyAlignment="1">
      <alignment horizontal="center"/>
    </xf>
    <xf numFmtId="0" fontId="0" fillId="2" borderId="0" xfId="0" quotePrefix="1" applyFill="1" applyAlignment="1">
      <alignment horizontal="center"/>
    </xf>
    <xf numFmtId="0" fontId="0" fillId="28" borderId="0" xfId="0" quotePrefix="1" applyFill="1" applyAlignment="1">
      <alignment horizontal="center"/>
    </xf>
    <xf numFmtId="165" fontId="6" fillId="0" borderId="0" xfId="0" applyNumberFormat="1" applyFont="1" applyAlignment="1">
      <alignment horizontal="right" indent="1"/>
    </xf>
    <xf numFmtId="9" fontId="0" fillId="0" borderId="21" xfId="2" applyFont="1" applyBorder="1" applyAlignment="1">
      <alignment horizontal="right" indent="1"/>
    </xf>
    <xf numFmtId="9" fontId="0" fillId="0" borderId="21" xfId="2" applyFont="1" applyBorder="1"/>
    <xf numFmtId="0" fontId="6" fillId="0" borderId="0" xfId="0" applyFont="1" applyAlignment="1">
      <alignment horizontal="center"/>
    </xf>
    <xf numFmtId="0" fontId="6" fillId="0" borderId="4" xfId="0" applyFont="1" applyBorder="1"/>
    <xf numFmtId="165" fontId="6" fillId="0" borderId="5" xfId="0" applyNumberFormat="1" applyFont="1" applyBorder="1" applyAlignment="1">
      <alignment horizontal="right" indent="1"/>
    </xf>
    <xf numFmtId="0" fontId="0" fillId="0" borderId="4" xfId="0" applyBorder="1" applyAlignment="1">
      <alignment horizontal="center"/>
    </xf>
    <xf numFmtId="0" fontId="0" fillId="0" borderId="6" xfId="0" applyBorder="1" applyAlignment="1">
      <alignment horizontal="center"/>
    </xf>
    <xf numFmtId="0" fontId="0" fillId="0" borderId="16" xfId="0" applyBorder="1"/>
    <xf numFmtId="0" fontId="0" fillId="0" borderId="2" xfId="0" applyBorder="1" applyAlignment="1">
      <alignment horizontal="center"/>
    </xf>
    <xf numFmtId="167" fontId="0" fillId="0" borderId="0" xfId="0" applyNumberFormat="1" applyAlignment="1">
      <alignment horizontal="right" vertical="center" indent="1"/>
    </xf>
    <xf numFmtId="3" fontId="0" fillId="0" borderId="0" xfId="0" applyNumberFormat="1" applyAlignment="1">
      <alignment horizontal="center" vertical="center"/>
    </xf>
    <xf numFmtId="167" fontId="0" fillId="0" borderId="21" xfId="0" applyNumberFormat="1" applyBorder="1" applyAlignment="1">
      <alignment horizontal="center" vertical="center"/>
    </xf>
    <xf numFmtId="9" fontId="0" fillId="0" borderId="5" xfId="2" applyFont="1" applyBorder="1" applyAlignment="1">
      <alignment horizontal="center"/>
    </xf>
    <xf numFmtId="0" fontId="0" fillId="0" borderId="1" xfId="0" applyBorder="1"/>
    <xf numFmtId="3" fontId="0" fillId="0" borderId="0" xfId="2" applyNumberFormat="1" applyFont="1" applyAlignment="1">
      <alignment horizontal="right" vertical="center" indent="1"/>
    </xf>
    <xf numFmtId="3" fontId="0" fillId="0" borderId="21" xfId="2" applyNumberFormat="1" applyFont="1" applyBorder="1" applyAlignment="1">
      <alignment horizontal="right" vertical="center" indent="1"/>
    </xf>
    <xf numFmtId="3" fontId="31" fillId="0" borderId="0" xfId="0" applyNumberFormat="1" applyFont="1" applyAlignment="1">
      <alignment horizontal="right" vertical="center" indent="1"/>
    </xf>
    <xf numFmtId="0" fontId="31" fillId="0" borderId="0" xfId="0" applyFont="1" applyAlignment="1">
      <alignment horizontal="right" vertical="center"/>
    </xf>
    <xf numFmtId="0" fontId="31" fillId="0" borderId="0" xfId="0" applyFont="1" applyAlignment="1">
      <alignment horizontal="center" vertical="center"/>
    </xf>
    <xf numFmtId="167" fontId="0" fillId="0" borderId="23" xfId="0" applyNumberFormat="1" applyBorder="1" applyAlignment="1">
      <alignment horizontal="right" vertical="center" indent="1"/>
    </xf>
    <xf numFmtId="165" fontId="0" fillId="0" borderId="23" xfId="0" applyNumberFormat="1" applyBorder="1" applyAlignment="1">
      <alignment horizontal="right" vertical="center" indent="1"/>
    </xf>
    <xf numFmtId="167" fontId="0" fillId="0" borderId="21" xfId="0" applyNumberFormat="1" applyBorder="1" applyAlignment="1">
      <alignment horizontal="right" vertical="center" indent="1"/>
    </xf>
    <xf numFmtId="167" fontId="31" fillId="0" borderId="0" xfId="0" applyNumberFormat="1" applyFont="1" applyAlignment="1">
      <alignment horizontal="right" vertical="center" indent="1"/>
    </xf>
    <xf numFmtId="4" fontId="31" fillId="0" borderId="0" xfId="0" applyNumberFormat="1" applyFont="1" applyAlignment="1">
      <alignment horizontal="right" vertical="center" indent="1"/>
    </xf>
    <xf numFmtId="167" fontId="0" fillId="0" borderId="22" xfId="0" applyNumberFormat="1" applyBorder="1" applyAlignment="1">
      <alignment horizontal="right" vertical="center" indent="1"/>
    </xf>
    <xf numFmtId="165" fontId="0" fillId="0" borderId="22" xfId="0" applyNumberFormat="1" applyBorder="1" applyAlignment="1">
      <alignment horizontal="right" vertical="center" indent="1"/>
    </xf>
    <xf numFmtId="3" fontId="31" fillId="0" borderId="0" xfId="0" applyNumberFormat="1" applyFont="1" applyAlignment="1">
      <alignment horizontal="left" vertical="center" indent="1"/>
    </xf>
    <xf numFmtId="167" fontId="0" fillId="0" borderId="16" xfId="0" applyNumberFormat="1" applyBorder="1" applyAlignment="1">
      <alignment horizontal="right" vertical="center" indent="1"/>
    </xf>
    <xf numFmtId="165" fontId="0" fillId="0" borderId="16" xfId="0" applyNumberFormat="1" applyBorder="1" applyAlignment="1">
      <alignment horizontal="right" vertical="center" indent="1"/>
    </xf>
    <xf numFmtId="9" fontId="0" fillId="0" borderId="0" xfId="2" applyFont="1" applyBorder="1" applyAlignment="1">
      <alignment horizontal="center" vertical="center"/>
    </xf>
    <xf numFmtId="9" fontId="31" fillId="0" borderId="0" xfId="2" applyFont="1" applyAlignment="1">
      <alignment horizontal="right" vertical="center" indent="1"/>
    </xf>
    <xf numFmtId="0" fontId="0" fillId="0" borderId="1" xfId="0" applyBorder="1" applyAlignment="1">
      <alignment vertical="center"/>
    </xf>
    <xf numFmtId="3" fontId="0" fillId="0" borderId="3" xfId="0" applyNumberFormat="1" applyBorder="1" applyAlignment="1">
      <alignment horizontal="right" vertical="center" indent="1"/>
    </xf>
    <xf numFmtId="9" fontId="0" fillId="0" borderId="5" xfId="2" applyFont="1" applyBorder="1" applyAlignment="1">
      <alignment horizontal="right" vertical="center" indent="1"/>
    </xf>
    <xf numFmtId="9" fontId="0" fillId="0" borderId="6" xfId="2" applyFont="1" applyBorder="1" applyAlignment="1">
      <alignment horizontal="right" vertical="center" indent="1"/>
    </xf>
    <xf numFmtId="3" fontId="6" fillId="0" borderId="0" xfId="0" applyNumberFormat="1" applyFont="1" applyAlignment="1">
      <alignment horizontal="center"/>
    </xf>
    <xf numFmtId="168" fontId="6" fillId="0" borderId="0" xfId="1" applyNumberFormat="1" applyFont="1" applyAlignment="1">
      <alignment horizontal="center"/>
    </xf>
    <xf numFmtId="3" fontId="0" fillId="0" borderId="0" xfId="0" applyNumberFormat="1" applyAlignment="1">
      <alignment vertical="center"/>
    </xf>
    <xf numFmtId="9" fontId="6" fillId="0" borderId="0" xfId="2" applyFont="1" applyAlignment="1">
      <alignment horizontal="center"/>
    </xf>
    <xf numFmtId="9" fontId="6" fillId="0" borderId="0" xfId="0" applyNumberFormat="1" applyFont="1" applyAlignment="1">
      <alignment horizontal="center"/>
    </xf>
    <xf numFmtId="9" fontId="0" fillId="0" borderId="0" xfId="0" applyNumberFormat="1"/>
    <xf numFmtId="168" fontId="0" fillId="0" borderId="0" xfId="1" applyNumberFormat="1" applyFont="1"/>
    <xf numFmtId="0" fontId="6" fillId="0" borderId="0" xfId="0" quotePrefix="1" applyFont="1"/>
    <xf numFmtId="168" fontId="0" fillId="0" borderId="0" xfId="1" applyNumberFormat="1" applyFont="1" applyAlignment="1">
      <alignment horizontal="right" vertical="center" indent="1"/>
    </xf>
    <xf numFmtId="168" fontId="0" fillId="0" borderId="21" xfId="1" applyNumberFormat="1" applyFont="1" applyBorder="1" applyAlignment="1">
      <alignment horizontal="right" vertical="center" indent="1"/>
    </xf>
    <xf numFmtId="3" fontId="0" fillId="0" borderId="20" xfId="0" applyNumberFormat="1" applyBorder="1" applyAlignment="1">
      <alignment horizontal="center" vertical="center"/>
    </xf>
    <xf numFmtId="3" fontId="0" fillId="0" borderId="21" xfId="0" applyNumberFormat="1" applyBorder="1" applyAlignment="1">
      <alignment horizontal="center" vertical="center"/>
    </xf>
    <xf numFmtId="0" fontId="0" fillId="0" borderId="0" xfId="0" applyAlignment="1">
      <alignment horizontal="right" vertical="center" indent="1"/>
    </xf>
    <xf numFmtId="164" fontId="0" fillId="0" borderId="0" xfId="2" applyNumberFormat="1" applyFont="1" applyAlignment="1">
      <alignment horizontal="right" vertical="center" indent="1"/>
    </xf>
    <xf numFmtId="164" fontId="0" fillId="0" borderId="0" xfId="2" applyNumberFormat="1" applyFont="1" applyBorder="1" applyAlignment="1">
      <alignment horizontal="right" vertical="center" indent="1"/>
    </xf>
    <xf numFmtId="164" fontId="0" fillId="0" borderId="21" xfId="2" applyNumberFormat="1" applyFont="1" applyBorder="1" applyAlignment="1">
      <alignment horizontal="right" vertical="center" indent="1"/>
    </xf>
    <xf numFmtId="3" fontId="0" fillId="0" borderId="4" xfId="0" applyNumberFormat="1" applyBorder="1" applyAlignment="1">
      <alignment horizontal="center" vertical="center"/>
    </xf>
    <xf numFmtId="3" fontId="0" fillId="0" borderId="6" xfId="0" applyNumberFormat="1" applyBorder="1" applyAlignment="1">
      <alignment horizontal="center" vertical="center"/>
    </xf>
    <xf numFmtId="0" fontId="0" fillId="0" borderId="4" xfId="0" applyBorder="1" applyAlignment="1">
      <alignment horizontal="center" vertical="center"/>
    </xf>
    <xf numFmtId="168" fontId="0" fillId="0" borderId="5" xfId="0" applyNumberFormat="1" applyBorder="1" applyAlignment="1">
      <alignment horizontal="center" vertical="center"/>
    </xf>
    <xf numFmtId="168" fontId="0" fillId="0" borderId="6" xfId="0" applyNumberFormat="1" applyBorder="1" applyAlignment="1">
      <alignment horizontal="center" vertical="center"/>
    </xf>
    <xf numFmtId="0" fontId="9" fillId="0" borderId="0" xfId="0" applyFont="1" applyAlignment="1">
      <alignment horizontal="left" vertical="center" indent="2"/>
    </xf>
    <xf numFmtId="0" fontId="26" fillId="29" borderId="0" xfId="0" applyFont="1" applyFill="1" applyAlignment="1">
      <alignment vertical="center"/>
    </xf>
    <xf numFmtId="0" fontId="4" fillId="29" borderId="0" xfId="3" applyFill="1" applyAlignment="1">
      <alignment vertical="center"/>
    </xf>
    <xf numFmtId="0" fontId="9" fillId="0" borderId="0" xfId="0" applyFont="1" applyAlignment="1">
      <alignment horizontal="left" vertical="center"/>
    </xf>
    <xf numFmtId="0" fontId="0" fillId="0" borderId="20" xfId="0" applyBorder="1" applyAlignment="1">
      <alignment horizontal="right" vertical="center" indent="1"/>
    </xf>
    <xf numFmtId="0" fontId="0" fillId="2" borderId="0" xfId="0" applyFill="1" applyAlignment="1">
      <alignment horizontal="right" vertical="center" indent="1"/>
    </xf>
    <xf numFmtId="1" fontId="0" fillId="0" borderId="20" xfId="0" applyNumberFormat="1" applyBorder="1" applyAlignment="1">
      <alignment horizontal="right" vertical="center" indent="1"/>
    </xf>
    <xf numFmtId="1" fontId="0" fillId="0" borderId="0" xfId="0" applyNumberFormat="1" applyAlignment="1">
      <alignment horizontal="right" vertical="center" indent="1"/>
    </xf>
    <xf numFmtId="0" fontId="9" fillId="0" borderId="0" xfId="0" applyFont="1" applyAlignment="1">
      <alignment horizontal="left" vertical="center" indent="1"/>
    </xf>
    <xf numFmtId="1" fontId="9" fillId="0" borderId="0" xfId="0" applyNumberFormat="1" applyFont="1" applyAlignment="1">
      <alignment horizontal="right" vertical="center" indent="1"/>
    </xf>
    <xf numFmtId="0" fontId="9" fillId="0" borderId="0" xfId="0" applyFont="1" applyAlignment="1">
      <alignment horizontal="right" vertical="center" indent="1"/>
    </xf>
    <xf numFmtId="3" fontId="35" fillId="26" borderId="1" xfId="4" applyNumberFormat="1" applyFont="1" applyFill="1" applyBorder="1" applyAlignment="1">
      <alignment horizontal="center" vertical="center"/>
    </xf>
    <xf numFmtId="3" fontId="35" fillId="26" borderId="2" xfId="4" applyNumberFormat="1" applyFont="1" applyFill="1" applyBorder="1" applyAlignment="1">
      <alignment horizontal="center" vertical="center"/>
    </xf>
    <xf numFmtId="1" fontId="0" fillId="0" borderId="3" xfId="0" applyNumberFormat="1" applyBorder="1" applyAlignment="1">
      <alignment horizontal="right" vertical="center" indent="1"/>
    </xf>
    <xf numFmtId="3" fontId="35" fillId="0" borderId="4" xfId="4" applyNumberFormat="1" applyFont="1" applyBorder="1" applyAlignment="1">
      <alignment horizontal="center" vertical="center"/>
    </xf>
    <xf numFmtId="3" fontId="35" fillId="0" borderId="0" xfId="4" applyNumberFormat="1" applyFont="1" applyAlignment="1">
      <alignment horizontal="center" vertical="center"/>
    </xf>
    <xf numFmtId="1" fontId="0" fillId="0" borderId="6" xfId="0" applyNumberFormat="1" applyBorder="1" applyAlignment="1">
      <alignment horizontal="right" vertical="center" indent="1"/>
    </xf>
    <xf numFmtId="9" fontId="9" fillId="26" borderId="0" xfId="0" applyNumberFormat="1" applyFont="1" applyFill="1"/>
    <xf numFmtId="0" fontId="0" fillId="0" borderId="0" xfId="0" quotePrefix="1"/>
    <xf numFmtId="0" fontId="3" fillId="0" borderId="4" xfId="0" applyFont="1" applyBorder="1" applyAlignment="1">
      <alignment vertical="center"/>
    </xf>
    <xf numFmtId="0" fontId="3" fillId="0" borderId="0" xfId="0" applyFont="1" applyAlignment="1">
      <alignment vertical="center"/>
    </xf>
    <xf numFmtId="0" fontId="3" fillId="0" borderId="0" xfId="0" applyFont="1" applyAlignment="1">
      <alignment horizontal="center" vertical="center"/>
    </xf>
    <xf numFmtId="168" fontId="3" fillId="0" borderId="5" xfId="0" applyNumberFormat="1" applyFont="1" applyBorder="1" applyAlignment="1">
      <alignment horizontal="center" vertical="center"/>
    </xf>
    <xf numFmtId="0" fontId="0" fillId="0" borderId="5" xfId="0" applyBorder="1" applyAlignment="1">
      <alignment horizontal="right" vertical="center" indent="1"/>
    </xf>
    <xf numFmtId="164" fontId="0" fillId="0" borderId="5" xfId="2" applyNumberFormat="1" applyFont="1" applyBorder="1" applyAlignment="1">
      <alignment horizontal="right" vertical="center" indent="1"/>
    </xf>
    <xf numFmtId="168" fontId="0" fillId="0" borderId="5" xfId="1" applyNumberFormat="1" applyFont="1" applyBorder="1" applyAlignment="1">
      <alignment horizontal="right" vertical="center" indent="1"/>
    </xf>
    <xf numFmtId="168" fontId="0" fillId="0" borderId="6" xfId="1" applyNumberFormat="1" applyFont="1" applyBorder="1" applyAlignment="1">
      <alignment horizontal="right" vertical="center" indent="1"/>
    </xf>
    <xf numFmtId="168" fontId="0" fillId="0" borderId="0" xfId="0" applyNumberFormat="1"/>
    <xf numFmtId="0" fontId="3" fillId="0" borderId="11" xfId="0" applyFont="1" applyBorder="1" applyAlignment="1">
      <alignment vertical="center"/>
    </xf>
    <xf numFmtId="0" fontId="3" fillId="0" borderId="12" xfId="0" applyFont="1" applyBorder="1" applyAlignment="1">
      <alignment vertical="center"/>
    </xf>
    <xf numFmtId="0" fontId="3" fillId="0" borderId="12" xfId="0" applyFont="1" applyBorder="1" applyAlignment="1">
      <alignment horizontal="center" vertical="center"/>
    </xf>
    <xf numFmtId="0" fontId="3" fillId="0" borderId="13" xfId="0" applyFont="1" applyBorder="1" applyAlignment="1">
      <alignment horizontal="center" vertical="center"/>
    </xf>
    <xf numFmtId="168" fontId="3" fillId="0" borderId="12" xfId="0" applyNumberFormat="1" applyFont="1" applyBorder="1" applyAlignment="1">
      <alignment horizontal="center" vertical="center"/>
    </xf>
    <xf numFmtId="168" fontId="3" fillId="0" borderId="13" xfId="0" applyNumberFormat="1" applyFont="1" applyBorder="1" applyAlignment="1">
      <alignment horizontal="center" vertical="center"/>
    </xf>
    <xf numFmtId="0" fontId="6" fillId="0" borderId="0" xfId="0" applyFont="1" applyAlignment="1">
      <alignment horizontal="left" vertical="center" indent="1"/>
    </xf>
    <xf numFmtId="0" fontId="0" fillId="0" borderId="1" xfId="0" applyBorder="1" applyAlignment="1">
      <alignment horizontal="left" vertical="center" indent="1"/>
    </xf>
    <xf numFmtId="0" fontId="0" fillId="0" borderId="2" xfId="0" applyBorder="1" applyAlignment="1">
      <alignment horizontal="left" vertical="center" indent="1"/>
    </xf>
    <xf numFmtId="0" fontId="0" fillId="0" borderId="0" xfId="0" applyAlignment="1">
      <alignment horizontal="left" vertical="center" indent="1"/>
    </xf>
    <xf numFmtId="0" fontId="0" fillId="0" borderId="5" xfId="0" applyBorder="1" applyAlignment="1">
      <alignment horizontal="left" vertical="center" indent="1"/>
    </xf>
    <xf numFmtId="9" fontId="0" fillId="0" borderId="21" xfId="2" applyFont="1" applyBorder="1" applyAlignment="1">
      <alignment horizontal="center" vertical="center"/>
    </xf>
    <xf numFmtId="0" fontId="10" fillId="0" borderId="0" xfId="0" applyFont="1" applyAlignment="1">
      <alignment vertical="center"/>
    </xf>
    <xf numFmtId="1" fontId="3" fillId="0" borderId="3" xfId="0" applyNumberFormat="1" applyFont="1" applyBorder="1" applyAlignment="1">
      <alignment horizontal="center" vertical="center"/>
    </xf>
    <xf numFmtId="1" fontId="0" fillId="0" borderId="2" xfId="0" applyNumberFormat="1" applyBorder="1" applyAlignment="1">
      <alignment horizontal="center" vertical="center"/>
    </xf>
    <xf numFmtId="1" fontId="0" fillId="0" borderId="3" xfId="0" applyNumberFormat="1" applyBorder="1" applyAlignment="1">
      <alignment horizontal="center" vertical="center"/>
    </xf>
    <xf numFmtId="1" fontId="0" fillId="0" borderId="5" xfId="0" applyNumberFormat="1" applyBorder="1" applyAlignment="1">
      <alignment horizontal="center" vertical="center"/>
    </xf>
    <xf numFmtId="1" fontId="0" fillId="0" borderId="6" xfId="0" applyNumberFormat="1" applyBorder="1" applyAlignment="1">
      <alignment horizontal="center" vertical="center"/>
    </xf>
    <xf numFmtId="1" fontId="3" fillId="0" borderId="2" xfId="0" applyNumberFormat="1" applyFont="1" applyBorder="1" applyAlignment="1">
      <alignment horizontal="center" vertical="center"/>
    </xf>
    <xf numFmtId="0" fontId="0" fillId="0" borderId="5" xfId="0" applyBorder="1" applyAlignment="1">
      <alignment horizontal="center" vertical="center" wrapText="1"/>
    </xf>
    <xf numFmtId="9" fontId="0" fillId="0" borderId="0" xfId="2" applyFont="1" applyAlignment="1">
      <alignment horizontal="center"/>
    </xf>
    <xf numFmtId="9" fontId="0" fillId="0" borderId="0" xfId="0" applyNumberFormat="1" applyAlignment="1">
      <alignment horizontal="right" indent="1"/>
    </xf>
    <xf numFmtId="9" fontId="0" fillId="0" borderId="0" xfId="2" applyFont="1" applyFill="1"/>
    <xf numFmtId="0" fontId="42" fillId="0" borderId="0" xfId="0" applyFont="1"/>
    <xf numFmtId="9" fontId="41" fillId="0" borderId="0" xfId="2" applyFont="1" applyAlignment="1">
      <alignment horizontal="center"/>
    </xf>
    <xf numFmtId="0" fontId="42" fillId="0" borderId="0" xfId="0" applyFont="1" applyAlignment="1">
      <alignment horizontal="center"/>
    </xf>
    <xf numFmtId="9" fontId="42" fillId="0" borderId="0" xfId="2" applyFont="1" applyAlignment="1">
      <alignment horizontal="center"/>
    </xf>
    <xf numFmtId="0" fontId="41" fillId="0" borderId="0" xfId="0" applyFont="1"/>
    <xf numFmtId="0" fontId="43" fillId="0" borderId="0" xfId="0" applyFont="1" applyAlignment="1">
      <alignment horizontal="center"/>
    </xf>
    <xf numFmtId="164" fontId="41" fillId="0" borderId="0" xfId="2" applyNumberFormat="1" applyFont="1" applyAlignment="1">
      <alignment horizontal="center"/>
    </xf>
    <xf numFmtId="0" fontId="41" fillId="0" borderId="0" xfId="0" applyFont="1" applyAlignment="1">
      <alignment horizontal="center"/>
    </xf>
    <xf numFmtId="168" fontId="41" fillId="0" borderId="0" xfId="1" applyNumberFormat="1" applyFont="1" applyAlignment="1">
      <alignment horizontal="center"/>
    </xf>
    <xf numFmtId="9" fontId="41" fillId="0" borderId="0" xfId="0" applyNumberFormat="1" applyFont="1" applyAlignment="1">
      <alignment horizontal="center"/>
    </xf>
    <xf numFmtId="3" fontId="41" fillId="0" borderId="0" xfId="0" applyNumberFormat="1" applyFont="1" applyAlignment="1">
      <alignment horizontal="center"/>
    </xf>
    <xf numFmtId="0" fontId="31" fillId="0" borderId="20" xfId="0" applyFont="1" applyBorder="1" applyAlignment="1">
      <alignment horizontal="left" vertical="center" indent="1"/>
    </xf>
    <xf numFmtId="0" fontId="31" fillId="0" borderId="0" xfId="0" applyFont="1" applyAlignment="1">
      <alignment vertical="center"/>
    </xf>
    <xf numFmtId="0" fontId="31" fillId="0" borderId="0" xfId="0" quotePrefix="1" applyFont="1" applyAlignment="1">
      <alignment horizontal="center" vertical="center"/>
    </xf>
    <xf numFmtId="0" fontId="31" fillId="0" borderId="21" xfId="0" applyFont="1" applyBorder="1" applyAlignment="1">
      <alignment vertical="center"/>
    </xf>
    <xf numFmtId="0" fontId="31" fillId="0" borderId="20" xfId="0" applyFont="1" applyBorder="1"/>
    <xf numFmtId="0" fontId="31" fillId="0" borderId="0" xfId="0" applyFont="1"/>
    <xf numFmtId="167" fontId="31" fillId="0" borderId="22" xfId="0" applyNumberFormat="1" applyFont="1" applyBorder="1" applyAlignment="1">
      <alignment horizontal="right" vertical="center" indent="1"/>
    </xf>
    <xf numFmtId="165" fontId="31" fillId="0" borderId="22" xfId="0" applyNumberFormat="1" applyFont="1" applyBorder="1" applyAlignment="1">
      <alignment horizontal="right" vertical="center" indent="1"/>
    </xf>
    <xf numFmtId="9" fontId="31" fillId="0" borderId="0" xfId="2" applyFont="1" applyBorder="1" applyAlignment="1">
      <alignment horizontal="right" vertical="center" indent="1"/>
    </xf>
    <xf numFmtId="9" fontId="31" fillId="0" borderId="21" xfId="2" applyFont="1" applyBorder="1" applyAlignment="1">
      <alignment horizontal="right" vertical="center" indent="1"/>
    </xf>
    <xf numFmtId="3" fontId="31" fillId="0" borderId="20" xfId="0" applyNumberFormat="1" applyFont="1" applyBorder="1" applyAlignment="1">
      <alignment horizontal="right" vertical="center" indent="1"/>
    </xf>
    <xf numFmtId="167" fontId="31" fillId="0" borderId="21" xfId="0" applyNumberFormat="1" applyFont="1" applyBorder="1" applyAlignment="1">
      <alignment horizontal="right" vertical="center" indent="1"/>
    </xf>
    <xf numFmtId="9" fontId="31" fillId="0" borderId="0" xfId="2" applyFont="1" applyFill="1" applyAlignment="1">
      <alignment horizontal="right" vertical="center" indent="1"/>
    </xf>
    <xf numFmtId="3" fontId="31" fillId="0" borderId="0" xfId="2" applyNumberFormat="1" applyFont="1" applyFill="1" applyAlignment="1">
      <alignment horizontal="right" vertical="center" indent="1"/>
    </xf>
    <xf numFmtId="3" fontId="31" fillId="0" borderId="21" xfId="2" applyNumberFormat="1" applyFont="1" applyFill="1" applyBorder="1" applyAlignment="1">
      <alignment horizontal="right" vertical="center" indent="1"/>
    </xf>
    <xf numFmtId="0" fontId="44" fillId="0" borderId="0" xfId="0" applyFont="1"/>
    <xf numFmtId="9" fontId="44" fillId="0" borderId="0" xfId="2" applyFont="1" applyAlignment="1">
      <alignment horizontal="center"/>
    </xf>
    <xf numFmtId="3" fontId="0" fillId="2" borderId="5" xfId="0" applyNumberFormat="1" applyFill="1" applyBorder="1" applyAlignment="1">
      <alignment horizontal="right" vertical="center" indent="1"/>
    </xf>
    <xf numFmtId="1" fontId="0" fillId="0" borderId="4" xfId="0" applyNumberFormat="1" applyBorder="1" applyAlignment="1">
      <alignment horizontal="center"/>
    </xf>
    <xf numFmtId="1" fontId="0" fillId="0" borderId="16" xfId="0" applyNumberFormat="1" applyBorder="1" applyAlignment="1">
      <alignment horizontal="center"/>
    </xf>
    <xf numFmtId="168" fontId="0" fillId="0" borderId="3" xfId="1" applyNumberFormat="1" applyFont="1" applyBorder="1" applyAlignment="1">
      <alignment horizontal="right" vertical="center" indent="1"/>
    </xf>
    <xf numFmtId="9" fontId="44" fillId="0" borderId="0" xfId="2" applyFont="1" applyFill="1" applyAlignment="1">
      <alignment horizontal="center"/>
    </xf>
    <xf numFmtId="168" fontId="3" fillId="0" borderId="6" xfId="0" applyNumberFormat="1" applyFont="1" applyBorder="1" applyAlignment="1">
      <alignment horizontal="center" vertical="center"/>
    </xf>
    <xf numFmtId="0" fontId="41" fillId="0" borderId="0" xfId="0" quotePrefix="1" applyFont="1"/>
    <xf numFmtId="0" fontId="0" fillId="30" borderId="0" xfId="0" applyFill="1" applyAlignment="1">
      <alignment horizontal="center"/>
    </xf>
    <xf numFmtId="0" fontId="0" fillId="30" borderId="0" xfId="0" quotePrefix="1" applyFill="1" applyAlignment="1">
      <alignment horizontal="center"/>
    </xf>
    <xf numFmtId="9" fontId="41" fillId="0" borderId="0" xfId="2" applyFont="1" applyFill="1" applyAlignment="1">
      <alignment horizontal="center"/>
    </xf>
    <xf numFmtId="9" fontId="6" fillId="0" borderId="0" xfId="0" applyNumberFormat="1" applyFont="1"/>
    <xf numFmtId="9" fontId="42" fillId="0" borderId="0" xfId="2" applyFont="1" applyFill="1" applyAlignment="1">
      <alignment horizontal="center"/>
    </xf>
    <xf numFmtId="9" fontId="42" fillId="0" borderId="0" xfId="0" applyNumberFormat="1" applyFont="1" applyAlignment="1">
      <alignment horizontal="center"/>
    </xf>
    <xf numFmtId="0" fontId="41" fillId="0" borderId="0" xfId="0" applyFont="1" applyAlignment="1">
      <alignment vertical="center"/>
    </xf>
    <xf numFmtId="0" fontId="41" fillId="0" borderId="0" xfId="0" applyFont="1" applyAlignment="1">
      <alignment horizontal="left" vertical="center" indent="2"/>
    </xf>
    <xf numFmtId="9" fontId="0" fillId="0" borderId="0" xfId="2" applyFont="1" applyAlignment="1">
      <alignment vertical="center"/>
    </xf>
    <xf numFmtId="0" fontId="16" fillId="11" borderId="11" xfId="0" applyFont="1" applyFill="1" applyBorder="1" applyAlignment="1">
      <alignment horizontal="center"/>
    </xf>
    <xf numFmtId="0" fontId="16" fillId="11" borderId="12" xfId="0" applyFont="1" applyFill="1" applyBorder="1" applyAlignment="1">
      <alignment horizontal="center"/>
    </xf>
    <xf numFmtId="0" fontId="16" fillId="11" borderId="13" xfId="0" applyFont="1" applyFill="1" applyBorder="1" applyAlignment="1">
      <alignment horizontal="center"/>
    </xf>
    <xf numFmtId="0" fontId="0" fillId="0" borderId="0" xfId="0" applyAlignment="1">
      <alignment horizontal="center" vertical="center"/>
    </xf>
    <xf numFmtId="0" fontId="0" fillId="25" borderId="0" xfId="0" applyFill="1" applyAlignment="1">
      <alignment horizontal="center" vertical="center" wrapText="1"/>
    </xf>
    <xf numFmtId="0" fontId="0" fillId="25" borderId="0" xfId="0" applyFill="1" applyAlignment="1">
      <alignment horizontal="center" vertical="center"/>
    </xf>
    <xf numFmtId="0" fontId="16" fillId="11" borderId="11" xfId="0" applyFont="1" applyFill="1" applyBorder="1" applyAlignment="1">
      <alignment horizontal="center" vertical="center" wrapText="1"/>
    </xf>
    <xf numFmtId="0" fontId="16" fillId="11" borderId="12" xfId="0" applyFont="1" applyFill="1" applyBorder="1" applyAlignment="1">
      <alignment horizontal="center" vertical="center" wrapText="1"/>
    </xf>
    <xf numFmtId="0" fontId="16" fillId="11" borderId="13" xfId="0" applyFont="1" applyFill="1" applyBorder="1" applyAlignment="1">
      <alignment horizontal="center" vertical="center" wrapText="1"/>
    </xf>
    <xf numFmtId="0" fontId="16" fillId="11" borderId="11" xfId="0" applyFont="1" applyFill="1" applyBorder="1" applyAlignment="1">
      <alignment horizontal="center" wrapText="1"/>
    </xf>
    <xf numFmtId="0" fontId="16" fillId="11" borderId="12" xfId="0" applyFont="1" applyFill="1" applyBorder="1" applyAlignment="1">
      <alignment horizontal="center" wrapText="1"/>
    </xf>
    <xf numFmtId="0" fontId="16" fillId="11" borderId="13" xfId="0" applyFont="1" applyFill="1" applyBorder="1" applyAlignment="1">
      <alignment horizontal="center" wrapText="1"/>
    </xf>
    <xf numFmtId="0" fontId="0" fillId="0" borderId="0" xfId="0" applyAlignment="1">
      <alignment horizontal="center"/>
    </xf>
    <xf numFmtId="0" fontId="0" fillId="0" borderId="5" xfId="0" applyBorder="1" applyAlignment="1">
      <alignment horizontal="center" vertical="center"/>
    </xf>
  </cellXfs>
  <cellStyles count="12">
    <cellStyle name="Excel_BuiltIn_Comma" xfId="9" xr:uid="{89307E65-589B-457E-B00B-615066E9E668}"/>
    <cellStyle name="Hyperlink" xfId="3" xr:uid="{DAD87A13-2F46-4BFE-923A-A2D8A9C401C5}"/>
    <cellStyle name="Milliers" xfId="1" builtinId="3"/>
    <cellStyle name="Normal" xfId="0" builtinId="0"/>
    <cellStyle name="Normal 2" xfId="5" xr:uid="{47C5B879-CFF1-4F5A-99F2-4CCCB6A26ACA}"/>
    <cellStyle name="Normal 2 2" xfId="8" xr:uid="{6C57F529-68FF-43AB-8444-7CB77F8F2569}"/>
    <cellStyle name="Normal 3" xfId="6" xr:uid="{F3D76DF3-7F13-45C7-B73C-2F363224286F}"/>
    <cellStyle name="Normal 38" xfId="4" xr:uid="{E6A72E75-7BA0-4545-BD18-901B679894B7}"/>
    <cellStyle name="Normal 4" xfId="7" xr:uid="{4878C7C8-B0CD-4A91-9376-7BA593FD0DC2}"/>
    <cellStyle name="Pourcentage" xfId="2" builtinId="5"/>
    <cellStyle name="Pourcentage 3" xfId="10" xr:uid="{F3DEEA67-8D07-4818-8486-7B40E5BD403A}"/>
    <cellStyle name="Pourcentage 3 4" xfId="11" xr:uid="{A575B998-DDA4-430A-834D-7ED5820C3095}"/>
  </cellStyles>
  <dxfs count="33">
    <dxf>
      <fill>
        <patternFill patternType="solid">
          <fgColor rgb="FFD9E1F2"/>
          <bgColor rgb="FFD9E1F2"/>
        </patternFill>
      </fill>
      <border>
        <bottom style="thin">
          <color rgb="FF8EA9DB"/>
        </bottom>
      </border>
    </dxf>
    <dxf>
      <fill>
        <patternFill patternType="solid">
          <fgColor rgb="FFD9E1F2"/>
          <bgColor rgb="FFD9E1F2"/>
        </patternFill>
      </fill>
      <border>
        <bottom style="thin">
          <color rgb="FF8EA9DB"/>
        </bottom>
      </border>
    </dxf>
    <dxf>
      <font>
        <b/>
        <color rgb="FF000000"/>
      </font>
    </dxf>
    <dxf>
      <font>
        <b/>
        <color rgb="FF000000"/>
      </font>
      <border>
        <bottom style="thin">
          <color rgb="FF8EA9DB"/>
        </bottom>
      </border>
    </dxf>
    <dxf>
      <font>
        <b/>
        <color rgb="FF000000"/>
      </font>
    </dxf>
    <dxf>
      <font>
        <b/>
        <color rgb="FF000000"/>
      </font>
      <border>
        <top style="thin">
          <color rgb="FF4472C4"/>
        </top>
        <bottom style="thin">
          <color rgb="FF4472C4"/>
        </bottom>
      </border>
    </dxf>
    <dxf>
      <fill>
        <patternFill patternType="solid">
          <fgColor rgb="FFD9D9D9"/>
          <bgColor rgb="FFD9D9D9"/>
        </patternFill>
      </fill>
    </dxf>
    <dxf>
      <fill>
        <patternFill patternType="solid">
          <fgColor rgb="FFD9D9D9"/>
          <bgColor rgb="FFD9D9D9"/>
        </patternFill>
      </fill>
      <border>
        <left style="thin">
          <color rgb="FFBFBFBF"/>
        </left>
        <right style="thin">
          <color rgb="FFBFBFBF"/>
        </right>
      </border>
    </dxf>
    <dxf>
      <fill>
        <patternFill patternType="solid">
          <fgColor rgb="FFD9D9D9"/>
          <bgColor rgb="FFD9D9D9"/>
        </patternFill>
      </fill>
    </dxf>
    <dxf>
      <font>
        <b/>
        <color rgb="FF000000"/>
      </font>
      <fill>
        <patternFill patternType="solid">
          <fgColor rgb="FFD9E1F2"/>
          <bgColor rgb="FFD9E1F2"/>
        </patternFill>
      </fill>
      <border>
        <top style="thin">
          <color rgb="FF8EA9DB"/>
        </top>
      </border>
    </dxf>
    <dxf>
      <font>
        <b/>
        <color rgb="FF000000"/>
      </font>
      <fill>
        <patternFill patternType="solid">
          <fgColor rgb="FFD9E1F2"/>
          <bgColor rgb="FFD9E1F2"/>
        </patternFill>
      </fill>
      <border>
        <bottom style="thin">
          <color rgb="FF8EA9DB"/>
        </bottom>
      </border>
    </dxf>
    <dxf>
      <fill>
        <patternFill patternType="solid">
          <fgColor rgb="FFD9E1F2"/>
          <bgColor rgb="FFD9E1F2"/>
        </patternFill>
      </fill>
      <border>
        <bottom style="thin">
          <color rgb="FF8EA9DB"/>
        </bottom>
      </border>
    </dxf>
    <dxf>
      <fill>
        <patternFill patternType="solid">
          <fgColor rgb="FFD9E1F2"/>
          <bgColor rgb="FFD9E1F2"/>
        </patternFill>
      </fill>
      <border>
        <bottom style="thin">
          <color rgb="FF8EA9DB"/>
        </bottom>
      </border>
    </dxf>
    <dxf>
      <font>
        <b/>
        <color rgb="FF000000"/>
      </font>
    </dxf>
    <dxf>
      <font>
        <b/>
        <color rgb="FF000000"/>
      </font>
      <border>
        <bottom style="thin">
          <color rgb="FF8EA9DB"/>
        </bottom>
      </border>
    </dxf>
    <dxf>
      <font>
        <b/>
        <color rgb="FF000000"/>
      </font>
    </dxf>
    <dxf>
      <font>
        <b/>
        <color rgb="FF000000"/>
      </font>
      <border>
        <top style="thin">
          <color rgb="FF4472C4"/>
        </top>
        <bottom style="thin">
          <color rgb="FF4472C4"/>
        </bottom>
      </border>
    </dxf>
    <dxf>
      <fill>
        <patternFill patternType="solid">
          <fgColor rgb="FFD9D9D9"/>
          <bgColor rgb="FFD9D9D9"/>
        </patternFill>
      </fill>
    </dxf>
    <dxf>
      <fill>
        <patternFill patternType="solid">
          <fgColor rgb="FFD9D9D9"/>
          <bgColor rgb="FFD9D9D9"/>
        </patternFill>
      </fill>
      <border>
        <left style="thin">
          <color rgb="FFBFBFBF"/>
        </left>
        <right style="thin">
          <color rgb="FFBFBFBF"/>
        </right>
      </border>
    </dxf>
    <dxf>
      <fill>
        <patternFill patternType="solid">
          <fgColor rgb="FFD9D9D9"/>
          <bgColor rgb="FFD9D9D9"/>
        </patternFill>
      </fill>
    </dxf>
    <dxf>
      <font>
        <b/>
        <color rgb="FF000000"/>
      </font>
      <fill>
        <patternFill patternType="solid">
          <fgColor rgb="FFD9E1F2"/>
          <bgColor rgb="FFD9E1F2"/>
        </patternFill>
      </fill>
      <border>
        <top style="thin">
          <color rgb="FF8EA9DB"/>
        </top>
      </border>
    </dxf>
    <dxf>
      <font>
        <b/>
        <color rgb="FF000000"/>
      </font>
      <fill>
        <patternFill patternType="solid">
          <fgColor rgb="FFD9E1F2"/>
          <bgColor rgb="FFD9E1F2"/>
        </patternFill>
      </fill>
      <border>
        <bottom style="thin">
          <color rgb="FF8EA9DB"/>
        </bottom>
      </border>
    </dxf>
    <dxf>
      <fill>
        <patternFill patternType="solid">
          <fgColor rgb="FFD9E1F2"/>
          <bgColor rgb="FFD9E1F2"/>
        </patternFill>
      </fill>
      <border>
        <bottom style="thin">
          <color rgb="FF8EA9DB"/>
        </bottom>
      </border>
    </dxf>
    <dxf>
      <fill>
        <patternFill patternType="solid">
          <fgColor rgb="FFD9E1F2"/>
          <bgColor rgb="FFD9E1F2"/>
        </patternFill>
      </fill>
      <border>
        <bottom style="thin">
          <color rgb="FF8EA9DB"/>
        </bottom>
      </border>
    </dxf>
    <dxf>
      <font>
        <b/>
        <color rgb="FF000000"/>
      </font>
    </dxf>
    <dxf>
      <font>
        <b/>
        <color rgb="FF000000"/>
      </font>
      <border>
        <bottom style="thin">
          <color rgb="FF8EA9DB"/>
        </bottom>
      </border>
    </dxf>
    <dxf>
      <font>
        <b/>
        <color rgb="FF000000"/>
      </font>
    </dxf>
    <dxf>
      <font>
        <b/>
        <color rgb="FF000000"/>
      </font>
      <border>
        <top style="thin">
          <color rgb="FF4472C4"/>
        </top>
        <bottom style="thin">
          <color rgb="FF4472C4"/>
        </bottom>
      </border>
    </dxf>
    <dxf>
      <fill>
        <patternFill patternType="solid">
          <fgColor rgb="FFD9D9D9"/>
          <bgColor rgb="FFD9D9D9"/>
        </patternFill>
      </fill>
    </dxf>
    <dxf>
      <fill>
        <patternFill patternType="solid">
          <fgColor rgb="FFD9D9D9"/>
          <bgColor rgb="FFD9D9D9"/>
        </patternFill>
      </fill>
      <border>
        <left style="thin">
          <color rgb="FFBFBFBF"/>
        </left>
        <right style="thin">
          <color rgb="FFBFBFBF"/>
        </right>
      </border>
    </dxf>
    <dxf>
      <fill>
        <patternFill patternType="solid">
          <fgColor rgb="FFD9D9D9"/>
          <bgColor rgb="FFD9D9D9"/>
        </patternFill>
      </fill>
    </dxf>
    <dxf>
      <font>
        <b/>
        <color rgb="FF000000"/>
      </font>
      <fill>
        <patternFill patternType="solid">
          <fgColor rgb="FFD9E1F2"/>
          <bgColor rgb="FFD9E1F2"/>
        </patternFill>
      </fill>
      <border>
        <top style="thin">
          <color rgb="FF8EA9DB"/>
        </top>
      </border>
    </dxf>
    <dxf>
      <font>
        <b/>
        <color rgb="FF000000"/>
      </font>
      <fill>
        <patternFill patternType="solid">
          <fgColor rgb="FFD9E1F2"/>
          <bgColor rgb="FFD9E1F2"/>
        </patternFill>
      </fill>
      <border>
        <bottom style="thin">
          <color rgb="FF8EA9DB"/>
        </bottom>
      </border>
    </dxf>
  </dxfs>
  <tableStyles count="3" defaultTableStyle="TableStyleMedium2" defaultPivotStyle="PivotStyleLight16">
    <tableStyle name="PivotStyleLight16 2" table="0" count="11" xr9:uid="{CAB747B4-0FA4-4A9A-81E1-36F497CA7A7C}">
      <tableStyleElement type="headerRow" dxfId="32"/>
      <tableStyleElement type="totalRow" dxfId="31"/>
      <tableStyleElement type="firstRowStripe" dxfId="30"/>
      <tableStyleElement type="firstColumnStripe" dxfId="29"/>
      <tableStyleElement type="firstSubtotalColumn" dxfId="28"/>
      <tableStyleElement type="firstSubtotalRow" dxfId="27"/>
      <tableStyleElement type="secondSubtotalRow" dxfId="26"/>
      <tableStyleElement type="firstRowSubheading" dxfId="25"/>
      <tableStyleElement type="secondRowSubheading" dxfId="24"/>
      <tableStyleElement type="pageFieldLabels" dxfId="23"/>
      <tableStyleElement type="pageFieldValues" dxfId="22"/>
    </tableStyle>
    <tableStyle name="PivotStyleLight16 3" table="0" count="11" xr9:uid="{71C747A8-75D7-4391-BD5D-19E221F208E8}">
      <tableStyleElement type="headerRow" dxfId="21"/>
      <tableStyleElement type="totalRow" dxfId="20"/>
      <tableStyleElement type="firstRowStripe" dxfId="19"/>
      <tableStyleElement type="firstColumnStripe" dxfId="18"/>
      <tableStyleElement type="firstSubtotalColumn" dxfId="17"/>
      <tableStyleElement type="firstSubtotalRow" dxfId="16"/>
      <tableStyleElement type="secondSubtotalRow" dxfId="15"/>
      <tableStyleElement type="firstRowSubheading" dxfId="14"/>
      <tableStyleElement type="secondRowSubheading" dxfId="13"/>
      <tableStyleElement type="pageFieldLabels" dxfId="12"/>
      <tableStyleElement type="pageFieldValues" dxfId="11"/>
    </tableStyle>
    <tableStyle name="PivotStyleLight16 4" table="0" count="11" xr9:uid="{7A6C8E07-ABEA-4132-BD58-3E2563398212}">
      <tableStyleElement type="headerRow" dxfId="10"/>
      <tableStyleElement type="totalRow" dxfId="9"/>
      <tableStyleElement type="firstRowStripe" dxfId="8"/>
      <tableStyleElement type="firstColumnStripe" dxfId="7"/>
      <tableStyleElement type="firstSubtotalColumn"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mruColors>
      <color rgb="FF009B00"/>
      <color rgb="FF97FF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TER_RENO!$C$780</c:f>
          <c:strCache>
            <c:ptCount val="1"/>
            <c:pt idx="0">
              <c:v>Investissements dans les rénovations énergétiques du parc tertiaire</c:v>
            </c:pt>
          </c:strCache>
        </c:strRef>
      </c:tx>
      <c:overlay val="0"/>
      <c:spPr>
        <a:noFill/>
        <a:ln>
          <a:noFill/>
        </a:ln>
        <a:effectLst/>
      </c:spPr>
      <c:txPr>
        <a:bodyPr rot="0" spcFirstLastPara="1" vertOverflow="ellipsis" vert="horz" wrap="square" anchor="ctr" anchorCtr="1"/>
        <a:lstStyle/>
        <a:p>
          <a:pPr>
            <a:defRPr sz="1200" b="0" i="0" u="none" strike="noStrike" kern="1200" cap="all" spc="0" baseline="0">
              <a:solidFill>
                <a:schemeClr val="tx2"/>
              </a:solidFill>
              <a:latin typeface="+mn-lt"/>
              <a:ea typeface="+mn-ea"/>
              <a:cs typeface="+mn-cs"/>
            </a:defRPr>
          </a:pPr>
          <a:endParaRPr lang="fr-FR"/>
        </a:p>
      </c:txPr>
    </c:title>
    <c:autoTitleDeleted val="0"/>
    <c:plotArea>
      <c:layout/>
      <c:lineChart>
        <c:grouping val="standard"/>
        <c:varyColors val="0"/>
        <c:ser>
          <c:idx val="0"/>
          <c:order val="0"/>
          <c:tx>
            <c:strRef>
              <c:f>TER_RENO!$C$782</c:f>
              <c:strCache>
                <c:ptCount val="1"/>
                <c:pt idx="0">
                  <c:v>Historique</c:v>
                </c:pt>
              </c:strCache>
            </c:strRef>
          </c:tx>
          <c:spPr>
            <a:ln w="28575" cap="rnd">
              <a:solidFill>
                <a:schemeClr val="tx2"/>
              </a:solidFill>
              <a:round/>
            </a:ln>
            <a:effectLst/>
          </c:spPr>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TER_RENO!$S$782:$BB$782</c:f>
              <c:numCache>
                <c:formatCode>#,##0</c:formatCode>
                <c:ptCount val="36"/>
                <c:pt idx="0">
                  <c:v>4933.8371416424261</c:v>
                </c:pt>
                <c:pt idx="1">
                  <c:v>4841.1030883169242</c:v>
                </c:pt>
                <c:pt idx="2">
                  <c:v>4821.8771226458239</c:v>
                </c:pt>
                <c:pt idx="3">
                  <c:v>4810.5688669117908</c:v>
                </c:pt>
                <c:pt idx="4">
                  <c:v>4855.6269760295327</c:v>
                </c:pt>
                <c:pt idx="5">
                  <c:v>4907.6842420164667</c:v>
                </c:pt>
              </c:numCache>
            </c:numRef>
          </c:val>
          <c:smooth val="0"/>
          <c:extLst>
            <c:ext xmlns:c16="http://schemas.microsoft.com/office/drawing/2014/chart" uri="{C3380CC4-5D6E-409C-BE32-E72D297353CC}">
              <c16:uniqueId val="{00000000-CB8D-4674-950F-55FCF37B2C5B}"/>
            </c:ext>
          </c:extLst>
        </c:ser>
        <c:ser>
          <c:idx val="1"/>
          <c:order val="1"/>
          <c:tx>
            <c:strRef>
              <c:f>TER_RENO!$C$783</c:f>
              <c:strCache>
                <c:ptCount val="1"/>
                <c:pt idx="0">
                  <c:v>AMS 2018</c:v>
                </c:pt>
              </c:strCache>
            </c:strRef>
          </c:tx>
          <c:spPr>
            <a:ln w="28575" cap="rnd">
              <a:solidFill>
                <a:schemeClr val="tx1"/>
              </a:solidFill>
              <a:round/>
            </a:ln>
            <a:effectLst/>
          </c:spPr>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TER_RENO!$S$783:$BB$783</c:f>
              <c:numCache>
                <c:formatCode>#,##0</c:formatCode>
                <c:ptCount val="36"/>
                <c:pt idx="6">
                  <c:v>11418.824947999177</c:v>
                </c:pt>
                <c:pt idx="7">
                  <c:v>11418.824947999177</c:v>
                </c:pt>
                <c:pt idx="8">
                  <c:v>11418.824947999179</c:v>
                </c:pt>
                <c:pt idx="9">
                  <c:v>11418.824947999174</c:v>
                </c:pt>
                <c:pt idx="10">
                  <c:v>11418.824947999174</c:v>
                </c:pt>
                <c:pt idx="11">
                  <c:v>11418.824947999185</c:v>
                </c:pt>
                <c:pt idx="12">
                  <c:v>11418.824947999161</c:v>
                </c:pt>
                <c:pt idx="13">
                  <c:v>11418.824947999185</c:v>
                </c:pt>
                <c:pt idx="14">
                  <c:v>11418.824947999161</c:v>
                </c:pt>
                <c:pt idx="15">
                  <c:v>11418.824947999185</c:v>
                </c:pt>
                <c:pt idx="16">
                  <c:v>11418.824947999161</c:v>
                </c:pt>
                <c:pt idx="17">
                  <c:v>11418.82494799921</c:v>
                </c:pt>
                <c:pt idx="18">
                  <c:v>11418.824947999161</c:v>
                </c:pt>
                <c:pt idx="19">
                  <c:v>11418.824947999161</c:v>
                </c:pt>
                <c:pt idx="20">
                  <c:v>11418.82494799921</c:v>
                </c:pt>
                <c:pt idx="21">
                  <c:v>11418.824947999137</c:v>
                </c:pt>
                <c:pt idx="22">
                  <c:v>11418.82494799921</c:v>
                </c:pt>
                <c:pt idx="23">
                  <c:v>11418.824947999161</c:v>
                </c:pt>
                <c:pt idx="24">
                  <c:v>11418.824947999161</c:v>
                </c:pt>
                <c:pt idx="25">
                  <c:v>11418.82494799921</c:v>
                </c:pt>
                <c:pt idx="26">
                  <c:v>11418.82494799921</c:v>
                </c:pt>
                <c:pt idx="27">
                  <c:v>11418.824947999161</c:v>
                </c:pt>
                <c:pt idx="28">
                  <c:v>11418.824947999161</c:v>
                </c:pt>
                <c:pt idx="29">
                  <c:v>11418.824947999161</c:v>
                </c:pt>
                <c:pt idx="30">
                  <c:v>11418.82494799921</c:v>
                </c:pt>
                <c:pt idx="31">
                  <c:v>11418.824947999112</c:v>
                </c:pt>
                <c:pt idx="32">
                  <c:v>11418.824947999161</c:v>
                </c:pt>
                <c:pt idx="33">
                  <c:v>11418.82494799921</c:v>
                </c:pt>
                <c:pt idx="34">
                  <c:v>11418.82494799921</c:v>
                </c:pt>
                <c:pt idx="35">
                  <c:v>11418.824947999161</c:v>
                </c:pt>
              </c:numCache>
            </c:numRef>
          </c:val>
          <c:smooth val="0"/>
          <c:extLst>
            <c:ext xmlns:c16="http://schemas.microsoft.com/office/drawing/2014/chart" uri="{C3380CC4-5D6E-409C-BE32-E72D297353CC}">
              <c16:uniqueId val="{00000001-CB8D-4674-950F-55FCF37B2C5B}"/>
            </c:ext>
          </c:extLst>
        </c:ser>
        <c:ser>
          <c:idx val="2"/>
          <c:order val="2"/>
          <c:tx>
            <c:strRef>
              <c:f>TER_RENO!$C$784</c:f>
              <c:strCache>
                <c:ptCount val="1"/>
                <c:pt idx="0">
                  <c:v>ADEME Tend.</c:v>
                </c:pt>
              </c:strCache>
            </c:strRef>
          </c:tx>
          <c:spPr>
            <a:ln w="28575" cap="rnd">
              <a:solidFill>
                <a:schemeClr val="tx1">
                  <a:lumMod val="20000"/>
                  <a:lumOff val="80000"/>
                </a:schemeClr>
              </a:solidFill>
              <a:prstDash val="sysDot"/>
              <a:round/>
            </a:ln>
            <a:effectLst/>
          </c:spPr>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TER_RENO!$S$784:$BB$784</c:f>
              <c:numCache>
                <c:formatCode>#,##0</c:formatCode>
                <c:ptCount val="36"/>
                <c:pt idx="6">
                  <c:v>8401.1761948143176</c:v>
                </c:pt>
                <c:pt idx="7">
                  <c:v>8401.1761948143176</c:v>
                </c:pt>
                <c:pt idx="8">
                  <c:v>8401.1761948143176</c:v>
                </c:pt>
                <c:pt idx="9">
                  <c:v>8401.1761948143176</c:v>
                </c:pt>
                <c:pt idx="10">
                  <c:v>8401.1761948143176</c:v>
                </c:pt>
                <c:pt idx="11">
                  <c:v>8401.1761948143157</c:v>
                </c:pt>
                <c:pt idx="12">
                  <c:v>8401.1761948143176</c:v>
                </c:pt>
                <c:pt idx="13">
                  <c:v>8401.1761948143176</c:v>
                </c:pt>
                <c:pt idx="14">
                  <c:v>8401.1761948143157</c:v>
                </c:pt>
                <c:pt idx="15">
                  <c:v>8401.1761948143176</c:v>
                </c:pt>
                <c:pt idx="16">
                  <c:v>8401.1761948143176</c:v>
                </c:pt>
                <c:pt idx="17">
                  <c:v>8401.1761948143157</c:v>
                </c:pt>
                <c:pt idx="18">
                  <c:v>8401.1761948143176</c:v>
                </c:pt>
                <c:pt idx="19">
                  <c:v>8401.1761948143194</c:v>
                </c:pt>
                <c:pt idx="20">
                  <c:v>8401.1761948143212</c:v>
                </c:pt>
                <c:pt idx="21">
                  <c:v>8401.1761948143157</c:v>
                </c:pt>
                <c:pt idx="22">
                  <c:v>8401.1761948143157</c:v>
                </c:pt>
                <c:pt idx="23">
                  <c:v>8401.1761948143176</c:v>
                </c:pt>
                <c:pt idx="24">
                  <c:v>8401.1761948143212</c:v>
                </c:pt>
                <c:pt idx="25">
                  <c:v>8401.1761948143176</c:v>
                </c:pt>
                <c:pt idx="26">
                  <c:v>8401.1761948143194</c:v>
                </c:pt>
                <c:pt idx="27">
                  <c:v>8401.1761948143157</c:v>
                </c:pt>
                <c:pt idx="28">
                  <c:v>8401.1761948143139</c:v>
                </c:pt>
                <c:pt idx="29">
                  <c:v>8401.1761948143194</c:v>
                </c:pt>
                <c:pt idx="30">
                  <c:v>8401.1761948143139</c:v>
                </c:pt>
                <c:pt idx="31">
                  <c:v>8401.1761948143212</c:v>
                </c:pt>
                <c:pt idx="32">
                  <c:v>8401.176194814323</c:v>
                </c:pt>
                <c:pt idx="33">
                  <c:v>8401.1761948143176</c:v>
                </c:pt>
                <c:pt idx="34">
                  <c:v>8401.1761948143157</c:v>
                </c:pt>
                <c:pt idx="35">
                  <c:v>8401.1761948143248</c:v>
                </c:pt>
              </c:numCache>
            </c:numRef>
          </c:val>
          <c:smooth val="0"/>
          <c:extLst>
            <c:ext xmlns:c16="http://schemas.microsoft.com/office/drawing/2014/chart" uri="{C3380CC4-5D6E-409C-BE32-E72D297353CC}">
              <c16:uniqueId val="{00000002-CB8D-4674-950F-55FCF37B2C5B}"/>
            </c:ext>
          </c:extLst>
        </c:ser>
        <c:ser>
          <c:idx val="3"/>
          <c:order val="3"/>
          <c:tx>
            <c:strRef>
              <c:f>TER_RENO!$C$785</c:f>
              <c:strCache>
                <c:ptCount val="1"/>
                <c:pt idx="0">
                  <c:v>ADEME S1</c:v>
                </c:pt>
              </c:strCache>
            </c:strRef>
          </c:tx>
          <c:spPr>
            <a:ln w="28575" cap="rnd">
              <a:solidFill>
                <a:srgbClr val="5487C2"/>
              </a:solidFill>
              <a:prstDash val="sysDot"/>
              <a:round/>
            </a:ln>
            <a:effectLst/>
          </c:spPr>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TER_RENO!$S$785:$BB$785</c:f>
              <c:numCache>
                <c:formatCode>#,##0</c:formatCode>
                <c:ptCount val="36"/>
                <c:pt idx="6">
                  <c:v>8671.9548504639661</c:v>
                </c:pt>
                <c:pt idx="7">
                  <c:v>8671.9548504639661</c:v>
                </c:pt>
                <c:pt idx="8">
                  <c:v>8671.9548504639661</c:v>
                </c:pt>
                <c:pt idx="9">
                  <c:v>8671.9548504639661</c:v>
                </c:pt>
                <c:pt idx="10">
                  <c:v>8671.9548504639642</c:v>
                </c:pt>
                <c:pt idx="11">
                  <c:v>8671.9548504639679</c:v>
                </c:pt>
                <c:pt idx="12">
                  <c:v>8671.9548504639661</c:v>
                </c:pt>
                <c:pt idx="13">
                  <c:v>8671.9548504639661</c:v>
                </c:pt>
                <c:pt idx="14">
                  <c:v>8671.9548504639661</c:v>
                </c:pt>
                <c:pt idx="15">
                  <c:v>8671.9548504639624</c:v>
                </c:pt>
                <c:pt idx="16">
                  <c:v>8671.9548504639697</c:v>
                </c:pt>
                <c:pt idx="17">
                  <c:v>8671.9548504639642</c:v>
                </c:pt>
                <c:pt idx="18">
                  <c:v>8671.9548504639661</c:v>
                </c:pt>
                <c:pt idx="19">
                  <c:v>8671.9548504639642</c:v>
                </c:pt>
                <c:pt idx="20">
                  <c:v>8671.9548504639642</c:v>
                </c:pt>
                <c:pt idx="21">
                  <c:v>8671.9548504639697</c:v>
                </c:pt>
                <c:pt idx="22">
                  <c:v>8671.9548504639661</c:v>
                </c:pt>
                <c:pt idx="23">
                  <c:v>8671.9548504639642</c:v>
                </c:pt>
                <c:pt idx="24">
                  <c:v>8671.9548504639606</c:v>
                </c:pt>
                <c:pt idx="25">
                  <c:v>8671.9548504639661</c:v>
                </c:pt>
                <c:pt idx="26">
                  <c:v>8671.9548504639679</c:v>
                </c:pt>
                <c:pt idx="27">
                  <c:v>8671.9548504639733</c:v>
                </c:pt>
                <c:pt idx="28">
                  <c:v>8671.954850463957</c:v>
                </c:pt>
                <c:pt idx="29">
                  <c:v>8671.9548504639715</c:v>
                </c:pt>
                <c:pt idx="30">
                  <c:v>8671.9548504639661</c:v>
                </c:pt>
                <c:pt idx="31">
                  <c:v>8671.9548504639661</c:v>
                </c:pt>
                <c:pt idx="32">
                  <c:v>8671.9548504639624</c:v>
                </c:pt>
                <c:pt idx="33">
                  <c:v>8671.9548504639715</c:v>
                </c:pt>
                <c:pt idx="34">
                  <c:v>8671.9548504639715</c:v>
                </c:pt>
                <c:pt idx="35">
                  <c:v>8671.9548504639588</c:v>
                </c:pt>
              </c:numCache>
            </c:numRef>
          </c:val>
          <c:smooth val="0"/>
          <c:extLst>
            <c:ext xmlns:c16="http://schemas.microsoft.com/office/drawing/2014/chart" uri="{C3380CC4-5D6E-409C-BE32-E72D297353CC}">
              <c16:uniqueId val="{00000003-CB8D-4674-950F-55FCF37B2C5B}"/>
            </c:ext>
          </c:extLst>
        </c:ser>
        <c:ser>
          <c:idx val="4"/>
          <c:order val="4"/>
          <c:tx>
            <c:strRef>
              <c:f>TER_RENO!$C$786</c:f>
              <c:strCache>
                <c:ptCount val="1"/>
                <c:pt idx="0">
                  <c:v>ADEME S2</c:v>
                </c:pt>
              </c:strCache>
            </c:strRef>
          </c:tx>
          <c:spPr>
            <a:ln w="28575" cap="rnd">
              <a:solidFill>
                <a:srgbClr val="982C7F"/>
              </a:solidFill>
              <a:prstDash val="sysDot"/>
              <a:round/>
            </a:ln>
            <a:effectLst/>
          </c:spPr>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TER_RENO!$S$786:$BB$786</c:f>
              <c:numCache>
                <c:formatCode>#,##0</c:formatCode>
                <c:ptCount val="36"/>
                <c:pt idx="6">
                  <c:v>8013.6179934781285</c:v>
                </c:pt>
                <c:pt idx="7">
                  <c:v>8013.6179934781285</c:v>
                </c:pt>
                <c:pt idx="8">
                  <c:v>8013.6179934781276</c:v>
                </c:pt>
                <c:pt idx="9">
                  <c:v>8013.6179934781285</c:v>
                </c:pt>
                <c:pt idx="10">
                  <c:v>8013.6179934781276</c:v>
                </c:pt>
                <c:pt idx="11">
                  <c:v>8013.6179934781294</c:v>
                </c:pt>
                <c:pt idx="12">
                  <c:v>8013.6179934781276</c:v>
                </c:pt>
                <c:pt idx="13">
                  <c:v>8013.6179934781339</c:v>
                </c:pt>
                <c:pt idx="14">
                  <c:v>8013.6179934781258</c:v>
                </c:pt>
                <c:pt idx="15">
                  <c:v>8013.6179934781294</c:v>
                </c:pt>
                <c:pt idx="16">
                  <c:v>8013.6179934781312</c:v>
                </c:pt>
                <c:pt idx="17">
                  <c:v>8013.6179934781239</c:v>
                </c:pt>
                <c:pt idx="18">
                  <c:v>8013.6179934781285</c:v>
                </c:pt>
                <c:pt idx="19">
                  <c:v>8013.6179934781258</c:v>
                </c:pt>
                <c:pt idx="20">
                  <c:v>8013.6179934781312</c:v>
                </c:pt>
                <c:pt idx="21">
                  <c:v>8013.6179934781339</c:v>
                </c:pt>
                <c:pt idx="22">
                  <c:v>8013.6179934781267</c:v>
                </c:pt>
                <c:pt idx="23">
                  <c:v>8013.6179934781258</c:v>
                </c:pt>
                <c:pt idx="24">
                  <c:v>8013.6179934781339</c:v>
                </c:pt>
                <c:pt idx="25">
                  <c:v>8013.6179934781267</c:v>
                </c:pt>
                <c:pt idx="26">
                  <c:v>8013.6179934781212</c:v>
                </c:pt>
                <c:pt idx="27">
                  <c:v>8013.617993478143</c:v>
                </c:pt>
                <c:pt idx="28">
                  <c:v>8013.6179934781276</c:v>
                </c:pt>
                <c:pt idx="29">
                  <c:v>8013.617993478123</c:v>
                </c:pt>
                <c:pt idx="30">
                  <c:v>8013.6179934781303</c:v>
                </c:pt>
                <c:pt idx="31">
                  <c:v>8013.6179934781276</c:v>
                </c:pt>
                <c:pt idx="32">
                  <c:v>8013.6179934781403</c:v>
                </c:pt>
                <c:pt idx="33">
                  <c:v>8013.6179934781112</c:v>
                </c:pt>
                <c:pt idx="34">
                  <c:v>8013.6179934781403</c:v>
                </c:pt>
                <c:pt idx="35">
                  <c:v>8013.6179934781239</c:v>
                </c:pt>
              </c:numCache>
            </c:numRef>
          </c:val>
          <c:smooth val="0"/>
          <c:extLst>
            <c:ext xmlns:c16="http://schemas.microsoft.com/office/drawing/2014/chart" uri="{C3380CC4-5D6E-409C-BE32-E72D297353CC}">
              <c16:uniqueId val="{00000004-CB8D-4674-950F-55FCF37B2C5B}"/>
            </c:ext>
          </c:extLst>
        </c:ser>
        <c:ser>
          <c:idx val="5"/>
          <c:order val="5"/>
          <c:tx>
            <c:strRef>
              <c:f>TER_RENO!$C$787</c:f>
              <c:strCache>
                <c:ptCount val="1"/>
                <c:pt idx="0">
                  <c:v>ADEME S3</c:v>
                </c:pt>
              </c:strCache>
            </c:strRef>
          </c:tx>
          <c:spPr>
            <a:ln w="28575" cap="rnd">
              <a:solidFill>
                <a:srgbClr val="76B145"/>
              </a:solidFill>
              <a:prstDash val="sysDot"/>
              <a:round/>
            </a:ln>
            <a:effectLst/>
          </c:spPr>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TER_RENO!$S$787:$BB$787</c:f>
              <c:numCache>
                <c:formatCode>#,##0</c:formatCode>
                <c:ptCount val="36"/>
                <c:pt idx="6">
                  <c:v>9561.0966468796432</c:v>
                </c:pt>
                <c:pt idx="7">
                  <c:v>9561.0966468796432</c:v>
                </c:pt>
                <c:pt idx="8">
                  <c:v>9561.0966468796432</c:v>
                </c:pt>
                <c:pt idx="9">
                  <c:v>9561.0966468796432</c:v>
                </c:pt>
                <c:pt idx="10">
                  <c:v>9561.0966468796432</c:v>
                </c:pt>
                <c:pt idx="11">
                  <c:v>9561.0966468796432</c:v>
                </c:pt>
                <c:pt idx="12">
                  <c:v>9561.0966468796432</c:v>
                </c:pt>
                <c:pt idx="13">
                  <c:v>9561.0966468796469</c:v>
                </c:pt>
                <c:pt idx="14">
                  <c:v>9561.0966468796432</c:v>
                </c:pt>
                <c:pt idx="15">
                  <c:v>9561.0966468796469</c:v>
                </c:pt>
                <c:pt idx="16">
                  <c:v>9561.0966468796469</c:v>
                </c:pt>
                <c:pt idx="17">
                  <c:v>9561.0966468796396</c:v>
                </c:pt>
                <c:pt idx="18">
                  <c:v>9561.0966468796432</c:v>
                </c:pt>
                <c:pt idx="19">
                  <c:v>9561.0966468796469</c:v>
                </c:pt>
                <c:pt idx="20">
                  <c:v>9561.0966468796505</c:v>
                </c:pt>
                <c:pt idx="21">
                  <c:v>9561.0966468796432</c:v>
                </c:pt>
                <c:pt idx="22">
                  <c:v>9561.0966468796432</c:v>
                </c:pt>
                <c:pt idx="23">
                  <c:v>9561.0966468796432</c:v>
                </c:pt>
                <c:pt idx="24">
                  <c:v>9561.0966468796541</c:v>
                </c:pt>
                <c:pt idx="25">
                  <c:v>9561.0966468796396</c:v>
                </c:pt>
                <c:pt idx="26">
                  <c:v>9561.0966468796396</c:v>
                </c:pt>
                <c:pt idx="27">
                  <c:v>9561.0966468796505</c:v>
                </c:pt>
                <c:pt idx="28">
                  <c:v>9561.0966468796541</c:v>
                </c:pt>
                <c:pt idx="29">
                  <c:v>9561.0966468796287</c:v>
                </c:pt>
                <c:pt idx="30">
                  <c:v>9561.0966468796541</c:v>
                </c:pt>
                <c:pt idx="31">
                  <c:v>9561.0966468796323</c:v>
                </c:pt>
                <c:pt idx="32">
                  <c:v>9561.0966468796614</c:v>
                </c:pt>
                <c:pt idx="33">
                  <c:v>9561.0966468796323</c:v>
                </c:pt>
                <c:pt idx="34">
                  <c:v>9561.0966468796541</c:v>
                </c:pt>
                <c:pt idx="35">
                  <c:v>9561.0966468796432</c:v>
                </c:pt>
              </c:numCache>
            </c:numRef>
          </c:val>
          <c:smooth val="0"/>
          <c:extLst>
            <c:ext xmlns:c16="http://schemas.microsoft.com/office/drawing/2014/chart" uri="{C3380CC4-5D6E-409C-BE32-E72D297353CC}">
              <c16:uniqueId val="{00000005-CB8D-4674-950F-55FCF37B2C5B}"/>
            </c:ext>
          </c:extLst>
        </c:ser>
        <c:ser>
          <c:idx val="6"/>
          <c:order val="6"/>
          <c:tx>
            <c:strRef>
              <c:f>TER_RENO!$C$788</c:f>
              <c:strCache>
                <c:ptCount val="1"/>
                <c:pt idx="0">
                  <c:v>ADEME S4</c:v>
                </c:pt>
              </c:strCache>
            </c:strRef>
          </c:tx>
          <c:spPr>
            <a:ln w="28575" cap="rnd">
              <a:solidFill>
                <a:srgbClr val="E9682D"/>
              </a:solidFill>
              <a:prstDash val="sysDot"/>
              <a:round/>
            </a:ln>
            <a:effectLst/>
          </c:spPr>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TER_RENO!$S$788:$BB$788</c:f>
              <c:numCache>
                <c:formatCode>#,##0</c:formatCode>
                <c:ptCount val="36"/>
                <c:pt idx="6">
                  <c:v>9186.5698463483968</c:v>
                </c:pt>
                <c:pt idx="7">
                  <c:v>9186.5698463483968</c:v>
                </c:pt>
                <c:pt idx="8">
                  <c:v>9186.5698463483986</c:v>
                </c:pt>
                <c:pt idx="9">
                  <c:v>9186.569846348395</c:v>
                </c:pt>
                <c:pt idx="10">
                  <c:v>9186.5698463483986</c:v>
                </c:pt>
                <c:pt idx="11">
                  <c:v>9186.5698463483986</c:v>
                </c:pt>
                <c:pt idx="12">
                  <c:v>9186.5698463483968</c:v>
                </c:pt>
                <c:pt idx="13">
                  <c:v>9186.5698463483932</c:v>
                </c:pt>
                <c:pt idx="14">
                  <c:v>9186.5698463483986</c:v>
                </c:pt>
                <c:pt idx="15">
                  <c:v>9186.5698463483968</c:v>
                </c:pt>
                <c:pt idx="16">
                  <c:v>9186.5698463484023</c:v>
                </c:pt>
                <c:pt idx="17">
                  <c:v>9186.569846348395</c:v>
                </c:pt>
                <c:pt idx="18">
                  <c:v>9186.569846348395</c:v>
                </c:pt>
                <c:pt idx="19">
                  <c:v>9186.5698463483986</c:v>
                </c:pt>
                <c:pt idx="20">
                  <c:v>9186.5698463483986</c:v>
                </c:pt>
                <c:pt idx="21">
                  <c:v>9186.5698463483895</c:v>
                </c:pt>
                <c:pt idx="22">
                  <c:v>9186.5698463484077</c:v>
                </c:pt>
                <c:pt idx="23">
                  <c:v>9186.5698463483895</c:v>
                </c:pt>
                <c:pt idx="24">
                  <c:v>9186.569846348395</c:v>
                </c:pt>
                <c:pt idx="25">
                  <c:v>9186.5698463483986</c:v>
                </c:pt>
                <c:pt idx="26">
                  <c:v>9186.5698463483968</c:v>
                </c:pt>
                <c:pt idx="27">
                  <c:v>9186.5698463484059</c:v>
                </c:pt>
                <c:pt idx="28">
                  <c:v>9186.5698463483841</c:v>
                </c:pt>
                <c:pt idx="29">
                  <c:v>9186.5698463484059</c:v>
                </c:pt>
                <c:pt idx="30">
                  <c:v>9186.5698463483877</c:v>
                </c:pt>
                <c:pt idx="31">
                  <c:v>9186.5698463484005</c:v>
                </c:pt>
                <c:pt idx="32">
                  <c:v>9186.5698463484077</c:v>
                </c:pt>
                <c:pt idx="33">
                  <c:v>9186.5698463483877</c:v>
                </c:pt>
                <c:pt idx="34">
                  <c:v>9186.5698463484005</c:v>
                </c:pt>
                <c:pt idx="35">
                  <c:v>9186.5698463483986</c:v>
                </c:pt>
              </c:numCache>
            </c:numRef>
          </c:val>
          <c:smooth val="0"/>
          <c:extLst>
            <c:ext xmlns:c16="http://schemas.microsoft.com/office/drawing/2014/chart" uri="{C3380CC4-5D6E-409C-BE32-E72D297353CC}">
              <c16:uniqueId val="{00000006-CB8D-4674-950F-55FCF37B2C5B}"/>
            </c:ext>
          </c:extLst>
        </c:ser>
        <c:ser>
          <c:idx val="7"/>
          <c:order val="7"/>
          <c:tx>
            <c:strRef>
              <c:f>TER_RENO!$C$789</c:f>
              <c:strCache>
                <c:ptCount val="1"/>
                <c:pt idx="0">
                  <c:v>AME 2023</c:v>
                </c:pt>
              </c:strCache>
            </c:strRef>
          </c:tx>
          <c:spPr>
            <a:ln w="28575">
              <a:solidFill>
                <a:schemeClr val="bg2">
                  <a:lumMod val="50000"/>
                </a:schemeClr>
              </a:solidFill>
            </a:ln>
          </c:spPr>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TER_RENO!$S$789:$BB$789</c:f>
              <c:numCache>
                <c:formatCode>#,##0</c:formatCode>
                <c:ptCount val="36"/>
                <c:pt idx="6">
                  <c:v>0</c:v>
                </c:pt>
                <c:pt idx="7">
                  <c:v>0</c:v>
                </c:pt>
                <c:pt idx="8">
                  <c:v>0</c:v>
                </c:pt>
                <c:pt idx="9">
                  <c:v>12847.361225753939</c:v>
                </c:pt>
                <c:pt idx="10">
                  <c:v>12847.361225753939</c:v>
                </c:pt>
                <c:pt idx="11">
                  <c:v>12847.361225753939</c:v>
                </c:pt>
                <c:pt idx="12">
                  <c:v>12847.361225753939</c:v>
                </c:pt>
                <c:pt idx="13">
                  <c:v>12847.361225753939</c:v>
                </c:pt>
                <c:pt idx="14">
                  <c:v>12847.361225753939</c:v>
                </c:pt>
                <c:pt idx="15">
                  <c:v>12847.361225753939</c:v>
                </c:pt>
                <c:pt idx="16">
                  <c:v>2720.3171195773293</c:v>
                </c:pt>
                <c:pt idx="17">
                  <c:v>2720.3171195773293</c:v>
                </c:pt>
                <c:pt idx="18">
                  <c:v>2720.3171195773293</c:v>
                </c:pt>
                <c:pt idx="19">
                  <c:v>2720.3171195773293</c:v>
                </c:pt>
                <c:pt idx="20">
                  <c:v>2720.3171195773293</c:v>
                </c:pt>
                <c:pt idx="21">
                  <c:v>2720.3171195773293</c:v>
                </c:pt>
                <c:pt idx="22">
                  <c:v>2720.3171195773293</c:v>
                </c:pt>
                <c:pt idx="23">
                  <c:v>2720.3171195773293</c:v>
                </c:pt>
                <c:pt idx="24">
                  <c:v>2720.3171195773293</c:v>
                </c:pt>
                <c:pt idx="25">
                  <c:v>2720.3171195773293</c:v>
                </c:pt>
                <c:pt idx="26">
                  <c:v>2720.3171195773293</c:v>
                </c:pt>
                <c:pt idx="27">
                  <c:v>2720.3171195773293</c:v>
                </c:pt>
                <c:pt idx="28">
                  <c:v>2720.3171195773293</c:v>
                </c:pt>
                <c:pt idx="29">
                  <c:v>2720.3171195773293</c:v>
                </c:pt>
                <c:pt idx="30">
                  <c:v>2720.3171195773293</c:v>
                </c:pt>
                <c:pt idx="31">
                  <c:v>2720.3171195773293</c:v>
                </c:pt>
                <c:pt idx="32">
                  <c:v>2720.3171195773293</c:v>
                </c:pt>
                <c:pt idx="33">
                  <c:v>2720.3171195773293</c:v>
                </c:pt>
                <c:pt idx="34">
                  <c:v>2720.3171195773293</c:v>
                </c:pt>
                <c:pt idx="35">
                  <c:v>2720.3171195773293</c:v>
                </c:pt>
              </c:numCache>
            </c:numRef>
          </c:val>
          <c:smooth val="0"/>
          <c:extLst>
            <c:ext xmlns:c16="http://schemas.microsoft.com/office/drawing/2014/chart" uri="{C3380CC4-5D6E-409C-BE32-E72D297353CC}">
              <c16:uniqueId val="{00000007-CB8D-4674-950F-55FCF37B2C5B}"/>
            </c:ext>
          </c:extLst>
        </c:ser>
        <c:ser>
          <c:idx val="8"/>
          <c:order val="8"/>
          <c:tx>
            <c:strRef>
              <c:f>TER_RENO!$C$790</c:f>
              <c:strCache>
                <c:ptCount val="1"/>
                <c:pt idx="0">
                  <c:v>AMS run 2 2023</c:v>
                </c:pt>
              </c:strCache>
            </c:strRef>
          </c:tx>
          <c:spPr>
            <a:ln w="28575">
              <a:solidFill>
                <a:schemeClr val="accent3"/>
              </a:solidFill>
            </a:ln>
          </c:spPr>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TER_RENO!$S$790:$BB$790</c:f>
              <c:numCache>
                <c:formatCode>#,##0</c:formatCode>
                <c:ptCount val="36"/>
                <c:pt idx="6">
                  <c:v>0</c:v>
                </c:pt>
                <c:pt idx="7">
                  <c:v>0</c:v>
                </c:pt>
                <c:pt idx="8">
                  <c:v>0</c:v>
                </c:pt>
                <c:pt idx="9">
                  <c:v>14608.248850844253</c:v>
                </c:pt>
                <c:pt idx="10">
                  <c:v>14608.248850844253</c:v>
                </c:pt>
                <c:pt idx="11">
                  <c:v>14608.248850844253</c:v>
                </c:pt>
                <c:pt idx="12">
                  <c:v>14608.248850844253</c:v>
                </c:pt>
                <c:pt idx="13">
                  <c:v>14608.248850844253</c:v>
                </c:pt>
                <c:pt idx="14">
                  <c:v>14608.248850844253</c:v>
                </c:pt>
                <c:pt idx="15">
                  <c:v>14608.248850844253</c:v>
                </c:pt>
                <c:pt idx="16">
                  <c:v>6768.0891088467442</c:v>
                </c:pt>
                <c:pt idx="17">
                  <c:v>6768.0891088467442</c:v>
                </c:pt>
                <c:pt idx="18">
                  <c:v>6768.0891088467442</c:v>
                </c:pt>
                <c:pt idx="19">
                  <c:v>6768.0891088467442</c:v>
                </c:pt>
                <c:pt idx="20">
                  <c:v>6768.0891088467442</c:v>
                </c:pt>
                <c:pt idx="21">
                  <c:v>6768.0891088467442</c:v>
                </c:pt>
                <c:pt idx="22">
                  <c:v>6768.0891088467442</c:v>
                </c:pt>
                <c:pt idx="23">
                  <c:v>6768.0891088467442</c:v>
                </c:pt>
                <c:pt idx="24">
                  <c:v>6768.0891088467442</c:v>
                </c:pt>
                <c:pt idx="25">
                  <c:v>6768.0891088467442</c:v>
                </c:pt>
                <c:pt idx="26">
                  <c:v>6768.0891088467442</c:v>
                </c:pt>
                <c:pt idx="27">
                  <c:v>6768.0891088467442</c:v>
                </c:pt>
                <c:pt idx="28">
                  <c:v>6768.0891088467442</c:v>
                </c:pt>
                <c:pt idx="29">
                  <c:v>6768.0891088467442</c:v>
                </c:pt>
                <c:pt idx="30">
                  <c:v>6768.0891088467442</c:v>
                </c:pt>
                <c:pt idx="31">
                  <c:v>6768.0891088467442</c:v>
                </c:pt>
                <c:pt idx="32">
                  <c:v>6768.0891088467442</c:v>
                </c:pt>
                <c:pt idx="33">
                  <c:v>6768.0891088467442</c:v>
                </c:pt>
                <c:pt idx="34">
                  <c:v>6768.0891088467442</c:v>
                </c:pt>
                <c:pt idx="35">
                  <c:v>6768.0891088467442</c:v>
                </c:pt>
              </c:numCache>
            </c:numRef>
          </c:val>
          <c:smooth val="0"/>
          <c:extLst>
            <c:ext xmlns:c16="http://schemas.microsoft.com/office/drawing/2014/chart" uri="{C3380CC4-5D6E-409C-BE32-E72D297353CC}">
              <c16:uniqueId val="{00000008-CB8D-4674-950F-55FCF37B2C5B}"/>
            </c:ext>
          </c:extLst>
        </c:ser>
        <c:ser>
          <c:idx val="9"/>
          <c:order val="9"/>
          <c:tx>
            <c:strRef>
              <c:f>TER_RENO!$C$791</c:f>
              <c:strCache>
                <c:ptCount val="1"/>
                <c:pt idx="0">
                  <c:v>AMS run 3 2025</c:v>
                </c:pt>
              </c:strCache>
            </c:strRef>
          </c:tx>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TER_RENO!$S$791:$BB$791</c:f>
              <c:numCache>
                <c:formatCode>#,##0</c:formatCode>
                <c:ptCount val="36"/>
                <c:pt idx="9">
                  <c:v>9083.3060998488036</c:v>
                </c:pt>
                <c:pt idx="10">
                  <c:v>9083.3060998488036</c:v>
                </c:pt>
                <c:pt idx="11">
                  <c:v>9083.3060998488036</c:v>
                </c:pt>
                <c:pt idx="12">
                  <c:v>9083.3060998488036</c:v>
                </c:pt>
                <c:pt idx="13">
                  <c:v>9083.3060998488036</c:v>
                </c:pt>
                <c:pt idx="14">
                  <c:v>9083.3060998488036</c:v>
                </c:pt>
                <c:pt idx="15">
                  <c:v>9083.3060998488036</c:v>
                </c:pt>
                <c:pt idx="16">
                  <c:v>8018.1171455337262</c:v>
                </c:pt>
                <c:pt idx="17">
                  <c:v>8018.1171455337262</c:v>
                </c:pt>
                <c:pt idx="18">
                  <c:v>8018.1171455337262</c:v>
                </c:pt>
                <c:pt idx="19">
                  <c:v>8018.1171455337262</c:v>
                </c:pt>
                <c:pt idx="20">
                  <c:v>8018.1171455337262</c:v>
                </c:pt>
                <c:pt idx="21">
                  <c:v>8018.1171455337262</c:v>
                </c:pt>
                <c:pt idx="22">
                  <c:v>8018.1171455337262</c:v>
                </c:pt>
                <c:pt idx="23">
                  <c:v>8018.1171455337262</c:v>
                </c:pt>
                <c:pt idx="24">
                  <c:v>8018.1171455337262</c:v>
                </c:pt>
                <c:pt idx="25">
                  <c:v>8018.1171455337262</c:v>
                </c:pt>
                <c:pt idx="26">
                  <c:v>7179.3660085826614</c:v>
                </c:pt>
                <c:pt idx="27">
                  <c:v>7179.3660085826614</c:v>
                </c:pt>
                <c:pt idx="28">
                  <c:v>7179.3660085826614</c:v>
                </c:pt>
                <c:pt idx="29">
                  <c:v>7179.3660085826614</c:v>
                </c:pt>
                <c:pt idx="30">
                  <c:v>7179.3660085826614</c:v>
                </c:pt>
                <c:pt idx="31">
                  <c:v>7179.3660085826614</c:v>
                </c:pt>
                <c:pt idx="32">
                  <c:v>7179.3660085826614</c:v>
                </c:pt>
                <c:pt idx="33">
                  <c:v>7179.3660085826614</c:v>
                </c:pt>
                <c:pt idx="34">
                  <c:v>7179.3660085826614</c:v>
                </c:pt>
                <c:pt idx="35">
                  <c:v>7179.3660085826614</c:v>
                </c:pt>
              </c:numCache>
            </c:numRef>
          </c:val>
          <c:smooth val="0"/>
          <c:extLst>
            <c:ext xmlns:c16="http://schemas.microsoft.com/office/drawing/2014/chart" uri="{C3380CC4-5D6E-409C-BE32-E72D297353CC}">
              <c16:uniqueId val="{00000000-7847-4D95-9523-04C17DCCD129}"/>
            </c:ext>
          </c:extLst>
        </c:ser>
        <c:dLbls>
          <c:showLegendKey val="0"/>
          <c:showVal val="0"/>
          <c:showCatName val="0"/>
          <c:showSerName val="0"/>
          <c:showPercent val="0"/>
          <c:showBubbleSize val="0"/>
        </c:dLbls>
        <c:smooth val="0"/>
        <c:axId val="714254264"/>
        <c:axId val="714254592"/>
      </c:lineChart>
      <c:catAx>
        <c:axId val="714254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crossAx val="714254592"/>
        <c:crosses val="autoZero"/>
        <c:auto val="1"/>
        <c:lblAlgn val="ctr"/>
        <c:lblOffset val="100"/>
        <c:tickLblSkip val="5"/>
        <c:noMultiLvlLbl val="0"/>
      </c:catAx>
      <c:valAx>
        <c:axId val="714254592"/>
        <c:scaling>
          <c:orientation val="minMax"/>
        </c:scaling>
        <c:delete val="0"/>
        <c:axPos val="l"/>
        <c:majorGridlines>
          <c:spPr>
            <a:ln w="9525" cap="flat" cmpd="sng" algn="ctr">
              <a:solidFill>
                <a:schemeClr val="tx1">
                  <a:lumMod val="15000"/>
                  <a:lumOff val="85000"/>
                </a:schemeClr>
              </a:solidFill>
              <a:round/>
            </a:ln>
            <a:effectLst/>
          </c:spPr>
        </c:majorGridlines>
        <c:title>
          <c:tx>
            <c:strRef>
              <c:f>TER_RENO!$E$782</c:f>
              <c:strCache>
                <c:ptCount val="1"/>
                <c:pt idx="0">
                  <c:v>(millions d'euros)</c:v>
                </c:pt>
              </c:strCache>
            </c:strRef>
          </c:tx>
          <c:overlay val="0"/>
          <c:txPr>
            <a:bodyPr/>
            <a:lstStyle/>
            <a:p>
              <a:pPr>
                <a:defRPr/>
              </a:pPr>
              <a:endParaRPr lang="fr-F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crossAx val="714254264"/>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legend>
    <c:plotVisOnly val="0"/>
    <c:dispBlanksAs val="gap"/>
    <c:showDLblsOverMax val="0"/>
    <c:extLst/>
  </c:chart>
  <c:txPr>
    <a:bodyPr/>
    <a:lstStyle/>
    <a:p>
      <a:pPr>
        <a:defRPr>
          <a:solidFill>
            <a:sysClr val="windowText" lastClr="000000"/>
          </a:solidFill>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TER_RENO!$C$466</c:f>
          <c:strCache>
            <c:ptCount val="1"/>
            <c:pt idx="0">
              <c:v>Coût moyen des rénovations "basse consommation"</c:v>
            </c:pt>
          </c:strCache>
        </c:strRef>
      </c:tx>
      <c:overlay val="0"/>
      <c:spPr>
        <a:noFill/>
        <a:ln>
          <a:noFill/>
        </a:ln>
        <a:effectLst/>
      </c:spPr>
      <c:txPr>
        <a:bodyPr rot="0" spcFirstLastPara="1" vertOverflow="ellipsis" vert="horz" wrap="square" anchor="ctr" anchorCtr="1"/>
        <a:lstStyle/>
        <a:p>
          <a:pPr>
            <a:defRPr sz="1200" b="0" i="0" u="none" strike="noStrike" kern="1200" cap="all" spc="0" baseline="0">
              <a:solidFill>
                <a:schemeClr val="tx2"/>
              </a:solidFill>
              <a:latin typeface="+mn-lt"/>
              <a:ea typeface="+mn-ea"/>
              <a:cs typeface="+mn-cs"/>
            </a:defRPr>
          </a:pPr>
          <a:endParaRPr lang="fr-FR"/>
        </a:p>
      </c:txPr>
    </c:title>
    <c:autoTitleDeleted val="0"/>
    <c:plotArea>
      <c:layout/>
      <c:lineChart>
        <c:grouping val="standard"/>
        <c:varyColors val="0"/>
        <c:ser>
          <c:idx val="0"/>
          <c:order val="0"/>
          <c:tx>
            <c:strRef>
              <c:f>TER_RENO!$C$468</c:f>
              <c:strCache>
                <c:ptCount val="1"/>
                <c:pt idx="0">
                  <c:v>Historique</c:v>
                </c:pt>
              </c:strCache>
            </c:strRef>
          </c:tx>
          <c:spPr>
            <a:ln w="28575" cap="rnd">
              <a:solidFill>
                <a:schemeClr val="tx2"/>
              </a:solidFill>
              <a:round/>
            </a:ln>
            <a:effectLst/>
          </c:spPr>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TER_RENO!$S$468:$BB$468</c:f>
              <c:numCache>
                <c:formatCode>#,##0</c:formatCode>
                <c:ptCount val="36"/>
                <c:pt idx="0">
                  <c:v>418.28463928712597</c:v>
                </c:pt>
                <c:pt idx="1">
                  <c:v>418.28463928712597</c:v>
                </c:pt>
                <c:pt idx="2">
                  <c:v>418.28463928712597</c:v>
                </c:pt>
                <c:pt idx="3">
                  <c:v>418.28463928712597</c:v>
                </c:pt>
                <c:pt idx="4">
                  <c:v>418.28463928712597</c:v>
                </c:pt>
                <c:pt idx="5">
                  <c:v>418.28463928712597</c:v>
                </c:pt>
              </c:numCache>
            </c:numRef>
          </c:val>
          <c:smooth val="0"/>
          <c:extLst>
            <c:ext xmlns:c16="http://schemas.microsoft.com/office/drawing/2014/chart" uri="{C3380CC4-5D6E-409C-BE32-E72D297353CC}">
              <c16:uniqueId val="{00000000-80F8-4573-9F29-F7FEF8C45FF0}"/>
            </c:ext>
          </c:extLst>
        </c:ser>
        <c:ser>
          <c:idx val="1"/>
          <c:order val="1"/>
          <c:tx>
            <c:strRef>
              <c:f>TER_RENO!$C$469</c:f>
              <c:strCache>
                <c:ptCount val="1"/>
                <c:pt idx="0">
                  <c:v>AMS 2018</c:v>
                </c:pt>
              </c:strCache>
            </c:strRef>
          </c:tx>
          <c:spPr>
            <a:ln w="28575" cap="rnd">
              <a:solidFill>
                <a:schemeClr val="tx1"/>
              </a:solidFill>
              <a:round/>
            </a:ln>
            <a:effectLst/>
          </c:spPr>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TER_RENO!$S$469:$BB$469</c:f>
              <c:numCache>
                <c:formatCode>#,##0</c:formatCode>
                <c:ptCount val="36"/>
                <c:pt idx="6">
                  <c:v>418.28463928712597</c:v>
                </c:pt>
                <c:pt idx="7">
                  <c:v>418.28463928712597</c:v>
                </c:pt>
                <c:pt idx="8">
                  <c:v>418.28463928712597</c:v>
                </c:pt>
                <c:pt idx="9">
                  <c:v>418.28463928712597</c:v>
                </c:pt>
                <c:pt idx="10">
                  <c:v>418.28463928712597</c:v>
                </c:pt>
                <c:pt idx="11">
                  <c:v>418.28463928712597</c:v>
                </c:pt>
                <c:pt idx="12">
                  <c:v>418.28463928712597</c:v>
                </c:pt>
                <c:pt idx="13">
                  <c:v>418.28463928712597</c:v>
                </c:pt>
                <c:pt idx="14">
                  <c:v>418.28463928712597</c:v>
                </c:pt>
                <c:pt idx="15">
                  <c:v>418.28463928712597</c:v>
                </c:pt>
                <c:pt idx="16">
                  <c:v>418.28463928712597</c:v>
                </c:pt>
                <c:pt idx="17">
                  <c:v>418.28463928712597</c:v>
                </c:pt>
                <c:pt idx="18">
                  <c:v>418.28463928712597</c:v>
                </c:pt>
                <c:pt idx="19">
                  <c:v>418.28463928712597</c:v>
                </c:pt>
                <c:pt idx="20">
                  <c:v>418.28463928712597</c:v>
                </c:pt>
                <c:pt idx="21">
                  <c:v>418.28463928712597</c:v>
                </c:pt>
                <c:pt idx="22">
                  <c:v>418.28463928712597</c:v>
                </c:pt>
                <c:pt idx="23">
                  <c:v>418.28463928712597</c:v>
                </c:pt>
                <c:pt idx="24">
                  <c:v>418.28463928712597</c:v>
                </c:pt>
                <c:pt idx="25">
                  <c:v>418.28463928712597</c:v>
                </c:pt>
                <c:pt idx="26">
                  <c:v>418.28463928712597</c:v>
                </c:pt>
                <c:pt idx="27">
                  <c:v>418.28463928712597</c:v>
                </c:pt>
                <c:pt idx="28">
                  <c:v>418.28463928712597</c:v>
                </c:pt>
                <c:pt idx="29">
                  <c:v>418.28463928712597</c:v>
                </c:pt>
                <c:pt idx="30">
                  <c:v>418.28463928712597</c:v>
                </c:pt>
                <c:pt idx="31">
                  <c:v>418.28463928712597</c:v>
                </c:pt>
                <c:pt idx="32">
                  <c:v>418.28463928712597</c:v>
                </c:pt>
                <c:pt idx="33">
                  <c:v>418.28463928712597</c:v>
                </c:pt>
                <c:pt idx="34">
                  <c:v>418.28463928712597</c:v>
                </c:pt>
                <c:pt idx="35">
                  <c:v>418.28463928712597</c:v>
                </c:pt>
              </c:numCache>
            </c:numRef>
          </c:val>
          <c:smooth val="0"/>
          <c:extLst>
            <c:ext xmlns:c16="http://schemas.microsoft.com/office/drawing/2014/chart" uri="{C3380CC4-5D6E-409C-BE32-E72D297353CC}">
              <c16:uniqueId val="{00000001-80F8-4573-9F29-F7FEF8C45FF0}"/>
            </c:ext>
          </c:extLst>
        </c:ser>
        <c:ser>
          <c:idx val="2"/>
          <c:order val="2"/>
          <c:tx>
            <c:strRef>
              <c:f>TER_RENO!$C$470</c:f>
              <c:strCache>
                <c:ptCount val="1"/>
                <c:pt idx="0">
                  <c:v>ADEME Tend.</c:v>
                </c:pt>
              </c:strCache>
            </c:strRef>
          </c:tx>
          <c:spPr>
            <a:ln w="28575" cap="rnd">
              <a:solidFill>
                <a:schemeClr val="tx1">
                  <a:lumMod val="20000"/>
                  <a:lumOff val="80000"/>
                </a:schemeClr>
              </a:solidFill>
              <a:round/>
            </a:ln>
            <a:effectLst/>
          </c:spPr>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TER_RENO!$S$470:$BB$470</c:f>
              <c:numCache>
                <c:formatCode>#,##0</c:formatCode>
                <c:ptCount val="36"/>
                <c:pt idx="6">
                  <c:v>419.51917380188456</c:v>
                </c:pt>
                <c:pt idx="7">
                  <c:v>419.51917380188456</c:v>
                </c:pt>
                <c:pt idx="8">
                  <c:v>419.51917380188473</c:v>
                </c:pt>
                <c:pt idx="9">
                  <c:v>419.51917380188451</c:v>
                </c:pt>
                <c:pt idx="10">
                  <c:v>419.51917380188468</c:v>
                </c:pt>
                <c:pt idx="11">
                  <c:v>419.51917380188462</c:v>
                </c:pt>
                <c:pt idx="12">
                  <c:v>419.51917380188462</c:v>
                </c:pt>
                <c:pt idx="13">
                  <c:v>419.51917380188468</c:v>
                </c:pt>
                <c:pt idx="14">
                  <c:v>419.51917380188462</c:v>
                </c:pt>
                <c:pt idx="15">
                  <c:v>419.51917380188468</c:v>
                </c:pt>
                <c:pt idx="16">
                  <c:v>419.51917380188473</c:v>
                </c:pt>
                <c:pt idx="17">
                  <c:v>419.51917380188479</c:v>
                </c:pt>
                <c:pt idx="18">
                  <c:v>419.51917380188462</c:v>
                </c:pt>
                <c:pt idx="19">
                  <c:v>419.51917380188468</c:v>
                </c:pt>
                <c:pt idx="20">
                  <c:v>419.51917380188462</c:v>
                </c:pt>
                <c:pt idx="21">
                  <c:v>419.51917380188468</c:v>
                </c:pt>
                <c:pt idx="22">
                  <c:v>419.51917380188479</c:v>
                </c:pt>
                <c:pt idx="23">
                  <c:v>419.51917380188462</c:v>
                </c:pt>
                <c:pt idx="24">
                  <c:v>419.51917380188473</c:v>
                </c:pt>
                <c:pt idx="25">
                  <c:v>419.51917380188479</c:v>
                </c:pt>
                <c:pt idx="26">
                  <c:v>419.51917380188473</c:v>
                </c:pt>
                <c:pt idx="27">
                  <c:v>419.51917380188473</c:v>
                </c:pt>
                <c:pt idx="28">
                  <c:v>419.51917380188451</c:v>
                </c:pt>
                <c:pt idx="29">
                  <c:v>419.51917380188507</c:v>
                </c:pt>
                <c:pt idx="30">
                  <c:v>419.51917380188451</c:v>
                </c:pt>
                <c:pt idx="31">
                  <c:v>419.51917380188479</c:v>
                </c:pt>
                <c:pt idx="32">
                  <c:v>419.51917380188451</c:v>
                </c:pt>
                <c:pt idx="33">
                  <c:v>419.5191738018849</c:v>
                </c:pt>
                <c:pt idx="34">
                  <c:v>419.51917380188462</c:v>
                </c:pt>
                <c:pt idx="35">
                  <c:v>419.51917380188485</c:v>
                </c:pt>
              </c:numCache>
            </c:numRef>
          </c:val>
          <c:smooth val="0"/>
          <c:extLst>
            <c:ext xmlns:c16="http://schemas.microsoft.com/office/drawing/2014/chart" uri="{C3380CC4-5D6E-409C-BE32-E72D297353CC}">
              <c16:uniqueId val="{00000002-80F8-4573-9F29-F7FEF8C45FF0}"/>
            </c:ext>
          </c:extLst>
        </c:ser>
        <c:ser>
          <c:idx val="3"/>
          <c:order val="3"/>
          <c:tx>
            <c:strRef>
              <c:f>TER_RENO!$C$471</c:f>
              <c:strCache>
                <c:ptCount val="1"/>
                <c:pt idx="0">
                  <c:v>ADEME S1</c:v>
                </c:pt>
              </c:strCache>
            </c:strRef>
          </c:tx>
          <c:spPr>
            <a:ln w="28575" cap="rnd">
              <a:solidFill>
                <a:srgbClr val="5487C2"/>
              </a:solidFill>
              <a:round/>
            </a:ln>
            <a:effectLst/>
          </c:spPr>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TER_RENO!$S$471:$BB$471</c:f>
              <c:numCache>
                <c:formatCode>#,##0</c:formatCode>
                <c:ptCount val="36"/>
                <c:pt idx="6">
                  <c:v>428.9153296948304</c:v>
                </c:pt>
                <c:pt idx="7">
                  <c:v>428.9153296948304</c:v>
                </c:pt>
                <c:pt idx="8">
                  <c:v>428.91532969483035</c:v>
                </c:pt>
                <c:pt idx="9">
                  <c:v>428.91532969483023</c:v>
                </c:pt>
                <c:pt idx="10">
                  <c:v>428.91532969483029</c:v>
                </c:pt>
                <c:pt idx="11">
                  <c:v>428.91532969483046</c:v>
                </c:pt>
                <c:pt idx="12">
                  <c:v>428.91532969483023</c:v>
                </c:pt>
                <c:pt idx="13">
                  <c:v>428.91532969483012</c:v>
                </c:pt>
                <c:pt idx="14">
                  <c:v>428.9153296948304</c:v>
                </c:pt>
                <c:pt idx="15">
                  <c:v>428.91532969483012</c:v>
                </c:pt>
                <c:pt idx="16">
                  <c:v>428.9153296948304</c:v>
                </c:pt>
                <c:pt idx="17">
                  <c:v>428.91532969483052</c:v>
                </c:pt>
                <c:pt idx="18">
                  <c:v>428.91532969483023</c:v>
                </c:pt>
                <c:pt idx="19">
                  <c:v>428.91532969483018</c:v>
                </c:pt>
                <c:pt idx="20">
                  <c:v>428.91532969483035</c:v>
                </c:pt>
                <c:pt idx="21">
                  <c:v>428.91532969483018</c:v>
                </c:pt>
                <c:pt idx="22">
                  <c:v>428.91532969483029</c:v>
                </c:pt>
                <c:pt idx="23">
                  <c:v>428.91532969483035</c:v>
                </c:pt>
                <c:pt idx="24">
                  <c:v>428.91532969483018</c:v>
                </c:pt>
                <c:pt idx="25">
                  <c:v>428.91532969483012</c:v>
                </c:pt>
                <c:pt idx="26">
                  <c:v>428.91532969483058</c:v>
                </c:pt>
                <c:pt idx="27">
                  <c:v>428.91532969483018</c:v>
                </c:pt>
                <c:pt idx="28">
                  <c:v>428.91532969483029</c:v>
                </c:pt>
                <c:pt idx="29">
                  <c:v>428.91532969483058</c:v>
                </c:pt>
                <c:pt idx="30">
                  <c:v>428.91532969483001</c:v>
                </c:pt>
                <c:pt idx="31">
                  <c:v>428.91532969483063</c:v>
                </c:pt>
                <c:pt idx="32">
                  <c:v>428.91532969482989</c:v>
                </c:pt>
                <c:pt idx="33">
                  <c:v>428.91532969483058</c:v>
                </c:pt>
                <c:pt idx="34">
                  <c:v>428.91532969482995</c:v>
                </c:pt>
                <c:pt idx="35">
                  <c:v>428.91532969483069</c:v>
                </c:pt>
              </c:numCache>
            </c:numRef>
          </c:val>
          <c:smooth val="0"/>
          <c:extLst>
            <c:ext xmlns:c16="http://schemas.microsoft.com/office/drawing/2014/chart" uri="{C3380CC4-5D6E-409C-BE32-E72D297353CC}">
              <c16:uniqueId val="{00000003-80F8-4573-9F29-F7FEF8C45FF0}"/>
            </c:ext>
          </c:extLst>
        </c:ser>
        <c:ser>
          <c:idx val="4"/>
          <c:order val="4"/>
          <c:tx>
            <c:strRef>
              <c:f>TER_RENO!$C$472</c:f>
              <c:strCache>
                <c:ptCount val="1"/>
                <c:pt idx="0">
                  <c:v>ADEME S2</c:v>
                </c:pt>
              </c:strCache>
            </c:strRef>
          </c:tx>
          <c:spPr>
            <a:ln w="28575" cap="rnd">
              <a:solidFill>
                <a:srgbClr val="982C7F"/>
              </a:solidFill>
              <a:round/>
            </a:ln>
            <a:effectLst/>
          </c:spPr>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TER_RENO!$S$472:$BB$472</c:f>
              <c:numCache>
                <c:formatCode>#,##0</c:formatCode>
                <c:ptCount val="36"/>
                <c:pt idx="6">
                  <c:v>424.3973283012968</c:v>
                </c:pt>
                <c:pt idx="7">
                  <c:v>424.3973283012968</c:v>
                </c:pt>
                <c:pt idx="8">
                  <c:v>424.3973283012968</c:v>
                </c:pt>
                <c:pt idx="9">
                  <c:v>424.3973283012968</c:v>
                </c:pt>
                <c:pt idx="10">
                  <c:v>424.3973283012968</c:v>
                </c:pt>
                <c:pt idx="11">
                  <c:v>424.39732830129691</c:v>
                </c:pt>
                <c:pt idx="12">
                  <c:v>424.39732830129691</c:v>
                </c:pt>
                <c:pt idx="13">
                  <c:v>424.39732830129691</c:v>
                </c:pt>
                <c:pt idx="14">
                  <c:v>424.3973283012968</c:v>
                </c:pt>
                <c:pt idx="15">
                  <c:v>424.39732830129685</c:v>
                </c:pt>
                <c:pt idx="16">
                  <c:v>424.39732830129674</c:v>
                </c:pt>
                <c:pt idx="17">
                  <c:v>424.39732830129685</c:v>
                </c:pt>
                <c:pt idx="18">
                  <c:v>424.3973283012968</c:v>
                </c:pt>
                <c:pt idx="19">
                  <c:v>424.3973283012968</c:v>
                </c:pt>
                <c:pt idx="20">
                  <c:v>424.39732830129685</c:v>
                </c:pt>
                <c:pt idx="21">
                  <c:v>424.39732830129691</c:v>
                </c:pt>
                <c:pt idx="22">
                  <c:v>424.39732830129685</c:v>
                </c:pt>
                <c:pt idx="23">
                  <c:v>424.39732830129697</c:v>
                </c:pt>
                <c:pt idx="24">
                  <c:v>424.39732830129691</c:v>
                </c:pt>
                <c:pt idx="25">
                  <c:v>424.39732830129685</c:v>
                </c:pt>
                <c:pt idx="26">
                  <c:v>424.3973283012968</c:v>
                </c:pt>
                <c:pt idx="27">
                  <c:v>424.39732830129674</c:v>
                </c:pt>
                <c:pt idx="28">
                  <c:v>424.39732830129691</c:v>
                </c:pt>
                <c:pt idx="29">
                  <c:v>424.39732830129708</c:v>
                </c:pt>
                <c:pt idx="30">
                  <c:v>424.39732830129691</c:v>
                </c:pt>
                <c:pt idx="31">
                  <c:v>424.3973283012968</c:v>
                </c:pt>
                <c:pt idx="32">
                  <c:v>424.39732830129685</c:v>
                </c:pt>
                <c:pt idx="33">
                  <c:v>424.39732830129691</c:v>
                </c:pt>
                <c:pt idx="34">
                  <c:v>424.39732830129674</c:v>
                </c:pt>
                <c:pt idx="35">
                  <c:v>424.39732830129708</c:v>
                </c:pt>
              </c:numCache>
            </c:numRef>
          </c:val>
          <c:smooth val="0"/>
          <c:extLst>
            <c:ext xmlns:c16="http://schemas.microsoft.com/office/drawing/2014/chart" uri="{C3380CC4-5D6E-409C-BE32-E72D297353CC}">
              <c16:uniqueId val="{00000004-80F8-4573-9F29-F7FEF8C45FF0}"/>
            </c:ext>
          </c:extLst>
        </c:ser>
        <c:ser>
          <c:idx val="5"/>
          <c:order val="5"/>
          <c:tx>
            <c:strRef>
              <c:f>TER_RENO!$C$473</c:f>
              <c:strCache>
                <c:ptCount val="1"/>
                <c:pt idx="0">
                  <c:v>ADEME S3</c:v>
                </c:pt>
              </c:strCache>
            </c:strRef>
          </c:tx>
          <c:spPr>
            <a:ln w="28575" cap="rnd">
              <a:solidFill>
                <a:srgbClr val="76B145"/>
              </a:solidFill>
              <a:round/>
            </a:ln>
            <a:effectLst/>
          </c:spPr>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TER_RENO!$S$473:$BB$473</c:f>
              <c:numCache>
                <c:formatCode>#,##0</c:formatCode>
                <c:ptCount val="36"/>
                <c:pt idx="6">
                  <c:v>426.81166584632638</c:v>
                </c:pt>
                <c:pt idx="7">
                  <c:v>426.81166584632638</c:v>
                </c:pt>
                <c:pt idx="8">
                  <c:v>426.81166584632638</c:v>
                </c:pt>
                <c:pt idx="9">
                  <c:v>426.81166584632638</c:v>
                </c:pt>
                <c:pt idx="10">
                  <c:v>426.81166584632638</c:v>
                </c:pt>
                <c:pt idx="11">
                  <c:v>426.81166584632621</c:v>
                </c:pt>
                <c:pt idx="12">
                  <c:v>426.81166584632632</c:v>
                </c:pt>
                <c:pt idx="13">
                  <c:v>426.81166584632643</c:v>
                </c:pt>
                <c:pt idx="14">
                  <c:v>426.81166584632632</c:v>
                </c:pt>
                <c:pt idx="15">
                  <c:v>426.81166584632638</c:v>
                </c:pt>
                <c:pt idx="16">
                  <c:v>426.81166584632638</c:v>
                </c:pt>
                <c:pt idx="17">
                  <c:v>426.81166584632626</c:v>
                </c:pt>
                <c:pt idx="18">
                  <c:v>426.81166584632626</c:v>
                </c:pt>
                <c:pt idx="19">
                  <c:v>426.81166584632626</c:v>
                </c:pt>
                <c:pt idx="20">
                  <c:v>426.81166584632643</c:v>
                </c:pt>
                <c:pt idx="21">
                  <c:v>426.81166584632632</c:v>
                </c:pt>
                <c:pt idx="22">
                  <c:v>426.81166584632626</c:v>
                </c:pt>
                <c:pt idx="23">
                  <c:v>426.81166584632621</c:v>
                </c:pt>
                <c:pt idx="24">
                  <c:v>426.81166584632643</c:v>
                </c:pt>
                <c:pt idx="25">
                  <c:v>426.81166584632632</c:v>
                </c:pt>
                <c:pt idx="26">
                  <c:v>426.81166584632638</c:v>
                </c:pt>
                <c:pt idx="27">
                  <c:v>426.81166584632615</c:v>
                </c:pt>
                <c:pt idx="28">
                  <c:v>426.81166584632632</c:v>
                </c:pt>
                <c:pt idx="29">
                  <c:v>426.81166584632638</c:v>
                </c:pt>
                <c:pt idx="30">
                  <c:v>426.81166584632649</c:v>
                </c:pt>
                <c:pt idx="31">
                  <c:v>426.81166584632615</c:v>
                </c:pt>
                <c:pt idx="32">
                  <c:v>426.81166584632643</c:v>
                </c:pt>
                <c:pt idx="33">
                  <c:v>426.81166584632615</c:v>
                </c:pt>
                <c:pt idx="34">
                  <c:v>426.81166584632638</c:v>
                </c:pt>
                <c:pt idx="35">
                  <c:v>426.81166584632655</c:v>
                </c:pt>
              </c:numCache>
            </c:numRef>
          </c:val>
          <c:smooth val="0"/>
          <c:extLst>
            <c:ext xmlns:c16="http://schemas.microsoft.com/office/drawing/2014/chart" uri="{C3380CC4-5D6E-409C-BE32-E72D297353CC}">
              <c16:uniqueId val="{00000005-80F8-4573-9F29-F7FEF8C45FF0}"/>
            </c:ext>
          </c:extLst>
        </c:ser>
        <c:ser>
          <c:idx val="6"/>
          <c:order val="6"/>
          <c:tx>
            <c:strRef>
              <c:f>TER_RENO!$C$474</c:f>
              <c:strCache>
                <c:ptCount val="1"/>
                <c:pt idx="0">
                  <c:v>ADEME S4</c:v>
                </c:pt>
              </c:strCache>
            </c:strRef>
          </c:tx>
          <c:spPr>
            <a:ln w="28575" cap="rnd">
              <a:solidFill>
                <a:srgbClr val="E9682D"/>
              </a:solidFill>
              <a:round/>
            </a:ln>
            <a:effectLst/>
          </c:spPr>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TER_RENO!$S$474:$BB$474</c:f>
              <c:numCache>
                <c:formatCode>#,##0</c:formatCode>
                <c:ptCount val="36"/>
                <c:pt idx="6">
                  <c:v>421.4612997492531</c:v>
                </c:pt>
                <c:pt idx="7">
                  <c:v>421.4612997492531</c:v>
                </c:pt>
                <c:pt idx="8">
                  <c:v>421.46129974925321</c:v>
                </c:pt>
                <c:pt idx="9">
                  <c:v>421.4612997492531</c:v>
                </c:pt>
                <c:pt idx="10">
                  <c:v>421.46129974925321</c:v>
                </c:pt>
                <c:pt idx="11">
                  <c:v>421.46129974925321</c:v>
                </c:pt>
                <c:pt idx="12">
                  <c:v>421.46129974925316</c:v>
                </c:pt>
                <c:pt idx="13">
                  <c:v>421.4612997492531</c:v>
                </c:pt>
                <c:pt idx="14">
                  <c:v>421.4612997492531</c:v>
                </c:pt>
                <c:pt idx="15">
                  <c:v>421.46129974925299</c:v>
                </c:pt>
                <c:pt idx="16">
                  <c:v>421.46129974925333</c:v>
                </c:pt>
                <c:pt idx="17">
                  <c:v>421.4612997492531</c:v>
                </c:pt>
                <c:pt idx="18">
                  <c:v>421.46129974925304</c:v>
                </c:pt>
                <c:pt idx="19">
                  <c:v>421.46129974925327</c:v>
                </c:pt>
                <c:pt idx="20">
                  <c:v>421.46129974925316</c:v>
                </c:pt>
                <c:pt idx="21">
                  <c:v>421.4612997492531</c:v>
                </c:pt>
                <c:pt idx="22">
                  <c:v>421.46129974925316</c:v>
                </c:pt>
                <c:pt idx="23">
                  <c:v>421.46129974925316</c:v>
                </c:pt>
                <c:pt idx="24">
                  <c:v>421.46129974925327</c:v>
                </c:pt>
                <c:pt idx="25">
                  <c:v>421.46129974925276</c:v>
                </c:pt>
                <c:pt idx="26">
                  <c:v>421.46129974925321</c:v>
                </c:pt>
                <c:pt idx="27">
                  <c:v>421.46129974925316</c:v>
                </c:pt>
                <c:pt idx="28">
                  <c:v>421.46129974925293</c:v>
                </c:pt>
                <c:pt idx="29">
                  <c:v>421.46129974925327</c:v>
                </c:pt>
                <c:pt idx="30">
                  <c:v>421.46129974925304</c:v>
                </c:pt>
                <c:pt idx="31">
                  <c:v>421.46129974925304</c:v>
                </c:pt>
                <c:pt idx="32">
                  <c:v>421.4612997492531</c:v>
                </c:pt>
                <c:pt idx="33">
                  <c:v>421.46129974925321</c:v>
                </c:pt>
                <c:pt idx="34">
                  <c:v>421.46129974925339</c:v>
                </c:pt>
                <c:pt idx="35">
                  <c:v>421.46129974925282</c:v>
                </c:pt>
              </c:numCache>
            </c:numRef>
          </c:val>
          <c:smooth val="0"/>
          <c:extLst>
            <c:ext xmlns:c16="http://schemas.microsoft.com/office/drawing/2014/chart" uri="{C3380CC4-5D6E-409C-BE32-E72D297353CC}">
              <c16:uniqueId val="{00000006-80F8-4573-9F29-F7FEF8C45FF0}"/>
            </c:ext>
          </c:extLst>
        </c:ser>
        <c:dLbls>
          <c:showLegendKey val="0"/>
          <c:showVal val="0"/>
          <c:showCatName val="0"/>
          <c:showSerName val="0"/>
          <c:showPercent val="0"/>
          <c:showBubbleSize val="0"/>
        </c:dLbls>
        <c:smooth val="0"/>
        <c:axId val="714254264"/>
        <c:axId val="714254592"/>
      </c:lineChart>
      <c:catAx>
        <c:axId val="714254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crossAx val="714254592"/>
        <c:crosses val="autoZero"/>
        <c:auto val="1"/>
        <c:lblAlgn val="ctr"/>
        <c:lblOffset val="100"/>
        <c:tickLblSkip val="5"/>
        <c:noMultiLvlLbl val="0"/>
      </c:catAx>
      <c:valAx>
        <c:axId val="714254592"/>
        <c:scaling>
          <c:orientation val="minMax"/>
          <c:min val="0"/>
        </c:scaling>
        <c:delete val="0"/>
        <c:axPos val="l"/>
        <c:majorGridlines>
          <c:spPr>
            <a:ln w="9525" cap="flat" cmpd="sng" algn="ctr">
              <a:solidFill>
                <a:schemeClr val="tx1">
                  <a:lumMod val="15000"/>
                  <a:lumOff val="85000"/>
                </a:schemeClr>
              </a:solidFill>
              <a:round/>
            </a:ln>
            <a:effectLst/>
          </c:spPr>
        </c:majorGridlines>
        <c:title>
          <c:tx>
            <c:strRef>
              <c:f>TER_RENO!$E$468</c:f>
              <c:strCache>
                <c:ptCount val="1"/>
                <c:pt idx="0">
                  <c:v>(€ HT / m²)</c:v>
                </c:pt>
              </c:strCache>
            </c:strRef>
          </c:tx>
          <c:overlay val="0"/>
          <c:txPr>
            <a:bodyPr/>
            <a:lstStyle/>
            <a:p>
              <a:pPr>
                <a:defRPr/>
              </a:pPr>
              <a:endParaRPr lang="fr-F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crossAx val="714254264"/>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legend>
    <c:plotVisOnly val="0"/>
    <c:dispBlanksAs val="gap"/>
    <c:showDLblsOverMax val="0"/>
    <c:extLst/>
  </c:chart>
  <c:txPr>
    <a:bodyPr/>
    <a:lstStyle/>
    <a:p>
      <a:pPr>
        <a:defRPr>
          <a:solidFill>
            <a:sysClr val="windowText" lastClr="000000"/>
          </a:solidFill>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TER_RENO!$C$265</c:f>
          <c:strCache>
            <c:ptCount val="1"/>
            <c:pt idx="0">
              <c:v>Consommation unitaire d'énergie, bâtiments tertiaires construits avant 2015</c:v>
            </c:pt>
          </c:strCache>
        </c:strRef>
      </c:tx>
      <c:overlay val="0"/>
      <c:spPr>
        <a:noFill/>
        <a:ln>
          <a:noFill/>
        </a:ln>
        <a:effectLst/>
      </c:spPr>
      <c:txPr>
        <a:bodyPr rot="0" spcFirstLastPara="1" vertOverflow="ellipsis" vert="horz" wrap="square" anchor="ctr" anchorCtr="1"/>
        <a:lstStyle/>
        <a:p>
          <a:pPr>
            <a:defRPr sz="1200" b="0" i="0" u="none" strike="noStrike" kern="1200" cap="all" spc="0" baseline="0">
              <a:solidFill>
                <a:schemeClr val="tx2"/>
              </a:solidFill>
              <a:latin typeface="+mn-lt"/>
              <a:ea typeface="+mn-ea"/>
              <a:cs typeface="+mn-cs"/>
            </a:defRPr>
          </a:pPr>
          <a:endParaRPr lang="fr-FR"/>
        </a:p>
      </c:txPr>
    </c:title>
    <c:autoTitleDeleted val="0"/>
    <c:plotArea>
      <c:layout/>
      <c:lineChart>
        <c:grouping val="standard"/>
        <c:varyColors val="0"/>
        <c:ser>
          <c:idx val="0"/>
          <c:order val="0"/>
          <c:tx>
            <c:strRef>
              <c:f>TER_RENO!$C$267</c:f>
              <c:strCache>
                <c:ptCount val="1"/>
                <c:pt idx="0">
                  <c:v>Historique</c:v>
                </c:pt>
              </c:strCache>
            </c:strRef>
          </c:tx>
          <c:spPr>
            <a:ln w="28575" cap="rnd">
              <a:solidFill>
                <a:schemeClr val="tx2"/>
              </a:solidFill>
              <a:round/>
            </a:ln>
            <a:effectLst/>
          </c:spPr>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TER_RENO!$S$267:$BB$267</c:f>
              <c:numCache>
                <c:formatCode>#,##0</c:formatCode>
                <c:ptCount val="36"/>
                <c:pt idx="0">
                  <c:v>105.94709172586673</c:v>
                </c:pt>
                <c:pt idx="1">
                  <c:v>104.3127509738071</c:v>
                </c:pt>
                <c:pt idx="2">
                  <c:v>102.70575505279278</c:v>
                </c:pt>
                <c:pt idx="3">
                  <c:v>101.12542337986515</c:v>
                </c:pt>
                <c:pt idx="4">
                  <c:v>99.571097771521082</c:v>
                </c:pt>
                <c:pt idx="5">
                  <c:v>98.042141529715011</c:v>
                </c:pt>
              </c:numCache>
            </c:numRef>
          </c:val>
          <c:smooth val="0"/>
          <c:extLst>
            <c:ext xmlns:c16="http://schemas.microsoft.com/office/drawing/2014/chart" uri="{C3380CC4-5D6E-409C-BE32-E72D297353CC}">
              <c16:uniqueId val="{00000000-92A5-4E43-9B1A-985552E05A98}"/>
            </c:ext>
          </c:extLst>
        </c:ser>
        <c:ser>
          <c:idx val="1"/>
          <c:order val="1"/>
          <c:tx>
            <c:strRef>
              <c:f>TER_RENO!$C$268</c:f>
              <c:strCache>
                <c:ptCount val="1"/>
                <c:pt idx="0">
                  <c:v>AMS 2018</c:v>
                </c:pt>
              </c:strCache>
            </c:strRef>
          </c:tx>
          <c:spPr>
            <a:ln w="28575" cap="rnd">
              <a:solidFill>
                <a:schemeClr val="tx1"/>
              </a:solidFill>
              <a:round/>
            </a:ln>
            <a:effectLst/>
          </c:spPr>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TER_RENO!$S$268:$BB$268</c:f>
              <c:numCache>
                <c:formatCode>#,##0</c:formatCode>
                <c:ptCount val="36"/>
                <c:pt idx="6">
                  <c:v>102.72588975776108</c:v>
                </c:pt>
                <c:pt idx="7">
                  <c:v>100.06064581614254</c:v>
                </c:pt>
                <c:pt idx="8">
                  <c:v>97.378568081960381</c:v>
                </c:pt>
                <c:pt idx="9">
                  <c:v>94.679578347519879</c:v>
                </c:pt>
                <c:pt idx="10">
                  <c:v>91.963600635552339</c:v>
                </c:pt>
                <c:pt idx="11">
                  <c:v>89.230413112211551</c:v>
                </c:pt>
                <c:pt idx="12">
                  <c:v>86.480188060368448</c:v>
                </c:pt>
                <c:pt idx="13">
                  <c:v>83.712698533756608</c:v>
                </c:pt>
                <c:pt idx="14">
                  <c:v>80.927841040079556</c:v>
                </c:pt>
                <c:pt idx="15">
                  <c:v>78.125644932287017</c:v>
                </c:pt>
                <c:pt idx="16">
                  <c:v>76.738858209510596</c:v>
                </c:pt>
                <c:pt idx="17">
                  <c:v>75.343882699364599</c:v>
                </c:pt>
                <c:pt idx="18">
                  <c:v>73.942771096691033</c:v>
                </c:pt>
                <c:pt idx="19">
                  <c:v>72.516659694489718</c:v>
                </c:pt>
                <c:pt idx="20">
                  <c:v>71.087490629734219</c:v>
                </c:pt>
                <c:pt idx="21">
                  <c:v>69.648655617180296</c:v>
                </c:pt>
                <c:pt idx="22">
                  <c:v>68.200339434648797</c:v>
                </c:pt>
                <c:pt idx="23">
                  <c:v>66.743215172039271</c:v>
                </c:pt>
                <c:pt idx="24">
                  <c:v>65.277015108791332</c:v>
                </c:pt>
                <c:pt idx="25">
                  <c:v>63.802164119358352</c:v>
                </c:pt>
                <c:pt idx="26">
                  <c:v>62.317675499361471</c:v>
                </c:pt>
                <c:pt idx="27">
                  <c:v>60.823041683620517</c:v>
                </c:pt>
                <c:pt idx="28">
                  <c:v>59.319134622669395</c:v>
                </c:pt>
                <c:pt idx="29">
                  <c:v>57.805473210476805</c:v>
                </c:pt>
                <c:pt idx="30">
                  <c:v>56.281706579629819</c:v>
                </c:pt>
                <c:pt idx="31">
                  <c:v>54.74743280975467</c:v>
                </c:pt>
                <c:pt idx="32">
                  <c:v>53.203096929946341</c:v>
                </c:pt>
                <c:pt idx="33">
                  <c:v>51.649212979567821</c:v>
                </c:pt>
                <c:pt idx="34">
                  <c:v>50.085981981262165</c:v>
                </c:pt>
                <c:pt idx="35">
                  <c:v>48.513137760013954</c:v>
                </c:pt>
              </c:numCache>
            </c:numRef>
          </c:val>
          <c:smooth val="0"/>
          <c:extLst>
            <c:ext xmlns:c16="http://schemas.microsoft.com/office/drawing/2014/chart" uri="{C3380CC4-5D6E-409C-BE32-E72D297353CC}">
              <c16:uniqueId val="{00000001-92A5-4E43-9B1A-985552E05A98}"/>
            </c:ext>
          </c:extLst>
        </c:ser>
        <c:ser>
          <c:idx val="2"/>
          <c:order val="2"/>
          <c:tx>
            <c:strRef>
              <c:f>TER_RENO!$C$269</c:f>
              <c:strCache>
                <c:ptCount val="1"/>
                <c:pt idx="0">
                  <c:v>ADEME Tend.</c:v>
                </c:pt>
              </c:strCache>
            </c:strRef>
          </c:tx>
          <c:spPr>
            <a:ln w="28575" cap="rnd">
              <a:solidFill>
                <a:schemeClr val="tx1">
                  <a:lumMod val="20000"/>
                  <a:lumOff val="80000"/>
                </a:schemeClr>
              </a:solidFill>
              <a:round/>
            </a:ln>
            <a:effectLst/>
          </c:spPr>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TER_RENO!$S$269:$BB$269</c:f>
              <c:numCache>
                <c:formatCode>#,##0</c:formatCode>
                <c:ptCount val="36"/>
                <c:pt idx="6">
                  <c:v>98.30233743646339</c:v>
                </c:pt>
                <c:pt idx="7">
                  <c:v>96.452983559852498</c:v>
                </c:pt>
                <c:pt idx="8">
                  <c:v>94.5872440311107</c:v>
                </c:pt>
                <c:pt idx="9">
                  <c:v>92.704813466634462</c:v>
                </c:pt>
                <c:pt idx="10">
                  <c:v>90.805378846698005</c:v>
                </c:pt>
                <c:pt idx="11">
                  <c:v>88.888619275275261</c:v>
                </c:pt>
                <c:pt idx="12">
                  <c:v>86.954205730739034</c:v>
                </c:pt>
                <c:pt idx="13">
                  <c:v>85.001800807031202</c:v>
                </c:pt>
                <c:pt idx="14">
                  <c:v>83.031058444875427</c:v>
                </c:pt>
                <c:pt idx="15">
                  <c:v>81.041623652583368</c:v>
                </c:pt>
                <c:pt idx="16">
                  <c:v>79.974632657824614</c:v>
                </c:pt>
                <c:pt idx="17">
                  <c:v>78.907847089917212</c:v>
                </c:pt>
                <c:pt idx="18">
                  <c:v>77.841268306844384</c:v>
                </c:pt>
                <c:pt idx="19">
                  <c:v>76.77489767858512</c:v>
                </c:pt>
                <c:pt idx="20">
                  <c:v>75.708736587246946</c:v>
                </c:pt>
                <c:pt idx="21">
                  <c:v>74.642786427200463</c:v>
                </c:pt>
                <c:pt idx="22">
                  <c:v>73.577048605215495</c:v>
                </c:pt>
                <c:pt idx="23">
                  <c:v>72.511524540599538</c:v>
                </c:pt>
                <c:pt idx="24">
                  <c:v>71.446215665337405</c:v>
                </c:pt>
                <c:pt idx="25">
                  <c:v>70.381123424233337</c:v>
                </c:pt>
                <c:pt idx="26">
                  <c:v>69.576121207124459</c:v>
                </c:pt>
                <c:pt idx="27">
                  <c:v>68.772594502110209</c:v>
                </c:pt>
                <c:pt idx="28">
                  <c:v>67.970553282900227</c:v>
                </c:pt>
                <c:pt idx="29">
                  <c:v>67.17000761329669</c:v>
                </c:pt>
                <c:pt idx="30">
                  <c:v>66.370967648214048</c:v>
                </c:pt>
                <c:pt idx="31">
                  <c:v>65.573443634712177</c:v>
                </c:pt>
                <c:pt idx="32">
                  <c:v>64.777445913044204</c:v>
                </c:pt>
                <c:pt idx="33">
                  <c:v>63.982984917718156</c:v>
                </c:pt>
                <c:pt idx="34">
                  <c:v>63.190071178573476</c:v>
                </c:pt>
                <c:pt idx="35">
                  <c:v>62.398715321872203</c:v>
                </c:pt>
              </c:numCache>
            </c:numRef>
          </c:val>
          <c:smooth val="0"/>
          <c:extLst>
            <c:ext xmlns:c16="http://schemas.microsoft.com/office/drawing/2014/chart" uri="{C3380CC4-5D6E-409C-BE32-E72D297353CC}">
              <c16:uniqueId val="{00000002-92A5-4E43-9B1A-985552E05A98}"/>
            </c:ext>
          </c:extLst>
        </c:ser>
        <c:ser>
          <c:idx val="3"/>
          <c:order val="3"/>
          <c:tx>
            <c:strRef>
              <c:f>TER_RENO!$C$270</c:f>
              <c:strCache>
                <c:ptCount val="1"/>
                <c:pt idx="0">
                  <c:v>ADEME S1</c:v>
                </c:pt>
              </c:strCache>
            </c:strRef>
          </c:tx>
          <c:spPr>
            <a:ln w="28575" cap="rnd">
              <a:solidFill>
                <a:srgbClr val="5487C2"/>
              </a:solidFill>
              <a:round/>
            </a:ln>
            <a:effectLst/>
          </c:spPr>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TER_RENO!$S$270:$BB$270</c:f>
              <c:numCache>
                <c:formatCode>#,##0</c:formatCode>
                <c:ptCount val="36"/>
                <c:pt idx="6">
                  <c:v>96.830806820811986</c:v>
                </c:pt>
                <c:pt idx="7">
                  <c:v>93.446277557271713</c:v>
                </c:pt>
                <c:pt idx="8">
                  <c:v>89.981706071650294</c:v>
                </c:pt>
                <c:pt idx="9">
                  <c:v>86.434098172415503</c:v>
                </c:pt>
                <c:pt idx="10">
                  <c:v>82.800308441461169</c:v>
                </c:pt>
                <c:pt idx="11">
                  <c:v>79.077030564579346</c:v>
                </c:pt>
                <c:pt idx="12">
                  <c:v>75.260786910390479</c:v>
                </c:pt>
                <c:pt idx="13">
                  <c:v>71.347917288689885</c:v>
                </c:pt>
                <c:pt idx="14">
                  <c:v>67.334566811823976</c:v>
                </c:pt>
                <c:pt idx="15">
                  <c:v>63.216672774473487</c:v>
                </c:pt>
                <c:pt idx="16">
                  <c:v>61.902705228153287</c:v>
                </c:pt>
                <c:pt idx="17">
                  <c:v>60.566663275792543</c:v>
                </c:pt>
                <c:pt idx="18">
                  <c:v>59.207939106163472</c:v>
                </c:pt>
                <c:pt idx="19">
                  <c:v>57.825902386834507</c:v>
                </c:pt>
                <c:pt idx="20">
                  <c:v>56.419899211320882</c:v>
                </c:pt>
                <c:pt idx="21">
                  <c:v>54.98925098661396</c:v>
                </c:pt>
                <c:pt idx="22">
                  <c:v>53.533253257112854</c:v>
                </c:pt>
                <c:pt idx="23">
                  <c:v>52.051174460675306</c:v>
                </c:pt>
                <c:pt idx="24">
                  <c:v>50.542254612173167</c:v>
                </c:pt>
                <c:pt idx="25">
                  <c:v>49.005703909574621</c:v>
                </c:pt>
                <c:pt idx="26">
                  <c:v>48.112266846756782</c:v>
                </c:pt>
                <c:pt idx="27">
                  <c:v>47.203206553173615</c:v>
                </c:pt>
                <c:pt idx="28">
                  <c:v>46.278049375569083</c:v>
                </c:pt>
                <c:pt idx="29">
                  <c:v>45.336302318742291</c:v>
                </c:pt>
                <c:pt idx="30">
                  <c:v>44.377452048062842</c:v>
                </c:pt>
                <c:pt idx="31">
                  <c:v>43.400963829613211</c:v>
                </c:pt>
                <c:pt idx="32">
                  <c:v>42.406280403360086</c:v>
                </c:pt>
                <c:pt idx="33">
                  <c:v>41.392820784364865</c:v>
                </c:pt>
                <c:pt idx="34">
                  <c:v>40.359978986614294</c:v>
                </c:pt>
                <c:pt idx="35">
                  <c:v>39.307122663580806</c:v>
                </c:pt>
              </c:numCache>
            </c:numRef>
          </c:val>
          <c:smooth val="0"/>
          <c:extLst>
            <c:ext xmlns:c16="http://schemas.microsoft.com/office/drawing/2014/chart" uri="{C3380CC4-5D6E-409C-BE32-E72D297353CC}">
              <c16:uniqueId val="{00000003-92A5-4E43-9B1A-985552E05A98}"/>
            </c:ext>
          </c:extLst>
        </c:ser>
        <c:ser>
          <c:idx val="4"/>
          <c:order val="4"/>
          <c:tx>
            <c:strRef>
              <c:f>TER_RENO!$C$271</c:f>
              <c:strCache>
                <c:ptCount val="1"/>
                <c:pt idx="0">
                  <c:v>ADEME S2</c:v>
                </c:pt>
              </c:strCache>
            </c:strRef>
          </c:tx>
          <c:spPr>
            <a:ln w="28575" cap="rnd">
              <a:solidFill>
                <a:srgbClr val="982C7F"/>
              </a:solidFill>
              <a:round/>
            </a:ln>
            <a:effectLst/>
          </c:spPr>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TER_RENO!$S$271:$BB$271</c:f>
              <c:numCache>
                <c:formatCode>#,##0</c:formatCode>
                <c:ptCount val="36"/>
                <c:pt idx="6">
                  <c:v>97.576339244211823</c:v>
                </c:pt>
                <c:pt idx="7">
                  <c:v>94.949006499984307</c:v>
                </c:pt>
                <c:pt idx="8">
                  <c:v>92.260316815331009</c:v>
                </c:pt>
                <c:pt idx="9">
                  <c:v>89.50797497122015</c:v>
                </c:pt>
                <c:pt idx="10">
                  <c:v>86.689569824803158</c:v>
                </c:pt>
                <c:pt idx="11">
                  <c:v>83.80256689716866</c:v>
                </c:pt>
                <c:pt idx="12">
                  <c:v>80.84430038499643</c:v>
                </c:pt>
                <c:pt idx="13">
                  <c:v>77.811964543187329</c:v>
                </c:pt>
                <c:pt idx="14">
                  <c:v>74.702604379913708</c:v>
                </c:pt>
                <c:pt idx="15">
                  <c:v>71.51310559922328</c:v>
                </c:pt>
                <c:pt idx="16">
                  <c:v>70.289457412538368</c:v>
                </c:pt>
                <c:pt idx="17">
                  <c:v>69.045412919390643</c:v>
                </c:pt>
                <c:pt idx="18">
                  <c:v>67.780410514450864</c:v>
                </c:pt>
                <c:pt idx="19">
                  <c:v>66.493867783251133</c:v>
                </c:pt>
                <c:pt idx="20">
                  <c:v>65.185180529373326</c:v>
                </c:pt>
                <c:pt idx="21">
                  <c:v>63.853721746548715</c:v>
                </c:pt>
                <c:pt idx="22">
                  <c:v>62.498840531994212</c:v>
                </c:pt>
                <c:pt idx="23">
                  <c:v>61.119860937028683</c:v>
                </c:pt>
                <c:pt idx="24">
                  <c:v>59.716080750704691</c:v>
                </c:pt>
                <c:pt idx="25">
                  <c:v>58.286770211856428</c:v>
                </c:pt>
                <c:pt idx="26">
                  <c:v>57.601352217336093</c:v>
                </c:pt>
                <c:pt idx="27">
                  <c:v>56.904507516755672</c:v>
                </c:pt>
                <c:pt idx="28">
                  <c:v>56.195889683910998</c:v>
                </c:pt>
                <c:pt idx="29">
                  <c:v>55.475138146054036</c:v>
                </c:pt>
                <c:pt idx="30">
                  <c:v>54.741877454340695</c:v>
                </c:pt>
                <c:pt idx="31">
                  <c:v>53.995716508659392</c:v>
                </c:pt>
                <c:pt idx="32">
                  <c:v>53.236247733477541</c:v>
                </c:pt>
                <c:pt idx="33">
                  <c:v>52.463046201056535</c:v>
                </c:pt>
                <c:pt idx="34">
                  <c:v>51.675668698071689</c:v>
                </c:pt>
                <c:pt idx="35">
                  <c:v>50.873652731328917</c:v>
                </c:pt>
              </c:numCache>
            </c:numRef>
          </c:val>
          <c:smooth val="0"/>
          <c:extLst>
            <c:ext xmlns:c16="http://schemas.microsoft.com/office/drawing/2014/chart" uri="{C3380CC4-5D6E-409C-BE32-E72D297353CC}">
              <c16:uniqueId val="{00000004-92A5-4E43-9B1A-985552E05A98}"/>
            </c:ext>
          </c:extLst>
        </c:ser>
        <c:ser>
          <c:idx val="5"/>
          <c:order val="5"/>
          <c:tx>
            <c:strRef>
              <c:f>TER_RENO!$C$272</c:f>
              <c:strCache>
                <c:ptCount val="1"/>
                <c:pt idx="0">
                  <c:v>ADEME S3</c:v>
                </c:pt>
              </c:strCache>
            </c:strRef>
          </c:tx>
          <c:spPr>
            <a:ln w="28575" cap="rnd">
              <a:solidFill>
                <a:srgbClr val="76B145"/>
              </a:solidFill>
              <a:round/>
            </a:ln>
            <a:effectLst/>
          </c:spPr>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TER_RENO!$S$272:$BB$272</c:f>
              <c:numCache>
                <c:formatCode>#,##0</c:formatCode>
                <c:ptCount val="36"/>
                <c:pt idx="6">
                  <c:v>97.025331092063269</c:v>
                </c:pt>
                <c:pt idx="7">
                  <c:v>93.863793172151418</c:v>
                </c:pt>
                <c:pt idx="8">
                  <c:v>90.658925097425325</c:v>
                </c:pt>
                <c:pt idx="9">
                  <c:v>87.409735128852006</c:v>
                </c:pt>
                <c:pt idx="10">
                  <c:v>84.115201029537246</c:v>
                </c:pt>
                <c:pt idx="11">
                  <c:v>80.774268883308707</c:v>
                </c:pt>
                <c:pt idx="12">
                  <c:v>77.385851857952076</c:v>
                </c:pt>
                <c:pt idx="13">
                  <c:v>73.948828910050807</c:v>
                </c:pt>
                <c:pt idx="14">
                  <c:v>70.462043428187727</c:v>
                </c:pt>
                <c:pt idx="15">
                  <c:v>66.924301811058243</c:v>
                </c:pt>
                <c:pt idx="16">
                  <c:v>65.884158256714159</c:v>
                </c:pt>
                <c:pt idx="17">
                  <c:v>64.838941402698865</c:v>
                </c:pt>
                <c:pt idx="18">
                  <c:v>63.788594775902872</c:v>
                </c:pt>
                <c:pt idx="19">
                  <c:v>62.733061061926051</c:v>
                </c:pt>
                <c:pt idx="20">
                  <c:v>61.672282089353033</c:v>
                </c:pt>
                <c:pt idx="21">
                  <c:v>60.606198813674411</c:v>
                </c:pt>
                <c:pt idx="22">
                  <c:v>59.534751300844903</c:v>
                </c:pt>
                <c:pt idx="23">
                  <c:v>58.457878710468194</c:v>
                </c:pt>
                <c:pt idx="24">
                  <c:v>57.375519278599228</c:v>
                </c:pt>
                <c:pt idx="25">
                  <c:v>56.287610300153169</c:v>
                </c:pt>
                <c:pt idx="26">
                  <c:v>55.536442246945917</c:v>
                </c:pt>
                <c:pt idx="27">
                  <c:v>54.781984810422877</c:v>
                </c:pt>
                <c:pt idx="28">
                  <c:v>54.024199964058781</c:v>
                </c:pt>
                <c:pt idx="29">
                  <c:v>53.263049092926273</c:v>
                </c:pt>
                <c:pt idx="30">
                  <c:v>52.498492982270676</c:v>
                </c:pt>
                <c:pt idx="31">
                  <c:v>51.730491805817991</c:v>
                </c:pt>
                <c:pt idx="32">
                  <c:v>50.959005113807955</c:v>
                </c:pt>
                <c:pt idx="33">
                  <c:v>50.183991820745241</c:v>
                </c:pt>
                <c:pt idx="34">
                  <c:v>49.405410192860607</c:v>
                </c:pt>
                <c:pt idx="35">
                  <c:v>48.623217835274112</c:v>
                </c:pt>
              </c:numCache>
            </c:numRef>
          </c:val>
          <c:smooth val="0"/>
          <c:extLst>
            <c:ext xmlns:c16="http://schemas.microsoft.com/office/drawing/2014/chart" uri="{C3380CC4-5D6E-409C-BE32-E72D297353CC}">
              <c16:uniqueId val="{00000005-92A5-4E43-9B1A-985552E05A98}"/>
            </c:ext>
          </c:extLst>
        </c:ser>
        <c:ser>
          <c:idx val="6"/>
          <c:order val="6"/>
          <c:tx>
            <c:strRef>
              <c:f>TER_RENO!$C$273</c:f>
              <c:strCache>
                <c:ptCount val="1"/>
                <c:pt idx="0">
                  <c:v>ADEME S4</c:v>
                </c:pt>
              </c:strCache>
            </c:strRef>
          </c:tx>
          <c:spPr>
            <a:ln w="28575" cap="rnd">
              <a:solidFill>
                <a:srgbClr val="E9682D"/>
              </a:solidFill>
              <a:round/>
            </a:ln>
            <a:effectLst/>
          </c:spPr>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TER_RENO!$S$273:$BB$273</c:f>
              <c:numCache>
                <c:formatCode>#,##0</c:formatCode>
                <c:ptCount val="36"/>
                <c:pt idx="6">
                  <c:v>98.058666737120006</c:v>
                </c:pt>
                <c:pt idx="7">
                  <c:v>95.962222853297106</c:v>
                </c:pt>
                <c:pt idx="8">
                  <c:v>93.846342218798384</c:v>
                </c:pt>
                <c:pt idx="9">
                  <c:v>91.710662585913795</c:v>
                </c:pt>
                <c:pt idx="10">
                  <c:v>89.554812648923061</c:v>
                </c:pt>
                <c:pt idx="11">
                  <c:v>87.378411759195217</c:v>
                </c:pt>
                <c:pt idx="12">
                  <c:v>85.181069629466535</c:v>
                </c:pt>
                <c:pt idx="13">
                  <c:v>82.962386026815153</c:v>
                </c:pt>
                <c:pt idx="14">
                  <c:v>80.721950453824235</c:v>
                </c:pt>
                <c:pt idx="15">
                  <c:v>78.459341817400684</c:v>
                </c:pt>
                <c:pt idx="16">
                  <c:v>77.327082109618928</c:v>
                </c:pt>
                <c:pt idx="17">
                  <c:v>76.194740819987572</c:v>
                </c:pt>
                <c:pt idx="18">
                  <c:v>75.06231740920623</c:v>
                </c:pt>
                <c:pt idx="19">
                  <c:v>73.929811333210537</c:v>
                </c:pt>
                <c:pt idx="20">
                  <c:v>72.797222043119589</c:v>
                </c:pt>
                <c:pt idx="21">
                  <c:v>71.664548985182336</c:v>
                </c:pt>
                <c:pt idx="22">
                  <c:v>70.531791600723523</c:v>
                </c:pt>
                <c:pt idx="23">
                  <c:v>69.398949326088896</c:v>
                </c:pt>
                <c:pt idx="24">
                  <c:v>68.266021592589539</c:v>
                </c:pt>
                <c:pt idx="25">
                  <c:v>67.133007826445549</c:v>
                </c:pt>
                <c:pt idx="26">
                  <c:v>66.260718728577515</c:v>
                </c:pt>
                <c:pt idx="27">
                  <c:v>65.389602607787978</c:v>
                </c:pt>
                <c:pt idx="28">
                  <c:v>64.519667392804038</c:v>
                </c:pt>
                <c:pt idx="29">
                  <c:v>63.650921083973131</c:v>
                </c:pt>
                <c:pt idx="30">
                  <c:v>62.783371754073379</c:v>
                </c:pt>
                <c:pt idx="31">
                  <c:v>61.917027549135213</c:v>
                </c:pt>
                <c:pt idx="32">
                  <c:v>61.051896689274166</c:v>
                </c:pt>
                <c:pt idx="33">
                  <c:v>60.18798746953491</c:v>
                </c:pt>
                <c:pt idx="34">
                  <c:v>59.32530826074705</c:v>
                </c:pt>
                <c:pt idx="35">
                  <c:v>58.463867510392525</c:v>
                </c:pt>
              </c:numCache>
            </c:numRef>
          </c:val>
          <c:smooth val="0"/>
          <c:extLst>
            <c:ext xmlns:c16="http://schemas.microsoft.com/office/drawing/2014/chart" uri="{C3380CC4-5D6E-409C-BE32-E72D297353CC}">
              <c16:uniqueId val="{00000006-92A5-4E43-9B1A-985552E05A98}"/>
            </c:ext>
          </c:extLst>
        </c:ser>
        <c:dLbls>
          <c:showLegendKey val="0"/>
          <c:showVal val="0"/>
          <c:showCatName val="0"/>
          <c:showSerName val="0"/>
          <c:showPercent val="0"/>
          <c:showBubbleSize val="0"/>
        </c:dLbls>
        <c:smooth val="0"/>
        <c:axId val="714254264"/>
        <c:axId val="714254592"/>
      </c:lineChart>
      <c:catAx>
        <c:axId val="714254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crossAx val="714254592"/>
        <c:crosses val="autoZero"/>
        <c:auto val="1"/>
        <c:lblAlgn val="ctr"/>
        <c:lblOffset val="100"/>
        <c:tickLblSkip val="5"/>
        <c:noMultiLvlLbl val="0"/>
      </c:catAx>
      <c:valAx>
        <c:axId val="714254592"/>
        <c:scaling>
          <c:orientation val="minMax"/>
        </c:scaling>
        <c:delete val="0"/>
        <c:axPos val="l"/>
        <c:majorGridlines>
          <c:spPr>
            <a:ln w="9525" cap="flat" cmpd="sng" algn="ctr">
              <a:solidFill>
                <a:schemeClr val="tx1">
                  <a:lumMod val="15000"/>
                  <a:lumOff val="85000"/>
                </a:schemeClr>
              </a:solidFill>
              <a:round/>
            </a:ln>
            <a:effectLst/>
          </c:spPr>
        </c:majorGridlines>
        <c:title>
          <c:tx>
            <c:strRef>
              <c:f>TER_RENO!$E$267</c:f>
              <c:strCache>
                <c:ptCount val="1"/>
                <c:pt idx="0">
                  <c:v>kWh / m²</c:v>
                </c:pt>
              </c:strCache>
            </c:strRef>
          </c:tx>
          <c:overlay val="0"/>
          <c:txPr>
            <a:bodyPr/>
            <a:lstStyle/>
            <a:p>
              <a:pPr>
                <a:defRPr/>
              </a:pPr>
              <a:endParaRPr lang="fr-F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crossAx val="714254264"/>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legend>
    <c:plotVisOnly val="0"/>
    <c:dispBlanksAs val="gap"/>
    <c:showDLblsOverMax val="0"/>
    <c:extLst/>
  </c:chart>
  <c:txPr>
    <a:bodyPr/>
    <a:lstStyle/>
    <a:p>
      <a:pPr>
        <a:defRPr>
          <a:solidFill>
            <a:sysClr val="windowText" lastClr="000000"/>
          </a:solidFill>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TER_RENO!$C$366</c:f>
          <c:strCache>
            <c:ptCount val="1"/>
            <c:pt idx="0">
              <c:v>Part du parc tertiaire d'avant 2015 rénové au niveau BBC</c:v>
            </c:pt>
          </c:strCache>
        </c:strRef>
      </c:tx>
      <c:overlay val="0"/>
      <c:spPr>
        <a:noFill/>
        <a:ln>
          <a:noFill/>
        </a:ln>
        <a:effectLst/>
      </c:spPr>
      <c:txPr>
        <a:bodyPr rot="0" spcFirstLastPara="1" vertOverflow="ellipsis" vert="horz" wrap="square" anchor="ctr" anchorCtr="1"/>
        <a:lstStyle/>
        <a:p>
          <a:pPr>
            <a:defRPr sz="1200" b="0" i="0" u="none" strike="noStrike" kern="1200" cap="all" spc="0" baseline="0">
              <a:solidFill>
                <a:schemeClr val="tx2"/>
              </a:solidFill>
              <a:latin typeface="+mn-lt"/>
              <a:ea typeface="+mn-ea"/>
              <a:cs typeface="+mn-cs"/>
            </a:defRPr>
          </a:pPr>
          <a:endParaRPr lang="fr-FR"/>
        </a:p>
      </c:txPr>
    </c:title>
    <c:autoTitleDeleted val="0"/>
    <c:plotArea>
      <c:layout/>
      <c:lineChart>
        <c:grouping val="standard"/>
        <c:varyColors val="0"/>
        <c:ser>
          <c:idx val="0"/>
          <c:order val="0"/>
          <c:tx>
            <c:strRef>
              <c:f>TER_RENO!$C$368</c:f>
              <c:strCache>
                <c:ptCount val="1"/>
                <c:pt idx="0">
                  <c:v>Historique</c:v>
                </c:pt>
              </c:strCache>
            </c:strRef>
          </c:tx>
          <c:spPr>
            <a:ln w="28575" cap="rnd">
              <a:solidFill>
                <a:schemeClr val="tx2"/>
              </a:solidFill>
              <a:round/>
            </a:ln>
            <a:effectLst/>
          </c:spPr>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TER_RENO!$S$368:$BB$368</c:f>
              <c:numCache>
                <c:formatCode>0%</c:formatCode>
                <c:ptCount val="36"/>
                <c:pt idx="0">
                  <c:v>0</c:v>
                </c:pt>
                <c:pt idx="1">
                  <c:v>0</c:v>
                </c:pt>
                <c:pt idx="2">
                  <c:v>0</c:v>
                </c:pt>
                <c:pt idx="3">
                  <c:v>0</c:v>
                </c:pt>
                <c:pt idx="4">
                  <c:v>0</c:v>
                </c:pt>
                <c:pt idx="5">
                  <c:v>0</c:v>
                </c:pt>
              </c:numCache>
            </c:numRef>
          </c:val>
          <c:smooth val="0"/>
          <c:extLst>
            <c:ext xmlns:c16="http://schemas.microsoft.com/office/drawing/2014/chart" uri="{C3380CC4-5D6E-409C-BE32-E72D297353CC}">
              <c16:uniqueId val="{00000000-2DD3-4DE6-B589-106B32FAF91B}"/>
            </c:ext>
          </c:extLst>
        </c:ser>
        <c:ser>
          <c:idx val="1"/>
          <c:order val="1"/>
          <c:tx>
            <c:strRef>
              <c:f>TER_RENO!$C$369</c:f>
              <c:strCache>
                <c:ptCount val="1"/>
                <c:pt idx="0">
                  <c:v>AMS 2018</c:v>
                </c:pt>
              </c:strCache>
            </c:strRef>
          </c:tx>
          <c:spPr>
            <a:ln w="28575" cap="rnd">
              <a:solidFill>
                <a:schemeClr val="tx1"/>
              </a:solidFill>
              <a:round/>
            </a:ln>
            <a:effectLst/>
          </c:spPr>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TER_RENO!$S$369:$BB$369</c:f>
              <c:numCache>
                <c:formatCode>0%</c:formatCode>
                <c:ptCount val="36"/>
                <c:pt idx="6">
                  <c:v>6.066666666666666E-2</c:v>
                </c:pt>
                <c:pt idx="7">
                  <c:v>9.1333333333333322E-2</c:v>
                </c:pt>
                <c:pt idx="8">
                  <c:v>0.122</c:v>
                </c:pt>
                <c:pt idx="9">
                  <c:v>0.15266666666666667</c:v>
                </c:pt>
                <c:pt idx="10">
                  <c:v>0.18333333333333332</c:v>
                </c:pt>
                <c:pt idx="11">
                  <c:v>0.214</c:v>
                </c:pt>
                <c:pt idx="12">
                  <c:v>0.24466666666666664</c:v>
                </c:pt>
                <c:pt idx="13">
                  <c:v>0.27533333333333332</c:v>
                </c:pt>
                <c:pt idx="14">
                  <c:v>0.30599999999999994</c:v>
                </c:pt>
                <c:pt idx="15">
                  <c:v>0.33666666666666667</c:v>
                </c:pt>
                <c:pt idx="16">
                  <c:v>0.36733333333333329</c:v>
                </c:pt>
                <c:pt idx="17">
                  <c:v>0.39800000000000002</c:v>
                </c:pt>
                <c:pt idx="18">
                  <c:v>0.42866666666666664</c:v>
                </c:pt>
                <c:pt idx="19">
                  <c:v>0.45933333333333326</c:v>
                </c:pt>
                <c:pt idx="20">
                  <c:v>0.49</c:v>
                </c:pt>
                <c:pt idx="21">
                  <c:v>0.52066666666666661</c:v>
                </c:pt>
                <c:pt idx="22">
                  <c:v>0.55133333333333334</c:v>
                </c:pt>
                <c:pt idx="23">
                  <c:v>0.58199999999999996</c:v>
                </c:pt>
                <c:pt idx="24">
                  <c:v>0.61266666666666658</c:v>
                </c:pt>
                <c:pt idx="25">
                  <c:v>0.64333333333333331</c:v>
                </c:pt>
                <c:pt idx="26">
                  <c:v>0.67400000000000004</c:v>
                </c:pt>
                <c:pt idx="27">
                  <c:v>0.70466666666666666</c:v>
                </c:pt>
                <c:pt idx="28">
                  <c:v>0.73533333333333328</c:v>
                </c:pt>
                <c:pt idx="29">
                  <c:v>0.76600000000000001</c:v>
                </c:pt>
                <c:pt idx="30">
                  <c:v>0.79666666666666675</c:v>
                </c:pt>
                <c:pt idx="31">
                  <c:v>0.82733333333333325</c:v>
                </c:pt>
                <c:pt idx="32">
                  <c:v>0.85799999999999987</c:v>
                </c:pt>
                <c:pt idx="33">
                  <c:v>0.8886666666666666</c:v>
                </c:pt>
                <c:pt idx="34">
                  <c:v>0.91933333333333334</c:v>
                </c:pt>
                <c:pt idx="35">
                  <c:v>0.95</c:v>
                </c:pt>
              </c:numCache>
            </c:numRef>
          </c:val>
          <c:smooth val="0"/>
          <c:extLst>
            <c:ext xmlns:c16="http://schemas.microsoft.com/office/drawing/2014/chart" uri="{C3380CC4-5D6E-409C-BE32-E72D297353CC}">
              <c16:uniqueId val="{00000001-2DD3-4DE6-B589-106B32FAF91B}"/>
            </c:ext>
          </c:extLst>
        </c:ser>
        <c:ser>
          <c:idx val="2"/>
          <c:order val="2"/>
          <c:tx>
            <c:strRef>
              <c:f>TER_RENO!$C$370</c:f>
              <c:strCache>
                <c:ptCount val="1"/>
                <c:pt idx="0">
                  <c:v>ADEME Tend.</c:v>
                </c:pt>
              </c:strCache>
            </c:strRef>
          </c:tx>
          <c:spPr>
            <a:ln w="28575" cap="rnd">
              <a:solidFill>
                <a:schemeClr val="tx1">
                  <a:lumMod val="20000"/>
                  <a:lumOff val="80000"/>
                </a:schemeClr>
              </a:solidFill>
              <a:round/>
            </a:ln>
            <a:effectLst/>
          </c:spPr>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TER_RENO!$S$370:$BB$370</c:f>
              <c:numCache>
                <c:formatCode>0%</c:formatCode>
                <c:ptCount val="36"/>
                <c:pt idx="6">
                  <c:v>1.6989733200392508E-2</c:v>
                </c:pt>
                <c:pt idx="7">
                  <c:v>3.39965793674901E-2</c:v>
                </c:pt>
                <c:pt idx="8">
                  <c:v>5.10208554708967E-2</c:v>
                </c:pt>
                <c:pt idx="9">
                  <c:v>6.8062886356808031E-2</c:v>
                </c:pt>
                <c:pt idx="10">
                  <c:v>8.5123004994204512E-2</c:v>
                </c:pt>
                <c:pt idx="11">
                  <c:v>0.10220155273033624</c:v>
                </c:pt>
                <c:pt idx="12">
                  <c:v>0.1192988795559122</c:v>
                </c:pt>
                <c:pt idx="13">
                  <c:v>0.13641534438042566</c:v>
                </c:pt>
                <c:pt idx="14">
                  <c:v>0.15355131531807178</c:v>
                </c:pt>
                <c:pt idx="15">
                  <c:v>0.17070716998473467</c:v>
                </c:pt>
                <c:pt idx="16">
                  <c:v>0.18785352515310777</c:v>
                </c:pt>
                <c:pt idx="17">
                  <c:v>0.20501399555970801</c:v>
                </c:pt>
                <c:pt idx="18">
                  <c:v>0.22218867451393765</c:v>
                </c:pt>
                <c:pt idx="19">
                  <c:v>0.23937765614944936</c:v>
                </c:pt>
                <c:pt idx="20">
                  <c:v>0.25658103543326838</c:v>
                </c:pt>
                <c:pt idx="21">
                  <c:v>0.27379890817503472</c:v>
                </c:pt>
                <c:pt idx="22">
                  <c:v>0.29103137103636967</c:v>
                </c:pt>
                <c:pt idx="23">
                  <c:v>0.30827852154036722</c:v>
                </c:pt>
                <c:pt idx="24">
                  <c:v>0.32554045808121224</c:v>
                </c:pt>
                <c:pt idx="25">
                  <c:v>0.34281727993392808</c:v>
                </c:pt>
                <c:pt idx="26">
                  <c:v>0.36010908726425617</c:v>
                </c:pt>
                <c:pt idx="27">
                  <c:v>0.37741598113866703</c:v>
                </c:pt>
                <c:pt idx="28">
                  <c:v>0.39473806353450869</c:v>
                </c:pt>
                <c:pt idx="29">
                  <c:v>0.41207543735029095</c:v>
                </c:pt>
                <c:pt idx="30">
                  <c:v>0.42942820641611029</c:v>
                </c:pt>
                <c:pt idx="31">
                  <c:v>0.44679647550421675</c:v>
                </c:pt>
                <c:pt idx="32">
                  <c:v>0.46418035033972377</c:v>
                </c:pt>
                <c:pt idx="33">
                  <c:v>0.48157993761146578</c:v>
                </c:pt>
                <c:pt idx="34">
                  <c:v>0.4989953449830043</c:v>
                </c:pt>
                <c:pt idx="35">
                  <c:v>0.51642668110378454</c:v>
                </c:pt>
              </c:numCache>
            </c:numRef>
          </c:val>
          <c:smooth val="0"/>
          <c:extLst>
            <c:ext xmlns:c16="http://schemas.microsoft.com/office/drawing/2014/chart" uri="{C3380CC4-5D6E-409C-BE32-E72D297353CC}">
              <c16:uniqueId val="{00000002-2DD3-4DE6-B589-106B32FAF91B}"/>
            </c:ext>
          </c:extLst>
        </c:ser>
        <c:ser>
          <c:idx val="3"/>
          <c:order val="3"/>
          <c:tx>
            <c:strRef>
              <c:f>TER_RENO!$C$371</c:f>
              <c:strCache>
                <c:ptCount val="1"/>
                <c:pt idx="0">
                  <c:v>ADEME S1</c:v>
                </c:pt>
              </c:strCache>
            </c:strRef>
          </c:tx>
          <c:spPr>
            <a:ln w="28575" cap="rnd">
              <a:solidFill>
                <a:srgbClr val="5487C2"/>
              </a:solidFill>
              <a:round/>
            </a:ln>
            <a:effectLst/>
          </c:spPr>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TER_RENO!$S$371:$BB$371</c:f>
              <c:numCache>
                <c:formatCode>0%</c:formatCode>
                <c:ptCount val="36"/>
                <c:pt idx="6">
                  <c:v>2.6672402466781629E-2</c:v>
                </c:pt>
                <c:pt idx="7">
                  <c:v>5.3333812344378791E-2</c:v>
                </c:pt>
                <c:pt idx="8">
                  <c:v>7.9983823490129488E-2</c:v>
                </c:pt>
                <c:pt idx="9">
                  <c:v>0.10662200950424763</c:v>
                </c:pt>
                <c:pt idx="10">
                  <c:v>0.13324792245092379</c:v>
                </c:pt>
                <c:pt idx="11">
                  <c:v>0.1598610914812976</c:v>
                </c:pt>
                <c:pt idx="12">
                  <c:v>0.18646102134940332</c:v>
                </c:pt>
                <c:pt idx="13">
                  <c:v>0.21304719081125811</c:v>
                </c:pt>
                <c:pt idx="14">
                  <c:v>0.2396190508962121</c:v>
                </c:pt>
                <c:pt idx="15">
                  <c:v>0.26617602303851218</c:v>
                </c:pt>
                <c:pt idx="16">
                  <c:v>0.29269280980005624</c:v>
                </c:pt>
                <c:pt idx="17">
                  <c:v>0.31918926597193781</c:v>
                </c:pt>
                <c:pt idx="18">
                  <c:v>0.34566483175831719</c:v>
                </c:pt>
                <c:pt idx="19">
                  <c:v>0.37211892662126317</c:v>
                </c:pt>
                <c:pt idx="20">
                  <c:v>0.39855094831107546</c:v>
                </c:pt>
                <c:pt idx="21">
                  <c:v>0.42496027184169644</c:v>
                </c:pt>
                <c:pt idx="22">
                  <c:v>0.45134624840754883</c:v>
                </c:pt>
                <c:pt idx="23">
                  <c:v>0.47770820423785459</c:v>
                </c:pt>
                <c:pt idx="24">
                  <c:v>0.50404543938418678</c:v>
                </c:pt>
                <c:pt idx="25">
                  <c:v>0.53035722643666638</c:v>
                </c:pt>
                <c:pt idx="26">
                  <c:v>0.55664280916386022</c:v>
                </c:pt>
                <c:pt idx="27">
                  <c:v>0.58290140107103394</c:v>
                </c:pt>
                <c:pt idx="28">
                  <c:v>0.60913218387098589</c:v>
                </c:pt>
                <c:pt idx="29">
                  <c:v>0.63533430586121342</c:v>
                </c:pt>
                <c:pt idx="30">
                  <c:v>0.66150688020065129</c:v>
                </c:pt>
                <c:pt idx="31">
                  <c:v>0.68764898307865197</c:v>
                </c:pt>
                <c:pt idx="32">
                  <c:v>0.71375965176826828</c:v>
                </c:pt>
                <c:pt idx="33">
                  <c:v>0.73983788255521388</c:v>
                </c:pt>
                <c:pt idx="34">
                  <c:v>0.76588262853314404</c:v>
                </c:pt>
                <c:pt idx="35">
                  <c:v>0.79189279725507566</c:v>
                </c:pt>
              </c:numCache>
            </c:numRef>
          </c:val>
          <c:smooth val="0"/>
          <c:extLst>
            <c:ext xmlns:c16="http://schemas.microsoft.com/office/drawing/2014/chart" uri="{C3380CC4-5D6E-409C-BE32-E72D297353CC}">
              <c16:uniqueId val="{00000003-2DD3-4DE6-B589-106B32FAF91B}"/>
            </c:ext>
          </c:extLst>
        </c:ser>
        <c:ser>
          <c:idx val="4"/>
          <c:order val="4"/>
          <c:tx>
            <c:strRef>
              <c:f>TER_RENO!$C$372</c:f>
              <c:strCache>
                <c:ptCount val="1"/>
                <c:pt idx="0">
                  <c:v>ADEME S2</c:v>
                </c:pt>
              </c:strCache>
            </c:strRef>
          </c:tx>
          <c:spPr>
            <a:ln w="28575" cap="rnd">
              <a:solidFill>
                <a:srgbClr val="982C7F"/>
              </a:solidFill>
              <a:round/>
            </a:ln>
            <a:effectLst/>
          </c:spPr>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TER_RENO!$S$372:$BB$372</c:f>
              <c:numCache>
                <c:formatCode>0%</c:formatCode>
                <c:ptCount val="36"/>
                <c:pt idx="6">
                  <c:v>2.3643780375998742E-2</c:v>
                </c:pt>
                <c:pt idx="7">
                  <c:v>4.7279024498932676E-2</c:v>
                </c:pt>
                <c:pt idx="8">
                  <c:v>7.0905416980271835E-2</c:v>
                </c:pt>
                <c:pt idx="9">
                  <c:v>9.4522626700894147E-2</c:v>
                </c:pt>
                <c:pt idx="10">
                  <c:v>0.1181303058179609</c:v>
                </c:pt>
                <c:pt idx="11">
                  <c:v>0.14172808869559136</c:v>
                </c:pt>
                <c:pt idx="12">
                  <c:v>0.16531559075242619</c:v>
                </c:pt>
                <c:pt idx="13">
                  <c:v>0.18889240721844505</c:v>
                </c:pt>
                <c:pt idx="14">
                  <c:v>0.21245811179259066</c:v>
                </c:pt>
                <c:pt idx="15">
                  <c:v>0.23601225519184155</c:v>
                </c:pt>
                <c:pt idx="16">
                  <c:v>0.25953003604576463</c:v>
                </c:pt>
                <c:pt idx="17">
                  <c:v>0.28303098934304199</c:v>
                </c:pt>
                <c:pt idx="18">
                  <c:v>0.30651465174265113</c:v>
                </c:pt>
                <c:pt idx="19">
                  <c:v>0.32998054273541416</c:v>
                </c:pt>
                <c:pt idx="20">
                  <c:v>0.35342816384139941</c:v>
                </c:pt>
                <c:pt idx="21">
                  <c:v>0.37685699776187331</c:v>
                </c:pt>
                <c:pt idx="22">
                  <c:v>0.40026650748277037</c:v>
                </c:pt>
                <c:pt idx="23">
                  <c:v>0.42365613532641783</c:v>
                </c:pt>
                <c:pt idx="24">
                  <c:v>0.44702530194799583</c:v>
                </c:pt>
                <c:pt idx="25">
                  <c:v>0.47037340527293853</c:v>
                </c:pt>
                <c:pt idx="26">
                  <c:v>0.49369981937118257</c:v>
                </c:pt>
                <c:pt idx="27">
                  <c:v>0.51700389326383756</c:v>
                </c:pt>
                <c:pt idx="28">
                  <c:v>0.54028494965750162</c:v>
                </c:pt>
                <c:pt idx="29">
                  <c:v>0.56354228360104719</c:v>
                </c:pt>
                <c:pt idx="30">
                  <c:v>0.58677516105928307</c:v>
                </c:pt>
                <c:pt idx="31">
                  <c:v>0.60998281739742755</c:v>
                </c:pt>
                <c:pt idx="32">
                  <c:v>0.63316445576981517</c:v>
                </c:pt>
                <c:pt idx="33">
                  <c:v>0.65631924540570652</c:v>
                </c:pt>
                <c:pt idx="34">
                  <c:v>0.67944631978444925</c:v>
                </c:pt>
                <c:pt idx="35">
                  <c:v>0.70254477469156673</c:v>
                </c:pt>
              </c:numCache>
            </c:numRef>
          </c:val>
          <c:smooth val="0"/>
          <c:extLst>
            <c:ext xmlns:c16="http://schemas.microsoft.com/office/drawing/2014/chart" uri="{C3380CC4-5D6E-409C-BE32-E72D297353CC}">
              <c16:uniqueId val="{00000004-2DD3-4DE6-B589-106B32FAF91B}"/>
            </c:ext>
          </c:extLst>
        </c:ser>
        <c:ser>
          <c:idx val="5"/>
          <c:order val="5"/>
          <c:tx>
            <c:strRef>
              <c:f>TER_RENO!$C$373</c:f>
              <c:strCache>
                <c:ptCount val="1"/>
                <c:pt idx="0">
                  <c:v>ADEME S3</c:v>
                </c:pt>
              </c:strCache>
            </c:strRef>
          </c:tx>
          <c:spPr>
            <a:ln w="28575" cap="rnd">
              <a:solidFill>
                <a:srgbClr val="76B145"/>
              </a:solidFill>
              <a:round/>
            </a:ln>
            <a:effectLst/>
          </c:spPr>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TER_RENO!$S$373:$BB$373</c:f>
              <c:numCache>
                <c:formatCode>0%</c:formatCode>
                <c:ptCount val="36"/>
                <c:pt idx="6">
                  <c:v>2.3473086895498128E-2</c:v>
                </c:pt>
                <c:pt idx="7">
                  <c:v>4.6947840500571381E-2</c:v>
                </c:pt>
                <c:pt idx="8">
                  <c:v>7.0424298673972291E-2</c:v>
                </c:pt>
                <c:pt idx="9">
                  <c:v>9.3902500429799751E-2</c:v>
                </c:pt>
                <c:pt idx="10">
                  <c:v>0.11738248598191039</c:v>
                </c:pt>
                <c:pt idx="11">
                  <c:v>0.14086429679039444</c:v>
                </c:pt>
                <c:pt idx="12">
                  <c:v>0.16434797561022879</c:v>
                </c:pt>
                <c:pt idx="13">
                  <c:v>0.18783356654222758</c:v>
                </c:pt>
                <c:pt idx="14">
                  <c:v>0.21132111508641716</c:v>
                </c:pt>
                <c:pt idx="15">
                  <c:v>0.23481066819797211</c:v>
                </c:pt>
                <c:pt idx="16">
                  <c:v>0.25828468048275538</c:v>
                </c:pt>
                <c:pt idx="17">
                  <c:v>0.28175735322531253</c:v>
                </c:pt>
                <c:pt idx="18">
                  <c:v>0.30522867151461536</c:v>
                </c:pt>
                <c:pt idx="19">
                  <c:v>0.32869862021750301</c:v>
                </c:pt>
                <c:pt idx="20">
                  <c:v>0.35216718397453073</c:v>
                </c:pt>
                <c:pt idx="21">
                  <c:v>0.37563434719572358</c:v>
                </c:pt>
                <c:pt idx="22">
                  <c:v>0.39910009405623592</c:v>
                </c:pt>
                <c:pt idx="23">
                  <c:v>0.42256440849191129</c:v>
                </c:pt>
                <c:pt idx="24">
                  <c:v>0.44602727419474164</c:v>
                </c:pt>
                <c:pt idx="25">
                  <c:v>0.4694886746082223</c:v>
                </c:pt>
                <c:pt idx="26">
                  <c:v>0.49294859292260101</c:v>
                </c:pt>
                <c:pt idx="27">
                  <c:v>0.51640701207001805</c:v>
                </c:pt>
                <c:pt idx="28">
                  <c:v>0.5398639147195311</c:v>
                </c:pt>
                <c:pt idx="29">
                  <c:v>0.56331928327202885</c:v>
                </c:pt>
                <c:pt idx="30">
                  <c:v>0.58677309985502357</c:v>
                </c:pt>
                <c:pt idx="31">
                  <c:v>0.61022534631732084</c:v>
                </c:pt>
                <c:pt idx="32">
                  <c:v>0.63367600422356773</c:v>
                </c:pt>
                <c:pt idx="33">
                  <c:v>0.65712505484866801</c:v>
                </c:pt>
                <c:pt idx="34">
                  <c:v>0.68057247917206942</c:v>
                </c:pt>
                <c:pt idx="35">
                  <c:v>0.70401825787191252</c:v>
                </c:pt>
              </c:numCache>
            </c:numRef>
          </c:val>
          <c:smooth val="0"/>
          <c:extLst>
            <c:ext xmlns:c16="http://schemas.microsoft.com/office/drawing/2014/chart" uri="{C3380CC4-5D6E-409C-BE32-E72D297353CC}">
              <c16:uniqueId val="{00000005-2DD3-4DE6-B589-106B32FAF91B}"/>
            </c:ext>
          </c:extLst>
        </c:ser>
        <c:ser>
          <c:idx val="6"/>
          <c:order val="6"/>
          <c:tx>
            <c:strRef>
              <c:f>TER_RENO!$C$374</c:f>
              <c:strCache>
                <c:ptCount val="1"/>
                <c:pt idx="0">
                  <c:v>ADEME S4</c:v>
                </c:pt>
              </c:strCache>
            </c:strRef>
          </c:tx>
          <c:spPr>
            <a:ln w="28575" cap="rnd">
              <a:solidFill>
                <a:srgbClr val="E9682D"/>
              </a:solidFill>
              <a:round/>
            </a:ln>
            <a:effectLst/>
          </c:spPr>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TER_RENO!$S$374:$BB$374</c:f>
              <c:numCache>
                <c:formatCode>0%</c:formatCode>
                <c:ptCount val="36"/>
                <c:pt idx="6">
                  <c:v>2.0212265932114889E-2</c:v>
                </c:pt>
                <c:pt idx="7">
                  <c:v>4.0440422597834952E-2</c:v>
                </c:pt>
                <c:pt idx="8">
                  <c:v>6.0684764328331607E-2</c:v>
                </c:pt>
                <c:pt idx="9">
                  <c:v>8.0945592768810387E-2</c:v>
                </c:pt>
                <c:pt idx="10">
                  <c:v>0.10122321710712034</c:v>
                </c:pt>
                <c:pt idx="11">
                  <c:v>0.12151795431099197</c:v>
                </c:pt>
                <c:pt idx="12">
                  <c:v>0.14183012937428613</c:v>
                </c:pt>
                <c:pt idx="13">
                  <c:v>0.16216007557265541</c:v>
                </c:pt>
                <c:pt idx="14">
                  <c:v>0.18250813472904096</c:v>
                </c:pt>
                <c:pt idx="15">
                  <c:v>0.20287465748944847</c:v>
                </c:pt>
                <c:pt idx="16">
                  <c:v>0.22323479945727273</c:v>
                </c:pt>
                <c:pt idx="17">
                  <c:v>0.24360850391800618</c:v>
                </c:pt>
                <c:pt idx="18">
                  <c:v>0.26399586052710389</c:v>
                </c:pt>
                <c:pt idx="19">
                  <c:v>0.28439695973199425</c:v>
                </c:pt>
                <c:pt idx="20">
                  <c:v>0.30481189278084353</c:v>
                </c:pt>
                <c:pt idx="21">
                  <c:v>0.32524075173143635</c:v>
                </c:pt>
                <c:pt idx="22">
                  <c:v>0.34568362946017606</c:v>
                </c:pt>
                <c:pt idx="23">
                  <c:v>0.36614061967120326</c:v>
                </c:pt>
                <c:pt idx="24">
                  <c:v>0.38661181690563812</c:v>
                </c:pt>
                <c:pt idx="25">
                  <c:v>0.40709731655094639</c:v>
                </c:pt>
                <c:pt idx="26">
                  <c:v>0.42759721485043173</c:v>
                </c:pt>
                <c:pt idx="27">
                  <c:v>0.44811160891285451</c:v>
                </c:pt>
                <c:pt idx="28">
                  <c:v>0.46864059672218333</c:v>
                </c:pt>
                <c:pt idx="29">
                  <c:v>0.48918427714747648</c:v>
                </c:pt>
                <c:pt idx="30">
                  <c:v>0.50974274995289848</c:v>
                </c:pt>
                <c:pt idx="31">
                  <c:v>0.53031611580787297</c:v>
                </c:pt>
                <c:pt idx="32">
                  <c:v>0.55090447629737327</c:v>
                </c:pt>
                <c:pt idx="33">
                  <c:v>0.57150793393235544</c:v>
                </c:pt>
                <c:pt idx="34">
                  <c:v>0.59212659216033214</c:v>
                </c:pt>
                <c:pt idx="35">
                  <c:v>0.61276055537609375</c:v>
                </c:pt>
              </c:numCache>
            </c:numRef>
          </c:val>
          <c:smooth val="0"/>
          <c:extLst>
            <c:ext xmlns:c16="http://schemas.microsoft.com/office/drawing/2014/chart" uri="{C3380CC4-5D6E-409C-BE32-E72D297353CC}">
              <c16:uniqueId val="{00000006-2DD3-4DE6-B589-106B32FAF91B}"/>
            </c:ext>
          </c:extLst>
        </c:ser>
        <c:dLbls>
          <c:showLegendKey val="0"/>
          <c:showVal val="0"/>
          <c:showCatName val="0"/>
          <c:showSerName val="0"/>
          <c:showPercent val="0"/>
          <c:showBubbleSize val="0"/>
        </c:dLbls>
        <c:smooth val="0"/>
        <c:axId val="714254264"/>
        <c:axId val="714254592"/>
      </c:lineChart>
      <c:catAx>
        <c:axId val="714254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crossAx val="714254592"/>
        <c:crosses val="autoZero"/>
        <c:auto val="1"/>
        <c:lblAlgn val="ctr"/>
        <c:lblOffset val="100"/>
        <c:tickLblSkip val="5"/>
        <c:noMultiLvlLbl val="0"/>
      </c:catAx>
      <c:valAx>
        <c:axId val="714254592"/>
        <c:scaling>
          <c:orientation val="minMax"/>
        </c:scaling>
        <c:delete val="0"/>
        <c:axPos val="l"/>
        <c:majorGridlines>
          <c:spPr>
            <a:ln w="9525" cap="flat" cmpd="sng" algn="ctr">
              <a:solidFill>
                <a:schemeClr val="tx1">
                  <a:lumMod val="15000"/>
                  <a:lumOff val="85000"/>
                </a:schemeClr>
              </a:solidFill>
              <a:round/>
            </a:ln>
            <a:effectLst/>
          </c:spPr>
        </c:majorGridlines>
        <c:title>
          <c:tx>
            <c:strRef>
              <c:f>TER_RENO!$E$368</c:f>
              <c:strCache>
                <c:ptCount val="1"/>
                <c:pt idx="0">
                  <c:v>(% du parc 2050)</c:v>
                </c:pt>
              </c:strCache>
            </c:strRef>
          </c:tx>
          <c:overlay val="0"/>
          <c:txPr>
            <a:bodyPr/>
            <a:lstStyle/>
            <a:p>
              <a:pPr>
                <a:defRPr/>
              </a:pPr>
              <a:endParaRPr lang="fr-F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crossAx val="714254264"/>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legend>
    <c:plotVisOnly val="0"/>
    <c:dispBlanksAs val="gap"/>
    <c:showDLblsOverMax val="0"/>
    <c:extLst/>
  </c:chart>
  <c:txPr>
    <a:bodyPr/>
    <a:lstStyle/>
    <a:p>
      <a:pPr>
        <a:defRPr>
          <a:solidFill>
            <a:sysClr val="windowText" lastClr="000000"/>
          </a:solidFill>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"Synthèse investissements bâtiments tertiaires"</c:f>
          <c:strCache>
            <c:ptCount val="1"/>
            <c:pt idx="0">
              <c:v>Synthèse investissements bâtiments tertiaires</c:v>
            </c:pt>
          </c:strCache>
        </c:strRef>
      </c:tx>
      <c:overlay val="0"/>
      <c:spPr>
        <a:noFill/>
        <a:ln>
          <a:noFill/>
        </a:ln>
        <a:effectLst/>
      </c:spPr>
      <c:txPr>
        <a:bodyPr rot="0" spcFirstLastPara="1" vertOverflow="ellipsis" vert="horz" wrap="square" anchor="ctr" anchorCtr="1"/>
        <a:lstStyle/>
        <a:p>
          <a:pPr>
            <a:defRPr sz="1100" b="0" i="0" u="none" strike="noStrike" kern="1200" cap="all" spc="0" baseline="0">
              <a:solidFill>
                <a:schemeClr val="tx2"/>
              </a:solidFill>
              <a:latin typeface="+mn-lt"/>
              <a:ea typeface="+mn-ea"/>
              <a:cs typeface="+mn-cs"/>
            </a:defRPr>
          </a:pPr>
          <a:endParaRPr lang="fr-FR"/>
        </a:p>
      </c:txPr>
    </c:title>
    <c:autoTitleDeleted val="0"/>
    <c:plotArea>
      <c:layout>
        <c:manualLayout>
          <c:layoutTarget val="inner"/>
          <c:xMode val="edge"/>
          <c:yMode val="edge"/>
          <c:x val="8.1237615298087734E-2"/>
          <c:y val="0.12694100145538584"/>
          <c:w val="0.91626834645669286"/>
          <c:h val="0.73887371434536453"/>
        </c:manualLayout>
      </c:layout>
      <c:barChart>
        <c:barDir val="col"/>
        <c:grouping val="stacked"/>
        <c:varyColors val="0"/>
        <c:ser>
          <c:idx val="0"/>
          <c:order val="0"/>
          <c:tx>
            <c:strRef>
              <c:f>TER_RENO!$C$931</c:f>
              <c:strCache>
                <c:ptCount val="1"/>
                <c:pt idx="0">
                  <c:v>Travaux énergétiques</c:v>
                </c:pt>
              </c:strCache>
            </c:strRef>
          </c:tx>
          <c:spPr>
            <a:solidFill>
              <a:schemeClr val="accent1"/>
            </a:solidFill>
            <a:ln>
              <a:noFill/>
            </a:ln>
            <a:effectLst/>
          </c:spPr>
          <c:invertIfNegative val="0"/>
          <c:cat>
            <c:multiLvlStrRef>
              <c:f>TER_RENO!$H$929:$LA$930</c:f>
              <c:multiLvlStrCache>
                <c:ptCount val="25"/>
                <c:lvl>
                  <c:pt idx="0">
                    <c:v>2015</c:v>
                  </c:pt>
                  <c:pt idx="1">
                    <c:v>2016</c:v>
                  </c:pt>
                  <c:pt idx="2">
                    <c:v>2017</c:v>
                  </c:pt>
                  <c:pt idx="3">
                    <c:v>2018</c:v>
                  </c:pt>
                  <c:pt idx="4">
                    <c:v>2019</c:v>
                  </c:pt>
                  <c:pt idx="5">
                    <c:v>2020</c:v>
                  </c:pt>
                  <c:pt idx="6">
                    <c:v>2021</c:v>
                  </c:pt>
                  <c:pt idx="7">
                    <c:v>2022</c:v>
                  </c:pt>
                  <c:pt idx="8">
                    <c:v>2023</c:v>
                  </c:pt>
                  <c:pt idx="9">
                    <c:v>2024</c:v>
                  </c:pt>
                  <c:pt idx="12">
                    <c:v>2015</c:v>
                  </c:pt>
                  <c:pt idx="13">
                    <c:v>2020</c:v>
                  </c:pt>
                  <c:pt idx="14">
                    <c:v>2025</c:v>
                  </c:pt>
                  <c:pt idx="15">
                    <c:v>2030</c:v>
                  </c:pt>
                  <c:pt idx="16">
                    <c:v>2040</c:v>
                  </c:pt>
                  <c:pt idx="17">
                    <c:v>2050</c:v>
                  </c:pt>
                  <c:pt idx="19">
                    <c:v>2015</c:v>
                  </c:pt>
                  <c:pt idx="20">
                    <c:v>2020</c:v>
                  </c:pt>
                  <c:pt idx="21">
                    <c:v>2025</c:v>
                  </c:pt>
                  <c:pt idx="22">
                    <c:v>2030</c:v>
                  </c:pt>
                  <c:pt idx="23">
                    <c:v>2040</c:v>
                  </c:pt>
                  <c:pt idx="24">
                    <c:v>2050</c:v>
                  </c:pt>
                </c:lvl>
                <c:lvl>
                  <c:pt idx="0">
                    <c:v>HISTO</c:v>
                  </c:pt>
                  <c:pt idx="12">
                    <c:v>AME 2023</c:v>
                  </c:pt>
                  <c:pt idx="19">
                    <c:v>AMS2 2023</c:v>
                  </c:pt>
                </c:lvl>
              </c:multiLvlStrCache>
            </c:multiLvlStrRef>
          </c:cat>
          <c:val>
            <c:numRef>
              <c:f>TER_RENO!$H$931:$LA$931</c:f>
              <c:numCache>
                <c:formatCode>#,##0</c:formatCode>
                <c:ptCount val="25"/>
                <c:pt idx="0">
                  <c:v>3904.7894029099866</c:v>
                </c:pt>
                <c:pt idx="1">
                  <c:v>4332.3763811623157</c:v>
                </c:pt>
                <c:pt idx="2">
                  <c:v>4788.5628989669758</c:v>
                </c:pt>
                <c:pt idx="3">
                  <c:v>4749.0333950238037</c:v>
                </c:pt>
                <c:pt idx="4">
                  <c:v>4727.5566916803346</c:v>
                </c:pt>
                <c:pt idx="5">
                  <c:v>4388.1397776695358</c:v>
                </c:pt>
                <c:pt idx="6">
                  <c:v>5530.5491330042878</c:v>
                </c:pt>
                <c:pt idx="7">
                  <c:v>5722.4467037013737</c:v>
                </c:pt>
                <c:pt idx="8">
                  <c:v>5880.2590479772325</c:v>
                </c:pt>
                <c:pt idx="14">
                  <c:v>13318.534061427674</c:v>
                </c:pt>
                <c:pt idx="15">
                  <c:v>13997.913151159653</c:v>
                </c:pt>
                <c:pt idx="16">
                  <c:v>3274.0298291427621</c:v>
                </c:pt>
                <c:pt idx="17">
                  <c:v>3616.5657885273604</c:v>
                </c:pt>
                <c:pt idx="21">
                  <c:v>12804.991015633666</c:v>
                </c:pt>
                <c:pt idx="22">
                  <c:v>18433.365091886022</c:v>
                </c:pt>
                <c:pt idx="23">
                  <c:v>4584.2073232615294</c:v>
                </c:pt>
                <c:pt idx="24">
                  <c:v>2414.5009535454683</c:v>
                </c:pt>
              </c:numCache>
            </c:numRef>
          </c:val>
          <c:extLst>
            <c:ext xmlns:c16="http://schemas.microsoft.com/office/drawing/2014/chart" uri="{C3380CC4-5D6E-409C-BE32-E72D297353CC}">
              <c16:uniqueId val="{00000000-3313-4F07-AF90-EFEA8849848B}"/>
            </c:ext>
          </c:extLst>
        </c:ser>
        <c:ser>
          <c:idx val="1"/>
          <c:order val="1"/>
          <c:tx>
            <c:strRef>
              <c:f>TER_RENO!$C$932</c:f>
              <c:strCache>
                <c:ptCount val="1"/>
                <c:pt idx="0">
                  <c:v>Travaux non-énergétiques</c:v>
                </c:pt>
              </c:strCache>
            </c:strRef>
          </c:tx>
          <c:spPr>
            <a:solidFill>
              <a:schemeClr val="bg1">
                <a:lumMod val="65000"/>
              </a:schemeClr>
            </a:solidFill>
            <a:ln>
              <a:noFill/>
            </a:ln>
            <a:effectLst/>
          </c:spPr>
          <c:invertIfNegative val="0"/>
          <c:cat>
            <c:multiLvlStrRef>
              <c:f>TER_RENO!$H$929:$LA$930</c:f>
              <c:multiLvlStrCache>
                <c:ptCount val="25"/>
                <c:lvl>
                  <c:pt idx="0">
                    <c:v>2015</c:v>
                  </c:pt>
                  <c:pt idx="1">
                    <c:v>2016</c:v>
                  </c:pt>
                  <c:pt idx="2">
                    <c:v>2017</c:v>
                  </c:pt>
                  <c:pt idx="3">
                    <c:v>2018</c:v>
                  </c:pt>
                  <c:pt idx="4">
                    <c:v>2019</c:v>
                  </c:pt>
                  <c:pt idx="5">
                    <c:v>2020</c:v>
                  </c:pt>
                  <c:pt idx="6">
                    <c:v>2021</c:v>
                  </c:pt>
                  <c:pt idx="7">
                    <c:v>2022</c:v>
                  </c:pt>
                  <c:pt idx="8">
                    <c:v>2023</c:v>
                  </c:pt>
                  <c:pt idx="9">
                    <c:v>2024</c:v>
                  </c:pt>
                  <c:pt idx="12">
                    <c:v>2015</c:v>
                  </c:pt>
                  <c:pt idx="13">
                    <c:v>2020</c:v>
                  </c:pt>
                  <c:pt idx="14">
                    <c:v>2025</c:v>
                  </c:pt>
                  <c:pt idx="15">
                    <c:v>2030</c:v>
                  </c:pt>
                  <c:pt idx="16">
                    <c:v>2040</c:v>
                  </c:pt>
                  <c:pt idx="17">
                    <c:v>2050</c:v>
                  </c:pt>
                  <c:pt idx="19">
                    <c:v>2015</c:v>
                  </c:pt>
                  <c:pt idx="20">
                    <c:v>2020</c:v>
                  </c:pt>
                  <c:pt idx="21">
                    <c:v>2025</c:v>
                  </c:pt>
                  <c:pt idx="22">
                    <c:v>2030</c:v>
                  </c:pt>
                  <c:pt idx="23">
                    <c:v>2040</c:v>
                  </c:pt>
                  <c:pt idx="24">
                    <c:v>2050</c:v>
                  </c:pt>
                </c:lvl>
                <c:lvl>
                  <c:pt idx="0">
                    <c:v>HISTO</c:v>
                  </c:pt>
                  <c:pt idx="12">
                    <c:v>AME 2023</c:v>
                  </c:pt>
                  <c:pt idx="19">
                    <c:v>AMS2 2023</c:v>
                  </c:pt>
                </c:lvl>
              </c:multiLvlStrCache>
            </c:multiLvlStrRef>
          </c:cat>
          <c:val>
            <c:numRef>
              <c:f>TER_RENO!$H$932:$LA$932</c:f>
              <c:numCache>
                <c:formatCode>#,##0</c:formatCode>
                <c:ptCount val="25"/>
                <c:pt idx="0">
                  <c:v>30087.898250983402</c:v>
                </c:pt>
                <c:pt idx="1">
                  <c:v>30011.764799691959</c:v>
                </c:pt>
                <c:pt idx="2">
                  <c:v>30266.883883932667</c:v>
                </c:pt>
                <c:pt idx="3">
                  <c:v>30378.877129410626</c:v>
                </c:pt>
                <c:pt idx="4">
                  <c:v>30609.250942918141</c:v>
                </c:pt>
                <c:pt idx="5">
                  <c:v>27070.105765158933</c:v>
                </c:pt>
                <c:pt idx="6">
                  <c:v>28648.711203167011</c:v>
                </c:pt>
                <c:pt idx="7">
                  <c:v>31106.85400417645</c:v>
                </c:pt>
                <c:pt idx="8">
                  <c:v>31964.711806551568</c:v>
                </c:pt>
                <c:pt idx="14">
                  <c:v>43327.015558861785</c:v>
                </c:pt>
                <c:pt idx="15">
                  <c:v>45537.128793202799</c:v>
                </c:pt>
                <c:pt idx="16">
                  <c:v>32018.757871852435</c:v>
                </c:pt>
                <c:pt idx="17">
                  <c:v>35368.628373432373</c:v>
                </c:pt>
                <c:pt idx="21">
                  <c:v>43686.88162669466</c:v>
                </c:pt>
                <c:pt idx="22">
                  <c:v>51087.763172735205</c:v>
                </c:pt>
                <c:pt idx="23">
                  <c:v>30314.026519798474</c:v>
                </c:pt>
                <c:pt idx="24">
                  <c:v>27059.466965224376</c:v>
                </c:pt>
              </c:numCache>
            </c:numRef>
          </c:val>
          <c:extLst>
            <c:ext xmlns:c16="http://schemas.microsoft.com/office/drawing/2014/chart" uri="{C3380CC4-5D6E-409C-BE32-E72D297353CC}">
              <c16:uniqueId val="{00000001-3313-4F07-AF90-EFEA8849848B}"/>
            </c:ext>
          </c:extLst>
        </c:ser>
        <c:dLbls>
          <c:showLegendKey val="0"/>
          <c:showVal val="0"/>
          <c:showCatName val="0"/>
          <c:showSerName val="0"/>
          <c:showPercent val="0"/>
          <c:showBubbleSize val="0"/>
        </c:dLbls>
        <c:gapWidth val="60"/>
        <c:overlap val="100"/>
        <c:axId val="789063928"/>
        <c:axId val="789059336"/>
      </c:barChart>
      <c:catAx>
        <c:axId val="789063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789059336"/>
        <c:crosses val="autoZero"/>
        <c:auto val="1"/>
        <c:lblAlgn val="ctr"/>
        <c:lblOffset val="100"/>
        <c:noMultiLvlLbl val="0"/>
      </c:catAx>
      <c:valAx>
        <c:axId val="789059336"/>
        <c:scaling>
          <c:orientation val="minMax"/>
        </c:scaling>
        <c:delete val="0"/>
        <c:axPos val="l"/>
        <c:majorGridlines>
          <c:spPr>
            <a:ln w="9525" cap="flat" cmpd="sng" algn="ctr">
              <a:solidFill>
                <a:schemeClr val="tx1">
                  <a:lumMod val="15000"/>
                  <a:lumOff val="85000"/>
                </a:schemeClr>
              </a:solidFill>
              <a:round/>
            </a:ln>
            <a:effectLst/>
          </c:spPr>
        </c:majorGridlines>
        <c:title>
          <c:tx>
            <c:strRef>
              <c:f>"(millions d'euros)"</c:f>
              <c:strCache>
                <c:ptCount val="1"/>
                <c:pt idx="0">
                  <c:v>(millions d'euros)</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7890639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all" spc="0" baseline="0">
                <a:solidFill>
                  <a:schemeClr val="tx2"/>
                </a:solidFill>
                <a:latin typeface="+mn-lt"/>
                <a:ea typeface="+mn-ea"/>
                <a:cs typeface="+mn-cs"/>
              </a:defRPr>
            </a:pPr>
            <a:r>
              <a:rPr lang="en-US"/>
              <a:t>Parc tertiaire d'avant 2015 asujetti au dispositif éco-énergie</a:t>
            </a:r>
          </a:p>
        </c:rich>
      </c:tx>
      <c:overlay val="0"/>
      <c:spPr>
        <a:noFill/>
        <a:ln>
          <a:noFill/>
        </a:ln>
        <a:effectLst/>
      </c:spPr>
    </c:title>
    <c:autoTitleDeleted val="0"/>
    <c:plotArea>
      <c:layout/>
      <c:lineChart>
        <c:grouping val="standard"/>
        <c:varyColors val="0"/>
        <c:ser>
          <c:idx val="0"/>
          <c:order val="0"/>
          <c:tx>
            <c:strRef>
              <c:f>TER_RENO!$C$368</c:f>
              <c:strCache>
                <c:ptCount val="1"/>
                <c:pt idx="0">
                  <c:v>Historique</c:v>
                </c:pt>
              </c:strCache>
            </c:strRef>
          </c:tx>
          <c:spPr>
            <a:ln w="28575" cap="rnd">
              <a:solidFill>
                <a:schemeClr val="tx2"/>
              </a:solidFill>
              <a:round/>
            </a:ln>
            <a:effectLst/>
          </c:spPr>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TER_RENO!$S$368:$BB$368</c:f>
              <c:numCache>
                <c:formatCode>0%</c:formatCode>
                <c:ptCount val="36"/>
                <c:pt idx="0">
                  <c:v>0</c:v>
                </c:pt>
                <c:pt idx="1">
                  <c:v>0</c:v>
                </c:pt>
                <c:pt idx="2">
                  <c:v>0</c:v>
                </c:pt>
                <c:pt idx="3">
                  <c:v>0</c:v>
                </c:pt>
                <c:pt idx="4">
                  <c:v>0</c:v>
                </c:pt>
                <c:pt idx="5">
                  <c:v>0</c:v>
                </c:pt>
              </c:numCache>
            </c:numRef>
          </c:val>
          <c:smooth val="0"/>
          <c:extLst>
            <c:ext xmlns:c16="http://schemas.microsoft.com/office/drawing/2014/chart" uri="{C3380CC4-5D6E-409C-BE32-E72D297353CC}">
              <c16:uniqueId val="{00000000-F34A-46FB-9389-4B56FCB38F51}"/>
            </c:ext>
          </c:extLst>
        </c:ser>
        <c:ser>
          <c:idx val="1"/>
          <c:order val="1"/>
          <c:tx>
            <c:strRef>
              <c:f>TER_RENO!$C$369</c:f>
              <c:strCache>
                <c:ptCount val="1"/>
                <c:pt idx="0">
                  <c:v>AMS 2018</c:v>
                </c:pt>
              </c:strCache>
            </c:strRef>
          </c:tx>
          <c:spPr>
            <a:ln w="28575" cap="rnd">
              <a:solidFill>
                <a:schemeClr val="tx1"/>
              </a:solidFill>
              <a:round/>
            </a:ln>
            <a:effectLst/>
          </c:spPr>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TER_RENO!$S$369:$BB$369</c:f>
              <c:numCache>
                <c:formatCode>0%</c:formatCode>
                <c:ptCount val="36"/>
                <c:pt idx="6">
                  <c:v>6.066666666666666E-2</c:v>
                </c:pt>
                <c:pt idx="7">
                  <c:v>9.1333333333333322E-2</c:v>
                </c:pt>
                <c:pt idx="8">
                  <c:v>0.122</c:v>
                </c:pt>
                <c:pt idx="9">
                  <c:v>0.15266666666666667</c:v>
                </c:pt>
                <c:pt idx="10">
                  <c:v>0.18333333333333332</c:v>
                </c:pt>
                <c:pt idx="11">
                  <c:v>0.214</c:v>
                </c:pt>
                <c:pt idx="12">
                  <c:v>0.24466666666666664</c:v>
                </c:pt>
                <c:pt idx="13">
                  <c:v>0.27533333333333332</c:v>
                </c:pt>
                <c:pt idx="14">
                  <c:v>0.30599999999999994</c:v>
                </c:pt>
                <c:pt idx="15">
                  <c:v>0.33666666666666667</c:v>
                </c:pt>
                <c:pt idx="16">
                  <c:v>0.36733333333333329</c:v>
                </c:pt>
                <c:pt idx="17">
                  <c:v>0.39800000000000002</c:v>
                </c:pt>
                <c:pt idx="18">
                  <c:v>0.42866666666666664</c:v>
                </c:pt>
                <c:pt idx="19">
                  <c:v>0.45933333333333326</c:v>
                </c:pt>
                <c:pt idx="20">
                  <c:v>0.49</c:v>
                </c:pt>
                <c:pt idx="21">
                  <c:v>0.52066666666666661</c:v>
                </c:pt>
                <c:pt idx="22">
                  <c:v>0.55133333333333334</c:v>
                </c:pt>
                <c:pt idx="23">
                  <c:v>0.58199999999999996</c:v>
                </c:pt>
                <c:pt idx="24">
                  <c:v>0.61266666666666658</c:v>
                </c:pt>
                <c:pt idx="25">
                  <c:v>0.64333333333333331</c:v>
                </c:pt>
                <c:pt idx="26">
                  <c:v>0.67400000000000004</c:v>
                </c:pt>
                <c:pt idx="27">
                  <c:v>0.70466666666666666</c:v>
                </c:pt>
                <c:pt idx="28">
                  <c:v>0.73533333333333328</c:v>
                </c:pt>
                <c:pt idx="29">
                  <c:v>0.76600000000000001</c:v>
                </c:pt>
                <c:pt idx="30">
                  <c:v>0.79666666666666675</c:v>
                </c:pt>
                <c:pt idx="31">
                  <c:v>0.82733333333333325</c:v>
                </c:pt>
                <c:pt idx="32">
                  <c:v>0.85799999999999987</c:v>
                </c:pt>
                <c:pt idx="33">
                  <c:v>0.8886666666666666</c:v>
                </c:pt>
                <c:pt idx="34">
                  <c:v>0.91933333333333334</c:v>
                </c:pt>
                <c:pt idx="35">
                  <c:v>0.95</c:v>
                </c:pt>
              </c:numCache>
            </c:numRef>
          </c:val>
          <c:smooth val="0"/>
          <c:extLst>
            <c:ext xmlns:c16="http://schemas.microsoft.com/office/drawing/2014/chart" uri="{C3380CC4-5D6E-409C-BE32-E72D297353CC}">
              <c16:uniqueId val="{00000001-F34A-46FB-9389-4B56FCB38F51}"/>
            </c:ext>
          </c:extLst>
        </c:ser>
        <c:ser>
          <c:idx val="2"/>
          <c:order val="2"/>
          <c:tx>
            <c:strRef>
              <c:f>TER_RENO!$C$370</c:f>
              <c:strCache>
                <c:ptCount val="1"/>
                <c:pt idx="0">
                  <c:v>ADEME Tend.</c:v>
                </c:pt>
              </c:strCache>
            </c:strRef>
          </c:tx>
          <c:spPr>
            <a:ln w="28575" cap="rnd">
              <a:solidFill>
                <a:schemeClr val="tx1">
                  <a:lumMod val="20000"/>
                  <a:lumOff val="80000"/>
                </a:schemeClr>
              </a:solidFill>
              <a:round/>
            </a:ln>
            <a:effectLst/>
          </c:spPr>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TER_RENO!$S$370:$BB$370</c:f>
              <c:numCache>
                <c:formatCode>0%</c:formatCode>
                <c:ptCount val="36"/>
                <c:pt idx="6">
                  <c:v>1.6989733200392508E-2</c:v>
                </c:pt>
                <c:pt idx="7">
                  <c:v>3.39965793674901E-2</c:v>
                </c:pt>
                <c:pt idx="8">
                  <c:v>5.10208554708967E-2</c:v>
                </c:pt>
                <c:pt idx="9">
                  <c:v>6.8062886356808031E-2</c:v>
                </c:pt>
                <c:pt idx="10">
                  <c:v>8.5123004994204512E-2</c:v>
                </c:pt>
                <c:pt idx="11">
                  <c:v>0.10220155273033624</c:v>
                </c:pt>
                <c:pt idx="12">
                  <c:v>0.1192988795559122</c:v>
                </c:pt>
                <c:pt idx="13">
                  <c:v>0.13641534438042566</c:v>
                </c:pt>
                <c:pt idx="14">
                  <c:v>0.15355131531807178</c:v>
                </c:pt>
                <c:pt idx="15">
                  <c:v>0.17070716998473467</c:v>
                </c:pt>
                <c:pt idx="16">
                  <c:v>0.18785352515310777</c:v>
                </c:pt>
                <c:pt idx="17">
                  <c:v>0.20501399555970801</c:v>
                </c:pt>
                <c:pt idx="18">
                  <c:v>0.22218867451393765</c:v>
                </c:pt>
                <c:pt idx="19">
                  <c:v>0.23937765614944936</c:v>
                </c:pt>
                <c:pt idx="20">
                  <c:v>0.25658103543326838</c:v>
                </c:pt>
                <c:pt idx="21">
                  <c:v>0.27379890817503472</c:v>
                </c:pt>
                <c:pt idx="22">
                  <c:v>0.29103137103636967</c:v>
                </c:pt>
                <c:pt idx="23">
                  <c:v>0.30827852154036722</c:v>
                </c:pt>
                <c:pt idx="24">
                  <c:v>0.32554045808121224</c:v>
                </c:pt>
                <c:pt idx="25">
                  <c:v>0.34281727993392808</c:v>
                </c:pt>
                <c:pt idx="26">
                  <c:v>0.36010908726425617</c:v>
                </c:pt>
                <c:pt idx="27">
                  <c:v>0.37741598113866703</c:v>
                </c:pt>
                <c:pt idx="28">
                  <c:v>0.39473806353450869</c:v>
                </c:pt>
                <c:pt idx="29">
                  <c:v>0.41207543735029095</c:v>
                </c:pt>
                <c:pt idx="30">
                  <c:v>0.42942820641611029</c:v>
                </c:pt>
                <c:pt idx="31">
                  <c:v>0.44679647550421675</c:v>
                </c:pt>
                <c:pt idx="32">
                  <c:v>0.46418035033972377</c:v>
                </c:pt>
                <c:pt idx="33">
                  <c:v>0.48157993761146578</c:v>
                </c:pt>
                <c:pt idx="34">
                  <c:v>0.4989953449830043</c:v>
                </c:pt>
                <c:pt idx="35">
                  <c:v>0.51642668110378454</c:v>
                </c:pt>
              </c:numCache>
            </c:numRef>
          </c:val>
          <c:smooth val="0"/>
          <c:extLst>
            <c:ext xmlns:c16="http://schemas.microsoft.com/office/drawing/2014/chart" uri="{C3380CC4-5D6E-409C-BE32-E72D297353CC}">
              <c16:uniqueId val="{00000002-F34A-46FB-9389-4B56FCB38F51}"/>
            </c:ext>
          </c:extLst>
        </c:ser>
        <c:ser>
          <c:idx val="3"/>
          <c:order val="3"/>
          <c:tx>
            <c:strRef>
              <c:f>TER_RENO!$C$371</c:f>
              <c:strCache>
                <c:ptCount val="1"/>
                <c:pt idx="0">
                  <c:v>ADEME S1</c:v>
                </c:pt>
              </c:strCache>
            </c:strRef>
          </c:tx>
          <c:spPr>
            <a:ln w="28575" cap="rnd">
              <a:solidFill>
                <a:srgbClr val="5487C2"/>
              </a:solidFill>
              <a:round/>
            </a:ln>
            <a:effectLst/>
          </c:spPr>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TER_RENO!$S$371:$BB$371</c:f>
              <c:numCache>
                <c:formatCode>0%</c:formatCode>
                <c:ptCount val="36"/>
                <c:pt idx="6">
                  <c:v>2.6672402466781629E-2</c:v>
                </c:pt>
                <c:pt idx="7">
                  <c:v>5.3333812344378791E-2</c:v>
                </c:pt>
                <c:pt idx="8">
                  <c:v>7.9983823490129488E-2</c:v>
                </c:pt>
                <c:pt idx="9">
                  <c:v>0.10662200950424763</c:v>
                </c:pt>
                <c:pt idx="10">
                  <c:v>0.13324792245092379</c:v>
                </c:pt>
                <c:pt idx="11">
                  <c:v>0.1598610914812976</c:v>
                </c:pt>
                <c:pt idx="12">
                  <c:v>0.18646102134940332</c:v>
                </c:pt>
                <c:pt idx="13">
                  <c:v>0.21304719081125811</c:v>
                </c:pt>
                <c:pt idx="14">
                  <c:v>0.2396190508962121</c:v>
                </c:pt>
                <c:pt idx="15">
                  <c:v>0.26617602303851218</c:v>
                </c:pt>
                <c:pt idx="16">
                  <c:v>0.29269280980005624</c:v>
                </c:pt>
                <c:pt idx="17">
                  <c:v>0.31918926597193781</c:v>
                </c:pt>
                <c:pt idx="18">
                  <c:v>0.34566483175831719</c:v>
                </c:pt>
                <c:pt idx="19">
                  <c:v>0.37211892662126317</c:v>
                </c:pt>
                <c:pt idx="20">
                  <c:v>0.39855094831107546</c:v>
                </c:pt>
                <c:pt idx="21">
                  <c:v>0.42496027184169644</c:v>
                </c:pt>
                <c:pt idx="22">
                  <c:v>0.45134624840754883</c:v>
                </c:pt>
                <c:pt idx="23">
                  <c:v>0.47770820423785459</c:v>
                </c:pt>
                <c:pt idx="24">
                  <c:v>0.50404543938418678</c:v>
                </c:pt>
                <c:pt idx="25">
                  <c:v>0.53035722643666638</c:v>
                </c:pt>
                <c:pt idx="26">
                  <c:v>0.55664280916386022</c:v>
                </c:pt>
                <c:pt idx="27">
                  <c:v>0.58290140107103394</c:v>
                </c:pt>
                <c:pt idx="28">
                  <c:v>0.60913218387098589</c:v>
                </c:pt>
                <c:pt idx="29">
                  <c:v>0.63533430586121342</c:v>
                </c:pt>
                <c:pt idx="30">
                  <c:v>0.66150688020065129</c:v>
                </c:pt>
                <c:pt idx="31">
                  <c:v>0.68764898307865197</c:v>
                </c:pt>
                <c:pt idx="32">
                  <c:v>0.71375965176826828</c:v>
                </c:pt>
                <c:pt idx="33">
                  <c:v>0.73983788255521388</c:v>
                </c:pt>
                <c:pt idx="34">
                  <c:v>0.76588262853314404</c:v>
                </c:pt>
                <c:pt idx="35">
                  <c:v>0.79189279725507566</c:v>
                </c:pt>
              </c:numCache>
            </c:numRef>
          </c:val>
          <c:smooth val="0"/>
          <c:extLst>
            <c:ext xmlns:c16="http://schemas.microsoft.com/office/drawing/2014/chart" uri="{C3380CC4-5D6E-409C-BE32-E72D297353CC}">
              <c16:uniqueId val="{00000003-F34A-46FB-9389-4B56FCB38F51}"/>
            </c:ext>
          </c:extLst>
        </c:ser>
        <c:ser>
          <c:idx val="4"/>
          <c:order val="4"/>
          <c:tx>
            <c:strRef>
              <c:f>TER_RENO!$C$372</c:f>
              <c:strCache>
                <c:ptCount val="1"/>
                <c:pt idx="0">
                  <c:v>ADEME S2</c:v>
                </c:pt>
              </c:strCache>
            </c:strRef>
          </c:tx>
          <c:spPr>
            <a:ln w="28575" cap="rnd">
              <a:solidFill>
                <a:srgbClr val="982C7F"/>
              </a:solidFill>
              <a:round/>
            </a:ln>
            <a:effectLst/>
          </c:spPr>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TER_RENO!$S$372:$BB$372</c:f>
              <c:numCache>
                <c:formatCode>0%</c:formatCode>
                <c:ptCount val="36"/>
                <c:pt idx="6">
                  <c:v>2.3643780375998742E-2</c:v>
                </c:pt>
                <c:pt idx="7">
                  <c:v>4.7279024498932676E-2</c:v>
                </c:pt>
                <c:pt idx="8">
                  <c:v>7.0905416980271835E-2</c:v>
                </c:pt>
                <c:pt idx="9">
                  <c:v>9.4522626700894147E-2</c:v>
                </c:pt>
                <c:pt idx="10">
                  <c:v>0.1181303058179609</c:v>
                </c:pt>
                <c:pt idx="11">
                  <c:v>0.14172808869559136</c:v>
                </c:pt>
                <c:pt idx="12">
                  <c:v>0.16531559075242619</c:v>
                </c:pt>
                <c:pt idx="13">
                  <c:v>0.18889240721844505</c:v>
                </c:pt>
                <c:pt idx="14">
                  <c:v>0.21245811179259066</c:v>
                </c:pt>
                <c:pt idx="15">
                  <c:v>0.23601225519184155</c:v>
                </c:pt>
                <c:pt idx="16">
                  <c:v>0.25953003604576463</c:v>
                </c:pt>
                <c:pt idx="17">
                  <c:v>0.28303098934304199</c:v>
                </c:pt>
                <c:pt idx="18">
                  <c:v>0.30651465174265113</c:v>
                </c:pt>
                <c:pt idx="19">
                  <c:v>0.32998054273541416</c:v>
                </c:pt>
                <c:pt idx="20">
                  <c:v>0.35342816384139941</c:v>
                </c:pt>
                <c:pt idx="21">
                  <c:v>0.37685699776187331</c:v>
                </c:pt>
                <c:pt idx="22">
                  <c:v>0.40026650748277037</c:v>
                </c:pt>
                <c:pt idx="23">
                  <c:v>0.42365613532641783</c:v>
                </c:pt>
                <c:pt idx="24">
                  <c:v>0.44702530194799583</c:v>
                </c:pt>
                <c:pt idx="25">
                  <c:v>0.47037340527293853</c:v>
                </c:pt>
                <c:pt idx="26">
                  <c:v>0.49369981937118257</c:v>
                </c:pt>
                <c:pt idx="27">
                  <c:v>0.51700389326383756</c:v>
                </c:pt>
                <c:pt idx="28">
                  <c:v>0.54028494965750162</c:v>
                </c:pt>
                <c:pt idx="29">
                  <c:v>0.56354228360104719</c:v>
                </c:pt>
                <c:pt idx="30">
                  <c:v>0.58677516105928307</c:v>
                </c:pt>
                <c:pt idx="31">
                  <c:v>0.60998281739742755</c:v>
                </c:pt>
                <c:pt idx="32">
                  <c:v>0.63316445576981517</c:v>
                </c:pt>
                <c:pt idx="33">
                  <c:v>0.65631924540570652</c:v>
                </c:pt>
                <c:pt idx="34">
                  <c:v>0.67944631978444925</c:v>
                </c:pt>
                <c:pt idx="35">
                  <c:v>0.70254477469156673</c:v>
                </c:pt>
              </c:numCache>
            </c:numRef>
          </c:val>
          <c:smooth val="0"/>
          <c:extLst>
            <c:ext xmlns:c16="http://schemas.microsoft.com/office/drawing/2014/chart" uri="{C3380CC4-5D6E-409C-BE32-E72D297353CC}">
              <c16:uniqueId val="{00000004-F34A-46FB-9389-4B56FCB38F51}"/>
            </c:ext>
          </c:extLst>
        </c:ser>
        <c:ser>
          <c:idx val="5"/>
          <c:order val="5"/>
          <c:tx>
            <c:strRef>
              <c:f>TER_RENO!$C$373</c:f>
              <c:strCache>
                <c:ptCount val="1"/>
                <c:pt idx="0">
                  <c:v>ADEME S3</c:v>
                </c:pt>
              </c:strCache>
            </c:strRef>
          </c:tx>
          <c:spPr>
            <a:ln w="28575" cap="rnd">
              <a:solidFill>
                <a:srgbClr val="76B145"/>
              </a:solidFill>
              <a:round/>
            </a:ln>
            <a:effectLst/>
          </c:spPr>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TER_RENO!$S$373:$BB$373</c:f>
              <c:numCache>
                <c:formatCode>0%</c:formatCode>
                <c:ptCount val="36"/>
                <c:pt idx="6">
                  <c:v>2.3473086895498128E-2</c:v>
                </c:pt>
                <c:pt idx="7">
                  <c:v>4.6947840500571381E-2</c:v>
                </c:pt>
                <c:pt idx="8">
                  <c:v>7.0424298673972291E-2</c:v>
                </c:pt>
                <c:pt idx="9">
                  <c:v>9.3902500429799751E-2</c:v>
                </c:pt>
                <c:pt idx="10">
                  <c:v>0.11738248598191039</c:v>
                </c:pt>
                <c:pt idx="11">
                  <c:v>0.14086429679039444</c:v>
                </c:pt>
                <c:pt idx="12">
                  <c:v>0.16434797561022879</c:v>
                </c:pt>
                <c:pt idx="13">
                  <c:v>0.18783356654222758</c:v>
                </c:pt>
                <c:pt idx="14">
                  <c:v>0.21132111508641716</c:v>
                </c:pt>
                <c:pt idx="15">
                  <c:v>0.23481066819797211</c:v>
                </c:pt>
                <c:pt idx="16">
                  <c:v>0.25828468048275538</c:v>
                </c:pt>
                <c:pt idx="17">
                  <c:v>0.28175735322531253</c:v>
                </c:pt>
                <c:pt idx="18">
                  <c:v>0.30522867151461536</c:v>
                </c:pt>
                <c:pt idx="19">
                  <c:v>0.32869862021750301</c:v>
                </c:pt>
                <c:pt idx="20">
                  <c:v>0.35216718397453073</c:v>
                </c:pt>
                <c:pt idx="21">
                  <c:v>0.37563434719572358</c:v>
                </c:pt>
                <c:pt idx="22">
                  <c:v>0.39910009405623592</c:v>
                </c:pt>
                <c:pt idx="23">
                  <c:v>0.42256440849191129</c:v>
                </c:pt>
                <c:pt idx="24">
                  <c:v>0.44602727419474164</c:v>
                </c:pt>
                <c:pt idx="25">
                  <c:v>0.4694886746082223</c:v>
                </c:pt>
                <c:pt idx="26">
                  <c:v>0.49294859292260101</c:v>
                </c:pt>
                <c:pt idx="27">
                  <c:v>0.51640701207001805</c:v>
                </c:pt>
                <c:pt idx="28">
                  <c:v>0.5398639147195311</c:v>
                </c:pt>
                <c:pt idx="29">
                  <c:v>0.56331928327202885</c:v>
                </c:pt>
                <c:pt idx="30">
                  <c:v>0.58677309985502357</c:v>
                </c:pt>
                <c:pt idx="31">
                  <c:v>0.61022534631732084</c:v>
                </c:pt>
                <c:pt idx="32">
                  <c:v>0.63367600422356773</c:v>
                </c:pt>
                <c:pt idx="33">
                  <c:v>0.65712505484866801</c:v>
                </c:pt>
                <c:pt idx="34">
                  <c:v>0.68057247917206942</c:v>
                </c:pt>
                <c:pt idx="35">
                  <c:v>0.70401825787191252</c:v>
                </c:pt>
              </c:numCache>
            </c:numRef>
          </c:val>
          <c:smooth val="0"/>
          <c:extLst>
            <c:ext xmlns:c16="http://schemas.microsoft.com/office/drawing/2014/chart" uri="{C3380CC4-5D6E-409C-BE32-E72D297353CC}">
              <c16:uniqueId val="{00000005-F34A-46FB-9389-4B56FCB38F51}"/>
            </c:ext>
          </c:extLst>
        </c:ser>
        <c:ser>
          <c:idx val="6"/>
          <c:order val="6"/>
          <c:tx>
            <c:strRef>
              <c:f>TER_RENO!$C$374</c:f>
              <c:strCache>
                <c:ptCount val="1"/>
                <c:pt idx="0">
                  <c:v>ADEME S4</c:v>
                </c:pt>
              </c:strCache>
            </c:strRef>
          </c:tx>
          <c:spPr>
            <a:ln w="28575" cap="rnd">
              <a:solidFill>
                <a:srgbClr val="E9682D"/>
              </a:solidFill>
              <a:round/>
            </a:ln>
            <a:effectLst/>
          </c:spPr>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TER_RENO!$S$374:$BB$374</c:f>
              <c:numCache>
                <c:formatCode>0%</c:formatCode>
                <c:ptCount val="36"/>
                <c:pt idx="6">
                  <c:v>2.0212265932114889E-2</c:v>
                </c:pt>
                <c:pt idx="7">
                  <c:v>4.0440422597834952E-2</c:v>
                </c:pt>
                <c:pt idx="8">
                  <c:v>6.0684764328331607E-2</c:v>
                </c:pt>
                <c:pt idx="9">
                  <c:v>8.0945592768810387E-2</c:v>
                </c:pt>
                <c:pt idx="10">
                  <c:v>0.10122321710712034</c:v>
                </c:pt>
                <c:pt idx="11">
                  <c:v>0.12151795431099197</c:v>
                </c:pt>
                <c:pt idx="12">
                  <c:v>0.14183012937428613</c:v>
                </c:pt>
                <c:pt idx="13">
                  <c:v>0.16216007557265541</c:v>
                </c:pt>
                <c:pt idx="14">
                  <c:v>0.18250813472904096</c:v>
                </c:pt>
                <c:pt idx="15">
                  <c:v>0.20287465748944847</c:v>
                </c:pt>
                <c:pt idx="16">
                  <c:v>0.22323479945727273</c:v>
                </c:pt>
                <c:pt idx="17">
                  <c:v>0.24360850391800618</c:v>
                </c:pt>
                <c:pt idx="18">
                  <c:v>0.26399586052710389</c:v>
                </c:pt>
                <c:pt idx="19">
                  <c:v>0.28439695973199425</c:v>
                </c:pt>
                <c:pt idx="20">
                  <c:v>0.30481189278084353</c:v>
                </c:pt>
                <c:pt idx="21">
                  <c:v>0.32524075173143635</c:v>
                </c:pt>
                <c:pt idx="22">
                  <c:v>0.34568362946017606</c:v>
                </c:pt>
                <c:pt idx="23">
                  <c:v>0.36614061967120326</c:v>
                </c:pt>
                <c:pt idx="24">
                  <c:v>0.38661181690563812</c:v>
                </c:pt>
                <c:pt idx="25">
                  <c:v>0.40709731655094639</c:v>
                </c:pt>
                <c:pt idx="26">
                  <c:v>0.42759721485043173</c:v>
                </c:pt>
                <c:pt idx="27">
                  <c:v>0.44811160891285451</c:v>
                </c:pt>
                <c:pt idx="28">
                  <c:v>0.46864059672218333</c:v>
                </c:pt>
                <c:pt idx="29">
                  <c:v>0.48918427714747648</c:v>
                </c:pt>
                <c:pt idx="30">
                  <c:v>0.50974274995289848</c:v>
                </c:pt>
                <c:pt idx="31">
                  <c:v>0.53031611580787297</c:v>
                </c:pt>
                <c:pt idx="32">
                  <c:v>0.55090447629737327</c:v>
                </c:pt>
                <c:pt idx="33">
                  <c:v>0.57150793393235544</c:v>
                </c:pt>
                <c:pt idx="34">
                  <c:v>0.59212659216033214</c:v>
                </c:pt>
                <c:pt idx="35">
                  <c:v>0.61276055537609375</c:v>
                </c:pt>
              </c:numCache>
            </c:numRef>
          </c:val>
          <c:smooth val="0"/>
          <c:extLst>
            <c:ext xmlns:c16="http://schemas.microsoft.com/office/drawing/2014/chart" uri="{C3380CC4-5D6E-409C-BE32-E72D297353CC}">
              <c16:uniqueId val="{00000006-F34A-46FB-9389-4B56FCB38F51}"/>
            </c:ext>
          </c:extLst>
        </c:ser>
        <c:dLbls>
          <c:showLegendKey val="0"/>
          <c:showVal val="0"/>
          <c:showCatName val="0"/>
          <c:showSerName val="0"/>
          <c:showPercent val="0"/>
          <c:showBubbleSize val="0"/>
        </c:dLbls>
        <c:smooth val="0"/>
        <c:axId val="714254264"/>
        <c:axId val="714254592"/>
      </c:lineChart>
      <c:catAx>
        <c:axId val="714254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crossAx val="714254592"/>
        <c:crosses val="autoZero"/>
        <c:auto val="1"/>
        <c:lblAlgn val="ctr"/>
        <c:lblOffset val="100"/>
        <c:tickLblSkip val="5"/>
        <c:noMultiLvlLbl val="0"/>
      </c:catAx>
      <c:valAx>
        <c:axId val="714254592"/>
        <c:scaling>
          <c:orientation val="minMax"/>
        </c:scaling>
        <c:delete val="0"/>
        <c:axPos val="l"/>
        <c:majorGridlines>
          <c:spPr>
            <a:ln w="9525" cap="flat" cmpd="sng" algn="ctr">
              <a:solidFill>
                <a:schemeClr val="tx1">
                  <a:lumMod val="15000"/>
                  <a:lumOff val="85000"/>
                </a:schemeClr>
              </a:solidFill>
              <a:round/>
            </a:ln>
            <a:effectLst/>
          </c:spPr>
        </c:majorGridlines>
        <c:title>
          <c:tx>
            <c:strRef>
              <c:f>TER_RENO!$E$368</c:f>
              <c:strCache>
                <c:ptCount val="1"/>
                <c:pt idx="0">
                  <c:v>(% du parc 2050)</c:v>
                </c:pt>
              </c:strCache>
            </c:strRef>
          </c:tx>
          <c:overlay val="0"/>
          <c:txPr>
            <a:bodyPr/>
            <a:lstStyle/>
            <a:p>
              <a:pPr>
                <a:defRPr/>
              </a:pPr>
              <a:endParaRPr lang="fr-F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crossAx val="714254264"/>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legend>
    <c:plotVisOnly val="0"/>
    <c:dispBlanksAs val="gap"/>
    <c:showDLblsOverMax val="0"/>
    <c:extLst/>
  </c:chart>
  <c:txPr>
    <a:bodyPr/>
    <a:lstStyle/>
    <a:p>
      <a:pPr>
        <a:defRPr>
          <a:solidFill>
            <a:sysClr val="windowText" lastClr="000000"/>
          </a:solidFill>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all" spc="0" baseline="0">
                <a:solidFill>
                  <a:schemeClr val="tx2"/>
                </a:solidFill>
                <a:latin typeface="+mn-lt"/>
                <a:ea typeface="+mn-ea"/>
                <a:cs typeface="+mn-cs"/>
              </a:defRPr>
            </a:pPr>
            <a:r>
              <a:rPr lang="fr-FR"/>
              <a:t>Investissements dans les rénovations énergétiques du parc tertiaire</a:t>
            </a:r>
          </a:p>
        </c:rich>
      </c:tx>
      <c:overlay val="0"/>
      <c:spPr>
        <a:noFill/>
        <a:ln>
          <a:noFill/>
        </a:ln>
        <a:effectLst/>
      </c:spPr>
    </c:title>
    <c:autoTitleDeleted val="0"/>
    <c:plotArea>
      <c:layout/>
      <c:lineChart>
        <c:grouping val="standard"/>
        <c:varyColors val="0"/>
        <c:ser>
          <c:idx val="0"/>
          <c:order val="0"/>
          <c:tx>
            <c:strRef>
              <c:f>TER_RENO!$C$833</c:f>
              <c:strCache>
                <c:ptCount val="1"/>
                <c:pt idx="0">
                  <c:v>Historique</c:v>
                </c:pt>
              </c:strCache>
            </c:strRef>
          </c:tx>
          <c:spPr>
            <a:ln w="28575" cap="rnd">
              <a:solidFill>
                <a:schemeClr val="tx2"/>
              </a:solidFill>
              <a:round/>
            </a:ln>
            <a:effectLst/>
          </c:spPr>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TER_RENO!$S$833:$BB$833</c:f>
              <c:numCache>
                <c:formatCode>#,##0</c:formatCode>
                <c:ptCount val="36"/>
                <c:pt idx="0">
                  <c:v>4933.8371416424261</c:v>
                </c:pt>
                <c:pt idx="1">
                  <c:v>4841.1030883169242</c:v>
                </c:pt>
                <c:pt idx="2">
                  <c:v>4821.8771226458239</c:v>
                </c:pt>
                <c:pt idx="3">
                  <c:v>4810.5688669117908</c:v>
                </c:pt>
                <c:pt idx="4">
                  <c:v>4855.6269760295327</c:v>
                </c:pt>
              </c:numCache>
            </c:numRef>
          </c:val>
          <c:smooth val="0"/>
          <c:extLst>
            <c:ext xmlns:c16="http://schemas.microsoft.com/office/drawing/2014/chart" uri="{C3380CC4-5D6E-409C-BE32-E72D297353CC}">
              <c16:uniqueId val="{00000000-9CE2-4D11-85A1-BB676584CF6D}"/>
            </c:ext>
          </c:extLst>
        </c:ser>
        <c:ser>
          <c:idx val="1"/>
          <c:order val="1"/>
          <c:tx>
            <c:strRef>
              <c:f>TER_RENO!$C$834</c:f>
              <c:strCache>
                <c:ptCount val="1"/>
                <c:pt idx="0">
                  <c:v>AMS 2018</c:v>
                </c:pt>
              </c:strCache>
            </c:strRef>
          </c:tx>
          <c:spPr>
            <a:ln w="28575" cap="rnd">
              <a:solidFill>
                <a:schemeClr val="tx1"/>
              </a:solidFill>
              <a:round/>
            </a:ln>
            <a:effectLst/>
          </c:spPr>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TER_RENO!$S$834:$BB$834</c:f>
              <c:numCache>
                <c:formatCode>#,##0</c:formatCode>
                <c:ptCount val="36"/>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smooth val="0"/>
          <c:extLst>
            <c:ext xmlns:c16="http://schemas.microsoft.com/office/drawing/2014/chart" uri="{C3380CC4-5D6E-409C-BE32-E72D297353CC}">
              <c16:uniqueId val="{00000001-9CE2-4D11-85A1-BB676584CF6D}"/>
            </c:ext>
          </c:extLst>
        </c:ser>
        <c:ser>
          <c:idx val="2"/>
          <c:order val="2"/>
          <c:tx>
            <c:strRef>
              <c:f>TER_RENO!$C$835</c:f>
              <c:strCache>
                <c:ptCount val="1"/>
                <c:pt idx="0">
                  <c:v>ADEME Tend.</c:v>
                </c:pt>
              </c:strCache>
            </c:strRef>
          </c:tx>
          <c:spPr>
            <a:ln w="28575" cap="rnd">
              <a:solidFill>
                <a:schemeClr val="tx1">
                  <a:lumMod val="20000"/>
                  <a:lumOff val="80000"/>
                </a:schemeClr>
              </a:solidFill>
              <a:prstDash val="sysDot"/>
              <a:round/>
            </a:ln>
            <a:effectLst/>
          </c:spPr>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TER_RENO!$S$835:$BB$835</c:f>
              <c:numCache>
                <c:formatCode>#,##0</c:formatCode>
                <c:ptCount val="36"/>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smooth val="0"/>
          <c:extLst>
            <c:ext xmlns:c16="http://schemas.microsoft.com/office/drawing/2014/chart" uri="{C3380CC4-5D6E-409C-BE32-E72D297353CC}">
              <c16:uniqueId val="{00000002-9CE2-4D11-85A1-BB676584CF6D}"/>
            </c:ext>
          </c:extLst>
        </c:ser>
        <c:ser>
          <c:idx val="3"/>
          <c:order val="3"/>
          <c:tx>
            <c:strRef>
              <c:f>TER_RENO!$C$836</c:f>
              <c:strCache>
                <c:ptCount val="1"/>
                <c:pt idx="0">
                  <c:v>ADEME S1</c:v>
                </c:pt>
              </c:strCache>
            </c:strRef>
          </c:tx>
          <c:spPr>
            <a:ln w="28575" cap="rnd">
              <a:solidFill>
                <a:srgbClr val="5487C2"/>
              </a:solidFill>
              <a:prstDash val="sysDot"/>
              <a:round/>
            </a:ln>
            <a:effectLst/>
          </c:spPr>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TER_RENO!$S$836:$BB$836</c:f>
              <c:numCache>
                <c:formatCode>#,##0</c:formatCode>
                <c:ptCount val="36"/>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smooth val="0"/>
          <c:extLst>
            <c:ext xmlns:c16="http://schemas.microsoft.com/office/drawing/2014/chart" uri="{C3380CC4-5D6E-409C-BE32-E72D297353CC}">
              <c16:uniqueId val="{00000003-9CE2-4D11-85A1-BB676584CF6D}"/>
            </c:ext>
          </c:extLst>
        </c:ser>
        <c:ser>
          <c:idx val="4"/>
          <c:order val="4"/>
          <c:tx>
            <c:strRef>
              <c:f>TER_RENO!$C$837</c:f>
              <c:strCache>
                <c:ptCount val="1"/>
                <c:pt idx="0">
                  <c:v>ADEME S2</c:v>
                </c:pt>
              </c:strCache>
            </c:strRef>
          </c:tx>
          <c:spPr>
            <a:ln w="28575" cap="rnd">
              <a:solidFill>
                <a:srgbClr val="982C7F"/>
              </a:solidFill>
              <a:prstDash val="sysDot"/>
              <a:round/>
            </a:ln>
            <a:effectLst/>
          </c:spPr>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TER_RENO!$S$837:$BB$837</c:f>
              <c:numCache>
                <c:formatCode>#,##0</c:formatCode>
                <c:ptCount val="36"/>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smooth val="0"/>
          <c:extLst>
            <c:ext xmlns:c16="http://schemas.microsoft.com/office/drawing/2014/chart" uri="{C3380CC4-5D6E-409C-BE32-E72D297353CC}">
              <c16:uniqueId val="{00000004-9CE2-4D11-85A1-BB676584CF6D}"/>
            </c:ext>
          </c:extLst>
        </c:ser>
        <c:ser>
          <c:idx val="5"/>
          <c:order val="5"/>
          <c:tx>
            <c:strRef>
              <c:f>TER_RENO!$C$838</c:f>
              <c:strCache>
                <c:ptCount val="1"/>
                <c:pt idx="0">
                  <c:v>ADEME S3</c:v>
                </c:pt>
              </c:strCache>
            </c:strRef>
          </c:tx>
          <c:spPr>
            <a:ln w="28575" cap="rnd">
              <a:solidFill>
                <a:srgbClr val="76B145"/>
              </a:solidFill>
              <a:prstDash val="sysDot"/>
              <a:round/>
            </a:ln>
            <a:effectLst/>
          </c:spPr>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TER_RENO!$S$838:$BB$838</c:f>
              <c:numCache>
                <c:formatCode>#,##0</c:formatCode>
                <c:ptCount val="36"/>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smooth val="0"/>
          <c:extLst>
            <c:ext xmlns:c16="http://schemas.microsoft.com/office/drawing/2014/chart" uri="{C3380CC4-5D6E-409C-BE32-E72D297353CC}">
              <c16:uniqueId val="{00000005-9CE2-4D11-85A1-BB676584CF6D}"/>
            </c:ext>
          </c:extLst>
        </c:ser>
        <c:ser>
          <c:idx val="6"/>
          <c:order val="6"/>
          <c:tx>
            <c:strRef>
              <c:f>TER_RENO!$C$839</c:f>
              <c:strCache>
                <c:ptCount val="1"/>
                <c:pt idx="0">
                  <c:v>ADEME S4</c:v>
                </c:pt>
              </c:strCache>
            </c:strRef>
          </c:tx>
          <c:spPr>
            <a:ln w="28575" cap="rnd">
              <a:solidFill>
                <a:srgbClr val="E9682D"/>
              </a:solidFill>
              <a:prstDash val="sysDot"/>
              <a:round/>
            </a:ln>
            <a:effectLst/>
          </c:spPr>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TER_RENO!$S$839:$BB$839</c:f>
              <c:numCache>
                <c:formatCode>#,##0</c:formatCode>
                <c:ptCount val="36"/>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smooth val="0"/>
          <c:extLst>
            <c:ext xmlns:c16="http://schemas.microsoft.com/office/drawing/2014/chart" uri="{C3380CC4-5D6E-409C-BE32-E72D297353CC}">
              <c16:uniqueId val="{00000006-9CE2-4D11-85A1-BB676584CF6D}"/>
            </c:ext>
          </c:extLst>
        </c:ser>
        <c:ser>
          <c:idx val="7"/>
          <c:order val="7"/>
          <c:tx>
            <c:strRef>
              <c:f>TER_RENO!$C$840</c:f>
              <c:strCache>
                <c:ptCount val="1"/>
                <c:pt idx="0">
                  <c:v>AME 2023</c:v>
                </c:pt>
              </c:strCache>
            </c:strRef>
          </c:tx>
          <c:spPr>
            <a:ln w="28575">
              <a:solidFill>
                <a:schemeClr val="bg2">
                  <a:lumMod val="50000"/>
                </a:schemeClr>
              </a:solidFill>
            </a:ln>
          </c:spPr>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TER_RENO!$S$840:$BB$840</c:f>
              <c:numCache>
                <c:formatCode>#,##0</c:formatCode>
                <c:ptCount val="36"/>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smooth val="0"/>
          <c:extLst>
            <c:ext xmlns:c16="http://schemas.microsoft.com/office/drawing/2014/chart" uri="{C3380CC4-5D6E-409C-BE32-E72D297353CC}">
              <c16:uniqueId val="{00000007-9CE2-4D11-85A1-BB676584CF6D}"/>
            </c:ext>
          </c:extLst>
        </c:ser>
        <c:ser>
          <c:idx val="8"/>
          <c:order val="8"/>
          <c:tx>
            <c:strRef>
              <c:f>TER_RENO!$C$841</c:f>
              <c:strCache>
                <c:ptCount val="1"/>
                <c:pt idx="0">
                  <c:v>AMS run 2 2023</c:v>
                </c:pt>
              </c:strCache>
            </c:strRef>
          </c:tx>
          <c:spPr>
            <a:ln w="28575">
              <a:solidFill>
                <a:schemeClr val="accent3"/>
              </a:solidFill>
            </a:ln>
          </c:spPr>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TER_RENO!$S$841:$BB$841</c:f>
              <c:numCache>
                <c:formatCode>#,##0</c:formatCode>
                <c:ptCount val="36"/>
                <c:pt idx="9">
                  <c:v>9975.7962921199942</c:v>
                </c:pt>
                <c:pt idx="10">
                  <c:v>11781.7113898937</c:v>
                </c:pt>
                <c:pt idx="11">
                  <c:v>13585.213748245389</c:v>
                </c:pt>
                <c:pt idx="12">
                  <c:v>15230.448365246666</c:v>
                </c:pt>
                <c:pt idx="13">
                  <c:v>16554.916353321278</c:v>
                </c:pt>
                <c:pt idx="14">
                  <c:v>17415.554271104578</c:v>
                </c:pt>
                <c:pt idx="15">
                  <c:v>17714.101535978156</c:v>
                </c:pt>
                <c:pt idx="16">
                  <c:v>17454.078877060005</c:v>
                </c:pt>
                <c:pt idx="17">
                  <c:v>16572.453777390467</c:v>
                </c:pt>
                <c:pt idx="18">
                  <c:v>15215.687827543716</c:v>
                </c:pt>
                <c:pt idx="19">
                  <c:v>13530.333158382215</c:v>
                </c:pt>
                <c:pt idx="20">
                  <c:v>11682.851292220237</c:v>
                </c:pt>
                <c:pt idx="21">
                  <c:v>9832.8978505100986</c:v>
                </c:pt>
                <c:pt idx="22">
                  <c:v>8111.7115123879248</c:v>
                </c:pt>
                <c:pt idx="23">
                  <c:v>6609.3371903308944</c:v>
                </c:pt>
                <c:pt idx="24">
                  <c:v>5371.6125523934334</c:v>
                </c:pt>
                <c:pt idx="25">
                  <c:v>4405.3331326885127</c:v>
                </c:pt>
                <c:pt idx="26">
                  <c:v>3688.4833663126938</c:v>
                </c:pt>
                <c:pt idx="27">
                  <c:v>3182.096967291342</c:v>
                </c:pt>
                <c:pt idx="28">
                  <c:v>2840.9629201118405</c:v>
                </c:pt>
                <c:pt idx="29">
                  <c:v>2621.5485370952911</c:v>
                </c:pt>
                <c:pt idx="30">
                  <c:v>2486.683030262066</c:v>
                </c:pt>
                <c:pt idx="31">
                  <c:v>2407.4052810183798</c:v>
                </c:pt>
                <c:pt idx="32">
                  <c:v>2362.8113955175022</c:v>
                </c:pt>
                <c:pt idx="33">
                  <c:v>2338.7962035908959</c:v>
                </c:pt>
                <c:pt idx="34">
                  <c:v>2326.4093467351972</c:v>
                </c:pt>
                <c:pt idx="35">
                  <c:v>2320.2879580922126</c:v>
                </c:pt>
              </c:numCache>
            </c:numRef>
          </c:val>
          <c:smooth val="0"/>
          <c:extLst>
            <c:ext xmlns:c16="http://schemas.microsoft.com/office/drawing/2014/chart" uri="{C3380CC4-5D6E-409C-BE32-E72D297353CC}">
              <c16:uniqueId val="{00000008-9CE2-4D11-85A1-BB676584CF6D}"/>
            </c:ext>
          </c:extLst>
        </c:ser>
        <c:ser>
          <c:idx val="9"/>
          <c:order val="9"/>
          <c:tx>
            <c:strRef>
              <c:f>TER_RENO!$C$842</c:f>
              <c:strCache>
                <c:ptCount val="1"/>
                <c:pt idx="0">
                  <c:v>AMS run 3 2025</c:v>
                </c:pt>
              </c:strCache>
            </c:strRef>
          </c:tx>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TER_RENO!$S$842:$BB$842</c:f>
              <c:numCache>
                <c:formatCode>#,##0</c:formatCode>
                <c:ptCount val="36"/>
                <c:pt idx="9">
                  <c:v>8526.3145215714958</c:v>
                </c:pt>
                <c:pt idx="10">
                  <c:v>9069.7356273999394</c:v>
                </c:pt>
                <c:pt idx="11">
                  <c:v>9422.850095405749</c:v>
                </c:pt>
                <c:pt idx="12">
                  <c:v>9545.3422101872493</c:v>
                </c:pt>
                <c:pt idx="13">
                  <c:v>9422.850095405749</c:v>
                </c:pt>
                <c:pt idx="14">
                  <c:v>9069.7356273999394</c:v>
                </c:pt>
                <c:pt idx="15">
                  <c:v>8526.3145215714958</c:v>
                </c:pt>
                <c:pt idx="16">
                  <c:v>8535.0165659997838</c:v>
                </c:pt>
                <c:pt idx="17">
                  <c:v>8437.0919110245504</c:v>
                </c:pt>
                <c:pt idx="18">
                  <c:v>8154.7993527818189</c:v>
                </c:pt>
                <c:pt idx="19">
                  <c:v>8437.0919110245504</c:v>
                </c:pt>
                <c:pt idx="20">
                  <c:v>8535.0165659997838</c:v>
                </c:pt>
                <c:pt idx="21">
                  <c:v>8437.0919110245504</c:v>
                </c:pt>
                <c:pt idx="22">
                  <c:v>8154.7993527818189</c:v>
                </c:pt>
                <c:pt idx="23">
                  <c:v>7720.3687415589393</c:v>
                </c:pt>
                <c:pt idx="24">
                  <c:v>7180.7254382066803</c:v>
                </c:pt>
                <c:pt idx="25">
                  <c:v>6589.169704934784</c:v>
                </c:pt>
                <c:pt idx="26">
                  <c:v>6630.3423829829007</c:v>
                </c:pt>
                <c:pt idx="27">
                  <c:v>7028.8800011165404</c:v>
                </c:pt>
                <c:pt idx="28">
                  <c:v>7028.8800011165404</c:v>
                </c:pt>
                <c:pt idx="29">
                  <c:v>7349.7158939471992</c:v>
                </c:pt>
                <c:pt idx="30">
                  <c:v>7558.1947226105676</c:v>
                </c:pt>
                <c:pt idx="31">
                  <c:v>7630.5140833956539</c:v>
                </c:pt>
                <c:pt idx="32">
                  <c:v>7558.1947226105676</c:v>
                </c:pt>
                <c:pt idx="33">
                  <c:v>7349.7158939471992</c:v>
                </c:pt>
                <c:pt idx="34">
                  <c:v>7028.8800011165404</c:v>
                </c:pt>
                <c:pt idx="35">
                  <c:v>6630.3423829829007</c:v>
                </c:pt>
              </c:numCache>
            </c:numRef>
          </c:val>
          <c:smooth val="0"/>
          <c:extLst>
            <c:ext xmlns:c16="http://schemas.microsoft.com/office/drawing/2014/chart" uri="{C3380CC4-5D6E-409C-BE32-E72D297353CC}">
              <c16:uniqueId val="{00000001-6B06-4CD2-9513-108B6B970D5B}"/>
            </c:ext>
          </c:extLst>
        </c:ser>
        <c:dLbls>
          <c:showLegendKey val="0"/>
          <c:showVal val="0"/>
          <c:showCatName val="0"/>
          <c:showSerName val="0"/>
          <c:showPercent val="0"/>
          <c:showBubbleSize val="0"/>
        </c:dLbls>
        <c:smooth val="0"/>
        <c:axId val="714254264"/>
        <c:axId val="714254592"/>
      </c:lineChart>
      <c:catAx>
        <c:axId val="714254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crossAx val="714254592"/>
        <c:crosses val="autoZero"/>
        <c:auto val="1"/>
        <c:lblAlgn val="ctr"/>
        <c:lblOffset val="100"/>
        <c:tickLblSkip val="5"/>
        <c:noMultiLvlLbl val="0"/>
      </c:catAx>
      <c:valAx>
        <c:axId val="714254592"/>
        <c:scaling>
          <c:orientation val="minMax"/>
        </c:scaling>
        <c:delete val="0"/>
        <c:axPos val="l"/>
        <c:majorGridlines>
          <c:spPr>
            <a:ln w="9525" cap="flat" cmpd="sng" algn="ctr">
              <a:solidFill>
                <a:schemeClr val="tx1">
                  <a:lumMod val="15000"/>
                  <a:lumOff val="85000"/>
                </a:schemeClr>
              </a:solidFill>
              <a:round/>
            </a:ln>
            <a:effectLst/>
          </c:spPr>
        </c:majorGridlines>
        <c:title>
          <c:tx>
            <c:strRef>
              <c:f>TER_RENO!$E$782</c:f>
              <c:strCache>
                <c:ptCount val="1"/>
                <c:pt idx="0">
                  <c:v>(millions d'euros)</c:v>
                </c:pt>
              </c:strCache>
            </c:strRef>
          </c:tx>
          <c:overlay val="0"/>
          <c:txPr>
            <a:bodyPr/>
            <a:lstStyle/>
            <a:p>
              <a:pPr>
                <a:defRPr/>
              </a:pPr>
              <a:endParaRPr lang="fr-F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crossAx val="714254264"/>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legend>
    <c:plotVisOnly val="0"/>
    <c:dispBlanksAs val="gap"/>
    <c:showDLblsOverMax val="0"/>
    <c:extLst/>
  </c:chart>
  <c:txPr>
    <a:bodyPr/>
    <a:lstStyle/>
    <a:p>
      <a:pPr>
        <a:defRPr>
          <a:solidFill>
            <a:sysClr val="windowText" lastClr="000000"/>
          </a:solidFill>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all" spc="0" baseline="0">
                <a:solidFill>
                  <a:schemeClr val="tx2"/>
                </a:solidFill>
                <a:latin typeface="+mn-lt"/>
                <a:ea typeface="+mn-ea"/>
                <a:cs typeface="+mn-cs"/>
              </a:defRPr>
            </a:pPr>
            <a:r>
              <a:rPr lang="fr-FR"/>
              <a:t>Investissements dans les rénovations énergétiques du parc tertiaire</a:t>
            </a:r>
          </a:p>
        </c:rich>
      </c:tx>
      <c:overlay val="0"/>
      <c:spPr>
        <a:noFill/>
        <a:ln>
          <a:noFill/>
        </a:ln>
        <a:effectLst/>
      </c:spPr>
    </c:title>
    <c:autoTitleDeleted val="0"/>
    <c:plotArea>
      <c:layout/>
      <c:lineChart>
        <c:grouping val="standard"/>
        <c:varyColors val="0"/>
        <c:ser>
          <c:idx val="0"/>
          <c:order val="0"/>
          <c:tx>
            <c:strRef>
              <c:f>TER_RENO!$C$981</c:f>
              <c:strCache>
                <c:ptCount val="1"/>
                <c:pt idx="0">
                  <c:v>Historique</c:v>
                </c:pt>
              </c:strCache>
            </c:strRef>
          </c:tx>
          <c:spPr>
            <a:ln w="28575" cap="rnd">
              <a:solidFill>
                <a:schemeClr val="tx2"/>
              </a:solidFill>
              <a:round/>
            </a:ln>
            <a:effectLst/>
          </c:spPr>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TER_RENO!$S$981:$BB$981</c:f>
              <c:numCache>
                <c:formatCode>#,##0</c:formatCode>
                <c:ptCount val="36"/>
                <c:pt idx="0">
                  <c:v>3904.7894029099866</c:v>
                </c:pt>
                <c:pt idx="1">
                  <c:v>4332.3763811623157</c:v>
                </c:pt>
                <c:pt idx="2">
                  <c:v>4788.5628989669758</c:v>
                </c:pt>
                <c:pt idx="3">
                  <c:v>4749.0333950238037</c:v>
                </c:pt>
                <c:pt idx="4">
                  <c:v>4727.5566916803346</c:v>
                </c:pt>
              </c:numCache>
            </c:numRef>
          </c:val>
          <c:smooth val="0"/>
          <c:extLst>
            <c:ext xmlns:c16="http://schemas.microsoft.com/office/drawing/2014/chart" uri="{C3380CC4-5D6E-409C-BE32-E72D297353CC}">
              <c16:uniqueId val="{00000000-E559-4D41-86F4-CF3AF0C86879}"/>
            </c:ext>
          </c:extLst>
        </c:ser>
        <c:ser>
          <c:idx val="1"/>
          <c:order val="1"/>
          <c:tx>
            <c:strRef>
              <c:f>TER_RENO!$C$982</c:f>
              <c:strCache>
                <c:ptCount val="1"/>
                <c:pt idx="0">
                  <c:v>AMS 2018</c:v>
                </c:pt>
              </c:strCache>
            </c:strRef>
          </c:tx>
          <c:spPr>
            <a:ln w="28575" cap="rnd">
              <a:solidFill>
                <a:schemeClr val="tx1"/>
              </a:solidFill>
              <a:round/>
            </a:ln>
            <a:effectLst/>
          </c:spPr>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TER_RENO!$S$982:$BB$982</c:f>
              <c:numCache>
                <c:formatCode>#,##0</c:formatCode>
                <c:ptCount val="36"/>
                <c:pt idx="6">
                  <c:v>11786.198225644343</c:v>
                </c:pt>
                <c:pt idx="7">
                  <c:v>12356.689923848629</c:v>
                </c:pt>
                <c:pt idx="8">
                  <c:v>12557.462550277023</c:v>
                </c:pt>
                <c:pt idx="9">
                  <c:v>12683.037175779786</c:v>
                </c:pt>
                <c:pt idx="10">
                  <c:v>12809.867547537584</c:v>
                </c:pt>
                <c:pt idx="11">
                  <c:v>12937.966223012972</c:v>
                </c:pt>
                <c:pt idx="12">
                  <c:v>13067.345885243076</c:v>
                </c:pt>
                <c:pt idx="13">
                  <c:v>13198.01934409553</c:v>
                </c:pt>
                <c:pt idx="14">
                  <c:v>13329.999537536458</c:v>
                </c:pt>
                <c:pt idx="15">
                  <c:v>13463.299532911849</c:v>
                </c:pt>
                <c:pt idx="16">
                  <c:v>13597.932528240939</c:v>
                </c:pt>
                <c:pt idx="17">
                  <c:v>13733.91185352341</c:v>
                </c:pt>
                <c:pt idx="18">
                  <c:v>13871.250972058584</c:v>
                </c:pt>
                <c:pt idx="19">
                  <c:v>14009.96348177917</c:v>
                </c:pt>
                <c:pt idx="20">
                  <c:v>14150.063116597021</c:v>
                </c:pt>
                <c:pt idx="21">
                  <c:v>14291.563747762901</c:v>
                </c:pt>
                <c:pt idx="22">
                  <c:v>14434.479385240622</c:v>
                </c:pt>
                <c:pt idx="23">
                  <c:v>14578.824179092966</c:v>
                </c:pt>
                <c:pt idx="24">
                  <c:v>14724.612420883896</c:v>
                </c:pt>
                <c:pt idx="25">
                  <c:v>14871.858545092799</c:v>
                </c:pt>
                <c:pt idx="26">
                  <c:v>15020.577130543728</c:v>
                </c:pt>
                <c:pt idx="27">
                  <c:v>15170.782901849099</c:v>
                </c:pt>
                <c:pt idx="28">
                  <c:v>15322.49073086759</c:v>
                </c:pt>
                <c:pt idx="29">
                  <c:v>15475.715638176267</c:v>
                </c:pt>
                <c:pt idx="30">
                  <c:v>15630.472794558096</c:v>
                </c:pt>
                <c:pt idx="31">
                  <c:v>15786.777522503542</c:v>
                </c:pt>
                <c:pt idx="32">
                  <c:v>15944.645297728646</c:v>
                </c:pt>
                <c:pt idx="33">
                  <c:v>16104.091750706</c:v>
                </c:pt>
                <c:pt idx="34">
                  <c:v>16265.13266821306</c:v>
                </c:pt>
                <c:pt idx="35">
                  <c:v>16427.783994895122</c:v>
                </c:pt>
              </c:numCache>
            </c:numRef>
          </c:val>
          <c:smooth val="0"/>
          <c:extLst>
            <c:ext xmlns:c16="http://schemas.microsoft.com/office/drawing/2014/chart" uri="{C3380CC4-5D6E-409C-BE32-E72D297353CC}">
              <c16:uniqueId val="{00000001-E559-4D41-86F4-CF3AF0C86879}"/>
            </c:ext>
          </c:extLst>
        </c:ser>
        <c:ser>
          <c:idx val="2"/>
          <c:order val="2"/>
          <c:tx>
            <c:strRef>
              <c:f>TER_RENO!$C$983</c:f>
              <c:strCache>
                <c:ptCount val="1"/>
                <c:pt idx="0">
                  <c:v>ADEME Tend.</c:v>
                </c:pt>
              </c:strCache>
            </c:strRef>
          </c:tx>
          <c:spPr>
            <a:ln w="28575" cap="rnd">
              <a:solidFill>
                <a:schemeClr val="tx1">
                  <a:lumMod val="20000"/>
                  <a:lumOff val="80000"/>
                </a:schemeClr>
              </a:solidFill>
              <a:prstDash val="sysDot"/>
              <a:round/>
            </a:ln>
            <a:effectLst/>
          </c:spPr>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TER_RENO!$S$983:$BB$983</c:f>
              <c:numCache>
                <c:formatCode>#,##0</c:formatCode>
                <c:ptCount val="36"/>
                <c:pt idx="6">
                  <c:v>8671.4638687929146</c:v>
                </c:pt>
                <c:pt idx="7">
                  <c:v>9091.1919315418636</c:v>
                </c:pt>
                <c:pt idx="8">
                  <c:v>9238.9064483508882</c:v>
                </c:pt>
                <c:pt idx="9">
                  <c:v>9331.2955128343965</c:v>
                </c:pt>
                <c:pt idx="10">
                  <c:v>9424.6084679627402</c:v>
                </c:pt>
                <c:pt idx="11">
                  <c:v>9518.8545526423659</c:v>
                </c:pt>
                <c:pt idx="12">
                  <c:v>9614.0430981687914</c:v>
                </c:pt>
                <c:pt idx="13">
                  <c:v>9710.1835291504794</c:v>
                </c:pt>
                <c:pt idx="14">
                  <c:v>9807.2853644419793</c:v>
                </c:pt>
                <c:pt idx="15">
                  <c:v>9905.3582180864014</c:v>
                </c:pt>
                <c:pt idx="16">
                  <c:v>10004.411800267266</c:v>
                </c:pt>
                <c:pt idx="17">
                  <c:v>10104.455918269936</c:v>
                </c:pt>
                <c:pt idx="18">
                  <c:v>10205.500477452637</c:v>
                </c:pt>
                <c:pt idx="19">
                  <c:v>10307.555482227168</c:v>
                </c:pt>
                <c:pt idx="20">
                  <c:v>10410.631037049441</c:v>
                </c:pt>
                <c:pt idx="21">
                  <c:v>10514.737347419927</c:v>
                </c:pt>
                <c:pt idx="22">
                  <c:v>10619.884720894128</c:v>
                </c:pt>
                <c:pt idx="23">
                  <c:v>10726.083568103071</c:v>
                </c:pt>
                <c:pt idx="24">
                  <c:v>10833.344403784107</c:v>
                </c:pt>
                <c:pt idx="25">
                  <c:v>10941.677847821944</c:v>
                </c:pt>
                <c:pt idx="26">
                  <c:v>11051.094626300166</c:v>
                </c:pt>
                <c:pt idx="27">
                  <c:v>11161.605572563163</c:v>
                </c:pt>
                <c:pt idx="28">
                  <c:v>11273.221628288793</c:v>
                </c:pt>
                <c:pt idx="29">
                  <c:v>11385.953844571688</c:v>
                </c:pt>
                <c:pt idx="30">
                  <c:v>11499.813383017397</c:v>
                </c:pt>
                <c:pt idx="31">
                  <c:v>11614.811516847582</c:v>
                </c:pt>
                <c:pt idx="32">
                  <c:v>11730.959632016058</c:v>
                </c:pt>
                <c:pt idx="33">
                  <c:v>11848.269228336212</c:v>
                </c:pt>
                <c:pt idx="34">
                  <c:v>11966.75192061957</c:v>
                </c:pt>
                <c:pt idx="35">
                  <c:v>12086.419439825781</c:v>
                </c:pt>
              </c:numCache>
            </c:numRef>
          </c:val>
          <c:smooth val="0"/>
          <c:extLst>
            <c:ext xmlns:c16="http://schemas.microsoft.com/office/drawing/2014/chart" uri="{C3380CC4-5D6E-409C-BE32-E72D297353CC}">
              <c16:uniqueId val="{00000002-E559-4D41-86F4-CF3AF0C86879}"/>
            </c:ext>
          </c:extLst>
        </c:ser>
        <c:ser>
          <c:idx val="3"/>
          <c:order val="3"/>
          <c:tx>
            <c:strRef>
              <c:f>TER_RENO!$C$984</c:f>
              <c:strCache>
                <c:ptCount val="1"/>
                <c:pt idx="0">
                  <c:v>ADEME S1</c:v>
                </c:pt>
              </c:strCache>
            </c:strRef>
          </c:tx>
          <c:spPr>
            <a:ln w="28575" cap="rnd">
              <a:solidFill>
                <a:srgbClr val="5487C2"/>
              </a:solidFill>
              <a:prstDash val="sysDot"/>
              <a:round/>
            </a:ln>
            <a:effectLst/>
          </c:spPr>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TER_RENO!$S$984:$BB$984</c:f>
              <c:numCache>
                <c:formatCode>#,##0</c:formatCode>
                <c:ptCount val="36"/>
                <c:pt idx="6">
                  <c:v>8950.9541775851048</c:v>
                </c:pt>
                <c:pt idx="7">
                  <c:v>9384.2105127966333</c:v>
                </c:pt>
                <c:pt idx="8">
                  <c:v>9536.6860222754894</c:v>
                </c:pt>
                <c:pt idx="9">
                  <c:v>9632.0528824982466</c:v>
                </c:pt>
                <c:pt idx="10">
                  <c:v>9728.3734113232258</c:v>
                </c:pt>
                <c:pt idx="11">
                  <c:v>9825.6571454364621</c:v>
                </c:pt>
                <c:pt idx="12">
                  <c:v>9923.9137168908237</c:v>
                </c:pt>
                <c:pt idx="13">
                  <c:v>10023.15285405973</c:v>
                </c:pt>
                <c:pt idx="14">
                  <c:v>10123.384382600329</c:v>
                </c:pt>
                <c:pt idx="15">
                  <c:v>10224.618226426328</c:v>
                </c:pt>
                <c:pt idx="16">
                  <c:v>10326.864408690599</c:v>
                </c:pt>
                <c:pt idx="17">
                  <c:v>10430.133052777499</c:v>
                </c:pt>
                <c:pt idx="18">
                  <c:v>10534.434383305275</c:v>
                </c:pt>
                <c:pt idx="19">
                  <c:v>10639.778727138328</c:v>
                </c:pt>
                <c:pt idx="20">
                  <c:v>10746.17651440971</c:v>
                </c:pt>
                <c:pt idx="21">
                  <c:v>10853.638279553814</c:v>
                </c:pt>
                <c:pt idx="22">
                  <c:v>10962.174662349345</c:v>
                </c:pt>
                <c:pt idx="23">
                  <c:v>11071.796408972838</c:v>
                </c:pt>
                <c:pt idx="24">
                  <c:v>11182.514373062562</c:v>
                </c:pt>
                <c:pt idx="25">
                  <c:v>11294.339516793196</c:v>
                </c:pt>
                <c:pt idx="26">
                  <c:v>11407.282911961131</c:v>
                </c:pt>
                <c:pt idx="27">
                  <c:v>11521.35574108075</c:v>
                </c:pt>
                <c:pt idx="28">
                  <c:v>11636.569298491533</c:v>
                </c:pt>
                <c:pt idx="29">
                  <c:v>11752.93499147647</c:v>
                </c:pt>
                <c:pt idx="30">
                  <c:v>11870.464341391225</c:v>
                </c:pt>
                <c:pt idx="31">
                  <c:v>11989.168984805139</c:v>
                </c:pt>
                <c:pt idx="32">
                  <c:v>12109.060674653185</c:v>
                </c:pt>
                <c:pt idx="33">
                  <c:v>12230.151281399729</c:v>
                </c:pt>
                <c:pt idx="34">
                  <c:v>12352.452794213727</c:v>
                </c:pt>
                <c:pt idx="35">
                  <c:v>12475.977322155844</c:v>
                </c:pt>
              </c:numCache>
            </c:numRef>
          </c:val>
          <c:smooth val="0"/>
          <c:extLst>
            <c:ext xmlns:c16="http://schemas.microsoft.com/office/drawing/2014/chart" uri="{C3380CC4-5D6E-409C-BE32-E72D297353CC}">
              <c16:uniqueId val="{00000003-E559-4D41-86F4-CF3AF0C86879}"/>
            </c:ext>
          </c:extLst>
        </c:ser>
        <c:ser>
          <c:idx val="4"/>
          <c:order val="4"/>
          <c:tx>
            <c:strRef>
              <c:f>TER_RENO!$C$985</c:f>
              <c:strCache>
                <c:ptCount val="1"/>
                <c:pt idx="0">
                  <c:v>ADEME S2</c:v>
                </c:pt>
              </c:strCache>
            </c:strRef>
          </c:tx>
          <c:spPr>
            <a:ln w="28575" cap="rnd">
              <a:solidFill>
                <a:srgbClr val="982C7F"/>
              </a:solidFill>
              <a:prstDash val="sysDot"/>
              <a:round/>
            </a:ln>
            <a:effectLst/>
          </c:spPr>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TER_RENO!$S$985:$BB$985</c:f>
              <c:numCache>
                <c:formatCode>#,##0</c:formatCode>
                <c:ptCount val="36"/>
                <c:pt idx="6">
                  <c:v>8271.4369128036396</c:v>
                </c:pt>
                <c:pt idx="7">
                  <c:v>8671.8023233147123</c:v>
                </c:pt>
                <c:pt idx="8">
                  <c:v>8812.7025594660954</c:v>
                </c:pt>
                <c:pt idx="9">
                  <c:v>8900.8295850607592</c:v>
                </c:pt>
                <c:pt idx="10">
                  <c:v>8989.8378809113638</c:v>
                </c:pt>
                <c:pt idx="11">
                  <c:v>9079.736259720481</c:v>
                </c:pt>
                <c:pt idx="12">
                  <c:v>9170.5336223176837</c:v>
                </c:pt>
                <c:pt idx="13">
                  <c:v>9262.2389585408655</c:v>
                </c:pt>
                <c:pt idx="14">
                  <c:v>9354.8613481262637</c:v>
                </c:pt>
                <c:pt idx="15">
                  <c:v>9448.4099616075309</c:v>
                </c:pt>
                <c:pt idx="16">
                  <c:v>9542.8940612236074</c:v>
                </c:pt>
                <c:pt idx="17">
                  <c:v>9638.3230018358372</c:v>
                </c:pt>
                <c:pt idx="18">
                  <c:v>9734.7062318542012</c:v>
                </c:pt>
                <c:pt idx="19">
                  <c:v>9832.0532941727397</c:v>
                </c:pt>
                <c:pt idx="20">
                  <c:v>9930.3738271144739</c:v>
                </c:pt>
                <c:pt idx="21">
                  <c:v>10029.67756538562</c:v>
                </c:pt>
                <c:pt idx="22">
                  <c:v>10129.974341039468</c:v>
                </c:pt>
                <c:pt idx="23">
                  <c:v>10231.274084449862</c:v>
                </c:pt>
                <c:pt idx="24">
                  <c:v>10333.586825294373</c:v>
                </c:pt>
                <c:pt idx="25">
                  <c:v>10436.922693547305</c:v>
                </c:pt>
                <c:pt idx="26">
                  <c:v>10541.291920482772</c:v>
                </c:pt>
                <c:pt idx="27">
                  <c:v>10646.704839687629</c:v>
                </c:pt>
                <c:pt idx="28">
                  <c:v>10753.171888084486</c:v>
                </c:pt>
                <c:pt idx="29">
                  <c:v>10860.703606965322</c:v>
                </c:pt>
                <c:pt idx="30">
                  <c:v>10969.310643034985</c:v>
                </c:pt>
                <c:pt idx="31">
                  <c:v>11079.003749465332</c:v>
                </c:pt>
                <c:pt idx="32">
                  <c:v>11189.793786960005</c:v>
                </c:pt>
                <c:pt idx="33">
                  <c:v>11301.691724829561</c:v>
                </c:pt>
                <c:pt idx="34">
                  <c:v>11414.7086420779</c:v>
                </c:pt>
                <c:pt idx="35">
                  <c:v>11528.855728498653</c:v>
                </c:pt>
              </c:numCache>
            </c:numRef>
          </c:val>
          <c:smooth val="0"/>
          <c:extLst>
            <c:ext xmlns:c16="http://schemas.microsoft.com/office/drawing/2014/chart" uri="{C3380CC4-5D6E-409C-BE32-E72D297353CC}">
              <c16:uniqueId val="{00000004-E559-4D41-86F4-CF3AF0C86879}"/>
            </c:ext>
          </c:extLst>
        </c:ser>
        <c:ser>
          <c:idx val="5"/>
          <c:order val="5"/>
          <c:tx>
            <c:strRef>
              <c:f>TER_RENO!$C$986</c:f>
              <c:strCache>
                <c:ptCount val="1"/>
                <c:pt idx="0">
                  <c:v>ADEME S3</c:v>
                </c:pt>
              </c:strCache>
            </c:strRef>
          </c:tx>
          <c:spPr>
            <a:ln w="28575" cap="rnd">
              <a:solidFill>
                <a:srgbClr val="76B145"/>
              </a:solidFill>
              <a:prstDash val="sysDot"/>
              <a:round/>
            </a:ln>
            <a:effectLst/>
          </c:spPr>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TER_RENO!$S$986:$BB$986</c:f>
              <c:numCache>
                <c:formatCode>#,##0</c:formatCode>
                <c:ptCount val="36"/>
                <c:pt idx="6">
                  <c:v>9868.7019765910718</c:v>
                </c:pt>
                <c:pt idx="7">
                  <c:v>10346.380396885048</c:v>
                </c:pt>
                <c:pt idx="8">
                  <c:v>10514.489330516266</c:v>
                </c:pt>
                <c:pt idx="9">
                  <c:v>10619.634223821431</c:v>
                </c:pt>
                <c:pt idx="10">
                  <c:v>10725.830566059643</c:v>
                </c:pt>
                <c:pt idx="11">
                  <c:v>10833.08887172024</c:v>
                </c:pt>
                <c:pt idx="12">
                  <c:v>10941.419760437442</c:v>
                </c:pt>
                <c:pt idx="13">
                  <c:v>11050.83395804182</c:v>
                </c:pt>
                <c:pt idx="14">
                  <c:v>11161.342297622232</c:v>
                </c:pt>
                <c:pt idx="15">
                  <c:v>11272.955720598458</c:v>
                </c:pt>
                <c:pt idx="16">
                  <c:v>11385.685277804443</c:v>
                </c:pt>
                <c:pt idx="17">
                  <c:v>11499.542130582478</c:v>
                </c:pt>
                <c:pt idx="18">
                  <c:v>11614.537551888308</c:v>
                </c:pt>
                <c:pt idx="19">
                  <c:v>11730.682927407197</c:v>
                </c:pt>
                <c:pt idx="20">
                  <c:v>11847.989756681272</c:v>
                </c:pt>
                <c:pt idx="21">
                  <c:v>11966.469654248076</c:v>
                </c:pt>
                <c:pt idx="22">
                  <c:v>12086.134350790557</c:v>
                </c:pt>
                <c:pt idx="23">
                  <c:v>12206.995694298463</c:v>
                </c:pt>
                <c:pt idx="24">
                  <c:v>12329.065651241461</c:v>
                </c:pt>
                <c:pt idx="25">
                  <c:v>12452.356307753857</c:v>
                </c:pt>
                <c:pt idx="26">
                  <c:v>12576.879870831397</c:v>
                </c:pt>
                <c:pt idx="27">
                  <c:v>12702.648669539725</c:v>
                </c:pt>
                <c:pt idx="28">
                  <c:v>12829.675156235127</c:v>
                </c:pt>
                <c:pt idx="29">
                  <c:v>12957.971907797444</c:v>
                </c:pt>
                <c:pt idx="30">
                  <c:v>13087.551626875453</c:v>
                </c:pt>
                <c:pt idx="31">
                  <c:v>13218.427143144178</c:v>
                </c:pt>
                <c:pt idx="32">
                  <c:v>13350.611414575658</c:v>
                </c:pt>
                <c:pt idx="33">
                  <c:v>13484.117528721375</c:v>
                </c:pt>
                <c:pt idx="34">
                  <c:v>13618.958704008621</c:v>
                </c:pt>
                <c:pt idx="35">
                  <c:v>13755.148291048688</c:v>
                </c:pt>
              </c:numCache>
            </c:numRef>
          </c:val>
          <c:smooth val="0"/>
          <c:extLst>
            <c:ext xmlns:c16="http://schemas.microsoft.com/office/drawing/2014/chart" uri="{C3380CC4-5D6E-409C-BE32-E72D297353CC}">
              <c16:uniqueId val="{00000005-E559-4D41-86F4-CF3AF0C86879}"/>
            </c:ext>
          </c:extLst>
        </c:ser>
        <c:ser>
          <c:idx val="6"/>
          <c:order val="6"/>
          <c:tx>
            <c:strRef>
              <c:f>TER_RENO!$C$987</c:f>
              <c:strCache>
                <c:ptCount val="1"/>
                <c:pt idx="0">
                  <c:v>ADEME S4</c:v>
                </c:pt>
              </c:strCache>
            </c:strRef>
          </c:tx>
          <c:spPr>
            <a:ln w="28575" cap="rnd">
              <a:solidFill>
                <a:srgbClr val="E9682D"/>
              </a:solidFill>
              <a:prstDash val="sysDot"/>
              <a:round/>
            </a:ln>
            <a:effectLst/>
          </c:spPr>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TER_RENO!$S$987:$BB$987</c:f>
              <c:numCache>
                <c:formatCode>#,##0</c:formatCode>
                <c:ptCount val="36"/>
                <c:pt idx="6">
                  <c:v>9482.1256754410042</c:v>
                </c:pt>
                <c:pt idx="7">
                  <c:v>9941.0925005024492</c:v>
                </c:pt>
                <c:pt idx="8">
                  <c:v>10102.616279378</c:v>
                </c:pt>
                <c:pt idx="9">
                  <c:v>10203.642442171777</c:v>
                </c:pt>
                <c:pt idx="10">
                  <c:v>10305.678866593498</c:v>
                </c:pt>
                <c:pt idx="11">
                  <c:v>10408.735655259434</c:v>
                </c:pt>
                <c:pt idx="12">
                  <c:v>10512.823011812025</c:v>
                </c:pt>
                <c:pt idx="13">
                  <c:v>10617.951241930139</c:v>
                </c:pt>
                <c:pt idx="14">
                  <c:v>10724.130754349448</c:v>
                </c:pt>
                <c:pt idx="15">
                  <c:v>10831.372061892938</c:v>
                </c:pt>
                <c:pt idx="16">
                  <c:v>10939.685782511875</c:v>
                </c:pt>
                <c:pt idx="17">
                  <c:v>11049.082640336985</c:v>
                </c:pt>
                <c:pt idx="18">
                  <c:v>11159.573466740354</c:v>
                </c:pt>
                <c:pt idx="19">
                  <c:v>11271.169201407763</c:v>
                </c:pt>
                <c:pt idx="20">
                  <c:v>11383.880893421841</c:v>
                </c:pt>
                <c:pt idx="21">
                  <c:v>11497.719702356046</c:v>
                </c:pt>
                <c:pt idx="22">
                  <c:v>11612.696899379631</c:v>
                </c:pt>
                <c:pt idx="23">
                  <c:v>11728.823868373403</c:v>
                </c:pt>
                <c:pt idx="24">
                  <c:v>11846.112107057144</c:v>
                </c:pt>
                <c:pt idx="25">
                  <c:v>11964.573228127721</c:v>
                </c:pt>
                <c:pt idx="26">
                  <c:v>12084.218960408998</c:v>
                </c:pt>
                <c:pt idx="27">
                  <c:v>12205.061150013098</c:v>
                </c:pt>
                <c:pt idx="28">
                  <c:v>12327.111761513201</c:v>
                </c:pt>
                <c:pt idx="29">
                  <c:v>12450.382879128363</c:v>
                </c:pt>
                <c:pt idx="30">
                  <c:v>12574.886707919621</c:v>
                </c:pt>
                <c:pt idx="31">
                  <c:v>12700.635574998834</c:v>
                </c:pt>
                <c:pt idx="32">
                  <c:v>12827.641930748834</c:v>
                </c:pt>
                <c:pt idx="33">
                  <c:v>12955.918350056294</c:v>
                </c:pt>
                <c:pt idx="34">
                  <c:v>13085.477533556874</c:v>
                </c:pt>
                <c:pt idx="35">
                  <c:v>13216.332308892439</c:v>
                </c:pt>
              </c:numCache>
            </c:numRef>
          </c:val>
          <c:smooth val="0"/>
          <c:extLst>
            <c:ext xmlns:c16="http://schemas.microsoft.com/office/drawing/2014/chart" uri="{C3380CC4-5D6E-409C-BE32-E72D297353CC}">
              <c16:uniqueId val="{00000006-E559-4D41-86F4-CF3AF0C86879}"/>
            </c:ext>
          </c:extLst>
        </c:ser>
        <c:ser>
          <c:idx val="7"/>
          <c:order val="7"/>
          <c:tx>
            <c:strRef>
              <c:f>TER_RENO!$C$988</c:f>
              <c:strCache>
                <c:ptCount val="1"/>
                <c:pt idx="0">
                  <c:v>AME 2023</c:v>
                </c:pt>
              </c:strCache>
            </c:strRef>
          </c:tx>
          <c:spPr>
            <a:ln w="28575">
              <a:solidFill>
                <a:schemeClr val="bg2">
                  <a:lumMod val="50000"/>
                </a:schemeClr>
              </a:solidFill>
            </a:ln>
          </c:spPr>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TER_RENO!$S$988:$BB$988</c:f>
              <c:numCache>
                <c:formatCode>#,##0</c:formatCode>
                <c:ptCount val="36"/>
                <c:pt idx="9">
                  <c:v>13186.667387552154</c:v>
                </c:pt>
                <c:pt idx="10">
                  <c:v>13318.534061427674</c:v>
                </c:pt>
                <c:pt idx="11">
                  <c:v>13451.71940204195</c:v>
                </c:pt>
                <c:pt idx="12">
                  <c:v>13586.236596062368</c:v>
                </c:pt>
                <c:pt idx="13">
                  <c:v>13722.098962022992</c:v>
                </c:pt>
                <c:pt idx="14">
                  <c:v>13859.319951643221</c:v>
                </c:pt>
                <c:pt idx="15">
                  <c:v>13997.913151159653</c:v>
                </c:pt>
                <c:pt idx="16">
                  <c:v>2993.5758585346257</c:v>
                </c:pt>
                <c:pt idx="17">
                  <c:v>3023.5116171199716</c:v>
                </c:pt>
                <c:pt idx="18">
                  <c:v>3053.7467332911715</c:v>
                </c:pt>
                <c:pt idx="19">
                  <c:v>3084.2842006240835</c:v>
                </c:pt>
                <c:pt idx="20">
                  <c:v>3115.127042630324</c:v>
                </c:pt>
                <c:pt idx="21">
                  <c:v>3146.2783130566272</c:v>
                </c:pt>
                <c:pt idx="22">
                  <c:v>3177.7410961871933</c:v>
                </c:pt>
                <c:pt idx="23">
                  <c:v>3209.5185071490655</c:v>
                </c:pt>
                <c:pt idx="24">
                  <c:v>3241.6136922205565</c:v>
                </c:pt>
                <c:pt idx="25">
                  <c:v>3274.0298291427621</c:v>
                </c:pt>
                <c:pt idx="26">
                  <c:v>3306.7701274341898</c:v>
                </c:pt>
                <c:pt idx="27">
                  <c:v>3339.8378287085316</c:v>
                </c:pt>
                <c:pt idx="28">
                  <c:v>3373.2362069956171</c:v>
                </c:pt>
                <c:pt idx="29">
                  <c:v>3406.9685690655733</c:v>
                </c:pt>
                <c:pt idx="30">
                  <c:v>3441.038254756229</c:v>
                </c:pt>
                <c:pt idx="31">
                  <c:v>3475.4486373037907</c:v>
                </c:pt>
                <c:pt idx="32">
                  <c:v>3510.2031236768289</c:v>
                </c:pt>
                <c:pt idx="33">
                  <c:v>3545.3051549135976</c:v>
                </c:pt>
                <c:pt idx="34">
                  <c:v>3580.7582064627327</c:v>
                </c:pt>
                <c:pt idx="35">
                  <c:v>3616.5657885273604</c:v>
                </c:pt>
              </c:numCache>
            </c:numRef>
          </c:val>
          <c:smooth val="0"/>
          <c:extLst>
            <c:ext xmlns:c16="http://schemas.microsoft.com/office/drawing/2014/chart" uri="{C3380CC4-5D6E-409C-BE32-E72D297353CC}">
              <c16:uniqueId val="{00000007-E559-4D41-86F4-CF3AF0C86879}"/>
            </c:ext>
          </c:extLst>
        </c:ser>
        <c:ser>
          <c:idx val="8"/>
          <c:order val="8"/>
          <c:tx>
            <c:strRef>
              <c:f>TER_RENO!$C$989</c:f>
              <c:strCache>
                <c:ptCount val="1"/>
                <c:pt idx="0">
                  <c:v>AMS run 2 2023</c:v>
                </c:pt>
              </c:strCache>
            </c:strRef>
          </c:tx>
          <c:spPr>
            <a:ln w="28575">
              <a:solidFill>
                <a:schemeClr val="accent3"/>
              </a:solidFill>
            </a:ln>
          </c:spPr>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TER_RENO!$S$989:$BB$989</c:f>
              <c:numCache>
                <c:formatCode>#,##0</c:formatCode>
                <c:ptCount val="36"/>
                <c:pt idx="9">
                  <c:v>11080.246505848545</c:v>
                </c:pt>
                <c:pt idx="10">
                  <c:v>12804.991015633666</c:v>
                </c:pt>
                <c:pt idx="11">
                  <c:v>14224.281558443945</c:v>
                </c:pt>
                <c:pt idx="12">
                  <c:v>15848.865642973626</c:v>
                </c:pt>
                <c:pt idx="13">
                  <c:v>17227.112342480694</c:v>
                </c:pt>
                <c:pt idx="14">
                  <c:v>18122.695610884046</c:v>
                </c:pt>
                <c:pt idx="15">
                  <c:v>18433.365091886022</c:v>
                </c:pt>
                <c:pt idx="16">
                  <c:v>18162.784470324932</c:v>
                </c:pt>
                <c:pt idx="17">
                  <c:v>17245.361856292166</c:v>
                </c:pt>
                <c:pt idx="18">
                  <c:v>15833.505768250179</c:v>
                </c:pt>
                <c:pt idx="19">
                  <c:v>14079.718941248499</c:v>
                </c:pt>
                <c:pt idx="20">
                  <c:v>12157.221902918061</c:v>
                </c:pt>
                <c:pt idx="21">
                  <c:v>10232.152933161187</c:v>
                </c:pt>
                <c:pt idx="22">
                  <c:v>8441.0795277540383</c:v>
                </c:pt>
                <c:pt idx="23">
                  <c:v>6877.7027837004607</c:v>
                </c:pt>
                <c:pt idx="24">
                  <c:v>5589.7215621869427</c:v>
                </c:pt>
                <c:pt idx="25">
                  <c:v>4584.2073232615294</c:v>
                </c:pt>
                <c:pt idx="26">
                  <c:v>3838.2505818032882</c:v>
                </c:pt>
                <c:pt idx="27">
                  <c:v>3311.3028643722096</c:v>
                </c:pt>
                <c:pt idx="28">
                  <c:v>2956.3174069296911</c:v>
                </c:pt>
                <c:pt idx="29">
                  <c:v>2727.9939201109937</c:v>
                </c:pt>
                <c:pt idx="30">
                  <c:v>2587.6523328896574</c:v>
                </c:pt>
                <c:pt idx="31">
                  <c:v>2505.1555891229027</c:v>
                </c:pt>
                <c:pt idx="32">
                  <c:v>2458.7510130492087</c:v>
                </c:pt>
                <c:pt idx="33">
                  <c:v>2433.7607080294624</c:v>
                </c:pt>
                <c:pt idx="34">
                  <c:v>2420.8708951141266</c:v>
                </c:pt>
                <c:pt idx="35">
                  <c:v>2414.5009535454683</c:v>
                </c:pt>
              </c:numCache>
            </c:numRef>
          </c:val>
          <c:smooth val="0"/>
          <c:extLst>
            <c:ext xmlns:c16="http://schemas.microsoft.com/office/drawing/2014/chart" uri="{C3380CC4-5D6E-409C-BE32-E72D297353CC}">
              <c16:uniqueId val="{00000008-E559-4D41-86F4-CF3AF0C86879}"/>
            </c:ext>
          </c:extLst>
        </c:ser>
        <c:ser>
          <c:idx val="9"/>
          <c:order val="9"/>
          <c:tx>
            <c:strRef>
              <c:f>TER_RENO!$C$990</c:f>
              <c:strCache>
                <c:ptCount val="1"/>
                <c:pt idx="0">
                  <c:v>AMS run 3 2025</c:v>
                </c:pt>
              </c:strCache>
            </c:strRef>
          </c:tx>
          <c:marker>
            <c:symbol val="none"/>
          </c:marker>
          <c:cat>
            <c:numRef>
              <c:f>TER_RENO!$S$1:$BB$1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TER_RENO!$S$990:$BB$990</c:f>
              <c:numCache>
                <c:formatCode>#,##0</c:formatCode>
                <c:ptCount val="36"/>
                <c:pt idx="9">
                  <c:v>8751.4993672189739</c:v>
                </c:pt>
                <c:pt idx="10">
                  <c:v>9402.3652607760596</c:v>
                </c:pt>
                <c:pt idx="11">
                  <c:v>9866.1143890631047</c:v>
                </c:pt>
                <c:pt idx="12">
                  <c:v>10094.312394518538</c:v>
                </c:pt>
                <c:pt idx="13">
                  <c:v>10064.423288283273</c:v>
                </c:pt>
                <c:pt idx="14">
                  <c:v>9784.1389938482625</c:v>
                </c:pt>
                <c:pt idx="15">
                  <c:v>9289.8929262748388</c:v>
                </c:pt>
                <c:pt idx="16">
                  <c:v>9392.3680295552949</c:v>
                </c:pt>
                <c:pt idx="17">
                  <c:v>9377.4528065519225</c:v>
                </c:pt>
                <c:pt idx="18">
                  <c:v>9154.3341417752454</c:v>
                </c:pt>
                <c:pt idx="19">
                  <c:v>9565.939607963619</c:v>
                </c:pt>
                <c:pt idx="20">
                  <c:v>9773.7358349510378</c:v>
                </c:pt>
                <c:pt idx="21">
                  <c:v>9758.2149940836862</c:v>
                </c:pt>
                <c:pt idx="22">
                  <c:v>9526.0368168112291</c:v>
                </c:pt>
                <c:pt idx="23">
                  <c:v>9108.7418373849559</c:v>
                </c:pt>
                <c:pt idx="24">
                  <c:v>8556.7736691610153</c:v>
                </c:pt>
                <c:pt idx="25">
                  <c:v>7930.3762079739554</c:v>
                </c:pt>
                <c:pt idx="26">
                  <c:v>8059.7287606362916</c:v>
                </c:pt>
                <c:pt idx="27">
                  <c:v>8629.6259918510441</c:v>
                </c:pt>
                <c:pt idx="28">
                  <c:v>8715.9222517695562</c:v>
                </c:pt>
                <c:pt idx="29">
                  <c:v>9204.9014660946705</c:v>
                </c:pt>
                <c:pt idx="30">
                  <c:v>9560.6637146189114</c:v>
                </c:pt>
                <c:pt idx="31">
                  <c:v>9748.6648090445015</c:v>
                </c:pt>
                <c:pt idx="32">
                  <c:v>9752.833055282752</c:v>
                </c:pt>
                <c:pt idx="33">
                  <c:v>9578.6573772729917</c:v>
                </c:pt>
                <c:pt idx="34">
                  <c:v>9252.1271013250243</c:v>
                </c:pt>
                <c:pt idx="35">
                  <c:v>8814.8066473384879</c:v>
                </c:pt>
              </c:numCache>
            </c:numRef>
          </c:val>
          <c:smooth val="0"/>
          <c:extLst>
            <c:ext xmlns:c16="http://schemas.microsoft.com/office/drawing/2014/chart" uri="{C3380CC4-5D6E-409C-BE32-E72D297353CC}">
              <c16:uniqueId val="{00000000-845B-47E8-8784-5D285FA0EFAD}"/>
            </c:ext>
          </c:extLst>
        </c:ser>
        <c:dLbls>
          <c:showLegendKey val="0"/>
          <c:showVal val="0"/>
          <c:showCatName val="0"/>
          <c:showSerName val="0"/>
          <c:showPercent val="0"/>
          <c:showBubbleSize val="0"/>
        </c:dLbls>
        <c:smooth val="0"/>
        <c:axId val="714254264"/>
        <c:axId val="714254592"/>
      </c:lineChart>
      <c:catAx>
        <c:axId val="714254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crossAx val="714254592"/>
        <c:crosses val="autoZero"/>
        <c:auto val="1"/>
        <c:lblAlgn val="ctr"/>
        <c:lblOffset val="100"/>
        <c:tickLblSkip val="5"/>
        <c:noMultiLvlLbl val="0"/>
      </c:catAx>
      <c:valAx>
        <c:axId val="714254592"/>
        <c:scaling>
          <c:orientation val="minMax"/>
        </c:scaling>
        <c:delete val="0"/>
        <c:axPos val="l"/>
        <c:majorGridlines>
          <c:spPr>
            <a:ln w="9525" cap="flat" cmpd="sng" algn="ctr">
              <a:solidFill>
                <a:schemeClr val="tx1">
                  <a:lumMod val="15000"/>
                  <a:lumOff val="85000"/>
                </a:schemeClr>
              </a:solidFill>
              <a:round/>
            </a:ln>
            <a:effectLst/>
          </c:spPr>
        </c:majorGridlines>
        <c:title>
          <c:tx>
            <c:strRef>
              <c:f>TER_RENO!$E$782</c:f>
              <c:strCache>
                <c:ptCount val="1"/>
                <c:pt idx="0">
                  <c:v>(millions d'euros)</c:v>
                </c:pt>
              </c:strCache>
            </c:strRef>
          </c:tx>
          <c:overlay val="0"/>
          <c:txPr>
            <a:bodyPr/>
            <a:lstStyle/>
            <a:p>
              <a:pPr>
                <a:defRPr/>
              </a:pPr>
              <a:endParaRPr lang="fr-F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crossAx val="714254264"/>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legend>
    <c:plotVisOnly val="0"/>
    <c:dispBlanksAs val="gap"/>
    <c:showDLblsOverMax val="0"/>
    <c:extLst/>
  </c:chart>
  <c:txPr>
    <a:bodyPr/>
    <a:lstStyle/>
    <a:p>
      <a:pPr>
        <a:defRPr>
          <a:solidFill>
            <a:sysClr val="windowText" lastClr="000000"/>
          </a:solidFill>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0</xdr:colOff>
      <xdr:row>793</xdr:row>
      <xdr:rowOff>0</xdr:rowOff>
    </xdr:from>
    <xdr:to>
      <xdr:col>6</xdr:col>
      <xdr:colOff>0</xdr:colOff>
      <xdr:row>808</xdr:row>
      <xdr:rowOff>178594</xdr:rowOff>
    </xdr:to>
    <xdr:graphicFrame macro="">
      <xdr:nvGraphicFramePr>
        <xdr:cNvPr id="2" name="Graphique 1">
          <a:extLst>
            <a:ext uri="{FF2B5EF4-FFF2-40B4-BE49-F238E27FC236}">
              <a16:creationId xmlns:a16="http://schemas.microsoft.com/office/drawing/2014/main" id="{3FCC284D-A4FF-41C1-AED5-2C0AEDB083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476</xdr:row>
      <xdr:rowOff>0</xdr:rowOff>
    </xdr:from>
    <xdr:to>
      <xdr:col>6</xdr:col>
      <xdr:colOff>0</xdr:colOff>
      <xdr:row>491</xdr:row>
      <xdr:rowOff>178594</xdr:rowOff>
    </xdr:to>
    <xdr:graphicFrame macro="">
      <xdr:nvGraphicFramePr>
        <xdr:cNvPr id="3" name="Graphique 2">
          <a:extLst>
            <a:ext uri="{FF2B5EF4-FFF2-40B4-BE49-F238E27FC236}">
              <a16:creationId xmlns:a16="http://schemas.microsoft.com/office/drawing/2014/main" id="{348E888A-977B-4514-8B14-02CEF041BE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275</xdr:row>
      <xdr:rowOff>0</xdr:rowOff>
    </xdr:from>
    <xdr:to>
      <xdr:col>6</xdr:col>
      <xdr:colOff>0</xdr:colOff>
      <xdr:row>290</xdr:row>
      <xdr:rowOff>178594</xdr:rowOff>
    </xdr:to>
    <xdr:graphicFrame macro="">
      <xdr:nvGraphicFramePr>
        <xdr:cNvPr id="4" name="Graphique 3">
          <a:extLst>
            <a:ext uri="{FF2B5EF4-FFF2-40B4-BE49-F238E27FC236}">
              <a16:creationId xmlns:a16="http://schemas.microsoft.com/office/drawing/2014/main" id="{46357BC4-CEFF-4C73-BDB2-4A12FAFC99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0</xdr:colOff>
      <xdr:row>376</xdr:row>
      <xdr:rowOff>0</xdr:rowOff>
    </xdr:from>
    <xdr:to>
      <xdr:col>6</xdr:col>
      <xdr:colOff>0</xdr:colOff>
      <xdr:row>391</xdr:row>
      <xdr:rowOff>178594</xdr:rowOff>
    </xdr:to>
    <xdr:graphicFrame macro="">
      <xdr:nvGraphicFramePr>
        <xdr:cNvPr id="5" name="Graphique 4">
          <a:extLst>
            <a:ext uri="{FF2B5EF4-FFF2-40B4-BE49-F238E27FC236}">
              <a16:creationId xmlns:a16="http://schemas.microsoft.com/office/drawing/2014/main" id="{CBB0FD92-16EC-4909-B66D-E7B5609694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178595</xdr:colOff>
      <xdr:row>251</xdr:row>
      <xdr:rowOff>0</xdr:rowOff>
    </xdr:from>
    <xdr:to>
      <xdr:col>6</xdr:col>
      <xdr:colOff>2</xdr:colOff>
      <xdr:row>252</xdr:row>
      <xdr:rowOff>0</xdr:rowOff>
    </xdr:to>
    <xdr:sp macro="" textlink="">
      <xdr:nvSpPr>
        <xdr:cNvPr id="6" name="Accolade fermante 5">
          <a:extLst>
            <a:ext uri="{FF2B5EF4-FFF2-40B4-BE49-F238E27FC236}">
              <a16:creationId xmlns:a16="http://schemas.microsoft.com/office/drawing/2014/main" id="{6DC64751-F491-4DEC-944F-E95036FA1DEE}"/>
            </a:ext>
          </a:extLst>
        </xdr:cNvPr>
        <xdr:cNvSpPr/>
      </xdr:nvSpPr>
      <xdr:spPr>
        <a:xfrm rot="16200000">
          <a:off x="4835924" y="45310821"/>
          <a:ext cx="177800" cy="3612357"/>
        </a:xfrm>
        <a:prstGeom prst="rightBrace">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fr-FR" sz="1100"/>
        </a:p>
      </xdr:txBody>
    </xdr:sp>
    <xdr:clientData/>
  </xdr:twoCellAnchor>
  <xdr:twoCellAnchor>
    <xdr:from>
      <xdr:col>6</xdr:col>
      <xdr:colOff>0</xdr:colOff>
      <xdr:row>251</xdr:row>
      <xdr:rowOff>0</xdr:rowOff>
    </xdr:from>
    <xdr:to>
      <xdr:col>9</xdr:col>
      <xdr:colOff>0</xdr:colOff>
      <xdr:row>252</xdr:row>
      <xdr:rowOff>0</xdr:rowOff>
    </xdr:to>
    <xdr:sp macro="" textlink="">
      <xdr:nvSpPr>
        <xdr:cNvPr id="7" name="Accolade fermante 6">
          <a:extLst>
            <a:ext uri="{FF2B5EF4-FFF2-40B4-BE49-F238E27FC236}">
              <a16:creationId xmlns:a16="http://schemas.microsoft.com/office/drawing/2014/main" id="{961FDD1C-1F86-46C9-81BE-134FAAF60737}"/>
            </a:ext>
          </a:extLst>
        </xdr:cNvPr>
        <xdr:cNvSpPr/>
      </xdr:nvSpPr>
      <xdr:spPr>
        <a:xfrm rot="16200000">
          <a:off x="7927975" y="45831125"/>
          <a:ext cx="177800" cy="2571750"/>
        </a:xfrm>
        <a:prstGeom prst="rightBrace">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fr-FR" sz="1100"/>
        </a:p>
      </xdr:txBody>
    </xdr:sp>
    <xdr:clientData/>
  </xdr:twoCellAnchor>
  <xdr:twoCellAnchor>
    <xdr:from>
      <xdr:col>2</xdr:col>
      <xdr:colOff>27213</xdr:colOff>
      <xdr:row>963</xdr:row>
      <xdr:rowOff>76283</xdr:rowOff>
    </xdr:from>
    <xdr:to>
      <xdr:col>13</xdr:col>
      <xdr:colOff>95250</xdr:colOff>
      <xdr:row>978</xdr:row>
      <xdr:rowOff>136071</xdr:rowOff>
    </xdr:to>
    <xdr:graphicFrame macro="">
      <xdr:nvGraphicFramePr>
        <xdr:cNvPr id="8" name="Graphique 22">
          <a:extLst>
            <a:ext uri="{FF2B5EF4-FFF2-40B4-BE49-F238E27FC236}">
              <a16:creationId xmlns:a16="http://schemas.microsoft.com/office/drawing/2014/main" id="{6BAD521D-F907-4ABC-848C-095D4AC9FE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376</xdr:row>
      <xdr:rowOff>0</xdr:rowOff>
    </xdr:from>
    <xdr:to>
      <xdr:col>12</xdr:col>
      <xdr:colOff>642937</xdr:colOff>
      <xdr:row>391</xdr:row>
      <xdr:rowOff>178594</xdr:rowOff>
    </xdr:to>
    <xdr:graphicFrame macro="">
      <xdr:nvGraphicFramePr>
        <xdr:cNvPr id="9" name="Graphique 8">
          <a:extLst>
            <a:ext uri="{FF2B5EF4-FFF2-40B4-BE49-F238E27FC236}">
              <a16:creationId xmlns:a16="http://schemas.microsoft.com/office/drawing/2014/main" id="{3F1896BE-F649-463A-A59D-F5C4F1F50A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0</xdr:colOff>
      <xdr:row>844</xdr:row>
      <xdr:rowOff>0</xdr:rowOff>
    </xdr:from>
    <xdr:to>
      <xdr:col>6</xdr:col>
      <xdr:colOff>0</xdr:colOff>
      <xdr:row>859</xdr:row>
      <xdr:rowOff>178594</xdr:rowOff>
    </xdr:to>
    <xdr:graphicFrame macro="">
      <xdr:nvGraphicFramePr>
        <xdr:cNvPr id="10" name="Graphique 9">
          <a:extLst>
            <a:ext uri="{FF2B5EF4-FFF2-40B4-BE49-F238E27FC236}">
              <a16:creationId xmlns:a16="http://schemas.microsoft.com/office/drawing/2014/main" id="{0519C194-AF67-4D94-9136-64DE3DAABE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0</xdr:colOff>
      <xdr:row>992</xdr:row>
      <xdr:rowOff>0</xdr:rowOff>
    </xdr:from>
    <xdr:to>
      <xdr:col>6</xdr:col>
      <xdr:colOff>0</xdr:colOff>
      <xdr:row>1007</xdr:row>
      <xdr:rowOff>178594</xdr:rowOff>
    </xdr:to>
    <xdr:graphicFrame macro="">
      <xdr:nvGraphicFramePr>
        <xdr:cNvPr id="11" name="Graphique 10">
          <a:extLst>
            <a:ext uri="{FF2B5EF4-FFF2-40B4-BE49-F238E27FC236}">
              <a16:creationId xmlns:a16="http://schemas.microsoft.com/office/drawing/2014/main" id="{037E3293-ADF7-4D4F-9139-627E1B1D3B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ThèmeExcel">
  <a:themeElements>
    <a:clrScheme name="Office I4CE">
      <a:dk1>
        <a:srgbClr val="404041"/>
      </a:dk1>
      <a:lt1>
        <a:sysClr val="window" lastClr="FFFFFF"/>
      </a:lt1>
      <a:dk2>
        <a:srgbClr val="0B4EA2"/>
      </a:dk2>
      <a:lt2>
        <a:srgbClr val="EEECE1"/>
      </a:lt2>
      <a:accent1>
        <a:srgbClr val="289CDB"/>
      </a:accent1>
      <a:accent2>
        <a:srgbClr val="C94450"/>
      </a:accent2>
      <a:accent3>
        <a:srgbClr val="ACC435"/>
      </a:accent3>
      <a:accent4>
        <a:srgbClr val="944E94"/>
      </a:accent4>
      <a:accent5>
        <a:srgbClr val="87C0C2"/>
      </a:accent5>
      <a:accent6>
        <a:srgbClr val="E09C35"/>
      </a:accent6>
      <a:hlink>
        <a:srgbClr val="0000FF"/>
      </a:hlink>
      <a:folHlink>
        <a:srgbClr val="800080"/>
      </a:folHlink>
    </a:clrScheme>
    <a:fontScheme name="Office Classique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BAT_2023.xlsx" TargetMode="External"/><Relationship Id="rId3" Type="http://schemas.openxmlformats.org/officeDocument/2006/relationships/hyperlink" Target="https://www.effinergie.org/web/images/attach/base_doc/2583/20191008etude-la-renovation-bbc-en-france.pdf" TargetMode="External"/><Relationship Id="rId7" Type="http://schemas.openxmlformats.org/officeDocument/2006/relationships/hyperlink" Target="BAT_2023.xlsx" TargetMode="External"/><Relationship Id="rId2" Type="http://schemas.openxmlformats.org/officeDocument/2006/relationships/hyperlink" Target="https://www.auvergnerhonealpes-ee.fr/fileadmin/user_upload/mediatheque/raee/Documents/Publications/2017/fiches_SPL_RAEEmars2017.pdf.pdf" TargetMode="External"/><Relationship Id="rId1" Type="http://schemas.openxmlformats.org/officeDocument/2006/relationships/hyperlink" Target="https://resources.taloen.fr/resources/documents/8448_210309_DEET.pdf" TargetMode="External"/><Relationship Id="rId6" Type="http://schemas.openxmlformats.org/officeDocument/2006/relationships/hyperlink" Target="BAT_2023.xlsx" TargetMode="External"/><Relationship Id="rId5" Type="http://schemas.openxmlformats.org/officeDocument/2006/relationships/hyperlink" Target="https://eur-lex.europa.eu/legal-content/EN/ALL/?uri=CELEX:52012XC0419%2802%29" TargetMode="External"/><Relationship Id="rId10" Type="http://schemas.openxmlformats.org/officeDocument/2006/relationships/drawing" Target="../drawings/drawing1.xml"/><Relationship Id="rId4" Type="http://schemas.openxmlformats.org/officeDocument/2006/relationships/hyperlink" Target="https://www.ecologie.gouv.fr/sites/default/files/CGDD_scenarios_renovation_batiments_tertiaires_publication_20201203.pdf"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794DA-991E-4A77-A134-F0A01D5BC57E}">
  <sheetPr filterMode="1"/>
  <dimension ref="A1:MV1009"/>
  <sheetViews>
    <sheetView showGridLines="0" tabSelected="1" zoomScale="55" zoomScaleNormal="55" workbookViewId="0">
      <pane xSplit="6" ySplit="1" topLeftCell="G813" activePane="bottomRight" state="frozen"/>
      <selection activeCell="M46" sqref="M46"/>
      <selection pane="topRight" activeCell="M46" sqref="M46"/>
      <selection pane="bottomLeft" activeCell="M46" sqref="M46"/>
      <selection pane="bottomRight" activeCell="D829" sqref="D829"/>
    </sheetView>
  </sheetViews>
  <sheetFormatPr baseColWidth="10" defaultColWidth="11.9140625" defaultRowHeight="14" outlineLevelRow="1" outlineLevelCol="2" x14ac:dyDescent="0.3"/>
  <cols>
    <col min="3" max="6" width="18" customWidth="1"/>
    <col min="7" max="7" width="11.5" customWidth="1"/>
    <col min="8" max="18" width="12.58203125" customWidth="1"/>
    <col min="19" max="19" width="12.58203125" hidden="1" customWidth="1" outlineLevel="1" collapsed="1"/>
    <col min="20" max="23" width="12.58203125" hidden="1" customWidth="1" outlineLevel="2"/>
    <col min="24" max="24" width="12.58203125" hidden="1" customWidth="1" outlineLevel="1"/>
    <col min="25" max="28" width="12.58203125" hidden="1" customWidth="1" outlineLevel="2"/>
    <col min="29" max="29" width="12.58203125" hidden="1" customWidth="1" outlineLevel="1"/>
    <col min="30" max="33" width="12.58203125" hidden="1" customWidth="1" outlineLevel="2"/>
    <col min="34" max="34" width="12.58203125" hidden="1" customWidth="1" outlineLevel="1"/>
    <col min="35" max="43" width="12.58203125" hidden="1" customWidth="1" outlineLevel="2"/>
    <col min="44" max="44" width="12.58203125" hidden="1" customWidth="1" outlineLevel="1"/>
    <col min="45" max="52" width="12.58203125" hidden="1" customWidth="1" outlineLevel="2"/>
    <col min="53" max="53" width="10.6640625" hidden="1" customWidth="1" outlineLevel="2"/>
    <col min="54" max="55" width="12.58203125" hidden="1" customWidth="1" outlineLevel="1"/>
    <col min="56" max="56" width="12.58203125" hidden="1" customWidth="1" outlineLevel="1" collapsed="1"/>
    <col min="57" max="60" width="12.58203125" hidden="1" customWidth="1" outlineLevel="2"/>
    <col min="61" max="61" width="12.58203125" hidden="1" customWidth="1" outlineLevel="1" collapsed="1"/>
    <col min="62" max="65" width="12.58203125" hidden="1" customWidth="1" outlineLevel="2"/>
    <col min="66" max="66" width="12.58203125" hidden="1" customWidth="1" outlineLevel="1" collapsed="1"/>
    <col min="67" max="70" width="12.58203125" hidden="1" customWidth="1" outlineLevel="2"/>
    <col min="71" max="71" width="12.58203125" hidden="1" customWidth="1" outlineLevel="1" collapsed="1"/>
    <col min="72" max="80" width="12.58203125" hidden="1" customWidth="1" outlineLevel="2"/>
    <col min="81" max="81" width="12.58203125" hidden="1" customWidth="1" outlineLevel="1" collapsed="1"/>
    <col min="82" max="90" width="12.58203125" hidden="1" customWidth="1" outlineLevel="2"/>
    <col min="91" max="91" width="12.58203125" hidden="1" customWidth="1" outlineLevel="1" collapsed="1"/>
    <col min="92" max="92" width="12.58203125" hidden="1" customWidth="1" outlineLevel="1"/>
    <col min="93" max="93" width="12.58203125" hidden="1" customWidth="1" outlineLevel="1" collapsed="1"/>
    <col min="94" max="97" width="12.58203125" hidden="1" customWidth="1" outlineLevel="2"/>
    <col min="98" max="98" width="12.58203125" hidden="1" customWidth="1" outlineLevel="1" collapsed="1"/>
    <col min="99" max="102" width="12.58203125" hidden="1" customWidth="1" outlineLevel="2"/>
    <col min="103" max="103" width="12.58203125" hidden="1" customWidth="1" outlineLevel="1" collapsed="1"/>
    <col min="104" max="107" width="12.58203125" hidden="1" customWidth="1" outlineLevel="2"/>
    <col min="108" max="108" width="12.58203125" hidden="1" customWidth="1" outlineLevel="1" collapsed="1"/>
    <col min="109" max="117" width="12.58203125" hidden="1" customWidth="1" outlineLevel="2"/>
    <col min="118" max="118" width="12.58203125" hidden="1" customWidth="1" outlineLevel="1" collapsed="1"/>
    <col min="119" max="127" width="12.58203125" hidden="1" customWidth="1" outlineLevel="2"/>
    <col min="128" max="128" width="12.58203125" hidden="1" customWidth="1" outlineLevel="1" collapsed="1"/>
    <col min="129" max="129" width="12.58203125" hidden="1" customWidth="1" outlineLevel="1"/>
    <col min="130" max="130" width="12.58203125" hidden="1" customWidth="1" outlineLevel="1" collapsed="1"/>
    <col min="131" max="134" width="12.58203125" hidden="1" customWidth="1" outlineLevel="2"/>
    <col min="135" max="135" width="12.58203125" hidden="1" customWidth="1" outlineLevel="1" collapsed="1"/>
    <col min="136" max="139" width="12.58203125" hidden="1" customWidth="1" outlineLevel="2"/>
    <col min="140" max="140" width="12.58203125" hidden="1" customWidth="1" outlineLevel="1" collapsed="1"/>
    <col min="141" max="144" width="12.58203125" hidden="1" customWidth="1" outlineLevel="2"/>
    <col min="145" max="145" width="12.58203125" hidden="1" customWidth="1" outlineLevel="1" collapsed="1"/>
    <col min="146" max="154" width="12.58203125" hidden="1" customWidth="1" outlineLevel="2"/>
    <col min="155" max="155" width="12.58203125" hidden="1" customWidth="1" outlineLevel="1" collapsed="1"/>
    <col min="156" max="164" width="12.58203125" hidden="1" customWidth="1" outlineLevel="2"/>
    <col min="165" max="165" width="12.58203125" hidden="1" customWidth="1" outlineLevel="1" collapsed="1"/>
    <col min="166" max="166" width="12.58203125" hidden="1" customWidth="1" outlineLevel="1"/>
    <col min="167" max="167" width="12.58203125" hidden="1" customWidth="1" outlineLevel="1" collapsed="1"/>
    <col min="168" max="171" width="12.58203125" hidden="1" customWidth="1" outlineLevel="2"/>
    <col min="172" max="172" width="12.58203125" hidden="1" customWidth="1" outlineLevel="1" collapsed="1"/>
    <col min="173" max="176" width="12.58203125" hidden="1" customWidth="1" outlineLevel="2"/>
    <col min="177" max="177" width="12.58203125" hidden="1" customWidth="1" outlineLevel="1" collapsed="1"/>
    <col min="178" max="181" width="12.58203125" hidden="1" customWidth="1" outlineLevel="2"/>
    <col min="182" max="182" width="12.58203125" hidden="1" customWidth="1" outlineLevel="1" collapsed="1"/>
    <col min="183" max="191" width="12.58203125" hidden="1" customWidth="1" outlineLevel="2"/>
    <col min="192" max="192" width="12.58203125" hidden="1" customWidth="1" outlineLevel="1" collapsed="1"/>
    <col min="193" max="201" width="12.58203125" hidden="1" customWidth="1" outlineLevel="2"/>
    <col min="202" max="202" width="12.58203125" hidden="1" customWidth="1" outlineLevel="1" collapsed="1"/>
    <col min="203" max="203" width="12.58203125" hidden="1" customWidth="1" outlineLevel="1"/>
    <col min="204" max="204" width="12.58203125" hidden="1" customWidth="1" outlineLevel="1" collapsed="1"/>
    <col min="205" max="208" width="12.58203125" hidden="1" customWidth="1" outlineLevel="2"/>
    <col min="209" max="209" width="12.58203125" hidden="1" customWidth="1" outlineLevel="1" collapsed="1"/>
    <col min="210" max="213" width="12.58203125" hidden="1" customWidth="1" outlineLevel="2"/>
    <col min="214" max="214" width="12.58203125" hidden="1" customWidth="1" outlineLevel="1" collapsed="1"/>
    <col min="215" max="218" width="12.58203125" hidden="1" customWidth="1" outlineLevel="2"/>
    <col min="219" max="219" width="12.58203125" hidden="1" customWidth="1" outlineLevel="1" collapsed="1"/>
    <col min="220" max="228" width="12.58203125" hidden="1" customWidth="1" outlineLevel="2"/>
    <col min="229" max="229" width="12.58203125" hidden="1" customWidth="1" outlineLevel="1" collapsed="1"/>
    <col min="230" max="238" width="12.58203125" hidden="1" customWidth="1" outlineLevel="2"/>
    <col min="239" max="239" width="12.58203125" hidden="1" customWidth="1" outlineLevel="1" collapsed="1"/>
    <col min="240" max="241" width="12.58203125" customWidth="1" collapsed="1"/>
    <col min="242" max="245" width="12.58203125" hidden="1" customWidth="1" outlineLevel="1"/>
    <col min="246" max="246" width="12.58203125" customWidth="1" collapsed="1"/>
    <col min="247" max="250" width="12.58203125" hidden="1" customWidth="1" outlineLevel="1"/>
    <col min="251" max="251" width="12.58203125" customWidth="1" collapsed="1"/>
    <col min="252" max="255" width="12.58203125" hidden="1" customWidth="1" outlineLevel="1"/>
    <col min="256" max="256" width="12.58203125" customWidth="1" collapsed="1"/>
    <col min="257" max="265" width="12.58203125" hidden="1" customWidth="1" outlineLevel="1"/>
    <col min="266" max="266" width="12.58203125" customWidth="1" collapsed="1"/>
    <col min="267" max="275" width="12.58203125" hidden="1" customWidth="1" outlineLevel="1"/>
    <col min="276" max="276" width="12.58203125" customWidth="1" collapsed="1"/>
    <col min="277" max="277" width="12.58203125" customWidth="1"/>
    <col min="278" max="278" width="12.58203125" customWidth="1" collapsed="1"/>
    <col min="279" max="282" width="12.58203125" hidden="1" customWidth="1" outlineLevel="1"/>
    <col min="283" max="283" width="12.58203125" customWidth="1" collapsed="1"/>
    <col min="284" max="287" width="12.58203125" hidden="1" customWidth="1" outlineLevel="1"/>
    <col min="288" max="288" width="12.58203125" customWidth="1" collapsed="1"/>
    <col min="289" max="292" width="12.58203125" hidden="1" customWidth="1" outlineLevel="1"/>
    <col min="293" max="293" width="12.58203125" customWidth="1" collapsed="1"/>
    <col min="294" max="302" width="12.58203125" hidden="1" customWidth="1" outlineLevel="1"/>
    <col min="303" max="303" width="12.58203125" customWidth="1" collapsed="1"/>
    <col min="304" max="312" width="12.58203125" hidden="1" customWidth="1" outlineLevel="1"/>
    <col min="313" max="313" width="12.58203125" customWidth="1" collapsed="1"/>
    <col min="314" max="314" width="12.58203125" customWidth="1"/>
    <col min="315" max="315" width="12.58203125" customWidth="1" collapsed="1"/>
    <col min="316" max="319" width="12.58203125" customWidth="1" outlineLevel="1"/>
    <col min="320" max="320" width="12.58203125" customWidth="1"/>
    <col min="321" max="324" width="12.58203125" customWidth="1" outlineLevel="1"/>
    <col min="325" max="325" width="12.58203125" customWidth="1"/>
    <col min="326" max="329" width="12.58203125" customWidth="1" outlineLevel="1"/>
    <col min="330" max="330" width="12.58203125" customWidth="1"/>
    <col min="331" max="339" width="12.58203125" customWidth="1" outlineLevel="1"/>
    <col min="340" max="340" width="12.58203125" customWidth="1"/>
    <col min="341" max="349" width="12.58203125" customWidth="1" outlineLevel="1"/>
    <col min="350" max="350" width="12.58203125" customWidth="1"/>
  </cols>
  <sheetData>
    <row r="1" spans="1:350" s="4" customFormat="1" ht="22.4" customHeight="1" x14ac:dyDescent="0.3">
      <c r="A1" s="1" t="s">
        <v>0</v>
      </c>
      <c r="B1" s="2" t="s">
        <v>1</v>
      </c>
      <c r="C1" s="3" t="s">
        <v>2</v>
      </c>
      <c r="H1" s="5">
        <v>2015</v>
      </c>
      <c r="I1" s="6">
        <v>2016</v>
      </c>
      <c r="J1" s="6">
        <v>2017</v>
      </c>
      <c r="K1" s="6">
        <v>2018</v>
      </c>
      <c r="L1" s="6">
        <v>2019</v>
      </c>
      <c r="M1" s="6">
        <v>2020</v>
      </c>
      <c r="N1" s="6">
        <v>2021</v>
      </c>
      <c r="O1" s="6">
        <v>2022</v>
      </c>
      <c r="P1" s="6">
        <v>2023</v>
      </c>
      <c r="Q1" s="7">
        <v>2024</v>
      </c>
      <c r="S1" s="8">
        <v>2015</v>
      </c>
      <c r="T1" s="9">
        <v>2016</v>
      </c>
      <c r="U1" s="9">
        <v>2017</v>
      </c>
      <c r="V1" s="9">
        <v>2018</v>
      </c>
      <c r="W1" s="9">
        <v>2019</v>
      </c>
      <c r="X1" s="9">
        <v>2020</v>
      </c>
      <c r="Y1" s="9">
        <v>2021</v>
      </c>
      <c r="Z1" s="9">
        <v>2022</v>
      </c>
      <c r="AA1" s="9">
        <v>2023</v>
      </c>
      <c r="AB1" s="9">
        <v>2024</v>
      </c>
      <c r="AC1" s="9">
        <v>2025</v>
      </c>
      <c r="AD1" s="9">
        <v>2026</v>
      </c>
      <c r="AE1" s="9">
        <v>2027</v>
      </c>
      <c r="AF1" s="9">
        <v>2028</v>
      </c>
      <c r="AG1" s="9">
        <v>2029</v>
      </c>
      <c r="AH1" s="9">
        <v>2030</v>
      </c>
      <c r="AI1" s="9">
        <v>2031</v>
      </c>
      <c r="AJ1" s="9">
        <v>2032</v>
      </c>
      <c r="AK1" s="9">
        <v>2033</v>
      </c>
      <c r="AL1" s="9">
        <v>2034</v>
      </c>
      <c r="AM1" s="9">
        <v>2035</v>
      </c>
      <c r="AN1" s="9">
        <v>2036</v>
      </c>
      <c r="AO1" s="9">
        <v>2037</v>
      </c>
      <c r="AP1" s="9">
        <v>2038</v>
      </c>
      <c r="AQ1" s="9">
        <v>2039</v>
      </c>
      <c r="AR1" s="9">
        <v>2040</v>
      </c>
      <c r="AS1" s="9">
        <v>2041</v>
      </c>
      <c r="AT1" s="9">
        <v>2042</v>
      </c>
      <c r="AU1" s="9">
        <v>2043</v>
      </c>
      <c r="AV1" s="9">
        <v>2044</v>
      </c>
      <c r="AW1" s="9">
        <v>2045</v>
      </c>
      <c r="AX1" s="9">
        <v>2046</v>
      </c>
      <c r="AY1" s="9">
        <v>2047</v>
      </c>
      <c r="AZ1" s="9">
        <v>2048</v>
      </c>
      <c r="BA1" s="9">
        <v>2049</v>
      </c>
      <c r="BB1" s="10">
        <v>2050</v>
      </c>
      <c r="BD1" s="11">
        <v>2015</v>
      </c>
      <c r="BE1" s="12">
        <v>2016</v>
      </c>
      <c r="BF1" s="12">
        <v>2017</v>
      </c>
      <c r="BG1" s="12">
        <v>2018</v>
      </c>
      <c r="BH1" s="12">
        <v>2019</v>
      </c>
      <c r="BI1" s="12">
        <v>2020</v>
      </c>
      <c r="BJ1" s="12">
        <v>2021</v>
      </c>
      <c r="BK1" s="12">
        <v>2022</v>
      </c>
      <c r="BL1" s="12">
        <v>2023</v>
      </c>
      <c r="BM1" s="12">
        <v>2024</v>
      </c>
      <c r="BN1" s="12">
        <v>2025</v>
      </c>
      <c r="BO1" s="12">
        <v>2026</v>
      </c>
      <c r="BP1" s="12">
        <v>2027</v>
      </c>
      <c r="BQ1" s="12">
        <v>2028</v>
      </c>
      <c r="BR1" s="12">
        <v>2029</v>
      </c>
      <c r="BS1" s="12">
        <v>2030</v>
      </c>
      <c r="BT1" s="12">
        <v>2031</v>
      </c>
      <c r="BU1" s="12">
        <v>2032</v>
      </c>
      <c r="BV1" s="12">
        <v>2033</v>
      </c>
      <c r="BW1" s="12">
        <v>2034</v>
      </c>
      <c r="BX1" s="12">
        <v>2035</v>
      </c>
      <c r="BY1" s="12">
        <v>2036</v>
      </c>
      <c r="BZ1" s="12">
        <v>2037</v>
      </c>
      <c r="CA1" s="12">
        <v>2038</v>
      </c>
      <c r="CB1" s="12">
        <v>2039</v>
      </c>
      <c r="CC1" s="12">
        <v>2040</v>
      </c>
      <c r="CD1" s="12">
        <v>2041</v>
      </c>
      <c r="CE1" s="12">
        <v>2042</v>
      </c>
      <c r="CF1" s="12">
        <v>2043</v>
      </c>
      <c r="CG1" s="12">
        <v>2044</v>
      </c>
      <c r="CH1" s="12">
        <v>2045</v>
      </c>
      <c r="CI1" s="12">
        <v>2046</v>
      </c>
      <c r="CJ1" s="12">
        <v>2047</v>
      </c>
      <c r="CK1" s="12">
        <v>2048</v>
      </c>
      <c r="CL1" s="12">
        <v>2049</v>
      </c>
      <c r="CM1" s="13">
        <v>2050</v>
      </c>
      <c r="CO1" s="14">
        <v>2015</v>
      </c>
      <c r="CP1" s="15">
        <v>2016</v>
      </c>
      <c r="CQ1" s="15">
        <v>2017</v>
      </c>
      <c r="CR1" s="15">
        <v>2018</v>
      </c>
      <c r="CS1" s="15">
        <v>2019</v>
      </c>
      <c r="CT1" s="15">
        <v>2020</v>
      </c>
      <c r="CU1" s="15">
        <v>2021</v>
      </c>
      <c r="CV1" s="15">
        <v>2022</v>
      </c>
      <c r="CW1" s="15">
        <v>2023</v>
      </c>
      <c r="CX1" s="15">
        <v>2024</v>
      </c>
      <c r="CY1" s="15">
        <v>2025</v>
      </c>
      <c r="CZ1" s="15">
        <v>2026</v>
      </c>
      <c r="DA1" s="15">
        <v>2027</v>
      </c>
      <c r="DB1" s="15">
        <v>2028</v>
      </c>
      <c r="DC1" s="15">
        <v>2029</v>
      </c>
      <c r="DD1" s="15">
        <v>2030</v>
      </c>
      <c r="DE1" s="15">
        <v>2031</v>
      </c>
      <c r="DF1" s="15">
        <v>2032</v>
      </c>
      <c r="DG1" s="15">
        <v>2033</v>
      </c>
      <c r="DH1" s="15">
        <v>2034</v>
      </c>
      <c r="DI1" s="15">
        <v>2035</v>
      </c>
      <c r="DJ1" s="15">
        <v>2036</v>
      </c>
      <c r="DK1" s="15">
        <v>2037</v>
      </c>
      <c r="DL1" s="15">
        <v>2038</v>
      </c>
      <c r="DM1" s="15">
        <v>2039</v>
      </c>
      <c r="DN1" s="15">
        <v>2040</v>
      </c>
      <c r="DO1" s="15">
        <v>2041</v>
      </c>
      <c r="DP1" s="15">
        <v>2042</v>
      </c>
      <c r="DQ1" s="15">
        <v>2043</v>
      </c>
      <c r="DR1" s="15">
        <v>2044</v>
      </c>
      <c r="DS1" s="15">
        <v>2045</v>
      </c>
      <c r="DT1" s="15">
        <v>2046</v>
      </c>
      <c r="DU1" s="15">
        <v>2047</v>
      </c>
      <c r="DV1" s="15">
        <v>2048</v>
      </c>
      <c r="DW1" s="15">
        <v>2049</v>
      </c>
      <c r="DX1" s="16">
        <v>2050</v>
      </c>
      <c r="DZ1" s="17">
        <v>2015</v>
      </c>
      <c r="EA1" s="18">
        <v>2016</v>
      </c>
      <c r="EB1" s="18">
        <v>2017</v>
      </c>
      <c r="EC1" s="18">
        <v>2018</v>
      </c>
      <c r="ED1" s="18">
        <v>2019</v>
      </c>
      <c r="EE1" s="18">
        <v>2020</v>
      </c>
      <c r="EF1" s="18">
        <v>2021</v>
      </c>
      <c r="EG1" s="18">
        <v>2022</v>
      </c>
      <c r="EH1" s="18">
        <v>2023</v>
      </c>
      <c r="EI1" s="18">
        <v>2024</v>
      </c>
      <c r="EJ1" s="18">
        <v>2025</v>
      </c>
      <c r="EK1" s="18">
        <v>2026</v>
      </c>
      <c r="EL1" s="18">
        <v>2027</v>
      </c>
      <c r="EM1" s="18">
        <v>2028</v>
      </c>
      <c r="EN1" s="18">
        <v>2029</v>
      </c>
      <c r="EO1" s="18">
        <v>2030</v>
      </c>
      <c r="EP1" s="18">
        <v>2031</v>
      </c>
      <c r="EQ1" s="18">
        <v>2032</v>
      </c>
      <c r="ER1" s="18">
        <v>2033</v>
      </c>
      <c r="ES1" s="18">
        <v>2034</v>
      </c>
      <c r="ET1" s="18">
        <v>2035</v>
      </c>
      <c r="EU1" s="18">
        <v>2036</v>
      </c>
      <c r="EV1" s="18">
        <v>2037</v>
      </c>
      <c r="EW1" s="18">
        <v>2038</v>
      </c>
      <c r="EX1" s="18">
        <v>2039</v>
      </c>
      <c r="EY1" s="18">
        <v>2040</v>
      </c>
      <c r="EZ1" s="18">
        <v>2041</v>
      </c>
      <c r="FA1" s="18">
        <v>2042</v>
      </c>
      <c r="FB1" s="18">
        <v>2043</v>
      </c>
      <c r="FC1" s="18">
        <v>2044</v>
      </c>
      <c r="FD1" s="18">
        <v>2045</v>
      </c>
      <c r="FE1" s="18">
        <v>2046</v>
      </c>
      <c r="FF1" s="18">
        <v>2047</v>
      </c>
      <c r="FG1" s="18">
        <v>2048</v>
      </c>
      <c r="FH1" s="18">
        <v>2049</v>
      </c>
      <c r="FI1" s="19">
        <v>2050</v>
      </c>
      <c r="FK1" s="20">
        <v>2015</v>
      </c>
      <c r="FL1" s="21">
        <v>2016</v>
      </c>
      <c r="FM1" s="21">
        <v>2017</v>
      </c>
      <c r="FN1" s="21">
        <v>2018</v>
      </c>
      <c r="FO1" s="21">
        <v>2019</v>
      </c>
      <c r="FP1" s="21">
        <v>2020</v>
      </c>
      <c r="FQ1" s="21">
        <v>2021</v>
      </c>
      <c r="FR1" s="21">
        <v>2022</v>
      </c>
      <c r="FS1" s="21">
        <v>2023</v>
      </c>
      <c r="FT1" s="21">
        <v>2024</v>
      </c>
      <c r="FU1" s="21">
        <v>2025</v>
      </c>
      <c r="FV1" s="21">
        <v>2026</v>
      </c>
      <c r="FW1" s="21">
        <v>2027</v>
      </c>
      <c r="FX1" s="21">
        <v>2028</v>
      </c>
      <c r="FY1" s="21">
        <v>2029</v>
      </c>
      <c r="FZ1" s="21">
        <v>2030</v>
      </c>
      <c r="GA1" s="21">
        <v>2031</v>
      </c>
      <c r="GB1" s="21">
        <v>2032</v>
      </c>
      <c r="GC1" s="21">
        <v>2033</v>
      </c>
      <c r="GD1" s="21">
        <v>2034</v>
      </c>
      <c r="GE1" s="21">
        <v>2035</v>
      </c>
      <c r="GF1" s="21">
        <v>2036</v>
      </c>
      <c r="GG1" s="21">
        <v>2037</v>
      </c>
      <c r="GH1" s="21">
        <v>2038</v>
      </c>
      <c r="GI1" s="21">
        <v>2039</v>
      </c>
      <c r="GJ1" s="21">
        <v>2040</v>
      </c>
      <c r="GK1" s="21">
        <v>2041</v>
      </c>
      <c r="GL1" s="21">
        <v>2042</v>
      </c>
      <c r="GM1" s="21">
        <v>2043</v>
      </c>
      <c r="GN1" s="21">
        <v>2044</v>
      </c>
      <c r="GO1" s="21">
        <v>2045</v>
      </c>
      <c r="GP1" s="21">
        <v>2046</v>
      </c>
      <c r="GQ1" s="21">
        <v>2047</v>
      </c>
      <c r="GR1" s="21">
        <v>2048</v>
      </c>
      <c r="GS1" s="21">
        <v>2049</v>
      </c>
      <c r="GT1" s="22">
        <v>2050</v>
      </c>
      <c r="GV1" s="23">
        <v>2015</v>
      </c>
      <c r="GW1" s="24">
        <v>2016</v>
      </c>
      <c r="GX1" s="24">
        <v>2017</v>
      </c>
      <c r="GY1" s="24">
        <v>2018</v>
      </c>
      <c r="GZ1" s="24">
        <v>2019</v>
      </c>
      <c r="HA1" s="24">
        <v>2020</v>
      </c>
      <c r="HB1" s="24">
        <v>2021</v>
      </c>
      <c r="HC1" s="24">
        <v>2022</v>
      </c>
      <c r="HD1" s="24">
        <v>2023</v>
      </c>
      <c r="HE1" s="24">
        <v>2024</v>
      </c>
      <c r="HF1" s="24">
        <v>2025</v>
      </c>
      <c r="HG1" s="24">
        <v>2026</v>
      </c>
      <c r="HH1" s="24">
        <v>2027</v>
      </c>
      <c r="HI1" s="24">
        <v>2028</v>
      </c>
      <c r="HJ1" s="24">
        <v>2029</v>
      </c>
      <c r="HK1" s="24">
        <v>2030</v>
      </c>
      <c r="HL1" s="24">
        <v>2031</v>
      </c>
      <c r="HM1" s="24">
        <v>2032</v>
      </c>
      <c r="HN1" s="24">
        <v>2033</v>
      </c>
      <c r="HO1" s="24">
        <v>2034</v>
      </c>
      <c r="HP1" s="24">
        <v>2035</v>
      </c>
      <c r="HQ1" s="24">
        <v>2036</v>
      </c>
      <c r="HR1" s="24">
        <v>2037</v>
      </c>
      <c r="HS1" s="24">
        <v>2038</v>
      </c>
      <c r="HT1" s="24">
        <v>2039</v>
      </c>
      <c r="HU1" s="24">
        <v>2040</v>
      </c>
      <c r="HV1" s="24">
        <v>2041</v>
      </c>
      <c r="HW1" s="24">
        <v>2042</v>
      </c>
      <c r="HX1" s="24">
        <v>2043</v>
      </c>
      <c r="HY1" s="24">
        <v>2044</v>
      </c>
      <c r="HZ1" s="24">
        <v>2045</v>
      </c>
      <c r="IA1" s="24">
        <v>2046</v>
      </c>
      <c r="IB1" s="24">
        <v>2047</v>
      </c>
      <c r="IC1" s="24">
        <v>2048</v>
      </c>
      <c r="ID1" s="24">
        <v>2049</v>
      </c>
      <c r="IE1" s="25">
        <v>2050</v>
      </c>
      <c r="IG1" s="26">
        <v>2015</v>
      </c>
      <c r="IH1" s="27">
        <v>2016</v>
      </c>
      <c r="II1" s="27">
        <v>2017</v>
      </c>
      <c r="IJ1" s="27">
        <v>2018</v>
      </c>
      <c r="IK1" s="27">
        <v>2019</v>
      </c>
      <c r="IL1" s="27">
        <v>2020</v>
      </c>
      <c r="IM1" s="27">
        <v>2021</v>
      </c>
      <c r="IN1" s="27">
        <v>2022</v>
      </c>
      <c r="IO1" s="27">
        <v>2023</v>
      </c>
      <c r="IP1" s="27">
        <v>2024</v>
      </c>
      <c r="IQ1" s="27">
        <v>2025</v>
      </c>
      <c r="IR1" s="27">
        <v>2026</v>
      </c>
      <c r="IS1" s="27">
        <v>2027</v>
      </c>
      <c r="IT1" s="27">
        <v>2028</v>
      </c>
      <c r="IU1" s="27">
        <v>2029</v>
      </c>
      <c r="IV1" s="27">
        <v>2030</v>
      </c>
      <c r="IW1" s="27">
        <v>2031</v>
      </c>
      <c r="IX1" s="27">
        <v>2032</v>
      </c>
      <c r="IY1" s="27">
        <v>2033</v>
      </c>
      <c r="IZ1" s="27">
        <v>2034</v>
      </c>
      <c r="JA1" s="27">
        <v>2035</v>
      </c>
      <c r="JB1" s="27">
        <v>2036</v>
      </c>
      <c r="JC1" s="27">
        <v>2037</v>
      </c>
      <c r="JD1" s="27">
        <v>2038</v>
      </c>
      <c r="JE1" s="27">
        <v>2039</v>
      </c>
      <c r="JF1" s="27">
        <v>2040</v>
      </c>
      <c r="JG1" s="27">
        <v>2041</v>
      </c>
      <c r="JH1" s="27">
        <v>2042</v>
      </c>
      <c r="JI1" s="27">
        <v>2043</v>
      </c>
      <c r="JJ1" s="27">
        <v>2044</v>
      </c>
      <c r="JK1" s="27">
        <v>2045</v>
      </c>
      <c r="JL1" s="27">
        <v>2046</v>
      </c>
      <c r="JM1" s="27">
        <v>2047</v>
      </c>
      <c r="JN1" s="27">
        <v>2048</v>
      </c>
      <c r="JO1" s="27">
        <v>2049</v>
      </c>
      <c r="JP1" s="28">
        <v>2050</v>
      </c>
      <c r="JR1" s="29">
        <v>2015</v>
      </c>
      <c r="JS1" s="30">
        <v>2016</v>
      </c>
      <c r="JT1" s="30">
        <v>2017</v>
      </c>
      <c r="JU1" s="30">
        <v>2018</v>
      </c>
      <c r="JV1" s="30">
        <v>2019</v>
      </c>
      <c r="JW1" s="30">
        <v>2020</v>
      </c>
      <c r="JX1" s="30">
        <v>2021</v>
      </c>
      <c r="JY1" s="30">
        <v>2022</v>
      </c>
      <c r="JZ1" s="30">
        <v>2023</v>
      </c>
      <c r="KA1" s="30">
        <v>2024</v>
      </c>
      <c r="KB1" s="30">
        <v>2025</v>
      </c>
      <c r="KC1" s="30">
        <v>2026</v>
      </c>
      <c r="KD1" s="30">
        <v>2027</v>
      </c>
      <c r="KE1" s="30">
        <v>2028</v>
      </c>
      <c r="KF1" s="30">
        <v>2029</v>
      </c>
      <c r="KG1" s="30">
        <v>2030</v>
      </c>
      <c r="KH1" s="30">
        <v>2031</v>
      </c>
      <c r="KI1" s="30">
        <v>2032</v>
      </c>
      <c r="KJ1" s="30">
        <v>2033</v>
      </c>
      <c r="KK1" s="30">
        <v>2034</v>
      </c>
      <c r="KL1" s="30">
        <v>2035</v>
      </c>
      <c r="KM1" s="30">
        <v>2036</v>
      </c>
      <c r="KN1" s="30">
        <v>2037</v>
      </c>
      <c r="KO1" s="30">
        <v>2038</v>
      </c>
      <c r="KP1" s="30">
        <v>2039</v>
      </c>
      <c r="KQ1" s="30">
        <v>2040</v>
      </c>
      <c r="KR1" s="30">
        <v>2041</v>
      </c>
      <c r="KS1" s="30">
        <v>2042</v>
      </c>
      <c r="KT1" s="30">
        <v>2043</v>
      </c>
      <c r="KU1" s="30">
        <v>2044</v>
      </c>
      <c r="KV1" s="30">
        <v>2045</v>
      </c>
      <c r="KW1" s="30">
        <v>2046</v>
      </c>
      <c r="KX1" s="30">
        <v>2047</v>
      </c>
      <c r="KY1" s="30">
        <v>2048</v>
      </c>
      <c r="KZ1" s="30">
        <v>2049</v>
      </c>
      <c r="LA1" s="31">
        <v>2050</v>
      </c>
      <c r="LC1" s="32">
        <v>2015</v>
      </c>
      <c r="LD1" s="33">
        <v>2016</v>
      </c>
      <c r="LE1" s="33">
        <v>2017</v>
      </c>
      <c r="LF1" s="33">
        <v>2018</v>
      </c>
      <c r="LG1" s="33">
        <v>2019</v>
      </c>
      <c r="LH1" s="33">
        <v>2020</v>
      </c>
      <c r="LI1" s="33">
        <v>2021</v>
      </c>
      <c r="LJ1" s="33">
        <v>2022</v>
      </c>
      <c r="LK1" s="33">
        <v>2023</v>
      </c>
      <c r="LL1" s="33">
        <v>2024</v>
      </c>
      <c r="LM1" s="33">
        <v>2025</v>
      </c>
      <c r="LN1" s="33">
        <v>2026</v>
      </c>
      <c r="LO1" s="33">
        <v>2027</v>
      </c>
      <c r="LP1" s="33">
        <v>2028</v>
      </c>
      <c r="LQ1" s="33">
        <v>2029</v>
      </c>
      <c r="LR1" s="33">
        <v>2030</v>
      </c>
      <c r="LS1" s="33">
        <v>2031</v>
      </c>
      <c r="LT1" s="33">
        <v>2032</v>
      </c>
      <c r="LU1" s="33">
        <v>2033</v>
      </c>
      <c r="LV1" s="33">
        <v>2034</v>
      </c>
      <c r="LW1" s="33">
        <v>2035</v>
      </c>
      <c r="LX1" s="33">
        <v>2036</v>
      </c>
      <c r="LY1" s="33">
        <v>2037</v>
      </c>
      <c r="LZ1" s="33">
        <v>2038</v>
      </c>
      <c r="MA1" s="33">
        <v>2039</v>
      </c>
      <c r="MB1" s="33">
        <v>2040</v>
      </c>
      <c r="MC1" s="33">
        <v>2041</v>
      </c>
      <c r="MD1" s="33">
        <v>2042</v>
      </c>
      <c r="ME1" s="33">
        <v>2043</v>
      </c>
      <c r="MF1" s="33">
        <v>2044</v>
      </c>
      <c r="MG1" s="33">
        <v>2045</v>
      </c>
      <c r="MH1" s="33">
        <v>2046</v>
      </c>
      <c r="MI1" s="33">
        <v>2047</v>
      </c>
      <c r="MJ1" s="33">
        <v>2048</v>
      </c>
      <c r="MK1" s="33">
        <v>2049</v>
      </c>
      <c r="ML1" s="34">
        <v>2050</v>
      </c>
    </row>
    <row r="2" spans="1:350" s="4" customFormat="1" ht="20" x14ac:dyDescent="0.3">
      <c r="C2" s="3"/>
      <c r="H2" s="35" t="s">
        <v>4</v>
      </c>
      <c r="I2" s="36"/>
      <c r="J2" s="36"/>
      <c r="K2" s="36"/>
      <c r="L2" s="36"/>
      <c r="M2" s="36"/>
      <c r="N2" s="36"/>
      <c r="O2" s="36"/>
      <c r="P2" s="36"/>
      <c r="Q2" s="37"/>
      <c r="S2" s="38" t="s">
        <v>514</v>
      </c>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40"/>
      <c r="BD2" s="41" t="s">
        <v>515</v>
      </c>
      <c r="BE2" s="42"/>
      <c r="BF2" s="42"/>
      <c r="BG2" s="42"/>
      <c r="BH2" s="42"/>
      <c r="BI2" s="42"/>
      <c r="BJ2" s="42"/>
      <c r="BK2" s="42"/>
      <c r="BL2" s="42"/>
      <c r="BM2" s="42"/>
      <c r="BN2" s="42"/>
      <c r="BO2" s="42"/>
      <c r="BP2" s="42"/>
      <c r="BQ2" s="42"/>
      <c r="BR2" s="42"/>
      <c r="BS2" s="42"/>
      <c r="BT2" s="42"/>
      <c r="BU2" s="42"/>
      <c r="BV2" s="42"/>
      <c r="BW2" s="42"/>
      <c r="BX2" s="42"/>
      <c r="BY2" s="42"/>
      <c r="BZ2" s="42"/>
      <c r="CA2" s="42"/>
      <c r="CB2" s="42"/>
      <c r="CC2" s="42"/>
      <c r="CD2" s="42"/>
      <c r="CE2" s="42"/>
      <c r="CF2" s="42"/>
      <c r="CG2" s="42"/>
      <c r="CH2" s="42"/>
      <c r="CI2" s="42"/>
      <c r="CJ2" s="42"/>
      <c r="CK2" s="42"/>
      <c r="CL2" s="42"/>
      <c r="CM2" s="43"/>
      <c r="CO2" s="44" t="s">
        <v>516</v>
      </c>
      <c r="CP2" s="45"/>
      <c r="CQ2" s="45"/>
      <c r="CR2" s="45"/>
      <c r="CS2" s="45"/>
      <c r="CT2" s="45"/>
      <c r="CU2" s="45"/>
      <c r="CV2" s="45"/>
      <c r="CW2" s="45"/>
      <c r="CX2" s="45"/>
      <c r="CY2" s="45"/>
      <c r="CZ2" s="45"/>
      <c r="DA2" s="45"/>
      <c r="DB2" s="45"/>
      <c r="DC2" s="45"/>
      <c r="DD2" s="45"/>
      <c r="DE2" s="45"/>
      <c r="DF2" s="45"/>
      <c r="DG2" s="45"/>
      <c r="DH2" s="45"/>
      <c r="DI2" s="45"/>
      <c r="DJ2" s="45"/>
      <c r="DK2" s="45"/>
      <c r="DL2" s="45"/>
      <c r="DM2" s="45"/>
      <c r="DN2" s="45"/>
      <c r="DO2" s="45"/>
      <c r="DP2" s="45"/>
      <c r="DQ2" s="45"/>
      <c r="DR2" s="45"/>
      <c r="DS2" s="45"/>
      <c r="DT2" s="45"/>
      <c r="DU2" s="45"/>
      <c r="DV2" s="45"/>
      <c r="DW2" s="45"/>
      <c r="DX2" s="46"/>
      <c r="DZ2" s="47" t="s">
        <v>517</v>
      </c>
      <c r="EA2" s="48"/>
      <c r="EB2" s="48"/>
      <c r="EC2" s="48"/>
      <c r="ED2" s="48"/>
      <c r="EE2" s="48"/>
      <c r="EF2" s="48"/>
      <c r="EG2" s="48"/>
      <c r="EH2" s="48"/>
      <c r="EI2" s="48"/>
      <c r="EJ2" s="48"/>
      <c r="EK2" s="48"/>
      <c r="EL2" s="48"/>
      <c r="EM2" s="48"/>
      <c r="EN2" s="48"/>
      <c r="EO2" s="48"/>
      <c r="EP2" s="48"/>
      <c r="EQ2" s="48"/>
      <c r="ER2" s="48"/>
      <c r="ES2" s="48"/>
      <c r="ET2" s="48"/>
      <c r="EU2" s="48"/>
      <c r="EV2" s="48"/>
      <c r="EW2" s="48"/>
      <c r="EX2" s="48"/>
      <c r="EY2" s="48"/>
      <c r="EZ2" s="48"/>
      <c r="FA2" s="48"/>
      <c r="FB2" s="48"/>
      <c r="FC2" s="48"/>
      <c r="FD2" s="48"/>
      <c r="FE2" s="48"/>
      <c r="FF2" s="48"/>
      <c r="FG2" s="48"/>
      <c r="FH2" s="48"/>
      <c r="FI2" s="49"/>
      <c r="FK2" s="50" t="s">
        <v>518</v>
      </c>
      <c r="FL2" s="51"/>
      <c r="FM2" s="51"/>
      <c r="FN2" s="51"/>
      <c r="FO2" s="51"/>
      <c r="FP2" s="51"/>
      <c r="FQ2" s="51"/>
      <c r="FR2" s="51"/>
      <c r="FS2" s="51"/>
      <c r="FT2" s="51"/>
      <c r="FU2" s="51"/>
      <c r="FV2" s="51"/>
      <c r="FW2" s="51"/>
      <c r="FX2" s="51"/>
      <c r="FY2" s="51"/>
      <c r="FZ2" s="51"/>
      <c r="GA2" s="51"/>
      <c r="GB2" s="51"/>
      <c r="GC2" s="51"/>
      <c r="GD2" s="51"/>
      <c r="GE2" s="51"/>
      <c r="GF2" s="51"/>
      <c r="GG2" s="51"/>
      <c r="GH2" s="51"/>
      <c r="GI2" s="51"/>
      <c r="GJ2" s="51"/>
      <c r="GK2" s="51"/>
      <c r="GL2" s="51"/>
      <c r="GM2" s="51"/>
      <c r="GN2" s="51"/>
      <c r="GO2" s="51"/>
      <c r="GP2" s="51"/>
      <c r="GQ2" s="51"/>
      <c r="GR2" s="51"/>
      <c r="GS2" s="51"/>
      <c r="GT2" s="52"/>
      <c r="GV2" s="53" t="s">
        <v>519</v>
      </c>
      <c r="GW2" s="54"/>
      <c r="GX2" s="54"/>
      <c r="GY2" s="54"/>
      <c r="GZ2" s="54"/>
      <c r="HA2" s="54"/>
      <c r="HB2" s="54"/>
      <c r="HC2" s="54"/>
      <c r="HD2" s="54"/>
      <c r="HE2" s="54"/>
      <c r="HF2" s="54"/>
      <c r="HG2" s="54"/>
      <c r="HH2" s="54"/>
      <c r="HI2" s="54"/>
      <c r="HJ2" s="54"/>
      <c r="HK2" s="54"/>
      <c r="HL2" s="54"/>
      <c r="HM2" s="54"/>
      <c r="HN2" s="54"/>
      <c r="HO2" s="54"/>
      <c r="HP2" s="54"/>
      <c r="HQ2" s="54"/>
      <c r="HR2" s="54"/>
      <c r="HS2" s="54"/>
      <c r="HT2" s="54"/>
      <c r="HU2" s="54"/>
      <c r="HV2" s="54"/>
      <c r="HW2" s="54"/>
      <c r="HX2" s="54"/>
      <c r="HY2" s="54"/>
      <c r="HZ2" s="54"/>
      <c r="IA2" s="54"/>
      <c r="IB2" s="54"/>
      <c r="IC2" s="54"/>
      <c r="ID2" s="54"/>
      <c r="IE2" s="55"/>
      <c r="IG2" s="56" t="s">
        <v>11</v>
      </c>
      <c r="IH2" s="57"/>
      <c r="II2" s="57"/>
      <c r="IJ2" s="57"/>
      <c r="IK2" s="57"/>
      <c r="IL2" s="57"/>
      <c r="IM2" s="57"/>
      <c r="IN2" s="57"/>
      <c r="IO2" s="57"/>
      <c r="IP2" s="57"/>
      <c r="IQ2" s="57"/>
      <c r="IR2" s="57"/>
      <c r="IS2" s="57"/>
      <c r="IT2" s="57"/>
      <c r="IU2" s="57"/>
      <c r="IV2" s="57"/>
      <c r="IW2" s="57"/>
      <c r="IX2" s="57"/>
      <c r="IY2" s="57"/>
      <c r="IZ2" s="57"/>
      <c r="JA2" s="57"/>
      <c r="JB2" s="57"/>
      <c r="JC2" s="57"/>
      <c r="JD2" s="57"/>
      <c r="JE2" s="57"/>
      <c r="JF2" s="57"/>
      <c r="JG2" s="57"/>
      <c r="JH2" s="57"/>
      <c r="JI2" s="57"/>
      <c r="JJ2" s="57"/>
      <c r="JK2" s="57"/>
      <c r="JL2" s="57"/>
      <c r="JM2" s="57"/>
      <c r="JN2" s="57"/>
      <c r="JO2" s="57"/>
      <c r="JP2" s="58"/>
      <c r="JR2" s="59" t="s">
        <v>521</v>
      </c>
      <c r="JS2" s="60"/>
      <c r="JT2" s="60"/>
      <c r="JU2" s="60"/>
      <c r="JV2" s="60"/>
      <c r="JW2" s="60"/>
      <c r="JX2" s="60"/>
      <c r="JY2" s="60"/>
      <c r="JZ2" s="60"/>
      <c r="KA2" s="60"/>
      <c r="KB2" s="60"/>
      <c r="KC2" s="60"/>
      <c r="KD2" s="60"/>
      <c r="KE2" s="60"/>
      <c r="KF2" s="60"/>
      <c r="KG2" s="60"/>
      <c r="KH2" s="60"/>
      <c r="KI2" s="60"/>
      <c r="KJ2" s="60"/>
      <c r="KK2" s="60"/>
      <c r="KL2" s="60"/>
      <c r="KM2" s="60"/>
      <c r="KN2" s="60"/>
      <c r="KO2" s="60"/>
      <c r="KP2" s="60"/>
      <c r="KQ2" s="60"/>
      <c r="KR2" s="60"/>
      <c r="KS2" s="60"/>
      <c r="KT2" s="60"/>
      <c r="KU2" s="60"/>
      <c r="KV2" s="60"/>
      <c r="KW2" s="60"/>
      <c r="KX2" s="60"/>
      <c r="KY2" s="60"/>
      <c r="KZ2" s="60"/>
      <c r="LA2" s="61"/>
      <c r="LC2" s="62" t="s">
        <v>522</v>
      </c>
      <c r="LD2" s="63"/>
      <c r="LE2" s="63"/>
      <c r="LF2" s="63"/>
      <c r="LG2" s="63"/>
      <c r="LH2" s="63"/>
      <c r="LI2" s="63"/>
      <c r="LJ2" s="63"/>
      <c r="LK2" s="63"/>
      <c r="LL2" s="63"/>
      <c r="LM2" s="63"/>
      <c r="LN2" s="63"/>
      <c r="LO2" s="63"/>
      <c r="LP2" s="63"/>
      <c r="LQ2" s="63"/>
      <c r="LR2" s="63"/>
      <c r="LS2" s="63"/>
      <c r="LT2" s="63"/>
      <c r="LU2" s="63"/>
      <c r="LV2" s="63"/>
      <c r="LW2" s="63"/>
      <c r="LX2" s="63"/>
      <c r="LY2" s="63"/>
      <c r="LZ2" s="63"/>
      <c r="MA2" s="63"/>
      <c r="MB2" s="63"/>
      <c r="MC2" s="63"/>
      <c r="MD2" s="63"/>
      <c r="ME2" s="63"/>
      <c r="MF2" s="63"/>
      <c r="MG2" s="63"/>
      <c r="MH2" s="63"/>
      <c r="MI2" s="63"/>
      <c r="MJ2" s="63"/>
      <c r="MK2" s="63"/>
      <c r="ML2" s="64"/>
    </row>
    <row r="4" spans="1:350" x14ac:dyDescent="0.3">
      <c r="C4" s="65" t="s">
        <v>3</v>
      </c>
      <c r="D4" s="65">
        <v>44816</v>
      </c>
      <c r="H4" s="66" t="s">
        <v>4</v>
      </c>
      <c r="I4" s="66" t="s">
        <v>4</v>
      </c>
      <c r="J4" s="66" t="s">
        <v>4</v>
      </c>
      <c r="K4" s="66" t="s">
        <v>4</v>
      </c>
      <c r="L4" s="66" t="s">
        <v>4</v>
      </c>
      <c r="M4" s="66" t="s">
        <v>4</v>
      </c>
      <c r="N4" s="66" t="s">
        <v>4</v>
      </c>
      <c r="O4" s="66" t="s">
        <v>4</v>
      </c>
      <c r="P4" s="66" t="s">
        <v>4</v>
      </c>
      <c r="Q4" s="66" t="s">
        <v>4</v>
      </c>
      <c r="S4" s="66" t="s">
        <v>5</v>
      </c>
      <c r="T4" s="66" t="s">
        <v>5</v>
      </c>
      <c r="U4" s="66" t="s">
        <v>5</v>
      </c>
      <c r="V4" s="66" t="s">
        <v>5</v>
      </c>
      <c r="W4" s="66" t="s">
        <v>5</v>
      </c>
      <c r="X4" s="66" t="s">
        <v>5</v>
      </c>
      <c r="Y4" s="66" t="s">
        <v>5</v>
      </c>
      <c r="Z4" s="66" t="s">
        <v>5</v>
      </c>
      <c r="AA4" s="66" t="s">
        <v>5</v>
      </c>
      <c r="AB4" s="66" t="s">
        <v>5</v>
      </c>
      <c r="AC4" s="66" t="s">
        <v>5</v>
      </c>
      <c r="AD4" s="66" t="s">
        <v>5</v>
      </c>
      <c r="AE4" s="66" t="s">
        <v>5</v>
      </c>
      <c r="AF4" s="66" t="s">
        <v>5</v>
      </c>
      <c r="AG4" s="66" t="s">
        <v>5</v>
      </c>
      <c r="AH4" s="66" t="s">
        <v>5</v>
      </c>
      <c r="AI4" s="66" t="s">
        <v>5</v>
      </c>
      <c r="AJ4" s="66" t="s">
        <v>5</v>
      </c>
      <c r="AK4" s="66" t="s">
        <v>5</v>
      </c>
      <c r="AL4" s="66" t="s">
        <v>5</v>
      </c>
      <c r="AM4" s="66" t="s">
        <v>5</v>
      </c>
      <c r="AN4" s="66" t="s">
        <v>5</v>
      </c>
      <c r="AO4" s="66" t="s">
        <v>5</v>
      </c>
      <c r="AP4" s="66" t="s">
        <v>5</v>
      </c>
      <c r="AQ4" s="66" t="s">
        <v>5</v>
      </c>
      <c r="AR4" s="66" t="s">
        <v>5</v>
      </c>
      <c r="AS4" s="66" t="s">
        <v>5</v>
      </c>
      <c r="AT4" s="66" t="s">
        <v>5</v>
      </c>
      <c r="AU4" s="66" t="s">
        <v>5</v>
      </c>
      <c r="AV4" s="66" t="s">
        <v>5</v>
      </c>
      <c r="AW4" s="66" t="s">
        <v>5</v>
      </c>
      <c r="AX4" s="66" t="s">
        <v>5</v>
      </c>
      <c r="AY4" s="66" t="s">
        <v>5</v>
      </c>
      <c r="AZ4" s="66" t="s">
        <v>5</v>
      </c>
      <c r="BA4" s="66" t="s">
        <v>5</v>
      </c>
      <c r="BB4" s="66" t="s">
        <v>5</v>
      </c>
      <c r="BD4" s="66" t="s">
        <v>6</v>
      </c>
      <c r="BE4" s="66" t="s">
        <v>6</v>
      </c>
      <c r="BF4" s="66" t="s">
        <v>6</v>
      </c>
      <c r="BG4" s="66" t="s">
        <v>6</v>
      </c>
      <c r="BH4" s="66" t="s">
        <v>6</v>
      </c>
      <c r="BI4" s="66" t="s">
        <v>6</v>
      </c>
      <c r="BJ4" s="66" t="s">
        <v>6</v>
      </c>
      <c r="BK4" s="66" t="s">
        <v>6</v>
      </c>
      <c r="BL4" s="66" t="s">
        <v>6</v>
      </c>
      <c r="BM4" s="66" t="s">
        <v>6</v>
      </c>
      <c r="BN4" s="66" t="s">
        <v>6</v>
      </c>
      <c r="BO4" s="66" t="s">
        <v>6</v>
      </c>
      <c r="BP4" s="66" t="s">
        <v>6</v>
      </c>
      <c r="BQ4" s="66" t="s">
        <v>6</v>
      </c>
      <c r="BR4" s="66" t="s">
        <v>6</v>
      </c>
      <c r="BS4" s="66" t="s">
        <v>6</v>
      </c>
      <c r="BT4" s="66" t="s">
        <v>6</v>
      </c>
      <c r="BU4" s="66" t="s">
        <v>6</v>
      </c>
      <c r="BV4" s="66" t="s">
        <v>6</v>
      </c>
      <c r="BW4" s="66" t="s">
        <v>6</v>
      </c>
      <c r="BX4" s="66" t="s">
        <v>6</v>
      </c>
      <c r="BY4" s="66" t="s">
        <v>6</v>
      </c>
      <c r="BZ4" s="66" t="s">
        <v>6</v>
      </c>
      <c r="CA4" s="66" t="s">
        <v>6</v>
      </c>
      <c r="CB4" s="66" t="s">
        <v>6</v>
      </c>
      <c r="CC4" s="66" t="s">
        <v>6</v>
      </c>
      <c r="CD4" s="66" t="s">
        <v>6</v>
      </c>
      <c r="CE4" s="66" t="s">
        <v>6</v>
      </c>
      <c r="CF4" s="66" t="s">
        <v>6</v>
      </c>
      <c r="CG4" s="66" t="s">
        <v>6</v>
      </c>
      <c r="CH4" s="66" t="s">
        <v>6</v>
      </c>
      <c r="CI4" s="66" t="s">
        <v>6</v>
      </c>
      <c r="CJ4" s="66" t="s">
        <v>6</v>
      </c>
      <c r="CK4" s="66" t="s">
        <v>6</v>
      </c>
      <c r="CL4" s="66" t="s">
        <v>6</v>
      </c>
      <c r="CM4" s="66" t="s">
        <v>6</v>
      </c>
      <c r="CO4" s="66" t="s">
        <v>7</v>
      </c>
      <c r="CP4" s="66" t="s">
        <v>7</v>
      </c>
      <c r="CQ4" s="66" t="s">
        <v>7</v>
      </c>
      <c r="CR4" s="66" t="s">
        <v>7</v>
      </c>
      <c r="CS4" s="66" t="s">
        <v>7</v>
      </c>
      <c r="CT4" s="66" t="s">
        <v>7</v>
      </c>
      <c r="CU4" s="66" t="s">
        <v>7</v>
      </c>
      <c r="CV4" s="66" t="s">
        <v>7</v>
      </c>
      <c r="CW4" s="66" t="s">
        <v>7</v>
      </c>
      <c r="CX4" s="66" t="s">
        <v>7</v>
      </c>
      <c r="CY4" s="66" t="s">
        <v>7</v>
      </c>
      <c r="CZ4" s="66" t="s">
        <v>7</v>
      </c>
      <c r="DA4" s="66" t="s">
        <v>7</v>
      </c>
      <c r="DB4" s="66" t="s">
        <v>7</v>
      </c>
      <c r="DC4" s="66" t="s">
        <v>7</v>
      </c>
      <c r="DD4" s="66" t="s">
        <v>7</v>
      </c>
      <c r="DE4" s="66" t="s">
        <v>7</v>
      </c>
      <c r="DF4" s="66" t="s">
        <v>7</v>
      </c>
      <c r="DG4" s="66" t="s">
        <v>7</v>
      </c>
      <c r="DH4" s="66" t="s">
        <v>7</v>
      </c>
      <c r="DI4" s="66" t="s">
        <v>7</v>
      </c>
      <c r="DJ4" s="66" t="s">
        <v>7</v>
      </c>
      <c r="DK4" s="66" t="s">
        <v>7</v>
      </c>
      <c r="DL4" s="66" t="s">
        <v>7</v>
      </c>
      <c r="DM4" s="66" t="s">
        <v>7</v>
      </c>
      <c r="DN4" s="66" t="s">
        <v>7</v>
      </c>
      <c r="DO4" s="66" t="s">
        <v>7</v>
      </c>
      <c r="DP4" s="66" t="s">
        <v>7</v>
      </c>
      <c r="DQ4" s="66" t="s">
        <v>7</v>
      </c>
      <c r="DR4" s="66" t="s">
        <v>7</v>
      </c>
      <c r="DS4" s="66" t="s">
        <v>7</v>
      </c>
      <c r="DT4" s="66" t="s">
        <v>7</v>
      </c>
      <c r="DU4" s="66" t="s">
        <v>7</v>
      </c>
      <c r="DV4" s="66" t="s">
        <v>7</v>
      </c>
      <c r="DW4" s="66" t="s">
        <v>7</v>
      </c>
      <c r="DX4" s="66" t="s">
        <v>7</v>
      </c>
      <c r="DZ4" s="66" t="s">
        <v>8</v>
      </c>
      <c r="EA4" s="66" t="s">
        <v>8</v>
      </c>
      <c r="EB4" s="66" t="s">
        <v>8</v>
      </c>
      <c r="EC4" s="66" t="s">
        <v>8</v>
      </c>
      <c r="ED4" s="66" t="s">
        <v>8</v>
      </c>
      <c r="EE4" s="66" t="s">
        <v>8</v>
      </c>
      <c r="EF4" s="66" t="s">
        <v>8</v>
      </c>
      <c r="EG4" s="66" t="s">
        <v>8</v>
      </c>
      <c r="EH4" s="66" t="s">
        <v>8</v>
      </c>
      <c r="EI4" s="66" t="s">
        <v>8</v>
      </c>
      <c r="EJ4" s="66" t="s">
        <v>8</v>
      </c>
      <c r="EK4" s="66" t="s">
        <v>8</v>
      </c>
      <c r="EL4" s="66" t="s">
        <v>8</v>
      </c>
      <c r="EM4" s="66" t="s">
        <v>8</v>
      </c>
      <c r="EN4" s="66" t="s">
        <v>8</v>
      </c>
      <c r="EO4" s="66" t="s">
        <v>8</v>
      </c>
      <c r="EP4" s="66" t="s">
        <v>8</v>
      </c>
      <c r="EQ4" s="66" t="s">
        <v>8</v>
      </c>
      <c r="ER4" s="66" t="s">
        <v>8</v>
      </c>
      <c r="ES4" s="66" t="s">
        <v>8</v>
      </c>
      <c r="ET4" s="66" t="s">
        <v>8</v>
      </c>
      <c r="EU4" s="66" t="s">
        <v>8</v>
      </c>
      <c r="EV4" s="66" t="s">
        <v>8</v>
      </c>
      <c r="EW4" s="66" t="s">
        <v>8</v>
      </c>
      <c r="EX4" s="66" t="s">
        <v>8</v>
      </c>
      <c r="EY4" s="66" t="s">
        <v>8</v>
      </c>
      <c r="EZ4" s="66" t="s">
        <v>8</v>
      </c>
      <c r="FA4" s="66" t="s">
        <v>8</v>
      </c>
      <c r="FB4" s="66" t="s">
        <v>8</v>
      </c>
      <c r="FC4" s="66" t="s">
        <v>8</v>
      </c>
      <c r="FD4" s="66" t="s">
        <v>8</v>
      </c>
      <c r="FE4" s="66" t="s">
        <v>8</v>
      </c>
      <c r="FF4" s="66" t="s">
        <v>8</v>
      </c>
      <c r="FG4" s="66" t="s">
        <v>8</v>
      </c>
      <c r="FH4" s="66" t="s">
        <v>8</v>
      </c>
      <c r="FI4" s="66" t="s">
        <v>8</v>
      </c>
      <c r="FK4" s="66" t="s">
        <v>9</v>
      </c>
      <c r="FL4" s="66" t="s">
        <v>9</v>
      </c>
      <c r="FM4" s="66" t="s">
        <v>9</v>
      </c>
      <c r="FN4" s="66" t="s">
        <v>9</v>
      </c>
      <c r="FO4" s="66" t="s">
        <v>9</v>
      </c>
      <c r="FP4" s="66" t="s">
        <v>9</v>
      </c>
      <c r="FQ4" s="66" t="s">
        <v>9</v>
      </c>
      <c r="FR4" s="66" t="s">
        <v>9</v>
      </c>
      <c r="FS4" s="66" t="s">
        <v>9</v>
      </c>
      <c r="FT4" s="66" t="s">
        <v>9</v>
      </c>
      <c r="FU4" s="66" t="s">
        <v>9</v>
      </c>
      <c r="FV4" s="66" t="s">
        <v>9</v>
      </c>
      <c r="FW4" s="66" t="s">
        <v>9</v>
      </c>
      <c r="FX4" s="66" t="s">
        <v>9</v>
      </c>
      <c r="FY4" s="66" t="s">
        <v>9</v>
      </c>
      <c r="FZ4" s="66" t="s">
        <v>9</v>
      </c>
      <c r="GA4" s="66" t="s">
        <v>9</v>
      </c>
      <c r="GB4" s="66" t="s">
        <v>9</v>
      </c>
      <c r="GC4" s="66" t="s">
        <v>9</v>
      </c>
      <c r="GD4" s="66" t="s">
        <v>9</v>
      </c>
      <c r="GE4" s="66" t="s">
        <v>9</v>
      </c>
      <c r="GF4" s="66" t="s">
        <v>9</v>
      </c>
      <c r="GG4" s="66" t="s">
        <v>9</v>
      </c>
      <c r="GH4" s="66" t="s">
        <v>9</v>
      </c>
      <c r="GI4" s="66" t="s">
        <v>9</v>
      </c>
      <c r="GJ4" s="66" t="s">
        <v>9</v>
      </c>
      <c r="GK4" s="66" t="s">
        <v>9</v>
      </c>
      <c r="GL4" s="66" t="s">
        <v>9</v>
      </c>
      <c r="GM4" s="66" t="s">
        <v>9</v>
      </c>
      <c r="GN4" s="66" t="s">
        <v>9</v>
      </c>
      <c r="GO4" s="66" t="s">
        <v>9</v>
      </c>
      <c r="GP4" s="66" t="s">
        <v>9</v>
      </c>
      <c r="GQ4" s="66" t="s">
        <v>9</v>
      </c>
      <c r="GR4" s="66" t="s">
        <v>9</v>
      </c>
      <c r="GS4" s="66" t="s">
        <v>9</v>
      </c>
      <c r="GT4" s="66" t="s">
        <v>9</v>
      </c>
      <c r="GV4" s="66" t="s">
        <v>10</v>
      </c>
      <c r="GW4" s="66" t="s">
        <v>10</v>
      </c>
      <c r="GX4" s="66" t="s">
        <v>10</v>
      </c>
      <c r="GY4" s="66" t="s">
        <v>10</v>
      </c>
      <c r="GZ4" s="66" t="s">
        <v>10</v>
      </c>
      <c r="HA4" s="66" t="s">
        <v>10</v>
      </c>
      <c r="HB4" s="66" t="s">
        <v>10</v>
      </c>
      <c r="HC4" s="66" t="s">
        <v>10</v>
      </c>
      <c r="HD4" s="66" t="s">
        <v>10</v>
      </c>
      <c r="HE4" s="66" t="s">
        <v>10</v>
      </c>
      <c r="HF4" s="66" t="s">
        <v>10</v>
      </c>
      <c r="HG4" s="66" t="s">
        <v>10</v>
      </c>
      <c r="HH4" s="66" t="s">
        <v>10</v>
      </c>
      <c r="HI4" s="66" t="s">
        <v>10</v>
      </c>
      <c r="HJ4" s="66" t="s">
        <v>10</v>
      </c>
      <c r="HK4" s="66" t="s">
        <v>10</v>
      </c>
      <c r="HL4" s="66" t="s">
        <v>10</v>
      </c>
      <c r="HM4" s="66" t="s">
        <v>10</v>
      </c>
      <c r="HN4" s="66" t="s">
        <v>10</v>
      </c>
      <c r="HO4" s="66" t="s">
        <v>10</v>
      </c>
      <c r="HP4" s="66" t="s">
        <v>10</v>
      </c>
      <c r="HQ4" s="66" t="s">
        <v>10</v>
      </c>
      <c r="HR4" s="66" t="s">
        <v>10</v>
      </c>
      <c r="HS4" s="66" t="s">
        <v>10</v>
      </c>
      <c r="HT4" s="66" t="s">
        <v>10</v>
      </c>
      <c r="HU4" s="66" t="s">
        <v>10</v>
      </c>
      <c r="HV4" s="66" t="s">
        <v>10</v>
      </c>
      <c r="HW4" s="66" t="s">
        <v>10</v>
      </c>
      <c r="HX4" s="66" t="s">
        <v>10</v>
      </c>
      <c r="HY4" s="66" t="s">
        <v>10</v>
      </c>
      <c r="HZ4" s="66" t="s">
        <v>10</v>
      </c>
      <c r="IA4" s="66" t="s">
        <v>10</v>
      </c>
      <c r="IB4" s="66" t="s">
        <v>10</v>
      </c>
      <c r="IC4" s="66" t="s">
        <v>10</v>
      </c>
      <c r="ID4" s="66" t="s">
        <v>10</v>
      </c>
      <c r="IE4" s="66" t="s">
        <v>10</v>
      </c>
      <c r="IG4" s="67" t="s">
        <v>11</v>
      </c>
      <c r="IH4" s="67" t="s">
        <v>11</v>
      </c>
      <c r="II4" s="67" t="s">
        <v>11</v>
      </c>
      <c r="IJ4" s="67" t="s">
        <v>11</v>
      </c>
      <c r="IK4" s="67" t="s">
        <v>11</v>
      </c>
      <c r="IL4" s="67" t="s">
        <v>11</v>
      </c>
      <c r="IM4" s="67" t="s">
        <v>11</v>
      </c>
      <c r="IN4" s="67" t="s">
        <v>11</v>
      </c>
      <c r="IO4" s="67" t="s">
        <v>11</v>
      </c>
      <c r="IP4" s="67" t="s">
        <v>11</v>
      </c>
      <c r="IQ4" s="67" t="s">
        <v>11</v>
      </c>
      <c r="IR4" s="67" t="s">
        <v>11</v>
      </c>
      <c r="IS4" s="67" t="s">
        <v>11</v>
      </c>
      <c r="IT4" s="67" t="s">
        <v>11</v>
      </c>
      <c r="IU4" s="67" t="s">
        <v>11</v>
      </c>
      <c r="IV4" s="67" t="s">
        <v>11</v>
      </c>
      <c r="IW4" s="67" t="s">
        <v>11</v>
      </c>
      <c r="IX4" s="67" t="s">
        <v>11</v>
      </c>
      <c r="IY4" s="67" t="s">
        <v>11</v>
      </c>
      <c r="IZ4" s="67" t="s">
        <v>11</v>
      </c>
      <c r="JA4" s="67" t="s">
        <v>11</v>
      </c>
      <c r="JB4" s="67" t="s">
        <v>11</v>
      </c>
      <c r="JC4" s="67" t="s">
        <v>11</v>
      </c>
      <c r="JD4" s="67" t="s">
        <v>11</v>
      </c>
      <c r="JE4" s="67" t="s">
        <v>11</v>
      </c>
      <c r="JF4" s="67" t="s">
        <v>11</v>
      </c>
      <c r="JG4" s="67" t="s">
        <v>11</v>
      </c>
      <c r="JH4" s="67" t="s">
        <v>11</v>
      </c>
      <c r="JI4" s="67" t="s">
        <v>11</v>
      </c>
      <c r="JJ4" s="67" t="s">
        <v>11</v>
      </c>
      <c r="JK4" s="67" t="s">
        <v>11</v>
      </c>
      <c r="JL4" s="67" t="s">
        <v>11</v>
      </c>
      <c r="JM4" s="67" t="s">
        <v>11</v>
      </c>
      <c r="JN4" s="67" t="s">
        <v>11</v>
      </c>
      <c r="JO4" s="67" t="s">
        <v>11</v>
      </c>
      <c r="JP4" s="67" t="s">
        <v>11</v>
      </c>
      <c r="JR4" s="68" t="s">
        <v>520</v>
      </c>
      <c r="JS4" s="68" t="s">
        <v>520</v>
      </c>
      <c r="JT4" s="68" t="s">
        <v>520</v>
      </c>
      <c r="JU4" s="68" t="s">
        <v>520</v>
      </c>
      <c r="JV4" s="68" t="s">
        <v>520</v>
      </c>
      <c r="JW4" s="68" t="s">
        <v>520</v>
      </c>
      <c r="JX4" s="68" t="s">
        <v>520</v>
      </c>
      <c r="JY4" s="68" t="s">
        <v>520</v>
      </c>
      <c r="JZ4" s="68" t="s">
        <v>520</v>
      </c>
      <c r="KA4" s="68" t="s">
        <v>520</v>
      </c>
      <c r="KB4" s="68" t="s">
        <v>520</v>
      </c>
      <c r="KC4" s="68" t="s">
        <v>520</v>
      </c>
      <c r="KD4" s="68" t="s">
        <v>520</v>
      </c>
      <c r="KE4" s="68" t="s">
        <v>520</v>
      </c>
      <c r="KF4" s="68" t="s">
        <v>520</v>
      </c>
      <c r="KG4" s="68" t="s">
        <v>520</v>
      </c>
      <c r="KH4" s="68" t="s">
        <v>520</v>
      </c>
      <c r="KI4" s="68" t="s">
        <v>520</v>
      </c>
      <c r="KJ4" s="68" t="s">
        <v>520</v>
      </c>
      <c r="KK4" s="68" t="s">
        <v>520</v>
      </c>
      <c r="KL4" s="68" t="s">
        <v>520</v>
      </c>
      <c r="KM4" s="68" t="s">
        <v>520</v>
      </c>
      <c r="KN4" s="68" t="s">
        <v>520</v>
      </c>
      <c r="KO4" s="68" t="s">
        <v>520</v>
      </c>
      <c r="KP4" s="68" t="s">
        <v>520</v>
      </c>
      <c r="KQ4" s="68" t="s">
        <v>520</v>
      </c>
      <c r="KR4" s="68" t="s">
        <v>520</v>
      </c>
      <c r="KS4" s="68" t="s">
        <v>520</v>
      </c>
      <c r="KT4" s="68" t="s">
        <v>520</v>
      </c>
      <c r="KU4" s="68" t="s">
        <v>520</v>
      </c>
      <c r="KV4" s="68" t="s">
        <v>520</v>
      </c>
      <c r="KW4" s="68" t="s">
        <v>520</v>
      </c>
      <c r="KX4" s="68" t="s">
        <v>520</v>
      </c>
      <c r="KY4" s="68" t="s">
        <v>520</v>
      </c>
      <c r="KZ4" s="68" t="s">
        <v>520</v>
      </c>
      <c r="LA4" s="68" t="s">
        <v>520</v>
      </c>
      <c r="LC4" s="399" t="s">
        <v>527</v>
      </c>
      <c r="LD4" s="399" t="s">
        <v>527</v>
      </c>
      <c r="LE4" s="399" t="s">
        <v>527</v>
      </c>
      <c r="LF4" s="399" t="s">
        <v>527</v>
      </c>
      <c r="LG4" s="399" t="s">
        <v>527</v>
      </c>
      <c r="LH4" s="399" t="s">
        <v>527</v>
      </c>
      <c r="LI4" s="399" t="s">
        <v>527</v>
      </c>
      <c r="LJ4" s="399" t="s">
        <v>527</v>
      </c>
      <c r="LK4" s="399" t="s">
        <v>527</v>
      </c>
      <c r="LL4" s="399" t="s">
        <v>527</v>
      </c>
      <c r="LM4" s="399" t="s">
        <v>527</v>
      </c>
      <c r="LN4" s="399" t="s">
        <v>527</v>
      </c>
      <c r="LO4" s="399" t="s">
        <v>527</v>
      </c>
      <c r="LP4" s="399" t="s">
        <v>527</v>
      </c>
      <c r="LQ4" s="399" t="s">
        <v>527</v>
      </c>
      <c r="LR4" s="399" t="s">
        <v>527</v>
      </c>
      <c r="LS4" s="399" t="s">
        <v>527</v>
      </c>
      <c r="LT4" s="399" t="s">
        <v>527</v>
      </c>
      <c r="LU4" s="399" t="s">
        <v>527</v>
      </c>
      <c r="LV4" s="399" t="s">
        <v>527</v>
      </c>
      <c r="LW4" s="399" t="s">
        <v>527</v>
      </c>
      <c r="LX4" s="399" t="s">
        <v>527</v>
      </c>
      <c r="LY4" s="399" t="s">
        <v>527</v>
      </c>
      <c r="LZ4" s="399" t="s">
        <v>527</v>
      </c>
      <c r="MA4" s="399" t="s">
        <v>527</v>
      </c>
      <c r="MB4" s="399" t="s">
        <v>527</v>
      </c>
      <c r="MC4" s="399" t="s">
        <v>527</v>
      </c>
      <c r="MD4" s="399" t="s">
        <v>527</v>
      </c>
      <c r="ME4" s="399" t="s">
        <v>527</v>
      </c>
      <c r="MF4" s="399" t="s">
        <v>527</v>
      </c>
      <c r="MG4" s="399" t="s">
        <v>527</v>
      </c>
      <c r="MH4" s="399" t="s">
        <v>527</v>
      </c>
      <c r="MI4" s="399" t="s">
        <v>527</v>
      </c>
      <c r="MJ4" s="399" t="s">
        <v>527</v>
      </c>
      <c r="MK4" s="399" t="s">
        <v>527</v>
      </c>
      <c r="ML4" s="399" t="s">
        <v>527</v>
      </c>
    </row>
    <row r="5" spans="1:350" x14ac:dyDescent="0.3">
      <c r="C5" s="65"/>
      <c r="D5" s="65"/>
    </row>
    <row r="6" spans="1:350" x14ac:dyDescent="0.3">
      <c r="C6" s="69" t="s">
        <v>14</v>
      </c>
      <c r="D6" s="69" t="s">
        <v>15</v>
      </c>
    </row>
    <row r="7" spans="1:350" x14ac:dyDescent="0.3">
      <c r="C7" s="69"/>
      <c r="D7" s="69"/>
    </row>
    <row r="8" spans="1:350" ht="15.5" x14ac:dyDescent="0.35">
      <c r="C8" s="70" t="s">
        <v>16</v>
      </c>
    </row>
    <row r="10" spans="1:350" x14ac:dyDescent="0.3">
      <c r="C10" s="71" t="s">
        <v>17</v>
      </c>
    </row>
    <row r="11" spans="1:350" x14ac:dyDescent="0.3">
      <c r="C11" s="71" t="s">
        <v>18</v>
      </c>
    </row>
    <row r="12" spans="1:350" x14ac:dyDescent="0.3">
      <c r="C12" s="71" t="s">
        <v>19</v>
      </c>
    </row>
    <row r="13" spans="1:350" x14ac:dyDescent="0.3">
      <c r="C13" s="71" t="s">
        <v>20</v>
      </c>
    </row>
    <row r="14" spans="1:350" x14ac:dyDescent="0.3">
      <c r="C14" s="72" t="s">
        <v>21</v>
      </c>
    </row>
    <row r="15" spans="1:350" x14ac:dyDescent="0.3">
      <c r="C15" s="72" t="s">
        <v>22</v>
      </c>
    </row>
    <row r="16" spans="1:350" x14ac:dyDescent="0.3">
      <c r="C16" s="71" t="s">
        <v>23</v>
      </c>
    </row>
    <row r="17" spans="2:3" x14ac:dyDescent="0.3">
      <c r="C17" s="71" t="s">
        <v>24</v>
      </c>
    </row>
    <row r="20" spans="2:3" ht="20" x14ac:dyDescent="0.4">
      <c r="B20" s="73" t="s">
        <v>25</v>
      </c>
      <c r="C20" s="74" t="s">
        <v>17</v>
      </c>
    </row>
    <row r="21" spans="2:3" x14ac:dyDescent="0.3">
      <c r="C21" s="69"/>
    </row>
    <row r="22" spans="2:3" ht="15.5" x14ac:dyDescent="0.35">
      <c r="C22" s="70" t="s">
        <v>26</v>
      </c>
    </row>
    <row r="23" spans="2:3" x14ac:dyDescent="0.3">
      <c r="C23" s="69"/>
    </row>
    <row r="24" spans="2:3" x14ac:dyDescent="0.3">
      <c r="C24" s="69" t="s">
        <v>27</v>
      </c>
    </row>
    <row r="25" spans="2:3" x14ac:dyDescent="0.3">
      <c r="C25" s="69" t="s">
        <v>28</v>
      </c>
    </row>
    <row r="26" spans="2:3" x14ac:dyDescent="0.3">
      <c r="C26" s="69" t="s">
        <v>29</v>
      </c>
    </row>
    <row r="27" spans="2:3" x14ac:dyDescent="0.3">
      <c r="C27" s="69" t="s">
        <v>30</v>
      </c>
    </row>
    <row r="28" spans="2:3" x14ac:dyDescent="0.3">
      <c r="C28" s="69"/>
    </row>
    <row r="29" spans="2:3" ht="15.5" x14ac:dyDescent="0.35">
      <c r="C29" s="70" t="s">
        <v>31</v>
      </c>
    </row>
    <row r="30" spans="2:3" x14ac:dyDescent="0.3">
      <c r="C30" s="69"/>
    </row>
    <row r="31" spans="2:3" x14ac:dyDescent="0.3">
      <c r="C31" s="75" t="s">
        <v>32</v>
      </c>
    </row>
    <row r="32" spans="2:3" x14ac:dyDescent="0.3">
      <c r="C32" s="76"/>
    </row>
    <row r="33" spans="3:3" x14ac:dyDescent="0.3">
      <c r="C33" s="77" t="s">
        <v>33</v>
      </c>
    </row>
    <row r="34" spans="3:3" x14ac:dyDescent="0.3">
      <c r="C34" s="78" t="s">
        <v>34</v>
      </c>
    </row>
    <row r="35" spans="3:3" x14ac:dyDescent="0.3">
      <c r="C35" s="78" t="s">
        <v>35</v>
      </c>
    </row>
    <row r="36" spans="3:3" x14ac:dyDescent="0.3">
      <c r="C36" s="79"/>
    </row>
    <row r="37" spans="3:3" x14ac:dyDescent="0.3">
      <c r="C37" s="77" t="s">
        <v>36</v>
      </c>
    </row>
    <row r="38" spans="3:3" x14ac:dyDescent="0.3">
      <c r="C38" s="78" t="s">
        <v>37</v>
      </c>
    </row>
    <row r="39" spans="3:3" x14ac:dyDescent="0.3">
      <c r="C39" s="80" t="s">
        <v>38</v>
      </c>
    </row>
    <row r="40" spans="3:3" x14ac:dyDescent="0.3">
      <c r="C40" s="80" t="s">
        <v>39</v>
      </c>
    </row>
    <row r="41" spans="3:3" x14ac:dyDescent="0.3">
      <c r="C41" s="80" t="s">
        <v>40</v>
      </c>
    </row>
    <row r="42" spans="3:3" x14ac:dyDescent="0.3">
      <c r="C42" s="80" t="s">
        <v>41</v>
      </c>
    </row>
    <row r="43" spans="3:3" x14ac:dyDescent="0.3">
      <c r="C43" s="80" t="s">
        <v>42</v>
      </c>
    </row>
    <row r="44" spans="3:3" x14ac:dyDescent="0.3">
      <c r="C44" s="80" t="s">
        <v>43</v>
      </c>
    </row>
    <row r="45" spans="3:3" x14ac:dyDescent="0.3">
      <c r="C45" s="80"/>
    </row>
    <row r="46" spans="3:3" x14ac:dyDescent="0.3">
      <c r="C46" s="80" t="s">
        <v>44</v>
      </c>
    </row>
    <row r="47" spans="3:3" x14ac:dyDescent="0.3">
      <c r="C47" s="80" t="s">
        <v>45</v>
      </c>
    </row>
    <row r="48" spans="3:3" x14ac:dyDescent="0.3">
      <c r="C48" s="80" t="s">
        <v>46</v>
      </c>
    </row>
    <row r="49" spans="2:3" x14ac:dyDescent="0.3">
      <c r="C49" s="80" t="s">
        <v>47</v>
      </c>
    </row>
    <row r="50" spans="2:3" x14ac:dyDescent="0.3">
      <c r="C50" s="80" t="s">
        <v>48</v>
      </c>
    </row>
    <row r="51" spans="2:3" x14ac:dyDescent="0.3">
      <c r="C51" s="80" t="s">
        <v>49</v>
      </c>
    </row>
    <row r="52" spans="2:3" x14ac:dyDescent="0.3">
      <c r="C52" s="80" t="s">
        <v>50</v>
      </c>
    </row>
    <row r="53" spans="2:3" x14ac:dyDescent="0.3">
      <c r="C53" s="80" t="s">
        <v>51</v>
      </c>
    </row>
    <row r="54" spans="2:3" x14ac:dyDescent="0.3">
      <c r="C54" s="80" t="s">
        <v>52</v>
      </c>
    </row>
    <row r="55" spans="2:3" x14ac:dyDescent="0.3">
      <c r="C55" s="80" t="s">
        <v>53</v>
      </c>
    </row>
    <row r="56" spans="2:3" x14ac:dyDescent="0.3">
      <c r="C56" s="80" t="s">
        <v>54</v>
      </c>
    </row>
    <row r="57" spans="2:3" x14ac:dyDescent="0.3">
      <c r="C57" s="80"/>
    </row>
    <row r="58" spans="2:3" x14ac:dyDescent="0.3">
      <c r="C58" s="78" t="s">
        <v>55</v>
      </c>
    </row>
    <row r="59" spans="2:3" x14ac:dyDescent="0.3">
      <c r="C59" s="78" t="s">
        <v>56</v>
      </c>
    </row>
    <row r="60" spans="2:3" x14ac:dyDescent="0.3">
      <c r="C60" s="78" t="s">
        <v>57</v>
      </c>
    </row>
    <row r="61" spans="2:3" x14ac:dyDescent="0.3">
      <c r="C61" s="78" t="s">
        <v>58</v>
      </c>
    </row>
    <row r="62" spans="2:3" x14ac:dyDescent="0.3">
      <c r="C62" s="79"/>
    </row>
    <row r="63" spans="2:3" x14ac:dyDescent="0.3">
      <c r="C63" s="77" t="s">
        <v>59</v>
      </c>
    </row>
    <row r="64" spans="2:3" x14ac:dyDescent="0.3">
      <c r="B64" s="81" t="s">
        <v>60</v>
      </c>
      <c r="C64" s="76" t="s">
        <v>61</v>
      </c>
    </row>
    <row r="65" spans="2:3" ht="14.5" x14ac:dyDescent="0.35">
      <c r="B65" s="81"/>
      <c r="C65" s="76" t="s">
        <v>62</v>
      </c>
    </row>
    <row r="66" spans="2:3" x14ac:dyDescent="0.3">
      <c r="C66" s="76" t="s">
        <v>63</v>
      </c>
    </row>
    <row r="67" spans="2:3" x14ac:dyDescent="0.3">
      <c r="C67" s="76"/>
    </row>
    <row r="68" spans="2:3" ht="15.5" x14ac:dyDescent="0.35">
      <c r="C68" s="70" t="s">
        <v>64</v>
      </c>
    </row>
    <row r="69" spans="2:3" x14ac:dyDescent="0.3">
      <c r="C69" s="76"/>
    </row>
    <row r="70" spans="2:3" x14ac:dyDescent="0.3">
      <c r="C70" s="75" t="s">
        <v>65</v>
      </c>
    </row>
    <row r="71" spans="2:3" x14ac:dyDescent="0.3">
      <c r="C71" s="75" t="s">
        <v>66</v>
      </c>
    </row>
    <row r="72" spans="2:3" x14ac:dyDescent="0.3">
      <c r="C72" s="75"/>
    </row>
    <row r="73" spans="2:3" ht="15.5" x14ac:dyDescent="0.35">
      <c r="C73" s="70" t="s">
        <v>67</v>
      </c>
    </row>
    <row r="74" spans="2:3" x14ac:dyDescent="0.3">
      <c r="C74" s="75"/>
    </row>
    <row r="75" spans="2:3" x14ac:dyDescent="0.3">
      <c r="C75" s="75" t="s">
        <v>68</v>
      </c>
    </row>
    <row r="76" spans="2:3" x14ac:dyDescent="0.3">
      <c r="C76" s="76" t="s">
        <v>69</v>
      </c>
    </row>
    <row r="77" spans="2:3" x14ac:dyDescent="0.3">
      <c r="C77" s="76" t="s">
        <v>70</v>
      </c>
    </row>
    <row r="78" spans="2:3" x14ac:dyDescent="0.3">
      <c r="C78" s="76" t="s">
        <v>71</v>
      </c>
    </row>
    <row r="79" spans="2:3" x14ac:dyDescent="0.3">
      <c r="C79" s="75"/>
    </row>
    <row r="80" spans="2:3" x14ac:dyDescent="0.3">
      <c r="C80" s="76"/>
    </row>
    <row r="81" spans="2:239" ht="20" x14ac:dyDescent="0.4">
      <c r="C81" s="74" t="s">
        <v>72</v>
      </c>
    </row>
    <row r="83" spans="2:239" x14ac:dyDescent="0.3">
      <c r="B83" s="82" t="s">
        <v>73</v>
      </c>
      <c r="C83" s="83"/>
      <c r="D83" s="83"/>
      <c r="E83" s="83"/>
      <c r="F83" s="83"/>
      <c r="G83" s="83"/>
      <c r="H83" s="83"/>
      <c r="I83" s="83"/>
      <c r="J83" s="83"/>
      <c r="K83" s="83"/>
      <c r="L83" s="83"/>
      <c r="M83" s="83"/>
      <c r="N83" s="83"/>
      <c r="O83" s="83"/>
      <c r="P83" s="83"/>
      <c r="Q83" s="83"/>
      <c r="R83" s="83"/>
      <c r="S83" s="83"/>
      <c r="T83" s="83"/>
      <c r="U83" s="83"/>
      <c r="V83" s="83"/>
      <c r="W83" s="83"/>
      <c r="X83" s="83"/>
      <c r="Y83" s="83"/>
      <c r="Z83" s="83"/>
      <c r="AA83" s="83"/>
      <c r="AB83" s="83"/>
      <c r="AC83" s="83"/>
      <c r="AD83" s="83"/>
      <c r="AE83" s="83"/>
      <c r="AF83" s="83"/>
      <c r="AG83" s="83"/>
      <c r="AH83" s="83"/>
      <c r="AI83" s="83"/>
      <c r="AJ83" s="83"/>
      <c r="AK83" s="83"/>
      <c r="AL83" s="83"/>
      <c r="AM83" s="83"/>
      <c r="AN83" s="83"/>
      <c r="AO83" s="83"/>
      <c r="AP83" s="83"/>
      <c r="AQ83" s="83"/>
      <c r="AR83" s="83"/>
      <c r="AS83" s="83"/>
      <c r="AT83" s="83"/>
      <c r="AU83" s="83"/>
      <c r="AV83" s="83"/>
      <c r="AW83" s="83"/>
      <c r="AX83" s="83"/>
      <c r="AY83" s="83"/>
      <c r="AZ83" s="83"/>
      <c r="BA83" s="83"/>
      <c r="BB83" s="83"/>
      <c r="BC83" s="83"/>
      <c r="BD83" s="83"/>
      <c r="BE83" s="83"/>
      <c r="BF83" s="83"/>
      <c r="BG83" s="83"/>
      <c r="BH83" s="83"/>
      <c r="BI83" s="83"/>
      <c r="BJ83" s="83"/>
      <c r="BK83" s="83"/>
      <c r="BL83" s="83"/>
      <c r="BM83" s="83"/>
      <c r="BN83" s="83"/>
      <c r="BO83" s="83"/>
      <c r="BP83" s="83"/>
      <c r="BQ83" s="83"/>
      <c r="BR83" s="83"/>
      <c r="BS83" s="83"/>
      <c r="BT83" s="83"/>
      <c r="BU83" s="83"/>
      <c r="BV83" s="83"/>
      <c r="BW83" s="83"/>
      <c r="BX83" s="83"/>
      <c r="BY83" s="83"/>
      <c r="BZ83" s="83"/>
      <c r="CA83" s="83"/>
      <c r="CB83" s="83"/>
      <c r="CC83" s="83"/>
      <c r="CD83" s="83"/>
      <c r="CE83" s="83"/>
      <c r="CF83" s="83"/>
      <c r="CG83" s="83"/>
      <c r="CH83" s="83"/>
      <c r="CI83" s="83"/>
      <c r="CJ83" s="83"/>
      <c r="CK83" s="83"/>
      <c r="CL83" s="83"/>
      <c r="CM83" s="83"/>
      <c r="CN83" s="83"/>
      <c r="CO83" s="83"/>
      <c r="CP83" s="83"/>
      <c r="CQ83" s="83"/>
      <c r="CR83" s="83"/>
      <c r="CS83" s="83"/>
      <c r="CT83" s="83"/>
      <c r="CU83" s="83"/>
      <c r="CV83" s="83"/>
      <c r="CW83" s="83"/>
      <c r="CX83" s="83"/>
      <c r="CY83" s="83"/>
      <c r="CZ83" s="83"/>
      <c r="DA83" s="83"/>
      <c r="DB83" s="83"/>
      <c r="DC83" s="83"/>
      <c r="DD83" s="83"/>
      <c r="DE83" s="83"/>
      <c r="DF83" s="83"/>
      <c r="DG83" s="83"/>
      <c r="DH83" s="83"/>
      <c r="DI83" s="83"/>
      <c r="DJ83" s="83"/>
      <c r="DK83" s="83"/>
      <c r="DL83" s="83"/>
      <c r="DM83" s="83"/>
      <c r="DN83" s="83"/>
      <c r="DO83" s="83"/>
      <c r="DP83" s="83"/>
      <c r="DQ83" s="83"/>
      <c r="DR83" s="83"/>
      <c r="DS83" s="83"/>
      <c r="DT83" s="83"/>
      <c r="DU83" s="83"/>
      <c r="DV83" s="83"/>
      <c r="DW83" s="83"/>
      <c r="DX83" s="83"/>
      <c r="DY83" s="83"/>
      <c r="DZ83" s="83"/>
      <c r="EA83" s="83"/>
      <c r="EB83" s="83"/>
      <c r="EC83" s="83"/>
      <c r="ED83" s="83"/>
      <c r="EE83" s="83"/>
      <c r="EF83" s="83"/>
      <c r="EG83" s="83"/>
      <c r="EH83" s="83"/>
      <c r="EI83" s="83"/>
      <c r="EJ83" s="83"/>
      <c r="EK83" s="83"/>
      <c r="EL83" s="83"/>
      <c r="EM83" s="83"/>
      <c r="EN83" s="83"/>
      <c r="EO83" s="83"/>
      <c r="EP83" s="83"/>
      <c r="EQ83" s="83"/>
      <c r="ER83" s="83"/>
      <c r="ES83" s="83"/>
      <c r="ET83" s="83"/>
      <c r="EU83" s="83"/>
      <c r="EV83" s="83"/>
      <c r="EW83" s="83"/>
      <c r="EX83" s="83"/>
      <c r="EY83" s="83"/>
      <c r="EZ83" s="83"/>
      <c r="FA83" s="83"/>
      <c r="FB83" s="83"/>
      <c r="FC83" s="83"/>
      <c r="FD83" s="83"/>
      <c r="FE83" s="83"/>
      <c r="FF83" s="83"/>
      <c r="FG83" s="83"/>
      <c r="FH83" s="83"/>
      <c r="FI83" s="83"/>
      <c r="FJ83" s="83"/>
      <c r="FK83" s="83"/>
      <c r="FL83" s="83"/>
      <c r="FM83" s="83"/>
      <c r="FN83" s="83"/>
      <c r="FO83" s="83"/>
      <c r="FP83" s="83"/>
      <c r="FQ83" s="83"/>
      <c r="FR83" s="83"/>
      <c r="FS83" s="83"/>
      <c r="FT83" s="83"/>
      <c r="FU83" s="83"/>
      <c r="FV83" s="83"/>
      <c r="FW83" s="83"/>
      <c r="FX83" s="83"/>
      <c r="FY83" s="83"/>
      <c r="FZ83" s="83"/>
      <c r="GA83" s="83"/>
      <c r="GB83" s="83"/>
      <c r="GC83" s="83"/>
      <c r="GD83" s="83"/>
      <c r="GE83" s="83"/>
      <c r="GF83" s="83"/>
      <c r="GG83" s="83"/>
      <c r="GH83" s="83"/>
      <c r="GI83" s="83"/>
      <c r="GJ83" s="83"/>
      <c r="GK83" s="83"/>
      <c r="GL83" s="83"/>
      <c r="GM83" s="83"/>
      <c r="GN83" s="83"/>
      <c r="GO83" s="83"/>
      <c r="GP83" s="83"/>
      <c r="GQ83" s="83"/>
      <c r="GR83" s="83"/>
      <c r="GS83" s="83"/>
      <c r="GT83" s="83"/>
      <c r="GU83" s="83"/>
      <c r="GV83" s="83"/>
      <c r="GW83" s="83"/>
      <c r="GX83" s="83"/>
      <c r="GY83" s="83"/>
      <c r="GZ83" s="83"/>
      <c r="HA83" s="83"/>
      <c r="HB83" s="83"/>
      <c r="HC83" s="83"/>
      <c r="HD83" s="83"/>
      <c r="HE83" s="83"/>
      <c r="HF83" s="83"/>
      <c r="HG83" s="83"/>
      <c r="HH83" s="83"/>
      <c r="HI83" s="83"/>
      <c r="HJ83" s="83"/>
      <c r="HK83" s="83"/>
      <c r="HL83" s="83"/>
      <c r="HM83" s="83"/>
      <c r="HN83" s="83"/>
      <c r="HO83" s="83"/>
      <c r="HP83" s="83"/>
      <c r="HQ83" s="83"/>
      <c r="HR83" s="83"/>
      <c r="HS83" s="83"/>
      <c r="HT83" s="83"/>
      <c r="HU83" s="83"/>
      <c r="HV83" s="83"/>
      <c r="HW83" s="83"/>
      <c r="HX83" s="83"/>
      <c r="HY83" s="83"/>
      <c r="HZ83" s="83"/>
      <c r="IA83" s="83"/>
      <c r="IB83" s="83"/>
      <c r="IC83" s="83"/>
      <c r="ID83" s="83"/>
      <c r="IE83" s="84"/>
    </row>
    <row r="84" spans="2:239" outlineLevel="1" x14ac:dyDescent="0.3">
      <c r="B84" s="85"/>
      <c r="BD84" s="438" t="s">
        <v>74</v>
      </c>
      <c r="BE84" s="439"/>
      <c r="BF84" s="439"/>
      <c r="BG84" s="439"/>
      <c r="BH84" s="439"/>
      <c r="BI84" s="440"/>
      <c r="CO84" s="438" t="s">
        <v>74</v>
      </c>
      <c r="CP84" s="439"/>
      <c r="CQ84" s="439"/>
      <c r="CR84" s="439"/>
      <c r="CS84" s="439"/>
      <c r="CT84" s="440"/>
      <c r="DZ84" s="438" t="s">
        <v>74</v>
      </c>
      <c r="EA84" s="439"/>
      <c r="EB84" s="439"/>
      <c r="EC84" s="439"/>
      <c r="ED84" s="439"/>
      <c r="EE84" s="440"/>
      <c r="FK84" s="438" t="s">
        <v>74</v>
      </c>
      <c r="FL84" s="439"/>
      <c r="FM84" s="439"/>
      <c r="FN84" s="439"/>
      <c r="FO84" s="439"/>
      <c r="FP84" s="440"/>
      <c r="GV84" s="438" t="s">
        <v>74</v>
      </c>
      <c r="GW84" s="439"/>
      <c r="GX84" s="439"/>
      <c r="GY84" s="439"/>
      <c r="GZ84" s="439"/>
      <c r="HA84" s="440"/>
      <c r="IE84" s="86"/>
    </row>
    <row r="85" spans="2:239" outlineLevel="1" x14ac:dyDescent="0.3">
      <c r="B85" s="85"/>
      <c r="C85" s="87" t="s">
        <v>75</v>
      </c>
      <c r="BD85" s="88">
        <v>2006</v>
      </c>
      <c r="BE85" s="88">
        <v>2015</v>
      </c>
      <c r="BF85" s="88">
        <v>2020</v>
      </c>
      <c r="BG85" s="88">
        <v>2030</v>
      </c>
      <c r="BH85" s="88">
        <v>2040</v>
      </c>
      <c r="BI85" s="88">
        <v>2050</v>
      </c>
      <c r="CO85" s="88">
        <v>2006</v>
      </c>
      <c r="CP85" s="88">
        <v>2015</v>
      </c>
      <c r="CQ85" s="88">
        <v>2020</v>
      </c>
      <c r="CR85" s="88">
        <v>2030</v>
      </c>
      <c r="CS85" s="88">
        <v>2040</v>
      </c>
      <c r="CT85" s="88">
        <v>2050</v>
      </c>
      <c r="DZ85" s="88">
        <v>2006</v>
      </c>
      <c r="EA85" s="88">
        <v>2015</v>
      </c>
      <c r="EB85" s="88">
        <v>2020</v>
      </c>
      <c r="EC85" s="88">
        <v>2030</v>
      </c>
      <c r="ED85" s="88">
        <v>2040</v>
      </c>
      <c r="EE85" s="88">
        <v>2050</v>
      </c>
      <c r="FK85" s="88">
        <v>2006</v>
      </c>
      <c r="FL85" s="88">
        <v>2015</v>
      </c>
      <c r="FM85" s="89">
        <v>2020</v>
      </c>
      <c r="FN85" s="88">
        <v>2030</v>
      </c>
      <c r="FO85" s="88">
        <v>2040</v>
      </c>
      <c r="FP85" s="88">
        <v>2050</v>
      </c>
      <c r="GV85" s="88">
        <v>2006</v>
      </c>
      <c r="GW85" s="88">
        <v>2015</v>
      </c>
      <c r="GX85" s="89">
        <v>2020</v>
      </c>
      <c r="GY85" s="88">
        <v>2030</v>
      </c>
      <c r="GZ85" s="88">
        <v>2040</v>
      </c>
      <c r="HA85" s="88">
        <v>2050</v>
      </c>
      <c r="IE85" s="86"/>
    </row>
    <row r="86" spans="2:239" outlineLevel="1" x14ac:dyDescent="0.3">
      <c r="B86" s="85"/>
      <c r="C86" s="90" t="s">
        <v>76</v>
      </c>
      <c r="BD86" s="91">
        <v>191050</v>
      </c>
      <c r="BE86" s="91">
        <v>220833</v>
      </c>
      <c r="BF86" s="91">
        <v>239113.67300849396</v>
      </c>
      <c r="BG86" s="91">
        <v>216780.98521065997</v>
      </c>
      <c r="BH86" s="91">
        <v>200390.49534132009</v>
      </c>
      <c r="BI86" s="91">
        <v>183339.6766147023</v>
      </c>
      <c r="CO86" s="91">
        <v>191050</v>
      </c>
      <c r="CP86" s="91">
        <v>220833</v>
      </c>
      <c r="CQ86" s="91">
        <v>239113.67300849396</v>
      </c>
      <c r="CR86" s="91">
        <v>206077.95912664352</v>
      </c>
      <c r="CS86" s="91">
        <v>181091.40440642694</v>
      </c>
      <c r="CT86" s="91">
        <v>157502.53131534642</v>
      </c>
      <c r="DZ86" s="91">
        <v>191050</v>
      </c>
      <c r="EA86" s="91">
        <v>220833</v>
      </c>
      <c r="EB86" s="91">
        <v>239113.67300849396</v>
      </c>
      <c r="EC86" s="91">
        <v>206077.95912664352</v>
      </c>
      <c r="ED86" s="91">
        <v>181091.40440642694</v>
      </c>
      <c r="EE86" s="91">
        <v>157502.53131534642</v>
      </c>
      <c r="FK86" s="91">
        <v>191050</v>
      </c>
      <c r="FL86" s="91">
        <v>220833</v>
      </c>
      <c r="FM86" s="91">
        <v>239113.67300849396</v>
      </c>
      <c r="FN86" s="91">
        <v>216780.98521065997</v>
      </c>
      <c r="FO86" s="91">
        <v>200390.49534132009</v>
      </c>
      <c r="FP86" s="91">
        <v>183339.6766147023</v>
      </c>
      <c r="GV86" s="91">
        <v>191050</v>
      </c>
      <c r="GW86" s="91">
        <v>220833</v>
      </c>
      <c r="GX86" s="91">
        <v>239113.67300849396</v>
      </c>
      <c r="GY86" s="91">
        <v>216780.98521065997</v>
      </c>
      <c r="GZ86" s="91">
        <v>200390.49534132009</v>
      </c>
      <c r="HA86" s="91">
        <v>183339.6766147023</v>
      </c>
      <c r="IE86" s="86"/>
    </row>
    <row r="87" spans="2:239" outlineLevel="1" x14ac:dyDescent="0.3">
      <c r="B87" s="85"/>
      <c r="C87" s="92" t="s">
        <v>77</v>
      </c>
      <c r="BD87" s="93">
        <v>58716</v>
      </c>
      <c r="BE87" s="93">
        <v>64402</v>
      </c>
      <c r="BF87" s="93">
        <v>67389.90174661066</v>
      </c>
      <c r="BG87" s="93">
        <v>74487.71750739908</v>
      </c>
      <c r="BH87" s="93">
        <v>82026.333444976248</v>
      </c>
      <c r="BI87" s="93">
        <v>89401.61017722961</v>
      </c>
      <c r="CO87" s="93">
        <v>58716</v>
      </c>
      <c r="CP87" s="93">
        <v>64402</v>
      </c>
      <c r="CQ87" s="93">
        <v>67389.90174661066</v>
      </c>
      <c r="CR87" s="93">
        <v>64124.674779276625</v>
      </c>
      <c r="CS87" s="93">
        <v>60790.304248608802</v>
      </c>
      <c r="CT87" s="93">
        <v>57038.338671923011</v>
      </c>
      <c r="DZ87" s="93">
        <v>58716</v>
      </c>
      <c r="EA87" s="93">
        <v>64402</v>
      </c>
      <c r="EB87" s="93">
        <v>67389.90174661066</v>
      </c>
      <c r="EC87" s="93">
        <v>64124.674779276625</v>
      </c>
      <c r="ED87" s="93">
        <v>60790.304248608802</v>
      </c>
      <c r="EE87" s="93">
        <v>57038.338671923011</v>
      </c>
      <c r="FK87" s="93">
        <v>58716</v>
      </c>
      <c r="FL87" s="93">
        <v>64402</v>
      </c>
      <c r="FM87" s="93">
        <v>67389.90174661066</v>
      </c>
      <c r="FN87" s="93">
        <v>69138.51084582787</v>
      </c>
      <c r="FO87" s="93">
        <v>70668.196550993758</v>
      </c>
      <c r="FP87" s="93">
        <v>71491.005360881783</v>
      </c>
      <c r="GV87" s="93">
        <v>58716</v>
      </c>
      <c r="GW87" s="93">
        <v>64402</v>
      </c>
      <c r="GX87" s="93">
        <v>67389.90174661066</v>
      </c>
      <c r="GY87" s="93">
        <v>74487.71750739908</v>
      </c>
      <c r="GZ87" s="93">
        <v>82026.333444976248</v>
      </c>
      <c r="HA87" s="93">
        <v>89401.61017722961</v>
      </c>
      <c r="IE87" s="86"/>
    </row>
    <row r="88" spans="2:239" outlineLevel="1" x14ac:dyDescent="0.3">
      <c r="B88" s="85"/>
      <c r="C88" s="94" t="s">
        <v>78</v>
      </c>
      <c r="BD88" s="95">
        <v>198857</v>
      </c>
      <c r="BE88" s="95">
        <v>210718</v>
      </c>
      <c r="BF88" s="95">
        <v>215959</v>
      </c>
      <c r="BG88" s="95">
        <v>222663.01020486225</v>
      </c>
      <c r="BH88" s="95">
        <v>227589.4169152859</v>
      </c>
      <c r="BI88" s="95">
        <v>230239.30167837089</v>
      </c>
      <c r="CO88" s="95">
        <v>198857</v>
      </c>
      <c r="CP88" s="95">
        <v>210718</v>
      </c>
      <c r="CQ88" s="95">
        <v>215959</v>
      </c>
      <c r="CR88" s="95">
        <v>211777.04468584803</v>
      </c>
      <c r="CS88" s="95">
        <v>205879.77174115696</v>
      </c>
      <c r="CT88" s="95">
        <v>198094.25552154914</v>
      </c>
      <c r="DZ88" s="95">
        <v>198857</v>
      </c>
      <c r="EA88" s="95">
        <v>210718</v>
      </c>
      <c r="EB88" s="95">
        <v>215959</v>
      </c>
      <c r="EC88" s="95">
        <v>211777.04468584803</v>
      </c>
      <c r="ED88" s="95">
        <v>205879.77174115696</v>
      </c>
      <c r="EE88" s="95">
        <v>198094.25552154914</v>
      </c>
      <c r="FK88" s="95">
        <v>198857</v>
      </c>
      <c r="FL88" s="95">
        <v>210718</v>
      </c>
      <c r="FM88" s="95">
        <v>215959</v>
      </c>
      <c r="FN88" s="95">
        <v>222663.01020486225</v>
      </c>
      <c r="FO88" s="95">
        <v>227589.4169152859</v>
      </c>
      <c r="FP88" s="95">
        <v>230239.30167837089</v>
      </c>
      <c r="GV88" s="95">
        <v>198857</v>
      </c>
      <c r="GW88" s="95">
        <v>210718</v>
      </c>
      <c r="GX88" s="95">
        <v>215959</v>
      </c>
      <c r="GY88" s="95">
        <v>222663.01020486225</v>
      </c>
      <c r="GZ88" s="95">
        <v>227589.4169152859</v>
      </c>
      <c r="HA88" s="95">
        <v>230239.30167837089</v>
      </c>
      <c r="IE88" s="86"/>
    </row>
    <row r="89" spans="2:239" outlineLevel="1" x14ac:dyDescent="0.3">
      <c r="B89" s="85"/>
      <c r="C89" s="96" t="s">
        <v>79</v>
      </c>
      <c r="BD89" s="97">
        <v>176652</v>
      </c>
      <c r="BE89" s="97">
        <v>186911</v>
      </c>
      <c r="BF89" s="97">
        <v>190850</v>
      </c>
      <c r="BG89" s="97">
        <v>192214.20018546417</v>
      </c>
      <c r="BH89" s="97">
        <v>202191.28933696394</v>
      </c>
      <c r="BI89" s="97">
        <v>214970.75403208219</v>
      </c>
      <c r="CO89" s="97">
        <v>176652</v>
      </c>
      <c r="CP89" s="97">
        <v>186911</v>
      </c>
      <c r="CQ89" s="97">
        <v>190850</v>
      </c>
      <c r="CR89" s="97">
        <v>158255.85869514523</v>
      </c>
      <c r="CS89" s="97">
        <v>137060.11677336815</v>
      </c>
      <c r="CT89" s="97">
        <v>119978.20592649729</v>
      </c>
      <c r="DZ89" s="97">
        <v>176652</v>
      </c>
      <c r="EA89" s="97">
        <v>186911</v>
      </c>
      <c r="EB89" s="97">
        <v>190850</v>
      </c>
      <c r="EC89" s="97">
        <v>158255.85869514523</v>
      </c>
      <c r="ED89" s="97">
        <v>137060.11677336815</v>
      </c>
      <c r="EE89" s="97">
        <v>119978.20592649729</v>
      </c>
      <c r="FK89" s="97">
        <v>176652</v>
      </c>
      <c r="FL89" s="97">
        <v>186911</v>
      </c>
      <c r="FM89" s="97">
        <v>190850</v>
      </c>
      <c r="FN89" s="97">
        <v>177661.39187958953</v>
      </c>
      <c r="FO89" s="97">
        <v>172733.91822907189</v>
      </c>
      <c r="FP89" s="97">
        <v>169747.01814907367</v>
      </c>
      <c r="GV89" s="97">
        <v>176652</v>
      </c>
      <c r="GW89" s="97">
        <v>186911</v>
      </c>
      <c r="GX89" s="97">
        <v>190850</v>
      </c>
      <c r="GY89" s="97">
        <v>192214.20018546417</v>
      </c>
      <c r="GZ89" s="97">
        <v>202191.28933696394</v>
      </c>
      <c r="HA89" s="97">
        <v>214970.75403208219</v>
      </c>
      <c r="IE89" s="86"/>
    </row>
    <row r="90" spans="2:239" outlineLevel="1" x14ac:dyDescent="0.3">
      <c r="B90" s="85"/>
      <c r="C90" s="98" t="s">
        <v>80</v>
      </c>
      <c r="BD90" s="99">
        <v>58694</v>
      </c>
      <c r="BE90" s="99">
        <v>69798</v>
      </c>
      <c r="BF90" s="99">
        <v>72592</v>
      </c>
      <c r="BG90" s="99">
        <v>84879.099249335108</v>
      </c>
      <c r="BH90" s="99">
        <v>97268.706799474632</v>
      </c>
      <c r="BI90" s="99">
        <v>110323.72849160044</v>
      </c>
      <c r="CO90" s="99">
        <v>58694</v>
      </c>
      <c r="CP90" s="99">
        <v>69798</v>
      </c>
      <c r="CQ90" s="99">
        <v>72592</v>
      </c>
      <c r="CR90" s="99">
        <v>84879.099249335108</v>
      </c>
      <c r="CS90" s="99">
        <v>97268.706799474632</v>
      </c>
      <c r="CT90" s="99">
        <v>110323.72849160044</v>
      </c>
      <c r="DZ90" s="99">
        <v>58694</v>
      </c>
      <c r="EA90" s="99">
        <v>69798</v>
      </c>
      <c r="EB90" s="99">
        <v>72592</v>
      </c>
      <c r="EC90" s="99">
        <v>84879.099249335108</v>
      </c>
      <c r="ED90" s="99">
        <v>97268.706799474632</v>
      </c>
      <c r="EE90" s="99">
        <v>110323.72849160044</v>
      </c>
      <c r="FK90" s="99">
        <v>58694</v>
      </c>
      <c r="FL90" s="99">
        <v>69798</v>
      </c>
      <c r="FM90" s="99">
        <v>72592</v>
      </c>
      <c r="FN90" s="99">
        <v>84879.099249335108</v>
      </c>
      <c r="FO90" s="99">
        <v>97268.706799474632</v>
      </c>
      <c r="FP90" s="99">
        <v>110323.72849160044</v>
      </c>
      <c r="GV90" s="99">
        <v>58694</v>
      </c>
      <c r="GW90" s="99">
        <v>69798</v>
      </c>
      <c r="GX90" s="99">
        <v>72592</v>
      </c>
      <c r="GY90" s="99">
        <v>84879.099249335108</v>
      </c>
      <c r="GZ90" s="99">
        <v>97268.706799474632</v>
      </c>
      <c r="HA90" s="99">
        <v>110323.72849160044</v>
      </c>
      <c r="IE90" s="86"/>
    </row>
    <row r="91" spans="2:239" outlineLevel="1" x14ac:dyDescent="0.3">
      <c r="B91" s="85"/>
      <c r="C91" s="100" t="s">
        <v>81</v>
      </c>
      <c r="BD91" s="101">
        <v>100191</v>
      </c>
      <c r="BE91" s="101">
        <v>114188</v>
      </c>
      <c r="BF91" s="101">
        <v>118445.13907375958</v>
      </c>
      <c r="BG91" s="101">
        <v>133413.04979565812</v>
      </c>
      <c r="BH91" s="101">
        <v>148223.78456350786</v>
      </c>
      <c r="BI91" s="101">
        <v>162989.97477802029</v>
      </c>
      <c r="CO91" s="101">
        <v>100191</v>
      </c>
      <c r="CP91" s="101">
        <v>114188</v>
      </c>
      <c r="CQ91" s="101">
        <v>118445.13907375958</v>
      </c>
      <c r="CR91" s="101">
        <v>114760.17743905973</v>
      </c>
      <c r="CS91" s="101">
        <v>109674.00312840415</v>
      </c>
      <c r="CT91" s="101">
        <v>103738.41047340813</v>
      </c>
      <c r="DZ91" s="101">
        <v>100191</v>
      </c>
      <c r="EA91" s="101">
        <v>114188</v>
      </c>
      <c r="EB91" s="101">
        <v>118445.13907375958</v>
      </c>
      <c r="EC91" s="101">
        <v>115244.82684057958</v>
      </c>
      <c r="ED91" s="101">
        <v>110602.29861613263</v>
      </c>
      <c r="EE91" s="101">
        <v>105058.27729952354</v>
      </c>
      <c r="FK91" s="101">
        <v>100191</v>
      </c>
      <c r="FL91" s="101">
        <v>114188</v>
      </c>
      <c r="FM91" s="101">
        <v>118445.13907375958</v>
      </c>
      <c r="FN91" s="101">
        <v>122739.03759752699</v>
      </c>
      <c r="FO91" s="101">
        <v>125454.63197440653</v>
      </c>
      <c r="FP91" s="101">
        <v>126915.33397994468</v>
      </c>
      <c r="GV91" s="101">
        <v>100191</v>
      </c>
      <c r="GW91" s="101">
        <v>114188</v>
      </c>
      <c r="GX91" s="101">
        <v>118445.13907375958</v>
      </c>
      <c r="GY91" s="101">
        <v>133413.04979565812</v>
      </c>
      <c r="GZ91" s="101">
        <v>148223.78456350786</v>
      </c>
      <c r="HA91" s="101">
        <v>162989.97477802029</v>
      </c>
      <c r="IE91" s="86"/>
    </row>
    <row r="92" spans="2:239" outlineLevel="1" x14ac:dyDescent="0.3">
      <c r="B92" s="85"/>
      <c r="C92" s="102" t="s">
        <v>82</v>
      </c>
      <c r="BD92" s="103">
        <v>64974</v>
      </c>
      <c r="BE92" s="103">
        <v>71426</v>
      </c>
      <c r="BF92" s="103">
        <v>74481</v>
      </c>
      <c r="BG92" s="103">
        <v>87630.940535268266</v>
      </c>
      <c r="BH92" s="103">
        <v>100991.39575156478</v>
      </c>
      <c r="BI92" s="103">
        <v>115195.28006135627</v>
      </c>
      <c r="CO92" s="103">
        <v>64974</v>
      </c>
      <c r="CP92" s="103">
        <v>71426</v>
      </c>
      <c r="CQ92" s="103">
        <v>74481</v>
      </c>
      <c r="CR92" s="103">
        <v>70288.860803637537</v>
      </c>
      <c r="CS92" s="103">
        <v>64974.423931741563</v>
      </c>
      <c r="CT92" s="103">
        <v>59445.882658166993</v>
      </c>
      <c r="DZ92" s="103">
        <v>64974</v>
      </c>
      <c r="EA92" s="103">
        <v>71426</v>
      </c>
      <c r="EB92" s="103">
        <v>74481</v>
      </c>
      <c r="EC92" s="103">
        <v>70288.860803637537</v>
      </c>
      <c r="ED92" s="103">
        <v>64974.423931741563</v>
      </c>
      <c r="EE92" s="103">
        <v>59445.882658166993</v>
      </c>
      <c r="FK92" s="103">
        <v>64974</v>
      </c>
      <c r="FL92" s="103">
        <v>71426</v>
      </c>
      <c r="FM92" s="103">
        <v>74481</v>
      </c>
      <c r="FN92" s="103">
        <v>77720.316164993957</v>
      </c>
      <c r="FO92" s="103">
        <v>79439.873835301201</v>
      </c>
      <c r="FP92" s="103">
        <v>80364.813641864865</v>
      </c>
      <c r="GV92" s="103">
        <v>64974</v>
      </c>
      <c r="GW92" s="103">
        <v>71426</v>
      </c>
      <c r="GX92" s="103">
        <v>74481</v>
      </c>
      <c r="GY92" s="103">
        <v>87630.940535268266</v>
      </c>
      <c r="GZ92" s="103">
        <v>100991.39575156478</v>
      </c>
      <c r="HA92" s="103">
        <v>115195.28006135627</v>
      </c>
      <c r="IE92" s="86"/>
    </row>
    <row r="93" spans="2:239" outlineLevel="1" x14ac:dyDescent="0.3">
      <c r="B93" s="85"/>
      <c r="C93" s="104" t="s">
        <v>83</v>
      </c>
      <c r="BD93" s="105">
        <v>24887</v>
      </c>
      <c r="BE93" s="105">
        <v>25399</v>
      </c>
      <c r="BF93" s="105">
        <v>25839.303197908266</v>
      </c>
      <c r="BG93" s="105">
        <v>25942.268493872372</v>
      </c>
      <c r="BH93" s="105">
        <v>26018.781562084834</v>
      </c>
      <c r="BI93" s="105">
        <v>26093.322644003165</v>
      </c>
      <c r="CO93" s="105">
        <v>24887</v>
      </c>
      <c r="CP93" s="105">
        <v>25399</v>
      </c>
      <c r="CQ93" s="105">
        <v>25839.303197908266</v>
      </c>
      <c r="CR93" s="105">
        <v>25942.268493872372</v>
      </c>
      <c r="CS93" s="105">
        <v>26018.781562084834</v>
      </c>
      <c r="CT93" s="105">
        <v>26093.322644003165</v>
      </c>
      <c r="DZ93" s="105">
        <v>24887</v>
      </c>
      <c r="EA93" s="105">
        <v>25399</v>
      </c>
      <c r="EB93" s="105">
        <v>25839.303197908266</v>
      </c>
      <c r="EC93" s="105">
        <v>25942.268493872372</v>
      </c>
      <c r="ED93" s="105">
        <v>26018.781562084834</v>
      </c>
      <c r="EE93" s="105">
        <v>26093.322644003165</v>
      </c>
      <c r="FK93" s="105">
        <v>24887</v>
      </c>
      <c r="FL93" s="105">
        <v>25399</v>
      </c>
      <c r="FM93" s="105">
        <v>25839.303197908266</v>
      </c>
      <c r="FN93" s="105">
        <v>25942.268493872372</v>
      </c>
      <c r="FO93" s="105">
        <v>26018.781562084834</v>
      </c>
      <c r="FP93" s="105">
        <v>26093.322644003165</v>
      </c>
      <c r="GV93" s="105">
        <v>24887</v>
      </c>
      <c r="GW93" s="105">
        <v>25399</v>
      </c>
      <c r="GX93" s="105">
        <v>25839.303197908266</v>
      </c>
      <c r="GY93" s="105">
        <v>25942.268493872372</v>
      </c>
      <c r="GZ93" s="105">
        <v>26018.781562084834</v>
      </c>
      <c r="HA93" s="105">
        <v>26093.322644003165</v>
      </c>
      <c r="IE93" s="86"/>
    </row>
    <row r="94" spans="2:239" outlineLevel="1" x14ac:dyDescent="0.3">
      <c r="B94" s="85"/>
      <c r="C94" s="106" t="s">
        <v>84</v>
      </c>
      <c r="BD94" s="107">
        <v>874021</v>
      </c>
      <c r="BE94" s="107">
        <v>963675</v>
      </c>
      <c r="BF94" s="107">
        <v>1004670.0170267724</v>
      </c>
      <c r="BG94" s="107">
        <v>1038011.2711825193</v>
      </c>
      <c r="BH94" s="107">
        <v>1084700.2037151782</v>
      </c>
      <c r="BI94" s="107">
        <v>1132553.6484773653</v>
      </c>
      <c r="CO94" s="107">
        <v>874021</v>
      </c>
      <c r="CP94" s="107">
        <v>963675</v>
      </c>
      <c r="CQ94" s="107">
        <v>1004670.0170267724</v>
      </c>
      <c r="CR94" s="107">
        <v>936105.94327281811</v>
      </c>
      <c r="CS94" s="107">
        <v>882757.51259126607</v>
      </c>
      <c r="CT94" s="107">
        <v>832214.67570249469</v>
      </c>
      <c r="DZ94" s="107">
        <v>874021</v>
      </c>
      <c r="EA94" s="107">
        <v>963675</v>
      </c>
      <c r="EB94" s="107">
        <v>1004670.0170267724</v>
      </c>
      <c r="EC94" s="107">
        <v>936590.59267433803</v>
      </c>
      <c r="ED94" s="107">
        <v>883685.80807899451</v>
      </c>
      <c r="EE94" s="107">
        <v>833534.54252861009</v>
      </c>
      <c r="FK94" s="107">
        <v>874021</v>
      </c>
      <c r="FL94" s="107">
        <v>963675</v>
      </c>
      <c r="FM94" s="107">
        <v>1004670.0170267724</v>
      </c>
      <c r="FN94" s="107">
        <v>997524.61964666808</v>
      </c>
      <c r="FO94" s="107">
        <v>999564.0212079389</v>
      </c>
      <c r="FP94" s="107">
        <v>998514.20056044194</v>
      </c>
      <c r="GV94" s="107">
        <v>874021</v>
      </c>
      <c r="GW94" s="107">
        <v>963675</v>
      </c>
      <c r="GX94" s="107">
        <v>1004670.0170267724</v>
      </c>
      <c r="GY94" s="107">
        <v>1038011.2711825193</v>
      </c>
      <c r="GZ94" s="107">
        <v>1084700.2037151782</v>
      </c>
      <c r="HA94" s="107">
        <v>1132553.6484773653</v>
      </c>
      <c r="IE94" s="86"/>
    </row>
    <row r="95" spans="2:239" outlineLevel="1" x14ac:dyDescent="0.3">
      <c r="B95" s="85"/>
      <c r="IE95" s="86"/>
    </row>
    <row r="96" spans="2:239" outlineLevel="1" x14ac:dyDescent="0.3">
      <c r="B96" s="85"/>
      <c r="IE96" s="86"/>
    </row>
    <row r="97" spans="2:239" outlineLevel="1" x14ac:dyDescent="0.3">
      <c r="B97" s="85"/>
      <c r="BD97" s="438" t="s">
        <v>85</v>
      </c>
      <c r="BE97" s="439"/>
      <c r="BF97" s="439"/>
      <c r="BG97" s="439"/>
      <c r="BH97" s="439"/>
      <c r="BI97" s="440"/>
      <c r="CO97" s="438" t="s">
        <v>85</v>
      </c>
      <c r="CP97" s="439"/>
      <c r="CQ97" s="439"/>
      <c r="CR97" s="439"/>
      <c r="CS97" s="439"/>
      <c r="CT97" s="440"/>
      <c r="DZ97" s="438" t="s">
        <v>85</v>
      </c>
      <c r="EA97" s="439"/>
      <c r="EB97" s="439"/>
      <c r="EC97" s="439"/>
      <c r="ED97" s="439"/>
      <c r="EE97" s="440"/>
      <c r="FK97" s="438" t="s">
        <v>85</v>
      </c>
      <c r="FL97" s="439"/>
      <c r="FM97" s="439"/>
      <c r="FN97" s="439"/>
      <c r="FO97" s="439"/>
      <c r="FP97" s="440"/>
      <c r="GV97" s="438" t="s">
        <v>85</v>
      </c>
      <c r="GW97" s="439"/>
      <c r="GX97" s="439"/>
      <c r="GY97" s="439"/>
      <c r="GZ97" s="439"/>
      <c r="HA97" s="440"/>
      <c r="IE97" s="86"/>
    </row>
    <row r="98" spans="2:239" outlineLevel="1" x14ac:dyDescent="0.3">
      <c r="B98" s="85"/>
      <c r="C98" s="87" t="s">
        <v>75</v>
      </c>
      <c r="BD98" s="88">
        <v>2006</v>
      </c>
      <c r="BE98" s="88">
        <v>2015</v>
      </c>
      <c r="BF98" s="88">
        <v>2020</v>
      </c>
      <c r="BG98" s="88">
        <v>2030</v>
      </c>
      <c r="BH98" s="88">
        <v>2040</v>
      </c>
      <c r="BI98" s="88">
        <v>2050</v>
      </c>
      <c r="CO98" s="88">
        <v>2006</v>
      </c>
      <c r="CP98" s="88">
        <v>2015</v>
      </c>
      <c r="CQ98" s="88">
        <v>2020</v>
      </c>
      <c r="CR98" s="88">
        <v>2030</v>
      </c>
      <c r="CS98" s="88">
        <v>2040</v>
      </c>
      <c r="CT98" s="88">
        <v>2050</v>
      </c>
      <c r="DZ98" s="88">
        <v>2006</v>
      </c>
      <c r="EA98" s="88">
        <v>2015</v>
      </c>
      <c r="EB98" s="88">
        <v>2020</v>
      </c>
      <c r="EC98" s="88">
        <v>2030</v>
      </c>
      <c r="ED98" s="88">
        <v>2040</v>
      </c>
      <c r="EE98" s="88">
        <v>2050</v>
      </c>
      <c r="FK98" s="88">
        <v>2006</v>
      </c>
      <c r="FL98" s="88">
        <v>2015</v>
      </c>
      <c r="FM98" s="88">
        <v>2020</v>
      </c>
      <c r="FN98" s="88">
        <v>2030</v>
      </c>
      <c r="FO98" s="88">
        <v>2040</v>
      </c>
      <c r="FP98" s="88">
        <v>2050</v>
      </c>
      <c r="GV98" s="88">
        <v>2006</v>
      </c>
      <c r="GW98" s="88">
        <v>2015</v>
      </c>
      <c r="GX98" s="88">
        <v>2020</v>
      </c>
      <c r="GY98" s="88">
        <v>2030</v>
      </c>
      <c r="GZ98" s="88">
        <v>2040</v>
      </c>
      <c r="HA98" s="88">
        <v>2050</v>
      </c>
      <c r="IE98" s="86"/>
    </row>
    <row r="99" spans="2:239" outlineLevel="1" x14ac:dyDescent="0.3">
      <c r="B99" s="85"/>
      <c r="C99" s="90" t="s">
        <v>76</v>
      </c>
      <c r="BD99" s="91"/>
      <c r="BE99" s="91"/>
      <c r="BF99" s="91">
        <v>14324</v>
      </c>
      <c r="BG99" s="91">
        <v>29597.985210659972</v>
      </c>
      <c r="BH99" s="91">
        <v>32207.495341320086</v>
      </c>
      <c r="BI99" s="91">
        <v>34156.676614702301</v>
      </c>
      <c r="CO99" s="91"/>
      <c r="CP99" s="91"/>
      <c r="CQ99" s="91">
        <v>14324</v>
      </c>
      <c r="CR99" s="91">
        <v>24894.959126643516</v>
      </c>
      <c r="CS99" s="91">
        <v>24908.40440642694</v>
      </c>
      <c r="CT99" s="91">
        <v>26319.531315346423</v>
      </c>
      <c r="DZ99" s="91"/>
      <c r="EA99" s="91"/>
      <c r="EB99" s="91">
        <v>14324</v>
      </c>
      <c r="EC99" s="91">
        <v>24894.959126643516</v>
      </c>
      <c r="ED99" s="91">
        <v>24908.40440642694</v>
      </c>
      <c r="EE99" s="91">
        <v>26319.531315346423</v>
      </c>
      <c r="FK99" s="91"/>
      <c r="FL99" s="91"/>
      <c r="FM99" s="91">
        <v>14324</v>
      </c>
      <c r="FN99" s="91">
        <v>29597.985210659972</v>
      </c>
      <c r="FO99" s="91">
        <v>32207.495341320086</v>
      </c>
      <c r="FP99" s="91">
        <v>34156.676614702301</v>
      </c>
      <c r="GV99" s="91"/>
      <c r="GW99" s="91"/>
      <c r="GX99" s="91">
        <v>14324</v>
      </c>
      <c r="GY99" s="91">
        <v>29597.985210659972</v>
      </c>
      <c r="GZ99" s="91">
        <v>32207.495341320086</v>
      </c>
      <c r="HA99" s="91">
        <v>34156.676614702301</v>
      </c>
      <c r="IE99" s="86"/>
    </row>
    <row r="100" spans="2:239" outlineLevel="1" x14ac:dyDescent="0.3">
      <c r="B100" s="85"/>
      <c r="C100" s="92" t="s">
        <v>77</v>
      </c>
      <c r="BD100" s="93"/>
      <c r="BE100" s="93"/>
      <c r="BF100" s="93">
        <v>2344.9017466106598</v>
      </c>
      <c r="BG100" s="93">
        <v>11419.467738858228</v>
      </c>
      <c r="BH100" s="93">
        <v>18589.932161283883</v>
      </c>
      <c r="BI100" s="93">
        <v>25597.057378385725</v>
      </c>
      <c r="CO100" s="93"/>
      <c r="CP100" s="93"/>
      <c r="CQ100" s="93">
        <v>2344.9017466106598</v>
      </c>
      <c r="CR100" s="93">
        <v>5224.5765258872852</v>
      </c>
      <c r="CS100" s="93">
        <v>5690.2059952194613</v>
      </c>
      <c r="CT100" s="93">
        <v>5738.2404185336709</v>
      </c>
      <c r="DZ100" s="93"/>
      <c r="EA100" s="93"/>
      <c r="EB100" s="93">
        <v>2344.9017466106598</v>
      </c>
      <c r="EC100" s="93">
        <v>5224.5765258872852</v>
      </c>
      <c r="ED100" s="93">
        <v>5690.2059952194613</v>
      </c>
      <c r="EE100" s="93">
        <v>5738.2404185336709</v>
      </c>
      <c r="FK100" s="93"/>
      <c r="FL100" s="93"/>
      <c r="FM100" s="93">
        <v>2344.9017466106598</v>
      </c>
      <c r="FN100" s="93">
        <v>6070.2610772870175</v>
      </c>
      <c r="FO100" s="93">
        <v>7231.7952673013933</v>
      </c>
      <c r="FP100" s="93">
        <v>7686.452562037899</v>
      </c>
      <c r="GV100" s="93"/>
      <c r="GW100" s="93"/>
      <c r="GX100" s="93">
        <v>2344.9017466106598</v>
      </c>
      <c r="GY100" s="93">
        <v>11419.467738858228</v>
      </c>
      <c r="GZ100" s="93">
        <v>18589.932161283883</v>
      </c>
      <c r="HA100" s="93">
        <v>25597.057378385725</v>
      </c>
      <c r="IE100" s="86"/>
    </row>
    <row r="101" spans="2:239" outlineLevel="1" x14ac:dyDescent="0.3">
      <c r="B101" s="85"/>
      <c r="C101" s="94" t="s">
        <v>78</v>
      </c>
      <c r="BD101" s="95"/>
      <c r="BE101" s="95"/>
      <c r="BF101" s="95">
        <v>4877</v>
      </c>
      <c r="BG101" s="95">
        <v>18828.616265468299</v>
      </c>
      <c r="BH101" s="95">
        <v>26125.629036497994</v>
      </c>
      <c r="BI101" s="95">
        <v>31146.119860189036</v>
      </c>
      <c r="CO101" s="95"/>
      <c r="CP101" s="95"/>
      <c r="CQ101" s="95">
        <v>4877</v>
      </c>
      <c r="CR101" s="95">
        <v>13572.044685848028</v>
      </c>
      <c r="CS101" s="95">
        <v>15674.771741156961</v>
      </c>
      <c r="CT101" s="95">
        <v>15889.255521549145</v>
      </c>
      <c r="DZ101" s="95"/>
      <c r="EA101" s="95"/>
      <c r="EB101" s="95">
        <v>4877</v>
      </c>
      <c r="EC101" s="95">
        <v>13572.044685848028</v>
      </c>
      <c r="ED101" s="95">
        <v>15674.771741156961</v>
      </c>
      <c r="EE101" s="95">
        <v>15889.255521549145</v>
      </c>
      <c r="FK101" s="95"/>
      <c r="FL101" s="95"/>
      <c r="FM101" s="95">
        <v>4877</v>
      </c>
      <c r="FN101" s="95">
        <v>18828.616265468299</v>
      </c>
      <c r="FO101" s="95">
        <v>26125.629036497994</v>
      </c>
      <c r="FP101" s="95">
        <v>31146.119860189036</v>
      </c>
      <c r="GV101" s="95"/>
      <c r="GW101" s="95"/>
      <c r="GX101" s="95">
        <v>4877</v>
      </c>
      <c r="GY101" s="95">
        <v>18828.616265468299</v>
      </c>
      <c r="GZ101" s="95">
        <v>26125.629036497994</v>
      </c>
      <c r="HA101" s="95">
        <v>31146.119860189036</v>
      </c>
      <c r="IE101" s="86"/>
    </row>
    <row r="102" spans="2:239" outlineLevel="1" x14ac:dyDescent="0.3">
      <c r="B102" s="85"/>
      <c r="C102" s="96" t="s">
        <v>79</v>
      </c>
      <c r="BD102" s="97"/>
      <c r="BE102" s="97"/>
      <c r="BF102" s="97">
        <v>3053</v>
      </c>
      <c r="BG102" s="97">
        <v>5458.9880642520438</v>
      </c>
      <c r="BH102" s="97">
        <v>13424.86509453968</v>
      </c>
      <c r="BI102" s="97">
        <v>24193.117668445804</v>
      </c>
      <c r="CO102" s="97"/>
      <c r="CP102" s="97"/>
      <c r="CQ102" s="97">
        <v>3053</v>
      </c>
      <c r="CR102" s="97">
        <v>3511.8586951452307</v>
      </c>
      <c r="CS102" s="97">
        <v>12316.11677336815</v>
      </c>
      <c r="CT102" s="97">
        <v>25234.205926497292</v>
      </c>
      <c r="DZ102" s="97"/>
      <c r="EA102" s="97"/>
      <c r="EB102" s="97">
        <v>3053</v>
      </c>
      <c r="EC102" s="97">
        <v>3511.8586951452307</v>
      </c>
      <c r="ED102" s="97">
        <v>12316.11677336815</v>
      </c>
      <c r="EE102" s="97">
        <v>25234.205926497292</v>
      </c>
      <c r="FK102" s="97"/>
      <c r="FL102" s="97"/>
      <c r="FM102" s="97">
        <v>3053</v>
      </c>
      <c r="FN102" s="97">
        <v>3917.3918795895297</v>
      </c>
      <c r="FO102" s="97">
        <v>9989.9182290718891</v>
      </c>
      <c r="FP102" s="97">
        <v>18003.018149073672</v>
      </c>
      <c r="GV102" s="97"/>
      <c r="GW102" s="97"/>
      <c r="GX102" s="97">
        <v>3053</v>
      </c>
      <c r="GY102" s="97">
        <v>5458.9880642520438</v>
      </c>
      <c r="GZ102" s="97">
        <v>13424.86509453968</v>
      </c>
      <c r="HA102" s="97">
        <v>24193.117668445804</v>
      </c>
      <c r="IE102" s="86"/>
    </row>
    <row r="103" spans="2:239" outlineLevel="1" x14ac:dyDescent="0.3">
      <c r="B103" s="85"/>
      <c r="C103" s="98" t="s">
        <v>80</v>
      </c>
      <c r="BD103" s="99"/>
      <c r="BE103" s="99"/>
      <c r="BF103" s="99">
        <v>2800</v>
      </c>
      <c r="BG103" s="99">
        <v>15425.88712812298</v>
      </c>
      <c r="BH103" s="99">
        <v>25354.282557050377</v>
      </c>
      <c r="BI103" s="99">
        <v>35948.092127964061</v>
      </c>
      <c r="CO103" s="99"/>
      <c r="CP103" s="99"/>
      <c r="CQ103" s="99">
        <v>2800</v>
      </c>
      <c r="CR103" s="99">
        <v>15425.88712812298</v>
      </c>
      <c r="CS103" s="99">
        <v>25354.282557050377</v>
      </c>
      <c r="CT103" s="99">
        <v>35948.092127964061</v>
      </c>
      <c r="DZ103" s="99"/>
      <c r="EA103" s="99"/>
      <c r="EB103" s="99">
        <v>2800</v>
      </c>
      <c r="EC103" s="99">
        <v>15425.88712812298</v>
      </c>
      <c r="ED103" s="99">
        <v>25354.282557050377</v>
      </c>
      <c r="EE103" s="99">
        <v>35948.092127964061</v>
      </c>
      <c r="FK103" s="99"/>
      <c r="FL103" s="99"/>
      <c r="FM103" s="99">
        <v>2800</v>
      </c>
      <c r="FN103" s="99">
        <v>15425.88712812298</v>
      </c>
      <c r="FO103" s="99">
        <v>25354.282557050377</v>
      </c>
      <c r="FP103" s="99">
        <v>35948.092127964061</v>
      </c>
      <c r="GV103" s="99"/>
      <c r="GW103" s="99"/>
      <c r="GX103" s="99">
        <v>2800</v>
      </c>
      <c r="GY103" s="99">
        <v>15425.88712812298</v>
      </c>
      <c r="GZ103" s="99">
        <v>25354.282557050377</v>
      </c>
      <c r="HA103" s="99">
        <v>35948.092127964061</v>
      </c>
      <c r="IE103" s="86"/>
    </row>
    <row r="104" spans="2:239" outlineLevel="1" x14ac:dyDescent="0.3">
      <c r="B104" s="85"/>
      <c r="C104" s="100" t="s">
        <v>81</v>
      </c>
      <c r="BD104" s="101"/>
      <c r="BE104" s="101"/>
      <c r="BF104" s="101">
        <v>4380.1390737595793</v>
      </c>
      <c r="BG104" s="101">
        <v>25234.438869417703</v>
      </c>
      <c r="BH104" s="101">
        <v>41551.423637267435</v>
      </c>
      <c r="BI104" s="101">
        <v>57823.863851779868</v>
      </c>
      <c r="CO104" s="101"/>
      <c r="CP104" s="101"/>
      <c r="CQ104" s="101">
        <v>4380.1390737595793</v>
      </c>
      <c r="CR104" s="101">
        <v>11075.316512819307</v>
      </c>
      <c r="CS104" s="101">
        <v>11989.142202163726</v>
      </c>
      <c r="CT104" s="101">
        <v>12053.549547167713</v>
      </c>
      <c r="DZ104" s="101"/>
      <c r="EA104" s="101"/>
      <c r="EB104" s="101">
        <v>4380.1390737595793</v>
      </c>
      <c r="EC104" s="101">
        <v>11559.965914339162</v>
      </c>
      <c r="ED104" s="101">
        <v>12917.437689892206</v>
      </c>
      <c r="EE104" s="101">
        <v>13373.416373283122</v>
      </c>
      <c r="FK104" s="101"/>
      <c r="FL104" s="101"/>
      <c r="FM104" s="101">
        <v>4380.1390737595793</v>
      </c>
      <c r="FN104" s="101">
        <v>14560.426671286565</v>
      </c>
      <c r="FO104" s="101">
        <v>18782.271048166105</v>
      </c>
      <c r="FP104" s="101">
        <v>21749.223053704263</v>
      </c>
      <c r="GV104" s="101"/>
      <c r="GW104" s="101"/>
      <c r="GX104" s="101">
        <v>4380.1390737595793</v>
      </c>
      <c r="GY104" s="101">
        <v>25234.438869417703</v>
      </c>
      <c r="GZ104" s="101">
        <v>41551.423637267435</v>
      </c>
      <c r="HA104" s="101">
        <v>57823.863851779868</v>
      </c>
      <c r="IE104" s="86"/>
    </row>
    <row r="105" spans="2:239" outlineLevel="1" x14ac:dyDescent="0.3">
      <c r="B105" s="85"/>
      <c r="C105" s="102" t="s">
        <v>82</v>
      </c>
      <c r="BD105" s="103"/>
      <c r="BE105" s="103"/>
      <c r="BF105" s="103">
        <v>2784</v>
      </c>
      <c r="BG105" s="103">
        <v>20624.637504965242</v>
      </c>
      <c r="BH105" s="103">
        <v>35891.789690958729</v>
      </c>
      <c r="BI105" s="103">
        <v>52002.370970447198</v>
      </c>
      <c r="CO105" s="103"/>
      <c r="CP105" s="103"/>
      <c r="CQ105" s="103">
        <v>2784</v>
      </c>
      <c r="CR105" s="103">
        <v>7375.8608036375372</v>
      </c>
      <c r="CS105" s="103">
        <v>8061.4239317415631</v>
      </c>
      <c r="CT105" s="103">
        <v>8532.8826581669928</v>
      </c>
      <c r="DZ105" s="103"/>
      <c r="EA105" s="103"/>
      <c r="EB105" s="103">
        <v>2784</v>
      </c>
      <c r="EC105" s="103">
        <v>7375.8608036375372</v>
      </c>
      <c r="ED105" s="103">
        <v>8061.4239317415631</v>
      </c>
      <c r="EE105" s="103">
        <v>8532.8826581669928</v>
      </c>
      <c r="FK105" s="103"/>
      <c r="FL105" s="103"/>
      <c r="FM105" s="103">
        <v>2784</v>
      </c>
      <c r="FN105" s="103">
        <v>10714.013134690933</v>
      </c>
      <c r="FO105" s="103">
        <v>14340.267774695152</v>
      </c>
      <c r="FP105" s="103">
        <v>17171.904550955791</v>
      </c>
      <c r="GV105" s="103"/>
      <c r="GW105" s="103"/>
      <c r="GX105" s="103">
        <v>2784</v>
      </c>
      <c r="GY105" s="103">
        <v>20624.637504965242</v>
      </c>
      <c r="GZ105" s="103">
        <v>35891.789690958729</v>
      </c>
      <c r="HA105" s="103">
        <v>52002.370970447198</v>
      </c>
      <c r="IE105" s="86"/>
    </row>
    <row r="106" spans="2:239" outlineLevel="1" x14ac:dyDescent="0.3">
      <c r="B106" s="85"/>
      <c r="C106" s="104" t="s">
        <v>83</v>
      </c>
      <c r="BD106" s="105"/>
      <c r="BE106" s="105"/>
      <c r="BF106" s="105">
        <v>282.30319790826616</v>
      </c>
      <c r="BG106" s="105">
        <v>385.26849387237235</v>
      </c>
      <c r="BH106" s="105">
        <v>461.78156208483415</v>
      </c>
      <c r="BI106" s="105">
        <v>536.3226440031649</v>
      </c>
      <c r="CO106" s="105"/>
      <c r="CP106" s="105"/>
      <c r="CQ106" s="105">
        <v>282.30319790826616</v>
      </c>
      <c r="CR106" s="105">
        <v>385.26849387237235</v>
      </c>
      <c r="CS106" s="105">
        <v>461.78156208483415</v>
      </c>
      <c r="CT106" s="105">
        <v>536.3226440031649</v>
      </c>
      <c r="DZ106" s="105"/>
      <c r="EA106" s="105"/>
      <c r="EB106" s="105">
        <v>282.30319790826616</v>
      </c>
      <c r="EC106" s="105">
        <v>385.26849387237235</v>
      </c>
      <c r="ED106" s="105">
        <v>461.78156208483415</v>
      </c>
      <c r="EE106" s="105">
        <v>536.3226440031649</v>
      </c>
      <c r="FK106" s="105"/>
      <c r="FL106" s="105"/>
      <c r="FM106" s="105">
        <v>282.30319790826616</v>
      </c>
      <c r="FN106" s="105">
        <v>385.26849387237235</v>
      </c>
      <c r="FO106" s="105">
        <v>461.78156208483415</v>
      </c>
      <c r="FP106" s="105">
        <v>536.3226440031649</v>
      </c>
      <c r="GV106" s="105"/>
      <c r="GW106" s="105"/>
      <c r="GX106" s="105">
        <v>282.30319790826616</v>
      </c>
      <c r="GY106" s="105">
        <v>385.26849387237235</v>
      </c>
      <c r="GZ106" s="105">
        <v>461.78156208483415</v>
      </c>
      <c r="HA106" s="105">
        <v>536.3226440031649</v>
      </c>
      <c r="IE106" s="86"/>
    </row>
    <row r="107" spans="2:239" outlineLevel="1" x14ac:dyDescent="0.3">
      <c r="B107" s="85"/>
      <c r="C107" s="106" t="s">
        <v>84</v>
      </c>
      <c r="BD107" s="108"/>
      <c r="BE107" s="108"/>
      <c r="BF107" s="108">
        <v>34845.344018278505</v>
      </c>
      <c r="BG107" s="108">
        <v>126975.28927561684</v>
      </c>
      <c r="BH107" s="108">
        <v>193607.199081003</v>
      </c>
      <c r="BI107" s="108">
        <v>261403.62111591717</v>
      </c>
      <c r="CO107" s="108"/>
      <c r="CP107" s="108"/>
      <c r="CQ107" s="109">
        <v>34845.344018278505</v>
      </c>
      <c r="CR107" s="109">
        <v>81465.771971976254</v>
      </c>
      <c r="CS107" s="109">
        <v>104456.12916921201</v>
      </c>
      <c r="CT107" s="109">
        <v>130252.08015922847</v>
      </c>
      <c r="DZ107" s="108"/>
      <c r="EA107" s="108"/>
      <c r="EB107" s="107">
        <v>34845.344018278505</v>
      </c>
      <c r="EC107" s="107">
        <v>81950.421373496109</v>
      </c>
      <c r="ED107" s="107">
        <v>105384.42465694051</v>
      </c>
      <c r="EE107" s="107">
        <v>131571.94698534388</v>
      </c>
      <c r="FK107" s="108"/>
      <c r="FL107" s="108"/>
      <c r="FM107" s="107">
        <v>34845.344018278505</v>
      </c>
      <c r="FN107" s="107">
        <v>99499.849860977658</v>
      </c>
      <c r="FO107" s="107">
        <v>134493.44081618782</v>
      </c>
      <c r="FP107" s="107">
        <v>166397.80956263022</v>
      </c>
      <c r="GV107" s="108"/>
      <c r="GW107" s="108"/>
      <c r="GX107" s="107">
        <v>34845.344018278505</v>
      </c>
      <c r="GY107" s="107">
        <v>126975.28927561684</v>
      </c>
      <c r="GZ107" s="107">
        <v>193607.199081003</v>
      </c>
      <c r="HA107" s="107">
        <v>261403.62111591717</v>
      </c>
      <c r="IE107" s="86"/>
    </row>
    <row r="108" spans="2:239" outlineLevel="1" x14ac:dyDescent="0.3">
      <c r="B108" s="85"/>
      <c r="IE108" s="86"/>
    </row>
    <row r="109" spans="2:239" outlineLevel="1" x14ac:dyDescent="0.3">
      <c r="B109" s="85"/>
      <c r="IE109" s="86"/>
    </row>
    <row r="110" spans="2:239" outlineLevel="1" x14ac:dyDescent="0.3">
      <c r="B110" s="85"/>
      <c r="C110" s="87" t="s">
        <v>75</v>
      </c>
      <c r="BD110" s="444" t="s">
        <v>86</v>
      </c>
      <c r="BE110" s="445"/>
      <c r="BF110" s="445"/>
      <c r="BG110" s="445"/>
      <c r="BH110" s="445"/>
      <c r="BI110" s="446"/>
      <c r="CO110" s="444" t="s">
        <v>86</v>
      </c>
      <c r="CP110" s="445"/>
      <c r="CQ110" s="445"/>
      <c r="CR110" s="445"/>
      <c r="CS110" s="445"/>
      <c r="CT110" s="446"/>
      <c r="DZ110" s="444" t="s">
        <v>86</v>
      </c>
      <c r="EA110" s="445"/>
      <c r="EB110" s="445"/>
      <c r="EC110" s="445"/>
      <c r="ED110" s="445"/>
      <c r="EE110" s="446"/>
      <c r="FK110" s="444" t="s">
        <v>86</v>
      </c>
      <c r="FL110" s="445"/>
      <c r="FM110" s="445"/>
      <c r="FN110" s="445"/>
      <c r="FO110" s="445"/>
      <c r="FP110" s="446"/>
      <c r="GV110" s="444" t="s">
        <v>86</v>
      </c>
      <c r="GW110" s="445"/>
      <c r="GX110" s="445"/>
      <c r="GY110" s="445"/>
      <c r="GZ110" s="445"/>
      <c r="HA110" s="446"/>
      <c r="IE110" s="86"/>
    </row>
    <row r="111" spans="2:239" outlineLevel="1" x14ac:dyDescent="0.3">
      <c r="B111" s="85"/>
      <c r="C111" s="90" t="s">
        <v>76</v>
      </c>
      <c r="BD111" s="110">
        <v>0.45</v>
      </c>
      <c r="CO111" s="110">
        <v>0.75</v>
      </c>
      <c r="DZ111" s="110">
        <v>0.65</v>
      </c>
      <c r="FK111" s="110">
        <v>0.65</v>
      </c>
      <c r="GV111" s="110">
        <v>0.55000000000000004</v>
      </c>
      <c r="IE111" s="86"/>
    </row>
    <row r="112" spans="2:239" outlineLevel="1" x14ac:dyDescent="0.3">
      <c r="B112" s="85"/>
      <c r="C112" s="92" t="s">
        <v>77</v>
      </c>
      <c r="BD112" s="110">
        <v>0.46</v>
      </c>
      <c r="CO112" s="110">
        <v>0.76</v>
      </c>
      <c r="DZ112" s="110">
        <v>0.66</v>
      </c>
      <c r="FK112" s="110">
        <v>0.66</v>
      </c>
      <c r="GV112" s="110">
        <v>0.55000000000000004</v>
      </c>
      <c r="IE112" s="86"/>
    </row>
    <row r="113" spans="2:239" outlineLevel="1" x14ac:dyDescent="0.3">
      <c r="B113" s="85"/>
      <c r="C113" s="94" t="s">
        <v>78</v>
      </c>
      <c r="BD113" s="110">
        <v>0.32</v>
      </c>
      <c r="CO113" s="110">
        <v>0.62</v>
      </c>
      <c r="DZ113" s="110">
        <v>0.52</v>
      </c>
      <c r="FK113" s="110">
        <v>0.52</v>
      </c>
      <c r="GV113" s="110">
        <v>0.42</v>
      </c>
      <c r="IE113" s="86"/>
    </row>
    <row r="114" spans="2:239" outlineLevel="1" x14ac:dyDescent="0.3">
      <c r="B114" s="85"/>
      <c r="C114" s="96" t="s">
        <v>79</v>
      </c>
      <c r="BD114" s="110">
        <v>0.65</v>
      </c>
      <c r="CO114" s="110">
        <v>0.96</v>
      </c>
      <c r="DZ114" s="110">
        <v>0.85</v>
      </c>
      <c r="FK114" s="110">
        <v>0.85</v>
      </c>
      <c r="GV114" s="110">
        <v>0.75</v>
      </c>
      <c r="IE114" s="86"/>
    </row>
    <row r="115" spans="2:239" outlineLevel="1" x14ac:dyDescent="0.3">
      <c r="B115" s="85"/>
      <c r="C115" s="98" t="s">
        <v>80</v>
      </c>
      <c r="BD115" s="110">
        <v>0.57999999999999996</v>
      </c>
      <c r="CO115" s="110">
        <v>0.89</v>
      </c>
      <c r="DZ115" s="110">
        <v>0.78</v>
      </c>
      <c r="FK115" s="110">
        <v>0.78</v>
      </c>
      <c r="GV115" s="110">
        <v>0.68</v>
      </c>
      <c r="IE115" s="86"/>
    </row>
    <row r="116" spans="2:239" outlineLevel="1" x14ac:dyDescent="0.3">
      <c r="B116" s="85"/>
      <c r="C116" s="100" t="s">
        <v>81</v>
      </c>
      <c r="BD116" s="110">
        <v>0.79</v>
      </c>
      <c r="CO116" s="110">
        <v>0.99</v>
      </c>
      <c r="DZ116" s="110">
        <v>0.99</v>
      </c>
      <c r="FK116" s="110">
        <v>0.99</v>
      </c>
      <c r="GV116" s="110">
        <v>0.89</v>
      </c>
      <c r="IE116" s="86"/>
    </row>
    <row r="117" spans="2:239" outlineLevel="1" x14ac:dyDescent="0.3">
      <c r="B117" s="85"/>
      <c r="C117" s="102" t="s">
        <v>82</v>
      </c>
      <c r="BD117" s="110">
        <v>0.39</v>
      </c>
      <c r="CO117" s="110">
        <v>0.69</v>
      </c>
      <c r="DZ117" s="110">
        <v>0.59</v>
      </c>
      <c r="FK117" s="110">
        <v>0.59</v>
      </c>
      <c r="GV117" s="110">
        <v>0.49</v>
      </c>
      <c r="IE117" s="86"/>
    </row>
    <row r="118" spans="2:239" outlineLevel="1" x14ac:dyDescent="0.3">
      <c r="B118" s="85"/>
      <c r="C118" s="104" t="s">
        <v>83</v>
      </c>
      <c r="BD118" s="110">
        <v>0.57999999999999996</v>
      </c>
      <c r="CO118" s="110">
        <v>0.88</v>
      </c>
      <c r="DZ118" s="110">
        <v>0.78</v>
      </c>
      <c r="FK118" s="110">
        <v>0.57999999999999996</v>
      </c>
      <c r="GV118" s="110">
        <v>0.57999999999999996</v>
      </c>
      <c r="IE118" s="86"/>
    </row>
    <row r="119" spans="2:239" outlineLevel="1" x14ac:dyDescent="0.3">
      <c r="B119" s="85"/>
      <c r="IE119" s="86"/>
    </row>
    <row r="120" spans="2:239" ht="14.25" customHeight="1" outlineLevel="1" x14ac:dyDescent="0.3">
      <c r="B120" s="85"/>
      <c r="BD120" s="447" t="s">
        <v>87</v>
      </c>
      <c r="BE120" s="448"/>
      <c r="BF120" s="448"/>
      <c r="BG120" s="448"/>
      <c r="BH120" s="448"/>
      <c r="BI120" s="449"/>
      <c r="CO120" s="447" t="s">
        <v>87</v>
      </c>
      <c r="CP120" s="448"/>
      <c r="CQ120" s="448"/>
      <c r="CR120" s="448"/>
      <c r="CS120" s="448"/>
      <c r="CT120" s="449"/>
      <c r="DZ120" s="447" t="s">
        <v>87</v>
      </c>
      <c r="EA120" s="448"/>
      <c r="EB120" s="448"/>
      <c r="EC120" s="448"/>
      <c r="ED120" s="448"/>
      <c r="EE120" s="449"/>
      <c r="FK120" s="447" t="s">
        <v>87</v>
      </c>
      <c r="FL120" s="448"/>
      <c r="FM120" s="448"/>
      <c r="FN120" s="448"/>
      <c r="FO120" s="448"/>
      <c r="FP120" s="449"/>
      <c r="GV120" s="447" t="s">
        <v>87</v>
      </c>
      <c r="GW120" s="448"/>
      <c r="GX120" s="448"/>
      <c r="GY120" s="448"/>
      <c r="GZ120" s="448"/>
      <c r="HA120" s="449"/>
      <c r="IE120" s="86"/>
    </row>
    <row r="121" spans="2:239" outlineLevel="1" x14ac:dyDescent="0.3">
      <c r="B121" s="85"/>
      <c r="C121" s="87" t="s">
        <v>75</v>
      </c>
      <c r="BD121" s="88">
        <v>2006</v>
      </c>
      <c r="BE121" s="88">
        <v>2015</v>
      </c>
      <c r="BF121" s="88">
        <v>2020</v>
      </c>
      <c r="BG121" s="88">
        <v>2030</v>
      </c>
      <c r="BH121" s="88">
        <v>2040</v>
      </c>
      <c r="BI121" s="88">
        <v>2050</v>
      </c>
      <c r="CO121" s="88">
        <v>2006</v>
      </c>
      <c r="CP121" s="88">
        <v>2015</v>
      </c>
      <c r="CQ121" s="88">
        <v>2020</v>
      </c>
      <c r="CR121" s="88">
        <v>2030</v>
      </c>
      <c r="CS121" s="88">
        <v>2040</v>
      </c>
      <c r="CT121" s="88">
        <v>2050</v>
      </c>
      <c r="DZ121" s="88" t="s">
        <v>88</v>
      </c>
      <c r="EA121" s="88">
        <v>2015</v>
      </c>
      <c r="EB121" s="88">
        <v>2020</v>
      </c>
      <c r="EC121" s="88">
        <v>2030</v>
      </c>
      <c r="ED121" s="88">
        <v>2040</v>
      </c>
      <c r="EE121" s="88">
        <v>2050</v>
      </c>
      <c r="FK121" s="88">
        <v>2006</v>
      </c>
      <c r="FL121" s="88">
        <v>2015</v>
      </c>
      <c r="FM121" s="88">
        <v>2020</v>
      </c>
      <c r="FN121" s="88">
        <v>2030</v>
      </c>
      <c r="FO121" s="88">
        <v>2040</v>
      </c>
      <c r="FP121" s="88">
        <v>2050</v>
      </c>
      <c r="GV121" s="88">
        <v>2006</v>
      </c>
      <c r="GW121" s="88">
        <v>2015</v>
      </c>
      <c r="GX121" s="89">
        <v>2020</v>
      </c>
      <c r="GY121" s="88">
        <v>2030</v>
      </c>
      <c r="GZ121" s="88">
        <v>2040</v>
      </c>
      <c r="HA121" s="88">
        <v>2050</v>
      </c>
      <c r="IE121" s="86"/>
    </row>
    <row r="122" spans="2:239" outlineLevel="1" x14ac:dyDescent="0.3">
      <c r="B122" s="85"/>
      <c r="C122" s="90" t="s">
        <v>76</v>
      </c>
      <c r="BD122" s="91">
        <v>54330</v>
      </c>
      <c r="BE122" s="91">
        <v>57423.942820838631</v>
      </c>
      <c r="BF122" s="91">
        <v>56420.569889040635</v>
      </c>
      <c r="BG122" s="91">
        <v>47064.613991867009</v>
      </c>
      <c r="BH122" s="91">
        <v>40222.397332100765</v>
      </c>
      <c r="BI122" s="91">
        <v>34537.914954944143</v>
      </c>
      <c r="CO122" s="91">
        <v>54330</v>
      </c>
      <c r="CP122" s="91">
        <v>57423.942820838631</v>
      </c>
      <c r="CQ122" s="91">
        <v>56423.035346124554</v>
      </c>
      <c r="CR122" s="91">
        <v>37765.199531224251</v>
      </c>
      <c r="CS122" s="91">
        <v>28240.999894891982</v>
      </c>
      <c r="CT122" s="91">
        <v>21421.49718128916</v>
      </c>
      <c r="DZ122" s="91">
        <v>54330</v>
      </c>
      <c r="EA122" s="91">
        <v>57423.942820838631</v>
      </c>
      <c r="EB122" s="91">
        <v>56429.198988834345</v>
      </c>
      <c r="EC122" s="91">
        <v>39524.483835094645</v>
      </c>
      <c r="ED122" s="91">
        <v>30151.980285903413</v>
      </c>
      <c r="EE122" s="91">
        <v>23529.31395411809</v>
      </c>
      <c r="FK122" s="91">
        <v>54330</v>
      </c>
      <c r="FL122" s="91">
        <v>57423.942820838631</v>
      </c>
      <c r="FM122" s="91">
        <v>56429.198988834345</v>
      </c>
      <c r="FN122" s="91">
        <v>43798.740338191266</v>
      </c>
      <c r="FO122" s="91">
        <v>36051.401162356982</v>
      </c>
      <c r="FP122" s="91">
        <v>29602.646665006254</v>
      </c>
      <c r="GV122" s="91">
        <v>54330</v>
      </c>
      <c r="GW122" s="91">
        <v>57423.942820838631</v>
      </c>
      <c r="GX122" s="91">
        <v>56420.980798554621</v>
      </c>
      <c r="GY122" s="91">
        <v>45910.949093555158</v>
      </c>
      <c r="GZ122" s="91">
        <v>38972.473558810692</v>
      </c>
      <c r="HA122" s="91">
        <v>32565.803676434043</v>
      </c>
      <c r="IE122" s="86"/>
    </row>
    <row r="123" spans="2:239" outlineLevel="1" x14ac:dyDescent="0.3">
      <c r="B123" s="85"/>
      <c r="C123" s="92" t="s">
        <v>77</v>
      </c>
      <c r="BD123" s="93">
        <v>22320</v>
      </c>
      <c r="BE123" s="93">
        <v>22757.805841715446</v>
      </c>
      <c r="BF123" s="93">
        <v>22294.565156193876</v>
      </c>
      <c r="BG123" s="93">
        <v>20678.447448962652</v>
      </c>
      <c r="BH123" s="93">
        <v>19966.513454968856</v>
      </c>
      <c r="BI123" s="93">
        <v>19317.177997041315</v>
      </c>
      <c r="CO123" s="93">
        <v>22320</v>
      </c>
      <c r="CP123" s="93">
        <v>22757.805841715446</v>
      </c>
      <c r="CQ123" s="93">
        <v>22294.565156193876</v>
      </c>
      <c r="CR123" s="93">
        <v>15782.035174033721</v>
      </c>
      <c r="CS123" s="93">
        <v>12565.196691260298</v>
      </c>
      <c r="CT123" s="93">
        <v>9900.367458271754</v>
      </c>
      <c r="DZ123" s="93">
        <v>22320</v>
      </c>
      <c r="EA123" s="93">
        <v>22757.805841715446</v>
      </c>
      <c r="EB123" s="93">
        <v>22294.565156193872</v>
      </c>
      <c r="EC123" s="93">
        <v>16621.393130349519</v>
      </c>
      <c r="ED123" s="93">
        <v>13401.260462279984</v>
      </c>
      <c r="EE123" s="93">
        <v>10884.448656529195</v>
      </c>
      <c r="FK123" s="93">
        <v>22320</v>
      </c>
      <c r="FL123" s="93">
        <v>22757.805841715446</v>
      </c>
      <c r="FM123" s="93">
        <v>22294.565156193872</v>
      </c>
      <c r="FN123" s="93">
        <v>18351.272225113884</v>
      </c>
      <c r="FO123" s="93">
        <v>16470.483553690305</v>
      </c>
      <c r="FP123" s="93">
        <v>14574.87871077383</v>
      </c>
      <c r="GV123" s="93">
        <v>22320</v>
      </c>
      <c r="GW123" s="93">
        <v>22757.805841715446</v>
      </c>
      <c r="GX123" s="93">
        <v>22294.565156193876</v>
      </c>
      <c r="GY123" s="93">
        <v>20432.889026800789</v>
      </c>
      <c r="GZ123" s="93">
        <v>19991.398687785317</v>
      </c>
      <c r="HA123" s="93">
        <v>19552.118750567082</v>
      </c>
      <c r="IE123" s="86"/>
    </row>
    <row r="124" spans="2:239" outlineLevel="1" x14ac:dyDescent="0.3">
      <c r="B124" s="85"/>
      <c r="C124" s="94" t="s">
        <v>78</v>
      </c>
      <c r="BD124" s="95">
        <v>51116</v>
      </c>
      <c r="BE124" s="95">
        <v>50450.377999999997</v>
      </c>
      <c r="BF124" s="95">
        <v>47186.975330481597</v>
      </c>
      <c r="BG124" s="95">
        <v>43240.439862365383</v>
      </c>
      <c r="BH124" s="95">
        <v>41399.152791376291</v>
      </c>
      <c r="BI124" s="95">
        <v>39840.600981160984</v>
      </c>
      <c r="CO124" s="95">
        <v>51116</v>
      </c>
      <c r="CP124" s="95">
        <v>50450.377999999997</v>
      </c>
      <c r="CQ124" s="95">
        <v>47186.975330481597</v>
      </c>
      <c r="CR124" s="95">
        <v>34221.523912472156</v>
      </c>
      <c r="CS124" s="95">
        <v>27974.318436482004</v>
      </c>
      <c r="CT124" s="95">
        <v>23897.36652500528</v>
      </c>
      <c r="DZ124" s="95">
        <v>51116</v>
      </c>
      <c r="EA124" s="95">
        <v>50450.377999999997</v>
      </c>
      <c r="EB124" s="95">
        <v>47186.975330481597</v>
      </c>
      <c r="EC124" s="95">
        <v>35999.304893872977</v>
      </c>
      <c r="ED124" s="95">
        <v>30717.464328465598</v>
      </c>
      <c r="EE124" s="95">
        <v>26644.990269507525</v>
      </c>
      <c r="FK124" s="95">
        <v>51116</v>
      </c>
      <c r="FL124" s="95">
        <v>50450.377999999997</v>
      </c>
      <c r="FM124" s="95">
        <v>47186.975330481597</v>
      </c>
      <c r="FN124" s="95">
        <v>39723.906554900357</v>
      </c>
      <c r="FO124" s="95">
        <v>37050.755868412278</v>
      </c>
      <c r="FP124" s="95">
        <v>34772.408630032769</v>
      </c>
      <c r="GV124" s="95">
        <v>51116</v>
      </c>
      <c r="GW124" s="95">
        <v>50450.377999999997</v>
      </c>
      <c r="GX124" s="95">
        <v>47186.975330481597</v>
      </c>
      <c r="GY124" s="95">
        <v>42625.664469649862</v>
      </c>
      <c r="GZ124" s="95">
        <v>40546.892599056708</v>
      </c>
      <c r="HA124" s="95">
        <v>38820.30979134432</v>
      </c>
      <c r="IE124" s="86"/>
    </row>
    <row r="125" spans="2:239" outlineLevel="1" x14ac:dyDescent="0.3">
      <c r="B125" s="85"/>
      <c r="C125" s="96" t="s">
        <v>79</v>
      </c>
      <c r="BD125" s="97">
        <v>26275.599999999999</v>
      </c>
      <c r="BE125" s="97">
        <v>26147.968869328884</v>
      </c>
      <c r="BF125" s="97">
        <v>25283.35561068419</v>
      </c>
      <c r="BG125" s="97">
        <v>21007.965008989137</v>
      </c>
      <c r="BH125" s="97">
        <v>21070.651760387365</v>
      </c>
      <c r="BI125" s="97">
        <v>23468.618772597543</v>
      </c>
      <c r="CO125" s="97">
        <v>26275.599999999999</v>
      </c>
      <c r="CP125" s="97">
        <v>26147.968869328884</v>
      </c>
      <c r="CQ125" s="97">
        <v>25283.355610684182</v>
      </c>
      <c r="CR125" s="97">
        <v>13921.496916929686</v>
      </c>
      <c r="CS125" s="97">
        <v>10331.376358561965</v>
      </c>
      <c r="CT125" s="97">
        <v>8206.4642369050634</v>
      </c>
      <c r="DZ125" s="97">
        <v>26275.599999999999</v>
      </c>
      <c r="EA125" s="97">
        <v>26147.968869328884</v>
      </c>
      <c r="EB125" s="97">
        <v>25283.355610684182</v>
      </c>
      <c r="EC125" s="97">
        <v>15908.455842147854</v>
      </c>
      <c r="ED125" s="97">
        <v>12018.409584366085</v>
      </c>
      <c r="EE125" s="97">
        <v>9931.5189920213852</v>
      </c>
      <c r="FK125" s="97">
        <v>26275.599999999999</v>
      </c>
      <c r="FL125" s="97">
        <v>26147.968869328884</v>
      </c>
      <c r="FM125" s="97">
        <v>25283.355610684182</v>
      </c>
      <c r="FN125" s="97">
        <v>16970.227754615524</v>
      </c>
      <c r="FO125" s="97">
        <v>15771.742381237977</v>
      </c>
      <c r="FP125" s="97">
        <v>16100.391430211725</v>
      </c>
      <c r="GV125" s="97">
        <v>26275.599999999999</v>
      </c>
      <c r="GW125" s="97">
        <v>26147.968869328884</v>
      </c>
      <c r="GX125" s="97">
        <v>25283.35561068419</v>
      </c>
      <c r="GY125" s="97">
        <v>20817.141388260421</v>
      </c>
      <c r="GZ125" s="97">
        <v>20802.703748182535</v>
      </c>
      <c r="HA125" s="97">
        <v>22188.949942091975</v>
      </c>
      <c r="IE125" s="86"/>
    </row>
    <row r="126" spans="2:239" outlineLevel="1" x14ac:dyDescent="0.3">
      <c r="B126" s="85"/>
      <c r="C126" s="98" t="s">
        <v>80</v>
      </c>
      <c r="BD126" s="99">
        <v>12687</v>
      </c>
      <c r="BE126" s="99">
        <v>13446.691889479491</v>
      </c>
      <c r="BF126" s="99">
        <v>13194.895745959035</v>
      </c>
      <c r="BG126" s="99">
        <v>12599.000043894901</v>
      </c>
      <c r="BH126" s="99">
        <v>13203.013935299205</v>
      </c>
      <c r="BI126" s="99">
        <v>14469.082979383467</v>
      </c>
      <c r="CO126" s="99">
        <v>12687</v>
      </c>
      <c r="CP126" s="99">
        <v>13446.691889479491</v>
      </c>
      <c r="CQ126" s="99">
        <v>13194.895745959038</v>
      </c>
      <c r="CR126" s="99">
        <v>10621.006124296371</v>
      </c>
      <c r="CS126" s="99">
        <v>10129.353657964644</v>
      </c>
      <c r="CT126" s="99">
        <v>9844.8247810975372</v>
      </c>
      <c r="DZ126" s="99">
        <v>12687</v>
      </c>
      <c r="EA126" s="99">
        <v>13446.691889479491</v>
      </c>
      <c r="EB126" s="99">
        <v>13194.895745959038</v>
      </c>
      <c r="EC126" s="99">
        <v>11332.435502907996</v>
      </c>
      <c r="ED126" s="99">
        <v>10652.036663341967</v>
      </c>
      <c r="EE126" s="99">
        <v>10523.630784566656</v>
      </c>
      <c r="FK126" s="99">
        <v>12687</v>
      </c>
      <c r="FL126" s="99">
        <v>13446.691889479491</v>
      </c>
      <c r="FM126" s="99">
        <v>13194.895745959038</v>
      </c>
      <c r="FN126" s="99">
        <v>11222.381177647385</v>
      </c>
      <c r="FO126" s="99">
        <v>11373.21246555138</v>
      </c>
      <c r="FP126" s="99">
        <v>11677.376795338107</v>
      </c>
      <c r="GV126" s="99">
        <v>12687</v>
      </c>
      <c r="GW126" s="99">
        <v>13446.691889479491</v>
      </c>
      <c r="GX126" s="99">
        <v>13194.895745959037</v>
      </c>
      <c r="GY126" s="99">
        <v>12678.561855809885</v>
      </c>
      <c r="GZ126" s="99">
        <v>13002.745510520457</v>
      </c>
      <c r="HA126" s="99">
        <v>13521.647309413365</v>
      </c>
      <c r="IE126" s="86"/>
    </row>
    <row r="127" spans="2:239" outlineLevel="1" x14ac:dyDescent="0.3">
      <c r="B127" s="85"/>
      <c r="C127" s="100" t="s">
        <v>81</v>
      </c>
      <c r="BD127" s="101">
        <v>26154.860118572342</v>
      </c>
      <c r="BE127" s="101">
        <v>27145.342394119507</v>
      </c>
      <c r="BF127" s="101">
        <v>26529.487802414471</v>
      </c>
      <c r="BG127" s="101">
        <v>22796.370322162242</v>
      </c>
      <c r="BH127" s="101">
        <v>22538.39274256488</v>
      </c>
      <c r="BI127" s="101">
        <v>22656.557837660861</v>
      </c>
      <c r="CO127" s="101">
        <v>26154.860118572342</v>
      </c>
      <c r="CP127" s="101">
        <v>27145.342394119507</v>
      </c>
      <c r="CQ127" s="101">
        <v>26529.487802414471</v>
      </c>
      <c r="CR127" s="101">
        <v>16858.684332234945</v>
      </c>
      <c r="CS127" s="101">
        <v>13764.763465364162</v>
      </c>
      <c r="CT127" s="101">
        <v>11172.281734204998</v>
      </c>
      <c r="DZ127" s="101">
        <v>26154.860118572342</v>
      </c>
      <c r="EA127" s="101">
        <v>27145.342394119507</v>
      </c>
      <c r="EB127" s="101">
        <v>26529.487802414471</v>
      </c>
      <c r="EC127" s="101">
        <v>18341.392123922047</v>
      </c>
      <c r="ED127" s="101">
        <v>15162.109549131543</v>
      </c>
      <c r="EE127" s="101">
        <v>12805.794436702387</v>
      </c>
      <c r="FK127" s="101">
        <v>26154.860118572342</v>
      </c>
      <c r="FL127" s="101">
        <v>27145.342394119507</v>
      </c>
      <c r="FM127" s="101">
        <v>26529.487802414471</v>
      </c>
      <c r="FN127" s="101">
        <v>19059.563067025003</v>
      </c>
      <c r="FO127" s="101">
        <v>17276.152262387317</v>
      </c>
      <c r="FP127" s="101">
        <v>15476.207484588804</v>
      </c>
      <c r="GV127" s="101">
        <v>26154.860118572342</v>
      </c>
      <c r="GW127" s="101">
        <v>27145.342394119507</v>
      </c>
      <c r="GX127" s="101">
        <v>26529.487802414471</v>
      </c>
      <c r="GY127" s="101">
        <v>22450.912416928826</v>
      </c>
      <c r="GZ127" s="101">
        <v>21957.029796484858</v>
      </c>
      <c r="HA127" s="101">
        <v>21489.441244939873</v>
      </c>
      <c r="IE127" s="86"/>
    </row>
    <row r="128" spans="2:239" outlineLevel="1" x14ac:dyDescent="0.3">
      <c r="B128" s="85"/>
      <c r="C128" s="102" t="s">
        <v>82</v>
      </c>
      <c r="BD128" s="103">
        <v>17353</v>
      </c>
      <c r="BE128" s="103">
        <v>17626.242755472729</v>
      </c>
      <c r="BF128" s="103">
        <v>17429.316201473157</v>
      </c>
      <c r="BG128" s="103">
        <v>17542.521289827208</v>
      </c>
      <c r="BH128" s="103">
        <v>18752.421743906209</v>
      </c>
      <c r="BI128" s="103">
        <v>21085.380029940257</v>
      </c>
      <c r="CO128" s="103">
        <v>17353</v>
      </c>
      <c r="CP128" s="103">
        <v>17626.242755472729</v>
      </c>
      <c r="CQ128" s="103">
        <v>17429.316201473157</v>
      </c>
      <c r="CR128" s="103">
        <v>11612.095719024164</v>
      </c>
      <c r="CS128" s="103">
        <v>8723.8668151125967</v>
      </c>
      <c r="CT128" s="103">
        <v>6563.6995844397443</v>
      </c>
      <c r="DZ128" s="103">
        <v>17353</v>
      </c>
      <c r="EA128" s="103">
        <v>17626.242755472729</v>
      </c>
      <c r="EB128" s="103">
        <v>17429.316201473157</v>
      </c>
      <c r="EC128" s="103">
        <v>12435.850439035283</v>
      </c>
      <c r="ED128" s="103">
        <v>9508.4269978085322</v>
      </c>
      <c r="EE128" s="103">
        <v>7404.2841450630094</v>
      </c>
      <c r="FK128" s="103">
        <v>17353</v>
      </c>
      <c r="FL128" s="103">
        <v>17626.242755472729</v>
      </c>
      <c r="FM128" s="103">
        <v>17429.316201473157</v>
      </c>
      <c r="FN128" s="103">
        <v>14493.750844791593</v>
      </c>
      <c r="FO128" s="103">
        <v>13594.776115528457</v>
      </c>
      <c r="FP128" s="103">
        <v>13005.28412681965</v>
      </c>
      <c r="GV128" s="103">
        <v>17353</v>
      </c>
      <c r="GW128" s="103">
        <v>17626.242755472729</v>
      </c>
      <c r="GX128" s="103">
        <v>17429.316201473157</v>
      </c>
      <c r="GY128" s="103">
        <v>17521.721207030616</v>
      </c>
      <c r="GZ128" s="103">
        <v>18747.378222437328</v>
      </c>
      <c r="HA128" s="103">
        <v>20689.815186587119</v>
      </c>
      <c r="IE128" s="86"/>
    </row>
    <row r="129" spans="2:239" outlineLevel="1" x14ac:dyDescent="0.3">
      <c r="B129" s="85"/>
      <c r="C129" s="104" t="s">
        <v>83</v>
      </c>
      <c r="BD129" s="105">
        <v>8655</v>
      </c>
      <c r="BE129" s="105">
        <v>8041.1338688085671</v>
      </c>
      <c r="BF129" s="105">
        <v>7777.9672274450913</v>
      </c>
      <c r="BG129" s="105">
        <v>7240.7909889570201</v>
      </c>
      <c r="BH129" s="105">
        <v>6730.9186293901794</v>
      </c>
      <c r="BI129" s="105">
        <v>6353.9935218456576</v>
      </c>
      <c r="CO129" s="105">
        <v>8655</v>
      </c>
      <c r="CP129" s="105">
        <v>8041.1338688085671</v>
      </c>
      <c r="CQ129" s="105">
        <v>7777.9672274450913</v>
      </c>
      <c r="CR129" s="105">
        <v>6435.6149535280438</v>
      </c>
      <c r="CS129" s="105">
        <v>5807.2087558642643</v>
      </c>
      <c r="CT129" s="105">
        <v>5173.642951023252</v>
      </c>
      <c r="DZ129" s="105">
        <v>8655</v>
      </c>
      <c r="EA129" s="105">
        <v>8041.1338688085671</v>
      </c>
      <c r="EB129" s="105">
        <v>7777.9672274450913</v>
      </c>
      <c r="EC129" s="105">
        <v>6902.1139515000559</v>
      </c>
      <c r="ED129" s="105">
        <v>6073.2450873224634</v>
      </c>
      <c r="EE129" s="105">
        <v>5531.4209594176982</v>
      </c>
      <c r="FK129" s="105">
        <v>8655</v>
      </c>
      <c r="FL129" s="105">
        <v>8041.1338688085671</v>
      </c>
      <c r="FM129" s="105">
        <v>7777.9672274450913</v>
      </c>
      <c r="FN129" s="105">
        <v>6670.1446576243488</v>
      </c>
      <c r="FO129" s="105">
        <v>6248.8982401433213</v>
      </c>
      <c r="FP129" s="105">
        <v>5840.5390097442187</v>
      </c>
      <c r="GV129" s="105">
        <v>8655</v>
      </c>
      <c r="GW129" s="105">
        <v>8041.1338688085671</v>
      </c>
      <c r="GX129" s="105">
        <v>7777.9672274450913</v>
      </c>
      <c r="GY129" s="105">
        <v>7257.6893516044493</v>
      </c>
      <c r="GZ129" s="105">
        <v>6748.6398036152887</v>
      </c>
      <c r="HA129" s="105">
        <v>6289.9983046347679</v>
      </c>
      <c r="IE129" s="86"/>
    </row>
    <row r="130" spans="2:239" outlineLevel="1" x14ac:dyDescent="0.3">
      <c r="B130" s="85"/>
      <c r="C130" s="111" t="s">
        <v>84</v>
      </c>
      <c r="BD130" s="109">
        <v>218891.46011857234</v>
      </c>
      <c r="BE130" s="109">
        <v>223039.50643976324</v>
      </c>
      <c r="BF130" s="109">
        <v>216117.13296369204</v>
      </c>
      <c r="BG130" s="109">
        <v>192170.14895702555</v>
      </c>
      <c r="BH130" s="109">
        <v>183883.46238999374</v>
      </c>
      <c r="BI130" s="109">
        <v>181729.32707457422</v>
      </c>
      <c r="CO130" s="109">
        <v>218891.46011857234</v>
      </c>
      <c r="CP130" s="109">
        <v>223039.50643976324</v>
      </c>
      <c r="CQ130" s="109">
        <v>216119.59842077599</v>
      </c>
      <c r="CR130" s="109">
        <v>147217.65666374334</v>
      </c>
      <c r="CS130" s="109">
        <v>117537.08407550192</v>
      </c>
      <c r="CT130" s="109">
        <v>96180.144452236796</v>
      </c>
      <c r="DZ130" s="109">
        <v>218891.46011857234</v>
      </c>
      <c r="EA130" s="109">
        <v>223039.50643976324</v>
      </c>
      <c r="EB130" s="109">
        <v>216125.76206348577</v>
      </c>
      <c r="EC130" s="109">
        <v>157065.42971883039</v>
      </c>
      <c r="ED130" s="109">
        <v>127684.93295861958</v>
      </c>
      <c r="EE130" s="109">
        <v>107255.40219792596</v>
      </c>
      <c r="FK130" s="109">
        <v>218891.46011857234</v>
      </c>
      <c r="FL130" s="109">
        <v>223039.50643976324</v>
      </c>
      <c r="FM130" s="109">
        <v>216125.76206348577</v>
      </c>
      <c r="FN130" s="109">
        <v>170289.98661990938</v>
      </c>
      <c r="FO130" s="109">
        <v>153837.42204930799</v>
      </c>
      <c r="FP130" s="109">
        <v>141049.73285251533</v>
      </c>
      <c r="GV130" s="109">
        <v>218891.46011857234</v>
      </c>
      <c r="GW130" s="109">
        <v>223039.50643976324</v>
      </c>
      <c r="GX130" s="109">
        <v>216117.54387320604</v>
      </c>
      <c r="GY130" s="109">
        <v>189695.52880964</v>
      </c>
      <c r="GZ130" s="109">
        <v>180769.2619268932</v>
      </c>
      <c r="HA130" s="109">
        <v>175118.08420601254</v>
      </c>
      <c r="IE130" s="86"/>
    </row>
    <row r="131" spans="2:239" outlineLevel="1" x14ac:dyDescent="0.3">
      <c r="B131" s="85"/>
      <c r="IE131" s="86"/>
    </row>
    <row r="132" spans="2:239" outlineLevel="1" x14ac:dyDescent="0.3">
      <c r="B132" s="85"/>
      <c r="IE132" s="86"/>
    </row>
    <row r="133" spans="2:239" ht="14.25" customHeight="1" outlineLevel="1" x14ac:dyDescent="0.3">
      <c r="B133" s="85"/>
      <c r="BD133" s="438" t="s">
        <v>89</v>
      </c>
      <c r="BE133" s="439"/>
      <c r="BF133" s="439"/>
      <c r="BG133" s="439"/>
      <c r="BH133" s="439"/>
      <c r="BI133" s="440"/>
      <c r="CO133" s="438" t="s">
        <v>89</v>
      </c>
      <c r="CP133" s="439"/>
      <c r="CQ133" s="439"/>
      <c r="CR133" s="439"/>
      <c r="CS133" s="439"/>
      <c r="CT133" s="440"/>
      <c r="DZ133" s="438" t="s">
        <v>89</v>
      </c>
      <c r="EA133" s="439"/>
      <c r="EB133" s="439"/>
      <c r="EC133" s="439"/>
      <c r="ED133" s="439"/>
      <c r="EE133" s="440"/>
      <c r="FK133" s="438" t="s">
        <v>89</v>
      </c>
      <c r="FL133" s="439"/>
      <c r="FM133" s="439"/>
      <c r="FN133" s="439"/>
      <c r="FO133" s="439"/>
      <c r="FP133" s="440"/>
      <c r="GV133" s="438" t="s">
        <v>89</v>
      </c>
      <c r="GW133" s="439"/>
      <c r="GX133" s="439"/>
      <c r="GY133" s="439"/>
      <c r="GZ133" s="439"/>
      <c r="HA133" s="440"/>
      <c r="IE133" s="86"/>
    </row>
    <row r="134" spans="2:239" outlineLevel="1" x14ac:dyDescent="0.3">
      <c r="B134" s="85"/>
      <c r="C134" s="87" t="s">
        <v>90</v>
      </c>
      <c r="BD134" s="89">
        <v>2006</v>
      </c>
      <c r="BE134" s="89">
        <v>2015</v>
      </c>
      <c r="BF134" s="89">
        <v>2020</v>
      </c>
      <c r="BG134" s="89">
        <v>2030</v>
      </c>
      <c r="BH134" s="89">
        <v>2040</v>
      </c>
      <c r="BI134" s="89">
        <v>2050</v>
      </c>
      <c r="CO134" s="89">
        <v>2006</v>
      </c>
      <c r="CP134" s="89">
        <v>2015</v>
      </c>
      <c r="CQ134" s="89">
        <v>2020</v>
      </c>
      <c r="CR134" s="89">
        <v>2030</v>
      </c>
      <c r="CS134" s="89">
        <v>2040</v>
      </c>
      <c r="CT134" s="89">
        <v>2050</v>
      </c>
      <c r="DZ134" s="89">
        <v>2006</v>
      </c>
      <c r="EA134" s="89">
        <v>2015</v>
      </c>
      <c r="EB134" s="89">
        <v>2020</v>
      </c>
      <c r="EC134" s="89">
        <v>2030</v>
      </c>
      <c r="ED134" s="89">
        <v>2040</v>
      </c>
      <c r="EE134" s="89">
        <v>2050</v>
      </c>
      <c r="FK134" s="89">
        <v>2006</v>
      </c>
      <c r="FL134" s="89">
        <v>2015</v>
      </c>
      <c r="FM134" s="89">
        <v>2020</v>
      </c>
      <c r="FN134" s="89">
        <v>2030</v>
      </c>
      <c r="FO134" s="89">
        <v>2040</v>
      </c>
      <c r="FP134" s="89">
        <v>2050</v>
      </c>
      <c r="GV134" s="89">
        <v>2006</v>
      </c>
      <c r="GW134" s="89">
        <v>2015</v>
      </c>
      <c r="GX134" s="89">
        <v>2020</v>
      </c>
      <c r="GY134" s="89">
        <v>2030</v>
      </c>
      <c r="GZ134" s="89">
        <v>2040</v>
      </c>
      <c r="HA134" s="89">
        <v>2050</v>
      </c>
      <c r="IE134" s="86"/>
    </row>
    <row r="135" spans="2:239" outlineLevel="1" x14ac:dyDescent="0.3">
      <c r="B135" s="85"/>
      <c r="C135" s="112" t="s">
        <v>91</v>
      </c>
      <c r="BD135" s="113">
        <v>110624.86011857234</v>
      </c>
      <c r="BE135" s="113">
        <v>102098.56361892461</v>
      </c>
      <c r="BF135" s="113">
        <v>98507.792817273541</v>
      </c>
      <c r="BG135" s="113">
        <v>78487.595786433565</v>
      </c>
      <c r="BH135" s="113">
        <v>69169.700044328914</v>
      </c>
      <c r="BI135" s="113">
        <v>62200.751193445685</v>
      </c>
      <c r="CO135" s="113">
        <v>110624.86011857234</v>
      </c>
      <c r="CP135" s="113">
        <v>102098.56361892461</v>
      </c>
      <c r="CQ135" s="113">
        <v>98510.25827435746</v>
      </c>
      <c r="CR135" s="113">
        <v>57014.586354684419</v>
      </c>
      <c r="CS135" s="113">
        <v>41623.078120700557</v>
      </c>
      <c r="CT135" s="113">
        <v>31499.692253041583</v>
      </c>
      <c r="DZ135" s="113">
        <v>110624.86011857234</v>
      </c>
      <c r="EA135" s="113">
        <v>102098.56361892461</v>
      </c>
      <c r="EB135" s="113">
        <v>98516.421917067259</v>
      </c>
      <c r="EC135" s="113">
        <v>64122.82160327024</v>
      </c>
      <c r="ED135" s="113">
        <v>48877.488046322578</v>
      </c>
      <c r="EE135" s="113">
        <v>39658.559725610736</v>
      </c>
      <c r="FK135" s="113">
        <v>110624.86011857234</v>
      </c>
      <c r="FL135" s="113">
        <v>102098.56361892461</v>
      </c>
      <c r="FM135" s="113">
        <v>98516.421917067259</v>
      </c>
      <c r="FN135" s="113">
        <v>63748.008555179491</v>
      </c>
      <c r="FO135" s="113">
        <v>53175.870405091133</v>
      </c>
      <c r="FP135" s="113">
        <v>45452.110830667625</v>
      </c>
      <c r="GV135" s="113">
        <v>110624.86011857234</v>
      </c>
      <c r="GW135" s="113">
        <v>102098.56361892461</v>
      </c>
      <c r="GX135" s="113">
        <v>98508.203726787528</v>
      </c>
      <c r="GY135" s="113">
        <v>76135.044119157552</v>
      </c>
      <c r="GZ135" s="113">
        <v>66275.326956897072</v>
      </c>
      <c r="HA135" s="113">
        <v>58772.908414812031</v>
      </c>
      <c r="IE135" s="86"/>
    </row>
    <row r="136" spans="2:239" outlineLevel="1" x14ac:dyDescent="0.3">
      <c r="B136" s="85"/>
      <c r="C136" s="112" t="s">
        <v>92</v>
      </c>
      <c r="BD136" s="113">
        <v>11060</v>
      </c>
      <c r="BE136" s="113">
        <v>11060</v>
      </c>
      <c r="BF136" s="113">
        <v>10975.476008985868</v>
      </c>
      <c r="BG136" s="113">
        <v>10519.965315322845</v>
      </c>
      <c r="BH136" s="113">
        <v>9998.4236875173174</v>
      </c>
      <c r="BI136" s="113">
        <v>9424.5380356289243</v>
      </c>
      <c r="CO136" s="113">
        <v>11060</v>
      </c>
      <c r="CP136" s="113">
        <v>11060</v>
      </c>
      <c r="CQ136" s="113">
        <v>10975.476008985868</v>
      </c>
      <c r="CR136" s="113">
        <v>8076.0347264669808</v>
      </c>
      <c r="CS136" s="113">
        <v>7245.2791932575874</v>
      </c>
      <c r="CT136" s="113">
        <v>6460.5663733727615</v>
      </c>
      <c r="DZ136" s="113">
        <v>11060</v>
      </c>
      <c r="EA136" s="113">
        <v>11060</v>
      </c>
      <c r="EB136" s="113">
        <v>10975.476008985868</v>
      </c>
      <c r="EC136" s="113">
        <v>9901.1353975200564</v>
      </c>
      <c r="ED136" s="113">
        <v>8866.0957985025107</v>
      </c>
      <c r="EE136" s="113">
        <v>7884.822724934731</v>
      </c>
      <c r="FK136" s="113">
        <v>11060</v>
      </c>
      <c r="FL136" s="113">
        <v>11060</v>
      </c>
      <c r="FM136" s="113">
        <v>10975.476008985868</v>
      </c>
      <c r="FN136" s="113">
        <v>10333.824364290431</v>
      </c>
      <c r="FO136" s="113">
        <v>9644.6592362488354</v>
      </c>
      <c r="FP136" s="113">
        <v>8925.1787860110271</v>
      </c>
      <c r="GV136" s="113">
        <v>11060</v>
      </c>
      <c r="GW136" s="113">
        <v>11060</v>
      </c>
      <c r="GX136" s="113">
        <v>10975.476008985868</v>
      </c>
      <c r="GY136" s="113">
        <v>10519.965315322845</v>
      </c>
      <c r="GZ136" s="113">
        <v>9998.4236875173174</v>
      </c>
      <c r="HA136" s="113">
        <v>9424.5380356289243</v>
      </c>
      <c r="IE136" s="86"/>
    </row>
    <row r="137" spans="2:239" outlineLevel="1" x14ac:dyDescent="0.3">
      <c r="B137" s="85"/>
      <c r="C137" s="112" t="s">
        <v>93</v>
      </c>
      <c r="BD137" s="113">
        <v>20329</v>
      </c>
      <c r="BE137" s="113">
        <v>21492.942820838627</v>
      </c>
      <c r="BF137" s="113">
        <v>21932.633446377215</v>
      </c>
      <c r="BG137" s="113">
        <v>22342.812650232296</v>
      </c>
      <c r="BH137" s="113">
        <v>22907.938918941338</v>
      </c>
      <c r="BI137" s="113">
        <v>23543.619581778723</v>
      </c>
      <c r="CO137" s="113">
        <v>20329</v>
      </c>
      <c r="CP137" s="113">
        <v>21492.942820838627</v>
      </c>
      <c r="CQ137" s="113">
        <v>21932.633446377215</v>
      </c>
      <c r="CR137" s="113">
        <v>17237.849688075017</v>
      </c>
      <c r="CS137" s="113">
        <v>13579.571498801641</v>
      </c>
      <c r="CT137" s="113">
        <v>10682.277724746044</v>
      </c>
      <c r="DZ137" s="113">
        <v>20329</v>
      </c>
      <c r="EA137" s="113">
        <v>21492.942820838627</v>
      </c>
      <c r="EB137" s="113">
        <v>21932.633446377215</v>
      </c>
      <c r="EC137" s="113">
        <v>17968.348359093554</v>
      </c>
      <c r="ED137" s="113">
        <v>14762.401157953553</v>
      </c>
      <c r="EE137" s="113">
        <v>12119.839061849743</v>
      </c>
      <c r="FK137" s="113">
        <v>20329</v>
      </c>
      <c r="FL137" s="113">
        <v>21492.942820838627</v>
      </c>
      <c r="FM137" s="113">
        <v>21932.633446377215</v>
      </c>
      <c r="FN137" s="113">
        <v>20215.302623800435</v>
      </c>
      <c r="FO137" s="113">
        <v>18715.049827571693</v>
      </c>
      <c r="FP137" s="113">
        <v>17331.424786934309</v>
      </c>
      <c r="GV137" s="113">
        <v>20329</v>
      </c>
      <c r="GW137" s="113">
        <v>21492.942820838627</v>
      </c>
      <c r="GX137" s="113">
        <v>21932.633446377215</v>
      </c>
      <c r="GY137" s="113">
        <v>22561.421945761522</v>
      </c>
      <c r="GZ137" s="113">
        <v>23327.360012412468</v>
      </c>
      <c r="HA137" s="113">
        <v>24141.216259251658</v>
      </c>
      <c r="IE137" s="86"/>
    </row>
    <row r="138" spans="2:239" outlineLevel="1" x14ac:dyDescent="0.3">
      <c r="B138" s="85"/>
      <c r="C138" s="112" t="s">
        <v>94</v>
      </c>
      <c r="BD138" s="113">
        <v>11257</v>
      </c>
      <c r="BE138" s="113">
        <v>10687</v>
      </c>
      <c r="BF138" s="113">
        <v>10864.139960107106</v>
      </c>
      <c r="BG138" s="113">
        <v>10317.639898779449</v>
      </c>
      <c r="BH138" s="113">
        <v>9942.3549729314291</v>
      </c>
      <c r="BI138" s="113">
        <v>9471.6096121677328</v>
      </c>
      <c r="CO138" s="113">
        <v>11257</v>
      </c>
      <c r="CP138" s="113">
        <v>10687</v>
      </c>
      <c r="CQ138" s="113">
        <v>10864.139960107106</v>
      </c>
      <c r="CR138" s="113">
        <v>9257.9733618086084</v>
      </c>
      <c r="CS138" s="113">
        <v>8059.2028875179694</v>
      </c>
      <c r="CT138" s="113">
        <v>7025.4069758216074</v>
      </c>
      <c r="DZ138" s="113">
        <v>11257</v>
      </c>
      <c r="EA138" s="113">
        <v>10687</v>
      </c>
      <c r="EB138" s="113">
        <v>10864.139960107106</v>
      </c>
      <c r="EC138" s="113">
        <v>9315.3890075189047</v>
      </c>
      <c r="ED138" s="113">
        <v>8089.1456486051493</v>
      </c>
      <c r="EE138" s="113">
        <v>7036.4557921926544</v>
      </c>
      <c r="FK138" s="113">
        <v>11257</v>
      </c>
      <c r="FL138" s="113">
        <v>10687</v>
      </c>
      <c r="FM138" s="113">
        <v>10864.139960107106</v>
      </c>
      <c r="FN138" s="113">
        <v>9834.1115805743884</v>
      </c>
      <c r="FO138" s="113">
        <v>9026.0459090239674</v>
      </c>
      <c r="FP138" s="113">
        <v>8244.8011331000671</v>
      </c>
      <c r="GV138" s="113">
        <v>11257</v>
      </c>
      <c r="GW138" s="113">
        <v>10687</v>
      </c>
      <c r="GX138" s="113">
        <v>10864.139960107106</v>
      </c>
      <c r="GY138" s="113">
        <v>10318.511889627647</v>
      </c>
      <c r="GZ138" s="113">
        <v>9928.6525415453107</v>
      </c>
      <c r="HA138" s="113">
        <v>9471.6096121677328</v>
      </c>
      <c r="IE138" s="86"/>
    </row>
    <row r="139" spans="2:239" outlineLevel="1" x14ac:dyDescent="0.3">
      <c r="B139" s="85"/>
      <c r="C139" s="112" t="s">
        <v>95</v>
      </c>
      <c r="BD139" s="113">
        <v>52238</v>
      </c>
      <c r="BE139" s="113">
        <v>59069</v>
      </c>
      <c r="BF139" s="113">
        <v>60437.713459123697</v>
      </c>
      <c r="BG139" s="113">
        <v>55997.50236191431</v>
      </c>
      <c r="BH139" s="113">
        <v>53302.501011930966</v>
      </c>
      <c r="BI139" s="113">
        <v>50419.562703551266</v>
      </c>
      <c r="CO139" s="113">
        <v>52238</v>
      </c>
      <c r="CP139" s="113">
        <v>59069</v>
      </c>
      <c r="CQ139" s="113">
        <v>60437.713459123697</v>
      </c>
      <c r="CR139" s="113">
        <v>49398.798469869522</v>
      </c>
      <c r="CS139" s="113">
        <v>42067.843507449506</v>
      </c>
      <c r="CT139" s="113">
        <v>35871.13019596818</v>
      </c>
      <c r="DZ139" s="113">
        <v>52238</v>
      </c>
      <c r="EA139" s="113">
        <v>59069</v>
      </c>
      <c r="EB139" s="113">
        <v>60437.713459123697</v>
      </c>
      <c r="EC139" s="113">
        <v>49412.539249701411</v>
      </c>
      <c r="ED139" s="113">
        <v>42093.386486089839</v>
      </c>
      <c r="EE139" s="113">
        <v>35906.344242888939</v>
      </c>
      <c r="FK139" s="113">
        <v>52238</v>
      </c>
      <c r="FL139" s="113">
        <v>59069</v>
      </c>
      <c r="FM139" s="113">
        <v>60437.713459123697</v>
      </c>
      <c r="FN139" s="113">
        <v>54472.278707577258</v>
      </c>
      <c r="FO139" s="113">
        <v>50285.704022397433</v>
      </c>
      <c r="FP139" s="113">
        <v>46002.870893950661</v>
      </c>
      <c r="GV139" s="113">
        <v>52238</v>
      </c>
      <c r="GW139" s="113">
        <v>59069</v>
      </c>
      <c r="GX139" s="113">
        <v>60437.713459123697</v>
      </c>
      <c r="GY139" s="113">
        <v>56906.916730755125</v>
      </c>
      <c r="GZ139" s="113">
        <v>56020.284454190267</v>
      </c>
      <c r="HA139" s="113">
        <v>54999.886611861293</v>
      </c>
      <c r="IE139" s="86"/>
    </row>
    <row r="140" spans="2:239" outlineLevel="1" x14ac:dyDescent="0.3">
      <c r="B140" s="85"/>
      <c r="C140" s="112" t="s">
        <v>96</v>
      </c>
      <c r="BD140" s="113">
        <v>13382.6</v>
      </c>
      <c r="BE140" s="113">
        <v>18632</v>
      </c>
      <c r="BF140" s="113">
        <v>13399.377271824622</v>
      </c>
      <c r="BG140" s="113">
        <v>14504.632944343086</v>
      </c>
      <c r="BH140" s="113">
        <v>18562.54375434378</v>
      </c>
      <c r="BI140" s="113">
        <v>26669.245948001892</v>
      </c>
      <c r="CO140" s="113">
        <v>13382.6</v>
      </c>
      <c r="CP140" s="113">
        <v>18632</v>
      </c>
      <c r="CQ140" s="113">
        <v>13399.377271824622</v>
      </c>
      <c r="CR140" s="113">
        <v>6232.4140628387941</v>
      </c>
      <c r="CS140" s="113">
        <v>4962.108867774672</v>
      </c>
      <c r="CT140" s="113">
        <v>4641.070929286615</v>
      </c>
      <c r="DZ140" s="113">
        <v>13382.6</v>
      </c>
      <c r="EA140" s="113">
        <v>18632</v>
      </c>
      <c r="EB140" s="113">
        <v>13399.377271824622</v>
      </c>
      <c r="EC140" s="113">
        <v>6345.1961017261901</v>
      </c>
      <c r="ED140" s="113">
        <v>4996.4158211459535</v>
      </c>
      <c r="EE140" s="113">
        <v>4649.3806504491258</v>
      </c>
      <c r="FK140" s="113">
        <v>13382.6</v>
      </c>
      <c r="FL140" s="113">
        <v>18632</v>
      </c>
      <c r="FM140" s="113">
        <v>13399.377271824622</v>
      </c>
      <c r="FN140" s="113">
        <v>11686.460788487369</v>
      </c>
      <c r="FO140" s="113">
        <v>12990.092648974949</v>
      </c>
      <c r="FP140" s="113">
        <v>15093.346421851653</v>
      </c>
      <c r="GV140" s="113">
        <v>13382.599999999999</v>
      </c>
      <c r="GW140" s="113">
        <v>18631.999999999996</v>
      </c>
      <c r="GX140" s="113">
        <v>13399.377271824622</v>
      </c>
      <c r="GY140" s="113">
        <v>13253.668809015315</v>
      </c>
      <c r="GZ140" s="113">
        <v>15219.214274330758</v>
      </c>
      <c r="HA140" s="113">
        <v>18307.925272290897</v>
      </c>
      <c r="IE140" s="86"/>
    </row>
    <row r="141" spans="2:239" outlineLevel="1" x14ac:dyDescent="0.3">
      <c r="B141" s="85"/>
      <c r="C141" s="114" t="s">
        <v>97</v>
      </c>
      <c r="BD141" s="115">
        <v>218891.46011857234</v>
      </c>
      <c r="BE141" s="115">
        <v>223039.50643976324</v>
      </c>
      <c r="BF141" s="115">
        <v>216117.13296369207</v>
      </c>
      <c r="BG141" s="115">
        <v>192170.14895702555</v>
      </c>
      <c r="BH141" s="115">
        <v>183883.46238999374</v>
      </c>
      <c r="BI141" s="115">
        <v>181729.32707457422</v>
      </c>
      <c r="CO141" s="115">
        <v>218891.46011857234</v>
      </c>
      <c r="CP141" s="115">
        <v>223039.50643976324</v>
      </c>
      <c r="CQ141" s="115">
        <v>216119.59842077596</v>
      </c>
      <c r="CR141" s="115">
        <v>147217.65666374334</v>
      </c>
      <c r="CS141" s="115">
        <v>117537.08407550193</v>
      </c>
      <c r="CT141" s="115">
        <v>96180.144452236782</v>
      </c>
      <c r="DZ141" s="115">
        <v>218891.46011857234</v>
      </c>
      <c r="EA141" s="115">
        <v>223039.50643976324</v>
      </c>
      <c r="EB141" s="115">
        <v>216125.76206348574</v>
      </c>
      <c r="EC141" s="115">
        <v>157065.42971883036</v>
      </c>
      <c r="ED141" s="115">
        <v>127684.93295861958</v>
      </c>
      <c r="EE141" s="115">
        <v>107255.40219792593</v>
      </c>
      <c r="FK141" s="115">
        <v>218891.46011857234</v>
      </c>
      <c r="FL141" s="115">
        <v>223039.50643976324</v>
      </c>
      <c r="FM141" s="115">
        <v>216125.76206348574</v>
      </c>
      <c r="FN141" s="115">
        <v>170289.98661990938</v>
      </c>
      <c r="FO141" s="115">
        <v>153837.42204930799</v>
      </c>
      <c r="FP141" s="115">
        <v>141049.73285251536</v>
      </c>
      <c r="GV141" s="115">
        <v>218891.46011857234</v>
      </c>
      <c r="GW141" s="115">
        <v>223039.50643976324</v>
      </c>
      <c r="GX141" s="115">
        <v>216117.54387320601</v>
      </c>
      <c r="GY141" s="115">
        <v>189695.52880964</v>
      </c>
      <c r="GZ141" s="115">
        <v>180769.2619268932</v>
      </c>
      <c r="HA141" s="115">
        <v>175118.08420601251</v>
      </c>
      <c r="IE141" s="86"/>
    </row>
    <row r="142" spans="2:239" outlineLevel="1" x14ac:dyDescent="0.3">
      <c r="B142" s="85"/>
      <c r="IE142" s="86"/>
    </row>
    <row r="143" spans="2:239" outlineLevel="1" x14ac:dyDescent="0.3">
      <c r="B143" s="85"/>
      <c r="C143" s="116" t="s">
        <v>98</v>
      </c>
      <c r="IE143" s="86"/>
    </row>
    <row r="144" spans="2:239" outlineLevel="1" x14ac:dyDescent="0.3">
      <c r="B144" s="85"/>
      <c r="IE144" s="86"/>
    </row>
    <row r="145" spans="2:350" x14ac:dyDescent="0.3">
      <c r="B145" s="117"/>
      <c r="C145" s="118"/>
      <c r="D145" s="118"/>
      <c r="E145" s="118"/>
      <c r="F145" s="118"/>
      <c r="G145" s="118"/>
      <c r="H145" s="118"/>
      <c r="I145" s="118"/>
      <c r="J145" s="118"/>
      <c r="K145" s="118"/>
      <c r="L145" s="118"/>
      <c r="M145" s="118"/>
      <c r="N145" s="118"/>
      <c r="O145" s="118"/>
      <c r="P145" s="118"/>
      <c r="Q145" s="118"/>
      <c r="R145" s="118"/>
      <c r="S145" s="118"/>
      <c r="T145" s="118"/>
      <c r="U145" s="118"/>
      <c r="V145" s="118"/>
      <c r="W145" s="118"/>
      <c r="X145" s="118"/>
      <c r="Y145" s="118"/>
      <c r="Z145" s="118"/>
      <c r="AA145" s="118"/>
      <c r="AB145" s="118"/>
      <c r="AC145" s="118"/>
      <c r="AD145" s="118"/>
      <c r="AE145" s="118"/>
      <c r="AF145" s="118"/>
      <c r="AG145" s="118"/>
      <c r="AH145" s="118"/>
      <c r="AI145" s="118"/>
      <c r="AJ145" s="118"/>
      <c r="AK145" s="118"/>
      <c r="AL145" s="118"/>
      <c r="AM145" s="118"/>
      <c r="AN145" s="118"/>
      <c r="AO145" s="118"/>
      <c r="AP145" s="118"/>
      <c r="AQ145" s="118"/>
      <c r="AR145" s="118"/>
      <c r="AS145" s="118"/>
      <c r="AT145" s="118"/>
      <c r="AU145" s="118"/>
      <c r="AV145" s="118"/>
      <c r="AW145" s="118"/>
      <c r="AX145" s="118"/>
      <c r="AY145" s="118"/>
      <c r="AZ145" s="118"/>
      <c r="BA145" s="118"/>
      <c r="BB145" s="118"/>
      <c r="BC145" s="118"/>
      <c r="BD145" s="118"/>
      <c r="BE145" s="118"/>
      <c r="BF145" s="118"/>
      <c r="BG145" s="118"/>
      <c r="BH145" s="118"/>
      <c r="BI145" s="118"/>
      <c r="BJ145" s="118"/>
      <c r="BK145" s="118"/>
      <c r="BL145" s="118"/>
      <c r="BM145" s="118"/>
      <c r="BN145" s="118"/>
      <c r="BO145" s="118"/>
      <c r="BP145" s="118"/>
      <c r="BQ145" s="118"/>
      <c r="BR145" s="118"/>
      <c r="BS145" s="118"/>
      <c r="BT145" s="118"/>
      <c r="BU145" s="118"/>
      <c r="BV145" s="118"/>
      <c r="BW145" s="118"/>
      <c r="BX145" s="118"/>
      <c r="BY145" s="118"/>
      <c r="BZ145" s="118"/>
      <c r="CA145" s="118"/>
      <c r="CB145" s="118"/>
      <c r="CC145" s="118"/>
      <c r="CD145" s="118"/>
      <c r="CE145" s="118"/>
      <c r="CF145" s="118"/>
      <c r="CG145" s="118"/>
      <c r="CH145" s="118"/>
      <c r="CI145" s="118"/>
      <c r="CJ145" s="118"/>
      <c r="CK145" s="118"/>
      <c r="CL145" s="118"/>
      <c r="CM145" s="118"/>
      <c r="CN145" s="118"/>
      <c r="CO145" s="118"/>
      <c r="CP145" s="118"/>
      <c r="CQ145" s="118"/>
      <c r="CR145" s="118"/>
      <c r="CS145" s="118"/>
      <c r="CT145" s="118"/>
      <c r="CU145" s="118"/>
      <c r="CV145" s="118"/>
      <c r="CW145" s="118"/>
      <c r="CX145" s="118"/>
      <c r="CY145" s="118"/>
      <c r="CZ145" s="118"/>
      <c r="DA145" s="118"/>
      <c r="DB145" s="118"/>
      <c r="DC145" s="118"/>
      <c r="DD145" s="118"/>
      <c r="DE145" s="118"/>
      <c r="DF145" s="118"/>
      <c r="DG145" s="118"/>
      <c r="DH145" s="118"/>
      <c r="DI145" s="118"/>
      <c r="DJ145" s="118"/>
      <c r="DK145" s="118"/>
      <c r="DL145" s="118"/>
      <c r="DM145" s="118"/>
      <c r="DN145" s="118"/>
      <c r="DO145" s="118"/>
      <c r="DP145" s="118"/>
      <c r="DQ145" s="118"/>
      <c r="DR145" s="118"/>
      <c r="DS145" s="118"/>
      <c r="DT145" s="118"/>
      <c r="DU145" s="118"/>
      <c r="DV145" s="118"/>
      <c r="DW145" s="118"/>
      <c r="DX145" s="118"/>
      <c r="DY145" s="118"/>
      <c r="DZ145" s="118"/>
      <c r="EA145" s="118"/>
      <c r="EB145" s="118"/>
      <c r="EC145" s="118"/>
      <c r="ED145" s="118"/>
      <c r="EE145" s="118"/>
      <c r="EF145" s="118"/>
      <c r="EG145" s="118"/>
      <c r="EH145" s="118"/>
      <c r="EI145" s="118"/>
      <c r="EJ145" s="118"/>
      <c r="EK145" s="118"/>
      <c r="EL145" s="118"/>
      <c r="EM145" s="118"/>
      <c r="EN145" s="118"/>
      <c r="EO145" s="118"/>
      <c r="EP145" s="118"/>
      <c r="EQ145" s="118"/>
      <c r="ER145" s="118"/>
      <c r="ES145" s="118"/>
      <c r="ET145" s="118"/>
      <c r="EU145" s="118"/>
      <c r="EV145" s="118"/>
      <c r="EW145" s="118"/>
      <c r="EX145" s="118"/>
      <c r="EY145" s="118"/>
      <c r="EZ145" s="118"/>
      <c r="FA145" s="118"/>
      <c r="FB145" s="118"/>
      <c r="FC145" s="118"/>
      <c r="FD145" s="118"/>
      <c r="FE145" s="118"/>
      <c r="FF145" s="118"/>
      <c r="FG145" s="118"/>
      <c r="FH145" s="118"/>
      <c r="FI145" s="118"/>
      <c r="FJ145" s="118"/>
      <c r="FK145" s="118"/>
      <c r="FL145" s="118"/>
      <c r="FM145" s="118"/>
      <c r="FN145" s="118"/>
      <c r="FO145" s="118"/>
      <c r="FP145" s="118"/>
      <c r="FQ145" s="118"/>
      <c r="FR145" s="118"/>
      <c r="FS145" s="118"/>
      <c r="FT145" s="118"/>
      <c r="FU145" s="118"/>
      <c r="FV145" s="118"/>
      <c r="FW145" s="118"/>
      <c r="FX145" s="118"/>
      <c r="FY145" s="118"/>
      <c r="FZ145" s="118"/>
      <c r="GA145" s="118"/>
      <c r="GB145" s="118"/>
      <c r="GC145" s="118"/>
      <c r="GD145" s="118"/>
      <c r="GE145" s="118"/>
      <c r="GF145" s="118"/>
      <c r="GG145" s="118"/>
      <c r="GH145" s="118"/>
      <c r="GI145" s="118"/>
      <c r="GJ145" s="118"/>
      <c r="GK145" s="118"/>
      <c r="GL145" s="118"/>
      <c r="GM145" s="118"/>
      <c r="GN145" s="118"/>
      <c r="GO145" s="118"/>
      <c r="GP145" s="118"/>
      <c r="GQ145" s="118"/>
      <c r="GR145" s="118"/>
      <c r="GS145" s="118"/>
      <c r="GT145" s="118"/>
      <c r="GU145" s="118"/>
      <c r="GV145" s="118"/>
      <c r="GW145" s="118"/>
      <c r="GX145" s="118"/>
      <c r="GY145" s="118"/>
      <c r="GZ145" s="118"/>
      <c r="HA145" s="118"/>
      <c r="HB145" s="118"/>
      <c r="HC145" s="118"/>
      <c r="HD145" s="118"/>
      <c r="HE145" s="118"/>
      <c r="HF145" s="118"/>
      <c r="HG145" s="118"/>
      <c r="HH145" s="118"/>
      <c r="HI145" s="118"/>
      <c r="HJ145" s="118"/>
      <c r="HK145" s="118"/>
      <c r="HL145" s="118"/>
      <c r="HM145" s="118"/>
      <c r="HN145" s="118"/>
      <c r="HO145" s="118"/>
      <c r="HP145" s="118"/>
      <c r="HQ145" s="118"/>
      <c r="HR145" s="118"/>
      <c r="HS145" s="118"/>
      <c r="HT145" s="118"/>
      <c r="HU145" s="118"/>
      <c r="HV145" s="118"/>
      <c r="HW145" s="118"/>
      <c r="HX145" s="118"/>
      <c r="HY145" s="118"/>
      <c r="HZ145" s="118"/>
      <c r="IA145" s="118"/>
      <c r="IB145" s="118"/>
      <c r="IC145" s="118"/>
      <c r="ID145" s="118"/>
      <c r="IE145" s="119"/>
    </row>
    <row r="147" spans="2:350" ht="20" x14ac:dyDescent="0.4">
      <c r="B147" s="73" t="s">
        <v>25</v>
      </c>
      <c r="C147" s="74" t="s">
        <v>18</v>
      </c>
    </row>
    <row r="149" spans="2:350" x14ac:dyDescent="0.3">
      <c r="C149" s="120" t="s">
        <v>99</v>
      </c>
      <c r="H149" s="121" t="s">
        <v>100</v>
      </c>
      <c r="S149" s="122" t="s">
        <v>5</v>
      </c>
      <c r="BD149" s="123" t="s">
        <v>6</v>
      </c>
      <c r="CO149" s="124" t="s">
        <v>7</v>
      </c>
      <c r="DZ149" s="125" t="s">
        <v>8</v>
      </c>
      <c r="FK149" s="126" t="s">
        <v>9</v>
      </c>
      <c r="GV149" s="127" t="s">
        <v>10</v>
      </c>
      <c r="IG149" s="128" t="s">
        <v>11</v>
      </c>
      <c r="JR149" s="129" t="str">
        <f>JR$4</f>
        <v>AMS2 2023</v>
      </c>
      <c r="LC149" s="130" t="str">
        <f>LC$4</f>
        <v>AMS3 2025</v>
      </c>
    </row>
    <row r="150" spans="2:350" s="4" customFormat="1" ht="18" customHeight="1" x14ac:dyDescent="0.3">
      <c r="C150" s="131"/>
      <c r="D150" s="132"/>
      <c r="E150" s="133" t="s">
        <v>101</v>
      </c>
      <c r="F150" s="134" t="s">
        <v>102</v>
      </c>
      <c r="H150" s="135">
        <f t="shared" ref="H150:Q150" si="0">H$1</f>
        <v>2015</v>
      </c>
      <c r="I150" s="133">
        <f t="shared" si="0"/>
        <v>2016</v>
      </c>
      <c r="J150" s="133">
        <f t="shared" si="0"/>
        <v>2017</v>
      </c>
      <c r="K150" s="133">
        <f t="shared" si="0"/>
        <v>2018</v>
      </c>
      <c r="L150" s="133">
        <f t="shared" si="0"/>
        <v>2019</v>
      </c>
      <c r="M150" s="133">
        <f t="shared" si="0"/>
        <v>2020</v>
      </c>
      <c r="N150" s="133">
        <f t="shared" si="0"/>
        <v>2021</v>
      </c>
      <c r="O150" s="133">
        <f t="shared" si="0"/>
        <v>2022</v>
      </c>
      <c r="P150" s="133">
        <f t="shared" si="0"/>
        <v>2023</v>
      </c>
      <c r="Q150" s="134">
        <f t="shared" si="0"/>
        <v>2024</v>
      </c>
      <c r="S150" s="135">
        <f t="shared" ref="S150:BB150" si="1">S$1</f>
        <v>2015</v>
      </c>
      <c r="T150" s="133">
        <f t="shared" si="1"/>
        <v>2016</v>
      </c>
      <c r="U150" s="133">
        <f t="shared" si="1"/>
        <v>2017</v>
      </c>
      <c r="V150" s="133">
        <f t="shared" si="1"/>
        <v>2018</v>
      </c>
      <c r="W150" s="133">
        <f t="shared" si="1"/>
        <v>2019</v>
      </c>
      <c r="X150" s="133">
        <f t="shared" si="1"/>
        <v>2020</v>
      </c>
      <c r="Y150" s="133">
        <f t="shared" si="1"/>
        <v>2021</v>
      </c>
      <c r="Z150" s="133">
        <f t="shared" si="1"/>
        <v>2022</v>
      </c>
      <c r="AA150" s="133">
        <f t="shared" si="1"/>
        <v>2023</v>
      </c>
      <c r="AB150" s="133">
        <f t="shared" si="1"/>
        <v>2024</v>
      </c>
      <c r="AC150" s="133">
        <f t="shared" si="1"/>
        <v>2025</v>
      </c>
      <c r="AD150" s="133">
        <f t="shared" si="1"/>
        <v>2026</v>
      </c>
      <c r="AE150" s="133">
        <f t="shared" si="1"/>
        <v>2027</v>
      </c>
      <c r="AF150" s="133">
        <f t="shared" si="1"/>
        <v>2028</v>
      </c>
      <c r="AG150" s="133">
        <f t="shared" si="1"/>
        <v>2029</v>
      </c>
      <c r="AH150" s="133">
        <f t="shared" si="1"/>
        <v>2030</v>
      </c>
      <c r="AI150" s="133">
        <f t="shared" si="1"/>
        <v>2031</v>
      </c>
      <c r="AJ150" s="133">
        <f t="shared" si="1"/>
        <v>2032</v>
      </c>
      <c r="AK150" s="133">
        <f t="shared" si="1"/>
        <v>2033</v>
      </c>
      <c r="AL150" s="133">
        <f t="shared" si="1"/>
        <v>2034</v>
      </c>
      <c r="AM150" s="133">
        <f t="shared" si="1"/>
        <v>2035</v>
      </c>
      <c r="AN150" s="133">
        <f t="shared" si="1"/>
        <v>2036</v>
      </c>
      <c r="AO150" s="133">
        <f t="shared" si="1"/>
        <v>2037</v>
      </c>
      <c r="AP150" s="133">
        <f t="shared" si="1"/>
        <v>2038</v>
      </c>
      <c r="AQ150" s="133">
        <f t="shared" si="1"/>
        <v>2039</v>
      </c>
      <c r="AR150" s="133">
        <f t="shared" si="1"/>
        <v>2040</v>
      </c>
      <c r="AS150" s="133">
        <f t="shared" si="1"/>
        <v>2041</v>
      </c>
      <c r="AT150" s="133">
        <f t="shared" si="1"/>
        <v>2042</v>
      </c>
      <c r="AU150" s="133">
        <f t="shared" si="1"/>
        <v>2043</v>
      </c>
      <c r="AV150" s="133">
        <f t="shared" si="1"/>
        <v>2044</v>
      </c>
      <c r="AW150" s="133">
        <f t="shared" si="1"/>
        <v>2045</v>
      </c>
      <c r="AX150" s="133">
        <f t="shared" si="1"/>
        <v>2046</v>
      </c>
      <c r="AY150" s="133">
        <f t="shared" si="1"/>
        <v>2047</v>
      </c>
      <c r="AZ150" s="133">
        <f t="shared" si="1"/>
        <v>2048</v>
      </c>
      <c r="BA150" s="133">
        <f t="shared" si="1"/>
        <v>2049</v>
      </c>
      <c r="BB150" s="134">
        <f t="shared" si="1"/>
        <v>2050</v>
      </c>
      <c r="BD150" s="135">
        <f t="shared" ref="BD150:CM150" si="2">BD$1</f>
        <v>2015</v>
      </c>
      <c r="BE150" s="133">
        <f t="shared" si="2"/>
        <v>2016</v>
      </c>
      <c r="BF150" s="133">
        <f t="shared" si="2"/>
        <v>2017</v>
      </c>
      <c r="BG150" s="133">
        <f t="shared" si="2"/>
        <v>2018</v>
      </c>
      <c r="BH150" s="133">
        <f t="shared" si="2"/>
        <v>2019</v>
      </c>
      <c r="BI150" s="133">
        <f t="shared" si="2"/>
        <v>2020</v>
      </c>
      <c r="BJ150" s="133">
        <f t="shared" si="2"/>
        <v>2021</v>
      </c>
      <c r="BK150" s="133">
        <f t="shared" si="2"/>
        <v>2022</v>
      </c>
      <c r="BL150" s="133">
        <f t="shared" si="2"/>
        <v>2023</v>
      </c>
      <c r="BM150" s="133">
        <f t="shared" si="2"/>
        <v>2024</v>
      </c>
      <c r="BN150" s="133">
        <f t="shared" si="2"/>
        <v>2025</v>
      </c>
      <c r="BO150" s="133">
        <f t="shared" si="2"/>
        <v>2026</v>
      </c>
      <c r="BP150" s="133">
        <f t="shared" si="2"/>
        <v>2027</v>
      </c>
      <c r="BQ150" s="133">
        <f t="shared" si="2"/>
        <v>2028</v>
      </c>
      <c r="BR150" s="133">
        <f t="shared" si="2"/>
        <v>2029</v>
      </c>
      <c r="BS150" s="133">
        <f t="shared" si="2"/>
        <v>2030</v>
      </c>
      <c r="BT150" s="133">
        <f t="shared" si="2"/>
        <v>2031</v>
      </c>
      <c r="BU150" s="133">
        <f t="shared" si="2"/>
        <v>2032</v>
      </c>
      <c r="BV150" s="133">
        <f t="shared" si="2"/>
        <v>2033</v>
      </c>
      <c r="BW150" s="133">
        <f t="shared" si="2"/>
        <v>2034</v>
      </c>
      <c r="BX150" s="133">
        <f t="shared" si="2"/>
        <v>2035</v>
      </c>
      <c r="BY150" s="133">
        <f t="shared" si="2"/>
        <v>2036</v>
      </c>
      <c r="BZ150" s="133">
        <f t="shared" si="2"/>
        <v>2037</v>
      </c>
      <c r="CA150" s="133">
        <f t="shared" si="2"/>
        <v>2038</v>
      </c>
      <c r="CB150" s="133">
        <f t="shared" si="2"/>
        <v>2039</v>
      </c>
      <c r="CC150" s="133">
        <f t="shared" si="2"/>
        <v>2040</v>
      </c>
      <c r="CD150" s="133">
        <f t="shared" si="2"/>
        <v>2041</v>
      </c>
      <c r="CE150" s="133">
        <f t="shared" si="2"/>
        <v>2042</v>
      </c>
      <c r="CF150" s="133">
        <f t="shared" si="2"/>
        <v>2043</v>
      </c>
      <c r="CG150" s="133">
        <f t="shared" si="2"/>
        <v>2044</v>
      </c>
      <c r="CH150" s="133">
        <f t="shared" si="2"/>
        <v>2045</v>
      </c>
      <c r="CI150" s="133">
        <f t="shared" si="2"/>
        <v>2046</v>
      </c>
      <c r="CJ150" s="133">
        <f t="shared" si="2"/>
        <v>2047</v>
      </c>
      <c r="CK150" s="133">
        <f t="shared" si="2"/>
        <v>2048</v>
      </c>
      <c r="CL150" s="133">
        <f t="shared" si="2"/>
        <v>2049</v>
      </c>
      <c r="CM150" s="134">
        <f t="shared" si="2"/>
        <v>2050</v>
      </c>
      <c r="CO150" s="135">
        <f t="shared" ref="CO150:DX150" si="3">CO$1</f>
        <v>2015</v>
      </c>
      <c r="CP150" s="133">
        <f t="shared" si="3"/>
        <v>2016</v>
      </c>
      <c r="CQ150" s="133">
        <f t="shared" si="3"/>
        <v>2017</v>
      </c>
      <c r="CR150" s="133">
        <f t="shared" si="3"/>
        <v>2018</v>
      </c>
      <c r="CS150" s="133">
        <f t="shared" si="3"/>
        <v>2019</v>
      </c>
      <c r="CT150" s="133">
        <f t="shared" si="3"/>
        <v>2020</v>
      </c>
      <c r="CU150" s="133">
        <f t="shared" si="3"/>
        <v>2021</v>
      </c>
      <c r="CV150" s="133">
        <f t="shared" si="3"/>
        <v>2022</v>
      </c>
      <c r="CW150" s="133">
        <f t="shared" si="3"/>
        <v>2023</v>
      </c>
      <c r="CX150" s="133">
        <f t="shared" si="3"/>
        <v>2024</v>
      </c>
      <c r="CY150" s="133">
        <f t="shared" si="3"/>
        <v>2025</v>
      </c>
      <c r="CZ150" s="133">
        <f t="shared" si="3"/>
        <v>2026</v>
      </c>
      <c r="DA150" s="133">
        <f t="shared" si="3"/>
        <v>2027</v>
      </c>
      <c r="DB150" s="133">
        <f t="shared" si="3"/>
        <v>2028</v>
      </c>
      <c r="DC150" s="133">
        <f t="shared" si="3"/>
        <v>2029</v>
      </c>
      <c r="DD150" s="133">
        <f t="shared" si="3"/>
        <v>2030</v>
      </c>
      <c r="DE150" s="133">
        <f t="shared" si="3"/>
        <v>2031</v>
      </c>
      <c r="DF150" s="133">
        <f t="shared" si="3"/>
        <v>2032</v>
      </c>
      <c r="DG150" s="133">
        <f t="shared" si="3"/>
        <v>2033</v>
      </c>
      <c r="DH150" s="133">
        <f t="shared" si="3"/>
        <v>2034</v>
      </c>
      <c r="DI150" s="133">
        <f t="shared" si="3"/>
        <v>2035</v>
      </c>
      <c r="DJ150" s="133">
        <f t="shared" si="3"/>
        <v>2036</v>
      </c>
      <c r="DK150" s="133">
        <f t="shared" si="3"/>
        <v>2037</v>
      </c>
      <c r="DL150" s="133">
        <f t="shared" si="3"/>
        <v>2038</v>
      </c>
      <c r="DM150" s="133">
        <f t="shared" si="3"/>
        <v>2039</v>
      </c>
      <c r="DN150" s="133">
        <f t="shared" si="3"/>
        <v>2040</v>
      </c>
      <c r="DO150" s="133">
        <f t="shared" si="3"/>
        <v>2041</v>
      </c>
      <c r="DP150" s="133">
        <f t="shared" si="3"/>
        <v>2042</v>
      </c>
      <c r="DQ150" s="133">
        <f t="shared" si="3"/>
        <v>2043</v>
      </c>
      <c r="DR150" s="133">
        <f t="shared" si="3"/>
        <v>2044</v>
      </c>
      <c r="DS150" s="133">
        <f t="shared" si="3"/>
        <v>2045</v>
      </c>
      <c r="DT150" s="133">
        <f t="shared" si="3"/>
        <v>2046</v>
      </c>
      <c r="DU150" s="133">
        <f t="shared" si="3"/>
        <v>2047</v>
      </c>
      <c r="DV150" s="133">
        <f t="shared" si="3"/>
        <v>2048</v>
      </c>
      <c r="DW150" s="133">
        <f t="shared" si="3"/>
        <v>2049</v>
      </c>
      <c r="DX150" s="134">
        <f t="shared" si="3"/>
        <v>2050</v>
      </c>
      <c r="DZ150" s="135">
        <f t="shared" ref="DZ150:FI150" si="4">DZ$1</f>
        <v>2015</v>
      </c>
      <c r="EA150" s="133">
        <f t="shared" si="4"/>
        <v>2016</v>
      </c>
      <c r="EB150" s="133">
        <f t="shared" si="4"/>
        <v>2017</v>
      </c>
      <c r="EC150" s="133">
        <f t="shared" si="4"/>
        <v>2018</v>
      </c>
      <c r="ED150" s="133">
        <f t="shared" si="4"/>
        <v>2019</v>
      </c>
      <c r="EE150" s="133">
        <f t="shared" si="4"/>
        <v>2020</v>
      </c>
      <c r="EF150" s="133">
        <f t="shared" si="4"/>
        <v>2021</v>
      </c>
      <c r="EG150" s="133">
        <f t="shared" si="4"/>
        <v>2022</v>
      </c>
      <c r="EH150" s="133">
        <f t="shared" si="4"/>
        <v>2023</v>
      </c>
      <c r="EI150" s="133">
        <f t="shared" si="4"/>
        <v>2024</v>
      </c>
      <c r="EJ150" s="133">
        <f t="shared" si="4"/>
        <v>2025</v>
      </c>
      <c r="EK150" s="133">
        <f t="shared" si="4"/>
        <v>2026</v>
      </c>
      <c r="EL150" s="133">
        <f t="shared" si="4"/>
        <v>2027</v>
      </c>
      <c r="EM150" s="133">
        <f t="shared" si="4"/>
        <v>2028</v>
      </c>
      <c r="EN150" s="133">
        <f t="shared" si="4"/>
        <v>2029</v>
      </c>
      <c r="EO150" s="133">
        <f t="shared" si="4"/>
        <v>2030</v>
      </c>
      <c r="EP150" s="133">
        <f t="shared" si="4"/>
        <v>2031</v>
      </c>
      <c r="EQ150" s="133">
        <f t="shared" si="4"/>
        <v>2032</v>
      </c>
      <c r="ER150" s="133">
        <f t="shared" si="4"/>
        <v>2033</v>
      </c>
      <c r="ES150" s="133">
        <f t="shared" si="4"/>
        <v>2034</v>
      </c>
      <c r="ET150" s="133">
        <f t="shared" si="4"/>
        <v>2035</v>
      </c>
      <c r="EU150" s="133">
        <f t="shared" si="4"/>
        <v>2036</v>
      </c>
      <c r="EV150" s="133">
        <f t="shared" si="4"/>
        <v>2037</v>
      </c>
      <c r="EW150" s="133">
        <f t="shared" si="4"/>
        <v>2038</v>
      </c>
      <c r="EX150" s="133">
        <f t="shared" si="4"/>
        <v>2039</v>
      </c>
      <c r="EY150" s="133">
        <f t="shared" si="4"/>
        <v>2040</v>
      </c>
      <c r="EZ150" s="133">
        <f t="shared" si="4"/>
        <v>2041</v>
      </c>
      <c r="FA150" s="133">
        <f t="shared" si="4"/>
        <v>2042</v>
      </c>
      <c r="FB150" s="133">
        <f t="shared" si="4"/>
        <v>2043</v>
      </c>
      <c r="FC150" s="133">
        <f t="shared" si="4"/>
        <v>2044</v>
      </c>
      <c r="FD150" s="133">
        <f t="shared" si="4"/>
        <v>2045</v>
      </c>
      <c r="FE150" s="133">
        <f t="shared" si="4"/>
        <v>2046</v>
      </c>
      <c r="FF150" s="133">
        <f t="shared" si="4"/>
        <v>2047</v>
      </c>
      <c r="FG150" s="133">
        <f t="shared" si="4"/>
        <v>2048</v>
      </c>
      <c r="FH150" s="133">
        <f t="shared" si="4"/>
        <v>2049</v>
      </c>
      <c r="FI150" s="134">
        <f t="shared" si="4"/>
        <v>2050</v>
      </c>
      <c r="FK150" s="135">
        <f t="shared" ref="FK150:GT150" si="5">FK$1</f>
        <v>2015</v>
      </c>
      <c r="FL150" s="133">
        <f t="shared" si="5"/>
        <v>2016</v>
      </c>
      <c r="FM150" s="133">
        <f t="shared" si="5"/>
        <v>2017</v>
      </c>
      <c r="FN150" s="133">
        <f t="shared" si="5"/>
        <v>2018</v>
      </c>
      <c r="FO150" s="133">
        <f t="shared" si="5"/>
        <v>2019</v>
      </c>
      <c r="FP150" s="133">
        <f t="shared" si="5"/>
        <v>2020</v>
      </c>
      <c r="FQ150" s="133">
        <f t="shared" si="5"/>
        <v>2021</v>
      </c>
      <c r="FR150" s="133">
        <f t="shared" si="5"/>
        <v>2022</v>
      </c>
      <c r="FS150" s="133">
        <f t="shared" si="5"/>
        <v>2023</v>
      </c>
      <c r="FT150" s="133">
        <f t="shared" si="5"/>
        <v>2024</v>
      </c>
      <c r="FU150" s="133">
        <f t="shared" si="5"/>
        <v>2025</v>
      </c>
      <c r="FV150" s="133">
        <f t="shared" si="5"/>
        <v>2026</v>
      </c>
      <c r="FW150" s="133">
        <f t="shared" si="5"/>
        <v>2027</v>
      </c>
      <c r="FX150" s="133">
        <f t="shared" si="5"/>
        <v>2028</v>
      </c>
      <c r="FY150" s="133">
        <f t="shared" si="5"/>
        <v>2029</v>
      </c>
      <c r="FZ150" s="133">
        <f t="shared" si="5"/>
        <v>2030</v>
      </c>
      <c r="GA150" s="133">
        <f t="shared" si="5"/>
        <v>2031</v>
      </c>
      <c r="GB150" s="133">
        <f t="shared" si="5"/>
        <v>2032</v>
      </c>
      <c r="GC150" s="133">
        <f t="shared" si="5"/>
        <v>2033</v>
      </c>
      <c r="GD150" s="133">
        <f t="shared" si="5"/>
        <v>2034</v>
      </c>
      <c r="GE150" s="133">
        <f t="shared" si="5"/>
        <v>2035</v>
      </c>
      <c r="GF150" s="133">
        <f t="shared" si="5"/>
        <v>2036</v>
      </c>
      <c r="GG150" s="133">
        <f t="shared" si="5"/>
        <v>2037</v>
      </c>
      <c r="GH150" s="133">
        <f t="shared" si="5"/>
        <v>2038</v>
      </c>
      <c r="GI150" s="133">
        <f t="shared" si="5"/>
        <v>2039</v>
      </c>
      <c r="GJ150" s="133">
        <f t="shared" si="5"/>
        <v>2040</v>
      </c>
      <c r="GK150" s="133">
        <f t="shared" si="5"/>
        <v>2041</v>
      </c>
      <c r="GL150" s="133">
        <f t="shared" si="5"/>
        <v>2042</v>
      </c>
      <c r="GM150" s="133">
        <f t="shared" si="5"/>
        <v>2043</v>
      </c>
      <c r="GN150" s="133">
        <f t="shared" si="5"/>
        <v>2044</v>
      </c>
      <c r="GO150" s="133">
        <f t="shared" si="5"/>
        <v>2045</v>
      </c>
      <c r="GP150" s="133">
        <f t="shared" si="5"/>
        <v>2046</v>
      </c>
      <c r="GQ150" s="133">
        <f t="shared" si="5"/>
        <v>2047</v>
      </c>
      <c r="GR150" s="133">
        <f t="shared" si="5"/>
        <v>2048</v>
      </c>
      <c r="GS150" s="133">
        <f t="shared" si="5"/>
        <v>2049</v>
      </c>
      <c r="GT150" s="134">
        <f t="shared" si="5"/>
        <v>2050</v>
      </c>
      <c r="GV150" s="135">
        <f t="shared" ref="GV150:IE150" si="6">GV$1</f>
        <v>2015</v>
      </c>
      <c r="GW150" s="133">
        <f t="shared" si="6"/>
        <v>2016</v>
      </c>
      <c r="GX150" s="133">
        <f t="shared" si="6"/>
        <v>2017</v>
      </c>
      <c r="GY150" s="133">
        <f t="shared" si="6"/>
        <v>2018</v>
      </c>
      <c r="GZ150" s="133">
        <f t="shared" si="6"/>
        <v>2019</v>
      </c>
      <c r="HA150" s="133">
        <f t="shared" si="6"/>
        <v>2020</v>
      </c>
      <c r="HB150" s="133">
        <f t="shared" si="6"/>
        <v>2021</v>
      </c>
      <c r="HC150" s="133">
        <f t="shared" si="6"/>
        <v>2022</v>
      </c>
      <c r="HD150" s="133">
        <f t="shared" si="6"/>
        <v>2023</v>
      </c>
      <c r="HE150" s="133">
        <f t="shared" si="6"/>
        <v>2024</v>
      </c>
      <c r="HF150" s="133">
        <f t="shared" si="6"/>
        <v>2025</v>
      </c>
      <c r="HG150" s="133">
        <f t="shared" si="6"/>
        <v>2026</v>
      </c>
      <c r="HH150" s="133">
        <f t="shared" si="6"/>
        <v>2027</v>
      </c>
      <c r="HI150" s="133">
        <f t="shared" si="6"/>
        <v>2028</v>
      </c>
      <c r="HJ150" s="133">
        <f t="shared" si="6"/>
        <v>2029</v>
      </c>
      <c r="HK150" s="133">
        <f t="shared" si="6"/>
        <v>2030</v>
      </c>
      <c r="HL150" s="133">
        <f t="shared" si="6"/>
        <v>2031</v>
      </c>
      <c r="HM150" s="133">
        <f t="shared" si="6"/>
        <v>2032</v>
      </c>
      <c r="HN150" s="133">
        <f t="shared" si="6"/>
        <v>2033</v>
      </c>
      <c r="HO150" s="133">
        <f t="shared" si="6"/>
        <v>2034</v>
      </c>
      <c r="HP150" s="133">
        <f t="shared" si="6"/>
        <v>2035</v>
      </c>
      <c r="HQ150" s="133">
        <f t="shared" si="6"/>
        <v>2036</v>
      </c>
      <c r="HR150" s="133">
        <f t="shared" si="6"/>
        <v>2037</v>
      </c>
      <c r="HS150" s="133">
        <f t="shared" si="6"/>
        <v>2038</v>
      </c>
      <c r="HT150" s="133">
        <f t="shared" si="6"/>
        <v>2039</v>
      </c>
      <c r="HU150" s="133">
        <f t="shared" si="6"/>
        <v>2040</v>
      </c>
      <c r="HV150" s="133">
        <f t="shared" si="6"/>
        <v>2041</v>
      </c>
      <c r="HW150" s="133">
        <f t="shared" si="6"/>
        <v>2042</v>
      </c>
      <c r="HX150" s="133">
        <f t="shared" si="6"/>
        <v>2043</v>
      </c>
      <c r="HY150" s="133">
        <f t="shared" si="6"/>
        <v>2044</v>
      </c>
      <c r="HZ150" s="133">
        <f t="shared" si="6"/>
        <v>2045</v>
      </c>
      <c r="IA150" s="133">
        <f t="shared" si="6"/>
        <v>2046</v>
      </c>
      <c r="IB150" s="133">
        <f t="shared" si="6"/>
        <v>2047</v>
      </c>
      <c r="IC150" s="133">
        <f t="shared" si="6"/>
        <v>2048</v>
      </c>
      <c r="ID150" s="133">
        <f t="shared" si="6"/>
        <v>2049</v>
      </c>
      <c r="IE150" s="134">
        <f t="shared" si="6"/>
        <v>2050</v>
      </c>
      <c r="IG150" s="135">
        <f t="shared" ref="IG150:JP150" si="7">IG$1</f>
        <v>2015</v>
      </c>
      <c r="IH150" s="133">
        <f t="shared" si="7"/>
        <v>2016</v>
      </c>
      <c r="II150" s="133">
        <f t="shared" si="7"/>
        <v>2017</v>
      </c>
      <c r="IJ150" s="133">
        <f t="shared" si="7"/>
        <v>2018</v>
      </c>
      <c r="IK150" s="133">
        <f t="shared" si="7"/>
        <v>2019</v>
      </c>
      <c r="IL150" s="133">
        <f t="shared" si="7"/>
        <v>2020</v>
      </c>
      <c r="IM150" s="133">
        <f t="shared" si="7"/>
        <v>2021</v>
      </c>
      <c r="IN150" s="133">
        <f t="shared" si="7"/>
        <v>2022</v>
      </c>
      <c r="IO150" s="133">
        <f t="shared" si="7"/>
        <v>2023</v>
      </c>
      <c r="IP150" s="133">
        <f t="shared" si="7"/>
        <v>2024</v>
      </c>
      <c r="IQ150" s="133">
        <f t="shared" si="7"/>
        <v>2025</v>
      </c>
      <c r="IR150" s="133">
        <f t="shared" si="7"/>
        <v>2026</v>
      </c>
      <c r="IS150" s="133">
        <f t="shared" si="7"/>
        <v>2027</v>
      </c>
      <c r="IT150" s="133">
        <f t="shared" si="7"/>
        <v>2028</v>
      </c>
      <c r="IU150" s="133">
        <f t="shared" si="7"/>
        <v>2029</v>
      </c>
      <c r="IV150" s="133">
        <f t="shared" si="7"/>
        <v>2030</v>
      </c>
      <c r="IW150" s="133">
        <f t="shared" si="7"/>
        <v>2031</v>
      </c>
      <c r="IX150" s="133">
        <f t="shared" si="7"/>
        <v>2032</v>
      </c>
      <c r="IY150" s="133">
        <f t="shared" si="7"/>
        <v>2033</v>
      </c>
      <c r="IZ150" s="133">
        <f t="shared" si="7"/>
        <v>2034</v>
      </c>
      <c r="JA150" s="133">
        <f t="shared" si="7"/>
        <v>2035</v>
      </c>
      <c r="JB150" s="133">
        <f t="shared" si="7"/>
        <v>2036</v>
      </c>
      <c r="JC150" s="133">
        <f t="shared" si="7"/>
        <v>2037</v>
      </c>
      <c r="JD150" s="133">
        <f t="shared" si="7"/>
        <v>2038</v>
      </c>
      <c r="JE150" s="133">
        <f t="shared" si="7"/>
        <v>2039</v>
      </c>
      <c r="JF150" s="133">
        <f t="shared" si="7"/>
        <v>2040</v>
      </c>
      <c r="JG150" s="133">
        <f t="shared" si="7"/>
        <v>2041</v>
      </c>
      <c r="JH150" s="133">
        <f t="shared" si="7"/>
        <v>2042</v>
      </c>
      <c r="JI150" s="133">
        <f t="shared" si="7"/>
        <v>2043</v>
      </c>
      <c r="JJ150" s="133">
        <f t="shared" si="7"/>
        <v>2044</v>
      </c>
      <c r="JK150" s="133">
        <f t="shared" si="7"/>
        <v>2045</v>
      </c>
      <c r="JL150" s="133">
        <f t="shared" si="7"/>
        <v>2046</v>
      </c>
      <c r="JM150" s="133">
        <f t="shared" si="7"/>
        <v>2047</v>
      </c>
      <c r="JN150" s="133">
        <f t="shared" si="7"/>
        <v>2048</v>
      </c>
      <c r="JO150" s="133">
        <f t="shared" si="7"/>
        <v>2049</v>
      </c>
      <c r="JP150" s="134">
        <f t="shared" si="7"/>
        <v>2050</v>
      </c>
      <c r="JR150" s="135">
        <f t="shared" ref="JR150:MC150" si="8">JR$1</f>
        <v>2015</v>
      </c>
      <c r="JS150" s="133">
        <f t="shared" si="8"/>
        <v>2016</v>
      </c>
      <c r="JT150" s="133">
        <f t="shared" si="8"/>
        <v>2017</v>
      </c>
      <c r="JU150" s="133">
        <f t="shared" si="8"/>
        <v>2018</v>
      </c>
      <c r="JV150" s="133">
        <f t="shared" si="8"/>
        <v>2019</v>
      </c>
      <c r="JW150" s="133">
        <f t="shared" si="8"/>
        <v>2020</v>
      </c>
      <c r="JX150" s="133">
        <f t="shared" si="8"/>
        <v>2021</v>
      </c>
      <c r="JY150" s="133">
        <f t="shared" si="8"/>
        <v>2022</v>
      </c>
      <c r="JZ150" s="133">
        <f t="shared" si="8"/>
        <v>2023</v>
      </c>
      <c r="KA150" s="133">
        <f t="shared" si="8"/>
        <v>2024</v>
      </c>
      <c r="KB150" s="133">
        <f t="shared" si="8"/>
        <v>2025</v>
      </c>
      <c r="KC150" s="133">
        <f t="shared" si="8"/>
        <v>2026</v>
      </c>
      <c r="KD150" s="133">
        <f t="shared" si="8"/>
        <v>2027</v>
      </c>
      <c r="KE150" s="133">
        <f t="shared" si="8"/>
        <v>2028</v>
      </c>
      <c r="KF150" s="133">
        <f t="shared" si="8"/>
        <v>2029</v>
      </c>
      <c r="KG150" s="133">
        <f t="shared" si="8"/>
        <v>2030</v>
      </c>
      <c r="KH150" s="133">
        <f t="shared" si="8"/>
        <v>2031</v>
      </c>
      <c r="KI150" s="133">
        <f t="shared" si="8"/>
        <v>2032</v>
      </c>
      <c r="KJ150" s="133">
        <f t="shared" si="8"/>
        <v>2033</v>
      </c>
      <c r="KK150" s="133">
        <f t="shared" si="8"/>
        <v>2034</v>
      </c>
      <c r="KL150" s="133">
        <f t="shared" si="8"/>
        <v>2035</v>
      </c>
      <c r="KM150" s="133">
        <f t="shared" si="8"/>
        <v>2036</v>
      </c>
      <c r="KN150" s="133">
        <f t="shared" si="8"/>
        <v>2037</v>
      </c>
      <c r="KO150" s="133">
        <f t="shared" si="8"/>
        <v>2038</v>
      </c>
      <c r="KP150" s="133">
        <f t="shared" si="8"/>
        <v>2039</v>
      </c>
      <c r="KQ150" s="133">
        <f t="shared" si="8"/>
        <v>2040</v>
      </c>
      <c r="KR150" s="133">
        <f t="shared" si="8"/>
        <v>2041</v>
      </c>
      <c r="KS150" s="133">
        <f t="shared" si="8"/>
        <v>2042</v>
      </c>
      <c r="KT150" s="133">
        <f t="shared" si="8"/>
        <v>2043</v>
      </c>
      <c r="KU150" s="133">
        <f t="shared" si="8"/>
        <v>2044</v>
      </c>
      <c r="KV150" s="133">
        <f t="shared" si="8"/>
        <v>2045</v>
      </c>
      <c r="KW150" s="133">
        <f t="shared" si="8"/>
        <v>2046</v>
      </c>
      <c r="KX150" s="133">
        <f t="shared" si="8"/>
        <v>2047</v>
      </c>
      <c r="KY150" s="133">
        <f t="shared" si="8"/>
        <v>2048</v>
      </c>
      <c r="KZ150" s="133">
        <f t="shared" si="8"/>
        <v>2049</v>
      </c>
      <c r="LA150" s="134">
        <f t="shared" si="8"/>
        <v>2050</v>
      </c>
      <c r="LC150" s="135">
        <f t="shared" si="8"/>
        <v>2015</v>
      </c>
      <c r="LD150" s="133">
        <f t="shared" si="8"/>
        <v>2016</v>
      </c>
      <c r="LE150" s="133">
        <f t="shared" si="8"/>
        <v>2017</v>
      </c>
      <c r="LF150" s="133">
        <f t="shared" si="8"/>
        <v>2018</v>
      </c>
      <c r="LG150" s="133">
        <f t="shared" si="8"/>
        <v>2019</v>
      </c>
      <c r="LH150" s="133">
        <f t="shared" si="8"/>
        <v>2020</v>
      </c>
      <c r="LI150" s="133">
        <f t="shared" si="8"/>
        <v>2021</v>
      </c>
      <c r="LJ150" s="133">
        <f t="shared" si="8"/>
        <v>2022</v>
      </c>
      <c r="LK150" s="133">
        <f t="shared" si="8"/>
        <v>2023</v>
      </c>
      <c r="LL150" s="133">
        <f t="shared" si="8"/>
        <v>2024</v>
      </c>
      <c r="LM150" s="133">
        <f t="shared" si="8"/>
        <v>2025</v>
      </c>
      <c r="LN150" s="133">
        <f t="shared" si="8"/>
        <v>2026</v>
      </c>
      <c r="LO150" s="133">
        <f t="shared" si="8"/>
        <v>2027</v>
      </c>
      <c r="LP150" s="133">
        <f t="shared" si="8"/>
        <v>2028</v>
      </c>
      <c r="LQ150" s="133">
        <f t="shared" si="8"/>
        <v>2029</v>
      </c>
      <c r="LR150" s="133">
        <f t="shared" si="8"/>
        <v>2030</v>
      </c>
      <c r="LS150" s="133">
        <f t="shared" si="8"/>
        <v>2031</v>
      </c>
      <c r="LT150" s="133">
        <f t="shared" si="8"/>
        <v>2032</v>
      </c>
      <c r="LU150" s="133">
        <f t="shared" si="8"/>
        <v>2033</v>
      </c>
      <c r="LV150" s="133">
        <f t="shared" si="8"/>
        <v>2034</v>
      </c>
      <c r="LW150" s="133">
        <f t="shared" si="8"/>
        <v>2035</v>
      </c>
      <c r="LX150" s="133">
        <f t="shared" si="8"/>
        <v>2036</v>
      </c>
      <c r="LY150" s="133">
        <f t="shared" si="8"/>
        <v>2037</v>
      </c>
      <c r="LZ150" s="133">
        <f t="shared" si="8"/>
        <v>2038</v>
      </c>
      <c r="MA150" s="133">
        <f t="shared" si="8"/>
        <v>2039</v>
      </c>
      <c r="MB150" s="133">
        <f t="shared" si="8"/>
        <v>2040</v>
      </c>
      <c r="MC150" s="133">
        <f t="shared" si="8"/>
        <v>2041</v>
      </c>
      <c r="MD150" s="133">
        <f t="shared" ref="MD150:ML150" si="9">MD$1</f>
        <v>2042</v>
      </c>
      <c r="ME150" s="133">
        <f t="shared" si="9"/>
        <v>2043</v>
      </c>
      <c r="MF150" s="133">
        <f t="shared" si="9"/>
        <v>2044</v>
      </c>
      <c r="MG150" s="133">
        <f t="shared" si="9"/>
        <v>2045</v>
      </c>
      <c r="MH150" s="133">
        <f t="shared" si="9"/>
        <v>2046</v>
      </c>
      <c r="MI150" s="133">
        <f t="shared" si="9"/>
        <v>2047</v>
      </c>
      <c r="MJ150" s="133">
        <f t="shared" si="9"/>
        <v>2048</v>
      </c>
      <c r="MK150" s="133">
        <f t="shared" si="9"/>
        <v>2049</v>
      </c>
      <c r="ML150" s="134">
        <f t="shared" si="9"/>
        <v>2050</v>
      </c>
    </row>
    <row r="151" spans="2:350" s="4" customFormat="1" ht="18" customHeight="1" x14ac:dyDescent="0.3">
      <c r="C151" s="136" t="s">
        <v>76</v>
      </c>
      <c r="E151" s="137" t="s">
        <v>103</v>
      </c>
      <c r="F151" s="138" t="s">
        <v>104</v>
      </c>
      <c r="H151" s="139"/>
      <c r="I151" s="140"/>
      <c r="J151" s="140"/>
      <c r="K151" s="140"/>
      <c r="L151" s="140"/>
      <c r="M151" s="140"/>
      <c r="N151" s="140"/>
      <c r="O151" s="140"/>
      <c r="P151" s="140"/>
      <c r="Q151" s="141"/>
      <c r="R151" s="140"/>
      <c r="S151" s="139"/>
      <c r="T151" s="140"/>
      <c r="U151" s="140"/>
      <c r="V151" s="140"/>
      <c r="W151" s="140"/>
      <c r="X151" s="140"/>
      <c r="Y151" s="140"/>
      <c r="Z151" s="140"/>
      <c r="AA151" s="140"/>
      <c r="AB151" s="140"/>
      <c r="AC151" s="140"/>
      <c r="AD151" s="140"/>
      <c r="AE151" s="140"/>
      <c r="AF151" s="140"/>
      <c r="AG151" s="140"/>
      <c r="AH151" s="140"/>
      <c r="AI151" s="140"/>
      <c r="AJ151" s="140"/>
      <c r="AK151" s="140"/>
      <c r="AL151" s="140"/>
      <c r="AM151" s="140"/>
      <c r="AN151" s="140"/>
      <c r="AO151" s="140"/>
      <c r="AP151" s="140"/>
      <c r="AQ151" s="140"/>
      <c r="AR151" s="140"/>
      <c r="AS151" s="140"/>
      <c r="AT151" s="140"/>
      <c r="AU151" s="140"/>
      <c r="AV151" s="140"/>
      <c r="AW151" s="140"/>
      <c r="AX151" s="140"/>
      <c r="AY151" s="140"/>
      <c r="AZ151" s="140"/>
      <c r="BA151" s="140"/>
      <c r="BB151" s="141"/>
      <c r="BC151" s="140"/>
      <c r="BD151" s="142">
        <f t="shared" ref="BD151:BD158" si="10">BE86</f>
        <v>220833</v>
      </c>
      <c r="BE151" s="143">
        <f>BD151+(BI151-BD151)*(BE1-BD1)/(BI1-BD1)</f>
        <v>224489.13460169878</v>
      </c>
      <c r="BF151" s="143">
        <f>BD151+(BI151-BD151)*(BF1-BD1)/(BI1-BD1)</f>
        <v>228145.26920339759</v>
      </c>
      <c r="BG151" s="143">
        <f>BD151+(BI151-BD151)*(BG1-BD1)/(BI1-BD1)</f>
        <v>231801.40380509637</v>
      </c>
      <c r="BH151" s="143">
        <f>BD151+(BI151-BD151)*(BH1-BD1)/(BI1-BD1)</f>
        <v>235457.53840679518</v>
      </c>
      <c r="BI151" s="144">
        <f t="shared" ref="BI151:BI158" si="11">BF86</f>
        <v>239113.67300849396</v>
      </c>
      <c r="BJ151" s="143">
        <f>BI151+(BS151-BI151)*(BJ1-BI1)/(BS1-BI1)</f>
        <v>236880.40422871057</v>
      </c>
      <c r="BK151" s="143">
        <f>BI151+(BS151-BI151)*(BK1-BI1)/(BS1-BI1)</f>
        <v>234647.13544892718</v>
      </c>
      <c r="BL151" s="143">
        <f>BI151+(BS151-BI151)*(BL1-BI1)/(BS1-BI1)</f>
        <v>232413.86666914375</v>
      </c>
      <c r="BM151" s="143">
        <f>BI151+(BS151-BI151)*(BM1-BI1)/(BS1-BI1)</f>
        <v>230180.59788936036</v>
      </c>
      <c r="BN151" s="143">
        <f>BI151+(BS151-BI151)*(BN1-BI1)/(BS1-BI1)</f>
        <v>227947.32910957697</v>
      </c>
      <c r="BO151" s="143">
        <f>BI151+(BS151-BI151)*(BO1-BI1)/(BS1-BI1)</f>
        <v>225714.06032979357</v>
      </c>
      <c r="BP151" s="143">
        <f>BI151+(BS151-BI151)*(BP1-BI1)/(BS1-BI1)</f>
        <v>223480.79155001018</v>
      </c>
      <c r="BQ151" s="143">
        <f>BI151+(BS151-BI151)*(BQ1-BI1)/(BS1-BI1)</f>
        <v>221247.52277022676</v>
      </c>
      <c r="BR151" s="143">
        <f>BI151+(BS151-BI151)*(BR1-BI1)/(BS1-BI1)</f>
        <v>219014.25399044337</v>
      </c>
      <c r="BS151" s="144">
        <f t="shared" ref="BS151:BS158" si="12">BG86</f>
        <v>216780.98521065997</v>
      </c>
      <c r="BT151" s="143">
        <f>BS151+(CC151-BS151)*(BT1-BS1)/(CC1-BS1)</f>
        <v>215141.93622372599</v>
      </c>
      <c r="BU151" s="143">
        <f>BS151+(CC151-BS151)*(BU1-BS1)/(CC1-BS1)</f>
        <v>213502.88723679198</v>
      </c>
      <c r="BV151" s="143">
        <f>BS151+(CC151-BS151)*(BV1-BS1)/(CC1-BS1)</f>
        <v>211863.838249858</v>
      </c>
      <c r="BW151" s="143">
        <f>BS151+(CC151-BS151)*(BW1-BS1)/(CC1-BS1)</f>
        <v>210224.78926292402</v>
      </c>
      <c r="BX151" s="143">
        <f>BS151+(CC151-BS151)*(BX1-BS1)/(CC1-BS1)</f>
        <v>208585.74027599004</v>
      </c>
      <c r="BY151" s="143">
        <f>BS151+(CC151-BS151)*(BY1-BS1)/(CC1-BS1)</f>
        <v>206946.69128905603</v>
      </c>
      <c r="BZ151" s="143">
        <f>BS151+(CC151-BS151)*(BZ1-BS1)/(CC1-BS1)</f>
        <v>205307.64230212205</v>
      </c>
      <c r="CA151" s="143">
        <f>BS151+(CC151-BS151)*(CA1-BS1)/(CC1-BS1)</f>
        <v>203668.59331518807</v>
      </c>
      <c r="CB151" s="143">
        <f>BS151+(CC151-BS151)*(CB1-BS1)/(CC1-BS1)</f>
        <v>202029.54432825407</v>
      </c>
      <c r="CC151" s="144">
        <f t="shared" ref="CC151:CC158" si="13">BH86</f>
        <v>200390.49534132009</v>
      </c>
      <c r="CD151" s="143">
        <f>CC151+(CM151-CC151)*(CD1-CC1)/(CM1-CC1)</f>
        <v>198685.41346865831</v>
      </c>
      <c r="CE151" s="143">
        <f>CC151+(CM151-CC151)*(CE1-CC1)/(CM1-CC1)</f>
        <v>196980.33159599654</v>
      </c>
      <c r="CF151" s="143">
        <f>CC151+(CM151-CC151)*(CF1-CC1)/(CM1-CC1)</f>
        <v>195275.24972333474</v>
      </c>
      <c r="CG151" s="143">
        <f>CC151+(CM151-CC151)*(CG1-CC1)/(CM1-CC1)</f>
        <v>193570.16785067297</v>
      </c>
      <c r="CH151" s="143">
        <f>CC151+(CM151-CC151)*(CH1-CC1)/(CM1-CC1)</f>
        <v>191865.08597801119</v>
      </c>
      <c r="CI151" s="143">
        <f>CC151+(CM151-CC151)*(CI1-CC1)/(CM1-CC1)</f>
        <v>190160.00410534942</v>
      </c>
      <c r="CJ151" s="143">
        <f>CC151+(CM151-CC151)*(CJ1-CC1)/(CM1-CC1)</f>
        <v>188454.92223268765</v>
      </c>
      <c r="CK151" s="143">
        <f>CC151+(CM151-CC151)*(CK1-CC1)/(CM1-CC1)</f>
        <v>186749.84036002585</v>
      </c>
      <c r="CL151" s="143">
        <f>CC151+(CM151-CC151)*(CL1-CC1)/(CM1-CC1)</f>
        <v>185044.75848736407</v>
      </c>
      <c r="CM151" s="145">
        <f t="shared" ref="CM151:CM158" si="14">BI86</f>
        <v>183339.6766147023</v>
      </c>
      <c r="CN151" s="140"/>
      <c r="CO151" s="142">
        <f t="shared" ref="CO151:CO158" si="15">CP86</f>
        <v>220833</v>
      </c>
      <c r="CP151" s="143">
        <f>CO151+(CT151-CO151)*(CP1-CO1)/(CT1-CO1)</f>
        <v>224489.13460169878</v>
      </c>
      <c r="CQ151" s="143">
        <f>CO151+(CT151-CO151)*(CQ1-CO1)/(CT1-CO1)</f>
        <v>228145.26920339759</v>
      </c>
      <c r="CR151" s="143">
        <f>CO151+(CT151-CO151)*(CR1-CO1)/(CT1-CO1)</f>
        <v>231801.40380509637</v>
      </c>
      <c r="CS151" s="143">
        <f>CO151+(CT151-CO151)*(CS1-CO1)/(CT1-CO1)</f>
        <v>235457.53840679518</v>
      </c>
      <c r="CT151" s="144">
        <f t="shared" ref="CT151:CT158" si="16">CQ86</f>
        <v>239113.67300849396</v>
      </c>
      <c r="CU151" s="143">
        <f>CT151+(DD151-CT151)*(CU1-CT1)/(DD1-CT1)</f>
        <v>235810.10162030891</v>
      </c>
      <c r="CV151" s="143">
        <f>CT151+(DD151-CT151)*(CV1-CT1)/(DD1-CT1)</f>
        <v>232506.53023212389</v>
      </c>
      <c r="CW151" s="143">
        <f>CT151+(DD151-CT151)*(CW1-CT1)/(DD1-CT1)</f>
        <v>229202.95884393883</v>
      </c>
      <c r="CX151" s="143">
        <f>CT151+(DD151-CT151)*(CX1-CT1)/(DD1-CT1)</f>
        <v>225899.38745575378</v>
      </c>
      <c r="CY151" s="143">
        <f>CT151+(DD151-CT151)*(CY1-CT1)/(DD1-CT1)</f>
        <v>222595.81606756872</v>
      </c>
      <c r="CZ151" s="143">
        <f>CT151+(DD151-CT151)*(CZ1-CT1)/(DD1-CT1)</f>
        <v>219292.2446793837</v>
      </c>
      <c r="DA151" s="143">
        <f>CT151+(DD151-CT151)*(DA1-CT1)/(DD1-CT1)</f>
        <v>215988.67329119865</v>
      </c>
      <c r="DB151" s="143">
        <f>CT151+(DD151-CT151)*(DB1-CT1)/(DD1-CT1)</f>
        <v>212685.10190301359</v>
      </c>
      <c r="DC151" s="143">
        <f>CT151+(DD151-CT151)*(DC1-CT1)/(DD1-CT1)</f>
        <v>209381.53051482857</v>
      </c>
      <c r="DD151" s="144">
        <f t="shared" ref="DD151:DD158" si="17">CR86</f>
        <v>206077.95912664352</v>
      </c>
      <c r="DE151" s="143">
        <f>DD151+(DN151-DD151)*(DE1-DD1)/(DN1-DD1)</f>
        <v>203579.30365462185</v>
      </c>
      <c r="DF151" s="143">
        <f>DD151+(DN151-DD151)*(DF1-DD1)/(DN1-DD1)</f>
        <v>201080.64818260021</v>
      </c>
      <c r="DG151" s="143">
        <f>DD151+(DN151-DD151)*(DG1-DD1)/(DN1-DD1)</f>
        <v>198581.99271057855</v>
      </c>
      <c r="DH151" s="143">
        <f>DD151+(DN151-DD151)*(DH1-DD1)/(DN1-DD1)</f>
        <v>196083.33723855688</v>
      </c>
      <c r="DI151" s="143">
        <f>DD151+(DN151-DD151)*(DI1-DD1)/(DN1-DD1)</f>
        <v>193584.68176653521</v>
      </c>
      <c r="DJ151" s="143">
        <f>DD151+(DN151-DD151)*(DJ1-DD1)/(DN1-DD1)</f>
        <v>191086.02629451358</v>
      </c>
      <c r="DK151" s="143">
        <f>DD151+(DN151-DD151)*(DK1-DD1)/(DN1-DD1)</f>
        <v>188587.37082249191</v>
      </c>
      <c r="DL151" s="143">
        <f>DD151+(DN151-DD151)*(DL1-DD1)/(DN1-DD1)</f>
        <v>186088.71535047024</v>
      </c>
      <c r="DM151" s="143">
        <f>DD151+(DN151-DD151)*(DM1-DD1)/(DN1-DD1)</f>
        <v>183590.05987844861</v>
      </c>
      <c r="DN151" s="144">
        <f t="shared" ref="DN151:DN158" si="18">CS86</f>
        <v>181091.40440642694</v>
      </c>
      <c r="DO151" s="143">
        <f>DN151+(DX151-DN151)*(DO1-DN1)/(DX1-DN1)</f>
        <v>178732.51709731889</v>
      </c>
      <c r="DP151" s="143">
        <f>DN151+(DX151-DN151)*(DP1-DN1)/(DX1-DN1)</f>
        <v>176373.62978821085</v>
      </c>
      <c r="DQ151" s="143">
        <f>DN151+(DX151-DN151)*(DQ1-DN1)/(DX1-DN1)</f>
        <v>174014.74247910277</v>
      </c>
      <c r="DR151" s="143">
        <f>DN151+(DX151-DN151)*(DR1-DN1)/(DX1-DN1)</f>
        <v>171655.85516999473</v>
      </c>
      <c r="DS151" s="143">
        <f>DN151+(DX151-DN151)*(DS1-DN1)/(DX1-DN1)</f>
        <v>169296.96786088668</v>
      </c>
      <c r="DT151" s="143">
        <f>DN151+(DX151-DN151)*(DT1-DN1)/(DX1-DN1)</f>
        <v>166938.08055177864</v>
      </c>
      <c r="DU151" s="143">
        <f>DN151+(DX151-DN151)*(DU1-DN1)/(DX1-DN1)</f>
        <v>164579.19324267059</v>
      </c>
      <c r="DV151" s="143">
        <f>DN151+(DX151-DN151)*(DV1-DN1)/(DX1-DN1)</f>
        <v>162220.30593356251</v>
      </c>
      <c r="DW151" s="143">
        <f>DN151+(DX151-DN151)*(DW1-DN1)/(DX1-DN1)</f>
        <v>159861.41862445447</v>
      </c>
      <c r="DX151" s="145">
        <f t="shared" ref="DX151:DX158" si="19">CT86</f>
        <v>157502.53131534642</v>
      </c>
      <c r="DY151" s="140"/>
      <c r="DZ151" s="142">
        <f t="shared" ref="DZ151:DZ158" si="20">EA86</f>
        <v>220833</v>
      </c>
      <c r="EA151" s="143">
        <f>DZ151+(EE151-DZ151)*(EA1-DZ1)/(EE1-DZ1)</f>
        <v>224489.13460169878</v>
      </c>
      <c r="EB151" s="143">
        <f>DZ151+(EE151-DZ151)*(EB1-DZ1)/(EE1-DZ1)</f>
        <v>228145.26920339759</v>
      </c>
      <c r="EC151" s="143">
        <f>DZ151+(EE151-DZ151)*(EC1-DZ1)/(EE1-DZ1)</f>
        <v>231801.40380509637</v>
      </c>
      <c r="ED151" s="143">
        <f>DZ151+(EE151-DZ151)*(ED1-DZ1)/(EE1-DZ1)</f>
        <v>235457.53840679518</v>
      </c>
      <c r="EE151" s="144">
        <f t="shared" ref="EE151:EE158" si="21">EB86</f>
        <v>239113.67300849396</v>
      </c>
      <c r="EF151" s="143">
        <f>EE151+(EO151-EE151)*(EF1-EE1)/(EO1-EE1)</f>
        <v>235810.10162030891</v>
      </c>
      <c r="EG151" s="143">
        <f>EE151+(EO151-EE151)*(EG1-EE1)/(EO1-EE1)</f>
        <v>232506.53023212389</v>
      </c>
      <c r="EH151" s="143">
        <f>EE151+(EO151-EE151)*(EH1-EE1)/(EO1-EE1)</f>
        <v>229202.95884393883</v>
      </c>
      <c r="EI151" s="143">
        <f>EE151+(EO151-EE151)*(EI1-EE1)/(EO1-EE1)</f>
        <v>225899.38745575378</v>
      </c>
      <c r="EJ151" s="143">
        <f>EE151+(EO151-EE151)*(EJ1-EE1)/(EO1-EE1)</f>
        <v>222595.81606756872</v>
      </c>
      <c r="EK151" s="143">
        <f>EE151+(EO151-EE151)*(EK1-EE1)/(EO1-EE1)</f>
        <v>219292.2446793837</v>
      </c>
      <c r="EL151" s="143">
        <f>EE151+(EO151-EE151)*(EL1-EE1)/(EO1-EE1)</f>
        <v>215988.67329119865</v>
      </c>
      <c r="EM151" s="143">
        <f>EE151+(EO151-EE151)*(EM1-EE1)/(EO1-EE1)</f>
        <v>212685.10190301359</v>
      </c>
      <c r="EN151" s="143">
        <f>EE151+(EO151-EE151)*(EN1-EE1)/(EO1-EE1)</f>
        <v>209381.53051482857</v>
      </c>
      <c r="EO151" s="144">
        <f t="shared" ref="EO151:EO158" si="22">EC86</f>
        <v>206077.95912664352</v>
      </c>
      <c r="EP151" s="143">
        <f>EO151+(EY151-EO151)*(EP1-EO1)/(EY1-EO1)</f>
        <v>203579.30365462185</v>
      </c>
      <c r="EQ151" s="143">
        <f>EO151+(EY151-EO151)*(EQ1-EO1)/(EY1-EO1)</f>
        <v>201080.64818260021</v>
      </c>
      <c r="ER151" s="143">
        <f>EO151+(EY151-EO151)*(ER1-EO1)/(EY1-EO1)</f>
        <v>198581.99271057855</v>
      </c>
      <c r="ES151" s="143">
        <f>EO151+(EY151-EO151)*(ES1-EO1)/(EY1-EO1)</f>
        <v>196083.33723855688</v>
      </c>
      <c r="ET151" s="143">
        <f>EO151+(EY151-EO151)*(ET1-EO1)/(EY1-EO1)</f>
        <v>193584.68176653521</v>
      </c>
      <c r="EU151" s="143">
        <f>EO151+(EY151-EO151)*(EU1-EO1)/(EY1-EO1)</f>
        <v>191086.02629451358</v>
      </c>
      <c r="EV151" s="143">
        <f>EO151+(EY151-EO151)*(EV1-EO1)/(EY1-EO1)</f>
        <v>188587.37082249191</v>
      </c>
      <c r="EW151" s="143">
        <f>EO151+(EY151-EO151)*(EW1-EO1)/(EY1-EO1)</f>
        <v>186088.71535047024</v>
      </c>
      <c r="EX151" s="143">
        <f>EO151+(EY151-EO151)*(EX1-EO1)/(EY1-EO1)</f>
        <v>183590.05987844861</v>
      </c>
      <c r="EY151" s="144">
        <f t="shared" ref="EY151:EY158" si="23">ED86</f>
        <v>181091.40440642694</v>
      </c>
      <c r="EZ151" s="143">
        <f>EY151+(FI151-EY151)*(EZ1-EY1)/(FI1-EY1)</f>
        <v>178732.51709731889</v>
      </c>
      <c r="FA151" s="143">
        <f>EY151+(FI151-EY151)*(FA1-EY1)/(FI1-EY1)</f>
        <v>176373.62978821085</v>
      </c>
      <c r="FB151" s="143">
        <f>EY151+(FI151-EY151)*(FB1-EY1)/(FI1-EY1)</f>
        <v>174014.74247910277</v>
      </c>
      <c r="FC151" s="143">
        <f>EY151+(FI151-EY151)*(FC1-EY1)/(FI1-EY1)</f>
        <v>171655.85516999473</v>
      </c>
      <c r="FD151" s="143">
        <f>EY151+(FI151-EY151)*(FD1-EY1)/(FI1-EY1)</f>
        <v>169296.96786088668</v>
      </c>
      <c r="FE151" s="143">
        <f>EY151+(FI151-EY151)*(FE1-EY1)/(FI1-EY1)</f>
        <v>166938.08055177864</v>
      </c>
      <c r="FF151" s="143">
        <f>EY151+(FI151-EY151)*(FF1-EY1)/(FI1-EY1)</f>
        <v>164579.19324267059</v>
      </c>
      <c r="FG151" s="143">
        <f>EY151+(FI151-EY151)*(FG1-EY1)/(FI1-EY1)</f>
        <v>162220.30593356251</v>
      </c>
      <c r="FH151" s="143">
        <f>EY151+(FI151-EY151)*(FH1-EY1)/(FI1-EY1)</f>
        <v>159861.41862445447</v>
      </c>
      <c r="FI151" s="145">
        <f t="shared" ref="FI151:FI158" si="24">EE86</f>
        <v>157502.53131534642</v>
      </c>
      <c r="FJ151" s="140"/>
      <c r="FK151" s="142">
        <f t="shared" ref="FK151:FK158" si="25">FL86</f>
        <v>220833</v>
      </c>
      <c r="FL151" s="143">
        <f>FK151+(FP151-FK151)*(FL1-FK1)/(FP1-FK1)</f>
        <v>224489.13460169878</v>
      </c>
      <c r="FM151" s="143">
        <f>FK151+(FP151-FK151)*(FM1-FK1)/(FP1-FK1)</f>
        <v>228145.26920339759</v>
      </c>
      <c r="FN151" s="143">
        <f>FK151+(FP151-FK151)*(FN1-FK1)/(FP1-FK1)</f>
        <v>231801.40380509637</v>
      </c>
      <c r="FO151" s="143">
        <f>FK151+(FP151-FK151)*(FO1-FK1)/(FP1-FK1)</f>
        <v>235457.53840679518</v>
      </c>
      <c r="FP151" s="144">
        <f t="shared" ref="FP151:FP158" si="26">FM86</f>
        <v>239113.67300849396</v>
      </c>
      <c r="FQ151" s="143">
        <f>FP151+(FZ151-FP151)*(FQ1-FP1)/(FZ1-FP1)</f>
        <v>236880.40422871057</v>
      </c>
      <c r="FR151" s="143">
        <f>FP151+(FZ151-FP151)*(FR1-FP1)/(FZ1-FP1)</f>
        <v>234647.13544892718</v>
      </c>
      <c r="FS151" s="143">
        <f>FP151+(FZ151-FP151)*(FS1-FP1)/(FZ1-FP1)</f>
        <v>232413.86666914375</v>
      </c>
      <c r="FT151" s="143">
        <f>FP151+(FZ151-FP151)*(FT1-FP1)/(FZ1-FP1)</f>
        <v>230180.59788936036</v>
      </c>
      <c r="FU151" s="143">
        <f>FP151+(FZ151-FP151)*(FU1-FP1)/(FZ1-FP1)</f>
        <v>227947.32910957697</v>
      </c>
      <c r="FV151" s="143">
        <f>FP151+(FZ151-FP151)*(FV1-FP1)/(FZ1-FP1)</f>
        <v>225714.06032979357</v>
      </c>
      <c r="FW151" s="143">
        <f>FP151+(FZ151-FP151)*(FW1-FP1)/(FZ1-FP1)</f>
        <v>223480.79155001018</v>
      </c>
      <c r="FX151" s="143">
        <f>FP151+(FZ151-FP151)*(FX1-FP1)/(FZ1-FP1)</f>
        <v>221247.52277022676</v>
      </c>
      <c r="FY151" s="143">
        <f>FP151+(FZ151-FP151)*(FY1-FP1)/(FZ1-FP1)</f>
        <v>219014.25399044337</v>
      </c>
      <c r="FZ151" s="144">
        <f t="shared" ref="FZ151:FZ158" si="27">FN86</f>
        <v>216780.98521065997</v>
      </c>
      <c r="GA151" s="143">
        <f>FZ151+(GJ151-FZ151)*(GA1-FZ1)/(GJ1-FZ1)</f>
        <v>215141.93622372599</v>
      </c>
      <c r="GB151" s="143">
        <f>FZ151+(GJ151-FZ151)*(GB1-FZ1)/(GJ1-FZ1)</f>
        <v>213502.88723679198</v>
      </c>
      <c r="GC151" s="143">
        <f>FZ151+(GJ151-FZ151)*(GC1-FZ1)/(GJ1-FZ1)</f>
        <v>211863.838249858</v>
      </c>
      <c r="GD151" s="143">
        <f>FZ151+(GJ151-FZ151)*(GD1-FZ1)/(GJ1-FZ1)</f>
        <v>210224.78926292402</v>
      </c>
      <c r="GE151" s="143">
        <f>FZ151+(GJ151-FZ151)*(GE1-FZ1)/(GJ1-FZ1)</f>
        <v>208585.74027599004</v>
      </c>
      <c r="GF151" s="143">
        <f>FZ151+(GJ151-FZ151)*(GF1-FZ1)/(GJ1-FZ1)</f>
        <v>206946.69128905603</v>
      </c>
      <c r="GG151" s="143">
        <f>FZ151+(GJ151-FZ151)*(GG1-FZ1)/(GJ1-FZ1)</f>
        <v>205307.64230212205</v>
      </c>
      <c r="GH151" s="143">
        <f>FZ151+(GJ151-FZ151)*(GH1-FZ1)/(GJ1-FZ1)</f>
        <v>203668.59331518807</v>
      </c>
      <c r="GI151" s="143">
        <f>FZ151+(GJ151-FZ151)*(GI1-FZ1)/(GJ1-FZ1)</f>
        <v>202029.54432825407</v>
      </c>
      <c r="GJ151" s="144">
        <f t="shared" ref="GJ151:GJ158" si="28">FO86</f>
        <v>200390.49534132009</v>
      </c>
      <c r="GK151" s="143">
        <f>GJ151+(GT151-GJ151)*(GK1-GJ1)/(GT1-GJ1)</f>
        <v>198685.41346865831</v>
      </c>
      <c r="GL151" s="143">
        <f>GJ151+(GT151-GJ151)*(GL1-GJ1)/(GT1-GJ1)</f>
        <v>196980.33159599654</v>
      </c>
      <c r="GM151" s="143">
        <f>GJ151+(GT151-GJ151)*(GM1-GJ1)/(GT1-GJ1)</f>
        <v>195275.24972333474</v>
      </c>
      <c r="GN151" s="143">
        <f>GJ151+(GT151-GJ151)*(GN1-GJ1)/(GT1-GJ1)</f>
        <v>193570.16785067297</v>
      </c>
      <c r="GO151" s="143">
        <f>GJ151+(GT151-GJ151)*(GO1-GJ1)/(GT1-GJ1)</f>
        <v>191865.08597801119</v>
      </c>
      <c r="GP151" s="143">
        <f>GJ151+(GT151-GJ151)*(GP1-GJ1)/(GT1-GJ1)</f>
        <v>190160.00410534942</v>
      </c>
      <c r="GQ151" s="143">
        <f>GJ151+(GT151-GJ151)*(GQ1-GJ1)/(GT1-GJ1)</f>
        <v>188454.92223268765</v>
      </c>
      <c r="GR151" s="143">
        <f>GJ151+(GT151-GJ151)*(GR1-GJ1)/(GT1-GJ1)</f>
        <v>186749.84036002585</v>
      </c>
      <c r="GS151" s="143">
        <f>GJ151+(GT151-GJ151)*(GS1-GJ1)/(GT1-GJ1)</f>
        <v>185044.75848736407</v>
      </c>
      <c r="GT151" s="145">
        <f t="shared" ref="GT151:GT158" si="29">FP86</f>
        <v>183339.6766147023</v>
      </c>
      <c r="GU151" s="140"/>
      <c r="GV151" s="142">
        <f t="shared" ref="GV151:GV158" si="30">GW86</f>
        <v>220833</v>
      </c>
      <c r="GW151" s="143">
        <f>GV151+(HA151-GV151)*(GW1-GV1)/(HA1-GV1)</f>
        <v>224489.13460169878</v>
      </c>
      <c r="GX151" s="143">
        <f>GV151+(HA151-GV151)*(GX1-GV1)/(HA1-GV1)</f>
        <v>228145.26920339759</v>
      </c>
      <c r="GY151" s="143">
        <f>GV151+(HA151-GV151)*(GY1-GV1)/(HA1-GV1)</f>
        <v>231801.40380509637</v>
      </c>
      <c r="GZ151" s="143">
        <f>GV151+(HA151-GV151)*(GZ1-GV1)/(HA1-GV1)</f>
        <v>235457.53840679518</v>
      </c>
      <c r="HA151" s="144">
        <f t="shared" ref="HA151:HA158" si="31">GX86</f>
        <v>239113.67300849396</v>
      </c>
      <c r="HB151" s="143">
        <f>HA151+(HK151-HA151)*(HB1-HA1)/(HK1-HA1)</f>
        <v>236880.40422871057</v>
      </c>
      <c r="HC151" s="143">
        <f>HA151+(HK151-HA151)*(HC1-HA1)/(HK1-HA1)</f>
        <v>234647.13544892718</v>
      </c>
      <c r="HD151" s="143">
        <f>HA151+(HK151-HA151)*(HD1-HA1)/(HK1-HA1)</f>
        <v>232413.86666914375</v>
      </c>
      <c r="HE151" s="143">
        <f>HA151+(HK151-HA151)*(HE1-HA1)/(HK1-HA1)</f>
        <v>230180.59788936036</v>
      </c>
      <c r="HF151" s="143">
        <f>HA151+(HK151-HA151)*(HF1-HA1)/(HK1-HA1)</f>
        <v>227947.32910957697</v>
      </c>
      <c r="HG151" s="143">
        <f>HA151+(HK151-HA151)*(HG1-HA1)/(HK1-HA1)</f>
        <v>225714.06032979357</v>
      </c>
      <c r="HH151" s="143">
        <f>HA151+(HK151-HA151)*(HH1-HA1)/(HK1-HA1)</f>
        <v>223480.79155001018</v>
      </c>
      <c r="HI151" s="143">
        <f>HA151+(HK151-HA151)*(HI1-HA1)/(HK1-HA1)</f>
        <v>221247.52277022676</v>
      </c>
      <c r="HJ151" s="143">
        <f>HA151+(HK151-HA151)*(HJ1-HA1)/(HK1-HA1)</f>
        <v>219014.25399044337</v>
      </c>
      <c r="HK151" s="144">
        <f t="shared" ref="HK151:HK158" si="32">GY86</f>
        <v>216780.98521065997</v>
      </c>
      <c r="HL151" s="143">
        <f>HK151+(HU151-HK151)*(HL1-HK1)/(HU1-HK1)</f>
        <v>215141.93622372599</v>
      </c>
      <c r="HM151" s="143">
        <f>HK151+(HU151-HK151)*(HM1-HK1)/(HU1-HK1)</f>
        <v>213502.88723679198</v>
      </c>
      <c r="HN151" s="143">
        <f>HK151+(HU151-HK151)*(HN1-HK1)/(HU1-HK1)</f>
        <v>211863.838249858</v>
      </c>
      <c r="HO151" s="143">
        <f>HK151+(HU151-HK151)*(HO1-HK1)/(HU1-HK1)</f>
        <v>210224.78926292402</v>
      </c>
      <c r="HP151" s="143">
        <f>HK151+(HU151-HK151)*(HP1-HK1)/(HU1-HK1)</f>
        <v>208585.74027599004</v>
      </c>
      <c r="HQ151" s="143">
        <f>HK151+(HU151-HK151)*(HQ1-HK1)/(HU1-HK1)</f>
        <v>206946.69128905603</v>
      </c>
      <c r="HR151" s="143">
        <f>HK151+(HU151-HK151)*(HR1-HK1)/(HU1-HK1)</f>
        <v>205307.64230212205</v>
      </c>
      <c r="HS151" s="143">
        <f>HK151+(HU151-HK151)*(HS1-HK1)/(HU1-HK1)</f>
        <v>203668.59331518807</v>
      </c>
      <c r="HT151" s="143">
        <f>HK151+(HU151-HK151)*(HT1-HK1)/(HU1-HK1)</f>
        <v>202029.54432825407</v>
      </c>
      <c r="HU151" s="144">
        <f t="shared" ref="HU151:HU158" si="33">GZ86</f>
        <v>200390.49534132009</v>
      </c>
      <c r="HV151" s="143">
        <f>HU151+(IE151-HU151)*(HV1-HU1)/(IE1-HU1)</f>
        <v>198685.41346865831</v>
      </c>
      <c r="HW151" s="143">
        <f>HU151+(IE151-HU151)*(HW1-HU1)/(IE1-HU1)</f>
        <v>196980.33159599654</v>
      </c>
      <c r="HX151" s="143">
        <f>HU151+(IE151-HU151)*(HX1-HU1)/(IE1-HU1)</f>
        <v>195275.24972333474</v>
      </c>
      <c r="HY151" s="143">
        <f>HU151+(IE151-HU151)*(HY1-HU1)/(IE1-HU1)</f>
        <v>193570.16785067297</v>
      </c>
      <c r="HZ151" s="143">
        <f>HU151+(IE151-HU151)*(HZ1-HU1)/(IE1-HU1)</f>
        <v>191865.08597801119</v>
      </c>
      <c r="IA151" s="143">
        <f>HU151+(IE151-HU151)*(IA1-HU1)/(IE1-HU1)</f>
        <v>190160.00410534942</v>
      </c>
      <c r="IB151" s="143">
        <f>HU151+(IE151-HU151)*(IB1-HU1)/(IE1-HU1)</f>
        <v>188454.92223268765</v>
      </c>
      <c r="IC151" s="143">
        <f>HU151+(IE151-HU151)*(IC1-HU1)/(IE1-HU1)</f>
        <v>186749.84036002585</v>
      </c>
      <c r="ID151" s="143">
        <f>HU151+(IE151-HU151)*(ID1-HU1)/(IE1-HU1)</f>
        <v>185044.75848736407</v>
      </c>
      <c r="IE151" s="145">
        <f t="shared" ref="IE151:IE158" si="34">HA86</f>
        <v>183339.6766147023</v>
      </c>
      <c r="IF151" s="140"/>
      <c r="IG151" s="146"/>
      <c r="IH151" s="143"/>
      <c r="II151" s="143"/>
      <c r="IJ151" s="143"/>
      <c r="IK151" s="143"/>
      <c r="IL151" s="144">
        <v>234167.92101999701</v>
      </c>
      <c r="IM151" s="143"/>
      <c r="IN151" s="143"/>
      <c r="IO151" s="143"/>
      <c r="IP151" s="143"/>
      <c r="IQ151" s="143"/>
      <c r="IR151" s="143"/>
      <c r="IS151" s="143"/>
      <c r="IT151" s="143"/>
      <c r="IU151" s="143"/>
      <c r="IV151" s="144">
        <v>238650.557891845</v>
      </c>
      <c r="IW151" s="143"/>
      <c r="IX151" s="143"/>
      <c r="IY151" s="143"/>
      <c r="IZ151" s="143"/>
      <c r="JA151" s="143"/>
      <c r="JB151" s="143"/>
      <c r="JC151" s="143"/>
      <c r="JD151" s="143"/>
      <c r="JE151" s="143"/>
      <c r="JF151" s="144">
        <v>236777.09749663499</v>
      </c>
      <c r="JG151" s="143"/>
      <c r="JH151" s="143"/>
      <c r="JI151" s="143"/>
      <c r="JJ151" s="143"/>
      <c r="JK151" s="143"/>
      <c r="JL151" s="143"/>
      <c r="JM151" s="143"/>
      <c r="JN151" s="143"/>
      <c r="JO151" s="143"/>
      <c r="JP151" s="145">
        <v>229656.87386223901</v>
      </c>
      <c r="JQ151" s="140"/>
      <c r="JR151" s="142"/>
      <c r="JS151" s="143"/>
      <c r="JT151" s="143"/>
      <c r="JU151" s="143"/>
      <c r="JV151" s="143"/>
      <c r="JW151" s="144">
        <v>234167.92101999701</v>
      </c>
      <c r="JX151" s="143">
        <f t="shared" ref="JX151:KF158" si="35">$JW151+($KG151-$JW151)*(JX$1-$JW$1)/($KG$1-$JW$1)</f>
        <v>234282.9841311441</v>
      </c>
      <c r="JY151" s="143">
        <f t="shared" si="35"/>
        <v>234398.04724229121</v>
      </c>
      <c r="JZ151" s="143">
        <f t="shared" si="35"/>
        <v>234513.1103534383</v>
      </c>
      <c r="KA151" s="143">
        <f t="shared" si="35"/>
        <v>234628.17346458542</v>
      </c>
      <c r="KB151" s="143">
        <f t="shared" si="35"/>
        <v>234743.2365757325</v>
      </c>
      <c r="KC151" s="143">
        <f t="shared" si="35"/>
        <v>234858.29968687959</v>
      </c>
      <c r="KD151" s="143">
        <f t="shared" si="35"/>
        <v>234973.3627980267</v>
      </c>
      <c r="KE151" s="143">
        <f t="shared" si="35"/>
        <v>235088.42590917379</v>
      </c>
      <c r="KF151" s="143">
        <f t="shared" si="35"/>
        <v>235203.48902032091</v>
      </c>
      <c r="KG151" s="144">
        <v>235318.55213146799</v>
      </c>
      <c r="KH151" s="143">
        <f t="shared" ref="KH151:KP158" si="36">$KG151+($KQ151-$KG151)*(KH$1-$KG$1)/($KQ$1-$KG$1)</f>
        <v>234561.13616398969</v>
      </c>
      <c r="KI151" s="143">
        <f t="shared" si="36"/>
        <v>233803.72019651139</v>
      </c>
      <c r="KJ151" s="143">
        <f t="shared" si="36"/>
        <v>233046.30422903309</v>
      </c>
      <c r="KK151" s="143">
        <f t="shared" si="36"/>
        <v>232288.88826155479</v>
      </c>
      <c r="KL151" s="143">
        <f t="shared" si="36"/>
        <v>231531.47229407649</v>
      </c>
      <c r="KM151" s="143">
        <f t="shared" si="36"/>
        <v>230774.05632659819</v>
      </c>
      <c r="KN151" s="143">
        <f t="shared" si="36"/>
        <v>230016.64035911989</v>
      </c>
      <c r="KO151" s="143">
        <f t="shared" si="36"/>
        <v>229259.22439164159</v>
      </c>
      <c r="KP151" s="143">
        <f t="shared" si="36"/>
        <v>228501.80842416329</v>
      </c>
      <c r="KQ151" s="144">
        <v>227744.39245668499</v>
      </c>
      <c r="KR151" s="143">
        <f t="shared" ref="KR151:KZ158" si="37">$KQ151+($LA151-$KQ151)*(KR$1-$KQ$1)/($LA$1-$KQ$1)</f>
        <v>226539.84861723639</v>
      </c>
      <c r="KS151" s="143">
        <f t="shared" si="37"/>
        <v>225335.30477778779</v>
      </c>
      <c r="KT151" s="143">
        <f t="shared" si="37"/>
        <v>224130.7609383392</v>
      </c>
      <c r="KU151" s="143">
        <f t="shared" si="37"/>
        <v>222926.2170988906</v>
      </c>
      <c r="KV151" s="143">
        <f t="shared" si="37"/>
        <v>221721.67325944197</v>
      </c>
      <c r="KW151" s="143">
        <f t="shared" si="37"/>
        <v>220517.12941999338</v>
      </c>
      <c r="KX151" s="143">
        <f t="shared" si="37"/>
        <v>219312.58558054478</v>
      </c>
      <c r="KY151" s="143">
        <f t="shared" si="37"/>
        <v>218108.04174109618</v>
      </c>
      <c r="KZ151" s="143">
        <f t="shared" si="37"/>
        <v>216903.49790164758</v>
      </c>
      <c r="LA151" s="145">
        <v>215698.95406219899</v>
      </c>
      <c r="LB151" s="140"/>
      <c r="LC151" s="142"/>
      <c r="LD151" s="143"/>
      <c r="LE151" s="143"/>
      <c r="LF151" s="143"/>
      <c r="LG151" s="143"/>
      <c r="LH151" s="144"/>
      <c r="LI151" s="143"/>
      <c r="LJ151" s="143"/>
      <c r="LK151" s="143"/>
      <c r="LL151" s="143"/>
      <c r="LM151" s="143"/>
      <c r="LN151" s="143"/>
      <c r="LO151" s="143"/>
      <c r="LP151" s="143"/>
      <c r="LQ151" s="143"/>
      <c r="LR151" s="144"/>
      <c r="LS151" s="143"/>
      <c r="LT151" s="143"/>
      <c r="LU151" s="143"/>
      <c r="LV151" s="143"/>
      <c r="LW151" s="143"/>
      <c r="LX151" s="143"/>
      <c r="LY151" s="143"/>
      <c r="LZ151" s="143"/>
      <c r="MA151" s="143"/>
      <c r="MB151" s="144"/>
      <c r="MC151" s="143"/>
      <c r="MD151" s="143"/>
      <c r="ME151" s="143"/>
      <c r="MF151" s="143"/>
      <c r="MG151" s="143"/>
      <c r="MH151" s="143"/>
      <c r="MI151" s="143"/>
      <c r="MJ151" s="143"/>
      <c r="MK151" s="143"/>
      <c r="ML151" s="145"/>
    </row>
    <row r="152" spans="2:350" s="4" customFormat="1" ht="18" customHeight="1" x14ac:dyDescent="0.3">
      <c r="C152" s="136" t="s">
        <v>77</v>
      </c>
      <c r="E152" s="137" t="s">
        <v>105</v>
      </c>
      <c r="F152" s="147" t="s">
        <v>105</v>
      </c>
      <c r="H152" s="139"/>
      <c r="I152" s="140"/>
      <c r="J152" s="140"/>
      <c r="K152" s="140"/>
      <c r="L152" s="140"/>
      <c r="M152" s="140"/>
      <c r="N152" s="140"/>
      <c r="O152" s="140"/>
      <c r="P152" s="140"/>
      <c r="Q152" s="141"/>
      <c r="R152" s="140"/>
      <c r="S152" s="139"/>
      <c r="T152" s="140"/>
      <c r="U152" s="140"/>
      <c r="V152" s="140"/>
      <c r="W152" s="140"/>
      <c r="X152" s="140"/>
      <c r="Y152" s="140"/>
      <c r="Z152" s="140"/>
      <c r="AA152" s="140"/>
      <c r="AB152" s="140"/>
      <c r="AC152" s="140"/>
      <c r="AD152" s="140"/>
      <c r="AE152" s="140"/>
      <c r="AF152" s="140"/>
      <c r="AG152" s="140"/>
      <c r="AH152" s="140"/>
      <c r="AI152" s="140"/>
      <c r="AJ152" s="140"/>
      <c r="AK152" s="140"/>
      <c r="AL152" s="140"/>
      <c r="AM152" s="140"/>
      <c r="AN152" s="140"/>
      <c r="AO152" s="140"/>
      <c r="AP152" s="140"/>
      <c r="AQ152" s="140"/>
      <c r="AR152" s="140"/>
      <c r="AS152" s="140"/>
      <c r="AT152" s="140"/>
      <c r="AU152" s="140"/>
      <c r="AV152" s="140"/>
      <c r="AW152" s="140"/>
      <c r="AX152" s="140"/>
      <c r="AY152" s="140"/>
      <c r="AZ152" s="140"/>
      <c r="BA152" s="140"/>
      <c r="BB152" s="141"/>
      <c r="BC152" s="140"/>
      <c r="BD152" s="142">
        <f t="shared" si="10"/>
        <v>64402</v>
      </c>
      <c r="BE152" s="143">
        <f>BD152+(BI152-BD152)*(BE1-BD1)/(BI1-BD1)</f>
        <v>64999.580349322132</v>
      </c>
      <c r="BF152" s="143">
        <f>BD152+(BI152-BD152)*(BF1-BD1)/(BI1-BD1)</f>
        <v>65597.160698644264</v>
      </c>
      <c r="BG152" s="143">
        <f>BD152+(BI152-BD152)*(BG1-BD1)/(BI1-BD1)</f>
        <v>66194.741047966396</v>
      </c>
      <c r="BH152" s="143">
        <f>BD152+(BI152-BD152)*(BH1-BD1)/(BI1-BD1)</f>
        <v>66792.321397288528</v>
      </c>
      <c r="BI152" s="144">
        <f t="shared" si="11"/>
        <v>67389.90174661066</v>
      </c>
      <c r="BJ152" s="143">
        <f>BI152+(BS152-BI152)*(BJ1-BI1)/(BS1-BI1)</f>
        <v>68099.683322689496</v>
      </c>
      <c r="BK152" s="143">
        <f>BI152+(BS152-BI152)*(BK1-BI1)/(BS1-BI1)</f>
        <v>68809.464898768347</v>
      </c>
      <c r="BL152" s="143">
        <f>BI152+(BS152-BI152)*(BL1-BI1)/(BS1-BI1)</f>
        <v>69519.246474847183</v>
      </c>
      <c r="BM152" s="143">
        <f>BI152+(BS152-BI152)*(BM1-BI1)/(BS1-BI1)</f>
        <v>70229.028050926034</v>
      </c>
      <c r="BN152" s="143">
        <f>BI152+(BS152-BI152)*(BN1-BI1)/(BS1-BI1)</f>
        <v>70938.80962700487</v>
      </c>
      <c r="BO152" s="143">
        <f>BI152+(BS152-BI152)*(BO1-BI1)/(BS1-BI1)</f>
        <v>71648.591203083706</v>
      </c>
      <c r="BP152" s="143">
        <f>BI152+(BS152-BI152)*(BP1-BI1)/(BS1-BI1)</f>
        <v>72358.372779162557</v>
      </c>
      <c r="BQ152" s="143">
        <f>BI152+(BS152-BI152)*(BQ1-BI1)/(BS1-BI1)</f>
        <v>73068.154355241393</v>
      </c>
      <c r="BR152" s="143">
        <f>BI152+(BS152-BI152)*(BR1-BI1)/(BS1-BI1)</f>
        <v>73777.935931320244</v>
      </c>
      <c r="BS152" s="144">
        <f t="shared" si="12"/>
        <v>74487.71750739908</v>
      </c>
      <c r="BT152" s="143">
        <f>BS152+(CC152-BS152)*(BT1-BS1)/(CC1-BS1)</f>
        <v>75241.579101156793</v>
      </c>
      <c r="BU152" s="143">
        <f>BS152+(CC152-BS152)*(BU1-BS1)/(CC1-BS1)</f>
        <v>75995.44069491452</v>
      </c>
      <c r="BV152" s="143">
        <f>BS152+(CC152-BS152)*(BV1-BS1)/(CC1-BS1)</f>
        <v>76749.302288672232</v>
      </c>
      <c r="BW152" s="143">
        <f>BS152+(CC152-BS152)*(BW1-BS1)/(CC1-BS1)</f>
        <v>77503.163882429944</v>
      </c>
      <c r="BX152" s="143">
        <f>BS152+(CC152-BS152)*(BX1-BS1)/(CC1-BS1)</f>
        <v>78257.025476187671</v>
      </c>
      <c r="BY152" s="143">
        <f>BS152+(CC152-BS152)*(BY1-BS1)/(CC1-BS1)</f>
        <v>79010.887069945384</v>
      </c>
      <c r="BZ152" s="143">
        <f>BS152+(CC152-BS152)*(BZ1-BS1)/(CC1-BS1)</f>
        <v>79764.748663703096</v>
      </c>
      <c r="CA152" s="143">
        <f>BS152+(CC152-BS152)*(CA1-BS1)/(CC1-BS1)</f>
        <v>80518.610257460808</v>
      </c>
      <c r="CB152" s="143">
        <f>BS152+(CC152-BS152)*(CB1-BS1)/(CC1-BS1)</f>
        <v>81272.471851218535</v>
      </c>
      <c r="CC152" s="144">
        <f t="shared" si="13"/>
        <v>82026.333444976248</v>
      </c>
      <c r="CD152" s="143">
        <f>CC152+(CM152-CC152)*(CD1-CC1)/(CM1-CC1)</f>
        <v>82763.861118201588</v>
      </c>
      <c r="CE152" s="143">
        <f>CC152+(CM152-CC152)*(CE1-CC1)/(CM1-CC1)</f>
        <v>83501.388791426914</v>
      </c>
      <c r="CF152" s="143">
        <f>CC152+(CM152-CC152)*(CF1-CC1)/(CM1-CC1)</f>
        <v>84238.916464652255</v>
      </c>
      <c r="CG152" s="143">
        <f>CC152+(CM152-CC152)*(CG1-CC1)/(CM1-CC1)</f>
        <v>84976.444137877595</v>
      </c>
      <c r="CH152" s="143">
        <f>CC152+(CM152-CC152)*(CH1-CC1)/(CM1-CC1)</f>
        <v>85713.971811102936</v>
      </c>
      <c r="CI152" s="143">
        <f>CC152+(CM152-CC152)*(CI1-CC1)/(CM1-CC1)</f>
        <v>86451.499484328262</v>
      </c>
      <c r="CJ152" s="143">
        <f>CC152+(CM152-CC152)*(CJ1-CC1)/(CM1-CC1)</f>
        <v>87189.027157553603</v>
      </c>
      <c r="CK152" s="143">
        <f>CC152+(CM152-CC152)*(CK1-CC1)/(CM1-CC1)</f>
        <v>87926.554830778943</v>
      </c>
      <c r="CL152" s="143">
        <f>CC152+(CM152-CC152)*(CL1-CC1)/(CM1-CC1)</f>
        <v>88664.082504004269</v>
      </c>
      <c r="CM152" s="145">
        <f t="shared" si="14"/>
        <v>89401.61017722961</v>
      </c>
      <c r="CN152" s="140"/>
      <c r="CO152" s="142">
        <f t="shared" si="15"/>
        <v>64402</v>
      </c>
      <c r="CP152" s="143">
        <f>CO152+(CT152-CO152)*(CP1-CO1)/(CT1-CO1)</f>
        <v>64999.580349322132</v>
      </c>
      <c r="CQ152" s="143">
        <f>CO152+(CT152-CO152)*(CQ1-CO1)/(CT1-CO1)</f>
        <v>65597.160698644264</v>
      </c>
      <c r="CR152" s="143">
        <f>CO152+(CT152-CO152)*(CR1-CO1)/(CT1-CO1)</f>
        <v>66194.741047966396</v>
      </c>
      <c r="CS152" s="143">
        <f>CO152+(CT152-CO152)*(CS1-CO1)/(CT1-CO1)</f>
        <v>66792.321397288528</v>
      </c>
      <c r="CT152" s="144">
        <f t="shared" si="16"/>
        <v>67389.90174661066</v>
      </c>
      <c r="CU152" s="143">
        <f>CT152+(DD152-CT152)*(CU1-CT1)/(DD1-CT1)</f>
        <v>67063.379049877258</v>
      </c>
      <c r="CV152" s="143">
        <f>CT152+(DD152-CT152)*(CV1-CT1)/(DD1-CT1)</f>
        <v>66736.856353143856</v>
      </c>
      <c r="CW152" s="143">
        <f>CT152+(DD152-CT152)*(CW1-CT1)/(DD1-CT1)</f>
        <v>66410.333656410454</v>
      </c>
      <c r="CX152" s="143">
        <f>CT152+(DD152-CT152)*(CX1-CT1)/(DD1-CT1)</f>
        <v>66083.810959677052</v>
      </c>
      <c r="CY152" s="143">
        <f>CT152+(DD152-CT152)*(CY1-CT1)/(DD1-CT1)</f>
        <v>65757.28826294365</v>
      </c>
      <c r="CZ152" s="143">
        <f>CT152+(DD152-CT152)*(CZ1-CT1)/(DD1-CT1)</f>
        <v>65430.765566210241</v>
      </c>
      <c r="DA152" s="143">
        <f>CT152+(DD152-CT152)*(DA1-CT1)/(DD1-CT1)</f>
        <v>65104.242869476839</v>
      </c>
      <c r="DB152" s="143">
        <f>CT152+(DD152-CT152)*(DB1-CT1)/(DD1-CT1)</f>
        <v>64777.720172743429</v>
      </c>
      <c r="DC152" s="143">
        <f>CT152+(DD152-CT152)*(DC1-CT1)/(DD1-CT1)</f>
        <v>64451.197476010027</v>
      </c>
      <c r="DD152" s="144">
        <f t="shared" si="17"/>
        <v>64124.674779276625</v>
      </c>
      <c r="DE152" s="143">
        <f>DD152+(DN152-DD152)*(DE1-DD1)/(DN1-DD1)</f>
        <v>63791.237726209845</v>
      </c>
      <c r="DF152" s="143">
        <f>DD152+(DN152-DD152)*(DF1-DD1)/(DN1-DD1)</f>
        <v>63457.800673143058</v>
      </c>
      <c r="DG152" s="143">
        <f>DD152+(DN152-DD152)*(DG1-DD1)/(DN1-DD1)</f>
        <v>63124.363620076278</v>
      </c>
      <c r="DH152" s="143">
        <f>DD152+(DN152-DD152)*(DH1-DD1)/(DN1-DD1)</f>
        <v>62790.926567009497</v>
      </c>
      <c r="DI152" s="143">
        <f>DD152+(DN152-DD152)*(DI1-DD1)/(DN1-DD1)</f>
        <v>62457.48951394271</v>
      </c>
      <c r="DJ152" s="143">
        <f>DD152+(DN152-DD152)*(DJ1-DD1)/(DN1-DD1)</f>
        <v>62124.05246087593</v>
      </c>
      <c r="DK152" s="143">
        <f>DD152+(DN152-DD152)*(DK1-DD1)/(DN1-DD1)</f>
        <v>61790.615407809149</v>
      </c>
      <c r="DL152" s="143">
        <f>DD152+(DN152-DD152)*(DL1-DD1)/(DN1-DD1)</f>
        <v>61457.178354742369</v>
      </c>
      <c r="DM152" s="143">
        <f>DD152+(DN152-DD152)*(DM1-DD1)/(DN1-DD1)</f>
        <v>61123.741301675582</v>
      </c>
      <c r="DN152" s="144">
        <f t="shared" si="18"/>
        <v>60790.304248608802</v>
      </c>
      <c r="DO152" s="143">
        <f>DN152+(DX152-DN152)*(DO1-DN1)/(DX1-DN1)</f>
        <v>60415.107690940225</v>
      </c>
      <c r="DP152" s="143">
        <f>DN152+(DX152-DN152)*(DP1-DN1)/(DX1-DN1)</f>
        <v>60039.911133271642</v>
      </c>
      <c r="DQ152" s="143">
        <f>DN152+(DX152-DN152)*(DQ1-DN1)/(DX1-DN1)</f>
        <v>59664.714575603066</v>
      </c>
      <c r="DR152" s="143">
        <f>DN152+(DX152-DN152)*(DR1-DN1)/(DX1-DN1)</f>
        <v>59289.518017934482</v>
      </c>
      <c r="DS152" s="143">
        <f>DN152+(DX152-DN152)*(DS1-DN1)/(DX1-DN1)</f>
        <v>58914.321460265906</v>
      </c>
      <c r="DT152" s="143">
        <f>DN152+(DX152-DN152)*(DT1-DN1)/(DX1-DN1)</f>
        <v>58539.12490259733</v>
      </c>
      <c r="DU152" s="143">
        <f>DN152+(DX152-DN152)*(DU1-DN1)/(DX1-DN1)</f>
        <v>58163.928344928747</v>
      </c>
      <c r="DV152" s="143">
        <f>DN152+(DX152-DN152)*(DV1-DN1)/(DX1-DN1)</f>
        <v>57788.731787260171</v>
      </c>
      <c r="DW152" s="143">
        <f>DN152+(DX152-DN152)*(DW1-DN1)/(DX1-DN1)</f>
        <v>57413.535229591587</v>
      </c>
      <c r="DX152" s="145">
        <f t="shared" si="19"/>
        <v>57038.338671923011</v>
      </c>
      <c r="DY152" s="140"/>
      <c r="DZ152" s="142">
        <f t="shared" si="20"/>
        <v>64402</v>
      </c>
      <c r="EA152" s="143">
        <f>DZ152+(EE152-DZ152)*(EA1-DZ1)/(EE1-DZ1)</f>
        <v>64999.580349322132</v>
      </c>
      <c r="EB152" s="143">
        <f>DZ152+(EE152-DZ152)*(EB1-DZ1)/(EE1-DZ1)</f>
        <v>65597.160698644264</v>
      </c>
      <c r="EC152" s="143">
        <f>DZ152+(EE152-DZ152)*(EC1-DZ1)/(EE1-DZ1)</f>
        <v>66194.741047966396</v>
      </c>
      <c r="ED152" s="143">
        <f>DZ152+(EE152-DZ152)*(ED1-DZ1)/(EE1-DZ1)</f>
        <v>66792.321397288528</v>
      </c>
      <c r="EE152" s="144">
        <f t="shared" si="21"/>
        <v>67389.90174661066</v>
      </c>
      <c r="EF152" s="143">
        <f>EE152+(EO152-EE152)*(EF1-EE1)/(EO1-EE1)</f>
        <v>67063.379049877258</v>
      </c>
      <c r="EG152" s="143">
        <f>EE152+(EO152-EE152)*(EG1-EE1)/(EO1-EE1)</f>
        <v>66736.856353143856</v>
      </c>
      <c r="EH152" s="143">
        <f>EE152+(EO152-EE152)*(EH1-EE1)/(EO1-EE1)</f>
        <v>66410.333656410454</v>
      </c>
      <c r="EI152" s="143">
        <f>EE152+(EO152-EE152)*(EI1-EE1)/(EO1-EE1)</f>
        <v>66083.810959677052</v>
      </c>
      <c r="EJ152" s="143">
        <f>EE152+(EO152-EE152)*(EJ1-EE1)/(EO1-EE1)</f>
        <v>65757.28826294365</v>
      </c>
      <c r="EK152" s="143">
        <f>EE152+(EO152-EE152)*(EK1-EE1)/(EO1-EE1)</f>
        <v>65430.765566210241</v>
      </c>
      <c r="EL152" s="143">
        <f>EE152+(EO152-EE152)*(EL1-EE1)/(EO1-EE1)</f>
        <v>65104.242869476839</v>
      </c>
      <c r="EM152" s="143">
        <f>EE152+(EO152-EE152)*(EM1-EE1)/(EO1-EE1)</f>
        <v>64777.720172743429</v>
      </c>
      <c r="EN152" s="143">
        <f>EE152+(EO152-EE152)*(EN1-EE1)/(EO1-EE1)</f>
        <v>64451.197476010027</v>
      </c>
      <c r="EO152" s="144">
        <f t="shared" si="22"/>
        <v>64124.674779276625</v>
      </c>
      <c r="EP152" s="143">
        <f>EO152+(EY152-EO152)*(EP1-EO1)/(EY1-EO1)</f>
        <v>63791.237726209845</v>
      </c>
      <c r="EQ152" s="143">
        <f>EO152+(EY152-EO152)*(EQ1-EO1)/(EY1-EO1)</f>
        <v>63457.800673143058</v>
      </c>
      <c r="ER152" s="143">
        <f>EO152+(EY152-EO152)*(ER1-EO1)/(EY1-EO1)</f>
        <v>63124.363620076278</v>
      </c>
      <c r="ES152" s="143">
        <f>EO152+(EY152-EO152)*(ES1-EO1)/(EY1-EO1)</f>
        <v>62790.926567009497</v>
      </c>
      <c r="ET152" s="143">
        <f>EO152+(EY152-EO152)*(ET1-EO1)/(EY1-EO1)</f>
        <v>62457.48951394271</v>
      </c>
      <c r="EU152" s="143">
        <f>EO152+(EY152-EO152)*(EU1-EO1)/(EY1-EO1)</f>
        <v>62124.05246087593</v>
      </c>
      <c r="EV152" s="143">
        <f>EO152+(EY152-EO152)*(EV1-EO1)/(EY1-EO1)</f>
        <v>61790.615407809149</v>
      </c>
      <c r="EW152" s="143">
        <f>EO152+(EY152-EO152)*(EW1-EO1)/(EY1-EO1)</f>
        <v>61457.178354742369</v>
      </c>
      <c r="EX152" s="143">
        <f>EO152+(EY152-EO152)*(EX1-EO1)/(EY1-EO1)</f>
        <v>61123.741301675582</v>
      </c>
      <c r="EY152" s="144">
        <f t="shared" si="23"/>
        <v>60790.304248608802</v>
      </c>
      <c r="EZ152" s="143">
        <f>EY152+(FI152-EY152)*(EZ1-EY1)/(FI1-EY1)</f>
        <v>60415.107690940225</v>
      </c>
      <c r="FA152" s="143">
        <f>EY152+(FI152-EY152)*(FA1-EY1)/(FI1-EY1)</f>
        <v>60039.911133271642</v>
      </c>
      <c r="FB152" s="143">
        <f>EY152+(FI152-EY152)*(FB1-EY1)/(FI1-EY1)</f>
        <v>59664.714575603066</v>
      </c>
      <c r="FC152" s="143">
        <f>EY152+(FI152-EY152)*(FC1-EY1)/(FI1-EY1)</f>
        <v>59289.518017934482</v>
      </c>
      <c r="FD152" s="143">
        <f>EY152+(FI152-EY152)*(FD1-EY1)/(FI1-EY1)</f>
        <v>58914.321460265906</v>
      </c>
      <c r="FE152" s="143">
        <f>EY152+(FI152-EY152)*(FE1-EY1)/(FI1-EY1)</f>
        <v>58539.12490259733</v>
      </c>
      <c r="FF152" s="143">
        <f>EY152+(FI152-EY152)*(FF1-EY1)/(FI1-EY1)</f>
        <v>58163.928344928747</v>
      </c>
      <c r="FG152" s="143">
        <f>EY152+(FI152-EY152)*(FG1-EY1)/(FI1-EY1)</f>
        <v>57788.731787260171</v>
      </c>
      <c r="FH152" s="143">
        <f>EY152+(FI152-EY152)*(FH1-EY1)/(FI1-EY1)</f>
        <v>57413.535229591587</v>
      </c>
      <c r="FI152" s="145">
        <f t="shared" si="24"/>
        <v>57038.338671923011</v>
      </c>
      <c r="FJ152" s="140"/>
      <c r="FK152" s="142">
        <f t="shared" si="25"/>
        <v>64402</v>
      </c>
      <c r="FL152" s="143">
        <f>FK152+(FP152-FK152)*(FL1-FK1)/(FP1-FK1)</f>
        <v>64999.580349322132</v>
      </c>
      <c r="FM152" s="143">
        <f>FK152+(FP152-FK152)*(FM1-FK1)/(FP1-FK1)</f>
        <v>65597.160698644264</v>
      </c>
      <c r="FN152" s="143">
        <f>FK152+(FP152-FK152)*(FN1-FK1)/(FP1-FK1)</f>
        <v>66194.741047966396</v>
      </c>
      <c r="FO152" s="143">
        <f>FK152+(FP152-FK152)*(FO1-FK1)/(FP1-FK1)</f>
        <v>66792.321397288528</v>
      </c>
      <c r="FP152" s="144">
        <f t="shared" si="26"/>
        <v>67389.90174661066</v>
      </c>
      <c r="FQ152" s="143">
        <f>FP152+(FZ152-FP152)*(FQ1-FP1)/(FZ1-FP1)</f>
        <v>67564.762656532374</v>
      </c>
      <c r="FR152" s="143">
        <f>FP152+(FZ152-FP152)*(FR1-FP1)/(FZ1-FP1)</f>
        <v>67739.623566454102</v>
      </c>
      <c r="FS152" s="143">
        <f>FP152+(FZ152-FP152)*(FS1-FP1)/(FZ1-FP1)</f>
        <v>67914.48447637583</v>
      </c>
      <c r="FT152" s="143">
        <f>FP152+(FZ152-FP152)*(FT1-FP1)/(FZ1-FP1)</f>
        <v>68089.345386297544</v>
      </c>
      <c r="FU152" s="143">
        <f>FP152+(FZ152-FP152)*(FU1-FP1)/(FZ1-FP1)</f>
        <v>68264.206296219258</v>
      </c>
      <c r="FV152" s="143">
        <f>FP152+(FZ152-FP152)*(FV1-FP1)/(FZ1-FP1)</f>
        <v>68439.067206140986</v>
      </c>
      <c r="FW152" s="143">
        <f>FP152+(FZ152-FP152)*(FW1-FP1)/(FZ1-FP1)</f>
        <v>68613.928116062714</v>
      </c>
      <c r="FX152" s="143">
        <f>FP152+(FZ152-FP152)*(FX1-FP1)/(FZ1-FP1)</f>
        <v>68788.789025984428</v>
      </c>
      <c r="FY152" s="143">
        <f>FP152+(FZ152-FP152)*(FY1-FP1)/(FZ1-FP1)</f>
        <v>68963.649935906142</v>
      </c>
      <c r="FZ152" s="144">
        <f t="shared" si="27"/>
        <v>69138.51084582787</v>
      </c>
      <c r="GA152" s="143">
        <f>FZ152+(GJ152-FZ152)*(GA1-FZ1)/(GJ1-FZ1)</f>
        <v>69291.47941634446</v>
      </c>
      <c r="GB152" s="143">
        <f>FZ152+(GJ152-FZ152)*(GB1-FZ1)/(GJ1-FZ1)</f>
        <v>69444.447986861051</v>
      </c>
      <c r="GC152" s="143">
        <f>FZ152+(GJ152-FZ152)*(GC1-FZ1)/(GJ1-FZ1)</f>
        <v>69597.416557377641</v>
      </c>
      <c r="GD152" s="143">
        <f>FZ152+(GJ152-FZ152)*(GD1-FZ1)/(GJ1-FZ1)</f>
        <v>69750.385127894231</v>
      </c>
      <c r="GE152" s="143">
        <f>FZ152+(GJ152-FZ152)*(GE1-FZ1)/(GJ1-FZ1)</f>
        <v>69903.353698410821</v>
      </c>
      <c r="GF152" s="143">
        <f>FZ152+(GJ152-FZ152)*(GF1-FZ1)/(GJ1-FZ1)</f>
        <v>70056.322268927397</v>
      </c>
      <c r="GG152" s="143">
        <f>FZ152+(GJ152-FZ152)*(GG1-FZ1)/(GJ1-FZ1)</f>
        <v>70209.290839443987</v>
      </c>
      <c r="GH152" s="143">
        <f>FZ152+(GJ152-FZ152)*(GH1-FZ1)/(GJ1-FZ1)</f>
        <v>70362.259409960578</v>
      </c>
      <c r="GI152" s="143">
        <f>FZ152+(GJ152-FZ152)*(GI1-FZ1)/(GJ1-FZ1)</f>
        <v>70515.227980477168</v>
      </c>
      <c r="GJ152" s="144">
        <f t="shared" si="28"/>
        <v>70668.196550993758</v>
      </c>
      <c r="GK152" s="143">
        <f>GJ152+(GT152-GJ152)*(GK1-GJ1)/(GT1-GJ1)</f>
        <v>70750.477431982566</v>
      </c>
      <c r="GL152" s="143">
        <f>GJ152+(GT152-GJ152)*(GL1-GJ1)/(GT1-GJ1)</f>
        <v>70832.75831297136</v>
      </c>
      <c r="GM152" s="143">
        <f>GJ152+(GT152-GJ152)*(GM1-GJ1)/(GT1-GJ1)</f>
        <v>70915.039193960169</v>
      </c>
      <c r="GN152" s="143">
        <f>GJ152+(GT152-GJ152)*(GN1-GJ1)/(GT1-GJ1)</f>
        <v>70997.320074948962</v>
      </c>
      <c r="GO152" s="143">
        <f>GJ152+(GT152-GJ152)*(GO1-GJ1)/(GT1-GJ1)</f>
        <v>71079.600955937771</v>
      </c>
      <c r="GP152" s="143">
        <f>GJ152+(GT152-GJ152)*(GP1-GJ1)/(GT1-GJ1)</f>
        <v>71161.881836926579</v>
      </c>
      <c r="GQ152" s="143">
        <f>GJ152+(GT152-GJ152)*(GQ1-GJ1)/(GT1-GJ1)</f>
        <v>71244.162717915373</v>
      </c>
      <c r="GR152" s="143">
        <f>GJ152+(GT152-GJ152)*(GR1-GJ1)/(GT1-GJ1)</f>
        <v>71326.443598904181</v>
      </c>
      <c r="GS152" s="143">
        <f>GJ152+(GT152-GJ152)*(GS1-GJ1)/(GT1-GJ1)</f>
        <v>71408.724479892975</v>
      </c>
      <c r="GT152" s="145">
        <f t="shared" si="29"/>
        <v>71491.005360881783</v>
      </c>
      <c r="GU152" s="140"/>
      <c r="GV152" s="142">
        <f t="shared" si="30"/>
        <v>64402</v>
      </c>
      <c r="GW152" s="143">
        <f>GV152+(HA152-GV152)*(GW1-GV1)/(HA1-GV1)</f>
        <v>64999.580349322132</v>
      </c>
      <c r="GX152" s="143">
        <f>GV152+(HA152-GV152)*(GX1-GV1)/(HA1-GV1)</f>
        <v>65597.160698644264</v>
      </c>
      <c r="GY152" s="143">
        <f>GV152+(HA152-GV152)*(GY1-GV1)/(HA1-GV1)</f>
        <v>66194.741047966396</v>
      </c>
      <c r="GZ152" s="143">
        <f>GV152+(HA152-GV152)*(GZ1-GV1)/(HA1-GV1)</f>
        <v>66792.321397288528</v>
      </c>
      <c r="HA152" s="144">
        <f t="shared" si="31"/>
        <v>67389.90174661066</v>
      </c>
      <c r="HB152" s="143">
        <f>HA152+(HK152-HA152)*(HB1-HA1)/(HK1-HA1)</f>
        <v>68099.683322689496</v>
      </c>
      <c r="HC152" s="143">
        <f>HA152+(HK152-HA152)*(HC1-HA1)/(HK1-HA1)</f>
        <v>68809.464898768347</v>
      </c>
      <c r="HD152" s="143">
        <f>HA152+(HK152-HA152)*(HD1-HA1)/(HK1-HA1)</f>
        <v>69519.246474847183</v>
      </c>
      <c r="HE152" s="143">
        <f>HA152+(HK152-HA152)*(HE1-HA1)/(HK1-HA1)</f>
        <v>70229.028050926034</v>
      </c>
      <c r="HF152" s="143">
        <f>HA152+(HK152-HA152)*(HF1-HA1)/(HK1-HA1)</f>
        <v>70938.80962700487</v>
      </c>
      <c r="HG152" s="143">
        <f>HA152+(HK152-HA152)*(HG1-HA1)/(HK1-HA1)</f>
        <v>71648.591203083706</v>
      </c>
      <c r="HH152" s="143">
        <f>HA152+(HK152-HA152)*(HH1-HA1)/(HK1-HA1)</f>
        <v>72358.372779162557</v>
      </c>
      <c r="HI152" s="143">
        <f>HA152+(HK152-HA152)*(HI1-HA1)/(HK1-HA1)</f>
        <v>73068.154355241393</v>
      </c>
      <c r="HJ152" s="143">
        <f>HA152+(HK152-HA152)*(HJ1-HA1)/(HK1-HA1)</f>
        <v>73777.935931320244</v>
      </c>
      <c r="HK152" s="144">
        <f t="shared" si="32"/>
        <v>74487.71750739908</v>
      </c>
      <c r="HL152" s="143">
        <f>HK152+(HU152-HK152)*(HL1-HK1)/(HU1-HK1)</f>
        <v>75241.579101156793</v>
      </c>
      <c r="HM152" s="143">
        <f>HK152+(HU152-HK152)*(HM1-HK1)/(HU1-HK1)</f>
        <v>75995.44069491452</v>
      </c>
      <c r="HN152" s="143">
        <f>HK152+(HU152-HK152)*(HN1-HK1)/(HU1-HK1)</f>
        <v>76749.302288672232</v>
      </c>
      <c r="HO152" s="143">
        <f>HK152+(HU152-HK152)*(HO1-HK1)/(HU1-HK1)</f>
        <v>77503.163882429944</v>
      </c>
      <c r="HP152" s="143">
        <f>HK152+(HU152-HK152)*(HP1-HK1)/(HU1-HK1)</f>
        <v>78257.025476187671</v>
      </c>
      <c r="HQ152" s="143">
        <f>HK152+(HU152-HK152)*(HQ1-HK1)/(HU1-HK1)</f>
        <v>79010.887069945384</v>
      </c>
      <c r="HR152" s="143">
        <f>HK152+(HU152-HK152)*(HR1-HK1)/(HU1-HK1)</f>
        <v>79764.748663703096</v>
      </c>
      <c r="HS152" s="143">
        <f>HK152+(HU152-HK152)*(HS1-HK1)/(HU1-HK1)</f>
        <v>80518.610257460808</v>
      </c>
      <c r="HT152" s="143">
        <f>HK152+(HU152-HK152)*(HT1-HK1)/(HU1-HK1)</f>
        <v>81272.471851218535</v>
      </c>
      <c r="HU152" s="144">
        <f t="shared" si="33"/>
        <v>82026.333444976248</v>
      </c>
      <c r="HV152" s="143">
        <f>HU152+(IE152-HU152)*(HV1-HU1)/(IE1-HU1)</f>
        <v>82763.861118201588</v>
      </c>
      <c r="HW152" s="143">
        <f>HU152+(IE152-HU152)*(HW1-HU1)/(IE1-HU1)</f>
        <v>83501.388791426914</v>
      </c>
      <c r="HX152" s="143">
        <f>HU152+(IE152-HU152)*(HX1-HU1)/(IE1-HU1)</f>
        <v>84238.916464652255</v>
      </c>
      <c r="HY152" s="143">
        <f>HU152+(IE152-HU152)*(HY1-HU1)/(IE1-HU1)</f>
        <v>84976.444137877595</v>
      </c>
      <c r="HZ152" s="143">
        <f>HU152+(IE152-HU152)*(HZ1-HU1)/(IE1-HU1)</f>
        <v>85713.971811102936</v>
      </c>
      <c r="IA152" s="143">
        <f>HU152+(IE152-HU152)*(IA1-HU1)/(IE1-HU1)</f>
        <v>86451.499484328262</v>
      </c>
      <c r="IB152" s="143">
        <f>HU152+(IE152-HU152)*(IB1-HU1)/(IE1-HU1)</f>
        <v>87189.027157553603</v>
      </c>
      <c r="IC152" s="143">
        <f>HU152+(IE152-HU152)*(IC1-HU1)/(IE1-HU1)</f>
        <v>87926.554830778943</v>
      </c>
      <c r="ID152" s="143">
        <f>HU152+(IE152-HU152)*(ID1-HU1)/(IE1-HU1)</f>
        <v>88664.082504004269</v>
      </c>
      <c r="IE152" s="145">
        <f t="shared" si="34"/>
        <v>89401.61017722961</v>
      </c>
      <c r="IF152" s="140"/>
      <c r="IG152" s="146"/>
      <c r="IH152" s="143"/>
      <c r="II152" s="143"/>
      <c r="IJ152" s="143"/>
      <c r="IK152" s="143"/>
      <c r="IL152" s="144">
        <v>58010.279829999701</v>
      </c>
      <c r="IM152" s="143"/>
      <c r="IN152" s="143"/>
      <c r="IO152" s="143"/>
      <c r="IP152" s="143"/>
      <c r="IQ152" s="143"/>
      <c r="IR152" s="143"/>
      <c r="IS152" s="143"/>
      <c r="IT152" s="143"/>
      <c r="IU152" s="143"/>
      <c r="IV152" s="144">
        <v>59239.239275283602</v>
      </c>
      <c r="IW152" s="143"/>
      <c r="IX152" s="143"/>
      <c r="IY152" s="143"/>
      <c r="IZ152" s="143"/>
      <c r="JA152" s="143"/>
      <c r="JB152" s="143"/>
      <c r="JC152" s="143"/>
      <c r="JD152" s="143"/>
      <c r="JE152" s="143"/>
      <c r="JF152" s="144">
        <v>59962.716364538297</v>
      </c>
      <c r="JG152" s="143"/>
      <c r="JH152" s="143"/>
      <c r="JI152" s="143"/>
      <c r="JJ152" s="143"/>
      <c r="JK152" s="143"/>
      <c r="JL152" s="143"/>
      <c r="JM152" s="143"/>
      <c r="JN152" s="143"/>
      <c r="JO152" s="143"/>
      <c r="JP152" s="145">
        <v>59335.641491498602</v>
      </c>
      <c r="JQ152" s="140"/>
      <c r="JR152" s="142"/>
      <c r="JS152" s="143"/>
      <c r="JT152" s="143"/>
      <c r="JU152" s="143"/>
      <c r="JV152" s="143"/>
      <c r="JW152" s="144">
        <v>58010.279829999701</v>
      </c>
      <c r="JX152" s="143">
        <f t="shared" si="35"/>
        <v>58062.196123208545</v>
      </c>
      <c r="JY152" s="143">
        <f t="shared" si="35"/>
        <v>58114.112416417382</v>
      </c>
      <c r="JZ152" s="143">
        <f t="shared" si="35"/>
        <v>58166.028709626218</v>
      </c>
      <c r="KA152" s="143">
        <f t="shared" si="35"/>
        <v>58217.945002835062</v>
      </c>
      <c r="KB152" s="143">
        <f t="shared" si="35"/>
        <v>58269.861296043906</v>
      </c>
      <c r="KC152" s="143">
        <f t="shared" si="35"/>
        <v>58321.777589252742</v>
      </c>
      <c r="KD152" s="143">
        <f t="shared" si="35"/>
        <v>58373.693882461579</v>
      </c>
      <c r="KE152" s="143">
        <f t="shared" si="35"/>
        <v>58425.610175670423</v>
      </c>
      <c r="KF152" s="143">
        <f t="shared" si="35"/>
        <v>58477.526468879267</v>
      </c>
      <c r="KG152" s="144">
        <v>58529.442762088103</v>
      </c>
      <c r="KH152" s="143">
        <f t="shared" si="36"/>
        <v>58572.702879796459</v>
      </c>
      <c r="KI152" s="143">
        <f t="shared" si="36"/>
        <v>58615.962997504823</v>
      </c>
      <c r="KJ152" s="143">
        <f t="shared" si="36"/>
        <v>58659.223115213186</v>
      </c>
      <c r="KK152" s="143">
        <f t="shared" si="36"/>
        <v>58702.483232921542</v>
      </c>
      <c r="KL152" s="143">
        <f t="shared" si="36"/>
        <v>58745.743350629898</v>
      </c>
      <c r="KM152" s="143">
        <f t="shared" si="36"/>
        <v>58789.003468338262</v>
      </c>
      <c r="KN152" s="143">
        <f t="shared" si="36"/>
        <v>58832.263586046625</v>
      </c>
      <c r="KO152" s="143">
        <f t="shared" si="36"/>
        <v>58875.523703754981</v>
      </c>
      <c r="KP152" s="143">
        <f t="shared" si="36"/>
        <v>58918.783821463338</v>
      </c>
      <c r="KQ152" s="144">
        <v>58962.043939171701</v>
      </c>
      <c r="KR152" s="143">
        <f t="shared" si="37"/>
        <v>58878.56073764107</v>
      </c>
      <c r="KS152" s="143">
        <f t="shared" si="37"/>
        <v>58795.077536110439</v>
      </c>
      <c r="KT152" s="143">
        <f t="shared" si="37"/>
        <v>58711.594334579808</v>
      </c>
      <c r="KU152" s="143">
        <f t="shared" si="37"/>
        <v>58628.111133049177</v>
      </c>
      <c r="KV152" s="143">
        <f t="shared" si="37"/>
        <v>58544.627931518553</v>
      </c>
      <c r="KW152" s="143">
        <f t="shared" si="37"/>
        <v>58461.144729987922</v>
      </c>
      <c r="KX152" s="143">
        <f t="shared" si="37"/>
        <v>58377.661528457291</v>
      </c>
      <c r="KY152" s="143">
        <f t="shared" si="37"/>
        <v>58294.17832692666</v>
      </c>
      <c r="KZ152" s="143">
        <f t="shared" si="37"/>
        <v>58210.695125396029</v>
      </c>
      <c r="LA152" s="145">
        <v>58127.211923865398</v>
      </c>
      <c r="LB152" s="140"/>
      <c r="LC152" s="142"/>
      <c r="LD152" s="143"/>
      <c r="LE152" s="143"/>
      <c r="LF152" s="143"/>
      <c r="LG152" s="143"/>
      <c r="LH152" s="144"/>
      <c r="LI152" s="143"/>
      <c r="LJ152" s="143"/>
      <c r="LK152" s="143"/>
      <c r="LL152" s="143"/>
      <c r="LM152" s="143"/>
      <c r="LN152" s="143"/>
      <c r="LO152" s="143"/>
      <c r="LP152" s="143"/>
      <c r="LQ152" s="143"/>
      <c r="LR152" s="144"/>
      <c r="LS152" s="143"/>
      <c r="LT152" s="143"/>
      <c r="LU152" s="143"/>
      <c r="LV152" s="143"/>
      <c r="LW152" s="143"/>
      <c r="LX152" s="143"/>
      <c r="LY152" s="143"/>
      <c r="LZ152" s="143"/>
      <c r="MA152" s="143"/>
      <c r="MB152" s="144"/>
      <c r="MC152" s="143"/>
      <c r="MD152" s="143"/>
      <c r="ME152" s="143"/>
      <c r="MF152" s="143"/>
      <c r="MG152" s="143"/>
      <c r="MH152" s="143"/>
      <c r="MI152" s="143"/>
      <c r="MJ152" s="143"/>
      <c r="MK152" s="143"/>
      <c r="ML152" s="145"/>
    </row>
    <row r="153" spans="2:350" s="4" customFormat="1" ht="18" customHeight="1" x14ac:dyDescent="0.3">
      <c r="C153" s="136" t="s">
        <v>78</v>
      </c>
      <c r="E153" s="137" t="s">
        <v>105</v>
      </c>
      <c r="F153" s="138" t="s">
        <v>105</v>
      </c>
      <c r="H153" s="139"/>
      <c r="I153" s="140"/>
      <c r="J153" s="140"/>
      <c r="K153" s="140"/>
      <c r="L153" s="140"/>
      <c r="M153" s="140"/>
      <c r="N153" s="140"/>
      <c r="O153" s="140"/>
      <c r="P153" s="140"/>
      <c r="Q153" s="141"/>
      <c r="R153" s="140"/>
      <c r="S153" s="139"/>
      <c r="T153" s="140"/>
      <c r="U153" s="140"/>
      <c r="V153" s="140"/>
      <c r="W153" s="140"/>
      <c r="X153" s="140"/>
      <c r="Y153" s="140"/>
      <c r="Z153" s="140"/>
      <c r="AA153" s="140"/>
      <c r="AB153" s="140"/>
      <c r="AC153" s="140"/>
      <c r="AD153" s="140"/>
      <c r="AE153" s="140"/>
      <c r="AF153" s="140"/>
      <c r="AG153" s="140"/>
      <c r="AH153" s="140"/>
      <c r="AI153" s="140"/>
      <c r="AJ153" s="140"/>
      <c r="AK153" s="140"/>
      <c r="AL153" s="140"/>
      <c r="AM153" s="140"/>
      <c r="AN153" s="140"/>
      <c r="AO153" s="140"/>
      <c r="AP153" s="140"/>
      <c r="AQ153" s="140"/>
      <c r="AR153" s="140"/>
      <c r="AS153" s="140"/>
      <c r="AT153" s="140"/>
      <c r="AU153" s="140"/>
      <c r="AV153" s="140"/>
      <c r="AW153" s="140"/>
      <c r="AX153" s="140"/>
      <c r="AY153" s="140"/>
      <c r="AZ153" s="140"/>
      <c r="BA153" s="140"/>
      <c r="BB153" s="141"/>
      <c r="BC153" s="140"/>
      <c r="BD153" s="142">
        <f t="shared" si="10"/>
        <v>210718</v>
      </c>
      <c r="BE153" s="143">
        <f>BD153+(BI153-BD153)*(BE1-BD1)/(BI1-BD1)</f>
        <v>211766.2</v>
      </c>
      <c r="BF153" s="143">
        <f>BD153+(BI153-BD153)*(BF1-BD1)/(BI1-BD1)</f>
        <v>212814.4</v>
      </c>
      <c r="BG153" s="143">
        <f>BD153+(BI153-BD153)*(BG1-BD1)/(BI1-BD1)</f>
        <v>213862.6</v>
      </c>
      <c r="BH153" s="143">
        <f>BD153+(BI153-BD153)*(BH1-BD1)/(BI1-BD1)</f>
        <v>214910.8</v>
      </c>
      <c r="BI153" s="144">
        <f t="shared" si="11"/>
        <v>215959</v>
      </c>
      <c r="BJ153" s="143">
        <f>BI153+(BS153-BI153)*(BJ1-BI1)/(BS1-BI1)</f>
        <v>216629.40102048623</v>
      </c>
      <c r="BK153" s="143">
        <f>BI153+(BS153-BI153)*(BK1-BI1)/(BS1-BI1)</f>
        <v>217299.80204097246</v>
      </c>
      <c r="BL153" s="143">
        <f>BI153+(BS153-BI153)*(BL1-BI1)/(BS1-BI1)</f>
        <v>217970.20306145868</v>
      </c>
      <c r="BM153" s="143">
        <f>BI153+(BS153-BI153)*(BM1-BI1)/(BS1-BI1)</f>
        <v>218640.60408194491</v>
      </c>
      <c r="BN153" s="143">
        <f>BI153+(BS153-BI153)*(BN1-BI1)/(BS1-BI1)</f>
        <v>219311.00510243111</v>
      </c>
      <c r="BO153" s="143">
        <f>BI153+(BS153-BI153)*(BO1-BI1)/(BS1-BI1)</f>
        <v>219981.40612291734</v>
      </c>
      <c r="BP153" s="143">
        <f>BI153+(BS153-BI153)*(BP1-BI1)/(BS1-BI1)</f>
        <v>220651.80714340357</v>
      </c>
      <c r="BQ153" s="143">
        <f>BI153+(BS153-BI153)*(BQ1-BI1)/(BS1-BI1)</f>
        <v>221322.20816388979</v>
      </c>
      <c r="BR153" s="143">
        <f>BI153+(BS153-BI153)*(BR1-BI1)/(BS1-BI1)</f>
        <v>221992.60918437602</v>
      </c>
      <c r="BS153" s="144">
        <f t="shared" si="12"/>
        <v>222663.01020486225</v>
      </c>
      <c r="BT153" s="143">
        <f>BS153+(CC153-BS153)*(BT1-BS1)/(CC1-BS1)</f>
        <v>223155.65087590463</v>
      </c>
      <c r="BU153" s="143">
        <f>BS153+(CC153-BS153)*(BU1-BS1)/(CC1-BS1)</f>
        <v>223648.29154694697</v>
      </c>
      <c r="BV153" s="143">
        <f>BS153+(CC153-BS153)*(BV1-BS1)/(CC1-BS1)</f>
        <v>224140.93221798935</v>
      </c>
      <c r="BW153" s="143">
        <f>BS153+(CC153-BS153)*(BW1-BS1)/(CC1-BS1)</f>
        <v>224633.5728890317</v>
      </c>
      <c r="BX153" s="143">
        <f>BS153+(CC153-BS153)*(BX1-BS1)/(CC1-BS1)</f>
        <v>225126.21356007407</v>
      </c>
      <c r="BY153" s="143">
        <f>BS153+(CC153-BS153)*(BY1-BS1)/(CC1-BS1)</f>
        <v>225618.85423111645</v>
      </c>
      <c r="BZ153" s="143">
        <f>BS153+(CC153-BS153)*(BZ1-BS1)/(CC1-BS1)</f>
        <v>226111.4949021588</v>
      </c>
      <c r="CA153" s="143">
        <f>BS153+(CC153-BS153)*(CA1-BS1)/(CC1-BS1)</f>
        <v>226604.13557320117</v>
      </c>
      <c r="CB153" s="143">
        <f>BS153+(CC153-BS153)*(CB1-BS1)/(CC1-BS1)</f>
        <v>227096.77624424352</v>
      </c>
      <c r="CC153" s="144">
        <f t="shared" si="13"/>
        <v>227589.4169152859</v>
      </c>
      <c r="CD153" s="143">
        <f>CC153+(CM153-CC153)*(CD1-CC1)/(CM1-CC1)</f>
        <v>227854.4053915944</v>
      </c>
      <c r="CE153" s="143">
        <f>CC153+(CM153-CC153)*(CE1-CC1)/(CM1-CC1)</f>
        <v>228119.39386790289</v>
      </c>
      <c r="CF153" s="143">
        <f>CC153+(CM153-CC153)*(CF1-CC1)/(CM1-CC1)</f>
        <v>228384.38234421139</v>
      </c>
      <c r="CG153" s="143">
        <f>CC153+(CM153-CC153)*(CG1-CC1)/(CM1-CC1)</f>
        <v>228649.37082051989</v>
      </c>
      <c r="CH153" s="143">
        <f>CC153+(CM153-CC153)*(CH1-CC1)/(CM1-CC1)</f>
        <v>228914.35929682839</v>
      </c>
      <c r="CI153" s="143">
        <f>CC153+(CM153-CC153)*(CI1-CC1)/(CM1-CC1)</f>
        <v>229179.34777313689</v>
      </c>
      <c r="CJ153" s="143">
        <f>CC153+(CM153-CC153)*(CJ1-CC1)/(CM1-CC1)</f>
        <v>229444.33624944539</v>
      </c>
      <c r="CK153" s="143">
        <f>CC153+(CM153-CC153)*(CK1-CC1)/(CM1-CC1)</f>
        <v>229709.32472575389</v>
      </c>
      <c r="CL153" s="143">
        <f>CC153+(CM153-CC153)*(CL1-CC1)/(CM1-CC1)</f>
        <v>229974.31320206239</v>
      </c>
      <c r="CM153" s="145">
        <f t="shared" si="14"/>
        <v>230239.30167837089</v>
      </c>
      <c r="CN153" s="140"/>
      <c r="CO153" s="142">
        <f t="shared" si="15"/>
        <v>210718</v>
      </c>
      <c r="CP153" s="143">
        <f>CO153+(CT153-CO153)*(CP1-CO1)/(CT1-CO1)</f>
        <v>211766.2</v>
      </c>
      <c r="CQ153" s="143">
        <f>CO153+(CT153-CO153)*(CQ1-CO1)/(CT1-CO1)</f>
        <v>212814.4</v>
      </c>
      <c r="CR153" s="143">
        <f>CO153+(CT153-CO153)*(CR1-CO1)/(CT1-CO1)</f>
        <v>213862.6</v>
      </c>
      <c r="CS153" s="143">
        <f>CO153+(CT153-CO153)*(CS1-CO1)/(CT1-CO1)</f>
        <v>214910.8</v>
      </c>
      <c r="CT153" s="144">
        <f t="shared" si="16"/>
        <v>215959</v>
      </c>
      <c r="CU153" s="143">
        <f>CT153+(DD153-CT153)*(CU1-CT1)/(DD1-CT1)</f>
        <v>215540.8044685848</v>
      </c>
      <c r="CV153" s="143">
        <f>CT153+(DD153-CT153)*(CV1-CT1)/(DD1-CT1)</f>
        <v>215122.6089371696</v>
      </c>
      <c r="CW153" s="143">
        <f>CT153+(DD153-CT153)*(CW1-CT1)/(DD1-CT1)</f>
        <v>214704.4134057544</v>
      </c>
      <c r="CX153" s="143">
        <f>CT153+(DD153-CT153)*(CX1-CT1)/(DD1-CT1)</f>
        <v>214286.2178743392</v>
      </c>
      <c r="CY153" s="143">
        <f>CT153+(DD153-CT153)*(CY1-CT1)/(DD1-CT1)</f>
        <v>213868.02234292403</v>
      </c>
      <c r="CZ153" s="143">
        <f>CT153+(DD153-CT153)*(CZ1-CT1)/(DD1-CT1)</f>
        <v>213449.82681150883</v>
      </c>
      <c r="DA153" s="143">
        <f>CT153+(DD153-CT153)*(DA1-CT1)/(DD1-CT1)</f>
        <v>213031.63128009363</v>
      </c>
      <c r="DB153" s="143">
        <f>CT153+(DD153-CT153)*(DB1-CT1)/(DD1-CT1)</f>
        <v>212613.43574867843</v>
      </c>
      <c r="DC153" s="143">
        <f>CT153+(DD153-CT153)*(DC1-CT1)/(DD1-CT1)</f>
        <v>212195.24021726323</v>
      </c>
      <c r="DD153" s="144">
        <f t="shared" si="17"/>
        <v>211777.04468584803</v>
      </c>
      <c r="DE153" s="143">
        <f>DD153+(DN153-DD153)*(DE1-DD1)/(DN1-DD1)</f>
        <v>211187.31739137892</v>
      </c>
      <c r="DF153" s="143">
        <f>DD153+(DN153-DD153)*(DF1-DD1)/(DN1-DD1)</f>
        <v>210597.59009690981</v>
      </c>
      <c r="DG153" s="143">
        <f>DD153+(DN153-DD153)*(DG1-DD1)/(DN1-DD1)</f>
        <v>210007.86280244071</v>
      </c>
      <c r="DH153" s="143">
        <f>DD153+(DN153-DD153)*(DH1-DD1)/(DN1-DD1)</f>
        <v>209418.1355079716</v>
      </c>
      <c r="DI153" s="143">
        <f>DD153+(DN153-DD153)*(DI1-DD1)/(DN1-DD1)</f>
        <v>208828.40821350249</v>
      </c>
      <c r="DJ153" s="143">
        <f>DD153+(DN153-DD153)*(DJ1-DD1)/(DN1-DD1)</f>
        <v>208238.68091903339</v>
      </c>
      <c r="DK153" s="143">
        <f>DD153+(DN153-DD153)*(DK1-DD1)/(DN1-DD1)</f>
        <v>207648.95362456428</v>
      </c>
      <c r="DL153" s="143">
        <f>DD153+(DN153-DD153)*(DL1-DD1)/(DN1-DD1)</f>
        <v>207059.22633009517</v>
      </c>
      <c r="DM153" s="143">
        <f>DD153+(DN153-DD153)*(DM1-DD1)/(DN1-DD1)</f>
        <v>206469.49903562607</v>
      </c>
      <c r="DN153" s="144">
        <f t="shared" si="18"/>
        <v>205879.77174115696</v>
      </c>
      <c r="DO153" s="143">
        <f>DN153+(DX153-DN153)*(DO1-DN1)/(DX1-DN1)</f>
        <v>205101.22011919616</v>
      </c>
      <c r="DP153" s="143">
        <f>DN153+(DX153-DN153)*(DP1-DN1)/(DX1-DN1)</f>
        <v>204322.6684972354</v>
      </c>
      <c r="DQ153" s="143">
        <f>DN153+(DX153-DN153)*(DQ1-DN1)/(DX1-DN1)</f>
        <v>203544.11687527463</v>
      </c>
      <c r="DR153" s="143">
        <f>DN153+(DX153-DN153)*(DR1-DN1)/(DX1-DN1)</f>
        <v>202765.56525331383</v>
      </c>
      <c r="DS153" s="143">
        <f>DN153+(DX153-DN153)*(DS1-DN1)/(DX1-DN1)</f>
        <v>201987.01363135304</v>
      </c>
      <c r="DT153" s="143">
        <f>DN153+(DX153-DN153)*(DT1-DN1)/(DX1-DN1)</f>
        <v>201208.46200939227</v>
      </c>
      <c r="DU153" s="143">
        <f>DN153+(DX153-DN153)*(DU1-DN1)/(DX1-DN1)</f>
        <v>200429.9103874315</v>
      </c>
      <c r="DV153" s="143">
        <f>DN153+(DX153-DN153)*(DV1-DN1)/(DX1-DN1)</f>
        <v>199651.35876547071</v>
      </c>
      <c r="DW153" s="143">
        <f>DN153+(DX153-DN153)*(DW1-DN1)/(DX1-DN1)</f>
        <v>198872.80714350991</v>
      </c>
      <c r="DX153" s="145">
        <f t="shared" si="19"/>
        <v>198094.25552154914</v>
      </c>
      <c r="DY153" s="140"/>
      <c r="DZ153" s="142">
        <f t="shared" si="20"/>
        <v>210718</v>
      </c>
      <c r="EA153" s="143">
        <f>DZ153+(EE153-DZ153)*(EA1-DZ1)/(EE1-DZ1)</f>
        <v>211766.2</v>
      </c>
      <c r="EB153" s="143">
        <f>DZ153+(EE153-DZ153)*(EB1-DZ1)/(EE1-DZ1)</f>
        <v>212814.4</v>
      </c>
      <c r="EC153" s="143">
        <f>DZ153+(EE153-DZ153)*(EC1-DZ1)/(EE1-DZ1)</f>
        <v>213862.6</v>
      </c>
      <c r="ED153" s="143">
        <f>DZ153+(EE153-DZ153)*(ED1-DZ1)/(EE1-DZ1)</f>
        <v>214910.8</v>
      </c>
      <c r="EE153" s="144">
        <f t="shared" si="21"/>
        <v>215959</v>
      </c>
      <c r="EF153" s="143">
        <f>EE153+(EO153-EE153)*(EF1-EE1)/(EO1-EE1)</f>
        <v>215540.8044685848</v>
      </c>
      <c r="EG153" s="143">
        <f>EE153+(EO153-EE153)*(EG1-EE1)/(EO1-EE1)</f>
        <v>215122.6089371696</v>
      </c>
      <c r="EH153" s="143">
        <f>EE153+(EO153-EE153)*(EH1-EE1)/(EO1-EE1)</f>
        <v>214704.4134057544</v>
      </c>
      <c r="EI153" s="143">
        <f>EE153+(EO153-EE153)*(EI1-EE1)/(EO1-EE1)</f>
        <v>214286.2178743392</v>
      </c>
      <c r="EJ153" s="143">
        <f>EE153+(EO153-EE153)*(EJ1-EE1)/(EO1-EE1)</f>
        <v>213868.02234292403</v>
      </c>
      <c r="EK153" s="143">
        <f>EE153+(EO153-EE153)*(EK1-EE1)/(EO1-EE1)</f>
        <v>213449.82681150883</v>
      </c>
      <c r="EL153" s="143">
        <f>EE153+(EO153-EE153)*(EL1-EE1)/(EO1-EE1)</f>
        <v>213031.63128009363</v>
      </c>
      <c r="EM153" s="143">
        <f>EE153+(EO153-EE153)*(EM1-EE1)/(EO1-EE1)</f>
        <v>212613.43574867843</v>
      </c>
      <c r="EN153" s="143">
        <f>EE153+(EO153-EE153)*(EN1-EE1)/(EO1-EE1)</f>
        <v>212195.24021726323</v>
      </c>
      <c r="EO153" s="144">
        <f t="shared" si="22"/>
        <v>211777.04468584803</v>
      </c>
      <c r="EP153" s="143">
        <f>EO153+(EY153-EO153)*(EP1-EO1)/(EY1-EO1)</f>
        <v>211187.31739137892</v>
      </c>
      <c r="EQ153" s="143">
        <f>EO153+(EY153-EO153)*(EQ1-EO1)/(EY1-EO1)</f>
        <v>210597.59009690981</v>
      </c>
      <c r="ER153" s="143">
        <f>EO153+(EY153-EO153)*(ER1-EO1)/(EY1-EO1)</f>
        <v>210007.86280244071</v>
      </c>
      <c r="ES153" s="143">
        <f>EO153+(EY153-EO153)*(ES1-EO1)/(EY1-EO1)</f>
        <v>209418.1355079716</v>
      </c>
      <c r="ET153" s="143">
        <f>EO153+(EY153-EO153)*(ET1-EO1)/(EY1-EO1)</f>
        <v>208828.40821350249</v>
      </c>
      <c r="EU153" s="143">
        <f>EO153+(EY153-EO153)*(EU1-EO1)/(EY1-EO1)</f>
        <v>208238.68091903339</v>
      </c>
      <c r="EV153" s="143">
        <f>EO153+(EY153-EO153)*(EV1-EO1)/(EY1-EO1)</f>
        <v>207648.95362456428</v>
      </c>
      <c r="EW153" s="143">
        <f>EO153+(EY153-EO153)*(EW1-EO1)/(EY1-EO1)</f>
        <v>207059.22633009517</v>
      </c>
      <c r="EX153" s="143">
        <f>EO153+(EY153-EO153)*(EX1-EO1)/(EY1-EO1)</f>
        <v>206469.49903562607</v>
      </c>
      <c r="EY153" s="144">
        <f t="shared" si="23"/>
        <v>205879.77174115696</v>
      </c>
      <c r="EZ153" s="143">
        <f>EY153+(FI153-EY153)*(EZ1-EY1)/(FI1-EY1)</f>
        <v>205101.22011919616</v>
      </c>
      <c r="FA153" s="143">
        <f>EY153+(FI153-EY153)*(FA1-EY1)/(FI1-EY1)</f>
        <v>204322.6684972354</v>
      </c>
      <c r="FB153" s="143">
        <f>EY153+(FI153-EY153)*(FB1-EY1)/(FI1-EY1)</f>
        <v>203544.11687527463</v>
      </c>
      <c r="FC153" s="143">
        <f>EY153+(FI153-EY153)*(FC1-EY1)/(FI1-EY1)</f>
        <v>202765.56525331383</v>
      </c>
      <c r="FD153" s="143">
        <f>EY153+(FI153-EY153)*(FD1-EY1)/(FI1-EY1)</f>
        <v>201987.01363135304</v>
      </c>
      <c r="FE153" s="143">
        <f>EY153+(FI153-EY153)*(FE1-EY1)/(FI1-EY1)</f>
        <v>201208.46200939227</v>
      </c>
      <c r="FF153" s="143">
        <f>EY153+(FI153-EY153)*(FF1-EY1)/(FI1-EY1)</f>
        <v>200429.9103874315</v>
      </c>
      <c r="FG153" s="143">
        <f>EY153+(FI153-EY153)*(FG1-EY1)/(FI1-EY1)</f>
        <v>199651.35876547071</v>
      </c>
      <c r="FH153" s="143">
        <f>EY153+(FI153-EY153)*(FH1-EY1)/(FI1-EY1)</f>
        <v>198872.80714350991</v>
      </c>
      <c r="FI153" s="145">
        <f t="shared" si="24"/>
        <v>198094.25552154914</v>
      </c>
      <c r="FJ153" s="140"/>
      <c r="FK153" s="142">
        <f t="shared" si="25"/>
        <v>210718</v>
      </c>
      <c r="FL153" s="143">
        <f>FK153+(FP153-FK153)*(FL1-FK1)/(FP1-FK1)</f>
        <v>211766.2</v>
      </c>
      <c r="FM153" s="143">
        <f>FK153+(FP153-FK153)*(FM1-FK1)/(FP1-FK1)</f>
        <v>212814.4</v>
      </c>
      <c r="FN153" s="143">
        <f>FK153+(FP153-FK153)*(FN1-FK1)/(FP1-FK1)</f>
        <v>213862.6</v>
      </c>
      <c r="FO153" s="143">
        <f>FK153+(FP153-FK153)*(FO1-FK1)/(FP1-FK1)</f>
        <v>214910.8</v>
      </c>
      <c r="FP153" s="144">
        <f t="shared" si="26"/>
        <v>215959</v>
      </c>
      <c r="FQ153" s="143">
        <f>FP153+(FZ153-FP153)*(FQ1-FP1)/(FZ1-FP1)</f>
        <v>216629.40102048623</v>
      </c>
      <c r="FR153" s="143">
        <f>FP153+(FZ153-FP153)*(FR1-FP1)/(FZ1-FP1)</f>
        <v>217299.80204097246</v>
      </c>
      <c r="FS153" s="143">
        <f>FP153+(FZ153-FP153)*(FS1-FP1)/(FZ1-FP1)</f>
        <v>217970.20306145868</v>
      </c>
      <c r="FT153" s="143">
        <f>FP153+(FZ153-FP153)*(FT1-FP1)/(FZ1-FP1)</f>
        <v>218640.60408194491</v>
      </c>
      <c r="FU153" s="143">
        <f>FP153+(FZ153-FP153)*(FU1-FP1)/(FZ1-FP1)</f>
        <v>219311.00510243111</v>
      </c>
      <c r="FV153" s="143">
        <f>FP153+(FZ153-FP153)*(FV1-FP1)/(FZ1-FP1)</f>
        <v>219981.40612291734</v>
      </c>
      <c r="FW153" s="143">
        <f>FP153+(FZ153-FP153)*(FW1-FP1)/(FZ1-FP1)</f>
        <v>220651.80714340357</v>
      </c>
      <c r="FX153" s="143">
        <f>FP153+(FZ153-FP153)*(FX1-FP1)/(FZ1-FP1)</f>
        <v>221322.20816388979</v>
      </c>
      <c r="FY153" s="143">
        <f>FP153+(FZ153-FP153)*(FY1-FP1)/(FZ1-FP1)</f>
        <v>221992.60918437602</v>
      </c>
      <c r="FZ153" s="144">
        <f t="shared" si="27"/>
        <v>222663.01020486225</v>
      </c>
      <c r="GA153" s="143">
        <f>FZ153+(GJ153-FZ153)*(GA1-FZ1)/(GJ1-FZ1)</f>
        <v>223155.65087590463</v>
      </c>
      <c r="GB153" s="143">
        <f>FZ153+(GJ153-FZ153)*(GB1-FZ1)/(GJ1-FZ1)</f>
        <v>223648.29154694697</v>
      </c>
      <c r="GC153" s="143">
        <f>FZ153+(GJ153-FZ153)*(GC1-FZ1)/(GJ1-FZ1)</f>
        <v>224140.93221798935</v>
      </c>
      <c r="GD153" s="143">
        <f>FZ153+(GJ153-FZ153)*(GD1-FZ1)/(GJ1-FZ1)</f>
        <v>224633.5728890317</v>
      </c>
      <c r="GE153" s="143">
        <f>FZ153+(GJ153-FZ153)*(GE1-FZ1)/(GJ1-FZ1)</f>
        <v>225126.21356007407</v>
      </c>
      <c r="GF153" s="143">
        <f>FZ153+(GJ153-FZ153)*(GF1-FZ1)/(GJ1-FZ1)</f>
        <v>225618.85423111645</v>
      </c>
      <c r="GG153" s="143">
        <f>FZ153+(GJ153-FZ153)*(GG1-FZ1)/(GJ1-FZ1)</f>
        <v>226111.4949021588</v>
      </c>
      <c r="GH153" s="143">
        <f>FZ153+(GJ153-FZ153)*(GH1-FZ1)/(GJ1-FZ1)</f>
        <v>226604.13557320117</v>
      </c>
      <c r="GI153" s="143">
        <f>FZ153+(GJ153-FZ153)*(GI1-FZ1)/(GJ1-FZ1)</f>
        <v>227096.77624424352</v>
      </c>
      <c r="GJ153" s="144">
        <f t="shared" si="28"/>
        <v>227589.4169152859</v>
      </c>
      <c r="GK153" s="143">
        <f>GJ153+(GT153-GJ153)*(GK1-GJ1)/(GT1-GJ1)</f>
        <v>227854.4053915944</v>
      </c>
      <c r="GL153" s="143">
        <f>GJ153+(GT153-GJ153)*(GL1-GJ1)/(GT1-GJ1)</f>
        <v>228119.39386790289</v>
      </c>
      <c r="GM153" s="143">
        <f>GJ153+(GT153-GJ153)*(GM1-GJ1)/(GT1-GJ1)</f>
        <v>228384.38234421139</v>
      </c>
      <c r="GN153" s="143">
        <f>GJ153+(GT153-GJ153)*(GN1-GJ1)/(GT1-GJ1)</f>
        <v>228649.37082051989</v>
      </c>
      <c r="GO153" s="143">
        <f>GJ153+(GT153-GJ153)*(GO1-GJ1)/(GT1-GJ1)</f>
        <v>228914.35929682839</v>
      </c>
      <c r="GP153" s="143">
        <f>GJ153+(GT153-GJ153)*(GP1-GJ1)/(GT1-GJ1)</f>
        <v>229179.34777313689</v>
      </c>
      <c r="GQ153" s="143">
        <f>GJ153+(GT153-GJ153)*(GQ1-GJ1)/(GT1-GJ1)</f>
        <v>229444.33624944539</v>
      </c>
      <c r="GR153" s="143">
        <f>GJ153+(GT153-GJ153)*(GR1-GJ1)/(GT1-GJ1)</f>
        <v>229709.32472575389</v>
      </c>
      <c r="GS153" s="143">
        <f>GJ153+(GT153-GJ153)*(GS1-GJ1)/(GT1-GJ1)</f>
        <v>229974.31320206239</v>
      </c>
      <c r="GT153" s="145">
        <f t="shared" si="29"/>
        <v>230239.30167837089</v>
      </c>
      <c r="GU153" s="140"/>
      <c r="GV153" s="142">
        <f t="shared" si="30"/>
        <v>210718</v>
      </c>
      <c r="GW153" s="143">
        <f>GV153+(HA153-GV153)*(GW1-GV1)/(HA1-GV1)</f>
        <v>211766.2</v>
      </c>
      <c r="GX153" s="143">
        <f>GV153+(HA153-GV153)*(GX1-GV1)/(HA1-GV1)</f>
        <v>212814.4</v>
      </c>
      <c r="GY153" s="143">
        <f>GV153+(HA153-GV153)*(GY1-GV1)/(HA1-GV1)</f>
        <v>213862.6</v>
      </c>
      <c r="GZ153" s="143">
        <f>GV153+(HA153-GV153)*(GZ1-GV1)/(HA1-GV1)</f>
        <v>214910.8</v>
      </c>
      <c r="HA153" s="144">
        <f t="shared" si="31"/>
        <v>215959</v>
      </c>
      <c r="HB153" s="143">
        <f>HA153+(HK153-HA153)*(HB1-HA1)/(HK1-HA1)</f>
        <v>216629.40102048623</v>
      </c>
      <c r="HC153" s="143">
        <f>HA153+(HK153-HA153)*(HC1-HA1)/(HK1-HA1)</f>
        <v>217299.80204097246</v>
      </c>
      <c r="HD153" s="143">
        <f>HA153+(HK153-HA153)*(HD1-HA1)/(HK1-HA1)</f>
        <v>217970.20306145868</v>
      </c>
      <c r="HE153" s="143">
        <f>HA153+(HK153-HA153)*(HE1-HA1)/(HK1-HA1)</f>
        <v>218640.60408194491</v>
      </c>
      <c r="HF153" s="143">
        <f>HA153+(HK153-HA153)*(HF1-HA1)/(HK1-HA1)</f>
        <v>219311.00510243111</v>
      </c>
      <c r="HG153" s="143">
        <f>HA153+(HK153-HA153)*(HG1-HA1)/(HK1-HA1)</f>
        <v>219981.40612291734</v>
      </c>
      <c r="HH153" s="143">
        <f>HA153+(HK153-HA153)*(HH1-HA1)/(HK1-HA1)</f>
        <v>220651.80714340357</v>
      </c>
      <c r="HI153" s="143">
        <f>HA153+(HK153-HA153)*(HI1-HA1)/(HK1-HA1)</f>
        <v>221322.20816388979</v>
      </c>
      <c r="HJ153" s="143">
        <f>HA153+(HK153-HA153)*(HJ1-HA1)/(HK1-HA1)</f>
        <v>221992.60918437602</v>
      </c>
      <c r="HK153" s="144">
        <f t="shared" si="32"/>
        <v>222663.01020486225</v>
      </c>
      <c r="HL153" s="143">
        <f>HK153+(HU153-HK153)*(HL1-HK1)/(HU1-HK1)</f>
        <v>223155.65087590463</v>
      </c>
      <c r="HM153" s="143">
        <f>HK153+(HU153-HK153)*(HM1-HK1)/(HU1-HK1)</f>
        <v>223648.29154694697</v>
      </c>
      <c r="HN153" s="143">
        <f>HK153+(HU153-HK153)*(HN1-HK1)/(HU1-HK1)</f>
        <v>224140.93221798935</v>
      </c>
      <c r="HO153" s="143">
        <f>HK153+(HU153-HK153)*(HO1-HK1)/(HU1-HK1)</f>
        <v>224633.5728890317</v>
      </c>
      <c r="HP153" s="143">
        <f>HK153+(HU153-HK153)*(HP1-HK1)/(HU1-HK1)</f>
        <v>225126.21356007407</v>
      </c>
      <c r="HQ153" s="143">
        <f>HK153+(HU153-HK153)*(HQ1-HK1)/(HU1-HK1)</f>
        <v>225618.85423111645</v>
      </c>
      <c r="HR153" s="143">
        <f>HK153+(HU153-HK153)*(HR1-HK1)/(HU1-HK1)</f>
        <v>226111.4949021588</v>
      </c>
      <c r="HS153" s="143">
        <f>HK153+(HU153-HK153)*(HS1-HK1)/(HU1-HK1)</f>
        <v>226604.13557320117</v>
      </c>
      <c r="HT153" s="143">
        <f>HK153+(HU153-HK153)*(HT1-HK1)/(HU1-HK1)</f>
        <v>227096.77624424352</v>
      </c>
      <c r="HU153" s="144">
        <f t="shared" si="33"/>
        <v>227589.4169152859</v>
      </c>
      <c r="HV153" s="143">
        <f>HU153+(IE153-HU153)*(HV1-HU1)/(IE1-HU1)</f>
        <v>227854.4053915944</v>
      </c>
      <c r="HW153" s="143">
        <f>HU153+(IE153-HU153)*(HW1-HU1)/(IE1-HU1)</f>
        <v>228119.39386790289</v>
      </c>
      <c r="HX153" s="143">
        <f>HU153+(IE153-HU153)*(HX1-HU1)/(IE1-HU1)</f>
        <v>228384.38234421139</v>
      </c>
      <c r="HY153" s="143">
        <f>HU153+(IE153-HU153)*(HY1-HU1)/(IE1-HU1)</f>
        <v>228649.37082051989</v>
      </c>
      <c r="HZ153" s="143">
        <f>HU153+(IE153-HU153)*(HZ1-HU1)/(IE1-HU1)</f>
        <v>228914.35929682839</v>
      </c>
      <c r="IA153" s="143">
        <f>HU153+(IE153-HU153)*(IA1-HU1)/(IE1-HU1)</f>
        <v>229179.34777313689</v>
      </c>
      <c r="IB153" s="143">
        <f>HU153+(IE153-HU153)*(IB1-HU1)/(IE1-HU1)</f>
        <v>229444.33624944539</v>
      </c>
      <c r="IC153" s="143">
        <f>HU153+(IE153-HU153)*(IC1-HU1)/(IE1-HU1)</f>
        <v>229709.32472575389</v>
      </c>
      <c r="ID153" s="143">
        <f>HU153+(IE153-HU153)*(ID1-HU1)/(IE1-HU1)</f>
        <v>229974.31320206239</v>
      </c>
      <c r="IE153" s="145">
        <f t="shared" si="34"/>
        <v>230239.30167837089</v>
      </c>
      <c r="IF153" s="140"/>
      <c r="IG153" s="146"/>
      <c r="IH153" s="143"/>
      <c r="II153" s="143"/>
      <c r="IJ153" s="143"/>
      <c r="IK153" s="143"/>
      <c r="IL153" s="144">
        <v>196121.59098000301</v>
      </c>
      <c r="IM153" s="143"/>
      <c r="IN153" s="143"/>
      <c r="IO153" s="143"/>
      <c r="IP153" s="143"/>
      <c r="IQ153" s="143"/>
      <c r="IR153" s="143"/>
      <c r="IS153" s="143"/>
      <c r="IT153" s="143"/>
      <c r="IU153" s="143"/>
      <c r="IV153" s="144">
        <v>200877.29572807101</v>
      </c>
      <c r="IW153" s="143"/>
      <c r="IX153" s="143"/>
      <c r="IY153" s="143"/>
      <c r="IZ153" s="143"/>
      <c r="JA153" s="143"/>
      <c r="JB153" s="143"/>
      <c r="JC153" s="143"/>
      <c r="JD153" s="143"/>
      <c r="JE153" s="143"/>
      <c r="JF153" s="144">
        <v>203940.56204198999</v>
      </c>
      <c r="JG153" s="143"/>
      <c r="JH153" s="143"/>
      <c r="JI153" s="143"/>
      <c r="JJ153" s="143"/>
      <c r="JK153" s="143"/>
      <c r="JL153" s="143"/>
      <c r="JM153" s="143"/>
      <c r="JN153" s="143"/>
      <c r="JO153" s="143"/>
      <c r="JP153" s="145">
        <v>202413.22680139399</v>
      </c>
      <c r="JQ153" s="140"/>
      <c r="JR153" s="142"/>
      <c r="JS153" s="143"/>
      <c r="JT153" s="143"/>
      <c r="JU153" s="143"/>
      <c r="JV153" s="143"/>
      <c r="JW153" s="144">
        <v>196121.59098000301</v>
      </c>
      <c r="JX153" s="143">
        <f t="shared" si="35"/>
        <v>196297.10997511449</v>
      </c>
      <c r="JY153" s="143">
        <f t="shared" si="35"/>
        <v>196472.62897022601</v>
      </c>
      <c r="JZ153" s="143">
        <f t="shared" si="35"/>
        <v>196648.1479653375</v>
      </c>
      <c r="KA153" s="143">
        <f t="shared" si="35"/>
        <v>196823.66696044902</v>
      </c>
      <c r="KB153" s="143">
        <f t="shared" si="35"/>
        <v>196999.1859555605</v>
      </c>
      <c r="KC153" s="143">
        <f t="shared" si="35"/>
        <v>197174.70495067199</v>
      </c>
      <c r="KD153" s="143">
        <f t="shared" si="35"/>
        <v>197350.22394578351</v>
      </c>
      <c r="KE153" s="143">
        <f t="shared" si="35"/>
        <v>197525.742940895</v>
      </c>
      <c r="KF153" s="143">
        <f t="shared" si="35"/>
        <v>197701.26193600651</v>
      </c>
      <c r="KG153" s="144">
        <v>197876.780931118</v>
      </c>
      <c r="KH153" s="143">
        <f t="shared" si="36"/>
        <v>198023.0350628997</v>
      </c>
      <c r="KI153" s="143">
        <f t="shared" si="36"/>
        <v>198169.28919468139</v>
      </c>
      <c r="KJ153" s="143">
        <f t="shared" si="36"/>
        <v>198315.54332646311</v>
      </c>
      <c r="KK153" s="143">
        <f t="shared" si="36"/>
        <v>198461.79745824481</v>
      </c>
      <c r="KL153" s="143">
        <f t="shared" si="36"/>
        <v>198608.0515900265</v>
      </c>
      <c r="KM153" s="143">
        <f t="shared" si="36"/>
        <v>198754.3057218082</v>
      </c>
      <c r="KN153" s="143">
        <f t="shared" si="36"/>
        <v>198900.55985358989</v>
      </c>
      <c r="KO153" s="143">
        <f t="shared" si="36"/>
        <v>199046.81398537161</v>
      </c>
      <c r="KP153" s="143">
        <f t="shared" si="36"/>
        <v>199193.06811715331</v>
      </c>
      <c r="KQ153" s="144">
        <v>199339.322248935</v>
      </c>
      <c r="KR153" s="143">
        <f t="shared" si="37"/>
        <v>199057.0816124086</v>
      </c>
      <c r="KS153" s="143">
        <f t="shared" si="37"/>
        <v>198774.84097588219</v>
      </c>
      <c r="KT153" s="143">
        <f t="shared" si="37"/>
        <v>198492.60033935579</v>
      </c>
      <c r="KU153" s="143">
        <f t="shared" si="37"/>
        <v>198210.35970282939</v>
      </c>
      <c r="KV153" s="143">
        <f t="shared" si="37"/>
        <v>197928.11906630301</v>
      </c>
      <c r="KW153" s="143">
        <f t="shared" si="37"/>
        <v>197645.87842977661</v>
      </c>
      <c r="KX153" s="143">
        <f t="shared" si="37"/>
        <v>197363.63779325021</v>
      </c>
      <c r="KY153" s="143">
        <f t="shared" si="37"/>
        <v>197081.3971567238</v>
      </c>
      <c r="KZ153" s="143">
        <f t="shared" si="37"/>
        <v>196799.1565201974</v>
      </c>
      <c r="LA153" s="145">
        <v>196516.915883671</v>
      </c>
      <c r="LB153" s="140"/>
      <c r="LC153" s="142"/>
      <c r="LD153" s="143"/>
      <c r="LE153" s="143"/>
      <c r="LF153" s="143"/>
      <c r="LG153" s="143"/>
      <c r="LH153" s="144"/>
      <c r="LI153" s="143"/>
      <c r="LJ153" s="143"/>
      <c r="LK153" s="143"/>
      <c r="LL153" s="143"/>
      <c r="LM153" s="143"/>
      <c r="LN153" s="143"/>
      <c r="LO153" s="143"/>
      <c r="LP153" s="143"/>
      <c r="LQ153" s="143"/>
      <c r="LR153" s="144"/>
      <c r="LS153" s="143"/>
      <c r="LT153" s="143"/>
      <c r="LU153" s="143"/>
      <c r="LV153" s="143"/>
      <c r="LW153" s="143"/>
      <c r="LX153" s="143"/>
      <c r="LY153" s="143"/>
      <c r="LZ153" s="143"/>
      <c r="MA153" s="143"/>
      <c r="MB153" s="144"/>
      <c r="MC153" s="143"/>
      <c r="MD153" s="143"/>
      <c r="ME153" s="143"/>
      <c r="MF153" s="143"/>
      <c r="MG153" s="143"/>
      <c r="MH153" s="143"/>
      <c r="MI153" s="143"/>
      <c r="MJ153" s="143"/>
      <c r="MK153" s="143"/>
      <c r="ML153" s="145"/>
    </row>
    <row r="154" spans="2:350" s="4" customFormat="1" ht="18" customHeight="1" x14ac:dyDescent="0.3">
      <c r="C154" s="136" t="s">
        <v>79</v>
      </c>
      <c r="E154" s="137" t="s">
        <v>105</v>
      </c>
      <c r="F154" s="138" t="s">
        <v>105</v>
      </c>
      <c r="H154" s="139"/>
      <c r="I154" s="140"/>
      <c r="J154" s="140"/>
      <c r="K154" s="140"/>
      <c r="L154" s="140"/>
      <c r="M154" s="140"/>
      <c r="N154" s="140"/>
      <c r="O154" s="140"/>
      <c r="P154" s="140"/>
      <c r="Q154" s="141"/>
      <c r="R154" s="140"/>
      <c r="S154" s="139"/>
      <c r="T154" s="140"/>
      <c r="U154" s="140"/>
      <c r="V154" s="140"/>
      <c r="W154" s="140"/>
      <c r="X154" s="140"/>
      <c r="Y154" s="140"/>
      <c r="Z154" s="140"/>
      <c r="AA154" s="140"/>
      <c r="AB154" s="140"/>
      <c r="AC154" s="140"/>
      <c r="AD154" s="140"/>
      <c r="AE154" s="140"/>
      <c r="AF154" s="140"/>
      <c r="AG154" s="140"/>
      <c r="AH154" s="140"/>
      <c r="AI154" s="140"/>
      <c r="AJ154" s="140"/>
      <c r="AK154" s="140"/>
      <c r="AL154" s="140"/>
      <c r="AM154" s="140"/>
      <c r="AN154" s="140"/>
      <c r="AO154" s="140"/>
      <c r="AP154" s="140"/>
      <c r="AQ154" s="140"/>
      <c r="AR154" s="140"/>
      <c r="AS154" s="140"/>
      <c r="AT154" s="140"/>
      <c r="AU154" s="140"/>
      <c r="AV154" s="140"/>
      <c r="AW154" s="140"/>
      <c r="AX154" s="140"/>
      <c r="AY154" s="140"/>
      <c r="AZ154" s="140"/>
      <c r="BA154" s="140"/>
      <c r="BB154" s="141"/>
      <c r="BC154" s="140"/>
      <c r="BD154" s="142">
        <f t="shared" si="10"/>
        <v>186911</v>
      </c>
      <c r="BE154" s="143">
        <f>BD154+(BI154-BD154)*(BE1-BD1)/(BI1-BD1)</f>
        <v>187698.8</v>
      </c>
      <c r="BF154" s="143">
        <f>BD154+(BI154-BD154)*(BF1-BD1)/(BI1-BD1)</f>
        <v>188486.6</v>
      </c>
      <c r="BG154" s="143">
        <f>BD154+(BI154-BD154)*(BG1-BD1)/(BI1-BD1)</f>
        <v>189274.4</v>
      </c>
      <c r="BH154" s="143">
        <f>BD154+(BI154-BD154)*(BH1-BD1)/(BI1-BD1)</f>
        <v>190062.2</v>
      </c>
      <c r="BI154" s="144">
        <f t="shared" si="11"/>
        <v>190850</v>
      </c>
      <c r="BJ154" s="143">
        <f>BI154+(BS154-BI154)*(BJ1-BI1)/(BS1-BI1)</f>
        <v>190986.42001854643</v>
      </c>
      <c r="BK154" s="143">
        <f>BI154+(BS154-BI154)*(BK1-BI1)/(BS1-BI1)</f>
        <v>191122.84003709283</v>
      </c>
      <c r="BL154" s="143">
        <f>BI154+(BS154-BI154)*(BL1-BI1)/(BS1-BI1)</f>
        <v>191259.26005563926</v>
      </c>
      <c r="BM154" s="143">
        <f>BI154+(BS154-BI154)*(BM1-BI1)/(BS1-BI1)</f>
        <v>191395.68007418566</v>
      </c>
      <c r="BN154" s="143">
        <f>BI154+(BS154-BI154)*(BN1-BI1)/(BS1-BI1)</f>
        <v>191532.10009273209</v>
      </c>
      <c r="BO154" s="143">
        <f>BI154+(BS154-BI154)*(BO1-BI1)/(BS1-BI1)</f>
        <v>191668.52011127851</v>
      </c>
      <c r="BP154" s="143">
        <f>BI154+(BS154-BI154)*(BP1-BI1)/(BS1-BI1)</f>
        <v>191804.94012982491</v>
      </c>
      <c r="BQ154" s="143">
        <f>BI154+(BS154-BI154)*(BQ1-BI1)/(BS1-BI1)</f>
        <v>191941.36014837134</v>
      </c>
      <c r="BR154" s="143">
        <f>BI154+(BS154-BI154)*(BR1-BI1)/(BS1-BI1)</f>
        <v>192077.78016691774</v>
      </c>
      <c r="BS154" s="144">
        <f t="shared" si="12"/>
        <v>192214.20018546417</v>
      </c>
      <c r="BT154" s="143">
        <f>BS154+(CC154-BS154)*(BT1-BS1)/(CC1-BS1)</f>
        <v>193211.90910061414</v>
      </c>
      <c r="BU154" s="143">
        <f>BS154+(CC154-BS154)*(BU1-BS1)/(CC1-BS1)</f>
        <v>194209.61801576414</v>
      </c>
      <c r="BV154" s="143">
        <f>BS154+(CC154-BS154)*(BV1-BS1)/(CC1-BS1)</f>
        <v>195207.3269309141</v>
      </c>
      <c r="BW154" s="143">
        <f>BS154+(CC154-BS154)*(BW1-BS1)/(CC1-BS1)</f>
        <v>196205.03584606407</v>
      </c>
      <c r="BX154" s="143">
        <f>BS154+(CC154-BS154)*(BX1-BS1)/(CC1-BS1)</f>
        <v>197202.74476121407</v>
      </c>
      <c r="BY154" s="143">
        <f>BS154+(CC154-BS154)*(BY1-BS1)/(CC1-BS1)</f>
        <v>198200.45367636404</v>
      </c>
      <c r="BZ154" s="143">
        <f>BS154+(CC154-BS154)*(BZ1-BS1)/(CC1-BS1)</f>
        <v>199198.162591514</v>
      </c>
      <c r="CA154" s="143">
        <f>BS154+(CC154-BS154)*(CA1-BS1)/(CC1-BS1)</f>
        <v>200195.87150666397</v>
      </c>
      <c r="CB154" s="143">
        <f>BS154+(CC154-BS154)*(CB1-BS1)/(CC1-BS1)</f>
        <v>201193.58042181397</v>
      </c>
      <c r="CC154" s="144">
        <f t="shared" si="13"/>
        <v>202191.28933696394</v>
      </c>
      <c r="CD154" s="143">
        <f>CC154+(CM154-CC154)*(CD1-CC1)/(CM1-CC1)</f>
        <v>203469.23580647577</v>
      </c>
      <c r="CE154" s="143">
        <f>CC154+(CM154-CC154)*(CE1-CC1)/(CM1-CC1)</f>
        <v>204747.18227598758</v>
      </c>
      <c r="CF154" s="143">
        <f>CC154+(CM154-CC154)*(CF1-CC1)/(CM1-CC1)</f>
        <v>206025.12874549942</v>
      </c>
      <c r="CG154" s="143">
        <f>CC154+(CM154-CC154)*(CG1-CC1)/(CM1-CC1)</f>
        <v>207303.07521501122</v>
      </c>
      <c r="CH154" s="143">
        <f>CC154+(CM154-CC154)*(CH1-CC1)/(CM1-CC1)</f>
        <v>208581.02168452306</v>
      </c>
      <c r="CI154" s="143">
        <f>CC154+(CM154-CC154)*(CI1-CC1)/(CM1-CC1)</f>
        <v>209858.9681540349</v>
      </c>
      <c r="CJ154" s="143">
        <f>CC154+(CM154-CC154)*(CJ1-CC1)/(CM1-CC1)</f>
        <v>211136.91462354671</v>
      </c>
      <c r="CK154" s="143">
        <f>CC154+(CM154-CC154)*(CK1-CC1)/(CM1-CC1)</f>
        <v>212414.86109305854</v>
      </c>
      <c r="CL154" s="143">
        <f>CC154+(CM154-CC154)*(CL1-CC1)/(CM1-CC1)</f>
        <v>213692.80756257035</v>
      </c>
      <c r="CM154" s="145">
        <f t="shared" si="14"/>
        <v>214970.75403208219</v>
      </c>
      <c r="CN154" s="140"/>
      <c r="CO154" s="142">
        <f t="shared" si="15"/>
        <v>186911</v>
      </c>
      <c r="CP154" s="143">
        <f>CO154+(CT154-CO154)*(CP1-CO1)/(CT1-CO1)</f>
        <v>187698.8</v>
      </c>
      <c r="CQ154" s="143">
        <f>CO154+(CT154-CO154)*(CQ1-CO1)/(CT1-CO1)</f>
        <v>188486.6</v>
      </c>
      <c r="CR154" s="143">
        <f>CO154+(CT154-CO154)*(CR1-CO1)/(CT1-CO1)</f>
        <v>189274.4</v>
      </c>
      <c r="CS154" s="143">
        <f>CO154+(CT154-CO154)*(CS1-CO1)/(CT1-CO1)</f>
        <v>190062.2</v>
      </c>
      <c r="CT154" s="144">
        <f t="shared" si="16"/>
        <v>190850</v>
      </c>
      <c r="CU154" s="143">
        <f>CT154+(DD154-CT154)*(CU1-CT1)/(DD1-CT1)</f>
        <v>187590.58586951453</v>
      </c>
      <c r="CV154" s="143">
        <f>CT154+(DD154-CT154)*(CV1-CT1)/(DD1-CT1)</f>
        <v>184331.17173902906</v>
      </c>
      <c r="CW154" s="143">
        <f>CT154+(DD154-CT154)*(CW1-CT1)/(DD1-CT1)</f>
        <v>181071.75760854356</v>
      </c>
      <c r="CX154" s="143">
        <f>CT154+(DD154-CT154)*(CX1-CT1)/(DD1-CT1)</f>
        <v>177812.34347805809</v>
      </c>
      <c r="CY154" s="143">
        <f>CT154+(DD154-CT154)*(CY1-CT1)/(DD1-CT1)</f>
        <v>174552.92934757262</v>
      </c>
      <c r="CZ154" s="143">
        <f>CT154+(DD154-CT154)*(CZ1-CT1)/(DD1-CT1)</f>
        <v>171293.51521708714</v>
      </c>
      <c r="DA154" s="143">
        <f>CT154+(DD154-CT154)*(DA1-CT1)/(DD1-CT1)</f>
        <v>168034.10108660167</v>
      </c>
      <c r="DB154" s="143">
        <f>CT154+(DD154-CT154)*(DB1-CT1)/(DD1-CT1)</f>
        <v>164774.68695611617</v>
      </c>
      <c r="DC154" s="143">
        <f>CT154+(DD154-CT154)*(DC1-CT1)/(DD1-CT1)</f>
        <v>161515.2728256307</v>
      </c>
      <c r="DD154" s="144">
        <f t="shared" si="17"/>
        <v>158255.85869514523</v>
      </c>
      <c r="DE154" s="143">
        <f>DD154+(DN154-DD154)*(DE1-DD1)/(DN1-DD1)</f>
        <v>156136.28450296752</v>
      </c>
      <c r="DF154" s="143">
        <f>DD154+(DN154-DD154)*(DF1-DD1)/(DN1-DD1)</f>
        <v>154016.71031078981</v>
      </c>
      <c r="DG154" s="143">
        <f>DD154+(DN154-DD154)*(DG1-DD1)/(DN1-DD1)</f>
        <v>151897.13611861211</v>
      </c>
      <c r="DH154" s="143">
        <f>DD154+(DN154-DD154)*(DH1-DD1)/(DN1-DD1)</f>
        <v>149777.5619264344</v>
      </c>
      <c r="DI154" s="143">
        <f>DD154+(DN154-DD154)*(DI1-DD1)/(DN1-DD1)</f>
        <v>147657.98773425669</v>
      </c>
      <c r="DJ154" s="143">
        <f>DD154+(DN154-DD154)*(DJ1-DD1)/(DN1-DD1)</f>
        <v>145538.41354207898</v>
      </c>
      <c r="DK154" s="143">
        <f>DD154+(DN154-DD154)*(DK1-DD1)/(DN1-DD1)</f>
        <v>143418.83934990127</v>
      </c>
      <c r="DL154" s="143">
        <f>DD154+(DN154-DD154)*(DL1-DD1)/(DN1-DD1)</f>
        <v>141299.26515772357</v>
      </c>
      <c r="DM154" s="143">
        <f>DD154+(DN154-DD154)*(DM1-DD1)/(DN1-DD1)</f>
        <v>139179.69096554586</v>
      </c>
      <c r="DN154" s="144">
        <f t="shared" si="18"/>
        <v>137060.11677336815</v>
      </c>
      <c r="DO154" s="143">
        <f>DN154+(DX154-DN154)*(DO1-DN1)/(DX1-DN1)</f>
        <v>135351.92568868108</v>
      </c>
      <c r="DP154" s="143">
        <f>DN154+(DX154-DN154)*(DP1-DN1)/(DX1-DN1)</f>
        <v>133643.73460399397</v>
      </c>
      <c r="DQ154" s="143">
        <f>DN154+(DX154-DN154)*(DQ1-DN1)/(DX1-DN1)</f>
        <v>131935.5435193069</v>
      </c>
      <c r="DR154" s="143">
        <f>DN154+(DX154-DN154)*(DR1-DN1)/(DX1-DN1)</f>
        <v>130227.35243461981</v>
      </c>
      <c r="DS154" s="143">
        <f>DN154+(DX154-DN154)*(DS1-DN1)/(DX1-DN1)</f>
        <v>128519.16134993272</v>
      </c>
      <c r="DT154" s="143">
        <f>DN154+(DX154-DN154)*(DT1-DN1)/(DX1-DN1)</f>
        <v>126810.97026524563</v>
      </c>
      <c r="DU154" s="143">
        <f>DN154+(DX154-DN154)*(DU1-DN1)/(DX1-DN1)</f>
        <v>125102.77918055854</v>
      </c>
      <c r="DV154" s="143">
        <f>DN154+(DX154-DN154)*(DV1-DN1)/(DX1-DN1)</f>
        <v>123394.58809587147</v>
      </c>
      <c r="DW154" s="143">
        <f>DN154+(DX154-DN154)*(DW1-DN1)/(DX1-DN1)</f>
        <v>121686.39701118438</v>
      </c>
      <c r="DX154" s="145">
        <f t="shared" si="19"/>
        <v>119978.20592649729</v>
      </c>
      <c r="DY154" s="140"/>
      <c r="DZ154" s="142">
        <f t="shared" si="20"/>
        <v>186911</v>
      </c>
      <c r="EA154" s="143">
        <f>DZ154+(EE154-DZ154)*(EA1-DZ1)/(EE1-DZ1)</f>
        <v>187698.8</v>
      </c>
      <c r="EB154" s="143">
        <f>DZ154+(EE154-DZ154)*(EB1-DZ1)/(EE1-DZ1)</f>
        <v>188486.6</v>
      </c>
      <c r="EC154" s="143">
        <f>DZ154+(EE154-DZ154)*(EC1-DZ1)/(EE1-DZ1)</f>
        <v>189274.4</v>
      </c>
      <c r="ED154" s="143">
        <f>DZ154+(EE154-DZ154)*(ED1-DZ1)/(EE1-DZ1)</f>
        <v>190062.2</v>
      </c>
      <c r="EE154" s="144">
        <f t="shared" si="21"/>
        <v>190850</v>
      </c>
      <c r="EF154" s="143">
        <f>EE154+(EO154-EE154)*(EF1-EE1)/(EO1-EE1)</f>
        <v>187590.58586951453</v>
      </c>
      <c r="EG154" s="143">
        <f>EE154+(EO154-EE154)*(EG1-EE1)/(EO1-EE1)</f>
        <v>184331.17173902906</v>
      </c>
      <c r="EH154" s="143">
        <f>EE154+(EO154-EE154)*(EH1-EE1)/(EO1-EE1)</f>
        <v>181071.75760854356</v>
      </c>
      <c r="EI154" s="143">
        <f>EE154+(EO154-EE154)*(EI1-EE1)/(EO1-EE1)</f>
        <v>177812.34347805809</v>
      </c>
      <c r="EJ154" s="143">
        <f>EE154+(EO154-EE154)*(EJ1-EE1)/(EO1-EE1)</f>
        <v>174552.92934757262</v>
      </c>
      <c r="EK154" s="143">
        <f>EE154+(EO154-EE154)*(EK1-EE1)/(EO1-EE1)</f>
        <v>171293.51521708714</v>
      </c>
      <c r="EL154" s="143">
        <f>EE154+(EO154-EE154)*(EL1-EE1)/(EO1-EE1)</f>
        <v>168034.10108660167</v>
      </c>
      <c r="EM154" s="143">
        <f>EE154+(EO154-EE154)*(EM1-EE1)/(EO1-EE1)</f>
        <v>164774.68695611617</v>
      </c>
      <c r="EN154" s="143">
        <f>EE154+(EO154-EE154)*(EN1-EE1)/(EO1-EE1)</f>
        <v>161515.2728256307</v>
      </c>
      <c r="EO154" s="144">
        <f t="shared" si="22"/>
        <v>158255.85869514523</v>
      </c>
      <c r="EP154" s="143">
        <f>EO154+(EY154-EO154)*(EP1-EO1)/(EY1-EO1)</f>
        <v>156136.28450296752</v>
      </c>
      <c r="EQ154" s="143">
        <f>EO154+(EY154-EO154)*(EQ1-EO1)/(EY1-EO1)</f>
        <v>154016.71031078981</v>
      </c>
      <c r="ER154" s="143">
        <f>EO154+(EY154-EO154)*(ER1-EO1)/(EY1-EO1)</f>
        <v>151897.13611861211</v>
      </c>
      <c r="ES154" s="143">
        <f>EO154+(EY154-EO154)*(ES1-EO1)/(EY1-EO1)</f>
        <v>149777.5619264344</v>
      </c>
      <c r="ET154" s="143">
        <f>EO154+(EY154-EO154)*(ET1-EO1)/(EY1-EO1)</f>
        <v>147657.98773425669</v>
      </c>
      <c r="EU154" s="143">
        <f>EO154+(EY154-EO154)*(EU1-EO1)/(EY1-EO1)</f>
        <v>145538.41354207898</v>
      </c>
      <c r="EV154" s="143">
        <f>EO154+(EY154-EO154)*(EV1-EO1)/(EY1-EO1)</f>
        <v>143418.83934990127</v>
      </c>
      <c r="EW154" s="143">
        <f>EO154+(EY154-EO154)*(EW1-EO1)/(EY1-EO1)</f>
        <v>141299.26515772357</v>
      </c>
      <c r="EX154" s="143">
        <f>EO154+(EY154-EO154)*(EX1-EO1)/(EY1-EO1)</f>
        <v>139179.69096554586</v>
      </c>
      <c r="EY154" s="144">
        <f t="shared" si="23"/>
        <v>137060.11677336815</v>
      </c>
      <c r="EZ154" s="143">
        <f>EY154+(FI154-EY154)*(EZ1-EY1)/(FI1-EY1)</f>
        <v>135351.92568868108</v>
      </c>
      <c r="FA154" s="143">
        <f>EY154+(FI154-EY154)*(FA1-EY1)/(FI1-EY1)</f>
        <v>133643.73460399397</v>
      </c>
      <c r="FB154" s="143">
        <f>EY154+(FI154-EY154)*(FB1-EY1)/(FI1-EY1)</f>
        <v>131935.5435193069</v>
      </c>
      <c r="FC154" s="143">
        <f>EY154+(FI154-EY154)*(FC1-EY1)/(FI1-EY1)</f>
        <v>130227.35243461981</v>
      </c>
      <c r="FD154" s="143">
        <f>EY154+(FI154-EY154)*(FD1-EY1)/(FI1-EY1)</f>
        <v>128519.16134993272</v>
      </c>
      <c r="FE154" s="143">
        <f>EY154+(FI154-EY154)*(FE1-EY1)/(FI1-EY1)</f>
        <v>126810.97026524563</v>
      </c>
      <c r="FF154" s="143">
        <f>EY154+(FI154-EY154)*(FF1-EY1)/(FI1-EY1)</f>
        <v>125102.77918055854</v>
      </c>
      <c r="FG154" s="143">
        <f>EY154+(FI154-EY154)*(FG1-EY1)/(FI1-EY1)</f>
        <v>123394.58809587147</v>
      </c>
      <c r="FH154" s="143">
        <f>EY154+(FI154-EY154)*(FH1-EY1)/(FI1-EY1)</f>
        <v>121686.39701118438</v>
      </c>
      <c r="FI154" s="145">
        <f t="shared" si="24"/>
        <v>119978.20592649729</v>
      </c>
      <c r="FJ154" s="140"/>
      <c r="FK154" s="142">
        <f t="shared" si="25"/>
        <v>186911</v>
      </c>
      <c r="FL154" s="143">
        <f>FK154+(FP154-FK154)*(FL1-FK1)/(FP1-FK1)</f>
        <v>187698.8</v>
      </c>
      <c r="FM154" s="143">
        <f>FK154+(FP154-FK154)*(FM1-FK1)/(FP1-FK1)</f>
        <v>188486.6</v>
      </c>
      <c r="FN154" s="143">
        <f>FK154+(FP154-FK154)*(FN1-FK1)/(FP1-FK1)</f>
        <v>189274.4</v>
      </c>
      <c r="FO154" s="143">
        <f>FK154+(FP154-FK154)*(FO1-FK1)/(FP1-FK1)</f>
        <v>190062.2</v>
      </c>
      <c r="FP154" s="144">
        <f t="shared" si="26"/>
        <v>190850</v>
      </c>
      <c r="FQ154" s="143">
        <f>FP154+(FZ154-FP154)*(FQ1-FP1)/(FZ1-FP1)</f>
        <v>189531.13918795896</v>
      </c>
      <c r="FR154" s="143">
        <f>FP154+(FZ154-FP154)*(FR1-FP1)/(FZ1-FP1)</f>
        <v>188212.2783759179</v>
      </c>
      <c r="FS154" s="143">
        <f>FP154+(FZ154-FP154)*(FS1-FP1)/(FZ1-FP1)</f>
        <v>186893.41756387686</v>
      </c>
      <c r="FT154" s="143">
        <f>FP154+(FZ154-FP154)*(FT1-FP1)/(FZ1-FP1)</f>
        <v>185574.5567518358</v>
      </c>
      <c r="FU154" s="143">
        <f>FP154+(FZ154-FP154)*(FU1-FP1)/(FZ1-FP1)</f>
        <v>184255.69593979476</v>
      </c>
      <c r="FV154" s="143">
        <f>FP154+(FZ154-FP154)*(FV1-FP1)/(FZ1-FP1)</f>
        <v>182936.83512775373</v>
      </c>
      <c r="FW154" s="143">
        <f>FP154+(FZ154-FP154)*(FW1-FP1)/(FZ1-FP1)</f>
        <v>181617.97431571266</v>
      </c>
      <c r="FX154" s="143">
        <f>FP154+(FZ154-FP154)*(FX1-FP1)/(FZ1-FP1)</f>
        <v>180299.11350367163</v>
      </c>
      <c r="FY154" s="143">
        <f>FP154+(FZ154-FP154)*(FY1-FP1)/(FZ1-FP1)</f>
        <v>178980.25269163057</v>
      </c>
      <c r="FZ154" s="144">
        <f t="shared" si="27"/>
        <v>177661.39187958953</v>
      </c>
      <c r="GA154" s="143">
        <f>FZ154+(GJ154-FZ154)*(GA1-FZ1)/(GJ1-FZ1)</f>
        <v>177168.64451453777</v>
      </c>
      <c r="GB154" s="143">
        <f>FZ154+(GJ154-FZ154)*(GB1-FZ1)/(GJ1-FZ1)</f>
        <v>176675.897149486</v>
      </c>
      <c r="GC154" s="143">
        <f>FZ154+(GJ154-FZ154)*(GC1-FZ1)/(GJ1-FZ1)</f>
        <v>176183.14978443424</v>
      </c>
      <c r="GD154" s="143">
        <f>FZ154+(GJ154-FZ154)*(GD1-FZ1)/(GJ1-FZ1)</f>
        <v>175690.40241938247</v>
      </c>
      <c r="GE154" s="143">
        <f>FZ154+(GJ154-FZ154)*(GE1-FZ1)/(GJ1-FZ1)</f>
        <v>175197.65505433071</v>
      </c>
      <c r="GF154" s="143">
        <f>FZ154+(GJ154-FZ154)*(GF1-FZ1)/(GJ1-FZ1)</f>
        <v>174704.90768927895</v>
      </c>
      <c r="GG154" s="143">
        <f>FZ154+(GJ154-FZ154)*(GG1-FZ1)/(GJ1-FZ1)</f>
        <v>174212.16032422718</v>
      </c>
      <c r="GH154" s="143">
        <f>FZ154+(GJ154-FZ154)*(GH1-FZ1)/(GJ1-FZ1)</f>
        <v>173719.41295917542</v>
      </c>
      <c r="GI154" s="143">
        <f>FZ154+(GJ154-FZ154)*(GI1-FZ1)/(GJ1-FZ1)</f>
        <v>173226.66559412365</v>
      </c>
      <c r="GJ154" s="144">
        <f t="shared" si="28"/>
        <v>172733.91822907189</v>
      </c>
      <c r="GK154" s="143">
        <f>GJ154+(GT154-GJ154)*(GK1-GJ1)/(GT1-GJ1)</f>
        <v>172435.22822107206</v>
      </c>
      <c r="GL154" s="143">
        <f>GJ154+(GT154-GJ154)*(GL1-GJ1)/(GT1-GJ1)</f>
        <v>172136.53821307226</v>
      </c>
      <c r="GM154" s="143">
        <f>GJ154+(GT154-GJ154)*(GM1-GJ1)/(GT1-GJ1)</f>
        <v>171837.84820507243</v>
      </c>
      <c r="GN154" s="143">
        <f>GJ154+(GT154-GJ154)*(GN1-GJ1)/(GT1-GJ1)</f>
        <v>171539.1581970726</v>
      </c>
      <c r="GO154" s="143">
        <f>GJ154+(GT154-GJ154)*(GO1-GJ1)/(GT1-GJ1)</f>
        <v>171240.4681890728</v>
      </c>
      <c r="GP154" s="143">
        <f>GJ154+(GT154-GJ154)*(GP1-GJ1)/(GT1-GJ1)</f>
        <v>170941.77818107296</v>
      </c>
      <c r="GQ154" s="143">
        <f>GJ154+(GT154-GJ154)*(GQ1-GJ1)/(GT1-GJ1)</f>
        <v>170643.08817307313</v>
      </c>
      <c r="GR154" s="143">
        <f>GJ154+(GT154-GJ154)*(GR1-GJ1)/(GT1-GJ1)</f>
        <v>170344.3981650733</v>
      </c>
      <c r="GS154" s="143">
        <f>GJ154+(GT154-GJ154)*(GS1-GJ1)/(GT1-GJ1)</f>
        <v>170045.7081570735</v>
      </c>
      <c r="GT154" s="145">
        <f t="shared" si="29"/>
        <v>169747.01814907367</v>
      </c>
      <c r="GU154" s="140"/>
      <c r="GV154" s="142">
        <f t="shared" si="30"/>
        <v>186911</v>
      </c>
      <c r="GW154" s="143">
        <f>GV154+(HA154-GV154)*(GW1-GV1)/(HA1-GV1)</f>
        <v>187698.8</v>
      </c>
      <c r="GX154" s="143">
        <f>GV154+(HA154-GV154)*(GX1-GV1)/(HA1-GV1)</f>
        <v>188486.6</v>
      </c>
      <c r="GY154" s="143">
        <f>GV154+(HA154-GV154)*(GY1-GV1)/(HA1-GV1)</f>
        <v>189274.4</v>
      </c>
      <c r="GZ154" s="143">
        <f>GV154+(HA154-GV154)*(GZ1-GV1)/(HA1-GV1)</f>
        <v>190062.2</v>
      </c>
      <c r="HA154" s="144">
        <f t="shared" si="31"/>
        <v>190850</v>
      </c>
      <c r="HB154" s="143">
        <f>HA154+(HK154-HA154)*(HB1-HA1)/(HK1-HA1)</f>
        <v>190986.42001854643</v>
      </c>
      <c r="HC154" s="143">
        <f>HA154+(HK154-HA154)*(HC1-HA1)/(HK1-HA1)</f>
        <v>191122.84003709283</v>
      </c>
      <c r="HD154" s="143">
        <f>HA154+(HK154-HA154)*(HD1-HA1)/(HK1-HA1)</f>
        <v>191259.26005563926</v>
      </c>
      <c r="HE154" s="143">
        <f>HA154+(HK154-HA154)*(HE1-HA1)/(HK1-HA1)</f>
        <v>191395.68007418566</v>
      </c>
      <c r="HF154" s="143">
        <f>HA154+(HK154-HA154)*(HF1-HA1)/(HK1-HA1)</f>
        <v>191532.10009273209</v>
      </c>
      <c r="HG154" s="143">
        <f>HA154+(HK154-HA154)*(HG1-HA1)/(HK1-HA1)</f>
        <v>191668.52011127851</v>
      </c>
      <c r="HH154" s="143">
        <f>HA154+(HK154-HA154)*(HH1-HA1)/(HK1-HA1)</f>
        <v>191804.94012982491</v>
      </c>
      <c r="HI154" s="143">
        <f>HA154+(HK154-HA154)*(HI1-HA1)/(HK1-HA1)</f>
        <v>191941.36014837134</v>
      </c>
      <c r="HJ154" s="143">
        <f>HA154+(HK154-HA154)*(HJ1-HA1)/(HK1-HA1)</f>
        <v>192077.78016691774</v>
      </c>
      <c r="HK154" s="144">
        <f t="shared" si="32"/>
        <v>192214.20018546417</v>
      </c>
      <c r="HL154" s="143">
        <f>HK154+(HU154-HK154)*(HL1-HK1)/(HU1-HK1)</f>
        <v>193211.90910061414</v>
      </c>
      <c r="HM154" s="143">
        <f>HK154+(HU154-HK154)*(HM1-HK1)/(HU1-HK1)</f>
        <v>194209.61801576414</v>
      </c>
      <c r="HN154" s="143">
        <f>HK154+(HU154-HK154)*(HN1-HK1)/(HU1-HK1)</f>
        <v>195207.3269309141</v>
      </c>
      <c r="HO154" s="143">
        <f>HK154+(HU154-HK154)*(HO1-HK1)/(HU1-HK1)</f>
        <v>196205.03584606407</v>
      </c>
      <c r="HP154" s="143">
        <f>HK154+(HU154-HK154)*(HP1-HK1)/(HU1-HK1)</f>
        <v>197202.74476121407</v>
      </c>
      <c r="HQ154" s="143">
        <f>HK154+(HU154-HK154)*(HQ1-HK1)/(HU1-HK1)</f>
        <v>198200.45367636404</v>
      </c>
      <c r="HR154" s="143">
        <f>HK154+(HU154-HK154)*(HR1-HK1)/(HU1-HK1)</f>
        <v>199198.162591514</v>
      </c>
      <c r="HS154" s="143">
        <f>HK154+(HU154-HK154)*(HS1-HK1)/(HU1-HK1)</f>
        <v>200195.87150666397</v>
      </c>
      <c r="HT154" s="143">
        <f>HK154+(HU154-HK154)*(HT1-HK1)/(HU1-HK1)</f>
        <v>201193.58042181397</v>
      </c>
      <c r="HU154" s="144">
        <f t="shared" si="33"/>
        <v>202191.28933696394</v>
      </c>
      <c r="HV154" s="143">
        <f>HU154+(IE154-HU154)*(HV1-HU1)/(IE1-HU1)</f>
        <v>203469.23580647577</v>
      </c>
      <c r="HW154" s="143">
        <f>HU154+(IE154-HU154)*(HW1-HU1)/(IE1-HU1)</f>
        <v>204747.18227598758</v>
      </c>
      <c r="HX154" s="143">
        <f>HU154+(IE154-HU154)*(HX1-HU1)/(IE1-HU1)</f>
        <v>206025.12874549942</v>
      </c>
      <c r="HY154" s="143">
        <f>HU154+(IE154-HU154)*(HY1-HU1)/(IE1-HU1)</f>
        <v>207303.07521501122</v>
      </c>
      <c r="HZ154" s="143">
        <f>HU154+(IE154-HU154)*(HZ1-HU1)/(IE1-HU1)</f>
        <v>208581.02168452306</v>
      </c>
      <c r="IA154" s="143">
        <f>HU154+(IE154-HU154)*(IA1-HU1)/(IE1-HU1)</f>
        <v>209858.9681540349</v>
      </c>
      <c r="IB154" s="143">
        <f>HU154+(IE154-HU154)*(IB1-HU1)/(IE1-HU1)</f>
        <v>211136.91462354671</v>
      </c>
      <c r="IC154" s="143">
        <f>HU154+(IE154-HU154)*(IC1-HU1)/(IE1-HU1)</f>
        <v>212414.86109305854</v>
      </c>
      <c r="ID154" s="143">
        <f>HU154+(IE154-HU154)*(ID1-HU1)/(IE1-HU1)</f>
        <v>213692.80756257035</v>
      </c>
      <c r="IE154" s="145">
        <f t="shared" si="34"/>
        <v>214970.75403208219</v>
      </c>
      <c r="IF154" s="140"/>
      <c r="IG154" s="146"/>
      <c r="IH154" s="143"/>
      <c r="II154" s="143"/>
      <c r="IJ154" s="143"/>
      <c r="IK154" s="143"/>
      <c r="IL154" s="144">
        <v>234402.67068999901</v>
      </c>
      <c r="IM154" s="143"/>
      <c r="IN154" s="143"/>
      <c r="IO154" s="143"/>
      <c r="IP154" s="143"/>
      <c r="IQ154" s="143"/>
      <c r="IR154" s="143"/>
      <c r="IS154" s="143"/>
      <c r="IT154" s="143"/>
      <c r="IU154" s="143"/>
      <c r="IV154" s="144">
        <v>239368.538411866</v>
      </c>
      <c r="IW154" s="143"/>
      <c r="IX154" s="143"/>
      <c r="IY154" s="143"/>
      <c r="IZ154" s="143"/>
      <c r="JA154" s="143"/>
      <c r="JB154" s="143"/>
      <c r="JC154" s="143"/>
      <c r="JD154" s="143"/>
      <c r="JE154" s="143"/>
      <c r="JF154" s="144">
        <v>242291.89893350599</v>
      </c>
      <c r="JG154" s="143"/>
      <c r="JH154" s="143"/>
      <c r="JI154" s="143"/>
      <c r="JJ154" s="143"/>
      <c r="JK154" s="143"/>
      <c r="JL154" s="143"/>
      <c r="JM154" s="143"/>
      <c r="JN154" s="143"/>
      <c r="JO154" s="143"/>
      <c r="JP154" s="145">
        <v>239758.07173264</v>
      </c>
      <c r="JQ154" s="140"/>
      <c r="JR154" s="142"/>
      <c r="JS154" s="143"/>
      <c r="JT154" s="143"/>
      <c r="JU154" s="143"/>
      <c r="JV154" s="143"/>
      <c r="JW154" s="144">
        <v>234402.67068999901</v>
      </c>
      <c r="JX154" s="143">
        <f t="shared" si="35"/>
        <v>234612.44933295919</v>
      </c>
      <c r="JY154" s="143">
        <f t="shared" si="35"/>
        <v>234822.22797591941</v>
      </c>
      <c r="JZ154" s="143">
        <f t="shared" si="35"/>
        <v>235032.00661887962</v>
      </c>
      <c r="KA154" s="143">
        <f t="shared" si="35"/>
        <v>235241.7852618398</v>
      </c>
      <c r="KB154" s="143">
        <f t="shared" si="35"/>
        <v>235451.56390479999</v>
      </c>
      <c r="KC154" s="143">
        <f t="shared" si="35"/>
        <v>235661.3425477602</v>
      </c>
      <c r="KD154" s="143">
        <f t="shared" si="35"/>
        <v>235871.12119072041</v>
      </c>
      <c r="KE154" s="143">
        <f t="shared" si="35"/>
        <v>236080.8998336806</v>
      </c>
      <c r="KF154" s="143">
        <f t="shared" si="35"/>
        <v>236290.67847664078</v>
      </c>
      <c r="KG154" s="144">
        <v>236500.45711960099</v>
      </c>
      <c r="KH154" s="143">
        <f t="shared" si="36"/>
        <v>236675.25867468611</v>
      </c>
      <c r="KI154" s="143">
        <f t="shared" si="36"/>
        <v>236850.06022977119</v>
      </c>
      <c r="KJ154" s="143">
        <f t="shared" si="36"/>
        <v>237024.8617848563</v>
      </c>
      <c r="KK154" s="143">
        <f t="shared" si="36"/>
        <v>237199.66333994138</v>
      </c>
      <c r="KL154" s="143">
        <f t="shared" si="36"/>
        <v>237374.4648950265</v>
      </c>
      <c r="KM154" s="143">
        <f t="shared" si="36"/>
        <v>237549.26645011161</v>
      </c>
      <c r="KN154" s="143">
        <f t="shared" si="36"/>
        <v>237724.06800519669</v>
      </c>
      <c r="KO154" s="143">
        <f t="shared" si="36"/>
        <v>237898.8695602818</v>
      </c>
      <c r="KP154" s="143">
        <f t="shared" si="36"/>
        <v>238073.67111536689</v>
      </c>
      <c r="KQ154" s="144">
        <v>238248.472670452</v>
      </c>
      <c r="KR154" s="143">
        <f t="shared" si="37"/>
        <v>237911.14133100869</v>
      </c>
      <c r="KS154" s="143">
        <f t="shared" si="37"/>
        <v>237573.80999156539</v>
      </c>
      <c r="KT154" s="143">
        <f t="shared" si="37"/>
        <v>237236.47865212211</v>
      </c>
      <c r="KU154" s="143">
        <f t="shared" si="37"/>
        <v>236899.1473126788</v>
      </c>
      <c r="KV154" s="143">
        <f t="shared" si="37"/>
        <v>236561.8159732355</v>
      </c>
      <c r="KW154" s="143">
        <f t="shared" si="37"/>
        <v>236224.48463379219</v>
      </c>
      <c r="KX154" s="143">
        <f t="shared" si="37"/>
        <v>235887.15329434889</v>
      </c>
      <c r="KY154" s="143">
        <f t="shared" si="37"/>
        <v>235549.82195490561</v>
      </c>
      <c r="KZ154" s="143">
        <f t="shared" si="37"/>
        <v>235212.4906154623</v>
      </c>
      <c r="LA154" s="145">
        <v>234875.159276019</v>
      </c>
      <c r="LB154" s="140"/>
      <c r="LC154" s="142"/>
      <c r="LD154" s="143"/>
      <c r="LE154" s="143"/>
      <c r="LF154" s="143"/>
      <c r="LG154" s="143"/>
      <c r="LH154" s="144"/>
      <c r="LI154" s="143"/>
      <c r="LJ154" s="143"/>
      <c r="LK154" s="143"/>
      <c r="LL154" s="143"/>
      <c r="LM154" s="143"/>
      <c r="LN154" s="143"/>
      <c r="LO154" s="143"/>
      <c r="LP154" s="143"/>
      <c r="LQ154" s="143"/>
      <c r="LR154" s="144"/>
      <c r="LS154" s="143"/>
      <c r="LT154" s="143"/>
      <c r="LU154" s="143"/>
      <c r="LV154" s="143"/>
      <c r="LW154" s="143"/>
      <c r="LX154" s="143"/>
      <c r="LY154" s="143"/>
      <c r="LZ154" s="143"/>
      <c r="MA154" s="143"/>
      <c r="MB154" s="144"/>
      <c r="MC154" s="143"/>
      <c r="MD154" s="143"/>
      <c r="ME154" s="143"/>
      <c r="MF154" s="143"/>
      <c r="MG154" s="143"/>
      <c r="MH154" s="143"/>
      <c r="MI154" s="143"/>
      <c r="MJ154" s="143"/>
      <c r="MK154" s="143"/>
      <c r="ML154" s="145"/>
    </row>
    <row r="155" spans="2:350" s="4" customFormat="1" ht="18" customHeight="1" x14ac:dyDescent="0.3">
      <c r="C155" s="136" t="s">
        <v>80</v>
      </c>
      <c r="E155" s="137" t="s">
        <v>105</v>
      </c>
      <c r="F155" s="138" t="s">
        <v>105</v>
      </c>
      <c r="H155" s="139"/>
      <c r="I155" s="140"/>
      <c r="J155" s="140"/>
      <c r="K155" s="140"/>
      <c r="L155" s="140"/>
      <c r="M155" s="140"/>
      <c r="N155" s="140"/>
      <c r="O155" s="140"/>
      <c r="P155" s="140"/>
      <c r="Q155" s="141"/>
      <c r="R155" s="140"/>
      <c r="S155" s="139"/>
      <c r="T155" s="140"/>
      <c r="U155" s="140"/>
      <c r="V155" s="140"/>
      <c r="W155" s="140"/>
      <c r="X155" s="140"/>
      <c r="Y155" s="140"/>
      <c r="Z155" s="140"/>
      <c r="AA155" s="140"/>
      <c r="AB155" s="140"/>
      <c r="AC155" s="140"/>
      <c r="AD155" s="140"/>
      <c r="AE155" s="140"/>
      <c r="AF155" s="140"/>
      <c r="AG155" s="140"/>
      <c r="AH155" s="140"/>
      <c r="AI155" s="140"/>
      <c r="AJ155" s="140"/>
      <c r="AK155" s="140"/>
      <c r="AL155" s="140"/>
      <c r="AM155" s="140"/>
      <c r="AN155" s="140"/>
      <c r="AO155" s="140"/>
      <c r="AP155" s="140"/>
      <c r="AQ155" s="140"/>
      <c r="AR155" s="140"/>
      <c r="AS155" s="140"/>
      <c r="AT155" s="140"/>
      <c r="AU155" s="140"/>
      <c r="AV155" s="140"/>
      <c r="AW155" s="140"/>
      <c r="AX155" s="140"/>
      <c r="AY155" s="140"/>
      <c r="AZ155" s="140"/>
      <c r="BA155" s="140"/>
      <c r="BB155" s="141"/>
      <c r="BC155" s="140"/>
      <c r="BD155" s="142">
        <f t="shared" si="10"/>
        <v>69798</v>
      </c>
      <c r="BE155" s="143">
        <f>BD155+(BI155-BD155)*(BE1-BD1)/(BI1-BD1)</f>
        <v>70356.800000000003</v>
      </c>
      <c r="BF155" s="143">
        <f>BD155+(BI155-BD155)*(BF1-BD1)/(BI1-BD1)</f>
        <v>70915.600000000006</v>
      </c>
      <c r="BG155" s="143">
        <f>BD155+(BI155-BD155)*(BG1-BD1)/(BI1-BD1)</f>
        <v>71474.399999999994</v>
      </c>
      <c r="BH155" s="143">
        <f>BD155+(BI155-BD155)*(BH1-BD1)/(BI1-BD1)</f>
        <v>72033.2</v>
      </c>
      <c r="BI155" s="144">
        <f t="shared" si="11"/>
        <v>72592</v>
      </c>
      <c r="BJ155" s="143">
        <f>BI155+(BS155-BI155)*(BJ1-BI1)/(BS1-BI1)</f>
        <v>73820.709924933515</v>
      </c>
      <c r="BK155" s="143">
        <f>BI155+(BS155-BI155)*(BK1-BI1)/(BS1-BI1)</f>
        <v>75049.419849867016</v>
      </c>
      <c r="BL155" s="143">
        <f>BI155+(BS155-BI155)*(BL1-BI1)/(BS1-BI1)</f>
        <v>76278.129774800531</v>
      </c>
      <c r="BM155" s="143">
        <f>BI155+(BS155-BI155)*(BM1-BI1)/(BS1-BI1)</f>
        <v>77506.839699734046</v>
      </c>
      <c r="BN155" s="143">
        <f>BI155+(BS155-BI155)*(BN1-BI1)/(BS1-BI1)</f>
        <v>78735.549624667561</v>
      </c>
      <c r="BO155" s="143">
        <f>BI155+(BS155-BI155)*(BO1-BI1)/(BS1-BI1)</f>
        <v>79964.259549601062</v>
      </c>
      <c r="BP155" s="143">
        <f>BI155+(BS155-BI155)*(BP1-BI1)/(BS1-BI1)</f>
        <v>81192.969474534577</v>
      </c>
      <c r="BQ155" s="143">
        <f>BI155+(BS155-BI155)*(BQ1-BI1)/(BS1-BI1)</f>
        <v>82421.679399468092</v>
      </c>
      <c r="BR155" s="143">
        <f>BI155+(BS155-BI155)*(BR1-BI1)/(BS1-BI1)</f>
        <v>83650.389324401593</v>
      </c>
      <c r="BS155" s="144">
        <f t="shared" si="12"/>
        <v>84879.099249335108</v>
      </c>
      <c r="BT155" s="143">
        <f>BS155+(CC155-BS155)*(BT1-BS1)/(CC1-BS1)</f>
        <v>86118.060004349056</v>
      </c>
      <c r="BU155" s="143">
        <f>BS155+(CC155-BS155)*(BU1-BS1)/(CC1-BS1)</f>
        <v>87357.020759363018</v>
      </c>
      <c r="BV155" s="143">
        <f>BS155+(CC155-BS155)*(BV1-BS1)/(CC1-BS1)</f>
        <v>88595.981514376967</v>
      </c>
      <c r="BW155" s="143">
        <f>BS155+(CC155-BS155)*(BW1-BS1)/(CC1-BS1)</f>
        <v>89834.942269390915</v>
      </c>
      <c r="BX155" s="143">
        <f>BS155+(CC155-BS155)*(BX1-BS1)/(CC1-BS1)</f>
        <v>91073.903024404863</v>
      </c>
      <c r="BY155" s="143">
        <f>BS155+(CC155-BS155)*(BY1-BS1)/(CC1-BS1)</f>
        <v>92312.863779418825</v>
      </c>
      <c r="BZ155" s="143">
        <f>BS155+(CC155-BS155)*(BZ1-BS1)/(CC1-BS1)</f>
        <v>93551.824534432773</v>
      </c>
      <c r="CA155" s="143">
        <f>BS155+(CC155-BS155)*(CA1-BS1)/(CC1-BS1)</f>
        <v>94790.785289446721</v>
      </c>
      <c r="CB155" s="143">
        <f>BS155+(CC155-BS155)*(CB1-BS1)/(CC1-BS1)</f>
        <v>96029.746044460684</v>
      </c>
      <c r="CC155" s="144">
        <f t="shared" si="13"/>
        <v>97268.706799474632</v>
      </c>
      <c r="CD155" s="143">
        <f>CC155+(CM155-CC155)*(CD1-CC1)/(CM1-CC1)</f>
        <v>98574.20896868722</v>
      </c>
      <c r="CE155" s="143">
        <f>CC155+(CM155-CC155)*(CE1-CC1)/(CM1-CC1)</f>
        <v>99879.711137899794</v>
      </c>
      <c r="CF155" s="143">
        <f>CC155+(CM155-CC155)*(CF1-CC1)/(CM1-CC1)</f>
        <v>101185.21330711237</v>
      </c>
      <c r="CG155" s="143">
        <f>CC155+(CM155-CC155)*(CG1-CC1)/(CM1-CC1)</f>
        <v>102490.71547632496</v>
      </c>
      <c r="CH155" s="143">
        <f>CC155+(CM155-CC155)*(CH1-CC1)/(CM1-CC1)</f>
        <v>103796.21764553754</v>
      </c>
      <c r="CI155" s="143">
        <f>CC155+(CM155-CC155)*(CI1-CC1)/(CM1-CC1)</f>
        <v>105101.71981475012</v>
      </c>
      <c r="CJ155" s="143">
        <f>CC155+(CM155-CC155)*(CJ1-CC1)/(CM1-CC1)</f>
        <v>106407.22198396269</v>
      </c>
      <c r="CK155" s="143">
        <f>CC155+(CM155-CC155)*(CK1-CC1)/(CM1-CC1)</f>
        <v>107712.72415317528</v>
      </c>
      <c r="CL155" s="143">
        <f>CC155+(CM155-CC155)*(CL1-CC1)/(CM1-CC1)</f>
        <v>109018.22632238787</v>
      </c>
      <c r="CM155" s="145">
        <f t="shared" si="14"/>
        <v>110323.72849160044</v>
      </c>
      <c r="CN155" s="140"/>
      <c r="CO155" s="142">
        <f t="shared" si="15"/>
        <v>69798</v>
      </c>
      <c r="CP155" s="143">
        <f>CO155+(CT155-CO155)*(CP1-CO1)/(CT1-CO1)</f>
        <v>70356.800000000003</v>
      </c>
      <c r="CQ155" s="143">
        <f>CO155+(CT155-CO155)*(CQ1-CO1)/(CT1-CO1)</f>
        <v>70915.600000000006</v>
      </c>
      <c r="CR155" s="143">
        <f>CO155+(CT155-CO155)*(CR1-CO1)/(CT1-CO1)</f>
        <v>71474.399999999994</v>
      </c>
      <c r="CS155" s="143">
        <f>CO155+(CT155-CO155)*(CS1-CO1)/(CT1-CO1)</f>
        <v>72033.2</v>
      </c>
      <c r="CT155" s="144">
        <f t="shared" si="16"/>
        <v>72592</v>
      </c>
      <c r="CU155" s="143">
        <f>CT155+(DD155-CT155)*(CU1-CT1)/(DD1-CT1)</f>
        <v>73820.709924933515</v>
      </c>
      <c r="CV155" s="143">
        <f>CT155+(DD155-CT155)*(CV1-CT1)/(DD1-CT1)</f>
        <v>75049.419849867016</v>
      </c>
      <c r="CW155" s="143">
        <f>CT155+(DD155-CT155)*(CW1-CT1)/(DD1-CT1)</f>
        <v>76278.129774800531</v>
      </c>
      <c r="CX155" s="143">
        <f>CT155+(DD155-CT155)*(CX1-CT1)/(DD1-CT1)</f>
        <v>77506.839699734046</v>
      </c>
      <c r="CY155" s="143">
        <f>CT155+(DD155-CT155)*(CY1-CT1)/(DD1-CT1)</f>
        <v>78735.549624667561</v>
      </c>
      <c r="CZ155" s="143">
        <f>CT155+(DD155-CT155)*(CZ1-CT1)/(DD1-CT1)</f>
        <v>79964.259549601062</v>
      </c>
      <c r="DA155" s="143">
        <f>CT155+(DD155-CT155)*(DA1-CT1)/(DD1-CT1)</f>
        <v>81192.969474534577</v>
      </c>
      <c r="DB155" s="143">
        <f>CT155+(DD155-CT155)*(DB1-CT1)/(DD1-CT1)</f>
        <v>82421.679399468092</v>
      </c>
      <c r="DC155" s="143">
        <f>CT155+(DD155-CT155)*(DC1-CT1)/(DD1-CT1)</f>
        <v>83650.389324401593</v>
      </c>
      <c r="DD155" s="144">
        <f t="shared" si="17"/>
        <v>84879.099249335108</v>
      </c>
      <c r="DE155" s="143">
        <f>DD155+(DN155-DD155)*(DE1-DD1)/(DN1-DD1)</f>
        <v>86118.060004349056</v>
      </c>
      <c r="DF155" s="143">
        <f>DD155+(DN155-DD155)*(DF1-DD1)/(DN1-DD1)</f>
        <v>87357.020759363018</v>
      </c>
      <c r="DG155" s="143">
        <f>DD155+(DN155-DD155)*(DG1-DD1)/(DN1-DD1)</f>
        <v>88595.981514376967</v>
      </c>
      <c r="DH155" s="143">
        <f>DD155+(DN155-DD155)*(DH1-DD1)/(DN1-DD1)</f>
        <v>89834.942269390915</v>
      </c>
      <c r="DI155" s="143">
        <f>DD155+(DN155-DD155)*(DI1-DD1)/(DN1-DD1)</f>
        <v>91073.903024404863</v>
      </c>
      <c r="DJ155" s="143">
        <f>DD155+(DN155-DD155)*(DJ1-DD1)/(DN1-DD1)</f>
        <v>92312.863779418825</v>
      </c>
      <c r="DK155" s="143">
        <f>DD155+(DN155-DD155)*(DK1-DD1)/(DN1-DD1)</f>
        <v>93551.824534432773</v>
      </c>
      <c r="DL155" s="143">
        <f>DD155+(DN155-DD155)*(DL1-DD1)/(DN1-DD1)</f>
        <v>94790.785289446721</v>
      </c>
      <c r="DM155" s="143">
        <f>DD155+(DN155-DD155)*(DM1-DD1)/(DN1-DD1)</f>
        <v>96029.746044460684</v>
      </c>
      <c r="DN155" s="144">
        <f t="shared" si="18"/>
        <v>97268.706799474632</v>
      </c>
      <c r="DO155" s="143">
        <f>DN155+(DX155-DN155)*(DO1-DN1)/(DX1-DN1)</f>
        <v>98574.20896868722</v>
      </c>
      <c r="DP155" s="143">
        <f>DN155+(DX155-DN155)*(DP1-DN1)/(DX1-DN1)</f>
        <v>99879.711137899794</v>
      </c>
      <c r="DQ155" s="143">
        <f>DN155+(DX155-DN155)*(DQ1-DN1)/(DX1-DN1)</f>
        <v>101185.21330711237</v>
      </c>
      <c r="DR155" s="143">
        <f>DN155+(DX155-DN155)*(DR1-DN1)/(DX1-DN1)</f>
        <v>102490.71547632496</v>
      </c>
      <c r="DS155" s="143">
        <f>DN155+(DX155-DN155)*(DS1-DN1)/(DX1-DN1)</f>
        <v>103796.21764553754</v>
      </c>
      <c r="DT155" s="143">
        <f>DN155+(DX155-DN155)*(DT1-DN1)/(DX1-DN1)</f>
        <v>105101.71981475012</v>
      </c>
      <c r="DU155" s="143">
        <f>DN155+(DX155-DN155)*(DU1-DN1)/(DX1-DN1)</f>
        <v>106407.22198396269</v>
      </c>
      <c r="DV155" s="143">
        <f>DN155+(DX155-DN155)*(DV1-DN1)/(DX1-DN1)</f>
        <v>107712.72415317528</v>
      </c>
      <c r="DW155" s="143">
        <f>DN155+(DX155-DN155)*(DW1-DN1)/(DX1-DN1)</f>
        <v>109018.22632238787</v>
      </c>
      <c r="DX155" s="145">
        <f t="shared" si="19"/>
        <v>110323.72849160044</v>
      </c>
      <c r="DY155" s="140"/>
      <c r="DZ155" s="142">
        <f t="shared" si="20"/>
        <v>69798</v>
      </c>
      <c r="EA155" s="143">
        <f>DZ155+(EE155-DZ155)*(EA1-DZ1)/(EE1-DZ1)</f>
        <v>70356.800000000003</v>
      </c>
      <c r="EB155" s="143">
        <f>DZ155+(EE155-DZ155)*(EB1-DZ1)/(EE1-DZ1)</f>
        <v>70915.600000000006</v>
      </c>
      <c r="EC155" s="143">
        <f>DZ155+(EE155-DZ155)*(EC1-DZ1)/(EE1-DZ1)</f>
        <v>71474.399999999994</v>
      </c>
      <c r="ED155" s="143">
        <f>DZ155+(EE155-DZ155)*(ED1-DZ1)/(EE1-DZ1)</f>
        <v>72033.2</v>
      </c>
      <c r="EE155" s="144">
        <f t="shared" si="21"/>
        <v>72592</v>
      </c>
      <c r="EF155" s="143">
        <f>EE155+(EO155-EE155)*(EF1-EE1)/(EO1-EE1)</f>
        <v>73820.709924933515</v>
      </c>
      <c r="EG155" s="143">
        <f>EE155+(EO155-EE155)*(EG1-EE1)/(EO1-EE1)</f>
        <v>75049.419849867016</v>
      </c>
      <c r="EH155" s="143">
        <f>EE155+(EO155-EE155)*(EH1-EE1)/(EO1-EE1)</f>
        <v>76278.129774800531</v>
      </c>
      <c r="EI155" s="143">
        <f>EE155+(EO155-EE155)*(EI1-EE1)/(EO1-EE1)</f>
        <v>77506.839699734046</v>
      </c>
      <c r="EJ155" s="143">
        <f>EE155+(EO155-EE155)*(EJ1-EE1)/(EO1-EE1)</f>
        <v>78735.549624667561</v>
      </c>
      <c r="EK155" s="143">
        <f>EE155+(EO155-EE155)*(EK1-EE1)/(EO1-EE1)</f>
        <v>79964.259549601062</v>
      </c>
      <c r="EL155" s="143">
        <f>EE155+(EO155-EE155)*(EL1-EE1)/(EO1-EE1)</f>
        <v>81192.969474534577</v>
      </c>
      <c r="EM155" s="143">
        <f>EE155+(EO155-EE155)*(EM1-EE1)/(EO1-EE1)</f>
        <v>82421.679399468092</v>
      </c>
      <c r="EN155" s="143">
        <f>EE155+(EO155-EE155)*(EN1-EE1)/(EO1-EE1)</f>
        <v>83650.389324401593</v>
      </c>
      <c r="EO155" s="144">
        <f t="shared" si="22"/>
        <v>84879.099249335108</v>
      </c>
      <c r="EP155" s="143">
        <f>EO155+(EY155-EO155)*(EP1-EO1)/(EY1-EO1)</f>
        <v>86118.060004349056</v>
      </c>
      <c r="EQ155" s="143">
        <f>EO155+(EY155-EO155)*(EQ1-EO1)/(EY1-EO1)</f>
        <v>87357.020759363018</v>
      </c>
      <c r="ER155" s="143">
        <f>EO155+(EY155-EO155)*(ER1-EO1)/(EY1-EO1)</f>
        <v>88595.981514376967</v>
      </c>
      <c r="ES155" s="143">
        <f>EO155+(EY155-EO155)*(ES1-EO1)/(EY1-EO1)</f>
        <v>89834.942269390915</v>
      </c>
      <c r="ET155" s="143">
        <f>EO155+(EY155-EO155)*(ET1-EO1)/(EY1-EO1)</f>
        <v>91073.903024404863</v>
      </c>
      <c r="EU155" s="143">
        <f>EO155+(EY155-EO155)*(EU1-EO1)/(EY1-EO1)</f>
        <v>92312.863779418825</v>
      </c>
      <c r="EV155" s="143">
        <f>EO155+(EY155-EO155)*(EV1-EO1)/(EY1-EO1)</f>
        <v>93551.824534432773</v>
      </c>
      <c r="EW155" s="143">
        <f>EO155+(EY155-EO155)*(EW1-EO1)/(EY1-EO1)</f>
        <v>94790.785289446721</v>
      </c>
      <c r="EX155" s="143">
        <f>EO155+(EY155-EO155)*(EX1-EO1)/(EY1-EO1)</f>
        <v>96029.746044460684</v>
      </c>
      <c r="EY155" s="144">
        <f t="shared" si="23"/>
        <v>97268.706799474632</v>
      </c>
      <c r="EZ155" s="143">
        <f>EY155+(FI155-EY155)*(EZ1-EY1)/(FI1-EY1)</f>
        <v>98574.20896868722</v>
      </c>
      <c r="FA155" s="143">
        <f>EY155+(FI155-EY155)*(FA1-EY1)/(FI1-EY1)</f>
        <v>99879.711137899794</v>
      </c>
      <c r="FB155" s="143">
        <f>EY155+(FI155-EY155)*(FB1-EY1)/(FI1-EY1)</f>
        <v>101185.21330711237</v>
      </c>
      <c r="FC155" s="143">
        <f>EY155+(FI155-EY155)*(FC1-EY1)/(FI1-EY1)</f>
        <v>102490.71547632496</v>
      </c>
      <c r="FD155" s="143">
        <f>EY155+(FI155-EY155)*(FD1-EY1)/(FI1-EY1)</f>
        <v>103796.21764553754</v>
      </c>
      <c r="FE155" s="143">
        <f>EY155+(FI155-EY155)*(FE1-EY1)/(FI1-EY1)</f>
        <v>105101.71981475012</v>
      </c>
      <c r="FF155" s="143">
        <f>EY155+(FI155-EY155)*(FF1-EY1)/(FI1-EY1)</f>
        <v>106407.22198396269</v>
      </c>
      <c r="FG155" s="143">
        <f>EY155+(FI155-EY155)*(FG1-EY1)/(FI1-EY1)</f>
        <v>107712.72415317528</v>
      </c>
      <c r="FH155" s="143">
        <f>EY155+(FI155-EY155)*(FH1-EY1)/(FI1-EY1)</f>
        <v>109018.22632238787</v>
      </c>
      <c r="FI155" s="145">
        <f t="shared" si="24"/>
        <v>110323.72849160044</v>
      </c>
      <c r="FJ155" s="140"/>
      <c r="FK155" s="142">
        <f t="shared" si="25"/>
        <v>69798</v>
      </c>
      <c r="FL155" s="143">
        <f>FK155+(FP155-FK155)*(FL1-FK1)/(FP1-FK1)</f>
        <v>70356.800000000003</v>
      </c>
      <c r="FM155" s="143">
        <f>FK155+(FP155-FK155)*(FM1-FK1)/(FP1-FK1)</f>
        <v>70915.600000000006</v>
      </c>
      <c r="FN155" s="143">
        <f>FK155+(FP155-FK155)*(FN1-FK1)/(FP1-FK1)</f>
        <v>71474.399999999994</v>
      </c>
      <c r="FO155" s="143">
        <f>FK155+(FP155-FK155)*(FO1-FK1)/(FP1-FK1)</f>
        <v>72033.2</v>
      </c>
      <c r="FP155" s="144">
        <f t="shared" si="26"/>
        <v>72592</v>
      </c>
      <c r="FQ155" s="143">
        <f>FP155+(FZ155-FP155)*(FQ1-FP1)/(FZ1-FP1)</f>
        <v>73820.709924933515</v>
      </c>
      <c r="FR155" s="143">
        <f>FP155+(FZ155-FP155)*(FR1-FP1)/(FZ1-FP1)</f>
        <v>75049.419849867016</v>
      </c>
      <c r="FS155" s="143">
        <f>FP155+(FZ155-FP155)*(FS1-FP1)/(FZ1-FP1)</f>
        <v>76278.129774800531</v>
      </c>
      <c r="FT155" s="143">
        <f>FP155+(FZ155-FP155)*(FT1-FP1)/(FZ1-FP1)</f>
        <v>77506.839699734046</v>
      </c>
      <c r="FU155" s="143">
        <f>FP155+(FZ155-FP155)*(FU1-FP1)/(FZ1-FP1)</f>
        <v>78735.549624667561</v>
      </c>
      <c r="FV155" s="143">
        <f>FP155+(FZ155-FP155)*(FV1-FP1)/(FZ1-FP1)</f>
        <v>79964.259549601062</v>
      </c>
      <c r="FW155" s="143">
        <f>FP155+(FZ155-FP155)*(FW1-FP1)/(FZ1-FP1)</f>
        <v>81192.969474534577</v>
      </c>
      <c r="FX155" s="143">
        <f>FP155+(FZ155-FP155)*(FX1-FP1)/(FZ1-FP1)</f>
        <v>82421.679399468092</v>
      </c>
      <c r="FY155" s="143">
        <f>FP155+(FZ155-FP155)*(FY1-FP1)/(FZ1-FP1)</f>
        <v>83650.389324401593</v>
      </c>
      <c r="FZ155" s="144">
        <f t="shared" si="27"/>
        <v>84879.099249335108</v>
      </c>
      <c r="GA155" s="143">
        <f>FZ155+(GJ155-FZ155)*(GA1-FZ1)/(GJ1-FZ1)</f>
        <v>86118.060004349056</v>
      </c>
      <c r="GB155" s="143">
        <f>FZ155+(GJ155-FZ155)*(GB1-FZ1)/(GJ1-FZ1)</f>
        <v>87357.020759363018</v>
      </c>
      <c r="GC155" s="143">
        <f>FZ155+(GJ155-FZ155)*(GC1-FZ1)/(GJ1-FZ1)</f>
        <v>88595.981514376967</v>
      </c>
      <c r="GD155" s="143">
        <f>FZ155+(GJ155-FZ155)*(GD1-FZ1)/(GJ1-FZ1)</f>
        <v>89834.942269390915</v>
      </c>
      <c r="GE155" s="143">
        <f>FZ155+(GJ155-FZ155)*(GE1-FZ1)/(GJ1-FZ1)</f>
        <v>91073.903024404863</v>
      </c>
      <c r="GF155" s="143">
        <f>FZ155+(GJ155-FZ155)*(GF1-FZ1)/(GJ1-FZ1)</f>
        <v>92312.863779418825</v>
      </c>
      <c r="GG155" s="143">
        <f>FZ155+(GJ155-FZ155)*(GG1-FZ1)/(GJ1-FZ1)</f>
        <v>93551.824534432773</v>
      </c>
      <c r="GH155" s="143">
        <f>FZ155+(GJ155-FZ155)*(GH1-FZ1)/(GJ1-FZ1)</f>
        <v>94790.785289446721</v>
      </c>
      <c r="GI155" s="143">
        <f>FZ155+(GJ155-FZ155)*(GI1-FZ1)/(GJ1-FZ1)</f>
        <v>96029.746044460684</v>
      </c>
      <c r="GJ155" s="144">
        <f t="shared" si="28"/>
        <v>97268.706799474632</v>
      </c>
      <c r="GK155" s="143">
        <f>GJ155+(GT155-GJ155)*(GK1-GJ1)/(GT1-GJ1)</f>
        <v>98574.20896868722</v>
      </c>
      <c r="GL155" s="143">
        <f>GJ155+(GT155-GJ155)*(GL1-GJ1)/(GT1-GJ1)</f>
        <v>99879.711137899794</v>
      </c>
      <c r="GM155" s="143">
        <f>GJ155+(GT155-GJ155)*(GM1-GJ1)/(GT1-GJ1)</f>
        <v>101185.21330711237</v>
      </c>
      <c r="GN155" s="143">
        <f>GJ155+(GT155-GJ155)*(GN1-GJ1)/(GT1-GJ1)</f>
        <v>102490.71547632496</v>
      </c>
      <c r="GO155" s="143">
        <f>GJ155+(GT155-GJ155)*(GO1-GJ1)/(GT1-GJ1)</f>
        <v>103796.21764553754</v>
      </c>
      <c r="GP155" s="143">
        <f>GJ155+(GT155-GJ155)*(GP1-GJ1)/(GT1-GJ1)</f>
        <v>105101.71981475012</v>
      </c>
      <c r="GQ155" s="143">
        <f>GJ155+(GT155-GJ155)*(GQ1-GJ1)/(GT1-GJ1)</f>
        <v>106407.22198396269</v>
      </c>
      <c r="GR155" s="143">
        <f>GJ155+(GT155-GJ155)*(GR1-GJ1)/(GT1-GJ1)</f>
        <v>107712.72415317528</v>
      </c>
      <c r="GS155" s="143">
        <f>GJ155+(GT155-GJ155)*(GS1-GJ1)/(GT1-GJ1)</f>
        <v>109018.22632238787</v>
      </c>
      <c r="GT155" s="145">
        <f t="shared" si="29"/>
        <v>110323.72849160044</v>
      </c>
      <c r="GU155" s="140"/>
      <c r="GV155" s="142">
        <f t="shared" si="30"/>
        <v>69798</v>
      </c>
      <c r="GW155" s="143">
        <f>GV155+(HA155-GV155)*(GW1-GV1)/(HA1-GV1)</f>
        <v>70356.800000000003</v>
      </c>
      <c r="GX155" s="143">
        <f>GV155+(HA155-GV155)*(GX1-GV1)/(HA1-GV1)</f>
        <v>70915.600000000006</v>
      </c>
      <c r="GY155" s="143">
        <f>GV155+(HA155-GV155)*(GY1-GV1)/(HA1-GV1)</f>
        <v>71474.399999999994</v>
      </c>
      <c r="GZ155" s="143">
        <f>GV155+(HA155-GV155)*(GZ1-GV1)/(HA1-GV1)</f>
        <v>72033.2</v>
      </c>
      <c r="HA155" s="144">
        <f t="shared" si="31"/>
        <v>72592</v>
      </c>
      <c r="HB155" s="143">
        <f>HA155+(HK155-HA155)*(HB1-HA1)/(HK1-HA1)</f>
        <v>73820.709924933515</v>
      </c>
      <c r="HC155" s="143">
        <f>HA155+(HK155-HA155)*(HC1-HA1)/(HK1-HA1)</f>
        <v>75049.419849867016</v>
      </c>
      <c r="HD155" s="143">
        <f>HA155+(HK155-HA155)*(HD1-HA1)/(HK1-HA1)</f>
        <v>76278.129774800531</v>
      </c>
      <c r="HE155" s="143">
        <f>HA155+(HK155-HA155)*(HE1-HA1)/(HK1-HA1)</f>
        <v>77506.839699734046</v>
      </c>
      <c r="HF155" s="143">
        <f>HA155+(HK155-HA155)*(HF1-HA1)/(HK1-HA1)</f>
        <v>78735.549624667561</v>
      </c>
      <c r="HG155" s="143">
        <f>HA155+(HK155-HA155)*(HG1-HA1)/(HK1-HA1)</f>
        <v>79964.259549601062</v>
      </c>
      <c r="HH155" s="143">
        <f>HA155+(HK155-HA155)*(HH1-HA1)/(HK1-HA1)</f>
        <v>81192.969474534577</v>
      </c>
      <c r="HI155" s="143">
        <f>HA155+(HK155-HA155)*(HI1-HA1)/(HK1-HA1)</f>
        <v>82421.679399468092</v>
      </c>
      <c r="HJ155" s="143">
        <f>HA155+(HK155-HA155)*(HJ1-HA1)/(HK1-HA1)</f>
        <v>83650.389324401593</v>
      </c>
      <c r="HK155" s="144">
        <f t="shared" si="32"/>
        <v>84879.099249335108</v>
      </c>
      <c r="HL155" s="143">
        <f>HK155+(HU155-HK155)*(HL1-HK1)/(HU1-HK1)</f>
        <v>86118.060004349056</v>
      </c>
      <c r="HM155" s="143">
        <f>HK155+(HU155-HK155)*(HM1-HK1)/(HU1-HK1)</f>
        <v>87357.020759363018</v>
      </c>
      <c r="HN155" s="143">
        <f>HK155+(HU155-HK155)*(HN1-HK1)/(HU1-HK1)</f>
        <v>88595.981514376967</v>
      </c>
      <c r="HO155" s="143">
        <f>HK155+(HU155-HK155)*(HO1-HK1)/(HU1-HK1)</f>
        <v>89834.942269390915</v>
      </c>
      <c r="HP155" s="143">
        <f>HK155+(HU155-HK155)*(HP1-HK1)/(HU1-HK1)</f>
        <v>91073.903024404863</v>
      </c>
      <c r="HQ155" s="143">
        <f>HK155+(HU155-HK155)*(HQ1-HK1)/(HU1-HK1)</f>
        <v>92312.863779418825</v>
      </c>
      <c r="HR155" s="143">
        <f>HK155+(HU155-HK155)*(HR1-HK1)/(HU1-HK1)</f>
        <v>93551.824534432773</v>
      </c>
      <c r="HS155" s="143">
        <f>HK155+(HU155-HK155)*(HS1-HK1)/(HU1-HK1)</f>
        <v>94790.785289446721</v>
      </c>
      <c r="HT155" s="143">
        <f>HK155+(HU155-HK155)*(HT1-HK1)/(HU1-HK1)</f>
        <v>96029.746044460684</v>
      </c>
      <c r="HU155" s="144">
        <f t="shared" si="33"/>
        <v>97268.706799474632</v>
      </c>
      <c r="HV155" s="143">
        <f>HU155+(IE155-HU155)*(HV1-HU1)/(IE1-HU1)</f>
        <v>98574.20896868722</v>
      </c>
      <c r="HW155" s="143">
        <f>HU155+(IE155-HU155)*(HW1-HU1)/(IE1-HU1)</f>
        <v>99879.711137899794</v>
      </c>
      <c r="HX155" s="143">
        <f>HU155+(IE155-HU155)*(HX1-HU1)/(IE1-HU1)</f>
        <v>101185.21330711237</v>
      </c>
      <c r="HY155" s="143">
        <f>HU155+(IE155-HU155)*(HY1-HU1)/(IE1-HU1)</f>
        <v>102490.71547632496</v>
      </c>
      <c r="HZ155" s="143">
        <f>HU155+(IE155-HU155)*(HZ1-HU1)/(IE1-HU1)</f>
        <v>103796.21764553754</v>
      </c>
      <c r="IA155" s="143">
        <f>HU155+(IE155-HU155)*(IA1-HU1)/(IE1-HU1)</f>
        <v>105101.71981475012</v>
      </c>
      <c r="IB155" s="143">
        <f>HU155+(IE155-HU155)*(IB1-HU1)/(IE1-HU1)</f>
        <v>106407.22198396269</v>
      </c>
      <c r="IC155" s="143">
        <f>HU155+(IE155-HU155)*(IC1-HU1)/(IE1-HU1)</f>
        <v>107712.72415317528</v>
      </c>
      <c r="ID155" s="143">
        <f>HU155+(IE155-HU155)*(ID1-HU1)/(IE1-HU1)</f>
        <v>109018.22632238787</v>
      </c>
      <c r="IE155" s="145">
        <f t="shared" si="34"/>
        <v>110323.72849160044</v>
      </c>
      <c r="IF155" s="140"/>
      <c r="IG155" s="146"/>
      <c r="IH155" s="143"/>
      <c r="II155" s="143"/>
      <c r="IJ155" s="143"/>
      <c r="IK155" s="143"/>
      <c r="IL155" s="144">
        <v>71786.848419999893</v>
      </c>
      <c r="IM155" s="143"/>
      <c r="IN155" s="143"/>
      <c r="IO155" s="143"/>
      <c r="IP155" s="143"/>
      <c r="IQ155" s="143"/>
      <c r="IR155" s="143"/>
      <c r="IS155" s="143"/>
      <c r="IT155" s="143"/>
      <c r="IU155" s="143"/>
      <c r="IV155" s="144">
        <v>73527.590243344996</v>
      </c>
      <c r="IW155" s="143"/>
      <c r="IX155" s="143"/>
      <c r="IY155" s="143"/>
      <c r="IZ155" s="143"/>
      <c r="JA155" s="143"/>
      <c r="JB155" s="143"/>
      <c r="JC155" s="143"/>
      <c r="JD155" s="143"/>
      <c r="JE155" s="143"/>
      <c r="JF155" s="144">
        <v>74648.844835705604</v>
      </c>
      <c r="JG155" s="143"/>
      <c r="JH155" s="143"/>
      <c r="JI155" s="143"/>
      <c r="JJ155" s="143"/>
      <c r="JK155" s="143"/>
      <c r="JL155" s="143"/>
      <c r="JM155" s="143"/>
      <c r="JN155" s="143"/>
      <c r="JO155" s="143"/>
      <c r="JP155" s="145">
        <v>74089.790715986601</v>
      </c>
      <c r="JQ155" s="140"/>
      <c r="JR155" s="142"/>
      <c r="JS155" s="143"/>
      <c r="JT155" s="143"/>
      <c r="JU155" s="143"/>
      <c r="JV155" s="143"/>
      <c r="JW155" s="144">
        <v>71786.848419999893</v>
      </c>
      <c r="JX155" s="143">
        <f t="shared" si="35"/>
        <v>71858.336982144931</v>
      </c>
      <c r="JY155" s="143">
        <f t="shared" si="35"/>
        <v>71929.825544289968</v>
      </c>
      <c r="JZ155" s="143">
        <f t="shared" si="35"/>
        <v>72001.31410643502</v>
      </c>
      <c r="KA155" s="143">
        <f t="shared" si="35"/>
        <v>72072.802668580058</v>
      </c>
      <c r="KB155" s="143">
        <f t="shared" si="35"/>
        <v>72144.291230725095</v>
      </c>
      <c r="KC155" s="143">
        <f t="shared" si="35"/>
        <v>72215.779792870133</v>
      </c>
      <c r="KD155" s="143">
        <f t="shared" si="35"/>
        <v>72287.268355015171</v>
      </c>
      <c r="KE155" s="143">
        <f t="shared" si="35"/>
        <v>72358.756917160223</v>
      </c>
      <c r="KF155" s="143">
        <f t="shared" si="35"/>
        <v>72430.24547930526</v>
      </c>
      <c r="KG155" s="144">
        <v>72501.734041450298</v>
      </c>
      <c r="KH155" s="143">
        <f t="shared" si="36"/>
        <v>72562.625080615006</v>
      </c>
      <c r="KI155" s="143">
        <f t="shared" si="36"/>
        <v>72623.516119779713</v>
      </c>
      <c r="KJ155" s="143">
        <f t="shared" si="36"/>
        <v>72684.407158944436</v>
      </c>
      <c r="KK155" s="143">
        <f t="shared" si="36"/>
        <v>72745.298198109143</v>
      </c>
      <c r="KL155" s="143">
        <f t="shared" si="36"/>
        <v>72806.189237273851</v>
      </c>
      <c r="KM155" s="143">
        <f t="shared" si="36"/>
        <v>72867.080276438559</v>
      </c>
      <c r="KN155" s="143">
        <f t="shared" si="36"/>
        <v>72927.971315603267</v>
      </c>
      <c r="KO155" s="143">
        <f t="shared" si="36"/>
        <v>72988.862354767989</v>
      </c>
      <c r="KP155" s="143">
        <f t="shared" si="36"/>
        <v>73049.753393932697</v>
      </c>
      <c r="KQ155" s="144">
        <v>73110.644433097405</v>
      </c>
      <c r="KR155" s="143">
        <f t="shared" si="37"/>
        <v>73014.33605415425</v>
      </c>
      <c r="KS155" s="143">
        <f t="shared" si="37"/>
        <v>72918.02767521108</v>
      </c>
      <c r="KT155" s="143">
        <f t="shared" si="37"/>
        <v>72821.719296267926</v>
      </c>
      <c r="KU155" s="143">
        <f t="shared" si="37"/>
        <v>72725.410917324756</v>
      </c>
      <c r="KV155" s="143">
        <f t="shared" si="37"/>
        <v>72629.102538381601</v>
      </c>
      <c r="KW155" s="143">
        <f t="shared" si="37"/>
        <v>72532.794159438447</v>
      </c>
      <c r="KX155" s="143">
        <f t="shared" si="37"/>
        <v>72436.485780495277</v>
      </c>
      <c r="KY155" s="143">
        <f t="shared" si="37"/>
        <v>72340.177401552122</v>
      </c>
      <c r="KZ155" s="143">
        <f t="shared" si="37"/>
        <v>72243.869022608953</v>
      </c>
      <c r="LA155" s="145">
        <v>72147.560643665798</v>
      </c>
      <c r="LB155" s="140"/>
      <c r="LC155" s="142"/>
      <c r="LD155" s="143"/>
      <c r="LE155" s="143"/>
      <c r="LF155" s="143"/>
      <c r="LG155" s="143"/>
      <c r="LH155" s="144"/>
      <c r="LI155" s="143"/>
      <c r="LJ155" s="143"/>
      <c r="LK155" s="143"/>
      <c r="LL155" s="143"/>
      <c r="LM155" s="143"/>
      <c r="LN155" s="143"/>
      <c r="LO155" s="143"/>
      <c r="LP155" s="143"/>
      <c r="LQ155" s="143"/>
      <c r="LR155" s="144"/>
      <c r="LS155" s="143"/>
      <c r="LT155" s="143"/>
      <c r="LU155" s="143"/>
      <c r="LV155" s="143"/>
      <c r="LW155" s="143"/>
      <c r="LX155" s="143"/>
      <c r="LY155" s="143"/>
      <c r="LZ155" s="143"/>
      <c r="MA155" s="143"/>
      <c r="MB155" s="144"/>
      <c r="MC155" s="143"/>
      <c r="MD155" s="143"/>
      <c r="ME155" s="143"/>
      <c r="MF155" s="143"/>
      <c r="MG155" s="143"/>
      <c r="MH155" s="143"/>
      <c r="MI155" s="143"/>
      <c r="MJ155" s="143"/>
      <c r="MK155" s="143"/>
      <c r="ML155" s="145"/>
    </row>
    <row r="156" spans="2:350" s="4" customFormat="1" ht="18" customHeight="1" x14ac:dyDescent="0.3">
      <c r="C156" s="136" t="s">
        <v>81</v>
      </c>
      <c r="E156" s="137" t="s">
        <v>105</v>
      </c>
      <c r="F156" s="138" t="s">
        <v>105</v>
      </c>
      <c r="H156" s="139"/>
      <c r="I156" s="140"/>
      <c r="J156" s="140"/>
      <c r="K156" s="140"/>
      <c r="L156" s="140"/>
      <c r="M156" s="140"/>
      <c r="N156" s="140"/>
      <c r="O156" s="140"/>
      <c r="P156" s="140"/>
      <c r="Q156" s="141"/>
      <c r="R156" s="140"/>
      <c r="S156" s="139"/>
      <c r="T156" s="140"/>
      <c r="U156" s="140"/>
      <c r="V156" s="140"/>
      <c r="W156" s="140"/>
      <c r="X156" s="140"/>
      <c r="Y156" s="140"/>
      <c r="Z156" s="140"/>
      <c r="AA156" s="140"/>
      <c r="AB156" s="140"/>
      <c r="AC156" s="140"/>
      <c r="AD156" s="140"/>
      <c r="AE156" s="140"/>
      <c r="AF156" s="140"/>
      <c r="AG156" s="140"/>
      <c r="AH156" s="140"/>
      <c r="AI156" s="140"/>
      <c r="AJ156" s="140"/>
      <c r="AK156" s="140"/>
      <c r="AL156" s="140"/>
      <c r="AM156" s="140"/>
      <c r="AN156" s="140"/>
      <c r="AO156" s="140"/>
      <c r="AP156" s="140"/>
      <c r="AQ156" s="140"/>
      <c r="AR156" s="140"/>
      <c r="AS156" s="140"/>
      <c r="AT156" s="140"/>
      <c r="AU156" s="140"/>
      <c r="AV156" s="140"/>
      <c r="AW156" s="140"/>
      <c r="AX156" s="140"/>
      <c r="AY156" s="140"/>
      <c r="AZ156" s="140"/>
      <c r="BA156" s="140"/>
      <c r="BB156" s="141"/>
      <c r="BC156" s="140"/>
      <c r="BD156" s="142">
        <f t="shared" si="10"/>
        <v>114188</v>
      </c>
      <c r="BE156" s="143">
        <f>BD156+(BI156-BD156)*(BE1-BD1)/(BI1-BD1)</f>
        <v>115039.42781475192</v>
      </c>
      <c r="BF156" s="143">
        <f>BD156+(BI156-BD156)*(BF1-BD1)/(BI1-BD1)</f>
        <v>115890.85562950383</v>
      </c>
      <c r="BG156" s="143">
        <f>BD156+(BI156-BD156)*(BG1-BD1)/(BI1-BD1)</f>
        <v>116742.28344425575</v>
      </c>
      <c r="BH156" s="143">
        <f>BD156+(BI156-BD156)*(BH1-BD1)/(BI1-BD1)</f>
        <v>117593.71125900766</v>
      </c>
      <c r="BI156" s="144">
        <f t="shared" si="11"/>
        <v>118445.13907375958</v>
      </c>
      <c r="BJ156" s="143">
        <f>BI156+(BS156-BI156)*(BJ1-BI1)/(BS1-BI1)</f>
        <v>119941.93014594943</v>
      </c>
      <c r="BK156" s="143">
        <f>BI156+(BS156-BI156)*(BK1-BI1)/(BS1-BI1)</f>
        <v>121438.72121813928</v>
      </c>
      <c r="BL156" s="143">
        <f>BI156+(BS156-BI156)*(BL1-BI1)/(BS1-BI1)</f>
        <v>122935.51229032915</v>
      </c>
      <c r="BM156" s="143">
        <f>BI156+(BS156-BI156)*(BM1-BI1)/(BS1-BI1)</f>
        <v>124432.303362519</v>
      </c>
      <c r="BN156" s="143">
        <f>BI156+(BS156-BI156)*(BN1-BI1)/(BS1-BI1)</f>
        <v>125929.09443470885</v>
      </c>
      <c r="BO156" s="143">
        <f>BI156+(BS156-BI156)*(BO1-BI1)/(BS1-BI1)</f>
        <v>127425.8855068987</v>
      </c>
      <c r="BP156" s="143">
        <f>BI156+(BS156-BI156)*(BP1-BI1)/(BS1-BI1)</f>
        <v>128922.67657908855</v>
      </c>
      <c r="BQ156" s="143">
        <f>BI156+(BS156-BI156)*(BQ1-BI1)/(BS1-BI1)</f>
        <v>130419.46765127842</v>
      </c>
      <c r="BR156" s="143">
        <f>BI156+(BS156-BI156)*(BR1-BI1)/(BS1-BI1)</f>
        <v>131916.25872346826</v>
      </c>
      <c r="BS156" s="144">
        <f t="shared" si="12"/>
        <v>133413.04979565812</v>
      </c>
      <c r="BT156" s="143">
        <f>BS156+(CC156-BS156)*(BT1-BS1)/(CC1-BS1)</f>
        <v>134894.1232724431</v>
      </c>
      <c r="BU156" s="143">
        <f>BS156+(CC156-BS156)*(BU1-BS1)/(CC1-BS1)</f>
        <v>136375.19674922808</v>
      </c>
      <c r="BV156" s="143">
        <f>BS156+(CC156-BS156)*(BV1-BS1)/(CC1-BS1)</f>
        <v>137856.27022601303</v>
      </c>
      <c r="BW156" s="143">
        <f>BS156+(CC156-BS156)*(BW1-BS1)/(CC1-BS1)</f>
        <v>139337.34370279801</v>
      </c>
      <c r="BX156" s="143">
        <f>BS156+(CC156-BS156)*(BX1-BS1)/(CC1-BS1)</f>
        <v>140818.41717958299</v>
      </c>
      <c r="BY156" s="143">
        <f>BS156+(CC156-BS156)*(BY1-BS1)/(CC1-BS1)</f>
        <v>142299.49065636797</v>
      </c>
      <c r="BZ156" s="143">
        <f>BS156+(CC156-BS156)*(BZ1-BS1)/(CC1-BS1)</f>
        <v>143780.56413315295</v>
      </c>
      <c r="CA156" s="143">
        <f>BS156+(CC156-BS156)*(CA1-BS1)/(CC1-BS1)</f>
        <v>145261.6376099379</v>
      </c>
      <c r="CB156" s="143">
        <f>BS156+(CC156-BS156)*(CB1-BS1)/(CC1-BS1)</f>
        <v>146742.71108672288</v>
      </c>
      <c r="CC156" s="144">
        <f t="shared" si="13"/>
        <v>148223.78456350786</v>
      </c>
      <c r="CD156" s="143">
        <f>CC156+(CM156-CC156)*(CD1-CC1)/(CM1-CC1)</f>
        <v>149700.4035849591</v>
      </c>
      <c r="CE156" s="143">
        <f>CC156+(CM156-CC156)*(CE1-CC1)/(CM1-CC1)</f>
        <v>151177.02260641035</v>
      </c>
      <c r="CF156" s="143">
        <f>CC156+(CM156-CC156)*(CF1-CC1)/(CM1-CC1)</f>
        <v>152653.64162786159</v>
      </c>
      <c r="CG156" s="143">
        <f>CC156+(CM156-CC156)*(CG1-CC1)/(CM1-CC1)</f>
        <v>154130.26064931284</v>
      </c>
      <c r="CH156" s="143">
        <f>CC156+(CM156-CC156)*(CH1-CC1)/(CM1-CC1)</f>
        <v>155606.87967076409</v>
      </c>
      <c r="CI156" s="143">
        <f>CC156+(CM156-CC156)*(CI1-CC1)/(CM1-CC1)</f>
        <v>157083.4986922153</v>
      </c>
      <c r="CJ156" s="143">
        <f>CC156+(CM156-CC156)*(CJ1-CC1)/(CM1-CC1)</f>
        <v>158560.11771366655</v>
      </c>
      <c r="CK156" s="143">
        <f>CC156+(CM156-CC156)*(CK1-CC1)/(CM1-CC1)</f>
        <v>160036.7367351178</v>
      </c>
      <c r="CL156" s="143">
        <f>CC156+(CM156-CC156)*(CL1-CC1)/(CM1-CC1)</f>
        <v>161513.35575656904</v>
      </c>
      <c r="CM156" s="145">
        <f t="shared" si="14"/>
        <v>162989.97477802029</v>
      </c>
      <c r="CN156" s="140"/>
      <c r="CO156" s="142">
        <f t="shared" si="15"/>
        <v>114188</v>
      </c>
      <c r="CP156" s="143">
        <f>CO156+(CT156-CO156)*(CP1-CO1)/(CT1-CO1)</f>
        <v>115039.42781475192</v>
      </c>
      <c r="CQ156" s="143">
        <f>CO156+(CT156-CO156)*(CQ1-CO1)/(CT1-CO1)</f>
        <v>115890.85562950383</v>
      </c>
      <c r="CR156" s="143">
        <f>CO156+(CT156-CO156)*(CR1-CO1)/(CT1-CO1)</f>
        <v>116742.28344425575</v>
      </c>
      <c r="CS156" s="143">
        <f>CO156+(CT156-CO156)*(CS1-CO1)/(CT1-CO1)</f>
        <v>117593.71125900766</v>
      </c>
      <c r="CT156" s="144">
        <f t="shared" si="16"/>
        <v>118445.13907375958</v>
      </c>
      <c r="CU156" s="143">
        <f>CT156+(DD156-CT156)*(CU1-CT1)/(DD1-CT1)</f>
        <v>118076.64291028959</v>
      </c>
      <c r="CV156" s="143">
        <f>CT156+(DD156-CT156)*(CV1-CT1)/(DD1-CT1)</f>
        <v>117708.14674681961</v>
      </c>
      <c r="CW156" s="143">
        <f>CT156+(DD156-CT156)*(CW1-CT1)/(DD1-CT1)</f>
        <v>117339.65058334962</v>
      </c>
      <c r="CX156" s="143">
        <f>CT156+(DD156-CT156)*(CX1-CT1)/(DD1-CT1)</f>
        <v>116971.15441987963</v>
      </c>
      <c r="CY156" s="143">
        <f>CT156+(DD156-CT156)*(CY1-CT1)/(DD1-CT1)</f>
        <v>116602.65825640966</v>
      </c>
      <c r="CZ156" s="143">
        <f>CT156+(DD156-CT156)*(CZ1-CT1)/(DD1-CT1)</f>
        <v>116234.16209293967</v>
      </c>
      <c r="DA156" s="143">
        <f>CT156+(DD156-CT156)*(DA1-CT1)/(DD1-CT1)</f>
        <v>115865.66592946969</v>
      </c>
      <c r="DB156" s="143">
        <f>CT156+(DD156-CT156)*(DB1-CT1)/(DD1-CT1)</f>
        <v>115497.1697659997</v>
      </c>
      <c r="DC156" s="143">
        <f>CT156+(DD156-CT156)*(DC1-CT1)/(DD1-CT1)</f>
        <v>115128.67360252971</v>
      </c>
      <c r="DD156" s="144">
        <f t="shared" si="17"/>
        <v>114760.17743905973</v>
      </c>
      <c r="DE156" s="143">
        <f>DD156+(DN156-DD156)*(DE1-DD1)/(DN1-DD1)</f>
        <v>114251.56000799417</v>
      </c>
      <c r="DF156" s="143">
        <f>DD156+(DN156-DD156)*(DF1-DD1)/(DN1-DD1)</f>
        <v>113742.94257692862</v>
      </c>
      <c r="DG156" s="143">
        <f>DD156+(DN156-DD156)*(DG1-DD1)/(DN1-DD1)</f>
        <v>113234.32514586305</v>
      </c>
      <c r="DH156" s="143">
        <f>DD156+(DN156-DD156)*(DH1-DD1)/(DN1-DD1)</f>
        <v>112725.70771479749</v>
      </c>
      <c r="DI156" s="143">
        <f>DD156+(DN156-DD156)*(DI1-DD1)/(DN1-DD1)</f>
        <v>112217.09028373193</v>
      </c>
      <c r="DJ156" s="143">
        <f>DD156+(DN156-DD156)*(DJ1-DD1)/(DN1-DD1)</f>
        <v>111708.47285266638</v>
      </c>
      <c r="DK156" s="143">
        <f>DD156+(DN156-DD156)*(DK1-DD1)/(DN1-DD1)</f>
        <v>111199.85542160082</v>
      </c>
      <c r="DL156" s="143">
        <f>DD156+(DN156-DD156)*(DL1-DD1)/(DN1-DD1)</f>
        <v>110691.23799053526</v>
      </c>
      <c r="DM156" s="143">
        <f>DD156+(DN156-DD156)*(DM1-DD1)/(DN1-DD1)</f>
        <v>110182.62055946971</v>
      </c>
      <c r="DN156" s="144">
        <f t="shared" si="18"/>
        <v>109674.00312840415</v>
      </c>
      <c r="DO156" s="143">
        <f>DN156+(DX156-DN156)*(DO1-DN1)/(DX1-DN1)</f>
        <v>109080.44386290455</v>
      </c>
      <c r="DP156" s="143">
        <f>DN156+(DX156-DN156)*(DP1-DN1)/(DX1-DN1)</f>
        <v>108486.88459740495</v>
      </c>
      <c r="DQ156" s="143">
        <f>DN156+(DX156-DN156)*(DQ1-DN1)/(DX1-DN1)</f>
        <v>107893.32533190535</v>
      </c>
      <c r="DR156" s="143">
        <f>DN156+(DX156-DN156)*(DR1-DN1)/(DX1-DN1)</f>
        <v>107299.76606640575</v>
      </c>
      <c r="DS156" s="143">
        <f>DN156+(DX156-DN156)*(DS1-DN1)/(DX1-DN1)</f>
        <v>106706.20680090613</v>
      </c>
      <c r="DT156" s="143">
        <f>DN156+(DX156-DN156)*(DT1-DN1)/(DX1-DN1)</f>
        <v>106112.64753540653</v>
      </c>
      <c r="DU156" s="143">
        <f>DN156+(DX156-DN156)*(DU1-DN1)/(DX1-DN1)</f>
        <v>105519.08826990693</v>
      </c>
      <c r="DV156" s="143">
        <f>DN156+(DX156-DN156)*(DV1-DN1)/(DX1-DN1)</f>
        <v>104925.52900440733</v>
      </c>
      <c r="DW156" s="143">
        <f>DN156+(DX156-DN156)*(DW1-DN1)/(DX1-DN1)</f>
        <v>104331.96973890773</v>
      </c>
      <c r="DX156" s="145">
        <f t="shared" si="19"/>
        <v>103738.41047340813</v>
      </c>
      <c r="DY156" s="140"/>
      <c r="DZ156" s="142">
        <f t="shared" si="20"/>
        <v>114188</v>
      </c>
      <c r="EA156" s="143">
        <f>DZ156+(EE156-DZ156)*(EA1-DZ1)/(EE1-DZ1)</f>
        <v>115039.42781475192</v>
      </c>
      <c r="EB156" s="143">
        <f>DZ156+(EE156-DZ156)*(EB1-DZ1)/(EE1-DZ1)</f>
        <v>115890.85562950383</v>
      </c>
      <c r="EC156" s="143">
        <f>DZ156+(EE156-DZ156)*(EC1-DZ1)/(EE1-DZ1)</f>
        <v>116742.28344425575</v>
      </c>
      <c r="ED156" s="143">
        <f>DZ156+(EE156-DZ156)*(ED1-DZ1)/(EE1-DZ1)</f>
        <v>117593.71125900766</v>
      </c>
      <c r="EE156" s="144">
        <f t="shared" si="21"/>
        <v>118445.13907375958</v>
      </c>
      <c r="EF156" s="143">
        <f>EE156+(EO156-EE156)*(EF1-EE1)/(EO1-EE1)</f>
        <v>118125.10785044158</v>
      </c>
      <c r="EG156" s="143">
        <f>EE156+(EO156-EE156)*(EG1-EE1)/(EO1-EE1)</f>
        <v>117805.07662712358</v>
      </c>
      <c r="EH156" s="143">
        <f>EE156+(EO156-EE156)*(EH1-EE1)/(EO1-EE1)</f>
        <v>117485.04540380558</v>
      </c>
      <c r="EI156" s="143">
        <f>EE156+(EO156-EE156)*(EI1-EE1)/(EO1-EE1)</f>
        <v>117165.01418048757</v>
      </c>
      <c r="EJ156" s="143">
        <f>EE156+(EO156-EE156)*(EJ1-EE1)/(EO1-EE1)</f>
        <v>116844.98295716959</v>
      </c>
      <c r="EK156" s="143">
        <f>EE156+(EO156-EE156)*(EK1-EE1)/(EO1-EE1)</f>
        <v>116524.95173385159</v>
      </c>
      <c r="EL156" s="143">
        <f>EE156+(EO156-EE156)*(EL1-EE1)/(EO1-EE1)</f>
        <v>116204.92051053359</v>
      </c>
      <c r="EM156" s="143">
        <f>EE156+(EO156-EE156)*(EM1-EE1)/(EO1-EE1)</f>
        <v>115884.88928721558</v>
      </c>
      <c r="EN156" s="143">
        <f>EE156+(EO156-EE156)*(EN1-EE1)/(EO1-EE1)</f>
        <v>115564.85806389758</v>
      </c>
      <c r="EO156" s="144">
        <f t="shared" si="22"/>
        <v>115244.82684057958</v>
      </c>
      <c r="EP156" s="143">
        <f>EO156+(EY156-EO156)*(EP1-EO1)/(EY1-EO1)</f>
        <v>114780.57401813488</v>
      </c>
      <c r="EQ156" s="143">
        <f>EO156+(EY156-EO156)*(EQ1-EO1)/(EY1-EO1)</f>
        <v>114316.32119569019</v>
      </c>
      <c r="ER156" s="143">
        <f>EO156+(EY156-EO156)*(ER1-EO1)/(EY1-EO1)</f>
        <v>113852.06837324549</v>
      </c>
      <c r="ES156" s="143">
        <f>EO156+(EY156-EO156)*(ES1-EO1)/(EY1-EO1)</f>
        <v>113387.81555080081</v>
      </c>
      <c r="ET156" s="143">
        <f>EO156+(EY156-EO156)*(ET1-EO1)/(EY1-EO1)</f>
        <v>112923.5627283561</v>
      </c>
      <c r="EU156" s="143">
        <f>EO156+(EY156-EO156)*(EU1-EO1)/(EY1-EO1)</f>
        <v>112459.3099059114</v>
      </c>
      <c r="EV156" s="143">
        <f>EO156+(EY156-EO156)*(EV1-EO1)/(EY1-EO1)</f>
        <v>111995.05708346672</v>
      </c>
      <c r="EW156" s="143">
        <f>EO156+(EY156-EO156)*(EW1-EO1)/(EY1-EO1)</f>
        <v>111530.80426102201</v>
      </c>
      <c r="EX156" s="143">
        <f>EO156+(EY156-EO156)*(EX1-EO1)/(EY1-EO1)</f>
        <v>111066.55143857733</v>
      </c>
      <c r="EY156" s="144">
        <f t="shared" si="23"/>
        <v>110602.29861613263</v>
      </c>
      <c r="EZ156" s="143">
        <f>EY156+(FI156-EY156)*(EZ1-EY1)/(FI1-EY1)</f>
        <v>110047.89648447171</v>
      </c>
      <c r="FA156" s="143">
        <f>EY156+(FI156-EY156)*(FA1-EY1)/(FI1-EY1)</f>
        <v>109493.49435281081</v>
      </c>
      <c r="FB156" s="143">
        <f>EY156+(FI156-EY156)*(FB1-EY1)/(FI1-EY1)</f>
        <v>108939.0922211499</v>
      </c>
      <c r="FC156" s="143">
        <f>EY156+(FI156-EY156)*(FC1-EY1)/(FI1-EY1)</f>
        <v>108384.690089489</v>
      </c>
      <c r="FD156" s="143">
        <f>EY156+(FI156-EY156)*(FD1-EY1)/(FI1-EY1)</f>
        <v>107830.28795782808</v>
      </c>
      <c r="FE156" s="143">
        <f>EY156+(FI156-EY156)*(FE1-EY1)/(FI1-EY1)</f>
        <v>107275.88582616717</v>
      </c>
      <c r="FF156" s="143">
        <f>EY156+(FI156-EY156)*(FF1-EY1)/(FI1-EY1)</f>
        <v>106721.48369450627</v>
      </c>
      <c r="FG156" s="143">
        <f>EY156+(FI156-EY156)*(FG1-EY1)/(FI1-EY1)</f>
        <v>106167.08156284536</v>
      </c>
      <c r="FH156" s="143">
        <f>EY156+(FI156-EY156)*(FH1-EY1)/(FI1-EY1)</f>
        <v>105612.67943118446</v>
      </c>
      <c r="FI156" s="145">
        <f t="shared" si="24"/>
        <v>105058.27729952354</v>
      </c>
      <c r="FJ156" s="140"/>
      <c r="FK156" s="142">
        <f t="shared" si="25"/>
        <v>114188</v>
      </c>
      <c r="FL156" s="143">
        <f>FK156+(FP156-FK156)*(FL1-FK1)/(FP1-FK1)</f>
        <v>115039.42781475192</v>
      </c>
      <c r="FM156" s="143">
        <f>FK156+(FP156-FK156)*(FM1-FK1)/(FP1-FK1)</f>
        <v>115890.85562950383</v>
      </c>
      <c r="FN156" s="143">
        <f>FK156+(FP156-FK156)*(FN1-FK1)/(FP1-FK1)</f>
        <v>116742.28344425575</v>
      </c>
      <c r="FO156" s="143">
        <f>FK156+(FP156-FK156)*(FO1-FK1)/(FP1-FK1)</f>
        <v>117593.71125900766</v>
      </c>
      <c r="FP156" s="144">
        <f t="shared" si="26"/>
        <v>118445.13907375958</v>
      </c>
      <c r="FQ156" s="143">
        <f>FP156+(FZ156-FP156)*(FQ1-FP1)/(FZ1-FP1)</f>
        <v>118874.52892613632</v>
      </c>
      <c r="FR156" s="143">
        <f>FP156+(FZ156-FP156)*(FR1-FP1)/(FZ1-FP1)</f>
        <v>119303.91877851306</v>
      </c>
      <c r="FS156" s="143">
        <f>FP156+(FZ156-FP156)*(FS1-FP1)/(FZ1-FP1)</f>
        <v>119733.30863088981</v>
      </c>
      <c r="FT156" s="143">
        <f>FP156+(FZ156-FP156)*(FT1-FP1)/(FZ1-FP1)</f>
        <v>120162.69848326655</v>
      </c>
      <c r="FU156" s="143">
        <f>FP156+(FZ156-FP156)*(FU1-FP1)/(FZ1-FP1)</f>
        <v>120592.08833564329</v>
      </c>
      <c r="FV156" s="143">
        <f>FP156+(FZ156-FP156)*(FV1-FP1)/(FZ1-FP1)</f>
        <v>121021.47818802002</v>
      </c>
      <c r="FW156" s="143">
        <f>FP156+(FZ156-FP156)*(FW1-FP1)/(FZ1-FP1)</f>
        <v>121450.86804039676</v>
      </c>
      <c r="FX156" s="143">
        <f>FP156+(FZ156-FP156)*(FX1-FP1)/(FZ1-FP1)</f>
        <v>121880.2578927735</v>
      </c>
      <c r="FY156" s="143">
        <f>FP156+(FZ156-FP156)*(FY1-FP1)/(FZ1-FP1)</f>
        <v>122309.64774515024</v>
      </c>
      <c r="FZ156" s="144">
        <f t="shared" si="27"/>
        <v>122739.03759752699</v>
      </c>
      <c r="GA156" s="143">
        <f>FZ156+(GJ156-FZ156)*(GA1-FZ1)/(GJ1-FZ1)</f>
        <v>123010.59703521495</v>
      </c>
      <c r="GB156" s="143">
        <f>FZ156+(GJ156-FZ156)*(GB1-FZ1)/(GJ1-FZ1)</f>
        <v>123282.15647290289</v>
      </c>
      <c r="GC156" s="143">
        <f>FZ156+(GJ156-FZ156)*(GC1-FZ1)/(GJ1-FZ1)</f>
        <v>123553.71591059085</v>
      </c>
      <c r="GD156" s="143">
        <f>FZ156+(GJ156-FZ156)*(GD1-FZ1)/(GJ1-FZ1)</f>
        <v>123825.2753482788</v>
      </c>
      <c r="GE156" s="143">
        <f>FZ156+(GJ156-FZ156)*(GE1-FZ1)/(GJ1-FZ1)</f>
        <v>124096.83478596676</v>
      </c>
      <c r="GF156" s="143">
        <f>FZ156+(GJ156-FZ156)*(GF1-FZ1)/(GJ1-FZ1)</f>
        <v>124368.39422365472</v>
      </c>
      <c r="GG156" s="143">
        <f>FZ156+(GJ156-FZ156)*(GG1-FZ1)/(GJ1-FZ1)</f>
        <v>124639.95366134266</v>
      </c>
      <c r="GH156" s="143">
        <f>FZ156+(GJ156-FZ156)*(GH1-FZ1)/(GJ1-FZ1)</f>
        <v>124911.51309903062</v>
      </c>
      <c r="GI156" s="143">
        <f>FZ156+(GJ156-FZ156)*(GI1-FZ1)/(GJ1-FZ1)</f>
        <v>125183.07253671857</v>
      </c>
      <c r="GJ156" s="144">
        <f t="shared" si="28"/>
        <v>125454.63197440653</v>
      </c>
      <c r="GK156" s="143">
        <f>GJ156+(GT156-GJ156)*(GK1-GJ1)/(GT1-GJ1)</f>
        <v>125600.70217496034</v>
      </c>
      <c r="GL156" s="143">
        <f>GJ156+(GT156-GJ156)*(GL1-GJ1)/(GT1-GJ1)</f>
        <v>125746.77237551416</v>
      </c>
      <c r="GM156" s="143">
        <f>GJ156+(GT156-GJ156)*(GM1-GJ1)/(GT1-GJ1)</f>
        <v>125892.84257606797</v>
      </c>
      <c r="GN156" s="143">
        <f>GJ156+(GT156-GJ156)*(GN1-GJ1)/(GT1-GJ1)</f>
        <v>126038.91277662179</v>
      </c>
      <c r="GO156" s="143">
        <f>GJ156+(GT156-GJ156)*(GO1-GJ1)/(GT1-GJ1)</f>
        <v>126184.9829771756</v>
      </c>
      <c r="GP156" s="143">
        <f>GJ156+(GT156-GJ156)*(GP1-GJ1)/(GT1-GJ1)</f>
        <v>126331.05317772942</v>
      </c>
      <c r="GQ156" s="143">
        <f>GJ156+(GT156-GJ156)*(GQ1-GJ1)/(GT1-GJ1)</f>
        <v>126477.12337828324</v>
      </c>
      <c r="GR156" s="143">
        <f>GJ156+(GT156-GJ156)*(GR1-GJ1)/(GT1-GJ1)</f>
        <v>126623.19357883705</v>
      </c>
      <c r="GS156" s="143">
        <f>GJ156+(GT156-GJ156)*(GS1-GJ1)/(GT1-GJ1)</f>
        <v>126769.26377939087</v>
      </c>
      <c r="GT156" s="145">
        <f t="shared" si="29"/>
        <v>126915.33397994468</v>
      </c>
      <c r="GU156" s="140"/>
      <c r="GV156" s="142">
        <f t="shared" si="30"/>
        <v>114188</v>
      </c>
      <c r="GW156" s="143">
        <f>GV156+(HA156-GV156)*(GW1-GV1)/(HA1-GV1)</f>
        <v>115039.42781475192</v>
      </c>
      <c r="GX156" s="143">
        <f>GV156+(HA156-GV156)*(GX1-GV1)/(HA1-GV1)</f>
        <v>115890.85562950383</v>
      </c>
      <c r="GY156" s="143">
        <f>GV156+(HA156-GV156)*(GY1-GV1)/(HA1-GV1)</f>
        <v>116742.28344425575</v>
      </c>
      <c r="GZ156" s="143">
        <f>GV156+(HA156-GV156)*(GZ1-GV1)/(HA1-GV1)</f>
        <v>117593.71125900766</v>
      </c>
      <c r="HA156" s="144">
        <f t="shared" si="31"/>
        <v>118445.13907375958</v>
      </c>
      <c r="HB156" s="143">
        <f>HA156+(HK156-HA156)*(HB1-HA1)/(HK1-HA1)</f>
        <v>119941.93014594943</v>
      </c>
      <c r="HC156" s="143">
        <f>HA156+(HK156-HA156)*(HC1-HA1)/(HK1-HA1)</f>
        <v>121438.72121813928</v>
      </c>
      <c r="HD156" s="143">
        <f>HA156+(HK156-HA156)*(HD1-HA1)/(HK1-HA1)</f>
        <v>122935.51229032915</v>
      </c>
      <c r="HE156" s="143">
        <f>HA156+(HK156-HA156)*(HE1-HA1)/(HK1-HA1)</f>
        <v>124432.303362519</v>
      </c>
      <c r="HF156" s="143">
        <f>HA156+(HK156-HA156)*(HF1-HA1)/(HK1-HA1)</f>
        <v>125929.09443470885</v>
      </c>
      <c r="HG156" s="143">
        <f>HA156+(HK156-HA156)*(HG1-HA1)/(HK1-HA1)</f>
        <v>127425.8855068987</v>
      </c>
      <c r="HH156" s="143">
        <f>HA156+(HK156-HA156)*(HH1-HA1)/(HK1-HA1)</f>
        <v>128922.67657908855</v>
      </c>
      <c r="HI156" s="143">
        <f>HA156+(HK156-HA156)*(HI1-HA1)/(HK1-HA1)</f>
        <v>130419.46765127842</v>
      </c>
      <c r="HJ156" s="143">
        <f>HA156+(HK156-HA156)*(HJ1-HA1)/(HK1-HA1)</f>
        <v>131916.25872346826</v>
      </c>
      <c r="HK156" s="144">
        <f t="shared" si="32"/>
        <v>133413.04979565812</v>
      </c>
      <c r="HL156" s="143">
        <f>HK156+(HU156-HK156)*(HL1-HK1)/(HU1-HK1)</f>
        <v>134894.1232724431</v>
      </c>
      <c r="HM156" s="143">
        <f>HK156+(HU156-HK156)*(HM1-HK1)/(HU1-HK1)</f>
        <v>136375.19674922808</v>
      </c>
      <c r="HN156" s="143">
        <f>HK156+(HU156-HK156)*(HN1-HK1)/(HU1-HK1)</f>
        <v>137856.27022601303</v>
      </c>
      <c r="HO156" s="143">
        <f>HK156+(HU156-HK156)*(HO1-HK1)/(HU1-HK1)</f>
        <v>139337.34370279801</v>
      </c>
      <c r="HP156" s="143">
        <f>HK156+(HU156-HK156)*(HP1-HK1)/(HU1-HK1)</f>
        <v>140818.41717958299</v>
      </c>
      <c r="HQ156" s="143">
        <f>HK156+(HU156-HK156)*(HQ1-HK1)/(HU1-HK1)</f>
        <v>142299.49065636797</v>
      </c>
      <c r="HR156" s="143">
        <f>HK156+(HU156-HK156)*(HR1-HK1)/(HU1-HK1)</f>
        <v>143780.56413315295</v>
      </c>
      <c r="HS156" s="143">
        <f>HK156+(HU156-HK156)*(HS1-HK1)/(HU1-HK1)</f>
        <v>145261.6376099379</v>
      </c>
      <c r="HT156" s="143">
        <f>HK156+(HU156-HK156)*(HT1-HK1)/(HU1-HK1)</f>
        <v>146742.71108672288</v>
      </c>
      <c r="HU156" s="144">
        <f t="shared" si="33"/>
        <v>148223.78456350786</v>
      </c>
      <c r="HV156" s="143">
        <f>HU156+(IE156-HU156)*(HV1-HU1)/(IE1-HU1)</f>
        <v>149700.4035849591</v>
      </c>
      <c r="HW156" s="143">
        <f>HU156+(IE156-HU156)*(HW1-HU1)/(IE1-HU1)</f>
        <v>151177.02260641035</v>
      </c>
      <c r="HX156" s="143">
        <f>HU156+(IE156-HU156)*(HX1-HU1)/(IE1-HU1)</f>
        <v>152653.64162786159</v>
      </c>
      <c r="HY156" s="143">
        <f>HU156+(IE156-HU156)*(HY1-HU1)/(IE1-HU1)</f>
        <v>154130.26064931284</v>
      </c>
      <c r="HZ156" s="143">
        <f>HU156+(IE156-HU156)*(HZ1-HU1)/(IE1-HU1)</f>
        <v>155606.87967076409</v>
      </c>
      <c r="IA156" s="143">
        <f>HU156+(IE156-HU156)*(IA1-HU1)/(IE1-HU1)</f>
        <v>157083.4986922153</v>
      </c>
      <c r="IB156" s="143">
        <f>HU156+(IE156-HU156)*(IB1-HU1)/(IE1-HU1)</f>
        <v>158560.11771366655</v>
      </c>
      <c r="IC156" s="143">
        <f>HU156+(IE156-HU156)*(IC1-HU1)/(IE1-HU1)</f>
        <v>160036.7367351178</v>
      </c>
      <c r="ID156" s="143">
        <f>HU156+(IE156-HU156)*(ID1-HU1)/(IE1-HU1)</f>
        <v>161513.35575656904</v>
      </c>
      <c r="IE156" s="145">
        <f t="shared" si="34"/>
        <v>162989.97477802029</v>
      </c>
      <c r="IF156" s="140"/>
      <c r="IG156" s="146"/>
      <c r="IH156" s="143"/>
      <c r="II156" s="143"/>
      <c r="IJ156" s="143"/>
      <c r="IK156" s="143"/>
      <c r="IL156" s="144">
        <v>113612.79024</v>
      </c>
      <c r="IM156" s="143"/>
      <c r="IN156" s="143"/>
      <c r="IO156" s="143"/>
      <c r="IP156" s="143"/>
      <c r="IQ156" s="143"/>
      <c r="IR156" s="143"/>
      <c r="IS156" s="143"/>
      <c r="IT156" s="143"/>
      <c r="IU156" s="143"/>
      <c r="IV156" s="144">
        <v>116599.79855140801</v>
      </c>
      <c r="IW156" s="143"/>
      <c r="IX156" s="143"/>
      <c r="IY156" s="143"/>
      <c r="IZ156" s="143"/>
      <c r="JA156" s="143"/>
      <c r="JB156" s="143"/>
      <c r="JC156" s="143"/>
      <c r="JD156" s="143"/>
      <c r="JE156" s="143"/>
      <c r="JF156" s="144">
        <v>124059.561948544</v>
      </c>
      <c r="JG156" s="143"/>
      <c r="JH156" s="143"/>
      <c r="JI156" s="143"/>
      <c r="JJ156" s="143"/>
      <c r="JK156" s="143"/>
      <c r="JL156" s="143"/>
      <c r="JM156" s="143"/>
      <c r="JN156" s="143"/>
      <c r="JO156" s="143"/>
      <c r="JP156" s="145">
        <v>129040.25254760501</v>
      </c>
      <c r="JQ156" s="140"/>
      <c r="JR156" s="142"/>
      <c r="JS156" s="143"/>
      <c r="JT156" s="143"/>
      <c r="JU156" s="143"/>
      <c r="JV156" s="143"/>
      <c r="JW156" s="144">
        <v>113612.79024</v>
      </c>
      <c r="JX156" s="143">
        <f t="shared" si="35"/>
        <v>113771.78277734161</v>
      </c>
      <c r="JY156" s="143">
        <f t="shared" si="35"/>
        <v>113930.7753146832</v>
      </c>
      <c r="JZ156" s="143">
        <f t="shared" si="35"/>
        <v>114089.7678520248</v>
      </c>
      <c r="KA156" s="143">
        <f t="shared" si="35"/>
        <v>114248.76038936641</v>
      </c>
      <c r="KB156" s="143">
        <f t="shared" si="35"/>
        <v>114407.752926708</v>
      </c>
      <c r="KC156" s="143">
        <f t="shared" si="35"/>
        <v>114566.7454640496</v>
      </c>
      <c r="KD156" s="143">
        <f t="shared" si="35"/>
        <v>114725.7380013912</v>
      </c>
      <c r="KE156" s="143">
        <f t="shared" si="35"/>
        <v>114884.73053873281</v>
      </c>
      <c r="KF156" s="143">
        <f t="shared" si="35"/>
        <v>115043.7230760744</v>
      </c>
      <c r="KG156" s="144">
        <v>115202.715613416</v>
      </c>
      <c r="KH156" s="143">
        <f t="shared" si="36"/>
        <v>115881.3666262531</v>
      </c>
      <c r="KI156" s="143">
        <f t="shared" si="36"/>
        <v>116560.01763909021</v>
      </c>
      <c r="KJ156" s="143">
        <f t="shared" si="36"/>
        <v>117238.66865192731</v>
      </c>
      <c r="KK156" s="143">
        <f t="shared" si="36"/>
        <v>117917.31966476441</v>
      </c>
      <c r="KL156" s="143">
        <f t="shared" si="36"/>
        <v>118595.97067760149</v>
      </c>
      <c r="KM156" s="143">
        <f t="shared" si="36"/>
        <v>119274.62169043859</v>
      </c>
      <c r="KN156" s="143">
        <f t="shared" si="36"/>
        <v>119953.2727032757</v>
      </c>
      <c r="KO156" s="143">
        <f t="shared" si="36"/>
        <v>120631.9237161128</v>
      </c>
      <c r="KP156" s="143">
        <f t="shared" si="36"/>
        <v>121310.5747289499</v>
      </c>
      <c r="KQ156" s="144">
        <v>121989.225741787</v>
      </c>
      <c r="KR156" s="143">
        <f t="shared" si="37"/>
        <v>122431.5250672964</v>
      </c>
      <c r="KS156" s="143">
        <f t="shared" si="37"/>
        <v>122873.82439280579</v>
      </c>
      <c r="KT156" s="143">
        <f t="shared" si="37"/>
        <v>123316.1237183152</v>
      </c>
      <c r="KU156" s="143">
        <f t="shared" si="37"/>
        <v>123758.4230438246</v>
      </c>
      <c r="KV156" s="143">
        <f t="shared" si="37"/>
        <v>124200.72236933399</v>
      </c>
      <c r="KW156" s="143">
        <f t="shared" si="37"/>
        <v>124643.0216948434</v>
      </c>
      <c r="KX156" s="143">
        <f t="shared" si="37"/>
        <v>125085.3210203528</v>
      </c>
      <c r="KY156" s="143">
        <f t="shared" si="37"/>
        <v>125527.6203458622</v>
      </c>
      <c r="KZ156" s="143">
        <f t="shared" si="37"/>
        <v>125969.91967137159</v>
      </c>
      <c r="LA156" s="145">
        <v>126412.218996881</v>
      </c>
      <c r="LB156" s="140"/>
      <c r="LC156" s="142"/>
      <c r="LD156" s="143"/>
      <c r="LE156" s="143"/>
      <c r="LF156" s="143"/>
      <c r="LG156" s="143"/>
      <c r="LH156" s="144"/>
      <c r="LI156" s="143"/>
      <c r="LJ156" s="143"/>
      <c r="LK156" s="143"/>
      <c r="LL156" s="143"/>
      <c r="LM156" s="143"/>
      <c r="LN156" s="143"/>
      <c r="LO156" s="143"/>
      <c r="LP156" s="143"/>
      <c r="LQ156" s="143"/>
      <c r="LR156" s="144"/>
      <c r="LS156" s="143"/>
      <c r="LT156" s="143"/>
      <c r="LU156" s="143"/>
      <c r="LV156" s="143"/>
      <c r="LW156" s="143"/>
      <c r="LX156" s="143"/>
      <c r="LY156" s="143"/>
      <c r="LZ156" s="143"/>
      <c r="MA156" s="143"/>
      <c r="MB156" s="144"/>
      <c r="MC156" s="143"/>
      <c r="MD156" s="143"/>
      <c r="ME156" s="143"/>
      <c r="MF156" s="143"/>
      <c r="MG156" s="143"/>
      <c r="MH156" s="143"/>
      <c r="MI156" s="143"/>
      <c r="MJ156" s="143"/>
      <c r="MK156" s="143"/>
      <c r="ML156" s="145"/>
    </row>
    <row r="157" spans="2:350" s="4" customFormat="1" ht="18" customHeight="1" x14ac:dyDescent="0.3">
      <c r="C157" s="136" t="s">
        <v>82</v>
      </c>
      <c r="E157" s="137" t="s">
        <v>105</v>
      </c>
      <c r="F157" s="138" t="s">
        <v>105</v>
      </c>
      <c r="H157" s="139"/>
      <c r="I157" s="140"/>
      <c r="J157" s="140"/>
      <c r="K157" s="140"/>
      <c r="L157" s="140"/>
      <c r="M157" s="140"/>
      <c r="N157" s="140"/>
      <c r="O157" s="140"/>
      <c r="P157" s="140"/>
      <c r="Q157" s="141"/>
      <c r="R157" s="140"/>
      <c r="S157" s="139"/>
      <c r="T157" s="140"/>
      <c r="U157" s="140"/>
      <c r="V157" s="140"/>
      <c r="W157" s="140"/>
      <c r="X157" s="140"/>
      <c r="Y157" s="140"/>
      <c r="Z157" s="140"/>
      <c r="AA157" s="140"/>
      <c r="AB157" s="140"/>
      <c r="AC157" s="140"/>
      <c r="AD157" s="140"/>
      <c r="AE157" s="140"/>
      <c r="AF157" s="140"/>
      <c r="AG157" s="140"/>
      <c r="AH157" s="140"/>
      <c r="AI157" s="140"/>
      <c r="AJ157" s="140"/>
      <c r="AK157" s="140"/>
      <c r="AL157" s="140"/>
      <c r="AM157" s="140"/>
      <c r="AN157" s="140"/>
      <c r="AO157" s="140"/>
      <c r="AP157" s="140"/>
      <c r="AQ157" s="140"/>
      <c r="AR157" s="140"/>
      <c r="AS157" s="140"/>
      <c r="AT157" s="140"/>
      <c r="AU157" s="140"/>
      <c r="AV157" s="140"/>
      <c r="AW157" s="140"/>
      <c r="AX157" s="140"/>
      <c r="AY157" s="140"/>
      <c r="AZ157" s="140"/>
      <c r="BA157" s="140"/>
      <c r="BB157" s="141"/>
      <c r="BC157" s="140"/>
      <c r="BD157" s="142">
        <f t="shared" si="10"/>
        <v>71426</v>
      </c>
      <c r="BE157" s="143">
        <f>BD157+(BI157-BD157)*(BE1-BD1)/(BI1-BD1)</f>
        <v>72037</v>
      </c>
      <c r="BF157" s="143">
        <f>BD157+(BI157-BD157)*(BF1-BD1)/(BI1-BD1)</f>
        <v>72648</v>
      </c>
      <c r="BG157" s="143">
        <f>BD157+(BI157-BD157)*(BG1-BD1)/(BI1-BD1)</f>
        <v>73259</v>
      </c>
      <c r="BH157" s="143">
        <f>BD157+(BI157-BD157)*(BH1-BD1)/(BI1-BD1)</f>
        <v>73870</v>
      </c>
      <c r="BI157" s="144">
        <f t="shared" si="11"/>
        <v>74481</v>
      </c>
      <c r="BJ157" s="143">
        <f>BI157+(BS157-BI157)*(BJ1-BI1)/(BS1-BI1)</f>
        <v>75795.994053526825</v>
      </c>
      <c r="BK157" s="143">
        <f>BI157+(BS157-BI157)*(BK1-BI1)/(BS1-BI1)</f>
        <v>77110.98810705365</v>
      </c>
      <c r="BL157" s="143">
        <f>BI157+(BS157-BI157)*(BL1-BI1)/(BS1-BI1)</f>
        <v>78425.982160580475</v>
      </c>
      <c r="BM157" s="143">
        <f>BI157+(BS157-BI157)*(BM1-BI1)/(BS1-BI1)</f>
        <v>79740.976214107301</v>
      </c>
      <c r="BN157" s="143">
        <f>BI157+(BS157-BI157)*(BN1-BI1)/(BS1-BI1)</f>
        <v>81055.97026763414</v>
      </c>
      <c r="BO157" s="143">
        <f>BI157+(BS157-BI157)*(BO1-BI1)/(BS1-BI1)</f>
        <v>82370.964321160965</v>
      </c>
      <c r="BP157" s="143">
        <f>BI157+(BS157-BI157)*(BP1-BI1)/(BS1-BI1)</f>
        <v>83685.958374687791</v>
      </c>
      <c r="BQ157" s="143">
        <f>BI157+(BS157-BI157)*(BQ1-BI1)/(BS1-BI1)</f>
        <v>85000.952428214616</v>
      </c>
      <c r="BR157" s="143">
        <f>BI157+(BS157-BI157)*(BR1-BI1)/(BS1-BI1)</f>
        <v>86315.946481741441</v>
      </c>
      <c r="BS157" s="144">
        <f t="shared" si="12"/>
        <v>87630.940535268266</v>
      </c>
      <c r="BT157" s="143">
        <f>BS157+(CC157-BS157)*(BT1-BS1)/(CC1-BS1)</f>
        <v>88966.98605689792</v>
      </c>
      <c r="BU157" s="143">
        <f>BS157+(CC157-BS157)*(BU1-BS1)/(CC1-BS1)</f>
        <v>90303.031578527574</v>
      </c>
      <c r="BV157" s="143">
        <f>BS157+(CC157-BS157)*(BV1-BS1)/(CC1-BS1)</f>
        <v>91639.077100157214</v>
      </c>
      <c r="BW157" s="143">
        <f>BS157+(CC157-BS157)*(BW1-BS1)/(CC1-BS1)</f>
        <v>92975.122621786868</v>
      </c>
      <c r="BX157" s="143">
        <f>BS157+(CC157-BS157)*(BX1-BS1)/(CC1-BS1)</f>
        <v>94311.168143416522</v>
      </c>
      <c r="BY157" s="143">
        <f>BS157+(CC157-BS157)*(BY1-BS1)/(CC1-BS1)</f>
        <v>95647.213665046176</v>
      </c>
      <c r="BZ157" s="143">
        <f>BS157+(CC157-BS157)*(BZ1-BS1)/(CC1-BS1)</f>
        <v>96983.25918667583</v>
      </c>
      <c r="CA157" s="143">
        <f>BS157+(CC157-BS157)*(CA1-BS1)/(CC1-BS1)</f>
        <v>98319.30470830547</v>
      </c>
      <c r="CB157" s="143">
        <f>BS157+(CC157-BS157)*(CB1-BS1)/(CC1-BS1)</f>
        <v>99655.350229935124</v>
      </c>
      <c r="CC157" s="144">
        <f t="shared" si="13"/>
        <v>100991.39575156478</v>
      </c>
      <c r="CD157" s="143">
        <f>CC157+(CM157-CC157)*(CD1-CC1)/(CM1-CC1)</f>
        <v>102411.78418254392</v>
      </c>
      <c r="CE157" s="143">
        <f>CC157+(CM157-CC157)*(CE1-CC1)/(CM1-CC1)</f>
        <v>103832.17261352307</v>
      </c>
      <c r="CF157" s="143">
        <f>CC157+(CM157-CC157)*(CF1-CC1)/(CM1-CC1)</f>
        <v>105252.56104450223</v>
      </c>
      <c r="CG157" s="143">
        <f>CC157+(CM157-CC157)*(CG1-CC1)/(CM1-CC1)</f>
        <v>106672.94947548138</v>
      </c>
      <c r="CH157" s="143">
        <f>CC157+(CM157-CC157)*(CH1-CC1)/(CM1-CC1)</f>
        <v>108093.33790646053</v>
      </c>
      <c r="CI157" s="143">
        <f>CC157+(CM157-CC157)*(CI1-CC1)/(CM1-CC1)</f>
        <v>109513.72633743967</v>
      </c>
      <c r="CJ157" s="143">
        <f>CC157+(CM157-CC157)*(CJ1-CC1)/(CM1-CC1)</f>
        <v>110934.11476841882</v>
      </c>
      <c r="CK157" s="143">
        <f>CC157+(CM157-CC157)*(CK1-CC1)/(CM1-CC1)</f>
        <v>112354.50319939798</v>
      </c>
      <c r="CL157" s="143">
        <f>CC157+(CM157-CC157)*(CL1-CC1)/(CM1-CC1)</f>
        <v>113774.89163037713</v>
      </c>
      <c r="CM157" s="145">
        <f t="shared" si="14"/>
        <v>115195.28006135627</v>
      </c>
      <c r="CN157" s="140"/>
      <c r="CO157" s="142">
        <f t="shared" si="15"/>
        <v>71426</v>
      </c>
      <c r="CP157" s="143">
        <f>CO157+(CT157-CO157)*(CP1-CO1)/(CT1-CO1)</f>
        <v>72037</v>
      </c>
      <c r="CQ157" s="143">
        <f>CO157+(CT157-CO157)*(CQ1-CO1)/(CT1-CO1)</f>
        <v>72648</v>
      </c>
      <c r="CR157" s="143">
        <f>CO157+(CT157-CO157)*(CR1-CO1)/(CT1-CO1)</f>
        <v>73259</v>
      </c>
      <c r="CS157" s="143">
        <f>CO157+(CT157-CO157)*(CS1-CO1)/(CT1-CO1)</f>
        <v>73870</v>
      </c>
      <c r="CT157" s="144">
        <f t="shared" si="16"/>
        <v>74481</v>
      </c>
      <c r="CU157" s="143">
        <f>CT157+(DD157-CT157)*(CU1-CT1)/(DD1-CT1)</f>
        <v>74061.78608036376</v>
      </c>
      <c r="CV157" s="143">
        <f>CT157+(DD157-CT157)*(CV1-CT1)/(DD1-CT1)</f>
        <v>73642.572160727505</v>
      </c>
      <c r="CW157" s="143">
        <f>CT157+(DD157-CT157)*(CW1-CT1)/(DD1-CT1)</f>
        <v>73223.358241091264</v>
      </c>
      <c r="CX157" s="143">
        <f>CT157+(DD157-CT157)*(CX1-CT1)/(DD1-CT1)</f>
        <v>72804.144321455009</v>
      </c>
      <c r="CY157" s="143">
        <f>CT157+(DD157-CT157)*(CY1-CT1)/(DD1-CT1)</f>
        <v>72384.930401818769</v>
      </c>
      <c r="CZ157" s="143">
        <f>CT157+(DD157-CT157)*(CZ1-CT1)/(DD1-CT1)</f>
        <v>71965.716482182528</v>
      </c>
      <c r="DA157" s="143">
        <f>CT157+(DD157-CT157)*(DA1-CT1)/(DD1-CT1)</f>
        <v>71546.502562546273</v>
      </c>
      <c r="DB157" s="143">
        <f>CT157+(DD157-CT157)*(DB1-CT1)/(DD1-CT1)</f>
        <v>71127.288642910033</v>
      </c>
      <c r="DC157" s="143">
        <f>CT157+(DD157-CT157)*(DC1-CT1)/(DD1-CT1)</f>
        <v>70708.074723273778</v>
      </c>
      <c r="DD157" s="144">
        <f t="shared" si="17"/>
        <v>70288.860803637537</v>
      </c>
      <c r="DE157" s="143">
        <f>DD157+(DN157-DD157)*(DE1-DD1)/(DN1-DD1)</f>
        <v>69757.417116447934</v>
      </c>
      <c r="DF157" s="143">
        <f>DD157+(DN157-DD157)*(DF1-DD1)/(DN1-DD1)</f>
        <v>69225.973429258345</v>
      </c>
      <c r="DG157" s="143">
        <f>DD157+(DN157-DD157)*(DG1-DD1)/(DN1-DD1)</f>
        <v>68694.529742068742</v>
      </c>
      <c r="DH157" s="143">
        <f>DD157+(DN157-DD157)*(DH1-DD1)/(DN1-DD1)</f>
        <v>68163.086054879153</v>
      </c>
      <c r="DI157" s="143">
        <f>DD157+(DN157-DD157)*(DI1-DD1)/(DN1-DD1)</f>
        <v>67631.64236768955</v>
      </c>
      <c r="DJ157" s="143">
        <f>DD157+(DN157-DD157)*(DJ1-DD1)/(DN1-DD1)</f>
        <v>67100.198680499947</v>
      </c>
      <c r="DK157" s="143">
        <f>DD157+(DN157-DD157)*(DK1-DD1)/(DN1-DD1)</f>
        <v>66568.754993310358</v>
      </c>
      <c r="DL157" s="143">
        <f>DD157+(DN157-DD157)*(DL1-DD1)/(DN1-DD1)</f>
        <v>66037.311306120755</v>
      </c>
      <c r="DM157" s="143">
        <f>DD157+(DN157-DD157)*(DM1-DD1)/(DN1-DD1)</f>
        <v>65505.867618931159</v>
      </c>
      <c r="DN157" s="144">
        <f t="shared" si="18"/>
        <v>64974.423931741563</v>
      </c>
      <c r="DO157" s="143">
        <f>DN157+(DX157-DN157)*(DO1-DN1)/(DX1-DN1)</f>
        <v>64421.569804384104</v>
      </c>
      <c r="DP157" s="143">
        <f>DN157+(DX157-DN157)*(DP1-DN1)/(DX1-DN1)</f>
        <v>63868.715677026652</v>
      </c>
      <c r="DQ157" s="143">
        <f>DN157+(DX157-DN157)*(DQ1-DN1)/(DX1-DN1)</f>
        <v>63315.861549669193</v>
      </c>
      <c r="DR157" s="143">
        <f>DN157+(DX157-DN157)*(DR1-DN1)/(DX1-DN1)</f>
        <v>62763.007422311734</v>
      </c>
      <c r="DS157" s="143">
        <f>DN157+(DX157-DN157)*(DS1-DN1)/(DX1-DN1)</f>
        <v>62210.153294954274</v>
      </c>
      <c r="DT157" s="143">
        <f>DN157+(DX157-DN157)*(DT1-DN1)/(DX1-DN1)</f>
        <v>61657.299167596822</v>
      </c>
      <c r="DU157" s="143">
        <f>DN157+(DX157-DN157)*(DU1-DN1)/(DX1-DN1)</f>
        <v>61104.445040239363</v>
      </c>
      <c r="DV157" s="143">
        <f>DN157+(DX157-DN157)*(DV1-DN1)/(DX1-DN1)</f>
        <v>60551.590912881904</v>
      </c>
      <c r="DW157" s="143">
        <f>DN157+(DX157-DN157)*(DW1-DN1)/(DX1-DN1)</f>
        <v>59998.736785524452</v>
      </c>
      <c r="DX157" s="145">
        <f t="shared" si="19"/>
        <v>59445.882658166993</v>
      </c>
      <c r="DY157" s="140"/>
      <c r="DZ157" s="142">
        <f t="shared" si="20"/>
        <v>71426</v>
      </c>
      <c r="EA157" s="143">
        <f>DZ157+(EE157-DZ157)*(EA1-DZ1)/(EE1-DZ1)</f>
        <v>72037</v>
      </c>
      <c r="EB157" s="143">
        <f>DZ157+(EE157-DZ157)*(EB1-DZ1)/(EE1-DZ1)</f>
        <v>72648</v>
      </c>
      <c r="EC157" s="143">
        <f>DZ157+(EE157-DZ157)*(EC1-DZ1)/(EE1-DZ1)</f>
        <v>73259</v>
      </c>
      <c r="ED157" s="143">
        <f>DZ157+(EE157-DZ157)*(ED1-DZ1)/(EE1-DZ1)</f>
        <v>73870</v>
      </c>
      <c r="EE157" s="144">
        <f t="shared" si="21"/>
        <v>74481</v>
      </c>
      <c r="EF157" s="143">
        <f>EE157+(EO157-EE157)*(EF1-EE1)/(EO1-EE1)</f>
        <v>74061.78608036376</v>
      </c>
      <c r="EG157" s="143">
        <f>EE157+(EO157-EE157)*(EG1-EE1)/(EO1-EE1)</f>
        <v>73642.572160727505</v>
      </c>
      <c r="EH157" s="143">
        <f>EE157+(EO157-EE157)*(EH1-EE1)/(EO1-EE1)</f>
        <v>73223.358241091264</v>
      </c>
      <c r="EI157" s="143">
        <f>EE157+(EO157-EE157)*(EI1-EE1)/(EO1-EE1)</f>
        <v>72804.144321455009</v>
      </c>
      <c r="EJ157" s="143">
        <f>EE157+(EO157-EE157)*(EJ1-EE1)/(EO1-EE1)</f>
        <v>72384.930401818769</v>
      </c>
      <c r="EK157" s="143">
        <f>EE157+(EO157-EE157)*(EK1-EE1)/(EO1-EE1)</f>
        <v>71965.716482182528</v>
      </c>
      <c r="EL157" s="143">
        <f>EE157+(EO157-EE157)*(EL1-EE1)/(EO1-EE1)</f>
        <v>71546.502562546273</v>
      </c>
      <c r="EM157" s="143">
        <f>EE157+(EO157-EE157)*(EM1-EE1)/(EO1-EE1)</f>
        <v>71127.288642910033</v>
      </c>
      <c r="EN157" s="143">
        <f>EE157+(EO157-EE157)*(EN1-EE1)/(EO1-EE1)</f>
        <v>70708.074723273778</v>
      </c>
      <c r="EO157" s="144">
        <f t="shared" si="22"/>
        <v>70288.860803637537</v>
      </c>
      <c r="EP157" s="143">
        <f>EO157+(EY157-EO157)*(EP1-EO1)/(EY1-EO1)</f>
        <v>69757.417116447934</v>
      </c>
      <c r="EQ157" s="143">
        <f>EO157+(EY157-EO157)*(EQ1-EO1)/(EY1-EO1)</f>
        <v>69225.973429258345</v>
      </c>
      <c r="ER157" s="143">
        <f>EO157+(EY157-EO157)*(ER1-EO1)/(EY1-EO1)</f>
        <v>68694.529742068742</v>
      </c>
      <c r="ES157" s="143">
        <f>EO157+(EY157-EO157)*(ES1-EO1)/(EY1-EO1)</f>
        <v>68163.086054879153</v>
      </c>
      <c r="ET157" s="143">
        <f>EO157+(EY157-EO157)*(ET1-EO1)/(EY1-EO1)</f>
        <v>67631.64236768955</v>
      </c>
      <c r="EU157" s="143">
        <f>EO157+(EY157-EO157)*(EU1-EO1)/(EY1-EO1)</f>
        <v>67100.198680499947</v>
      </c>
      <c r="EV157" s="143">
        <f>EO157+(EY157-EO157)*(EV1-EO1)/(EY1-EO1)</f>
        <v>66568.754993310358</v>
      </c>
      <c r="EW157" s="143">
        <f>EO157+(EY157-EO157)*(EW1-EO1)/(EY1-EO1)</f>
        <v>66037.311306120755</v>
      </c>
      <c r="EX157" s="143">
        <f>EO157+(EY157-EO157)*(EX1-EO1)/(EY1-EO1)</f>
        <v>65505.867618931159</v>
      </c>
      <c r="EY157" s="144">
        <f t="shared" si="23"/>
        <v>64974.423931741563</v>
      </c>
      <c r="EZ157" s="143">
        <f>EY157+(FI157-EY157)*(EZ1-EY1)/(FI1-EY1)</f>
        <v>64421.569804384104</v>
      </c>
      <c r="FA157" s="143">
        <f>EY157+(FI157-EY157)*(FA1-EY1)/(FI1-EY1)</f>
        <v>63868.715677026652</v>
      </c>
      <c r="FB157" s="143">
        <f>EY157+(FI157-EY157)*(FB1-EY1)/(FI1-EY1)</f>
        <v>63315.861549669193</v>
      </c>
      <c r="FC157" s="143">
        <f>EY157+(FI157-EY157)*(FC1-EY1)/(FI1-EY1)</f>
        <v>62763.007422311734</v>
      </c>
      <c r="FD157" s="143">
        <f>EY157+(FI157-EY157)*(FD1-EY1)/(FI1-EY1)</f>
        <v>62210.153294954274</v>
      </c>
      <c r="FE157" s="143">
        <f>EY157+(FI157-EY157)*(FE1-EY1)/(FI1-EY1)</f>
        <v>61657.299167596822</v>
      </c>
      <c r="FF157" s="143">
        <f>EY157+(FI157-EY157)*(FF1-EY1)/(FI1-EY1)</f>
        <v>61104.445040239363</v>
      </c>
      <c r="FG157" s="143">
        <f>EY157+(FI157-EY157)*(FG1-EY1)/(FI1-EY1)</f>
        <v>60551.590912881904</v>
      </c>
      <c r="FH157" s="143">
        <f>EY157+(FI157-EY157)*(FH1-EY1)/(FI1-EY1)</f>
        <v>59998.736785524452</v>
      </c>
      <c r="FI157" s="145">
        <f t="shared" si="24"/>
        <v>59445.882658166993</v>
      </c>
      <c r="FJ157" s="140"/>
      <c r="FK157" s="142">
        <f t="shared" si="25"/>
        <v>71426</v>
      </c>
      <c r="FL157" s="143">
        <f>FK157+(FP157-FK157)*(FL1-FK1)/(FP1-FK1)</f>
        <v>72037</v>
      </c>
      <c r="FM157" s="143">
        <f>FK157+(FP157-FK157)*(FM1-FK1)/(FP1-FK1)</f>
        <v>72648</v>
      </c>
      <c r="FN157" s="143">
        <f>FK157+(FP157-FK157)*(FN1-FK1)/(FP1-FK1)</f>
        <v>73259</v>
      </c>
      <c r="FO157" s="143">
        <f>FK157+(FP157-FK157)*(FO1-FK1)/(FP1-FK1)</f>
        <v>73870</v>
      </c>
      <c r="FP157" s="144">
        <f t="shared" si="26"/>
        <v>74481</v>
      </c>
      <c r="FQ157" s="143">
        <f>FP157+(FZ157-FP157)*(FQ1-FP1)/(FZ1-FP1)</f>
        <v>74804.931616499394</v>
      </c>
      <c r="FR157" s="143">
        <f>FP157+(FZ157-FP157)*(FR1-FP1)/(FZ1-FP1)</f>
        <v>75128.863232998789</v>
      </c>
      <c r="FS157" s="143">
        <f>FP157+(FZ157-FP157)*(FS1-FP1)/(FZ1-FP1)</f>
        <v>75452.794849498183</v>
      </c>
      <c r="FT157" s="143">
        <f>FP157+(FZ157-FP157)*(FT1-FP1)/(FZ1-FP1)</f>
        <v>75776.726465997577</v>
      </c>
      <c r="FU157" s="143">
        <f>FP157+(FZ157-FP157)*(FU1-FP1)/(FZ1-FP1)</f>
        <v>76100.658082496986</v>
      </c>
      <c r="FV157" s="143">
        <f>FP157+(FZ157-FP157)*(FV1-FP1)/(FZ1-FP1)</f>
        <v>76424.58969899638</v>
      </c>
      <c r="FW157" s="143">
        <f>FP157+(FZ157-FP157)*(FW1-FP1)/(FZ1-FP1)</f>
        <v>76748.521315495775</v>
      </c>
      <c r="FX157" s="143">
        <f>FP157+(FZ157-FP157)*(FX1-FP1)/(FZ1-FP1)</f>
        <v>77072.452931995169</v>
      </c>
      <c r="FY157" s="143">
        <f>FP157+(FZ157-FP157)*(FY1-FP1)/(FZ1-FP1)</f>
        <v>77396.384548494563</v>
      </c>
      <c r="FZ157" s="144">
        <f t="shared" si="27"/>
        <v>77720.316164993957</v>
      </c>
      <c r="GA157" s="143">
        <f>FZ157+(GJ157-FZ157)*(GA1-FZ1)/(GJ1-FZ1)</f>
        <v>77892.271932024683</v>
      </c>
      <c r="GB157" s="143">
        <f>FZ157+(GJ157-FZ157)*(GB1-FZ1)/(GJ1-FZ1)</f>
        <v>78064.227699055409</v>
      </c>
      <c r="GC157" s="143">
        <f>FZ157+(GJ157-FZ157)*(GC1-FZ1)/(GJ1-FZ1)</f>
        <v>78236.183466086135</v>
      </c>
      <c r="GD157" s="143">
        <f>FZ157+(GJ157-FZ157)*(GD1-FZ1)/(GJ1-FZ1)</f>
        <v>78408.139233116861</v>
      </c>
      <c r="GE157" s="143">
        <f>FZ157+(GJ157-FZ157)*(GE1-FZ1)/(GJ1-FZ1)</f>
        <v>78580.095000147587</v>
      </c>
      <c r="GF157" s="143">
        <f>FZ157+(GJ157-FZ157)*(GF1-FZ1)/(GJ1-FZ1)</f>
        <v>78752.050767178298</v>
      </c>
      <c r="GG157" s="143">
        <f>FZ157+(GJ157-FZ157)*(GG1-FZ1)/(GJ1-FZ1)</f>
        <v>78924.006534209024</v>
      </c>
      <c r="GH157" s="143">
        <f>FZ157+(GJ157-FZ157)*(GH1-FZ1)/(GJ1-FZ1)</f>
        <v>79095.96230123975</v>
      </c>
      <c r="GI157" s="143">
        <f>FZ157+(GJ157-FZ157)*(GI1-FZ1)/(GJ1-FZ1)</f>
        <v>79267.918068270475</v>
      </c>
      <c r="GJ157" s="144">
        <f t="shared" si="28"/>
        <v>79439.873835301201</v>
      </c>
      <c r="GK157" s="143">
        <f>GJ157+(GT157-GJ157)*(GK1-GJ1)/(GT1-GJ1)</f>
        <v>79532.367815957565</v>
      </c>
      <c r="GL157" s="143">
        <f>GJ157+(GT157-GJ157)*(GL1-GJ1)/(GT1-GJ1)</f>
        <v>79624.861796613928</v>
      </c>
      <c r="GM157" s="143">
        <f>GJ157+(GT157-GJ157)*(GM1-GJ1)/(GT1-GJ1)</f>
        <v>79717.355777270306</v>
      </c>
      <c r="GN157" s="143">
        <f>GJ157+(GT157-GJ157)*(GN1-GJ1)/(GT1-GJ1)</f>
        <v>79809.84975792667</v>
      </c>
      <c r="GO157" s="143">
        <f>GJ157+(GT157-GJ157)*(GO1-GJ1)/(GT1-GJ1)</f>
        <v>79902.343738583033</v>
      </c>
      <c r="GP157" s="143">
        <f>GJ157+(GT157-GJ157)*(GP1-GJ1)/(GT1-GJ1)</f>
        <v>79994.837719239396</v>
      </c>
      <c r="GQ157" s="143">
        <f>GJ157+(GT157-GJ157)*(GQ1-GJ1)/(GT1-GJ1)</f>
        <v>80087.33169989576</v>
      </c>
      <c r="GR157" s="143">
        <f>GJ157+(GT157-GJ157)*(GR1-GJ1)/(GT1-GJ1)</f>
        <v>80179.825680552138</v>
      </c>
      <c r="GS157" s="143">
        <f>GJ157+(GT157-GJ157)*(GS1-GJ1)/(GT1-GJ1)</f>
        <v>80272.319661208501</v>
      </c>
      <c r="GT157" s="145">
        <f t="shared" si="29"/>
        <v>80364.813641864865</v>
      </c>
      <c r="GU157" s="140"/>
      <c r="GV157" s="142">
        <f t="shared" si="30"/>
        <v>71426</v>
      </c>
      <c r="GW157" s="143">
        <f>GV157+(HA157-GV157)*(GW1-GV1)/(HA1-GV1)</f>
        <v>72037</v>
      </c>
      <c r="GX157" s="143">
        <f>GV157+(HA157-GV157)*(GX1-GV1)/(HA1-GV1)</f>
        <v>72648</v>
      </c>
      <c r="GY157" s="143">
        <f>GV157+(HA157-GV157)*(GY1-GV1)/(HA1-GV1)</f>
        <v>73259</v>
      </c>
      <c r="GZ157" s="143">
        <f>GV157+(HA157-GV157)*(GZ1-GV1)/(HA1-GV1)</f>
        <v>73870</v>
      </c>
      <c r="HA157" s="144">
        <f t="shared" si="31"/>
        <v>74481</v>
      </c>
      <c r="HB157" s="143">
        <f>HA157+(HK157-HA157)*(HB1-HA1)/(HK1-HA1)</f>
        <v>75795.994053526825</v>
      </c>
      <c r="HC157" s="143">
        <f>HA157+(HK157-HA157)*(HC1-HA1)/(HK1-HA1)</f>
        <v>77110.98810705365</v>
      </c>
      <c r="HD157" s="143">
        <f>HA157+(HK157-HA157)*(HD1-HA1)/(HK1-HA1)</f>
        <v>78425.982160580475</v>
      </c>
      <c r="HE157" s="143">
        <f>HA157+(HK157-HA157)*(HE1-HA1)/(HK1-HA1)</f>
        <v>79740.976214107301</v>
      </c>
      <c r="HF157" s="143">
        <f>HA157+(HK157-HA157)*(HF1-HA1)/(HK1-HA1)</f>
        <v>81055.97026763414</v>
      </c>
      <c r="HG157" s="143">
        <f>HA157+(HK157-HA157)*(HG1-HA1)/(HK1-HA1)</f>
        <v>82370.964321160965</v>
      </c>
      <c r="HH157" s="143">
        <f>HA157+(HK157-HA157)*(HH1-HA1)/(HK1-HA1)</f>
        <v>83685.958374687791</v>
      </c>
      <c r="HI157" s="143">
        <f>HA157+(HK157-HA157)*(HI1-HA1)/(HK1-HA1)</f>
        <v>85000.952428214616</v>
      </c>
      <c r="HJ157" s="143">
        <f>HA157+(HK157-HA157)*(HJ1-HA1)/(HK1-HA1)</f>
        <v>86315.946481741441</v>
      </c>
      <c r="HK157" s="144">
        <f t="shared" si="32"/>
        <v>87630.940535268266</v>
      </c>
      <c r="HL157" s="143">
        <f>HK157+(HU157-HK157)*(HL1-HK1)/(HU1-HK1)</f>
        <v>88966.98605689792</v>
      </c>
      <c r="HM157" s="143">
        <f>HK157+(HU157-HK157)*(HM1-HK1)/(HU1-HK1)</f>
        <v>90303.031578527574</v>
      </c>
      <c r="HN157" s="143">
        <f>HK157+(HU157-HK157)*(HN1-HK1)/(HU1-HK1)</f>
        <v>91639.077100157214</v>
      </c>
      <c r="HO157" s="143">
        <f>HK157+(HU157-HK157)*(HO1-HK1)/(HU1-HK1)</f>
        <v>92975.122621786868</v>
      </c>
      <c r="HP157" s="143">
        <f>HK157+(HU157-HK157)*(HP1-HK1)/(HU1-HK1)</f>
        <v>94311.168143416522</v>
      </c>
      <c r="HQ157" s="143">
        <f>HK157+(HU157-HK157)*(HQ1-HK1)/(HU1-HK1)</f>
        <v>95647.213665046176</v>
      </c>
      <c r="HR157" s="143">
        <f>HK157+(HU157-HK157)*(HR1-HK1)/(HU1-HK1)</f>
        <v>96983.25918667583</v>
      </c>
      <c r="HS157" s="143">
        <f>HK157+(HU157-HK157)*(HS1-HK1)/(HU1-HK1)</f>
        <v>98319.30470830547</v>
      </c>
      <c r="HT157" s="143">
        <f>HK157+(HU157-HK157)*(HT1-HK1)/(HU1-HK1)</f>
        <v>99655.350229935124</v>
      </c>
      <c r="HU157" s="144">
        <f t="shared" si="33"/>
        <v>100991.39575156478</v>
      </c>
      <c r="HV157" s="143">
        <f>HU157+(IE157-HU157)*(HV1-HU1)/(IE1-HU1)</f>
        <v>102411.78418254392</v>
      </c>
      <c r="HW157" s="143">
        <f>HU157+(IE157-HU157)*(HW1-HU1)/(IE1-HU1)</f>
        <v>103832.17261352307</v>
      </c>
      <c r="HX157" s="143">
        <f>HU157+(IE157-HU157)*(HX1-HU1)/(IE1-HU1)</f>
        <v>105252.56104450223</v>
      </c>
      <c r="HY157" s="143">
        <f>HU157+(IE157-HU157)*(HY1-HU1)/(IE1-HU1)</f>
        <v>106672.94947548138</v>
      </c>
      <c r="HZ157" s="143">
        <f>HU157+(IE157-HU157)*(HZ1-HU1)/(IE1-HU1)</f>
        <v>108093.33790646053</v>
      </c>
      <c r="IA157" s="143">
        <f>HU157+(IE157-HU157)*(IA1-HU1)/(IE1-HU1)</f>
        <v>109513.72633743967</v>
      </c>
      <c r="IB157" s="143">
        <f>HU157+(IE157-HU157)*(IB1-HU1)/(IE1-HU1)</f>
        <v>110934.11476841882</v>
      </c>
      <c r="IC157" s="143">
        <f>HU157+(IE157-HU157)*(IC1-HU1)/(IE1-HU1)</f>
        <v>112354.50319939798</v>
      </c>
      <c r="ID157" s="143">
        <f>HU157+(IE157-HU157)*(ID1-HU1)/(IE1-HU1)</f>
        <v>113774.89163037713</v>
      </c>
      <c r="IE157" s="145">
        <f t="shared" si="34"/>
        <v>115195.28006135627</v>
      </c>
      <c r="IF157" s="140"/>
      <c r="IG157" s="146"/>
      <c r="IH157" s="143"/>
      <c r="II157" s="143"/>
      <c r="IJ157" s="143"/>
      <c r="IK157" s="143"/>
      <c r="IL157" s="144">
        <v>79312.648260000205</v>
      </c>
      <c r="IM157" s="143"/>
      <c r="IN157" s="143"/>
      <c r="IO157" s="143"/>
      <c r="IP157" s="143"/>
      <c r="IQ157" s="143"/>
      <c r="IR157" s="143"/>
      <c r="IS157" s="143"/>
      <c r="IT157" s="143"/>
      <c r="IU157" s="143"/>
      <c r="IV157" s="144">
        <v>80992.902664827197</v>
      </c>
      <c r="IW157" s="143"/>
      <c r="IX157" s="143"/>
      <c r="IY157" s="143"/>
      <c r="IZ157" s="143"/>
      <c r="JA157" s="143"/>
      <c r="JB157" s="143"/>
      <c r="JC157" s="143"/>
      <c r="JD157" s="143"/>
      <c r="JE157" s="143"/>
      <c r="JF157" s="144">
        <v>81982.052933924104</v>
      </c>
      <c r="JG157" s="143"/>
      <c r="JH157" s="143"/>
      <c r="JI157" s="143"/>
      <c r="JJ157" s="143"/>
      <c r="JK157" s="143"/>
      <c r="JL157" s="143"/>
      <c r="JM157" s="143"/>
      <c r="JN157" s="143"/>
      <c r="JO157" s="143"/>
      <c r="JP157" s="145">
        <v>81124.705426140499</v>
      </c>
      <c r="JQ157" s="140"/>
      <c r="JR157" s="142"/>
      <c r="JS157" s="143"/>
      <c r="JT157" s="143"/>
      <c r="JU157" s="143"/>
      <c r="JV157" s="143"/>
      <c r="JW157" s="144">
        <v>79312.648260000205</v>
      </c>
      <c r="JX157" s="143">
        <f t="shared" si="35"/>
        <v>79383.629105365937</v>
      </c>
      <c r="JY157" s="143">
        <f t="shared" si="35"/>
        <v>79454.609950731669</v>
      </c>
      <c r="JZ157" s="143">
        <f t="shared" si="35"/>
        <v>79525.5907960974</v>
      </c>
      <c r="KA157" s="143">
        <f t="shared" si="35"/>
        <v>79596.571641463132</v>
      </c>
      <c r="KB157" s="143">
        <f t="shared" si="35"/>
        <v>79667.552486828848</v>
      </c>
      <c r="KC157" s="143">
        <f t="shared" si="35"/>
        <v>79738.53333219458</v>
      </c>
      <c r="KD157" s="143">
        <f t="shared" si="35"/>
        <v>79809.514177560312</v>
      </c>
      <c r="KE157" s="143">
        <f t="shared" si="35"/>
        <v>79880.495022926043</v>
      </c>
      <c r="KF157" s="143">
        <f t="shared" si="35"/>
        <v>79951.475868291775</v>
      </c>
      <c r="KG157" s="144">
        <v>80022.456713657506</v>
      </c>
      <c r="KH157" s="143">
        <f t="shared" si="36"/>
        <v>80081.602687604609</v>
      </c>
      <c r="KI157" s="143">
        <f t="shared" si="36"/>
        <v>80140.748661551726</v>
      </c>
      <c r="KJ157" s="143">
        <f t="shared" si="36"/>
        <v>80199.894635498829</v>
      </c>
      <c r="KK157" s="143">
        <f t="shared" si="36"/>
        <v>80259.040609445947</v>
      </c>
      <c r="KL157" s="143">
        <f t="shared" si="36"/>
        <v>80318.18658339305</v>
      </c>
      <c r="KM157" s="143">
        <f t="shared" si="36"/>
        <v>80377.332557340153</v>
      </c>
      <c r="KN157" s="143">
        <f t="shared" si="36"/>
        <v>80436.47853128727</v>
      </c>
      <c r="KO157" s="143">
        <f t="shared" si="36"/>
        <v>80495.624505234373</v>
      </c>
      <c r="KP157" s="143">
        <f t="shared" si="36"/>
        <v>80554.77047918149</v>
      </c>
      <c r="KQ157" s="144">
        <v>80613.916453128593</v>
      </c>
      <c r="KR157" s="143">
        <f t="shared" si="37"/>
        <v>80499.776789985772</v>
      </c>
      <c r="KS157" s="143">
        <f t="shared" si="37"/>
        <v>80385.637126842936</v>
      </c>
      <c r="KT157" s="143">
        <f t="shared" si="37"/>
        <v>80271.4974637001</v>
      </c>
      <c r="KU157" s="143">
        <f t="shared" si="37"/>
        <v>80157.357800557278</v>
      </c>
      <c r="KV157" s="143">
        <f t="shared" si="37"/>
        <v>80043.218137414457</v>
      </c>
      <c r="KW157" s="143">
        <f t="shared" si="37"/>
        <v>79929.078474271621</v>
      </c>
      <c r="KX157" s="143">
        <f t="shared" si="37"/>
        <v>79814.938811128784</v>
      </c>
      <c r="KY157" s="143">
        <f t="shared" si="37"/>
        <v>79700.799147985963</v>
      </c>
      <c r="KZ157" s="143">
        <f t="shared" si="37"/>
        <v>79586.659484843141</v>
      </c>
      <c r="LA157" s="145">
        <v>79472.519821700305</v>
      </c>
      <c r="LB157" s="140"/>
      <c r="LC157" s="142"/>
      <c r="LD157" s="143"/>
      <c r="LE157" s="143"/>
      <c r="LF157" s="143"/>
      <c r="LG157" s="143"/>
      <c r="LH157" s="144"/>
      <c r="LI157" s="143"/>
      <c r="LJ157" s="143"/>
      <c r="LK157" s="143"/>
      <c r="LL157" s="143"/>
      <c r="LM157" s="143"/>
      <c r="LN157" s="143"/>
      <c r="LO157" s="143"/>
      <c r="LP157" s="143"/>
      <c r="LQ157" s="143"/>
      <c r="LR157" s="144"/>
      <c r="LS157" s="143"/>
      <c r="LT157" s="143"/>
      <c r="LU157" s="143"/>
      <c r="LV157" s="143"/>
      <c r="LW157" s="143"/>
      <c r="LX157" s="143"/>
      <c r="LY157" s="143"/>
      <c r="LZ157" s="143"/>
      <c r="MA157" s="143"/>
      <c r="MB157" s="144"/>
      <c r="MC157" s="143"/>
      <c r="MD157" s="143"/>
      <c r="ME157" s="143"/>
      <c r="MF157" s="143"/>
      <c r="MG157" s="143"/>
      <c r="MH157" s="143"/>
      <c r="MI157" s="143"/>
      <c r="MJ157" s="143"/>
      <c r="MK157" s="143"/>
      <c r="ML157" s="145"/>
    </row>
    <row r="158" spans="2:350" s="4" customFormat="1" ht="18" customHeight="1" x14ac:dyDescent="0.3">
      <c r="C158" s="136" t="s">
        <v>83</v>
      </c>
      <c r="E158" s="137" t="s">
        <v>105</v>
      </c>
      <c r="F158" s="138" t="s">
        <v>105</v>
      </c>
      <c r="H158" s="139"/>
      <c r="I158" s="140"/>
      <c r="J158" s="140"/>
      <c r="K158" s="140"/>
      <c r="L158" s="140"/>
      <c r="M158" s="140"/>
      <c r="N158" s="140"/>
      <c r="O158" s="140"/>
      <c r="P158" s="140"/>
      <c r="Q158" s="141"/>
      <c r="R158" s="140"/>
      <c r="S158" s="139"/>
      <c r="T158" s="140"/>
      <c r="U158" s="140"/>
      <c r="V158" s="140"/>
      <c r="W158" s="140"/>
      <c r="X158" s="140"/>
      <c r="Y158" s="140"/>
      <c r="Z158" s="140"/>
      <c r="AA158" s="140"/>
      <c r="AB158" s="140"/>
      <c r="AC158" s="140"/>
      <c r="AD158" s="140"/>
      <c r="AE158" s="140"/>
      <c r="AF158" s="140"/>
      <c r="AG158" s="140"/>
      <c r="AH158" s="140"/>
      <c r="AI158" s="140"/>
      <c r="AJ158" s="140"/>
      <c r="AK158" s="140"/>
      <c r="AL158" s="140"/>
      <c r="AM158" s="140"/>
      <c r="AN158" s="140"/>
      <c r="AO158" s="140"/>
      <c r="AP158" s="140"/>
      <c r="AQ158" s="140"/>
      <c r="AR158" s="140"/>
      <c r="AS158" s="140"/>
      <c r="AT158" s="140"/>
      <c r="AU158" s="140"/>
      <c r="AV158" s="140"/>
      <c r="AW158" s="140"/>
      <c r="AX158" s="140"/>
      <c r="AY158" s="140"/>
      <c r="AZ158" s="140"/>
      <c r="BA158" s="140"/>
      <c r="BB158" s="141"/>
      <c r="BC158" s="140"/>
      <c r="BD158" s="142">
        <f t="shared" si="10"/>
        <v>25399</v>
      </c>
      <c r="BE158" s="143">
        <f>BD158+(BI158-BD158)*(BE1-BD1)/(BI1-BD1)</f>
        <v>25487.060639581654</v>
      </c>
      <c r="BF158" s="143">
        <f>BD158+(BI158-BD158)*(BF1-BD1)/(BI1-BD1)</f>
        <v>25575.121279163308</v>
      </c>
      <c r="BG158" s="143">
        <f>BD158+(BI158-BD158)*(BG1-BD1)/(BI1-BD1)</f>
        <v>25663.181918744958</v>
      </c>
      <c r="BH158" s="143">
        <f>BD158+(BI158-BD158)*(BH1-BD1)/(BI1-BD1)</f>
        <v>25751.242558326612</v>
      </c>
      <c r="BI158" s="144">
        <f t="shared" si="11"/>
        <v>25839.303197908266</v>
      </c>
      <c r="BJ158" s="143">
        <f>BI158+(BS158-BI158)*(BJ1-BI1)/(BS1-BI1)</f>
        <v>25849.599727504676</v>
      </c>
      <c r="BK158" s="143">
        <f>BI158+(BS158-BI158)*(BK1-BI1)/(BS1-BI1)</f>
        <v>25859.896257101089</v>
      </c>
      <c r="BL158" s="143">
        <f>BI158+(BS158-BI158)*(BL1-BI1)/(BS1-BI1)</f>
        <v>25870.192786697498</v>
      </c>
      <c r="BM158" s="143">
        <f>BI158+(BS158-BI158)*(BM1-BI1)/(BS1-BI1)</f>
        <v>25880.489316293908</v>
      </c>
      <c r="BN158" s="143">
        <f>BI158+(BS158-BI158)*(BN1-BI1)/(BS1-BI1)</f>
        <v>25890.785845890321</v>
      </c>
      <c r="BO158" s="143">
        <f>BI158+(BS158-BI158)*(BO1-BI1)/(BS1-BI1)</f>
        <v>25901.082375486731</v>
      </c>
      <c r="BP158" s="143">
        <f>BI158+(BS158-BI158)*(BP1-BI1)/(BS1-BI1)</f>
        <v>25911.37890508314</v>
      </c>
      <c r="BQ158" s="143">
        <f>BI158+(BS158-BI158)*(BQ1-BI1)/(BS1-BI1)</f>
        <v>25921.67543467955</v>
      </c>
      <c r="BR158" s="143">
        <f>BI158+(BS158-BI158)*(BR1-BI1)/(BS1-BI1)</f>
        <v>25931.971964275963</v>
      </c>
      <c r="BS158" s="144">
        <f t="shared" si="12"/>
        <v>25942.268493872372</v>
      </c>
      <c r="BT158" s="143">
        <f>BS158+(CC158-BS158)*(BT1-BS1)/(CC1-BS1)</f>
        <v>25949.91980069362</v>
      </c>
      <c r="BU158" s="143">
        <f>BS158+(CC158-BS158)*(BU1-BS1)/(CC1-BS1)</f>
        <v>25957.571107514865</v>
      </c>
      <c r="BV158" s="143">
        <f>BS158+(CC158-BS158)*(BV1-BS1)/(CC1-BS1)</f>
        <v>25965.222414336109</v>
      </c>
      <c r="BW158" s="143">
        <f>BS158+(CC158-BS158)*(BW1-BS1)/(CC1-BS1)</f>
        <v>25972.873721157357</v>
      </c>
      <c r="BX158" s="143">
        <f>BS158+(CC158-BS158)*(BX1-BS1)/(CC1-BS1)</f>
        <v>25980.525027978605</v>
      </c>
      <c r="BY158" s="143">
        <f>BS158+(CC158-BS158)*(BY1-BS1)/(CC1-BS1)</f>
        <v>25988.176334799849</v>
      </c>
      <c r="BZ158" s="143">
        <f>BS158+(CC158-BS158)*(BZ1-BS1)/(CC1-BS1)</f>
        <v>25995.827641621094</v>
      </c>
      <c r="CA158" s="143">
        <f>BS158+(CC158-BS158)*(CA1-BS1)/(CC1-BS1)</f>
        <v>26003.478948442342</v>
      </c>
      <c r="CB158" s="143">
        <f>BS158+(CC158-BS158)*(CB1-BS1)/(CC1-BS1)</f>
        <v>26011.13025526359</v>
      </c>
      <c r="CC158" s="144">
        <f t="shared" si="13"/>
        <v>26018.781562084834</v>
      </c>
      <c r="CD158" s="143">
        <f>CC158+(CM158-CC158)*(CD1-CC1)/(CM1-CC1)</f>
        <v>26026.235670276666</v>
      </c>
      <c r="CE158" s="143">
        <f>CC158+(CM158-CC158)*(CE1-CC1)/(CM1-CC1)</f>
        <v>26033.689778468499</v>
      </c>
      <c r="CF158" s="143">
        <f>CC158+(CM158-CC158)*(CF1-CC1)/(CM1-CC1)</f>
        <v>26041.143886660335</v>
      </c>
      <c r="CG158" s="143">
        <f>CC158+(CM158-CC158)*(CG1-CC1)/(CM1-CC1)</f>
        <v>26048.597994852167</v>
      </c>
      <c r="CH158" s="143">
        <f>CC158+(CM158-CC158)*(CH1-CC1)/(CM1-CC1)</f>
        <v>26056.052103044</v>
      </c>
      <c r="CI158" s="143">
        <f>CC158+(CM158-CC158)*(CI1-CC1)/(CM1-CC1)</f>
        <v>26063.506211235832</v>
      </c>
      <c r="CJ158" s="143">
        <f>CC158+(CM158-CC158)*(CJ1-CC1)/(CM1-CC1)</f>
        <v>26070.960319427664</v>
      </c>
      <c r="CK158" s="143">
        <f>CC158+(CM158-CC158)*(CK1-CC1)/(CM1-CC1)</f>
        <v>26078.4144276195</v>
      </c>
      <c r="CL158" s="143">
        <f>CC158+(CM158-CC158)*(CL1-CC1)/(CM1-CC1)</f>
        <v>26085.868535811333</v>
      </c>
      <c r="CM158" s="145">
        <f t="shared" si="14"/>
        <v>26093.322644003165</v>
      </c>
      <c r="CN158" s="140"/>
      <c r="CO158" s="142">
        <f t="shared" si="15"/>
        <v>25399</v>
      </c>
      <c r="CP158" s="143">
        <f>CO158+(CT158-CO158)*(CP1-CO1)/(CT1-CO1)</f>
        <v>25487.060639581654</v>
      </c>
      <c r="CQ158" s="143">
        <f>CO158+(CT158-CO158)*(CQ1-CO1)/(CT1-CO1)</f>
        <v>25575.121279163308</v>
      </c>
      <c r="CR158" s="143">
        <f>CO158+(CT158-CO158)*(CR1-CO1)/(CT1-CO1)</f>
        <v>25663.181918744958</v>
      </c>
      <c r="CS158" s="143">
        <f>CO158+(CT158-CO158)*(CS1-CO1)/(CT1-CO1)</f>
        <v>25751.242558326612</v>
      </c>
      <c r="CT158" s="144">
        <f t="shared" si="16"/>
        <v>25839.303197908266</v>
      </c>
      <c r="CU158" s="143">
        <f>CT158+(DD158-CT158)*(CU1-CT1)/(DD1-CT1)</f>
        <v>25849.599727504676</v>
      </c>
      <c r="CV158" s="143">
        <f>CT158+(DD158-CT158)*(CV1-CT1)/(DD1-CT1)</f>
        <v>25859.896257101089</v>
      </c>
      <c r="CW158" s="143">
        <f>CT158+(DD158-CT158)*(CW1-CT1)/(DD1-CT1)</f>
        <v>25870.192786697498</v>
      </c>
      <c r="CX158" s="143">
        <f>CT158+(DD158-CT158)*(CX1-CT1)/(DD1-CT1)</f>
        <v>25880.489316293908</v>
      </c>
      <c r="CY158" s="143">
        <f>CT158+(DD158-CT158)*(CY1-CT1)/(DD1-CT1)</f>
        <v>25890.785845890321</v>
      </c>
      <c r="CZ158" s="143">
        <f>CT158+(DD158-CT158)*(CZ1-CT1)/(DD1-CT1)</f>
        <v>25901.082375486731</v>
      </c>
      <c r="DA158" s="143">
        <f>CT158+(DD158-CT158)*(DA1-CT1)/(DD1-CT1)</f>
        <v>25911.37890508314</v>
      </c>
      <c r="DB158" s="143">
        <f>CT158+(DD158-CT158)*(DB1-CT1)/(DD1-CT1)</f>
        <v>25921.67543467955</v>
      </c>
      <c r="DC158" s="143">
        <f>CT158+(DD158-CT158)*(DC1-CT1)/(DD1-CT1)</f>
        <v>25931.971964275963</v>
      </c>
      <c r="DD158" s="144">
        <f t="shared" si="17"/>
        <v>25942.268493872372</v>
      </c>
      <c r="DE158" s="143">
        <f>DD158+(DN158-DD158)*(DE1-DD1)/(DN1-DD1)</f>
        <v>25949.91980069362</v>
      </c>
      <c r="DF158" s="143">
        <f>DD158+(DN158-DD158)*(DF1-DD1)/(DN1-DD1)</f>
        <v>25957.571107514865</v>
      </c>
      <c r="DG158" s="143">
        <f>DD158+(DN158-DD158)*(DG1-DD1)/(DN1-DD1)</f>
        <v>25965.222414336109</v>
      </c>
      <c r="DH158" s="143">
        <f>DD158+(DN158-DD158)*(DH1-DD1)/(DN1-DD1)</f>
        <v>25972.873721157357</v>
      </c>
      <c r="DI158" s="143">
        <f>DD158+(DN158-DD158)*(DI1-DD1)/(DN1-DD1)</f>
        <v>25980.525027978605</v>
      </c>
      <c r="DJ158" s="143">
        <f>DD158+(DN158-DD158)*(DJ1-DD1)/(DN1-DD1)</f>
        <v>25988.176334799849</v>
      </c>
      <c r="DK158" s="143">
        <f>DD158+(DN158-DD158)*(DK1-DD1)/(DN1-DD1)</f>
        <v>25995.827641621094</v>
      </c>
      <c r="DL158" s="143">
        <f>DD158+(DN158-DD158)*(DL1-DD1)/(DN1-DD1)</f>
        <v>26003.478948442342</v>
      </c>
      <c r="DM158" s="143">
        <f>DD158+(DN158-DD158)*(DM1-DD1)/(DN1-DD1)</f>
        <v>26011.13025526359</v>
      </c>
      <c r="DN158" s="144">
        <f t="shared" si="18"/>
        <v>26018.781562084834</v>
      </c>
      <c r="DO158" s="143">
        <f>DN158+(DX158-DN158)*(DO1-DN1)/(DX1-DN1)</f>
        <v>26026.235670276666</v>
      </c>
      <c r="DP158" s="143">
        <f>DN158+(DX158-DN158)*(DP1-DN1)/(DX1-DN1)</f>
        <v>26033.689778468499</v>
      </c>
      <c r="DQ158" s="143">
        <f>DN158+(DX158-DN158)*(DQ1-DN1)/(DX1-DN1)</f>
        <v>26041.143886660335</v>
      </c>
      <c r="DR158" s="143">
        <f>DN158+(DX158-DN158)*(DR1-DN1)/(DX1-DN1)</f>
        <v>26048.597994852167</v>
      </c>
      <c r="DS158" s="143">
        <f>DN158+(DX158-DN158)*(DS1-DN1)/(DX1-DN1)</f>
        <v>26056.052103044</v>
      </c>
      <c r="DT158" s="143">
        <f>DN158+(DX158-DN158)*(DT1-DN1)/(DX1-DN1)</f>
        <v>26063.506211235832</v>
      </c>
      <c r="DU158" s="143">
        <f>DN158+(DX158-DN158)*(DU1-DN1)/(DX1-DN1)</f>
        <v>26070.960319427664</v>
      </c>
      <c r="DV158" s="143">
        <f>DN158+(DX158-DN158)*(DV1-DN1)/(DX1-DN1)</f>
        <v>26078.4144276195</v>
      </c>
      <c r="DW158" s="143">
        <f>DN158+(DX158-DN158)*(DW1-DN1)/(DX1-DN1)</f>
        <v>26085.868535811333</v>
      </c>
      <c r="DX158" s="145">
        <f t="shared" si="19"/>
        <v>26093.322644003165</v>
      </c>
      <c r="DY158" s="140"/>
      <c r="DZ158" s="142">
        <f t="shared" si="20"/>
        <v>25399</v>
      </c>
      <c r="EA158" s="143">
        <f>DZ158+(EE158-DZ158)*(EA1-DZ1)/(EE1-DZ1)</f>
        <v>25487.060639581654</v>
      </c>
      <c r="EB158" s="143">
        <f>DZ158+(EE158-DZ158)*(EB1-DZ1)/(EE1-DZ1)</f>
        <v>25575.121279163308</v>
      </c>
      <c r="EC158" s="143">
        <f>DZ158+(EE158-DZ158)*(EC1-DZ1)/(EE1-DZ1)</f>
        <v>25663.181918744958</v>
      </c>
      <c r="ED158" s="143">
        <f>DZ158+(EE158-DZ158)*(ED1-DZ1)/(EE1-DZ1)</f>
        <v>25751.242558326612</v>
      </c>
      <c r="EE158" s="144">
        <f t="shared" si="21"/>
        <v>25839.303197908266</v>
      </c>
      <c r="EF158" s="143">
        <f>EE158+(EO158-EE158)*(EF1-EE1)/(EO1-EE1)</f>
        <v>25849.599727504676</v>
      </c>
      <c r="EG158" s="143">
        <f>EE158+(EO158-EE158)*(EG1-EE1)/(EO1-EE1)</f>
        <v>25859.896257101089</v>
      </c>
      <c r="EH158" s="143">
        <f>EE158+(EO158-EE158)*(EH1-EE1)/(EO1-EE1)</f>
        <v>25870.192786697498</v>
      </c>
      <c r="EI158" s="143">
        <f>EE158+(EO158-EE158)*(EI1-EE1)/(EO1-EE1)</f>
        <v>25880.489316293908</v>
      </c>
      <c r="EJ158" s="143">
        <f>EE158+(EO158-EE158)*(EJ1-EE1)/(EO1-EE1)</f>
        <v>25890.785845890321</v>
      </c>
      <c r="EK158" s="143">
        <f>EE158+(EO158-EE158)*(EK1-EE1)/(EO1-EE1)</f>
        <v>25901.082375486731</v>
      </c>
      <c r="EL158" s="143">
        <f>EE158+(EO158-EE158)*(EL1-EE1)/(EO1-EE1)</f>
        <v>25911.37890508314</v>
      </c>
      <c r="EM158" s="143">
        <f>EE158+(EO158-EE158)*(EM1-EE1)/(EO1-EE1)</f>
        <v>25921.67543467955</v>
      </c>
      <c r="EN158" s="143">
        <f>EE158+(EO158-EE158)*(EN1-EE1)/(EO1-EE1)</f>
        <v>25931.971964275963</v>
      </c>
      <c r="EO158" s="144">
        <f t="shared" si="22"/>
        <v>25942.268493872372</v>
      </c>
      <c r="EP158" s="143">
        <f>EO158+(EY158-EO158)*(EP1-EO1)/(EY1-EO1)</f>
        <v>25949.91980069362</v>
      </c>
      <c r="EQ158" s="143">
        <f>EO158+(EY158-EO158)*(EQ1-EO1)/(EY1-EO1)</f>
        <v>25957.571107514865</v>
      </c>
      <c r="ER158" s="143">
        <f>EO158+(EY158-EO158)*(ER1-EO1)/(EY1-EO1)</f>
        <v>25965.222414336109</v>
      </c>
      <c r="ES158" s="143">
        <f>EO158+(EY158-EO158)*(ES1-EO1)/(EY1-EO1)</f>
        <v>25972.873721157357</v>
      </c>
      <c r="ET158" s="143">
        <f>EO158+(EY158-EO158)*(ET1-EO1)/(EY1-EO1)</f>
        <v>25980.525027978605</v>
      </c>
      <c r="EU158" s="143">
        <f>EO158+(EY158-EO158)*(EU1-EO1)/(EY1-EO1)</f>
        <v>25988.176334799849</v>
      </c>
      <c r="EV158" s="143">
        <f>EO158+(EY158-EO158)*(EV1-EO1)/(EY1-EO1)</f>
        <v>25995.827641621094</v>
      </c>
      <c r="EW158" s="143">
        <f>EO158+(EY158-EO158)*(EW1-EO1)/(EY1-EO1)</f>
        <v>26003.478948442342</v>
      </c>
      <c r="EX158" s="143">
        <f>EO158+(EY158-EO158)*(EX1-EO1)/(EY1-EO1)</f>
        <v>26011.13025526359</v>
      </c>
      <c r="EY158" s="144">
        <f t="shared" si="23"/>
        <v>26018.781562084834</v>
      </c>
      <c r="EZ158" s="143">
        <f>EY158+(FI158-EY158)*(EZ1-EY1)/(FI1-EY1)</f>
        <v>26026.235670276666</v>
      </c>
      <c r="FA158" s="143">
        <f>EY158+(FI158-EY158)*(FA1-EY1)/(FI1-EY1)</f>
        <v>26033.689778468499</v>
      </c>
      <c r="FB158" s="143">
        <f>EY158+(FI158-EY158)*(FB1-EY1)/(FI1-EY1)</f>
        <v>26041.143886660335</v>
      </c>
      <c r="FC158" s="143">
        <f>EY158+(FI158-EY158)*(FC1-EY1)/(FI1-EY1)</f>
        <v>26048.597994852167</v>
      </c>
      <c r="FD158" s="143">
        <f>EY158+(FI158-EY158)*(FD1-EY1)/(FI1-EY1)</f>
        <v>26056.052103044</v>
      </c>
      <c r="FE158" s="143">
        <f>EY158+(FI158-EY158)*(FE1-EY1)/(FI1-EY1)</f>
        <v>26063.506211235832</v>
      </c>
      <c r="FF158" s="143">
        <f>EY158+(FI158-EY158)*(FF1-EY1)/(FI1-EY1)</f>
        <v>26070.960319427664</v>
      </c>
      <c r="FG158" s="143">
        <f>EY158+(FI158-EY158)*(FG1-EY1)/(FI1-EY1)</f>
        <v>26078.4144276195</v>
      </c>
      <c r="FH158" s="143">
        <f>EY158+(FI158-EY158)*(FH1-EY1)/(FI1-EY1)</f>
        <v>26085.868535811333</v>
      </c>
      <c r="FI158" s="145">
        <f t="shared" si="24"/>
        <v>26093.322644003165</v>
      </c>
      <c r="FJ158" s="140"/>
      <c r="FK158" s="142">
        <f t="shared" si="25"/>
        <v>25399</v>
      </c>
      <c r="FL158" s="143">
        <f>FK158+(FP158-FK158)*(FL1-FK1)/(FP1-FK1)</f>
        <v>25487.060639581654</v>
      </c>
      <c r="FM158" s="143">
        <f>FK158+(FP158-FK158)*(FM1-FK1)/(FP1-FK1)</f>
        <v>25575.121279163308</v>
      </c>
      <c r="FN158" s="143">
        <f>FK158+(FP158-FK158)*(FN1-FK1)/(FP1-FK1)</f>
        <v>25663.181918744958</v>
      </c>
      <c r="FO158" s="143">
        <f>FK158+(FP158-FK158)*(FO1-FK1)/(FP1-FK1)</f>
        <v>25751.242558326612</v>
      </c>
      <c r="FP158" s="144">
        <f t="shared" si="26"/>
        <v>25839.303197908266</v>
      </c>
      <c r="FQ158" s="143">
        <f>FP158+(FZ158-FP158)*(FQ1-FP1)/(FZ1-FP1)</f>
        <v>25849.599727504676</v>
      </c>
      <c r="FR158" s="143">
        <f>FP158+(FZ158-FP158)*(FR1-FP1)/(FZ1-FP1)</f>
        <v>25859.896257101089</v>
      </c>
      <c r="FS158" s="143">
        <f>FP158+(FZ158-FP158)*(FS1-FP1)/(FZ1-FP1)</f>
        <v>25870.192786697498</v>
      </c>
      <c r="FT158" s="143">
        <f>FP158+(FZ158-FP158)*(FT1-FP1)/(FZ1-FP1)</f>
        <v>25880.489316293908</v>
      </c>
      <c r="FU158" s="143">
        <f>FP158+(FZ158-FP158)*(FU1-FP1)/(FZ1-FP1)</f>
        <v>25890.785845890321</v>
      </c>
      <c r="FV158" s="143">
        <f>FP158+(FZ158-FP158)*(FV1-FP1)/(FZ1-FP1)</f>
        <v>25901.082375486731</v>
      </c>
      <c r="FW158" s="143">
        <f>FP158+(FZ158-FP158)*(FW1-FP1)/(FZ1-FP1)</f>
        <v>25911.37890508314</v>
      </c>
      <c r="FX158" s="143">
        <f>FP158+(FZ158-FP158)*(FX1-FP1)/(FZ1-FP1)</f>
        <v>25921.67543467955</v>
      </c>
      <c r="FY158" s="143">
        <f>FP158+(FZ158-FP158)*(FY1-FP1)/(FZ1-FP1)</f>
        <v>25931.971964275963</v>
      </c>
      <c r="FZ158" s="144">
        <f t="shared" si="27"/>
        <v>25942.268493872372</v>
      </c>
      <c r="GA158" s="143">
        <f>FZ158+(GJ158-FZ158)*(GA1-FZ1)/(GJ1-FZ1)</f>
        <v>25949.91980069362</v>
      </c>
      <c r="GB158" s="143">
        <f>FZ158+(GJ158-FZ158)*(GB1-FZ1)/(GJ1-FZ1)</f>
        <v>25957.571107514865</v>
      </c>
      <c r="GC158" s="143">
        <f>FZ158+(GJ158-FZ158)*(GC1-FZ1)/(GJ1-FZ1)</f>
        <v>25965.222414336109</v>
      </c>
      <c r="GD158" s="143">
        <f>FZ158+(GJ158-FZ158)*(GD1-FZ1)/(GJ1-FZ1)</f>
        <v>25972.873721157357</v>
      </c>
      <c r="GE158" s="143">
        <f>FZ158+(GJ158-FZ158)*(GE1-FZ1)/(GJ1-FZ1)</f>
        <v>25980.525027978605</v>
      </c>
      <c r="GF158" s="143">
        <f>FZ158+(GJ158-FZ158)*(GF1-FZ1)/(GJ1-FZ1)</f>
        <v>25988.176334799849</v>
      </c>
      <c r="GG158" s="143">
        <f>FZ158+(GJ158-FZ158)*(GG1-FZ1)/(GJ1-FZ1)</f>
        <v>25995.827641621094</v>
      </c>
      <c r="GH158" s="143">
        <f>FZ158+(GJ158-FZ158)*(GH1-FZ1)/(GJ1-FZ1)</f>
        <v>26003.478948442342</v>
      </c>
      <c r="GI158" s="143">
        <f>FZ158+(GJ158-FZ158)*(GI1-FZ1)/(GJ1-FZ1)</f>
        <v>26011.13025526359</v>
      </c>
      <c r="GJ158" s="144">
        <f t="shared" si="28"/>
        <v>26018.781562084834</v>
      </c>
      <c r="GK158" s="143">
        <f>GJ158+(GT158-GJ158)*(GK1-GJ1)/(GT1-GJ1)</f>
        <v>26026.235670276666</v>
      </c>
      <c r="GL158" s="143">
        <f>GJ158+(GT158-GJ158)*(GL1-GJ1)/(GT1-GJ1)</f>
        <v>26033.689778468499</v>
      </c>
      <c r="GM158" s="143">
        <f>GJ158+(GT158-GJ158)*(GM1-GJ1)/(GT1-GJ1)</f>
        <v>26041.143886660335</v>
      </c>
      <c r="GN158" s="143">
        <f>GJ158+(GT158-GJ158)*(GN1-GJ1)/(GT1-GJ1)</f>
        <v>26048.597994852167</v>
      </c>
      <c r="GO158" s="143">
        <f>GJ158+(GT158-GJ158)*(GO1-GJ1)/(GT1-GJ1)</f>
        <v>26056.052103044</v>
      </c>
      <c r="GP158" s="143">
        <f>GJ158+(GT158-GJ158)*(GP1-GJ1)/(GT1-GJ1)</f>
        <v>26063.506211235832</v>
      </c>
      <c r="GQ158" s="143">
        <f>GJ158+(GT158-GJ158)*(GQ1-GJ1)/(GT1-GJ1)</f>
        <v>26070.960319427664</v>
      </c>
      <c r="GR158" s="143">
        <f>GJ158+(GT158-GJ158)*(GR1-GJ1)/(GT1-GJ1)</f>
        <v>26078.4144276195</v>
      </c>
      <c r="GS158" s="143">
        <f>GJ158+(GT158-GJ158)*(GS1-GJ1)/(GT1-GJ1)</f>
        <v>26085.868535811333</v>
      </c>
      <c r="GT158" s="145">
        <f t="shared" si="29"/>
        <v>26093.322644003165</v>
      </c>
      <c r="GU158" s="140"/>
      <c r="GV158" s="142">
        <f t="shared" si="30"/>
        <v>25399</v>
      </c>
      <c r="GW158" s="143">
        <f>GV158+(HA158-GV158)*(GW1-GV1)/(HA1-GV1)</f>
        <v>25487.060639581654</v>
      </c>
      <c r="GX158" s="143">
        <f>GV158+(HA158-GV158)*(GX1-GV1)/(HA1-GV1)</f>
        <v>25575.121279163308</v>
      </c>
      <c r="GY158" s="143">
        <f>GV158+(HA158-GV158)*(GY1-GV1)/(HA1-GV1)</f>
        <v>25663.181918744958</v>
      </c>
      <c r="GZ158" s="143">
        <f>GV158+(HA158-GV158)*(GZ1-GV1)/(HA1-GV1)</f>
        <v>25751.242558326612</v>
      </c>
      <c r="HA158" s="144">
        <f t="shared" si="31"/>
        <v>25839.303197908266</v>
      </c>
      <c r="HB158" s="143">
        <f>HA158+(HK158-HA158)*(HB1-HA1)/(HK1-HA1)</f>
        <v>25849.599727504676</v>
      </c>
      <c r="HC158" s="143">
        <f>HA158+(HK158-HA158)*(HC1-HA1)/(HK1-HA1)</f>
        <v>25859.896257101089</v>
      </c>
      <c r="HD158" s="143">
        <f>HA158+(HK158-HA158)*(HD1-HA1)/(HK1-HA1)</f>
        <v>25870.192786697498</v>
      </c>
      <c r="HE158" s="143">
        <f>HA158+(HK158-HA158)*(HE1-HA1)/(HK1-HA1)</f>
        <v>25880.489316293908</v>
      </c>
      <c r="HF158" s="143">
        <f>HA158+(HK158-HA158)*(HF1-HA1)/(HK1-HA1)</f>
        <v>25890.785845890321</v>
      </c>
      <c r="HG158" s="143">
        <f>HA158+(HK158-HA158)*(HG1-HA1)/(HK1-HA1)</f>
        <v>25901.082375486731</v>
      </c>
      <c r="HH158" s="143">
        <f>HA158+(HK158-HA158)*(HH1-HA1)/(HK1-HA1)</f>
        <v>25911.37890508314</v>
      </c>
      <c r="HI158" s="143">
        <f>HA158+(HK158-HA158)*(HI1-HA1)/(HK1-HA1)</f>
        <v>25921.67543467955</v>
      </c>
      <c r="HJ158" s="143">
        <f>HA158+(HK158-HA158)*(HJ1-HA1)/(HK1-HA1)</f>
        <v>25931.971964275963</v>
      </c>
      <c r="HK158" s="144">
        <f t="shared" si="32"/>
        <v>25942.268493872372</v>
      </c>
      <c r="HL158" s="143">
        <f>HK158+(HU158-HK158)*(HL1-HK1)/(HU1-HK1)</f>
        <v>25949.91980069362</v>
      </c>
      <c r="HM158" s="143">
        <f>HK158+(HU158-HK158)*(HM1-HK1)/(HU1-HK1)</f>
        <v>25957.571107514865</v>
      </c>
      <c r="HN158" s="143">
        <f>HK158+(HU158-HK158)*(HN1-HK1)/(HU1-HK1)</f>
        <v>25965.222414336109</v>
      </c>
      <c r="HO158" s="143">
        <f>HK158+(HU158-HK158)*(HO1-HK1)/(HU1-HK1)</f>
        <v>25972.873721157357</v>
      </c>
      <c r="HP158" s="143">
        <f>HK158+(HU158-HK158)*(HP1-HK1)/(HU1-HK1)</f>
        <v>25980.525027978605</v>
      </c>
      <c r="HQ158" s="143">
        <f>HK158+(HU158-HK158)*(HQ1-HK1)/(HU1-HK1)</f>
        <v>25988.176334799849</v>
      </c>
      <c r="HR158" s="143">
        <f>HK158+(HU158-HK158)*(HR1-HK1)/(HU1-HK1)</f>
        <v>25995.827641621094</v>
      </c>
      <c r="HS158" s="143">
        <f>HK158+(HU158-HK158)*(HS1-HK1)/(HU1-HK1)</f>
        <v>26003.478948442342</v>
      </c>
      <c r="HT158" s="143">
        <f>HK158+(HU158-HK158)*(HT1-HK1)/(HU1-HK1)</f>
        <v>26011.13025526359</v>
      </c>
      <c r="HU158" s="144">
        <f t="shared" si="33"/>
        <v>26018.781562084834</v>
      </c>
      <c r="HV158" s="143">
        <f>HU158+(IE158-HU158)*(HV1-HU1)/(IE1-HU1)</f>
        <v>26026.235670276666</v>
      </c>
      <c r="HW158" s="143">
        <f>HU158+(IE158-HU158)*(HW1-HU1)/(IE1-HU1)</f>
        <v>26033.689778468499</v>
      </c>
      <c r="HX158" s="143">
        <f>HU158+(IE158-HU158)*(HX1-HU1)/(IE1-HU1)</f>
        <v>26041.143886660335</v>
      </c>
      <c r="HY158" s="143">
        <f>HU158+(IE158-HU158)*(HY1-HU1)/(IE1-HU1)</f>
        <v>26048.597994852167</v>
      </c>
      <c r="HZ158" s="143">
        <f>HU158+(IE158-HU158)*(HZ1-HU1)/(IE1-HU1)</f>
        <v>26056.052103044</v>
      </c>
      <c r="IA158" s="143">
        <f>HU158+(IE158-HU158)*(IA1-HU1)/(IE1-HU1)</f>
        <v>26063.506211235832</v>
      </c>
      <c r="IB158" s="143">
        <f>HU158+(IE158-HU158)*(IB1-HU1)/(IE1-HU1)</f>
        <v>26070.960319427664</v>
      </c>
      <c r="IC158" s="143">
        <f>HU158+(IE158-HU158)*(IC1-HU1)/(IE1-HU1)</f>
        <v>26078.4144276195</v>
      </c>
      <c r="ID158" s="143">
        <f>HU158+(IE158-HU158)*(ID1-HU1)/(IE1-HU1)</f>
        <v>26085.868535811333</v>
      </c>
      <c r="IE158" s="145">
        <f t="shared" si="34"/>
        <v>26093.322644003165</v>
      </c>
      <c r="IF158" s="140"/>
      <c r="IG158" s="146"/>
      <c r="IH158" s="143"/>
      <c r="II158" s="143"/>
      <c r="IJ158" s="143"/>
      <c r="IK158" s="143"/>
      <c r="IL158" s="144">
        <v>19004.924760000202</v>
      </c>
      <c r="IM158" s="143"/>
      <c r="IN158" s="143"/>
      <c r="IO158" s="143"/>
      <c r="IP158" s="143"/>
      <c r="IQ158" s="143"/>
      <c r="IR158" s="143"/>
      <c r="IS158" s="143"/>
      <c r="IT158" s="143"/>
      <c r="IU158" s="143"/>
      <c r="IV158" s="144">
        <v>19407.547913330302</v>
      </c>
      <c r="IW158" s="143"/>
      <c r="IX158" s="143"/>
      <c r="IY158" s="143"/>
      <c r="IZ158" s="143"/>
      <c r="JA158" s="143"/>
      <c r="JB158" s="143"/>
      <c r="JC158" s="143"/>
      <c r="JD158" s="143"/>
      <c r="JE158" s="143"/>
      <c r="JF158" s="144">
        <v>19644.568449813902</v>
      </c>
      <c r="JG158" s="143"/>
      <c r="JH158" s="143"/>
      <c r="JI158" s="143"/>
      <c r="JJ158" s="143"/>
      <c r="JK158" s="143"/>
      <c r="JL158" s="143"/>
      <c r="JM158" s="143"/>
      <c r="JN158" s="143"/>
      <c r="JO158" s="143"/>
      <c r="JP158" s="145">
        <v>19439.130537500201</v>
      </c>
      <c r="JQ158" s="140"/>
      <c r="JR158" s="142"/>
      <c r="JS158" s="143"/>
      <c r="JT158" s="143"/>
      <c r="JU158" s="143"/>
      <c r="JV158" s="143"/>
      <c r="JW158" s="144">
        <v>19004.924760000202</v>
      </c>
      <c r="JX158" s="143">
        <f t="shared" si="35"/>
        <v>19021.93321521096</v>
      </c>
      <c r="JY158" s="143">
        <f t="shared" si="35"/>
        <v>19038.941670421722</v>
      </c>
      <c r="JZ158" s="143">
        <f t="shared" si="35"/>
        <v>19055.95012563248</v>
      </c>
      <c r="KA158" s="143">
        <f t="shared" si="35"/>
        <v>19072.958580843242</v>
      </c>
      <c r="KB158" s="143">
        <f t="shared" si="35"/>
        <v>19089.967036054</v>
      </c>
      <c r="KC158" s="143">
        <f t="shared" si="35"/>
        <v>19106.975491264759</v>
      </c>
      <c r="KD158" s="143">
        <f t="shared" si="35"/>
        <v>19123.98394647552</v>
      </c>
      <c r="KE158" s="143">
        <f t="shared" si="35"/>
        <v>19140.992401686279</v>
      </c>
      <c r="KF158" s="143">
        <f t="shared" si="35"/>
        <v>19158.000856897041</v>
      </c>
      <c r="KG158" s="144">
        <v>19175.009312107799</v>
      </c>
      <c r="KH158" s="143">
        <f t="shared" si="36"/>
        <v>19189.181891253531</v>
      </c>
      <c r="KI158" s="143">
        <f t="shared" si="36"/>
        <v>19203.354470399259</v>
      </c>
      <c r="KJ158" s="143">
        <f t="shared" si="36"/>
        <v>19217.527049544988</v>
      </c>
      <c r="KK158" s="143">
        <f t="shared" si="36"/>
        <v>19231.69962869072</v>
      </c>
      <c r="KL158" s="143">
        <f t="shared" si="36"/>
        <v>19245.872207836452</v>
      </c>
      <c r="KM158" s="143">
        <f t="shared" si="36"/>
        <v>19260.04478698218</v>
      </c>
      <c r="KN158" s="143">
        <f t="shared" si="36"/>
        <v>19274.217366127908</v>
      </c>
      <c r="KO158" s="143">
        <f t="shared" si="36"/>
        <v>19288.38994527364</v>
      </c>
      <c r="KP158" s="143">
        <f t="shared" si="36"/>
        <v>19302.562524419372</v>
      </c>
      <c r="KQ158" s="144">
        <v>19316.735103565101</v>
      </c>
      <c r="KR158" s="143">
        <f t="shared" si="37"/>
        <v>19289.384917210831</v>
      </c>
      <c r="KS158" s="143">
        <f t="shared" si="37"/>
        <v>19262.034730856562</v>
      </c>
      <c r="KT158" s="143">
        <f t="shared" si="37"/>
        <v>19234.684544502292</v>
      </c>
      <c r="KU158" s="143">
        <f t="shared" si="37"/>
        <v>19207.334358148022</v>
      </c>
      <c r="KV158" s="143">
        <f t="shared" si="37"/>
        <v>19179.984171793752</v>
      </c>
      <c r="KW158" s="143">
        <f t="shared" si="37"/>
        <v>19152.633985439479</v>
      </c>
      <c r="KX158" s="143">
        <f t="shared" si="37"/>
        <v>19125.283799085209</v>
      </c>
      <c r="KY158" s="143">
        <f t="shared" si="37"/>
        <v>19097.93361273094</v>
      </c>
      <c r="KZ158" s="143">
        <f t="shared" si="37"/>
        <v>19070.58342637667</v>
      </c>
      <c r="LA158" s="145">
        <v>19043.2332400224</v>
      </c>
      <c r="LB158" s="140"/>
      <c r="LC158" s="142"/>
      <c r="LD158" s="143"/>
      <c r="LE158" s="143"/>
      <c r="LF158" s="143"/>
      <c r="LG158" s="143"/>
      <c r="LH158" s="144"/>
      <c r="LI158" s="143"/>
      <c r="LJ158" s="143"/>
      <c r="LK158" s="143"/>
      <c r="LL158" s="143"/>
      <c r="LM158" s="143"/>
      <c r="LN158" s="143"/>
      <c r="LO158" s="143"/>
      <c r="LP158" s="143"/>
      <c r="LQ158" s="143"/>
      <c r="LR158" s="144"/>
      <c r="LS158" s="143"/>
      <c r="LT158" s="143"/>
      <c r="LU158" s="143"/>
      <c r="LV158" s="143"/>
      <c r="LW158" s="143"/>
      <c r="LX158" s="143"/>
      <c r="LY158" s="143"/>
      <c r="LZ158" s="143"/>
      <c r="MA158" s="143"/>
      <c r="MB158" s="144"/>
      <c r="MC158" s="143"/>
      <c r="MD158" s="143"/>
      <c r="ME158" s="143"/>
      <c r="MF158" s="143"/>
      <c r="MG158" s="143"/>
      <c r="MH158" s="143"/>
      <c r="MI158" s="143"/>
      <c r="MJ158" s="143"/>
      <c r="MK158" s="143"/>
      <c r="ML158" s="145"/>
    </row>
    <row r="159" spans="2:350" s="4" customFormat="1" ht="18" customHeight="1" x14ac:dyDescent="0.3">
      <c r="C159" s="148" t="s">
        <v>106</v>
      </c>
      <c r="D159" s="132"/>
      <c r="E159" s="149" t="s">
        <v>103</v>
      </c>
      <c r="F159" s="134"/>
      <c r="H159" s="150">
        <v>963675</v>
      </c>
      <c r="I159" s="151">
        <v>971874.00340535445</v>
      </c>
      <c r="J159" s="151">
        <v>980073.0068107089</v>
      </c>
      <c r="K159" s="151">
        <v>988272.01021606347</v>
      </c>
      <c r="L159" s="151">
        <v>996471.01362141792</v>
      </c>
      <c r="M159" s="151">
        <v>1004670.0170267724</v>
      </c>
      <c r="N159" s="151"/>
      <c r="O159" s="151"/>
      <c r="P159" s="151"/>
      <c r="Q159" s="152"/>
      <c r="R159" s="140"/>
      <c r="S159" s="150">
        <v>965499.02049709996</v>
      </c>
      <c r="T159" s="151">
        <v>972633.14713930001</v>
      </c>
      <c r="U159" s="151">
        <v>979852.25617189996</v>
      </c>
      <c r="V159" s="151">
        <v>987157.09544110007</v>
      </c>
      <c r="W159" s="151">
        <v>994548.43310810009</v>
      </c>
      <c r="X159" s="151">
        <v>1002027.2036411</v>
      </c>
      <c r="Y159" s="151">
        <v>1006677.9886305</v>
      </c>
      <c r="Z159" s="151">
        <v>1011376.8760780001</v>
      </c>
      <c r="AA159" s="151">
        <v>1016124.0035587</v>
      </c>
      <c r="AB159" s="151">
        <v>1020919.7163486</v>
      </c>
      <c r="AC159" s="151">
        <v>1025764.327828</v>
      </c>
      <c r="AD159" s="151">
        <v>1030659.6530172998</v>
      </c>
      <c r="AE159" s="151">
        <v>1035603.4564734</v>
      </c>
      <c r="AF159" s="151">
        <v>1040597.5700318</v>
      </c>
      <c r="AG159" s="151">
        <v>1045642.5988352001</v>
      </c>
      <c r="AH159" s="151">
        <v>1050737.6100091001</v>
      </c>
      <c r="AI159" s="151">
        <v>1054732.8426774</v>
      </c>
      <c r="AJ159" s="151">
        <v>1058753.3933282001</v>
      </c>
      <c r="AK159" s="151">
        <v>1062773.0768520001</v>
      </c>
      <c r="AL159" s="151">
        <v>1067025.5903683</v>
      </c>
      <c r="AM159" s="151">
        <v>1071241.8858024001</v>
      </c>
      <c r="AN159" s="151">
        <v>1075503.0221462001</v>
      </c>
      <c r="AO159" s="151">
        <v>1079806.559261</v>
      </c>
      <c r="AP159" s="151">
        <v>1084143.266759</v>
      </c>
      <c r="AQ159" s="151">
        <v>1088516.0643751998</v>
      </c>
      <c r="AR159" s="151">
        <v>1092918.3777462998</v>
      </c>
      <c r="AS159" s="151">
        <v>1097363.2308743999</v>
      </c>
      <c r="AT159" s="151">
        <v>1101857.7631842999</v>
      </c>
      <c r="AU159" s="151">
        <v>1106389.1166379</v>
      </c>
      <c r="AV159" s="151">
        <v>1110963.8940584001</v>
      </c>
      <c r="AW159" s="151">
        <v>1115587.2711309998</v>
      </c>
      <c r="AX159" s="151">
        <v>1120265.75877</v>
      </c>
      <c r="AY159" s="151">
        <v>1124992.5609508001</v>
      </c>
      <c r="AZ159" s="151">
        <v>1129758.9073651</v>
      </c>
      <c r="BA159" s="151">
        <v>1134560.4237507</v>
      </c>
      <c r="BB159" s="152">
        <v>1139400.5507526998</v>
      </c>
      <c r="BC159" s="140"/>
      <c r="BD159" s="153">
        <f>SUM(BD151:BD158)</f>
        <v>963675</v>
      </c>
      <c r="BE159" s="154">
        <f t="shared" ref="BE159:CM159" si="38">SUM(BE151:BE158)</f>
        <v>971874.00340535445</v>
      </c>
      <c r="BF159" s="154">
        <f t="shared" si="38"/>
        <v>980073.0068107089</v>
      </c>
      <c r="BG159" s="154">
        <f t="shared" si="38"/>
        <v>988272.01021606347</v>
      </c>
      <c r="BH159" s="154">
        <f t="shared" si="38"/>
        <v>996471.01362141792</v>
      </c>
      <c r="BI159" s="154">
        <f t="shared" si="38"/>
        <v>1004670.0170267724</v>
      </c>
      <c r="BJ159" s="154">
        <f t="shared" si="38"/>
        <v>1008004.1424423471</v>
      </c>
      <c r="BK159" s="154">
        <f t="shared" si="38"/>
        <v>1011338.2678579219</v>
      </c>
      <c r="BL159" s="154">
        <f t="shared" si="38"/>
        <v>1014672.3932734967</v>
      </c>
      <c r="BM159" s="154">
        <f t="shared" si="38"/>
        <v>1018006.5186890712</v>
      </c>
      <c r="BN159" s="154">
        <f t="shared" si="38"/>
        <v>1021340.6441046459</v>
      </c>
      <c r="BO159" s="154">
        <f t="shared" si="38"/>
        <v>1024674.7695202206</v>
      </c>
      <c r="BP159" s="154">
        <f t="shared" si="38"/>
        <v>1028008.8949357953</v>
      </c>
      <c r="BQ159" s="154">
        <f t="shared" si="38"/>
        <v>1031343.0203513701</v>
      </c>
      <c r="BR159" s="154">
        <f t="shared" si="38"/>
        <v>1034677.1457669446</v>
      </c>
      <c r="BS159" s="154">
        <f t="shared" si="38"/>
        <v>1038011.2711825193</v>
      </c>
      <c r="BT159" s="154">
        <f t="shared" si="38"/>
        <v>1042680.1644357853</v>
      </c>
      <c r="BU159" s="154">
        <f t="shared" si="38"/>
        <v>1047349.0576890511</v>
      </c>
      <c r="BV159" s="154">
        <f t="shared" si="38"/>
        <v>1052017.950942317</v>
      </c>
      <c r="BW159" s="154">
        <f t="shared" si="38"/>
        <v>1056686.8441955829</v>
      </c>
      <c r="BX159" s="154">
        <f t="shared" si="38"/>
        <v>1061355.737448849</v>
      </c>
      <c r="BY159" s="154">
        <f t="shared" si="38"/>
        <v>1066024.6307021147</v>
      </c>
      <c r="BZ159" s="154">
        <f t="shared" si="38"/>
        <v>1070693.5239553805</v>
      </c>
      <c r="CA159" s="154">
        <f t="shared" si="38"/>
        <v>1075362.4172086464</v>
      </c>
      <c r="CB159" s="154">
        <f t="shared" si="38"/>
        <v>1080031.3104619123</v>
      </c>
      <c r="CC159" s="154">
        <f t="shared" si="38"/>
        <v>1084700.2037151782</v>
      </c>
      <c r="CD159" s="154">
        <f t="shared" si="38"/>
        <v>1089485.548191397</v>
      </c>
      <c r="CE159" s="154">
        <f t="shared" si="38"/>
        <v>1094270.8926676156</v>
      </c>
      <c r="CF159" s="154">
        <f t="shared" si="38"/>
        <v>1099056.2371438341</v>
      </c>
      <c r="CG159" s="154">
        <f t="shared" si="38"/>
        <v>1103841.5816200529</v>
      </c>
      <c r="CH159" s="154">
        <f t="shared" si="38"/>
        <v>1108626.9260962717</v>
      </c>
      <c r="CI159" s="154">
        <f t="shared" si="38"/>
        <v>1113412.2705724905</v>
      </c>
      <c r="CJ159" s="154">
        <f t="shared" si="38"/>
        <v>1118197.6150487091</v>
      </c>
      <c r="CK159" s="154">
        <f t="shared" si="38"/>
        <v>1122982.9595249279</v>
      </c>
      <c r="CL159" s="154">
        <f t="shared" si="38"/>
        <v>1127768.3040011465</v>
      </c>
      <c r="CM159" s="155">
        <f t="shared" si="38"/>
        <v>1132553.6484773653</v>
      </c>
      <c r="CN159" s="140"/>
      <c r="CO159" s="153">
        <f>SUM(CO151:CO158)</f>
        <v>963675</v>
      </c>
      <c r="CP159" s="154">
        <f t="shared" ref="CP159:DX159" si="39">SUM(CP151:CP158)</f>
        <v>971874.00340535445</v>
      </c>
      <c r="CQ159" s="154">
        <f t="shared" si="39"/>
        <v>980073.0068107089</v>
      </c>
      <c r="CR159" s="154">
        <f t="shared" si="39"/>
        <v>988272.01021606347</v>
      </c>
      <c r="CS159" s="154">
        <f t="shared" si="39"/>
        <v>996471.01362141792</v>
      </c>
      <c r="CT159" s="154">
        <f t="shared" si="39"/>
        <v>1004670.0170267724</v>
      </c>
      <c r="CU159" s="154">
        <f t="shared" si="39"/>
        <v>997813.60965137696</v>
      </c>
      <c r="CV159" s="154">
        <f t="shared" si="39"/>
        <v>990957.20227598154</v>
      </c>
      <c r="CW159" s="154">
        <f t="shared" si="39"/>
        <v>984100.79490058613</v>
      </c>
      <c r="CX159" s="154">
        <f t="shared" si="39"/>
        <v>977244.38752519072</v>
      </c>
      <c r="CY159" s="154">
        <f t="shared" si="39"/>
        <v>970387.98014979542</v>
      </c>
      <c r="CZ159" s="154">
        <f t="shared" si="39"/>
        <v>963531.57277439989</v>
      </c>
      <c r="DA159" s="154">
        <f t="shared" si="39"/>
        <v>956675.16539900447</v>
      </c>
      <c r="DB159" s="154">
        <f t="shared" si="39"/>
        <v>949818.75802360894</v>
      </c>
      <c r="DC159" s="154">
        <f t="shared" si="39"/>
        <v>942962.35064821353</v>
      </c>
      <c r="DD159" s="154">
        <f t="shared" si="39"/>
        <v>936105.94327281811</v>
      </c>
      <c r="DE159" s="154">
        <f t="shared" si="39"/>
        <v>930771.100204663</v>
      </c>
      <c r="DF159" s="154">
        <f t="shared" si="39"/>
        <v>925436.25713650766</v>
      </c>
      <c r="DG159" s="154">
        <f t="shared" si="39"/>
        <v>920101.41406835243</v>
      </c>
      <c r="DH159" s="154">
        <f t="shared" si="39"/>
        <v>914766.5710001972</v>
      </c>
      <c r="DI159" s="154">
        <f t="shared" si="39"/>
        <v>909431.72793204198</v>
      </c>
      <c r="DJ159" s="154">
        <f t="shared" si="39"/>
        <v>904096.88486388698</v>
      </c>
      <c r="DK159" s="154">
        <f t="shared" si="39"/>
        <v>898762.04179573164</v>
      </c>
      <c r="DL159" s="154">
        <f t="shared" si="39"/>
        <v>893427.19872757641</v>
      </c>
      <c r="DM159" s="154">
        <f t="shared" si="39"/>
        <v>888092.35565942107</v>
      </c>
      <c r="DN159" s="154">
        <f t="shared" si="39"/>
        <v>882757.51259126607</v>
      </c>
      <c r="DO159" s="154">
        <f t="shared" si="39"/>
        <v>877703.22890238895</v>
      </c>
      <c r="DP159" s="154">
        <f t="shared" si="39"/>
        <v>872648.9452135117</v>
      </c>
      <c r="DQ159" s="154">
        <f t="shared" si="39"/>
        <v>867594.66152463458</v>
      </c>
      <c r="DR159" s="154">
        <f t="shared" si="39"/>
        <v>862540.37783575733</v>
      </c>
      <c r="DS159" s="154">
        <f t="shared" si="39"/>
        <v>857486.09414688032</v>
      </c>
      <c r="DT159" s="154">
        <f t="shared" si="39"/>
        <v>852431.81045800331</v>
      </c>
      <c r="DU159" s="154">
        <f t="shared" si="39"/>
        <v>847377.52676912607</v>
      </c>
      <c r="DV159" s="154">
        <f t="shared" si="39"/>
        <v>842323.24308024894</v>
      </c>
      <c r="DW159" s="154">
        <f t="shared" si="39"/>
        <v>837268.95939137181</v>
      </c>
      <c r="DX159" s="155">
        <f t="shared" si="39"/>
        <v>832214.67570249469</v>
      </c>
      <c r="DY159" s="140"/>
      <c r="DZ159" s="153">
        <f>SUM(DZ151:DZ158)</f>
        <v>963675</v>
      </c>
      <c r="EA159" s="154">
        <f t="shared" ref="EA159:FI159" si="40">SUM(EA151:EA158)</f>
        <v>971874.00340535445</v>
      </c>
      <c r="EB159" s="154">
        <f t="shared" si="40"/>
        <v>980073.0068107089</v>
      </c>
      <c r="EC159" s="154">
        <f t="shared" si="40"/>
        <v>988272.01021606347</v>
      </c>
      <c r="ED159" s="154">
        <f t="shared" si="40"/>
        <v>996471.01362141792</v>
      </c>
      <c r="EE159" s="154">
        <f t="shared" si="40"/>
        <v>1004670.0170267724</v>
      </c>
      <c r="EF159" s="154">
        <f t="shared" si="40"/>
        <v>997862.07459152897</v>
      </c>
      <c r="EG159" s="154">
        <f t="shared" si="40"/>
        <v>991054.13215628557</v>
      </c>
      <c r="EH159" s="154">
        <f t="shared" si="40"/>
        <v>984246.18972104206</v>
      </c>
      <c r="EI159" s="154">
        <f t="shared" si="40"/>
        <v>977438.24728579866</v>
      </c>
      <c r="EJ159" s="154">
        <f t="shared" si="40"/>
        <v>970630.30485055537</v>
      </c>
      <c r="EK159" s="154">
        <f t="shared" si="40"/>
        <v>963822.36241531174</v>
      </c>
      <c r="EL159" s="154">
        <f t="shared" si="40"/>
        <v>957014.41998006846</v>
      </c>
      <c r="EM159" s="154">
        <f t="shared" si="40"/>
        <v>950206.47754482483</v>
      </c>
      <c r="EN159" s="154">
        <f t="shared" si="40"/>
        <v>943398.53510958143</v>
      </c>
      <c r="EO159" s="154">
        <f t="shared" si="40"/>
        <v>936590.59267433803</v>
      </c>
      <c r="EP159" s="154">
        <f t="shared" si="40"/>
        <v>931300.11421480367</v>
      </c>
      <c r="EQ159" s="154">
        <f t="shared" si="40"/>
        <v>926009.63575526921</v>
      </c>
      <c r="ER159" s="154">
        <f t="shared" si="40"/>
        <v>920719.15729573485</v>
      </c>
      <c r="ES159" s="154">
        <f t="shared" si="40"/>
        <v>915428.6788362005</v>
      </c>
      <c r="ET159" s="154">
        <f t="shared" si="40"/>
        <v>910138.20037666615</v>
      </c>
      <c r="EU159" s="154">
        <f t="shared" si="40"/>
        <v>904847.72191713203</v>
      </c>
      <c r="EV159" s="154">
        <f t="shared" si="40"/>
        <v>899557.24345759745</v>
      </c>
      <c r="EW159" s="154">
        <f t="shared" si="40"/>
        <v>894266.76499806321</v>
      </c>
      <c r="EX159" s="154">
        <f t="shared" si="40"/>
        <v>888976.28653852874</v>
      </c>
      <c r="EY159" s="154">
        <f t="shared" si="40"/>
        <v>883685.80807899451</v>
      </c>
      <c r="EZ159" s="154">
        <f t="shared" si="40"/>
        <v>878670.68152395613</v>
      </c>
      <c r="FA159" s="154">
        <f t="shared" si="40"/>
        <v>873655.55496891751</v>
      </c>
      <c r="FB159" s="154">
        <f t="shared" si="40"/>
        <v>868640.42841387913</v>
      </c>
      <c r="FC159" s="154">
        <f t="shared" si="40"/>
        <v>863625.30185884063</v>
      </c>
      <c r="FD159" s="154">
        <f t="shared" si="40"/>
        <v>858610.17530380213</v>
      </c>
      <c r="FE159" s="154">
        <f t="shared" si="40"/>
        <v>853595.04874876398</v>
      </c>
      <c r="FF159" s="154">
        <f t="shared" si="40"/>
        <v>848579.92219372536</v>
      </c>
      <c r="FG159" s="154">
        <f t="shared" si="40"/>
        <v>843564.79563868698</v>
      </c>
      <c r="FH159" s="154">
        <f t="shared" si="40"/>
        <v>838549.66908364848</v>
      </c>
      <c r="FI159" s="155">
        <f t="shared" si="40"/>
        <v>833534.54252861009</v>
      </c>
      <c r="FJ159" s="140"/>
      <c r="FK159" s="153">
        <f>SUM(FK151:FK158)</f>
        <v>963675</v>
      </c>
      <c r="FL159" s="154">
        <f t="shared" ref="FL159:GT159" si="41">SUM(FL151:FL158)</f>
        <v>971874.00340535445</v>
      </c>
      <c r="FM159" s="154">
        <f t="shared" si="41"/>
        <v>980073.0068107089</v>
      </c>
      <c r="FN159" s="154">
        <f t="shared" si="41"/>
        <v>988272.01021606347</v>
      </c>
      <c r="FO159" s="154">
        <f t="shared" si="41"/>
        <v>996471.01362141792</v>
      </c>
      <c r="FP159" s="154">
        <f t="shared" si="41"/>
        <v>1004670.0170267724</v>
      </c>
      <c r="FQ159" s="154">
        <f t="shared" si="41"/>
        <v>1003955.4772887621</v>
      </c>
      <c r="FR159" s="154">
        <f t="shared" si="41"/>
        <v>1003240.9375507516</v>
      </c>
      <c r="FS159" s="154">
        <f t="shared" si="41"/>
        <v>1002526.3978127411</v>
      </c>
      <c r="FT159" s="154">
        <f t="shared" si="41"/>
        <v>1001811.8580747306</v>
      </c>
      <c r="FU159" s="154">
        <f t="shared" si="41"/>
        <v>1001097.3183367201</v>
      </c>
      <c r="FV159" s="154">
        <f t="shared" si="41"/>
        <v>1000382.7785987097</v>
      </c>
      <c r="FW159" s="154">
        <f t="shared" si="41"/>
        <v>999668.23886069946</v>
      </c>
      <c r="FX159" s="154">
        <f t="shared" si="41"/>
        <v>998953.69912268897</v>
      </c>
      <c r="FY159" s="154">
        <f t="shared" si="41"/>
        <v>998239.15938467847</v>
      </c>
      <c r="FZ159" s="154">
        <f t="shared" si="41"/>
        <v>997524.61964666808</v>
      </c>
      <c r="GA159" s="154">
        <f t="shared" si="41"/>
        <v>997728.55980279529</v>
      </c>
      <c r="GB159" s="154">
        <f t="shared" si="41"/>
        <v>997932.49995892216</v>
      </c>
      <c r="GC159" s="154">
        <f t="shared" si="41"/>
        <v>998136.44011504925</v>
      </c>
      <c r="GD159" s="154">
        <f t="shared" si="41"/>
        <v>998340.38027117634</v>
      </c>
      <c r="GE159" s="154">
        <f t="shared" si="41"/>
        <v>998544.32042730355</v>
      </c>
      <c r="GF159" s="154">
        <f t="shared" si="41"/>
        <v>998748.26058343065</v>
      </c>
      <c r="GG159" s="154">
        <f t="shared" si="41"/>
        <v>998952.20073955751</v>
      </c>
      <c r="GH159" s="154">
        <f t="shared" si="41"/>
        <v>999156.1408956846</v>
      </c>
      <c r="GI159" s="154">
        <f t="shared" si="41"/>
        <v>999360.08105181158</v>
      </c>
      <c r="GJ159" s="154">
        <f t="shared" si="41"/>
        <v>999564.0212079389</v>
      </c>
      <c r="GK159" s="154">
        <f t="shared" si="41"/>
        <v>999459.03914318897</v>
      </c>
      <c r="GL159" s="154">
        <f t="shared" si="41"/>
        <v>999354.05707843928</v>
      </c>
      <c r="GM159" s="154">
        <f t="shared" si="41"/>
        <v>999249.0750136897</v>
      </c>
      <c r="GN159" s="154">
        <f t="shared" si="41"/>
        <v>999144.09294893977</v>
      </c>
      <c r="GO159" s="154">
        <f t="shared" si="41"/>
        <v>999039.11088419042</v>
      </c>
      <c r="GP159" s="154">
        <f t="shared" si="41"/>
        <v>998934.12881944084</v>
      </c>
      <c r="GQ159" s="154">
        <f t="shared" si="41"/>
        <v>998829.14675469091</v>
      </c>
      <c r="GR159" s="154">
        <f t="shared" si="41"/>
        <v>998724.16468994122</v>
      </c>
      <c r="GS159" s="154">
        <f t="shared" si="41"/>
        <v>998619.1826251914</v>
      </c>
      <c r="GT159" s="155">
        <f t="shared" si="41"/>
        <v>998514.20056044194</v>
      </c>
      <c r="GU159" s="140"/>
      <c r="GV159" s="153">
        <f>SUM(GV151:GV158)</f>
        <v>963675</v>
      </c>
      <c r="GW159" s="154">
        <f t="shared" ref="GW159:IE159" si="42">SUM(GW151:GW158)</f>
        <v>971874.00340535445</v>
      </c>
      <c r="GX159" s="154">
        <f t="shared" si="42"/>
        <v>980073.0068107089</v>
      </c>
      <c r="GY159" s="154">
        <f t="shared" si="42"/>
        <v>988272.01021606347</v>
      </c>
      <c r="GZ159" s="154">
        <f t="shared" si="42"/>
        <v>996471.01362141792</v>
      </c>
      <c r="HA159" s="154">
        <f t="shared" si="42"/>
        <v>1004670.0170267724</v>
      </c>
      <c r="HB159" s="154">
        <f t="shared" si="42"/>
        <v>1008004.1424423471</v>
      </c>
      <c r="HC159" s="154">
        <f t="shared" si="42"/>
        <v>1011338.2678579219</v>
      </c>
      <c r="HD159" s="154">
        <f t="shared" si="42"/>
        <v>1014672.3932734967</v>
      </c>
      <c r="HE159" s="154">
        <f t="shared" si="42"/>
        <v>1018006.5186890712</v>
      </c>
      <c r="HF159" s="154">
        <f t="shared" si="42"/>
        <v>1021340.6441046459</v>
      </c>
      <c r="HG159" s="154">
        <f t="shared" si="42"/>
        <v>1024674.7695202206</v>
      </c>
      <c r="HH159" s="154">
        <f t="shared" si="42"/>
        <v>1028008.8949357953</v>
      </c>
      <c r="HI159" s="154">
        <f t="shared" si="42"/>
        <v>1031343.0203513701</v>
      </c>
      <c r="HJ159" s="154">
        <f t="shared" si="42"/>
        <v>1034677.1457669446</v>
      </c>
      <c r="HK159" s="154">
        <f t="shared" si="42"/>
        <v>1038011.2711825193</v>
      </c>
      <c r="HL159" s="154">
        <f t="shared" si="42"/>
        <v>1042680.1644357853</v>
      </c>
      <c r="HM159" s="154">
        <f t="shared" si="42"/>
        <v>1047349.0576890511</v>
      </c>
      <c r="HN159" s="154">
        <f t="shared" si="42"/>
        <v>1052017.950942317</v>
      </c>
      <c r="HO159" s="154">
        <f t="shared" si="42"/>
        <v>1056686.8441955829</v>
      </c>
      <c r="HP159" s="154">
        <f t="shared" si="42"/>
        <v>1061355.737448849</v>
      </c>
      <c r="HQ159" s="154">
        <f t="shared" si="42"/>
        <v>1066024.6307021147</v>
      </c>
      <c r="HR159" s="154">
        <f t="shared" si="42"/>
        <v>1070693.5239553805</v>
      </c>
      <c r="HS159" s="154">
        <f t="shared" si="42"/>
        <v>1075362.4172086464</v>
      </c>
      <c r="HT159" s="154">
        <f t="shared" si="42"/>
        <v>1080031.3104619123</v>
      </c>
      <c r="HU159" s="154">
        <f t="shared" si="42"/>
        <v>1084700.2037151782</v>
      </c>
      <c r="HV159" s="154">
        <f t="shared" si="42"/>
        <v>1089485.548191397</v>
      </c>
      <c r="HW159" s="154">
        <f t="shared" si="42"/>
        <v>1094270.8926676156</v>
      </c>
      <c r="HX159" s="154">
        <f t="shared" si="42"/>
        <v>1099056.2371438341</v>
      </c>
      <c r="HY159" s="154">
        <f t="shared" si="42"/>
        <v>1103841.5816200529</v>
      </c>
      <c r="HZ159" s="154">
        <f t="shared" si="42"/>
        <v>1108626.9260962717</v>
      </c>
      <c r="IA159" s="154">
        <f t="shared" si="42"/>
        <v>1113412.2705724905</v>
      </c>
      <c r="IB159" s="154">
        <f t="shared" si="42"/>
        <v>1118197.6150487091</v>
      </c>
      <c r="IC159" s="154">
        <f t="shared" si="42"/>
        <v>1122982.9595249279</v>
      </c>
      <c r="ID159" s="154">
        <f t="shared" si="42"/>
        <v>1127768.3040011465</v>
      </c>
      <c r="IE159" s="155">
        <f t="shared" si="42"/>
        <v>1132553.6484773653</v>
      </c>
      <c r="IF159" s="140"/>
      <c r="IG159" s="153"/>
      <c r="IH159" s="154"/>
      <c r="II159" s="154"/>
      <c r="IJ159" s="154"/>
      <c r="IK159" s="154"/>
      <c r="IL159" s="154">
        <f>SUM(IL151:IL158)</f>
        <v>1006419.674199999</v>
      </c>
      <c r="IM159" s="154"/>
      <c r="IN159" s="154"/>
      <c r="IO159" s="154"/>
      <c r="IP159" s="154"/>
      <c r="IQ159" s="154"/>
      <c r="IR159" s="154"/>
      <c r="IS159" s="154"/>
      <c r="IT159" s="154"/>
      <c r="IU159" s="154"/>
      <c r="IV159" s="154">
        <f>SUM(IV151:IV158)</f>
        <v>1028663.470679976</v>
      </c>
      <c r="IW159" s="154"/>
      <c r="IX159" s="154"/>
      <c r="IY159" s="154"/>
      <c r="IZ159" s="154"/>
      <c r="JA159" s="154"/>
      <c r="JB159" s="154"/>
      <c r="JC159" s="154"/>
      <c r="JD159" s="154"/>
      <c r="JE159" s="154"/>
      <c r="JF159" s="154">
        <f>SUM(JF151:JF158)</f>
        <v>1043307.3030046568</v>
      </c>
      <c r="JG159" s="154"/>
      <c r="JH159" s="154"/>
      <c r="JI159" s="154"/>
      <c r="JJ159" s="154"/>
      <c r="JK159" s="154"/>
      <c r="JL159" s="154"/>
      <c r="JM159" s="154"/>
      <c r="JN159" s="154"/>
      <c r="JO159" s="154"/>
      <c r="JP159" s="155">
        <f>SUM(JP151:JP158)</f>
        <v>1034857.693115004</v>
      </c>
      <c r="JQ159" s="140"/>
      <c r="JR159" s="153"/>
      <c r="JS159" s="154"/>
      <c r="JT159" s="154"/>
      <c r="JU159" s="154"/>
      <c r="JV159" s="154"/>
      <c r="JW159" s="154">
        <f>SUM(JW151:JW158)</f>
        <v>1006419.674199999</v>
      </c>
      <c r="JX159" s="154">
        <f t="shared" ref="JX159:LA159" si="43">SUM(JX151:JX158)</f>
        <v>1007290.4216424896</v>
      </c>
      <c r="JY159" s="154">
        <f t="shared" si="43"/>
        <v>1008161.1690849806</v>
      </c>
      <c r="JZ159" s="154">
        <f t="shared" si="43"/>
        <v>1009031.9165274713</v>
      </c>
      <c r="KA159" s="154">
        <f t="shared" si="43"/>
        <v>1009902.6639699622</v>
      </c>
      <c r="KB159" s="154">
        <f t="shared" si="43"/>
        <v>1010773.4114124529</v>
      </c>
      <c r="KC159" s="154">
        <f t="shared" si="43"/>
        <v>1011644.1588549436</v>
      </c>
      <c r="KD159" s="154">
        <f t="shared" si="43"/>
        <v>1012514.9062974345</v>
      </c>
      <c r="KE159" s="154">
        <f t="shared" si="43"/>
        <v>1013385.6537399251</v>
      </c>
      <c r="KF159" s="154">
        <f t="shared" si="43"/>
        <v>1014256.401182416</v>
      </c>
      <c r="KG159" s="154">
        <f t="shared" si="43"/>
        <v>1015127.1486249068</v>
      </c>
      <c r="KH159" s="154">
        <f t="shared" si="43"/>
        <v>1015546.9090670983</v>
      </c>
      <c r="KI159" s="154">
        <f t="shared" si="43"/>
        <v>1015966.6695092897</v>
      </c>
      <c r="KJ159" s="154">
        <f t="shared" si="43"/>
        <v>1016386.4299514812</v>
      </c>
      <c r="KK159" s="154">
        <f t="shared" si="43"/>
        <v>1016806.1903936728</v>
      </c>
      <c r="KL159" s="154">
        <f t="shared" si="43"/>
        <v>1017225.9508358643</v>
      </c>
      <c r="KM159" s="154">
        <f t="shared" si="43"/>
        <v>1017645.7112780558</v>
      </c>
      <c r="KN159" s="154">
        <f t="shared" si="43"/>
        <v>1018065.4717202471</v>
      </c>
      <c r="KO159" s="154">
        <f t="shared" si="43"/>
        <v>1018485.2321624387</v>
      </c>
      <c r="KP159" s="154">
        <f t="shared" si="43"/>
        <v>1018904.9926046304</v>
      </c>
      <c r="KQ159" s="154">
        <f t="shared" si="43"/>
        <v>1019324.7530468218</v>
      </c>
      <c r="KR159" s="154">
        <f t="shared" si="43"/>
        <v>1017621.6551269419</v>
      </c>
      <c r="KS159" s="154">
        <f t="shared" si="43"/>
        <v>1015918.5572070623</v>
      </c>
      <c r="KT159" s="154">
        <f t="shared" si="43"/>
        <v>1014215.4592871824</v>
      </c>
      <c r="KU159" s="154">
        <f t="shared" si="43"/>
        <v>1012512.3613673026</v>
      </c>
      <c r="KV159" s="154">
        <f t="shared" si="43"/>
        <v>1010809.2634474228</v>
      </c>
      <c r="KW159" s="154">
        <f t="shared" si="43"/>
        <v>1009106.1655275431</v>
      </c>
      <c r="KX159" s="154">
        <f t="shared" si="43"/>
        <v>1007403.0676076632</v>
      </c>
      <c r="KY159" s="154">
        <f t="shared" si="43"/>
        <v>1005699.9696877835</v>
      </c>
      <c r="KZ159" s="154">
        <f t="shared" si="43"/>
        <v>1003996.8717679037</v>
      </c>
      <c r="LA159" s="155">
        <f t="shared" si="43"/>
        <v>1002293.773848024</v>
      </c>
      <c r="LB159" s="140"/>
      <c r="LC159" s="153"/>
      <c r="LD159" s="154"/>
      <c r="LE159" s="154"/>
      <c r="LF159" s="154"/>
      <c r="LG159" s="154"/>
      <c r="LH159" s="154"/>
      <c r="LI159" s="154"/>
      <c r="LJ159" s="154"/>
      <c r="LK159" s="154"/>
      <c r="LL159" s="154"/>
      <c r="LM159" s="154"/>
      <c r="LN159" s="154"/>
      <c r="LO159" s="154"/>
      <c r="LP159" s="154"/>
      <c r="LQ159" s="154"/>
      <c r="LR159" s="154"/>
      <c r="LS159" s="154"/>
      <c r="LT159" s="154"/>
      <c r="LU159" s="154"/>
      <c r="LV159" s="154"/>
      <c r="LW159" s="154"/>
      <c r="LX159" s="154"/>
      <c r="LY159" s="154"/>
      <c r="LZ159" s="154"/>
      <c r="MA159" s="154"/>
      <c r="MB159" s="154"/>
      <c r="MC159" s="154"/>
      <c r="MD159" s="154"/>
      <c r="ME159" s="154"/>
      <c r="MF159" s="154"/>
      <c r="MG159" s="154"/>
      <c r="MH159" s="154"/>
      <c r="MI159" s="154"/>
      <c r="MJ159" s="154"/>
      <c r="MK159" s="154"/>
      <c r="ML159" s="155"/>
    </row>
    <row r="160" spans="2:350" s="4" customFormat="1" ht="15" customHeight="1" x14ac:dyDescent="0.3">
      <c r="C160" s="156"/>
      <c r="D160" s="156"/>
      <c r="E160" s="156"/>
      <c r="F160" s="156"/>
      <c r="H160" s="157"/>
      <c r="I160" s="157"/>
      <c r="J160" s="157"/>
      <c r="K160" s="157"/>
      <c r="L160" s="157"/>
      <c r="M160" s="157"/>
      <c r="N160" s="140"/>
      <c r="O160" s="140"/>
      <c r="P160" s="140"/>
      <c r="Q160" s="140"/>
      <c r="R160" s="140"/>
      <c r="S160" s="157"/>
      <c r="T160" s="157"/>
      <c r="U160" s="157"/>
      <c r="V160" s="157"/>
      <c r="W160" s="157"/>
      <c r="X160" s="157"/>
      <c r="Y160" s="157"/>
      <c r="Z160" s="157"/>
      <c r="AA160" s="157"/>
      <c r="AB160" s="157"/>
      <c r="AC160" s="157"/>
      <c r="AD160" s="157"/>
      <c r="AE160" s="157"/>
      <c r="AF160" s="157"/>
      <c r="AG160" s="157"/>
      <c r="AH160" s="157"/>
      <c r="AI160" s="157"/>
      <c r="AJ160" s="157"/>
      <c r="AK160" s="157"/>
      <c r="AL160" s="157"/>
      <c r="AM160" s="157"/>
      <c r="AN160" s="157"/>
      <c r="AO160" s="157"/>
      <c r="AP160" s="157"/>
      <c r="AQ160" s="157"/>
      <c r="AR160" s="157"/>
      <c r="AS160" s="157"/>
      <c r="AT160" s="157"/>
      <c r="AU160" s="157"/>
      <c r="AV160" s="157"/>
      <c r="AW160" s="157"/>
      <c r="AX160" s="157"/>
      <c r="AY160" s="157"/>
      <c r="AZ160" s="157"/>
      <c r="BA160" s="157"/>
      <c r="BB160" s="157"/>
      <c r="BC160" s="140"/>
      <c r="BD160" s="157"/>
      <c r="BE160" s="157"/>
      <c r="BF160" s="157"/>
      <c r="BG160" s="157"/>
      <c r="BH160" s="157"/>
      <c r="BI160" s="157"/>
      <c r="BJ160" s="157"/>
      <c r="BK160" s="157"/>
      <c r="BL160" s="157"/>
      <c r="BM160" s="157"/>
      <c r="BN160" s="157"/>
      <c r="BO160" s="157"/>
      <c r="BP160" s="157"/>
      <c r="BQ160" s="157"/>
      <c r="BR160" s="157"/>
      <c r="BS160" s="157"/>
      <c r="BT160" s="157"/>
      <c r="BU160" s="157"/>
      <c r="BV160" s="157"/>
      <c r="BW160" s="157"/>
      <c r="BX160" s="157"/>
      <c r="BY160" s="157"/>
      <c r="BZ160" s="157"/>
      <c r="CA160" s="157"/>
      <c r="CB160" s="157"/>
      <c r="CC160" s="157"/>
      <c r="CD160" s="157"/>
      <c r="CE160" s="157"/>
      <c r="CF160" s="157"/>
      <c r="CG160" s="157"/>
      <c r="CH160" s="157"/>
      <c r="CI160" s="157"/>
      <c r="CJ160" s="157"/>
      <c r="CK160" s="157"/>
      <c r="CL160" s="157"/>
      <c r="CM160" s="157"/>
      <c r="CN160" s="140"/>
      <c r="CO160" s="157"/>
      <c r="CP160" s="157"/>
      <c r="CQ160" s="157"/>
      <c r="CR160" s="157"/>
      <c r="CS160" s="157"/>
      <c r="CT160" s="157"/>
      <c r="CU160" s="157"/>
      <c r="CV160" s="157"/>
      <c r="CW160" s="157"/>
      <c r="CX160" s="157"/>
      <c r="CY160" s="157"/>
      <c r="CZ160" s="157"/>
      <c r="DA160" s="157"/>
      <c r="DB160" s="157"/>
      <c r="DC160" s="157"/>
      <c r="DD160" s="157"/>
      <c r="DE160" s="157"/>
      <c r="DF160" s="157"/>
      <c r="DG160" s="157"/>
      <c r="DH160" s="157"/>
      <c r="DI160" s="157"/>
      <c r="DJ160" s="157"/>
      <c r="DK160" s="157"/>
      <c r="DL160" s="157"/>
      <c r="DM160" s="157"/>
      <c r="DN160" s="157"/>
      <c r="DO160" s="157"/>
      <c r="DP160" s="157"/>
      <c r="DQ160" s="157"/>
      <c r="DR160" s="157"/>
      <c r="DS160" s="157"/>
      <c r="DT160" s="157"/>
      <c r="DU160" s="157"/>
      <c r="DV160" s="157"/>
      <c r="DW160" s="157"/>
      <c r="DX160" s="157"/>
      <c r="DY160" s="140"/>
      <c r="DZ160" s="157"/>
      <c r="EA160" s="157"/>
      <c r="EB160" s="157"/>
      <c r="EC160" s="157"/>
      <c r="ED160" s="157"/>
      <c r="EE160" s="157"/>
      <c r="EF160" s="157"/>
      <c r="EG160" s="157"/>
      <c r="EH160" s="157"/>
      <c r="EI160" s="157"/>
      <c r="EJ160" s="157"/>
      <c r="EK160" s="157"/>
      <c r="EL160" s="157"/>
      <c r="EM160" s="157"/>
      <c r="EN160" s="157"/>
      <c r="EO160" s="157"/>
      <c r="EP160" s="157"/>
      <c r="EQ160" s="157"/>
      <c r="ER160" s="157"/>
      <c r="ES160" s="157"/>
      <c r="ET160" s="157"/>
      <c r="EU160" s="157"/>
      <c r="EV160" s="157"/>
      <c r="EW160" s="157"/>
      <c r="EX160" s="157"/>
      <c r="EY160" s="157"/>
      <c r="EZ160" s="157"/>
      <c r="FA160" s="157"/>
      <c r="FB160" s="157"/>
      <c r="FC160" s="157"/>
      <c r="FD160" s="157"/>
      <c r="FE160" s="157"/>
      <c r="FF160" s="157"/>
      <c r="FG160" s="157"/>
      <c r="FH160" s="157"/>
      <c r="FI160" s="157"/>
      <c r="FJ160" s="140"/>
      <c r="FK160" s="157"/>
      <c r="FL160" s="157"/>
      <c r="FM160" s="157"/>
      <c r="FN160" s="157"/>
      <c r="FO160" s="157"/>
      <c r="FP160" s="157"/>
      <c r="FQ160" s="157"/>
      <c r="FR160" s="157"/>
      <c r="FS160" s="157"/>
      <c r="FT160" s="157"/>
      <c r="FU160" s="157"/>
      <c r="FV160" s="157"/>
      <c r="FW160" s="157"/>
      <c r="FX160" s="157"/>
      <c r="FY160" s="157"/>
      <c r="FZ160" s="157"/>
      <c r="GA160" s="157"/>
      <c r="GB160" s="157"/>
      <c r="GC160" s="157"/>
      <c r="GD160" s="157"/>
      <c r="GE160" s="157"/>
      <c r="GF160" s="157"/>
      <c r="GG160" s="157"/>
      <c r="GH160" s="157"/>
      <c r="GI160" s="157"/>
      <c r="GJ160" s="157"/>
      <c r="GK160" s="157"/>
      <c r="GL160" s="157"/>
      <c r="GM160" s="157"/>
      <c r="GN160" s="157"/>
      <c r="GO160" s="157"/>
      <c r="GP160" s="157"/>
      <c r="GQ160" s="157"/>
      <c r="GR160" s="157"/>
      <c r="GS160" s="157"/>
      <c r="GT160" s="157"/>
      <c r="GU160" s="140"/>
      <c r="GV160" s="157"/>
      <c r="GW160" s="157"/>
      <c r="GX160" s="157"/>
      <c r="GY160" s="157"/>
      <c r="GZ160" s="157"/>
      <c r="HA160" s="157"/>
      <c r="HB160" s="157"/>
      <c r="HC160" s="157"/>
      <c r="HD160" s="157"/>
      <c r="HE160" s="157"/>
      <c r="HF160" s="157"/>
      <c r="HG160" s="157"/>
      <c r="HH160" s="157"/>
      <c r="HI160" s="157"/>
      <c r="HJ160" s="157"/>
      <c r="HK160" s="157"/>
      <c r="HL160" s="157"/>
      <c r="HM160" s="157"/>
      <c r="HN160" s="157"/>
      <c r="HO160" s="157"/>
      <c r="HP160" s="157"/>
      <c r="HQ160" s="157"/>
      <c r="HR160" s="157"/>
      <c r="HS160" s="157"/>
      <c r="HT160" s="157"/>
      <c r="HU160" s="157"/>
      <c r="HV160" s="157"/>
      <c r="HW160" s="157"/>
      <c r="HX160" s="157"/>
      <c r="HY160" s="157"/>
      <c r="HZ160" s="157"/>
      <c r="IA160" s="157"/>
      <c r="IB160" s="157"/>
      <c r="IC160" s="157"/>
      <c r="ID160" s="157"/>
      <c r="IE160" s="157"/>
      <c r="IF160" s="140"/>
      <c r="IG160" s="157"/>
      <c r="IH160" s="157"/>
      <c r="II160" s="157"/>
      <c r="IJ160" s="157"/>
      <c r="IK160" s="157"/>
      <c r="IL160" s="157"/>
      <c r="IM160" s="157"/>
      <c r="IN160" s="157"/>
      <c r="IO160" s="157"/>
      <c r="IP160" s="157"/>
      <c r="IQ160" s="157"/>
      <c r="IR160" s="157"/>
      <c r="IS160" s="157"/>
      <c r="IT160" s="157"/>
      <c r="IU160" s="157"/>
      <c r="IV160" s="157"/>
      <c r="IW160" s="157"/>
      <c r="IX160" s="157"/>
      <c r="IY160" s="157"/>
      <c r="IZ160" s="157"/>
      <c r="JA160" s="157"/>
      <c r="JB160" s="157"/>
      <c r="JC160" s="157"/>
      <c r="JD160" s="157"/>
      <c r="JE160" s="157"/>
      <c r="JF160" s="157"/>
      <c r="JG160" s="157"/>
      <c r="JH160" s="157"/>
      <c r="JI160" s="157"/>
      <c r="JJ160" s="157"/>
      <c r="JK160" s="157"/>
      <c r="JL160" s="157"/>
      <c r="JM160" s="157"/>
      <c r="JN160" s="157"/>
      <c r="JO160" s="157"/>
      <c r="JP160" s="157"/>
      <c r="JQ160" s="140"/>
      <c r="JR160" s="157"/>
      <c r="JS160" s="157"/>
      <c r="JT160" s="157"/>
      <c r="JU160" s="157"/>
      <c r="JV160" s="157"/>
      <c r="JW160" s="157"/>
      <c r="JX160" s="157"/>
      <c r="JY160" s="157"/>
      <c r="JZ160" s="157"/>
      <c r="KA160" s="157"/>
      <c r="KB160" s="157"/>
      <c r="KC160" s="157"/>
      <c r="KD160" s="157"/>
      <c r="KE160" s="157"/>
      <c r="KF160" s="157"/>
      <c r="KG160" s="157"/>
      <c r="KH160" s="157"/>
      <c r="KI160" s="157"/>
      <c r="KJ160" s="157"/>
      <c r="KK160" s="157"/>
      <c r="KL160" s="157"/>
      <c r="KM160" s="157"/>
      <c r="KN160" s="157"/>
      <c r="KO160" s="157"/>
      <c r="KP160" s="157"/>
      <c r="KQ160" s="157"/>
      <c r="KR160" s="157"/>
      <c r="KS160" s="157"/>
      <c r="KT160" s="157"/>
      <c r="KU160" s="157"/>
      <c r="KV160" s="157"/>
      <c r="KW160" s="157"/>
      <c r="KX160" s="157"/>
      <c r="KY160" s="157"/>
      <c r="KZ160" s="157"/>
      <c r="LA160" s="157"/>
      <c r="LB160" s="140"/>
      <c r="LC160" s="157"/>
      <c r="LD160" s="157"/>
      <c r="LE160" s="157"/>
      <c r="LF160" s="157"/>
      <c r="LG160" s="157"/>
      <c r="LH160" s="157"/>
      <c r="LI160" s="157"/>
      <c r="LJ160" s="157"/>
      <c r="LK160" s="157"/>
      <c r="LL160" s="157"/>
      <c r="LM160" s="157"/>
      <c r="LN160" s="157"/>
      <c r="LO160" s="157"/>
      <c r="LP160" s="157"/>
      <c r="LQ160" s="157"/>
      <c r="LR160" s="157"/>
      <c r="LS160" s="157"/>
      <c r="LT160" s="157"/>
      <c r="LU160" s="157"/>
      <c r="LV160" s="157"/>
      <c r="LW160" s="157"/>
      <c r="LX160" s="157"/>
      <c r="LY160" s="157"/>
      <c r="LZ160" s="157"/>
      <c r="MA160" s="157"/>
      <c r="MB160" s="157"/>
      <c r="MC160" s="157"/>
      <c r="MD160" s="157"/>
      <c r="ME160" s="157"/>
      <c r="MF160" s="157"/>
      <c r="MG160" s="157"/>
      <c r="MH160" s="157"/>
      <c r="MI160" s="157"/>
      <c r="MJ160" s="157"/>
      <c r="MK160" s="157"/>
      <c r="ML160" s="157"/>
    </row>
    <row r="161" spans="3:350" s="4" customFormat="1" ht="15" customHeight="1" x14ac:dyDescent="0.3">
      <c r="C161" s="158" t="s">
        <v>107</v>
      </c>
      <c r="D161" s="158" t="s">
        <v>108</v>
      </c>
      <c r="E161" s="158"/>
      <c r="H161" s="140"/>
      <c r="I161" s="140"/>
      <c r="J161" s="140"/>
      <c r="K161" s="140"/>
      <c r="L161" s="140"/>
      <c r="M161" s="140"/>
      <c r="N161" s="140"/>
      <c r="O161" s="140"/>
      <c r="P161" s="140"/>
      <c r="Q161" s="140"/>
      <c r="R161" s="140"/>
      <c r="S161" s="140"/>
      <c r="T161" s="140"/>
      <c r="U161" s="140"/>
      <c r="V161" s="140"/>
      <c r="W161" s="140"/>
      <c r="X161" s="140"/>
      <c r="Y161" s="140"/>
      <c r="Z161" s="140"/>
      <c r="AA161" s="140"/>
      <c r="AB161" s="140"/>
      <c r="AC161" s="140"/>
      <c r="AD161" s="140"/>
      <c r="AE161" s="140"/>
      <c r="AF161" s="140"/>
      <c r="AG161" s="140"/>
      <c r="AH161" s="140"/>
      <c r="AI161" s="140"/>
      <c r="AJ161" s="140"/>
      <c r="AK161" s="140"/>
      <c r="AL161" s="140"/>
      <c r="AM161" s="140"/>
      <c r="AN161" s="140"/>
      <c r="AO161" s="140"/>
      <c r="AP161" s="140"/>
      <c r="AQ161" s="140"/>
      <c r="AR161" s="140"/>
      <c r="AS161" s="140"/>
      <c r="AT161" s="140"/>
      <c r="AU161" s="140"/>
      <c r="AV161" s="140"/>
      <c r="AW161" s="140"/>
      <c r="AX161" s="140"/>
      <c r="AY161" s="140"/>
      <c r="AZ161" s="140"/>
      <c r="BA161" s="140"/>
      <c r="BB161" s="140"/>
      <c r="BC161" s="140"/>
      <c r="BD161" s="140"/>
      <c r="BE161" s="140"/>
      <c r="BF161" s="140"/>
      <c r="BG161" s="140"/>
      <c r="BH161" s="140"/>
      <c r="BI161" s="140"/>
      <c r="BJ161" s="140"/>
      <c r="BK161" s="140"/>
      <c r="BL161" s="140"/>
      <c r="BM161" s="140"/>
      <c r="BN161" s="140"/>
      <c r="BO161" s="140"/>
      <c r="BP161" s="140"/>
      <c r="BQ161" s="140"/>
      <c r="BR161" s="140"/>
      <c r="BS161" s="140"/>
      <c r="BT161" s="140"/>
      <c r="BU161" s="140"/>
      <c r="BV161" s="140"/>
      <c r="BW161" s="140"/>
      <c r="BX161" s="140"/>
      <c r="BY161" s="140"/>
      <c r="BZ161" s="140"/>
      <c r="CA161" s="140"/>
      <c r="CB161" s="140"/>
      <c r="CC161" s="140"/>
      <c r="CD161" s="140"/>
      <c r="CE161" s="140"/>
      <c r="CF161" s="140"/>
      <c r="CG161" s="140"/>
      <c r="CH161" s="140"/>
      <c r="CI161" s="140"/>
      <c r="CJ161" s="140"/>
      <c r="CK161" s="140"/>
      <c r="CL161" s="140"/>
      <c r="CM161" s="140"/>
      <c r="CN161" s="140"/>
      <c r="CO161" s="140"/>
      <c r="CP161" s="140"/>
      <c r="CQ161" s="140"/>
      <c r="CR161" s="140"/>
      <c r="CS161" s="140"/>
      <c r="CT161" s="140"/>
      <c r="CU161" s="140"/>
      <c r="CV161" s="140"/>
      <c r="CW161" s="140"/>
      <c r="CX161" s="140"/>
      <c r="CY161" s="140"/>
      <c r="CZ161" s="140"/>
      <c r="DA161" s="140"/>
      <c r="DB161" s="140"/>
      <c r="DC161" s="140"/>
      <c r="DD161" s="140"/>
      <c r="DE161" s="140"/>
      <c r="DF161" s="140"/>
      <c r="DG161" s="140"/>
      <c r="DH161" s="140"/>
      <c r="DI161" s="140"/>
      <c r="DJ161" s="140"/>
      <c r="DK161" s="140"/>
      <c r="DL161" s="140"/>
      <c r="DM161" s="140"/>
      <c r="DN161" s="140"/>
      <c r="DO161" s="140"/>
      <c r="DP161" s="140"/>
      <c r="DQ161" s="140"/>
      <c r="DR161" s="140"/>
      <c r="DS161" s="140"/>
      <c r="DT161" s="140"/>
      <c r="DU161" s="140"/>
      <c r="DV161" s="140"/>
      <c r="DW161" s="140"/>
      <c r="DX161" s="140"/>
      <c r="DY161" s="140"/>
      <c r="DZ161" s="140"/>
      <c r="EA161" s="140"/>
      <c r="EB161" s="140"/>
      <c r="EC161" s="140"/>
      <c r="ED161" s="140"/>
      <c r="EE161" s="140"/>
      <c r="EF161" s="140"/>
      <c r="EG161" s="140"/>
      <c r="EH161" s="140"/>
      <c r="EI161" s="140"/>
      <c r="EJ161" s="140"/>
      <c r="EK161" s="140"/>
      <c r="EL161" s="140"/>
      <c r="EM161" s="140"/>
      <c r="EN161" s="140"/>
      <c r="EO161" s="140"/>
      <c r="EP161" s="140"/>
      <c r="EQ161" s="140"/>
      <c r="ER161" s="140"/>
      <c r="ES161" s="140"/>
      <c r="ET161" s="140"/>
      <c r="EU161" s="140"/>
      <c r="EV161" s="140"/>
      <c r="EW161" s="140"/>
      <c r="EX161" s="140"/>
      <c r="EY161" s="140"/>
      <c r="EZ161" s="140"/>
      <c r="FA161" s="140"/>
      <c r="FB161" s="140"/>
      <c r="FC161" s="140"/>
      <c r="FD161" s="140"/>
      <c r="FE161" s="140"/>
      <c r="FF161" s="140"/>
      <c r="FG161" s="140"/>
      <c r="FH161" s="140"/>
      <c r="FI161" s="140"/>
      <c r="FJ161" s="140"/>
      <c r="FK161" s="140"/>
      <c r="FL161" s="140"/>
      <c r="FM161" s="140"/>
      <c r="FN161" s="140"/>
      <c r="FO161" s="140"/>
      <c r="FP161" s="140"/>
      <c r="FQ161" s="140"/>
      <c r="FR161" s="140"/>
      <c r="FS161" s="140"/>
      <c r="FT161" s="140"/>
      <c r="FU161" s="140"/>
      <c r="FV161" s="140"/>
      <c r="FW161" s="140"/>
      <c r="FX161" s="140"/>
      <c r="FY161" s="140"/>
      <c r="FZ161" s="140"/>
      <c r="GA161" s="140"/>
      <c r="GB161" s="140"/>
      <c r="GC161" s="140"/>
      <c r="GD161" s="140"/>
      <c r="GE161" s="140"/>
      <c r="GF161" s="140"/>
      <c r="GG161" s="140"/>
      <c r="GH161" s="140"/>
      <c r="GI161" s="140"/>
      <c r="GJ161" s="140"/>
      <c r="GK161" s="140"/>
      <c r="GL161" s="140"/>
      <c r="GM161" s="140"/>
      <c r="GN161" s="140"/>
      <c r="GO161" s="140"/>
      <c r="GP161" s="140"/>
      <c r="GQ161" s="140"/>
      <c r="GR161" s="140"/>
      <c r="GS161" s="140"/>
      <c r="GT161" s="140"/>
      <c r="GU161" s="140"/>
      <c r="GV161" s="140"/>
      <c r="GW161" s="140"/>
      <c r="GX161" s="140"/>
      <c r="GY161" s="140"/>
      <c r="GZ161" s="140"/>
      <c r="HA161" s="140"/>
      <c r="HB161" s="140"/>
      <c r="HC161" s="140"/>
      <c r="HD161" s="140"/>
      <c r="HE161" s="140"/>
      <c r="HF161" s="140"/>
      <c r="HG161" s="140"/>
      <c r="HH161" s="140"/>
      <c r="HI161" s="140"/>
      <c r="HJ161" s="140"/>
      <c r="HK161" s="140"/>
      <c r="HL161" s="140"/>
      <c r="HM161" s="140"/>
      <c r="HN161" s="140"/>
      <c r="HO161" s="140"/>
      <c r="HP161" s="140"/>
      <c r="HQ161" s="140"/>
      <c r="HR161" s="140"/>
      <c r="HS161" s="140"/>
      <c r="HT161" s="140"/>
      <c r="HU161" s="140"/>
      <c r="HV161" s="140"/>
      <c r="HW161" s="140"/>
      <c r="HX161" s="140"/>
      <c r="HY161" s="140"/>
      <c r="HZ161" s="140"/>
      <c r="IA161" s="140"/>
      <c r="IB161" s="140"/>
      <c r="IC161" s="140"/>
      <c r="ID161" s="140"/>
      <c r="IE161" s="140"/>
      <c r="IF161" s="140"/>
      <c r="IG161" s="140"/>
      <c r="IH161" s="140"/>
      <c r="II161" s="140"/>
      <c r="IJ161" s="140"/>
      <c r="IK161" s="140"/>
      <c r="IL161" s="140"/>
      <c r="IM161" s="140"/>
      <c r="IN161" s="140"/>
      <c r="IO161" s="140"/>
      <c r="IP161" s="140"/>
      <c r="IQ161" s="140"/>
      <c r="IR161" s="140"/>
      <c r="IS161" s="140"/>
      <c r="IT161" s="140"/>
      <c r="IU161" s="140"/>
      <c r="IV161" s="140"/>
      <c r="IW161" s="140"/>
      <c r="IX161" s="140"/>
      <c r="IY161" s="140"/>
      <c r="IZ161" s="140"/>
      <c r="JA161" s="140"/>
      <c r="JB161" s="140"/>
      <c r="JC161" s="140"/>
      <c r="JD161" s="140"/>
      <c r="JE161" s="140"/>
      <c r="JF161" s="140"/>
      <c r="JG161" s="140"/>
      <c r="JH161" s="140"/>
      <c r="JI161" s="140"/>
      <c r="JJ161" s="140"/>
      <c r="JK161" s="140"/>
      <c r="JL161" s="140"/>
      <c r="JM161" s="140"/>
      <c r="JN161" s="140"/>
      <c r="JO161" s="140"/>
      <c r="JP161" s="140"/>
      <c r="JQ161" s="140"/>
      <c r="JR161" s="140"/>
      <c r="JS161" s="140"/>
      <c r="JT161" s="140"/>
      <c r="JU161" s="140"/>
      <c r="JV161" s="140"/>
      <c r="JW161" s="140"/>
      <c r="JX161" s="140"/>
      <c r="JY161" s="140"/>
      <c r="JZ161" s="140"/>
      <c r="KA161" s="140"/>
      <c r="KB161" s="140"/>
      <c r="KC161" s="140"/>
      <c r="KD161" s="140"/>
      <c r="KE161" s="140"/>
      <c r="KF161" s="140"/>
      <c r="KG161" s="140"/>
      <c r="KH161" s="140"/>
      <c r="KI161" s="140"/>
      <c r="KJ161" s="140"/>
      <c r="KK161" s="140"/>
      <c r="KL161" s="140"/>
      <c r="KM161" s="140"/>
      <c r="KN161" s="140"/>
      <c r="KO161" s="140"/>
      <c r="KP161" s="140"/>
      <c r="KQ161" s="140"/>
      <c r="KR161" s="140"/>
      <c r="KS161" s="140"/>
      <c r="KT161" s="140"/>
      <c r="KU161" s="140"/>
      <c r="KV161" s="140"/>
      <c r="KW161" s="140"/>
      <c r="KX161" s="140"/>
      <c r="KY161" s="140"/>
      <c r="KZ161" s="140"/>
      <c r="LA161" s="140"/>
      <c r="LB161" s="140"/>
      <c r="LC161" s="140"/>
      <c r="LD161" s="140"/>
      <c r="LE161" s="140"/>
      <c r="LF161" s="140"/>
      <c r="LG161" s="140"/>
      <c r="LH161" s="140"/>
      <c r="LI161" s="140"/>
      <c r="LJ161" s="140"/>
      <c r="LK161" s="140"/>
      <c r="LL161" s="140"/>
      <c r="LM161" s="140"/>
      <c r="LN161" s="140"/>
      <c r="LO161" s="140"/>
      <c r="LP161" s="140"/>
      <c r="LQ161" s="140"/>
      <c r="LR161" s="140"/>
      <c r="LS161" s="140"/>
      <c r="LT161" s="140"/>
      <c r="LU161" s="140"/>
      <c r="LV161" s="140"/>
      <c r="LW161" s="140"/>
      <c r="LX161" s="140"/>
      <c r="LY161" s="140"/>
      <c r="LZ161" s="140"/>
      <c r="MA161" s="140"/>
      <c r="MB161" s="140"/>
      <c r="MC161" s="140"/>
      <c r="MD161" s="140"/>
      <c r="ME161" s="140"/>
      <c r="MF161" s="140"/>
      <c r="MG161" s="140"/>
      <c r="MH161" s="140"/>
      <c r="MI161" s="140"/>
      <c r="MJ161" s="140"/>
      <c r="MK161" s="140"/>
      <c r="ML161" s="140"/>
    </row>
    <row r="162" spans="3:350" s="4" customFormat="1" ht="15" customHeight="1" x14ac:dyDescent="0.3">
      <c r="C162" s="158" t="s">
        <v>109</v>
      </c>
      <c r="D162" s="158" t="s">
        <v>110</v>
      </c>
      <c r="E162" s="158"/>
      <c r="H162" s="140"/>
      <c r="I162" s="140"/>
      <c r="J162" s="140"/>
      <c r="K162" s="140"/>
      <c r="L162" s="140"/>
      <c r="M162" s="140"/>
      <c r="N162" s="140"/>
      <c r="O162" s="140"/>
      <c r="P162" s="140"/>
      <c r="Q162" s="140"/>
      <c r="R162" s="140"/>
      <c r="S162" s="140"/>
      <c r="T162" s="140"/>
      <c r="U162" s="140"/>
      <c r="V162" s="140"/>
      <c r="W162" s="140"/>
      <c r="X162" s="140"/>
      <c r="Y162" s="140"/>
      <c r="Z162" s="140"/>
      <c r="AA162" s="140"/>
      <c r="AB162" s="140"/>
      <c r="AC162" s="140"/>
      <c r="AD162" s="140"/>
      <c r="AE162" s="140"/>
      <c r="AF162" s="140"/>
      <c r="AG162" s="140"/>
      <c r="AH162" s="140"/>
      <c r="AI162" s="140"/>
      <c r="AJ162" s="140"/>
      <c r="AK162" s="140"/>
      <c r="AL162" s="140"/>
      <c r="AM162" s="140"/>
      <c r="AN162" s="140"/>
      <c r="AO162" s="140"/>
      <c r="AP162" s="140"/>
      <c r="AQ162" s="140"/>
      <c r="AR162" s="140"/>
      <c r="AS162" s="140"/>
      <c r="AT162" s="140"/>
      <c r="AU162" s="140"/>
      <c r="AV162" s="140"/>
      <c r="AW162" s="140"/>
      <c r="AX162" s="140"/>
      <c r="AY162" s="140"/>
      <c r="AZ162" s="140"/>
      <c r="BA162" s="140"/>
      <c r="BB162" s="140"/>
      <c r="BC162" s="140"/>
      <c r="BD162" s="140"/>
      <c r="BE162" s="140"/>
      <c r="BF162" s="140"/>
      <c r="BG162" s="140"/>
      <c r="BH162" s="140"/>
      <c r="BI162" s="140"/>
      <c r="BJ162" s="140"/>
      <c r="BK162" s="140"/>
      <c r="BL162" s="140"/>
      <c r="BM162" s="140"/>
      <c r="BN162" s="140"/>
      <c r="BO162" s="140"/>
      <c r="BP162" s="140"/>
      <c r="BQ162" s="140"/>
      <c r="BR162" s="140"/>
      <c r="BS162" s="140"/>
      <c r="BT162" s="140"/>
      <c r="BU162" s="140"/>
      <c r="BV162" s="140"/>
      <c r="BW162" s="140"/>
      <c r="BX162" s="140"/>
      <c r="BY162" s="140"/>
      <c r="BZ162" s="140"/>
      <c r="CA162" s="140"/>
      <c r="CB162" s="140"/>
      <c r="CC162" s="140"/>
      <c r="CD162" s="140"/>
      <c r="CE162" s="140"/>
      <c r="CF162" s="140"/>
      <c r="CG162" s="140"/>
      <c r="CH162" s="140"/>
      <c r="CI162" s="140"/>
      <c r="CJ162" s="140"/>
      <c r="CK162" s="140"/>
      <c r="CL162" s="140"/>
      <c r="CM162" s="140"/>
      <c r="CN162" s="140"/>
      <c r="CO162" s="140"/>
      <c r="CP162" s="140"/>
      <c r="CQ162" s="140"/>
      <c r="CR162" s="140"/>
      <c r="CS162" s="140"/>
      <c r="CT162" s="140"/>
      <c r="CU162" s="140"/>
      <c r="CV162" s="140"/>
      <c r="CW162" s="140"/>
      <c r="CX162" s="140"/>
      <c r="CY162" s="140"/>
      <c r="CZ162" s="140"/>
      <c r="DA162" s="140"/>
      <c r="DB162" s="140"/>
      <c r="DC162" s="140"/>
      <c r="DD162" s="140"/>
      <c r="DE162" s="140"/>
      <c r="DF162" s="140"/>
      <c r="DG162" s="140"/>
      <c r="DH162" s="140"/>
      <c r="DI162" s="140"/>
      <c r="DJ162" s="140"/>
      <c r="DK162" s="140"/>
      <c r="DL162" s="140"/>
      <c r="DM162" s="140"/>
      <c r="DN162" s="140"/>
      <c r="DO162" s="140"/>
      <c r="DP162" s="140"/>
      <c r="DQ162" s="140"/>
      <c r="DR162" s="140"/>
      <c r="DS162" s="140"/>
      <c r="DT162" s="140"/>
      <c r="DU162" s="140"/>
      <c r="DV162" s="140"/>
      <c r="DW162" s="140"/>
      <c r="DX162" s="140"/>
      <c r="DY162" s="140"/>
      <c r="DZ162" s="140"/>
      <c r="EA162" s="140"/>
      <c r="EB162" s="140"/>
      <c r="EC162" s="140"/>
      <c r="ED162" s="140"/>
      <c r="EE162" s="140"/>
      <c r="EF162" s="140"/>
      <c r="EG162" s="140"/>
      <c r="EH162" s="140"/>
      <c r="EI162" s="140"/>
      <c r="EJ162" s="140"/>
      <c r="EK162" s="140"/>
      <c r="EL162" s="140"/>
      <c r="EM162" s="140"/>
      <c r="EN162" s="140"/>
      <c r="EO162" s="140"/>
      <c r="EP162" s="140"/>
      <c r="EQ162" s="140"/>
      <c r="ER162" s="140"/>
      <c r="ES162" s="140"/>
      <c r="ET162" s="140"/>
      <c r="EU162" s="140"/>
      <c r="EV162" s="140"/>
      <c r="EW162" s="140"/>
      <c r="EX162" s="140"/>
      <c r="EY162" s="140"/>
      <c r="EZ162" s="140"/>
      <c r="FA162" s="140"/>
      <c r="FB162" s="140"/>
      <c r="FC162" s="140"/>
      <c r="FD162" s="140"/>
      <c r="FE162" s="140"/>
      <c r="FF162" s="140"/>
      <c r="FG162" s="140"/>
      <c r="FH162" s="140"/>
      <c r="FI162" s="140"/>
      <c r="FJ162" s="140"/>
      <c r="FK162" s="140"/>
      <c r="FL162" s="140"/>
      <c r="FM162" s="140"/>
      <c r="FN162" s="140"/>
      <c r="FO162" s="140"/>
      <c r="FP162" s="140"/>
      <c r="FQ162" s="140"/>
      <c r="FR162" s="140"/>
      <c r="FS162" s="140"/>
      <c r="FT162" s="140"/>
      <c r="FU162" s="140"/>
      <c r="FV162" s="140"/>
      <c r="FW162" s="140"/>
      <c r="FX162" s="140"/>
      <c r="FY162" s="140"/>
      <c r="FZ162" s="140"/>
      <c r="GA162" s="140"/>
      <c r="GB162" s="140"/>
      <c r="GC162" s="140"/>
      <c r="GD162" s="140"/>
      <c r="GE162" s="140"/>
      <c r="GF162" s="140"/>
      <c r="GG162" s="140"/>
      <c r="GH162" s="140"/>
      <c r="GI162" s="140"/>
      <c r="GJ162" s="140"/>
      <c r="GK162" s="140"/>
      <c r="GL162" s="140"/>
      <c r="GM162" s="140"/>
      <c r="GN162" s="140"/>
      <c r="GO162" s="140"/>
      <c r="GP162" s="140"/>
      <c r="GQ162" s="140"/>
      <c r="GR162" s="140"/>
      <c r="GS162" s="140"/>
      <c r="GT162" s="140"/>
      <c r="GU162" s="140"/>
      <c r="GV162" s="140"/>
      <c r="GW162" s="140"/>
      <c r="GX162" s="140"/>
      <c r="GY162" s="140"/>
      <c r="GZ162" s="140"/>
      <c r="HA162" s="140"/>
      <c r="HB162" s="140"/>
      <c r="HC162" s="140"/>
      <c r="HD162" s="140"/>
      <c r="HE162" s="140"/>
      <c r="HF162" s="140"/>
      <c r="HG162" s="140"/>
      <c r="HH162" s="140"/>
      <c r="HI162" s="140"/>
      <c r="HJ162" s="140"/>
      <c r="HK162" s="140"/>
      <c r="HL162" s="140"/>
      <c r="HM162" s="140"/>
      <c r="HN162" s="140"/>
      <c r="HO162" s="140"/>
      <c r="HP162" s="140"/>
      <c r="HQ162" s="140"/>
      <c r="HR162" s="140"/>
      <c r="HS162" s="140"/>
      <c r="HT162" s="140"/>
      <c r="HU162" s="140"/>
      <c r="HV162" s="140"/>
      <c r="HW162" s="140"/>
      <c r="HX162" s="140"/>
      <c r="HY162" s="140"/>
      <c r="HZ162" s="140"/>
      <c r="IA162" s="140"/>
      <c r="IB162" s="140"/>
      <c r="IC162" s="140"/>
      <c r="ID162" s="140"/>
      <c r="IE162" s="140"/>
      <c r="IF162" s="140"/>
      <c r="IG162" s="140"/>
      <c r="IH162" s="140"/>
      <c r="II162" s="140"/>
      <c r="IJ162" s="140"/>
      <c r="IK162" s="140"/>
      <c r="IL162" s="140"/>
      <c r="IM162" s="140"/>
      <c r="IN162" s="140"/>
      <c r="IO162" s="140"/>
      <c r="IP162" s="140"/>
      <c r="IQ162" s="140"/>
      <c r="IR162" s="140"/>
      <c r="IS162" s="140"/>
      <c r="IT162" s="140"/>
      <c r="IU162" s="140"/>
      <c r="IV162" s="140"/>
      <c r="IW162" s="140"/>
      <c r="IX162" s="140"/>
      <c r="IY162" s="140"/>
      <c r="IZ162" s="140"/>
      <c r="JA162" s="140"/>
      <c r="JB162" s="140"/>
      <c r="JC162" s="140"/>
      <c r="JD162" s="140"/>
      <c r="JE162" s="140"/>
      <c r="JF162" s="140"/>
      <c r="JG162" s="140"/>
      <c r="JH162" s="140"/>
      <c r="JI162" s="140"/>
      <c r="JJ162" s="140"/>
      <c r="JK162" s="140"/>
      <c r="JL162" s="140"/>
      <c r="JM162" s="140"/>
      <c r="JN162" s="140"/>
      <c r="JO162" s="140"/>
      <c r="JP162" s="140"/>
      <c r="JQ162" s="140"/>
      <c r="JR162" s="140"/>
      <c r="JS162" s="140"/>
      <c r="JT162" s="140"/>
      <c r="JU162" s="140"/>
      <c r="JV162" s="140"/>
      <c r="JW162" s="140"/>
      <c r="JX162" s="140"/>
      <c r="JY162" s="140"/>
      <c r="JZ162" s="140"/>
      <c r="KA162" s="140"/>
      <c r="KB162" s="140"/>
      <c r="KC162" s="140"/>
      <c r="KD162" s="140"/>
      <c r="KE162" s="140"/>
      <c r="KF162" s="140"/>
      <c r="KG162" s="140"/>
      <c r="KH162" s="140"/>
      <c r="KI162" s="140"/>
      <c r="KJ162" s="140"/>
      <c r="KK162" s="140"/>
      <c r="KL162" s="140"/>
      <c r="KM162" s="140"/>
      <c r="KN162" s="140"/>
      <c r="KO162" s="140"/>
      <c r="KP162" s="140"/>
      <c r="KQ162" s="140"/>
      <c r="KR162" s="140"/>
      <c r="KS162" s="140"/>
      <c r="KT162" s="140"/>
      <c r="KU162" s="140"/>
      <c r="KV162" s="140"/>
      <c r="KW162" s="140"/>
      <c r="KX162" s="140"/>
      <c r="KY162" s="140"/>
      <c r="KZ162" s="140"/>
      <c r="LA162" s="140"/>
      <c r="LB162" s="140"/>
      <c r="LC162" s="140"/>
      <c r="LD162" s="140"/>
      <c r="LE162" s="140"/>
      <c r="LF162" s="140"/>
      <c r="LG162" s="140"/>
      <c r="LH162" s="140"/>
      <c r="LI162" s="140"/>
      <c r="LJ162" s="140"/>
      <c r="LK162" s="140"/>
      <c r="LL162" s="140"/>
      <c r="LM162" s="140"/>
      <c r="LN162" s="140"/>
      <c r="LO162" s="140"/>
      <c r="LP162" s="140"/>
      <c r="LQ162" s="140"/>
      <c r="LR162" s="140"/>
      <c r="LS162" s="140"/>
      <c r="LT162" s="140"/>
      <c r="LU162" s="140"/>
      <c r="LV162" s="140"/>
      <c r="LW162" s="140"/>
      <c r="LX162" s="140"/>
      <c r="LY162" s="140"/>
      <c r="LZ162" s="140"/>
      <c r="MA162" s="140"/>
      <c r="MB162" s="140"/>
      <c r="MC162" s="140"/>
      <c r="MD162" s="140"/>
      <c r="ME162" s="140"/>
      <c r="MF162" s="140"/>
      <c r="MG162" s="140"/>
      <c r="MH162" s="140"/>
      <c r="MI162" s="140"/>
      <c r="MJ162" s="140"/>
      <c r="MK162" s="140"/>
      <c r="ML162" s="140"/>
    </row>
    <row r="163" spans="3:350" s="4" customFormat="1" ht="15" customHeight="1" x14ac:dyDescent="0.3">
      <c r="C163" s="158" t="s">
        <v>111</v>
      </c>
      <c r="D163" s="158" t="s">
        <v>112</v>
      </c>
      <c r="E163" s="158"/>
      <c r="H163" s="140"/>
      <c r="I163" s="140"/>
      <c r="J163" s="140"/>
      <c r="K163" s="140"/>
      <c r="L163" s="140"/>
      <c r="M163" s="140"/>
      <c r="N163" s="140"/>
      <c r="O163" s="140"/>
      <c r="P163" s="140"/>
      <c r="Q163" s="140"/>
      <c r="R163" s="140"/>
      <c r="S163" s="140"/>
      <c r="T163" s="140"/>
      <c r="U163" s="140"/>
      <c r="V163" s="140"/>
      <c r="W163" s="140"/>
      <c r="X163" s="140"/>
      <c r="Y163" s="140"/>
      <c r="Z163" s="140"/>
      <c r="AA163" s="140"/>
      <c r="AB163" s="140"/>
      <c r="AC163" s="140"/>
      <c r="AD163" s="140"/>
      <c r="AE163" s="140"/>
      <c r="AF163" s="140"/>
      <c r="AG163" s="140"/>
      <c r="AH163" s="140"/>
      <c r="AI163" s="140"/>
      <c r="AJ163" s="140"/>
      <c r="AK163" s="140"/>
      <c r="AL163" s="140"/>
      <c r="AM163" s="140"/>
      <c r="AN163" s="140"/>
      <c r="AO163" s="140"/>
      <c r="AP163" s="140"/>
      <c r="AQ163" s="140"/>
      <c r="AR163" s="140"/>
      <c r="AS163" s="140"/>
      <c r="AT163" s="140"/>
      <c r="AU163" s="140"/>
      <c r="AV163" s="140"/>
      <c r="AW163" s="140"/>
      <c r="AX163" s="140"/>
      <c r="AY163" s="140"/>
      <c r="AZ163" s="140"/>
      <c r="BA163" s="140"/>
      <c r="BB163" s="140"/>
      <c r="BC163" s="140"/>
      <c r="BD163" s="140"/>
      <c r="BE163" s="140"/>
      <c r="BF163" s="140"/>
      <c r="BG163" s="140"/>
      <c r="BH163" s="140"/>
      <c r="BI163" s="140"/>
      <c r="BJ163" s="140"/>
      <c r="BK163" s="140"/>
      <c r="BL163" s="140"/>
      <c r="BM163" s="140"/>
      <c r="BN163" s="140"/>
      <c r="BO163" s="140"/>
      <c r="BP163" s="140"/>
      <c r="BQ163" s="140"/>
      <c r="BR163" s="140"/>
      <c r="BS163" s="140"/>
      <c r="BT163" s="140"/>
      <c r="BU163" s="140"/>
      <c r="BV163" s="140"/>
      <c r="BW163" s="140"/>
      <c r="BX163" s="140"/>
      <c r="BY163" s="140"/>
      <c r="BZ163" s="140"/>
      <c r="CA163" s="140"/>
      <c r="CB163" s="140"/>
      <c r="CC163" s="140"/>
      <c r="CD163" s="140"/>
      <c r="CE163" s="140"/>
      <c r="CF163" s="140"/>
      <c r="CG163" s="140"/>
      <c r="CH163" s="140"/>
      <c r="CI163" s="140"/>
      <c r="CJ163" s="140"/>
      <c r="CK163" s="140"/>
      <c r="CL163" s="140"/>
      <c r="CM163" s="140"/>
      <c r="CN163" s="140"/>
      <c r="CO163" s="140"/>
      <c r="CP163" s="140"/>
      <c r="CQ163" s="140"/>
      <c r="CR163" s="140"/>
      <c r="CS163" s="140"/>
      <c r="CT163" s="140"/>
      <c r="CU163" s="140"/>
      <c r="CV163" s="140"/>
      <c r="CW163" s="140"/>
      <c r="CX163" s="140"/>
      <c r="CY163" s="140"/>
      <c r="CZ163" s="140"/>
      <c r="DA163" s="140"/>
      <c r="DB163" s="140"/>
      <c r="DC163" s="140"/>
      <c r="DD163" s="140"/>
      <c r="DE163" s="140"/>
      <c r="DF163" s="140"/>
      <c r="DG163" s="140"/>
      <c r="DH163" s="140"/>
      <c r="DI163" s="140"/>
      <c r="DJ163" s="140"/>
      <c r="DK163" s="140"/>
      <c r="DL163" s="140"/>
      <c r="DM163" s="140"/>
      <c r="DN163" s="140"/>
      <c r="DO163" s="140"/>
      <c r="DP163" s="140"/>
      <c r="DQ163" s="140"/>
      <c r="DR163" s="140"/>
      <c r="DS163" s="140"/>
      <c r="DT163" s="140"/>
      <c r="DU163" s="140"/>
      <c r="DV163" s="140"/>
      <c r="DW163" s="140"/>
      <c r="DX163" s="140"/>
      <c r="DY163" s="140"/>
      <c r="DZ163" s="140"/>
      <c r="EA163" s="140"/>
      <c r="EB163" s="140"/>
      <c r="EC163" s="140"/>
      <c r="ED163" s="140"/>
      <c r="EE163" s="140"/>
      <c r="EF163" s="140"/>
      <c r="EG163" s="140"/>
      <c r="EH163" s="140"/>
      <c r="EI163" s="140"/>
      <c r="EJ163" s="140"/>
      <c r="EK163" s="140"/>
      <c r="EL163" s="140"/>
      <c r="EM163" s="140"/>
      <c r="EN163" s="140"/>
      <c r="EO163" s="140"/>
      <c r="EP163" s="140"/>
      <c r="EQ163" s="140"/>
      <c r="ER163" s="140"/>
      <c r="ES163" s="140"/>
      <c r="ET163" s="140"/>
      <c r="EU163" s="140"/>
      <c r="EV163" s="140"/>
      <c r="EW163" s="140"/>
      <c r="EX163" s="140"/>
      <c r="EY163" s="140"/>
      <c r="EZ163" s="140"/>
      <c r="FA163" s="140"/>
      <c r="FB163" s="140"/>
      <c r="FC163" s="140"/>
      <c r="FD163" s="140"/>
      <c r="FE163" s="140"/>
      <c r="FF163" s="140"/>
      <c r="FG163" s="140"/>
      <c r="FH163" s="140"/>
      <c r="FI163" s="140"/>
      <c r="FJ163" s="140"/>
      <c r="FK163" s="140"/>
      <c r="FL163" s="140"/>
      <c r="FM163" s="140"/>
      <c r="FN163" s="140"/>
      <c r="FO163" s="140"/>
      <c r="FP163" s="140"/>
      <c r="FQ163" s="140"/>
      <c r="FR163" s="140"/>
      <c r="FS163" s="140"/>
      <c r="FT163" s="140"/>
      <c r="FU163" s="140"/>
      <c r="FV163" s="140"/>
      <c r="FW163" s="140"/>
      <c r="FX163" s="140"/>
      <c r="FY163" s="140"/>
      <c r="FZ163" s="140"/>
      <c r="GA163" s="140"/>
      <c r="GB163" s="140"/>
      <c r="GC163" s="140"/>
      <c r="GD163" s="140"/>
      <c r="GE163" s="140"/>
      <c r="GF163" s="140"/>
      <c r="GG163" s="140"/>
      <c r="GH163" s="140"/>
      <c r="GI163" s="140"/>
      <c r="GJ163" s="140"/>
      <c r="GK163" s="140"/>
      <c r="GL163" s="140"/>
      <c r="GM163" s="140"/>
      <c r="GN163" s="140"/>
      <c r="GO163" s="140"/>
      <c r="GP163" s="140"/>
      <c r="GQ163" s="140"/>
      <c r="GR163" s="140"/>
      <c r="GS163" s="140"/>
      <c r="GT163" s="140"/>
      <c r="GU163" s="140"/>
      <c r="GV163" s="140"/>
      <c r="GW163" s="140"/>
      <c r="GX163" s="140"/>
      <c r="GY163" s="140"/>
      <c r="GZ163" s="140"/>
      <c r="HA163" s="140"/>
      <c r="HB163" s="140"/>
      <c r="HC163" s="140"/>
      <c r="HD163" s="140"/>
      <c r="HE163" s="140"/>
      <c r="HF163" s="140"/>
      <c r="HG163" s="140"/>
      <c r="HH163" s="140"/>
      <c r="HI163" s="140"/>
      <c r="HJ163" s="140"/>
      <c r="HK163" s="140"/>
      <c r="HL163" s="140"/>
      <c r="HM163" s="140"/>
      <c r="HN163" s="140"/>
      <c r="HO163" s="140"/>
      <c r="HP163" s="140"/>
      <c r="HQ163" s="140"/>
      <c r="HR163" s="140"/>
      <c r="HS163" s="140"/>
      <c r="HT163" s="140"/>
      <c r="HU163" s="140"/>
      <c r="HV163" s="140"/>
      <c r="HW163" s="140"/>
      <c r="HX163" s="140"/>
      <c r="HY163" s="140"/>
      <c r="HZ163" s="140"/>
      <c r="IA163" s="140"/>
      <c r="IB163" s="140"/>
      <c r="IC163" s="140"/>
      <c r="ID163" s="140"/>
      <c r="IE163" s="140"/>
      <c r="IF163" s="140"/>
      <c r="IG163" s="140"/>
      <c r="IH163" s="140"/>
      <c r="II163" s="140"/>
      <c r="IJ163" s="140"/>
      <c r="IK163" s="140"/>
      <c r="IL163" s="140"/>
      <c r="IM163" s="140"/>
      <c r="IN163" s="140"/>
      <c r="IO163" s="140"/>
      <c r="IP163" s="140"/>
      <c r="IQ163" s="140"/>
      <c r="IR163" s="140"/>
      <c r="IS163" s="140"/>
      <c r="IT163" s="140"/>
      <c r="IU163" s="140"/>
      <c r="IV163" s="140"/>
      <c r="IW163" s="140"/>
      <c r="IX163" s="140"/>
      <c r="IY163" s="140"/>
      <c r="IZ163" s="140"/>
      <c r="JA163" s="140"/>
      <c r="JB163" s="140"/>
      <c r="JC163" s="140"/>
      <c r="JD163" s="140"/>
      <c r="JE163" s="140"/>
      <c r="JF163" s="140"/>
      <c r="JG163" s="140"/>
      <c r="JH163" s="140"/>
      <c r="JI163" s="140"/>
      <c r="JJ163" s="140"/>
      <c r="JK163" s="140"/>
      <c r="JL163" s="140"/>
      <c r="JM163" s="140"/>
      <c r="JN163" s="140"/>
      <c r="JO163" s="140"/>
      <c r="JP163" s="140"/>
      <c r="JQ163" s="140"/>
      <c r="JR163" s="140"/>
      <c r="JS163" s="140"/>
      <c r="JT163" s="140"/>
      <c r="JU163" s="140"/>
      <c r="JV163" s="140"/>
      <c r="JW163" s="140"/>
      <c r="JX163" s="140"/>
      <c r="JY163" s="140"/>
      <c r="JZ163" s="140"/>
      <c r="KA163" s="140"/>
      <c r="KB163" s="140"/>
      <c r="KC163" s="140"/>
      <c r="KD163" s="140"/>
      <c r="KE163" s="140"/>
      <c r="KF163" s="140"/>
      <c r="KG163" s="140"/>
      <c r="KH163" s="140"/>
      <c r="KI163" s="140"/>
      <c r="KJ163" s="140"/>
      <c r="KK163" s="140"/>
      <c r="KL163" s="140"/>
      <c r="KM163" s="140"/>
      <c r="KN163" s="140"/>
      <c r="KO163" s="140"/>
      <c r="KP163" s="140"/>
      <c r="KQ163" s="140"/>
      <c r="KR163" s="140"/>
      <c r="KS163" s="140"/>
      <c r="KT163" s="140"/>
      <c r="KU163" s="140"/>
      <c r="KV163" s="140"/>
      <c r="KW163" s="140"/>
      <c r="KX163" s="140"/>
      <c r="KY163" s="140"/>
      <c r="KZ163" s="140"/>
      <c r="LA163" s="140"/>
      <c r="LB163" s="140"/>
      <c r="LC163" s="140"/>
      <c r="LD163" s="140"/>
      <c r="LE163" s="140"/>
      <c r="LF163" s="140"/>
      <c r="LG163" s="140"/>
      <c r="LH163" s="140"/>
      <c r="LI163" s="140"/>
      <c r="LJ163" s="140"/>
      <c r="LK163" s="140"/>
      <c r="LL163" s="140"/>
      <c r="LM163" s="140"/>
      <c r="LN163" s="140"/>
      <c r="LO163" s="140"/>
      <c r="LP163" s="140"/>
      <c r="LQ163" s="140"/>
      <c r="LR163" s="140"/>
      <c r="LS163" s="140"/>
      <c r="LT163" s="140"/>
      <c r="LU163" s="140"/>
      <c r="LV163" s="140"/>
      <c r="LW163" s="140"/>
      <c r="LX163" s="140"/>
      <c r="LY163" s="140"/>
      <c r="LZ163" s="140"/>
      <c r="MA163" s="140"/>
      <c r="MB163" s="140"/>
      <c r="MC163" s="140"/>
      <c r="MD163" s="140"/>
      <c r="ME163" s="140"/>
      <c r="MF163" s="140"/>
      <c r="MG163" s="140"/>
      <c r="MH163" s="140"/>
      <c r="MI163" s="140"/>
      <c r="MJ163" s="140"/>
      <c r="MK163" s="140"/>
      <c r="ML163" s="140"/>
    </row>
    <row r="165" spans="3:350" x14ac:dyDescent="0.3">
      <c r="C165" s="159" t="s">
        <v>113</v>
      </c>
      <c r="D165" s="79" t="s">
        <v>110</v>
      </c>
    </row>
    <row r="166" spans="3:350" x14ac:dyDescent="0.3">
      <c r="C166" s="159"/>
      <c r="D166" s="79" t="s">
        <v>114</v>
      </c>
    </row>
    <row r="167" spans="3:350" x14ac:dyDescent="0.3">
      <c r="C167" s="159"/>
      <c r="D167" s="79" t="s">
        <v>115</v>
      </c>
    </row>
    <row r="168" spans="3:350" x14ac:dyDescent="0.3">
      <c r="C168" s="159"/>
      <c r="D168" s="79"/>
    </row>
    <row r="169" spans="3:350" x14ac:dyDescent="0.3">
      <c r="C169" s="159" t="s">
        <v>116</v>
      </c>
      <c r="D169" s="79" t="s">
        <v>117</v>
      </c>
    </row>
    <row r="171" spans="3:350" x14ac:dyDescent="0.3">
      <c r="C171" s="120" t="s">
        <v>118</v>
      </c>
      <c r="H171" s="120" t="s">
        <v>119</v>
      </c>
    </row>
    <row r="172" spans="3:350" x14ac:dyDescent="0.3">
      <c r="H172" s="160" t="s">
        <v>120</v>
      </c>
      <c r="I172" s="161" t="s">
        <v>11</v>
      </c>
    </row>
    <row r="173" spans="3:350" x14ac:dyDescent="0.3">
      <c r="C173" s="162"/>
      <c r="D173" s="163">
        <v>2020</v>
      </c>
      <c r="E173" s="163">
        <v>2050</v>
      </c>
      <c r="F173" s="163" t="s">
        <v>121</v>
      </c>
      <c r="H173" s="162"/>
      <c r="J173" s="163">
        <v>2020</v>
      </c>
      <c r="K173" s="163">
        <v>2050</v>
      </c>
      <c r="L173" s="163" t="s">
        <v>121</v>
      </c>
    </row>
    <row r="174" spans="3:350" x14ac:dyDescent="0.3">
      <c r="C174" s="164" t="s">
        <v>122</v>
      </c>
      <c r="D174" s="165" t="s">
        <v>103</v>
      </c>
      <c r="E174" s="165" t="s">
        <v>103</v>
      </c>
      <c r="F174" s="165" t="s">
        <v>123</v>
      </c>
      <c r="H174" s="164" t="s">
        <v>124</v>
      </c>
      <c r="I174" s="166"/>
      <c r="J174" s="165" t="s">
        <v>103</v>
      </c>
      <c r="K174" s="165" t="s">
        <v>103</v>
      </c>
      <c r="L174" s="165" t="s">
        <v>123</v>
      </c>
    </row>
    <row r="175" spans="3:350" x14ac:dyDescent="0.3">
      <c r="C175" s="162" t="s">
        <v>5</v>
      </c>
      <c r="D175" s="167">
        <f t="shared" ref="D175:E183" si="44">SUMIFS($H$159:$MM$159,$H$4:$MM$4,$C175,$H$1:$MM$1,D$211)</f>
        <v>1002027.2036411</v>
      </c>
      <c r="E175" s="167">
        <f t="shared" si="44"/>
        <v>1139400.5507526998</v>
      </c>
      <c r="F175" s="168">
        <f>(E175-D175)/D175</f>
        <v>0.13709542676328718</v>
      </c>
      <c r="H175" s="162" t="str">
        <f t="shared" ref="H175:H182" si="45">C151</f>
        <v>Bureaux</v>
      </c>
      <c r="J175" s="167">
        <f t="shared" ref="J175:K182" si="46">SUMIFS($H151:$MM151,$H$4:$MM$4,$I$172,$H$1:$MM$1,J$173)</f>
        <v>234167.92101999701</v>
      </c>
      <c r="K175" s="167">
        <f t="shared" si="46"/>
        <v>229656.87386223901</v>
      </c>
      <c r="L175" s="168">
        <f t="shared" ref="L175:L183" si="47">(K175-J175)/J175</f>
        <v>-1.9264155133242086E-2</v>
      </c>
    </row>
    <row r="176" spans="3:350" x14ac:dyDescent="0.3">
      <c r="C176" s="162" t="s">
        <v>6</v>
      </c>
      <c r="D176" s="167">
        <f t="shared" si="44"/>
        <v>1004670.0170267724</v>
      </c>
      <c r="E176" s="167">
        <f t="shared" si="44"/>
        <v>1132553.6484773653</v>
      </c>
      <c r="F176" s="169">
        <f t="shared" ref="F176:F180" si="48">(E176-D176)/D176</f>
        <v>0.12728918877170498</v>
      </c>
      <c r="H176" s="162" t="str">
        <f t="shared" si="45"/>
        <v>Cafés-hôtels-restaurants</v>
      </c>
      <c r="J176" s="167">
        <f t="shared" si="46"/>
        <v>58010.279829999701</v>
      </c>
      <c r="K176" s="167">
        <f t="shared" si="46"/>
        <v>59335.641491498602</v>
      </c>
      <c r="L176" s="168">
        <f t="shared" si="47"/>
        <v>2.2847013760024942E-2</v>
      </c>
    </row>
    <row r="177" spans="3:350" x14ac:dyDescent="0.3">
      <c r="C177" s="162" t="s">
        <v>7</v>
      </c>
      <c r="D177" s="167">
        <f t="shared" si="44"/>
        <v>1004670.0170267724</v>
      </c>
      <c r="E177" s="167">
        <f t="shared" si="44"/>
        <v>832214.67570249469</v>
      </c>
      <c r="F177" s="169">
        <f t="shared" si="48"/>
        <v>-0.17165371554995068</v>
      </c>
      <c r="H177" s="162" t="str">
        <f t="shared" si="45"/>
        <v>Commerce</v>
      </c>
      <c r="J177" s="167">
        <f t="shared" si="46"/>
        <v>196121.59098000301</v>
      </c>
      <c r="K177" s="167">
        <f t="shared" si="46"/>
        <v>202413.22680139399</v>
      </c>
      <c r="L177" s="168">
        <f t="shared" si="47"/>
        <v>3.2080281370104193E-2</v>
      </c>
    </row>
    <row r="178" spans="3:350" x14ac:dyDescent="0.3">
      <c r="C178" s="162" t="s">
        <v>8</v>
      </c>
      <c r="D178" s="167">
        <f t="shared" si="44"/>
        <v>1004670.0170267724</v>
      </c>
      <c r="E178" s="167">
        <f t="shared" si="44"/>
        <v>833534.54252861009</v>
      </c>
      <c r="F178" s="169">
        <f t="shared" si="48"/>
        <v>-0.17033998387313462</v>
      </c>
      <c r="H178" s="162" t="str">
        <f t="shared" si="45"/>
        <v>Enseignement-recherche</v>
      </c>
      <c r="J178" s="167">
        <f t="shared" si="46"/>
        <v>234402.67068999901</v>
      </c>
      <c r="K178" s="167">
        <f t="shared" si="46"/>
        <v>239758.07173264</v>
      </c>
      <c r="L178" s="168">
        <f t="shared" si="47"/>
        <v>2.284701376002491E-2</v>
      </c>
    </row>
    <row r="179" spans="3:350" x14ac:dyDescent="0.3">
      <c r="C179" s="162" t="s">
        <v>9</v>
      </c>
      <c r="D179" s="167">
        <f t="shared" si="44"/>
        <v>1004670.0170267724</v>
      </c>
      <c r="E179" s="167">
        <f t="shared" si="44"/>
        <v>998514.20056044194</v>
      </c>
      <c r="F179" s="169">
        <f t="shared" si="48"/>
        <v>-6.1272023271362287E-3</v>
      </c>
      <c r="H179" s="162" t="str">
        <f t="shared" si="45"/>
        <v>Habitat communautaire</v>
      </c>
      <c r="J179" s="167">
        <f t="shared" si="46"/>
        <v>71786.848419999893</v>
      </c>
      <c r="K179" s="167">
        <f t="shared" si="46"/>
        <v>74089.790715986601</v>
      </c>
      <c r="L179" s="168">
        <f t="shared" si="47"/>
        <v>3.2080281370105469E-2</v>
      </c>
    </row>
    <row r="180" spans="3:350" x14ac:dyDescent="0.3">
      <c r="C180" s="162" t="s">
        <v>10</v>
      </c>
      <c r="D180" s="167">
        <f t="shared" si="44"/>
        <v>1004670.0170267724</v>
      </c>
      <c r="E180" s="167">
        <f t="shared" si="44"/>
        <v>1132553.6484773653</v>
      </c>
      <c r="F180" s="169">
        <f t="shared" si="48"/>
        <v>0.12728918877170498</v>
      </c>
      <c r="H180" s="162" t="str">
        <f t="shared" si="45"/>
        <v>Santé</v>
      </c>
      <c r="J180" s="167">
        <f t="shared" si="46"/>
        <v>113612.79024</v>
      </c>
      <c r="K180" s="167">
        <f t="shared" si="46"/>
        <v>129040.25254760501</v>
      </c>
      <c r="L180" s="168">
        <f t="shared" si="47"/>
        <v>0.13578983735031455</v>
      </c>
    </row>
    <row r="181" spans="3:350" x14ac:dyDescent="0.3">
      <c r="C181" s="162" t="s">
        <v>11</v>
      </c>
      <c r="D181" s="167">
        <f t="shared" si="44"/>
        <v>1006419.674199999</v>
      </c>
      <c r="E181" s="167">
        <f t="shared" si="44"/>
        <v>1034857.693115004</v>
      </c>
      <c r="F181" s="169">
        <f>(E181-D181)/D181</f>
        <v>2.8256620616653141E-2</v>
      </c>
      <c r="H181" s="162" t="str">
        <f t="shared" si="45"/>
        <v>Sport, Loisirs, Culture</v>
      </c>
      <c r="J181" s="167">
        <f t="shared" si="46"/>
        <v>79312.648260000205</v>
      </c>
      <c r="K181" s="167">
        <f t="shared" si="46"/>
        <v>81124.705426140499</v>
      </c>
      <c r="L181" s="168">
        <f t="shared" si="47"/>
        <v>2.284701376002558E-2</v>
      </c>
    </row>
    <row r="182" spans="3:350" x14ac:dyDescent="0.3">
      <c r="C182" s="162" t="s">
        <v>12</v>
      </c>
      <c r="D182" s="167">
        <f t="shared" si="44"/>
        <v>0</v>
      </c>
      <c r="E182" s="167">
        <f t="shared" si="44"/>
        <v>0</v>
      </c>
      <c r="F182" s="169" t="e">
        <f>(E182-D182)/D182</f>
        <v>#DIV/0!</v>
      </c>
      <c r="H182" s="162" t="str">
        <f t="shared" si="45"/>
        <v>Transport</v>
      </c>
      <c r="J182" s="167">
        <f t="shared" si="46"/>
        <v>19004.924760000202</v>
      </c>
      <c r="K182" s="167">
        <f t="shared" si="46"/>
        <v>19439.130537500201</v>
      </c>
      <c r="L182" s="168">
        <f t="shared" si="47"/>
        <v>2.2847013760026839E-2</v>
      </c>
    </row>
    <row r="183" spans="3:350" x14ac:dyDescent="0.3">
      <c r="C183" s="162" t="s">
        <v>125</v>
      </c>
      <c r="D183" s="167">
        <f t="shared" si="44"/>
        <v>0</v>
      </c>
      <c r="E183" s="167">
        <f t="shared" si="44"/>
        <v>0</v>
      </c>
      <c r="F183" s="169" t="e">
        <f>(E183-D183)/D183</f>
        <v>#DIV/0!</v>
      </c>
      <c r="H183" s="170" t="s">
        <v>106</v>
      </c>
      <c r="I183" s="171"/>
      <c r="J183" s="172">
        <f>SUM(J175:J182)</f>
        <v>1006419.674199999</v>
      </c>
      <c r="K183" s="172">
        <f>SUM(K175:K182)</f>
        <v>1034857.693115004</v>
      </c>
      <c r="L183" s="173">
        <f t="shared" si="47"/>
        <v>2.8256620616653141E-2</v>
      </c>
    </row>
    <row r="186" spans="3:350" x14ac:dyDescent="0.3">
      <c r="C186" s="120" t="s">
        <v>126</v>
      </c>
      <c r="H186" s="121" t="s">
        <v>100</v>
      </c>
      <c r="S186" s="122" t="s">
        <v>5</v>
      </c>
      <c r="BD186" s="123" t="s">
        <v>6</v>
      </c>
      <c r="CO186" s="124" t="s">
        <v>7</v>
      </c>
      <c r="DZ186" s="125" t="s">
        <v>8</v>
      </c>
      <c r="FK186" s="126" t="s">
        <v>9</v>
      </c>
      <c r="GV186" s="127" t="s">
        <v>10</v>
      </c>
      <c r="IG186" s="128" t="s">
        <v>11</v>
      </c>
      <c r="JR186" s="129" t="str">
        <f>JR$4</f>
        <v>AMS2 2023</v>
      </c>
      <c r="LC186" s="130" t="str">
        <f>LC$4</f>
        <v>AMS3 2025</v>
      </c>
    </row>
    <row r="187" spans="3:350" s="4" customFormat="1" ht="18" customHeight="1" x14ac:dyDescent="0.3">
      <c r="C187" s="131"/>
      <c r="D187" s="132"/>
      <c r="E187" s="133" t="s">
        <v>101</v>
      </c>
      <c r="F187" s="134" t="s">
        <v>102</v>
      </c>
      <c r="H187" s="135">
        <f t="shared" ref="H187:Q187" si="49">H$1</f>
        <v>2015</v>
      </c>
      <c r="I187" s="133">
        <f t="shared" si="49"/>
        <v>2016</v>
      </c>
      <c r="J187" s="133">
        <f t="shared" si="49"/>
        <v>2017</v>
      </c>
      <c r="K187" s="133">
        <f t="shared" si="49"/>
        <v>2018</v>
      </c>
      <c r="L187" s="133">
        <f t="shared" si="49"/>
        <v>2019</v>
      </c>
      <c r="M187" s="133">
        <f t="shared" si="49"/>
        <v>2020</v>
      </c>
      <c r="N187" s="133">
        <f t="shared" si="49"/>
        <v>2021</v>
      </c>
      <c r="O187" s="133">
        <f t="shared" si="49"/>
        <v>2022</v>
      </c>
      <c r="P187" s="133">
        <f t="shared" si="49"/>
        <v>2023</v>
      </c>
      <c r="Q187" s="134">
        <f t="shared" si="49"/>
        <v>2024</v>
      </c>
      <c r="S187" s="135">
        <f t="shared" ref="S187:BB187" si="50">S$1</f>
        <v>2015</v>
      </c>
      <c r="T187" s="133">
        <f t="shared" si="50"/>
        <v>2016</v>
      </c>
      <c r="U187" s="133">
        <f t="shared" si="50"/>
        <v>2017</v>
      </c>
      <c r="V187" s="133">
        <f t="shared" si="50"/>
        <v>2018</v>
      </c>
      <c r="W187" s="133">
        <f t="shared" si="50"/>
        <v>2019</v>
      </c>
      <c r="X187" s="133">
        <f t="shared" si="50"/>
        <v>2020</v>
      </c>
      <c r="Y187" s="133">
        <f t="shared" si="50"/>
        <v>2021</v>
      </c>
      <c r="Z187" s="133">
        <f t="shared" si="50"/>
        <v>2022</v>
      </c>
      <c r="AA187" s="133">
        <f t="shared" si="50"/>
        <v>2023</v>
      </c>
      <c r="AB187" s="133">
        <f t="shared" si="50"/>
        <v>2024</v>
      </c>
      <c r="AC187" s="133">
        <f t="shared" si="50"/>
        <v>2025</v>
      </c>
      <c r="AD187" s="133">
        <f t="shared" si="50"/>
        <v>2026</v>
      </c>
      <c r="AE187" s="133">
        <f t="shared" si="50"/>
        <v>2027</v>
      </c>
      <c r="AF187" s="133">
        <f t="shared" si="50"/>
        <v>2028</v>
      </c>
      <c r="AG187" s="133">
        <f t="shared" si="50"/>
        <v>2029</v>
      </c>
      <c r="AH187" s="133">
        <f t="shared" si="50"/>
        <v>2030</v>
      </c>
      <c r="AI187" s="133">
        <f t="shared" si="50"/>
        <v>2031</v>
      </c>
      <c r="AJ187" s="133">
        <f t="shared" si="50"/>
        <v>2032</v>
      </c>
      <c r="AK187" s="133">
        <f t="shared" si="50"/>
        <v>2033</v>
      </c>
      <c r="AL187" s="133">
        <f t="shared" si="50"/>
        <v>2034</v>
      </c>
      <c r="AM187" s="133">
        <f t="shared" si="50"/>
        <v>2035</v>
      </c>
      <c r="AN187" s="133">
        <f t="shared" si="50"/>
        <v>2036</v>
      </c>
      <c r="AO187" s="133">
        <f t="shared" si="50"/>
        <v>2037</v>
      </c>
      <c r="AP187" s="133">
        <f t="shared" si="50"/>
        <v>2038</v>
      </c>
      <c r="AQ187" s="133">
        <f t="shared" si="50"/>
        <v>2039</v>
      </c>
      <c r="AR187" s="133">
        <f t="shared" si="50"/>
        <v>2040</v>
      </c>
      <c r="AS187" s="133">
        <f t="shared" si="50"/>
        <v>2041</v>
      </c>
      <c r="AT187" s="133">
        <f t="shared" si="50"/>
        <v>2042</v>
      </c>
      <c r="AU187" s="133">
        <f t="shared" si="50"/>
        <v>2043</v>
      </c>
      <c r="AV187" s="133">
        <f t="shared" si="50"/>
        <v>2044</v>
      </c>
      <c r="AW187" s="133">
        <f t="shared" si="50"/>
        <v>2045</v>
      </c>
      <c r="AX187" s="133">
        <f t="shared" si="50"/>
        <v>2046</v>
      </c>
      <c r="AY187" s="133">
        <f t="shared" si="50"/>
        <v>2047</v>
      </c>
      <c r="AZ187" s="133">
        <f t="shared" si="50"/>
        <v>2048</v>
      </c>
      <c r="BA187" s="133">
        <f t="shared" si="50"/>
        <v>2049</v>
      </c>
      <c r="BB187" s="134">
        <f t="shared" si="50"/>
        <v>2050</v>
      </c>
      <c r="BD187" s="135">
        <f t="shared" ref="BD187:DO187" si="51">BD$1</f>
        <v>2015</v>
      </c>
      <c r="BE187" s="133">
        <f t="shared" si="51"/>
        <v>2016</v>
      </c>
      <c r="BF187" s="133">
        <f t="shared" si="51"/>
        <v>2017</v>
      </c>
      <c r="BG187" s="133">
        <f t="shared" si="51"/>
        <v>2018</v>
      </c>
      <c r="BH187" s="133">
        <f t="shared" si="51"/>
        <v>2019</v>
      </c>
      <c r="BI187" s="133">
        <f t="shared" si="51"/>
        <v>2020</v>
      </c>
      <c r="BJ187" s="133">
        <f t="shared" si="51"/>
        <v>2021</v>
      </c>
      <c r="BK187" s="133">
        <f t="shared" si="51"/>
        <v>2022</v>
      </c>
      <c r="BL187" s="133">
        <f t="shared" si="51"/>
        <v>2023</v>
      </c>
      <c r="BM187" s="133">
        <f t="shared" si="51"/>
        <v>2024</v>
      </c>
      <c r="BN187" s="133">
        <f t="shared" si="51"/>
        <v>2025</v>
      </c>
      <c r="BO187" s="133">
        <f t="shared" si="51"/>
        <v>2026</v>
      </c>
      <c r="BP187" s="133">
        <f t="shared" si="51"/>
        <v>2027</v>
      </c>
      <c r="BQ187" s="133">
        <f t="shared" si="51"/>
        <v>2028</v>
      </c>
      <c r="BR187" s="133">
        <f t="shared" si="51"/>
        <v>2029</v>
      </c>
      <c r="BS187" s="133">
        <f t="shared" si="51"/>
        <v>2030</v>
      </c>
      <c r="BT187" s="133">
        <f t="shared" si="51"/>
        <v>2031</v>
      </c>
      <c r="BU187" s="133">
        <f t="shared" si="51"/>
        <v>2032</v>
      </c>
      <c r="BV187" s="133">
        <f t="shared" si="51"/>
        <v>2033</v>
      </c>
      <c r="BW187" s="133">
        <f t="shared" si="51"/>
        <v>2034</v>
      </c>
      <c r="BX187" s="133">
        <f t="shared" si="51"/>
        <v>2035</v>
      </c>
      <c r="BY187" s="133">
        <f t="shared" si="51"/>
        <v>2036</v>
      </c>
      <c r="BZ187" s="133">
        <f t="shared" si="51"/>
        <v>2037</v>
      </c>
      <c r="CA187" s="133">
        <f t="shared" si="51"/>
        <v>2038</v>
      </c>
      <c r="CB187" s="133">
        <f t="shared" si="51"/>
        <v>2039</v>
      </c>
      <c r="CC187" s="133">
        <f t="shared" si="51"/>
        <v>2040</v>
      </c>
      <c r="CD187" s="133">
        <f t="shared" si="51"/>
        <v>2041</v>
      </c>
      <c r="CE187" s="133">
        <f t="shared" si="51"/>
        <v>2042</v>
      </c>
      <c r="CF187" s="133">
        <f t="shared" si="51"/>
        <v>2043</v>
      </c>
      <c r="CG187" s="133">
        <f t="shared" si="51"/>
        <v>2044</v>
      </c>
      <c r="CH187" s="133">
        <f t="shared" si="51"/>
        <v>2045</v>
      </c>
      <c r="CI187" s="133">
        <f t="shared" si="51"/>
        <v>2046</v>
      </c>
      <c r="CJ187" s="133">
        <f t="shared" si="51"/>
        <v>2047</v>
      </c>
      <c r="CK187" s="133">
        <f t="shared" si="51"/>
        <v>2048</v>
      </c>
      <c r="CL187" s="133">
        <f t="shared" si="51"/>
        <v>2049</v>
      </c>
      <c r="CM187" s="134">
        <f t="shared" si="51"/>
        <v>2050</v>
      </c>
      <c r="CO187" s="135">
        <f t="shared" si="51"/>
        <v>2015</v>
      </c>
      <c r="CP187" s="133">
        <f t="shared" si="51"/>
        <v>2016</v>
      </c>
      <c r="CQ187" s="133">
        <f t="shared" si="51"/>
        <v>2017</v>
      </c>
      <c r="CR187" s="133">
        <f t="shared" si="51"/>
        <v>2018</v>
      </c>
      <c r="CS187" s="133">
        <f t="shared" si="51"/>
        <v>2019</v>
      </c>
      <c r="CT187" s="133">
        <f t="shared" si="51"/>
        <v>2020</v>
      </c>
      <c r="CU187" s="133">
        <f t="shared" si="51"/>
        <v>2021</v>
      </c>
      <c r="CV187" s="133">
        <f t="shared" si="51"/>
        <v>2022</v>
      </c>
      <c r="CW187" s="133">
        <f t="shared" si="51"/>
        <v>2023</v>
      </c>
      <c r="CX187" s="133">
        <f t="shared" si="51"/>
        <v>2024</v>
      </c>
      <c r="CY187" s="133">
        <f t="shared" si="51"/>
        <v>2025</v>
      </c>
      <c r="CZ187" s="133">
        <f t="shared" si="51"/>
        <v>2026</v>
      </c>
      <c r="DA187" s="133">
        <f t="shared" si="51"/>
        <v>2027</v>
      </c>
      <c r="DB187" s="133">
        <f t="shared" si="51"/>
        <v>2028</v>
      </c>
      <c r="DC187" s="133">
        <f t="shared" si="51"/>
        <v>2029</v>
      </c>
      <c r="DD187" s="133">
        <f t="shared" si="51"/>
        <v>2030</v>
      </c>
      <c r="DE187" s="133">
        <f t="shared" si="51"/>
        <v>2031</v>
      </c>
      <c r="DF187" s="133">
        <f t="shared" si="51"/>
        <v>2032</v>
      </c>
      <c r="DG187" s="133">
        <f t="shared" si="51"/>
        <v>2033</v>
      </c>
      <c r="DH187" s="133">
        <f t="shared" si="51"/>
        <v>2034</v>
      </c>
      <c r="DI187" s="133">
        <f t="shared" si="51"/>
        <v>2035</v>
      </c>
      <c r="DJ187" s="133">
        <f t="shared" si="51"/>
        <v>2036</v>
      </c>
      <c r="DK187" s="133">
        <f t="shared" si="51"/>
        <v>2037</v>
      </c>
      <c r="DL187" s="133">
        <f t="shared" si="51"/>
        <v>2038</v>
      </c>
      <c r="DM187" s="133">
        <f t="shared" si="51"/>
        <v>2039</v>
      </c>
      <c r="DN187" s="133">
        <f t="shared" si="51"/>
        <v>2040</v>
      </c>
      <c r="DO187" s="133">
        <f t="shared" si="51"/>
        <v>2041</v>
      </c>
      <c r="DP187" s="133">
        <f t="shared" ref="DP187:DX187" si="52">DP$1</f>
        <v>2042</v>
      </c>
      <c r="DQ187" s="133">
        <f t="shared" si="52"/>
        <v>2043</v>
      </c>
      <c r="DR187" s="133">
        <f t="shared" si="52"/>
        <v>2044</v>
      </c>
      <c r="DS187" s="133">
        <f t="shared" si="52"/>
        <v>2045</v>
      </c>
      <c r="DT187" s="133">
        <f t="shared" si="52"/>
        <v>2046</v>
      </c>
      <c r="DU187" s="133">
        <f t="shared" si="52"/>
        <v>2047</v>
      </c>
      <c r="DV187" s="133">
        <f t="shared" si="52"/>
        <v>2048</v>
      </c>
      <c r="DW187" s="133">
        <f t="shared" si="52"/>
        <v>2049</v>
      </c>
      <c r="DX187" s="134">
        <f t="shared" si="52"/>
        <v>2050</v>
      </c>
      <c r="DZ187" s="135">
        <f t="shared" ref="DZ187:FI187" si="53">DZ$1</f>
        <v>2015</v>
      </c>
      <c r="EA187" s="133">
        <f t="shared" si="53"/>
        <v>2016</v>
      </c>
      <c r="EB187" s="133">
        <f t="shared" si="53"/>
        <v>2017</v>
      </c>
      <c r="EC187" s="133">
        <f t="shared" si="53"/>
        <v>2018</v>
      </c>
      <c r="ED187" s="133">
        <f t="shared" si="53"/>
        <v>2019</v>
      </c>
      <c r="EE187" s="133">
        <f t="shared" si="53"/>
        <v>2020</v>
      </c>
      <c r="EF187" s="133">
        <f t="shared" si="53"/>
        <v>2021</v>
      </c>
      <c r="EG187" s="133">
        <f t="shared" si="53"/>
        <v>2022</v>
      </c>
      <c r="EH187" s="133">
        <f t="shared" si="53"/>
        <v>2023</v>
      </c>
      <c r="EI187" s="133">
        <f t="shared" si="53"/>
        <v>2024</v>
      </c>
      <c r="EJ187" s="133">
        <f t="shared" si="53"/>
        <v>2025</v>
      </c>
      <c r="EK187" s="133">
        <f t="shared" si="53"/>
        <v>2026</v>
      </c>
      <c r="EL187" s="133">
        <f t="shared" si="53"/>
        <v>2027</v>
      </c>
      <c r="EM187" s="133">
        <f t="shared" si="53"/>
        <v>2028</v>
      </c>
      <c r="EN187" s="133">
        <f t="shared" si="53"/>
        <v>2029</v>
      </c>
      <c r="EO187" s="133">
        <f t="shared" si="53"/>
        <v>2030</v>
      </c>
      <c r="EP187" s="133">
        <f t="shared" si="53"/>
        <v>2031</v>
      </c>
      <c r="EQ187" s="133">
        <f t="shared" si="53"/>
        <v>2032</v>
      </c>
      <c r="ER187" s="133">
        <f t="shared" si="53"/>
        <v>2033</v>
      </c>
      <c r="ES187" s="133">
        <f t="shared" si="53"/>
        <v>2034</v>
      </c>
      <c r="ET187" s="133">
        <f t="shared" si="53"/>
        <v>2035</v>
      </c>
      <c r="EU187" s="133">
        <f t="shared" si="53"/>
        <v>2036</v>
      </c>
      <c r="EV187" s="133">
        <f t="shared" si="53"/>
        <v>2037</v>
      </c>
      <c r="EW187" s="133">
        <f t="shared" si="53"/>
        <v>2038</v>
      </c>
      <c r="EX187" s="133">
        <f t="shared" si="53"/>
        <v>2039</v>
      </c>
      <c r="EY187" s="133">
        <f t="shared" si="53"/>
        <v>2040</v>
      </c>
      <c r="EZ187" s="133">
        <f t="shared" si="53"/>
        <v>2041</v>
      </c>
      <c r="FA187" s="133">
        <f t="shared" si="53"/>
        <v>2042</v>
      </c>
      <c r="FB187" s="133">
        <f t="shared" si="53"/>
        <v>2043</v>
      </c>
      <c r="FC187" s="133">
        <f t="shared" si="53"/>
        <v>2044</v>
      </c>
      <c r="FD187" s="133">
        <f t="shared" si="53"/>
        <v>2045</v>
      </c>
      <c r="FE187" s="133">
        <f t="shared" si="53"/>
        <v>2046</v>
      </c>
      <c r="FF187" s="133">
        <f t="shared" si="53"/>
        <v>2047</v>
      </c>
      <c r="FG187" s="133">
        <f t="shared" si="53"/>
        <v>2048</v>
      </c>
      <c r="FH187" s="133">
        <f t="shared" si="53"/>
        <v>2049</v>
      </c>
      <c r="FI187" s="134">
        <f t="shared" si="53"/>
        <v>2050</v>
      </c>
      <c r="FK187" s="135">
        <f t="shared" ref="FK187:GT187" si="54">FK$1</f>
        <v>2015</v>
      </c>
      <c r="FL187" s="133">
        <f t="shared" si="54"/>
        <v>2016</v>
      </c>
      <c r="FM187" s="133">
        <f t="shared" si="54"/>
        <v>2017</v>
      </c>
      <c r="FN187" s="133">
        <f t="shared" si="54"/>
        <v>2018</v>
      </c>
      <c r="FO187" s="133">
        <f t="shared" si="54"/>
        <v>2019</v>
      </c>
      <c r="FP187" s="133">
        <f t="shared" si="54"/>
        <v>2020</v>
      </c>
      <c r="FQ187" s="133">
        <f t="shared" si="54"/>
        <v>2021</v>
      </c>
      <c r="FR187" s="133">
        <f t="shared" si="54"/>
        <v>2022</v>
      </c>
      <c r="FS187" s="133">
        <f t="shared" si="54"/>
        <v>2023</v>
      </c>
      <c r="FT187" s="133">
        <f t="shared" si="54"/>
        <v>2024</v>
      </c>
      <c r="FU187" s="133">
        <f t="shared" si="54"/>
        <v>2025</v>
      </c>
      <c r="FV187" s="133">
        <f t="shared" si="54"/>
        <v>2026</v>
      </c>
      <c r="FW187" s="133">
        <f t="shared" si="54"/>
        <v>2027</v>
      </c>
      <c r="FX187" s="133">
        <f t="shared" si="54"/>
        <v>2028</v>
      </c>
      <c r="FY187" s="133">
        <f t="shared" si="54"/>
        <v>2029</v>
      </c>
      <c r="FZ187" s="133">
        <f t="shared" si="54"/>
        <v>2030</v>
      </c>
      <c r="GA187" s="133">
        <f t="shared" si="54"/>
        <v>2031</v>
      </c>
      <c r="GB187" s="133">
        <f t="shared" si="54"/>
        <v>2032</v>
      </c>
      <c r="GC187" s="133">
        <f t="shared" si="54"/>
        <v>2033</v>
      </c>
      <c r="GD187" s="133">
        <f t="shared" si="54"/>
        <v>2034</v>
      </c>
      <c r="GE187" s="133">
        <f t="shared" si="54"/>
        <v>2035</v>
      </c>
      <c r="GF187" s="133">
        <f t="shared" si="54"/>
        <v>2036</v>
      </c>
      <c r="GG187" s="133">
        <f t="shared" si="54"/>
        <v>2037</v>
      </c>
      <c r="GH187" s="133">
        <f t="shared" si="54"/>
        <v>2038</v>
      </c>
      <c r="GI187" s="133">
        <f t="shared" si="54"/>
        <v>2039</v>
      </c>
      <c r="GJ187" s="133">
        <f t="shared" si="54"/>
        <v>2040</v>
      </c>
      <c r="GK187" s="133">
        <f t="shared" si="54"/>
        <v>2041</v>
      </c>
      <c r="GL187" s="133">
        <f t="shared" si="54"/>
        <v>2042</v>
      </c>
      <c r="GM187" s="133">
        <f t="shared" si="54"/>
        <v>2043</v>
      </c>
      <c r="GN187" s="133">
        <f t="shared" si="54"/>
        <v>2044</v>
      </c>
      <c r="GO187" s="133">
        <f t="shared" si="54"/>
        <v>2045</v>
      </c>
      <c r="GP187" s="133">
        <f t="shared" si="54"/>
        <v>2046</v>
      </c>
      <c r="GQ187" s="133">
        <f t="shared" si="54"/>
        <v>2047</v>
      </c>
      <c r="GR187" s="133">
        <f t="shared" si="54"/>
        <v>2048</v>
      </c>
      <c r="GS187" s="133">
        <f t="shared" si="54"/>
        <v>2049</v>
      </c>
      <c r="GT187" s="134">
        <f t="shared" si="54"/>
        <v>2050</v>
      </c>
      <c r="GV187" s="135">
        <f t="shared" ref="GV187:IE187" si="55">GV$1</f>
        <v>2015</v>
      </c>
      <c r="GW187" s="133">
        <f t="shared" si="55"/>
        <v>2016</v>
      </c>
      <c r="GX187" s="133">
        <f t="shared" si="55"/>
        <v>2017</v>
      </c>
      <c r="GY187" s="133">
        <f t="shared" si="55"/>
        <v>2018</v>
      </c>
      <c r="GZ187" s="133">
        <f t="shared" si="55"/>
        <v>2019</v>
      </c>
      <c r="HA187" s="133">
        <f t="shared" si="55"/>
        <v>2020</v>
      </c>
      <c r="HB187" s="133">
        <f t="shared" si="55"/>
        <v>2021</v>
      </c>
      <c r="HC187" s="133">
        <f t="shared" si="55"/>
        <v>2022</v>
      </c>
      <c r="HD187" s="133">
        <f t="shared" si="55"/>
        <v>2023</v>
      </c>
      <c r="HE187" s="133">
        <f t="shared" si="55"/>
        <v>2024</v>
      </c>
      <c r="HF187" s="133">
        <f t="shared" si="55"/>
        <v>2025</v>
      </c>
      <c r="HG187" s="133">
        <f t="shared" si="55"/>
        <v>2026</v>
      </c>
      <c r="HH187" s="133">
        <f t="shared" si="55"/>
        <v>2027</v>
      </c>
      <c r="HI187" s="133">
        <f t="shared" si="55"/>
        <v>2028</v>
      </c>
      <c r="HJ187" s="133">
        <f t="shared" si="55"/>
        <v>2029</v>
      </c>
      <c r="HK187" s="133">
        <f t="shared" si="55"/>
        <v>2030</v>
      </c>
      <c r="HL187" s="133">
        <f t="shared" si="55"/>
        <v>2031</v>
      </c>
      <c r="HM187" s="133">
        <f t="shared" si="55"/>
        <v>2032</v>
      </c>
      <c r="HN187" s="133">
        <f t="shared" si="55"/>
        <v>2033</v>
      </c>
      <c r="HO187" s="133">
        <f t="shared" si="55"/>
        <v>2034</v>
      </c>
      <c r="HP187" s="133">
        <f t="shared" si="55"/>
        <v>2035</v>
      </c>
      <c r="HQ187" s="133">
        <f t="shared" si="55"/>
        <v>2036</v>
      </c>
      <c r="HR187" s="133">
        <f t="shared" si="55"/>
        <v>2037</v>
      </c>
      <c r="HS187" s="133">
        <f t="shared" si="55"/>
        <v>2038</v>
      </c>
      <c r="HT187" s="133">
        <f t="shared" si="55"/>
        <v>2039</v>
      </c>
      <c r="HU187" s="133">
        <f t="shared" si="55"/>
        <v>2040</v>
      </c>
      <c r="HV187" s="133">
        <f t="shared" si="55"/>
        <v>2041</v>
      </c>
      <c r="HW187" s="133">
        <f t="shared" si="55"/>
        <v>2042</v>
      </c>
      <c r="HX187" s="133">
        <f t="shared" si="55"/>
        <v>2043</v>
      </c>
      <c r="HY187" s="133">
        <f t="shared" si="55"/>
        <v>2044</v>
      </c>
      <c r="HZ187" s="133">
        <f t="shared" si="55"/>
        <v>2045</v>
      </c>
      <c r="IA187" s="133">
        <f t="shared" si="55"/>
        <v>2046</v>
      </c>
      <c r="IB187" s="133">
        <f t="shared" si="55"/>
        <v>2047</v>
      </c>
      <c r="IC187" s="133">
        <f t="shared" si="55"/>
        <v>2048</v>
      </c>
      <c r="ID187" s="133">
        <f t="shared" si="55"/>
        <v>2049</v>
      </c>
      <c r="IE187" s="134">
        <f t="shared" si="55"/>
        <v>2050</v>
      </c>
      <c r="IG187" s="135">
        <f t="shared" ref="IG187:JP187" si="56">IG$1</f>
        <v>2015</v>
      </c>
      <c r="IH187" s="133">
        <f t="shared" si="56"/>
        <v>2016</v>
      </c>
      <c r="II187" s="133">
        <f t="shared" si="56"/>
        <v>2017</v>
      </c>
      <c r="IJ187" s="133">
        <f t="shared" si="56"/>
        <v>2018</v>
      </c>
      <c r="IK187" s="133">
        <f t="shared" si="56"/>
        <v>2019</v>
      </c>
      <c r="IL187" s="133">
        <f t="shared" si="56"/>
        <v>2020</v>
      </c>
      <c r="IM187" s="133">
        <f t="shared" si="56"/>
        <v>2021</v>
      </c>
      <c r="IN187" s="133">
        <f t="shared" si="56"/>
        <v>2022</v>
      </c>
      <c r="IO187" s="133">
        <f t="shared" si="56"/>
        <v>2023</v>
      </c>
      <c r="IP187" s="133">
        <f t="shared" si="56"/>
        <v>2024</v>
      </c>
      <c r="IQ187" s="133">
        <f t="shared" si="56"/>
        <v>2025</v>
      </c>
      <c r="IR187" s="133">
        <f t="shared" si="56"/>
        <v>2026</v>
      </c>
      <c r="IS187" s="133">
        <f t="shared" si="56"/>
        <v>2027</v>
      </c>
      <c r="IT187" s="133">
        <f t="shared" si="56"/>
        <v>2028</v>
      </c>
      <c r="IU187" s="133">
        <f t="shared" si="56"/>
        <v>2029</v>
      </c>
      <c r="IV187" s="133">
        <f t="shared" si="56"/>
        <v>2030</v>
      </c>
      <c r="IW187" s="133">
        <f t="shared" si="56"/>
        <v>2031</v>
      </c>
      <c r="IX187" s="133">
        <f t="shared" si="56"/>
        <v>2032</v>
      </c>
      <c r="IY187" s="133">
        <f t="shared" si="56"/>
        <v>2033</v>
      </c>
      <c r="IZ187" s="133">
        <f t="shared" si="56"/>
        <v>2034</v>
      </c>
      <c r="JA187" s="133">
        <f t="shared" si="56"/>
        <v>2035</v>
      </c>
      <c r="JB187" s="133">
        <f t="shared" si="56"/>
        <v>2036</v>
      </c>
      <c r="JC187" s="133">
        <f t="shared" si="56"/>
        <v>2037</v>
      </c>
      <c r="JD187" s="133">
        <f t="shared" si="56"/>
        <v>2038</v>
      </c>
      <c r="JE187" s="133">
        <f t="shared" si="56"/>
        <v>2039</v>
      </c>
      <c r="JF187" s="133">
        <f t="shared" si="56"/>
        <v>2040</v>
      </c>
      <c r="JG187" s="133">
        <f t="shared" si="56"/>
        <v>2041</v>
      </c>
      <c r="JH187" s="133">
        <f t="shared" si="56"/>
        <v>2042</v>
      </c>
      <c r="JI187" s="133">
        <f t="shared" si="56"/>
        <v>2043</v>
      </c>
      <c r="JJ187" s="133">
        <f t="shared" si="56"/>
        <v>2044</v>
      </c>
      <c r="JK187" s="133">
        <f t="shared" si="56"/>
        <v>2045</v>
      </c>
      <c r="JL187" s="133">
        <f t="shared" si="56"/>
        <v>2046</v>
      </c>
      <c r="JM187" s="133">
        <f t="shared" si="56"/>
        <v>2047</v>
      </c>
      <c r="JN187" s="133">
        <f t="shared" si="56"/>
        <v>2048</v>
      </c>
      <c r="JO187" s="133">
        <f t="shared" si="56"/>
        <v>2049</v>
      </c>
      <c r="JP187" s="134">
        <f t="shared" si="56"/>
        <v>2050</v>
      </c>
      <c r="JR187" s="135">
        <f t="shared" ref="JR187:MC187" si="57">JR$1</f>
        <v>2015</v>
      </c>
      <c r="JS187" s="133">
        <f t="shared" si="57"/>
        <v>2016</v>
      </c>
      <c r="JT187" s="133">
        <f t="shared" si="57"/>
        <v>2017</v>
      </c>
      <c r="JU187" s="133">
        <f t="shared" si="57"/>
        <v>2018</v>
      </c>
      <c r="JV187" s="133">
        <f t="shared" si="57"/>
        <v>2019</v>
      </c>
      <c r="JW187" s="133">
        <f t="shared" si="57"/>
        <v>2020</v>
      </c>
      <c r="JX187" s="133">
        <f t="shared" si="57"/>
        <v>2021</v>
      </c>
      <c r="JY187" s="133">
        <f t="shared" si="57"/>
        <v>2022</v>
      </c>
      <c r="JZ187" s="133">
        <f t="shared" si="57"/>
        <v>2023</v>
      </c>
      <c r="KA187" s="133">
        <f t="shared" si="57"/>
        <v>2024</v>
      </c>
      <c r="KB187" s="133">
        <f t="shared" si="57"/>
        <v>2025</v>
      </c>
      <c r="KC187" s="133">
        <f t="shared" si="57"/>
        <v>2026</v>
      </c>
      <c r="KD187" s="133">
        <f t="shared" si="57"/>
        <v>2027</v>
      </c>
      <c r="KE187" s="133">
        <f t="shared" si="57"/>
        <v>2028</v>
      </c>
      <c r="KF187" s="133">
        <f t="shared" si="57"/>
        <v>2029</v>
      </c>
      <c r="KG187" s="133">
        <f t="shared" si="57"/>
        <v>2030</v>
      </c>
      <c r="KH187" s="133">
        <f t="shared" si="57"/>
        <v>2031</v>
      </c>
      <c r="KI187" s="133">
        <f t="shared" si="57"/>
        <v>2032</v>
      </c>
      <c r="KJ187" s="133">
        <f t="shared" si="57"/>
        <v>2033</v>
      </c>
      <c r="KK187" s="133">
        <f t="shared" si="57"/>
        <v>2034</v>
      </c>
      <c r="KL187" s="133">
        <f t="shared" si="57"/>
        <v>2035</v>
      </c>
      <c r="KM187" s="133">
        <f t="shared" si="57"/>
        <v>2036</v>
      </c>
      <c r="KN187" s="133">
        <f t="shared" si="57"/>
        <v>2037</v>
      </c>
      <c r="KO187" s="133">
        <f t="shared" si="57"/>
        <v>2038</v>
      </c>
      <c r="KP187" s="133">
        <f t="shared" si="57"/>
        <v>2039</v>
      </c>
      <c r="KQ187" s="133">
        <f t="shared" si="57"/>
        <v>2040</v>
      </c>
      <c r="KR187" s="133">
        <f t="shared" si="57"/>
        <v>2041</v>
      </c>
      <c r="KS187" s="133">
        <f t="shared" si="57"/>
        <v>2042</v>
      </c>
      <c r="KT187" s="133">
        <f t="shared" si="57"/>
        <v>2043</v>
      </c>
      <c r="KU187" s="133">
        <f t="shared" si="57"/>
        <v>2044</v>
      </c>
      <c r="KV187" s="133">
        <f t="shared" si="57"/>
        <v>2045</v>
      </c>
      <c r="KW187" s="133">
        <f t="shared" si="57"/>
        <v>2046</v>
      </c>
      <c r="KX187" s="133">
        <f t="shared" si="57"/>
        <v>2047</v>
      </c>
      <c r="KY187" s="133">
        <f t="shared" si="57"/>
        <v>2048</v>
      </c>
      <c r="KZ187" s="133">
        <f t="shared" si="57"/>
        <v>2049</v>
      </c>
      <c r="LA187" s="134">
        <f t="shared" si="57"/>
        <v>2050</v>
      </c>
      <c r="LC187" s="135">
        <f t="shared" si="57"/>
        <v>2015</v>
      </c>
      <c r="LD187" s="133">
        <f t="shared" si="57"/>
        <v>2016</v>
      </c>
      <c r="LE187" s="133">
        <f t="shared" si="57"/>
        <v>2017</v>
      </c>
      <c r="LF187" s="133">
        <f t="shared" si="57"/>
        <v>2018</v>
      </c>
      <c r="LG187" s="133">
        <f t="shared" si="57"/>
        <v>2019</v>
      </c>
      <c r="LH187" s="133">
        <f t="shared" si="57"/>
        <v>2020</v>
      </c>
      <c r="LI187" s="133">
        <f t="shared" si="57"/>
        <v>2021</v>
      </c>
      <c r="LJ187" s="133">
        <f t="shared" si="57"/>
        <v>2022</v>
      </c>
      <c r="LK187" s="133">
        <f t="shared" si="57"/>
        <v>2023</v>
      </c>
      <c r="LL187" s="133">
        <f t="shared" si="57"/>
        <v>2024</v>
      </c>
      <c r="LM187" s="133">
        <f t="shared" si="57"/>
        <v>2025</v>
      </c>
      <c r="LN187" s="133">
        <f t="shared" si="57"/>
        <v>2026</v>
      </c>
      <c r="LO187" s="133">
        <f t="shared" si="57"/>
        <v>2027</v>
      </c>
      <c r="LP187" s="133">
        <f t="shared" si="57"/>
        <v>2028</v>
      </c>
      <c r="LQ187" s="133">
        <f t="shared" si="57"/>
        <v>2029</v>
      </c>
      <c r="LR187" s="133">
        <f t="shared" si="57"/>
        <v>2030</v>
      </c>
      <c r="LS187" s="133">
        <f t="shared" si="57"/>
        <v>2031</v>
      </c>
      <c r="LT187" s="133">
        <f t="shared" si="57"/>
        <v>2032</v>
      </c>
      <c r="LU187" s="133">
        <f t="shared" si="57"/>
        <v>2033</v>
      </c>
      <c r="LV187" s="133">
        <f t="shared" si="57"/>
        <v>2034</v>
      </c>
      <c r="LW187" s="133">
        <f t="shared" si="57"/>
        <v>2035</v>
      </c>
      <c r="LX187" s="133">
        <f t="shared" si="57"/>
        <v>2036</v>
      </c>
      <c r="LY187" s="133">
        <f t="shared" si="57"/>
        <v>2037</v>
      </c>
      <c r="LZ187" s="133">
        <f t="shared" si="57"/>
        <v>2038</v>
      </c>
      <c r="MA187" s="133">
        <f t="shared" si="57"/>
        <v>2039</v>
      </c>
      <c r="MB187" s="133">
        <f t="shared" si="57"/>
        <v>2040</v>
      </c>
      <c r="MC187" s="133">
        <f t="shared" si="57"/>
        <v>2041</v>
      </c>
      <c r="MD187" s="133">
        <f t="shared" ref="MD187:ML187" si="58">MD$1</f>
        <v>2042</v>
      </c>
      <c r="ME187" s="133">
        <f t="shared" si="58"/>
        <v>2043</v>
      </c>
      <c r="MF187" s="133">
        <f t="shared" si="58"/>
        <v>2044</v>
      </c>
      <c r="MG187" s="133">
        <f t="shared" si="58"/>
        <v>2045</v>
      </c>
      <c r="MH187" s="133">
        <f t="shared" si="58"/>
        <v>2046</v>
      </c>
      <c r="MI187" s="133">
        <f t="shared" si="58"/>
        <v>2047</v>
      </c>
      <c r="MJ187" s="133">
        <f t="shared" si="58"/>
        <v>2048</v>
      </c>
      <c r="MK187" s="133">
        <f t="shared" si="58"/>
        <v>2049</v>
      </c>
      <c r="ML187" s="134">
        <f t="shared" si="58"/>
        <v>2050</v>
      </c>
    </row>
    <row r="188" spans="3:350" s="4" customFormat="1" ht="18" customHeight="1" x14ac:dyDescent="0.3">
      <c r="C188" s="136" t="s">
        <v>76</v>
      </c>
      <c r="E188" s="137" t="s">
        <v>103</v>
      </c>
      <c r="F188" s="138" t="s">
        <v>104</v>
      </c>
      <c r="H188" s="174">
        <v>220833</v>
      </c>
      <c r="I188" s="175">
        <v>224489.13460169878</v>
      </c>
      <c r="J188" s="175">
        <v>228145.26920339759</v>
      </c>
      <c r="K188" s="175">
        <v>231801.40380509637</v>
      </c>
      <c r="L188" s="175">
        <v>235457.53840679518</v>
      </c>
      <c r="M188" s="175">
        <v>239113.67300849396</v>
      </c>
      <c r="N188" s="175"/>
      <c r="O188" s="175"/>
      <c r="P188" s="175"/>
      <c r="Q188" s="176"/>
      <c r="R188" s="140"/>
      <c r="S188" s="139"/>
      <c r="T188" s="140"/>
      <c r="U188" s="140"/>
      <c r="V188" s="140"/>
      <c r="W188" s="140"/>
      <c r="X188" s="140"/>
      <c r="Y188" s="140"/>
      <c r="Z188" s="140"/>
      <c r="AA188" s="140"/>
      <c r="AB188" s="140"/>
      <c r="AC188" s="140"/>
      <c r="AD188" s="140"/>
      <c r="AE188" s="140"/>
      <c r="AF188" s="140"/>
      <c r="AG188" s="140"/>
      <c r="AH188" s="140"/>
      <c r="AI188" s="140"/>
      <c r="AJ188" s="140"/>
      <c r="AK188" s="140"/>
      <c r="AL188" s="140"/>
      <c r="AM188" s="140"/>
      <c r="AN188" s="140"/>
      <c r="AO188" s="140"/>
      <c r="AP188" s="140"/>
      <c r="AQ188" s="140"/>
      <c r="AR188" s="140"/>
      <c r="AS188" s="140"/>
      <c r="AT188" s="140"/>
      <c r="AU188" s="140"/>
      <c r="AV188" s="140"/>
      <c r="AW188" s="140"/>
      <c r="AX188" s="140"/>
      <c r="AY188" s="140"/>
      <c r="AZ188" s="140"/>
      <c r="BA188" s="140"/>
      <c r="BB188" s="141"/>
      <c r="BC188" s="140"/>
      <c r="BD188" s="139"/>
      <c r="BE188" s="140"/>
      <c r="BF188" s="140"/>
      <c r="BG188" s="140"/>
      <c r="BH188" s="140"/>
      <c r="BI188" s="175">
        <f t="shared" ref="BI188:BI195" si="59">BI151-BF99</f>
        <v>224789.67300849396</v>
      </c>
      <c r="BJ188" s="140">
        <f>BI188+(BS188-BI188)*(BJ1-BI1)/(BS1-BI1)</f>
        <v>221029.00570764457</v>
      </c>
      <c r="BK188" s="140">
        <f>BI188+(BS188-BI188)*(BK1-BI1)/(BS1-BI1)</f>
        <v>217268.33840679517</v>
      </c>
      <c r="BL188" s="140">
        <f>BI188+(BS188-BI188)*(BL1-BI1)/(BS1-BI1)</f>
        <v>213507.67110594577</v>
      </c>
      <c r="BM188" s="140">
        <f>BI188+(BS188-BI188)*(BM1-BI1)/(BS1-BI1)</f>
        <v>209747.00380509638</v>
      </c>
      <c r="BN188" s="140">
        <f>BI188+(BS188-BI188)*(BN1-BI1)/(BS1-BI1)</f>
        <v>205986.33650424698</v>
      </c>
      <c r="BO188" s="140">
        <f>BI188+(BS188-BI188)*(BO1-BI1)/(BS1-BI1)</f>
        <v>202225.66920339759</v>
      </c>
      <c r="BP188" s="140">
        <f>BI188+(BS188-BI188)*(BP1-BI1)/(BS1-BI1)</f>
        <v>198465.00190254819</v>
      </c>
      <c r="BQ188" s="140">
        <f>BI188+(BS188-BI188)*(BQ1-BI1)/(BS1-BI1)</f>
        <v>194704.33460169879</v>
      </c>
      <c r="BR188" s="140">
        <f>BI188+(BS188-BI188)*(BR1-BI1)/(BS1-BI1)</f>
        <v>190943.6673008494</v>
      </c>
      <c r="BS188" s="175">
        <f t="shared" ref="BS188:BS195" si="60">BS151-BG99</f>
        <v>187183</v>
      </c>
      <c r="BT188" s="140">
        <f>BS188+(CC188-BS188)*(BT1-BS1)/(CC1-BS1)</f>
        <v>185283</v>
      </c>
      <c r="BU188" s="140">
        <f>BS188+(CC188-BS188)*(BU1-BS1)/(CC1-BS1)</f>
        <v>183383</v>
      </c>
      <c r="BV188" s="140">
        <f>BS188+(CC188-BS188)*(BV1-BS1)/(CC1-BS1)</f>
        <v>181483</v>
      </c>
      <c r="BW188" s="140">
        <f>BS188+(CC188-BS188)*(BW1-BS1)/(CC1-BS1)</f>
        <v>179583</v>
      </c>
      <c r="BX188" s="140">
        <f>BS188+(CC188-BS188)*(BX1-BS1)/(CC1-BS1)</f>
        <v>177683</v>
      </c>
      <c r="BY188" s="140">
        <f>BS188+(CC188-BS188)*(BY1-BS1)/(CC1-BS1)</f>
        <v>175783</v>
      </c>
      <c r="BZ188" s="140">
        <f>BS188+(CC188-BS188)*(BZ1-BS1)/(CC1-BS1)</f>
        <v>173883</v>
      </c>
      <c r="CA188" s="140">
        <f>BS188+(CC188-BS188)*(CA1-BS1)/(CC1-BS1)</f>
        <v>171983</v>
      </c>
      <c r="CB188" s="140">
        <f>BS188+(CC188-BS188)*(CB1-BS1)/(CC1-BS1)</f>
        <v>170083</v>
      </c>
      <c r="CC188" s="175">
        <f t="shared" ref="CC188:CC195" si="61">CC151-BH99</f>
        <v>168183</v>
      </c>
      <c r="CD188" s="140">
        <f>CC188+(CM188-CC188)*(CD1-CC1)/(CM1-CC1)</f>
        <v>166283</v>
      </c>
      <c r="CE188" s="140">
        <f>CC188+(CM188-CC188)*(CE1-CC1)/(CM1-CC1)</f>
        <v>164383</v>
      </c>
      <c r="CF188" s="140">
        <f>CC188+(CM188-CC188)*(CF1-CC1)/(CM1-CC1)</f>
        <v>162483</v>
      </c>
      <c r="CG188" s="140">
        <f>CC188+(CM188-CC188)*(CG1-CC1)/(CM1-CC1)</f>
        <v>160583</v>
      </c>
      <c r="CH188" s="140">
        <f>CC188+(CM188-CC188)*(CH1-CC1)/(CM1-CC1)</f>
        <v>158683</v>
      </c>
      <c r="CI188" s="140">
        <f>CC188+(CM188-CC188)*(CI1-CC1)/(CM1-CC1)</f>
        <v>156783</v>
      </c>
      <c r="CJ188" s="140">
        <f>CC188+(CM188-CC188)*(CJ1-CC1)/(CM1-CC1)</f>
        <v>154883</v>
      </c>
      <c r="CK188" s="140">
        <f>CC188+(CM188-CC188)*(CK1-CC1)/(CM1-CC1)</f>
        <v>152983</v>
      </c>
      <c r="CL188" s="140">
        <f>CC188+(CM188-CC188)*(CL1-CC1)/(CM1-CC1)</f>
        <v>151083</v>
      </c>
      <c r="CM188" s="176">
        <f t="shared" ref="CM188:CM195" si="62">CM151-BI99</f>
        <v>149183</v>
      </c>
      <c r="CN188" s="140"/>
      <c r="CO188" s="139"/>
      <c r="CP188" s="140"/>
      <c r="CQ188" s="140"/>
      <c r="CR188" s="140"/>
      <c r="CS188" s="140"/>
      <c r="CT188" s="175">
        <f t="shared" ref="CT188:CT195" si="63">CT151-CQ99</f>
        <v>224789.67300849396</v>
      </c>
      <c r="CU188" s="140">
        <f>CT188+(DD188-CT188)*(CU1-CT1)/(DD1-CT1)</f>
        <v>220429.00570764457</v>
      </c>
      <c r="CV188" s="140">
        <f>CT188+(DD188-CT188)*(CV1-CT1)/(DD1-CT1)</f>
        <v>216068.33840679517</v>
      </c>
      <c r="CW188" s="140">
        <f>CT188+(DD188-CT188)*(CW1-CT1)/(DD1-CT1)</f>
        <v>211707.67110594577</v>
      </c>
      <c r="CX188" s="140">
        <f>CT188+(DD188-CT188)*(CX1-CT1)/(DD1-CT1)</f>
        <v>207347.00380509638</v>
      </c>
      <c r="CY188" s="140">
        <f>CT188+(DD188-CT188)*(CY1-CT1)/(DD1-CT1)</f>
        <v>202986.33650424698</v>
      </c>
      <c r="CZ188" s="140">
        <f>CT188+(DD188-CT188)*(CZ1-CT1)/(DD1-CT1)</f>
        <v>198625.66920339759</v>
      </c>
      <c r="DA188" s="140">
        <f>CT188+(DD188-CT188)*(DA1-CT1)/(DD1-CT1)</f>
        <v>194265.00190254819</v>
      </c>
      <c r="DB188" s="140">
        <f>CT188+(DD188-CT188)*(DB1-CT1)/(DD1-CT1)</f>
        <v>189904.33460169879</v>
      </c>
      <c r="DC188" s="140">
        <f>CT188+(DD188-CT188)*(DC1-CT1)/(DD1-CT1)</f>
        <v>185543.6673008494</v>
      </c>
      <c r="DD188" s="175">
        <f t="shared" ref="DD188:DD195" si="64">DD151-CR99</f>
        <v>181183</v>
      </c>
      <c r="DE188" s="140">
        <f>DD188+(DN188-DD188)*(DE1-DD1)/(DN1-DD1)</f>
        <v>178683</v>
      </c>
      <c r="DF188" s="140">
        <f>DD188+(DN188-DD188)*(DF1-DD1)/(DN1-DD1)</f>
        <v>176183</v>
      </c>
      <c r="DG188" s="140">
        <f>DD188+(DN188-DD188)*(DG1-DD1)/(DN1-DD1)</f>
        <v>173683</v>
      </c>
      <c r="DH188" s="140">
        <f>DD188+(DN188-DD188)*(DH1-DD1)/(DN1-DD1)</f>
        <v>171183</v>
      </c>
      <c r="DI188" s="140">
        <f>DD188+(DN188-DD188)*(DI1-DD1)/(DN1-DD1)</f>
        <v>168683</v>
      </c>
      <c r="DJ188" s="140">
        <f>DD188+(DN188-DD188)*(DJ1-DD1)/(DN1-DD1)</f>
        <v>166183</v>
      </c>
      <c r="DK188" s="140">
        <f>DD188+(DN188-DD188)*(DK1-DD1)/(DN1-DD1)</f>
        <v>163683</v>
      </c>
      <c r="DL188" s="140">
        <f>DD188+(DN188-DD188)*(DL1-DD1)/(DN1-DD1)</f>
        <v>161183</v>
      </c>
      <c r="DM188" s="140">
        <f>DD188+(DN188-DD188)*(DM1-DD1)/(DN1-DD1)</f>
        <v>158683</v>
      </c>
      <c r="DN188" s="175">
        <f t="shared" ref="DN188:DN195" si="65">DN151-CS99</f>
        <v>156183</v>
      </c>
      <c r="DO188" s="140">
        <f>DN188+(DX188-DN188)*(DO1-DN1)/(DX1-DN1)</f>
        <v>153683</v>
      </c>
      <c r="DP188" s="140">
        <f>DN188+(DX188-DN188)*(DP1-DN1)/(DX1-DN1)</f>
        <v>151183</v>
      </c>
      <c r="DQ188" s="140">
        <f>DN188+(DX188-DN188)*(DQ1-DN1)/(DX1-DN1)</f>
        <v>148683</v>
      </c>
      <c r="DR188" s="140">
        <f>DN188+(DX188-DN188)*(DR1-DN1)/(DX1-DN1)</f>
        <v>146183</v>
      </c>
      <c r="DS188" s="140">
        <f>DN188+(DX188-DN188)*(DS1-DN1)/(DX1-DN1)</f>
        <v>143683</v>
      </c>
      <c r="DT188" s="140">
        <f>DN188+(DX188-DN188)*(DT1-DN1)/(DX1-DN1)</f>
        <v>141183</v>
      </c>
      <c r="DU188" s="140">
        <f>DN188+(DX188-DN188)*(DU1-DN1)/(DX1-DN1)</f>
        <v>138683</v>
      </c>
      <c r="DV188" s="140">
        <f>DN188+(DX188-DN188)*(DV1-DN1)/(DX1-DN1)</f>
        <v>136183</v>
      </c>
      <c r="DW188" s="140">
        <f>DN188+(DX188-DN188)*(DW1-DN1)/(DX1-DN1)</f>
        <v>133683</v>
      </c>
      <c r="DX188" s="176">
        <f t="shared" ref="DX188:DX195" si="66">DX151-CT99</f>
        <v>131183</v>
      </c>
      <c r="DY188" s="140"/>
      <c r="DZ188" s="139"/>
      <c r="EA188" s="140"/>
      <c r="EB188" s="140"/>
      <c r="EC188" s="140"/>
      <c r="ED188" s="140"/>
      <c r="EE188" s="175">
        <f t="shared" ref="EE188:EE195" si="67">EE151-EB99</f>
        <v>224789.67300849396</v>
      </c>
      <c r="EF188" s="140">
        <f>EE188+(EO188-EE188)*(EF1-EE1)/(EO1-EE1)</f>
        <v>220429.00570764457</v>
      </c>
      <c r="EG188" s="140">
        <f>EE188+(EO188-EE188)*(EG1-EE1)/(EO1-EE1)</f>
        <v>216068.33840679517</v>
      </c>
      <c r="EH188" s="140">
        <f>EE188+(EO188-EE188)*(EH1-EE1)/(EO1-EE1)</f>
        <v>211707.67110594577</v>
      </c>
      <c r="EI188" s="140">
        <f>EE188+(EO188-EE188)*(EI1-EE1)/(EO1-EE1)</f>
        <v>207347.00380509638</v>
      </c>
      <c r="EJ188" s="140">
        <f>EE188+(EO188-EE188)*(EJ1-EE1)/(EO1-EE1)</f>
        <v>202986.33650424698</v>
      </c>
      <c r="EK188" s="140">
        <f>EE188+(EO188-EE188)*(EK1-EE1)/(EO1-EE1)</f>
        <v>198625.66920339759</v>
      </c>
      <c r="EL188" s="140">
        <f>EE188+(EO188-EE188)*(EL1-EE1)/(EO1-EE1)</f>
        <v>194265.00190254819</v>
      </c>
      <c r="EM188" s="140">
        <f>EE188+(EO188-EE188)*(EM1-EE1)/(EO1-EE1)</f>
        <v>189904.33460169879</v>
      </c>
      <c r="EN188" s="140">
        <f>EE188+(EO188-EE188)*(EN1-EE1)/(EO1-EE1)</f>
        <v>185543.6673008494</v>
      </c>
      <c r="EO188" s="175">
        <f t="shared" ref="EO188:EO195" si="68">EO151-EC99</f>
        <v>181183</v>
      </c>
      <c r="EP188" s="140">
        <f>EO188+(EY188-EO188)*(EP1-EO1)/(EY1-EO1)</f>
        <v>178683</v>
      </c>
      <c r="EQ188" s="140">
        <f>EO188+(EY188-EO188)*(EQ1-EO1)/(EY1-EO1)</f>
        <v>176183</v>
      </c>
      <c r="ER188" s="140">
        <f>EO188+(EY188-EO188)*(ER1-EO1)/(EY1-EO1)</f>
        <v>173683</v>
      </c>
      <c r="ES188" s="140">
        <f>EO188+(EY188-EO188)*(ES1-EO1)/(EY1-EO1)</f>
        <v>171183</v>
      </c>
      <c r="ET188" s="140">
        <f>EO188+(EY188-EO188)*(ET1-EO1)/(EY1-EO1)</f>
        <v>168683</v>
      </c>
      <c r="EU188" s="140">
        <f>EO188+(EY188-EO188)*(EU1-EO1)/(EY1-EO1)</f>
        <v>166183</v>
      </c>
      <c r="EV188" s="140">
        <f>EO188+(EY188-EO188)*(EV1-EO1)/(EY1-EO1)</f>
        <v>163683</v>
      </c>
      <c r="EW188" s="140">
        <f>EO188+(EY188-EO188)*(EW1-EO1)/(EY1-EO1)</f>
        <v>161183</v>
      </c>
      <c r="EX188" s="140">
        <f>EO188+(EY188-EO188)*(EX1-EO1)/(EY1-EO1)</f>
        <v>158683</v>
      </c>
      <c r="EY188" s="175">
        <f t="shared" ref="EY188:EY195" si="69">EY151-ED99</f>
        <v>156183</v>
      </c>
      <c r="EZ188" s="140">
        <f>EY188+(FI188-EY188)*(EZ1-EY1)/(FI1-EY1)</f>
        <v>153683</v>
      </c>
      <c r="FA188" s="140">
        <f>EY188+(FI188-EY188)*(FA1-EY1)/(FI1-EY1)</f>
        <v>151183</v>
      </c>
      <c r="FB188" s="140">
        <f>EY188+(FI188-EY188)*(FB1-EY1)/(FI1-EY1)</f>
        <v>148683</v>
      </c>
      <c r="FC188" s="140">
        <f>EY188+(FI188-EY188)*(FC1-EY1)/(FI1-EY1)</f>
        <v>146183</v>
      </c>
      <c r="FD188" s="140">
        <f>EY188+(FI188-EY188)*(FD1-EY1)/(FI1-EY1)</f>
        <v>143683</v>
      </c>
      <c r="FE188" s="140">
        <f>EY188+(FI188-EY188)*(FE1-EY1)/(FI1-EY1)</f>
        <v>141183</v>
      </c>
      <c r="FF188" s="140">
        <f>EY188+(FI188-EY188)*(FF1-EY1)/(FI1-EY1)</f>
        <v>138683</v>
      </c>
      <c r="FG188" s="140">
        <f>EY188+(FI188-EY188)*(FG1-EY1)/(FI1-EY1)</f>
        <v>136183</v>
      </c>
      <c r="FH188" s="140">
        <f>EY188+(FI188-EY188)*(FH1-EY1)/(FI1-EY1)</f>
        <v>133683</v>
      </c>
      <c r="FI188" s="176">
        <f t="shared" ref="FI188:FI195" si="70">FI151-EE99</f>
        <v>131183</v>
      </c>
      <c r="FJ188" s="140"/>
      <c r="FK188" s="139"/>
      <c r="FL188" s="140"/>
      <c r="FM188" s="140"/>
      <c r="FN188" s="140"/>
      <c r="FO188" s="140"/>
      <c r="FP188" s="175">
        <f t="shared" ref="FP188:FP195" si="71">FP151-FM99</f>
        <v>224789.67300849396</v>
      </c>
      <c r="FQ188" s="140">
        <f>FP188+(FZ188-FP188)*(FQ1-FP1)/(FZ1-FP1)</f>
        <v>221029.00570764457</v>
      </c>
      <c r="FR188" s="140">
        <f>FP188+(FZ188-FP188)*(FR1-FP1)/(FZ1-FP1)</f>
        <v>217268.33840679517</v>
      </c>
      <c r="FS188" s="140">
        <f>FP188+(FZ188-FP188)*(FS1-FP1)/(FZ1-FP1)</f>
        <v>213507.67110594577</v>
      </c>
      <c r="FT188" s="140">
        <f>FP188+(FZ188-FP188)*(FT1-FP1)/(FZ1-FP1)</f>
        <v>209747.00380509638</v>
      </c>
      <c r="FU188" s="140">
        <f>FP188+(FZ188-FP188)*(FU1-FP1)/(FZ1-FP1)</f>
        <v>205986.33650424698</v>
      </c>
      <c r="FV188" s="140">
        <f>FP188+(FZ188-FP188)*(FV1-FP1)/(FZ1-FP1)</f>
        <v>202225.66920339759</v>
      </c>
      <c r="FW188" s="140">
        <f>FP188+(FZ188-FP188)*(FW1-FP1)/(FZ1-FP1)</f>
        <v>198465.00190254819</v>
      </c>
      <c r="FX188" s="140">
        <f>FP188+(FZ188-FP188)*(FX1-FP1)/(FZ1-FP1)</f>
        <v>194704.33460169879</v>
      </c>
      <c r="FY188" s="140">
        <f>FP188+(FZ188-FP188)*(FY1-FP1)/(FZ1-FP1)</f>
        <v>190943.6673008494</v>
      </c>
      <c r="FZ188" s="175">
        <f t="shared" ref="FZ188:FZ195" si="72">FZ151-FN99</f>
        <v>187183</v>
      </c>
      <c r="GA188" s="140">
        <f>FZ188+(GJ188-FZ188)*(GA1-FZ1)/(GJ1-FZ1)</f>
        <v>185283</v>
      </c>
      <c r="GB188" s="140">
        <f>FZ188+(GJ188-FZ188)*(GB1-FZ1)/(GJ1-FZ1)</f>
        <v>183383</v>
      </c>
      <c r="GC188" s="140">
        <f>FZ188+(GJ188-FZ188)*(GC1-FZ1)/(GJ1-FZ1)</f>
        <v>181483</v>
      </c>
      <c r="GD188" s="140">
        <f>FZ188+(GJ188-FZ188)*(GD1-FZ1)/(GJ1-FZ1)</f>
        <v>179583</v>
      </c>
      <c r="GE188" s="140">
        <f>FZ188+(GJ188-FZ188)*(GE1-FZ1)/(GJ1-FZ1)</f>
        <v>177683</v>
      </c>
      <c r="GF188" s="140">
        <f>FZ188+(GJ188-FZ188)*(GF1-FZ1)/(GJ1-FZ1)</f>
        <v>175783</v>
      </c>
      <c r="GG188" s="140">
        <f>FZ188+(GJ188-FZ188)*(GG1-FZ1)/(GJ1-FZ1)</f>
        <v>173883</v>
      </c>
      <c r="GH188" s="140">
        <f>FZ188+(GJ188-FZ188)*(GH1-FZ1)/(GJ1-FZ1)</f>
        <v>171983</v>
      </c>
      <c r="GI188" s="140">
        <f>FZ188+(GJ188-FZ188)*(GI1-FZ1)/(GJ1-FZ1)</f>
        <v>170083</v>
      </c>
      <c r="GJ188" s="175">
        <f t="shared" ref="GJ188:GJ195" si="73">GJ151-FO99</f>
        <v>168183</v>
      </c>
      <c r="GK188" s="140">
        <f>GJ188+(GT188-GJ188)*(GK1-GJ1)/(GT1-GJ1)</f>
        <v>166283</v>
      </c>
      <c r="GL188" s="140">
        <f>GJ188+(GT188-GJ188)*(GL1-GJ1)/(GT1-GJ1)</f>
        <v>164383</v>
      </c>
      <c r="GM188" s="140">
        <f>GJ188+(GT188-GJ188)*(GM1-GJ1)/(GT1-GJ1)</f>
        <v>162483</v>
      </c>
      <c r="GN188" s="140">
        <f>GJ188+(GT188-GJ188)*(GN1-GJ1)/(GT1-GJ1)</f>
        <v>160583</v>
      </c>
      <c r="GO188" s="140">
        <f>GJ188+(GT188-GJ188)*(GO1-GJ1)/(GT1-GJ1)</f>
        <v>158683</v>
      </c>
      <c r="GP188" s="140">
        <f>GJ188+(GT188-GJ188)*(GP1-GJ1)/(GT1-GJ1)</f>
        <v>156783</v>
      </c>
      <c r="GQ188" s="140">
        <f>GJ188+(GT188-GJ188)*(GQ1-GJ1)/(GT1-GJ1)</f>
        <v>154883</v>
      </c>
      <c r="GR188" s="140">
        <f>GJ188+(GT188-GJ188)*(GR1-GJ1)/(GT1-GJ1)</f>
        <v>152983</v>
      </c>
      <c r="GS188" s="140">
        <f>GJ188+(GT188-GJ188)*(GS1-GJ1)/(GT1-GJ1)</f>
        <v>151083</v>
      </c>
      <c r="GT188" s="176">
        <f t="shared" ref="GT188:GT195" si="74">GT151-FP99</f>
        <v>149183</v>
      </c>
      <c r="GU188" s="140"/>
      <c r="GV188" s="139"/>
      <c r="GW188" s="140"/>
      <c r="GX188" s="140"/>
      <c r="GY188" s="140"/>
      <c r="GZ188" s="140"/>
      <c r="HA188" s="175">
        <f t="shared" ref="HA188:HA195" si="75">HA151-GX99</f>
        <v>224789.67300849396</v>
      </c>
      <c r="HB188" s="140">
        <f>HA188+(HK188-HA188)*(HB1-HA1)/(HK1-HA1)</f>
        <v>221029.00570764457</v>
      </c>
      <c r="HC188" s="140">
        <f>HA188+(HK188-HA188)*(HC1-HA1)/(HK1-HA1)</f>
        <v>217268.33840679517</v>
      </c>
      <c r="HD188" s="140">
        <f>HA188+(HK188-HA188)*(HD1-HA1)/(HK1-HA1)</f>
        <v>213507.67110594577</v>
      </c>
      <c r="HE188" s="140">
        <f>HA188+(HK188-HA188)*(HE1-HA1)/(HK1-HA1)</f>
        <v>209747.00380509638</v>
      </c>
      <c r="HF188" s="140">
        <f>HA188+(HK188-HA188)*(HF1-HA1)/(HK1-HA1)</f>
        <v>205986.33650424698</v>
      </c>
      <c r="HG188" s="140">
        <f>HA188+(HK188-HA188)*(HG1-HA1)/(HK1-HA1)</f>
        <v>202225.66920339759</v>
      </c>
      <c r="HH188" s="140">
        <f>HA188+(HK188-HA188)*(HH1-HA1)/(HK1-HA1)</f>
        <v>198465.00190254819</v>
      </c>
      <c r="HI188" s="140">
        <f>HA188+(HK188-HA188)*(HI1-HA1)/(HK1-HA1)</f>
        <v>194704.33460169879</v>
      </c>
      <c r="HJ188" s="140">
        <f>HA188+(HK188-HA188)*(HJ1-HA1)/(HK1-HA1)</f>
        <v>190943.6673008494</v>
      </c>
      <c r="HK188" s="175">
        <f t="shared" ref="HK188:HK195" si="76">HK151-GY99</f>
        <v>187183</v>
      </c>
      <c r="HL188" s="140">
        <f>HK188+(HU188-HK188)*(HL1-HK1)/(HU1-HK1)</f>
        <v>185283</v>
      </c>
      <c r="HM188" s="140">
        <f>HK188+(HU188-HK188)*(HM1-HK1)/(HU1-HK1)</f>
        <v>183383</v>
      </c>
      <c r="HN188" s="140">
        <f>HK188+(HU188-HK188)*(HN1-HK1)/(HU1-HK1)</f>
        <v>181483</v>
      </c>
      <c r="HO188" s="140">
        <f>HK188+(HU188-HK188)*(HO1-HK1)/(HU1-HK1)</f>
        <v>179583</v>
      </c>
      <c r="HP188" s="140">
        <f>HK188+(HU188-HK188)*(HP1-HK1)/(HU1-HK1)</f>
        <v>177683</v>
      </c>
      <c r="HQ188" s="140">
        <f>HK188+(HU188-HK188)*(HQ1-HK1)/(HU1-HK1)</f>
        <v>175783</v>
      </c>
      <c r="HR188" s="140">
        <f>HK188+(HU188-HK188)*(HR1-HK1)/(HU1-HK1)</f>
        <v>173883</v>
      </c>
      <c r="HS188" s="140">
        <f>HK188+(HU188-HK188)*(HS1-HK1)/(HU1-HK1)</f>
        <v>171983</v>
      </c>
      <c r="HT188" s="140">
        <f>HK188+(HU188-HK188)*(HT1-HK1)/(HU1-HK1)</f>
        <v>170083</v>
      </c>
      <c r="HU188" s="175">
        <f t="shared" ref="HU188:HU195" si="77">HU151-GZ99</f>
        <v>168183</v>
      </c>
      <c r="HV188" s="140">
        <f>HU188+(IE188-HU188)*(HV1-HU1)/(IE1-HU1)</f>
        <v>166283</v>
      </c>
      <c r="HW188" s="140">
        <f>HU188+(IE188-HU188)*(HW1-HU1)/(IE1-HU1)</f>
        <v>164383</v>
      </c>
      <c r="HX188" s="140">
        <f>HU188+(IE188-HU188)*(HX1-HU1)/(IE1-HU1)</f>
        <v>162483</v>
      </c>
      <c r="HY188" s="140">
        <f>HU188+(IE188-HU188)*(HY1-HU1)/(IE1-HU1)</f>
        <v>160583</v>
      </c>
      <c r="HZ188" s="140">
        <f>HU188+(IE188-HU188)*(HZ1-HU1)/(IE1-HU1)</f>
        <v>158683</v>
      </c>
      <c r="IA188" s="140">
        <f>HU188+(IE188-HU188)*(IA1-HU1)/(IE1-HU1)</f>
        <v>156783</v>
      </c>
      <c r="IB188" s="140">
        <f>HU188+(IE188-HU188)*(IB1-HU1)/(IE1-HU1)</f>
        <v>154883</v>
      </c>
      <c r="IC188" s="140">
        <f>HU188+(IE188-HU188)*(IC1-HU1)/(IE1-HU1)</f>
        <v>152983</v>
      </c>
      <c r="ID188" s="140">
        <f>HU188+(IE188-HU188)*(ID1-HU1)/(IE1-HU1)</f>
        <v>151083</v>
      </c>
      <c r="IE188" s="176">
        <f t="shared" ref="IE188:IE195" si="78">IE151-HA99</f>
        <v>149183</v>
      </c>
      <c r="IF188" s="140"/>
      <c r="IG188" s="139"/>
      <c r="IH188" s="140"/>
      <c r="II188" s="140"/>
      <c r="IJ188" s="140"/>
      <c r="IK188" s="140"/>
      <c r="IL188" s="175">
        <v>234167.92101999701</v>
      </c>
      <c r="IM188" s="140">
        <f t="shared" ref="IM188:IU195" si="79">$IL188+($IV188-$IL188)*(IM$1-$IL$1)/($IV$1-$IL$1)</f>
        <v>233667.00650121865</v>
      </c>
      <c r="IN188" s="140">
        <f t="shared" si="79"/>
        <v>233166.09198244027</v>
      </c>
      <c r="IO188" s="140">
        <f t="shared" si="79"/>
        <v>232665.17746366188</v>
      </c>
      <c r="IP188" s="140">
        <f t="shared" si="79"/>
        <v>232164.26294488352</v>
      </c>
      <c r="IQ188" s="140">
        <f t="shared" si="79"/>
        <v>231663.34842610516</v>
      </c>
      <c r="IR188" s="140">
        <f t="shared" si="79"/>
        <v>231162.43390732678</v>
      </c>
      <c r="IS188" s="140">
        <f t="shared" si="79"/>
        <v>230661.51938854839</v>
      </c>
      <c r="IT188" s="140">
        <f t="shared" si="79"/>
        <v>230160.60486977003</v>
      </c>
      <c r="IU188" s="140">
        <f t="shared" si="79"/>
        <v>229659.69035099167</v>
      </c>
      <c r="IV188" s="175">
        <v>229158.77583221329</v>
      </c>
      <c r="IW188" s="140">
        <f t="shared" ref="IW188:JE195" si="80">$IV188+($JF188-$IV188)*(IW$1-$IV$1)/($JF$1-$IV$1)</f>
        <v>228717.12082327978</v>
      </c>
      <c r="IX188" s="140">
        <f t="shared" si="80"/>
        <v>228275.46581434627</v>
      </c>
      <c r="IY188" s="140">
        <f t="shared" si="80"/>
        <v>227833.81080541274</v>
      </c>
      <c r="IZ188" s="140">
        <f t="shared" si="80"/>
        <v>227392.15579647923</v>
      </c>
      <c r="JA188" s="140">
        <f t="shared" si="80"/>
        <v>226950.50078754572</v>
      </c>
      <c r="JB188" s="140">
        <f t="shared" si="80"/>
        <v>226508.84577861222</v>
      </c>
      <c r="JC188" s="140">
        <f t="shared" si="80"/>
        <v>226067.19076967871</v>
      </c>
      <c r="JD188" s="140">
        <f t="shared" si="80"/>
        <v>225625.53576074517</v>
      </c>
      <c r="JE188" s="140">
        <f t="shared" si="80"/>
        <v>225183.88075181167</v>
      </c>
      <c r="JF188" s="175">
        <v>224742.22574287816</v>
      </c>
      <c r="JG188" s="140">
        <f t="shared" ref="JG188:JO195" si="81">$JF188+($JP188-$JF188)*(JG$1-$JF$1)/($JP$1-$JF$1)</f>
        <v>224309.08269890028</v>
      </c>
      <c r="JH188" s="140">
        <f t="shared" si="81"/>
        <v>223875.9396549224</v>
      </c>
      <c r="JI188" s="140">
        <f t="shared" si="81"/>
        <v>223442.79661094453</v>
      </c>
      <c r="JJ188" s="140">
        <f t="shared" si="81"/>
        <v>223009.65356696665</v>
      </c>
      <c r="JK188" s="140">
        <f t="shared" si="81"/>
        <v>222576.5105229888</v>
      </c>
      <c r="JL188" s="140">
        <f t="shared" si="81"/>
        <v>222143.36747901092</v>
      </c>
      <c r="JM188" s="140">
        <f t="shared" si="81"/>
        <v>221710.22443503304</v>
      </c>
      <c r="JN188" s="140">
        <f t="shared" si="81"/>
        <v>221277.08139105517</v>
      </c>
      <c r="JO188" s="140">
        <f t="shared" si="81"/>
        <v>220843.93834707729</v>
      </c>
      <c r="JP188" s="176">
        <v>220410.79530309941</v>
      </c>
      <c r="JQ188" s="140"/>
      <c r="JR188" s="139"/>
      <c r="JS188" s="140"/>
      <c r="JT188" s="140"/>
      <c r="JU188" s="140"/>
      <c r="JV188" s="140"/>
      <c r="JW188" s="175">
        <v>234167.92101999701</v>
      </c>
      <c r="JX188" s="140">
        <f t="shared" ref="JX188:KF195" si="82">$JW188+($KG188-$JW188)*(JX$1-$JW$1)/($KG$1-$JW$1)</f>
        <v>226157.96535220335</v>
      </c>
      <c r="JY188" s="140">
        <f t="shared" si="82"/>
        <v>218148.00968440968</v>
      </c>
      <c r="JZ188" s="140">
        <f t="shared" si="82"/>
        <v>210138.05401661602</v>
      </c>
      <c r="KA188" s="140">
        <f t="shared" si="82"/>
        <v>202128.09834882236</v>
      </c>
      <c r="KB188" s="140">
        <f t="shared" si="82"/>
        <v>194118.14268102869</v>
      </c>
      <c r="KC188" s="140">
        <f t="shared" si="82"/>
        <v>186108.187013235</v>
      </c>
      <c r="KD188" s="140">
        <f t="shared" si="82"/>
        <v>178098.23134544137</v>
      </c>
      <c r="KE188" s="140">
        <f t="shared" si="82"/>
        <v>170088.27567764767</v>
      </c>
      <c r="KF188" s="140">
        <f t="shared" si="82"/>
        <v>162078.32000985401</v>
      </c>
      <c r="KG188" s="175">
        <v>154068.36434206035</v>
      </c>
      <c r="KH188" s="140">
        <f t="shared" ref="KH188:KP195" si="83">$KG188+($KQ188-$KG188)*(KH$1-$KG$1)/($KQ$1-$KG$1)</f>
        <v>148651.16192692786</v>
      </c>
      <c r="KI188" s="140">
        <f t="shared" si="83"/>
        <v>143233.95951179537</v>
      </c>
      <c r="KJ188" s="140">
        <f t="shared" si="83"/>
        <v>137816.75709666288</v>
      </c>
      <c r="KK188" s="140">
        <f t="shared" si="83"/>
        <v>132399.5546815304</v>
      </c>
      <c r="KL188" s="140">
        <f t="shared" si="83"/>
        <v>126982.35226639791</v>
      </c>
      <c r="KM188" s="140">
        <f t="shared" si="83"/>
        <v>121565.14985126544</v>
      </c>
      <c r="KN188" s="140">
        <f t="shared" si="83"/>
        <v>116147.94743613295</v>
      </c>
      <c r="KO188" s="140">
        <f t="shared" si="83"/>
        <v>110730.74502100046</v>
      </c>
      <c r="KP188" s="140">
        <f t="shared" si="83"/>
        <v>105313.54260586797</v>
      </c>
      <c r="KQ188" s="175">
        <v>99896.340190735486</v>
      </c>
      <c r="KR188" s="140">
        <f t="shared" ref="KR188:KZ195" si="84">$KQ188+($LA188-$KQ188)*(KR$1-$KQ$1)/($LA$1-$KQ$1)</f>
        <v>98738.057251401158</v>
      </c>
      <c r="KS188" s="140">
        <f t="shared" si="84"/>
        <v>97579.774312066831</v>
      </c>
      <c r="KT188" s="140">
        <f t="shared" si="84"/>
        <v>96421.491372732504</v>
      </c>
      <c r="KU188" s="140">
        <f t="shared" si="84"/>
        <v>95263.208433398177</v>
      </c>
      <c r="KV188" s="140">
        <f t="shared" si="84"/>
        <v>94104.925494063849</v>
      </c>
      <c r="KW188" s="140">
        <f t="shared" si="84"/>
        <v>92946.642554729508</v>
      </c>
      <c r="KX188" s="140">
        <f t="shared" si="84"/>
        <v>91788.35961539518</v>
      </c>
      <c r="KY188" s="140">
        <f t="shared" si="84"/>
        <v>90630.076676060853</v>
      </c>
      <c r="KZ188" s="140">
        <f t="shared" si="84"/>
        <v>89471.793736726526</v>
      </c>
      <c r="LA188" s="176">
        <v>88313.510797392199</v>
      </c>
      <c r="LB188" s="140"/>
      <c r="LC188" s="139"/>
      <c r="LD188" s="140"/>
      <c r="LE188" s="140"/>
      <c r="LF188" s="140"/>
      <c r="LG188" s="140"/>
      <c r="LH188" s="175">
        <v>234167.92101999701</v>
      </c>
      <c r="LI188" s="140">
        <f t="shared" ref="LI188:LQ195" si="85">$LH188+($LR188-$LH188)*(LI$1-$LH$1)/($LR$1-$LH$1)</f>
        <v>226157.96535220335</v>
      </c>
      <c r="LJ188" s="140">
        <f t="shared" si="85"/>
        <v>218148.00968440968</v>
      </c>
      <c r="LK188" s="140">
        <f t="shared" si="85"/>
        <v>210138.05401661602</v>
      </c>
      <c r="LL188" s="140">
        <f t="shared" si="85"/>
        <v>202128.09834882236</v>
      </c>
      <c r="LM188" s="140">
        <f t="shared" si="85"/>
        <v>194118.14268102869</v>
      </c>
      <c r="LN188" s="140">
        <f t="shared" si="85"/>
        <v>186108.187013235</v>
      </c>
      <c r="LO188" s="140">
        <f t="shared" si="85"/>
        <v>178098.23134544137</v>
      </c>
      <c r="LP188" s="140">
        <f t="shared" si="85"/>
        <v>170088.27567764767</v>
      </c>
      <c r="LQ188" s="140">
        <f t="shared" si="85"/>
        <v>162078.32000985401</v>
      </c>
      <c r="LR188" s="175">
        <v>154068.36434206035</v>
      </c>
      <c r="LS188" s="140">
        <f t="shared" ref="LS188:MA195" si="86">$LR188+($MB188-$LR188)*(LS$1-$LR$1)/($MB$1-$LR$1)</f>
        <v>148651.16192692786</v>
      </c>
      <c r="LT188" s="140">
        <f t="shared" si="86"/>
        <v>143233.95951179537</v>
      </c>
      <c r="LU188" s="140">
        <f t="shared" si="86"/>
        <v>137816.75709666288</v>
      </c>
      <c r="LV188" s="140">
        <f t="shared" si="86"/>
        <v>132399.5546815304</v>
      </c>
      <c r="LW188" s="140">
        <f t="shared" si="86"/>
        <v>126982.35226639791</v>
      </c>
      <c r="LX188" s="140">
        <f t="shared" si="86"/>
        <v>121565.14985126544</v>
      </c>
      <c r="LY188" s="140">
        <f t="shared" si="86"/>
        <v>116147.94743613295</v>
      </c>
      <c r="LZ188" s="140">
        <f t="shared" si="86"/>
        <v>110730.74502100046</v>
      </c>
      <c r="MA188" s="140">
        <f t="shared" si="86"/>
        <v>105313.54260586797</v>
      </c>
      <c r="MB188" s="175">
        <v>99896.340190735486</v>
      </c>
      <c r="MC188" s="140">
        <f t="shared" ref="MC188:MK195" si="87">$MB188+($ML188-$MB188)*(MC$1-$MB$1)/($ML$1-$MB$1)</f>
        <v>98738.057251401158</v>
      </c>
      <c r="MD188" s="140">
        <f t="shared" si="87"/>
        <v>97579.774312066831</v>
      </c>
      <c r="ME188" s="140">
        <f t="shared" si="87"/>
        <v>96421.491372732504</v>
      </c>
      <c r="MF188" s="140">
        <f t="shared" si="87"/>
        <v>95263.208433398177</v>
      </c>
      <c r="MG188" s="140">
        <f t="shared" si="87"/>
        <v>94104.925494063849</v>
      </c>
      <c r="MH188" s="140">
        <f t="shared" si="87"/>
        <v>92946.642554729508</v>
      </c>
      <c r="MI188" s="140">
        <f t="shared" si="87"/>
        <v>91788.35961539518</v>
      </c>
      <c r="MJ188" s="140">
        <f t="shared" si="87"/>
        <v>90630.076676060853</v>
      </c>
      <c r="MK188" s="140">
        <f t="shared" si="87"/>
        <v>89471.793736726526</v>
      </c>
      <c r="ML188" s="176">
        <v>88313.510797392199</v>
      </c>
    </row>
    <row r="189" spans="3:350" s="4" customFormat="1" ht="18" customHeight="1" x14ac:dyDescent="0.3">
      <c r="C189" s="136" t="s">
        <v>77</v>
      </c>
      <c r="E189" s="137" t="s">
        <v>105</v>
      </c>
      <c r="F189" s="147" t="s">
        <v>105</v>
      </c>
      <c r="H189" s="174">
        <v>64402</v>
      </c>
      <c r="I189" s="175">
        <v>64999.580349322132</v>
      </c>
      <c r="J189" s="175">
        <v>65597.160698644264</v>
      </c>
      <c r="K189" s="175">
        <v>66194.741047966396</v>
      </c>
      <c r="L189" s="175">
        <v>66792.321397288528</v>
      </c>
      <c r="M189" s="175">
        <v>67389.90174661066</v>
      </c>
      <c r="N189" s="175"/>
      <c r="O189" s="175"/>
      <c r="P189" s="175"/>
      <c r="Q189" s="176"/>
      <c r="R189" s="140"/>
      <c r="S189" s="139"/>
      <c r="T189" s="140"/>
      <c r="U189" s="140"/>
      <c r="V189" s="140"/>
      <c r="W189" s="140"/>
      <c r="X189" s="140"/>
      <c r="Y189" s="140"/>
      <c r="Z189" s="140"/>
      <c r="AA189" s="140"/>
      <c r="AB189" s="140"/>
      <c r="AC189" s="140"/>
      <c r="AD189" s="140"/>
      <c r="AE189" s="140"/>
      <c r="AF189" s="140"/>
      <c r="AG189" s="140"/>
      <c r="AH189" s="140"/>
      <c r="AI189" s="140"/>
      <c r="AJ189" s="140"/>
      <c r="AK189" s="140"/>
      <c r="AL189" s="140"/>
      <c r="AM189" s="140"/>
      <c r="AN189" s="140"/>
      <c r="AO189" s="140"/>
      <c r="AP189" s="140"/>
      <c r="AQ189" s="140"/>
      <c r="AR189" s="140"/>
      <c r="AS189" s="140"/>
      <c r="AT189" s="140"/>
      <c r="AU189" s="140"/>
      <c r="AV189" s="140"/>
      <c r="AW189" s="140"/>
      <c r="AX189" s="140"/>
      <c r="AY189" s="140"/>
      <c r="AZ189" s="140"/>
      <c r="BA189" s="140"/>
      <c r="BB189" s="141"/>
      <c r="BC189" s="140"/>
      <c r="BD189" s="139"/>
      <c r="BE189" s="140"/>
      <c r="BF189" s="140"/>
      <c r="BG189" s="140"/>
      <c r="BH189" s="140"/>
      <c r="BI189" s="175">
        <f t="shared" si="59"/>
        <v>65045</v>
      </c>
      <c r="BJ189" s="140">
        <f>BI189+(BS189-BI189)*(BJ1-BI1)/(BS1-BI1)</f>
        <v>64847.324976854085</v>
      </c>
      <c r="BK189" s="140">
        <f>BI189+(BS189-BI189)*(BK1-BI1)/(BS1-BI1)</f>
        <v>64649.649953708169</v>
      </c>
      <c r="BL189" s="140">
        <f>BI189+(BS189-BI189)*(BL1-BI1)/(BS1-BI1)</f>
        <v>64451.974930562254</v>
      </c>
      <c r="BM189" s="140">
        <f>BI189+(BS189-BI189)*(BM1-BI1)/(BS1-BI1)</f>
        <v>64254.299907416338</v>
      </c>
      <c r="BN189" s="140">
        <f>BI189+(BS189-BI189)*(BN1-BI1)/(BS1-BI1)</f>
        <v>64056.624884270423</v>
      </c>
      <c r="BO189" s="140">
        <f>BI189+(BS189-BI189)*(BO1-BI1)/(BS1-BI1)</f>
        <v>63858.949861124514</v>
      </c>
      <c r="BP189" s="140">
        <f>BI189+(BS189-BI189)*(BP1-BI1)/(BS1-BI1)</f>
        <v>63661.274837978599</v>
      </c>
      <c r="BQ189" s="140">
        <f>BI189+(BS189-BI189)*(BQ1-BI1)/(BS1-BI1)</f>
        <v>63463.599814832683</v>
      </c>
      <c r="BR189" s="140">
        <f>BI189+(BS189-BI189)*(BR1-BI1)/(BS1-BI1)</f>
        <v>63265.924791686768</v>
      </c>
      <c r="BS189" s="175">
        <f t="shared" si="60"/>
        <v>63068.249768540853</v>
      </c>
      <c r="BT189" s="140">
        <f>BS189+(CC189-BS189)*(BT1-BS1)/(CC1-BS1)</f>
        <v>63105.064920056</v>
      </c>
      <c r="BU189" s="140">
        <f>BS189+(CC189-BS189)*(BU1-BS1)/(CC1-BS1)</f>
        <v>63141.880071571155</v>
      </c>
      <c r="BV189" s="140">
        <f>BS189+(CC189-BS189)*(BV1-BS1)/(CC1-BS1)</f>
        <v>63178.69522308631</v>
      </c>
      <c r="BW189" s="140">
        <f>BS189+(CC189-BS189)*(BW1-BS1)/(CC1-BS1)</f>
        <v>63215.510374601457</v>
      </c>
      <c r="BX189" s="140">
        <f>BS189+(CC189-BS189)*(BX1-BS1)/(CC1-BS1)</f>
        <v>63252.325526116605</v>
      </c>
      <c r="BY189" s="140">
        <f>BS189+(CC189-BS189)*(BY1-BS1)/(CC1-BS1)</f>
        <v>63289.14067763176</v>
      </c>
      <c r="BZ189" s="140">
        <f>BS189+(CC189-BS189)*(BZ1-BS1)/(CC1-BS1)</f>
        <v>63325.955829146915</v>
      </c>
      <c r="CA189" s="140">
        <f>BS189+(CC189-BS189)*(CA1-BS1)/(CC1-BS1)</f>
        <v>63362.770980662062</v>
      </c>
      <c r="CB189" s="140">
        <f>BS189+(CC189-BS189)*(CB1-BS1)/(CC1-BS1)</f>
        <v>63399.58613217721</v>
      </c>
      <c r="CC189" s="175">
        <f t="shared" si="61"/>
        <v>63436.401283692365</v>
      </c>
      <c r="CD189" s="140">
        <f>CC189+(CM189-CC189)*(CD1-CC1)/(CM1-CC1)</f>
        <v>63473.21643520752</v>
      </c>
      <c r="CE189" s="140">
        <f>CC189+(CM189-CC189)*(CE1-CC1)/(CM1-CC1)</f>
        <v>63510.031586722667</v>
      </c>
      <c r="CF189" s="140">
        <f>CC189+(CM189-CC189)*(CF1-CC1)/(CM1-CC1)</f>
        <v>63546.846738237822</v>
      </c>
      <c r="CG189" s="140">
        <f>CC189+(CM189-CC189)*(CG1-CC1)/(CM1-CC1)</f>
        <v>63583.66188975297</v>
      </c>
      <c r="CH189" s="140">
        <f>CC189+(CM189-CC189)*(CH1-CC1)/(CM1-CC1)</f>
        <v>63620.477041268125</v>
      </c>
      <c r="CI189" s="140">
        <f>CC189+(CM189-CC189)*(CI1-CC1)/(CM1-CC1)</f>
        <v>63657.292192783279</v>
      </c>
      <c r="CJ189" s="140">
        <f>CC189+(CM189-CC189)*(CJ1-CC1)/(CM1-CC1)</f>
        <v>63694.107344298427</v>
      </c>
      <c r="CK189" s="140">
        <f>CC189+(CM189-CC189)*(CK1-CC1)/(CM1-CC1)</f>
        <v>63730.922495813582</v>
      </c>
      <c r="CL189" s="140">
        <f>CC189+(CM189-CC189)*(CL1-CC1)/(CM1-CC1)</f>
        <v>63767.73764732873</v>
      </c>
      <c r="CM189" s="176">
        <f t="shared" si="62"/>
        <v>63804.552798843884</v>
      </c>
      <c r="CN189" s="140"/>
      <c r="CO189" s="139"/>
      <c r="CP189" s="140"/>
      <c r="CQ189" s="140"/>
      <c r="CR189" s="140"/>
      <c r="CS189" s="140"/>
      <c r="CT189" s="175">
        <f t="shared" si="63"/>
        <v>65045</v>
      </c>
      <c r="CU189" s="140">
        <f>CT189+(DD189-CT189)*(CU1-CT1)/(DD1-CT1)</f>
        <v>64430.509825338937</v>
      </c>
      <c r="CV189" s="140">
        <f>CT189+(DD189-CT189)*(CV1-CT1)/(DD1-CT1)</f>
        <v>63816.019650677867</v>
      </c>
      <c r="CW189" s="140">
        <f>CT189+(DD189-CT189)*(CW1-CT1)/(DD1-CT1)</f>
        <v>63201.529476016804</v>
      </c>
      <c r="CX189" s="140">
        <f>CT189+(DD189-CT189)*(CX1-CT1)/(DD1-CT1)</f>
        <v>62587.039301355733</v>
      </c>
      <c r="CY189" s="140">
        <f>CT189+(DD189-CT189)*(CY1-CT1)/(DD1-CT1)</f>
        <v>61972.54912669467</v>
      </c>
      <c r="CZ189" s="140">
        <f>CT189+(DD189-CT189)*(CZ1-CT1)/(DD1-CT1)</f>
        <v>61358.058952033607</v>
      </c>
      <c r="DA189" s="140">
        <f>CT189+(DD189-CT189)*(DA1-CT1)/(DD1-CT1)</f>
        <v>60743.568777372537</v>
      </c>
      <c r="DB189" s="140">
        <f>CT189+(DD189-CT189)*(DB1-CT1)/(DD1-CT1)</f>
        <v>60129.078602711474</v>
      </c>
      <c r="DC189" s="140">
        <f>CT189+(DD189-CT189)*(DC1-CT1)/(DD1-CT1)</f>
        <v>59514.588428050403</v>
      </c>
      <c r="DD189" s="175">
        <f t="shared" si="64"/>
        <v>58900.09825338934</v>
      </c>
      <c r="DE189" s="140">
        <f>DD189+(DN189-DD189)*(DE1-DD1)/(DN1-DD1)</f>
        <v>58520.09825338934</v>
      </c>
      <c r="DF189" s="140">
        <f>DD189+(DN189-DD189)*(DF1-DD1)/(DN1-DD1)</f>
        <v>58140.09825338934</v>
      </c>
      <c r="DG189" s="140">
        <f>DD189+(DN189-DD189)*(DG1-DD1)/(DN1-DD1)</f>
        <v>57760.09825338934</v>
      </c>
      <c r="DH189" s="140">
        <f>DD189+(DN189-DD189)*(DH1-DD1)/(DN1-DD1)</f>
        <v>57380.09825338934</v>
      </c>
      <c r="DI189" s="140">
        <f>DD189+(DN189-DD189)*(DI1-DD1)/(DN1-DD1)</f>
        <v>57000.09825338934</v>
      </c>
      <c r="DJ189" s="140">
        <f>DD189+(DN189-DD189)*(DJ1-DD1)/(DN1-DD1)</f>
        <v>56620.09825338934</v>
      </c>
      <c r="DK189" s="140">
        <f>DD189+(DN189-DD189)*(DK1-DD1)/(DN1-DD1)</f>
        <v>56240.09825338934</v>
      </c>
      <c r="DL189" s="140">
        <f>DD189+(DN189-DD189)*(DL1-DD1)/(DN1-DD1)</f>
        <v>55860.09825338934</v>
      </c>
      <c r="DM189" s="140">
        <f>DD189+(DN189-DD189)*(DM1-DD1)/(DN1-DD1)</f>
        <v>55480.09825338934</v>
      </c>
      <c r="DN189" s="175">
        <f t="shared" si="65"/>
        <v>55100.09825338934</v>
      </c>
      <c r="DO189" s="140">
        <f>DN189+(DX189-DN189)*(DO1-DN1)/(DX1-DN1)</f>
        <v>54720.09825338934</v>
      </c>
      <c r="DP189" s="140">
        <f>DN189+(DX189-DN189)*(DP1-DN1)/(DX1-DN1)</f>
        <v>54340.09825338934</v>
      </c>
      <c r="DQ189" s="140">
        <f>DN189+(DX189-DN189)*(DQ1-DN1)/(DX1-DN1)</f>
        <v>53960.09825338934</v>
      </c>
      <c r="DR189" s="140">
        <f>DN189+(DX189-DN189)*(DR1-DN1)/(DX1-DN1)</f>
        <v>53580.09825338934</v>
      </c>
      <c r="DS189" s="140">
        <f>DN189+(DX189-DN189)*(DS1-DN1)/(DX1-DN1)</f>
        <v>53200.09825338934</v>
      </c>
      <c r="DT189" s="140">
        <f>DN189+(DX189-DN189)*(DT1-DN1)/(DX1-DN1)</f>
        <v>52820.09825338934</v>
      </c>
      <c r="DU189" s="140">
        <f>DN189+(DX189-DN189)*(DU1-DN1)/(DX1-DN1)</f>
        <v>52440.09825338934</v>
      </c>
      <c r="DV189" s="140">
        <f>DN189+(DX189-DN189)*(DV1-DN1)/(DX1-DN1)</f>
        <v>52060.09825338934</v>
      </c>
      <c r="DW189" s="140">
        <f>DN189+(DX189-DN189)*(DW1-DN1)/(DX1-DN1)</f>
        <v>51680.09825338934</v>
      </c>
      <c r="DX189" s="176">
        <f t="shared" si="66"/>
        <v>51300.09825338934</v>
      </c>
      <c r="DY189" s="140"/>
      <c r="DZ189" s="139"/>
      <c r="EA189" s="140"/>
      <c r="EB189" s="140"/>
      <c r="EC189" s="140"/>
      <c r="ED189" s="140"/>
      <c r="EE189" s="175">
        <f t="shared" si="67"/>
        <v>65045</v>
      </c>
      <c r="EF189" s="140">
        <f>EE189+(EO189-EE189)*(EF1-EE1)/(EO1-EE1)</f>
        <v>64430.509825338937</v>
      </c>
      <c r="EG189" s="140">
        <f>EE189+(EO189-EE189)*(EG1-EE1)/(EO1-EE1)</f>
        <v>63816.019650677867</v>
      </c>
      <c r="EH189" s="140">
        <f>EE189+(EO189-EE189)*(EH1-EE1)/(EO1-EE1)</f>
        <v>63201.529476016804</v>
      </c>
      <c r="EI189" s="140">
        <f>EE189+(EO189-EE189)*(EI1-EE1)/(EO1-EE1)</f>
        <v>62587.039301355733</v>
      </c>
      <c r="EJ189" s="140">
        <f>EE189+(EO189-EE189)*(EJ1-EE1)/(EO1-EE1)</f>
        <v>61972.54912669467</v>
      </c>
      <c r="EK189" s="140">
        <f>EE189+(EO189-EE189)*(EK1-EE1)/(EO1-EE1)</f>
        <v>61358.058952033607</v>
      </c>
      <c r="EL189" s="140">
        <f>EE189+(EO189-EE189)*(EL1-EE1)/(EO1-EE1)</f>
        <v>60743.568777372537</v>
      </c>
      <c r="EM189" s="140">
        <f>EE189+(EO189-EE189)*(EM1-EE1)/(EO1-EE1)</f>
        <v>60129.078602711474</v>
      </c>
      <c r="EN189" s="140">
        <f>EE189+(EO189-EE189)*(EN1-EE1)/(EO1-EE1)</f>
        <v>59514.588428050403</v>
      </c>
      <c r="EO189" s="175">
        <f t="shared" si="68"/>
        <v>58900.09825338934</v>
      </c>
      <c r="EP189" s="140">
        <f>EO189+(EY189-EO189)*(EP1-EO1)/(EY1-EO1)</f>
        <v>58520.09825338934</v>
      </c>
      <c r="EQ189" s="140">
        <f>EO189+(EY189-EO189)*(EQ1-EO1)/(EY1-EO1)</f>
        <v>58140.09825338934</v>
      </c>
      <c r="ER189" s="140">
        <f>EO189+(EY189-EO189)*(ER1-EO1)/(EY1-EO1)</f>
        <v>57760.09825338934</v>
      </c>
      <c r="ES189" s="140">
        <f>EO189+(EY189-EO189)*(ES1-EO1)/(EY1-EO1)</f>
        <v>57380.09825338934</v>
      </c>
      <c r="ET189" s="140">
        <f>EO189+(EY189-EO189)*(ET1-EO1)/(EY1-EO1)</f>
        <v>57000.09825338934</v>
      </c>
      <c r="EU189" s="140">
        <f>EO189+(EY189-EO189)*(EU1-EO1)/(EY1-EO1)</f>
        <v>56620.09825338934</v>
      </c>
      <c r="EV189" s="140">
        <f>EO189+(EY189-EO189)*(EV1-EO1)/(EY1-EO1)</f>
        <v>56240.09825338934</v>
      </c>
      <c r="EW189" s="140">
        <f>EO189+(EY189-EO189)*(EW1-EO1)/(EY1-EO1)</f>
        <v>55860.09825338934</v>
      </c>
      <c r="EX189" s="140">
        <f>EO189+(EY189-EO189)*(EX1-EO1)/(EY1-EO1)</f>
        <v>55480.09825338934</v>
      </c>
      <c r="EY189" s="175">
        <f t="shared" si="69"/>
        <v>55100.09825338934</v>
      </c>
      <c r="EZ189" s="140">
        <f>EY189+(FI189-EY189)*(EZ1-EY1)/(FI1-EY1)</f>
        <v>54720.09825338934</v>
      </c>
      <c r="FA189" s="140">
        <f>EY189+(FI189-EY189)*(FA1-EY1)/(FI1-EY1)</f>
        <v>54340.09825338934</v>
      </c>
      <c r="FB189" s="140">
        <f>EY189+(FI189-EY189)*(FB1-EY1)/(FI1-EY1)</f>
        <v>53960.09825338934</v>
      </c>
      <c r="FC189" s="140">
        <f>EY189+(FI189-EY189)*(FC1-EY1)/(FI1-EY1)</f>
        <v>53580.09825338934</v>
      </c>
      <c r="FD189" s="140">
        <f>EY189+(FI189-EY189)*(FD1-EY1)/(FI1-EY1)</f>
        <v>53200.09825338934</v>
      </c>
      <c r="FE189" s="140">
        <f>EY189+(FI189-EY189)*(FE1-EY1)/(FI1-EY1)</f>
        <v>52820.09825338934</v>
      </c>
      <c r="FF189" s="140">
        <f>EY189+(FI189-EY189)*(FF1-EY1)/(FI1-EY1)</f>
        <v>52440.09825338934</v>
      </c>
      <c r="FG189" s="140">
        <f>EY189+(FI189-EY189)*(FG1-EY1)/(FI1-EY1)</f>
        <v>52060.09825338934</v>
      </c>
      <c r="FH189" s="140">
        <f>EY189+(FI189-EY189)*(FH1-EY1)/(FI1-EY1)</f>
        <v>51680.09825338934</v>
      </c>
      <c r="FI189" s="176">
        <f t="shared" si="70"/>
        <v>51300.09825338934</v>
      </c>
      <c r="FJ189" s="140"/>
      <c r="FK189" s="139"/>
      <c r="FL189" s="140"/>
      <c r="FM189" s="140"/>
      <c r="FN189" s="140"/>
      <c r="FO189" s="140"/>
      <c r="FP189" s="175">
        <f t="shared" si="71"/>
        <v>65045</v>
      </c>
      <c r="FQ189" s="140">
        <f>FP189+(FZ189-FP189)*(FQ1-FP1)/(FZ1-FP1)</f>
        <v>64847.324976854085</v>
      </c>
      <c r="FR189" s="140">
        <f>FP189+(FZ189-FP189)*(FR1-FP1)/(FZ1-FP1)</f>
        <v>64649.649953708169</v>
      </c>
      <c r="FS189" s="140">
        <f>FP189+(FZ189-FP189)*(FS1-FP1)/(FZ1-FP1)</f>
        <v>64451.974930562254</v>
      </c>
      <c r="FT189" s="140">
        <f>FP189+(FZ189-FP189)*(FT1-FP1)/(FZ1-FP1)</f>
        <v>64254.299907416338</v>
      </c>
      <c r="FU189" s="140">
        <f>FP189+(FZ189-FP189)*(FU1-FP1)/(FZ1-FP1)</f>
        <v>64056.624884270423</v>
      </c>
      <c r="FV189" s="140">
        <f>FP189+(FZ189-FP189)*(FV1-FP1)/(FZ1-FP1)</f>
        <v>63858.949861124514</v>
      </c>
      <c r="FW189" s="140">
        <f>FP189+(FZ189-FP189)*(FW1-FP1)/(FZ1-FP1)</f>
        <v>63661.274837978599</v>
      </c>
      <c r="FX189" s="140">
        <f>FP189+(FZ189-FP189)*(FX1-FP1)/(FZ1-FP1)</f>
        <v>63463.599814832683</v>
      </c>
      <c r="FY189" s="140">
        <f>FP189+(FZ189-FP189)*(FY1-FP1)/(FZ1-FP1)</f>
        <v>63265.924791686768</v>
      </c>
      <c r="FZ189" s="175">
        <f t="shared" si="72"/>
        <v>63068.249768540853</v>
      </c>
      <c r="GA189" s="140">
        <f>FZ189+(GJ189-FZ189)*(GA1-FZ1)/(GJ1-FZ1)</f>
        <v>63105.064920056</v>
      </c>
      <c r="GB189" s="140">
        <f>FZ189+(GJ189-FZ189)*(GB1-FZ1)/(GJ1-FZ1)</f>
        <v>63141.880071571155</v>
      </c>
      <c r="GC189" s="140">
        <f>FZ189+(GJ189-FZ189)*(GC1-FZ1)/(GJ1-FZ1)</f>
        <v>63178.69522308631</v>
      </c>
      <c r="GD189" s="140">
        <f>FZ189+(GJ189-FZ189)*(GD1-FZ1)/(GJ1-FZ1)</f>
        <v>63215.510374601457</v>
      </c>
      <c r="GE189" s="140">
        <f>FZ189+(GJ189-FZ189)*(GE1-FZ1)/(GJ1-FZ1)</f>
        <v>63252.325526116605</v>
      </c>
      <c r="GF189" s="140">
        <f>FZ189+(GJ189-FZ189)*(GF1-FZ1)/(GJ1-FZ1)</f>
        <v>63289.14067763176</v>
      </c>
      <c r="GG189" s="140">
        <f>FZ189+(GJ189-FZ189)*(GG1-FZ1)/(GJ1-FZ1)</f>
        <v>63325.955829146915</v>
      </c>
      <c r="GH189" s="140">
        <f>FZ189+(GJ189-FZ189)*(GH1-FZ1)/(GJ1-FZ1)</f>
        <v>63362.770980662062</v>
      </c>
      <c r="GI189" s="140">
        <f>FZ189+(GJ189-FZ189)*(GI1-FZ1)/(GJ1-FZ1)</f>
        <v>63399.58613217721</v>
      </c>
      <c r="GJ189" s="175">
        <f t="shared" si="73"/>
        <v>63436.401283692365</v>
      </c>
      <c r="GK189" s="140">
        <f>GJ189+(GT189-GJ189)*(GK1-GJ1)/(GT1-GJ1)</f>
        <v>63473.21643520752</v>
      </c>
      <c r="GL189" s="140">
        <f>GJ189+(GT189-GJ189)*(GL1-GJ1)/(GT1-GJ1)</f>
        <v>63510.031586722667</v>
      </c>
      <c r="GM189" s="140">
        <f>GJ189+(GT189-GJ189)*(GM1-GJ1)/(GT1-GJ1)</f>
        <v>63546.846738237822</v>
      </c>
      <c r="GN189" s="140">
        <f>GJ189+(GT189-GJ189)*(GN1-GJ1)/(GT1-GJ1)</f>
        <v>63583.66188975297</v>
      </c>
      <c r="GO189" s="140">
        <f>GJ189+(GT189-GJ189)*(GO1-GJ1)/(GT1-GJ1)</f>
        <v>63620.477041268125</v>
      </c>
      <c r="GP189" s="140">
        <f>GJ189+(GT189-GJ189)*(GP1-GJ1)/(GT1-GJ1)</f>
        <v>63657.292192783279</v>
      </c>
      <c r="GQ189" s="140">
        <f>GJ189+(GT189-GJ189)*(GQ1-GJ1)/(GT1-GJ1)</f>
        <v>63694.107344298427</v>
      </c>
      <c r="GR189" s="140">
        <f>GJ189+(GT189-GJ189)*(GR1-GJ1)/(GT1-GJ1)</f>
        <v>63730.922495813582</v>
      </c>
      <c r="GS189" s="140">
        <f>GJ189+(GT189-GJ189)*(GS1-GJ1)/(GT1-GJ1)</f>
        <v>63767.73764732873</v>
      </c>
      <c r="GT189" s="176">
        <f t="shared" si="74"/>
        <v>63804.552798843884</v>
      </c>
      <c r="GU189" s="140"/>
      <c r="GV189" s="139"/>
      <c r="GW189" s="140"/>
      <c r="GX189" s="140"/>
      <c r="GY189" s="140"/>
      <c r="GZ189" s="140"/>
      <c r="HA189" s="175">
        <f t="shared" si="75"/>
        <v>65045</v>
      </c>
      <c r="HB189" s="140">
        <f>HA189+(HK189-HA189)*(HB1-HA1)/(HK1-HA1)</f>
        <v>64847.324976854085</v>
      </c>
      <c r="HC189" s="140">
        <f>HA189+(HK189-HA189)*(HC1-HA1)/(HK1-HA1)</f>
        <v>64649.649953708169</v>
      </c>
      <c r="HD189" s="140">
        <f>HA189+(HK189-HA189)*(HD1-HA1)/(HK1-HA1)</f>
        <v>64451.974930562254</v>
      </c>
      <c r="HE189" s="140">
        <f>HA189+(HK189-HA189)*(HE1-HA1)/(HK1-HA1)</f>
        <v>64254.299907416338</v>
      </c>
      <c r="HF189" s="140">
        <f>HA189+(HK189-HA189)*(HF1-HA1)/(HK1-HA1)</f>
        <v>64056.624884270423</v>
      </c>
      <c r="HG189" s="140">
        <f>HA189+(HK189-HA189)*(HG1-HA1)/(HK1-HA1)</f>
        <v>63858.949861124514</v>
      </c>
      <c r="HH189" s="140">
        <f>HA189+(HK189-HA189)*(HH1-HA1)/(HK1-HA1)</f>
        <v>63661.274837978599</v>
      </c>
      <c r="HI189" s="140">
        <f>HA189+(HK189-HA189)*(HI1-HA1)/(HK1-HA1)</f>
        <v>63463.599814832683</v>
      </c>
      <c r="HJ189" s="140">
        <f>HA189+(HK189-HA189)*(HJ1-HA1)/(HK1-HA1)</f>
        <v>63265.924791686768</v>
      </c>
      <c r="HK189" s="175">
        <f t="shared" si="76"/>
        <v>63068.249768540853</v>
      </c>
      <c r="HL189" s="140">
        <f>HK189+(HU189-HK189)*(HL1-HK1)/(HU1-HK1)</f>
        <v>63105.064920056</v>
      </c>
      <c r="HM189" s="140">
        <f>HK189+(HU189-HK189)*(HM1-HK1)/(HU1-HK1)</f>
        <v>63141.880071571155</v>
      </c>
      <c r="HN189" s="140">
        <f>HK189+(HU189-HK189)*(HN1-HK1)/(HU1-HK1)</f>
        <v>63178.69522308631</v>
      </c>
      <c r="HO189" s="140">
        <f>HK189+(HU189-HK189)*(HO1-HK1)/(HU1-HK1)</f>
        <v>63215.510374601457</v>
      </c>
      <c r="HP189" s="140">
        <f>HK189+(HU189-HK189)*(HP1-HK1)/(HU1-HK1)</f>
        <v>63252.325526116605</v>
      </c>
      <c r="HQ189" s="140">
        <f>HK189+(HU189-HK189)*(HQ1-HK1)/(HU1-HK1)</f>
        <v>63289.14067763176</v>
      </c>
      <c r="HR189" s="140">
        <f>HK189+(HU189-HK189)*(HR1-HK1)/(HU1-HK1)</f>
        <v>63325.955829146915</v>
      </c>
      <c r="HS189" s="140">
        <f>HK189+(HU189-HK189)*(HS1-HK1)/(HU1-HK1)</f>
        <v>63362.770980662062</v>
      </c>
      <c r="HT189" s="140">
        <f>HK189+(HU189-HK189)*(HT1-HK1)/(HU1-HK1)</f>
        <v>63399.58613217721</v>
      </c>
      <c r="HU189" s="175">
        <f t="shared" si="77"/>
        <v>63436.401283692365</v>
      </c>
      <c r="HV189" s="140">
        <f>HU189+(IE189-HU189)*(HV1-HU1)/(IE1-HU1)</f>
        <v>63473.21643520752</v>
      </c>
      <c r="HW189" s="140">
        <f>HU189+(IE189-HU189)*(HW1-HU1)/(IE1-HU1)</f>
        <v>63510.031586722667</v>
      </c>
      <c r="HX189" s="140">
        <f>HU189+(IE189-HU189)*(HX1-HU1)/(IE1-HU1)</f>
        <v>63546.846738237822</v>
      </c>
      <c r="HY189" s="140">
        <f>HU189+(IE189-HU189)*(HY1-HU1)/(IE1-HU1)</f>
        <v>63583.66188975297</v>
      </c>
      <c r="HZ189" s="140">
        <f>HU189+(IE189-HU189)*(HZ1-HU1)/(IE1-HU1)</f>
        <v>63620.477041268125</v>
      </c>
      <c r="IA189" s="140">
        <f>HU189+(IE189-HU189)*(IA1-HU1)/(IE1-HU1)</f>
        <v>63657.292192783279</v>
      </c>
      <c r="IB189" s="140">
        <f>HU189+(IE189-HU189)*(IB1-HU1)/(IE1-HU1)</f>
        <v>63694.107344298427</v>
      </c>
      <c r="IC189" s="140">
        <f>HU189+(IE189-HU189)*(IC1-HU1)/(IE1-HU1)</f>
        <v>63730.922495813582</v>
      </c>
      <c r="ID189" s="140">
        <f>HU189+(IE189-HU189)*(ID1-HU1)/(IE1-HU1)</f>
        <v>63767.73764732873</v>
      </c>
      <c r="IE189" s="176">
        <f t="shared" si="78"/>
        <v>63804.552798843884</v>
      </c>
      <c r="IF189" s="140"/>
      <c r="IG189" s="139"/>
      <c r="IH189" s="140"/>
      <c r="II189" s="140"/>
      <c r="IJ189" s="140"/>
      <c r="IK189" s="140"/>
      <c r="IL189" s="175">
        <v>58010.279829999701</v>
      </c>
      <c r="IM189" s="140">
        <f t="shared" si="79"/>
        <v>57845.358900796964</v>
      </c>
      <c r="IN189" s="140">
        <f t="shared" si="79"/>
        <v>57680.437971594227</v>
      </c>
      <c r="IO189" s="140">
        <f t="shared" si="79"/>
        <v>57515.51704239149</v>
      </c>
      <c r="IP189" s="140">
        <f t="shared" si="79"/>
        <v>57350.596113188752</v>
      </c>
      <c r="IQ189" s="140">
        <f t="shared" si="79"/>
        <v>57185.675183986023</v>
      </c>
      <c r="IR189" s="140">
        <f t="shared" si="79"/>
        <v>57020.754254783285</v>
      </c>
      <c r="IS189" s="140">
        <f t="shared" si="79"/>
        <v>56855.833325580548</v>
      </c>
      <c r="IT189" s="140">
        <f t="shared" si="79"/>
        <v>56690.912396377811</v>
      </c>
      <c r="IU189" s="140">
        <f t="shared" si="79"/>
        <v>56525.991467175074</v>
      </c>
      <c r="IV189" s="175">
        <v>56361.070537972337</v>
      </c>
      <c r="IW189" s="140">
        <f t="shared" si="80"/>
        <v>56216.654315095453</v>
      </c>
      <c r="IX189" s="140">
        <f t="shared" si="80"/>
        <v>56072.238092218562</v>
      </c>
      <c r="IY189" s="140">
        <f t="shared" si="80"/>
        <v>55927.821869341678</v>
      </c>
      <c r="IZ189" s="140">
        <f t="shared" si="80"/>
        <v>55783.405646464787</v>
      </c>
      <c r="JA189" s="140">
        <f t="shared" si="80"/>
        <v>55638.989423587904</v>
      </c>
      <c r="JB189" s="140">
        <f t="shared" si="80"/>
        <v>55494.57320071102</v>
      </c>
      <c r="JC189" s="140">
        <f t="shared" si="80"/>
        <v>55350.156977834129</v>
      </c>
      <c r="JD189" s="140">
        <f t="shared" si="80"/>
        <v>55205.740754957245</v>
      </c>
      <c r="JE189" s="140">
        <f t="shared" si="80"/>
        <v>55061.324532080354</v>
      </c>
      <c r="JF189" s="175">
        <v>54916.908309203471</v>
      </c>
      <c r="JG189" s="140">
        <f t="shared" si="81"/>
        <v>54776.19252090509</v>
      </c>
      <c r="JH189" s="140">
        <f t="shared" si="81"/>
        <v>54635.476732606709</v>
      </c>
      <c r="JI189" s="140">
        <f t="shared" si="81"/>
        <v>54494.760944308327</v>
      </c>
      <c r="JJ189" s="140">
        <f t="shared" si="81"/>
        <v>54354.045156009946</v>
      </c>
      <c r="JK189" s="140">
        <f t="shared" si="81"/>
        <v>54213.329367711558</v>
      </c>
      <c r="JL189" s="140">
        <f t="shared" si="81"/>
        <v>54072.613579413177</v>
      </c>
      <c r="JM189" s="140">
        <f t="shared" si="81"/>
        <v>53931.897791114796</v>
      </c>
      <c r="JN189" s="140">
        <f t="shared" si="81"/>
        <v>53791.182002816415</v>
      </c>
      <c r="JO189" s="140">
        <f t="shared" si="81"/>
        <v>53650.466214518034</v>
      </c>
      <c r="JP189" s="176">
        <v>53509.750426219653</v>
      </c>
      <c r="JQ189" s="140"/>
      <c r="JR189" s="139"/>
      <c r="JS189" s="140"/>
      <c r="JT189" s="140"/>
      <c r="JU189" s="140"/>
      <c r="JV189" s="140"/>
      <c r="JW189" s="175">
        <v>58010.279829999701</v>
      </c>
      <c r="JX189" s="140">
        <f t="shared" si="82"/>
        <v>57845.358900796964</v>
      </c>
      <c r="JY189" s="140">
        <f t="shared" si="82"/>
        <v>57680.437971594227</v>
      </c>
      <c r="JZ189" s="140">
        <f t="shared" si="82"/>
        <v>57515.51704239149</v>
      </c>
      <c r="KA189" s="140">
        <f t="shared" si="82"/>
        <v>57350.596113188752</v>
      </c>
      <c r="KB189" s="140">
        <f t="shared" si="82"/>
        <v>57185.675183986023</v>
      </c>
      <c r="KC189" s="140">
        <f t="shared" si="82"/>
        <v>57020.754254783285</v>
      </c>
      <c r="KD189" s="140">
        <f t="shared" si="82"/>
        <v>56855.833325580548</v>
      </c>
      <c r="KE189" s="140">
        <f t="shared" si="82"/>
        <v>56690.912396377811</v>
      </c>
      <c r="KF189" s="140">
        <f t="shared" si="82"/>
        <v>56525.991467175074</v>
      </c>
      <c r="KG189" s="175">
        <v>56361.070537972337</v>
      </c>
      <c r="KH189" s="140">
        <f t="shared" si="83"/>
        <v>56216.654315095453</v>
      </c>
      <c r="KI189" s="140">
        <f t="shared" si="83"/>
        <v>56072.238092218562</v>
      </c>
      <c r="KJ189" s="140">
        <f t="shared" si="83"/>
        <v>55927.821869341678</v>
      </c>
      <c r="KK189" s="140">
        <f t="shared" si="83"/>
        <v>55783.405646464787</v>
      </c>
      <c r="KL189" s="140">
        <f t="shared" si="83"/>
        <v>55638.989423587904</v>
      </c>
      <c r="KM189" s="140">
        <f t="shared" si="83"/>
        <v>55494.57320071102</v>
      </c>
      <c r="KN189" s="140">
        <f t="shared" si="83"/>
        <v>55350.156977834129</v>
      </c>
      <c r="KO189" s="140">
        <f t="shared" si="83"/>
        <v>55205.740754957245</v>
      </c>
      <c r="KP189" s="140">
        <f t="shared" si="83"/>
        <v>55061.324532080354</v>
      </c>
      <c r="KQ189" s="175">
        <v>54916.908309203471</v>
      </c>
      <c r="KR189" s="140">
        <f t="shared" si="84"/>
        <v>54776.19252090509</v>
      </c>
      <c r="KS189" s="140">
        <f t="shared" si="84"/>
        <v>54635.476732606709</v>
      </c>
      <c r="KT189" s="140">
        <f t="shared" si="84"/>
        <v>54494.760944308327</v>
      </c>
      <c r="KU189" s="140">
        <f t="shared" si="84"/>
        <v>54354.045156009946</v>
      </c>
      <c r="KV189" s="140">
        <f t="shared" si="84"/>
        <v>54213.329367711558</v>
      </c>
      <c r="KW189" s="140">
        <f t="shared" si="84"/>
        <v>54072.613579413177</v>
      </c>
      <c r="KX189" s="140">
        <f t="shared" si="84"/>
        <v>53931.897791114796</v>
      </c>
      <c r="KY189" s="140">
        <f t="shared" si="84"/>
        <v>53791.182002816415</v>
      </c>
      <c r="KZ189" s="140">
        <f t="shared" si="84"/>
        <v>53650.466214518034</v>
      </c>
      <c r="LA189" s="176">
        <v>53509.750426219653</v>
      </c>
      <c r="LB189" s="140"/>
      <c r="LC189" s="139"/>
      <c r="LD189" s="140"/>
      <c r="LE189" s="140"/>
      <c r="LF189" s="140"/>
      <c r="LG189" s="140"/>
      <c r="LH189" s="175">
        <v>58010.279829999701</v>
      </c>
      <c r="LI189" s="140">
        <f t="shared" si="85"/>
        <v>57845.358900796964</v>
      </c>
      <c r="LJ189" s="140">
        <f t="shared" si="85"/>
        <v>57680.437971594227</v>
      </c>
      <c r="LK189" s="140">
        <f t="shared" si="85"/>
        <v>57515.51704239149</v>
      </c>
      <c r="LL189" s="140">
        <f t="shared" si="85"/>
        <v>57350.596113188752</v>
      </c>
      <c r="LM189" s="140">
        <f t="shared" si="85"/>
        <v>57185.675183986023</v>
      </c>
      <c r="LN189" s="140">
        <f t="shared" si="85"/>
        <v>57020.754254783285</v>
      </c>
      <c r="LO189" s="140">
        <f t="shared" si="85"/>
        <v>56855.833325580548</v>
      </c>
      <c r="LP189" s="140">
        <f t="shared" si="85"/>
        <v>56690.912396377811</v>
      </c>
      <c r="LQ189" s="140">
        <f t="shared" si="85"/>
        <v>56525.991467175074</v>
      </c>
      <c r="LR189" s="175">
        <v>56361.070537972337</v>
      </c>
      <c r="LS189" s="140">
        <f t="shared" si="86"/>
        <v>56216.654315095453</v>
      </c>
      <c r="LT189" s="140">
        <f t="shared" si="86"/>
        <v>56072.238092218562</v>
      </c>
      <c r="LU189" s="140">
        <f t="shared" si="86"/>
        <v>55927.821869341678</v>
      </c>
      <c r="LV189" s="140">
        <f t="shared" si="86"/>
        <v>55783.405646464787</v>
      </c>
      <c r="LW189" s="140">
        <f t="shared" si="86"/>
        <v>55638.989423587904</v>
      </c>
      <c r="LX189" s="140">
        <f t="shared" si="86"/>
        <v>55494.57320071102</v>
      </c>
      <c r="LY189" s="140">
        <f t="shared" si="86"/>
        <v>55350.156977834129</v>
      </c>
      <c r="LZ189" s="140">
        <f t="shared" si="86"/>
        <v>55205.740754957245</v>
      </c>
      <c r="MA189" s="140">
        <f t="shared" si="86"/>
        <v>55061.324532080354</v>
      </c>
      <c r="MB189" s="175">
        <v>54916.908309203471</v>
      </c>
      <c r="MC189" s="140">
        <f t="shared" si="87"/>
        <v>54776.19252090509</v>
      </c>
      <c r="MD189" s="140">
        <f t="shared" si="87"/>
        <v>54635.476732606709</v>
      </c>
      <c r="ME189" s="140">
        <f t="shared" si="87"/>
        <v>54494.760944308327</v>
      </c>
      <c r="MF189" s="140">
        <f t="shared" si="87"/>
        <v>54354.045156009946</v>
      </c>
      <c r="MG189" s="140">
        <f t="shared" si="87"/>
        <v>54213.329367711558</v>
      </c>
      <c r="MH189" s="140">
        <f t="shared" si="87"/>
        <v>54072.613579413177</v>
      </c>
      <c r="MI189" s="140">
        <f t="shared" si="87"/>
        <v>53931.897791114796</v>
      </c>
      <c r="MJ189" s="140">
        <f t="shared" si="87"/>
        <v>53791.182002816415</v>
      </c>
      <c r="MK189" s="140">
        <f t="shared" si="87"/>
        <v>53650.466214518034</v>
      </c>
      <c r="ML189" s="176">
        <v>53509.750426219653</v>
      </c>
    </row>
    <row r="190" spans="3:350" s="4" customFormat="1" ht="18" customHeight="1" x14ac:dyDescent="0.3">
      <c r="C190" s="136" t="s">
        <v>78</v>
      </c>
      <c r="E190" s="137" t="s">
        <v>105</v>
      </c>
      <c r="F190" s="147" t="s">
        <v>105</v>
      </c>
      <c r="H190" s="174">
        <v>210718</v>
      </c>
      <c r="I190" s="175">
        <v>211766.2</v>
      </c>
      <c r="J190" s="175">
        <v>212814.4</v>
      </c>
      <c r="K190" s="175">
        <v>213862.6</v>
      </c>
      <c r="L190" s="175">
        <v>214910.8</v>
      </c>
      <c r="M190" s="175">
        <v>215959</v>
      </c>
      <c r="N190" s="175"/>
      <c r="O190" s="175"/>
      <c r="P190" s="175"/>
      <c r="Q190" s="176"/>
      <c r="R190" s="140"/>
      <c r="S190" s="139"/>
      <c r="T190" s="140"/>
      <c r="U190" s="140"/>
      <c r="V190" s="140"/>
      <c r="W190" s="140"/>
      <c r="X190" s="140"/>
      <c r="Y190" s="140"/>
      <c r="Z190" s="140"/>
      <c r="AA190" s="140"/>
      <c r="AB190" s="140"/>
      <c r="AC190" s="140"/>
      <c r="AD190" s="140"/>
      <c r="AE190" s="140"/>
      <c r="AF190" s="140"/>
      <c r="AG190" s="140"/>
      <c r="AH190" s="140"/>
      <c r="AI190" s="140"/>
      <c r="AJ190" s="140"/>
      <c r="AK190" s="140"/>
      <c r="AL190" s="140"/>
      <c r="AM190" s="140"/>
      <c r="AN190" s="140"/>
      <c r="AO190" s="140"/>
      <c r="AP190" s="140"/>
      <c r="AQ190" s="140"/>
      <c r="AR190" s="140"/>
      <c r="AS190" s="140"/>
      <c r="AT190" s="140"/>
      <c r="AU190" s="140"/>
      <c r="AV190" s="140"/>
      <c r="AW190" s="140"/>
      <c r="AX190" s="140"/>
      <c r="AY190" s="140"/>
      <c r="AZ190" s="140"/>
      <c r="BA190" s="140"/>
      <c r="BB190" s="141"/>
      <c r="BC190" s="140"/>
      <c r="BD190" s="139"/>
      <c r="BE190" s="140"/>
      <c r="BF190" s="140"/>
      <c r="BG190" s="140"/>
      <c r="BH190" s="140"/>
      <c r="BI190" s="175">
        <f t="shared" si="59"/>
        <v>211082</v>
      </c>
      <c r="BJ190" s="140">
        <f>BI190+(BS190-BI190)*(BJ1-BI1)/(BS1-BI1)</f>
        <v>210357.23939393938</v>
      </c>
      <c r="BK190" s="140">
        <f>BI190+(BS190-BI190)*(BK1-BI1)/(BS1-BI1)</f>
        <v>209632.47878787879</v>
      </c>
      <c r="BL190" s="140">
        <f>BI190+(BS190-BI190)*(BL1-BI1)/(BS1-BI1)</f>
        <v>208907.7181818182</v>
      </c>
      <c r="BM190" s="140">
        <f>BI190+(BS190-BI190)*(BM1-BI1)/(BS1-BI1)</f>
        <v>208182.95757575758</v>
      </c>
      <c r="BN190" s="140">
        <f>BI190+(BS190-BI190)*(BN1-BI1)/(BS1-BI1)</f>
        <v>207458.19696969696</v>
      </c>
      <c r="BO190" s="140">
        <f>BI190+(BS190-BI190)*(BO1-BI1)/(BS1-BI1)</f>
        <v>206733.43636363637</v>
      </c>
      <c r="BP190" s="140">
        <f>BI190+(BS190-BI190)*(BP1-BI1)/(BS1-BI1)</f>
        <v>206008.67575757578</v>
      </c>
      <c r="BQ190" s="140">
        <f>BI190+(BS190-BI190)*(BQ1-BI1)/(BS1-BI1)</f>
        <v>205283.91515151516</v>
      </c>
      <c r="BR190" s="140">
        <f>BI190+(BS190-BI190)*(BR1-BI1)/(BS1-BI1)</f>
        <v>204559.15454545454</v>
      </c>
      <c r="BS190" s="175">
        <f t="shared" si="60"/>
        <v>203834.39393939395</v>
      </c>
      <c r="BT190" s="140">
        <f>BS190+(CC190-BS190)*(BT1-BS1)/(CC1-BS1)</f>
        <v>203597.33333333334</v>
      </c>
      <c r="BU190" s="140">
        <f>BS190+(CC190-BS190)*(BU1-BS1)/(CC1-BS1)</f>
        <v>203360.27272727274</v>
      </c>
      <c r="BV190" s="140">
        <f>BS190+(CC190-BS190)*(BV1-BS1)/(CC1-BS1)</f>
        <v>203123.21212121213</v>
      </c>
      <c r="BW190" s="140">
        <f>BS190+(CC190-BS190)*(BW1-BS1)/(CC1-BS1)</f>
        <v>202886.15151515152</v>
      </c>
      <c r="BX190" s="140">
        <f>BS190+(CC190-BS190)*(BX1-BS1)/(CC1-BS1)</f>
        <v>202649.09090909094</v>
      </c>
      <c r="BY190" s="140">
        <f>BS190+(CC190-BS190)*(BY1-BS1)/(CC1-BS1)</f>
        <v>202412.03030303033</v>
      </c>
      <c r="BZ190" s="140">
        <f>BS190+(CC190-BS190)*(BZ1-BS1)/(CC1-BS1)</f>
        <v>202174.96969696973</v>
      </c>
      <c r="CA190" s="140">
        <f>BS190+(CC190-BS190)*(CA1-BS1)/(CC1-BS1)</f>
        <v>201937.90909090912</v>
      </c>
      <c r="CB190" s="140">
        <f>BS190+(CC190-BS190)*(CB1-BS1)/(CC1-BS1)</f>
        <v>201700.84848484851</v>
      </c>
      <c r="CC190" s="175">
        <f t="shared" si="61"/>
        <v>201463.7878787879</v>
      </c>
      <c r="CD190" s="140">
        <f>CC190+(CM190-CC190)*(CD1-CC1)/(CM1-CC1)</f>
        <v>201226.72727272729</v>
      </c>
      <c r="CE190" s="140">
        <f>CC190+(CM190-CC190)*(CE1-CC1)/(CM1-CC1)</f>
        <v>200989.66666666669</v>
      </c>
      <c r="CF190" s="140">
        <f>CC190+(CM190-CC190)*(CF1-CC1)/(CM1-CC1)</f>
        <v>200752.60606060608</v>
      </c>
      <c r="CG190" s="140">
        <f>CC190+(CM190-CC190)*(CG1-CC1)/(CM1-CC1)</f>
        <v>200515.54545454547</v>
      </c>
      <c r="CH190" s="140">
        <f>CC190+(CM190-CC190)*(CH1-CC1)/(CM1-CC1)</f>
        <v>200278.48484848486</v>
      </c>
      <c r="CI190" s="140">
        <f>CC190+(CM190-CC190)*(CI1-CC1)/(CM1-CC1)</f>
        <v>200041.42424242428</v>
      </c>
      <c r="CJ190" s="140">
        <f>CC190+(CM190-CC190)*(CJ1-CC1)/(CM1-CC1)</f>
        <v>199804.36363636368</v>
      </c>
      <c r="CK190" s="140">
        <f>CC190+(CM190-CC190)*(CK1-CC1)/(CM1-CC1)</f>
        <v>199567.30303030307</v>
      </c>
      <c r="CL190" s="140">
        <f>CC190+(CM190-CC190)*(CL1-CC1)/(CM1-CC1)</f>
        <v>199330.24242424246</v>
      </c>
      <c r="CM190" s="176">
        <f t="shared" si="62"/>
        <v>199093.18181818185</v>
      </c>
      <c r="CN190" s="140"/>
      <c r="CO190" s="139"/>
      <c r="CP190" s="140"/>
      <c r="CQ190" s="140"/>
      <c r="CR190" s="140"/>
      <c r="CS190" s="140"/>
      <c r="CT190" s="175">
        <f t="shared" si="63"/>
        <v>211082</v>
      </c>
      <c r="CU190" s="140">
        <f>CT190+(DD190-CT190)*(CU1-CT1)/(DD1-CT1)</f>
        <v>209794.3</v>
      </c>
      <c r="CV190" s="140">
        <f>CT190+(DD190-CT190)*(CV1-CT1)/(DD1-CT1)</f>
        <v>208506.6</v>
      </c>
      <c r="CW190" s="140">
        <f>CT190+(DD190-CT190)*(CW1-CT1)/(DD1-CT1)</f>
        <v>207218.9</v>
      </c>
      <c r="CX190" s="140">
        <f>CT190+(DD190-CT190)*(CX1-CT1)/(DD1-CT1)</f>
        <v>205931.2</v>
      </c>
      <c r="CY190" s="140">
        <f>CT190+(DD190-CT190)*(CY1-CT1)/(DD1-CT1)</f>
        <v>204643.5</v>
      </c>
      <c r="CZ190" s="140">
        <f>CT190+(DD190-CT190)*(CZ1-CT1)/(DD1-CT1)</f>
        <v>203355.8</v>
      </c>
      <c r="DA190" s="140">
        <f>CT190+(DD190-CT190)*(DA1-CT1)/(DD1-CT1)</f>
        <v>202068.1</v>
      </c>
      <c r="DB190" s="140">
        <f>CT190+(DD190-CT190)*(DB1-CT1)/(DD1-CT1)</f>
        <v>200780.4</v>
      </c>
      <c r="DC190" s="140">
        <f>CT190+(DD190-CT190)*(DC1-CT1)/(DD1-CT1)</f>
        <v>199492.7</v>
      </c>
      <c r="DD190" s="175">
        <f t="shared" si="64"/>
        <v>198205</v>
      </c>
      <c r="DE190" s="140">
        <f>DD190+(DN190-DD190)*(DE1-DD1)/(DN1-DD1)</f>
        <v>197405</v>
      </c>
      <c r="DF190" s="140">
        <f>DD190+(DN190-DD190)*(DF1-DD1)/(DN1-DD1)</f>
        <v>196605</v>
      </c>
      <c r="DG190" s="140">
        <f>DD190+(DN190-DD190)*(DG1-DD1)/(DN1-DD1)</f>
        <v>195805</v>
      </c>
      <c r="DH190" s="140">
        <f>DD190+(DN190-DD190)*(DH1-DD1)/(DN1-DD1)</f>
        <v>195005</v>
      </c>
      <c r="DI190" s="140">
        <f>DD190+(DN190-DD190)*(DI1-DD1)/(DN1-DD1)</f>
        <v>194205</v>
      </c>
      <c r="DJ190" s="140">
        <f>DD190+(DN190-DD190)*(DJ1-DD1)/(DN1-DD1)</f>
        <v>193405</v>
      </c>
      <c r="DK190" s="140">
        <f>DD190+(DN190-DD190)*(DK1-DD1)/(DN1-DD1)</f>
        <v>192605</v>
      </c>
      <c r="DL190" s="140">
        <f>DD190+(DN190-DD190)*(DL1-DD1)/(DN1-DD1)</f>
        <v>191805</v>
      </c>
      <c r="DM190" s="140">
        <f>DD190+(DN190-DD190)*(DM1-DD1)/(DN1-DD1)</f>
        <v>191005</v>
      </c>
      <c r="DN190" s="175">
        <f t="shared" si="65"/>
        <v>190205</v>
      </c>
      <c r="DO190" s="140">
        <f>DN190+(DX190-DN190)*(DO1-DN1)/(DX1-DN1)</f>
        <v>189405</v>
      </c>
      <c r="DP190" s="140">
        <f>DN190+(DX190-DN190)*(DP1-DN1)/(DX1-DN1)</f>
        <v>188605</v>
      </c>
      <c r="DQ190" s="140">
        <f>DN190+(DX190-DN190)*(DQ1-DN1)/(DX1-DN1)</f>
        <v>187805</v>
      </c>
      <c r="DR190" s="140">
        <f>DN190+(DX190-DN190)*(DR1-DN1)/(DX1-DN1)</f>
        <v>187005</v>
      </c>
      <c r="DS190" s="140">
        <f>DN190+(DX190-DN190)*(DS1-DN1)/(DX1-DN1)</f>
        <v>186205</v>
      </c>
      <c r="DT190" s="140">
        <f>DN190+(DX190-DN190)*(DT1-DN1)/(DX1-DN1)</f>
        <v>185405</v>
      </c>
      <c r="DU190" s="140">
        <f>DN190+(DX190-DN190)*(DU1-DN1)/(DX1-DN1)</f>
        <v>184605</v>
      </c>
      <c r="DV190" s="140">
        <f>DN190+(DX190-DN190)*(DV1-DN1)/(DX1-DN1)</f>
        <v>183805</v>
      </c>
      <c r="DW190" s="140">
        <f>DN190+(DX190-DN190)*(DW1-DN1)/(DX1-DN1)</f>
        <v>183005</v>
      </c>
      <c r="DX190" s="176">
        <f t="shared" si="66"/>
        <v>182205</v>
      </c>
      <c r="DY190" s="140"/>
      <c r="DZ190" s="139"/>
      <c r="EA190" s="140"/>
      <c r="EB190" s="140"/>
      <c r="EC190" s="140"/>
      <c r="ED190" s="140"/>
      <c r="EE190" s="175">
        <f t="shared" si="67"/>
        <v>211082</v>
      </c>
      <c r="EF190" s="140">
        <f>EE190+(EO190-EE190)*(EF1-EE1)/(EO1-EE1)</f>
        <v>209794.3</v>
      </c>
      <c r="EG190" s="140">
        <f>EE190+(EO190-EE190)*(EG1-EE1)/(EO1-EE1)</f>
        <v>208506.6</v>
      </c>
      <c r="EH190" s="140">
        <f>EE190+(EO190-EE190)*(EH1-EE1)/(EO1-EE1)</f>
        <v>207218.9</v>
      </c>
      <c r="EI190" s="140">
        <f>EE190+(EO190-EE190)*(EI1-EE1)/(EO1-EE1)</f>
        <v>205931.2</v>
      </c>
      <c r="EJ190" s="140">
        <f>EE190+(EO190-EE190)*(EJ1-EE1)/(EO1-EE1)</f>
        <v>204643.5</v>
      </c>
      <c r="EK190" s="140">
        <f>EE190+(EO190-EE190)*(EK1-EE1)/(EO1-EE1)</f>
        <v>203355.8</v>
      </c>
      <c r="EL190" s="140">
        <f>EE190+(EO190-EE190)*(EL1-EE1)/(EO1-EE1)</f>
        <v>202068.1</v>
      </c>
      <c r="EM190" s="140">
        <f>EE190+(EO190-EE190)*(EM1-EE1)/(EO1-EE1)</f>
        <v>200780.4</v>
      </c>
      <c r="EN190" s="140">
        <f>EE190+(EO190-EE190)*(EN1-EE1)/(EO1-EE1)</f>
        <v>199492.7</v>
      </c>
      <c r="EO190" s="175">
        <f t="shared" si="68"/>
        <v>198205</v>
      </c>
      <c r="EP190" s="140">
        <f>EO190+(EY190-EO190)*(EP1-EO1)/(EY1-EO1)</f>
        <v>197405</v>
      </c>
      <c r="EQ190" s="140">
        <f>EO190+(EY190-EO190)*(EQ1-EO1)/(EY1-EO1)</f>
        <v>196605</v>
      </c>
      <c r="ER190" s="140">
        <f>EO190+(EY190-EO190)*(ER1-EO1)/(EY1-EO1)</f>
        <v>195805</v>
      </c>
      <c r="ES190" s="140">
        <f>EO190+(EY190-EO190)*(ES1-EO1)/(EY1-EO1)</f>
        <v>195005</v>
      </c>
      <c r="ET190" s="140">
        <f>EO190+(EY190-EO190)*(ET1-EO1)/(EY1-EO1)</f>
        <v>194205</v>
      </c>
      <c r="EU190" s="140">
        <f>EO190+(EY190-EO190)*(EU1-EO1)/(EY1-EO1)</f>
        <v>193405</v>
      </c>
      <c r="EV190" s="140">
        <f>EO190+(EY190-EO190)*(EV1-EO1)/(EY1-EO1)</f>
        <v>192605</v>
      </c>
      <c r="EW190" s="140">
        <f>EO190+(EY190-EO190)*(EW1-EO1)/(EY1-EO1)</f>
        <v>191805</v>
      </c>
      <c r="EX190" s="140">
        <f>EO190+(EY190-EO190)*(EX1-EO1)/(EY1-EO1)</f>
        <v>191005</v>
      </c>
      <c r="EY190" s="175">
        <f t="shared" si="69"/>
        <v>190205</v>
      </c>
      <c r="EZ190" s="140">
        <f>EY190+(FI190-EY190)*(EZ1-EY1)/(FI1-EY1)</f>
        <v>189405</v>
      </c>
      <c r="FA190" s="140">
        <f>EY190+(FI190-EY190)*(FA1-EY1)/(FI1-EY1)</f>
        <v>188605</v>
      </c>
      <c r="FB190" s="140">
        <f>EY190+(FI190-EY190)*(FB1-EY1)/(FI1-EY1)</f>
        <v>187805</v>
      </c>
      <c r="FC190" s="140">
        <f>EY190+(FI190-EY190)*(FC1-EY1)/(FI1-EY1)</f>
        <v>187005</v>
      </c>
      <c r="FD190" s="140">
        <f>EY190+(FI190-EY190)*(FD1-EY1)/(FI1-EY1)</f>
        <v>186205</v>
      </c>
      <c r="FE190" s="140">
        <f>EY190+(FI190-EY190)*(FE1-EY1)/(FI1-EY1)</f>
        <v>185405</v>
      </c>
      <c r="FF190" s="140">
        <f>EY190+(FI190-EY190)*(FF1-EY1)/(FI1-EY1)</f>
        <v>184605</v>
      </c>
      <c r="FG190" s="140">
        <f>EY190+(FI190-EY190)*(FG1-EY1)/(FI1-EY1)</f>
        <v>183805</v>
      </c>
      <c r="FH190" s="140">
        <f>EY190+(FI190-EY190)*(FH1-EY1)/(FI1-EY1)</f>
        <v>183005</v>
      </c>
      <c r="FI190" s="176">
        <f t="shared" si="70"/>
        <v>182205</v>
      </c>
      <c r="FJ190" s="140"/>
      <c r="FK190" s="139"/>
      <c r="FL190" s="140"/>
      <c r="FM190" s="140"/>
      <c r="FN190" s="140"/>
      <c r="FO190" s="140"/>
      <c r="FP190" s="175">
        <f t="shared" si="71"/>
        <v>211082</v>
      </c>
      <c r="FQ190" s="140">
        <f>FP190+(FZ190-FP190)*(FQ1-FP1)/(FZ1-FP1)</f>
        <v>210357.23939393938</v>
      </c>
      <c r="FR190" s="140">
        <f>FP190+(FZ190-FP190)*(FR1-FP1)/(FZ1-FP1)</f>
        <v>209632.47878787879</v>
      </c>
      <c r="FS190" s="140">
        <f>FP190+(FZ190-FP190)*(FS1-FP1)/(FZ1-FP1)</f>
        <v>208907.7181818182</v>
      </c>
      <c r="FT190" s="140">
        <f>FP190+(FZ190-FP190)*(FT1-FP1)/(FZ1-FP1)</f>
        <v>208182.95757575758</v>
      </c>
      <c r="FU190" s="140">
        <f>FP190+(FZ190-FP190)*(FU1-FP1)/(FZ1-FP1)</f>
        <v>207458.19696969696</v>
      </c>
      <c r="FV190" s="140">
        <f>FP190+(FZ190-FP190)*(FV1-FP1)/(FZ1-FP1)</f>
        <v>206733.43636363637</v>
      </c>
      <c r="FW190" s="140">
        <f>FP190+(FZ190-FP190)*(FW1-FP1)/(FZ1-FP1)</f>
        <v>206008.67575757578</v>
      </c>
      <c r="FX190" s="140">
        <f>FP190+(FZ190-FP190)*(FX1-FP1)/(FZ1-FP1)</f>
        <v>205283.91515151516</v>
      </c>
      <c r="FY190" s="140">
        <f>FP190+(FZ190-FP190)*(FY1-FP1)/(FZ1-FP1)</f>
        <v>204559.15454545454</v>
      </c>
      <c r="FZ190" s="175">
        <f t="shared" si="72"/>
        <v>203834.39393939395</v>
      </c>
      <c r="GA190" s="140">
        <f>FZ190+(GJ190-FZ190)*(GA1-FZ1)/(GJ1-FZ1)</f>
        <v>203597.33333333334</v>
      </c>
      <c r="GB190" s="140">
        <f>FZ190+(GJ190-FZ190)*(GB1-FZ1)/(GJ1-FZ1)</f>
        <v>203360.27272727274</v>
      </c>
      <c r="GC190" s="140">
        <f>FZ190+(GJ190-FZ190)*(GC1-FZ1)/(GJ1-FZ1)</f>
        <v>203123.21212121213</v>
      </c>
      <c r="GD190" s="140">
        <f>FZ190+(GJ190-FZ190)*(GD1-FZ1)/(GJ1-FZ1)</f>
        <v>202886.15151515152</v>
      </c>
      <c r="GE190" s="140">
        <f>FZ190+(GJ190-FZ190)*(GE1-FZ1)/(GJ1-FZ1)</f>
        <v>202649.09090909094</v>
      </c>
      <c r="GF190" s="140">
        <f>FZ190+(GJ190-FZ190)*(GF1-FZ1)/(GJ1-FZ1)</f>
        <v>202412.03030303033</v>
      </c>
      <c r="GG190" s="140">
        <f>FZ190+(GJ190-FZ190)*(GG1-FZ1)/(GJ1-FZ1)</f>
        <v>202174.96969696973</v>
      </c>
      <c r="GH190" s="140">
        <f>FZ190+(GJ190-FZ190)*(GH1-FZ1)/(GJ1-FZ1)</f>
        <v>201937.90909090912</v>
      </c>
      <c r="GI190" s="140">
        <f>FZ190+(GJ190-FZ190)*(GI1-FZ1)/(GJ1-FZ1)</f>
        <v>201700.84848484851</v>
      </c>
      <c r="GJ190" s="175">
        <f t="shared" si="73"/>
        <v>201463.7878787879</v>
      </c>
      <c r="GK190" s="140">
        <f>GJ190+(GT190-GJ190)*(GK1-GJ1)/(GT1-GJ1)</f>
        <v>201226.72727272729</v>
      </c>
      <c r="GL190" s="140">
        <f>GJ190+(GT190-GJ190)*(GL1-GJ1)/(GT1-GJ1)</f>
        <v>200989.66666666669</v>
      </c>
      <c r="GM190" s="140">
        <f>GJ190+(GT190-GJ190)*(GM1-GJ1)/(GT1-GJ1)</f>
        <v>200752.60606060608</v>
      </c>
      <c r="GN190" s="140">
        <f>GJ190+(GT190-GJ190)*(GN1-GJ1)/(GT1-GJ1)</f>
        <v>200515.54545454547</v>
      </c>
      <c r="GO190" s="140">
        <f>GJ190+(GT190-GJ190)*(GO1-GJ1)/(GT1-GJ1)</f>
        <v>200278.48484848486</v>
      </c>
      <c r="GP190" s="140">
        <f>GJ190+(GT190-GJ190)*(GP1-GJ1)/(GT1-GJ1)</f>
        <v>200041.42424242428</v>
      </c>
      <c r="GQ190" s="140">
        <f>GJ190+(GT190-GJ190)*(GQ1-GJ1)/(GT1-GJ1)</f>
        <v>199804.36363636368</v>
      </c>
      <c r="GR190" s="140">
        <f>GJ190+(GT190-GJ190)*(GR1-GJ1)/(GT1-GJ1)</f>
        <v>199567.30303030307</v>
      </c>
      <c r="GS190" s="140">
        <f>GJ190+(GT190-GJ190)*(GS1-GJ1)/(GT1-GJ1)</f>
        <v>199330.24242424246</v>
      </c>
      <c r="GT190" s="176">
        <f t="shared" si="74"/>
        <v>199093.18181818185</v>
      </c>
      <c r="GU190" s="140"/>
      <c r="GV190" s="139"/>
      <c r="GW190" s="140"/>
      <c r="GX190" s="140"/>
      <c r="GY190" s="140"/>
      <c r="GZ190" s="140"/>
      <c r="HA190" s="175">
        <f t="shared" si="75"/>
        <v>211082</v>
      </c>
      <c r="HB190" s="140">
        <f>HA190+(HK190-HA190)*(HB1-HA1)/(HK1-HA1)</f>
        <v>210357.23939393938</v>
      </c>
      <c r="HC190" s="140">
        <f>HA190+(HK190-HA190)*(HC1-HA1)/(HK1-HA1)</f>
        <v>209632.47878787879</v>
      </c>
      <c r="HD190" s="140">
        <f>HA190+(HK190-HA190)*(HD1-HA1)/(HK1-HA1)</f>
        <v>208907.7181818182</v>
      </c>
      <c r="HE190" s="140">
        <f>HA190+(HK190-HA190)*(HE1-HA1)/(HK1-HA1)</f>
        <v>208182.95757575758</v>
      </c>
      <c r="HF190" s="140">
        <f>HA190+(HK190-HA190)*(HF1-HA1)/(HK1-HA1)</f>
        <v>207458.19696969696</v>
      </c>
      <c r="HG190" s="140">
        <f>HA190+(HK190-HA190)*(HG1-HA1)/(HK1-HA1)</f>
        <v>206733.43636363637</v>
      </c>
      <c r="HH190" s="140">
        <f>HA190+(HK190-HA190)*(HH1-HA1)/(HK1-HA1)</f>
        <v>206008.67575757578</v>
      </c>
      <c r="HI190" s="140">
        <f>HA190+(HK190-HA190)*(HI1-HA1)/(HK1-HA1)</f>
        <v>205283.91515151516</v>
      </c>
      <c r="HJ190" s="140">
        <f>HA190+(HK190-HA190)*(HJ1-HA1)/(HK1-HA1)</f>
        <v>204559.15454545454</v>
      </c>
      <c r="HK190" s="175">
        <f t="shared" si="76"/>
        <v>203834.39393939395</v>
      </c>
      <c r="HL190" s="140">
        <f>HK190+(HU190-HK190)*(HL1-HK1)/(HU1-HK1)</f>
        <v>203597.33333333334</v>
      </c>
      <c r="HM190" s="140">
        <f>HK190+(HU190-HK190)*(HM1-HK1)/(HU1-HK1)</f>
        <v>203360.27272727274</v>
      </c>
      <c r="HN190" s="140">
        <f>HK190+(HU190-HK190)*(HN1-HK1)/(HU1-HK1)</f>
        <v>203123.21212121213</v>
      </c>
      <c r="HO190" s="140">
        <f>HK190+(HU190-HK190)*(HO1-HK1)/(HU1-HK1)</f>
        <v>202886.15151515152</v>
      </c>
      <c r="HP190" s="140">
        <f>HK190+(HU190-HK190)*(HP1-HK1)/(HU1-HK1)</f>
        <v>202649.09090909094</v>
      </c>
      <c r="HQ190" s="140">
        <f>HK190+(HU190-HK190)*(HQ1-HK1)/(HU1-HK1)</f>
        <v>202412.03030303033</v>
      </c>
      <c r="HR190" s="140">
        <f>HK190+(HU190-HK190)*(HR1-HK1)/(HU1-HK1)</f>
        <v>202174.96969696973</v>
      </c>
      <c r="HS190" s="140">
        <f>HK190+(HU190-HK190)*(HS1-HK1)/(HU1-HK1)</f>
        <v>201937.90909090912</v>
      </c>
      <c r="HT190" s="140">
        <f>HK190+(HU190-HK190)*(HT1-HK1)/(HU1-HK1)</f>
        <v>201700.84848484851</v>
      </c>
      <c r="HU190" s="175">
        <f t="shared" si="77"/>
        <v>201463.7878787879</v>
      </c>
      <c r="HV190" s="140">
        <f>HU190+(IE190-HU190)*(HV1-HU1)/(IE1-HU1)</f>
        <v>201226.72727272729</v>
      </c>
      <c r="HW190" s="140">
        <f>HU190+(IE190-HU190)*(HW1-HU1)/(IE1-HU1)</f>
        <v>200989.66666666669</v>
      </c>
      <c r="HX190" s="140">
        <f>HU190+(IE190-HU190)*(HX1-HU1)/(IE1-HU1)</f>
        <v>200752.60606060608</v>
      </c>
      <c r="HY190" s="140">
        <f>HU190+(IE190-HU190)*(HY1-HU1)/(IE1-HU1)</f>
        <v>200515.54545454547</v>
      </c>
      <c r="HZ190" s="140">
        <f>HU190+(IE190-HU190)*(HZ1-HU1)/(IE1-HU1)</f>
        <v>200278.48484848486</v>
      </c>
      <c r="IA190" s="140">
        <f>HU190+(IE190-HU190)*(IA1-HU1)/(IE1-HU1)</f>
        <v>200041.42424242428</v>
      </c>
      <c r="IB190" s="140">
        <f>HU190+(IE190-HU190)*(IB1-HU1)/(IE1-HU1)</f>
        <v>199804.36363636368</v>
      </c>
      <c r="IC190" s="140">
        <f>HU190+(IE190-HU190)*(IC1-HU1)/(IE1-HU1)</f>
        <v>199567.30303030307</v>
      </c>
      <c r="ID190" s="140">
        <f>HU190+(IE190-HU190)*(ID1-HU1)/(IE1-HU1)</f>
        <v>199330.24242424246</v>
      </c>
      <c r="IE190" s="176">
        <f t="shared" si="78"/>
        <v>199093.18181818185</v>
      </c>
      <c r="IF190" s="140"/>
      <c r="IG190" s="139"/>
      <c r="IH190" s="140"/>
      <c r="II190" s="140"/>
      <c r="IJ190" s="140"/>
      <c r="IK190" s="140"/>
      <c r="IL190" s="175">
        <v>196121.59098000301</v>
      </c>
      <c r="IM190" s="140">
        <f t="shared" si="79"/>
        <v>195230.35447932497</v>
      </c>
      <c r="IN190" s="140">
        <f t="shared" si="79"/>
        <v>194339.11797864697</v>
      </c>
      <c r="IO190" s="140">
        <f t="shared" si="79"/>
        <v>193447.88147796894</v>
      </c>
      <c r="IP190" s="140">
        <f t="shared" si="79"/>
        <v>192556.64497729094</v>
      </c>
      <c r="IQ190" s="140">
        <f t="shared" si="79"/>
        <v>191665.40847661291</v>
      </c>
      <c r="IR190" s="140">
        <f t="shared" si="79"/>
        <v>190774.17197593488</v>
      </c>
      <c r="IS190" s="140">
        <f t="shared" si="79"/>
        <v>189882.93547525688</v>
      </c>
      <c r="IT190" s="140">
        <f t="shared" si="79"/>
        <v>188991.69897457885</v>
      </c>
      <c r="IU190" s="140">
        <f t="shared" si="79"/>
        <v>188100.46247390084</v>
      </c>
      <c r="IV190" s="175">
        <v>187209.22597322281</v>
      </c>
      <c r="IW190" s="140">
        <f t="shared" si="80"/>
        <v>186441.79418266559</v>
      </c>
      <c r="IX190" s="140">
        <f t="shared" si="80"/>
        <v>185674.36239210833</v>
      </c>
      <c r="IY190" s="140">
        <f t="shared" si="80"/>
        <v>184906.93060155108</v>
      </c>
      <c r="IZ190" s="140">
        <f t="shared" si="80"/>
        <v>184139.49881099386</v>
      </c>
      <c r="JA190" s="140">
        <f t="shared" si="80"/>
        <v>183372.06702043663</v>
      </c>
      <c r="JB190" s="140">
        <f t="shared" si="80"/>
        <v>182604.63522987938</v>
      </c>
      <c r="JC190" s="140">
        <f t="shared" si="80"/>
        <v>181837.20343932213</v>
      </c>
      <c r="JD190" s="140">
        <f t="shared" si="80"/>
        <v>181069.7716487649</v>
      </c>
      <c r="JE190" s="140">
        <f t="shared" si="80"/>
        <v>180302.33985820768</v>
      </c>
      <c r="JF190" s="175">
        <v>179534.90806765042</v>
      </c>
      <c r="JG190" s="140">
        <f t="shared" si="81"/>
        <v>178798.93581388131</v>
      </c>
      <c r="JH190" s="140">
        <f t="shared" si="81"/>
        <v>178062.96356011217</v>
      </c>
      <c r="JI190" s="140">
        <f t="shared" si="81"/>
        <v>177326.99130634306</v>
      </c>
      <c r="JJ190" s="140">
        <f t="shared" si="81"/>
        <v>176591.01905257392</v>
      </c>
      <c r="JK190" s="140">
        <f t="shared" si="81"/>
        <v>175855.0467988048</v>
      </c>
      <c r="JL190" s="140">
        <f t="shared" si="81"/>
        <v>175119.07454503569</v>
      </c>
      <c r="JM190" s="140">
        <f t="shared" si="81"/>
        <v>174383.10229126655</v>
      </c>
      <c r="JN190" s="140">
        <f t="shared" si="81"/>
        <v>173647.13003749744</v>
      </c>
      <c r="JO190" s="140">
        <f t="shared" si="81"/>
        <v>172911.1577837283</v>
      </c>
      <c r="JP190" s="176">
        <v>172175.18552995918</v>
      </c>
      <c r="JQ190" s="140"/>
      <c r="JR190" s="139"/>
      <c r="JS190" s="140"/>
      <c r="JT190" s="140"/>
      <c r="JU190" s="140"/>
      <c r="JV190" s="140"/>
      <c r="JW190" s="175">
        <v>196121.59098000301</v>
      </c>
      <c r="JX190" s="140">
        <f t="shared" si="82"/>
        <v>195230.35447932497</v>
      </c>
      <c r="JY190" s="140">
        <f t="shared" si="82"/>
        <v>194339.11797864697</v>
      </c>
      <c r="JZ190" s="140">
        <f t="shared" si="82"/>
        <v>193447.88147796894</v>
      </c>
      <c r="KA190" s="140">
        <f t="shared" si="82"/>
        <v>192556.64497729094</v>
      </c>
      <c r="KB190" s="140">
        <f t="shared" si="82"/>
        <v>191665.40847661291</v>
      </c>
      <c r="KC190" s="140">
        <f t="shared" si="82"/>
        <v>190774.17197593488</v>
      </c>
      <c r="KD190" s="140">
        <f t="shared" si="82"/>
        <v>189882.93547525688</v>
      </c>
      <c r="KE190" s="140">
        <f t="shared" si="82"/>
        <v>188991.69897457885</v>
      </c>
      <c r="KF190" s="140">
        <f t="shared" si="82"/>
        <v>188100.46247390084</v>
      </c>
      <c r="KG190" s="175">
        <v>187209.22597322281</v>
      </c>
      <c r="KH190" s="140">
        <f t="shared" si="83"/>
        <v>186441.79418266559</v>
      </c>
      <c r="KI190" s="140">
        <f t="shared" si="83"/>
        <v>185674.36239210833</v>
      </c>
      <c r="KJ190" s="140">
        <f t="shared" si="83"/>
        <v>184906.93060155108</v>
      </c>
      <c r="KK190" s="140">
        <f t="shared" si="83"/>
        <v>184139.49881099386</v>
      </c>
      <c r="KL190" s="140">
        <f t="shared" si="83"/>
        <v>183372.06702043663</v>
      </c>
      <c r="KM190" s="140">
        <f t="shared" si="83"/>
        <v>182604.63522987938</v>
      </c>
      <c r="KN190" s="140">
        <f t="shared" si="83"/>
        <v>181837.20343932213</v>
      </c>
      <c r="KO190" s="140">
        <f t="shared" si="83"/>
        <v>181069.7716487649</v>
      </c>
      <c r="KP190" s="140">
        <f t="shared" si="83"/>
        <v>180302.33985820768</v>
      </c>
      <c r="KQ190" s="175">
        <v>179534.90806765042</v>
      </c>
      <c r="KR190" s="140">
        <f t="shared" si="84"/>
        <v>178798.93581388131</v>
      </c>
      <c r="KS190" s="140">
        <f t="shared" si="84"/>
        <v>178062.96356011217</v>
      </c>
      <c r="KT190" s="140">
        <f t="shared" si="84"/>
        <v>177326.99130634306</v>
      </c>
      <c r="KU190" s="140">
        <f t="shared" si="84"/>
        <v>176591.01905257392</v>
      </c>
      <c r="KV190" s="140">
        <f t="shared" si="84"/>
        <v>175855.0467988048</v>
      </c>
      <c r="KW190" s="140">
        <f t="shared" si="84"/>
        <v>175119.07454503569</v>
      </c>
      <c r="KX190" s="140">
        <f t="shared" si="84"/>
        <v>174383.10229126655</v>
      </c>
      <c r="KY190" s="140">
        <f t="shared" si="84"/>
        <v>173647.13003749744</v>
      </c>
      <c r="KZ190" s="140">
        <f t="shared" si="84"/>
        <v>172911.1577837283</v>
      </c>
      <c r="LA190" s="176">
        <v>172175.18552995918</v>
      </c>
      <c r="LB190" s="140"/>
      <c r="LC190" s="139"/>
      <c r="LD190" s="140"/>
      <c r="LE190" s="140"/>
      <c r="LF190" s="140"/>
      <c r="LG190" s="140"/>
      <c r="LH190" s="175">
        <v>196121.59098000301</v>
      </c>
      <c r="LI190" s="140">
        <f t="shared" si="85"/>
        <v>195230.35447932497</v>
      </c>
      <c r="LJ190" s="140">
        <f t="shared" si="85"/>
        <v>194339.11797864697</v>
      </c>
      <c r="LK190" s="140">
        <f t="shared" si="85"/>
        <v>193447.88147796894</v>
      </c>
      <c r="LL190" s="140">
        <f t="shared" si="85"/>
        <v>192556.64497729094</v>
      </c>
      <c r="LM190" s="140">
        <f t="shared" si="85"/>
        <v>191665.40847661291</v>
      </c>
      <c r="LN190" s="140">
        <f t="shared" si="85"/>
        <v>190774.17197593488</v>
      </c>
      <c r="LO190" s="140">
        <f t="shared" si="85"/>
        <v>189882.93547525688</v>
      </c>
      <c r="LP190" s="140">
        <f t="shared" si="85"/>
        <v>188991.69897457885</v>
      </c>
      <c r="LQ190" s="140">
        <f t="shared" si="85"/>
        <v>188100.46247390084</v>
      </c>
      <c r="LR190" s="175">
        <v>187209.22597322281</v>
      </c>
      <c r="LS190" s="140">
        <f t="shared" si="86"/>
        <v>186441.79418266559</v>
      </c>
      <c r="LT190" s="140">
        <f t="shared" si="86"/>
        <v>185674.36239210833</v>
      </c>
      <c r="LU190" s="140">
        <f t="shared" si="86"/>
        <v>184906.93060155108</v>
      </c>
      <c r="LV190" s="140">
        <f t="shared" si="86"/>
        <v>184139.49881099386</v>
      </c>
      <c r="LW190" s="140">
        <f t="shared" si="86"/>
        <v>183372.06702043663</v>
      </c>
      <c r="LX190" s="140">
        <f t="shared" si="86"/>
        <v>182604.63522987938</v>
      </c>
      <c r="LY190" s="140">
        <f t="shared" si="86"/>
        <v>181837.20343932213</v>
      </c>
      <c r="LZ190" s="140">
        <f t="shared" si="86"/>
        <v>181069.7716487649</v>
      </c>
      <c r="MA190" s="140">
        <f t="shared" si="86"/>
        <v>180302.33985820768</v>
      </c>
      <c r="MB190" s="175">
        <v>179534.90806765042</v>
      </c>
      <c r="MC190" s="140">
        <f t="shared" si="87"/>
        <v>178798.93581388131</v>
      </c>
      <c r="MD190" s="140">
        <f t="shared" si="87"/>
        <v>178062.96356011217</v>
      </c>
      <c r="ME190" s="140">
        <f t="shared" si="87"/>
        <v>177326.99130634306</v>
      </c>
      <c r="MF190" s="140">
        <f t="shared" si="87"/>
        <v>176591.01905257392</v>
      </c>
      <c r="MG190" s="140">
        <f t="shared" si="87"/>
        <v>175855.0467988048</v>
      </c>
      <c r="MH190" s="140">
        <f t="shared" si="87"/>
        <v>175119.07454503569</v>
      </c>
      <c r="MI190" s="140">
        <f t="shared" si="87"/>
        <v>174383.10229126655</v>
      </c>
      <c r="MJ190" s="140">
        <f t="shared" si="87"/>
        <v>173647.13003749744</v>
      </c>
      <c r="MK190" s="140">
        <f t="shared" si="87"/>
        <v>172911.1577837283</v>
      </c>
      <c r="ML190" s="176">
        <v>172175.18552995918</v>
      </c>
    </row>
    <row r="191" spans="3:350" s="4" customFormat="1" ht="18" customHeight="1" x14ac:dyDescent="0.3">
      <c r="C191" s="136" t="s">
        <v>79</v>
      </c>
      <c r="E191" s="137" t="s">
        <v>105</v>
      </c>
      <c r="F191" s="147" t="s">
        <v>105</v>
      </c>
      <c r="H191" s="174">
        <v>186911</v>
      </c>
      <c r="I191" s="175">
        <v>187698.8</v>
      </c>
      <c r="J191" s="175">
        <v>188486.6</v>
      </c>
      <c r="K191" s="175">
        <v>189274.4</v>
      </c>
      <c r="L191" s="175">
        <v>190062.2</v>
      </c>
      <c r="M191" s="175">
        <v>190850</v>
      </c>
      <c r="N191" s="175"/>
      <c r="O191" s="175"/>
      <c r="P191" s="175"/>
      <c r="Q191" s="176"/>
      <c r="R191" s="140"/>
      <c r="S191" s="139"/>
      <c r="T191" s="140"/>
      <c r="U191" s="140"/>
      <c r="V191" s="140"/>
      <c r="W191" s="140"/>
      <c r="X191" s="140"/>
      <c r="Y191" s="140"/>
      <c r="Z191" s="140"/>
      <c r="AA191" s="140"/>
      <c r="AB191" s="140"/>
      <c r="AC191" s="140"/>
      <c r="AD191" s="140"/>
      <c r="AE191" s="140"/>
      <c r="AF191" s="140"/>
      <c r="AG191" s="140"/>
      <c r="AH191" s="140"/>
      <c r="AI191" s="140"/>
      <c r="AJ191" s="140"/>
      <c r="AK191" s="140"/>
      <c r="AL191" s="140"/>
      <c r="AM191" s="140"/>
      <c r="AN191" s="140"/>
      <c r="AO191" s="140"/>
      <c r="AP191" s="140"/>
      <c r="AQ191" s="140"/>
      <c r="AR191" s="140"/>
      <c r="AS191" s="140"/>
      <c r="AT191" s="140"/>
      <c r="AU191" s="140"/>
      <c r="AV191" s="140"/>
      <c r="AW191" s="140"/>
      <c r="AX191" s="140"/>
      <c r="AY191" s="140"/>
      <c r="AZ191" s="140"/>
      <c r="BA191" s="140"/>
      <c r="BB191" s="141"/>
      <c r="BC191" s="140"/>
      <c r="BD191" s="139"/>
      <c r="BE191" s="140"/>
      <c r="BF191" s="140"/>
      <c r="BG191" s="140"/>
      <c r="BH191" s="140"/>
      <c r="BI191" s="175">
        <f t="shared" si="59"/>
        <v>187797</v>
      </c>
      <c r="BJ191" s="140">
        <f>BI191+(BS191-BI191)*(BJ1-BI1)/(BS1-BI1)</f>
        <v>187692.82121212123</v>
      </c>
      <c r="BK191" s="140">
        <f>BI191+(BS191-BI191)*(BK1-BI1)/(BS1-BI1)</f>
        <v>187588.64242424243</v>
      </c>
      <c r="BL191" s="140">
        <f>BI191+(BS191-BI191)*(BL1-BI1)/(BS1-BI1)</f>
        <v>187484.46363636362</v>
      </c>
      <c r="BM191" s="140">
        <f>BI191+(BS191-BI191)*(BM1-BI1)/(BS1-BI1)</f>
        <v>187380.28484848485</v>
      </c>
      <c r="BN191" s="140">
        <f>BI191+(BS191-BI191)*(BN1-BI1)/(BS1-BI1)</f>
        <v>187276.10606060608</v>
      </c>
      <c r="BO191" s="140">
        <f>BI191+(BS191-BI191)*(BO1-BI1)/(BS1-BI1)</f>
        <v>187171.92727272728</v>
      </c>
      <c r="BP191" s="140">
        <f>BI191+(BS191-BI191)*(BP1-BI1)/(BS1-BI1)</f>
        <v>187067.74848484847</v>
      </c>
      <c r="BQ191" s="140">
        <f>BI191+(BS191-BI191)*(BQ1-BI1)/(BS1-BI1)</f>
        <v>186963.5696969697</v>
      </c>
      <c r="BR191" s="140">
        <f>BI191+(BS191-BI191)*(BR1-BI1)/(BS1-BI1)</f>
        <v>186859.39090909093</v>
      </c>
      <c r="BS191" s="175">
        <f t="shared" si="60"/>
        <v>186755.21212121213</v>
      </c>
      <c r="BT191" s="140">
        <f>BS191+(CC191-BS191)*(BT1-BS1)/(CC1-BS1)</f>
        <v>186956.33333333334</v>
      </c>
      <c r="BU191" s="140">
        <f>BS191+(CC191-BS191)*(BU1-BS1)/(CC1-BS1)</f>
        <v>187157.45454545456</v>
      </c>
      <c r="BV191" s="140">
        <f>BS191+(CC191-BS191)*(BV1-BS1)/(CC1-BS1)</f>
        <v>187358.57575757577</v>
      </c>
      <c r="BW191" s="140">
        <f>BS191+(CC191-BS191)*(BW1-BS1)/(CC1-BS1)</f>
        <v>187559.69696969699</v>
      </c>
      <c r="BX191" s="140">
        <f>BS191+(CC191-BS191)*(BX1-BS1)/(CC1-BS1)</f>
        <v>187760.81818181818</v>
      </c>
      <c r="BY191" s="140">
        <f>BS191+(CC191-BS191)*(BY1-BS1)/(CC1-BS1)</f>
        <v>187961.93939393939</v>
      </c>
      <c r="BZ191" s="140">
        <f>BS191+(CC191-BS191)*(BZ1-BS1)/(CC1-BS1)</f>
        <v>188163.06060606061</v>
      </c>
      <c r="CA191" s="140">
        <f>BS191+(CC191-BS191)*(CA1-BS1)/(CC1-BS1)</f>
        <v>188364.18181818182</v>
      </c>
      <c r="CB191" s="140">
        <f>BS191+(CC191-BS191)*(CB1-BS1)/(CC1-BS1)</f>
        <v>188565.30303030304</v>
      </c>
      <c r="CC191" s="175">
        <f t="shared" si="61"/>
        <v>188766.42424242425</v>
      </c>
      <c r="CD191" s="140">
        <f>CC191+(CM191-CC191)*(CD1-CC1)/(CM1-CC1)</f>
        <v>188967.54545454547</v>
      </c>
      <c r="CE191" s="140">
        <f>CC191+(CM191-CC191)*(CE1-CC1)/(CM1-CC1)</f>
        <v>189168.66666666669</v>
      </c>
      <c r="CF191" s="140">
        <f>CC191+(CM191-CC191)*(CF1-CC1)/(CM1-CC1)</f>
        <v>189369.7878787879</v>
      </c>
      <c r="CG191" s="140">
        <f>CC191+(CM191-CC191)*(CG1-CC1)/(CM1-CC1)</f>
        <v>189570.90909090912</v>
      </c>
      <c r="CH191" s="140">
        <f>CC191+(CM191-CC191)*(CH1-CC1)/(CM1-CC1)</f>
        <v>189772.03030303033</v>
      </c>
      <c r="CI191" s="140">
        <f>CC191+(CM191-CC191)*(CI1-CC1)/(CM1-CC1)</f>
        <v>189973.15151515152</v>
      </c>
      <c r="CJ191" s="140">
        <f>CC191+(CM191-CC191)*(CJ1-CC1)/(CM1-CC1)</f>
        <v>190174.27272727274</v>
      </c>
      <c r="CK191" s="140">
        <f>CC191+(CM191-CC191)*(CK1-CC1)/(CM1-CC1)</f>
        <v>190375.39393939395</v>
      </c>
      <c r="CL191" s="140">
        <f>CC191+(CM191-CC191)*(CL1-CC1)/(CM1-CC1)</f>
        <v>190576.51515151517</v>
      </c>
      <c r="CM191" s="176">
        <f t="shared" si="62"/>
        <v>190777.63636363638</v>
      </c>
      <c r="CN191" s="140"/>
      <c r="CO191" s="139"/>
      <c r="CP191" s="140"/>
      <c r="CQ191" s="140"/>
      <c r="CR191" s="140"/>
      <c r="CS191" s="140"/>
      <c r="CT191" s="175">
        <f t="shared" si="63"/>
        <v>187797</v>
      </c>
      <c r="CU191" s="140">
        <f>CT191+(DD191-CT191)*(CU1-CT1)/(DD1-CT1)</f>
        <v>184491.7</v>
      </c>
      <c r="CV191" s="140">
        <f>CT191+(DD191-CT191)*(CV1-CT1)/(DD1-CT1)</f>
        <v>181186.4</v>
      </c>
      <c r="CW191" s="140">
        <f>CT191+(DD191-CT191)*(CW1-CT1)/(DD1-CT1)</f>
        <v>177881.1</v>
      </c>
      <c r="CX191" s="140">
        <f>CT191+(DD191-CT191)*(CX1-CT1)/(DD1-CT1)</f>
        <v>174575.8</v>
      </c>
      <c r="CY191" s="140">
        <f>CT191+(DD191-CT191)*(CY1-CT1)/(DD1-CT1)</f>
        <v>171270.5</v>
      </c>
      <c r="CZ191" s="140">
        <f>CT191+(DD191-CT191)*(CZ1-CT1)/(DD1-CT1)</f>
        <v>167965.2</v>
      </c>
      <c r="DA191" s="140">
        <f>CT191+(DD191-CT191)*(DA1-CT1)/(DD1-CT1)</f>
        <v>164659.9</v>
      </c>
      <c r="DB191" s="140">
        <f>CT191+(DD191-CT191)*(DB1-CT1)/(DD1-CT1)</f>
        <v>161354.6</v>
      </c>
      <c r="DC191" s="140">
        <f>CT191+(DD191-CT191)*(DC1-CT1)/(DD1-CT1)</f>
        <v>158049.29999999999</v>
      </c>
      <c r="DD191" s="175">
        <f t="shared" si="64"/>
        <v>154744</v>
      </c>
      <c r="DE191" s="140">
        <f>DD191+(DN191-DD191)*(DE1-DD1)/(DN1-DD1)</f>
        <v>151744</v>
      </c>
      <c r="DF191" s="140">
        <f>DD191+(DN191-DD191)*(DF1-DD1)/(DN1-DD1)</f>
        <v>148744</v>
      </c>
      <c r="DG191" s="140">
        <f>DD191+(DN191-DD191)*(DG1-DD1)/(DN1-DD1)</f>
        <v>145744</v>
      </c>
      <c r="DH191" s="140">
        <f>DD191+(DN191-DD191)*(DH1-DD1)/(DN1-DD1)</f>
        <v>142744</v>
      </c>
      <c r="DI191" s="140">
        <f>DD191+(DN191-DD191)*(DI1-DD1)/(DN1-DD1)</f>
        <v>139744</v>
      </c>
      <c r="DJ191" s="140">
        <f>DD191+(DN191-DD191)*(DJ1-DD1)/(DN1-DD1)</f>
        <v>136744</v>
      </c>
      <c r="DK191" s="140">
        <f>DD191+(DN191-DD191)*(DK1-DD1)/(DN1-DD1)</f>
        <v>133744</v>
      </c>
      <c r="DL191" s="140">
        <f>DD191+(DN191-DD191)*(DL1-DD1)/(DN1-DD1)</f>
        <v>130744</v>
      </c>
      <c r="DM191" s="140">
        <f>DD191+(DN191-DD191)*(DM1-DD1)/(DN1-DD1)</f>
        <v>127744</v>
      </c>
      <c r="DN191" s="175">
        <f t="shared" si="65"/>
        <v>124744</v>
      </c>
      <c r="DO191" s="140">
        <f>DN191+(DX191-DN191)*(DO1-DN1)/(DX1-DN1)</f>
        <v>121744</v>
      </c>
      <c r="DP191" s="140">
        <f>DN191+(DX191-DN191)*(DP1-DN1)/(DX1-DN1)</f>
        <v>118744</v>
      </c>
      <c r="DQ191" s="140">
        <f>DN191+(DX191-DN191)*(DQ1-DN1)/(DX1-DN1)</f>
        <v>115744</v>
      </c>
      <c r="DR191" s="140">
        <f>DN191+(DX191-DN191)*(DR1-DN1)/(DX1-DN1)</f>
        <v>112744</v>
      </c>
      <c r="DS191" s="140">
        <f>DN191+(DX191-DN191)*(DS1-DN1)/(DX1-DN1)</f>
        <v>109744</v>
      </c>
      <c r="DT191" s="140">
        <f>DN191+(DX191-DN191)*(DT1-DN1)/(DX1-DN1)</f>
        <v>106744</v>
      </c>
      <c r="DU191" s="140">
        <f>DN191+(DX191-DN191)*(DU1-DN1)/(DX1-DN1)</f>
        <v>103744</v>
      </c>
      <c r="DV191" s="140">
        <f>DN191+(DX191-DN191)*(DV1-DN1)/(DX1-DN1)</f>
        <v>100744</v>
      </c>
      <c r="DW191" s="140">
        <f>DN191+(DX191-DN191)*(DW1-DN1)/(DX1-DN1)</f>
        <v>97744</v>
      </c>
      <c r="DX191" s="176">
        <f t="shared" si="66"/>
        <v>94744</v>
      </c>
      <c r="DY191" s="140"/>
      <c r="DZ191" s="139"/>
      <c r="EA191" s="140"/>
      <c r="EB191" s="140"/>
      <c r="EC191" s="140"/>
      <c r="ED191" s="140"/>
      <c r="EE191" s="175">
        <f t="shared" si="67"/>
        <v>187797</v>
      </c>
      <c r="EF191" s="140">
        <f>EE191+(EO191-EE191)*(EF1-EE1)/(EO1-EE1)</f>
        <v>184491.7</v>
      </c>
      <c r="EG191" s="140">
        <f>EE191+(EO191-EE191)*(EG1-EE1)/(EO1-EE1)</f>
        <v>181186.4</v>
      </c>
      <c r="EH191" s="140">
        <f>EE191+(EO191-EE191)*(EH1-EE1)/(EO1-EE1)</f>
        <v>177881.1</v>
      </c>
      <c r="EI191" s="140">
        <f>EE191+(EO191-EE191)*(EI1-EE1)/(EO1-EE1)</f>
        <v>174575.8</v>
      </c>
      <c r="EJ191" s="140">
        <f>EE191+(EO191-EE191)*(EJ1-EE1)/(EO1-EE1)</f>
        <v>171270.5</v>
      </c>
      <c r="EK191" s="140">
        <f>EE191+(EO191-EE191)*(EK1-EE1)/(EO1-EE1)</f>
        <v>167965.2</v>
      </c>
      <c r="EL191" s="140">
        <f>EE191+(EO191-EE191)*(EL1-EE1)/(EO1-EE1)</f>
        <v>164659.9</v>
      </c>
      <c r="EM191" s="140">
        <f>EE191+(EO191-EE191)*(EM1-EE1)/(EO1-EE1)</f>
        <v>161354.6</v>
      </c>
      <c r="EN191" s="140">
        <f>EE191+(EO191-EE191)*(EN1-EE1)/(EO1-EE1)</f>
        <v>158049.29999999999</v>
      </c>
      <c r="EO191" s="175">
        <f t="shared" si="68"/>
        <v>154744</v>
      </c>
      <c r="EP191" s="140">
        <f>EO191+(EY191-EO191)*(EP1-EO1)/(EY1-EO1)</f>
        <v>151744</v>
      </c>
      <c r="EQ191" s="140">
        <f>EO191+(EY191-EO191)*(EQ1-EO1)/(EY1-EO1)</f>
        <v>148744</v>
      </c>
      <c r="ER191" s="140">
        <f>EO191+(EY191-EO191)*(ER1-EO1)/(EY1-EO1)</f>
        <v>145744</v>
      </c>
      <c r="ES191" s="140">
        <f>EO191+(EY191-EO191)*(ES1-EO1)/(EY1-EO1)</f>
        <v>142744</v>
      </c>
      <c r="ET191" s="140">
        <f>EO191+(EY191-EO191)*(ET1-EO1)/(EY1-EO1)</f>
        <v>139744</v>
      </c>
      <c r="EU191" s="140">
        <f>EO191+(EY191-EO191)*(EU1-EO1)/(EY1-EO1)</f>
        <v>136744</v>
      </c>
      <c r="EV191" s="140">
        <f>EO191+(EY191-EO191)*(EV1-EO1)/(EY1-EO1)</f>
        <v>133744</v>
      </c>
      <c r="EW191" s="140">
        <f>EO191+(EY191-EO191)*(EW1-EO1)/(EY1-EO1)</f>
        <v>130744</v>
      </c>
      <c r="EX191" s="140">
        <f>EO191+(EY191-EO191)*(EX1-EO1)/(EY1-EO1)</f>
        <v>127744</v>
      </c>
      <c r="EY191" s="175">
        <f t="shared" si="69"/>
        <v>124744</v>
      </c>
      <c r="EZ191" s="140">
        <f>EY191+(FI191-EY191)*(EZ1-EY1)/(FI1-EY1)</f>
        <v>121744</v>
      </c>
      <c r="FA191" s="140">
        <f>EY191+(FI191-EY191)*(FA1-EY1)/(FI1-EY1)</f>
        <v>118744</v>
      </c>
      <c r="FB191" s="140">
        <f>EY191+(FI191-EY191)*(FB1-EY1)/(FI1-EY1)</f>
        <v>115744</v>
      </c>
      <c r="FC191" s="140">
        <f>EY191+(FI191-EY191)*(FC1-EY1)/(FI1-EY1)</f>
        <v>112744</v>
      </c>
      <c r="FD191" s="140">
        <f>EY191+(FI191-EY191)*(FD1-EY1)/(FI1-EY1)</f>
        <v>109744</v>
      </c>
      <c r="FE191" s="140">
        <f>EY191+(FI191-EY191)*(FE1-EY1)/(FI1-EY1)</f>
        <v>106744</v>
      </c>
      <c r="FF191" s="140">
        <f>EY191+(FI191-EY191)*(FF1-EY1)/(FI1-EY1)</f>
        <v>103744</v>
      </c>
      <c r="FG191" s="140">
        <f>EY191+(FI191-EY191)*(FG1-EY1)/(FI1-EY1)</f>
        <v>100744</v>
      </c>
      <c r="FH191" s="140">
        <f>EY191+(FI191-EY191)*(FH1-EY1)/(FI1-EY1)</f>
        <v>97744</v>
      </c>
      <c r="FI191" s="176">
        <f t="shared" si="70"/>
        <v>94744</v>
      </c>
      <c r="FJ191" s="140"/>
      <c r="FK191" s="139"/>
      <c r="FL191" s="140"/>
      <c r="FM191" s="140"/>
      <c r="FN191" s="140"/>
      <c r="FO191" s="140"/>
      <c r="FP191" s="175">
        <f t="shared" si="71"/>
        <v>187797</v>
      </c>
      <c r="FQ191" s="140">
        <f>FP191+(FZ191-FP191)*(FQ1-FP1)/(FZ1-FP1)</f>
        <v>186391.7</v>
      </c>
      <c r="FR191" s="140">
        <f>FP191+(FZ191-FP191)*(FR1-FP1)/(FZ1-FP1)</f>
        <v>184986.4</v>
      </c>
      <c r="FS191" s="140">
        <f>FP191+(FZ191-FP191)*(FS1-FP1)/(FZ1-FP1)</f>
        <v>183581.1</v>
      </c>
      <c r="FT191" s="140">
        <f>FP191+(FZ191-FP191)*(FT1-FP1)/(FZ1-FP1)</f>
        <v>182175.8</v>
      </c>
      <c r="FU191" s="140">
        <f>FP191+(FZ191-FP191)*(FU1-FP1)/(FZ1-FP1)</f>
        <v>180770.5</v>
      </c>
      <c r="FV191" s="140">
        <f>FP191+(FZ191-FP191)*(FV1-FP1)/(FZ1-FP1)</f>
        <v>179365.2</v>
      </c>
      <c r="FW191" s="140">
        <f>FP191+(FZ191-FP191)*(FW1-FP1)/(FZ1-FP1)</f>
        <v>177959.9</v>
      </c>
      <c r="FX191" s="140">
        <f>FP191+(FZ191-FP191)*(FX1-FP1)/(FZ1-FP1)</f>
        <v>176554.6</v>
      </c>
      <c r="FY191" s="140">
        <f>FP191+(FZ191-FP191)*(FY1-FP1)/(FZ1-FP1)</f>
        <v>175149.3</v>
      </c>
      <c r="FZ191" s="175">
        <f t="shared" si="72"/>
        <v>173744</v>
      </c>
      <c r="GA191" s="140">
        <f>FZ191+(GJ191-FZ191)*(GA1-FZ1)/(GJ1-FZ1)</f>
        <v>172644</v>
      </c>
      <c r="GB191" s="140">
        <f>FZ191+(GJ191-FZ191)*(GB1-FZ1)/(GJ1-FZ1)</f>
        <v>171544</v>
      </c>
      <c r="GC191" s="140">
        <f>FZ191+(GJ191-FZ191)*(GC1-FZ1)/(GJ1-FZ1)</f>
        <v>170444</v>
      </c>
      <c r="GD191" s="140">
        <f>FZ191+(GJ191-FZ191)*(GD1-FZ1)/(GJ1-FZ1)</f>
        <v>169344</v>
      </c>
      <c r="GE191" s="140">
        <f>FZ191+(GJ191-FZ191)*(GE1-FZ1)/(GJ1-FZ1)</f>
        <v>168244</v>
      </c>
      <c r="GF191" s="140">
        <f>FZ191+(GJ191-FZ191)*(GF1-FZ1)/(GJ1-FZ1)</f>
        <v>167144</v>
      </c>
      <c r="GG191" s="140">
        <f>FZ191+(GJ191-FZ191)*(GG1-FZ1)/(GJ1-FZ1)</f>
        <v>166044</v>
      </c>
      <c r="GH191" s="140">
        <f>FZ191+(GJ191-FZ191)*(GH1-FZ1)/(GJ1-FZ1)</f>
        <v>164944</v>
      </c>
      <c r="GI191" s="140">
        <f>FZ191+(GJ191-FZ191)*(GI1-FZ1)/(GJ1-FZ1)</f>
        <v>163844</v>
      </c>
      <c r="GJ191" s="175">
        <f t="shared" si="73"/>
        <v>162744</v>
      </c>
      <c r="GK191" s="140">
        <f>GJ191+(GT191-GJ191)*(GK1-GJ1)/(GT1-GJ1)</f>
        <v>161644</v>
      </c>
      <c r="GL191" s="140">
        <f>GJ191+(GT191-GJ191)*(GL1-GJ1)/(GT1-GJ1)</f>
        <v>160544</v>
      </c>
      <c r="GM191" s="140">
        <f>GJ191+(GT191-GJ191)*(GM1-GJ1)/(GT1-GJ1)</f>
        <v>159444</v>
      </c>
      <c r="GN191" s="140">
        <f>GJ191+(GT191-GJ191)*(GN1-GJ1)/(GT1-GJ1)</f>
        <v>158344</v>
      </c>
      <c r="GO191" s="140">
        <f>GJ191+(GT191-GJ191)*(GO1-GJ1)/(GT1-GJ1)</f>
        <v>157244</v>
      </c>
      <c r="GP191" s="140">
        <f>GJ191+(GT191-GJ191)*(GP1-GJ1)/(GT1-GJ1)</f>
        <v>156144</v>
      </c>
      <c r="GQ191" s="140">
        <f>GJ191+(GT191-GJ191)*(GQ1-GJ1)/(GT1-GJ1)</f>
        <v>155044</v>
      </c>
      <c r="GR191" s="140">
        <f>GJ191+(GT191-GJ191)*(GR1-GJ1)/(GT1-GJ1)</f>
        <v>153944</v>
      </c>
      <c r="GS191" s="140">
        <f>GJ191+(GT191-GJ191)*(GS1-GJ1)/(GT1-GJ1)</f>
        <v>152844</v>
      </c>
      <c r="GT191" s="176">
        <f t="shared" si="74"/>
        <v>151744</v>
      </c>
      <c r="GU191" s="140"/>
      <c r="GV191" s="139"/>
      <c r="GW191" s="140"/>
      <c r="GX191" s="140"/>
      <c r="GY191" s="140"/>
      <c r="GZ191" s="140"/>
      <c r="HA191" s="175">
        <f t="shared" si="75"/>
        <v>187797</v>
      </c>
      <c r="HB191" s="140">
        <f>HA191+(HK191-HA191)*(HB1-HA1)/(HK1-HA1)</f>
        <v>187692.82121212123</v>
      </c>
      <c r="HC191" s="140">
        <f>HA191+(HK191-HA191)*(HC1-HA1)/(HK1-HA1)</f>
        <v>187588.64242424243</v>
      </c>
      <c r="HD191" s="140">
        <f>HA191+(HK191-HA191)*(HD1-HA1)/(HK1-HA1)</f>
        <v>187484.46363636362</v>
      </c>
      <c r="HE191" s="140">
        <f>HA191+(HK191-HA191)*(HE1-HA1)/(HK1-HA1)</f>
        <v>187380.28484848485</v>
      </c>
      <c r="HF191" s="140">
        <f>HA191+(HK191-HA191)*(HF1-HA1)/(HK1-HA1)</f>
        <v>187276.10606060608</v>
      </c>
      <c r="HG191" s="140">
        <f>HA191+(HK191-HA191)*(HG1-HA1)/(HK1-HA1)</f>
        <v>187171.92727272728</v>
      </c>
      <c r="HH191" s="140">
        <f>HA191+(HK191-HA191)*(HH1-HA1)/(HK1-HA1)</f>
        <v>187067.74848484847</v>
      </c>
      <c r="HI191" s="140">
        <f>HA191+(HK191-HA191)*(HI1-HA1)/(HK1-HA1)</f>
        <v>186963.5696969697</v>
      </c>
      <c r="HJ191" s="140">
        <f>HA191+(HK191-HA191)*(HJ1-HA1)/(HK1-HA1)</f>
        <v>186859.39090909093</v>
      </c>
      <c r="HK191" s="175">
        <f t="shared" si="76"/>
        <v>186755.21212121213</v>
      </c>
      <c r="HL191" s="140">
        <f>HK191+(HU191-HK191)*(HL1-HK1)/(HU1-HK1)</f>
        <v>186956.33333333334</v>
      </c>
      <c r="HM191" s="140">
        <f>HK191+(HU191-HK191)*(HM1-HK1)/(HU1-HK1)</f>
        <v>187157.45454545456</v>
      </c>
      <c r="HN191" s="140">
        <f>HK191+(HU191-HK191)*(HN1-HK1)/(HU1-HK1)</f>
        <v>187358.57575757577</v>
      </c>
      <c r="HO191" s="140">
        <f>HK191+(HU191-HK191)*(HO1-HK1)/(HU1-HK1)</f>
        <v>187559.69696969699</v>
      </c>
      <c r="HP191" s="140">
        <f>HK191+(HU191-HK191)*(HP1-HK1)/(HU1-HK1)</f>
        <v>187760.81818181818</v>
      </c>
      <c r="HQ191" s="140">
        <f>HK191+(HU191-HK191)*(HQ1-HK1)/(HU1-HK1)</f>
        <v>187961.93939393939</v>
      </c>
      <c r="HR191" s="140">
        <f>HK191+(HU191-HK191)*(HR1-HK1)/(HU1-HK1)</f>
        <v>188163.06060606061</v>
      </c>
      <c r="HS191" s="140">
        <f>HK191+(HU191-HK191)*(HS1-HK1)/(HU1-HK1)</f>
        <v>188364.18181818182</v>
      </c>
      <c r="HT191" s="140">
        <f>HK191+(HU191-HK191)*(HT1-HK1)/(HU1-HK1)</f>
        <v>188565.30303030304</v>
      </c>
      <c r="HU191" s="175">
        <f t="shared" si="77"/>
        <v>188766.42424242425</v>
      </c>
      <c r="HV191" s="140">
        <f>HU191+(IE191-HU191)*(HV1-HU1)/(IE1-HU1)</f>
        <v>188967.54545454547</v>
      </c>
      <c r="HW191" s="140">
        <f>HU191+(IE191-HU191)*(HW1-HU1)/(IE1-HU1)</f>
        <v>189168.66666666669</v>
      </c>
      <c r="HX191" s="140">
        <f>HU191+(IE191-HU191)*(HX1-HU1)/(IE1-HU1)</f>
        <v>189369.7878787879</v>
      </c>
      <c r="HY191" s="140">
        <f>HU191+(IE191-HU191)*(HY1-HU1)/(IE1-HU1)</f>
        <v>189570.90909090912</v>
      </c>
      <c r="HZ191" s="140">
        <f>HU191+(IE191-HU191)*(HZ1-HU1)/(IE1-HU1)</f>
        <v>189772.03030303033</v>
      </c>
      <c r="IA191" s="140">
        <f>HU191+(IE191-HU191)*(IA1-HU1)/(IE1-HU1)</f>
        <v>189973.15151515152</v>
      </c>
      <c r="IB191" s="140">
        <f>HU191+(IE191-HU191)*(IB1-HU1)/(IE1-HU1)</f>
        <v>190174.27272727274</v>
      </c>
      <c r="IC191" s="140">
        <f>HU191+(IE191-HU191)*(IC1-HU1)/(IE1-HU1)</f>
        <v>190375.39393939395</v>
      </c>
      <c r="ID191" s="140">
        <f>HU191+(IE191-HU191)*(ID1-HU1)/(IE1-HU1)</f>
        <v>190576.51515151517</v>
      </c>
      <c r="IE191" s="176">
        <f t="shared" si="78"/>
        <v>190777.63636363638</v>
      </c>
      <c r="IF191" s="140"/>
      <c r="IG191" s="139"/>
      <c r="IH191" s="140"/>
      <c r="II191" s="140"/>
      <c r="IJ191" s="140"/>
      <c r="IK191" s="140"/>
      <c r="IL191" s="175">
        <v>234402.67068999901</v>
      </c>
      <c r="IM191" s="140">
        <f t="shared" si="79"/>
        <v>233935.2519600332</v>
      </c>
      <c r="IN191" s="140">
        <f t="shared" si="79"/>
        <v>233467.83323006739</v>
      </c>
      <c r="IO191" s="140">
        <f t="shared" si="79"/>
        <v>233000.41450010159</v>
      </c>
      <c r="IP191" s="140">
        <f t="shared" si="79"/>
        <v>232532.99577013578</v>
      </c>
      <c r="IQ191" s="140">
        <f t="shared" si="79"/>
        <v>232065.57704016997</v>
      </c>
      <c r="IR191" s="140">
        <f t="shared" si="79"/>
        <v>231598.15831020413</v>
      </c>
      <c r="IS191" s="140">
        <f t="shared" si="79"/>
        <v>231130.73958023833</v>
      </c>
      <c r="IT191" s="140">
        <f t="shared" si="79"/>
        <v>230663.32085027252</v>
      </c>
      <c r="IU191" s="140">
        <f t="shared" si="79"/>
        <v>230195.90212030671</v>
      </c>
      <c r="IV191" s="175">
        <v>229728.4833903409</v>
      </c>
      <c r="IW191" s="140">
        <f t="shared" si="80"/>
        <v>229315.781079123</v>
      </c>
      <c r="IX191" s="140">
        <f t="shared" si="80"/>
        <v>228903.0787679051</v>
      </c>
      <c r="IY191" s="140">
        <f t="shared" si="80"/>
        <v>228490.3764566872</v>
      </c>
      <c r="IZ191" s="140">
        <f t="shared" si="80"/>
        <v>228077.6741454693</v>
      </c>
      <c r="JA191" s="140">
        <f t="shared" si="80"/>
        <v>227664.97183425137</v>
      </c>
      <c r="JB191" s="140">
        <f t="shared" si="80"/>
        <v>227252.26952303346</v>
      </c>
      <c r="JC191" s="140">
        <f t="shared" si="80"/>
        <v>226839.56721181556</v>
      </c>
      <c r="JD191" s="140">
        <f t="shared" si="80"/>
        <v>226426.86490059766</v>
      </c>
      <c r="JE191" s="140">
        <f t="shared" si="80"/>
        <v>226014.16258937976</v>
      </c>
      <c r="JF191" s="175">
        <v>225601.46027816186</v>
      </c>
      <c r="JG191" s="140">
        <f t="shared" si="81"/>
        <v>225196.1720757724</v>
      </c>
      <c r="JH191" s="140">
        <f t="shared" si="81"/>
        <v>224790.8838733829</v>
      </c>
      <c r="JI191" s="140">
        <f t="shared" si="81"/>
        <v>224385.59567099344</v>
      </c>
      <c r="JJ191" s="140">
        <f t="shared" si="81"/>
        <v>223980.30746860395</v>
      </c>
      <c r="JK191" s="140">
        <f t="shared" si="81"/>
        <v>223575.01926621448</v>
      </c>
      <c r="JL191" s="140">
        <f t="shared" si="81"/>
        <v>223169.73106382502</v>
      </c>
      <c r="JM191" s="140">
        <f t="shared" si="81"/>
        <v>222764.44286143553</v>
      </c>
      <c r="JN191" s="140">
        <f t="shared" si="81"/>
        <v>222359.15465904606</v>
      </c>
      <c r="JO191" s="140">
        <f t="shared" si="81"/>
        <v>221953.86645665657</v>
      </c>
      <c r="JP191" s="176">
        <v>221548.57825426711</v>
      </c>
      <c r="JQ191" s="140"/>
      <c r="JR191" s="139"/>
      <c r="JS191" s="140"/>
      <c r="JT191" s="140"/>
      <c r="JU191" s="140"/>
      <c r="JV191" s="140"/>
      <c r="JW191" s="175">
        <v>234402.67068999901</v>
      </c>
      <c r="JX191" s="140">
        <f t="shared" si="82"/>
        <v>233935.2519600332</v>
      </c>
      <c r="JY191" s="140">
        <f t="shared" si="82"/>
        <v>233467.83323006739</v>
      </c>
      <c r="JZ191" s="140">
        <f t="shared" si="82"/>
        <v>233000.41450010159</v>
      </c>
      <c r="KA191" s="140">
        <f t="shared" si="82"/>
        <v>232532.99577013578</v>
      </c>
      <c r="KB191" s="140">
        <f t="shared" si="82"/>
        <v>232065.57704016997</v>
      </c>
      <c r="KC191" s="140">
        <f t="shared" si="82"/>
        <v>231598.15831020413</v>
      </c>
      <c r="KD191" s="140">
        <f t="shared" si="82"/>
        <v>231130.73958023833</v>
      </c>
      <c r="KE191" s="140">
        <f t="shared" si="82"/>
        <v>230663.32085027252</v>
      </c>
      <c r="KF191" s="140">
        <f t="shared" si="82"/>
        <v>230195.90212030671</v>
      </c>
      <c r="KG191" s="175">
        <v>229728.4833903409</v>
      </c>
      <c r="KH191" s="140">
        <f t="shared" si="83"/>
        <v>229315.781079123</v>
      </c>
      <c r="KI191" s="140">
        <f t="shared" si="83"/>
        <v>228903.0787679051</v>
      </c>
      <c r="KJ191" s="140">
        <f t="shared" si="83"/>
        <v>228490.3764566872</v>
      </c>
      <c r="KK191" s="140">
        <f t="shared" si="83"/>
        <v>228077.6741454693</v>
      </c>
      <c r="KL191" s="140">
        <f t="shared" si="83"/>
        <v>227664.97183425137</v>
      </c>
      <c r="KM191" s="140">
        <f t="shared" si="83"/>
        <v>227252.26952303346</v>
      </c>
      <c r="KN191" s="140">
        <f t="shared" si="83"/>
        <v>226839.56721181556</v>
      </c>
      <c r="KO191" s="140">
        <f t="shared" si="83"/>
        <v>226426.86490059766</v>
      </c>
      <c r="KP191" s="140">
        <f t="shared" si="83"/>
        <v>226014.16258937976</v>
      </c>
      <c r="KQ191" s="175">
        <v>225601.46027816186</v>
      </c>
      <c r="KR191" s="140">
        <f t="shared" si="84"/>
        <v>225196.1720757724</v>
      </c>
      <c r="KS191" s="140">
        <f t="shared" si="84"/>
        <v>224790.8838733829</v>
      </c>
      <c r="KT191" s="140">
        <f t="shared" si="84"/>
        <v>224385.59567099344</v>
      </c>
      <c r="KU191" s="140">
        <f t="shared" si="84"/>
        <v>223980.30746860395</v>
      </c>
      <c r="KV191" s="140">
        <f t="shared" si="84"/>
        <v>223575.01926621448</v>
      </c>
      <c r="KW191" s="140">
        <f t="shared" si="84"/>
        <v>223169.73106382502</v>
      </c>
      <c r="KX191" s="140">
        <f t="shared" si="84"/>
        <v>222764.44286143553</v>
      </c>
      <c r="KY191" s="140">
        <f t="shared" si="84"/>
        <v>222359.15465904606</v>
      </c>
      <c r="KZ191" s="140">
        <f t="shared" si="84"/>
        <v>221953.86645665657</v>
      </c>
      <c r="LA191" s="176">
        <v>221548.57825426711</v>
      </c>
      <c r="LB191" s="140"/>
      <c r="LC191" s="139"/>
      <c r="LD191" s="140"/>
      <c r="LE191" s="140"/>
      <c r="LF191" s="140"/>
      <c r="LG191" s="140"/>
      <c r="LH191" s="175">
        <v>234402.67068999901</v>
      </c>
      <c r="LI191" s="140">
        <f t="shared" si="85"/>
        <v>233935.2519600332</v>
      </c>
      <c r="LJ191" s="140">
        <f t="shared" si="85"/>
        <v>233467.83323006739</v>
      </c>
      <c r="LK191" s="140">
        <f t="shared" si="85"/>
        <v>233000.41450010159</v>
      </c>
      <c r="LL191" s="140">
        <f t="shared" si="85"/>
        <v>232532.99577013578</v>
      </c>
      <c r="LM191" s="140">
        <f t="shared" si="85"/>
        <v>232065.57704016997</v>
      </c>
      <c r="LN191" s="140">
        <f t="shared" si="85"/>
        <v>231598.15831020413</v>
      </c>
      <c r="LO191" s="140">
        <f t="shared" si="85"/>
        <v>231130.73958023833</v>
      </c>
      <c r="LP191" s="140">
        <f t="shared" si="85"/>
        <v>230663.32085027252</v>
      </c>
      <c r="LQ191" s="140">
        <f t="shared" si="85"/>
        <v>230195.90212030671</v>
      </c>
      <c r="LR191" s="175">
        <v>229728.4833903409</v>
      </c>
      <c r="LS191" s="140">
        <f t="shared" si="86"/>
        <v>229315.781079123</v>
      </c>
      <c r="LT191" s="140">
        <f t="shared" si="86"/>
        <v>228903.0787679051</v>
      </c>
      <c r="LU191" s="140">
        <f t="shared" si="86"/>
        <v>228490.3764566872</v>
      </c>
      <c r="LV191" s="140">
        <f t="shared" si="86"/>
        <v>228077.6741454693</v>
      </c>
      <c r="LW191" s="140">
        <f t="shared" si="86"/>
        <v>227664.97183425137</v>
      </c>
      <c r="LX191" s="140">
        <f t="shared" si="86"/>
        <v>227252.26952303346</v>
      </c>
      <c r="LY191" s="140">
        <f t="shared" si="86"/>
        <v>226839.56721181556</v>
      </c>
      <c r="LZ191" s="140">
        <f t="shared" si="86"/>
        <v>226426.86490059766</v>
      </c>
      <c r="MA191" s="140">
        <f t="shared" si="86"/>
        <v>226014.16258937976</v>
      </c>
      <c r="MB191" s="175">
        <v>225601.46027816186</v>
      </c>
      <c r="MC191" s="140">
        <f t="shared" si="87"/>
        <v>225196.1720757724</v>
      </c>
      <c r="MD191" s="140">
        <f t="shared" si="87"/>
        <v>224790.8838733829</v>
      </c>
      <c r="ME191" s="140">
        <f t="shared" si="87"/>
        <v>224385.59567099344</v>
      </c>
      <c r="MF191" s="140">
        <f t="shared" si="87"/>
        <v>223980.30746860395</v>
      </c>
      <c r="MG191" s="140">
        <f t="shared" si="87"/>
        <v>223575.01926621448</v>
      </c>
      <c r="MH191" s="140">
        <f t="shared" si="87"/>
        <v>223169.73106382502</v>
      </c>
      <c r="MI191" s="140">
        <f t="shared" si="87"/>
        <v>222764.44286143553</v>
      </c>
      <c r="MJ191" s="140">
        <f t="shared" si="87"/>
        <v>222359.15465904606</v>
      </c>
      <c r="MK191" s="140">
        <f t="shared" si="87"/>
        <v>221953.86645665657</v>
      </c>
      <c r="ML191" s="176">
        <v>221548.57825426711</v>
      </c>
    </row>
    <row r="192" spans="3:350" s="4" customFormat="1" ht="18" customHeight="1" x14ac:dyDescent="0.3">
      <c r="C192" s="136" t="s">
        <v>80</v>
      </c>
      <c r="E192" s="137" t="s">
        <v>105</v>
      </c>
      <c r="F192" s="147" t="s">
        <v>105</v>
      </c>
      <c r="H192" s="174">
        <v>69798</v>
      </c>
      <c r="I192" s="175">
        <v>70356.800000000003</v>
      </c>
      <c r="J192" s="175">
        <v>70915.600000000006</v>
      </c>
      <c r="K192" s="175">
        <v>71474.399999999994</v>
      </c>
      <c r="L192" s="175">
        <v>72033.2</v>
      </c>
      <c r="M192" s="175">
        <v>72592</v>
      </c>
      <c r="N192" s="175"/>
      <c r="O192" s="175"/>
      <c r="P192" s="175"/>
      <c r="Q192" s="176"/>
      <c r="R192" s="140"/>
      <c r="S192" s="139"/>
      <c r="T192" s="140"/>
      <c r="U192" s="140"/>
      <c r="V192" s="140"/>
      <c r="W192" s="140"/>
      <c r="X192" s="140"/>
      <c r="Y192" s="140"/>
      <c r="Z192" s="140"/>
      <c r="AA192" s="140"/>
      <c r="AB192" s="140"/>
      <c r="AC192" s="140"/>
      <c r="AD192" s="140"/>
      <c r="AE192" s="140"/>
      <c r="AF192" s="140"/>
      <c r="AG192" s="140"/>
      <c r="AH192" s="140"/>
      <c r="AI192" s="140"/>
      <c r="AJ192" s="140"/>
      <c r="AK192" s="140"/>
      <c r="AL192" s="140"/>
      <c r="AM192" s="140"/>
      <c r="AN192" s="140"/>
      <c r="AO192" s="140"/>
      <c r="AP192" s="140"/>
      <c r="AQ192" s="140"/>
      <c r="AR192" s="140"/>
      <c r="AS192" s="140"/>
      <c r="AT192" s="140"/>
      <c r="AU192" s="140"/>
      <c r="AV192" s="140"/>
      <c r="AW192" s="140"/>
      <c r="AX192" s="140"/>
      <c r="AY192" s="140"/>
      <c r="AZ192" s="140"/>
      <c r="BA192" s="140"/>
      <c r="BB192" s="141"/>
      <c r="BC192" s="140"/>
      <c r="BD192" s="177"/>
      <c r="BE192" s="178"/>
      <c r="BF192" s="178"/>
      <c r="BG192" s="178"/>
      <c r="BH192" s="178"/>
      <c r="BI192" s="175">
        <f t="shared" si="59"/>
        <v>69792</v>
      </c>
      <c r="BJ192" s="140">
        <f>BI192+(BS192-BI192)*(BJ1-BI1)/(BS1-BI1)</f>
        <v>69758.121212121216</v>
      </c>
      <c r="BK192" s="140">
        <f>BI192+(BS192-BI192)*(BK1-BI1)/(BS1-BI1)</f>
        <v>69724.242424242431</v>
      </c>
      <c r="BL192" s="140">
        <f>BI192+(BS192-BI192)*(BL1-BI1)/(BS1-BI1)</f>
        <v>69690.363636363632</v>
      </c>
      <c r="BM192" s="140">
        <f>BI192+(BS192-BI192)*(BM1-BI1)/(BS1-BI1)</f>
        <v>69656.484848484848</v>
      </c>
      <c r="BN192" s="140">
        <f>BI192+(BS192-BI192)*(BN1-BI1)/(BS1-BI1)</f>
        <v>69622.606060606064</v>
      </c>
      <c r="BO192" s="140">
        <f>BI192+(BS192-BI192)*(BO1-BI1)/(BS1-BI1)</f>
        <v>69588.727272727279</v>
      </c>
      <c r="BP192" s="140">
        <f>BI192+(BS192-BI192)*(BP1-BI1)/(BS1-BI1)</f>
        <v>69554.848484848495</v>
      </c>
      <c r="BQ192" s="140">
        <f>BI192+(BS192-BI192)*(BQ1-BI1)/(BS1-BI1)</f>
        <v>69520.969696969696</v>
      </c>
      <c r="BR192" s="140">
        <f>BI192+(BS192-BI192)*(BR1-BI1)/(BS1-BI1)</f>
        <v>69487.090909090912</v>
      </c>
      <c r="BS192" s="175">
        <f t="shared" si="60"/>
        <v>69453.212121212127</v>
      </c>
      <c r="BT192" s="140">
        <f>BS192+(CC192-BS192)*(BT1-BS1)/(CC1-BS1)</f>
        <v>69699.333333333343</v>
      </c>
      <c r="BU192" s="140">
        <f>BS192+(CC192-BS192)*(BU1-BS1)/(CC1-BS1)</f>
        <v>69945.454545454559</v>
      </c>
      <c r="BV192" s="140">
        <f>BS192+(CC192-BS192)*(BV1-BS1)/(CC1-BS1)</f>
        <v>70191.57575757576</v>
      </c>
      <c r="BW192" s="140">
        <f>BS192+(CC192-BS192)*(BW1-BS1)/(CC1-BS1)</f>
        <v>70437.696969696975</v>
      </c>
      <c r="BX192" s="140">
        <f>BS192+(CC192-BS192)*(BX1-BS1)/(CC1-BS1)</f>
        <v>70683.818181818191</v>
      </c>
      <c r="BY192" s="140">
        <f>BS192+(CC192-BS192)*(BY1-BS1)/(CC1-BS1)</f>
        <v>70929.939393939407</v>
      </c>
      <c r="BZ192" s="140">
        <f>BS192+(CC192-BS192)*(BZ1-BS1)/(CC1-BS1)</f>
        <v>71176.060606060622</v>
      </c>
      <c r="CA192" s="140">
        <f>BS192+(CC192-BS192)*(CA1-BS1)/(CC1-BS1)</f>
        <v>71422.181818181823</v>
      </c>
      <c r="CB192" s="140">
        <f>BS192+(CC192-BS192)*(CB1-BS1)/(CC1-BS1)</f>
        <v>71668.303030303039</v>
      </c>
      <c r="CC192" s="175">
        <f t="shared" si="61"/>
        <v>71914.424242424255</v>
      </c>
      <c r="CD192" s="140">
        <f>CC192+(CM192-CC192)*(CD1-CC1)/(CM1-CC1)</f>
        <v>72160.54545454547</v>
      </c>
      <c r="CE192" s="140">
        <f>CC192+(CM192-CC192)*(CE1-CC1)/(CM1-CC1)</f>
        <v>72406.666666666686</v>
      </c>
      <c r="CF192" s="140">
        <f>CC192+(CM192-CC192)*(CF1-CC1)/(CM1-CC1)</f>
        <v>72652.787878787887</v>
      </c>
      <c r="CG192" s="140">
        <f>CC192+(CM192-CC192)*(CG1-CC1)/(CM1-CC1)</f>
        <v>72898.909090909103</v>
      </c>
      <c r="CH192" s="140">
        <f>CC192+(CM192-CC192)*(CH1-CC1)/(CM1-CC1)</f>
        <v>73145.030303030318</v>
      </c>
      <c r="CI192" s="140">
        <f>CC192+(CM192-CC192)*(CI1-CC1)/(CM1-CC1)</f>
        <v>73391.151515151534</v>
      </c>
      <c r="CJ192" s="140">
        <f>CC192+(CM192-CC192)*(CJ1-CC1)/(CM1-CC1)</f>
        <v>73637.27272727275</v>
      </c>
      <c r="CK192" s="140">
        <f>CC192+(CM192-CC192)*(CK1-CC1)/(CM1-CC1)</f>
        <v>73883.393939393951</v>
      </c>
      <c r="CL192" s="140">
        <f>CC192+(CM192-CC192)*(CL1-CC1)/(CM1-CC1)</f>
        <v>74129.515151515167</v>
      </c>
      <c r="CM192" s="176">
        <f t="shared" si="62"/>
        <v>74375.636363636382</v>
      </c>
      <c r="CN192" s="140"/>
      <c r="CO192" s="177"/>
      <c r="CP192" s="178"/>
      <c r="CQ192" s="178"/>
      <c r="CR192" s="178"/>
      <c r="CS192" s="178"/>
      <c r="CT192" s="175">
        <f t="shared" si="63"/>
        <v>69792</v>
      </c>
      <c r="CU192" s="140">
        <f>CT192+(DD192-CT192)*(CU1-CT1)/(DD1-CT1)</f>
        <v>69758.121212121216</v>
      </c>
      <c r="CV192" s="140">
        <f>CT192+(DD192-CT192)*(CV1-CT1)/(DD1-CT1)</f>
        <v>69724.242424242431</v>
      </c>
      <c r="CW192" s="140">
        <f>CT192+(DD192-CT192)*(CW1-CT1)/(DD1-CT1)</f>
        <v>69690.363636363632</v>
      </c>
      <c r="CX192" s="140">
        <f>CT192+(DD192-CT192)*(CX1-CT1)/(DD1-CT1)</f>
        <v>69656.484848484848</v>
      </c>
      <c r="CY192" s="140">
        <f>CT192+(DD192-CT192)*(CY1-CT1)/(DD1-CT1)</f>
        <v>69622.606060606064</v>
      </c>
      <c r="CZ192" s="140">
        <f>CT192+(DD192-CT192)*(CZ1-CT1)/(DD1-CT1)</f>
        <v>69588.727272727279</v>
      </c>
      <c r="DA192" s="140">
        <f>CT192+(DD192-CT192)*(DA1-CT1)/(DD1-CT1)</f>
        <v>69554.848484848495</v>
      </c>
      <c r="DB192" s="140">
        <f>CT192+(DD192-CT192)*(DB1-CT1)/(DD1-CT1)</f>
        <v>69520.969696969696</v>
      </c>
      <c r="DC192" s="140">
        <f>CT192+(DD192-CT192)*(DC1-CT1)/(DD1-CT1)</f>
        <v>69487.090909090912</v>
      </c>
      <c r="DD192" s="175">
        <f t="shared" si="64"/>
        <v>69453.212121212127</v>
      </c>
      <c r="DE192" s="140">
        <f>DD192+(DN192-DD192)*(DE1-DD1)/(DN1-DD1)</f>
        <v>69699.333333333343</v>
      </c>
      <c r="DF192" s="140">
        <f>DD192+(DN192-DD192)*(DF1-DD1)/(DN1-DD1)</f>
        <v>69945.454545454559</v>
      </c>
      <c r="DG192" s="140">
        <f>DD192+(DN192-DD192)*(DG1-DD1)/(DN1-DD1)</f>
        <v>70191.57575757576</v>
      </c>
      <c r="DH192" s="140">
        <f>DD192+(DN192-DD192)*(DH1-DD1)/(DN1-DD1)</f>
        <v>70437.696969696975</v>
      </c>
      <c r="DI192" s="140">
        <f>DD192+(DN192-DD192)*(DI1-DD1)/(DN1-DD1)</f>
        <v>70683.818181818191</v>
      </c>
      <c r="DJ192" s="140">
        <f>DD192+(DN192-DD192)*(DJ1-DD1)/(DN1-DD1)</f>
        <v>70929.939393939407</v>
      </c>
      <c r="DK192" s="140">
        <f>DD192+(DN192-DD192)*(DK1-DD1)/(DN1-DD1)</f>
        <v>71176.060606060622</v>
      </c>
      <c r="DL192" s="140">
        <f>DD192+(DN192-DD192)*(DL1-DD1)/(DN1-DD1)</f>
        <v>71422.181818181823</v>
      </c>
      <c r="DM192" s="140">
        <f>DD192+(DN192-DD192)*(DM1-DD1)/(DN1-DD1)</f>
        <v>71668.303030303039</v>
      </c>
      <c r="DN192" s="175">
        <f t="shared" si="65"/>
        <v>71914.424242424255</v>
      </c>
      <c r="DO192" s="140">
        <f>DN192+(DX192-DN192)*(DO1-DN1)/(DX1-DN1)</f>
        <v>72160.54545454547</v>
      </c>
      <c r="DP192" s="140">
        <f>DN192+(DX192-DN192)*(DP1-DN1)/(DX1-DN1)</f>
        <v>72406.666666666686</v>
      </c>
      <c r="DQ192" s="140">
        <f>DN192+(DX192-DN192)*(DQ1-DN1)/(DX1-DN1)</f>
        <v>72652.787878787887</v>
      </c>
      <c r="DR192" s="140">
        <f>DN192+(DX192-DN192)*(DR1-DN1)/(DX1-DN1)</f>
        <v>72898.909090909103</v>
      </c>
      <c r="DS192" s="140">
        <f>DN192+(DX192-DN192)*(DS1-DN1)/(DX1-DN1)</f>
        <v>73145.030303030318</v>
      </c>
      <c r="DT192" s="140">
        <f>DN192+(DX192-DN192)*(DT1-DN1)/(DX1-DN1)</f>
        <v>73391.151515151534</v>
      </c>
      <c r="DU192" s="140">
        <f>DN192+(DX192-DN192)*(DU1-DN1)/(DX1-DN1)</f>
        <v>73637.27272727275</v>
      </c>
      <c r="DV192" s="140">
        <f>DN192+(DX192-DN192)*(DV1-DN1)/(DX1-DN1)</f>
        <v>73883.393939393951</v>
      </c>
      <c r="DW192" s="140">
        <f>DN192+(DX192-DN192)*(DW1-DN1)/(DX1-DN1)</f>
        <v>74129.515151515167</v>
      </c>
      <c r="DX192" s="176">
        <f t="shared" si="66"/>
        <v>74375.636363636382</v>
      </c>
      <c r="DY192" s="140"/>
      <c r="DZ192" s="177"/>
      <c r="EA192" s="178"/>
      <c r="EB192" s="178"/>
      <c r="EC192" s="178"/>
      <c r="ED192" s="178"/>
      <c r="EE192" s="175">
        <f t="shared" si="67"/>
        <v>69792</v>
      </c>
      <c r="EF192" s="140">
        <f>EE192+(EO192-EE192)*(EF1-EE1)/(EO1-EE1)</f>
        <v>69758.121212121216</v>
      </c>
      <c r="EG192" s="140">
        <f>EE192+(EO192-EE192)*(EG1-EE1)/(EO1-EE1)</f>
        <v>69724.242424242431</v>
      </c>
      <c r="EH192" s="140">
        <f>EE192+(EO192-EE192)*(EH1-EE1)/(EO1-EE1)</f>
        <v>69690.363636363632</v>
      </c>
      <c r="EI192" s="140">
        <f>EE192+(EO192-EE192)*(EI1-EE1)/(EO1-EE1)</f>
        <v>69656.484848484848</v>
      </c>
      <c r="EJ192" s="140">
        <f>EE192+(EO192-EE192)*(EJ1-EE1)/(EO1-EE1)</f>
        <v>69622.606060606064</v>
      </c>
      <c r="EK192" s="140">
        <f>EE192+(EO192-EE192)*(EK1-EE1)/(EO1-EE1)</f>
        <v>69588.727272727279</v>
      </c>
      <c r="EL192" s="140">
        <f>EE192+(EO192-EE192)*(EL1-EE1)/(EO1-EE1)</f>
        <v>69554.848484848495</v>
      </c>
      <c r="EM192" s="140">
        <f>EE192+(EO192-EE192)*(EM1-EE1)/(EO1-EE1)</f>
        <v>69520.969696969696</v>
      </c>
      <c r="EN192" s="140">
        <f>EE192+(EO192-EE192)*(EN1-EE1)/(EO1-EE1)</f>
        <v>69487.090909090912</v>
      </c>
      <c r="EO192" s="175">
        <f t="shared" si="68"/>
        <v>69453.212121212127</v>
      </c>
      <c r="EP192" s="140">
        <f>EO192+(EY192-EO192)*(EP1-EO1)/(EY1-EO1)</f>
        <v>69699.333333333343</v>
      </c>
      <c r="EQ192" s="140">
        <f>EO192+(EY192-EO192)*(EQ1-EO1)/(EY1-EO1)</f>
        <v>69945.454545454559</v>
      </c>
      <c r="ER192" s="140">
        <f>EO192+(EY192-EO192)*(ER1-EO1)/(EY1-EO1)</f>
        <v>70191.57575757576</v>
      </c>
      <c r="ES192" s="140">
        <f>EO192+(EY192-EO192)*(ES1-EO1)/(EY1-EO1)</f>
        <v>70437.696969696975</v>
      </c>
      <c r="ET192" s="140">
        <f>EO192+(EY192-EO192)*(ET1-EO1)/(EY1-EO1)</f>
        <v>70683.818181818191</v>
      </c>
      <c r="EU192" s="140">
        <f>EO192+(EY192-EO192)*(EU1-EO1)/(EY1-EO1)</f>
        <v>70929.939393939407</v>
      </c>
      <c r="EV192" s="140">
        <f>EO192+(EY192-EO192)*(EV1-EO1)/(EY1-EO1)</f>
        <v>71176.060606060622</v>
      </c>
      <c r="EW192" s="140">
        <f>EO192+(EY192-EO192)*(EW1-EO1)/(EY1-EO1)</f>
        <v>71422.181818181823</v>
      </c>
      <c r="EX192" s="140">
        <f>EO192+(EY192-EO192)*(EX1-EO1)/(EY1-EO1)</f>
        <v>71668.303030303039</v>
      </c>
      <c r="EY192" s="175">
        <f t="shared" si="69"/>
        <v>71914.424242424255</v>
      </c>
      <c r="EZ192" s="140">
        <f>EY192+(FI192-EY192)*(EZ1-EY1)/(FI1-EY1)</f>
        <v>72160.54545454547</v>
      </c>
      <c r="FA192" s="140">
        <f>EY192+(FI192-EY192)*(FA1-EY1)/(FI1-EY1)</f>
        <v>72406.666666666686</v>
      </c>
      <c r="FB192" s="140">
        <f>EY192+(FI192-EY192)*(FB1-EY1)/(FI1-EY1)</f>
        <v>72652.787878787887</v>
      </c>
      <c r="FC192" s="140">
        <f>EY192+(FI192-EY192)*(FC1-EY1)/(FI1-EY1)</f>
        <v>72898.909090909103</v>
      </c>
      <c r="FD192" s="140">
        <f>EY192+(FI192-EY192)*(FD1-EY1)/(FI1-EY1)</f>
        <v>73145.030303030318</v>
      </c>
      <c r="FE192" s="140">
        <f>EY192+(FI192-EY192)*(FE1-EY1)/(FI1-EY1)</f>
        <v>73391.151515151534</v>
      </c>
      <c r="FF192" s="140">
        <f>EY192+(FI192-EY192)*(FF1-EY1)/(FI1-EY1)</f>
        <v>73637.27272727275</v>
      </c>
      <c r="FG192" s="140">
        <f>EY192+(FI192-EY192)*(FG1-EY1)/(FI1-EY1)</f>
        <v>73883.393939393951</v>
      </c>
      <c r="FH192" s="140">
        <f>EY192+(FI192-EY192)*(FH1-EY1)/(FI1-EY1)</f>
        <v>74129.515151515167</v>
      </c>
      <c r="FI192" s="176">
        <f t="shared" si="70"/>
        <v>74375.636363636382</v>
      </c>
      <c r="FJ192" s="140"/>
      <c r="FK192" s="177"/>
      <c r="FL192" s="178"/>
      <c r="FM192" s="178"/>
      <c r="FN192" s="178"/>
      <c r="FO192" s="178"/>
      <c r="FP192" s="175">
        <f t="shared" si="71"/>
        <v>69792</v>
      </c>
      <c r="FQ192" s="140">
        <f>FP192+(FZ192-FP192)*(FQ1-FP1)/(FZ1-FP1)</f>
        <v>69758.121212121216</v>
      </c>
      <c r="FR192" s="140">
        <f>FP192+(FZ192-FP192)*(FR1-FP1)/(FZ1-FP1)</f>
        <v>69724.242424242431</v>
      </c>
      <c r="FS192" s="140">
        <f>FP192+(FZ192-FP192)*(FS1-FP1)/(FZ1-FP1)</f>
        <v>69690.363636363632</v>
      </c>
      <c r="FT192" s="140">
        <f>FP192+(FZ192-FP192)*(FT1-FP1)/(FZ1-FP1)</f>
        <v>69656.484848484848</v>
      </c>
      <c r="FU192" s="140">
        <f>FP192+(FZ192-FP192)*(FU1-FP1)/(FZ1-FP1)</f>
        <v>69622.606060606064</v>
      </c>
      <c r="FV192" s="140">
        <f>FP192+(FZ192-FP192)*(FV1-FP1)/(FZ1-FP1)</f>
        <v>69588.727272727279</v>
      </c>
      <c r="FW192" s="140">
        <f>FP192+(FZ192-FP192)*(FW1-FP1)/(FZ1-FP1)</f>
        <v>69554.848484848495</v>
      </c>
      <c r="FX192" s="140">
        <f>FP192+(FZ192-FP192)*(FX1-FP1)/(FZ1-FP1)</f>
        <v>69520.969696969696</v>
      </c>
      <c r="FY192" s="140">
        <f>FP192+(FZ192-FP192)*(FY1-FP1)/(FZ1-FP1)</f>
        <v>69487.090909090912</v>
      </c>
      <c r="FZ192" s="175">
        <f t="shared" si="72"/>
        <v>69453.212121212127</v>
      </c>
      <c r="GA192" s="140">
        <f>FZ192+(GJ192-FZ192)*(GA1-FZ1)/(GJ1-FZ1)</f>
        <v>69699.333333333343</v>
      </c>
      <c r="GB192" s="140">
        <f>FZ192+(GJ192-FZ192)*(GB1-FZ1)/(GJ1-FZ1)</f>
        <v>69945.454545454559</v>
      </c>
      <c r="GC192" s="140">
        <f>FZ192+(GJ192-FZ192)*(GC1-FZ1)/(GJ1-FZ1)</f>
        <v>70191.57575757576</v>
      </c>
      <c r="GD192" s="140">
        <f>FZ192+(GJ192-FZ192)*(GD1-FZ1)/(GJ1-FZ1)</f>
        <v>70437.696969696975</v>
      </c>
      <c r="GE192" s="140">
        <f>FZ192+(GJ192-FZ192)*(GE1-FZ1)/(GJ1-FZ1)</f>
        <v>70683.818181818191</v>
      </c>
      <c r="GF192" s="140">
        <f>FZ192+(GJ192-FZ192)*(GF1-FZ1)/(GJ1-FZ1)</f>
        <v>70929.939393939407</v>
      </c>
      <c r="GG192" s="140">
        <f>FZ192+(GJ192-FZ192)*(GG1-FZ1)/(GJ1-FZ1)</f>
        <v>71176.060606060622</v>
      </c>
      <c r="GH192" s="140">
        <f>FZ192+(GJ192-FZ192)*(GH1-FZ1)/(GJ1-FZ1)</f>
        <v>71422.181818181823</v>
      </c>
      <c r="GI192" s="140">
        <f>FZ192+(GJ192-FZ192)*(GI1-FZ1)/(GJ1-FZ1)</f>
        <v>71668.303030303039</v>
      </c>
      <c r="GJ192" s="175">
        <f t="shared" si="73"/>
        <v>71914.424242424255</v>
      </c>
      <c r="GK192" s="140">
        <f>GJ192+(GT192-GJ192)*(GK1-GJ1)/(GT1-GJ1)</f>
        <v>72160.54545454547</v>
      </c>
      <c r="GL192" s="140">
        <f>GJ192+(GT192-GJ192)*(GL1-GJ1)/(GT1-GJ1)</f>
        <v>72406.666666666686</v>
      </c>
      <c r="GM192" s="140">
        <f>GJ192+(GT192-GJ192)*(GM1-GJ1)/(GT1-GJ1)</f>
        <v>72652.787878787887</v>
      </c>
      <c r="GN192" s="140">
        <f>GJ192+(GT192-GJ192)*(GN1-GJ1)/(GT1-GJ1)</f>
        <v>72898.909090909103</v>
      </c>
      <c r="GO192" s="140">
        <f>GJ192+(GT192-GJ192)*(GO1-GJ1)/(GT1-GJ1)</f>
        <v>73145.030303030318</v>
      </c>
      <c r="GP192" s="140">
        <f>GJ192+(GT192-GJ192)*(GP1-GJ1)/(GT1-GJ1)</f>
        <v>73391.151515151534</v>
      </c>
      <c r="GQ192" s="140">
        <f>GJ192+(GT192-GJ192)*(GQ1-GJ1)/(GT1-GJ1)</f>
        <v>73637.27272727275</v>
      </c>
      <c r="GR192" s="140">
        <f>GJ192+(GT192-GJ192)*(GR1-GJ1)/(GT1-GJ1)</f>
        <v>73883.393939393951</v>
      </c>
      <c r="GS192" s="140">
        <f>GJ192+(GT192-GJ192)*(GS1-GJ1)/(GT1-GJ1)</f>
        <v>74129.515151515167</v>
      </c>
      <c r="GT192" s="176">
        <f t="shared" si="74"/>
        <v>74375.636363636382</v>
      </c>
      <c r="GU192" s="140"/>
      <c r="GV192" s="177"/>
      <c r="GW192" s="178"/>
      <c r="GX192" s="178"/>
      <c r="GY192" s="178"/>
      <c r="GZ192" s="178"/>
      <c r="HA192" s="175">
        <f t="shared" si="75"/>
        <v>69792</v>
      </c>
      <c r="HB192" s="140">
        <f>HA192+(HK192-HA192)*(HB1-HA1)/(HK1-HA1)</f>
        <v>69758.121212121216</v>
      </c>
      <c r="HC192" s="140">
        <f>HA192+(HK192-HA192)*(HC1-HA1)/(HK1-HA1)</f>
        <v>69724.242424242431</v>
      </c>
      <c r="HD192" s="140">
        <f>HA192+(HK192-HA192)*(HD1-HA1)/(HK1-HA1)</f>
        <v>69690.363636363632</v>
      </c>
      <c r="HE192" s="140">
        <f>HA192+(HK192-HA192)*(HE1-HA1)/(HK1-HA1)</f>
        <v>69656.484848484848</v>
      </c>
      <c r="HF192" s="140">
        <f>HA192+(HK192-HA192)*(HF1-HA1)/(HK1-HA1)</f>
        <v>69622.606060606064</v>
      </c>
      <c r="HG192" s="140">
        <f>HA192+(HK192-HA192)*(HG1-HA1)/(HK1-HA1)</f>
        <v>69588.727272727279</v>
      </c>
      <c r="HH192" s="140">
        <f>HA192+(HK192-HA192)*(HH1-HA1)/(HK1-HA1)</f>
        <v>69554.848484848495</v>
      </c>
      <c r="HI192" s="140">
        <f>HA192+(HK192-HA192)*(HI1-HA1)/(HK1-HA1)</f>
        <v>69520.969696969696</v>
      </c>
      <c r="HJ192" s="140">
        <f>HA192+(HK192-HA192)*(HJ1-HA1)/(HK1-HA1)</f>
        <v>69487.090909090912</v>
      </c>
      <c r="HK192" s="175">
        <f t="shared" si="76"/>
        <v>69453.212121212127</v>
      </c>
      <c r="HL192" s="140">
        <f>HK192+(HU192-HK192)*(HL1-HK1)/(HU1-HK1)</f>
        <v>69699.333333333343</v>
      </c>
      <c r="HM192" s="140">
        <f>HK192+(HU192-HK192)*(HM1-HK1)/(HU1-HK1)</f>
        <v>69945.454545454559</v>
      </c>
      <c r="HN192" s="140">
        <f>HK192+(HU192-HK192)*(HN1-HK1)/(HU1-HK1)</f>
        <v>70191.57575757576</v>
      </c>
      <c r="HO192" s="140">
        <f>HK192+(HU192-HK192)*(HO1-HK1)/(HU1-HK1)</f>
        <v>70437.696969696975</v>
      </c>
      <c r="HP192" s="140">
        <f>HK192+(HU192-HK192)*(HP1-HK1)/(HU1-HK1)</f>
        <v>70683.818181818191</v>
      </c>
      <c r="HQ192" s="140">
        <f>HK192+(HU192-HK192)*(HQ1-HK1)/(HU1-HK1)</f>
        <v>70929.939393939407</v>
      </c>
      <c r="HR192" s="140">
        <f>HK192+(HU192-HK192)*(HR1-HK1)/(HU1-HK1)</f>
        <v>71176.060606060622</v>
      </c>
      <c r="HS192" s="140">
        <f>HK192+(HU192-HK192)*(HS1-HK1)/(HU1-HK1)</f>
        <v>71422.181818181823</v>
      </c>
      <c r="HT192" s="140">
        <f>HK192+(HU192-HK192)*(HT1-HK1)/(HU1-HK1)</f>
        <v>71668.303030303039</v>
      </c>
      <c r="HU192" s="175">
        <f t="shared" si="77"/>
        <v>71914.424242424255</v>
      </c>
      <c r="HV192" s="140">
        <f>HU192+(IE192-HU192)*(HV1-HU1)/(IE1-HU1)</f>
        <v>72160.54545454547</v>
      </c>
      <c r="HW192" s="140">
        <f>HU192+(IE192-HU192)*(HW1-HU1)/(IE1-HU1)</f>
        <v>72406.666666666686</v>
      </c>
      <c r="HX192" s="140">
        <f>HU192+(IE192-HU192)*(HX1-HU1)/(IE1-HU1)</f>
        <v>72652.787878787887</v>
      </c>
      <c r="HY192" s="140">
        <f>HU192+(IE192-HU192)*(HY1-HU1)/(IE1-HU1)</f>
        <v>72898.909090909103</v>
      </c>
      <c r="HZ192" s="140">
        <f>HU192+(IE192-HU192)*(HZ1-HU1)/(IE1-HU1)</f>
        <v>73145.030303030318</v>
      </c>
      <c r="IA192" s="140">
        <f>HU192+(IE192-HU192)*(IA1-HU1)/(IE1-HU1)</f>
        <v>73391.151515151534</v>
      </c>
      <c r="IB192" s="140">
        <f>HU192+(IE192-HU192)*(IB1-HU1)/(IE1-HU1)</f>
        <v>73637.27272727275</v>
      </c>
      <c r="IC192" s="140">
        <f>HU192+(IE192-HU192)*(IC1-HU1)/(IE1-HU1)</f>
        <v>73883.393939393951</v>
      </c>
      <c r="ID192" s="140">
        <f>HU192+(IE192-HU192)*(ID1-HU1)/(IE1-HU1)</f>
        <v>74129.515151515167</v>
      </c>
      <c r="IE192" s="176">
        <f t="shared" si="78"/>
        <v>74375.636363636382</v>
      </c>
      <c r="IF192" s="140"/>
      <c r="IG192" s="177"/>
      <c r="IH192" s="178"/>
      <c r="II192" s="178"/>
      <c r="IJ192" s="178"/>
      <c r="IK192" s="178"/>
      <c r="IL192" s="175">
        <v>71786.848419999893</v>
      </c>
      <c r="IM192" s="140">
        <f t="shared" si="79"/>
        <v>71584.887060541849</v>
      </c>
      <c r="IN192" s="140">
        <f t="shared" si="79"/>
        <v>71382.925701083805</v>
      </c>
      <c r="IO192" s="140">
        <f t="shared" si="79"/>
        <v>71180.964341625746</v>
      </c>
      <c r="IP192" s="140">
        <f t="shared" si="79"/>
        <v>70979.002982167702</v>
      </c>
      <c r="IQ192" s="140">
        <f t="shared" si="79"/>
        <v>70777.041622709658</v>
      </c>
      <c r="IR192" s="140">
        <f t="shared" si="79"/>
        <v>70575.080263251613</v>
      </c>
      <c r="IS192" s="140">
        <f t="shared" si="79"/>
        <v>70373.118903793569</v>
      </c>
      <c r="IT192" s="140">
        <f t="shared" si="79"/>
        <v>70171.15754433551</v>
      </c>
      <c r="IU192" s="140">
        <f t="shared" si="79"/>
        <v>69969.196184877466</v>
      </c>
      <c r="IV192" s="175">
        <v>69767.234825419422</v>
      </c>
      <c r="IW192" s="140">
        <f t="shared" si="80"/>
        <v>69590.332196544521</v>
      </c>
      <c r="IX192" s="140">
        <f t="shared" si="80"/>
        <v>69413.42956766962</v>
      </c>
      <c r="IY192" s="140">
        <f t="shared" si="80"/>
        <v>69236.526938794719</v>
      </c>
      <c r="IZ192" s="140">
        <f t="shared" si="80"/>
        <v>69059.624309919818</v>
      </c>
      <c r="JA192" s="140">
        <f t="shared" si="80"/>
        <v>68882.721681044903</v>
      </c>
      <c r="JB192" s="140">
        <f t="shared" si="80"/>
        <v>68705.819052170002</v>
      </c>
      <c r="JC192" s="140">
        <f t="shared" si="80"/>
        <v>68528.916423295101</v>
      </c>
      <c r="JD192" s="140">
        <f t="shared" si="80"/>
        <v>68352.0137944202</v>
      </c>
      <c r="JE192" s="140">
        <f t="shared" si="80"/>
        <v>68175.111165545299</v>
      </c>
      <c r="JF192" s="175">
        <v>67998.208536670398</v>
      </c>
      <c r="JG192" s="140">
        <f t="shared" si="81"/>
        <v>67825.791471854493</v>
      </c>
      <c r="JH192" s="140">
        <f t="shared" si="81"/>
        <v>67653.374407038587</v>
      </c>
      <c r="JI192" s="140">
        <f t="shared" si="81"/>
        <v>67480.957342222682</v>
      </c>
      <c r="JJ192" s="140">
        <f t="shared" si="81"/>
        <v>67308.540277406777</v>
      </c>
      <c r="JK192" s="140">
        <f t="shared" si="81"/>
        <v>67136.123212590872</v>
      </c>
      <c r="JL192" s="140">
        <f t="shared" si="81"/>
        <v>66963.706147774967</v>
      </c>
      <c r="JM192" s="140">
        <f t="shared" si="81"/>
        <v>66791.289082959061</v>
      </c>
      <c r="JN192" s="140">
        <f t="shared" si="81"/>
        <v>66618.872018143156</v>
      </c>
      <c r="JO192" s="140">
        <f t="shared" si="81"/>
        <v>66446.454953327251</v>
      </c>
      <c r="JP192" s="176">
        <v>66274.037888511346</v>
      </c>
      <c r="JQ192" s="140"/>
      <c r="JR192" s="177"/>
      <c r="JS192" s="178"/>
      <c r="JT192" s="178"/>
      <c r="JU192" s="178"/>
      <c r="JV192" s="178"/>
      <c r="JW192" s="175">
        <v>71786.848419999893</v>
      </c>
      <c r="JX192" s="140">
        <f t="shared" si="82"/>
        <v>71584.887060541849</v>
      </c>
      <c r="JY192" s="140">
        <f t="shared" si="82"/>
        <v>71382.925701083805</v>
      </c>
      <c r="JZ192" s="140">
        <f t="shared" si="82"/>
        <v>71180.964341625746</v>
      </c>
      <c r="KA192" s="140">
        <f t="shared" si="82"/>
        <v>70979.002982167702</v>
      </c>
      <c r="KB192" s="140">
        <f t="shared" si="82"/>
        <v>70777.041622709658</v>
      </c>
      <c r="KC192" s="140">
        <f t="shared" si="82"/>
        <v>70575.080263251613</v>
      </c>
      <c r="KD192" s="140">
        <f t="shared" si="82"/>
        <v>70373.118903793569</v>
      </c>
      <c r="KE192" s="140">
        <f t="shared" si="82"/>
        <v>70171.15754433551</v>
      </c>
      <c r="KF192" s="140">
        <f t="shared" si="82"/>
        <v>69969.196184877466</v>
      </c>
      <c r="KG192" s="175">
        <v>69767.234825419422</v>
      </c>
      <c r="KH192" s="140">
        <f t="shared" si="83"/>
        <v>69590.332196544521</v>
      </c>
      <c r="KI192" s="140">
        <f t="shared" si="83"/>
        <v>69413.42956766962</v>
      </c>
      <c r="KJ192" s="140">
        <f t="shared" si="83"/>
        <v>69236.526938794719</v>
      </c>
      <c r="KK192" s="140">
        <f t="shared" si="83"/>
        <v>69059.624309919818</v>
      </c>
      <c r="KL192" s="140">
        <f t="shared" si="83"/>
        <v>68882.721681044903</v>
      </c>
      <c r="KM192" s="140">
        <f t="shared" si="83"/>
        <v>68705.819052170002</v>
      </c>
      <c r="KN192" s="140">
        <f t="shared" si="83"/>
        <v>68528.916423295101</v>
      </c>
      <c r="KO192" s="140">
        <f t="shared" si="83"/>
        <v>68352.0137944202</v>
      </c>
      <c r="KP192" s="140">
        <f t="shared" si="83"/>
        <v>68175.111165545299</v>
      </c>
      <c r="KQ192" s="175">
        <v>67998.208536670398</v>
      </c>
      <c r="KR192" s="140">
        <f t="shared" si="84"/>
        <v>67825.791471854493</v>
      </c>
      <c r="KS192" s="140">
        <f t="shared" si="84"/>
        <v>67653.374407038587</v>
      </c>
      <c r="KT192" s="140">
        <f t="shared" si="84"/>
        <v>67480.957342222682</v>
      </c>
      <c r="KU192" s="140">
        <f t="shared" si="84"/>
        <v>67308.540277406777</v>
      </c>
      <c r="KV192" s="140">
        <f t="shared" si="84"/>
        <v>67136.123212590872</v>
      </c>
      <c r="KW192" s="140">
        <f t="shared" si="84"/>
        <v>66963.706147774967</v>
      </c>
      <c r="KX192" s="140">
        <f t="shared" si="84"/>
        <v>66791.289082959061</v>
      </c>
      <c r="KY192" s="140">
        <f t="shared" si="84"/>
        <v>66618.872018143156</v>
      </c>
      <c r="KZ192" s="140">
        <f t="shared" si="84"/>
        <v>66446.454953327251</v>
      </c>
      <c r="LA192" s="176">
        <v>66274.037888511346</v>
      </c>
      <c r="LB192" s="140"/>
      <c r="LC192" s="177"/>
      <c r="LD192" s="178"/>
      <c r="LE192" s="178"/>
      <c r="LF192" s="178"/>
      <c r="LG192" s="178"/>
      <c r="LH192" s="175">
        <v>71786.848419999893</v>
      </c>
      <c r="LI192" s="140">
        <f t="shared" si="85"/>
        <v>71584.887060541849</v>
      </c>
      <c r="LJ192" s="140">
        <f t="shared" si="85"/>
        <v>71382.925701083805</v>
      </c>
      <c r="LK192" s="140">
        <f t="shared" si="85"/>
        <v>71180.964341625746</v>
      </c>
      <c r="LL192" s="140">
        <f t="shared" si="85"/>
        <v>70979.002982167702</v>
      </c>
      <c r="LM192" s="140">
        <f t="shared" si="85"/>
        <v>70777.041622709658</v>
      </c>
      <c r="LN192" s="140">
        <f t="shared" si="85"/>
        <v>70575.080263251613</v>
      </c>
      <c r="LO192" s="140">
        <f t="shared" si="85"/>
        <v>70373.118903793569</v>
      </c>
      <c r="LP192" s="140">
        <f t="shared" si="85"/>
        <v>70171.15754433551</v>
      </c>
      <c r="LQ192" s="140">
        <f t="shared" si="85"/>
        <v>69969.196184877466</v>
      </c>
      <c r="LR192" s="175">
        <v>69767.234825419422</v>
      </c>
      <c r="LS192" s="140">
        <f t="shared" si="86"/>
        <v>69590.332196544521</v>
      </c>
      <c r="LT192" s="140">
        <f t="shared" si="86"/>
        <v>69413.42956766962</v>
      </c>
      <c r="LU192" s="140">
        <f t="shared" si="86"/>
        <v>69236.526938794719</v>
      </c>
      <c r="LV192" s="140">
        <f t="shared" si="86"/>
        <v>69059.624309919818</v>
      </c>
      <c r="LW192" s="140">
        <f t="shared" si="86"/>
        <v>68882.721681044903</v>
      </c>
      <c r="LX192" s="140">
        <f t="shared" si="86"/>
        <v>68705.819052170002</v>
      </c>
      <c r="LY192" s="140">
        <f t="shared" si="86"/>
        <v>68528.916423295101</v>
      </c>
      <c r="LZ192" s="140">
        <f t="shared" si="86"/>
        <v>68352.0137944202</v>
      </c>
      <c r="MA192" s="140">
        <f t="shared" si="86"/>
        <v>68175.111165545299</v>
      </c>
      <c r="MB192" s="175">
        <v>67998.208536670398</v>
      </c>
      <c r="MC192" s="140">
        <f t="shared" si="87"/>
        <v>67825.791471854493</v>
      </c>
      <c r="MD192" s="140">
        <f t="shared" si="87"/>
        <v>67653.374407038587</v>
      </c>
      <c r="ME192" s="140">
        <f t="shared" si="87"/>
        <v>67480.957342222682</v>
      </c>
      <c r="MF192" s="140">
        <f t="shared" si="87"/>
        <v>67308.540277406777</v>
      </c>
      <c r="MG192" s="140">
        <f t="shared" si="87"/>
        <v>67136.123212590872</v>
      </c>
      <c r="MH192" s="140">
        <f t="shared" si="87"/>
        <v>66963.706147774967</v>
      </c>
      <c r="MI192" s="140">
        <f t="shared" si="87"/>
        <v>66791.289082959061</v>
      </c>
      <c r="MJ192" s="140">
        <f t="shared" si="87"/>
        <v>66618.872018143156</v>
      </c>
      <c r="MK192" s="140">
        <f t="shared" si="87"/>
        <v>66446.454953327251</v>
      </c>
      <c r="ML192" s="176">
        <v>66274.037888511346</v>
      </c>
    </row>
    <row r="193" spans="3:350" s="4" customFormat="1" ht="18" customHeight="1" x14ac:dyDescent="0.3">
      <c r="C193" s="136" t="s">
        <v>81</v>
      </c>
      <c r="E193" s="137" t="s">
        <v>105</v>
      </c>
      <c r="F193" s="147" t="s">
        <v>105</v>
      </c>
      <c r="H193" s="174">
        <v>114188</v>
      </c>
      <c r="I193" s="175">
        <v>115039.42781475192</v>
      </c>
      <c r="J193" s="175">
        <v>115890.85562950383</v>
      </c>
      <c r="K193" s="175">
        <v>116742.28344425575</v>
      </c>
      <c r="L193" s="175">
        <v>117593.71125900766</v>
      </c>
      <c r="M193" s="175">
        <v>118445.13907375958</v>
      </c>
      <c r="N193" s="175"/>
      <c r="O193" s="175"/>
      <c r="P193" s="175"/>
      <c r="Q193" s="176"/>
      <c r="R193" s="140"/>
      <c r="S193" s="139"/>
      <c r="T193" s="140"/>
      <c r="U193" s="140"/>
      <c r="V193" s="140"/>
      <c r="W193" s="140"/>
      <c r="X193" s="140"/>
      <c r="Y193" s="140"/>
      <c r="Z193" s="140"/>
      <c r="AA193" s="140"/>
      <c r="AB193" s="140"/>
      <c r="AC193" s="140"/>
      <c r="AD193" s="140"/>
      <c r="AE193" s="140"/>
      <c r="AF193" s="140"/>
      <c r="AG193" s="140"/>
      <c r="AH193" s="140"/>
      <c r="AI193" s="140"/>
      <c r="AJ193" s="140"/>
      <c r="AK193" s="140"/>
      <c r="AL193" s="140"/>
      <c r="AM193" s="140"/>
      <c r="AN193" s="140"/>
      <c r="AO193" s="140"/>
      <c r="AP193" s="140"/>
      <c r="AQ193" s="140"/>
      <c r="AR193" s="140"/>
      <c r="AS193" s="140"/>
      <c r="AT193" s="140"/>
      <c r="AU193" s="140"/>
      <c r="AV193" s="140"/>
      <c r="AW193" s="140"/>
      <c r="AX193" s="140"/>
      <c r="AY193" s="140"/>
      <c r="AZ193" s="140"/>
      <c r="BA193" s="140"/>
      <c r="BB193" s="141"/>
      <c r="BC193" s="140"/>
      <c r="BD193" s="177"/>
      <c r="BE193" s="178"/>
      <c r="BF193" s="178"/>
      <c r="BG193" s="178"/>
      <c r="BH193" s="178"/>
      <c r="BI193" s="175">
        <f t="shared" si="59"/>
        <v>114065</v>
      </c>
      <c r="BJ193" s="140">
        <f>BI193+(BS193-BI193)*(BJ1-BI1)/(BS1-BI1)</f>
        <v>113476.36109262404</v>
      </c>
      <c r="BK193" s="140">
        <f>BI193+(BS193-BI193)*(BK1-BI1)/(BS1-BI1)</f>
        <v>112887.72218524809</v>
      </c>
      <c r="BL193" s="140">
        <f>BI193+(BS193-BI193)*(BL1-BI1)/(BS1-BI1)</f>
        <v>112299.08327787212</v>
      </c>
      <c r="BM193" s="140">
        <f>BI193+(BS193-BI193)*(BM1-BI1)/(BS1-BI1)</f>
        <v>111710.44437049617</v>
      </c>
      <c r="BN193" s="140">
        <f>BI193+(BS193-BI193)*(BN1-BI1)/(BS1-BI1)</f>
        <v>111121.80546312021</v>
      </c>
      <c r="BO193" s="140">
        <f>BI193+(BS193-BI193)*(BO1-BI1)/(BS1-BI1)</f>
        <v>110533.16655574425</v>
      </c>
      <c r="BP193" s="140">
        <f>BI193+(BS193-BI193)*(BP1-BI1)/(BS1-BI1)</f>
        <v>109944.5276483683</v>
      </c>
      <c r="BQ193" s="140">
        <f>BI193+(BS193-BI193)*(BQ1-BI1)/(BS1-BI1)</f>
        <v>109355.88874099233</v>
      </c>
      <c r="BR193" s="140">
        <f>BI193+(BS193-BI193)*(BR1-BI1)/(BS1-BI1)</f>
        <v>108767.24983361638</v>
      </c>
      <c r="BS193" s="175">
        <f t="shared" si="60"/>
        <v>108178.61092624042</v>
      </c>
      <c r="BT193" s="140">
        <f>BS193+(CC193-BS193)*(BT1-BS1)/(CC1-BS1)</f>
        <v>108027.98592624042</v>
      </c>
      <c r="BU193" s="140">
        <f>BS193+(CC193-BS193)*(BU1-BS1)/(CC1-BS1)</f>
        <v>107877.36092624042</v>
      </c>
      <c r="BV193" s="140">
        <f>BS193+(CC193-BS193)*(BV1-BS1)/(CC1-BS1)</f>
        <v>107726.73592624042</v>
      </c>
      <c r="BW193" s="140">
        <f>BS193+(CC193-BS193)*(BW1-BS1)/(CC1-BS1)</f>
        <v>107576.11092624042</v>
      </c>
      <c r="BX193" s="140">
        <f>BS193+(CC193-BS193)*(BX1-BS1)/(CC1-BS1)</f>
        <v>107425.48592624042</v>
      </c>
      <c r="BY193" s="140">
        <f>BS193+(CC193-BS193)*(BY1-BS1)/(CC1-BS1)</f>
        <v>107274.86092624042</v>
      </c>
      <c r="BZ193" s="140">
        <f>BS193+(CC193-BS193)*(BZ1-BS1)/(CC1-BS1)</f>
        <v>107124.23592624042</v>
      </c>
      <c r="CA193" s="140">
        <f>BS193+(CC193-BS193)*(CA1-BS1)/(CC1-BS1)</f>
        <v>106973.61092624042</v>
      </c>
      <c r="CB193" s="140">
        <f>BS193+(CC193-BS193)*(CB1-BS1)/(CC1-BS1)</f>
        <v>106822.98592624042</v>
      </c>
      <c r="CC193" s="175">
        <f t="shared" si="61"/>
        <v>106672.36092624042</v>
      </c>
      <c r="CD193" s="140">
        <f>CC193+(CM193-CC193)*(CD1-CC1)/(CM1-CC1)</f>
        <v>106521.73592624042</v>
      </c>
      <c r="CE193" s="140">
        <f>CC193+(CM193-CC193)*(CE1-CC1)/(CM1-CC1)</f>
        <v>106371.11092624042</v>
      </c>
      <c r="CF193" s="140">
        <f>CC193+(CM193-CC193)*(CF1-CC1)/(CM1-CC1)</f>
        <v>106220.48592624042</v>
      </c>
      <c r="CG193" s="140">
        <f>CC193+(CM193-CC193)*(CG1-CC1)/(CM1-CC1)</f>
        <v>106069.86092624042</v>
      </c>
      <c r="CH193" s="140">
        <f>CC193+(CM193-CC193)*(CH1-CC1)/(CM1-CC1)</f>
        <v>105919.23592624042</v>
      </c>
      <c r="CI193" s="140">
        <f>CC193+(CM193-CC193)*(CI1-CC1)/(CM1-CC1)</f>
        <v>105768.61092624042</v>
      </c>
      <c r="CJ193" s="140">
        <f>CC193+(CM193-CC193)*(CJ1-CC1)/(CM1-CC1)</f>
        <v>105617.98592624042</v>
      </c>
      <c r="CK193" s="140">
        <f>CC193+(CM193-CC193)*(CK1-CC1)/(CM1-CC1)</f>
        <v>105467.36092624042</v>
      </c>
      <c r="CL193" s="140">
        <f>CC193+(CM193-CC193)*(CL1-CC1)/(CM1-CC1)</f>
        <v>105316.73592624042</v>
      </c>
      <c r="CM193" s="176">
        <f t="shared" si="62"/>
        <v>105166.11092624042</v>
      </c>
      <c r="CN193" s="140"/>
      <c r="CO193" s="177"/>
      <c r="CP193" s="178"/>
      <c r="CQ193" s="178"/>
      <c r="CR193" s="178"/>
      <c r="CS193" s="178"/>
      <c r="CT193" s="175">
        <f t="shared" si="63"/>
        <v>114065</v>
      </c>
      <c r="CU193" s="140">
        <f>CT193+(DD193-CT193)*(CU1-CT1)/(DD1-CT1)</f>
        <v>113026.98609262404</v>
      </c>
      <c r="CV193" s="140">
        <f>CT193+(DD193-CT193)*(CV1-CT1)/(DD1-CT1)</f>
        <v>111988.97218524809</v>
      </c>
      <c r="CW193" s="140">
        <f>CT193+(DD193-CT193)*(CW1-CT1)/(DD1-CT1)</f>
        <v>110950.95827787212</v>
      </c>
      <c r="CX193" s="140">
        <f>CT193+(DD193-CT193)*(CX1-CT1)/(DD1-CT1)</f>
        <v>109912.94437049617</v>
      </c>
      <c r="CY193" s="140">
        <f>CT193+(DD193-CT193)*(CY1-CT1)/(DD1-CT1)</f>
        <v>108874.93046312021</v>
      </c>
      <c r="CZ193" s="140">
        <f>CT193+(DD193-CT193)*(CZ1-CT1)/(DD1-CT1)</f>
        <v>107836.91655574425</v>
      </c>
      <c r="DA193" s="140">
        <f>CT193+(DD193-CT193)*(DA1-CT1)/(DD1-CT1)</f>
        <v>106798.9026483683</v>
      </c>
      <c r="DB193" s="140">
        <f>CT193+(DD193-CT193)*(DB1-CT1)/(DD1-CT1)</f>
        <v>105760.88874099233</v>
      </c>
      <c r="DC193" s="140">
        <f>CT193+(DD193-CT193)*(DC1-CT1)/(DD1-CT1)</f>
        <v>104722.87483361638</v>
      </c>
      <c r="DD193" s="175">
        <f t="shared" si="64"/>
        <v>103684.86092624042</v>
      </c>
      <c r="DE193" s="140">
        <f>DD193+(DN193-DD193)*(DE1-DD1)/(DN1-DD1)</f>
        <v>103084.86092624042</v>
      </c>
      <c r="DF193" s="140">
        <f>DD193+(DN193-DD193)*(DF1-DD1)/(DN1-DD1)</f>
        <v>102484.86092624042</v>
      </c>
      <c r="DG193" s="140">
        <f>DD193+(DN193-DD193)*(DG1-DD1)/(DN1-DD1)</f>
        <v>101884.86092624042</v>
      </c>
      <c r="DH193" s="140">
        <f>DD193+(DN193-DD193)*(DH1-DD1)/(DN1-DD1)</f>
        <v>101284.86092624042</v>
      </c>
      <c r="DI193" s="140">
        <f>DD193+(DN193-DD193)*(DI1-DD1)/(DN1-DD1)</f>
        <v>100684.86092624042</v>
      </c>
      <c r="DJ193" s="140">
        <f>DD193+(DN193-DD193)*(DJ1-DD1)/(DN1-DD1)</f>
        <v>100084.86092624042</v>
      </c>
      <c r="DK193" s="140">
        <f>DD193+(DN193-DD193)*(DK1-DD1)/(DN1-DD1)</f>
        <v>99484.860926240421</v>
      </c>
      <c r="DL193" s="140">
        <f>DD193+(DN193-DD193)*(DL1-DD1)/(DN1-DD1)</f>
        <v>98884.860926240421</v>
      </c>
      <c r="DM193" s="140">
        <f>DD193+(DN193-DD193)*(DM1-DD1)/(DN1-DD1)</f>
        <v>98284.860926240421</v>
      </c>
      <c r="DN193" s="175">
        <f t="shared" si="65"/>
        <v>97684.860926240421</v>
      </c>
      <c r="DO193" s="140">
        <f>DN193+(DX193-DN193)*(DO1-DN1)/(DX1-DN1)</f>
        <v>97084.860926240421</v>
      </c>
      <c r="DP193" s="140">
        <f>DN193+(DX193-DN193)*(DP1-DN1)/(DX1-DN1)</f>
        <v>96484.860926240421</v>
      </c>
      <c r="DQ193" s="140">
        <f>DN193+(DX193-DN193)*(DQ1-DN1)/(DX1-DN1)</f>
        <v>95884.860926240421</v>
      </c>
      <c r="DR193" s="140">
        <f>DN193+(DX193-DN193)*(DR1-DN1)/(DX1-DN1)</f>
        <v>95284.860926240421</v>
      </c>
      <c r="DS193" s="140">
        <f>DN193+(DX193-DN193)*(DS1-DN1)/(DX1-DN1)</f>
        <v>94684.860926240421</v>
      </c>
      <c r="DT193" s="140">
        <f>DN193+(DX193-DN193)*(DT1-DN1)/(DX1-DN1)</f>
        <v>94084.860926240421</v>
      </c>
      <c r="DU193" s="140">
        <f>DN193+(DX193-DN193)*(DU1-DN1)/(DX1-DN1)</f>
        <v>93484.860926240421</v>
      </c>
      <c r="DV193" s="140">
        <f>DN193+(DX193-DN193)*(DV1-DN1)/(DX1-DN1)</f>
        <v>92884.860926240421</v>
      </c>
      <c r="DW193" s="140">
        <f>DN193+(DX193-DN193)*(DW1-DN1)/(DX1-DN1)</f>
        <v>92284.860926240421</v>
      </c>
      <c r="DX193" s="176">
        <f t="shared" si="66"/>
        <v>91684.860926240421</v>
      </c>
      <c r="DY193" s="140"/>
      <c r="DZ193" s="177"/>
      <c r="EA193" s="178"/>
      <c r="EB193" s="178"/>
      <c r="EC193" s="178"/>
      <c r="ED193" s="178"/>
      <c r="EE193" s="175">
        <f t="shared" si="67"/>
        <v>114065</v>
      </c>
      <c r="EF193" s="140">
        <f>EE193+(EO193-EE193)*(EF1-EE1)/(EO1-EE1)</f>
        <v>113026.98609262404</v>
      </c>
      <c r="EG193" s="140">
        <f>EE193+(EO193-EE193)*(EG1-EE1)/(EO1-EE1)</f>
        <v>111988.97218524809</v>
      </c>
      <c r="EH193" s="140">
        <f>EE193+(EO193-EE193)*(EH1-EE1)/(EO1-EE1)</f>
        <v>110950.95827787212</v>
      </c>
      <c r="EI193" s="140">
        <f>EE193+(EO193-EE193)*(EI1-EE1)/(EO1-EE1)</f>
        <v>109912.94437049617</v>
      </c>
      <c r="EJ193" s="140">
        <f>EE193+(EO193-EE193)*(EJ1-EE1)/(EO1-EE1)</f>
        <v>108874.93046312021</v>
      </c>
      <c r="EK193" s="140">
        <f>EE193+(EO193-EE193)*(EK1-EE1)/(EO1-EE1)</f>
        <v>107836.91655574425</v>
      </c>
      <c r="EL193" s="140">
        <f>EE193+(EO193-EE193)*(EL1-EE1)/(EO1-EE1)</f>
        <v>106798.9026483683</v>
      </c>
      <c r="EM193" s="140">
        <f>EE193+(EO193-EE193)*(EM1-EE1)/(EO1-EE1)</f>
        <v>105760.88874099233</v>
      </c>
      <c r="EN193" s="140">
        <f>EE193+(EO193-EE193)*(EN1-EE1)/(EO1-EE1)</f>
        <v>104722.87483361638</v>
      </c>
      <c r="EO193" s="175">
        <f t="shared" si="68"/>
        <v>103684.86092624042</v>
      </c>
      <c r="EP193" s="140">
        <f>EO193+(EY193-EO193)*(EP1-EO1)/(EY1-EO1)</f>
        <v>103084.86092624042</v>
      </c>
      <c r="EQ193" s="140">
        <f>EO193+(EY193-EO193)*(EQ1-EO1)/(EY1-EO1)</f>
        <v>102484.86092624042</v>
      </c>
      <c r="ER193" s="140">
        <f>EO193+(EY193-EO193)*(ER1-EO1)/(EY1-EO1)</f>
        <v>101884.86092624042</v>
      </c>
      <c r="ES193" s="140">
        <f>EO193+(EY193-EO193)*(ES1-EO1)/(EY1-EO1)</f>
        <v>101284.86092624042</v>
      </c>
      <c r="ET193" s="140">
        <f>EO193+(EY193-EO193)*(ET1-EO1)/(EY1-EO1)</f>
        <v>100684.86092624042</v>
      </c>
      <c r="EU193" s="140">
        <f>EO193+(EY193-EO193)*(EU1-EO1)/(EY1-EO1)</f>
        <v>100084.86092624042</v>
      </c>
      <c r="EV193" s="140">
        <f>EO193+(EY193-EO193)*(EV1-EO1)/(EY1-EO1)</f>
        <v>99484.860926240421</v>
      </c>
      <c r="EW193" s="140">
        <f>EO193+(EY193-EO193)*(EW1-EO1)/(EY1-EO1)</f>
        <v>98884.860926240421</v>
      </c>
      <c r="EX193" s="140">
        <f>EO193+(EY193-EO193)*(EX1-EO1)/(EY1-EO1)</f>
        <v>98284.860926240421</v>
      </c>
      <c r="EY193" s="175">
        <f t="shared" si="69"/>
        <v>97684.860926240421</v>
      </c>
      <c r="EZ193" s="140">
        <f>EY193+(FI193-EY193)*(EZ1-EY1)/(FI1-EY1)</f>
        <v>97084.860926240421</v>
      </c>
      <c r="FA193" s="140">
        <f>EY193+(FI193-EY193)*(FA1-EY1)/(FI1-EY1)</f>
        <v>96484.860926240421</v>
      </c>
      <c r="FB193" s="140">
        <f>EY193+(FI193-EY193)*(FB1-EY1)/(FI1-EY1)</f>
        <v>95884.860926240421</v>
      </c>
      <c r="FC193" s="140">
        <f>EY193+(FI193-EY193)*(FC1-EY1)/(FI1-EY1)</f>
        <v>95284.860926240421</v>
      </c>
      <c r="FD193" s="140">
        <f>EY193+(FI193-EY193)*(FD1-EY1)/(FI1-EY1)</f>
        <v>94684.860926240421</v>
      </c>
      <c r="FE193" s="140">
        <f>EY193+(FI193-EY193)*(FE1-EY1)/(FI1-EY1)</f>
        <v>94084.860926240421</v>
      </c>
      <c r="FF193" s="140">
        <f>EY193+(FI193-EY193)*(FF1-EY1)/(FI1-EY1)</f>
        <v>93484.860926240421</v>
      </c>
      <c r="FG193" s="140">
        <f>EY193+(FI193-EY193)*(FG1-EY1)/(FI1-EY1)</f>
        <v>92884.860926240421</v>
      </c>
      <c r="FH193" s="140">
        <f>EY193+(FI193-EY193)*(FH1-EY1)/(FI1-EY1)</f>
        <v>92284.860926240421</v>
      </c>
      <c r="FI193" s="176">
        <f t="shared" si="70"/>
        <v>91684.860926240421</v>
      </c>
      <c r="FJ193" s="140"/>
      <c r="FK193" s="177"/>
      <c r="FL193" s="178"/>
      <c r="FM193" s="178"/>
      <c r="FN193" s="178"/>
      <c r="FO193" s="178"/>
      <c r="FP193" s="175">
        <f t="shared" si="71"/>
        <v>114065</v>
      </c>
      <c r="FQ193" s="140">
        <f>FP193+(FZ193-FP193)*(FQ1-FP1)/(FZ1-FP1)</f>
        <v>113476.36109262404</v>
      </c>
      <c r="FR193" s="140">
        <f>FP193+(FZ193-FP193)*(FR1-FP1)/(FZ1-FP1)</f>
        <v>112887.72218524809</v>
      </c>
      <c r="FS193" s="140">
        <f>FP193+(FZ193-FP193)*(FS1-FP1)/(FZ1-FP1)</f>
        <v>112299.08327787212</v>
      </c>
      <c r="FT193" s="140">
        <f>FP193+(FZ193-FP193)*(FT1-FP1)/(FZ1-FP1)</f>
        <v>111710.44437049617</v>
      </c>
      <c r="FU193" s="140">
        <f>FP193+(FZ193-FP193)*(FU1-FP1)/(FZ1-FP1)</f>
        <v>111121.80546312021</v>
      </c>
      <c r="FV193" s="140">
        <f>FP193+(FZ193-FP193)*(FV1-FP1)/(FZ1-FP1)</f>
        <v>110533.16655574425</v>
      </c>
      <c r="FW193" s="140">
        <f>FP193+(FZ193-FP193)*(FW1-FP1)/(FZ1-FP1)</f>
        <v>109944.5276483683</v>
      </c>
      <c r="FX193" s="140">
        <f>FP193+(FZ193-FP193)*(FX1-FP1)/(FZ1-FP1)</f>
        <v>109355.88874099233</v>
      </c>
      <c r="FY193" s="140">
        <f>FP193+(FZ193-FP193)*(FY1-FP1)/(FZ1-FP1)</f>
        <v>108767.24983361638</v>
      </c>
      <c r="FZ193" s="175">
        <f t="shared" si="72"/>
        <v>108178.61092624042</v>
      </c>
      <c r="GA193" s="140">
        <f>FZ193+(GJ193-FZ193)*(GA1-FZ1)/(GJ1-FZ1)</f>
        <v>108027.98592624042</v>
      </c>
      <c r="GB193" s="140">
        <f>FZ193+(GJ193-FZ193)*(GB1-FZ1)/(GJ1-FZ1)</f>
        <v>107877.36092624042</v>
      </c>
      <c r="GC193" s="140">
        <f>FZ193+(GJ193-FZ193)*(GC1-FZ1)/(GJ1-FZ1)</f>
        <v>107726.73592624042</v>
      </c>
      <c r="GD193" s="140">
        <f>FZ193+(GJ193-FZ193)*(GD1-FZ1)/(GJ1-FZ1)</f>
        <v>107576.11092624042</v>
      </c>
      <c r="GE193" s="140">
        <f>FZ193+(GJ193-FZ193)*(GE1-FZ1)/(GJ1-FZ1)</f>
        <v>107425.48592624042</v>
      </c>
      <c r="GF193" s="140">
        <f>FZ193+(GJ193-FZ193)*(GF1-FZ1)/(GJ1-FZ1)</f>
        <v>107274.86092624042</v>
      </c>
      <c r="GG193" s="140">
        <f>FZ193+(GJ193-FZ193)*(GG1-FZ1)/(GJ1-FZ1)</f>
        <v>107124.23592624042</v>
      </c>
      <c r="GH193" s="140">
        <f>FZ193+(GJ193-FZ193)*(GH1-FZ1)/(GJ1-FZ1)</f>
        <v>106973.61092624042</v>
      </c>
      <c r="GI193" s="140">
        <f>FZ193+(GJ193-FZ193)*(GI1-FZ1)/(GJ1-FZ1)</f>
        <v>106822.98592624042</v>
      </c>
      <c r="GJ193" s="175">
        <f t="shared" si="73"/>
        <v>106672.36092624042</v>
      </c>
      <c r="GK193" s="140">
        <f>GJ193+(GT193-GJ193)*(GK1-GJ1)/(GT1-GJ1)</f>
        <v>106521.73592624042</v>
      </c>
      <c r="GL193" s="140">
        <f>GJ193+(GT193-GJ193)*(GL1-GJ1)/(GT1-GJ1)</f>
        <v>106371.11092624042</v>
      </c>
      <c r="GM193" s="140">
        <f>GJ193+(GT193-GJ193)*(GM1-GJ1)/(GT1-GJ1)</f>
        <v>106220.48592624042</v>
      </c>
      <c r="GN193" s="140">
        <f>GJ193+(GT193-GJ193)*(GN1-GJ1)/(GT1-GJ1)</f>
        <v>106069.86092624042</v>
      </c>
      <c r="GO193" s="140">
        <f>GJ193+(GT193-GJ193)*(GO1-GJ1)/(GT1-GJ1)</f>
        <v>105919.23592624042</v>
      </c>
      <c r="GP193" s="140">
        <f>GJ193+(GT193-GJ193)*(GP1-GJ1)/(GT1-GJ1)</f>
        <v>105768.61092624042</v>
      </c>
      <c r="GQ193" s="140">
        <f>GJ193+(GT193-GJ193)*(GQ1-GJ1)/(GT1-GJ1)</f>
        <v>105617.98592624042</v>
      </c>
      <c r="GR193" s="140">
        <f>GJ193+(GT193-GJ193)*(GR1-GJ1)/(GT1-GJ1)</f>
        <v>105467.36092624042</v>
      </c>
      <c r="GS193" s="140">
        <f>GJ193+(GT193-GJ193)*(GS1-GJ1)/(GT1-GJ1)</f>
        <v>105316.73592624042</v>
      </c>
      <c r="GT193" s="176">
        <f t="shared" si="74"/>
        <v>105166.11092624042</v>
      </c>
      <c r="GU193" s="140"/>
      <c r="GV193" s="177"/>
      <c r="GW193" s="178"/>
      <c r="GX193" s="178"/>
      <c r="GY193" s="178"/>
      <c r="GZ193" s="178"/>
      <c r="HA193" s="175">
        <f t="shared" si="75"/>
        <v>114065</v>
      </c>
      <c r="HB193" s="140">
        <f>HA193+(HK193-HA193)*(HB1-HA1)/(HK1-HA1)</f>
        <v>113476.36109262404</v>
      </c>
      <c r="HC193" s="140">
        <f>HA193+(HK193-HA193)*(HC1-HA1)/(HK1-HA1)</f>
        <v>112887.72218524809</v>
      </c>
      <c r="HD193" s="140">
        <f>HA193+(HK193-HA193)*(HD1-HA1)/(HK1-HA1)</f>
        <v>112299.08327787212</v>
      </c>
      <c r="HE193" s="140">
        <f>HA193+(HK193-HA193)*(HE1-HA1)/(HK1-HA1)</f>
        <v>111710.44437049617</v>
      </c>
      <c r="HF193" s="140">
        <f>HA193+(HK193-HA193)*(HF1-HA1)/(HK1-HA1)</f>
        <v>111121.80546312021</v>
      </c>
      <c r="HG193" s="140">
        <f>HA193+(HK193-HA193)*(HG1-HA1)/(HK1-HA1)</f>
        <v>110533.16655574425</v>
      </c>
      <c r="HH193" s="140">
        <f>HA193+(HK193-HA193)*(HH1-HA1)/(HK1-HA1)</f>
        <v>109944.5276483683</v>
      </c>
      <c r="HI193" s="140">
        <f>HA193+(HK193-HA193)*(HI1-HA1)/(HK1-HA1)</f>
        <v>109355.88874099233</v>
      </c>
      <c r="HJ193" s="140">
        <f>HA193+(HK193-HA193)*(HJ1-HA1)/(HK1-HA1)</f>
        <v>108767.24983361638</v>
      </c>
      <c r="HK193" s="175">
        <f t="shared" si="76"/>
        <v>108178.61092624042</v>
      </c>
      <c r="HL193" s="140">
        <f>HK193+(HU193-HK193)*(HL1-HK1)/(HU1-HK1)</f>
        <v>108027.98592624042</v>
      </c>
      <c r="HM193" s="140">
        <f>HK193+(HU193-HK193)*(HM1-HK1)/(HU1-HK1)</f>
        <v>107877.36092624042</v>
      </c>
      <c r="HN193" s="140">
        <f>HK193+(HU193-HK193)*(HN1-HK1)/(HU1-HK1)</f>
        <v>107726.73592624042</v>
      </c>
      <c r="HO193" s="140">
        <f>HK193+(HU193-HK193)*(HO1-HK1)/(HU1-HK1)</f>
        <v>107576.11092624042</v>
      </c>
      <c r="HP193" s="140">
        <f>HK193+(HU193-HK193)*(HP1-HK1)/(HU1-HK1)</f>
        <v>107425.48592624042</v>
      </c>
      <c r="HQ193" s="140">
        <f>HK193+(HU193-HK193)*(HQ1-HK1)/(HU1-HK1)</f>
        <v>107274.86092624042</v>
      </c>
      <c r="HR193" s="140">
        <f>HK193+(HU193-HK193)*(HR1-HK1)/(HU1-HK1)</f>
        <v>107124.23592624042</v>
      </c>
      <c r="HS193" s="140">
        <f>HK193+(HU193-HK193)*(HS1-HK1)/(HU1-HK1)</f>
        <v>106973.61092624042</v>
      </c>
      <c r="HT193" s="140">
        <f>HK193+(HU193-HK193)*(HT1-HK1)/(HU1-HK1)</f>
        <v>106822.98592624042</v>
      </c>
      <c r="HU193" s="175">
        <f t="shared" si="77"/>
        <v>106672.36092624042</v>
      </c>
      <c r="HV193" s="140">
        <f>HU193+(IE193-HU193)*(HV1-HU1)/(IE1-HU1)</f>
        <v>106521.73592624042</v>
      </c>
      <c r="HW193" s="140">
        <f>HU193+(IE193-HU193)*(HW1-HU1)/(IE1-HU1)</f>
        <v>106371.11092624042</v>
      </c>
      <c r="HX193" s="140">
        <f>HU193+(IE193-HU193)*(HX1-HU1)/(IE1-HU1)</f>
        <v>106220.48592624042</v>
      </c>
      <c r="HY193" s="140">
        <f>HU193+(IE193-HU193)*(HY1-HU1)/(IE1-HU1)</f>
        <v>106069.86092624042</v>
      </c>
      <c r="HZ193" s="140">
        <f>HU193+(IE193-HU193)*(HZ1-HU1)/(IE1-HU1)</f>
        <v>105919.23592624042</v>
      </c>
      <c r="IA193" s="140">
        <f>HU193+(IE193-HU193)*(IA1-HU1)/(IE1-HU1)</f>
        <v>105768.61092624042</v>
      </c>
      <c r="IB193" s="140">
        <f>HU193+(IE193-HU193)*(IB1-HU1)/(IE1-HU1)</f>
        <v>105617.98592624042</v>
      </c>
      <c r="IC193" s="140">
        <f>HU193+(IE193-HU193)*(IC1-HU1)/(IE1-HU1)</f>
        <v>105467.36092624042</v>
      </c>
      <c r="ID193" s="140">
        <f>HU193+(IE193-HU193)*(ID1-HU1)/(IE1-HU1)</f>
        <v>105316.73592624042</v>
      </c>
      <c r="IE193" s="176">
        <f t="shared" si="78"/>
        <v>105166.11092624042</v>
      </c>
      <c r="IF193" s="140"/>
      <c r="IG193" s="177"/>
      <c r="IH193" s="178"/>
      <c r="II193" s="178"/>
      <c r="IJ193" s="178"/>
      <c r="IK193" s="178"/>
      <c r="IL193" s="175">
        <v>113612.79024</v>
      </c>
      <c r="IM193" s="140">
        <f t="shared" si="79"/>
        <v>113322.39922824361</v>
      </c>
      <c r="IN193" s="140">
        <f t="shared" si="79"/>
        <v>113032.00821648723</v>
      </c>
      <c r="IO193" s="140">
        <f t="shared" si="79"/>
        <v>112741.61720473084</v>
      </c>
      <c r="IP193" s="140">
        <f t="shared" si="79"/>
        <v>112451.22619297446</v>
      </c>
      <c r="IQ193" s="140">
        <f t="shared" si="79"/>
        <v>112160.83518121806</v>
      </c>
      <c r="IR193" s="140">
        <f t="shared" si="79"/>
        <v>111870.44416946167</v>
      </c>
      <c r="IS193" s="140">
        <f t="shared" si="79"/>
        <v>111580.05315770529</v>
      </c>
      <c r="IT193" s="140">
        <f t="shared" si="79"/>
        <v>111289.6621459489</v>
      </c>
      <c r="IU193" s="140">
        <f t="shared" si="79"/>
        <v>110999.27113419252</v>
      </c>
      <c r="IV193" s="175">
        <v>110708.88012243612</v>
      </c>
      <c r="IW193" s="140">
        <f t="shared" si="80"/>
        <v>110453.87973247888</v>
      </c>
      <c r="IX193" s="140">
        <f t="shared" si="80"/>
        <v>110198.87934252163</v>
      </c>
      <c r="IY193" s="140">
        <f t="shared" si="80"/>
        <v>109943.8789525644</v>
      </c>
      <c r="IZ193" s="140">
        <f t="shared" si="80"/>
        <v>109688.87856260715</v>
      </c>
      <c r="JA193" s="140">
        <f t="shared" si="80"/>
        <v>109433.8781726499</v>
      </c>
      <c r="JB193" s="140">
        <f t="shared" si="80"/>
        <v>109178.87778269265</v>
      </c>
      <c r="JC193" s="140">
        <f t="shared" si="80"/>
        <v>108923.87739273541</v>
      </c>
      <c r="JD193" s="140">
        <f t="shared" si="80"/>
        <v>108668.87700277817</v>
      </c>
      <c r="JE193" s="140">
        <f t="shared" si="80"/>
        <v>108413.87661282092</v>
      </c>
      <c r="JF193" s="175">
        <v>108158.87622286368</v>
      </c>
      <c r="JG193" s="140">
        <f t="shared" si="81"/>
        <v>107909.74936344946</v>
      </c>
      <c r="JH193" s="140">
        <f t="shared" si="81"/>
        <v>107660.62250403524</v>
      </c>
      <c r="JI193" s="140">
        <f t="shared" si="81"/>
        <v>107411.49564462103</v>
      </c>
      <c r="JJ193" s="140">
        <f t="shared" si="81"/>
        <v>107162.36878520681</v>
      </c>
      <c r="JK193" s="140">
        <f t="shared" si="81"/>
        <v>106913.24192579259</v>
      </c>
      <c r="JL193" s="140">
        <f t="shared" si="81"/>
        <v>106664.11506637836</v>
      </c>
      <c r="JM193" s="140">
        <f t="shared" si="81"/>
        <v>106414.98820696415</v>
      </c>
      <c r="JN193" s="140">
        <f t="shared" si="81"/>
        <v>106165.86134754993</v>
      </c>
      <c r="JO193" s="140">
        <f t="shared" si="81"/>
        <v>105916.73448813571</v>
      </c>
      <c r="JP193" s="176">
        <v>105667.6076287215</v>
      </c>
      <c r="JQ193" s="140"/>
      <c r="JR193" s="177"/>
      <c r="JS193" s="178"/>
      <c r="JT193" s="178"/>
      <c r="JU193" s="178"/>
      <c r="JV193" s="178"/>
      <c r="JW193" s="175">
        <v>113612.79024</v>
      </c>
      <c r="JX193" s="140">
        <f t="shared" si="82"/>
        <v>113322.39922824361</v>
      </c>
      <c r="JY193" s="140">
        <f t="shared" si="82"/>
        <v>113032.00821648723</v>
      </c>
      <c r="JZ193" s="140">
        <f t="shared" si="82"/>
        <v>112741.61720473084</v>
      </c>
      <c r="KA193" s="140">
        <f t="shared" si="82"/>
        <v>112451.22619297446</v>
      </c>
      <c r="KB193" s="140">
        <f t="shared" si="82"/>
        <v>112160.83518121806</v>
      </c>
      <c r="KC193" s="140">
        <f t="shared" si="82"/>
        <v>111870.44416946167</v>
      </c>
      <c r="KD193" s="140">
        <f t="shared" si="82"/>
        <v>111580.05315770529</v>
      </c>
      <c r="KE193" s="140">
        <f t="shared" si="82"/>
        <v>111289.6621459489</v>
      </c>
      <c r="KF193" s="140">
        <f t="shared" si="82"/>
        <v>110999.27113419252</v>
      </c>
      <c r="KG193" s="175">
        <v>110708.88012243612</v>
      </c>
      <c r="KH193" s="140">
        <f t="shared" si="83"/>
        <v>110453.87973247888</v>
      </c>
      <c r="KI193" s="140">
        <f t="shared" si="83"/>
        <v>110198.87934252163</v>
      </c>
      <c r="KJ193" s="140">
        <f t="shared" si="83"/>
        <v>109943.8789525644</v>
      </c>
      <c r="KK193" s="140">
        <f t="shared" si="83"/>
        <v>109688.87856260715</v>
      </c>
      <c r="KL193" s="140">
        <f t="shared" si="83"/>
        <v>109433.8781726499</v>
      </c>
      <c r="KM193" s="140">
        <f t="shared" si="83"/>
        <v>109178.87778269265</v>
      </c>
      <c r="KN193" s="140">
        <f t="shared" si="83"/>
        <v>108923.87739273541</v>
      </c>
      <c r="KO193" s="140">
        <f t="shared" si="83"/>
        <v>108668.87700277817</v>
      </c>
      <c r="KP193" s="140">
        <f t="shared" si="83"/>
        <v>108413.87661282092</v>
      </c>
      <c r="KQ193" s="175">
        <v>108158.87622286368</v>
      </c>
      <c r="KR193" s="140">
        <f t="shared" si="84"/>
        <v>107909.74936344946</v>
      </c>
      <c r="KS193" s="140">
        <f t="shared" si="84"/>
        <v>107660.62250403524</v>
      </c>
      <c r="KT193" s="140">
        <f t="shared" si="84"/>
        <v>107411.49564462103</v>
      </c>
      <c r="KU193" s="140">
        <f t="shared" si="84"/>
        <v>107162.36878520681</v>
      </c>
      <c r="KV193" s="140">
        <f t="shared" si="84"/>
        <v>106913.24192579259</v>
      </c>
      <c r="KW193" s="140">
        <f t="shared" si="84"/>
        <v>106664.11506637836</v>
      </c>
      <c r="KX193" s="140">
        <f t="shared" si="84"/>
        <v>106414.98820696415</v>
      </c>
      <c r="KY193" s="140">
        <f t="shared" si="84"/>
        <v>106165.86134754993</v>
      </c>
      <c r="KZ193" s="140">
        <f t="shared" si="84"/>
        <v>105916.73448813571</v>
      </c>
      <c r="LA193" s="176">
        <v>105667.6076287215</v>
      </c>
      <c r="LB193" s="140"/>
      <c r="LC193" s="177"/>
      <c r="LD193" s="178"/>
      <c r="LE193" s="178"/>
      <c r="LF193" s="178"/>
      <c r="LG193" s="178"/>
      <c r="LH193" s="175">
        <v>113612.79024</v>
      </c>
      <c r="LI193" s="140">
        <f t="shared" si="85"/>
        <v>113322.39922824361</v>
      </c>
      <c r="LJ193" s="140">
        <f t="shared" si="85"/>
        <v>113032.00821648723</v>
      </c>
      <c r="LK193" s="140">
        <f t="shared" si="85"/>
        <v>112741.61720473084</v>
      </c>
      <c r="LL193" s="140">
        <f t="shared" si="85"/>
        <v>112451.22619297446</v>
      </c>
      <c r="LM193" s="140">
        <f t="shared" si="85"/>
        <v>112160.83518121806</v>
      </c>
      <c r="LN193" s="140">
        <f t="shared" si="85"/>
        <v>111870.44416946167</v>
      </c>
      <c r="LO193" s="140">
        <f t="shared" si="85"/>
        <v>111580.05315770529</v>
      </c>
      <c r="LP193" s="140">
        <f t="shared" si="85"/>
        <v>111289.6621459489</v>
      </c>
      <c r="LQ193" s="140">
        <f t="shared" si="85"/>
        <v>110999.27113419252</v>
      </c>
      <c r="LR193" s="175">
        <v>110708.88012243612</v>
      </c>
      <c r="LS193" s="140">
        <f t="shared" si="86"/>
        <v>110453.87973247888</v>
      </c>
      <c r="LT193" s="140">
        <f t="shared" si="86"/>
        <v>110198.87934252163</v>
      </c>
      <c r="LU193" s="140">
        <f t="shared" si="86"/>
        <v>109943.8789525644</v>
      </c>
      <c r="LV193" s="140">
        <f t="shared" si="86"/>
        <v>109688.87856260715</v>
      </c>
      <c r="LW193" s="140">
        <f t="shared" si="86"/>
        <v>109433.8781726499</v>
      </c>
      <c r="LX193" s="140">
        <f t="shared" si="86"/>
        <v>109178.87778269265</v>
      </c>
      <c r="LY193" s="140">
        <f t="shared" si="86"/>
        <v>108923.87739273541</v>
      </c>
      <c r="LZ193" s="140">
        <f t="shared" si="86"/>
        <v>108668.87700277817</v>
      </c>
      <c r="MA193" s="140">
        <f t="shared" si="86"/>
        <v>108413.87661282092</v>
      </c>
      <c r="MB193" s="175">
        <v>108158.87622286368</v>
      </c>
      <c r="MC193" s="140">
        <f t="shared" si="87"/>
        <v>107909.74936344946</v>
      </c>
      <c r="MD193" s="140">
        <f t="shared" si="87"/>
        <v>107660.62250403524</v>
      </c>
      <c r="ME193" s="140">
        <f t="shared" si="87"/>
        <v>107411.49564462103</v>
      </c>
      <c r="MF193" s="140">
        <f t="shared" si="87"/>
        <v>107162.36878520681</v>
      </c>
      <c r="MG193" s="140">
        <f t="shared" si="87"/>
        <v>106913.24192579259</v>
      </c>
      <c r="MH193" s="140">
        <f t="shared" si="87"/>
        <v>106664.11506637836</v>
      </c>
      <c r="MI193" s="140">
        <f t="shared" si="87"/>
        <v>106414.98820696415</v>
      </c>
      <c r="MJ193" s="140">
        <f t="shared" si="87"/>
        <v>106165.86134754993</v>
      </c>
      <c r="MK193" s="140">
        <f t="shared" si="87"/>
        <v>105916.73448813571</v>
      </c>
      <c r="ML193" s="176">
        <v>105667.6076287215</v>
      </c>
    </row>
    <row r="194" spans="3:350" s="4" customFormat="1" ht="18" customHeight="1" x14ac:dyDescent="0.3">
      <c r="C194" s="136" t="s">
        <v>82</v>
      </c>
      <c r="E194" s="137" t="s">
        <v>105</v>
      </c>
      <c r="F194" s="147" t="s">
        <v>105</v>
      </c>
      <c r="H194" s="174">
        <v>71426</v>
      </c>
      <c r="I194" s="175">
        <v>72037</v>
      </c>
      <c r="J194" s="175">
        <v>72648</v>
      </c>
      <c r="K194" s="175">
        <v>73259</v>
      </c>
      <c r="L194" s="175">
        <v>73870</v>
      </c>
      <c r="M194" s="175">
        <v>74481</v>
      </c>
      <c r="N194" s="175"/>
      <c r="O194" s="175"/>
      <c r="P194" s="175"/>
      <c r="Q194" s="176"/>
      <c r="R194" s="140"/>
      <c r="S194" s="139"/>
      <c r="T194" s="140"/>
      <c r="U194" s="140"/>
      <c r="V194" s="140"/>
      <c r="W194" s="140"/>
      <c r="X194" s="140"/>
      <c r="Y194" s="140"/>
      <c r="Z194" s="140"/>
      <c r="AA194" s="140"/>
      <c r="AB194" s="140"/>
      <c r="AC194" s="140"/>
      <c r="AD194" s="140"/>
      <c r="AE194" s="140"/>
      <c r="AF194" s="140"/>
      <c r="AG194" s="140"/>
      <c r="AH194" s="140"/>
      <c r="AI194" s="140"/>
      <c r="AJ194" s="140"/>
      <c r="AK194" s="140"/>
      <c r="AL194" s="140"/>
      <c r="AM194" s="140"/>
      <c r="AN194" s="140"/>
      <c r="AO194" s="140"/>
      <c r="AP194" s="140"/>
      <c r="AQ194" s="140"/>
      <c r="AR194" s="140"/>
      <c r="AS194" s="140"/>
      <c r="AT194" s="140"/>
      <c r="AU194" s="140"/>
      <c r="AV194" s="140"/>
      <c r="AW194" s="140"/>
      <c r="AX194" s="140"/>
      <c r="AY194" s="140"/>
      <c r="AZ194" s="140"/>
      <c r="BA194" s="140"/>
      <c r="BB194" s="141"/>
      <c r="BC194" s="140"/>
      <c r="BD194" s="177"/>
      <c r="BE194" s="178"/>
      <c r="BF194" s="178"/>
      <c r="BG194" s="178"/>
      <c r="BH194" s="178"/>
      <c r="BI194" s="175">
        <f t="shared" si="59"/>
        <v>71697</v>
      </c>
      <c r="BJ194" s="140">
        <f>BI194+(BS194-BI194)*(BJ1-BI1)/(BS1-BI1)</f>
        <v>71227.930303030298</v>
      </c>
      <c r="BK194" s="140">
        <f>BI194+(BS194-BI194)*(BK1-BI1)/(BS1-BI1)</f>
        <v>70758.860606060611</v>
      </c>
      <c r="BL194" s="140">
        <f>BI194+(BS194-BI194)*(BL1-BI1)/(BS1-BI1)</f>
        <v>70289.790909090909</v>
      </c>
      <c r="BM194" s="140">
        <f>BI194+(BS194-BI194)*(BM1-BI1)/(BS1-BI1)</f>
        <v>69820.721212121207</v>
      </c>
      <c r="BN194" s="140">
        <f>BI194+(BS194-BI194)*(BN1-BI1)/(BS1-BI1)</f>
        <v>69351.65151515152</v>
      </c>
      <c r="BO194" s="140">
        <f>BI194+(BS194-BI194)*(BO1-BI1)/(BS1-BI1)</f>
        <v>68882.581818181818</v>
      </c>
      <c r="BP194" s="140">
        <f>BI194+(BS194-BI194)*(BP1-BI1)/(BS1-BI1)</f>
        <v>68413.512121212116</v>
      </c>
      <c r="BQ194" s="140">
        <f>BI194+(BS194-BI194)*(BQ1-BI1)/(BS1-BI1)</f>
        <v>67944.442424242414</v>
      </c>
      <c r="BR194" s="140">
        <f>BI194+(BS194-BI194)*(BR1-BI1)/(BS1-BI1)</f>
        <v>67475.372727272726</v>
      </c>
      <c r="BS194" s="175">
        <f t="shared" si="60"/>
        <v>67006.303030303025</v>
      </c>
      <c r="BT194" s="140">
        <f>BS194+(CC194-BS194)*(BT1-BS1)/(CC1-BS1)</f>
        <v>66815.633333333331</v>
      </c>
      <c r="BU194" s="140">
        <f>BS194+(CC194-BS194)*(BU1-BS1)/(CC1-BS1)</f>
        <v>66624.963636363624</v>
      </c>
      <c r="BV194" s="140">
        <f>BS194+(CC194-BS194)*(BV1-BS1)/(CC1-BS1)</f>
        <v>66434.29393939393</v>
      </c>
      <c r="BW194" s="140">
        <f>BS194+(CC194-BS194)*(BW1-BS1)/(CC1-BS1)</f>
        <v>66243.624242424237</v>
      </c>
      <c r="BX194" s="140">
        <f>BS194+(CC194-BS194)*(BX1-BS1)/(CC1-BS1)</f>
        <v>66052.95454545453</v>
      </c>
      <c r="BY194" s="140">
        <f>BS194+(CC194-BS194)*(BY1-BS1)/(CC1-BS1)</f>
        <v>65862.284848484836</v>
      </c>
      <c r="BZ194" s="140">
        <f>BS194+(CC194-BS194)*(BZ1-BS1)/(CC1-BS1)</f>
        <v>65671.615151515143</v>
      </c>
      <c r="CA194" s="140">
        <f>BS194+(CC194-BS194)*(CA1-BS1)/(CC1-BS1)</f>
        <v>65480.945454545443</v>
      </c>
      <c r="CB194" s="140">
        <f>BS194+(CC194-BS194)*(CB1-BS1)/(CC1-BS1)</f>
        <v>65290.27575757575</v>
      </c>
      <c r="CC194" s="175">
        <f t="shared" si="61"/>
        <v>65099.606060606049</v>
      </c>
      <c r="CD194" s="140">
        <f>CC194+(CM194-CC194)*(CD1-CC1)/(CM1-CC1)</f>
        <v>64908.936363636349</v>
      </c>
      <c r="CE194" s="140">
        <f>CC194+(CM194-CC194)*(CE1-CC1)/(CM1-CC1)</f>
        <v>64718.266666666656</v>
      </c>
      <c r="CF194" s="140">
        <f>CC194+(CM194-CC194)*(CF1-CC1)/(CM1-CC1)</f>
        <v>64527.596969696955</v>
      </c>
      <c r="CG194" s="140">
        <f>CC194+(CM194-CC194)*(CG1-CC1)/(CM1-CC1)</f>
        <v>64336.927272727262</v>
      </c>
      <c r="CH194" s="140">
        <f>CC194+(CM194-CC194)*(CH1-CC1)/(CM1-CC1)</f>
        <v>64146.257575757561</v>
      </c>
      <c r="CI194" s="140">
        <f>CC194+(CM194-CC194)*(CI1-CC1)/(CM1-CC1)</f>
        <v>63955.587878787861</v>
      </c>
      <c r="CJ194" s="140">
        <f>CC194+(CM194-CC194)*(CJ1-CC1)/(CM1-CC1)</f>
        <v>63764.918181818168</v>
      </c>
      <c r="CK194" s="140">
        <f>CC194+(CM194-CC194)*(CK1-CC1)/(CM1-CC1)</f>
        <v>63574.248484848467</v>
      </c>
      <c r="CL194" s="140">
        <f>CC194+(CM194-CC194)*(CL1-CC1)/(CM1-CC1)</f>
        <v>63383.578787878774</v>
      </c>
      <c r="CM194" s="176">
        <f t="shared" si="62"/>
        <v>63192.909090909074</v>
      </c>
      <c r="CN194" s="140"/>
      <c r="CO194" s="177"/>
      <c r="CP194" s="178"/>
      <c r="CQ194" s="178"/>
      <c r="CR194" s="178"/>
      <c r="CS194" s="178"/>
      <c r="CT194" s="175">
        <f t="shared" si="63"/>
        <v>71697</v>
      </c>
      <c r="CU194" s="140">
        <f>CT194+(DD194-CT194)*(CU1-CT1)/(DD1-CT1)</f>
        <v>70818.600000000006</v>
      </c>
      <c r="CV194" s="140">
        <f>CT194+(DD194-CT194)*(CV1-CT1)/(DD1-CT1)</f>
        <v>69940.2</v>
      </c>
      <c r="CW194" s="140">
        <f>CT194+(DD194-CT194)*(CW1-CT1)/(DD1-CT1)</f>
        <v>69061.8</v>
      </c>
      <c r="CX194" s="140">
        <f>CT194+(DD194-CT194)*(CX1-CT1)/(DD1-CT1)</f>
        <v>68183.399999999994</v>
      </c>
      <c r="CY194" s="140">
        <f>CT194+(DD194-CT194)*(CY1-CT1)/(DD1-CT1)</f>
        <v>67305</v>
      </c>
      <c r="CZ194" s="140">
        <f>CT194+(DD194-CT194)*(CZ1-CT1)/(DD1-CT1)</f>
        <v>66426.600000000006</v>
      </c>
      <c r="DA194" s="140">
        <f>CT194+(DD194-CT194)*(DA1-CT1)/(DD1-CT1)</f>
        <v>65548.2</v>
      </c>
      <c r="DB194" s="140">
        <f>CT194+(DD194-CT194)*(DB1-CT1)/(DD1-CT1)</f>
        <v>64669.8</v>
      </c>
      <c r="DC194" s="140">
        <f>CT194+(DD194-CT194)*(DC1-CT1)/(DD1-CT1)</f>
        <v>63791.4</v>
      </c>
      <c r="DD194" s="175">
        <f t="shared" si="64"/>
        <v>62913</v>
      </c>
      <c r="DE194" s="140">
        <f>DD194+(DN194-DD194)*(DE1-DD1)/(DN1-DD1)</f>
        <v>62313</v>
      </c>
      <c r="DF194" s="140">
        <f>DD194+(DN194-DD194)*(DF1-DD1)/(DN1-DD1)</f>
        <v>61713</v>
      </c>
      <c r="DG194" s="140">
        <f>DD194+(DN194-DD194)*(DG1-DD1)/(DN1-DD1)</f>
        <v>61113</v>
      </c>
      <c r="DH194" s="140">
        <f>DD194+(DN194-DD194)*(DH1-DD1)/(DN1-DD1)</f>
        <v>60513</v>
      </c>
      <c r="DI194" s="140">
        <f>DD194+(DN194-DD194)*(DI1-DD1)/(DN1-DD1)</f>
        <v>59913</v>
      </c>
      <c r="DJ194" s="140">
        <f>DD194+(DN194-DD194)*(DJ1-DD1)/(DN1-DD1)</f>
        <v>59313</v>
      </c>
      <c r="DK194" s="140">
        <f>DD194+(DN194-DD194)*(DK1-DD1)/(DN1-DD1)</f>
        <v>58713</v>
      </c>
      <c r="DL194" s="140">
        <f>DD194+(DN194-DD194)*(DL1-DD1)/(DN1-DD1)</f>
        <v>58113</v>
      </c>
      <c r="DM194" s="140">
        <f>DD194+(DN194-DD194)*(DM1-DD1)/(DN1-DD1)</f>
        <v>57513</v>
      </c>
      <c r="DN194" s="175">
        <f t="shared" si="65"/>
        <v>56913</v>
      </c>
      <c r="DO194" s="140">
        <f>DN194+(DX194-DN194)*(DO1-DN1)/(DX1-DN1)</f>
        <v>56313</v>
      </c>
      <c r="DP194" s="140">
        <f>DN194+(DX194-DN194)*(DP1-DN1)/(DX1-DN1)</f>
        <v>55713</v>
      </c>
      <c r="DQ194" s="140">
        <f>DN194+(DX194-DN194)*(DQ1-DN1)/(DX1-DN1)</f>
        <v>55113</v>
      </c>
      <c r="DR194" s="140">
        <f>DN194+(DX194-DN194)*(DR1-DN1)/(DX1-DN1)</f>
        <v>54513</v>
      </c>
      <c r="DS194" s="140">
        <f>DN194+(DX194-DN194)*(DS1-DN1)/(DX1-DN1)</f>
        <v>53913</v>
      </c>
      <c r="DT194" s="140">
        <f>DN194+(DX194-DN194)*(DT1-DN1)/(DX1-DN1)</f>
        <v>53313</v>
      </c>
      <c r="DU194" s="140">
        <f>DN194+(DX194-DN194)*(DU1-DN1)/(DX1-DN1)</f>
        <v>52713</v>
      </c>
      <c r="DV194" s="140">
        <f>DN194+(DX194-DN194)*(DV1-DN1)/(DX1-DN1)</f>
        <v>52113</v>
      </c>
      <c r="DW194" s="140">
        <f>DN194+(DX194-DN194)*(DW1-DN1)/(DX1-DN1)</f>
        <v>51513</v>
      </c>
      <c r="DX194" s="176">
        <f t="shared" si="66"/>
        <v>50913</v>
      </c>
      <c r="DY194" s="140"/>
      <c r="DZ194" s="177"/>
      <c r="EA194" s="178"/>
      <c r="EB194" s="178"/>
      <c r="EC194" s="178"/>
      <c r="ED194" s="178"/>
      <c r="EE194" s="175">
        <f t="shared" si="67"/>
        <v>71697</v>
      </c>
      <c r="EF194" s="140">
        <f>EE194+(EO194-EE194)*(EF1-EE1)/(EO1-EE1)</f>
        <v>70818.600000000006</v>
      </c>
      <c r="EG194" s="140">
        <f>EE194+(EO194-EE194)*(EG1-EE1)/(EO1-EE1)</f>
        <v>69940.2</v>
      </c>
      <c r="EH194" s="140">
        <f>EE194+(EO194-EE194)*(EH1-EE1)/(EO1-EE1)</f>
        <v>69061.8</v>
      </c>
      <c r="EI194" s="140">
        <f>EE194+(EO194-EE194)*(EI1-EE1)/(EO1-EE1)</f>
        <v>68183.399999999994</v>
      </c>
      <c r="EJ194" s="140">
        <f>EE194+(EO194-EE194)*(EJ1-EE1)/(EO1-EE1)</f>
        <v>67305</v>
      </c>
      <c r="EK194" s="140">
        <f>EE194+(EO194-EE194)*(EK1-EE1)/(EO1-EE1)</f>
        <v>66426.600000000006</v>
      </c>
      <c r="EL194" s="140">
        <f>EE194+(EO194-EE194)*(EL1-EE1)/(EO1-EE1)</f>
        <v>65548.2</v>
      </c>
      <c r="EM194" s="140">
        <f>EE194+(EO194-EE194)*(EM1-EE1)/(EO1-EE1)</f>
        <v>64669.8</v>
      </c>
      <c r="EN194" s="140">
        <f>EE194+(EO194-EE194)*(EN1-EE1)/(EO1-EE1)</f>
        <v>63791.4</v>
      </c>
      <c r="EO194" s="175">
        <f t="shared" si="68"/>
        <v>62913</v>
      </c>
      <c r="EP194" s="140">
        <f>EO194+(EY194-EO194)*(EP1-EO1)/(EY1-EO1)</f>
        <v>62313</v>
      </c>
      <c r="EQ194" s="140">
        <f>EO194+(EY194-EO194)*(EQ1-EO1)/(EY1-EO1)</f>
        <v>61713</v>
      </c>
      <c r="ER194" s="140">
        <f>EO194+(EY194-EO194)*(ER1-EO1)/(EY1-EO1)</f>
        <v>61113</v>
      </c>
      <c r="ES194" s="140">
        <f>EO194+(EY194-EO194)*(ES1-EO1)/(EY1-EO1)</f>
        <v>60513</v>
      </c>
      <c r="ET194" s="140">
        <f>EO194+(EY194-EO194)*(ET1-EO1)/(EY1-EO1)</f>
        <v>59913</v>
      </c>
      <c r="EU194" s="140">
        <f>EO194+(EY194-EO194)*(EU1-EO1)/(EY1-EO1)</f>
        <v>59313</v>
      </c>
      <c r="EV194" s="140">
        <f>EO194+(EY194-EO194)*(EV1-EO1)/(EY1-EO1)</f>
        <v>58713</v>
      </c>
      <c r="EW194" s="140">
        <f>EO194+(EY194-EO194)*(EW1-EO1)/(EY1-EO1)</f>
        <v>58113</v>
      </c>
      <c r="EX194" s="140">
        <f>EO194+(EY194-EO194)*(EX1-EO1)/(EY1-EO1)</f>
        <v>57513</v>
      </c>
      <c r="EY194" s="175">
        <f t="shared" si="69"/>
        <v>56913</v>
      </c>
      <c r="EZ194" s="140">
        <f>EY194+(FI194-EY194)*(EZ1-EY1)/(FI1-EY1)</f>
        <v>56313</v>
      </c>
      <c r="FA194" s="140">
        <f>EY194+(FI194-EY194)*(FA1-EY1)/(FI1-EY1)</f>
        <v>55713</v>
      </c>
      <c r="FB194" s="140">
        <f>EY194+(FI194-EY194)*(FB1-EY1)/(FI1-EY1)</f>
        <v>55113</v>
      </c>
      <c r="FC194" s="140">
        <f>EY194+(FI194-EY194)*(FC1-EY1)/(FI1-EY1)</f>
        <v>54513</v>
      </c>
      <c r="FD194" s="140">
        <f>EY194+(FI194-EY194)*(FD1-EY1)/(FI1-EY1)</f>
        <v>53913</v>
      </c>
      <c r="FE194" s="140">
        <f>EY194+(FI194-EY194)*(FE1-EY1)/(FI1-EY1)</f>
        <v>53313</v>
      </c>
      <c r="FF194" s="140">
        <f>EY194+(FI194-EY194)*(FF1-EY1)/(FI1-EY1)</f>
        <v>52713</v>
      </c>
      <c r="FG194" s="140">
        <f>EY194+(FI194-EY194)*(FG1-EY1)/(FI1-EY1)</f>
        <v>52113</v>
      </c>
      <c r="FH194" s="140">
        <f>EY194+(FI194-EY194)*(FH1-EY1)/(FI1-EY1)</f>
        <v>51513</v>
      </c>
      <c r="FI194" s="176">
        <f t="shared" si="70"/>
        <v>50913</v>
      </c>
      <c r="FJ194" s="140"/>
      <c r="FK194" s="177"/>
      <c r="FL194" s="178"/>
      <c r="FM194" s="178"/>
      <c r="FN194" s="178"/>
      <c r="FO194" s="178"/>
      <c r="FP194" s="175">
        <f t="shared" si="71"/>
        <v>71697</v>
      </c>
      <c r="FQ194" s="140">
        <f>FP194+(FZ194-FP194)*(FQ1-FP1)/(FZ1-FP1)</f>
        <v>71227.930303030298</v>
      </c>
      <c r="FR194" s="140">
        <f>FP194+(FZ194-FP194)*(FR1-FP1)/(FZ1-FP1)</f>
        <v>70758.860606060611</v>
      </c>
      <c r="FS194" s="140">
        <f>FP194+(FZ194-FP194)*(FS1-FP1)/(FZ1-FP1)</f>
        <v>70289.790909090909</v>
      </c>
      <c r="FT194" s="140">
        <f>FP194+(FZ194-FP194)*(FT1-FP1)/(FZ1-FP1)</f>
        <v>69820.721212121207</v>
      </c>
      <c r="FU194" s="140">
        <f>FP194+(FZ194-FP194)*(FU1-FP1)/(FZ1-FP1)</f>
        <v>69351.65151515152</v>
      </c>
      <c r="FV194" s="140">
        <f>FP194+(FZ194-FP194)*(FV1-FP1)/(FZ1-FP1)</f>
        <v>68882.581818181818</v>
      </c>
      <c r="FW194" s="140">
        <f>FP194+(FZ194-FP194)*(FW1-FP1)/(FZ1-FP1)</f>
        <v>68413.512121212116</v>
      </c>
      <c r="FX194" s="140">
        <f>FP194+(FZ194-FP194)*(FX1-FP1)/(FZ1-FP1)</f>
        <v>67944.442424242414</v>
      </c>
      <c r="FY194" s="140">
        <f>FP194+(FZ194-FP194)*(FY1-FP1)/(FZ1-FP1)</f>
        <v>67475.372727272726</v>
      </c>
      <c r="FZ194" s="175">
        <f t="shared" si="72"/>
        <v>67006.303030303025</v>
      </c>
      <c r="GA194" s="140">
        <f>FZ194+(GJ194-FZ194)*(GA1-FZ1)/(GJ1-FZ1)</f>
        <v>66815.633333333331</v>
      </c>
      <c r="GB194" s="140">
        <f>FZ194+(GJ194-FZ194)*(GB1-FZ1)/(GJ1-FZ1)</f>
        <v>66624.963636363624</v>
      </c>
      <c r="GC194" s="140">
        <f>FZ194+(GJ194-FZ194)*(GC1-FZ1)/(GJ1-FZ1)</f>
        <v>66434.29393939393</v>
      </c>
      <c r="GD194" s="140">
        <f>FZ194+(GJ194-FZ194)*(GD1-FZ1)/(GJ1-FZ1)</f>
        <v>66243.624242424237</v>
      </c>
      <c r="GE194" s="140">
        <f>FZ194+(GJ194-FZ194)*(GE1-FZ1)/(GJ1-FZ1)</f>
        <v>66052.95454545453</v>
      </c>
      <c r="GF194" s="140">
        <f>FZ194+(GJ194-FZ194)*(GF1-FZ1)/(GJ1-FZ1)</f>
        <v>65862.284848484836</v>
      </c>
      <c r="GG194" s="140">
        <f>FZ194+(GJ194-FZ194)*(GG1-FZ1)/(GJ1-FZ1)</f>
        <v>65671.615151515143</v>
      </c>
      <c r="GH194" s="140">
        <f>FZ194+(GJ194-FZ194)*(GH1-FZ1)/(GJ1-FZ1)</f>
        <v>65480.945454545443</v>
      </c>
      <c r="GI194" s="140">
        <f>FZ194+(GJ194-FZ194)*(GI1-FZ1)/(GJ1-FZ1)</f>
        <v>65290.27575757575</v>
      </c>
      <c r="GJ194" s="175">
        <f t="shared" si="73"/>
        <v>65099.606060606049</v>
      </c>
      <c r="GK194" s="140">
        <f>GJ194+(GT194-GJ194)*(GK1-GJ1)/(GT1-GJ1)</f>
        <v>64908.936363636349</v>
      </c>
      <c r="GL194" s="140">
        <f>GJ194+(GT194-GJ194)*(GL1-GJ1)/(GT1-GJ1)</f>
        <v>64718.266666666656</v>
      </c>
      <c r="GM194" s="140">
        <f>GJ194+(GT194-GJ194)*(GM1-GJ1)/(GT1-GJ1)</f>
        <v>64527.596969696955</v>
      </c>
      <c r="GN194" s="140">
        <f>GJ194+(GT194-GJ194)*(GN1-GJ1)/(GT1-GJ1)</f>
        <v>64336.927272727262</v>
      </c>
      <c r="GO194" s="140">
        <f>GJ194+(GT194-GJ194)*(GO1-GJ1)/(GT1-GJ1)</f>
        <v>64146.257575757561</v>
      </c>
      <c r="GP194" s="140">
        <f>GJ194+(GT194-GJ194)*(GP1-GJ1)/(GT1-GJ1)</f>
        <v>63955.587878787861</v>
      </c>
      <c r="GQ194" s="140">
        <f>GJ194+(GT194-GJ194)*(GQ1-GJ1)/(GT1-GJ1)</f>
        <v>63764.918181818168</v>
      </c>
      <c r="GR194" s="140">
        <f>GJ194+(GT194-GJ194)*(GR1-GJ1)/(GT1-GJ1)</f>
        <v>63574.248484848467</v>
      </c>
      <c r="GS194" s="140">
        <f>GJ194+(GT194-GJ194)*(GS1-GJ1)/(GT1-GJ1)</f>
        <v>63383.578787878774</v>
      </c>
      <c r="GT194" s="176">
        <f t="shared" si="74"/>
        <v>63192.909090909074</v>
      </c>
      <c r="GU194" s="140"/>
      <c r="GV194" s="177"/>
      <c r="GW194" s="178"/>
      <c r="GX194" s="178"/>
      <c r="GY194" s="178"/>
      <c r="GZ194" s="178"/>
      <c r="HA194" s="175">
        <f t="shared" si="75"/>
        <v>71697</v>
      </c>
      <c r="HB194" s="140">
        <f>HA194+(HK194-HA194)*(HB1-HA1)/(HK1-HA1)</f>
        <v>71227.930303030298</v>
      </c>
      <c r="HC194" s="140">
        <f>HA194+(HK194-HA194)*(HC1-HA1)/(HK1-HA1)</f>
        <v>70758.860606060611</v>
      </c>
      <c r="HD194" s="140">
        <f>HA194+(HK194-HA194)*(HD1-HA1)/(HK1-HA1)</f>
        <v>70289.790909090909</v>
      </c>
      <c r="HE194" s="140">
        <f>HA194+(HK194-HA194)*(HE1-HA1)/(HK1-HA1)</f>
        <v>69820.721212121207</v>
      </c>
      <c r="HF194" s="140">
        <f>HA194+(HK194-HA194)*(HF1-HA1)/(HK1-HA1)</f>
        <v>69351.65151515152</v>
      </c>
      <c r="HG194" s="140">
        <f>HA194+(HK194-HA194)*(HG1-HA1)/(HK1-HA1)</f>
        <v>68882.581818181818</v>
      </c>
      <c r="HH194" s="140">
        <f>HA194+(HK194-HA194)*(HH1-HA1)/(HK1-HA1)</f>
        <v>68413.512121212116</v>
      </c>
      <c r="HI194" s="140">
        <f>HA194+(HK194-HA194)*(HI1-HA1)/(HK1-HA1)</f>
        <v>67944.442424242414</v>
      </c>
      <c r="HJ194" s="140">
        <f>HA194+(HK194-HA194)*(HJ1-HA1)/(HK1-HA1)</f>
        <v>67475.372727272726</v>
      </c>
      <c r="HK194" s="175">
        <f t="shared" si="76"/>
        <v>67006.303030303025</v>
      </c>
      <c r="HL194" s="140">
        <f>HK194+(HU194-HK194)*(HL1-HK1)/(HU1-HK1)</f>
        <v>66815.633333333331</v>
      </c>
      <c r="HM194" s="140">
        <f>HK194+(HU194-HK194)*(HM1-HK1)/(HU1-HK1)</f>
        <v>66624.963636363624</v>
      </c>
      <c r="HN194" s="140">
        <f>HK194+(HU194-HK194)*(HN1-HK1)/(HU1-HK1)</f>
        <v>66434.29393939393</v>
      </c>
      <c r="HO194" s="140">
        <f>HK194+(HU194-HK194)*(HO1-HK1)/(HU1-HK1)</f>
        <v>66243.624242424237</v>
      </c>
      <c r="HP194" s="140">
        <f>HK194+(HU194-HK194)*(HP1-HK1)/(HU1-HK1)</f>
        <v>66052.95454545453</v>
      </c>
      <c r="HQ194" s="140">
        <f>HK194+(HU194-HK194)*(HQ1-HK1)/(HU1-HK1)</f>
        <v>65862.284848484836</v>
      </c>
      <c r="HR194" s="140">
        <f>HK194+(HU194-HK194)*(HR1-HK1)/(HU1-HK1)</f>
        <v>65671.615151515143</v>
      </c>
      <c r="HS194" s="140">
        <f>HK194+(HU194-HK194)*(HS1-HK1)/(HU1-HK1)</f>
        <v>65480.945454545443</v>
      </c>
      <c r="HT194" s="140">
        <f>HK194+(HU194-HK194)*(HT1-HK1)/(HU1-HK1)</f>
        <v>65290.27575757575</v>
      </c>
      <c r="HU194" s="175">
        <f t="shared" si="77"/>
        <v>65099.606060606049</v>
      </c>
      <c r="HV194" s="140">
        <f>HU194+(IE194-HU194)*(HV1-HU1)/(IE1-HU1)</f>
        <v>64908.936363636349</v>
      </c>
      <c r="HW194" s="140">
        <f>HU194+(IE194-HU194)*(HW1-HU1)/(IE1-HU1)</f>
        <v>64718.266666666656</v>
      </c>
      <c r="HX194" s="140">
        <f>HU194+(IE194-HU194)*(HX1-HU1)/(IE1-HU1)</f>
        <v>64527.596969696955</v>
      </c>
      <c r="HY194" s="140">
        <f>HU194+(IE194-HU194)*(HY1-HU1)/(IE1-HU1)</f>
        <v>64336.927272727262</v>
      </c>
      <c r="HZ194" s="140">
        <f>HU194+(IE194-HU194)*(HZ1-HU1)/(IE1-HU1)</f>
        <v>64146.257575757561</v>
      </c>
      <c r="IA194" s="140">
        <f>HU194+(IE194-HU194)*(IA1-HU1)/(IE1-HU1)</f>
        <v>63955.587878787861</v>
      </c>
      <c r="IB194" s="140">
        <f>HU194+(IE194-HU194)*(IB1-HU1)/(IE1-HU1)</f>
        <v>63764.918181818168</v>
      </c>
      <c r="IC194" s="140">
        <f>HU194+(IE194-HU194)*(IC1-HU1)/(IE1-HU1)</f>
        <v>63574.248484848467</v>
      </c>
      <c r="ID194" s="140">
        <f>HU194+(IE194-HU194)*(ID1-HU1)/(IE1-HU1)</f>
        <v>63383.578787878774</v>
      </c>
      <c r="IE194" s="176">
        <f t="shared" si="78"/>
        <v>63192.909090909074</v>
      </c>
      <c r="IF194" s="140"/>
      <c r="IG194" s="177"/>
      <c r="IH194" s="178"/>
      <c r="II194" s="178"/>
      <c r="IJ194" s="178"/>
      <c r="IK194" s="178"/>
      <c r="IL194" s="175">
        <v>79312.648260000205</v>
      </c>
      <c r="IM194" s="140">
        <f t="shared" si="79"/>
        <v>79154.492138268368</v>
      </c>
      <c r="IN194" s="140">
        <f t="shared" si="79"/>
        <v>78996.336016536545</v>
      </c>
      <c r="IO194" s="140">
        <f t="shared" si="79"/>
        <v>78838.179894804707</v>
      </c>
      <c r="IP194" s="140">
        <f t="shared" si="79"/>
        <v>78680.02377307287</v>
      </c>
      <c r="IQ194" s="140">
        <f t="shared" si="79"/>
        <v>78521.867651341046</v>
      </c>
      <c r="IR194" s="140">
        <f t="shared" si="79"/>
        <v>78363.711529609209</v>
      </c>
      <c r="IS194" s="140">
        <f t="shared" si="79"/>
        <v>78205.555407877371</v>
      </c>
      <c r="IT194" s="140">
        <f t="shared" si="79"/>
        <v>78047.399286145534</v>
      </c>
      <c r="IU194" s="140">
        <f t="shared" si="79"/>
        <v>77889.24316441371</v>
      </c>
      <c r="IV194" s="175">
        <v>77731.087042681873</v>
      </c>
      <c r="IW194" s="140">
        <f t="shared" si="80"/>
        <v>77591.444805887542</v>
      </c>
      <c r="IX194" s="140">
        <f t="shared" si="80"/>
        <v>77451.802569093226</v>
      </c>
      <c r="IY194" s="140">
        <f t="shared" si="80"/>
        <v>77312.160332298896</v>
      </c>
      <c r="IZ194" s="140">
        <f t="shared" si="80"/>
        <v>77172.51809550458</v>
      </c>
      <c r="JA194" s="140">
        <f t="shared" si="80"/>
        <v>77032.875858710249</v>
      </c>
      <c r="JB194" s="140">
        <f t="shared" si="80"/>
        <v>76893.233621915919</v>
      </c>
      <c r="JC194" s="140">
        <f t="shared" si="80"/>
        <v>76753.591385121603</v>
      </c>
      <c r="JD194" s="140">
        <f t="shared" si="80"/>
        <v>76613.949148327272</v>
      </c>
      <c r="JE194" s="140">
        <f t="shared" si="80"/>
        <v>76474.306911532956</v>
      </c>
      <c r="JF194" s="175">
        <v>76334.664674738626</v>
      </c>
      <c r="JG194" s="140">
        <f t="shared" si="81"/>
        <v>76197.531080887406</v>
      </c>
      <c r="JH194" s="140">
        <f t="shared" si="81"/>
        <v>76060.397487036185</v>
      </c>
      <c r="JI194" s="140">
        <f t="shared" si="81"/>
        <v>75923.263893184951</v>
      </c>
      <c r="JJ194" s="140">
        <f t="shared" si="81"/>
        <v>75786.13029933373</v>
      </c>
      <c r="JK194" s="140">
        <f t="shared" si="81"/>
        <v>75648.99670548251</v>
      </c>
      <c r="JL194" s="140">
        <f t="shared" si="81"/>
        <v>75511.86311163129</v>
      </c>
      <c r="JM194" s="140">
        <f t="shared" si="81"/>
        <v>75374.72951778007</v>
      </c>
      <c r="JN194" s="140">
        <f t="shared" si="81"/>
        <v>75237.595923928835</v>
      </c>
      <c r="JO194" s="140">
        <f t="shared" si="81"/>
        <v>75100.462330077615</v>
      </c>
      <c r="JP194" s="176">
        <v>74963.328736226395</v>
      </c>
      <c r="JQ194" s="140"/>
      <c r="JR194" s="177"/>
      <c r="JS194" s="178"/>
      <c r="JT194" s="178"/>
      <c r="JU194" s="178"/>
      <c r="JV194" s="178"/>
      <c r="JW194" s="175">
        <v>79312.648260000205</v>
      </c>
      <c r="JX194" s="140">
        <f t="shared" si="82"/>
        <v>79154.492138268368</v>
      </c>
      <c r="JY194" s="140">
        <f t="shared" si="82"/>
        <v>78996.336016536545</v>
      </c>
      <c r="JZ194" s="140">
        <f t="shared" si="82"/>
        <v>78838.179894804707</v>
      </c>
      <c r="KA194" s="140">
        <f t="shared" si="82"/>
        <v>78680.02377307287</v>
      </c>
      <c r="KB194" s="140">
        <f t="shared" si="82"/>
        <v>78521.867651341046</v>
      </c>
      <c r="KC194" s="140">
        <f t="shared" si="82"/>
        <v>78363.711529609209</v>
      </c>
      <c r="KD194" s="140">
        <f t="shared" si="82"/>
        <v>78205.555407877371</v>
      </c>
      <c r="KE194" s="140">
        <f t="shared" si="82"/>
        <v>78047.399286145534</v>
      </c>
      <c r="KF194" s="140">
        <f t="shared" si="82"/>
        <v>77889.24316441371</v>
      </c>
      <c r="KG194" s="175">
        <v>77731.087042681873</v>
      </c>
      <c r="KH194" s="140">
        <f t="shared" si="83"/>
        <v>77591.444805887542</v>
      </c>
      <c r="KI194" s="140">
        <f t="shared" si="83"/>
        <v>77451.802569093226</v>
      </c>
      <c r="KJ194" s="140">
        <f t="shared" si="83"/>
        <v>77312.160332298896</v>
      </c>
      <c r="KK194" s="140">
        <f t="shared" si="83"/>
        <v>77172.51809550458</v>
      </c>
      <c r="KL194" s="140">
        <f t="shared" si="83"/>
        <v>77032.875858710249</v>
      </c>
      <c r="KM194" s="140">
        <f t="shared" si="83"/>
        <v>76893.233621915919</v>
      </c>
      <c r="KN194" s="140">
        <f t="shared" si="83"/>
        <v>76753.591385121603</v>
      </c>
      <c r="KO194" s="140">
        <f t="shared" si="83"/>
        <v>76613.949148327272</v>
      </c>
      <c r="KP194" s="140">
        <f t="shared" si="83"/>
        <v>76474.306911532956</v>
      </c>
      <c r="KQ194" s="175">
        <v>76334.664674738626</v>
      </c>
      <c r="KR194" s="140">
        <f t="shared" si="84"/>
        <v>76197.531080887406</v>
      </c>
      <c r="KS194" s="140">
        <f t="shared" si="84"/>
        <v>76060.397487036185</v>
      </c>
      <c r="KT194" s="140">
        <f t="shared" si="84"/>
        <v>75923.263893184951</v>
      </c>
      <c r="KU194" s="140">
        <f t="shared" si="84"/>
        <v>75786.13029933373</v>
      </c>
      <c r="KV194" s="140">
        <f t="shared" si="84"/>
        <v>75648.99670548251</v>
      </c>
      <c r="KW194" s="140">
        <f t="shared" si="84"/>
        <v>75511.86311163129</v>
      </c>
      <c r="KX194" s="140">
        <f t="shared" si="84"/>
        <v>75374.72951778007</v>
      </c>
      <c r="KY194" s="140">
        <f t="shared" si="84"/>
        <v>75237.595923928835</v>
      </c>
      <c r="KZ194" s="140">
        <f t="shared" si="84"/>
        <v>75100.462330077615</v>
      </c>
      <c r="LA194" s="176">
        <v>74963.328736226395</v>
      </c>
      <c r="LB194" s="140"/>
      <c r="LC194" s="177"/>
      <c r="LD194" s="178"/>
      <c r="LE194" s="178"/>
      <c r="LF194" s="178"/>
      <c r="LG194" s="178"/>
      <c r="LH194" s="175">
        <v>79312.648260000205</v>
      </c>
      <c r="LI194" s="140">
        <f t="shared" si="85"/>
        <v>79154.492138268368</v>
      </c>
      <c r="LJ194" s="140">
        <f t="shared" si="85"/>
        <v>78996.336016536545</v>
      </c>
      <c r="LK194" s="140">
        <f t="shared" si="85"/>
        <v>78838.179894804707</v>
      </c>
      <c r="LL194" s="140">
        <f t="shared" si="85"/>
        <v>78680.02377307287</v>
      </c>
      <c r="LM194" s="140">
        <f t="shared" si="85"/>
        <v>78521.867651341046</v>
      </c>
      <c r="LN194" s="140">
        <f t="shared" si="85"/>
        <v>78363.711529609209</v>
      </c>
      <c r="LO194" s="140">
        <f t="shared" si="85"/>
        <v>78205.555407877371</v>
      </c>
      <c r="LP194" s="140">
        <f t="shared" si="85"/>
        <v>78047.399286145534</v>
      </c>
      <c r="LQ194" s="140">
        <f t="shared" si="85"/>
        <v>77889.24316441371</v>
      </c>
      <c r="LR194" s="175">
        <v>77731.087042681873</v>
      </c>
      <c r="LS194" s="140">
        <f t="shared" si="86"/>
        <v>77591.444805887542</v>
      </c>
      <c r="LT194" s="140">
        <f t="shared" si="86"/>
        <v>77451.802569093226</v>
      </c>
      <c r="LU194" s="140">
        <f t="shared" si="86"/>
        <v>77312.160332298896</v>
      </c>
      <c r="LV194" s="140">
        <f t="shared" si="86"/>
        <v>77172.51809550458</v>
      </c>
      <c r="LW194" s="140">
        <f t="shared" si="86"/>
        <v>77032.875858710249</v>
      </c>
      <c r="LX194" s="140">
        <f t="shared" si="86"/>
        <v>76893.233621915919</v>
      </c>
      <c r="LY194" s="140">
        <f t="shared" si="86"/>
        <v>76753.591385121603</v>
      </c>
      <c r="LZ194" s="140">
        <f t="shared" si="86"/>
        <v>76613.949148327272</v>
      </c>
      <c r="MA194" s="140">
        <f t="shared" si="86"/>
        <v>76474.306911532956</v>
      </c>
      <c r="MB194" s="175">
        <v>76334.664674738626</v>
      </c>
      <c r="MC194" s="140">
        <f t="shared" si="87"/>
        <v>76197.531080887406</v>
      </c>
      <c r="MD194" s="140">
        <f t="shared" si="87"/>
        <v>76060.397487036185</v>
      </c>
      <c r="ME194" s="140">
        <f t="shared" si="87"/>
        <v>75923.263893184951</v>
      </c>
      <c r="MF194" s="140">
        <f t="shared" si="87"/>
        <v>75786.13029933373</v>
      </c>
      <c r="MG194" s="140">
        <f t="shared" si="87"/>
        <v>75648.99670548251</v>
      </c>
      <c r="MH194" s="140">
        <f t="shared" si="87"/>
        <v>75511.86311163129</v>
      </c>
      <c r="MI194" s="140">
        <f t="shared" si="87"/>
        <v>75374.72951778007</v>
      </c>
      <c r="MJ194" s="140">
        <f t="shared" si="87"/>
        <v>75237.595923928835</v>
      </c>
      <c r="MK194" s="140">
        <f t="shared" si="87"/>
        <v>75100.462330077615</v>
      </c>
      <c r="ML194" s="176">
        <v>74963.328736226395</v>
      </c>
    </row>
    <row r="195" spans="3:350" s="4" customFormat="1" ht="18" customHeight="1" x14ac:dyDescent="0.3">
      <c r="C195" s="136" t="s">
        <v>83</v>
      </c>
      <c r="E195" s="137" t="s">
        <v>105</v>
      </c>
      <c r="F195" s="147" t="s">
        <v>105</v>
      </c>
      <c r="H195" s="174">
        <v>25399</v>
      </c>
      <c r="I195" s="175">
        <v>25487.060639581654</v>
      </c>
      <c r="J195" s="175">
        <v>25575.121279163308</v>
      </c>
      <c r="K195" s="175">
        <v>25663.181918744958</v>
      </c>
      <c r="L195" s="175">
        <v>25751.242558326612</v>
      </c>
      <c r="M195" s="175">
        <v>25839.303197908266</v>
      </c>
      <c r="N195" s="175"/>
      <c r="O195" s="175"/>
      <c r="P195" s="175"/>
      <c r="Q195" s="176"/>
      <c r="R195" s="140"/>
      <c r="S195" s="139"/>
      <c r="T195" s="140"/>
      <c r="U195" s="140"/>
      <c r="V195" s="140"/>
      <c r="W195" s="140"/>
      <c r="X195" s="140"/>
      <c r="Y195" s="140"/>
      <c r="Z195" s="140"/>
      <c r="AA195" s="140"/>
      <c r="AB195" s="140"/>
      <c r="AC195" s="140"/>
      <c r="AD195" s="140"/>
      <c r="AE195" s="140"/>
      <c r="AF195" s="140"/>
      <c r="AG195" s="140"/>
      <c r="AH195" s="140"/>
      <c r="AI195" s="140"/>
      <c r="AJ195" s="140"/>
      <c r="AK195" s="140"/>
      <c r="AL195" s="140"/>
      <c r="AM195" s="140"/>
      <c r="AN195" s="140"/>
      <c r="AO195" s="140"/>
      <c r="AP195" s="140"/>
      <c r="AQ195" s="140"/>
      <c r="AR195" s="140"/>
      <c r="AS195" s="140"/>
      <c r="AT195" s="140"/>
      <c r="AU195" s="140"/>
      <c r="AV195" s="140"/>
      <c r="AW195" s="140"/>
      <c r="AX195" s="140"/>
      <c r="AY195" s="140"/>
      <c r="AZ195" s="140"/>
      <c r="BA195" s="140"/>
      <c r="BB195" s="141"/>
      <c r="BC195" s="140"/>
      <c r="BD195" s="177"/>
      <c r="BE195" s="178"/>
      <c r="BF195" s="178"/>
      <c r="BG195" s="178"/>
      <c r="BH195" s="178"/>
      <c r="BI195" s="175">
        <f t="shared" si="59"/>
        <v>25557</v>
      </c>
      <c r="BJ195" s="140">
        <f>BI195+(BS195-BI195)*(BJ1-BI1)/(BS1-BI1)</f>
        <v>25557</v>
      </c>
      <c r="BK195" s="140">
        <f>BI195+(BS195-BI195)*(BK1-BI1)/(BS1-BI1)</f>
        <v>25557</v>
      </c>
      <c r="BL195" s="140">
        <f>BI195+(BS195-BI195)*(BL1-BI1)/(BS1-BI1)</f>
        <v>25557</v>
      </c>
      <c r="BM195" s="140">
        <f>BI195+(BS195-BI195)*(BM1-BI1)/(BS1-BI1)</f>
        <v>25557</v>
      </c>
      <c r="BN195" s="140">
        <f>BI195+(BS195-BI195)*(BN1-BI1)/(BS1-BI1)</f>
        <v>25557</v>
      </c>
      <c r="BO195" s="140">
        <f>BI195+(BS195-BI195)*(BO1-BI1)/(BS1-BI1)</f>
        <v>25557</v>
      </c>
      <c r="BP195" s="140">
        <f>BI195+(BS195-BI195)*(BP1-BI1)/(BS1-BI1)</f>
        <v>25557</v>
      </c>
      <c r="BQ195" s="140">
        <f>BI195+(BS195-BI195)*(BQ1-BI1)/(BS1-BI1)</f>
        <v>25557</v>
      </c>
      <c r="BR195" s="140">
        <f>BI195+(BS195-BI195)*(BR1-BI1)/(BS1-BI1)</f>
        <v>25557</v>
      </c>
      <c r="BS195" s="175">
        <f t="shared" si="60"/>
        <v>25557</v>
      </c>
      <c r="BT195" s="140">
        <f>BS195+(CC195-BS195)*(BT1-BS1)/(CC1-BS1)</f>
        <v>25557</v>
      </c>
      <c r="BU195" s="140">
        <f>BS195+(CC195-BS195)*(BU1-BS1)/(CC1-BS1)</f>
        <v>25557</v>
      </c>
      <c r="BV195" s="140">
        <f>BS195+(CC195-BS195)*(BV1-BS1)/(CC1-BS1)</f>
        <v>25557</v>
      </c>
      <c r="BW195" s="140">
        <f>BS195+(CC195-BS195)*(BW1-BS1)/(CC1-BS1)</f>
        <v>25557</v>
      </c>
      <c r="BX195" s="140">
        <f>BS195+(CC195-BS195)*(BX1-BS1)/(CC1-BS1)</f>
        <v>25557</v>
      </c>
      <c r="BY195" s="140">
        <f>BS195+(CC195-BS195)*(BY1-BS1)/(CC1-BS1)</f>
        <v>25557</v>
      </c>
      <c r="BZ195" s="140">
        <f>BS195+(CC195-BS195)*(BZ1-BS1)/(CC1-BS1)</f>
        <v>25557</v>
      </c>
      <c r="CA195" s="140">
        <f>BS195+(CC195-BS195)*(CA1-BS1)/(CC1-BS1)</f>
        <v>25557</v>
      </c>
      <c r="CB195" s="140">
        <f>BS195+(CC195-BS195)*(CB1-BS1)/(CC1-BS1)</f>
        <v>25557</v>
      </c>
      <c r="CC195" s="175">
        <f t="shared" si="61"/>
        <v>25557</v>
      </c>
      <c r="CD195" s="140">
        <f>CC195+(CM195-CC195)*(CD1-CC1)/(CM1-CC1)</f>
        <v>25557</v>
      </c>
      <c r="CE195" s="140">
        <f>CC195+(CM195-CC195)*(CE1-CC1)/(CM1-CC1)</f>
        <v>25557</v>
      </c>
      <c r="CF195" s="140">
        <f>CC195+(CM195-CC195)*(CF1-CC1)/(CM1-CC1)</f>
        <v>25557</v>
      </c>
      <c r="CG195" s="140">
        <f>CC195+(CM195-CC195)*(CG1-CC1)/(CM1-CC1)</f>
        <v>25557</v>
      </c>
      <c r="CH195" s="140">
        <f>CC195+(CM195-CC195)*(CH1-CC1)/(CM1-CC1)</f>
        <v>25557</v>
      </c>
      <c r="CI195" s="140">
        <f>CC195+(CM195-CC195)*(CI1-CC1)/(CM1-CC1)</f>
        <v>25557</v>
      </c>
      <c r="CJ195" s="140">
        <f>CC195+(CM195-CC195)*(CJ1-CC1)/(CM1-CC1)</f>
        <v>25557</v>
      </c>
      <c r="CK195" s="140">
        <f>CC195+(CM195-CC195)*(CK1-CC1)/(CM1-CC1)</f>
        <v>25557</v>
      </c>
      <c r="CL195" s="140">
        <f>CC195+(CM195-CC195)*(CL1-CC1)/(CM1-CC1)</f>
        <v>25557</v>
      </c>
      <c r="CM195" s="176">
        <f t="shared" si="62"/>
        <v>25557</v>
      </c>
      <c r="CN195" s="140"/>
      <c r="CO195" s="177"/>
      <c r="CP195" s="178"/>
      <c r="CQ195" s="178"/>
      <c r="CR195" s="178"/>
      <c r="CS195" s="178"/>
      <c r="CT195" s="175">
        <f t="shared" si="63"/>
        <v>25557</v>
      </c>
      <c r="CU195" s="140">
        <f>CT195+(DD195-CT195)*(CU1-CT1)/(DD1-CT1)</f>
        <v>25557</v>
      </c>
      <c r="CV195" s="140">
        <f>CT195+(DD195-CT195)*(CV1-CT1)/(DD1-CT1)</f>
        <v>25557</v>
      </c>
      <c r="CW195" s="140">
        <f>CT195+(DD195-CT195)*(CW1-CT1)/(DD1-CT1)</f>
        <v>25557</v>
      </c>
      <c r="CX195" s="140">
        <f>CT195+(DD195-CT195)*(CX1-CT1)/(DD1-CT1)</f>
        <v>25557</v>
      </c>
      <c r="CY195" s="140">
        <f>CT195+(DD195-CT195)*(CY1-CT1)/(DD1-CT1)</f>
        <v>25557</v>
      </c>
      <c r="CZ195" s="140">
        <f>CT195+(DD195-CT195)*(CZ1-CT1)/(DD1-CT1)</f>
        <v>25557</v>
      </c>
      <c r="DA195" s="140">
        <f>CT195+(DD195-CT195)*(DA1-CT1)/(DD1-CT1)</f>
        <v>25557</v>
      </c>
      <c r="DB195" s="140">
        <f>CT195+(DD195-CT195)*(DB1-CT1)/(DD1-CT1)</f>
        <v>25557</v>
      </c>
      <c r="DC195" s="140">
        <f>CT195+(DD195-CT195)*(DC1-CT1)/(DD1-CT1)</f>
        <v>25557</v>
      </c>
      <c r="DD195" s="175">
        <f t="shared" si="64"/>
        <v>25557</v>
      </c>
      <c r="DE195" s="140">
        <f>DD195+(DN195-DD195)*(DE1-DD1)/(DN1-DD1)</f>
        <v>25557</v>
      </c>
      <c r="DF195" s="140">
        <f>DD195+(DN195-DD195)*(DF1-DD1)/(DN1-DD1)</f>
        <v>25557</v>
      </c>
      <c r="DG195" s="140">
        <f>DD195+(DN195-DD195)*(DG1-DD1)/(DN1-DD1)</f>
        <v>25557</v>
      </c>
      <c r="DH195" s="140">
        <f>DD195+(DN195-DD195)*(DH1-DD1)/(DN1-DD1)</f>
        <v>25557</v>
      </c>
      <c r="DI195" s="140">
        <f>DD195+(DN195-DD195)*(DI1-DD1)/(DN1-DD1)</f>
        <v>25557</v>
      </c>
      <c r="DJ195" s="140">
        <f>DD195+(DN195-DD195)*(DJ1-DD1)/(DN1-DD1)</f>
        <v>25557</v>
      </c>
      <c r="DK195" s="140">
        <f>DD195+(DN195-DD195)*(DK1-DD1)/(DN1-DD1)</f>
        <v>25557</v>
      </c>
      <c r="DL195" s="140">
        <f>DD195+(DN195-DD195)*(DL1-DD1)/(DN1-DD1)</f>
        <v>25557</v>
      </c>
      <c r="DM195" s="140">
        <f>DD195+(DN195-DD195)*(DM1-DD1)/(DN1-DD1)</f>
        <v>25557</v>
      </c>
      <c r="DN195" s="175">
        <f t="shared" si="65"/>
        <v>25557</v>
      </c>
      <c r="DO195" s="140">
        <f>DN195+(DX195-DN195)*(DO1-DN1)/(DX1-DN1)</f>
        <v>25557</v>
      </c>
      <c r="DP195" s="140">
        <f>DN195+(DX195-DN195)*(DP1-DN1)/(DX1-DN1)</f>
        <v>25557</v>
      </c>
      <c r="DQ195" s="140">
        <f>DN195+(DX195-DN195)*(DQ1-DN1)/(DX1-DN1)</f>
        <v>25557</v>
      </c>
      <c r="DR195" s="140">
        <f>DN195+(DX195-DN195)*(DR1-DN1)/(DX1-DN1)</f>
        <v>25557</v>
      </c>
      <c r="DS195" s="140">
        <f>DN195+(DX195-DN195)*(DS1-DN1)/(DX1-DN1)</f>
        <v>25557</v>
      </c>
      <c r="DT195" s="140">
        <f>DN195+(DX195-DN195)*(DT1-DN1)/(DX1-DN1)</f>
        <v>25557</v>
      </c>
      <c r="DU195" s="140">
        <f>DN195+(DX195-DN195)*(DU1-DN1)/(DX1-DN1)</f>
        <v>25557</v>
      </c>
      <c r="DV195" s="140">
        <f>DN195+(DX195-DN195)*(DV1-DN1)/(DX1-DN1)</f>
        <v>25557</v>
      </c>
      <c r="DW195" s="140">
        <f>DN195+(DX195-DN195)*(DW1-DN1)/(DX1-DN1)</f>
        <v>25557</v>
      </c>
      <c r="DX195" s="176">
        <f t="shared" si="66"/>
        <v>25557</v>
      </c>
      <c r="DY195" s="140"/>
      <c r="DZ195" s="177"/>
      <c r="EA195" s="178"/>
      <c r="EB195" s="178"/>
      <c r="EC195" s="178"/>
      <c r="ED195" s="178"/>
      <c r="EE195" s="175">
        <f t="shared" si="67"/>
        <v>25557</v>
      </c>
      <c r="EF195" s="140">
        <f>EE195+(EO195-EE195)*(EF1-EE1)/(EO1-EE1)</f>
        <v>25557</v>
      </c>
      <c r="EG195" s="140">
        <f>EE195+(EO195-EE195)*(EG1-EE1)/(EO1-EE1)</f>
        <v>25557</v>
      </c>
      <c r="EH195" s="140">
        <f>EE195+(EO195-EE195)*(EH1-EE1)/(EO1-EE1)</f>
        <v>25557</v>
      </c>
      <c r="EI195" s="140">
        <f>EE195+(EO195-EE195)*(EI1-EE1)/(EO1-EE1)</f>
        <v>25557</v>
      </c>
      <c r="EJ195" s="140">
        <f>EE195+(EO195-EE195)*(EJ1-EE1)/(EO1-EE1)</f>
        <v>25557</v>
      </c>
      <c r="EK195" s="140">
        <f>EE195+(EO195-EE195)*(EK1-EE1)/(EO1-EE1)</f>
        <v>25557</v>
      </c>
      <c r="EL195" s="140">
        <f>EE195+(EO195-EE195)*(EL1-EE1)/(EO1-EE1)</f>
        <v>25557</v>
      </c>
      <c r="EM195" s="140">
        <f>EE195+(EO195-EE195)*(EM1-EE1)/(EO1-EE1)</f>
        <v>25557</v>
      </c>
      <c r="EN195" s="140">
        <f>EE195+(EO195-EE195)*(EN1-EE1)/(EO1-EE1)</f>
        <v>25557</v>
      </c>
      <c r="EO195" s="175">
        <f t="shared" si="68"/>
        <v>25557</v>
      </c>
      <c r="EP195" s="140">
        <f>EO195+(EY195-EO195)*(EP1-EO1)/(EY1-EO1)</f>
        <v>25557</v>
      </c>
      <c r="EQ195" s="140">
        <f>EO195+(EY195-EO195)*(EQ1-EO1)/(EY1-EO1)</f>
        <v>25557</v>
      </c>
      <c r="ER195" s="140">
        <f>EO195+(EY195-EO195)*(ER1-EO1)/(EY1-EO1)</f>
        <v>25557</v>
      </c>
      <c r="ES195" s="140">
        <f>EO195+(EY195-EO195)*(ES1-EO1)/(EY1-EO1)</f>
        <v>25557</v>
      </c>
      <c r="ET195" s="140">
        <f>EO195+(EY195-EO195)*(ET1-EO1)/(EY1-EO1)</f>
        <v>25557</v>
      </c>
      <c r="EU195" s="140">
        <f>EO195+(EY195-EO195)*(EU1-EO1)/(EY1-EO1)</f>
        <v>25557</v>
      </c>
      <c r="EV195" s="140">
        <f>EO195+(EY195-EO195)*(EV1-EO1)/(EY1-EO1)</f>
        <v>25557</v>
      </c>
      <c r="EW195" s="140">
        <f>EO195+(EY195-EO195)*(EW1-EO1)/(EY1-EO1)</f>
        <v>25557</v>
      </c>
      <c r="EX195" s="140">
        <f>EO195+(EY195-EO195)*(EX1-EO1)/(EY1-EO1)</f>
        <v>25557</v>
      </c>
      <c r="EY195" s="175">
        <f t="shared" si="69"/>
        <v>25557</v>
      </c>
      <c r="EZ195" s="140">
        <f>EY195+(FI195-EY195)*(EZ1-EY1)/(FI1-EY1)</f>
        <v>25557</v>
      </c>
      <c r="FA195" s="140">
        <f>EY195+(FI195-EY195)*(FA1-EY1)/(FI1-EY1)</f>
        <v>25557</v>
      </c>
      <c r="FB195" s="140">
        <f>EY195+(FI195-EY195)*(FB1-EY1)/(FI1-EY1)</f>
        <v>25557</v>
      </c>
      <c r="FC195" s="140">
        <f>EY195+(FI195-EY195)*(FC1-EY1)/(FI1-EY1)</f>
        <v>25557</v>
      </c>
      <c r="FD195" s="140">
        <f>EY195+(FI195-EY195)*(FD1-EY1)/(FI1-EY1)</f>
        <v>25557</v>
      </c>
      <c r="FE195" s="140">
        <f>EY195+(FI195-EY195)*(FE1-EY1)/(FI1-EY1)</f>
        <v>25557</v>
      </c>
      <c r="FF195" s="140">
        <f>EY195+(FI195-EY195)*(FF1-EY1)/(FI1-EY1)</f>
        <v>25557</v>
      </c>
      <c r="FG195" s="140">
        <f>EY195+(FI195-EY195)*(FG1-EY1)/(FI1-EY1)</f>
        <v>25557</v>
      </c>
      <c r="FH195" s="140">
        <f>EY195+(FI195-EY195)*(FH1-EY1)/(FI1-EY1)</f>
        <v>25557</v>
      </c>
      <c r="FI195" s="176">
        <f t="shared" si="70"/>
        <v>25557</v>
      </c>
      <c r="FJ195" s="140"/>
      <c r="FK195" s="177"/>
      <c r="FL195" s="178"/>
      <c r="FM195" s="178"/>
      <c r="FN195" s="178"/>
      <c r="FO195" s="178"/>
      <c r="FP195" s="175">
        <f t="shared" si="71"/>
        <v>25557</v>
      </c>
      <c r="FQ195" s="140">
        <f>FP195+(FZ195-FP195)*(FQ1-FP1)/(FZ1-FP1)</f>
        <v>25557</v>
      </c>
      <c r="FR195" s="140">
        <f>FP195+(FZ195-FP195)*(FR1-FP1)/(FZ1-FP1)</f>
        <v>25557</v>
      </c>
      <c r="FS195" s="140">
        <f>FP195+(FZ195-FP195)*(FS1-FP1)/(FZ1-FP1)</f>
        <v>25557</v>
      </c>
      <c r="FT195" s="140">
        <f>FP195+(FZ195-FP195)*(FT1-FP1)/(FZ1-FP1)</f>
        <v>25557</v>
      </c>
      <c r="FU195" s="140">
        <f>FP195+(FZ195-FP195)*(FU1-FP1)/(FZ1-FP1)</f>
        <v>25557</v>
      </c>
      <c r="FV195" s="140">
        <f>FP195+(FZ195-FP195)*(FV1-FP1)/(FZ1-FP1)</f>
        <v>25557</v>
      </c>
      <c r="FW195" s="140">
        <f>FP195+(FZ195-FP195)*(FW1-FP1)/(FZ1-FP1)</f>
        <v>25557</v>
      </c>
      <c r="FX195" s="140">
        <f>FP195+(FZ195-FP195)*(FX1-FP1)/(FZ1-FP1)</f>
        <v>25557</v>
      </c>
      <c r="FY195" s="140">
        <f>FP195+(FZ195-FP195)*(FY1-FP1)/(FZ1-FP1)</f>
        <v>25557</v>
      </c>
      <c r="FZ195" s="175">
        <f t="shared" si="72"/>
        <v>25557</v>
      </c>
      <c r="GA195" s="140">
        <f>FZ195+(GJ195-FZ195)*(GA1-FZ1)/(GJ1-FZ1)</f>
        <v>25557</v>
      </c>
      <c r="GB195" s="140">
        <f>FZ195+(GJ195-FZ195)*(GB1-FZ1)/(GJ1-FZ1)</f>
        <v>25557</v>
      </c>
      <c r="GC195" s="140">
        <f>FZ195+(GJ195-FZ195)*(GC1-FZ1)/(GJ1-FZ1)</f>
        <v>25557</v>
      </c>
      <c r="GD195" s="140">
        <f>FZ195+(GJ195-FZ195)*(GD1-FZ1)/(GJ1-FZ1)</f>
        <v>25557</v>
      </c>
      <c r="GE195" s="140">
        <f>FZ195+(GJ195-FZ195)*(GE1-FZ1)/(GJ1-FZ1)</f>
        <v>25557</v>
      </c>
      <c r="GF195" s="140">
        <f>FZ195+(GJ195-FZ195)*(GF1-FZ1)/(GJ1-FZ1)</f>
        <v>25557</v>
      </c>
      <c r="GG195" s="140">
        <f>FZ195+(GJ195-FZ195)*(GG1-FZ1)/(GJ1-FZ1)</f>
        <v>25557</v>
      </c>
      <c r="GH195" s="140">
        <f>FZ195+(GJ195-FZ195)*(GH1-FZ1)/(GJ1-FZ1)</f>
        <v>25557</v>
      </c>
      <c r="GI195" s="140">
        <f>FZ195+(GJ195-FZ195)*(GI1-FZ1)/(GJ1-FZ1)</f>
        <v>25557</v>
      </c>
      <c r="GJ195" s="175">
        <f t="shared" si="73"/>
        <v>25557</v>
      </c>
      <c r="GK195" s="140">
        <f>GJ195+(GT195-GJ195)*(GK1-GJ1)/(GT1-GJ1)</f>
        <v>25557</v>
      </c>
      <c r="GL195" s="140">
        <f>GJ195+(GT195-GJ195)*(GL1-GJ1)/(GT1-GJ1)</f>
        <v>25557</v>
      </c>
      <c r="GM195" s="140">
        <f>GJ195+(GT195-GJ195)*(GM1-GJ1)/(GT1-GJ1)</f>
        <v>25557</v>
      </c>
      <c r="GN195" s="140">
        <f>GJ195+(GT195-GJ195)*(GN1-GJ1)/(GT1-GJ1)</f>
        <v>25557</v>
      </c>
      <c r="GO195" s="140">
        <f>GJ195+(GT195-GJ195)*(GO1-GJ1)/(GT1-GJ1)</f>
        <v>25557</v>
      </c>
      <c r="GP195" s="140">
        <f>GJ195+(GT195-GJ195)*(GP1-GJ1)/(GT1-GJ1)</f>
        <v>25557</v>
      </c>
      <c r="GQ195" s="140">
        <f>GJ195+(GT195-GJ195)*(GQ1-GJ1)/(GT1-GJ1)</f>
        <v>25557</v>
      </c>
      <c r="GR195" s="140">
        <f>GJ195+(GT195-GJ195)*(GR1-GJ1)/(GT1-GJ1)</f>
        <v>25557</v>
      </c>
      <c r="GS195" s="140">
        <f>GJ195+(GT195-GJ195)*(GS1-GJ1)/(GT1-GJ1)</f>
        <v>25557</v>
      </c>
      <c r="GT195" s="176">
        <f t="shared" si="74"/>
        <v>25557</v>
      </c>
      <c r="GU195" s="140"/>
      <c r="GV195" s="177"/>
      <c r="GW195" s="178"/>
      <c r="GX195" s="178"/>
      <c r="GY195" s="178"/>
      <c r="GZ195" s="178"/>
      <c r="HA195" s="175">
        <f t="shared" si="75"/>
        <v>25557</v>
      </c>
      <c r="HB195" s="140">
        <f>HA195+(HK195-HA195)*(HB1-HA1)/(HK1-HA1)</f>
        <v>25557</v>
      </c>
      <c r="HC195" s="140">
        <f>HA195+(HK195-HA195)*(HC1-HA1)/(HK1-HA1)</f>
        <v>25557</v>
      </c>
      <c r="HD195" s="140">
        <f>HA195+(HK195-HA195)*(HD1-HA1)/(HK1-HA1)</f>
        <v>25557</v>
      </c>
      <c r="HE195" s="140">
        <f>HA195+(HK195-HA195)*(HE1-HA1)/(HK1-HA1)</f>
        <v>25557</v>
      </c>
      <c r="HF195" s="140">
        <f>HA195+(HK195-HA195)*(HF1-HA1)/(HK1-HA1)</f>
        <v>25557</v>
      </c>
      <c r="HG195" s="140">
        <f>HA195+(HK195-HA195)*(HG1-HA1)/(HK1-HA1)</f>
        <v>25557</v>
      </c>
      <c r="HH195" s="140">
        <f>HA195+(HK195-HA195)*(HH1-HA1)/(HK1-HA1)</f>
        <v>25557</v>
      </c>
      <c r="HI195" s="140">
        <f>HA195+(HK195-HA195)*(HI1-HA1)/(HK1-HA1)</f>
        <v>25557</v>
      </c>
      <c r="HJ195" s="140">
        <f>HA195+(HK195-HA195)*(HJ1-HA1)/(HK1-HA1)</f>
        <v>25557</v>
      </c>
      <c r="HK195" s="175">
        <f t="shared" si="76"/>
        <v>25557</v>
      </c>
      <c r="HL195" s="140">
        <f>HK195+(HU195-HK195)*(HL1-HK1)/(HU1-HK1)</f>
        <v>25557</v>
      </c>
      <c r="HM195" s="140">
        <f>HK195+(HU195-HK195)*(HM1-HK1)/(HU1-HK1)</f>
        <v>25557</v>
      </c>
      <c r="HN195" s="140">
        <f>HK195+(HU195-HK195)*(HN1-HK1)/(HU1-HK1)</f>
        <v>25557</v>
      </c>
      <c r="HO195" s="140">
        <f>HK195+(HU195-HK195)*(HO1-HK1)/(HU1-HK1)</f>
        <v>25557</v>
      </c>
      <c r="HP195" s="140">
        <f>HK195+(HU195-HK195)*(HP1-HK1)/(HU1-HK1)</f>
        <v>25557</v>
      </c>
      <c r="HQ195" s="140">
        <f>HK195+(HU195-HK195)*(HQ1-HK1)/(HU1-HK1)</f>
        <v>25557</v>
      </c>
      <c r="HR195" s="140">
        <f>HK195+(HU195-HK195)*(HR1-HK1)/(HU1-HK1)</f>
        <v>25557</v>
      </c>
      <c r="HS195" s="140">
        <f>HK195+(HU195-HK195)*(HS1-HK1)/(HU1-HK1)</f>
        <v>25557</v>
      </c>
      <c r="HT195" s="140">
        <f>HK195+(HU195-HK195)*(HT1-HK1)/(HU1-HK1)</f>
        <v>25557</v>
      </c>
      <c r="HU195" s="175">
        <f t="shared" si="77"/>
        <v>25557</v>
      </c>
      <c r="HV195" s="140">
        <f>HU195+(IE195-HU195)*(HV1-HU1)/(IE1-HU1)</f>
        <v>25557</v>
      </c>
      <c r="HW195" s="140">
        <f>HU195+(IE195-HU195)*(HW1-HU1)/(IE1-HU1)</f>
        <v>25557</v>
      </c>
      <c r="HX195" s="140">
        <f>HU195+(IE195-HU195)*(HX1-HU1)/(IE1-HU1)</f>
        <v>25557</v>
      </c>
      <c r="HY195" s="140">
        <f>HU195+(IE195-HU195)*(HY1-HU1)/(IE1-HU1)</f>
        <v>25557</v>
      </c>
      <c r="HZ195" s="140">
        <f>HU195+(IE195-HU195)*(HZ1-HU1)/(IE1-HU1)</f>
        <v>25557</v>
      </c>
      <c r="IA195" s="140">
        <f>HU195+(IE195-HU195)*(IA1-HU1)/(IE1-HU1)</f>
        <v>25557</v>
      </c>
      <c r="IB195" s="140">
        <f>HU195+(IE195-HU195)*(IB1-HU1)/(IE1-HU1)</f>
        <v>25557</v>
      </c>
      <c r="IC195" s="140">
        <f>HU195+(IE195-HU195)*(IC1-HU1)/(IE1-HU1)</f>
        <v>25557</v>
      </c>
      <c r="ID195" s="140">
        <f>HU195+(IE195-HU195)*(ID1-HU1)/(IE1-HU1)</f>
        <v>25557</v>
      </c>
      <c r="IE195" s="176">
        <f t="shared" si="78"/>
        <v>25557</v>
      </c>
      <c r="IF195" s="140"/>
      <c r="IG195" s="177"/>
      <c r="IH195" s="178"/>
      <c r="II195" s="178"/>
      <c r="IJ195" s="178"/>
      <c r="IK195" s="178"/>
      <c r="IL195" s="175">
        <v>19004.924760000202</v>
      </c>
      <c r="IM195" s="140">
        <f t="shared" si="79"/>
        <v>18956.086095249997</v>
      </c>
      <c r="IN195" s="140">
        <f t="shared" si="79"/>
        <v>18907.247430499792</v>
      </c>
      <c r="IO195" s="140">
        <f t="shared" si="79"/>
        <v>18858.408765749587</v>
      </c>
      <c r="IP195" s="140">
        <f t="shared" si="79"/>
        <v>18809.570100999383</v>
      </c>
      <c r="IQ195" s="140">
        <f t="shared" si="79"/>
        <v>18760.731436249178</v>
      </c>
      <c r="IR195" s="140">
        <f t="shared" si="79"/>
        <v>18711.892771498973</v>
      </c>
      <c r="IS195" s="140">
        <f t="shared" si="79"/>
        <v>18663.054106748768</v>
      </c>
      <c r="IT195" s="140">
        <f t="shared" si="79"/>
        <v>18614.215441998564</v>
      </c>
      <c r="IU195" s="140">
        <f t="shared" si="79"/>
        <v>18565.376777248359</v>
      </c>
      <c r="IV195" s="175">
        <v>18516.538112498154</v>
      </c>
      <c r="IW195" s="140">
        <f t="shared" si="80"/>
        <v>18473.657308668313</v>
      </c>
      <c r="IX195" s="140">
        <f t="shared" si="80"/>
        <v>18430.776504838472</v>
      </c>
      <c r="IY195" s="140">
        <f t="shared" si="80"/>
        <v>18387.895701008634</v>
      </c>
      <c r="IZ195" s="140">
        <f t="shared" si="80"/>
        <v>18345.014897178793</v>
      </c>
      <c r="JA195" s="140">
        <f t="shared" si="80"/>
        <v>18302.134093348952</v>
      </c>
      <c r="JB195" s="140">
        <f t="shared" si="80"/>
        <v>18259.253289519111</v>
      </c>
      <c r="JC195" s="140">
        <f t="shared" si="80"/>
        <v>18216.37248568927</v>
      </c>
      <c r="JD195" s="140">
        <f t="shared" si="80"/>
        <v>18173.491681859432</v>
      </c>
      <c r="JE195" s="140">
        <f t="shared" si="80"/>
        <v>18130.610878029591</v>
      </c>
      <c r="JF195" s="175">
        <v>18087.73007419975</v>
      </c>
      <c r="JG195" s="140">
        <f t="shared" si="81"/>
        <v>18045.842308769377</v>
      </c>
      <c r="JH195" s="140">
        <f t="shared" si="81"/>
        <v>18003.954543339005</v>
      </c>
      <c r="JI195" s="140">
        <f t="shared" si="81"/>
        <v>17962.066777908633</v>
      </c>
      <c r="JJ195" s="140">
        <f t="shared" si="81"/>
        <v>17920.17901247826</v>
      </c>
      <c r="JK195" s="140">
        <f t="shared" si="81"/>
        <v>17878.291247047891</v>
      </c>
      <c r="JL195" s="140">
        <f t="shared" si="81"/>
        <v>17836.403481617519</v>
      </c>
      <c r="JM195" s="140">
        <f t="shared" si="81"/>
        <v>17794.515716187147</v>
      </c>
      <c r="JN195" s="140">
        <f t="shared" si="81"/>
        <v>17752.627950756774</v>
      </c>
      <c r="JO195" s="140">
        <f t="shared" si="81"/>
        <v>17710.740185326402</v>
      </c>
      <c r="JP195" s="176">
        <v>17668.852419896029</v>
      </c>
      <c r="JQ195" s="140"/>
      <c r="JR195" s="177"/>
      <c r="JS195" s="178"/>
      <c r="JT195" s="178"/>
      <c r="JU195" s="178"/>
      <c r="JV195" s="178"/>
      <c r="JW195" s="175">
        <v>19004.924760000202</v>
      </c>
      <c r="JX195" s="140">
        <f t="shared" si="82"/>
        <v>18956.086095249997</v>
      </c>
      <c r="JY195" s="140">
        <f t="shared" si="82"/>
        <v>18907.247430499792</v>
      </c>
      <c r="JZ195" s="140">
        <f t="shared" si="82"/>
        <v>18858.408765749587</v>
      </c>
      <c r="KA195" s="140">
        <f t="shared" si="82"/>
        <v>18809.570100999383</v>
      </c>
      <c r="KB195" s="140">
        <f t="shared" si="82"/>
        <v>18760.731436249178</v>
      </c>
      <c r="KC195" s="140">
        <f t="shared" si="82"/>
        <v>18711.892771498973</v>
      </c>
      <c r="KD195" s="140">
        <f t="shared" si="82"/>
        <v>18663.054106748768</v>
      </c>
      <c r="KE195" s="140">
        <f t="shared" si="82"/>
        <v>18614.215441998564</v>
      </c>
      <c r="KF195" s="140">
        <f t="shared" si="82"/>
        <v>18565.376777248359</v>
      </c>
      <c r="KG195" s="175">
        <v>18516.538112498154</v>
      </c>
      <c r="KH195" s="140">
        <f t="shared" si="83"/>
        <v>18473.657308668313</v>
      </c>
      <c r="KI195" s="140">
        <f t="shared" si="83"/>
        <v>18430.776504838472</v>
      </c>
      <c r="KJ195" s="140">
        <f t="shared" si="83"/>
        <v>18387.895701008634</v>
      </c>
      <c r="KK195" s="140">
        <f t="shared" si="83"/>
        <v>18345.014897178793</v>
      </c>
      <c r="KL195" s="140">
        <f t="shared" si="83"/>
        <v>18302.134093348952</v>
      </c>
      <c r="KM195" s="140">
        <f t="shared" si="83"/>
        <v>18259.253289519111</v>
      </c>
      <c r="KN195" s="140">
        <f t="shared" si="83"/>
        <v>18216.37248568927</v>
      </c>
      <c r="KO195" s="140">
        <f t="shared" si="83"/>
        <v>18173.491681859432</v>
      </c>
      <c r="KP195" s="140">
        <f t="shared" si="83"/>
        <v>18130.610878029591</v>
      </c>
      <c r="KQ195" s="175">
        <v>18087.73007419975</v>
      </c>
      <c r="KR195" s="140">
        <f t="shared" si="84"/>
        <v>18045.842308769377</v>
      </c>
      <c r="KS195" s="140">
        <f t="shared" si="84"/>
        <v>18003.954543339005</v>
      </c>
      <c r="KT195" s="140">
        <f t="shared" si="84"/>
        <v>17962.066777908633</v>
      </c>
      <c r="KU195" s="140">
        <f t="shared" si="84"/>
        <v>17920.17901247826</v>
      </c>
      <c r="KV195" s="140">
        <f t="shared" si="84"/>
        <v>17878.291247047891</v>
      </c>
      <c r="KW195" s="140">
        <f t="shared" si="84"/>
        <v>17836.403481617519</v>
      </c>
      <c r="KX195" s="140">
        <f t="shared" si="84"/>
        <v>17794.515716187147</v>
      </c>
      <c r="KY195" s="140">
        <f t="shared" si="84"/>
        <v>17752.627950756774</v>
      </c>
      <c r="KZ195" s="140">
        <f t="shared" si="84"/>
        <v>17710.740185326402</v>
      </c>
      <c r="LA195" s="176">
        <v>17668.852419896029</v>
      </c>
      <c r="LB195" s="140"/>
      <c r="LC195" s="177"/>
      <c r="LD195" s="178"/>
      <c r="LE195" s="178"/>
      <c r="LF195" s="178"/>
      <c r="LG195" s="178"/>
      <c r="LH195" s="175">
        <v>19004.924760000202</v>
      </c>
      <c r="LI195" s="140">
        <f t="shared" si="85"/>
        <v>18956.086095249997</v>
      </c>
      <c r="LJ195" s="140">
        <f t="shared" si="85"/>
        <v>18907.247430499792</v>
      </c>
      <c r="LK195" s="140">
        <f t="shared" si="85"/>
        <v>18858.408765749587</v>
      </c>
      <c r="LL195" s="140">
        <f t="shared" si="85"/>
        <v>18809.570100999383</v>
      </c>
      <c r="LM195" s="140">
        <f t="shared" si="85"/>
        <v>18760.731436249178</v>
      </c>
      <c r="LN195" s="140">
        <f t="shared" si="85"/>
        <v>18711.892771498973</v>
      </c>
      <c r="LO195" s="140">
        <f t="shared" si="85"/>
        <v>18663.054106748768</v>
      </c>
      <c r="LP195" s="140">
        <f t="shared" si="85"/>
        <v>18614.215441998564</v>
      </c>
      <c r="LQ195" s="140">
        <f t="shared" si="85"/>
        <v>18565.376777248359</v>
      </c>
      <c r="LR195" s="175">
        <v>18516.538112498154</v>
      </c>
      <c r="LS195" s="140">
        <f t="shared" si="86"/>
        <v>18473.657308668313</v>
      </c>
      <c r="LT195" s="140">
        <f t="shared" si="86"/>
        <v>18430.776504838472</v>
      </c>
      <c r="LU195" s="140">
        <f t="shared" si="86"/>
        <v>18387.895701008634</v>
      </c>
      <c r="LV195" s="140">
        <f t="shared" si="86"/>
        <v>18345.014897178793</v>
      </c>
      <c r="LW195" s="140">
        <f t="shared" si="86"/>
        <v>18302.134093348952</v>
      </c>
      <c r="LX195" s="140">
        <f t="shared" si="86"/>
        <v>18259.253289519111</v>
      </c>
      <c r="LY195" s="140">
        <f t="shared" si="86"/>
        <v>18216.37248568927</v>
      </c>
      <c r="LZ195" s="140">
        <f t="shared" si="86"/>
        <v>18173.491681859432</v>
      </c>
      <c r="MA195" s="140">
        <f t="shared" si="86"/>
        <v>18130.610878029591</v>
      </c>
      <c r="MB195" s="175">
        <v>18087.73007419975</v>
      </c>
      <c r="MC195" s="140">
        <f t="shared" si="87"/>
        <v>18045.842308769377</v>
      </c>
      <c r="MD195" s="140">
        <f t="shared" si="87"/>
        <v>18003.954543339005</v>
      </c>
      <c r="ME195" s="140">
        <f t="shared" si="87"/>
        <v>17962.066777908633</v>
      </c>
      <c r="MF195" s="140">
        <f t="shared" si="87"/>
        <v>17920.17901247826</v>
      </c>
      <c r="MG195" s="140">
        <f t="shared" si="87"/>
        <v>17878.291247047891</v>
      </c>
      <c r="MH195" s="140">
        <f t="shared" si="87"/>
        <v>17836.403481617519</v>
      </c>
      <c r="MI195" s="140">
        <f t="shared" si="87"/>
        <v>17794.515716187147</v>
      </c>
      <c r="MJ195" s="140">
        <f t="shared" si="87"/>
        <v>17752.627950756774</v>
      </c>
      <c r="MK195" s="140">
        <f t="shared" si="87"/>
        <v>17710.740185326402</v>
      </c>
      <c r="ML195" s="176">
        <v>17668.852419896029</v>
      </c>
    </row>
    <row r="196" spans="3:350" s="4" customFormat="1" ht="18" customHeight="1" x14ac:dyDescent="0.3">
      <c r="C196" s="148" t="s">
        <v>106</v>
      </c>
      <c r="D196" s="132"/>
      <c r="E196" s="149" t="s">
        <v>103</v>
      </c>
      <c r="F196" s="179"/>
      <c r="H196" s="180">
        <f t="shared" ref="H196:Q196" si="88">SUM(H188:H195)</f>
        <v>963675</v>
      </c>
      <c r="I196" s="181">
        <f t="shared" si="88"/>
        <v>971874.00340535445</v>
      </c>
      <c r="J196" s="181">
        <f t="shared" si="88"/>
        <v>980073.0068107089</v>
      </c>
      <c r="K196" s="181">
        <f t="shared" si="88"/>
        <v>988272.01021606347</v>
      </c>
      <c r="L196" s="181">
        <f t="shared" si="88"/>
        <v>996471.01362141792</v>
      </c>
      <c r="M196" s="181">
        <f t="shared" si="88"/>
        <v>1004670.0170267724</v>
      </c>
      <c r="N196" s="181">
        <f t="shared" si="88"/>
        <v>0</v>
      </c>
      <c r="O196" s="181">
        <f t="shared" si="88"/>
        <v>0</v>
      </c>
      <c r="P196" s="181">
        <f t="shared" si="88"/>
        <v>0</v>
      </c>
      <c r="Q196" s="182">
        <f t="shared" si="88"/>
        <v>0</v>
      </c>
      <c r="R196" s="140"/>
      <c r="S196" s="150">
        <v>954735.1004445001</v>
      </c>
      <c r="T196" s="151">
        <v>952181.05259069998</v>
      </c>
      <c r="U196" s="151">
        <v>949635.17922579998</v>
      </c>
      <c r="V196" s="151">
        <v>947097.2920564001</v>
      </c>
      <c r="W196" s="151">
        <v>944567.21455190005</v>
      </c>
      <c r="X196" s="151">
        <v>942044.92700410006</v>
      </c>
      <c r="Y196" s="151">
        <v>939530.40255580004</v>
      </c>
      <c r="Z196" s="151">
        <v>937023.86188940005</v>
      </c>
      <c r="AA196" s="151">
        <v>934525.00326820009</v>
      </c>
      <c r="AB196" s="151">
        <v>932033.72970719996</v>
      </c>
      <c r="AC196" s="151">
        <v>929549.90857899992</v>
      </c>
      <c r="AD196" s="151">
        <v>927074.90473309997</v>
      </c>
      <c r="AE196" s="151">
        <v>924606.02106960001</v>
      </c>
      <c r="AF196" s="151">
        <v>922144.63723699993</v>
      </c>
      <c r="AG196" s="151">
        <v>919690.89394179999</v>
      </c>
      <c r="AH196" s="151">
        <v>917243.38464950002</v>
      </c>
      <c r="AI196" s="151">
        <v>914853.86130490003</v>
      </c>
      <c r="AJ196" s="151">
        <v>912459.57726799999</v>
      </c>
      <c r="AK196" s="151">
        <v>910034.03457919997</v>
      </c>
      <c r="AL196" s="151">
        <v>907810.84719690005</v>
      </c>
      <c r="AM196" s="151">
        <v>905519.35835500003</v>
      </c>
      <c r="AN196" s="151">
        <v>903240.92464530002</v>
      </c>
      <c r="AO196" s="151">
        <v>900972.75915559998</v>
      </c>
      <c r="AP196" s="151">
        <v>898705.3043184001</v>
      </c>
      <c r="AQ196" s="151">
        <v>896441.18688330008</v>
      </c>
      <c r="AR196" s="151">
        <v>894173.52066899999</v>
      </c>
      <c r="AS196" s="151">
        <v>891915.05475530005</v>
      </c>
      <c r="AT196" s="151">
        <v>889672.59222270001</v>
      </c>
      <c r="AU196" s="151">
        <v>887432.88295980007</v>
      </c>
      <c r="AV196" s="151">
        <v>885202.21009290009</v>
      </c>
      <c r="AW196" s="151">
        <v>882985.39741199999</v>
      </c>
      <c r="AX196" s="151">
        <v>880788.52887590008</v>
      </c>
      <c r="AY196" s="151">
        <v>878604.28682129993</v>
      </c>
      <c r="AZ196" s="151">
        <v>876423.47369759995</v>
      </c>
      <c r="BA196" s="151">
        <v>874241.40419380006</v>
      </c>
      <c r="BB196" s="152">
        <v>872061.29856870009</v>
      </c>
      <c r="BC196" s="140"/>
      <c r="BD196" s="153"/>
      <c r="BE196" s="154"/>
      <c r="BF196" s="154"/>
      <c r="BG196" s="154"/>
      <c r="BH196" s="154"/>
      <c r="BI196" s="154">
        <f t="shared" ref="BI196:CM196" si="89">SUM(BI188:BI195)</f>
        <v>969824.67300849396</v>
      </c>
      <c r="BJ196" s="154">
        <f t="shared" si="89"/>
        <v>963945.80389833474</v>
      </c>
      <c r="BK196" s="154">
        <f t="shared" si="89"/>
        <v>958066.93478817563</v>
      </c>
      <c r="BL196" s="154">
        <f t="shared" si="89"/>
        <v>952188.06567801663</v>
      </c>
      <c r="BM196" s="154">
        <f t="shared" si="89"/>
        <v>946309.19656785741</v>
      </c>
      <c r="BN196" s="154">
        <f t="shared" si="89"/>
        <v>940430.32745769818</v>
      </c>
      <c r="BO196" s="154">
        <f t="shared" si="89"/>
        <v>934551.45834753907</v>
      </c>
      <c r="BP196" s="154">
        <f t="shared" si="89"/>
        <v>928672.58923737996</v>
      </c>
      <c r="BQ196" s="154">
        <f t="shared" si="89"/>
        <v>922793.72012722073</v>
      </c>
      <c r="BR196" s="154">
        <f t="shared" si="89"/>
        <v>916914.85101706162</v>
      </c>
      <c r="BS196" s="154">
        <f t="shared" si="89"/>
        <v>911035.98190690251</v>
      </c>
      <c r="BT196" s="154">
        <f t="shared" si="89"/>
        <v>909041.68417962978</v>
      </c>
      <c r="BU196" s="154">
        <f t="shared" si="89"/>
        <v>907047.38645235717</v>
      </c>
      <c r="BV196" s="154">
        <f t="shared" si="89"/>
        <v>905053.08872508444</v>
      </c>
      <c r="BW196" s="154">
        <f t="shared" si="89"/>
        <v>903058.79099781171</v>
      </c>
      <c r="BX196" s="154">
        <f t="shared" si="89"/>
        <v>901064.49327053898</v>
      </c>
      <c r="BY196" s="154">
        <f t="shared" si="89"/>
        <v>899070.19554326625</v>
      </c>
      <c r="BZ196" s="154">
        <f t="shared" si="89"/>
        <v>897075.89781599352</v>
      </c>
      <c r="CA196" s="154">
        <f t="shared" si="89"/>
        <v>895081.60008872079</v>
      </c>
      <c r="CB196" s="154">
        <f t="shared" si="89"/>
        <v>893087.30236144795</v>
      </c>
      <c r="CC196" s="154">
        <f t="shared" si="89"/>
        <v>891093.00463417533</v>
      </c>
      <c r="CD196" s="154">
        <f t="shared" si="89"/>
        <v>889098.70690690249</v>
      </c>
      <c r="CE196" s="154">
        <f t="shared" si="89"/>
        <v>887104.40917962976</v>
      </c>
      <c r="CF196" s="154">
        <f t="shared" si="89"/>
        <v>885110.11145235703</v>
      </c>
      <c r="CG196" s="154">
        <f t="shared" si="89"/>
        <v>883115.8137250843</v>
      </c>
      <c r="CH196" s="154">
        <f t="shared" si="89"/>
        <v>881121.51599781169</v>
      </c>
      <c r="CI196" s="154">
        <f t="shared" si="89"/>
        <v>879127.21827053884</v>
      </c>
      <c r="CJ196" s="154">
        <f t="shared" si="89"/>
        <v>877132.92054326623</v>
      </c>
      <c r="CK196" s="154">
        <f t="shared" si="89"/>
        <v>875138.62281599338</v>
      </c>
      <c r="CL196" s="154">
        <f t="shared" si="89"/>
        <v>873144.32508872065</v>
      </c>
      <c r="CM196" s="155">
        <f t="shared" si="89"/>
        <v>871150.02736144792</v>
      </c>
      <c r="CN196" s="140"/>
      <c r="CO196" s="153"/>
      <c r="CP196" s="154"/>
      <c r="CQ196" s="154"/>
      <c r="CR196" s="154"/>
      <c r="CS196" s="154"/>
      <c r="CT196" s="154">
        <f t="shared" ref="CT196:DX196" si="90">SUM(CT188:CT195)</f>
        <v>969824.67300849396</v>
      </c>
      <c r="CU196" s="154">
        <f t="shared" si="90"/>
        <v>958306.22283772868</v>
      </c>
      <c r="CV196" s="154">
        <f t="shared" si="90"/>
        <v>946787.77266696352</v>
      </c>
      <c r="CW196" s="154">
        <f t="shared" si="90"/>
        <v>935269.32249619835</v>
      </c>
      <c r="CX196" s="154">
        <f t="shared" si="90"/>
        <v>923750.87232543319</v>
      </c>
      <c r="CY196" s="154">
        <f t="shared" si="90"/>
        <v>912232.42215466802</v>
      </c>
      <c r="CZ196" s="154">
        <f t="shared" si="90"/>
        <v>900713.97198390262</v>
      </c>
      <c r="DA196" s="154">
        <f t="shared" si="90"/>
        <v>889195.52181313746</v>
      </c>
      <c r="DB196" s="154">
        <f t="shared" si="90"/>
        <v>877677.07164237229</v>
      </c>
      <c r="DC196" s="154">
        <f t="shared" si="90"/>
        <v>866158.62147160713</v>
      </c>
      <c r="DD196" s="154">
        <f t="shared" si="90"/>
        <v>854640.17130084196</v>
      </c>
      <c r="DE196" s="154">
        <f t="shared" si="90"/>
        <v>847006.29251296318</v>
      </c>
      <c r="DF196" s="154">
        <f t="shared" si="90"/>
        <v>839372.41372508439</v>
      </c>
      <c r="DG196" s="154">
        <f t="shared" si="90"/>
        <v>831738.53493720561</v>
      </c>
      <c r="DH196" s="154">
        <f t="shared" si="90"/>
        <v>824104.65614932682</v>
      </c>
      <c r="DI196" s="154">
        <f t="shared" si="90"/>
        <v>816470.77736144804</v>
      </c>
      <c r="DJ196" s="154">
        <f t="shared" si="90"/>
        <v>808836.89857356925</v>
      </c>
      <c r="DK196" s="154">
        <f t="shared" si="90"/>
        <v>801203.01978569047</v>
      </c>
      <c r="DL196" s="154">
        <f t="shared" si="90"/>
        <v>793569.14099781169</v>
      </c>
      <c r="DM196" s="154">
        <f t="shared" si="90"/>
        <v>785935.26220993279</v>
      </c>
      <c r="DN196" s="154">
        <f t="shared" si="90"/>
        <v>778301.38342205412</v>
      </c>
      <c r="DO196" s="154">
        <f t="shared" si="90"/>
        <v>770667.50463417522</v>
      </c>
      <c r="DP196" s="154">
        <f t="shared" si="90"/>
        <v>763033.62584629655</v>
      </c>
      <c r="DQ196" s="154">
        <f t="shared" si="90"/>
        <v>755399.74705841765</v>
      </c>
      <c r="DR196" s="154">
        <f t="shared" si="90"/>
        <v>747765.86827053886</v>
      </c>
      <c r="DS196" s="154">
        <f t="shared" si="90"/>
        <v>740131.98948266008</v>
      </c>
      <c r="DT196" s="154">
        <f t="shared" si="90"/>
        <v>732498.1106947813</v>
      </c>
      <c r="DU196" s="154">
        <f t="shared" si="90"/>
        <v>724864.23190690251</v>
      </c>
      <c r="DV196" s="154">
        <f t="shared" si="90"/>
        <v>717230.35311902373</v>
      </c>
      <c r="DW196" s="154">
        <f t="shared" si="90"/>
        <v>709596.47433114494</v>
      </c>
      <c r="DX196" s="155">
        <f t="shared" si="90"/>
        <v>701962.59554326616</v>
      </c>
      <c r="DY196" s="140"/>
      <c r="DZ196" s="153"/>
      <c r="EA196" s="154"/>
      <c r="EB196" s="154"/>
      <c r="EC196" s="154"/>
      <c r="ED196" s="154"/>
      <c r="EE196" s="154">
        <f t="shared" ref="EE196:FI196" si="91">SUM(EE188:EE195)</f>
        <v>969824.67300849396</v>
      </c>
      <c r="EF196" s="154">
        <f t="shared" si="91"/>
        <v>958306.22283772868</v>
      </c>
      <c r="EG196" s="154">
        <f t="shared" si="91"/>
        <v>946787.77266696352</v>
      </c>
      <c r="EH196" s="154">
        <f t="shared" si="91"/>
        <v>935269.32249619835</v>
      </c>
      <c r="EI196" s="154">
        <f t="shared" si="91"/>
        <v>923750.87232543319</v>
      </c>
      <c r="EJ196" s="154">
        <f t="shared" si="91"/>
        <v>912232.42215466802</v>
      </c>
      <c r="EK196" s="154">
        <f t="shared" si="91"/>
        <v>900713.97198390262</v>
      </c>
      <c r="EL196" s="154">
        <f t="shared" si="91"/>
        <v>889195.52181313746</v>
      </c>
      <c r="EM196" s="154">
        <f t="shared" si="91"/>
        <v>877677.07164237229</v>
      </c>
      <c r="EN196" s="154">
        <f t="shared" si="91"/>
        <v>866158.62147160713</v>
      </c>
      <c r="EO196" s="154">
        <f t="shared" si="91"/>
        <v>854640.17130084196</v>
      </c>
      <c r="EP196" s="154">
        <f t="shared" si="91"/>
        <v>847006.29251296318</v>
      </c>
      <c r="EQ196" s="154">
        <f t="shared" si="91"/>
        <v>839372.41372508439</v>
      </c>
      <c r="ER196" s="154">
        <f t="shared" si="91"/>
        <v>831738.53493720561</v>
      </c>
      <c r="ES196" s="154">
        <f t="shared" si="91"/>
        <v>824104.65614932682</v>
      </c>
      <c r="ET196" s="154">
        <f t="shared" si="91"/>
        <v>816470.77736144804</v>
      </c>
      <c r="EU196" s="154">
        <f t="shared" si="91"/>
        <v>808836.89857356925</v>
      </c>
      <c r="EV196" s="154">
        <f t="shared" si="91"/>
        <v>801203.01978569047</v>
      </c>
      <c r="EW196" s="154">
        <f t="shared" si="91"/>
        <v>793569.14099781169</v>
      </c>
      <c r="EX196" s="154">
        <f t="shared" si="91"/>
        <v>785935.26220993279</v>
      </c>
      <c r="EY196" s="154">
        <f t="shared" si="91"/>
        <v>778301.38342205412</v>
      </c>
      <c r="EZ196" s="154">
        <f t="shared" si="91"/>
        <v>770667.50463417522</v>
      </c>
      <c r="FA196" s="154">
        <f t="shared" si="91"/>
        <v>763033.62584629655</v>
      </c>
      <c r="FB196" s="154">
        <f t="shared" si="91"/>
        <v>755399.74705841765</v>
      </c>
      <c r="FC196" s="154">
        <f t="shared" si="91"/>
        <v>747765.86827053886</v>
      </c>
      <c r="FD196" s="154">
        <f t="shared" si="91"/>
        <v>740131.98948266008</v>
      </c>
      <c r="FE196" s="154">
        <f t="shared" si="91"/>
        <v>732498.1106947813</v>
      </c>
      <c r="FF196" s="154">
        <f t="shared" si="91"/>
        <v>724864.23190690251</v>
      </c>
      <c r="FG196" s="154">
        <f t="shared" si="91"/>
        <v>717230.35311902373</v>
      </c>
      <c r="FH196" s="154">
        <f t="shared" si="91"/>
        <v>709596.47433114494</v>
      </c>
      <c r="FI196" s="155">
        <f t="shared" si="91"/>
        <v>701962.59554326616</v>
      </c>
      <c r="FJ196" s="140"/>
      <c r="FK196" s="153"/>
      <c r="FL196" s="154"/>
      <c r="FM196" s="154"/>
      <c r="FN196" s="154"/>
      <c r="FO196" s="154"/>
      <c r="FP196" s="154">
        <f t="shared" ref="FP196:GT196" si="92">SUM(FP188:FP195)</f>
        <v>969824.67300849396</v>
      </c>
      <c r="FQ196" s="154">
        <f t="shared" si="92"/>
        <v>962644.68268621364</v>
      </c>
      <c r="FR196" s="154">
        <f t="shared" si="92"/>
        <v>955464.69236393319</v>
      </c>
      <c r="FS196" s="154">
        <f t="shared" si="92"/>
        <v>948284.70204165287</v>
      </c>
      <c r="FT196" s="154">
        <f t="shared" si="92"/>
        <v>941104.71171937254</v>
      </c>
      <c r="FU196" s="154">
        <f t="shared" si="92"/>
        <v>933924.72139709222</v>
      </c>
      <c r="FV196" s="154">
        <f t="shared" si="92"/>
        <v>926744.73107481177</v>
      </c>
      <c r="FW196" s="154">
        <f t="shared" si="92"/>
        <v>919564.74075253145</v>
      </c>
      <c r="FX196" s="154">
        <f t="shared" si="92"/>
        <v>912384.75043025101</v>
      </c>
      <c r="FY196" s="154">
        <f t="shared" si="92"/>
        <v>905204.7601079708</v>
      </c>
      <c r="FZ196" s="154">
        <f t="shared" si="92"/>
        <v>898024.76978569035</v>
      </c>
      <c r="GA196" s="154">
        <f t="shared" si="92"/>
        <v>894729.35084629653</v>
      </c>
      <c r="GB196" s="154">
        <f t="shared" si="92"/>
        <v>891433.93190690258</v>
      </c>
      <c r="GC196" s="154">
        <f t="shared" si="92"/>
        <v>888138.51296750864</v>
      </c>
      <c r="GD196" s="154">
        <f t="shared" si="92"/>
        <v>884843.09402811469</v>
      </c>
      <c r="GE196" s="154">
        <f t="shared" si="92"/>
        <v>881547.67508872063</v>
      </c>
      <c r="GF196" s="154">
        <f t="shared" si="92"/>
        <v>878252.2561493268</v>
      </c>
      <c r="GG196" s="154">
        <f t="shared" si="92"/>
        <v>874956.83720993286</v>
      </c>
      <c r="GH196" s="154">
        <f t="shared" si="92"/>
        <v>871661.41827053891</v>
      </c>
      <c r="GI196" s="154">
        <f t="shared" si="92"/>
        <v>868365.99933114497</v>
      </c>
      <c r="GJ196" s="154">
        <f t="shared" si="92"/>
        <v>865070.58039175102</v>
      </c>
      <c r="GK196" s="154">
        <f t="shared" si="92"/>
        <v>861775.16145235708</v>
      </c>
      <c r="GL196" s="154">
        <f t="shared" si="92"/>
        <v>858479.74251296301</v>
      </c>
      <c r="GM196" s="154">
        <f t="shared" si="92"/>
        <v>855184.32357356907</v>
      </c>
      <c r="GN196" s="154">
        <f t="shared" si="92"/>
        <v>851888.90463417524</v>
      </c>
      <c r="GO196" s="154">
        <f t="shared" si="92"/>
        <v>848593.4856947813</v>
      </c>
      <c r="GP196" s="154">
        <f t="shared" si="92"/>
        <v>845298.06675538735</v>
      </c>
      <c r="GQ196" s="154">
        <f t="shared" si="92"/>
        <v>842002.64781599352</v>
      </c>
      <c r="GR196" s="154">
        <f t="shared" si="92"/>
        <v>838707.22887659946</v>
      </c>
      <c r="GS196" s="154">
        <f t="shared" si="92"/>
        <v>835411.80993720551</v>
      </c>
      <c r="GT196" s="155">
        <f t="shared" si="92"/>
        <v>832116.39099781157</v>
      </c>
      <c r="GU196" s="140"/>
      <c r="GV196" s="153"/>
      <c r="GW196" s="154"/>
      <c r="GX196" s="154"/>
      <c r="GY196" s="154"/>
      <c r="GZ196" s="154"/>
      <c r="HA196" s="154">
        <f t="shared" ref="HA196:IE196" si="93">SUM(HA188:HA195)</f>
        <v>969824.67300849396</v>
      </c>
      <c r="HB196" s="154">
        <f t="shared" si="93"/>
        <v>963945.80389833474</v>
      </c>
      <c r="HC196" s="154">
        <f t="shared" si="93"/>
        <v>958066.93478817563</v>
      </c>
      <c r="HD196" s="154">
        <f t="shared" si="93"/>
        <v>952188.06567801663</v>
      </c>
      <c r="HE196" s="154">
        <f t="shared" si="93"/>
        <v>946309.19656785741</v>
      </c>
      <c r="HF196" s="154">
        <f t="shared" si="93"/>
        <v>940430.32745769818</v>
      </c>
      <c r="HG196" s="154">
        <f t="shared" si="93"/>
        <v>934551.45834753907</v>
      </c>
      <c r="HH196" s="154">
        <f t="shared" si="93"/>
        <v>928672.58923737996</v>
      </c>
      <c r="HI196" s="154">
        <f t="shared" si="93"/>
        <v>922793.72012722073</v>
      </c>
      <c r="HJ196" s="154">
        <f t="shared" si="93"/>
        <v>916914.85101706162</v>
      </c>
      <c r="HK196" s="154">
        <f t="shared" si="93"/>
        <v>911035.98190690251</v>
      </c>
      <c r="HL196" s="154">
        <f t="shared" si="93"/>
        <v>909041.68417962978</v>
      </c>
      <c r="HM196" s="154">
        <f t="shared" si="93"/>
        <v>907047.38645235717</v>
      </c>
      <c r="HN196" s="154">
        <f t="shared" si="93"/>
        <v>905053.08872508444</v>
      </c>
      <c r="HO196" s="154">
        <f t="shared" si="93"/>
        <v>903058.79099781171</v>
      </c>
      <c r="HP196" s="154">
        <f t="shared" si="93"/>
        <v>901064.49327053898</v>
      </c>
      <c r="HQ196" s="154">
        <f t="shared" si="93"/>
        <v>899070.19554326625</v>
      </c>
      <c r="HR196" s="154">
        <f t="shared" si="93"/>
        <v>897075.89781599352</v>
      </c>
      <c r="HS196" s="154">
        <f t="shared" si="93"/>
        <v>895081.60008872079</v>
      </c>
      <c r="HT196" s="154">
        <f t="shared" si="93"/>
        <v>893087.30236144795</v>
      </c>
      <c r="HU196" s="154">
        <f t="shared" si="93"/>
        <v>891093.00463417533</v>
      </c>
      <c r="HV196" s="154">
        <f t="shared" si="93"/>
        <v>889098.70690690249</v>
      </c>
      <c r="HW196" s="154">
        <f t="shared" si="93"/>
        <v>887104.40917962976</v>
      </c>
      <c r="HX196" s="154">
        <f t="shared" si="93"/>
        <v>885110.11145235703</v>
      </c>
      <c r="HY196" s="154">
        <f t="shared" si="93"/>
        <v>883115.8137250843</v>
      </c>
      <c r="HZ196" s="154">
        <f t="shared" si="93"/>
        <v>881121.51599781169</v>
      </c>
      <c r="IA196" s="154">
        <f t="shared" si="93"/>
        <v>879127.21827053884</v>
      </c>
      <c r="IB196" s="154">
        <f t="shared" si="93"/>
        <v>877132.92054326623</v>
      </c>
      <c r="IC196" s="154">
        <f t="shared" si="93"/>
        <v>875138.62281599338</v>
      </c>
      <c r="ID196" s="154">
        <f t="shared" si="93"/>
        <v>873144.32508872065</v>
      </c>
      <c r="IE196" s="155">
        <f t="shared" si="93"/>
        <v>871150.02736144792</v>
      </c>
      <c r="IF196" s="140"/>
      <c r="IG196" s="153"/>
      <c r="IH196" s="154"/>
      <c r="II196" s="154"/>
      <c r="IJ196" s="154"/>
      <c r="IK196" s="154"/>
      <c r="IL196" s="154">
        <f>SUM(IL188:IL195)</f>
        <v>1006419.674199999</v>
      </c>
      <c r="IM196" s="154">
        <f t="shared" ref="IM196:JP196" si="94">SUM(IM188:IM195)</f>
        <v>1003695.8363636776</v>
      </c>
      <c r="IN196" s="154">
        <f t="shared" si="94"/>
        <v>1000971.9985273563</v>
      </c>
      <c r="IO196" s="154">
        <f t="shared" si="94"/>
        <v>998248.16069103475</v>
      </c>
      <c r="IP196" s="154">
        <f t="shared" si="94"/>
        <v>995524.32285471342</v>
      </c>
      <c r="IQ196" s="154">
        <f t="shared" si="94"/>
        <v>992800.48501839198</v>
      </c>
      <c r="IR196" s="154">
        <f t="shared" si="94"/>
        <v>990076.64718207053</v>
      </c>
      <c r="IS196" s="154">
        <f t="shared" si="94"/>
        <v>987352.80934574909</v>
      </c>
      <c r="IT196" s="154">
        <f t="shared" si="94"/>
        <v>984628.97150942765</v>
      </c>
      <c r="IU196" s="154">
        <f t="shared" si="94"/>
        <v>981905.13367310632</v>
      </c>
      <c r="IV196" s="154">
        <f t="shared" si="94"/>
        <v>979181.29583678476</v>
      </c>
      <c r="IW196" s="154">
        <f t="shared" si="94"/>
        <v>976800.66444374307</v>
      </c>
      <c r="IX196" s="154">
        <f t="shared" si="94"/>
        <v>974420.03305070125</v>
      </c>
      <c r="IY196" s="154">
        <f t="shared" si="94"/>
        <v>972039.40165765933</v>
      </c>
      <c r="IZ196" s="154">
        <f t="shared" si="94"/>
        <v>969658.7702646174</v>
      </c>
      <c r="JA196" s="154">
        <f t="shared" si="94"/>
        <v>967278.13887157559</v>
      </c>
      <c r="JB196" s="154">
        <f t="shared" si="94"/>
        <v>964897.50747853389</v>
      </c>
      <c r="JC196" s="154">
        <f t="shared" si="94"/>
        <v>962516.87608549197</v>
      </c>
      <c r="JD196" s="154">
        <f t="shared" si="94"/>
        <v>960136.24469244992</v>
      </c>
      <c r="JE196" s="154">
        <f t="shared" si="94"/>
        <v>957755.61329940823</v>
      </c>
      <c r="JF196" s="154">
        <f t="shared" si="94"/>
        <v>955374.98190636642</v>
      </c>
      <c r="JG196" s="154">
        <f t="shared" si="94"/>
        <v>953059.29733441968</v>
      </c>
      <c r="JH196" s="154">
        <f t="shared" si="94"/>
        <v>950743.61276247317</v>
      </c>
      <c r="JI196" s="154">
        <f t="shared" si="94"/>
        <v>948427.92819052667</v>
      </c>
      <c r="JJ196" s="154">
        <f t="shared" si="94"/>
        <v>946112.24361858005</v>
      </c>
      <c r="JK196" s="154">
        <f t="shared" si="94"/>
        <v>943796.55904663354</v>
      </c>
      <c r="JL196" s="154">
        <f t="shared" si="94"/>
        <v>941480.87447468692</v>
      </c>
      <c r="JM196" s="154">
        <f t="shared" si="94"/>
        <v>939165.1899027403</v>
      </c>
      <c r="JN196" s="154">
        <f t="shared" si="94"/>
        <v>936849.50533079379</v>
      </c>
      <c r="JO196" s="154">
        <f t="shared" si="94"/>
        <v>934533.82075884717</v>
      </c>
      <c r="JP196" s="155">
        <f t="shared" si="94"/>
        <v>932218.13618690067</v>
      </c>
      <c r="JQ196" s="140"/>
      <c r="JR196" s="153"/>
      <c r="JS196" s="154"/>
      <c r="JT196" s="154"/>
      <c r="JU196" s="154"/>
      <c r="JV196" s="154"/>
      <c r="JW196" s="154">
        <f>SUM(JW188:JW195)</f>
        <v>1006419.674199999</v>
      </c>
      <c r="JX196" s="154">
        <f t="shared" ref="JX196:LA196" si="95">SUM(JX188:JX195)</f>
        <v>996186.79521466233</v>
      </c>
      <c r="JY196" s="154">
        <f t="shared" si="95"/>
        <v>985953.9162293257</v>
      </c>
      <c r="JZ196" s="154">
        <f t="shared" si="95"/>
        <v>975721.03724398883</v>
      </c>
      <c r="KA196" s="154">
        <f t="shared" si="95"/>
        <v>965488.15825865243</v>
      </c>
      <c r="KB196" s="154">
        <f t="shared" si="95"/>
        <v>955255.27927331568</v>
      </c>
      <c r="KC196" s="154">
        <f t="shared" si="95"/>
        <v>945022.4002879787</v>
      </c>
      <c r="KD196" s="154">
        <f t="shared" si="95"/>
        <v>934789.52130264218</v>
      </c>
      <c r="KE196" s="154">
        <f t="shared" si="95"/>
        <v>924556.64231730532</v>
      </c>
      <c r="KF196" s="154">
        <f t="shared" si="95"/>
        <v>914323.76333196857</v>
      </c>
      <c r="KG196" s="154">
        <f t="shared" si="95"/>
        <v>904090.88434663182</v>
      </c>
      <c r="KH196" s="154">
        <f t="shared" si="95"/>
        <v>896734.7055473912</v>
      </c>
      <c r="KI196" s="154">
        <f t="shared" si="95"/>
        <v>889378.52674815035</v>
      </c>
      <c r="KJ196" s="154">
        <f t="shared" si="95"/>
        <v>882022.3479489095</v>
      </c>
      <c r="KK196" s="154">
        <f t="shared" si="95"/>
        <v>874666.16914966854</v>
      </c>
      <c r="KL196" s="154">
        <f t="shared" si="95"/>
        <v>867309.99035042792</v>
      </c>
      <c r="KM196" s="154">
        <f t="shared" si="95"/>
        <v>859953.81155118707</v>
      </c>
      <c r="KN196" s="154">
        <f t="shared" si="95"/>
        <v>852597.63275194622</v>
      </c>
      <c r="KO196" s="154">
        <f t="shared" si="95"/>
        <v>845241.45395270525</v>
      </c>
      <c r="KP196" s="154">
        <f t="shared" si="95"/>
        <v>837885.27515346452</v>
      </c>
      <c r="KQ196" s="154">
        <f t="shared" si="95"/>
        <v>830529.09635422367</v>
      </c>
      <c r="KR196" s="154">
        <f t="shared" si="95"/>
        <v>827488.27188692067</v>
      </c>
      <c r="KS196" s="154">
        <f t="shared" si="95"/>
        <v>824447.44741961756</v>
      </c>
      <c r="KT196" s="154">
        <f t="shared" si="95"/>
        <v>821406.62295231468</v>
      </c>
      <c r="KU196" s="154">
        <f t="shared" si="95"/>
        <v>818365.79848501156</v>
      </c>
      <c r="KV196" s="154">
        <f t="shared" si="95"/>
        <v>815324.97401770856</v>
      </c>
      <c r="KW196" s="154">
        <f t="shared" si="95"/>
        <v>812284.14955040545</v>
      </c>
      <c r="KX196" s="154">
        <f t="shared" si="95"/>
        <v>809243.32508310257</v>
      </c>
      <c r="KY196" s="154">
        <f t="shared" si="95"/>
        <v>806202.50061579957</v>
      </c>
      <c r="KZ196" s="154">
        <f t="shared" si="95"/>
        <v>803161.67614849645</v>
      </c>
      <c r="LA196" s="155">
        <f t="shared" si="95"/>
        <v>800120.85168119345</v>
      </c>
      <c r="LB196" s="140"/>
      <c r="LC196" s="153"/>
      <c r="LD196" s="154"/>
      <c r="LE196" s="154"/>
      <c r="LF196" s="154"/>
      <c r="LG196" s="154"/>
      <c r="LH196" s="154">
        <f>SUM(LH188:LH195)</f>
        <v>1006419.674199999</v>
      </c>
      <c r="LI196" s="154">
        <f t="shared" ref="LI196:ML196" si="96">SUM(LI188:LI195)</f>
        <v>996186.79521466233</v>
      </c>
      <c r="LJ196" s="154">
        <f t="shared" si="96"/>
        <v>985953.9162293257</v>
      </c>
      <c r="LK196" s="154">
        <f t="shared" si="96"/>
        <v>975721.03724398883</v>
      </c>
      <c r="LL196" s="154">
        <f t="shared" si="96"/>
        <v>965488.15825865243</v>
      </c>
      <c r="LM196" s="154">
        <f t="shared" si="96"/>
        <v>955255.27927331568</v>
      </c>
      <c r="LN196" s="154">
        <f t="shared" si="96"/>
        <v>945022.4002879787</v>
      </c>
      <c r="LO196" s="154">
        <f t="shared" si="96"/>
        <v>934789.52130264218</v>
      </c>
      <c r="LP196" s="154">
        <f t="shared" si="96"/>
        <v>924556.64231730532</v>
      </c>
      <c r="LQ196" s="154">
        <f t="shared" si="96"/>
        <v>914323.76333196857</v>
      </c>
      <c r="LR196" s="154">
        <f t="shared" si="96"/>
        <v>904090.88434663182</v>
      </c>
      <c r="LS196" s="154">
        <f t="shared" si="96"/>
        <v>896734.7055473912</v>
      </c>
      <c r="LT196" s="154">
        <f t="shared" si="96"/>
        <v>889378.52674815035</v>
      </c>
      <c r="LU196" s="154">
        <f t="shared" si="96"/>
        <v>882022.3479489095</v>
      </c>
      <c r="LV196" s="154">
        <f t="shared" si="96"/>
        <v>874666.16914966854</v>
      </c>
      <c r="LW196" s="154">
        <f t="shared" si="96"/>
        <v>867309.99035042792</v>
      </c>
      <c r="LX196" s="154">
        <f t="shared" si="96"/>
        <v>859953.81155118707</v>
      </c>
      <c r="LY196" s="154">
        <f t="shared" si="96"/>
        <v>852597.63275194622</v>
      </c>
      <c r="LZ196" s="154">
        <f t="shared" si="96"/>
        <v>845241.45395270525</v>
      </c>
      <c r="MA196" s="154">
        <f t="shared" si="96"/>
        <v>837885.27515346452</v>
      </c>
      <c r="MB196" s="154">
        <f t="shared" si="96"/>
        <v>830529.09635422367</v>
      </c>
      <c r="MC196" s="154">
        <f t="shared" si="96"/>
        <v>827488.27188692067</v>
      </c>
      <c r="MD196" s="154">
        <f t="shared" si="96"/>
        <v>824447.44741961756</v>
      </c>
      <c r="ME196" s="154">
        <f t="shared" si="96"/>
        <v>821406.62295231468</v>
      </c>
      <c r="MF196" s="154">
        <f t="shared" si="96"/>
        <v>818365.79848501156</v>
      </c>
      <c r="MG196" s="154">
        <f t="shared" si="96"/>
        <v>815324.97401770856</v>
      </c>
      <c r="MH196" s="154">
        <f t="shared" si="96"/>
        <v>812284.14955040545</v>
      </c>
      <c r="MI196" s="154">
        <f t="shared" si="96"/>
        <v>809243.32508310257</v>
      </c>
      <c r="MJ196" s="154">
        <f t="shared" si="96"/>
        <v>806202.50061579957</v>
      </c>
      <c r="MK196" s="154">
        <f t="shared" si="96"/>
        <v>803161.67614849645</v>
      </c>
      <c r="ML196" s="155">
        <f t="shared" si="96"/>
        <v>800120.85168119345</v>
      </c>
    </row>
    <row r="197" spans="3:350" s="4" customFormat="1" ht="18" customHeight="1" x14ac:dyDescent="0.3">
      <c r="C197" s="183" t="s">
        <v>127</v>
      </c>
      <c r="E197" s="137"/>
      <c r="H197" s="140"/>
      <c r="I197" s="140"/>
      <c r="J197" s="140"/>
      <c r="K197" s="140"/>
      <c r="L197" s="140"/>
      <c r="M197" s="140"/>
      <c r="N197" s="140"/>
      <c r="O197" s="140"/>
      <c r="P197" s="140"/>
      <c r="Q197" s="140"/>
      <c r="R197" s="140"/>
      <c r="S197" s="140"/>
      <c r="T197" s="140"/>
      <c r="U197" s="140"/>
      <c r="V197" s="140"/>
      <c r="W197" s="140"/>
      <c r="X197" s="140"/>
      <c r="Y197" s="140"/>
      <c r="Z197" s="140"/>
      <c r="AA197" s="140"/>
      <c r="AB197" s="140"/>
      <c r="AC197" s="140"/>
      <c r="AD197" s="140"/>
      <c r="AE197" s="140"/>
      <c r="AF197" s="140"/>
      <c r="AG197" s="140"/>
      <c r="AH197" s="140"/>
      <c r="AI197" s="140"/>
      <c r="AJ197" s="140"/>
      <c r="AK197" s="140"/>
      <c r="AL197" s="140"/>
      <c r="AM197" s="140"/>
      <c r="AN197" s="140"/>
      <c r="AO197" s="140"/>
      <c r="AP197" s="140"/>
      <c r="AQ197" s="140"/>
      <c r="AR197" s="140"/>
      <c r="AS197" s="140"/>
      <c r="AT197" s="140"/>
      <c r="AU197" s="140"/>
      <c r="AV197" s="140"/>
      <c r="AW197" s="140"/>
      <c r="AX197" s="140"/>
      <c r="AY197" s="140"/>
      <c r="AZ197" s="140"/>
      <c r="BA197" s="140"/>
      <c r="BB197"/>
      <c r="BC197" s="140"/>
      <c r="BD197" s="143"/>
      <c r="BE197" s="143"/>
      <c r="BF197" s="143"/>
      <c r="BG197" s="143"/>
      <c r="BH197" s="143"/>
      <c r="BI197" s="143"/>
      <c r="BJ197" s="143"/>
      <c r="BK197" s="143"/>
      <c r="BL197" s="143"/>
      <c r="BM197" s="143"/>
      <c r="BN197" s="143"/>
      <c r="BO197" s="143"/>
      <c r="BP197" s="143"/>
      <c r="BQ197" s="143"/>
      <c r="BR197" s="143"/>
      <c r="BS197" s="143"/>
      <c r="BT197" s="143"/>
      <c r="BU197" s="143"/>
      <c r="BV197" s="143"/>
      <c r="BW197" s="143"/>
      <c r="BX197" s="143"/>
      <c r="BY197" s="143"/>
      <c r="BZ197" s="143"/>
      <c r="CA197" s="143"/>
      <c r="CB197" s="143"/>
      <c r="CC197"/>
      <c r="CD197"/>
      <c r="CE197"/>
      <c r="CF197"/>
      <c r="CG197"/>
      <c r="CH197"/>
      <c r="CI197"/>
      <c r="CJ197"/>
      <c r="CK197"/>
      <c r="CL197"/>
      <c r="CM197"/>
      <c r="CN197"/>
      <c r="CO197"/>
      <c r="CP197"/>
      <c r="CQ197"/>
      <c r="CR197"/>
      <c r="CS197"/>
      <c r="CT197"/>
      <c r="CU197"/>
      <c r="CV197"/>
      <c r="CW197"/>
      <c r="CX197"/>
      <c r="CY197"/>
      <c r="CZ197"/>
      <c r="DA197"/>
      <c r="DB197"/>
      <c r="DC197"/>
      <c r="DD197"/>
      <c r="DE197"/>
      <c r="DF197"/>
      <c r="DG197"/>
      <c r="DH197"/>
      <c r="DI197"/>
      <c r="DJ197"/>
      <c r="DK197"/>
      <c r="DL197"/>
      <c r="DM197"/>
      <c r="DN197"/>
      <c r="DO197"/>
      <c r="DP197"/>
      <c r="DQ197"/>
      <c r="DR197"/>
      <c r="DS197"/>
      <c r="DT197"/>
      <c r="DU197"/>
      <c r="DV197"/>
      <c r="DW197"/>
      <c r="DX197"/>
      <c r="DY197"/>
      <c r="DZ197"/>
      <c r="EA197"/>
      <c r="EB197"/>
      <c r="EC197"/>
      <c r="ED197"/>
      <c r="EE197"/>
      <c r="EF197"/>
      <c r="EG197"/>
      <c r="EH197"/>
      <c r="EI197"/>
      <c r="EJ197"/>
      <c r="EK197"/>
      <c r="EL197"/>
      <c r="EM197"/>
      <c r="EN197"/>
      <c r="EO197"/>
      <c r="EP197"/>
      <c r="EQ197"/>
      <c r="ER197"/>
      <c r="ES197"/>
      <c r="ET197"/>
      <c r="EU197"/>
      <c r="EV197"/>
      <c r="EW197"/>
      <c r="EX197"/>
      <c r="EY197"/>
      <c r="EZ197"/>
      <c r="FA197"/>
      <c r="FB197"/>
      <c r="FC197"/>
      <c r="FD197"/>
      <c r="FE197"/>
      <c r="FF197"/>
      <c r="FG197"/>
      <c r="FH197"/>
      <c r="FI197"/>
      <c r="FJ197"/>
      <c r="FK197"/>
      <c r="FL197"/>
      <c r="FM197"/>
      <c r="FN197"/>
      <c r="FO197"/>
      <c r="FP197"/>
      <c r="FQ197"/>
      <c r="FR197"/>
      <c r="FS197"/>
      <c r="FT197"/>
      <c r="FU197"/>
      <c r="FV197"/>
      <c r="FW197"/>
      <c r="FX197"/>
      <c r="FY197"/>
      <c r="FZ197"/>
      <c r="GA197"/>
      <c r="GB197"/>
      <c r="GC197"/>
      <c r="GD197"/>
      <c r="GE197"/>
      <c r="GF197"/>
      <c r="GG197"/>
      <c r="GH197"/>
      <c r="GI197"/>
      <c r="GJ197"/>
      <c r="GK197"/>
      <c r="GL197"/>
      <c r="GM197"/>
      <c r="GN197"/>
      <c r="GO197"/>
      <c r="GP197"/>
      <c r="GQ197"/>
      <c r="GR197"/>
      <c r="GS197"/>
      <c r="GT197"/>
      <c r="GU197"/>
      <c r="GV197"/>
      <c r="GW197"/>
      <c r="GX197"/>
      <c r="GY197"/>
      <c r="GZ197"/>
      <c r="HA197"/>
      <c r="HB197"/>
      <c r="HC197"/>
      <c r="HD197"/>
      <c r="HE197"/>
      <c r="HF197"/>
      <c r="HG197"/>
      <c r="HH197"/>
      <c r="HI197"/>
      <c r="HJ197"/>
      <c r="HK197"/>
      <c r="HL197"/>
      <c r="HM197"/>
      <c r="HN197"/>
      <c r="HO197"/>
      <c r="HP197"/>
      <c r="HQ197"/>
      <c r="HR197"/>
      <c r="HS197"/>
      <c r="HT197"/>
      <c r="HU197"/>
      <c r="HV197"/>
      <c r="HW197"/>
      <c r="HX197"/>
      <c r="HY197"/>
      <c r="HZ197"/>
      <c r="IA197"/>
      <c r="IB197"/>
      <c r="IC197"/>
      <c r="ID197"/>
      <c r="IE197"/>
      <c r="IF197"/>
      <c r="IG197"/>
      <c r="IH197"/>
      <c r="II197"/>
      <c r="IJ197"/>
      <c r="IK197"/>
      <c r="IL197"/>
      <c r="IM197"/>
      <c r="IN197"/>
      <c r="IO197"/>
      <c r="IP197"/>
      <c r="IQ197"/>
      <c r="IR197"/>
      <c r="IS197"/>
      <c r="IT197"/>
      <c r="IU197"/>
      <c r="IV197"/>
      <c r="IW197"/>
      <c r="IX197"/>
      <c r="IY197"/>
      <c r="IZ197"/>
      <c r="JA197"/>
      <c r="JB197"/>
      <c r="JC197"/>
      <c r="JD197"/>
      <c r="JE197"/>
      <c r="JF197"/>
      <c r="JG197"/>
      <c r="JH197"/>
      <c r="JI197"/>
      <c r="JJ197"/>
      <c r="JK197"/>
      <c r="JL197"/>
      <c r="JM197"/>
      <c r="JN197"/>
      <c r="JO197"/>
      <c r="JP197"/>
      <c r="JQ197"/>
      <c r="JR197"/>
      <c r="JS197"/>
      <c r="JT197"/>
      <c r="JU197"/>
      <c r="JV197"/>
      <c r="JW197"/>
      <c r="JX197"/>
      <c r="JY197"/>
      <c r="JZ197"/>
      <c r="KA197"/>
      <c r="KB197"/>
      <c r="KC197"/>
      <c r="KD197"/>
      <c r="KE197"/>
      <c r="KF197"/>
      <c r="KG197"/>
      <c r="KH197"/>
      <c r="KI197"/>
      <c r="KJ197"/>
      <c r="KK197"/>
      <c r="KL197"/>
      <c r="KM197"/>
      <c r="KN197"/>
      <c r="KO197"/>
      <c r="KP197"/>
      <c r="KQ197"/>
      <c r="KR197"/>
      <c r="KS197"/>
      <c r="KT197"/>
      <c r="KU197"/>
      <c r="KV197"/>
      <c r="KW197"/>
      <c r="KX197"/>
      <c r="KY197"/>
      <c r="KZ197"/>
      <c r="LA197"/>
      <c r="LB197"/>
      <c r="LC197"/>
      <c r="LD197"/>
      <c r="LE197"/>
      <c r="LF197"/>
      <c r="LG197"/>
      <c r="LH197"/>
      <c r="LI197"/>
      <c r="LJ197"/>
      <c r="LK197"/>
      <c r="LL197"/>
      <c r="LM197"/>
      <c r="LN197" s="143"/>
      <c r="LO197" s="143"/>
      <c r="LP197" s="143"/>
      <c r="LQ197" s="143"/>
      <c r="LR197" s="143"/>
      <c r="LS197" s="143"/>
      <c r="LT197" s="143"/>
      <c r="LU197" s="143"/>
      <c r="LV197" s="143"/>
      <c r="LW197" s="143"/>
      <c r="LX197" s="143"/>
      <c r="LY197" s="143"/>
      <c r="LZ197" s="143"/>
      <c r="MA197" s="143"/>
      <c r="MB197" s="143"/>
      <c r="MC197" s="143"/>
      <c r="MD197" s="143"/>
      <c r="ME197" s="143"/>
      <c r="MF197" s="143"/>
      <c r="MG197" s="143"/>
      <c r="MH197" s="143"/>
      <c r="MI197" s="143"/>
      <c r="MJ197" s="143"/>
      <c r="MK197" s="143"/>
      <c r="ML197" s="143"/>
    </row>
    <row r="199" spans="3:350" x14ac:dyDescent="0.3">
      <c r="C199" s="184" t="s">
        <v>107</v>
      </c>
      <c r="D199" s="184" t="s">
        <v>128</v>
      </c>
    </row>
    <row r="200" spans="3:350" x14ac:dyDescent="0.3">
      <c r="C200" s="79"/>
      <c r="D200" s="79"/>
    </row>
    <row r="201" spans="3:350" x14ac:dyDescent="0.3">
      <c r="C201" s="184" t="s">
        <v>111</v>
      </c>
      <c r="D201" s="184" t="s">
        <v>128</v>
      </c>
    </row>
    <row r="202" spans="3:350" x14ac:dyDescent="0.3">
      <c r="C202" s="79"/>
      <c r="D202" s="79"/>
    </row>
    <row r="203" spans="3:350" x14ac:dyDescent="0.3">
      <c r="C203" s="79" t="s">
        <v>113</v>
      </c>
      <c r="D203" s="79" t="s">
        <v>110</v>
      </c>
    </row>
    <row r="204" spans="3:350" x14ac:dyDescent="0.3">
      <c r="D204" s="79" t="s">
        <v>129</v>
      </c>
    </row>
    <row r="205" spans="3:350" x14ac:dyDescent="0.3">
      <c r="D205" s="79" t="s">
        <v>130</v>
      </c>
    </row>
    <row r="206" spans="3:350" x14ac:dyDescent="0.3">
      <c r="D206" s="79" t="s">
        <v>131</v>
      </c>
    </row>
    <row r="208" spans="3:350" x14ac:dyDescent="0.3">
      <c r="C208" s="79" t="s">
        <v>116</v>
      </c>
      <c r="D208" s="79" t="s">
        <v>132</v>
      </c>
    </row>
    <row r="210" spans="3:12" x14ac:dyDescent="0.3">
      <c r="C210" s="120" t="s">
        <v>133</v>
      </c>
      <c r="H210" s="120" t="s">
        <v>134</v>
      </c>
    </row>
    <row r="211" spans="3:12" x14ac:dyDescent="0.3">
      <c r="C211" s="162"/>
      <c r="D211" s="163">
        <v>2020</v>
      </c>
      <c r="E211" s="163">
        <v>2050</v>
      </c>
      <c r="F211" s="163" t="s">
        <v>121</v>
      </c>
      <c r="H211" s="160" t="s">
        <v>120</v>
      </c>
      <c r="I211" s="161" t="s">
        <v>12</v>
      </c>
    </row>
    <row r="212" spans="3:12" x14ac:dyDescent="0.3">
      <c r="C212" s="162"/>
      <c r="D212" s="163" t="s">
        <v>103</v>
      </c>
      <c r="E212" s="163" t="s">
        <v>103</v>
      </c>
      <c r="F212" s="163" t="s">
        <v>123</v>
      </c>
      <c r="H212" s="162"/>
      <c r="J212" s="163">
        <v>2020</v>
      </c>
      <c r="K212" s="163">
        <v>2050</v>
      </c>
      <c r="L212" s="163" t="s">
        <v>121</v>
      </c>
    </row>
    <row r="213" spans="3:12" x14ac:dyDescent="0.3">
      <c r="C213" s="162" t="s">
        <v>5</v>
      </c>
      <c r="D213" s="167">
        <f t="shared" ref="D213:E218" si="97">SUMIFS($H$196:$MM$196,$H$4:$MM$4,$C213,$H$1:$MM$1,D$211)</f>
        <v>942044.92700410006</v>
      </c>
      <c r="E213" s="167">
        <f t="shared" si="97"/>
        <v>872061.29856870009</v>
      </c>
      <c r="F213" s="168">
        <f>(E213-D213)/D213</f>
        <v>-7.4289056104747092E-2</v>
      </c>
      <c r="H213" s="164" t="s">
        <v>124</v>
      </c>
      <c r="I213" s="166"/>
      <c r="J213" s="165" t="s">
        <v>103</v>
      </c>
      <c r="K213" s="165" t="s">
        <v>103</v>
      </c>
      <c r="L213" s="165" t="s">
        <v>123</v>
      </c>
    </row>
    <row r="214" spans="3:12" x14ac:dyDescent="0.3">
      <c r="C214" s="162" t="s">
        <v>6</v>
      </c>
      <c r="D214" s="167">
        <f t="shared" si="97"/>
        <v>969824.67300849396</v>
      </c>
      <c r="E214" s="167">
        <f t="shared" si="97"/>
        <v>871150.02736144792</v>
      </c>
      <c r="F214" s="169">
        <f t="shared" ref="F214:F222" si="98">(E214-D214)/D214</f>
        <v>-0.10174482913591726</v>
      </c>
      <c r="H214" s="162" t="str">
        <f>C188</f>
        <v>Bureaux</v>
      </c>
      <c r="J214" s="167">
        <f t="shared" ref="J214:K221" si="99">SUMIFS($H188:$MM188,$H$4:$MM$4,$I$211,$H$1:$MM$1,J$212)</f>
        <v>0</v>
      </c>
      <c r="K214" s="167">
        <f t="shared" si="99"/>
        <v>0</v>
      </c>
      <c r="L214" s="168" t="e">
        <f t="shared" ref="L214:L222" si="100">(K214-J214)/J214</f>
        <v>#DIV/0!</v>
      </c>
    </row>
    <row r="215" spans="3:12" x14ac:dyDescent="0.3">
      <c r="C215" s="162" t="s">
        <v>7</v>
      </c>
      <c r="D215" s="167">
        <f t="shared" si="97"/>
        <v>969824.67300849396</v>
      </c>
      <c r="E215" s="167">
        <f t="shared" si="97"/>
        <v>701962.59554326616</v>
      </c>
      <c r="F215" s="169">
        <f t="shared" si="98"/>
        <v>-0.27619639396705864</v>
      </c>
      <c r="H215" s="162" t="str">
        <f t="shared" ref="H215:H221" si="101">C189</f>
        <v>Cafés-hôtels-restaurants</v>
      </c>
      <c r="J215" s="167">
        <f t="shared" si="99"/>
        <v>0</v>
      </c>
      <c r="K215" s="167">
        <f t="shared" si="99"/>
        <v>0</v>
      </c>
      <c r="L215" s="168" t="e">
        <f t="shared" si="100"/>
        <v>#DIV/0!</v>
      </c>
    </row>
    <row r="216" spans="3:12" x14ac:dyDescent="0.3">
      <c r="C216" s="162" t="s">
        <v>8</v>
      </c>
      <c r="D216" s="167">
        <f t="shared" si="97"/>
        <v>969824.67300849396</v>
      </c>
      <c r="E216" s="167">
        <f t="shared" si="97"/>
        <v>701962.59554326616</v>
      </c>
      <c r="F216" s="169">
        <f t="shared" si="98"/>
        <v>-0.27619639396705864</v>
      </c>
      <c r="H216" s="162" t="str">
        <f t="shared" si="101"/>
        <v>Commerce</v>
      </c>
      <c r="J216" s="167">
        <f t="shared" si="99"/>
        <v>0</v>
      </c>
      <c r="K216" s="167">
        <f t="shared" si="99"/>
        <v>0</v>
      </c>
      <c r="L216" s="168" t="e">
        <f t="shared" si="100"/>
        <v>#DIV/0!</v>
      </c>
    </row>
    <row r="217" spans="3:12" x14ac:dyDescent="0.3">
      <c r="C217" s="162" t="s">
        <v>9</v>
      </c>
      <c r="D217" s="167">
        <f t="shared" si="97"/>
        <v>969824.67300849396</v>
      </c>
      <c r="E217" s="167">
        <f t="shared" si="97"/>
        <v>832116.39099781157</v>
      </c>
      <c r="F217" s="169">
        <f t="shared" si="98"/>
        <v>-0.14199296619614493</v>
      </c>
      <c r="H217" s="162" t="str">
        <f t="shared" si="101"/>
        <v>Enseignement-recherche</v>
      </c>
      <c r="J217" s="167">
        <f t="shared" si="99"/>
        <v>0</v>
      </c>
      <c r="K217" s="167">
        <f t="shared" si="99"/>
        <v>0</v>
      </c>
      <c r="L217" s="168" t="e">
        <f t="shared" si="100"/>
        <v>#DIV/0!</v>
      </c>
    </row>
    <row r="218" spans="3:12" x14ac:dyDescent="0.3">
      <c r="C218" s="162" t="s">
        <v>10</v>
      </c>
      <c r="D218" s="167">
        <f t="shared" si="97"/>
        <v>969824.67300849396</v>
      </c>
      <c r="E218" s="167">
        <f t="shared" si="97"/>
        <v>871150.02736144792</v>
      </c>
      <c r="F218" s="169">
        <f t="shared" si="98"/>
        <v>-0.10174482913591726</v>
      </c>
      <c r="H218" s="162" t="str">
        <f t="shared" si="101"/>
        <v>Habitat communautaire</v>
      </c>
      <c r="J218" s="167">
        <f t="shared" si="99"/>
        <v>0</v>
      </c>
      <c r="K218" s="167">
        <f t="shared" si="99"/>
        <v>0</v>
      </c>
      <c r="L218" s="168" t="e">
        <f t="shared" si="100"/>
        <v>#DIV/0!</v>
      </c>
    </row>
    <row r="219" spans="3:12" x14ac:dyDescent="0.3">
      <c r="C219" s="162"/>
      <c r="D219" s="162"/>
      <c r="E219" s="162"/>
      <c r="F219" s="162"/>
      <c r="H219" s="162" t="str">
        <f t="shared" si="101"/>
        <v>Santé</v>
      </c>
      <c r="J219" s="167">
        <f t="shared" si="99"/>
        <v>0</v>
      </c>
      <c r="K219" s="167">
        <f t="shared" si="99"/>
        <v>0</v>
      </c>
      <c r="L219" s="168" t="e">
        <f t="shared" si="100"/>
        <v>#DIV/0!</v>
      </c>
    </row>
    <row r="220" spans="3:12" x14ac:dyDescent="0.3">
      <c r="C220" s="162" t="s">
        <v>11</v>
      </c>
      <c r="D220" s="167">
        <f t="shared" ref="D220:E222" si="102">SUMIFS($H$196:$MM$196,$H$4:$MM$4,$C220,$H$1:$MM$1,D$211)</f>
        <v>1006419.674199999</v>
      </c>
      <c r="E220" s="167">
        <f t="shared" si="102"/>
        <v>932218.13618690067</v>
      </c>
      <c r="F220" s="169">
        <f t="shared" si="98"/>
        <v>-7.3728226817585771E-2</v>
      </c>
      <c r="H220" s="162" t="str">
        <f t="shared" si="101"/>
        <v>Sport, Loisirs, Culture</v>
      </c>
      <c r="J220" s="167">
        <f t="shared" si="99"/>
        <v>0</v>
      </c>
      <c r="K220" s="167">
        <f t="shared" si="99"/>
        <v>0</v>
      </c>
      <c r="L220" s="168" t="e">
        <f t="shared" si="100"/>
        <v>#DIV/0!</v>
      </c>
    </row>
    <row r="221" spans="3:12" x14ac:dyDescent="0.3">
      <c r="C221" s="162" t="s">
        <v>12</v>
      </c>
      <c r="D221" s="167">
        <f t="shared" si="102"/>
        <v>0</v>
      </c>
      <c r="E221" s="167">
        <f t="shared" si="102"/>
        <v>0</v>
      </c>
      <c r="F221" s="169" t="e">
        <f t="shared" si="98"/>
        <v>#DIV/0!</v>
      </c>
      <c r="H221" s="162" t="str">
        <f t="shared" si="101"/>
        <v>Transport</v>
      </c>
      <c r="J221" s="167">
        <f t="shared" si="99"/>
        <v>0</v>
      </c>
      <c r="K221" s="167">
        <f t="shared" si="99"/>
        <v>0</v>
      </c>
      <c r="L221" s="168" t="e">
        <f t="shared" si="100"/>
        <v>#DIV/0!</v>
      </c>
    </row>
    <row r="222" spans="3:12" x14ac:dyDescent="0.3">
      <c r="C222" s="162" t="s">
        <v>125</v>
      </c>
      <c r="D222" s="167">
        <f t="shared" si="102"/>
        <v>0</v>
      </c>
      <c r="E222" s="167">
        <f t="shared" si="102"/>
        <v>0</v>
      </c>
      <c r="F222" s="169" t="e">
        <f t="shared" si="98"/>
        <v>#DIV/0!</v>
      </c>
      <c r="H222" s="170" t="s">
        <v>106</v>
      </c>
      <c r="I222" s="171"/>
      <c r="J222" s="172">
        <f>SUM(J214:J221)</f>
        <v>0</v>
      </c>
      <c r="K222" s="172">
        <f>SUM(K214:K221)</f>
        <v>0</v>
      </c>
      <c r="L222" s="173" t="e">
        <f t="shared" si="100"/>
        <v>#DIV/0!</v>
      </c>
    </row>
    <row r="225" spans="2:350" ht="20" x14ac:dyDescent="0.4">
      <c r="B225" s="73" t="s">
        <v>25</v>
      </c>
      <c r="C225" s="74" t="s">
        <v>19</v>
      </c>
    </row>
    <row r="227" spans="2:350" x14ac:dyDescent="0.3">
      <c r="C227" s="120" t="s">
        <v>135</v>
      </c>
      <c r="H227" s="121" t="s">
        <v>100</v>
      </c>
      <c r="S227" s="122" t="s">
        <v>5</v>
      </c>
      <c r="BD227" s="123" t="s">
        <v>6</v>
      </c>
      <c r="CO227" s="124" t="s">
        <v>7</v>
      </c>
      <c r="DZ227" s="125" t="s">
        <v>8</v>
      </c>
      <c r="FK227" s="126" t="s">
        <v>9</v>
      </c>
      <c r="GV227" s="127" t="s">
        <v>10</v>
      </c>
      <c r="IG227" s="128" t="s">
        <v>11</v>
      </c>
      <c r="JR227" s="129" t="str">
        <f>JR$4</f>
        <v>AMS2 2023</v>
      </c>
      <c r="LC227" s="130" t="str">
        <f>LC$4</f>
        <v>AMS3 2025</v>
      </c>
    </row>
    <row r="228" spans="2:350" s="4" customFormat="1" ht="18" customHeight="1" x14ac:dyDescent="0.3">
      <c r="C228" s="131"/>
      <c r="D228" s="132"/>
      <c r="E228" s="133" t="s">
        <v>101</v>
      </c>
      <c r="F228" s="134" t="s">
        <v>102</v>
      </c>
      <c r="H228" s="135">
        <f t="shared" ref="H228:M228" si="103">H$1</f>
        <v>2015</v>
      </c>
      <c r="I228" s="133">
        <f t="shared" si="103"/>
        <v>2016</v>
      </c>
      <c r="J228" s="133">
        <f t="shared" si="103"/>
        <v>2017</v>
      </c>
      <c r="K228" s="133">
        <f t="shared" si="103"/>
        <v>2018</v>
      </c>
      <c r="L228" s="133">
        <f t="shared" si="103"/>
        <v>2019</v>
      </c>
      <c r="M228" s="134">
        <f t="shared" si="103"/>
        <v>2020</v>
      </c>
      <c r="N228" s="1"/>
      <c r="O228" s="1"/>
      <c r="P228" s="1"/>
      <c r="Q228" s="1"/>
      <c r="S228" s="135">
        <f t="shared" ref="S228:BB228" si="104">S$1</f>
        <v>2015</v>
      </c>
      <c r="T228" s="133">
        <f t="shared" si="104"/>
        <v>2016</v>
      </c>
      <c r="U228" s="133">
        <f t="shared" si="104"/>
        <v>2017</v>
      </c>
      <c r="V228" s="133">
        <f t="shared" si="104"/>
        <v>2018</v>
      </c>
      <c r="W228" s="133">
        <f t="shared" si="104"/>
        <v>2019</v>
      </c>
      <c r="X228" s="133">
        <f t="shared" si="104"/>
        <v>2020</v>
      </c>
      <c r="Y228" s="133">
        <f t="shared" si="104"/>
        <v>2021</v>
      </c>
      <c r="Z228" s="133">
        <f t="shared" si="104"/>
        <v>2022</v>
      </c>
      <c r="AA228" s="133">
        <f t="shared" si="104"/>
        <v>2023</v>
      </c>
      <c r="AB228" s="133">
        <f t="shared" si="104"/>
        <v>2024</v>
      </c>
      <c r="AC228" s="133">
        <f t="shared" si="104"/>
        <v>2025</v>
      </c>
      <c r="AD228" s="133">
        <f t="shared" si="104"/>
        <v>2026</v>
      </c>
      <c r="AE228" s="133">
        <f t="shared" si="104"/>
        <v>2027</v>
      </c>
      <c r="AF228" s="133">
        <f t="shared" si="104"/>
        <v>2028</v>
      </c>
      <c r="AG228" s="133">
        <f t="shared" si="104"/>
        <v>2029</v>
      </c>
      <c r="AH228" s="133">
        <f t="shared" si="104"/>
        <v>2030</v>
      </c>
      <c r="AI228" s="133">
        <f t="shared" si="104"/>
        <v>2031</v>
      </c>
      <c r="AJ228" s="133">
        <f t="shared" si="104"/>
        <v>2032</v>
      </c>
      <c r="AK228" s="133">
        <f t="shared" si="104"/>
        <v>2033</v>
      </c>
      <c r="AL228" s="133">
        <f t="shared" si="104"/>
        <v>2034</v>
      </c>
      <c r="AM228" s="133">
        <f t="shared" si="104"/>
        <v>2035</v>
      </c>
      <c r="AN228" s="133">
        <f t="shared" si="104"/>
        <v>2036</v>
      </c>
      <c r="AO228" s="133">
        <f t="shared" si="104"/>
        <v>2037</v>
      </c>
      <c r="AP228" s="133">
        <f t="shared" si="104"/>
        <v>2038</v>
      </c>
      <c r="AQ228" s="133">
        <f t="shared" si="104"/>
        <v>2039</v>
      </c>
      <c r="AR228" s="133">
        <f t="shared" si="104"/>
        <v>2040</v>
      </c>
      <c r="AS228" s="133">
        <f t="shared" si="104"/>
        <v>2041</v>
      </c>
      <c r="AT228" s="133">
        <f t="shared" si="104"/>
        <v>2042</v>
      </c>
      <c r="AU228" s="133">
        <f t="shared" si="104"/>
        <v>2043</v>
      </c>
      <c r="AV228" s="133">
        <f t="shared" si="104"/>
        <v>2044</v>
      </c>
      <c r="AW228" s="133">
        <f t="shared" si="104"/>
        <v>2045</v>
      </c>
      <c r="AX228" s="133">
        <f t="shared" si="104"/>
        <v>2046</v>
      </c>
      <c r="AY228" s="133">
        <f t="shared" si="104"/>
        <v>2047</v>
      </c>
      <c r="AZ228" s="133">
        <f t="shared" si="104"/>
        <v>2048</v>
      </c>
      <c r="BA228" s="133">
        <f t="shared" si="104"/>
        <v>2049</v>
      </c>
      <c r="BB228" s="134">
        <f t="shared" si="104"/>
        <v>2050</v>
      </c>
      <c r="BD228" s="135">
        <f t="shared" ref="BD228:CM228" si="105">BD$1</f>
        <v>2015</v>
      </c>
      <c r="BE228" s="133">
        <f t="shared" si="105"/>
        <v>2016</v>
      </c>
      <c r="BF228" s="133">
        <f t="shared" si="105"/>
        <v>2017</v>
      </c>
      <c r="BG228" s="133">
        <f t="shared" si="105"/>
        <v>2018</v>
      </c>
      <c r="BH228" s="133">
        <f t="shared" si="105"/>
        <v>2019</v>
      </c>
      <c r="BI228" s="133">
        <f t="shared" si="105"/>
        <v>2020</v>
      </c>
      <c r="BJ228" s="133">
        <f t="shared" si="105"/>
        <v>2021</v>
      </c>
      <c r="BK228" s="133">
        <f t="shared" si="105"/>
        <v>2022</v>
      </c>
      <c r="BL228" s="133">
        <f t="shared" si="105"/>
        <v>2023</v>
      </c>
      <c r="BM228" s="133">
        <f t="shared" si="105"/>
        <v>2024</v>
      </c>
      <c r="BN228" s="133">
        <f t="shared" si="105"/>
        <v>2025</v>
      </c>
      <c r="BO228" s="133">
        <f t="shared" si="105"/>
        <v>2026</v>
      </c>
      <c r="BP228" s="133">
        <f t="shared" si="105"/>
        <v>2027</v>
      </c>
      <c r="BQ228" s="133">
        <f t="shared" si="105"/>
        <v>2028</v>
      </c>
      <c r="BR228" s="133">
        <f t="shared" si="105"/>
        <v>2029</v>
      </c>
      <c r="BS228" s="133">
        <f t="shared" si="105"/>
        <v>2030</v>
      </c>
      <c r="BT228" s="133">
        <f t="shared" si="105"/>
        <v>2031</v>
      </c>
      <c r="BU228" s="133">
        <f t="shared" si="105"/>
        <v>2032</v>
      </c>
      <c r="BV228" s="133">
        <f t="shared" si="105"/>
        <v>2033</v>
      </c>
      <c r="BW228" s="133">
        <f t="shared" si="105"/>
        <v>2034</v>
      </c>
      <c r="BX228" s="133">
        <f t="shared" si="105"/>
        <v>2035</v>
      </c>
      <c r="BY228" s="133">
        <f t="shared" si="105"/>
        <v>2036</v>
      </c>
      <c r="BZ228" s="133">
        <f t="shared" si="105"/>
        <v>2037</v>
      </c>
      <c r="CA228" s="133">
        <f t="shared" si="105"/>
        <v>2038</v>
      </c>
      <c r="CB228" s="133">
        <f t="shared" si="105"/>
        <v>2039</v>
      </c>
      <c r="CC228" s="133">
        <f t="shared" si="105"/>
        <v>2040</v>
      </c>
      <c r="CD228" s="133">
        <f t="shared" si="105"/>
        <v>2041</v>
      </c>
      <c r="CE228" s="133">
        <f t="shared" si="105"/>
        <v>2042</v>
      </c>
      <c r="CF228" s="133">
        <f t="shared" si="105"/>
        <v>2043</v>
      </c>
      <c r="CG228" s="133">
        <f t="shared" si="105"/>
        <v>2044</v>
      </c>
      <c r="CH228" s="133">
        <f t="shared" si="105"/>
        <v>2045</v>
      </c>
      <c r="CI228" s="133">
        <f t="shared" si="105"/>
        <v>2046</v>
      </c>
      <c r="CJ228" s="133">
        <f t="shared" si="105"/>
        <v>2047</v>
      </c>
      <c r="CK228" s="133">
        <f t="shared" si="105"/>
        <v>2048</v>
      </c>
      <c r="CL228" s="133">
        <f t="shared" si="105"/>
        <v>2049</v>
      </c>
      <c r="CM228" s="134">
        <f t="shared" si="105"/>
        <v>2050</v>
      </c>
      <c r="CO228" s="135">
        <f t="shared" ref="CO228:DX228" si="106">CO$1</f>
        <v>2015</v>
      </c>
      <c r="CP228" s="133">
        <f t="shared" si="106"/>
        <v>2016</v>
      </c>
      <c r="CQ228" s="133">
        <f t="shared" si="106"/>
        <v>2017</v>
      </c>
      <c r="CR228" s="133">
        <f t="shared" si="106"/>
        <v>2018</v>
      </c>
      <c r="CS228" s="133">
        <f t="shared" si="106"/>
        <v>2019</v>
      </c>
      <c r="CT228" s="133">
        <f t="shared" si="106"/>
        <v>2020</v>
      </c>
      <c r="CU228" s="133">
        <f t="shared" si="106"/>
        <v>2021</v>
      </c>
      <c r="CV228" s="133">
        <f t="shared" si="106"/>
        <v>2022</v>
      </c>
      <c r="CW228" s="133">
        <f t="shared" si="106"/>
        <v>2023</v>
      </c>
      <c r="CX228" s="133">
        <f t="shared" si="106"/>
        <v>2024</v>
      </c>
      <c r="CY228" s="133">
        <f t="shared" si="106"/>
        <v>2025</v>
      </c>
      <c r="CZ228" s="133">
        <f t="shared" si="106"/>
        <v>2026</v>
      </c>
      <c r="DA228" s="133">
        <f t="shared" si="106"/>
        <v>2027</v>
      </c>
      <c r="DB228" s="133">
        <f t="shared" si="106"/>
        <v>2028</v>
      </c>
      <c r="DC228" s="133">
        <f t="shared" si="106"/>
        <v>2029</v>
      </c>
      <c r="DD228" s="133">
        <f t="shared" si="106"/>
        <v>2030</v>
      </c>
      <c r="DE228" s="133">
        <f t="shared" si="106"/>
        <v>2031</v>
      </c>
      <c r="DF228" s="133">
        <f t="shared" si="106"/>
        <v>2032</v>
      </c>
      <c r="DG228" s="133">
        <f t="shared" si="106"/>
        <v>2033</v>
      </c>
      <c r="DH228" s="133">
        <f t="shared" si="106"/>
        <v>2034</v>
      </c>
      <c r="DI228" s="133">
        <f t="shared" si="106"/>
        <v>2035</v>
      </c>
      <c r="DJ228" s="133">
        <f t="shared" si="106"/>
        <v>2036</v>
      </c>
      <c r="DK228" s="133">
        <f t="shared" si="106"/>
        <v>2037</v>
      </c>
      <c r="DL228" s="133">
        <f t="shared" si="106"/>
        <v>2038</v>
      </c>
      <c r="DM228" s="133">
        <f t="shared" si="106"/>
        <v>2039</v>
      </c>
      <c r="DN228" s="133">
        <f t="shared" si="106"/>
        <v>2040</v>
      </c>
      <c r="DO228" s="133">
        <f t="shared" si="106"/>
        <v>2041</v>
      </c>
      <c r="DP228" s="133">
        <f t="shared" si="106"/>
        <v>2042</v>
      </c>
      <c r="DQ228" s="133">
        <f t="shared" si="106"/>
        <v>2043</v>
      </c>
      <c r="DR228" s="133">
        <f t="shared" si="106"/>
        <v>2044</v>
      </c>
      <c r="DS228" s="133">
        <f t="shared" si="106"/>
        <v>2045</v>
      </c>
      <c r="DT228" s="133">
        <f t="shared" si="106"/>
        <v>2046</v>
      </c>
      <c r="DU228" s="133">
        <f t="shared" si="106"/>
        <v>2047</v>
      </c>
      <c r="DV228" s="133">
        <f t="shared" si="106"/>
        <v>2048</v>
      </c>
      <c r="DW228" s="133">
        <f t="shared" si="106"/>
        <v>2049</v>
      </c>
      <c r="DX228" s="134">
        <f t="shared" si="106"/>
        <v>2050</v>
      </c>
      <c r="DZ228" s="135">
        <f t="shared" ref="DZ228:FI228" si="107">DZ$1</f>
        <v>2015</v>
      </c>
      <c r="EA228" s="133">
        <f t="shared" si="107"/>
        <v>2016</v>
      </c>
      <c r="EB228" s="133">
        <f t="shared" si="107"/>
        <v>2017</v>
      </c>
      <c r="EC228" s="133">
        <f t="shared" si="107"/>
        <v>2018</v>
      </c>
      <c r="ED228" s="133">
        <f t="shared" si="107"/>
        <v>2019</v>
      </c>
      <c r="EE228" s="133">
        <f t="shared" si="107"/>
        <v>2020</v>
      </c>
      <c r="EF228" s="133">
        <f t="shared" si="107"/>
        <v>2021</v>
      </c>
      <c r="EG228" s="133">
        <f t="shared" si="107"/>
        <v>2022</v>
      </c>
      <c r="EH228" s="133">
        <f t="shared" si="107"/>
        <v>2023</v>
      </c>
      <c r="EI228" s="133">
        <f t="shared" si="107"/>
        <v>2024</v>
      </c>
      <c r="EJ228" s="133">
        <f t="shared" si="107"/>
        <v>2025</v>
      </c>
      <c r="EK228" s="133">
        <f t="shared" si="107"/>
        <v>2026</v>
      </c>
      <c r="EL228" s="133">
        <f t="shared" si="107"/>
        <v>2027</v>
      </c>
      <c r="EM228" s="133">
        <f t="shared" si="107"/>
        <v>2028</v>
      </c>
      <c r="EN228" s="133">
        <f t="shared" si="107"/>
        <v>2029</v>
      </c>
      <c r="EO228" s="133">
        <f t="shared" si="107"/>
        <v>2030</v>
      </c>
      <c r="EP228" s="133">
        <f t="shared" si="107"/>
        <v>2031</v>
      </c>
      <c r="EQ228" s="133">
        <f t="shared" si="107"/>
        <v>2032</v>
      </c>
      <c r="ER228" s="133">
        <f t="shared" si="107"/>
        <v>2033</v>
      </c>
      <c r="ES228" s="133">
        <f t="shared" si="107"/>
        <v>2034</v>
      </c>
      <c r="ET228" s="133">
        <f t="shared" si="107"/>
        <v>2035</v>
      </c>
      <c r="EU228" s="133">
        <f t="shared" si="107"/>
        <v>2036</v>
      </c>
      <c r="EV228" s="133">
        <f t="shared" si="107"/>
        <v>2037</v>
      </c>
      <c r="EW228" s="133">
        <f t="shared" si="107"/>
        <v>2038</v>
      </c>
      <c r="EX228" s="133">
        <f t="shared" si="107"/>
        <v>2039</v>
      </c>
      <c r="EY228" s="133">
        <f t="shared" si="107"/>
        <v>2040</v>
      </c>
      <c r="EZ228" s="133">
        <f t="shared" si="107"/>
        <v>2041</v>
      </c>
      <c r="FA228" s="133">
        <f t="shared" si="107"/>
        <v>2042</v>
      </c>
      <c r="FB228" s="133">
        <f t="shared" si="107"/>
        <v>2043</v>
      </c>
      <c r="FC228" s="133">
        <f t="shared" si="107"/>
        <v>2044</v>
      </c>
      <c r="FD228" s="133">
        <f t="shared" si="107"/>
        <v>2045</v>
      </c>
      <c r="FE228" s="133">
        <f t="shared" si="107"/>
        <v>2046</v>
      </c>
      <c r="FF228" s="133">
        <f t="shared" si="107"/>
        <v>2047</v>
      </c>
      <c r="FG228" s="133">
        <f t="shared" si="107"/>
        <v>2048</v>
      </c>
      <c r="FH228" s="133">
        <f t="shared" si="107"/>
        <v>2049</v>
      </c>
      <c r="FI228" s="134">
        <f t="shared" si="107"/>
        <v>2050</v>
      </c>
      <c r="FK228" s="135">
        <f t="shared" ref="FK228:GT228" si="108">FK$1</f>
        <v>2015</v>
      </c>
      <c r="FL228" s="133">
        <f t="shared" si="108"/>
        <v>2016</v>
      </c>
      <c r="FM228" s="133">
        <f t="shared" si="108"/>
        <v>2017</v>
      </c>
      <c r="FN228" s="133">
        <f t="shared" si="108"/>
        <v>2018</v>
      </c>
      <c r="FO228" s="133">
        <f t="shared" si="108"/>
        <v>2019</v>
      </c>
      <c r="FP228" s="133">
        <f t="shared" si="108"/>
        <v>2020</v>
      </c>
      <c r="FQ228" s="133">
        <f t="shared" si="108"/>
        <v>2021</v>
      </c>
      <c r="FR228" s="133">
        <f t="shared" si="108"/>
        <v>2022</v>
      </c>
      <c r="FS228" s="133">
        <f t="shared" si="108"/>
        <v>2023</v>
      </c>
      <c r="FT228" s="133">
        <f t="shared" si="108"/>
        <v>2024</v>
      </c>
      <c r="FU228" s="133">
        <f t="shared" si="108"/>
        <v>2025</v>
      </c>
      <c r="FV228" s="133">
        <f t="shared" si="108"/>
        <v>2026</v>
      </c>
      <c r="FW228" s="133">
        <f t="shared" si="108"/>
        <v>2027</v>
      </c>
      <c r="FX228" s="133">
        <f t="shared" si="108"/>
        <v>2028</v>
      </c>
      <c r="FY228" s="133">
        <f t="shared" si="108"/>
        <v>2029</v>
      </c>
      <c r="FZ228" s="133">
        <f t="shared" si="108"/>
        <v>2030</v>
      </c>
      <c r="GA228" s="133">
        <f t="shared" si="108"/>
        <v>2031</v>
      </c>
      <c r="GB228" s="133">
        <f t="shared" si="108"/>
        <v>2032</v>
      </c>
      <c r="GC228" s="133">
        <f t="shared" si="108"/>
        <v>2033</v>
      </c>
      <c r="GD228" s="133">
        <f t="shared" si="108"/>
        <v>2034</v>
      </c>
      <c r="GE228" s="133">
        <f t="shared" si="108"/>
        <v>2035</v>
      </c>
      <c r="GF228" s="133">
        <f t="shared" si="108"/>
        <v>2036</v>
      </c>
      <c r="GG228" s="133">
        <f t="shared" si="108"/>
        <v>2037</v>
      </c>
      <c r="GH228" s="133">
        <f t="shared" si="108"/>
        <v>2038</v>
      </c>
      <c r="GI228" s="133">
        <f t="shared" si="108"/>
        <v>2039</v>
      </c>
      <c r="GJ228" s="133">
        <f t="shared" si="108"/>
        <v>2040</v>
      </c>
      <c r="GK228" s="133">
        <f t="shared" si="108"/>
        <v>2041</v>
      </c>
      <c r="GL228" s="133">
        <f t="shared" si="108"/>
        <v>2042</v>
      </c>
      <c r="GM228" s="133">
        <f t="shared" si="108"/>
        <v>2043</v>
      </c>
      <c r="GN228" s="133">
        <f t="shared" si="108"/>
        <v>2044</v>
      </c>
      <c r="GO228" s="133">
        <f t="shared" si="108"/>
        <v>2045</v>
      </c>
      <c r="GP228" s="133">
        <f t="shared" si="108"/>
        <v>2046</v>
      </c>
      <c r="GQ228" s="133">
        <f t="shared" si="108"/>
        <v>2047</v>
      </c>
      <c r="GR228" s="133">
        <f t="shared" si="108"/>
        <v>2048</v>
      </c>
      <c r="GS228" s="133">
        <f t="shared" si="108"/>
        <v>2049</v>
      </c>
      <c r="GT228" s="134">
        <f t="shared" si="108"/>
        <v>2050</v>
      </c>
      <c r="GV228" s="135">
        <f t="shared" ref="GV228:IE228" si="109">GV$1</f>
        <v>2015</v>
      </c>
      <c r="GW228" s="133">
        <f t="shared" si="109"/>
        <v>2016</v>
      </c>
      <c r="GX228" s="133">
        <f t="shared" si="109"/>
        <v>2017</v>
      </c>
      <c r="GY228" s="133">
        <f t="shared" si="109"/>
        <v>2018</v>
      </c>
      <c r="GZ228" s="133">
        <f t="shared" si="109"/>
        <v>2019</v>
      </c>
      <c r="HA228" s="133">
        <f t="shared" si="109"/>
        <v>2020</v>
      </c>
      <c r="HB228" s="133">
        <f t="shared" si="109"/>
        <v>2021</v>
      </c>
      <c r="HC228" s="133">
        <f t="shared" si="109"/>
        <v>2022</v>
      </c>
      <c r="HD228" s="133">
        <f t="shared" si="109"/>
        <v>2023</v>
      </c>
      <c r="HE228" s="133">
        <f t="shared" si="109"/>
        <v>2024</v>
      </c>
      <c r="HF228" s="133">
        <f t="shared" si="109"/>
        <v>2025</v>
      </c>
      <c r="HG228" s="133">
        <f t="shared" si="109"/>
        <v>2026</v>
      </c>
      <c r="HH228" s="133">
        <f t="shared" si="109"/>
        <v>2027</v>
      </c>
      <c r="HI228" s="133">
        <f t="shared" si="109"/>
        <v>2028</v>
      </c>
      <c r="HJ228" s="133">
        <f t="shared" si="109"/>
        <v>2029</v>
      </c>
      <c r="HK228" s="133">
        <f t="shared" si="109"/>
        <v>2030</v>
      </c>
      <c r="HL228" s="133">
        <f t="shared" si="109"/>
        <v>2031</v>
      </c>
      <c r="HM228" s="133">
        <f t="shared" si="109"/>
        <v>2032</v>
      </c>
      <c r="HN228" s="133">
        <f t="shared" si="109"/>
        <v>2033</v>
      </c>
      <c r="HO228" s="133">
        <f t="shared" si="109"/>
        <v>2034</v>
      </c>
      <c r="HP228" s="133">
        <f t="shared" si="109"/>
        <v>2035</v>
      </c>
      <c r="HQ228" s="133">
        <f t="shared" si="109"/>
        <v>2036</v>
      </c>
      <c r="HR228" s="133">
        <f t="shared" si="109"/>
        <v>2037</v>
      </c>
      <c r="HS228" s="133">
        <f t="shared" si="109"/>
        <v>2038</v>
      </c>
      <c r="HT228" s="133">
        <f t="shared" si="109"/>
        <v>2039</v>
      </c>
      <c r="HU228" s="133">
        <f t="shared" si="109"/>
        <v>2040</v>
      </c>
      <c r="HV228" s="133">
        <f t="shared" si="109"/>
        <v>2041</v>
      </c>
      <c r="HW228" s="133">
        <f t="shared" si="109"/>
        <v>2042</v>
      </c>
      <c r="HX228" s="133">
        <f t="shared" si="109"/>
        <v>2043</v>
      </c>
      <c r="HY228" s="133">
        <f t="shared" si="109"/>
        <v>2044</v>
      </c>
      <c r="HZ228" s="133">
        <f t="shared" si="109"/>
        <v>2045</v>
      </c>
      <c r="IA228" s="133">
        <f t="shared" si="109"/>
        <v>2046</v>
      </c>
      <c r="IB228" s="133">
        <f t="shared" si="109"/>
        <v>2047</v>
      </c>
      <c r="IC228" s="133">
        <f t="shared" si="109"/>
        <v>2048</v>
      </c>
      <c r="ID228" s="133">
        <f t="shared" si="109"/>
        <v>2049</v>
      </c>
      <c r="IE228" s="134">
        <f t="shared" si="109"/>
        <v>2050</v>
      </c>
      <c r="IG228" s="135">
        <f t="shared" ref="IG228:JP228" si="110">IG$1</f>
        <v>2015</v>
      </c>
      <c r="IH228" s="133">
        <f t="shared" si="110"/>
        <v>2016</v>
      </c>
      <c r="II228" s="133">
        <f t="shared" si="110"/>
        <v>2017</v>
      </c>
      <c r="IJ228" s="133">
        <f t="shared" si="110"/>
        <v>2018</v>
      </c>
      <c r="IK228" s="133">
        <f t="shared" si="110"/>
        <v>2019</v>
      </c>
      <c r="IL228" s="133">
        <f t="shared" si="110"/>
        <v>2020</v>
      </c>
      <c r="IM228" s="133">
        <f t="shared" si="110"/>
        <v>2021</v>
      </c>
      <c r="IN228" s="133">
        <f t="shared" si="110"/>
        <v>2022</v>
      </c>
      <c r="IO228" s="133">
        <f t="shared" si="110"/>
        <v>2023</v>
      </c>
      <c r="IP228" s="133">
        <f t="shared" si="110"/>
        <v>2024</v>
      </c>
      <c r="IQ228" s="133">
        <f t="shared" si="110"/>
        <v>2025</v>
      </c>
      <c r="IR228" s="133">
        <f t="shared" si="110"/>
        <v>2026</v>
      </c>
      <c r="IS228" s="133">
        <f t="shared" si="110"/>
        <v>2027</v>
      </c>
      <c r="IT228" s="133">
        <f t="shared" si="110"/>
        <v>2028</v>
      </c>
      <c r="IU228" s="133">
        <f t="shared" si="110"/>
        <v>2029</v>
      </c>
      <c r="IV228" s="133">
        <f t="shared" si="110"/>
        <v>2030</v>
      </c>
      <c r="IW228" s="133">
        <f t="shared" si="110"/>
        <v>2031</v>
      </c>
      <c r="IX228" s="133">
        <f t="shared" si="110"/>
        <v>2032</v>
      </c>
      <c r="IY228" s="133">
        <f t="shared" si="110"/>
        <v>2033</v>
      </c>
      <c r="IZ228" s="133">
        <f t="shared" si="110"/>
        <v>2034</v>
      </c>
      <c r="JA228" s="133">
        <f t="shared" si="110"/>
        <v>2035</v>
      </c>
      <c r="JB228" s="133">
        <f t="shared" si="110"/>
        <v>2036</v>
      </c>
      <c r="JC228" s="133">
        <f t="shared" si="110"/>
        <v>2037</v>
      </c>
      <c r="JD228" s="133">
        <f t="shared" si="110"/>
        <v>2038</v>
      </c>
      <c r="JE228" s="133">
        <f t="shared" si="110"/>
        <v>2039</v>
      </c>
      <c r="JF228" s="133">
        <f t="shared" si="110"/>
        <v>2040</v>
      </c>
      <c r="JG228" s="133">
        <f t="shared" si="110"/>
        <v>2041</v>
      </c>
      <c r="JH228" s="133">
        <f t="shared" si="110"/>
        <v>2042</v>
      </c>
      <c r="JI228" s="133">
        <f t="shared" si="110"/>
        <v>2043</v>
      </c>
      <c r="JJ228" s="133">
        <f t="shared" si="110"/>
        <v>2044</v>
      </c>
      <c r="JK228" s="133">
        <f t="shared" si="110"/>
        <v>2045</v>
      </c>
      <c r="JL228" s="133">
        <f t="shared" si="110"/>
        <v>2046</v>
      </c>
      <c r="JM228" s="133">
        <f t="shared" si="110"/>
        <v>2047</v>
      </c>
      <c r="JN228" s="133">
        <f t="shared" si="110"/>
        <v>2048</v>
      </c>
      <c r="JO228" s="133">
        <f t="shared" si="110"/>
        <v>2049</v>
      </c>
      <c r="JP228" s="134">
        <f t="shared" si="110"/>
        <v>2050</v>
      </c>
      <c r="JR228" s="135">
        <f t="shared" ref="JR228:MC228" si="111">JR$1</f>
        <v>2015</v>
      </c>
      <c r="JS228" s="133">
        <f t="shared" si="111"/>
        <v>2016</v>
      </c>
      <c r="JT228" s="133">
        <f t="shared" si="111"/>
        <v>2017</v>
      </c>
      <c r="JU228" s="133">
        <f t="shared" si="111"/>
        <v>2018</v>
      </c>
      <c r="JV228" s="133">
        <f t="shared" si="111"/>
        <v>2019</v>
      </c>
      <c r="JW228" s="133">
        <f t="shared" si="111"/>
        <v>2020</v>
      </c>
      <c r="JX228" s="133">
        <f t="shared" si="111"/>
        <v>2021</v>
      </c>
      <c r="JY228" s="133">
        <f t="shared" si="111"/>
        <v>2022</v>
      </c>
      <c r="JZ228" s="133">
        <f t="shared" si="111"/>
        <v>2023</v>
      </c>
      <c r="KA228" s="133">
        <f t="shared" si="111"/>
        <v>2024</v>
      </c>
      <c r="KB228" s="133">
        <f t="shared" si="111"/>
        <v>2025</v>
      </c>
      <c r="KC228" s="133">
        <f t="shared" si="111"/>
        <v>2026</v>
      </c>
      <c r="KD228" s="133">
        <f t="shared" si="111"/>
        <v>2027</v>
      </c>
      <c r="KE228" s="133">
        <f t="shared" si="111"/>
        <v>2028</v>
      </c>
      <c r="KF228" s="133">
        <f t="shared" si="111"/>
        <v>2029</v>
      </c>
      <c r="KG228" s="133">
        <f t="shared" si="111"/>
        <v>2030</v>
      </c>
      <c r="KH228" s="133">
        <f t="shared" si="111"/>
        <v>2031</v>
      </c>
      <c r="KI228" s="133">
        <f t="shared" si="111"/>
        <v>2032</v>
      </c>
      <c r="KJ228" s="133">
        <f t="shared" si="111"/>
        <v>2033</v>
      </c>
      <c r="KK228" s="133">
        <f t="shared" si="111"/>
        <v>2034</v>
      </c>
      <c r="KL228" s="133">
        <f t="shared" si="111"/>
        <v>2035</v>
      </c>
      <c r="KM228" s="133">
        <f t="shared" si="111"/>
        <v>2036</v>
      </c>
      <c r="KN228" s="133">
        <f t="shared" si="111"/>
        <v>2037</v>
      </c>
      <c r="KO228" s="133">
        <f t="shared" si="111"/>
        <v>2038</v>
      </c>
      <c r="KP228" s="133">
        <f t="shared" si="111"/>
        <v>2039</v>
      </c>
      <c r="KQ228" s="133">
        <f t="shared" si="111"/>
        <v>2040</v>
      </c>
      <c r="KR228" s="133">
        <f t="shared" si="111"/>
        <v>2041</v>
      </c>
      <c r="KS228" s="133">
        <f t="shared" si="111"/>
        <v>2042</v>
      </c>
      <c r="KT228" s="133">
        <f t="shared" si="111"/>
        <v>2043</v>
      </c>
      <c r="KU228" s="133">
        <f t="shared" si="111"/>
        <v>2044</v>
      </c>
      <c r="KV228" s="133">
        <f t="shared" si="111"/>
        <v>2045</v>
      </c>
      <c r="KW228" s="133">
        <f t="shared" si="111"/>
        <v>2046</v>
      </c>
      <c r="KX228" s="133">
        <f t="shared" si="111"/>
        <v>2047</v>
      </c>
      <c r="KY228" s="133">
        <f t="shared" si="111"/>
        <v>2048</v>
      </c>
      <c r="KZ228" s="133">
        <f t="shared" si="111"/>
        <v>2049</v>
      </c>
      <c r="LA228" s="134">
        <f t="shared" si="111"/>
        <v>2050</v>
      </c>
      <c r="LC228" s="135">
        <f t="shared" si="111"/>
        <v>2015</v>
      </c>
      <c r="LD228" s="133">
        <f t="shared" si="111"/>
        <v>2016</v>
      </c>
      <c r="LE228" s="133">
        <f t="shared" si="111"/>
        <v>2017</v>
      </c>
      <c r="LF228" s="133">
        <f t="shared" si="111"/>
        <v>2018</v>
      </c>
      <c r="LG228" s="133">
        <f t="shared" si="111"/>
        <v>2019</v>
      </c>
      <c r="LH228" s="133">
        <f t="shared" si="111"/>
        <v>2020</v>
      </c>
      <c r="LI228" s="133">
        <f t="shared" si="111"/>
        <v>2021</v>
      </c>
      <c r="LJ228" s="133">
        <f t="shared" si="111"/>
        <v>2022</v>
      </c>
      <c r="LK228" s="133">
        <f t="shared" si="111"/>
        <v>2023</v>
      </c>
      <c r="LL228" s="133">
        <f t="shared" si="111"/>
        <v>2024</v>
      </c>
      <c r="LM228" s="133">
        <f t="shared" si="111"/>
        <v>2025</v>
      </c>
      <c r="LN228" s="133">
        <f t="shared" si="111"/>
        <v>2026</v>
      </c>
      <c r="LO228" s="133">
        <f t="shared" si="111"/>
        <v>2027</v>
      </c>
      <c r="LP228" s="133">
        <f t="shared" si="111"/>
        <v>2028</v>
      </c>
      <c r="LQ228" s="133">
        <f t="shared" si="111"/>
        <v>2029</v>
      </c>
      <c r="LR228" s="133">
        <f t="shared" si="111"/>
        <v>2030</v>
      </c>
      <c r="LS228" s="133">
        <f t="shared" si="111"/>
        <v>2031</v>
      </c>
      <c r="LT228" s="133">
        <f t="shared" si="111"/>
        <v>2032</v>
      </c>
      <c r="LU228" s="133">
        <f t="shared" si="111"/>
        <v>2033</v>
      </c>
      <c r="LV228" s="133">
        <f t="shared" si="111"/>
        <v>2034</v>
      </c>
      <c r="LW228" s="133">
        <f t="shared" si="111"/>
        <v>2035</v>
      </c>
      <c r="LX228" s="133">
        <f t="shared" si="111"/>
        <v>2036</v>
      </c>
      <c r="LY228" s="133">
        <f t="shared" si="111"/>
        <v>2037</v>
      </c>
      <c r="LZ228" s="133">
        <f t="shared" si="111"/>
        <v>2038</v>
      </c>
      <c r="MA228" s="133">
        <f t="shared" si="111"/>
        <v>2039</v>
      </c>
      <c r="MB228" s="133">
        <f t="shared" si="111"/>
        <v>2040</v>
      </c>
      <c r="MC228" s="133">
        <f t="shared" si="111"/>
        <v>2041</v>
      </c>
      <c r="MD228" s="133">
        <f t="shared" ref="MD228:ML228" si="112">MD$1</f>
        <v>2042</v>
      </c>
      <c r="ME228" s="133">
        <f t="shared" si="112"/>
        <v>2043</v>
      </c>
      <c r="MF228" s="133">
        <f t="shared" si="112"/>
        <v>2044</v>
      </c>
      <c r="MG228" s="133">
        <f t="shared" si="112"/>
        <v>2045</v>
      </c>
      <c r="MH228" s="133">
        <f t="shared" si="112"/>
        <v>2046</v>
      </c>
      <c r="MI228" s="133">
        <f t="shared" si="112"/>
        <v>2047</v>
      </c>
      <c r="MJ228" s="133">
        <f t="shared" si="112"/>
        <v>2048</v>
      </c>
      <c r="MK228" s="133">
        <f t="shared" si="112"/>
        <v>2049</v>
      </c>
      <c r="ML228" s="134">
        <f t="shared" si="112"/>
        <v>2050</v>
      </c>
    </row>
    <row r="229" spans="2:350" s="4" customFormat="1" ht="18" customHeight="1" x14ac:dyDescent="0.3">
      <c r="C229" s="185" t="s">
        <v>136</v>
      </c>
      <c r="E229" s="137" t="s">
        <v>137</v>
      </c>
      <c r="F229" s="186" t="s">
        <v>104</v>
      </c>
      <c r="H229" s="174">
        <v>102098.56361892461</v>
      </c>
      <c r="I229" s="140">
        <f>$H229+($M229-$H229)*(I$1-$H$1)/($M$1-$H$1)</f>
        <v>101378.85089513969</v>
      </c>
      <c r="J229" s="140">
        <f>$H229+($M229-$H229)*(J$1-$H$1)/($M$1-$H$1)</f>
        <v>100659.13817135477</v>
      </c>
      <c r="K229" s="140">
        <f>$H229+($M229-$H229)*(K$1-$H$1)/($M$1-$H$1)</f>
        <v>99939.42544756984</v>
      </c>
      <c r="L229" s="140">
        <f>$H229+($M229-$H229)*(L$1-$H$1)/($M$1-$H$1)</f>
        <v>99219.71272378492</v>
      </c>
      <c r="M229" s="176">
        <v>98500</v>
      </c>
      <c r="N229" s="140"/>
      <c r="O229" s="140"/>
      <c r="P229" s="140"/>
      <c r="Q229" s="140"/>
      <c r="R229" s="140"/>
      <c r="S229" s="174">
        <v>114000</v>
      </c>
      <c r="T229" s="140">
        <f t="shared" ref="T229:AG229" si="113">$S229+($AH229-$S229)*(T$1-$S$1)/($AH$1-$S$1)</f>
        <v>111533.33333333333</v>
      </c>
      <c r="U229" s="140">
        <f t="shared" si="113"/>
        <v>109066.66666666667</v>
      </c>
      <c r="V229" s="140">
        <f t="shared" si="113"/>
        <v>106600</v>
      </c>
      <c r="W229" s="140">
        <f t="shared" si="113"/>
        <v>104133.33333333333</v>
      </c>
      <c r="X229" s="140">
        <f t="shared" si="113"/>
        <v>101666.66666666667</v>
      </c>
      <c r="Y229" s="140">
        <f t="shared" si="113"/>
        <v>99200</v>
      </c>
      <c r="Z229" s="140">
        <f t="shared" si="113"/>
        <v>96733.333333333328</v>
      </c>
      <c r="AA229" s="140">
        <f t="shared" si="113"/>
        <v>94266.666666666672</v>
      </c>
      <c r="AB229" s="140">
        <f t="shared" si="113"/>
        <v>91800</v>
      </c>
      <c r="AC229" s="140">
        <f t="shared" si="113"/>
        <v>89333.333333333328</v>
      </c>
      <c r="AD229" s="140">
        <f t="shared" si="113"/>
        <v>86866.666666666672</v>
      </c>
      <c r="AE229" s="140">
        <f t="shared" si="113"/>
        <v>84400</v>
      </c>
      <c r="AF229" s="140">
        <f t="shared" si="113"/>
        <v>81933.333333333328</v>
      </c>
      <c r="AG229" s="140">
        <f t="shared" si="113"/>
        <v>79466.666666666657</v>
      </c>
      <c r="AH229" s="175">
        <v>77000</v>
      </c>
      <c r="AI229" s="140">
        <f t="shared" ref="AI229:BA229" si="114">$AH229+($BB229-$AH229)*(AI$1-$AH$1)/($BB$1-$AH$1)</f>
        <v>75800</v>
      </c>
      <c r="AJ229" s="140">
        <f t="shared" si="114"/>
        <v>74600</v>
      </c>
      <c r="AK229" s="140">
        <f t="shared" si="114"/>
        <v>73400</v>
      </c>
      <c r="AL229" s="140">
        <f t="shared" si="114"/>
        <v>72200</v>
      </c>
      <c r="AM229" s="140">
        <f t="shared" si="114"/>
        <v>71000</v>
      </c>
      <c r="AN229" s="140">
        <f t="shared" si="114"/>
        <v>69800</v>
      </c>
      <c r="AO229" s="140">
        <f t="shared" si="114"/>
        <v>68600</v>
      </c>
      <c r="AP229" s="140">
        <f t="shared" si="114"/>
        <v>67400</v>
      </c>
      <c r="AQ229" s="140">
        <f t="shared" si="114"/>
        <v>66200</v>
      </c>
      <c r="AR229" s="140">
        <f t="shared" si="114"/>
        <v>65000</v>
      </c>
      <c r="AS229" s="140">
        <f t="shared" si="114"/>
        <v>63800</v>
      </c>
      <c r="AT229" s="140">
        <f t="shared" si="114"/>
        <v>62600</v>
      </c>
      <c r="AU229" s="140">
        <f t="shared" si="114"/>
        <v>61400</v>
      </c>
      <c r="AV229" s="140">
        <f t="shared" si="114"/>
        <v>60200</v>
      </c>
      <c r="AW229" s="140">
        <f t="shared" si="114"/>
        <v>59000</v>
      </c>
      <c r="AX229" s="140">
        <f t="shared" si="114"/>
        <v>57800</v>
      </c>
      <c r="AY229" s="140">
        <f t="shared" si="114"/>
        <v>56600</v>
      </c>
      <c r="AZ229" s="140">
        <f t="shared" si="114"/>
        <v>55400</v>
      </c>
      <c r="BA229" s="140">
        <f t="shared" si="114"/>
        <v>54200</v>
      </c>
      <c r="BB229" s="176">
        <v>53000</v>
      </c>
      <c r="BC229" s="140"/>
      <c r="BD229" s="146"/>
      <c r="BE229" s="143"/>
      <c r="BF229" s="143"/>
      <c r="BG229" s="143"/>
      <c r="BH229" s="143"/>
      <c r="BI229" s="144">
        <f>BF135</f>
        <v>98507.792817273541</v>
      </c>
      <c r="BJ229" s="143">
        <f>BI229+(BS229-BI229)*(BJ1-BI1)/(BS1-BI1)</f>
        <v>96505.773114189549</v>
      </c>
      <c r="BK229" s="143">
        <f>BI229+(BS229-BI229)*(BK1-BI1)/(BS1-BI1)</f>
        <v>94503.753411105543</v>
      </c>
      <c r="BL229" s="143">
        <f>BI229+(BS229-BI229)*(BL1-BI1)/(BS1-BI1)</f>
        <v>92501.733708021551</v>
      </c>
      <c r="BM229" s="143">
        <f>BI229+(BS229-BI229)*(BM1-BI1)/(BS1-BI1)</f>
        <v>90499.714004937545</v>
      </c>
      <c r="BN229" s="143">
        <f>BI229+(BS229-BI229)*(BN1-BI1)/(BS1-BI1)</f>
        <v>88497.694301853553</v>
      </c>
      <c r="BO229" s="143">
        <f>BI229+(BS229-BI229)*(BO1-BI1)/(BS1-BI1)</f>
        <v>86495.674598769561</v>
      </c>
      <c r="BP229" s="143">
        <f>BI229+(BS229-BI229)*(BP1-BI1)/(BS1-BI1)</f>
        <v>84493.654895685555</v>
      </c>
      <c r="BQ229" s="143">
        <f>BI229+(BS229-BI229)*(BQ1-BI1)/(BS1-BI1)</f>
        <v>82491.635192601563</v>
      </c>
      <c r="BR229" s="143">
        <f>BI229+(BS229-BI229)*(BR1-BI1)/(BS1-BI1)</f>
        <v>80489.615489517571</v>
      </c>
      <c r="BS229" s="144">
        <f>BG135</f>
        <v>78487.595786433565</v>
      </c>
      <c r="BT229" s="143">
        <f>BS229+(CC229-BS229)*(BT1-BS1)/(CC1-BS1)</f>
        <v>77555.806212223106</v>
      </c>
      <c r="BU229" s="143">
        <f>BS229+(CC229-BS229)*(BU1-BS1)/(CC1-BS1)</f>
        <v>76624.016638012632</v>
      </c>
      <c r="BV229" s="143">
        <f>BS229+(CC229-BS229)*(BV1-BS1)/(CC1-BS1)</f>
        <v>75692.227063802173</v>
      </c>
      <c r="BW229" s="143">
        <f>BS229+(CC229-BS229)*(BW1-BS1)/(CC1-BS1)</f>
        <v>74760.437489591699</v>
      </c>
      <c r="BX229" s="143">
        <f>BS229+(CC229-BS229)*(BX1-BS1)/(CC1-BS1)</f>
        <v>73828.64791538124</v>
      </c>
      <c r="BY229" s="143">
        <f>BS229+(CC229-BS229)*(BY1-BS1)/(CC1-BS1)</f>
        <v>72896.85834117078</v>
      </c>
      <c r="BZ229" s="143">
        <f>BS229+(CC229-BS229)*(BZ1-BS1)/(CC1-BS1)</f>
        <v>71965.068766960307</v>
      </c>
      <c r="CA229" s="143">
        <f>BS229+(CC229-BS229)*(CA1-BS1)/(CC1-BS1)</f>
        <v>71033.279192749847</v>
      </c>
      <c r="CB229" s="143">
        <f>BS229+(CC229-BS229)*(CB1-BS1)/(CC1-BS1)</f>
        <v>70101.489618539374</v>
      </c>
      <c r="CC229" s="144">
        <f>BH135</f>
        <v>69169.700044328914</v>
      </c>
      <c r="CD229" s="143">
        <f>CC229+(CM229-CC229)*(CD1-CC1)/(CM1-CC1)</f>
        <v>68472.805159240597</v>
      </c>
      <c r="CE229" s="143">
        <f>CC229+(CM229-CC229)*(CE1-CC1)/(CM1-CC1)</f>
        <v>67775.910274152266</v>
      </c>
      <c r="CF229" s="143">
        <f>CC229+(CM229-CC229)*(CF1-CC1)/(CM1-CC1)</f>
        <v>67079.015389063949</v>
      </c>
      <c r="CG229" s="143">
        <f>CC229+(CM229-CC229)*(CG1-CC1)/(CM1-CC1)</f>
        <v>66382.120503975617</v>
      </c>
      <c r="CH229" s="143">
        <f>CC229+(CM229-CC229)*(CH1-CC1)/(CM1-CC1)</f>
        <v>65685.2256188873</v>
      </c>
      <c r="CI229" s="143">
        <f>CC229+(CM229-CC229)*(CI1-CC1)/(CM1-CC1)</f>
        <v>64988.330733798975</v>
      </c>
      <c r="CJ229" s="143">
        <f>CC229+(CM229-CC229)*(CJ1-CC1)/(CM1-CC1)</f>
        <v>64291.435848710651</v>
      </c>
      <c r="CK229" s="143">
        <f>CC229+(CM229-CC229)*(CK1-CC1)/(CM1-CC1)</f>
        <v>63594.540963622334</v>
      </c>
      <c r="CL229" s="143">
        <f>CC229+(CM229-CC229)*(CL1-CC1)/(CM1-CC1)</f>
        <v>62897.64607853401</v>
      </c>
      <c r="CM229" s="145">
        <f>BI135</f>
        <v>62200.751193445685</v>
      </c>
      <c r="CN229" s="140"/>
      <c r="CO229" s="146"/>
      <c r="CP229" s="143"/>
      <c r="CQ229" s="143"/>
      <c r="CR229" s="143"/>
      <c r="CS229" s="143"/>
      <c r="CT229" s="144">
        <f>CQ135</f>
        <v>98510.25827435746</v>
      </c>
      <c r="CU229" s="143">
        <f>CT229+(DD229-CT229)*(CU1-CT1)/(DD1-CT1)</f>
        <v>94360.691082390156</v>
      </c>
      <c r="CV229" s="143">
        <f>CT229+(DD229-CT229)*(CV1-CT1)/(DD1-CT1)</f>
        <v>90211.123890422852</v>
      </c>
      <c r="CW229" s="143">
        <f>CT229+(DD229-CT229)*(CW1-CT1)/(DD1-CT1)</f>
        <v>86061.556698455548</v>
      </c>
      <c r="CX229" s="143">
        <f>CT229+(DD229-CT229)*(CX1-CT1)/(DD1-CT1)</f>
        <v>81911.989506488244</v>
      </c>
      <c r="CY229" s="143">
        <f>CT229+(DD229-CT229)*(CY1-CT1)/(DD1-CT1)</f>
        <v>77762.42231452094</v>
      </c>
      <c r="CZ229" s="143">
        <f>CT229+(DD229-CT229)*(CZ1-CT1)/(DD1-CT1)</f>
        <v>73612.855122553636</v>
      </c>
      <c r="DA229" s="143">
        <f>CT229+(DD229-CT229)*(DA1-CT1)/(DD1-CT1)</f>
        <v>69463.287930586332</v>
      </c>
      <c r="DB229" s="143">
        <f>CT229+(DD229-CT229)*(DB1-CT1)/(DD1-CT1)</f>
        <v>65313.720738619028</v>
      </c>
      <c r="DC229" s="143">
        <f>CT229+(DD229-CT229)*(DC1-CT1)/(DD1-CT1)</f>
        <v>61164.153546651723</v>
      </c>
      <c r="DD229" s="144">
        <f>CR135</f>
        <v>57014.586354684419</v>
      </c>
      <c r="DE229" s="143">
        <f>DD229+(DN229-DD229)*(DE1-DD1)/(DN1-DD1)</f>
        <v>55475.435531286035</v>
      </c>
      <c r="DF229" s="143">
        <f>DD229+(DN229-DD229)*(DF1-DD1)/(DN1-DD1)</f>
        <v>53936.284707887644</v>
      </c>
      <c r="DG229" s="143">
        <f>DD229+(DN229-DD229)*(DG1-DD1)/(DN1-DD1)</f>
        <v>52397.13388448926</v>
      </c>
      <c r="DH229" s="143">
        <f>DD229+(DN229-DD229)*(DH1-DD1)/(DN1-DD1)</f>
        <v>50857.983061090876</v>
      </c>
      <c r="DI229" s="143">
        <f>DD229+(DN229-DD229)*(DI1-DD1)/(DN1-DD1)</f>
        <v>49318.832237692492</v>
      </c>
      <c r="DJ229" s="143">
        <f>DD229+(DN229-DD229)*(DJ1-DD1)/(DN1-DD1)</f>
        <v>47779.6814142941</v>
      </c>
      <c r="DK229" s="143">
        <f>DD229+(DN229-DD229)*(DK1-DD1)/(DN1-DD1)</f>
        <v>46240.530590895716</v>
      </c>
      <c r="DL229" s="143">
        <f>DD229+(DN229-DD229)*(DL1-DD1)/(DN1-DD1)</f>
        <v>44701.379767497332</v>
      </c>
      <c r="DM229" s="143">
        <f>DD229+(DN229-DD229)*(DM1-DD1)/(DN1-DD1)</f>
        <v>43162.228944098941</v>
      </c>
      <c r="DN229" s="144">
        <f>CS135</f>
        <v>41623.078120700557</v>
      </c>
      <c r="DO229" s="143">
        <f>DN229+(DX229-DN229)*(DO1-DN1)/(DX1-DN1)</f>
        <v>40610.739533934662</v>
      </c>
      <c r="DP229" s="143">
        <f>DN229+(DX229-DN229)*(DP1-DN1)/(DX1-DN1)</f>
        <v>39598.40094716876</v>
      </c>
      <c r="DQ229" s="143">
        <f>DN229+(DX229-DN229)*(DQ1-DN1)/(DX1-DN1)</f>
        <v>38586.062360402866</v>
      </c>
      <c r="DR229" s="143">
        <f>DN229+(DX229-DN229)*(DR1-DN1)/(DX1-DN1)</f>
        <v>37573.723773636964</v>
      </c>
      <c r="DS229" s="143">
        <f>DN229+(DX229-DN229)*(DS1-DN1)/(DX1-DN1)</f>
        <v>36561.38518687107</v>
      </c>
      <c r="DT229" s="143">
        <f>DN229+(DX229-DN229)*(DT1-DN1)/(DX1-DN1)</f>
        <v>35549.046600105175</v>
      </c>
      <c r="DU229" s="143">
        <f>DN229+(DX229-DN229)*(DU1-DN1)/(DX1-DN1)</f>
        <v>34536.708013339274</v>
      </c>
      <c r="DV229" s="143">
        <f>DN229+(DX229-DN229)*(DV1-DN1)/(DX1-DN1)</f>
        <v>33524.369426573379</v>
      </c>
      <c r="DW229" s="143">
        <f>DN229+(DX229-DN229)*(DW1-DN1)/(DX1-DN1)</f>
        <v>32512.030839807481</v>
      </c>
      <c r="DX229" s="145">
        <f>CT135</f>
        <v>31499.692253041583</v>
      </c>
      <c r="DY229" s="140"/>
      <c r="DZ229" s="146"/>
      <c r="EA229" s="143"/>
      <c r="EB229" s="143"/>
      <c r="EC229" s="143"/>
      <c r="ED229" s="143"/>
      <c r="EE229" s="144">
        <f>EB135</f>
        <v>98516.421917067259</v>
      </c>
      <c r="EF229" s="143">
        <f>EE229+(EO229-EE229)*(EF1-EE1)/(EO1-EE1)</f>
        <v>95077.061885687552</v>
      </c>
      <c r="EG229" s="143">
        <f>EE229+(EO229-EE229)*(EG1-EE1)/(EO1-EE1)</f>
        <v>91637.701854307859</v>
      </c>
      <c r="EH229" s="143">
        <f>EE229+(EO229-EE229)*(EH1-EE1)/(EO1-EE1)</f>
        <v>88198.341822928152</v>
      </c>
      <c r="EI229" s="143">
        <f>EE229+(EO229-EE229)*(EI1-EE1)/(EO1-EE1)</f>
        <v>84758.981791548445</v>
      </c>
      <c r="EJ229" s="143">
        <f>EE229+(EO229-EE229)*(EJ1-EE1)/(EO1-EE1)</f>
        <v>81319.621760168753</v>
      </c>
      <c r="EK229" s="143">
        <f>EE229+(EO229-EE229)*(EK1-EE1)/(EO1-EE1)</f>
        <v>77880.261728789046</v>
      </c>
      <c r="EL229" s="143">
        <f>EE229+(EO229-EE229)*(EL1-EE1)/(EO1-EE1)</f>
        <v>74440.901697409339</v>
      </c>
      <c r="EM229" s="143">
        <f>EE229+(EO229-EE229)*(EM1-EE1)/(EO1-EE1)</f>
        <v>71001.541666029647</v>
      </c>
      <c r="EN229" s="143">
        <f>EE229+(EO229-EE229)*(EN1-EE1)/(EO1-EE1)</f>
        <v>67562.18163464994</v>
      </c>
      <c r="EO229" s="144">
        <f>EC135</f>
        <v>64122.82160327024</v>
      </c>
      <c r="EP229" s="143">
        <f>EO229+(EY229-EO229)*(EP1-EO1)/(EY1-EO1)</f>
        <v>62598.288247575474</v>
      </c>
      <c r="EQ229" s="143">
        <f>EO229+(EY229-EO229)*(EQ1-EO1)/(EY1-EO1)</f>
        <v>61073.754891880708</v>
      </c>
      <c r="ER229" s="143">
        <f>EO229+(EY229-EO229)*(ER1-EO1)/(EY1-EO1)</f>
        <v>59549.221536185942</v>
      </c>
      <c r="ES229" s="143">
        <f>EO229+(EY229-EO229)*(ES1-EO1)/(EY1-EO1)</f>
        <v>58024.688180491175</v>
      </c>
      <c r="ET229" s="143">
        <f>EO229+(EY229-EO229)*(ET1-EO1)/(EY1-EO1)</f>
        <v>56500.154824796409</v>
      </c>
      <c r="EU229" s="143">
        <f>EO229+(EY229-EO229)*(EU1-EO1)/(EY1-EO1)</f>
        <v>54975.621469101643</v>
      </c>
      <c r="EV229" s="143">
        <f>EO229+(EY229-EO229)*(EV1-EO1)/(EY1-EO1)</f>
        <v>53451.088113406877</v>
      </c>
      <c r="EW229" s="143">
        <f>EO229+(EY229-EO229)*(EW1-EO1)/(EY1-EO1)</f>
        <v>51926.554757712111</v>
      </c>
      <c r="EX229" s="143">
        <f>EO229+(EY229-EO229)*(EX1-EO1)/(EY1-EO1)</f>
        <v>50402.021402017344</v>
      </c>
      <c r="EY229" s="144">
        <f>ED135</f>
        <v>48877.488046322578</v>
      </c>
      <c r="EZ229" s="143">
        <f>EY229+(FI229-EY229)*(EZ1-EY1)/(FI1-EY1)</f>
        <v>47955.595214251392</v>
      </c>
      <c r="FA229" s="143">
        <f>EY229+(FI229-EY229)*(FA1-EY1)/(FI1-EY1)</f>
        <v>47033.702382180207</v>
      </c>
      <c r="FB229" s="143">
        <f>EY229+(FI229-EY229)*(FB1-EY1)/(FI1-EY1)</f>
        <v>46111.809550109028</v>
      </c>
      <c r="FC229" s="143">
        <f>EY229+(FI229-EY229)*(FC1-EY1)/(FI1-EY1)</f>
        <v>45189.916718037843</v>
      </c>
      <c r="FD229" s="143">
        <f>EY229+(FI229-EY229)*(FD1-EY1)/(FI1-EY1)</f>
        <v>44268.023885966657</v>
      </c>
      <c r="FE229" s="143">
        <f>EY229+(FI229-EY229)*(FE1-EY1)/(FI1-EY1)</f>
        <v>43346.131053895471</v>
      </c>
      <c r="FF229" s="143">
        <f>EY229+(FI229-EY229)*(FF1-EY1)/(FI1-EY1)</f>
        <v>42424.238221824286</v>
      </c>
      <c r="FG229" s="143">
        <f>EY229+(FI229-EY229)*(FG1-EY1)/(FI1-EY1)</f>
        <v>41502.345389753107</v>
      </c>
      <c r="FH229" s="143">
        <f>EY229+(FI229-EY229)*(FH1-EY1)/(FI1-EY1)</f>
        <v>40580.452557681921</v>
      </c>
      <c r="FI229" s="145">
        <f>EE135</f>
        <v>39658.559725610736</v>
      </c>
      <c r="FJ229" s="140"/>
      <c r="FK229" s="146"/>
      <c r="FL229" s="143"/>
      <c r="FM229" s="143"/>
      <c r="FN229" s="143"/>
      <c r="FO229" s="143"/>
      <c r="FP229" s="144">
        <f>FM135</f>
        <v>98516.421917067259</v>
      </c>
      <c r="FQ229" s="143">
        <f>FP229+(FZ229-FP229)*(FQ1-FP1)/(FZ1-FP1)</f>
        <v>95039.580580878479</v>
      </c>
      <c r="FR229" s="143">
        <f>FP229+(FZ229-FP229)*(FR1-FP1)/(FZ1-FP1)</f>
        <v>91562.739244689699</v>
      </c>
      <c r="FS229" s="143">
        <f>FP229+(FZ229-FP229)*(FS1-FP1)/(FZ1-FP1)</f>
        <v>88085.897908500934</v>
      </c>
      <c r="FT229" s="143">
        <f>FP229+(FZ229-FP229)*(FT1-FP1)/(FZ1-FP1)</f>
        <v>84609.056572312154</v>
      </c>
      <c r="FU229" s="143">
        <f>FP229+(FZ229-FP229)*(FU1-FP1)/(FZ1-FP1)</f>
        <v>81132.215236123375</v>
      </c>
      <c r="FV229" s="143">
        <f>FP229+(FZ229-FP229)*(FV1-FP1)/(FZ1-FP1)</f>
        <v>77655.373899934595</v>
      </c>
      <c r="FW229" s="143">
        <f>FP229+(FZ229-FP229)*(FW1-FP1)/(FZ1-FP1)</f>
        <v>74178.53256374583</v>
      </c>
      <c r="FX229" s="143">
        <f>FP229+(FZ229-FP229)*(FX1-FP1)/(FZ1-FP1)</f>
        <v>70701.69122755705</v>
      </c>
      <c r="FY229" s="143">
        <f>FP229+(FZ229-FP229)*(FY1-FP1)/(FZ1-FP1)</f>
        <v>67224.849891368271</v>
      </c>
      <c r="FZ229" s="144">
        <f>FN135</f>
        <v>63748.008555179491</v>
      </c>
      <c r="GA229" s="143">
        <f>FZ229+(GJ229-FZ229)*(GA1-FZ1)/(GJ1-FZ1)</f>
        <v>62690.794740170655</v>
      </c>
      <c r="GB229" s="143">
        <f>FZ229+(GJ229-FZ229)*(GB1-FZ1)/(GJ1-FZ1)</f>
        <v>61633.580925161819</v>
      </c>
      <c r="GC229" s="143">
        <f>FZ229+(GJ229-FZ229)*(GC1-FZ1)/(GJ1-FZ1)</f>
        <v>60576.367110152984</v>
      </c>
      <c r="GD229" s="143">
        <f>FZ229+(GJ229-FZ229)*(GD1-FZ1)/(GJ1-FZ1)</f>
        <v>59519.153295144148</v>
      </c>
      <c r="GE229" s="143">
        <f>FZ229+(GJ229-FZ229)*(GE1-FZ1)/(GJ1-FZ1)</f>
        <v>58461.939480135312</v>
      </c>
      <c r="GF229" s="143">
        <f>FZ229+(GJ229-FZ229)*(GF1-FZ1)/(GJ1-FZ1)</f>
        <v>57404.725665126476</v>
      </c>
      <c r="GG229" s="143">
        <f>FZ229+(GJ229-FZ229)*(GG1-FZ1)/(GJ1-FZ1)</f>
        <v>56347.51185011764</v>
      </c>
      <c r="GH229" s="143">
        <f>FZ229+(GJ229-FZ229)*(GH1-FZ1)/(GJ1-FZ1)</f>
        <v>55290.298035108804</v>
      </c>
      <c r="GI229" s="143">
        <f>FZ229+(GJ229-FZ229)*(GI1-FZ1)/(GJ1-FZ1)</f>
        <v>54233.084220099969</v>
      </c>
      <c r="GJ229" s="144">
        <f>FO135</f>
        <v>53175.870405091133</v>
      </c>
      <c r="GK229" s="143">
        <f>GJ229+(GT229-GJ229)*(GK1-GJ1)/(GT1-GJ1)</f>
        <v>52403.49444764878</v>
      </c>
      <c r="GL229" s="143">
        <f>GJ229+(GT229-GJ229)*(GL1-GJ1)/(GT1-GJ1)</f>
        <v>51631.118490206434</v>
      </c>
      <c r="GM229" s="143">
        <f>GJ229+(GT229-GJ229)*(GM1-GJ1)/(GT1-GJ1)</f>
        <v>50858.742532764081</v>
      </c>
      <c r="GN229" s="143">
        <f>GJ229+(GT229-GJ229)*(GN1-GJ1)/(GT1-GJ1)</f>
        <v>50086.366575321728</v>
      </c>
      <c r="GO229" s="143">
        <f>GJ229+(GT229-GJ229)*(GO1-GJ1)/(GT1-GJ1)</f>
        <v>49313.990617879375</v>
      </c>
      <c r="GP229" s="143">
        <f>GJ229+(GT229-GJ229)*(GP1-GJ1)/(GT1-GJ1)</f>
        <v>48541.61466043703</v>
      </c>
      <c r="GQ229" s="143">
        <f>GJ229+(GT229-GJ229)*(GQ1-GJ1)/(GT1-GJ1)</f>
        <v>47769.238702994677</v>
      </c>
      <c r="GR229" s="143">
        <f>GJ229+(GT229-GJ229)*(GR1-GJ1)/(GT1-GJ1)</f>
        <v>46996.862745552324</v>
      </c>
      <c r="GS229" s="143">
        <f>GJ229+(GT229-GJ229)*(GS1-GJ1)/(GT1-GJ1)</f>
        <v>46224.486788109978</v>
      </c>
      <c r="GT229" s="145">
        <f>FP135</f>
        <v>45452.110830667625</v>
      </c>
      <c r="GU229" s="140"/>
      <c r="GV229" s="146"/>
      <c r="GW229" s="143"/>
      <c r="GX229" s="143"/>
      <c r="GY229" s="143"/>
      <c r="GZ229" s="143"/>
      <c r="HA229" s="144">
        <f>GX135</f>
        <v>98508.203726787528</v>
      </c>
      <c r="HB229" s="143">
        <f>HA229+(HK229-HA229)*(HB1-HA1)/(HK1-HA1)</f>
        <v>96270.887766024534</v>
      </c>
      <c r="HC229" s="143">
        <f>HA229+(HK229-HA229)*(HC1-HA1)/(HK1-HA1)</f>
        <v>94033.571805261527</v>
      </c>
      <c r="HD229" s="143">
        <f>HA229+(HK229-HA229)*(HD1-HA1)/(HK1-HA1)</f>
        <v>91796.255844498533</v>
      </c>
      <c r="HE229" s="143">
        <f>HA229+(HK229-HA229)*(HE1-HA1)/(HK1-HA1)</f>
        <v>89558.93988373554</v>
      </c>
      <c r="HF229" s="143">
        <f>HA229+(HK229-HA229)*(HF1-HA1)/(HK1-HA1)</f>
        <v>87321.623922972532</v>
      </c>
      <c r="HG229" s="143">
        <f>HA229+(HK229-HA229)*(HG1-HA1)/(HK1-HA1)</f>
        <v>85084.307962209539</v>
      </c>
      <c r="HH229" s="143">
        <f>HA229+(HK229-HA229)*(HH1-HA1)/(HK1-HA1)</f>
        <v>82846.992001446546</v>
      </c>
      <c r="HI229" s="143">
        <f>HA229+(HK229-HA229)*(HI1-HA1)/(HK1-HA1)</f>
        <v>80609.676040683553</v>
      </c>
      <c r="HJ229" s="143">
        <f>HA229+(HK229-HA229)*(HJ1-HA1)/(HK1-HA1)</f>
        <v>78372.360079920545</v>
      </c>
      <c r="HK229" s="144">
        <f>GY135</f>
        <v>76135.044119157552</v>
      </c>
      <c r="HL229" s="143">
        <f>HK229+(HU229-HK229)*(HL1-HK1)/(HU1-HK1)</f>
        <v>75149.072402931502</v>
      </c>
      <c r="HM229" s="143">
        <f>HK229+(HU229-HK229)*(HM1-HK1)/(HU1-HK1)</f>
        <v>74163.100686705453</v>
      </c>
      <c r="HN229" s="143">
        <f>HK229+(HU229-HK229)*(HN1-HK1)/(HU1-HK1)</f>
        <v>73177.128970479404</v>
      </c>
      <c r="HO229" s="143">
        <f>HK229+(HU229-HK229)*(HO1-HK1)/(HU1-HK1)</f>
        <v>72191.157254253354</v>
      </c>
      <c r="HP229" s="143">
        <f>HK229+(HU229-HK229)*(HP1-HK1)/(HU1-HK1)</f>
        <v>71205.185538027319</v>
      </c>
      <c r="HQ229" s="143">
        <f>HK229+(HU229-HK229)*(HQ1-HK1)/(HU1-HK1)</f>
        <v>70219.21382180127</v>
      </c>
      <c r="HR229" s="143">
        <f>HK229+(HU229-HK229)*(HR1-HK1)/(HU1-HK1)</f>
        <v>69233.24210557522</v>
      </c>
      <c r="HS229" s="143">
        <f>HK229+(HU229-HK229)*(HS1-HK1)/(HU1-HK1)</f>
        <v>68247.270389349171</v>
      </c>
      <c r="HT229" s="143">
        <f>HK229+(HU229-HK229)*(HT1-HK1)/(HU1-HK1)</f>
        <v>67261.298673123121</v>
      </c>
      <c r="HU229" s="144">
        <f>GZ135</f>
        <v>66275.326956897072</v>
      </c>
      <c r="HV229" s="143">
        <f>HU229+(IE229-HU229)*(HV1-HU1)/(IE1-HU1)</f>
        <v>65525.085102688565</v>
      </c>
      <c r="HW229" s="143">
        <f>HU229+(IE229-HU229)*(HW1-HU1)/(IE1-HU1)</f>
        <v>64774.843248480065</v>
      </c>
      <c r="HX229" s="143">
        <f>HU229+(IE229-HU229)*(HX1-HU1)/(IE1-HU1)</f>
        <v>64024.601394271558</v>
      </c>
      <c r="HY229" s="143">
        <f>HU229+(IE229-HU229)*(HY1-HU1)/(IE1-HU1)</f>
        <v>63274.359540063058</v>
      </c>
      <c r="HZ229" s="143">
        <f>HU229+(IE229-HU229)*(HZ1-HU1)/(IE1-HU1)</f>
        <v>62524.117685854551</v>
      </c>
      <c r="IA229" s="143">
        <f>HU229+(IE229-HU229)*(IA1-HU1)/(IE1-HU1)</f>
        <v>61773.875831646044</v>
      </c>
      <c r="IB229" s="143">
        <f>HU229+(IE229-HU229)*(IB1-HU1)/(IE1-HU1)</f>
        <v>61023.633977437545</v>
      </c>
      <c r="IC229" s="143">
        <f>HU229+(IE229-HU229)*(IC1-HU1)/(IE1-HU1)</f>
        <v>60273.392123229038</v>
      </c>
      <c r="ID229" s="143">
        <f>HU229+(IE229-HU229)*(ID1-HU1)/(IE1-HU1)</f>
        <v>59523.150269020538</v>
      </c>
      <c r="IE229" s="145">
        <f>HA135</f>
        <v>58772.908414812031</v>
      </c>
      <c r="IF229" s="140"/>
      <c r="IG229" s="146"/>
      <c r="IH229" s="143"/>
      <c r="II229" s="143"/>
      <c r="IJ229" s="143"/>
      <c r="IK229" s="143"/>
      <c r="IL229" s="187">
        <v>94.862451077980737</v>
      </c>
      <c r="IM229" s="187">
        <v>91.925413581531643</v>
      </c>
      <c r="IN229" s="187">
        <v>88.997832721393976</v>
      </c>
      <c r="IO229" s="187">
        <v>86.082039986266992</v>
      </c>
      <c r="IP229" s="187">
        <v>83.176501496926505</v>
      </c>
      <c r="IQ229" s="187">
        <v>80.292731947302642</v>
      </c>
      <c r="IR229" s="187">
        <v>77.392599177649018</v>
      </c>
      <c r="IS229" s="187">
        <v>74.517553333902839</v>
      </c>
      <c r="IT229" s="187">
        <v>71.712942793908297</v>
      </c>
      <c r="IU229" s="187">
        <v>69.240668629767029</v>
      </c>
      <c r="IV229" s="187">
        <v>66.984444198499773</v>
      </c>
      <c r="IW229" s="187">
        <v>66.126411278470272</v>
      </c>
      <c r="IX229" s="187">
        <v>65.432453843076601</v>
      </c>
      <c r="IY229" s="187">
        <v>64.78388645595642</v>
      </c>
      <c r="IZ229" s="187">
        <v>64.1598742363811</v>
      </c>
      <c r="JA229" s="187">
        <v>63.557426872832849</v>
      </c>
      <c r="JB229" s="187">
        <v>62.983485921544734</v>
      </c>
      <c r="JC229" s="187">
        <v>62.427357096053377</v>
      </c>
      <c r="JD229" s="187">
        <v>61.890015704880987</v>
      </c>
      <c r="JE229" s="187">
        <v>61.366549482540925</v>
      </c>
      <c r="JF229" s="187">
        <v>60.857257303891977</v>
      </c>
      <c r="JG229" s="187">
        <v>60.351449495615832</v>
      </c>
      <c r="JH229" s="187">
        <v>59.844966766060203</v>
      </c>
      <c r="JI229" s="187">
        <v>59.359354328022043</v>
      </c>
      <c r="JJ229" s="187">
        <v>58.899149062761232</v>
      </c>
      <c r="JK229" s="187">
        <v>58.457058855529844</v>
      </c>
      <c r="JL229" s="187">
        <v>58.526553420808945</v>
      </c>
      <c r="JM229" s="187">
        <v>58.609091900190208</v>
      </c>
      <c r="JN229" s="187">
        <v>58.703196092392204</v>
      </c>
      <c r="JO229" s="187">
        <v>58.81511174425664</v>
      </c>
      <c r="JP229" s="188">
        <v>58.936810647575513</v>
      </c>
      <c r="JQ229" s="140"/>
      <c r="JR229" s="146"/>
      <c r="JS229" s="143"/>
      <c r="JT229" s="143"/>
      <c r="JU229" s="143"/>
      <c r="JV229" s="143"/>
      <c r="JW229" s="187">
        <v>94.862451077980779</v>
      </c>
      <c r="JX229" s="187">
        <v>91.752575102888187</v>
      </c>
      <c r="JY229" s="187">
        <v>88.733195542876246</v>
      </c>
      <c r="JZ229" s="187">
        <v>85.795048673936094</v>
      </c>
      <c r="KA229" s="187">
        <v>82.946642079613085</v>
      </c>
      <c r="KB229" s="187">
        <v>80.183589125205202</v>
      </c>
      <c r="KC229" s="187">
        <v>77.469026905814999</v>
      </c>
      <c r="KD229" s="187">
        <v>74.836199170770428</v>
      </c>
      <c r="KE229" s="187">
        <v>72.277684484572006</v>
      </c>
      <c r="KF229" s="187">
        <v>69.789608283637364</v>
      </c>
      <c r="KG229" s="187">
        <v>67.362981232959399</v>
      </c>
      <c r="KH229" s="187">
        <v>66.281431242492232</v>
      </c>
      <c r="KI229" s="187">
        <v>65.277828547729911</v>
      </c>
      <c r="KJ229" s="187">
        <v>64.310620700268757</v>
      </c>
      <c r="KK229" s="187">
        <v>63.400015841404318</v>
      </c>
      <c r="KL229" s="187">
        <v>62.536430636175346</v>
      </c>
      <c r="KM229" s="187">
        <v>61.751709834969581</v>
      </c>
      <c r="KN229" s="187">
        <v>61.038597388640824</v>
      </c>
      <c r="KO229" s="187">
        <v>60.221705423453372</v>
      </c>
      <c r="KP229" s="187">
        <v>59.597383749146694</v>
      </c>
      <c r="KQ229" s="187">
        <v>58.905341473926327</v>
      </c>
      <c r="KR229" s="187">
        <v>58.615529473384512</v>
      </c>
      <c r="KS229" s="187">
        <v>58.375398805315811</v>
      </c>
      <c r="KT229" s="187">
        <v>57.720192451136917</v>
      </c>
      <c r="KU229" s="187">
        <v>57.402302561505394</v>
      </c>
      <c r="KV229" s="187">
        <v>57.112058806566615</v>
      </c>
      <c r="KW229" s="187">
        <v>55.424594199037116</v>
      </c>
      <c r="KX229" s="187">
        <v>55.175386481643699</v>
      </c>
      <c r="KY229" s="187">
        <v>54.957167293636722</v>
      </c>
      <c r="KZ229" s="187">
        <v>54.752919721618603</v>
      </c>
      <c r="LA229" s="188">
        <v>54.559608137936216</v>
      </c>
      <c r="LB229" s="140"/>
      <c r="LC229" s="146"/>
      <c r="LD229" s="143"/>
      <c r="LE229" s="143"/>
      <c r="LF229" s="143"/>
      <c r="LG229" s="143"/>
      <c r="LH229" s="144"/>
      <c r="LI229" s="143"/>
      <c r="LJ229" s="143"/>
      <c r="LK229" s="143"/>
      <c r="LL229" s="143"/>
      <c r="LM229" s="143"/>
      <c r="LN229" s="143"/>
      <c r="LO229" s="143"/>
      <c r="LP229" s="143"/>
      <c r="LQ229" s="143"/>
      <c r="LR229" s="144"/>
      <c r="LS229" s="143"/>
      <c r="LT229" s="143"/>
      <c r="LU229" s="143"/>
      <c r="LV229" s="143"/>
      <c r="LW229" s="143"/>
      <c r="LX229" s="143"/>
      <c r="LY229" s="143"/>
      <c r="LZ229" s="143"/>
      <c r="MA229" s="143"/>
      <c r="MB229" s="144"/>
      <c r="MC229" s="143"/>
      <c r="MD229" s="143"/>
      <c r="ME229" s="143"/>
      <c r="MF229" s="143"/>
      <c r="MG229" s="143"/>
      <c r="MH229" s="143"/>
      <c r="MI229" s="143"/>
      <c r="MJ229" s="143"/>
      <c r="MK229" s="143"/>
      <c r="ML229" s="145"/>
    </row>
    <row r="230" spans="2:350" s="4" customFormat="1" ht="18" customHeight="1" x14ac:dyDescent="0.3">
      <c r="C230" s="185" t="s">
        <v>138</v>
      </c>
      <c r="E230" s="137" t="s">
        <v>139</v>
      </c>
      <c r="F230" s="186"/>
      <c r="H230" s="139">
        <f t="shared" ref="H230:M230" si="115">H$229/H$159*10^3</f>
        <v>105.94709172586673</v>
      </c>
      <c r="I230" s="140">
        <f t="shared" si="115"/>
        <v>104.3127509738071</v>
      </c>
      <c r="J230" s="140">
        <f t="shared" si="115"/>
        <v>102.70575505279278</v>
      </c>
      <c r="K230" s="140">
        <f t="shared" si="115"/>
        <v>101.12542337986515</v>
      </c>
      <c r="L230" s="140">
        <f t="shared" si="115"/>
        <v>99.571097771521082</v>
      </c>
      <c r="M230" s="141">
        <f t="shared" si="115"/>
        <v>98.042141529715011</v>
      </c>
      <c r="N230" s="140"/>
      <c r="O230" s="140"/>
      <c r="P230" s="140"/>
      <c r="Q230" s="140"/>
      <c r="R230" s="140"/>
      <c r="S230" s="139">
        <f t="shared" ref="S230:BB230" si="116">S$229/S$159*10^3</f>
        <v>118.07365681355698</v>
      </c>
      <c r="T230" s="140">
        <f t="shared" si="116"/>
        <v>114.67153228467915</v>
      </c>
      <c r="U230" s="140">
        <f t="shared" si="116"/>
        <v>111.30929788616275</v>
      </c>
      <c r="V230" s="140">
        <f t="shared" si="116"/>
        <v>107.98686500082034</v>
      </c>
      <c r="W230" s="140">
        <f t="shared" si="116"/>
        <v>104.70413492875595</v>
      </c>
      <c r="X230" s="140">
        <f t="shared" si="116"/>
        <v>101.4609845892777</v>
      </c>
      <c r="Y230" s="140">
        <f t="shared" si="116"/>
        <v>98.541938058021103</v>
      </c>
      <c r="Z230" s="140">
        <f t="shared" si="116"/>
        <v>95.645189860829888</v>
      </c>
      <c r="AA230" s="140">
        <f t="shared" si="116"/>
        <v>92.770829481956056</v>
      </c>
      <c r="AB230" s="140">
        <f t="shared" si="116"/>
        <v>89.9189216644086</v>
      </c>
      <c r="AC230" s="140">
        <f t="shared" si="116"/>
        <v>87.089530128710749</v>
      </c>
      <c r="AD230" s="140">
        <f t="shared" si="116"/>
        <v>84.282591651240864</v>
      </c>
      <c r="AE230" s="140">
        <f t="shared" si="116"/>
        <v>81.498376113394002</v>
      </c>
      <c r="AF230" s="140">
        <f t="shared" si="116"/>
        <v>78.736810168439561</v>
      </c>
      <c r="AG230" s="140">
        <f t="shared" si="116"/>
        <v>75.997923913188927</v>
      </c>
      <c r="AH230" s="140">
        <f t="shared" si="116"/>
        <v>73.28185387723309</v>
      </c>
      <c r="AI230" s="140">
        <f t="shared" si="116"/>
        <v>71.866539973842592</v>
      </c>
      <c r="AJ230" s="140">
        <f t="shared" si="116"/>
        <v>70.460222814960034</v>
      </c>
      <c r="AK230" s="140">
        <f t="shared" si="116"/>
        <v>69.064602405449875</v>
      </c>
      <c r="AL230" s="140">
        <f t="shared" si="116"/>
        <v>67.664731428867682</v>
      </c>
      <c r="AM230" s="140">
        <f t="shared" si="116"/>
        <v>66.278214977393603</v>
      </c>
      <c r="AN230" s="140">
        <f t="shared" si="116"/>
        <v>64.899864121917489</v>
      </c>
      <c r="AO230" s="140">
        <f t="shared" si="116"/>
        <v>63.529897472514513</v>
      </c>
      <c r="AP230" s="140">
        <f t="shared" si="116"/>
        <v>62.168905223651315</v>
      </c>
      <c r="AQ230" s="140">
        <f t="shared" si="116"/>
        <v>60.816741402891758</v>
      </c>
      <c r="AR230" s="140">
        <f t="shared" si="116"/>
        <v>59.473791751984351</v>
      </c>
      <c r="AS230" s="140">
        <f t="shared" si="116"/>
        <v>58.13936370837115</v>
      </c>
      <c r="AT230" s="140">
        <f t="shared" si="116"/>
        <v>56.813140580949323</v>
      </c>
      <c r="AU230" s="140">
        <f t="shared" si="116"/>
        <v>55.495845970161554</v>
      </c>
      <c r="AV230" s="140">
        <f t="shared" si="116"/>
        <v>54.18717954918116</v>
      </c>
      <c r="AW230" s="140">
        <f t="shared" si="116"/>
        <v>52.886942623668411</v>
      </c>
      <c r="AX230" s="140">
        <f t="shared" si="116"/>
        <v>51.594900181062151</v>
      </c>
      <c r="AY230" s="140">
        <f t="shared" si="116"/>
        <v>50.311443794938413</v>
      </c>
      <c r="AZ230" s="140">
        <f t="shared" si="116"/>
        <v>49.037011028492458</v>
      </c>
      <c r="BA230" s="140">
        <f t="shared" si="116"/>
        <v>47.771805595705771</v>
      </c>
      <c r="BB230" s="141">
        <f t="shared" si="116"/>
        <v>46.515687538493509</v>
      </c>
      <c r="BC230" s="140"/>
      <c r="BD230" s="146"/>
      <c r="BE230" s="143"/>
      <c r="BF230" s="143"/>
      <c r="BG230" s="143"/>
      <c r="BH230" s="143"/>
      <c r="BI230" s="143">
        <f t="shared" ref="BI230:CM230" si="117">BI$229/BI$159*10^3</f>
        <v>98.049898123563196</v>
      </c>
      <c r="BJ230" s="143">
        <f t="shared" si="117"/>
        <v>95.739460832334032</v>
      </c>
      <c r="BK230" s="143">
        <f t="shared" si="117"/>
        <v>93.444257391021537</v>
      </c>
      <c r="BL230" s="143">
        <f t="shared" si="117"/>
        <v>91.164137628299954</v>
      </c>
      <c r="BM230" s="143">
        <f t="shared" si="117"/>
        <v>88.89895334017875</v>
      </c>
      <c r="BN230" s="143">
        <f t="shared" si="117"/>
        <v>86.648558257891224</v>
      </c>
      <c r="BO230" s="143">
        <f t="shared" si="117"/>
        <v>84.412808016410011</v>
      </c>
      <c r="BP230" s="143">
        <f t="shared" si="117"/>
        <v>82.191560123575229</v>
      </c>
      <c r="BQ230" s="143">
        <f t="shared" si="117"/>
        <v>79.984673929821469</v>
      </c>
      <c r="BR230" s="143">
        <f t="shared" si="117"/>
        <v>77.792010598490023</v>
      </c>
      <c r="BS230" s="143">
        <f t="shared" si="117"/>
        <v>75.613433076713335</v>
      </c>
      <c r="BT230" s="143">
        <f t="shared" si="117"/>
        <v>74.381204186606993</v>
      </c>
      <c r="BU230" s="143">
        <f t="shared" si="117"/>
        <v>73.159961404922214</v>
      </c>
      <c r="BV230" s="143">
        <f t="shared" si="117"/>
        <v>71.949558461433924</v>
      </c>
      <c r="BW230" s="143">
        <f t="shared" si="117"/>
        <v>70.74985167105406</v>
      </c>
      <c r="BX230" s="143">
        <f t="shared" si="117"/>
        <v>69.560699876971583</v>
      </c>
      <c r="BY230" s="143">
        <f t="shared" si="117"/>
        <v>68.381964395286815</v>
      </c>
      <c r="BZ230" s="143">
        <f t="shared" si="117"/>
        <v>67.213508961094021</v>
      </c>
      <c r="CA230" s="143">
        <f t="shared" si="117"/>
        <v>66.055199675969021</v>
      </c>
      <c r="CB230" s="143">
        <f t="shared" si="117"/>
        <v>64.906904956818408</v>
      </c>
      <c r="CC230" s="143">
        <f t="shared" si="117"/>
        <v>63.768495486050057</v>
      </c>
      <c r="CD230" s="143">
        <f t="shared" si="117"/>
        <v>62.848750286691761</v>
      </c>
      <c r="CE230" s="143">
        <f t="shared" si="117"/>
        <v>61.937049343355952</v>
      </c>
      <c r="CF230" s="143">
        <f t="shared" si="117"/>
        <v>61.033287580793086</v>
      </c>
      <c r="CG230" s="143">
        <f t="shared" si="117"/>
        <v>60.137361745831235</v>
      </c>
      <c r="CH230" s="143">
        <f t="shared" si="117"/>
        <v>59.249170368051551</v>
      </c>
      <c r="CI230" s="143">
        <f t="shared" si="117"/>
        <v>58.36861372147758</v>
      </c>
      <c r="CJ230" s="143">
        <f t="shared" si="117"/>
        <v>57.495593787248502</v>
      </c>
      <c r="CK230" s="143">
        <f t="shared" si="117"/>
        <v>56.630014217246604</v>
      </c>
      <c r="CL230" s="143">
        <f t="shared" si="117"/>
        <v>55.771780298650839</v>
      </c>
      <c r="CM230" s="189">
        <f t="shared" si="117"/>
        <v>54.920798919388943</v>
      </c>
      <c r="CN230" s="140"/>
      <c r="CO230" s="146"/>
      <c r="CP230" s="143"/>
      <c r="CQ230" s="143"/>
      <c r="CR230" s="143"/>
      <c r="CS230" s="143"/>
      <c r="CT230" s="143">
        <f t="shared" ref="CT230:DX230" si="118">CT$229/CT$159*10^3</f>
        <v>98.052352120439934</v>
      </c>
      <c r="CU230" s="143">
        <f t="shared" si="118"/>
        <v>94.567452447715709</v>
      </c>
      <c r="CV230" s="143">
        <f t="shared" si="118"/>
        <v>91.034328912722373</v>
      </c>
      <c r="CW230" s="143">
        <f t="shared" si="118"/>
        <v>87.451973562473839</v>
      </c>
      <c r="CX230" s="143">
        <f t="shared" si="118"/>
        <v>83.819350156540835</v>
      </c>
      <c r="CY230" s="143">
        <f t="shared" si="118"/>
        <v>80.135393167707022</v>
      </c>
      <c r="CZ230" s="143">
        <f t="shared" si="118"/>
        <v>76.399006739957926</v>
      </c>
      <c r="DA230" s="143">
        <f t="shared" si="118"/>
        <v>72.609063601661489</v>
      </c>
      <c r="DB230" s="143">
        <f t="shared" si="118"/>
        <v>68.764403931676796</v>
      </c>
      <c r="DC230" s="143">
        <f t="shared" si="118"/>
        <v>64.863834175994526</v>
      </c>
      <c r="DD230" s="143">
        <f t="shared" si="118"/>
        <v>60.906125812373062</v>
      </c>
      <c r="DE230" s="143">
        <f t="shared" si="118"/>
        <v>59.601587886740134</v>
      </c>
      <c r="DF230" s="143">
        <f t="shared" si="118"/>
        <v>58.282009476025642</v>
      </c>
      <c r="DG230" s="143">
        <f t="shared" si="118"/>
        <v>56.947128961369884</v>
      </c>
      <c r="DH230" s="143">
        <f t="shared" si="118"/>
        <v>55.59667862095489</v>
      </c>
      <c r="DI230" s="143">
        <f t="shared" si="118"/>
        <v>54.230384451000681</v>
      </c>
      <c r="DJ230" s="143">
        <f t="shared" si="118"/>
        <v>52.847965980424092</v>
      </c>
      <c r="DK230" s="143">
        <f t="shared" si="118"/>
        <v>51.449136078896785</v>
      </c>
      <c r="DL230" s="143">
        <f t="shared" si="118"/>
        <v>50.033600758026246</v>
      </c>
      <c r="DM230" s="143">
        <f t="shared" si="118"/>
        <v>48.601058965371209</v>
      </c>
      <c r="DN230" s="143">
        <f t="shared" si="118"/>
        <v>47.151202370987754</v>
      </c>
      <c r="DO230" s="143">
        <f t="shared" si="118"/>
        <v>46.269329081448625</v>
      </c>
      <c r="DP230" s="143">
        <f t="shared" si="118"/>
        <v>45.377240371820065</v>
      </c>
      <c r="DQ230" s="143">
        <f t="shared" si="118"/>
        <v>44.474757708392431</v>
      </c>
      <c r="DR230" s="143">
        <f t="shared" si="118"/>
        <v>43.561698372793927</v>
      </c>
      <c r="DS230" s="143">
        <f t="shared" si="118"/>
        <v>42.637875338662234</v>
      </c>
      <c r="DT230" s="143">
        <f t="shared" si="118"/>
        <v>41.703097143928751</v>
      </c>
      <c r="DU230" s="143">
        <f t="shared" si="118"/>
        <v>40.757167758532077</v>
      </c>
      <c r="DV230" s="143">
        <f t="shared" si="118"/>
        <v>39.799886447368849</v>
      </c>
      <c r="DW230" s="143">
        <f t="shared" si="118"/>
        <v>38.831047628280821</v>
      </c>
      <c r="DX230" s="189">
        <f t="shared" si="118"/>
        <v>37.850440724866871</v>
      </c>
      <c r="DY230" s="140"/>
      <c r="DZ230" s="146"/>
      <c r="EA230" s="143"/>
      <c r="EB230" s="143"/>
      <c r="EC230" s="143"/>
      <c r="ED230" s="143"/>
      <c r="EE230" s="143">
        <f t="shared" ref="EE230:FI230" si="119">EE$229/EE$159*10^3</f>
        <v>98.058487112631724</v>
      </c>
      <c r="EF230" s="143">
        <f t="shared" si="119"/>
        <v>95.280765054235559</v>
      </c>
      <c r="EG230" s="143">
        <f t="shared" si="119"/>
        <v>92.464880455043527</v>
      </c>
      <c r="EH230" s="143">
        <f t="shared" si="119"/>
        <v>89.610041414461136</v>
      </c>
      <c r="EI230" s="143">
        <f t="shared" si="119"/>
        <v>86.715433969267721</v>
      </c>
      <c r="EJ230" s="143">
        <f t="shared" si="119"/>
        <v>83.780221319886834</v>
      </c>
      <c r="EK230" s="143">
        <f t="shared" si="119"/>
        <v>80.803543023865203</v>
      </c>
      <c r="EL230" s="143">
        <f t="shared" si="119"/>
        <v>77.784514154927479</v>
      </c>
      <c r="EM230" s="143">
        <f t="shared" si="119"/>
        <v>74.722224425880356</v>
      </c>
      <c r="EN230" s="143">
        <f t="shared" si="119"/>
        <v>71.615737273539636</v>
      </c>
      <c r="EO230" s="143">
        <f t="shared" si="119"/>
        <v>68.464088903748362</v>
      </c>
      <c r="EP230" s="143">
        <f t="shared" si="119"/>
        <v>67.216021228938914</v>
      </c>
      <c r="EQ230" s="143">
        <f t="shared" si="119"/>
        <v>65.953692633087897</v>
      </c>
      <c r="ER230" s="143">
        <f t="shared" si="119"/>
        <v>64.676857285221828</v>
      </c>
      <c r="ES230" s="143">
        <f t="shared" si="119"/>
        <v>63.385263671506237</v>
      </c>
      <c r="ET230" s="143">
        <f t="shared" si="119"/>
        <v>62.078654430078288</v>
      </c>
      <c r="EU230" s="143">
        <f t="shared" si="119"/>
        <v>60.756766180084867</v>
      </c>
      <c r="EV230" s="143">
        <f t="shared" si="119"/>
        <v>59.419329344688236</v>
      </c>
      <c r="EW230" s="143">
        <f t="shared" si="119"/>
        <v>58.066067967788754</v>
      </c>
      <c r="EX230" s="143">
        <f t="shared" si="119"/>
        <v>56.696699524203666</v>
      </c>
      <c r="EY230" s="143">
        <f t="shared" si="119"/>
        <v>55.310934723026946</v>
      </c>
      <c r="EZ230" s="143">
        <f t="shared" si="119"/>
        <v>54.577438649799689</v>
      </c>
      <c r="FA230" s="143">
        <f t="shared" si="119"/>
        <v>53.83552146458171</v>
      </c>
      <c r="FB230" s="143">
        <f t="shared" si="119"/>
        <v>53.085037308599958</v>
      </c>
      <c r="FC230" s="143">
        <f t="shared" si="119"/>
        <v>52.325836935037046</v>
      </c>
      <c r="FD230" s="143">
        <f t="shared" si="119"/>
        <v>51.557767610083701</v>
      </c>
      <c r="FE230" s="143">
        <f t="shared" si="119"/>
        <v>50.780673010503136</v>
      </c>
      <c r="FF230" s="143">
        <f t="shared" si="119"/>
        <v>49.994393117563185</v>
      </c>
      <c r="FG230" s="143">
        <f t="shared" si="119"/>
        <v>49.198764107184552</v>
      </c>
      <c r="FH230" s="143">
        <f t="shared" si="119"/>
        <v>48.393618236147525</v>
      </c>
      <c r="FI230" s="189">
        <f t="shared" si="119"/>
        <v>47.578783724190416</v>
      </c>
      <c r="FJ230" s="140"/>
      <c r="FK230" s="146"/>
      <c r="FL230" s="143"/>
      <c r="FM230" s="143"/>
      <c r="FN230" s="143"/>
      <c r="FO230" s="143"/>
      <c r="FP230" s="143">
        <f t="shared" ref="FP230:GT230" si="120">FP$229/FP$159*10^3</f>
        <v>98.058487112631724</v>
      </c>
      <c r="FQ230" s="143">
        <f t="shared" si="120"/>
        <v>94.665134790178328</v>
      </c>
      <c r="FR230" s="143">
        <f t="shared" si="120"/>
        <v>91.266948763300206</v>
      </c>
      <c r="FS230" s="143">
        <f t="shared" si="120"/>
        <v>87.863918696487275</v>
      </c>
      <c r="FT230" s="143">
        <f t="shared" si="120"/>
        <v>84.456034224742339</v>
      </c>
      <c r="FU230" s="143">
        <f t="shared" si="120"/>
        <v>81.04328495347589</v>
      </c>
      <c r="FV230" s="143">
        <f t="shared" si="120"/>
        <v>77.625660458400418</v>
      </c>
      <c r="FW230" s="143">
        <f t="shared" si="120"/>
        <v>74.203150285424201</v>
      </c>
      <c r="FX230" s="143">
        <f t="shared" si="120"/>
        <v>70.77574395054485</v>
      </c>
      <c r="FY230" s="143">
        <f t="shared" si="120"/>
        <v>67.343430939742078</v>
      </c>
      <c r="FZ230" s="143">
        <f t="shared" si="120"/>
        <v>63.906200708870323</v>
      </c>
      <c r="GA230" s="143">
        <f t="shared" si="120"/>
        <v>62.833517317136561</v>
      </c>
      <c r="GB230" s="143">
        <f t="shared" si="120"/>
        <v>61.761272358299628</v>
      </c>
      <c r="GC230" s="143">
        <f t="shared" si="120"/>
        <v>60.689465563616437</v>
      </c>
      <c r="GD230" s="143">
        <f t="shared" si="120"/>
        <v>59.618096664563573</v>
      </c>
      <c r="GE230" s="143">
        <f t="shared" si="120"/>
        <v>58.547165392836945</v>
      </c>
      <c r="GF230" s="143">
        <f t="shared" si="120"/>
        <v>57.476671480351641</v>
      </c>
      <c r="GG230" s="143">
        <f t="shared" si="120"/>
        <v>56.406614659241654</v>
      </c>
      <c r="GH230" s="143">
        <f t="shared" si="120"/>
        <v>55.336994661859663</v>
      </c>
      <c r="GI230" s="143">
        <f t="shared" si="120"/>
        <v>54.267811220776856</v>
      </c>
      <c r="GJ230" s="143">
        <f t="shared" si="120"/>
        <v>53.199064068782626</v>
      </c>
      <c r="GK230" s="143">
        <f t="shared" si="120"/>
        <v>52.431858030493146</v>
      </c>
      <c r="GL230" s="143">
        <f t="shared" si="120"/>
        <v>51.664490802336239</v>
      </c>
      <c r="GM230" s="143">
        <f t="shared" si="120"/>
        <v>50.896962333507609</v>
      </c>
      <c r="GN230" s="143">
        <f t="shared" si="120"/>
        <v>50.129272573181638</v>
      </c>
      <c r="GO230" s="143">
        <f t="shared" si="120"/>
        <v>49.361421470511281</v>
      </c>
      <c r="GP230" s="143">
        <f t="shared" si="120"/>
        <v>48.593408974628211</v>
      </c>
      <c r="GQ230" s="143">
        <f t="shared" si="120"/>
        <v>47.82523503464266</v>
      </c>
      <c r="GR230" s="143">
        <f t="shared" si="120"/>
        <v>47.056899599643437</v>
      </c>
      <c r="GS230" s="143">
        <f t="shared" si="120"/>
        <v>46.288402618698008</v>
      </c>
      <c r="GT230" s="189">
        <f t="shared" si="120"/>
        <v>45.519744040852352</v>
      </c>
      <c r="GU230" s="140"/>
      <c r="GV230" s="146"/>
      <c r="GW230" s="143"/>
      <c r="GX230" s="143"/>
      <c r="GY230" s="143"/>
      <c r="GZ230" s="143"/>
      <c r="HA230" s="143">
        <f t="shared" ref="HA230:IE230" si="121">HA$229/HA$159*10^3</f>
        <v>98.050307123042657</v>
      </c>
      <c r="HB230" s="143">
        <f t="shared" si="121"/>
        <v>95.506440611210834</v>
      </c>
      <c r="HC230" s="143">
        <f t="shared" si="121"/>
        <v>92.979347063006486</v>
      </c>
      <c r="HD230" s="143">
        <f t="shared" si="121"/>
        <v>90.46886113492161</v>
      </c>
      <c r="HE230" s="143">
        <f t="shared" si="121"/>
        <v>87.97481964954828</v>
      </c>
      <c r="HF230" s="143">
        <f t="shared" si="121"/>
        <v>85.497061560222818</v>
      </c>
      <c r="HG230" s="143">
        <f t="shared" si="121"/>
        <v>83.035427916360462</v>
      </c>
      <c r="HH230" s="143">
        <f t="shared" si="121"/>
        <v>80.589761829464308</v>
      </c>
      <c r="HI230" s="143">
        <f t="shared" si="121"/>
        <v>78.159908439793867</v>
      </c>
      <c r="HJ230" s="143">
        <f t="shared" si="121"/>
        <v>75.74571488367782</v>
      </c>
      <c r="HK230" s="143">
        <f t="shared" si="121"/>
        <v>73.347030261456865</v>
      </c>
      <c r="HL230" s="143">
        <f t="shared" si="121"/>
        <v>72.072985529168619</v>
      </c>
      <c r="HM230" s="143">
        <f t="shared" si="121"/>
        <v>70.810299720271317</v>
      </c>
      <c r="HN230" s="143">
        <f t="shared" si="121"/>
        <v>69.558821600841455</v>
      </c>
      <c r="HO230" s="143">
        <f t="shared" si="121"/>
        <v>68.318402609819415</v>
      </c>
      <c r="HP230" s="143">
        <f t="shared" si="121"/>
        <v>67.088896800220098</v>
      </c>
      <c r="HQ230" s="143">
        <f t="shared" si="121"/>
        <v>65.870160781888188</v>
      </c>
      <c r="HR230" s="143">
        <f t="shared" si="121"/>
        <v>64.66205366575133</v>
      </c>
      <c r="HS230" s="143">
        <f t="shared" si="121"/>
        <v>63.464437009525447</v>
      </c>
      <c r="HT230" s="143">
        <f t="shared" si="121"/>
        <v>62.277174764828374</v>
      </c>
      <c r="HU230" s="143">
        <f t="shared" si="121"/>
        <v>61.100133225659206</v>
      </c>
      <c r="HV230" s="143">
        <f t="shared" si="121"/>
        <v>60.143142982909346</v>
      </c>
      <c r="HW230" s="143">
        <f t="shared" si="121"/>
        <v>59.194522747993261</v>
      </c>
      <c r="HX230" s="143">
        <f t="shared" si="121"/>
        <v>58.254163190643553</v>
      </c>
      <c r="HY230" s="143">
        <f t="shared" si="121"/>
        <v>57.321956876455459</v>
      </c>
      <c r="HZ230" s="143">
        <f t="shared" si="121"/>
        <v>56.397798225969694</v>
      </c>
      <c r="IA230" s="143">
        <f t="shared" si="121"/>
        <v>55.481583474810606</v>
      </c>
      <c r="IB230" s="143">
        <f t="shared" si="121"/>
        <v>54.573210634847698</v>
      </c>
      <c r="IC230" s="143">
        <f t="shared" si="121"/>
        <v>53.672579456350242</v>
      </c>
      <c r="ID230" s="143">
        <f t="shared" si="121"/>
        <v>52.779591391105484</v>
      </c>
      <c r="IE230" s="189">
        <f t="shared" si="121"/>
        <v>51.894149556471667</v>
      </c>
      <c r="IF230" s="140"/>
      <c r="IG230" s="146"/>
      <c r="IH230" s="143"/>
      <c r="II230" s="143"/>
      <c r="IJ230" s="143"/>
      <c r="IK230" s="143"/>
      <c r="IL230" s="143"/>
      <c r="IM230" s="143"/>
      <c r="IN230" s="143"/>
      <c r="IO230" s="143"/>
      <c r="IP230" s="143"/>
      <c r="IQ230" s="143"/>
      <c r="IR230" s="143"/>
      <c r="IS230" s="143"/>
      <c r="IT230" s="143"/>
      <c r="IU230" s="143"/>
      <c r="IV230" s="143"/>
      <c r="IW230" s="143"/>
      <c r="IX230" s="143"/>
      <c r="IY230" s="143"/>
      <c r="IZ230" s="143"/>
      <c r="JA230" s="143"/>
      <c r="JB230" s="143"/>
      <c r="JC230" s="143"/>
      <c r="JD230" s="143"/>
      <c r="JE230" s="143"/>
      <c r="JF230" s="143"/>
      <c r="JG230" s="143"/>
      <c r="JH230" s="143"/>
      <c r="JI230" s="143"/>
      <c r="JJ230" s="143"/>
      <c r="JK230" s="143"/>
      <c r="JL230" s="143"/>
      <c r="JM230" s="143"/>
      <c r="JN230" s="143"/>
      <c r="JO230" s="143"/>
      <c r="JP230" s="189"/>
      <c r="JQ230" s="140"/>
      <c r="JR230" s="146"/>
      <c r="JS230" s="143"/>
      <c r="JT230" s="143"/>
      <c r="JU230" s="143"/>
      <c r="JV230" s="143"/>
      <c r="JW230" s="143"/>
      <c r="JX230" s="143"/>
      <c r="JY230" s="143"/>
      <c r="JZ230" s="143"/>
      <c r="KA230" s="143"/>
      <c r="KB230" s="143"/>
      <c r="KC230" s="143"/>
      <c r="KD230" s="143"/>
      <c r="KE230" s="143"/>
      <c r="KF230" s="143"/>
      <c r="KG230" s="143"/>
      <c r="KH230" s="143"/>
      <c r="KI230" s="143"/>
      <c r="KJ230" s="143"/>
      <c r="KK230" s="143"/>
      <c r="KL230" s="143"/>
      <c r="KM230" s="143"/>
      <c r="KN230" s="143"/>
      <c r="KO230" s="143"/>
      <c r="KP230" s="143"/>
      <c r="KQ230" s="143"/>
      <c r="KR230" s="143"/>
      <c r="KS230" s="143"/>
      <c r="KT230" s="143"/>
      <c r="KU230" s="143"/>
      <c r="KV230" s="143"/>
      <c r="KW230" s="143"/>
      <c r="KX230" s="143"/>
      <c r="KY230" s="143"/>
      <c r="KZ230" s="143"/>
      <c r="LA230" s="189"/>
      <c r="LB230" s="140"/>
      <c r="LC230" s="146"/>
      <c r="LD230" s="143"/>
      <c r="LE230" s="143"/>
      <c r="LF230" s="143"/>
      <c r="LG230" s="143"/>
      <c r="LH230" s="143"/>
      <c r="LI230" s="143"/>
      <c r="LJ230" s="143"/>
      <c r="LK230" s="143"/>
      <c r="LL230" s="143"/>
      <c r="LM230" s="143"/>
      <c r="LN230" s="143"/>
      <c r="LO230" s="143"/>
      <c r="LP230" s="143"/>
      <c r="LQ230" s="143"/>
      <c r="LR230" s="143"/>
      <c r="LS230" s="143"/>
      <c r="LT230" s="143"/>
      <c r="LU230" s="143"/>
      <c r="LV230" s="143"/>
      <c r="LW230" s="143"/>
      <c r="LX230" s="143"/>
      <c r="LY230" s="143"/>
      <c r="LZ230" s="143"/>
      <c r="MA230" s="143"/>
      <c r="MB230" s="143"/>
      <c r="MC230" s="143"/>
      <c r="MD230" s="143"/>
      <c r="ME230" s="143"/>
      <c r="MF230" s="143"/>
      <c r="MG230" s="143"/>
      <c r="MH230" s="143"/>
      <c r="MI230" s="143"/>
      <c r="MJ230" s="143"/>
      <c r="MK230" s="143"/>
      <c r="ML230" s="189"/>
    </row>
    <row r="231" spans="2:350" s="4" customFormat="1" ht="18" customHeight="1" x14ac:dyDescent="0.3">
      <c r="C231" s="136" t="s">
        <v>140</v>
      </c>
      <c r="E231" s="137" t="s">
        <v>105</v>
      </c>
      <c r="F231" s="186" t="s">
        <v>141</v>
      </c>
      <c r="H231" s="174">
        <v>40</v>
      </c>
      <c r="I231" s="175">
        <v>40</v>
      </c>
      <c r="J231" s="175">
        <v>40</v>
      </c>
      <c r="K231" s="175">
        <v>40</v>
      </c>
      <c r="L231" s="175">
        <v>40</v>
      </c>
      <c r="M231" s="176">
        <v>40</v>
      </c>
      <c r="N231" s="140"/>
      <c r="O231" s="140"/>
      <c r="P231" s="140"/>
      <c r="Q231" s="140"/>
      <c r="R231" s="140"/>
      <c r="S231" s="174">
        <v>40</v>
      </c>
      <c r="T231" s="175">
        <v>40</v>
      </c>
      <c r="U231" s="175">
        <v>40</v>
      </c>
      <c r="V231" s="175">
        <v>40</v>
      </c>
      <c r="W231" s="175">
        <v>40</v>
      </c>
      <c r="X231" s="175">
        <v>40</v>
      </c>
      <c r="Y231" s="175">
        <v>40</v>
      </c>
      <c r="Z231" s="175">
        <v>40</v>
      </c>
      <c r="AA231" s="175">
        <v>40</v>
      </c>
      <c r="AB231" s="175">
        <v>40</v>
      </c>
      <c r="AC231" s="175">
        <v>40</v>
      </c>
      <c r="AD231" s="175">
        <v>40</v>
      </c>
      <c r="AE231" s="175">
        <v>40</v>
      </c>
      <c r="AF231" s="175">
        <v>40</v>
      </c>
      <c r="AG231" s="175">
        <v>40</v>
      </c>
      <c r="AH231" s="175">
        <v>40</v>
      </c>
      <c r="AI231" s="175">
        <v>40</v>
      </c>
      <c r="AJ231" s="175">
        <v>40</v>
      </c>
      <c r="AK231" s="175">
        <v>40</v>
      </c>
      <c r="AL231" s="175">
        <v>40</v>
      </c>
      <c r="AM231" s="175">
        <v>40</v>
      </c>
      <c r="AN231" s="175">
        <v>40</v>
      </c>
      <c r="AO231" s="175">
        <v>40</v>
      </c>
      <c r="AP231" s="175">
        <v>40</v>
      </c>
      <c r="AQ231" s="175">
        <v>40</v>
      </c>
      <c r="AR231" s="175">
        <v>40</v>
      </c>
      <c r="AS231" s="175">
        <v>40</v>
      </c>
      <c r="AT231" s="175">
        <v>40</v>
      </c>
      <c r="AU231" s="175">
        <v>40</v>
      </c>
      <c r="AV231" s="175">
        <v>40</v>
      </c>
      <c r="AW231" s="175">
        <v>40</v>
      </c>
      <c r="AX231" s="175">
        <v>40</v>
      </c>
      <c r="AY231" s="175">
        <v>40</v>
      </c>
      <c r="AZ231" s="175">
        <v>40</v>
      </c>
      <c r="BA231" s="175">
        <v>40</v>
      </c>
      <c r="BB231" s="176">
        <v>40</v>
      </c>
      <c r="BC231" s="140"/>
      <c r="BD231" s="146"/>
      <c r="BE231" s="143"/>
      <c r="BF231" s="143"/>
      <c r="BG231" s="143"/>
      <c r="BH231" s="143"/>
      <c r="BI231" s="144">
        <v>40</v>
      </c>
      <c r="BJ231" s="143">
        <f>BI231+(CM231-BI231)*(BJ1-BI1)/(CM1-BI1)</f>
        <v>39.666666666666664</v>
      </c>
      <c r="BK231" s="143">
        <f>BI231+(CM231-BI231)*(BK1-BI1)/(CM1-BI1)</f>
        <v>39.333333333333336</v>
      </c>
      <c r="BL231" s="143">
        <f>BI231+(CM231-BI231)*(BL1-BI1)/(CM1-BI1)</f>
        <v>39</v>
      </c>
      <c r="BM231" s="143">
        <f>BI231+(CM231-BI231)*(BM1-BI1)/(CM1-BI1)</f>
        <v>38.666666666666664</v>
      </c>
      <c r="BN231" s="143">
        <f>BI231+(CM231-BI231)*(BN1-BI1)/(CM1-BI1)</f>
        <v>38.333333333333336</v>
      </c>
      <c r="BO231" s="143">
        <f>BI231+(CM231-BI231)*(BO1-BI1)/(CM1-BI1)</f>
        <v>38</v>
      </c>
      <c r="BP231" s="143">
        <f>BI231+(CM231-BI231)*(BP1-BI1)/(CM1-BI1)</f>
        <v>37.666666666666664</v>
      </c>
      <c r="BQ231" s="143">
        <f>BI231+(CM231-BI231)*(BQ1-BI1)/(CM1-BI1)</f>
        <v>37.333333333333336</v>
      </c>
      <c r="BR231" s="143">
        <f>BI231+(CM231-BI231)*(BR1-BI1)/(CM1-BI1)</f>
        <v>37</v>
      </c>
      <c r="BS231" s="143">
        <f>BI231+(CM231-BI231)*(BS1-BI1)/(CM1-BI1)</f>
        <v>36.666666666666664</v>
      </c>
      <c r="BT231" s="143">
        <f>BI231+(CM231-BI231)*(BT1-BI1)/(CM1-BI1)</f>
        <v>36.333333333333336</v>
      </c>
      <c r="BU231" s="143">
        <f>BI231+(CM231-BI231)*(BU1-BI1)/(CM1-BI1)</f>
        <v>36</v>
      </c>
      <c r="BV231" s="143">
        <f>BI231+(CM231-BI231)*(BV1-BI1)/(CM1-BI1)</f>
        <v>35.666666666666664</v>
      </c>
      <c r="BW231" s="143">
        <f>BI231+(CM231-BI231)*(BW1-BI1)/(CM1-BI1)</f>
        <v>35.333333333333336</v>
      </c>
      <c r="BX231" s="143">
        <f>BI231+(CM231-BI231)*(BX1-BI1)/(CM1-BI1)</f>
        <v>35</v>
      </c>
      <c r="BY231" s="143">
        <f>BI231+(CM231-BI231)*(BY1-BI1)/(CM1-BI1)</f>
        <v>34.666666666666664</v>
      </c>
      <c r="BZ231" s="143">
        <f>BI231+(CM231-BI231)*(BZ1-BI1)/(CM1-BI1)</f>
        <v>34.333333333333336</v>
      </c>
      <c r="CA231" s="143">
        <f>BI231+(CM231-BI231)*(CA1-BI1)/(CM1-BI1)</f>
        <v>34</v>
      </c>
      <c r="CB231" s="143">
        <f>BI231+(CM231-BI231)*(CB1-BI1)/(CM1-BI1)</f>
        <v>33.666666666666664</v>
      </c>
      <c r="CC231" s="143">
        <f>BI231+(CM231-BI231)*(CC1-BI1)/(CM1-BI1)</f>
        <v>33.333333333333336</v>
      </c>
      <c r="CD231" s="143">
        <f>BI231+(CM231-BI231)*(CD1-BI1)/(CM1-BI1)</f>
        <v>33</v>
      </c>
      <c r="CE231" s="143">
        <f>BI231+(CM231-BI231)*(CE1-BI1)/(CM1-BI1)</f>
        <v>32.666666666666664</v>
      </c>
      <c r="CF231" s="143">
        <f>BI231+(CM231-BI231)*(CF1-BI1)/(CM1-BI1)</f>
        <v>32.333333333333336</v>
      </c>
      <c r="CG231" s="143">
        <f>BI231+(CM231-BI231)*(CG1-BI1)/(CM1-BI1)</f>
        <v>32</v>
      </c>
      <c r="CH231" s="143">
        <f>BI231+(CM231-BI231)*(CH1-BI1)/(CM1-BI1)</f>
        <v>31.666666666666664</v>
      </c>
      <c r="CI231" s="143">
        <f>BI231+(CM231-BI231)*(CI1-BI1)/(CM1-BI1)</f>
        <v>31.333333333333336</v>
      </c>
      <c r="CJ231" s="143">
        <f>BI231+(CM231-BI231)*(CJ1-BI1)/(CM1-BI1)</f>
        <v>31</v>
      </c>
      <c r="CK231" s="143">
        <f>BI231+(CM231-BI231)*(CK1-BI1)/(CM1-BI1)</f>
        <v>30.666666666666664</v>
      </c>
      <c r="CL231" s="143">
        <f>BI231+(CM231-BI231)*(CL1-BI1)/(CM1-BI1)</f>
        <v>30.333333333333336</v>
      </c>
      <c r="CM231" s="145">
        <v>30</v>
      </c>
      <c r="CN231" s="140"/>
      <c r="CO231" s="146"/>
      <c r="CP231" s="143"/>
      <c r="CQ231" s="143"/>
      <c r="CR231" s="143"/>
      <c r="CS231" s="143"/>
      <c r="CT231" s="144">
        <v>40</v>
      </c>
      <c r="CU231" s="143">
        <f>CT231+(DX231-CT231)*(CU1-CT1)/(DX1-CT1)</f>
        <v>39.666666666666664</v>
      </c>
      <c r="CV231" s="143">
        <f>CT231+(DX231-CT231)*(CV1-CT1)/(DX1-CT1)</f>
        <v>39.333333333333336</v>
      </c>
      <c r="CW231" s="143">
        <f>CT231+(DX231-CT231)*(CW1-CT1)/(DX1-CT1)</f>
        <v>39</v>
      </c>
      <c r="CX231" s="143">
        <f>CT231+(DX231-CT231)*(CX1-CT1)/(DX1-CT1)</f>
        <v>38.666666666666664</v>
      </c>
      <c r="CY231" s="143">
        <f>CT231+(DX231-CT231)*(CY1-CT1)/(DX1-CT1)</f>
        <v>38.333333333333336</v>
      </c>
      <c r="CZ231" s="143">
        <f>CT231+(DX231-CT231)*(CZ1-CT1)/(DX1-CT1)</f>
        <v>38</v>
      </c>
      <c r="DA231" s="143">
        <f>CT231+(DX231-CT231)*(DA1-CT1)/(DX1-CT1)</f>
        <v>37.666666666666664</v>
      </c>
      <c r="DB231" s="143">
        <f>CT231+(DX231-CT231)*(DB1-CT1)/(DX1-CT1)</f>
        <v>37.333333333333336</v>
      </c>
      <c r="DC231" s="143">
        <f>CT231+(DX231-CT231)*(DC1-CT1)/(DX1-CT1)</f>
        <v>37</v>
      </c>
      <c r="DD231" s="143">
        <f>CT231+(DX231-CT231)*(DD1-CT1)/(DX1-CT1)</f>
        <v>36.666666666666664</v>
      </c>
      <c r="DE231" s="143">
        <f>CT231+(DX231-CT231)*(DE1-CT1)/(DX1-CT1)</f>
        <v>36.333333333333336</v>
      </c>
      <c r="DF231" s="143">
        <f>CT231+(DX231-CT231)*(DF1-CT1)/(DX1-CT1)</f>
        <v>36</v>
      </c>
      <c r="DG231" s="143">
        <f>CT231+(DX231-CT231)*(DG1-CT1)/(DX1-CT1)</f>
        <v>35.666666666666664</v>
      </c>
      <c r="DH231" s="143">
        <f>CT231+(DX231-CT231)*(DH1-CT1)/(DX1-CT1)</f>
        <v>35.333333333333336</v>
      </c>
      <c r="DI231" s="143">
        <f>CT231+(DX231-CT231)*(DI1-CT1)/(DX1-CT1)</f>
        <v>35</v>
      </c>
      <c r="DJ231" s="143">
        <f>CT231+(DX231-CT231)*(DJ1-CT1)/(DX1-CT1)</f>
        <v>34.666666666666664</v>
      </c>
      <c r="DK231" s="143">
        <f>CT231+(DX231-CT231)*(DK1-CT1)/(DX1-CT1)</f>
        <v>34.333333333333336</v>
      </c>
      <c r="DL231" s="143">
        <f>CT231+(DX231-CT231)*(DL1-CT1)/(DX1-CT1)</f>
        <v>34</v>
      </c>
      <c r="DM231" s="143">
        <f>CT231+(DX231-CT231)*(DM1-CT1)/(DX1-CT1)</f>
        <v>33.666666666666664</v>
      </c>
      <c r="DN231" s="143">
        <f>CT231+(DX231-CT231)*(DN1-CT1)/(DX1-CT1)</f>
        <v>33.333333333333336</v>
      </c>
      <c r="DO231" s="143">
        <f>CT231+(DX231-CT231)*(DO1-CT1)/(DX1-CT1)</f>
        <v>33</v>
      </c>
      <c r="DP231" s="143">
        <f>CT231+(DX231-CT231)*(DP1-CT1)/(DX1-CT1)</f>
        <v>32.666666666666664</v>
      </c>
      <c r="DQ231" s="143">
        <f>CT231+(DX231-CT231)*(DQ1-CT1)/(DX1-CT1)</f>
        <v>32.333333333333336</v>
      </c>
      <c r="DR231" s="143">
        <f>CT231+(DX231-CT231)*(DR1-CT1)/(DX1-CT1)</f>
        <v>32</v>
      </c>
      <c r="DS231" s="143">
        <f>CT231+(DX231-CT231)*(DS1-CT1)/(DX1-CT1)</f>
        <v>31.666666666666664</v>
      </c>
      <c r="DT231" s="143">
        <f>CT231+(DX231-CT231)*(DT1-CT1)/(DX1-CT1)</f>
        <v>31.333333333333336</v>
      </c>
      <c r="DU231" s="143">
        <f>CT231+(DX231-CT231)*(DU1-CT1)/(DX1-CT1)</f>
        <v>31</v>
      </c>
      <c r="DV231" s="143">
        <f>CT231+(DX231-CT231)*(DV1-CT1)/(DX1-CT1)</f>
        <v>30.666666666666664</v>
      </c>
      <c r="DW231" s="143">
        <f>CT231+(DX231-CT231)*(DW1-CT1)/(DX1-CT1)</f>
        <v>30.333333333333336</v>
      </c>
      <c r="DX231" s="145">
        <v>30</v>
      </c>
      <c r="DY231" s="140"/>
      <c r="DZ231" s="146"/>
      <c r="EA231" s="143"/>
      <c r="EB231" s="143"/>
      <c r="EC231" s="143"/>
      <c r="ED231" s="143"/>
      <c r="EE231" s="144">
        <v>40</v>
      </c>
      <c r="EF231" s="143">
        <f>EE231+(FI231-EE231)*(EF1-EE1)/(FI1-EE1)</f>
        <v>39.666666666666664</v>
      </c>
      <c r="EG231" s="143">
        <f>EE231+(FI231-EE231)*(EG1-EE1)/(FI1-EE1)</f>
        <v>39.333333333333336</v>
      </c>
      <c r="EH231" s="143">
        <f>EE231+(FI231-EE231)*(EH1-EE1)/(FI1-EE1)</f>
        <v>39</v>
      </c>
      <c r="EI231" s="143">
        <f>EE231+(FI231-EE231)*(EI1-EE1)/(FI1-EE1)</f>
        <v>38.666666666666664</v>
      </c>
      <c r="EJ231" s="143">
        <f>EE231+(FI231-EE231)*(EJ1-EE1)/(FI1-EE1)</f>
        <v>38.333333333333336</v>
      </c>
      <c r="EK231" s="143">
        <f>EE231+(FI231-EE231)*(EK1-EE1)/(FI1-EE1)</f>
        <v>38</v>
      </c>
      <c r="EL231" s="143">
        <f>EE231+(FI231-EE231)*(EL1-EE1)/(FI1-EE1)</f>
        <v>37.666666666666664</v>
      </c>
      <c r="EM231" s="143">
        <f>EE231+(FI231-EE231)*(EM1-EE1)/(FI1-EE1)</f>
        <v>37.333333333333336</v>
      </c>
      <c r="EN231" s="143">
        <f>EE231+(FI231-EE231)*(EN1-EE1)/(FI1-EE1)</f>
        <v>37</v>
      </c>
      <c r="EO231" s="143">
        <f>EE231+(FI231-EE231)*(EO1-EE1)/(FI1-EE1)</f>
        <v>36.666666666666664</v>
      </c>
      <c r="EP231" s="143">
        <f>EE231+(FI231-EE231)*(EP1-EE1)/(FI1-EE1)</f>
        <v>36.333333333333336</v>
      </c>
      <c r="EQ231" s="143">
        <f>EE231+(FI231-EE231)*(EQ1-EE1)/(FI1-EE1)</f>
        <v>36</v>
      </c>
      <c r="ER231" s="143">
        <f>EE231+(FI231-EE231)*(ER1-EE1)/(FI1-EE1)</f>
        <v>35.666666666666664</v>
      </c>
      <c r="ES231" s="143">
        <f>EE231+(FI231-EE231)*(ES1-EE1)/(FI1-EE1)</f>
        <v>35.333333333333336</v>
      </c>
      <c r="ET231" s="143">
        <f>EE231+(FI231-EE231)*(ET1-EE1)/(FI1-EE1)</f>
        <v>35</v>
      </c>
      <c r="EU231" s="143">
        <f>EE231+(FI231-EE231)*(EU1-EE1)/(FI1-EE1)</f>
        <v>34.666666666666664</v>
      </c>
      <c r="EV231" s="143">
        <f>EE231+(FI231-EE231)*(EV1-EE1)/(FI1-EE1)</f>
        <v>34.333333333333336</v>
      </c>
      <c r="EW231" s="143">
        <f>EE231+(FI231-EE231)*(EW1-EE1)/(FI1-EE1)</f>
        <v>34</v>
      </c>
      <c r="EX231" s="143">
        <f>EE231+(FI231-EE231)*(EX1-EE1)/(FI1-EE1)</f>
        <v>33.666666666666664</v>
      </c>
      <c r="EY231" s="143">
        <f>EE231+(FI231-EE231)*(EY1-EE1)/(FI1-EE1)</f>
        <v>33.333333333333336</v>
      </c>
      <c r="EZ231" s="143">
        <f>EE231+(FI231-EE231)*(EZ1-EE1)/(FI1-EE1)</f>
        <v>33</v>
      </c>
      <c r="FA231" s="143">
        <f>EE231+(FI231-EE231)*(FA1-EE1)/(FI1-EE1)</f>
        <v>32.666666666666664</v>
      </c>
      <c r="FB231" s="143">
        <f>EE231+(FI231-EE231)*(FB1-EE1)/(FI1-EE1)</f>
        <v>32.333333333333336</v>
      </c>
      <c r="FC231" s="143">
        <f>EE231+(FI231-EE231)*(FC1-EE1)/(FI1-EE1)</f>
        <v>32</v>
      </c>
      <c r="FD231" s="143">
        <f>EE231+(FI231-EE231)*(FD1-EE1)/(FI1-EE1)</f>
        <v>31.666666666666664</v>
      </c>
      <c r="FE231" s="143">
        <f>EE231+(FI231-EE231)*(FE1-EE1)/(FI1-EE1)</f>
        <v>31.333333333333336</v>
      </c>
      <c r="FF231" s="143">
        <f>EE231+(FI231-EE231)*(FF1-EE1)/(FI1-EE1)</f>
        <v>31</v>
      </c>
      <c r="FG231" s="143">
        <f>EE231+(FI231-EE231)*(FG1-EE1)/(FI1-EE1)</f>
        <v>30.666666666666664</v>
      </c>
      <c r="FH231" s="143">
        <f>EE231+(FI231-EE231)*(FH1-EE1)/(FI1-EE1)</f>
        <v>30.333333333333336</v>
      </c>
      <c r="FI231" s="145">
        <v>30</v>
      </c>
      <c r="FJ231" s="140"/>
      <c r="FK231" s="146"/>
      <c r="FL231" s="143"/>
      <c r="FM231" s="143"/>
      <c r="FN231" s="143"/>
      <c r="FO231" s="143"/>
      <c r="FP231" s="144">
        <v>40</v>
      </c>
      <c r="FQ231" s="143">
        <f>FP231+(GT231-FP231)*(FQ1-FP1)/(GT1-FP1)</f>
        <v>39.666666666666664</v>
      </c>
      <c r="FR231" s="143">
        <f>FP231+(GT231-FP231)*(FR1-FP1)/(GT1-FP1)</f>
        <v>39.333333333333336</v>
      </c>
      <c r="FS231" s="143">
        <f>FP231+(GT231-FP231)*(FS1-FP1)/(GT1-FP1)</f>
        <v>39</v>
      </c>
      <c r="FT231" s="143">
        <f>FP231+(GT231-FP231)*(FT1-FP1)/(GT1-FP1)</f>
        <v>38.666666666666664</v>
      </c>
      <c r="FU231" s="143">
        <f>FP231+(GT231-FP231)*(FU1-FP1)/(GT1-FP1)</f>
        <v>38.333333333333336</v>
      </c>
      <c r="FV231" s="143">
        <f>FP231+(GT231-FP231)*(FV1-FP1)/(GT1-FP1)</f>
        <v>38</v>
      </c>
      <c r="FW231" s="143">
        <f>FP231+(GT231-FP231)*(FW1-FP1)/(GT1-FP1)</f>
        <v>37.666666666666664</v>
      </c>
      <c r="FX231" s="143">
        <f>FP231+(GT231-FP231)*(FX1-FP1)/(GT1-FP1)</f>
        <v>37.333333333333336</v>
      </c>
      <c r="FY231" s="143">
        <f>FP231+(GT231-FP231)*(FY1-FP1)/(GT1-FP1)</f>
        <v>37</v>
      </c>
      <c r="FZ231" s="143">
        <f>FP231+(GT231-FP231)*(FZ1-FP1)/(GT1-FP1)</f>
        <v>36.666666666666664</v>
      </c>
      <c r="GA231" s="143">
        <f>FP231+(GT231-FP231)*(GA1-FP1)/(GT1-FP1)</f>
        <v>36.333333333333336</v>
      </c>
      <c r="GB231" s="143">
        <f>FP231+(GT231-FP231)*(GB1-FP1)/(GT1-FP1)</f>
        <v>36</v>
      </c>
      <c r="GC231" s="143">
        <f>FP231+(GT231-FP231)*(GC1-FP1)/(GT1-FP1)</f>
        <v>35.666666666666664</v>
      </c>
      <c r="GD231" s="143">
        <f>FP231+(GT231-FP231)*(GD1-FP1)/(GT1-FP1)</f>
        <v>35.333333333333336</v>
      </c>
      <c r="GE231" s="143">
        <f>FP231+(GT231-FP231)*(GE1-FP1)/(GT1-FP1)</f>
        <v>35</v>
      </c>
      <c r="GF231" s="143">
        <f>FP231+(GT231-FP231)*(GF1-FP1)/(GT1-FP1)</f>
        <v>34.666666666666664</v>
      </c>
      <c r="GG231" s="143">
        <f>FP231+(GT231-FP231)*(GG1-FP1)/(GT1-FP1)</f>
        <v>34.333333333333336</v>
      </c>
      <c r="GH231" s="143">
        <f>FP231+(GT231-FP231)*(GH1-FP1)/(GT1-FP1)</f>
        <v>34</v>
      </c>
      <c r="GI231" s="143">
        <f>FP231+(GT231-FP231)*(GI1-FP1)/(GT1-FP1)</f>
        <v>33.666666666666664</v>
      </c>
      <c r="GJ231" s="143">
        <f>FP231+(GT231-FP231)*(GJ1-FP1)/(GT1-FP1)</f>
        <v>33.333333333333336</v>
      </c>
      <c r="GK231" s="143">
        <f>FP231+(GT231-FP231)*(GK1-FP1)/(GT1-FP1)</f>
        <v>33</v>
      </c>
      <c r="GL231" s="143">
        <f>FP231+(GT231-FP231)*(GL1-FP1)/(GT1-FP1)</f>
        <v>32.666666666666664</v>
      </c>
      <c r="GM231" s="143">
        <f>FP231+(GT231-FP231)*(GM1-FP1)/(GT1-FP1)</f>
        <v>32.333333333333336</v>
      </c>
      <c r="GN231" s="143">
        <f>FP231+(GT231-FP231)*(GN1-FP1)/(GT1-FP1)</f>
        <v>32</v>
      </c>
      <c r="GO231" s="143">
        <f>FP231+(GT231-FP231)*(GO1-FP1)/(GT1-FP1)</f>
        <v>31.666666666666664</v>
      </c>
      <c r="GP231" s="143">
        <f>FP231+(GT231-FP231)*(GP1-FP1)/(GT1-FP1)</f>
        <v>31.333333333333336</v>
      </c>
      <c r="GQ231" s="143">
        <f>FP231+(GT231-FP231)*(GQ1-FP1)/(GT1-FP1)</f>
        <v>31</v>
      </c>
      <c r="GR231" s="143">
        <f>FP231+(GT231-FP231)*(GR1-FP1)/(GT1-FP1)</f>
        <v>30.666666666666664</v>
      </c>
      <c r="GS231" s="143">
        <f>FP231+(GT231-FP231)*(GS1-FP1)/(GT1-FP1)</f>
        <v>30.333333333333336</v>
      </c>
      <c r="GT231" s="145">
        <v>30</v>
      </c>
      <c r="GU231" s="140"/>
      <c r="GV231" s="146"/>
      <c r="GW231" s="143"/>
      <c r="GX231" s="143"/>
      <c r="GY231" s="143"/>
      <c r="GZ231" s="143"/>
      <c r="HA231" s="144">
        <v>40</v>
      </c>
      <c r="HB231" s="143">
        <f>HA231+(IE231-HA231)*(HB1-HA1)/(IE1-HA1)</f>
        <v>39.666666666666664</v>
      </c>
      <c r="HC231" s="143">
        <f>HA231+(IE231-HA231)*(HC1-HA1)/(IE1-HA1)</f>
        <v>39.333333333333336</v>
      </c>
      <c r="HD231" s="143">
        <f>HA231+(IE231-HA231)*(HD1-HA1)/(IE1-HA1)</f>
        <v>39</v>
      </c>
      <c r="HE231" s="143">
        <f>HA231+(IE231-HA231)*(HE1-HA1)/(IE1-HA1)</f>
        <v>38.666666666666664</v>
      </c>
      <c r="HF231" s="143">
        <f>HA231+(IE231-HA231)*(HF1-HA1)/(IE1-HA1)</f>
        <v>38.333333333333336</v>
      </c>
      <c r="HG231" s="143">
        <f>HA231+(IE231-HA231)*(HG1-HA1)/(IE1-HA1)</f>
        <v>38</v>
      </c>
      <c r="HH231" s="143">
        <f>HA231+(IE231-HA231)*(HH1-HA1)/(IE1-HA1)</f>
        <v>37.666666666666664</v>
      </c>
      <c r="HI231" s="143">
        <f>HA231+(IE231-HA231)*(HI1-HA1)/(IE1-HA1)</f>
        <v>37.333333333333336</v>
      </c>
      <c r="HJ231" s="143">
        <f>HA231+(IE231-HA231)*(HJ1-HA1)/(IE1-HA1)</f>
        <v>37</v>
      </c>
      <c r="HK231" s="143">
        <f>HA231+(IE231-HA231)*(HK1-HA1)/(IE1-HA1)</f>
        <v>36.666666666666664</v>
      </c>
      <c r="HL231" s="143">
        <f>HA231+(IE231-HA231)*(HL1-HA1)/(IE1-HA1)</f>
        <v>36.333333333333336</v>
      </c>
      <c r="HM231" s="143">
        <f>HA231+(IE231-HA231)*(HM1-HA1)/(IE1-HA1)</f>
        <v>36</v>
      </c>
      <c r="HN231" s="143">
        <f>HA231+(IE231-HA231)*(HN1-HA1)/(IE1-HA1)</f>
        <v>35.666666666666664</v>
      </c>
      <c r="HO231" s="143">
        <f>HA231+(IE231-HA231)*(HO1-HA1)/(IE1-HA1)</f>
        <v>35.333333333333336</v>
      </c>
      <c r="HP231" s="143">
        <f>HA231+(IE231-HA231)*(HP1-HA1)/(IE1-HA1)</f>
        <v>35</v>
      </c>
      <c r="HQ231" s="143">
        <f>HA231+(IE231-HA231)*(HQ1-HA1)/(IE1-HA1)</f>
        <v>34.666666666666664</v>
      </c>
      <c r="HR231" s="143">
        <f>HA231+(IE231-HA231)*(HR1-HA1)/(IE1-HA1)</f>
        <v>34.333333333333336</v>
      </c>
      <c r="HS231" s="143">
        <f>HA231+(IE231-HA231)*(HS1-HA1)/(IE1-HA1)</f>
        <v>34</v>
      </c>
      <c r="HT231" s="143">
        <f>HA231+(IE231-HA231)*(HT1-HA1)/(IE1-HA1)</f>
        <v>33.666666666666664</v>
      </c>
      <c r="HU231" s="143">
        <f>HA231+(IE231-HA231)*(HU1-HA1)/(IE1-HA1)</f>
        <v>33.333333333333336</v>
      </c>
      <c r="HV231" s="143">
        <f>HA231+(IE231-HA231)*(HV1-HA1)/(IE1-HA1)</f>
        <v>33</v>
      </c>
      <c r="HW231" s="143">
        <f>HA231+(IE231-HA231)*(HW1-HA1)/(IE1-HA1)</f>
        <v>32.666666666666664</v>
      </c>
      <c r="HX231" s="143">
        <f>HA231+(IE231-HA231)*(HX1-HA1)/(IE1-HA1)</f>
        <v>32.333333333333336</v>
      </c>
      <c r="HY231" s="143">
        <f>HA231+(IE231-HA231)*(HY1-HA1)/(IE1-HA1)</f>
        <v>32</v>
      </c>
      <c r="HZ231" s="143">
        <f>HA231+(IE231-HA231)*(HZ1-HA1)/(IE1-HA1)</f>
        <v>31.666666666666664</v>
      </c>
      <c r="IA231" s="143">
        <f>HA231+(IE231-HA231)*(IA1-HA1)/(IE1-HA1)</f>
        <v>31.333333333333336</v>
      </c>
      <c r="IB231" s="143">
        <f>HA231+(IE231-HA231)*(IB1-HA1)/(IE1-HA1)</f>
        <v>31</v>
      </c>
      <c r="IC231" s="143">
        <f>HA231+(IE231-HA231)*(IC1-HA1)/(IE1-HA1)</f>
        <v>30.666666666666664</v>
      </c>
      <c r="ID231" s="143">
        <f>HA231+(IE231-HA231)*(ID1-HA1)/(IE1-HA1)</f>
        <v>30.333333333333336</v>
      </c>
      <c r="IE231" s="145">
        <v>30</v>
      </c>
      <c r="IF231" s="140"/>
      <c r="IG231" s="146"/>
      <c r="IH231" s="143"/>
      <c r="II231" s="143"/>
      <c r="IJ231" s="143"/>
      <c r="IK231" s="143"/>
      <c r="IL231" s="144"/>
      <c r="IM231" s="143"/>
      <c r="IN231" s="143"/>
      <c r="IO231" s="143"/>
      <c r="IP231" s="143"/>
      <c r="IQ231" s="143"/>
      <c r="IR231" s="143"/>
      <c r="IS231" s="143"/>
      <c r="IT231" s="143"/>
      <c r="IU231" s="143"/>
      <c r="IV231" s="143"/>
      <c r="IW231" s="143"/>
      <c r="IX231" s="143"/>
      <c r="IY231" s="143"/>
      <c r="IZ231" s="143"/>
      <c r="JA231" s="143"/>
      <c r="JB231" s="143"/>
      <c r="JC231" s="143"/>
      <c r="JD231" s="143"/>
      <c r="JE231" s="143"/>
      <c r="JF231" s="143"/>
      <c r="JG231" s="143"/>
      <c r="JH231" s="143"/>
      <c r="JI231" s="143"/>
      <c r="JJ231" s="143"/>
      <c r="JK231" s="143"/>
      <c r="JL231" s="143"/>
      <c r="JM231" s="143"/>
      <c r="JN231" s="143"/>
      <c r="JO231" s="143"/>
      <c r="JP231" s="145"/>
      <c r="JQ231" s="140"/>
      <c r="JR231" s="146"/>
      <c r="JS231" s="143"/>
      <c r="JT231" s="143"/>
      <c r="JU231" s="143"/>
      <c r="JV231" s="143"/>
      <c r="JW231" s="144"/>
      <c r="JX231" s="143"/>
      <c r="JY231" s="143"/>
      <c r="JZ231" s="143"/>
      <c r="KA231" s="143"/>
      <c r="KB231" s="143"/>
      <c r="KC231" s="143"/>
      <c r="KD231" s="143"/>
      <c r="KE231" s="143"/>
      <c r="KF231" s="143"/>
      <c r="KG231" s="143"/>
      <c r="KH231" s="143"/>
      <c r="KI231" s="143"/>
      <c r="KJ231" s="143"/>
      <c r="KK231" s="143"/>
      <c r="KL231" s="143"/>
      <c r="KM231" s="143"/>
      <c r="KN231" s="143"/>
      <c r="KO231" s="143"/>
      <c r="KP231" s="143"/>
      <c r="KQ231" s="143"/>
      <c r="KR231" s="143"/>
      <c r="KS231" s="143"/>
      <c r="KT231" s="143"/>
      <c r="KU231" s="143"/>
      <c r="KV231" s="143"/>
      <c r="KW231" s="143"/>
      <c r="KX231" s="143"/>
      <c r="KY231" s="143"/>
      <c r="KZ231" s="143"/>
      <c r="LA231" s="145"/>
      <c r="LB231" s="140"/>
      <c r="LC231" s="146"/>
      <c r="LD231" s="143"/>
      <c r="LE231" s="143"/>
      <c r="LF231" s="143"/>
      <c r="LG231" s="143"/>
      <c r="LH231" s="144"/>
      <c r="LI231" s="143"/>
      <c r="LJ231" s="143"/>
      <c r="LK231" s="143"/>
      <c r="LL231" s="143"/>
      <c r="LM231" s="143"/>
      <c r="LN231" s="143"/>
      <c r="LO231" s="143"/>
      <c r="LP231" s="143"/>
      <c r="LQ231" s="143"/>
      <c r="LR231" s="143"/>
      <c r="LS231" s="143"/>
      <c r="LT231" s="143"/>
      <c r="LU231" s="143"/>
      <c r="LV231" s="143"/>
      <c r="LW231" s="143"/>
      <c r="LX231" s="143"/>
      <c r="LY231" s="143"/>
      <c r="LZ231" s="143"/>
      <c r="MA231" s="143"/>
      <c r="MB231" s="143"/>
      <c r="MC231" s="143"/>
      <c r="MD231" s="143"/>
      <c r="ME231" s="143"/>
      <c r="MF231" s="143"/>
      <c r="MG231" s="143"/>
      <c r="MH231" s="143"/>
      <c r="MI231" s="143"/>
      <c r="MJ231" s="143"/>
      <c r="MK231" s="143"/>
      <c r="ML231" s="145"/>
    </row>
    <row r="232" spans="2:350" s="4" customFormat="1" ht="18" customHeight="1" x14ac:dyDescent="0.3">
      <c r="C232" s="38" t="s">
        <v>142</v>
      </c>
      <c r="D232" s="39"/>
      <c r="E232" s="190" t="s">
        <v>105</v>
      </c>
      <c r="F232" s="40"/>
      <c r="H232" s="191">
        <f t="shared" ref="H232:M232" si="122">(H229-H231*(H159-H196)/10^3)/H196*10^3</f>
        <v>105.94709172586673</v>
      </c>
      <c r="I232" s="192">
        <f t="shared" si="122"/>
        <v>104.3127509738071</v>
      </c>
      <c r="J232" s="192">
        <f t="shared" si="122"/>
        <v>102.70575505279278</v>
      </c>
      <c r="K232" s="192">
        <f t="shared" si="122"/>
        <v>101.12542337986515</v>
      </c>
      <c r="L232" s="192">
        <f t="shared" si="122"/>
        <v>99.571097771521082</v>
      </c>
      <c r="M232" s="193">
        <f t="shared" si="122"/>
        <v>98.042141529715011</v>
      </c>
      <c r="N232" s="140"/>
      <c r="O232" s="140"/>
      <c r="P232" s="140"/>
      <c r="Q232" s="140"/>
      <c r="R232" s="140"/>
      <c r="S232" s="191">
        <f t="shared" ref="S232:BB232" si="123">(S229-S231*(S159-S196)/10^3)/S196*10^3</f>
        <v>118.95387856277725</v>
      </c>
      <c r="T232" s="192">
        <f t="shared" si="123"/>
        <v>116.27541763213476</v>
      </c>
      <c r="U232" s="192">
        <f t="shared" si="123"/>
        <v>113.57833613193965</v>
      </c>
      <c r="V232" s="192">
        <f t="shared" si="123"/>
        <v>110.8625362412707</v>
      </c>
      <c r="W232" s="192">
        <f t="shared" si="123"/>
        <v>108.1279161690335</v>
      </c>
      <c r="X232" s="192">
        <f t="shared" si="123"/>
        <v>105.37435397786993</v>
      </c>
      <c r="Y232" s="192">
        <f t="shared" si="123"/>
        <v>102.72588975776108</v>
      </c>
      <c r="Z232" s="192">
        <f t="shared" si="123"/>
        <v>100.06064581614254</v>
      </c>
      <c r="AA232" s="192">
        <f t="shared" si="123"/>
        <v>97.378568081960381</v>
      </c>
      <c r="AB232" s="192">
        <f t="shared" si="123"/>
        <v>94.679578347519879</v>
      </c>
      <c r="AC232" s="192">
        <f t="shared" si="123"/>
        <v>91.963600635552339</v>
      </c>
      <c r="AD232" s="192">
        <f t="shared" si="123"/>
        <v>89.230413112211551</v>
      </c>
      <c r="AE232" s="192">
        <f t="shared" si="123"/>
        <v>86.480188060368448</v>
      </c>
      <c r="AF232" s="192">
        <f t="shared" si="123"/>
        <v>83.712698533756608</v>
      </c>
      <c r="AG232" s="192">
        <f t="shared" si="123"/>
        <v>80.927841040079556</v>
      </c>
      <c r="AH232" s="192">
        <f t="shared" si="123"/>
        <v>78.125644932287017</v>
      </c>
      <c r="AI232" s="192">
        <f t="shared" si="123"/>
        <v>76.738858209510596</v>
      </c>
      <c r="AJ232" s="192">
        <f t="shared" si="123"/>
        <v>75.343882699364599</v>
      </c>
      <c r="AK232" s="192">
        <f t="shared" si="123"/>
        <v>73.942771096691033</v>
      </c>
      <c r="AL232" s="192">
        <f t="shared" si="123"/>
        <v>72.516659694489718</v>
      </c>
      <c r="AM232" s="192">
        <f t="shared" si="123"/>
        <v>71.087490629734219</v>
      </c>
      <c r="AN232" s="192">
        <f t="shared" si="123"/>
        <v>69.648655617180296</v>
      </c>
      <c r="AO232" s="192">
        <f t="shared" si="123"/>
        <v>68.200339434648797</v>
      </c>
      <c r="AP232" s="192">
        <f t="shared" si="123"/>
        <v>66.743215172039271</v>
      </c>
      <c r="AQ232" s="192">
        <f t="shared" si="123"/>
        <v>65.277015108791332</v>
      </c>
      <c r="AR232" s="192">
        <f t="shared" si="123"/>
        <v>63.802164119358352</v>
      </c>
      <c r="AS232" s="192">
        <f t="shared" si="123"/>
        <v>62.317675499361471</v>
      </c>
      <c r="AT232" s="192">
        <f t="shared" si="123"/>
        <v>60.823041683620517</v>
      </c>
      <c r="AU232" s="192">
        <f t="shared" si="123"/>
        <v>59.319134622669395</v>
      </c>
      <c r="AV232" s="192">
        <f t="shared" si="123"/>
        <v>57.805473210476805</v>
      </c>
      <c r="AW232" s="192">
        <f t="shared" si="123"/>
        <v>56.281706579629819</v>
      </c>
      <c r="AX232" s="192">
        <f t="shared" si="123"/>
        <v>54.74743280975467</v>
      </c>
      <c r="AY232" s="192">
        <f t="shared" si="123"/>
        <v>53.203096929946341</v>
      </c>
      <c r="AZ232" s="192">
        <f t="shared" si="123"/>
        <v>51.649212979567821</v>
      </c>
      <c r="BA232" s="192">
        <f t="shared" si="123"/>
        <v>50.085981981262165</v>
      </c>
      <c r="BB232" s="193">
        <f t="shared" si="123"/>
        <v>48.513137760013954</v>
      </c>
      <c r="BC232" s="140"/>
      <c r="BD232" s="194"/>
      <c r="BE232" s="195"/>
      <c r="BF232" s="195"/>
      <c r="BG232" s="195"/>
      <c r="BH232" s="195"/>
      <c r="BI232" s="195">
        <f t="shared" ref="BI232:CM232" si="124">(BI229-BI231*(BI159-BI196)/10^3)/BI196*10^3</f>
        <v>100.13560363986724</v>
      </c>
      <c r="BJ232" s="195">
        <f t="shared" si="124"/>
        <v>98.30233743646339</v>
      </c>
      <c r="BK232" s="195">
        <f t="shared" si="124"/>
        <v>96.452983559852498</v>
      </c>
      <c r="BL232" s="195">
        <f t="shared" si="124"/>
        <v>94.5872440311107</v>
      </c>
      <c r="BM232" s="195">
        <f t="shared" si="124"/>
        <v>92.704813466634462</v>
      </c>
      <c r="BN232" s="195">
        <f t="shared" si="124"/>
        <v>90.805378846698005</v>
      </c>
      <c r="BO232" s="195">
        <f t="shared" si="124"/>
        <v>88.888619275275261</v>
      </c>
      <c r="BP232" s="195">
        <f t="shared" si="124"/>
        <v>86.954205730739034</v>
      </c>
      <c r="BQ232" s="195">
        <f t="shared" si="124"/>
        <v>85.001800807031202</v>
      </c>
      <c r="BR232" s="195">
        <f t="shared" si="124"/>
        <v>83.031058444875427</v>
      </c>
      <c r="BS232" s="195">
        <f t="shared" si="124"/>
        <v>81.041623652583368</v>
      </c>
      <c r="BT232" s="195">
        <f t="shared" si="124"/>
        <v>79.974632657824614</v>
      </c>
      <c r="BU232" s="195">
        <f t="shared" si="124"/>
        <v>78.907847089917212</v>
      </c>
      <c r="BV232" s="195">
        <f t="shared" si="124"/>
        <v>77.841268306844384</v>
      </c>
      <c r="BW232" s="195">
        <f t="shared" si="124"/>
        <v>76.77489767858512</v>
      </c>
      <c r="BX232" s="195">
        <f t="shared" si="124"/>
        <v>75.708736587246946</v>
      </c>
      <c r="BY232" s="195">
        <f t="shared" si="124"/>
        <v>74.642786427200463</v>
      </c>
      <c r="BZ232" s="195">
        <f t="shared" si="124"/>
        <v>73.577048605215495</v>
      </c>
      <c r="CA232" s="195">
        <f t="shared" si="124"/>
        <v>72.511524540599538</v>
      </c>
      <c r="CB232" s="195">
        <f t="shared" si="124"/>
        <v>71.446215665337405</v>
      </c>
      <c r="CC232" s="195">
        <f t="shared" si="124"/>
        <v>70.381123424233337</v>
      </c>
      <c r="CD232" s="195">
        <f t="shared" si="124"/>
        <v>69.576121207124459</v>
      </c>
      <c r="CE232" s="195">
        <f t="shared" si="124"/>
        <v>68.772594502110209</v>
      </c>
      <c r="CF232" s="195">
        <f t="shared" si="124"/>
        <v>67.970553282900227</v>
      </c>
      <c r="CG232" s="195">
        <f t="shared" si="124"/>
        <v>67.17000761329669</v>
      </c>
      <c r="CH232" s="195">
        <f t="shared" si="124"/>
        <v>66.370967648214048</v>
      </c>
      <c r="CI232" s="195">
        <f t="shared" si="124"/>
        <v>65.573443634712177</v>
      </c>
      <c r="CJ232" s="195">
        <f t="shared" si="124"/>
        <v>64.777445913044204</v>
      </c>
      <c r="CK232" s="195">
        <f t="shared" si="124"/>
        <v>63.982984917718156</v>
      </c>
      <c r="CL232" s="195">
        <f t="shared" si="124"/>
        <v>63.190071178573476</v>
      </c>
      <c r="CM232" s="196">
        <f t="shared" si="124"/>
        <v>62.398715321872203</v>
      </c>
      <c r="CN232" s="140"/>
      <c r="CO232" s="194"/>
      <c r="CP232" s="195"/>
      <c r="CQ232" s="195"/>
      <c r="CR232" s="195"/>
      <c r="CS232" s="195"/>
      <c r="CT232" s="195">
        <f t="shared" ref="CT232:DX232" si="125">(CT229-CT231*(CT159-CT196)/10^3)/CT196*10^3</f>
        <v>100.13814580769669</v>
      </c>
      <c r="CU232" s="195">
        <f t="shared" si="125"/>
        <v>96.830806820811986</v>
      </c>
      <c r="CV232" s="195">
        <f t="shared" si="125"/>
        <v>93.446277557271713</v>
      </c>
      <c r="CW232" s="195">
        <f t="shared" si="125"/>
        <v>89.981706071650294</v>
      </c>
      <c r="CX232" s="195">
        <f t="shared" si="125"/>
        <v>86.434098172415503</v>
      </c>
      <c r="CY232" s="195">
        <f t="shared" si="125"/>
        <v>82.800308441461169</v>
      </c>
      <c r="CZ232" s="195">
        <f t="shared" si="125"/>
        <v>79.077030564579346</v>
      </c>
      <c r="DA232" s="195">
        <f t="shared" si="125"/>
        <v>75.260786910390479</v>
      </c>
      <c r="DB232" s="195">
        <f t="shared" si="125"/>
        <v>71.347917288689885</v>
      </c>
      <c r="DC232" s="195">
        <f t="shared" si="125"/>
        <v>67.334566811823976</v>
      </c>
      <c r="DD232" s="195">
        <f t="shared" si="125"/>
        <v>63.216672774473487</v>
      </c>
      <c r="DE232" s="195">
        <f t="shared" si="125"/>
        <v>61.902705228153287</v>
      </c>
      <c r="DF232" s="195">
        <f t="shared" si="125"/>
        <v>60.566663275792543</v>
      </c>
      <c r="DG232" s="195">
        <f t="shared" si="125"/>
        <v>59.207939106163472</v>
      </c>
      <c r="DH232" s="195">
        <f t="shared" si="125"/>
        <v>57.825902386834507</v>
      </c>
      <c r="DI232" s="195">
        <f t="shared" si="125"/>
        <v>56.419899211320882</v>
      </c>
      <c r="DJ232" s="195">
        <f t="shared" si="125"/>
        <v>54.98925098661396</v>
      </c>
      <c r="DK232" s="195">
        <f t="shared" si="125"/>
        <v>53.533253257112854</v>
      </c>
      <c r="DL232" s="195">
        <f t="shared" si="125"/>
        <v>52.051174460675306</v>
      </c>
      <c r="DM232" s="195">
        <f t="shared" si="125"/>
        <v>50.542254612173167</v>
      </c>
      <c r="DN232" s="195">
        <f t="shared" si="125"/>
        <v>49.005703909574621</v>
      </c>
      <c r="DO232" s="195">
        <f t="shared" si="125"/>
        <v>48.112266846756782</v>
      </c>
      <c r="DP232" s="195">
        <f t="shared" si="125"/>
        <v>47.203206553173615</v>
      </c>
      <c r="DQ232" s="195">
        <f t="shared" si="125"/>
        <v>46.278049375569083</v>
      </c>
      <c r="DR232" s="195">
        <f t="shared" si="125"/>
        <v>45.336302318742291</v>
      </c>
      <c r="DS232" s="195">
        <f t="shared" si="125"/>
        <v>44.377452048062842</v>
      </c>
      <c r="DT232" s="195">
        <f t="shared" si="125"/>
        <v>43.400963829613211</v>
      </c>
      <c r="DU232" s="195">
        <f t="shared" si="125"/>
        <v>42.406280403360086</v>
      </c>
      <c r="DV232" s="195">
        <f t="shared" si="125"/>
        <v>41.392820784364865</v>
      </c>
      <c r="DW232" s="195">
        <f t="shared" si="125"/>
        <v>40.359978986614294</v>
      </c>
      <c r="DX232" s="196">
        <f t="shared" si="125"/>
        <v>39.307122663580806</v>
      </c>
      <c r="DY232" s="140"/>
      <c r="DZ232" s="194"/>
      <c r="EA232" s="195"/>
      <c r="EB232" s="195"/>
      <c r="EC232" s="195"/>
      <c r="ED232" s="195"/>
      <c r="EE232" s="195">
        <f t="shared" ref="EE232:FI232" si="126">(EE229-EE231*(EE159-EE196)/10^3)/EE196*10^3</f>
        <v>100.14450122727028</v>
      </c>
      <c r="EF232" s="195">
        <f t="shared" si="126"/>
        <v>97.576339244211823</v>
      </c>
      <c r="EG232" s="195">
        <f t="shared" si="126"/>
        <v>94.949006499984307</v>
      </c>
      <c r="EH232" s="195">
        <f t="shared" si="126"/>
        <v>92.260316815331009</v>
      </c>
      <c r="EI232" s="195">
        <f t="shared" si="126"/>
        <v>89.50797497122015</v>
      </c>
      <c r="EJ232" s="195">
        <f t="shared" si="126"/>
        <v>86.689569824803158</v>
      </c>
      <c r="EK232" s="195">
        <f t="shared" si="126"/>
        <v>83.80256689716866</v>
      </c>
      <c r="EL232" s="195">
        <f t="shared" si="126"/>
        <v>80.84430038499643</v>
      </c>
      <c r="EM232" s="195">
        <f t="shared" si="126"/>
        <v>77.811964543187329</v>
      </c>
      <c r="EN232" s="195">
        <f t="shared" si="126"/>
        <v>74.702604379913708</v>
      </c>
      <c r="EO232" s="195">
        <f t="shared" si="126"/>
        <v>71.51310559922328</v>
      </c>
      <c r="EP232" s="195">
        <f t="shared" si="126"/>
        <v>70.289457412538368</v>
      </c>
      <c r="EQ232" s="195">
        <f t="shared" si="126"/>
        <v>69.045412919390643</v>
      </c>
      <c r="ER232" s="195">
        <f t="shared" si="126"/>
        <v>67.780410514450864</v>
      </c>
      <c r="ES232" s="195">
        <f t="shared" si="126"/>
        <v>66.493867783251133</v>
      </c>
      <c r="ET232" s="195">
        <f t="shared" si="126"/>
        <v>65.185180529373326</v>
      </c>
      <c r="EU232" s="195">
        <f t="shared" si="126"/>
        <v>63.853721746548715</v>
      </c>
      <c r="EV232" s="195">
        <f t="shared" si="126"/>
        <v>62.498840531994212</v>
      </c>
      <c r="EW232" s="195">
        <f t="shared" si="126"/>
        <v>61.119860937028683</v>
      </c>
      <c r="EX232" s="195">
        <f t="shared" si="126"/>
        <v>59.716080750704691</v>
      </c>
      <c r="EY232" s="195">
        <f t="shared" si="126"/>
        <v>58.286770211856428</v>
      </c>
      <c r="EZ232" s="195">
        <f t="shared" si="126"/>
        <v>57.601352217336093</v>
      </c>
      <c r="FA232" s="195">
        <f t="shared" si="126"/>
        <v>56.904507516755672</v>
      </c>
      <c r="FB232" s="195">
        <f t="shared" si="126"/>
        <v>56.195889683910998</v>
      </c>
      <c r="FC232" s="195">
        <f t="shared" si="126"/>
        <v>55.475138146054036</v>
      </c>
      <c r="FD232" s="195">
        <f t="shared" si="126"/>
        <v>54.741877454340695</v>
      </c>
      <c r="FE232" s="195">
        <f t="shared" si="126"/>
        <v>53.995716508659392</v>
      </c>
      <c r="FF232" s="195">
        <f t="shared" si="126"/>
        <v>53.236247733477541</v>
      </c>
      <c r="FG232" s="195">
        <f t="shared" si="126"/>
        <v>52.463046201056535</v>
      </c>
      <c r="FH232" s="195">
        <f t="shared" si="126"/>
        <v>51.675668698071689</v>
      </c>
      <c r="FI232" s="196">
        <f t="shared" si="126"/>
        <v>50.873652731328917</v>
      </c>
      <c r="FJ232" s="140"/>
      <c r="FK232" s="194"/>
      <c r="FL232" s="195"/>
      <c r="FM232" s="195"/>
      <c r="FN232" s="195"/>
      <c r="FO232" s="195"/>
      <c r="FP232" s="195">
        <f t="shared" ref="FP232:GT232" si="127">(FP229-FP231*(FP159-FP196)/10^3)/FP196*10^3</f>
        <v>100.14450122727028</v>
      </c>
      <c r="FQ232" s="195">
        <f t="shared" si="127"/>
        <v>97.025331092063269</v>
      </c>
      <c r="FR232" s="195">
        <f t="shared" si="127"/>
        <v>93.863793172151418</v>
      </c>
      <c r="FS232" s="195">
        <f t="shared" si="127"/>
        <v>90.658925097425325</v>
      </c>
      <c r="FT232" s="195">
        <f t="shared" si="127"/>
        <v>87.409735128852006</v>
      </c>
      <c r="FU232" s="195">
        <f t="shared" si="127"/>
        <v>84.115201029537246</v>
      </c>
      <c r="FV232" s="195">
        <f t="shared" si="127"/>
        <v>80.774268883308707</v>
      </c>
      <c r="FW232" s="195">
        <f t="shared" si="127"/>
        <v>77.385851857952076</v>
      </c>
      <c r="FX232" s="195">
        <f t="shared" si="127"/>
        <v>73.948828910050807</v>
      </c>
      <c r="FY232" s="195">
        <f t="shared" si="127"/>
        <v>70.462043428187727</v>
      </c>
      <c r="FZ232" s="195">
        <f t="shared" si="127"/>
        <v>66.924301811058243</v>
      </c>
      <c r="GA232" s="195">
        <f t="shared" si="127"/>
        <v>65.884158256714159</v>
      </c>
      <c r="GB232" s="195">
        <f t="shared" si="127"/>
        <v>64.838941402698865</v>
      </c>
      <c r="GC232" s="195">
        <f t="shared" si="127"/>
        <v>63.788594775902872</v>
      </c>
      <c r="GD232" s="195">
        <f t="shared" si="127"/>
        <v>62.733061061926051</v>
      </c>
      <c r="GE232" s="195">
        <f t="shared" si="127"/>
        <v>61.672282089353033</v>
      </c>
      <c r="GF232" s="195">
        <f t="shared" si="127"/>
        <v>60.606198813674411</v>
      </c>
      <c r="GG232" s="195">
        <f t="shared" si="127"/>
        <v>59.534751300844903</v>
      </c>
      <c r="GH232" s="195">
        <f t="shared" si="127"/>
        <v>58.457878710468194</v>
      </c>
      <c r="GI232" s="195">
        <f t="shared" si="127"/>
        <v>57.375519278599228</v>
      </c>
      <c r="GJ232" s="195">
        <f t="shared" si="127"/>
        <v>56.287610300153169</v>
      </c>
      <c r="GK232" s="195">
        <f t="shared" si="127"/>
        <v>55.536442246945917</v>
      </c>
      <c r="GL232" s="195">
        <f t="shared" si="127"/>
        <v>54.781984810422877</v>
      </c>
      <c r="GM232" s="195">
        <f t="shared" si="127"/>
        <v>54.024199964058781</v>
      </c>
      <c r="GN232" s="195">
        <f t="shared" si="127"/>
        <v>53.263049092926273</v>
      </c>
      <c r="GO232" s="195">
        <f t="shared" si="127"/>
        <v>52.498492982270676</v>
      </c>
      <c r="GP232" s="195">
        <f t="shared" si="127"/>
        <v>51.730491805817991</v>
      </c>
      <c r="GQ232" s="195">
        <f t="shared" si="127"/>
        <v>50.959005113807955</v>
      </c>
      <c r="GR232" s="195">
        <f t="shared" si="127"/>
        <v>50.183991820745241</v>
      </c>
      <c r="GS232" s="195">
        <f t="shared" si="127"/>
        <v>49.405410192860607</v>
      </c>
      <c r="GT232" s="196">
        <f t="shared" si="127"/>
        <v>48.623217835274112</v>
      </c>
      <c r="GU232" s="140"/>
      <c r="GV232" s="194"/>
      <c r="GW232" s="195"/>
      <c r="GX232" s="195"/>
      <c r="GY232" s="195"/>
      <c r="GZ232" s="195"/>
      <c r="HA232" s="195">
        <f t="shared" ref="HA232:IE232" si="128">(HA229-HA231*(HA159-HA196)/10^3)/HA196*10^3</f>
        <v>100.13602733450548</v>
      </c>
      <c r="HB232" s="195">
        <f t="shared" si="128"/>
        <v>98.058666737120006</v>
      </c>
      <c r="HC232" s="195">
        <f t="shared" si="128"/>
        <v>95.962222853297106</v>
      </c>
      <c r="HD232" s="195">
        <f t="shared" si="128"/>
        <v>93.846342218798384</v>
      </c>
      <c r="HE232" s="195">
        <f t="shared" si="128"/>
        <v>91.710662585913795</v>
      </c>
      <c r="HF232" s="195">
        <f t="shared" si="128"/>
        <v>89.554812648923061</v>
      </c>
      <c r="HG232" s="195">
        <f t="shared" si="128"/>
        <v>87.378411759195217</v>
      </c>
      <c r="HH232" s="195">
        <f t="shared" si="128"/>
        <v>85.181069629466535</v>
      </c>
      <c r="HI232" s="195">
        <f t="shared" si="128"/>
        <v>82.962386026815153</v>
      </c>
      <c r="HJ232" s="195">
        <f t="shared" si="128"/>
        <v>80.721950453824235</v>
      </c>
      <c r="HK232" s="195">
        <f t="shared" si="128"/>
        <v>78.459341817400684</v>
      </c>
      <c r="HL232" s="195">
        <f t="shared" si="128"/>
        <v>77.327082109618928</v>
      </c>
      <c r="HM232" s="195">
        <f t="shared" si="128"/>
        <v>76.194740819987572</v>
      </c>
      <c r="HN232" s="195">
        <f t="shared" si="128"/>
        <v>75.06231740920623</v>
      </c>
      <c r="HO232" s="195">
        <f t="shared" si="128"/>
        <v>73.929811333210537</v>
      </c>
      <c r="HP232" s="195">
        <f t="shared" si="128"/>
        <v>72.797222043119589</v>
      </c>
      <c r="HQ232" s="195">
        <f t="shared" si="128"/>
        <v>71.664548985182336</v>
      </c>
      <c r="HR232" s="195">
        <f t="shared" si="128"/>
        <v>70.531791600723523</v>
      </c>
      <c r="HS232" s="195">
        <f t="shared" si="128"/>
        <v>69.398949326088896</v>
      </c>
      <c r="HT232" s="195">
        <f t="shared" si="128"/>
        <v>68.266021592589539</v>
      </c>
      <c r="HU232" s="195">
        <f t="shared" si="128"/>
        <v>67.133007826445549</v>
      </c>
      <c r="HV232" s="195">
        <f t="shared" si="128"/>
        <v>66.260718728577515</v>
      </c>
      <c r="HW232" s="195">
        <f t="shared" si="128"/>
        <v>65.389602607787978</v>
      </c>
      <c r="HX232" s="195">
        <f t="shared" si="128"/>
        <v>64.519667392804038</v>
      </c>
      <c r="HY232" s="195">
        <f t="shared" si="128"/>
        <v>63.650921083973131</v>
      </c>
      <c r="HZ232" s="195">
        <f t="shared" si="128"/>
        <v>62.783371754073379</v>
      </c>
      <c r="IA232" s="195">
        <f t="shared" si="128"/>
        <v>61.917027549135213</v>
      </c>
      <c r="IB232" s="195">
        <f t="shared" si="128"/>
        <v>61.051896689274166</v>
      </c>
      <c r="IC232" s="195">
        <f t="shared" si="128"/>
        <v>60.18798746953491</v>
      </c>
      <c r="ID232" s="195">
        <f t="shared" si="128"/>
        <v>59.32530826074705</v>
      </c>
      <c r="IE232" s="196">
        <f t="shared" si="128"/>
        <v>58.463867510392525</v>
      </c>
      <c r="IF232" s="140"/>
      <c r="IG232" s="194"/>
      <c r="IH232" s="195"/>
      <c r="II232" s="195"/>
      <c r="IJ232" s="195"/>
      <c r="IK232" s="195"/>
      <c r="IL232" s="195"/>
      <c r="IM232" s="195"/>
      <c r="IN232" s="195"/>
      <c r="IO232" s="195"/>
      <c r="IP232" s="195"/>
      <c r="IQ232" s="195"/>
      <c r="IR232" s="195"/>
      <c r="IS232" s="195"/>
      <c r="IT232" s="195"/>
      <c r="IU232" s="195"/>
      <c r="IV232" s="195"/>
      <c r="IW232" s="195"/>
      <c r="IX232" s="195"/>
      <c r="IY232" s="195"/>
      <c r="IZ232" s="195"/>
      <c r="JA232" s="195"/>
      <c r="JB232" s="195"/>
      <c r="JC232" s="195"/>
      <c r="JD232" s="195"/>
      <c r="JE232" s="195"/>
      <c r="JF232" s="195"/>
      <c r="JG232" s="195"/>
      <c r="JH232" s="195"/>
      <c r="JI232" s="195"/>
      <c r="JJ232" s="195"/>
      <c r="JK232" s="195"/>
      <c r="JL232" s="195"/>
      <c r="JM232" s="195"/>
      <c r="JN232" s="195"/>
      <c r="JO232" s="195"/>
      <c r="JP232" s="196"/>
      <c r="JQ232" s="140"/>
      <c r="JR232" s="194"/>
      <c r="JS232" s="195"/>
      <c r="JT232" s="195"/>
      <c r="JU232" s="195"/>
      <c r="JV232" s="195"/>
      <c r="JW232" s="195"/>
      <c r="JX232" s="195"/>
      <c r="JY232" s="195"/>
      <c r="JZ232" s="195"/>
      <c r="KA232" s="195"/>
      <c r="KB232" s="195"/>
      <c r="KC232" s="195"/>
      <c r="KD232" s="195"/>
      <c r="KE232" s="195"/>
      <c r="KF232" s="195"/>
      <c r="KG232" s="195"/>
      <c r="KH232" s="195"/>
      <c r="KI232" s="195"/>
      <c r="KJ232" s="195"/>
      <c r="KK232" s="195"/>
      <c r="KL232" s="195"/>
      <c r="KM232" s="195"/>
      <c r="KN232" s="195"/>
      <c r="KO232" s="195"/>
      <c r="KP232" s="195"/>
      <c r="KQ232" s="195"/>
      <c r="KR232" s="195"/>
      <c r="KS232" s="195"/>
      <c r="KT232" s="195"/>
      <c r="KU232" s="195"/>
      <c r="KV232" s="195"/>
      <c r="KW232" s="195"/>
      <c r="KX232" s="195"/>
      <c r="KY232" s="195"/>
      <c r="KZ232" s="195"/>
      <c r="LA232" s="196"/>
      <c r="LB232" s="140"/>
      <c r="LC232" s="194"/>
      <c r="LD232" s="195"/>
      <c r="LE232" s="195"/>
      <c r="LF232" s="195"/>
      <c r="LG232" s="195"/>
      <c r="LH232" s="195"/>
      <c r="LI232" s="195"/>
      <c r="LJ232" s="195"/>
      <c r="LK232" s="195"/>
      <c r="LL232" s="195"/>
      <c r="LM232" s="195"/>
      <c r="LN232" s="195"/>
      <c r="LO232" s="195"/>
      <c r="LP232" s="195"/>
      <c r="LQ232" s="195"/>
      <c r="LR232" s="195"/>
      <c r="LS232" s="195"/>
      <c r="LT232" s="195"/>
      <c r="LU232" s="195"/>
      <c r="LV232" s="195"/>
      <c r="LW232" s="195"/>
      <c r="LX232" s="195"/>
      <c r="LY232" s="195"/>
      <c r="LZ232" s="195"/>
      <c r="MA232" s="195"/>
      <c r="MB232" s="195"/>
      <c r="MC232" s="195"/>
      <c r="MD232" s="195"/>
      <c r="ME232" s="195"/>
      <c r="MF232" s="195"/>
      <c r="MG232" s="195"/>
      <c r="MH232" s="195"/>
      <c r="MI232" s="195"/>
      <c r="MJ232" s="195"/>
      <c r="MK232" s="195"/>
      <c r="ML232" s="196"/>
    </row>
    <row r="233" spans="2:350" s="4" customFormat="1" ht="15" customHeight="1" x14ac:dyDescent="0.3">
      <c r="C233" s="156"/>
      <c r="D233" s="156"/>
      <c r="E233" s="156"/>
      <c r="F233" s="156"/>
      <c r="H233" s="157"/>
      <c r="I233" s="157"/>
      <c r="J233" s="157"/>
      <c r="K233" s="157"/>
      <c r="L233" s="157"/>
      <c r="M233" s="157"/>
      <c r="N233" s="140"/>
      <c r="O233" s="140"/>
      <c r="P233" s="140"/>
      <c r="Q233" s="140"/>
      <c r="R233" s="140"/>
      <c r="S233" s="157"/>
      <c r="T233" s="157"/>
      <c r="U233" s="157"/>
      <c r="V233" s="157"/>
      <c r="W233" s="157"/>
      <c r="X233" s="157"/>
      <c r="Y233" s="157"/>
      <c r="Z233" s="157"/>
      <c r="AA233" s="157"/>
      <c r="AB233" s="157"/>
      <c r="AC233" s="157"/>
      <c r="AD233" s="157"/>
      <c r="AE233" s="157"/>
      <c r="AF233" s="157"/>
      <c r="AG233" s="157"/>
      <c r="AH233" s="157"/>
      <c r="AI233" s="157"/>
      <c r="AJ233" s="157"/>
      <c r="AK233" s="157"/>
      <c r="AL233" s="157"/>
      <c r="AM233" s="157"/>
      <c r="AN233" s="157"/>
      <c r="AO233" s="157"/>
      <c r="AP233" s="157"/>
      <c r="AQ233" s="157"/>
      <c r="AR233" s="157"/>
      <c r="AS233" s="157"/>
      <c r="AT233" s="157"/>
      <c r="AU233" s="157"/>
      <c r="AV233" s="157"/>
      <c r="AW233" s="157"/>
      <c r="AX233" s="157"/>
      <c r="AY233" s="157"/>
      <c r="AZ233" s="157"/>
      <c r="BA233" s="157"/>
      <c r="BB233" s="157"/>
      <c r="BC233" s="140"/>
      <c r="BD233" s="157"/>
      <c r="BE233" s="157"/>
      <c r="BF233" s="157"/>
      <c r="BG233" s="157"/>
      <c r="BH233" s="157"/>
      <c r="BI233" s="157"/>
      <c r="BJ233" s="157"/>
      <c r="BK233" s="157"/>
      <c r="BL233" s="157"/>
      <c r="BM233" s="157"/>
      <c r="BN233" s="157"/>
      <c r="BO233" s="157"/>
      <c r="BP233" s="157"/>
      <c r="BQ233" s="157"/>
      <c r="BR233" s="157"/>
      <c r="BS233" s="157"/>
      <c r="BT233" s="157"/>
      <c r="BU233" s="157"/>
      <c r="BV233" s="157"/>
      <c r="BW233" s="157"/>
      <c r="BX233" s="157"/>
      <c r="BY233" s="157"/>
      <c r="BZ233" s="157"/>
      <c r="CA233" s="157"/>
      <c r="CB233" s="157"/>
      <c r="CC233" s="157"/>
      <c r="CD233" s="157"/>
      <c r="CE233" s="157"/>
      <c r="CF233" s="157"/>
      <c r="CG233" s="157"/>
      <c r="CH233" s="157"/>
      <c r="CI233" s="157"/>
      <c r="CJ233" s="157"/>
      <c r="CK233" s="157"/>
      <c r="CL233" s="157"/>
      <c r="CM233" s="157"/>
      <c r="CN233" s="140"/>
      <c r="CO233" s="157"/>
      <c r="CP233" s="157"/>
      <c r="CQ233" s="157"/>
      <c r="CR233" s="157"/>
      <c r="CS233" s="157"/>
      <c r="CT233" s="157"/>
      <c r="CU233" s="157"/>
      <c r="CV233" s="157"/>
      <c r="CW233" s="157"/>
      <c r="CX233" s="157"/>
      <c r="CY233" s="157"/>
      <c r="CZ233" s="157"/>
      <c r="DA233" s="157"/>
      <c r="DB233" s="157"/>
      <c r="DC233" s="157"/>
      <c r="DD233" s="157"/>
      <c r="DE233" s="157"/>
      <c r="DF233" s="157"/>
      <c r="DG233" s="157"/>
      <c r="DH233" s="157"/>
      <c r="DI233" s="157"/>
      <c r="DJ233" s="157"/>
      <c r="DK233" s="157"/>
      <c r="DL233" s="157"/>
      <c r="DM233" s="157"/>
      <c r="DN233" s="157"/>
      <c r="DO233" s="157"/>
      <c r="DP233" s="157"/>
      <c r="DQ233" s="157"/>
      <c r="DR233" s="157"/>
      <c r="DS233" s="157"/>
      <c r="DT233" s="157"/>
      <c r="DU233" s="157"/>
      <c r="DV233" s="157"/>
      <c r="DW233" s="157"/>
      <c r="DX233" s="157"/>
      <c r="DY233" s="140"/>
      <c r="DZ233" s="157"/>
      <c r="EA233" s="157"/>
      <c r="EB233" s="157"/>
      <c r="EC233" s="157"/>
      <c r="ED233" s="157"/>
      <c r="EE233" s="157"/>
      <c r="EF233" s="157"/>
      <c r="EG233" s="157"/>
      <c r="EH233" s="157"/>
      <c r="EI233" s="157"/>
      <c r="EJ233" s="157"/>
      <c r="EK233" s="157"/>
      <c r="EL233" s="157"/>
      <c r="EM233" s="157"/>
      <c r="EN233" s="157"/>
      <c r="EO233" s="157"/>
      <c r="EP233" s="157"/>
      <c r="EQ233" s="157"/>
      <c r="ER233" s="157"/>
      <c r="ES233" s="157"/>
      <c r="ET233" s="157"/>
      <c r="EU233" s="157"/>
      <c r="EV233" s="157"/>
      <c r="EW233" s="157"/>
      <c r="EX233" s="157"/>
      <c r="EY233" s="157"/>
      <c r="EZ233" s="157"/>
      <c r="FA233" s="157"/>
      <c r="FB233" s="157"/>
      <c r="FC233" s="157"/>
      <c r="FD233" s="157"/>
      <c r="FE233" s="157"/>
      <c r="FF233" s="157"/>
      <c r="FG233" s="157"/>
      <c r="FH233" s="157"/>
      <c r="FI233" s="157"/>
      <c r="FJ233" s="140"/>
      <c r="FK233" s="157"/>
      <c r="FL233" s="157"/>
      <c r="FM233" s="157"/>
      <c r="FN233" s="157"/>
      <c r="FO233" s="157"/>
      <c r="FP233" s="157"/>
      <c r="FQ233" s="157"/>
      <c r="FR233" s="157"/>
      <c r="FS233" s="157"/>
      <c r="FT233" s="157"/>
      <c r="FU233" s="157"/>
      <c r="FV233" s="157"/>
      <c r="FW233" s="157"/>
      <c r="FX233" s="157"/>
      <c r="FY233" s="157"/>
      <c r="FZ233" s="157"/>
      <c r="GA233" s="157"/>
      <c r="GB233" s="157"/>
      <c r="GC233" s="157"/>
      <c r="GD233" s="157"/>
      <c r="GE233" s="157"/>
      <c r="GF233" s="157"/>
      <c r="GG233" s="157"/>
      <c r="GH233" s="157"/>
      <c r="GI233" s="157"/>
      <c r="GJ233" s="157"/>
      <c r="GK233" s="157"/>
      <c r="GL233" s="157"/>
      <c r="GM233" s="157"/>
      <c r="GN233" s="157"/>
      <c r="GO233" s="157"/>
      <c r="GP233" s="157"/>
      <c r="GQ233" s="157"/>
      <c r="GR233" s="157"/>
      <c r="GS233" s="157"/>
      <c r="GT233" s="157"/>
      <c r="GU233" s="140"/>
      <c r="GV233" s="157"/>
      <c r="GW233" s="157"/>
      <c r="GX233" s="157"/>
      <c r="GY233" s="157"/>
      <c r="GZ233" s="157"/>
      <c r="HA233" s="157"/>
      <c r="HB233" s="157"/>
      <c r="HC233" s="157"/>
      <c r="HD233" s="157"/>
      <c r="HE233" s="157"/>
      <c r="HF233" s="157"/>
      <c r="HG233" s="157"/>
      <c r="HH233" s="157"/>
      <c r="HI233" s="157"/>
      <c r="HJ233" s="157"/>
      <c r="HK233" s="157"/>
      <c r="HL233" s="157"/>
      <c r="HM233" s="157"/>
      <c r="HN233" s="157"/>
      <c r="HO233" s="157"/>
      <c r="HP233" s="157"/>
      <c r="HQ233" s="157"/>
      <c r="HR233" s="157"/>
      <c r="HS233" s="157"/>
      <c r="HT233" s="157"/>
      <c r="HU233" s="157"/>
      <c r="HV233" s="157"/>
      <c r="HW233" s="157"/>
      <c r="HX233" s="157"/>
      <c r="HY233" s="157"/>
      <c r="HZ233" s="157"/>
      <c r="IA233" s="157"/>
      <c r="IB233" s="157"/>
      <c r="IC233" s="157"/>
      <c r="ID233" s="157"/>
      <c r="IE233" s="157"/>
      <c r="IF233" s="140"/>
      <c r="IG233" s="157"/>
      <c r="IH233" s="157"/>
      <c r="II233" s="157"/>
      <c r="IJ233" s="157"/>
      <c r="IK233" s="157"/>
      <c r="IL233" s="157"/>
      <c r="IM233" s="157"/>
      <c r="IN233" s="157"/>
      <c r="IO233" s="157"/>
      <c r="IP233" s="157"/>
      <c r="IQ233" s="157"/>
      <c r="IR233" s="157"/>
      <c r="IS233" s="157"/>
      <c r="IT233" s="157"/>
      <c r="IU233" s="157"/>
      <c r="IV233" s="157"/>
      <c r="IW233" s="157"/>
      <c r="IX233" s="157"/>
      <c r="IY233" s="157"/>
      <c r="IZ233" s="157"/>
      <c r="JA233" s="157"/>
      <c r="JB233" s="157"/>
      <c r="JC233" s="157"/>
      <c r="JD233" s="157"/>
      <c r="JE233" s="157"/>
      <c r="JF233" s="157"/>
      <c r="JG233" s="157"/>
      <c r="JH233" s="157"/>
      <c r="JI233" s="157"/>
      <c r="JJ233" s="157"/>
      <c r="JK233" s="157"/>
      <c r="JL233" s="157"/>
      <c r="JM233" s="157"/>
      <c r="JN233" s="157"/>
      <c r="JO233" s="157"/>
      <c r="JP233" s="157"/>
      <c r="JQ233" s="140"/>
      <c r="JR233" s="157"/>
      <c r="JS233" s="157"/>
      <c r="JT233" s="157"/>
      <c r="JU233" s="157"/>
      <c r="JV233" s="157"/>
      <c r="JW233" s="157"/>
      <c r="JX233" s="157"/>
      <c r="JY233" s="157"/>
      <c r="JZ233" s="157"/>
      <c r="KA233" s="157"/>
      <c r="KB233" s="157"/>
      <c r="KC233" s="157"/>
      <c r="KD233" s="157"/>
      <c r="KE233" s="157"/>
      <c r="KF233" s="157"/>
      <c r="KG233" s="157"/>
      <c r="KH233" s="157"/>
      <c r="KI233" s="157"/>
      <c r="KJ233" s="157"/>
      <c r="KK233" s="157"/>
      <c r="KL233" s="157"/>
      <c r="KM233" s="157"/>
      <c r="KN233" s="157"/>
      <c r="KO233" s="157"/>
      <c r="KP233" s="157"/>
      <c r="KQ233" s="157"/>
      <c r="KR233" s="157"/>
      <c r="KS233" s="157"/>
      <c r="KT233" s="157"/>
      <c r="KU233" s="157"/>
      <c r="KV233" s="157"/>
      <c r="KW233" s="157"/>
      <c r="KX233" s="157"/>
      <c r="KY233" s="157"/>
      <c r="KZ233" s="157"/>
      <c r="LA233" s="157"/>
      <c r="LB233" s="140"/>
      <c r="LC233" s="157"/>
      <c r="LD233" s="157"/>
      <c r="LE233" s="157"/>
      <c r="LF233" s="157"/>
      <c r="LG233" s="157"/>
      <c r="LH233" s="157"/>
      <c r="LI233" s="157"/>
      <c r="LJ233" s="157"/>
      <c r="LK233" s="157"/>
      <c r="LL233" s="157"/>
      <c r="LM233" s="157"/>
      <c r="LN233" s="157"/>
      <c r="LO233" s="157"/>
      <c r="LP233" s="157"/>
      <c r="LQ233" s="157"/>
      <c r="LR233" s="157"/>
      <c r="LS233" s="157"/>
      <c r="LT233" s="157"/>
      <c r="LU233" s="157"/>
      <c r="LV233" s="157"/>
      <c r="LW233" s="157"/>
      <c r="LX233" s="157"/>
      <c r="LY233" s="157"/>
      <c r="LZ233" s="157"/>
      <c r="MA233" s="157"/>
      <c r="MB233" s="157"/>
      <c r="MC233" s="157"/>
      <c r="MD233" s="157"/>
      <c r="ME233" s="157"/>
      <c r="MF233" s="157"/>
      <c r="MG233" s="157"/>
      <c r="MH233" s="157"/>
      <c r="MI233" s="157"/>
      <c r="MJ233" s="157"/>
      <c r="MK233" s="157"/>
      <c r="ML233" s="157"/>
    </row>
    <row r="234" spans="2:350" s="4" customFormat="1" ht="15" customHeight="1" x14ac:dyDescent="0.3">
      <c r="C234" s="158" t="s">
        <v>107</v>
      </c>
      <c r="D234" s="158" t="s">
        <v>108</v>
      </c>
      <c r="H234" s="140"/>
      <c r="I234" s="140"/>
      <c r="J234" s="140"/>
      <c r="K234" s="140"/>
      <c r="L234" s="140"/>
      <c r="M234" s="140"/>
      <c r="N234" s="140"/>
      <c r="O234" s="140"/>
      <c r="P234" s="140"/>
      <c r="Q234" s="140"/>
      <c r="R234" s="140"/>
      <c r="S234" s="140"/>
      <c r="T234" s="140"/>
      <c r="U234" s="140"/>
      <c r="V234" s="140"/>
      <c r="W234" s="140"/>
      <c r="X234" s="140"/>
      <c r="Y234" s="140"/>
      <c r="Z234" s="140"/>
      <c r="AA234" s="140"/>
      <c r="AB234" s="140"/>
      <c r="AC234" s="140"/>
      <c r="AD234" s="140"/>
      <c r="AE234" s="140"/>
      <c r="AF234" s="140"/>
      <c r="AG234" s="140"/>
      <c r="AH234" s="140"/>
      <c r="AI234" s="140"/>
      <c r="AJ234" s="140"/>
      <c r="AK234" s="140"/>
      <c r="AL234" s="140"/>
      <c r="AM234" s="140"/>
      <c r="AN234" s="140"/>
      <c r="AO234" s="140"/>
      <c r="AP234" s="140"/>
      <c r="AQ234" s="140"/>
      <c r="AR234" s="140"/>
      <c r="AS234" s="140"/>
      <c r="AT234" s="140"/>
      <c r="AU234" s="140"/>
      <c r="AV234" s="140"/>
      <c r="AW234" s="140"/>
      <c r="AX234" s="140"/>
      <c r="AY234" s="140"/>
      <c r="AZ234" s="140"/>
      <c r="BA234" s="140"/>
      <c r="BB234" s="140"/>
      <c r="BC234" s="140"/>
      <c r="BD234" s="140"/>
      <c r="BE234" s="140"/>
      <c r="BF234" s="140"/>
      <c r="BG234" s="140"/>
      <c r="BH234" s="140"/>
      <c r="BI234" s="140"/>
      <c r="BJ234" s="140"/>
      <c r="BK234" s="140"/>
      <c r="BL234" s="140"/>
      <c r="BM234" s="140"/>
      <c r="BN234" s="140"/>
      <c r="BO234" s="140"/>
      <c r="BP234" s="140"/>
      <c r="BQ234" s="140"/>
      <c r="BR234" s="140"/>
      <c r="BS234" s="140"/>
      <c r="BT234" s="140"/>
      <c r="BU234" s="140"/>
      <c r="BV234" s="140"/>
      <c r="BW234" s="140"/>
      <c r="BX234" s="140"/>
      <c r="BY234" s="140"/>
      <c r="BZ234" s="140"/>
      <c r="CA234" s="140"/>
      <c r="CB234" s="140"/>
      <c r="CC234" s="140"/>
      <c r="CD234" s="140"/>
      <c r="CE234" s="140"/>
      <c r="CF234" s="140"/>
      <c r="CG234" s="140"/>
      <c r="CH234" s="140"/>
      <c r="CI234" s="140"/>
      <c r="CJ234" s="140"/>
      <c r="CK234" s="140"/>
      <c r="CL234" s="140"/>
      <c r="CM234" s="140"/>
      <c r="CN234" s="140"/>
      <c r="CO234" s="140"/>
      <c r="CP234" s="140"/>
      <c r="CQ234" s="140"/>
      <c r="CR234" s="140"/>
      <c r="CS234" s="140"/>
      <c r="CT234" s="140"/>
      <c r="CU234" s="140"/>
      <c r="CV234" s="140"/>
      <c r="CW234" s="140"/>
      <c r="CX234" s="140"/>
      <c r="CY234" s="140"/>
      <c r="CZ234" s="140"/>
      <c r="DA234" s="140"/>
      <c r="DB234" s="140"/>
      <c r="DC234" s="140"/>
      <c r="DD234" s="140"/>
      <c r="DE234" s="140"/>
      <c r="DF234" s="140"/>
      <c r="DG234" s="140"/>
      <c r="DH234" s="140"/>
      <c r="DI234" s="140"/>
      <c r="DJ234" s="140"/>
      <c r="DK234" s="140"/>
      <c r="DL234" s="140"/>
      <c r="DM234" s="140"/>
      <c r="DN234" s="140"/>
      <c r="DO234" s="140"/>
      <c r="DP234" s="140"/>
      <c r="DQ234" s="140"/>
      <c r="DR234" s="140"/>
      <c r="DS234" s="140"/>
      <c r="DT234" s="140"/>
      <c r="DU234" s="140"/>
      <c r="DV234" s="140"/>
      <c r="DW234" s="140"/>
      <c r="DX234" s="140"/>
      <c r="DY234" s="140"/>
      <c r="DZ234" s="140"/>
      <c r="EA234" s="140"/>
      <c r="EB234" s="140"/>
      <c r="EC234" s="140"/>
      <c r="ED234" s="140"/>
      <c r="EE234" s="140"/>
      <c r="EF234" s="140"/>
      <c r="EG234" s="140"/>
      <c r="EH234" s="140"/>
      <c r="EI234" s="140"/>
      <c r="EJ234" s="140"/>
      <c r="EK234" s="140"/>
      <c r="EL234" s="140"/>
      <c r="EM234" s="140"/>
      <c r="EN234" s="140"/>
      <c r="EO234" s="140"/>
      <c r="EP234" s="140"/>
      <c r="EQ234" s="140"/>
      <c r="ER234" s="140"/>
      <c r="ES234" s="140"/>
      <c r="ET234" s="140"/>
      <c r="EU234" s="140"/>
      <c r="EV234" s="140"/>
      <c r="EW234" s="140"/>
      <c r="EX234" s="140"/>
      <c r="EY234" s="140"/>
      <c r="EZ234" s="140"/>
      <c r="FA234" s="140"/>
      <c r="FB234" s="140"/>
      <c r="FC234" s="140"/>
      <c r="FD234" s="140"/>
      <c r="FE234" s="140"/>
      <c r="FF234" s="140"/>
      <c r="FG234" s="140"/>
      <c r="FH234" s="140"/>
      <c r="FI234" s="140"/>
      <c r="FJ234" s="140"/>
      <c r="FK234" s="140"/>
      <c r="FL234" s="140"/>
      <c r="FM234" s="140"/>
      <c r="FN234" s="140"/>
      <c r="FO234" s="140"/>
      <c r="FP234" s="140"/>
      <c r="FQ234" s="140"/>
      <c r="FR234" s="140"/>
      <c r="FS234" s="140"/>
      <c r="FT234" s="140"/>
      <c r="FU234" s="140"/>
      <c r="FV234" s="140"/>
      <c r="FW234" s="140"/>
      <c r="FX234" s="140"/>
      <c r="FY234" s="140"/>
      <c r="FZ234" s="140"/>
      <c r="GA234" s="140"/>
      <c r="GB234" s="140"/>
      <c r="GC234" s="140"/>
      <c r="GD234" s="140"/>
      <c r="GE234" s="140"/>
      <c r="GF234" s="140"/>
      <c r="GG234" s="140"/>
      <c r="GH234" s="140"/>
      <c r="GI234" s="140"/>
      <c r="GJ234" s="140"/>
      <c r="GK234" s="140"/>
      <c r="GL234" s="140"/>
      <c r="GM234" s="140"/>
      <c r="GN234" s="140"/>
      <c r="GO234" s="140"/>
      <c r="GP234" s="140"/>
      <c r="GQ234" s="140"/>
      <c r="GR234" s="140"/>
      <c r="GS234" s="140"/>
      <c r="GT234" s="140"/>
      <c r="GU234" s="140"/>
      <c r="GV234" s="140"/>
      <c r="GW234" s="140"/>
      <c r="GX234" s="140"/>
      <c r="GY234" s="140"/>
      <c r="GZ234" s="140"/>
      <c r="HA234" s="140"/>
      <c r="HB234" s="140"/>
      <c r="HC234" s="140"/>
      <c r="HD234" s="140"/>
      <c r="HE234" s="140"/>
      <c r="HF234" s="140"/>
      <c r="HG234" s="140"/>
      <c r="HH234" s="140"/>
      <c r="HI234" s="140"/>
      <c r="HJ234" s="140"/>
      <c r="HK234" s="140"/>
      <c r="HL234" s="140"/>
      <c r="HM234" s="140"/>
      <c r="HN234" s="140"/>
      <c r="HO234" s="140"/>
      <c r="HP234" s="140"/>
      <c r="HQ234" s="140"/>
      <c r="HR234" s="140"/>
      <c r="HS234" s="140"/>
      <c r="HT234" s="140"/>
      <c r="HU234" s="140"/>
      <c r="HV234" s="140"/>
      <c r="HW234" s="140"/>
      <c r="HX234" s="140"/>
      <c r="HY234" s="140"/>
      <c r="HZ234" s="140"/>
      <c r="IA234" s="140"/>
      <c r="IB234" s="140"/>
      <c r="IC234" s="140"/>
      <c r="ID234" s="140"/>
      <c r="IE234" s="140"/>
      <c r="IF234" s="140"/>
      <c r="IG234" s="140"/>
      <c r="IH234" s="140"/>
      <c r="II234" s="140"/>
      <c r="IJ234" s="140"/>
      <c r="IK234" s="140"/>
      <c r="IL234" s="140"/>
      <c r="IM234" s="140"/>
      <c r="IN234" s="140"/>
      <c r="IO234" s="140"/>
      <c r="IP234" s="140"/>
      <c r="IQ234" s="140"/>
      <c r="IR234" s="140"/>
      <c r="IS234" s="140"/>
      <c r="IT234" s="140"/>
      <c r="IU234" s="140"/>
      <c r="IV234" s="140"/>
      <c r="IW234" s="140"/>
      <c r="IX234" s="140"/>
      <c r="IY234" s="140"/>
      <c r="IZ234" s="140"/>
      <c r="JA234" s="140"/>
      <c r="JB234" s="140"/>
      <c r="JC234" s="140"/>
      <c r="JD234" s="140"/>
      <c r="JE234" s="140"/>
      <c r="JF234" s="140"/>
      <c r="JG234" s="140"/>
      <c r="JH234" s="140"/>
      <c r="JI234" s="140"/>
      <c r="JJ234" s="140"/>
      <c r="JK234" s="140"/>
      <c r="JL234" s="140"/>
      <c r="JM234" s="140"/>
      <c r="JN234" s="140"/>
      <c r="JO234" s="140"/>
      <c r="JP234" s="140"/>
      <c r="JQ234" s="140"/>
      <c r="JR234" s="140"/>
      <c r="JS234" s="140"/>
      <c r="JT234" s="140"/>
      <c r="JU234" s="140"/>
      <c r="JV234" s="140"/>
      <c r="JW234" s="140"/>
      <c r="JX234" s="140"/>
      <c r="JY234" s="140"/>
      <c r="JZ234" s="140"/>
      <c r="KA234" s="140"/>
      <c r="KB234" s="140"/>
      <c r="KC234" s="140"/>
      <c r="KD234" s="140"/>
      <c r="KE234" s="140"/>
      <c r="KF234" s="140"/>
      <c r="KG234" s="140"/>
      <c r="KH234" s="140"/>
      <c r="KI234" s="140"/>
      <c r="KJ234" s="140"/>
      <c r="KK234" s="140"/>
      <c r="KL234" s="140"/>
      <c r="KM234" s="140"/>
      <c r="KN234" s="140"/>
      <c r="KO234" s="140"/>
      <c r="KP234" s="140"/>
      <c r="KQ234" s="140"/>
      <c r="KR234" s="140"/>
      <c r="KS234" s="140"/>
      <c r="KT234" s="140"/>
      <c r="KU234" s="140"/>
      <c r="KV234" s="140"/>
      <c r="KW234" s="140"/>
      <c r="KX234" s="140"/>
      <c r="KY234" s="140"/>
      <c r="KZ234" s="140"/>
      <c r="LA234" s="140"/>
      <c r="LB234" s="140"/>
      <c r="LC234" s="140"/>
      <c r="LD234" s="140"/>
      <c r="LE234" s="140"/>
      <c r="LF234" s="140"/>
      <c r="LG234" s="140"/>
      <c r="LH234" s="140"/>
      <c r="LI234" s="140"/>
      <c r="LJ234" s="140"/>
      <c r="LK234" s="140"/>
      <c r="LL234" s="140"/>
      <c r="LM234" s="140"/>
      <c r="LN234" s="140"/>
      <c r="LO234" s="140"/>
      <c r="LP234" s="140"/>
      <c r="LQ234" s="140"/>
      <c r="LR234" s="140"/>
      <c r="LS234" s="140"/>
      <c r="LT234" s="140"/>
      <c r="LU234" s="140"/>
      <c r="LV234" s="140"/>
      <c r="LW234" s="140"/>
      <c r="LX234" s="140"/>
      <c r="LY234" s="140"/>
      <c r="LZ234" s="140"/>
      <c r="MA234" s="140"/>
      <c r="MB234" s="140"/>
      <c r="MC234" s="140"/>
      <c r="MD234" s="140"/>
      <c r="ME234" s="140"/>
      <c r="MF234" s="140"/>
      <c r="MG234" s="140"/>
      <c r="MH234" s="140"/>
      <c r="MI234" s="140"/>
      <c r="MJ234" s="140"/>
      <c r="MK234" s="140"/>
      <c r="ML234" s="140"/>
    </row>
    <row r="235" spans="2:350" s="4" customFormat="1" ht="15" customHeight="1" x14ac:dyDescent="0.3">
      <c r="C235" s="158" t="s">
        <v>109</v>
      </c>
      <c r="D235" s="69" t="s">
        <v>143</v>
      </c>
      <c r="H235" s="140"/>
      <c r="I235" s="140"/>
      <c r="J235" s="140"/>
      <c r="K235" s="140"/>
      <c r="L235" s="140"/>
      <c r="M235" s="140"/>
      <c r="N235" s="140"/>
      <c r="O235" s="140"/>
      <c r="P235" s="140"/>
      <c r="Q235" s="140"/>
      <c r="R235" s="140"/>
      <c r="S235" s="140"/>
      <c r="T235" s="140"/>
      <c r="U235" s="140"/>
      <c r="V235" s="140"/>
      <c r="W235" s="140"/>
      <c r="X235" s="140"/>
      <c r="Y235" s="140"/>
      <c r="Z235" s="140"/>
      <c r="AA235" s="140"/>
      <c r="AB235" s="140"/>
      <c r="AC235" s="140"/>
      <c r="AD235" s="140"/>
      <c r="AE235" s="140"/>
      <c r="AF235" s="140"/>
      <c r="AG235" s="140"/>
      <c r="AH235" s="140"/>
      <c r="AI235" s="140"/>
      <c r="AJ235" s="140"/>
      <c r="AK235" s="140"/>
      <c r="AL235" s="140"/>
      <c r="AM235" s="140"/>
      <c r="AN235" s="140"/>
      <c r="AO235" s="140"/>
      <c r="AP235" s="140"/>
      <c r="AQ235" s="140"/>
      <c r="AR235" s="140"/>
      <c r="AS235" s="140"/>
      <c r="AT235" s="140"/>
      <c r="AU235" s="140"/>
      <c r="AV235" s="140"/>
      <c r="AW235" s="140"/>
      <c r="AX235" s="140"/>
      <c r="AY235" s="140"/>
      <c r="AZ235" s="140"/>
      <c r="BA235" s="140"/>
      <c r="BB235" s="140"/>
      <c r="BC235" s="140"/>
      <c r="BD235" s="140"/>
      <c r="BE235" s="140"/>
      <c r="BF235" s="140"/>
      <c r="BG235" s="140"/>
      <c r="BH235" s="140"/>
      <c r="BI235" s="140"/>
      <c r="BJ235" s="140"/>
      <c r="BK235" s="140"/>
      <c r="BL235" s="140"/>
      <c r="BM235" s="140"/>
      <c r="BN235" s="140"/>
      <c r="BO235" s="140"/>
      <c r="BP235" s="140"/>
      <c r="BQ235" s="140"/>
      <c r="BR235" s="140"/>
      <c r="BS235" s="140"/>
      <c r="BT235" s="140"/>
      <c r="BU235" s="140"/>
      <c r="BV235" s="140"/>
      <c r="BW235" s="140"/>
      <c r="BX235" s="140"/>
      <c r="BY235" s="140"/>
      <c r="BZ235" s="140"/>
      <c r="CA235" s="140"/>
      <c r="CB235" s="140"/>
      <c r="CC235" s="140"/>
      <c r="CD235" s="140"/>
      <c r="CE235" s="140"/>
      <c r="CF235" s="140"/>
      <c r="CG235" s="140"/>
      <c r="CH235" s="140"/>
      <c r="CI235" s="140"/>
      <c r="CJ235" s="140"/>
      <c r="CK235" s="140"/>
      <c r="CL235" s="140"/>
      <c r="CM235" s="140"/>
      <c r="CN235" s="140"/>
      <c r="CO235" s="140"/>
      <c r="CP235" s="140"/>
      <c r="CQ235" s="140"/>
      <c r="CR235" s="140"/>
      <c r="CS235" s="140"/>
      <c r="CT235" s="140"/>
      <c r="CU235" s="140"/>
      <c r="CV235" s="140"/>
      <c r="CW235" s="140"/>
      <c r="CX235" s="140"/>
      <c r="CY235" s="140"/>
      <c r="CZ235" s="140"/>
      <c r="DA235" s="140"/>
      <c r="DB235" s="140"/>
      <c r="DC235" s="140"/>
      <c r="DD235" s="140"/>
      <c r="DE235" s="140"/>
      <c r="DF235" s="140"/>
      <c r="DG235" s="140"/>
      <c r="DH235" s="140"/>
      <c r="DI235" s="140"/>
      <c r="DJ235" s="140"/>
      <c r="DK235" s="140"/>
      <c r="DL235" s="140"/>
      <c r="DM235" s="140"/>
      <c r="DN235" s="140"/>
      <c r="DO235" s="140"/>
      <c r="DP235" s="140"/>
      <c r="DQ235" s="140"/>
      <c r="DR235" s="140"/>
      <c r="DS235" s="140"/>
      <c r="DT235" s="140"/>
      <c r="DU235" s="140"/>
      <c r="DV235" s="140"/>
      <c r="DW235" s="140"/>
      <c r="DX235" s="140"/>
      <c r="DY235" s="140"/>
      <c r="DZ235" s="140"/>
      <c r="EA235" s="140"/>
      <c r="EB235" s="140"/>
      <c r="EC235" s="140"/>
      <c r="ED235" s="140"/>
      <c r="EE235" s="140"/>
      <c r="EF235" s="140"/>
      <c r="EG235" s="140"/>
      <c r="EH235" s="140"/>
      <c r="EI235" s="140"/>
      <c r="EJ235" s="140"/>
      <c r="EK235" s="140"/>
      <c r="EL235" s="140"/>
      <c r="EM235" s="140"/>
      <c r="EN235" s="140"/>
      <c r="EO235" s="140"/>
      <c r="EP235" s="140"/>
      <c r="EQ235" s="140"/>
      <c r="ER235" s="140"/>
      <c r="ES235" s="140"/>
      <c r="ET235" s="140"/>
      <c r="EU235" s="140"/>
      <c r="EV235" s="140"/>
      <c r="EW235" s="140"/>
      <c r="EX235" s="140"/>
      <c r="EY235" s="140"/>
      <c r="EZ235" s="140"/>
      <c r="FA235" s="140"/>
      <c r="FB235" s="140"/>
      <c r="FC235" s="140"/>
      <c r="FD235" s="140"/>
      <c r="FE235" s="140"/>
      <c r="FF235" s="140"/>
      <c r="FG235" s="140"/>
      <c r="FH235" s="140"/>
      <c r="FI235" s="140"/>
      <c r="FJ235" s="140"/>
      <c r="FK235" s="140"/>
      <c r="FL235" s="140"/>
      <c r="FM235" s="140"/>
      <c r="FN235" s="140"/>
      <c r="FO235" s="140"/>
      <c r="FP235" s="140"/>
      <c r="FQ235" s="140"/>
      <c r="FR235" s="140"/>
      <c r="FS235" s="140"/>
      <c r="FT235" s="140"/>
      <c r="FU235" s="140"/>
      <c r="FV235" s="140"/>
      <c r="FW235" s="140"/>
      <c r="FX235" s="140"/>
      <c r="FY235" s="140"/>
      <c r="FZ235" s="140"/>
      <c r="GA235" s="140"/>
      <c r="GB235" s="140"/>
      <c r="GC235" s="140"/>
      <c r="GD235" s="140"/>
      <c r="GE235" s="140"/>
      <c r="GF235" s="140"/>
      <c r="GG235" s="140"/>
      <c r="GH235" s="140"/>
      <c r="GI235" s="140"/>
      <c r="GJ235" s="140"/>
      <c r="GK235" s="140"/>
      <c r="GL235" s="140"/>
      <c r="GM235" s="140"/>
      <c r="GN235" s="140"/>
      <c r="GO235" s="140"/>
      <c r="GP235" s="140"/>
      <c r="GQ235" s="140"/>
      <c r="GR235" s="140"/>
      <c r="GS235" s="140"/>
      <c r="GT235" s="140"/>
      <c r="GU235" s="140"/>
      <c r="GV235" s="140"/>
      <c r="GW235" s="140"/>
      <c r="GX235" s="140"/>
      <c r="GY235" s="140"/>
      <c r="GZ235" s="140"/>
      <c r="HA235" s="140"/>
      <c r="HB235" s="140"/>
      <c r="HC235" s="140"/>
      <c r="HD235" s="140"/>
      <c r="HE235" s="140"/>
      <c r="HF235" s="140"/>
      <c r="HG235" s="140"/>
      <c r="HH235" s="140"/>
      <c r="HI235" s="140"/>
      <c r="HJ235" s="140"/>
      <c r="HK235" s="140"/>
      <c r="HL235" s="140"/>
      <c r="HM235" s="140"/>
      <c r="HN235" s="140"/>
      <c r="HO235" s="140"/>
      <c r="HP235" s="140"/>
      <c r="HQ235" s="140"/>
      <c r="HR235" s="140"/>
      <c r="HS235" s="140"/>
      <c r="HT235" s="140"/>
      <c r="HU235" s="140"/>
      <c r="HV235" s="140"/>
      <c r="HW235" s="140"/>
      <c r="HX235" s="140"/>
      <c r="HY235" s="140"/>
      <c r="HZ235" s="140"/>
      <c r="IA235" s="140"/>
      <c r="IB235" s="140"/>
      <c r="IC235" s="140"/>
      <c r="ID235" s="140"/>
      <c r="IE235" s="140"/>
      <c r="IF235" s="140"/>
      <c r="IG235" s="140"/>
      <c r="IH235" s="140"/>
      <c r="II235" s="140"/>
      <c r="IJ235" s="140"/>
      <c r="IK235" s="140"/>
      <c r="IL235" s="140"/>
      <c r="IM235" s="140"/>
      <c r="IN235" s="140"/>
      <c r="IO235" s="140"/>
      <c r="IP235" s="140"/>
      <c r="IQ235" s="140"/>
      <c r="IR235" s="140"/>
      <c r="IS235" s="140"/>
      <c r="IT235" s="140"/>
      <c r="IU235" s="140"/>
      <c r="IV235" s="140"/>
      <c r="IW235" s="140"/>
      <c r="IX235" s="140"/>
      <c r="IY235" s="140"/>
      <c r="IZ235" s="140"/>
      <c r="JA235" s="140"/>
      <c r="JB235" s="140"/>
      <c r="JC235" s="140"/>
      <c r="JD235" s="140"/>
      <c r="JE235" s="140"/>
      <c r="JF235" s="140"/>
      <c r="JG235" s="140"/>
      <c r="JH235" s="140"/>
      <c r="JI235" s="140"/>
      <c r="JJ235" s="140"/>
      <c r="JK235" s="140"/>
      <c r="JL235" s="140"/>
      <c r="JM235" s="140"/>
      <c r="JN235" s="140"/>
      <c r="JO235" s="140"/>
      <c r="JP235" s="140"/>
      <c r="JQ235" s="140"/>
      <c r="JR235" s="140"/>
      <c r="JS235" s="140"/>
      <c r="JT235" s="140"/>
      <c r="JU235" s="140"/>
      <c r="JV235" s="140"/>
      <c r="JW235" s="140"/>
      <c r="JX235" s="140"/>
      <c r="JY235" s="140"/>
      <c r="JZ235" s="140"/>
      <c r="KA235" s="140"/>
      <c r="KB235" s="140"/>
      <c r="KC235" s="140"/>
      <c r="KD235" s="140"/>
      <c r="KE235" s="140"/>
      <c r="KF235" s="140"/>
      <c r="KG235" s="140"/>
      <c r="KH235" s="140"/>
      <c r="KI235" s="140"/>
      <c r="KJ235" s="140"/>
      <c r="KK235" s="140"/>
      <c r="KL235" s="140"/>
      <c r="KM235" s="140"/>
      <c r="KN235" s="140"/>
      <c r="KO235" s="140"/>
      <c r="KP235" s="140"/>
      <c r="KQ235" s="140"/>
      <c r="KR235" s="140"/>
      <c r="KS235" s="140"/>
      <c r="KT235" s="140"/>
      <c r="KU235" s="140"/>
      <c r="KV235" s="140"/>
      <c r="KW235" s="140"/>
      <c r="KX235" s="140"/>
      <c r="KY235" s="140"/>
      <c r="KZ235" s="140"/>
      <c r="LA235" s="140"/>
      <c r="LB235" s="140"/>
      <c r="LC235" s="140"/>
      <c r="LD235" s="140"/>
      <c r="LE235" s="140"/>
      <c r="LF235" s="140"/>
      <c r="LG235" s="140"/>
      <c r="LH235" s="140"/>
      <c r="LI235" s="140"/>
      <c r="LJ235" s="140"/>
      <c r="LK235" s="140"/>
      <c r="LL235" s="140"/>
      <c r="LM235" s="140"/>
      <c r="LN235" s="140"/>
      <c r="LO235" s="140"/>
      <c r="LP235" s="140"/>
      <c r="LQ235" s="140"/>
      <c r="LR235" s="140"/>
      <c r="LS235" s="140"/>
      <c r="LT235" s="140"/>
      <c r="LU235" s="140"/>
      <c r="LV235" s="140"/>
      <c r="LW235" s="140"/>
      <c r="LX235" s="140"/>
      <c r="LY235" s="140"/>
      <c r="LZ235" s="140"/>
      <c r="MA235" s="140"/>
      <c r="MB235" s="140"/>
      <c r="MC235" s="140"/>
      <c r="MD235" s="140"/>
      <c r="ME235" s="140"/>
      <c r="MF235" s="140"/>
      <c r="MG235" s="140"/>
      <c r="MH235" s="140"/>
      <c r="MI235" s="140"/>
      <c r="MJ235" s="140"/>
      <c r="MK235" s="140"/>
      <c r="ML235" s="140"/>
    </row>
    <row r="236" spans="2:350" s="4" customFormat="1" ht="15" customHeight="1" x14ac:dyDescent="0.3">
      <c r="C236" s="158" t="s">
        <v>111</v>
      </c>
      <c r="D236" s="158" t="s">
        <v>144</v>
      </c>
      <c r="H236" s="140"/>
      <c r="I236" s="140"/>
      <c r="J236" s="140"/>
      <c r="K236" s="140"/>
      <c r="L236" s="140"/>
      <c r="M236" s="140"/>
      <c r="N236" s="140"/>
      <c r="O236" s="140"/>
      <c r="P236" s="140"/>
      <c r="Q236" s="140"/>
      <c r="R236" s="140"/>
      <c r="S236" s="140"/>
      <c r="T236" s="140"/>
      <c r="U236" s="140"/>
      <c r="V236" s="140"/>
      <c r="W236" s="140"/>
      <c r="X236" s="140"/>
      <c r="Y236" s="140"/>
      <c r="Z236" s="140"/>
      <c r="AA236" s="140"/>
      <c r="AB236" s="140"/>
      <c r="AC236" s="140"/>
      <c r="AD236" s="140"/>
      <c r="AE236" s="140"/>
      <c r="AF236" s="140"/>
      <c r="AG236" s="140"/>
      <c r="AH236" s="140"/>
      <c r="AI236" s="140"/>
      <c r="AJ236" s="140"/>
      <c r="AK236" s="140"/>
      <c r="AL236" s="140"/>
      <c r="AM236" s="140"/>
      <c r="AN236" s="140"/>
      <c r="AO236" s="140"/>
      <c r="AP236" s="140"/>
      <c r="AQ236" s="140"/>
      <c r="AR236" s="140"/>
      <c r="AS236" s="140"/>
      <c r="AT236" s="140"/>
      <c r="AU236" s="140"/>
      <c r="AV236" s="140"/>
      <c r="AW236" s="140"/>
      <c r="AX236" s="140"/>
      <c r="AY236" s="140"/>
      <c r="AZ236" s="140"/>
      <c r="BA236" s="140"/>
      <c r="BB236" s="140"/>
      <c r="BC236" s="140"/>
      <c r="BD236" s="140"/>
      <c r="BE236" s="140"/>
      <c r="BF236" s="140"/>
      <c r="BG236" s="140"/>
      <c r="BH236" s="140"/>
      <c r="BI236" s="140"/>
      <c r="BJ236" s="140"/>
      <c r="BK236" s="140"/>
      <c r="BL236" s="140"/>
      <c r="BM236" s="140"/>
      <c r="BN236" s="140"/>
      <c r="BO236" s="140"/>
      <c r="BP236" s="140"/>
      <c r="BQ236" s="140"/>
      <c r="BR236" s="140"/>
      <c r="BS236" s="140"/>
      <c r="BT236" s="140"/>
      <c r="BU236" s="140"/>
      <c r="BV236" s="140"/>
      <c r="BW236" s="140"/>
      <c r="BX236" s="140"/>
      <c r="BY236" s="140"/>
      <c r="BZ236" s="140"/>
      <c r="CA236" s="140"/>
      <c r="CB236" s="140"/>
      <c r="CC236" s="140"/>
      <c r="CD236" s="140"/>
      <c r="CE236" s="140"/>
      <c r="CF236" s="140"/>
      <c r="CG236" s="140"/>
      <c r="CH236" s="140"/>
      <c r="CI236" s="140"/>
      <c r="CJ236" s="140"/>
      <c r="CK236" s="140"/>
      <c r="CL236" s="140"/>
      <c r="CM236" s="140"/>
      <c r="CN236" s="140"/>
      <c r="CO236" s="140"/>
      <c r="CP236" s="140"/>
      <c r="CQ236" s="140"/>
      <c r="CR236" s="140"/>
      <c r="CS236" s="140"/>
      <c r="CT236" s="140"/>
      <c r="CU236" s="140"/>
      <c r="CV236" s="140"/>
      <c r="CW236" s="140"/>
      <c r="CX236" s="140"/>
      <c r="CY236" s="140"/>
      <c r="CZ236" s="140"/>
      <c r="DA236" s="140"/>
      <c r="DB236" s="140"/>
      <c r="DC236" s="140"/>
      <c r="DD236" s="140"/>
      <c r="DE236" s="140"/>
      <c r="DF236" s="140"/>
      <c r="DG236" s="140"/>
      <c r="DH236" s="140"/>
      <c r="DI236" s="140"/>
      <c r="DJ236" s="140"/>
      <c r="DK236" s="140"/>
      <c r="DL236" s="140"/>
      <c r="DM236" s="140"/>
      <c r="DN236" s="140"/>
      <c r="DO236" s="140"/>
      <c r="DP236" s="140"/>
      <c r="DQ236" s="140"/>
      <c r="DR236" s="140"/>
      <c r="DS236" s="140"/>
      <c r="DT236" s="140"/>
      <c r="DU236" s="140"/>
      <c r="DV236" s="140"/>
      <c r="DW236" s="140"/>
      <c r="DX236" s="140"/>
      <c r="DY236" s="140"/>
      <c r="DZ236" s="140"/>
      <c r="EA236" s="140"/>
      <c r="EB236" s="140"/>
      <c r="EC236" s="140"/>
      <c r="ED236" s="140"/>
      <c r="EE236" s="140"/>
      <c r="EF236" s="140"/>
      <c r="EG236" s="140"/>
      <c r="EH236" s="140"/>
      <c r="EI236" s="140"/>
      <c r="EJ236" s="140"/>
      <c r="EK236" s="140"/>
      <c r="EL236" s="140"/>
      <c r="EM236" s="140"/>
      <c r="EN236" s="140"/>
      <c r="EO236" s="140"/>
      <c r="EP236" s="140"/>
      <c r="EQ236" s="140"/>
      <c r="ER236" s="140"/>
      <c r="ES236" s="140"/>
      <c r="ET236" s="140"/>
      <c r="EU236" s="140"/>
      <c r="EV236" s="140"/>
      <c r="EW236" s="140"/>
      <c r="EX236" s="140"/>
      <c r="EY236" s="140"/>
      <c r="EZ236" s="140"/>
      <c r="FA236" s="140"/>
      <c r="FB236" s="140"/>
      <c r="FC236" s="140"/>
      <c r="FD236" s="140"/>
      <c r="FE236" s="140"/>
      <c r="FF236" s="140"/>
      <c r="FG236" s="140"/>
      <c r="FH236" s="140"/>
      <c r="FI236" s="140"/>
      <c r="FJ236" s="140"/>
      <c r="FK236" s="140"/>
      <c r="FL236" s="140"/>
      <c r="FM236" s="140"/>
      <c r="FN236" s="140"/>
      <c r="FO236" s="140"/>
      <c r="FP236" s="140"/>
      <c r="FQ236" s="140"/>
      <c r="FR236" s="140"/>
      <c r="FS236" s="140"/>
      <c r="FT236" s="140"/>
      <c r="FU236" s="140"/>
      <c r="FV236" s="140"/>
      <c r="FW236" s="140"/>
      <c r="FX236" s="140"/>
      <c r="FY236" s="140"/>
      <c r="FZ236" s="140"/>
      <c r="GA236" s="140"/>
      <c r="GB236" s="140"/>
      <c r="GC236" s="140"/>
      <c r="GD236" s="140"/>
      <c r="GE236" s="140"/>
      <c r="GF236" s="140"/>
      <c r="GG236" s="140"/>
      <c r="GH236" s="140"/>
      <c r="GI236" s="140"/>
      <c r="GJ236" s="140"/>
      <c r="GK236" s="140"/>
      <c r="GL236" s="140"/>
      <c r="GM236" s="140"/>
      <c r="GN236" s="140"/>
      <c r="GO236" s="140"/>
      <c r="GP236" s="140"/>
      <c r="GQ236" s="140"/>
      <c r="GR236" s="140"/>
      <c r="GS236" s="140"/>
      <c r="GT236" s="140"/>
      <c r="GU236" s="140"/>
      <c r="GV236" s="140"/>
      <c r="GW236" s="140"/>
      <c r="GX236" s="140"/>
      <c r="GY236" s="140"/>
      <c r="GZ236" s="140"/>
      <c r="HA236" s="140"/>
      <c r="HB236" s="140"/>
      <c r="HC236" s="140"/>
      <c r="HD236" s="140"/>
      <c r="HE236" s="140"/>
      <c r="HF236" s="140"/>
      <c r="HG236" s="140"/>
      <c r="HH236" s="140"/>
      <c r="HI236" s="140"/>
      <c r="HJ236" s="140"/>
      <c r="HK236" s="140"/>
      <c r="HL236" s="140"/>
      <c r="HM236" s="140"/>
      <c r="HN236" s="140"/>
      <c r="HO236" s="140"/>
      <c r="HP236" s="140"/>
      <c r="HQ236" s="140"/>
      <c r="HR236" s="140"/>
      <c r="HS236" s="140"/>
      <c r="HT236" s="140"/>
      <c r="HU236" s="140"/>
      <c r="HV236" s="140"/>
      <c r="HW236" s="140"/>
      <c r="HX236" s="140"/>
      <c r="HY236" s="140"/>
      <c r="HZ236" s="140"/>
      <c r="IA236" s="140"/>
      <c r="IB236" s="140"/>
      <c r="IC236" s="140"/>
      <c r="ID236" s="140"/>
      <c r="IE236" s="140"/>
      <c r="IF236" s="140"/>
      <c r="IG236" s="140"/>
      <c r="IH236" s="140"/>
      <c r="II236" s="140"/>
      <c r="IJ236" s="140"/>
      <c r="IK236" s="140"/>
      <c r="IL236" s="140"/>
      <c r="IM236" s="140"/>
      <c r="IN236" s="140"/>
      <c r="IO236" s="140"/>
      <c r="IP236" s="140"/>
      <c r="IQ236" s="140"/>
      <c r="IR236" s="140"/>
      <c r="IS236" s="140"/>
      <c r="IT236" s="140"/>
      <c r="IU236" s="140"/>
      <c r="IV236" s="140"/>
      <c r="IW236" s="140"/>
      <c r="IX236" s="140"/>
      <c r="IY236" s="140"/>
      <c r="IZ236" s="140"/>
      <c r="JA236" s="140"/>
      <c r="JB236" s="140"/>
      <c r="JC236" s="140"/>
      <c r="JD236" s="140"/>
      <c r="JE236" s="140"/>
      <c r="JF236" s="140"/>
      <c r="JG236" s="140"/>
      <c r="JH236" s="140"/>
      <c r="JI236" s="140"/>
      <c r="JJ236" s="140"/>
      <c r="JK236" s="140"/>
      <c r="JL236" s="140"/>
      <c r="JM236" s="140"/>
      <c r="JN236" s="140"/>
      <c r="JO236" s="140"/>
      <c r="JP236" s="140"/>
      <c r="JQ236" s="140"/>
      <c r="JR236" s="140"/>
      <c r="JS236" s="140"/>
      <c r="JT236" s="140"/>
      <c r="JU236" s="140"/>
      <c r="JV236" s="140"/>
      <c r="JW236" s="140"/>
      <c r="JX236" s="140"/>
      <c r="JY236" s="140"/>
      <c r="JZ236" s="140"/>
      <c r="KA236" s="140"/>
      <c r="KB236" s="140"/>
      <c r="KC236" s="140"/>
      <c r="KD236" s="140"/>
      <c r="KE236" s="140"/>
      <c r="KF236" s="140"/>
      <c r="KG236" s="140"/>
      <c r="KH236" s="140"/>
      <c r="KI236" s="140"/>
      <c r="KJ236" s="140"/>
      <c r="KK236" s="140"/>
      <c r="KL236" s="140"/>
      <c r="KM236" s="140"/>
      <c r="KN236" s="140"/>
      <c r="KO236" s="140"/>
      <c r="KP236" s="140"/>
      <c r="KQ236" s="140"/>
      <c r="KR236" s="140"/>
      <c r="KS236" s="140"/>
      <c r="KT236" s="140"/>
      <c r="KU236" s="140"/>
      <c r="KV236" s="140"/>
      <c r="KW236" s="140"/>
      <c r="KX236" s="140"/>
      <c r="KY236" s="140"/>
      <c r="KZ236" s="140"/>
      <c r="LA236" s="140"/>
      <c r="LB236" s="140"/>
      <c r="LC236" s="140"/>
      <c r="LD236" s="140"/>
      <c r="LE236" s="140"/>
      <c r="LF236" s="140"/>
      <c r="LG236" s="140"/>
      <c r="LH236" s="140"/>
      <c r="LI236" s="140"/>
      <c r="LJ236" s="140"/>
      <c r="LK236" s="140"/>
      <c r="LL236" s="140"/>
      <c r="LM236" s="140"/>
      <c r="LN236" s="140"/>
      <c r="LO236" s="140"/>
      <c r="LP236" s="140"/>
      <c r="LQ236" s="140"/>
      <c r="LR236" s="140"/>
      <c r="LS236" s="140"/>
      <c r="LT236" s="140"/>
      <c r="LU236" s="140"/>
      <c r="LV236" s="140"/>
      <c r="LW236" s="140"/>
      <c r="LX236" s="140"/>
      <c r="LY236" s="140"/>
      <c r="LZ236" s="140"/>
      <c r="MA236" s="140"/>
      <c r="MB236" s="140"/>
      <c r="MC236" s="140"/>
      <c r="MD236" s="140"/>
      <c r="ME236" s="140"/>
      <c r="MF236" s="140"/>
      <c r="MG236" s="140"/>
      <c r="MH236" s="140"/>
      <c r="MI236" s="140"/>
      <c r="MJ236" s="140"/>
      <c r="MK236" s="140"/>
      <c r="ML236" s="140"/>
    </row>
    <row r="237" spans="2:350" s="4" customFormat="1" ht="15" customHeight="1" x14ac:dyDescent="0.3">
      <c r="C237" s="158"/>
      <c r="D237" s="158"/>
      <c r="H237" s="140"/>
      <c r="I237" s="140"/>
      <c r="J237" s="140"/>
      <c r="K237" s="140"/>
      <c r="L237" s="140"/>
      <c r="M237" s="140"/>
      <c r="N237" s="140"/>
      <c r="O237" s="140"/>
      <c r="P237" s="140"/>
      <c r="Q237" s="140"/>
      <c r="R237" s="140"/>
      <c r="S237" s="140"/>
      <c r="T237" s="140"/>
      <c r="U237" s="140"/>
      <c r="V237" s="140"/>
      <c r="W237" s="140"/>
      <c r="X237" s="140"/>
      <c r="Y237" s="140"/>
      <c r="Z237" s="140"/>
      <c r="AA237" s="140"/>
      <c r="AB237" s="140"/>
      <c r="AC237" s="140"/>
      <c r="AD237" s="140"/>
      <c r="AE237" s="140"/>
      <c r="AF237" s="140"/>
      <c r="AG237" s="140"/>
      <c r="AH237" s="140"/>
      <c r="AI237" s="140"/>
      <c r="AJ237" s="140"/>
      <c r="AK237" s="140"/>
      <c r="AL237" s="140"/>
      <c r="AM237" s="140"/>
      <c r="AN237" s="140"/>
      <c r="AO237" s="140"/>
      <c r="AP237" s="140"/>
      <c r="AQ237" s="140"/>
      <c r="AR237" s="140"/>
      <c r="AS237" s="140"/>
      <c r="AT237" s="140"/>
      <c r="AU237" s="140"/>
      <c r="AV237" s="140"/>
      <c r="AW237" s="140"/>
      <c r="AX237" s="140"/>
      <c r="AY237" s="140"/>
      <c r="AZ237" s="140"/>
      <c r="BA237" s="140"/>
      <c r="BB237" s="140"/>
      <c r="BC237" s="140"/>
      <c r="BD237" s="140"/>
      <c r="BE237" s="140"/>
      <c r="BF237" s="140"/>
      <c r="BG237" s="140"/>
      <c r="BH237" s="140"/>
      <c r="BI237" s="140"/>
      <c r="BJ237" s="140"/>
      <c r="BK237" s="140"/>
      <c r="BL237" s="140"/>
      <c r="BM237" s="140"/>
      <c r="BN237" s="140"/>
      <c r="BO237" s="140"/>
      <c r="BP237" s="140"/>
      <c r="BQ237" s="140"/>
      <c r="BR237" s="140"/>
      <c r="BS237" s="140"/>
      <c r="BT237" s="140"/>
      <c r="BU237" s="140"/>
      <c r="BV237" s="140"/>
      <c r="BW237" s="140"/>
      <c r="BX237" s="140"/>
      <c r="BY237" s="140"/>
      <c r="BZ237" s="140"/>
      <c r="CA237" s="140"/>
      <c r="CB237" s="140"/>
      <c r="CC237" s="140"/>
      <c r="CD237" s="140"/>
      <c r="CE237" s="140"/>
      <c r="CF237" s="140"/>
      <c r="CG237" s="140"/>
      <c r="CH237" s="140"/>
      <c r="CI237" s="140"/>
      <c r="CJ237" s="140"/>
      <c r="CK237" s="140"/>
      <c r="CL237" s="140"/>
      <c r="CM237" s="140"/>
      <c r="CN237" s="140"/>
      <c r="CO237" s="140"/>
      <c r="CP237" s="140"/>
      <c r="CQ237" s="140"/>
      <c r="CR237" s="140"/>
      <c r="CS237" s="140"/>
      <c r="CT237" s="140"/>
      <c r="CU237" s="140"/>
      <c r="CV237" s="140"/>
      <c r="CW237" s="140"/>
      <c r="CX237" s="140"/>
      <c r="CY237" s="140"/>
      <c r="CZ237" s="140"/>
      <c r="DA237" s="140"/>
      <c r="DB237" s="140"/>
      <c r="DC237" s="140"/>
      <c r="DD237" s="140"/>
      <c r="DE237" s="140"/>
      <c r="DF237" s="140"/>
      <c r="DG237" s="140"/>
      <c r="DH237" s="140"/>
      <c r="DI237" s="140"/>
      <c r="DJ237" s="140"/>
      <c r="DK237" s="140"/>
      <c r="DL237" s="140"/>
      <c r="DM237" s="140"/>
      <c r="DN237" s="140"/>
      <c r="DO237" s="140"/>
      <c r="DP237" s="140"/>
      <c r="DQ237" s="140"/>
      <c r="DR237" s="140"/>
      <c r="DS237" s="140"/>
      <c r="DT237" s="140"/>
      <c r="DU237" s="140"/>
      <c r="DV237" s="140"/>
      <c r="DW237" s="140"/>
      <c r="DX237" s="140"/>
      <c r="DY237" s="140"/>
      <c r="DZ237" s="140"/>
      <c r="EA237" s="140"/>
      <c r="EB237" s="140"/>
      <c r="EC237" s="140"/>
      <c r="ED237" s="140"/>
      <c r="EE237" s="140"/>
      <c r="EF237" s="140"/>
      <c r="EG237" s="140"/>
      <c r="EH237" s="140"/>
      <c r="EI237" s="140"/>
      <c r="EJ237" s="140"/>
      <c r="EK237" s="140"/>
      <c r="EL237" s="140"/>
      <c r="EM237" s="140"/>
      <c r="EN237" s="140"/>
      <c r="EO237" s="140"/>
      <c r="EP237" s="140"/>
      <c r="EQ237" s="140"/>
      <c r="ER237" s="140"/>
      <c r="ES237" s="140"/>
      <c r="ET237" s="140"/>
      <c r="EU237" s="140"/>
      <c r="EV237" s="140"/>
      <c r="EW237" s="140"/>
      <c r="EX237" s="140"/>
      <c r="EY237" s="140"/>
      <c r="EZ237" s="140"/>
      <c r="FA237" s="140"/>
      <c r="FB237" s="140"/>
      <c r="FC237" s="140"/>
      <c r="FD237" s="140"/>
      <c r="FE237" s="140"/>
      <c r="FF237" s="140"/>
      <c r="FG237" s="140"/>
      <c r="FH237" s="140"/>
      <c r="FI237" s="140"/>
      <c r="FJ237" s="140"/>
      <c r="FK237" s="140"/>
      <c r="FL237" s="140"/>
      <c r="FM237" s="140"/>
      <c r="FN237" s="140"/>
      <c r="FO237" s="140"/>
      <c r="FP237" s="140"/>
      <c r="FQ237" s="140"/>
      <c r="FR237" s="140"/>
      <c r="FS237" s="140"/>
      <c r="FT237" s="140"/>
      <c r="FU237" s="140"/>
      <c r="FV237" s="140"/>
      <c r="FW237" s="140"/>
      <c r="FX237" s="140"/>
      <c r="FY237" s="140"/>
      <c r="FZ237" s="140"/>
      <c r="GA237" s="140"/>
      <c r="GB237" s="140"/>
      <c r="GC237" s="140"/>
      <c r="GD237" s="140"/>
      <c r="GE237" s="140"/>
      <c r="GF237" s="140"/>
      <c r="GG237" s="140"/>
      <c r="GH237" s="140"/>
      <c r="GI237" s="140"/>
      <c r="GJ237" s="140"/>
      <c r="GK237" s="140"/>
      <c r="GL237" s="140"/>
      <c r="GM237" s="140"/>
      <c r="GN237" s="140"/>
      <c r="GO237" s="140"/>
      <c r="GP237" s="140"/>
      <c r="GQ237" s="140"/>
      <c r="GR237" s="140"/>
      <c r="GS237" s="140"/>
      <c r="GT237" s="140"/>
      <c r="GU237" s="140"/>
      <c r="GV237" s="140"/>
      <c r="GW237" s="140"/>
      <c r="GX237" s="140"/>
      <c r="GY237" s="140"/>
      <c r="GZ237" s="140"/>
      <c r="HA237" s="140"/>
      <c r="HB237" s="140"/>
      <c r="HC237" s="140"/>
      <c r="HD237" s="140"/>
      <c r="HE237" s="140"/>
      <c r="HF237" s="140"/>
      <c r="HG237" s="140"/>
      <c r="HH237" s="140"/>
      <c r="HI237" s="140"/>
      <c r="HJ237" s="140"/>
      <c r="HK237" s="140"/>
      <c r="HL237" s="140"/>
      <c r="HM237" s="140"/>
      <c r="HN237" s="140"/>
      <c r="HO237" s="140"/>
      <c r="HP237" s="140"/>
      <c r="HQ237" s="140"/>
      <c r="HR237" s="140"/>
      <c r="HS237" s="140"/>
      <c r="HT237" s="140"/>
      <c r="HU237" s="140"/>
      <c r="HV237" s="140"/>
      <c r="HW237" s="140"/>
      <c r="HX237" s="140"/>
      <c r="HY237" s="140"/>
      <c r="HZ237" s="140"/>
      <c r="IA237" s="140"/>
      <c r="IB237" s="140"/>
      <c r="IC237" s="140"/>
      <c r="ID237" s="140"/>
      <c r="IE237" s="140"/>
      <c r="IF237" s="140"/>
      <c r="IG237" s="140"/>
      <c r="IH237" s="140"/>
      <c r="II237" s="140"/>
      <c r="IJ237" s="140"/>
      <c r="IK237" s="140"/>
      <c r="IL237" s="140"/>
      <c r="IM237" s="140"/>
      <c r="IN237" s="140"/>
      <c r="IO237" s="140"/>
      <c r="IP237" s="140"/>
      <c r="IQ237" s="140"/>
      <c r="IR237" s="140"/>
      <c r="IS237" s="140"/>
      <c r="IT237" s="140"/>
      <c r="IU237" s="140"/>
      <c r="IV237" s="140"/>
      <c r="IW237" s="140"/>
      <c r="IX237" s="140"/>
      <c r="IY237" s="140"/>
      <c r="IZ237" s="140"/>
      <c r="JA237" s="140"/>
      <c r="JB237" s="140"/>
      <c r="JC237" s="140"/>
      <c r="JD237" s="140"/>
      <c r="JE237" s="140"/>
      <c r="JF237" s="140"/>
      <c r="JG237" s="140"/>
      <c r="JH237" s="140"/>
      <c r="JI237" s="140"/>
      <c r="JJ237" s="140"/>
      <c r="JK237" s="140"/>
      <c r="JL237" s="140"/>
      <c r="JM237" s="140"/>
      <c r="JN237" s="140"/>
      <c r="JO237" s="140"/>
      <c r="JP237" s="140"/>
      <c r="JQ237" s="140"/>
      <c r="JR237" s="140"/>
      <c r="JS237" s="140"/>
      <c r="JT237" s="140"/>
      <c r="JU237" s="140"/>
      <c r="JV237" s="140"/>
      <c r="JW237" s="140"/>
      <c r="JX237" s="140"/>
      <c r="JY237" s="140"/>
      <c r="JZ237" s="140"/>
      <c r="KA237" s="140"/>
      <c r="KB237" s="140"/>
      <c r="KC237" s="140"/>
      <c r="KD237" s="140"/>
      <c r="KE237" s="140"/>
      <c r="KF237" s="140"/>
      <c r="KG237" s="140"/>
      <c r="KH237" s="140"/>
      <c r="KI237" s="140"/>
      <c r="KJ237" s="140"/>
      <c r="KK237" s="140"/>
      <c r="KL237" s="140"/>
      <c r="KM237" s="140"/>
      <c r="KN237" s="140"/>
      <c r="KO237" s="140"/>
      <c r="KP237" s="140"/>
      <c r="KQ237" s="140"/>
      <c r="KR237" s="140"/>
      <c r="KS237" s="140"/>
      <c r="KT237" s="140"/>
      <c r="KU237" s="140"/>
      <c r="KV237" s="140"/>
      <c r="KW237" s="140"/>
      <c r="KX237" s="140"/>
      <c r="KY237" s="140"/>
      <c r="KZ237" s="140"/>
      <c r="LA237" s="140"/>
      <c r="LB237" s="140"/>
      <c r="LC237" s="140"/>
      <c r="LD237" s="140"/>
      <c r="LE237" s="140"/>
      <c r="LF237" s="140"/>
      <c r="LG237" s="140"/>
      <c r="LH237" s="140"/>
      <c r="LI237" s="140"/>
      <c r="LJ237" s="140"/>
      <c r="LK237" s="140"/>
      <c r="LL237" s="140"/>
      <c r="LM237" s="140"/>
      <c r="LN237" s="140"/>
      <c r="LO237" s="140"/>
      <c r="LP237" s="140"/>
      <c r="LQ237" s="140"/>
      <c r="LR237" s="140"/>
      <c r="LS237" s="140"/>
      <c r="LT237" s="140"/>
      <c r="LU237" s="140"/>
      <c r="LV237" s="140"/>
      <c r="LW237" s="140"/>
      <c r="LX237" s="140"/>
      <c r="LY237" s="140"/>
      <c r="LZ237" s="140"/>
      <c r="MA237" s="140"/>
      <c r="MB237" s="140"/>
      <c r="MC237" s="140"/>
      <c r="MD237" s="140"/>
      <c r="ME237" s="140"/>
      <c r="MF237" s="140"/>
      <c r="MG237" s="140"/>
      <c r="MH237" s="140"/>
      <c r="MI237" s="140"/>
      <c r="MJ237" s="140"/>
      <c r="MK237" s="140"/>
      <c r="ML237" s="140"/>
    </row>
    <row r="238" spans="2:350" s="4" customFormat="1" ht="15" customHeight="1" x14ac:dyDescent="0.3">
      <c r="C238" s="159" t="s">
        <v>145</v>
      </c>
      <c r="D238" s="159" t="s">
        <v>110</v>
      </c>
      <c r="H238" s="140"/>
      <c r="I238" s="140"/>
      <c r="J238" s="140"/>
      <c r="K238" s="140"/>
      <c r="L238" s="140"/>
      <c r="M238" s="140"/>
      <c r="N238" s="140"/>
      <c r="O238" s="140"/>
      <c r="P238" s="140"/>
      <c r="Q238" s="140"/>
      <c r="R238" s="140"/>
      <c r="S238" s="140"/>
      <c r="T238" s="140"/>
      <c r="U238" s="140"/>
      <c r="V238" s="140"/>
      <c r="W238" s="140"/>
      <c r="X238" s="140"/>
      <c r="Y238" s="140"/>
      <c r="Z238" s="140"/>
      <c r="AA238" s="140"/>
      <c r="AB238" s="140"/>
      <c r="AC238" s="140"/>
      <c r="AD238" s="140"/>
      <c r="AE238" s="140"/>
      <c r="AF238" s="140"/>
      <c r="AG238" s="140"/>
      <c r="AH238" s="140"/>
      <c r="AI238" s="140"/>
      <c r="AJ238" s="140"/>
      <c r="AK238" s="140"/>
      <c r="AL238" s="140"/>
      <c r="AM238" s="140"/>
      <c r="AN238" s="140"/>
      <c r="AO238" s="140"/>
      <c r="AP238" s="140"/>
      <c r="AQ238" s="140"/>
      <c r="AR238" s="140"/>
      <c r="AS238" s="140"/>
      <c r="AT238" s="140"/>
      <c r="AU238" s="140"/>
      <c r="AV238" s="140"/>
      <c r="AW238" s="140"/>
      <c r="AX238" s="140"/>
      <c r="AY238" s="140"/>
      <c r="AZ238" s="140"/>
      <c r="BA238" s="140"/>
      <c r="BB238" s="140"/>
      <c r="BC238" s="140"/>
      <c r="BD238" s="140"/>
      <c r="BE238" s="140"/>
      <c r="BF238" s="140"/>
      <c r="BG238" s="140"/>
      <c r="BH238" s="140"/>
      <c r="BI238" s="140"/>
      <c r="BJ238" s="140"/>
      <c r="BK238" s="140"/>
      <c r="BL238" s="140"/>
      <c r="BM238" s="140"/>
      <c r="BN238" s="140"/>
      <c r="BO238" s="140"/>
      <c r="BP238" s="140"/>
      <c r="BQ238" s="140"/>
      <c r="BR238" s="140"/>
      <c r="BS238" s="140"/>
      <c r="BT238" s="140"/>
      <c r="BU238" s="140"/>
      <c r="BV238" s="140"/>
      <c r="BW238" s="140"/>
      <c r="BX238" s="140"/>
      <c r="BY238" s="140"/>
      <c r="BZ238" s="140"/>
      <c r="CA238" s="140"/>
      <c r="CB238" s="140"/>
      <c r="CC238" s="140"/>
      <c r="CD238" s="140"/>
      <c r="CE238" s="140"/>
      <c r="CF238" s="140"/>
      <c r="CG238" s="140"/>
      <c r="CH238" s="140"/>
      <c r="CI238" s="140"/>
      <c r="CJ238" s="140"/>
      <c r="CK238" s="140"/>
      <c r="CL238" s="140"/>
      <c r="CM238" s="140"/>
      <c r="CN238" s="140"/>
      <c r="CO238" s="140"/>
      <c r="CP238" s="140"/>
      <c r="CQ238" s="140"/>
      <c r="CR238" s="140"/>
      <c r="CS238" s="140"/>
      <c r="CT238" s="140"/>
      <c r="CU238" s="140"/>
      <c r="CV238" s="140"/>
      <c r="CW238" s="140"/>
      <c r="CX238" s="140"/>
      <c r="CY238" s="140"/>
      <c r="CZ238" s="140"/>
      <c r="DA238" s="140"/>
      <c r="DB238" s="140"/>
      <c r="DC238" s="140"/>
      <c r="DD238" s="140"/>
      <c r="DE238" s="140"/>
      <c r="DF238" s="140"/>
      <c r="DG238" s="140"/>
      <c r="DH238" s="140"/>
      <c r="DI238" s="140"/>
      <c r="DJ238" s="140"/>
      <c r="DK238" s="140"/>
      <c r="DL238" s="140"/>
      <c r="DM238" s="140"/>
      <c r="DN238" s="140"/>
      <c r="DO238" s="140"/>
      <c r="DP238" s="140"/>
      <c r="DQ238" s="140"/>
      <c r="DR238" s="140"/>
      <c r="DS238" s="140"/>
      <c r="DT238" s="140"/>
      <c r="DU238" s="140"/>
      <c r="DV238" s="140"/>
      <c r="DW238" s="140"/>
      <c r="DX238" s="140"/>
      <c r="DY238" s="140"/>
      <c r="DZ238" s="140"/>
      <c r="EA238" s="140"/>
      <c r="EB238" s="140"/>
      <c r="EC238" s="140"/>
      <c r="ED238" s="140"/>
      <c r="EE238" s="140"/>
      <c r="EF238" s="140"/>
      <c r="EG238" s="140"/>
      <c r="EH238" s="140"/>
      <c r="EI238" s="140"/>
      <c r="EJ238" s="140"/>
      <c r="EK238" s="140"/>
      <c r="EL238" s="140"/>
      <c r="EM238" s="140"/>
      <c r="EN238" s="140"/>
      <c r="EO238" s="140"/>
      <c r="EP238" s="140"/>
      <c r="EQ238" s="140"/>
      <c r="ER238" s="140"/>
      <c r="ES238" s="140"/>
      <c r="ET238" s="140"/>
      <c r="EU238" s="140"/>
      <c r="EV238" s="140"/>
      <c r="EW238" s="140"/>
      <c r="EX238" s="140"/>
      <c r="EY238" s="140"/>
      <c r="EZ238" s="140"/>
      <c r="FA238" s="140"/>
      <c r="FB238" s="140"/>
      <c r="FC238" s="140"/>
      <c r="FD238" s="140"/>
      <c r="FE238" s="140"/>
      <c r="FF238" s="140"/>
      <c r="FG238" s="140"/>
      <c r="FH238" s="140"/>
      <c r="FI238" s="140"/>
      <c r="FJ238" s="140"/>
      <c r="FK238" s="140"/>
      <c r="FL238" s="140"/>
      <c r="FM238" s="140"/>
      <c r="FN238" s="140"/>
      <c r="FO238" s="140"/>
      <c r="FP238" s="140"/>
      <c r="FQ238" s="140"/>
      <c r="FR238" s="140"/>
      <c r="FS238" s="140"/>
      <c r="FT238" s="140"/>
      <c r="FU238" s="140"/>
      <c r="FV238" s="140"/>
      <c r="FW238" s="140"/>
      <c r="FX238" s="140"/>
      <c r="FY238" s="140"/>
      <c r="FZ238" s="140"/>
      <c r="GA238" s="140"/>
      <c r="GB238" s="140"/>
      <c r="GC238" s="140"/>
      <c r="GD238" s="140"/>
      <c r="GE238" s="140"/>
      <c r="GF238" s="140"/>
      <c r="GG238" s="140"/>
      <c r="GH238" s="140"/>
      <c r="GI238" s="140"/>
      <c r="GJ238" s="140"/>
      <c r="GK238" s="140"/>
      <c r="GL238" s="140"/>
      <c r="GM238" s="140"/>
      <c r="GN238" s="140"/>
      <c r="GO238" s="140"/>
      <c r="GP238" s="140"/>
      <c r="GQ238" s="140"/>
      <c r="GR238" s="140"/>
      <c r="GS238" s="140"/>
      <c r="GT238" s="140"/>
      <c r="GU238" s="140"/>
      <c r="GV238" s="140"/>
      <c r="GW238" s="140"/>
      <c r="GX238" s="140"/>
      <c r="GY238" s="140"/>
      <c r="GZ238" s="140"/>
      <c r="HA238" s="140"/>
      <c r="HB238" s="140"/>
      <c r="HC238" s="140"/>
      <c r="HD238" s="140"/>
      <c r="HE238" s="140"/>
      <c r="HF238" s="140"/>
      <c r="HG238" s="140"/>
      <c r="HH238" s="140"/>
      <c r="HI238" s="140"/>
      <c r="HJ238" s="140"/>
      <c r="HK238" s="140"/>
      <c r="HL238" s="140"/>
      <c r="HM238" s="140"/>
      <c r="HN238" s="140"/>
      <c r="HO238" s="140"/>
      <c r="HP238" s="140"/>
      <c r="HQ238" s="140"/>
      <c r="HR238" s="140"/>
      <c r="HS238" s="140"/>
      <c r="HT238" s="140"/>
      <c r="HU238" s="140"/>
      <c r="HV238" s="140"/>
      <c r="HW238" s="140"/>
      <c r="HX238" s="140"/>
      <c r="HY238" s="140"/>
      <c r="HZ238" s="140"/>
      <c r="IA238" s="140"/>
      <c r="IB238" s="140"/>
      <c r="IC238" s="140"/>
      <c r="ID238" s="140"/>
      <c r="IE238" s="140"/>
      <c r="IF238" s="140"/>
      <c r="IG238" s="140"/>
      <c r="IH238" s="140"/>
      <c r="II238" s="140"/>
      <c r="IJ238" s="140"/>
      <c r="IK238" s="140"/>
      <c r="IL238" s="140"/>
      <c r="IM238" s="140"/>
      <c r="IN238" s="140"/>
      <c r="IO238" s="140"/>
      <c r="IP238" s="140"/>
      <c r="IQ238" s="140"/>
      <c r="IR238" s="140"/>
      <c r="IS238" s="140"/>
      <c r="IT238" s="140"/>
      <c r="IU238" s="140"/>
      <c r="IV238" s="140"/>
      <c r="IW238" s="140"/>
      <c r="IX238" s="140"/>
      <c r="IY238" s="140"/>
      <c r="IZ238" s="140"/>
      <c r="JA238" s="140"/>
      <c r="JB238" s="140"/>
      <c r="JC238" s="140"/>
      <c r="JD238" s="140"/>
      <c r="JE238" s="140"/>
      <c r="JF238" s="140"/>
      <c r="JG238" s="140"/>
      <c r="JH238" s="140"/>
      <c r="JI238" s="140"/>
      <c r="JJ238" s="140"/>
      <c r="JK238" s="140"/>
      <c r="JL238" s="140"/>
      <c r="JM238" s="140"/>
      <c r="JN238" s="140"/>
      <c r="JO238" s="140"/>
      <c r="JP238" s="140"/>
      <c r="JQ238" s="140"/>
      <c r="JR238" s="140"/>
      <c r="JS238" s="140"/>
      <c r="JT238" s="140"/>
      <c r="JU238" s="140"/>
      <c r="JV238" s="140"/>
      <c r="JW238" s="140"/>
      <c r="JX238" s="140"/>
      <c r="JY238" s="140"/>
      <c r="JZ238" s="140"/>
      <c r="KA238" s="140"/>
      <c r="KB238" s="140"/>
      <c r="KC238" s="140"/>
      <c r="KD238" s="140"/>
      <c r="KE238" s="140"/>
      <c r="KF238" s="140"/>
      <c r="KG238" s="140"/>
      <c r="KH238" s="140"/>
      <c r="KI238" s="140"/>
      <c r="KJ238" s="140"/>
      <c r="KK238" s="140"/>
      <c r="KL238" s="140"/>
      <c r="KM238" s="140"/>
      <c r="KN238" s="140"/>
      <c r="KO238" s="140"/>
      <c r="KP238" s="140"/>
      <c r="KQ238" s="140"/>
      <c r="KR238" s="140"/>
      <c r="KS238" s="140"/>
      <c r="KT238" s="140"/>
      <c r="KU238" s="140"/>
      <c r="KV238" s="140"/>
      <c r="KW238" s="140"/>
      <c r="KX238" s="140"/>
      <c r="KY238" s="140"/>
      <c r="KZ238" s="140"/>
      <c r="LA238" s="140"/>
      <c r="LB238" s="140"/>
      <c r="LC238" s="140"/>
      <c r="LD238" s="140"/>
      <c r="LE238" s="140"/>
      <c r="LF238" s="140"/>
      <c r="LG238" s="140"/>
      <c r="LH238" s="140"/>
      <c r="LI238" s="140"/>
      <c r="LJ238" s="140"/>
      <c r="LK238" s="140"/>
      <c r="LL238" s="140"/>
      <c r="LM238" s="140"/>
      <c r="LN238" s="140"/>
      <c r="LO238" s="140"/>
      <c r="LP238" s="140"/>
      <c r="LQ238" s="140"/>
      <c r="LR238" s="140"/>
      <c r="LS238" s="140"/>
      <c r="LT238" s="140"/>
      <c r="LU238" s="140"/>
      <c r="LV238" s="140"/>
      <c r="LW238" s="140"/>
      <c r="LX238" s="140"/>
      <c r="LY238" s="140"/>
      <c r="LZ238" s="140"/>
      <c r="MA238" s="140"/>
      <c r="MB238" s="140"/>
      <c r="MC238" s="140"/>
      <c r="MD238" s="140"/>
      <c r="ME238" s="140"/>
      <c r="MF238" s="140"/>
      <c r="MG238" s="140"/>
      <c r="MH238" s="140"/>
      <c r="MI238" s="140"/>
      <c r="MJ238" s="140"/>
      <c r="MK238" s="140"/>
      <c r="ML238" s="140"/>
    </row>
    <row r="239" spans="2:350" s="4" customFormat="1" ht="15" customHeight="1" x14ac:dyDescent="0.3">
      <c r="C239" s="159"/>
      <c r="D239" s="159" t="s">
        <v>146</v>
      </c>
      <c r="H239" s="140"/>
      <c r="I239" s="140"/>
      <c r="J239" s="140"/>
      <c r="K239" s="140"/>
      <c r="L239" s="140"/>
      <c r="M239" s="140"/>
      <c r="N239" s="140"/>
      <c r="O239" s="140"/>
      <c r="P239" s="140"/>
      <c r="Q239" s="140"/>
      <c r="R239" s="140"/>
      <c r="S239" s="140"/>
      <c r="T239" s="140"/>
      <c r="U239" s="140"/>
      <c r="V239" s="140"/>
      <c r="W239" s="140"/>
      <c r="X239" s="140"/>
      <c r="Y239" s="140"/>
      <c r="Z239" s="140"/>
      <c r="AA239" s="140"/>
      <c r="AB239" s="140"/>
      <c r="AC239" s="140"/>
      <c r="AD239" s="140"/>
      <c r="AE239" s="140"/>
      <c r="AF239" s="140"/>
      <c r="AG239" s="140"/>
      <c r="AH239" s="140"/>
      <c r="AI239" s="140"/>
      <c r="AJ239" s="140"/>
      <c r="AK239" s="140"/>
      <c r="AL239" s="140"/>
      <c r="AM239" s="140"/>
      <c r="AN239" s="140"/>
      <c r="AO239" s="140"/>
      <c r="AP239" s="140"/>
      <c r="AQ239" s="140"/>
      <c r="AR239" s="140"/>
      <c r="AS239" s="140"/>
      <c r="AT239" s="140"/>
      <c r="AU239" s="140"/>
      <c r="AV239" s="140"/>
      <c r="AW239" s="140"/>
      <c r="AX239" s="140"/>
      <c r="AY239" s="140"/>
      <c r="AZ239" s="140"/>
      <c r="BA239" s="140"/>
      <c r="BB239" s="140"/>
      <c r="BC239" s="140"/>
      <c r="BD239" s="140"/>
      <c r="BE239" s="140"/>
      <c r="BF239" s="140"/>
      <c r="BG239" s="140"/>
      <c r="BH239" s="140"/>
      <c r="BI239" s="140"/>
      <c r="BJ239" s="140"/>
      <c r="BK239" s="140"/>
      <c r="BL239" s="140"/>
      <c r="BM239" s="140"/>
      <c r="BN239" s="140"/>
      <c r="BO239" s="140"/>
      <c r="BP239" s="140"/>
      <c r="BQ239" s="140"/>
      <c r="BR239" s="140"/>
      <c r="BS239" s="140"/>
      <c r="BT239" s="140"/>
      <c r="BU239" s="140"/>
      <c r="BV239" s="140"/>
      <c r="BW239" s="140"/>
      <c r="BX239" s="140"/>
      <c r="BY239" s="140"/>
      <c r="BZ239" s="140"/>
      <c r="CA239" s="140"/>
      <c r="CB239" s="140"/>
      <c r="CC239" s="140"/>
      <c r="CD239" s="140"/>
      <c r="CE239" s="140"/>
      <c r="CF239" s="140"/>
      <c r="CG239" s="140"/>
      <c r="CH239" s="140"/>
      <c r="CI239" s="140"/>
      <c r="CJ239" s="140"/>
      <c r="CK239" s="140"/>
      <c r="CL239" s="140"/>
      <c r="CM239" s="140"/>
      <c r="CN239" s="140"/>
      <c r="CO239" s="140"/>
      <c r="CP239" s="140"/>
      <c r="CQ239" s="140"/>
      <c r="CR239" s="140"/>
      <c r="CS239" s="140"/>
      <c r="CT239" s="140"/>
      <c r="CU239" s="140"/>
      <c r="CV239" s="140"/>
      <c r="CW239" s="140"/>
      <c r="CX239" s="140"/>
      <c r="CY239" s="140"/>
      <c r="CZ239" s="140"/>
      <c r="DA239" s="140"/>
      <c r="DB239" s="140"/>
      <c r="DC239" s="140"/>
      <c r="DD239" s="140"/>
      <c r="DE239" s="140"/>
      <c r="DF239" s="140"/>
      <c r="DG239" s="140"/>
      <c r="DH239" s="140"/>
      <c r="DI239" s="140"/>
      <c r="DJ239" s="140"/>
      <c r="DK239" s="140"/>
      <c r="DL239" s="140"/>
      <c r="DM239" s="140"/>
      <c r="DN239" s="140"/>
      <c r="DO239" s="140"/>
      <c r="DP239" s="140"/>
      <c r="DQ239" s="140"/>
      <c r="DR239" s="140"/>
      <c r="DS239" s="140"/>
      <c r="DT239" s="140"/>
      <c r="DU239" s="140"/>
      <c r="DV239" s="140"/>
      <c r="DW239" s="140"/>
      <c r="DX239" s="140"/>
      <c r="DY239" s="140"/>
      <c r="DZ239" s="140"/>
      <c r="EA239" s="140"/>
      <c r="EB239" s="140"/>
      <c r="EC239" s="140"/>
      <c r="ED239" s="140"/>
      <c r="EE239" s="140"/>
      <c r="EF239" s="140"/>
      <c r="EG239" s="140"/>
      <c r="EH239" s="140"/>
      <c r="EI239" s="140"/>
      <c r="EJ239" s="140"/>
      <c r="EK239" s="140"/>
      <c r="EL239" s="140"/>
      <c r="EM239" s="140"/>
      <c r="EN239" s="140"/>
      <c r="EO239" s="140"/>
      <c r="EP239" s="140"/>
      <c r="EQ239" s="140"/>
      <c r="ER239" s="140"/>
      <c r="ES239" s="140"/>
      <c r="ET239" s="140"/>
      <c r="EU239" s="140"/>
      <c r="EV239" s="140"/>
      <c r="EW239" s="140"/>
      <c r="EX239" s="140"/>
      <c r="EY239" s="140"/>
      <c r="EZ239" s="140"/>
      <c r="FA239" s="140"/>
      <c r="FB239" s="140"/>
      <c r="FC239" s="140"/>
      <c r="FD239" s="140"/>
      <c r="FE239" s="140"/>
      <c r="FF239" s="140"/>
      <c r="FG239" s="140"/>
      <c r="FH239" s="140"/>
      <c r="FI239" s="140"/>
      <c r="FJ239" s="140"/>
      <c r="FK239" s="140"/>
      <c r="FL239" s="140"/>
      <c r="FM239" s="140"/>
      <c r="FN239" s="140"/>
      <c r="FO239" s="140"/>
      <c r="FP239" s="140"/>
      <c r="FQ239" s="140"/>
      <c r="FR239" s="140"/>
      <c r="FS239" s="140"/>
      <c r="FT239" s="140"/>
      <c r="FU239" s="140"/>
      <c r="FV239" s="140"/>
      <c r="FW239" s="140"/>
      <c r="FX239" s="140"/>
      <c r="FY239" s="140"/>
      <c r="FZ239" s="140"/>
      <c r="GA239" s="140"/>
      <c r="GB239" s="140"/>
      <c r="GC239" s="140"/>
      <c r="GD239" s="140"/>
      <c r="GE239" s="140"/>
      <c r="GF239" s="140"/>
      <c r="GG239" s="140"/>
      <c r="GH239" s="140"/>
      <c r="GI239" s="140"/>
      <c r="GJ239" s="140"/>
      <c r="GK239" s="140"/>
      <c r="GL239" s="140"/>
      <c r="GM239" s="140"/>
      <c r="GN239" s="140"/>
      <c r="GO239" s="140"/>
      <c r="GP239" s="140"/>
      <c r="GQ239" s="140"/>
      <c r="GR239" s="140"/>
      <c r="GS239" s="140"/>
      <c r="GT239" s="140"/>
      <c r="GU239" s="140"/>
      <c r="GV239" s="140"/>
      <c r="GW239" s="140"/>
      <c r="GX239" s="140"/>
      <c r="GY239" s="140"/>
      <c r="GZ239" s="140"/>
      <c r="HA239" s="140"/>
      <c r="HB239" s="140"/>
      <c r="HC239" s="140"/>
      <c r="HD239" s="140"/>
      <c r="HE239" s="140"/>
      <c r="HF239" s="140"/>
      <c r="HG239" s="140"/>
      <c r="HH239" s="140"/>
      <c r="HI239" s="140"/>
      <c r="HJ239" s="140"/>
      <c r="HK239" s="140"/>
      <c r="HL239" s="140"/>
      <c r="HM239" s="140"/>
      <c r="HN239" s="140"/>
      <c r="HO239" s="140"/>
      <c r="HP239" s="140"/>
      <c r="HQ239" s="140"/>
      <c r="HR239" s="140"/>
      <c r="HS239" s="140"/>
      <c r="HT239" s="140"/>
      <c r="HU239" s="140"/>
      <c r="HV239" s="140"/>
      <c r="HW239" s="140"/>
      <c r="HX239" s="140"/>
      <c r="HY239" s="140"/>
      <c r="HZ239" s="140"/>
      <c r="IA239" s="140"/>
      <c r="IB239" s="140"/>
      <c r="IC239" s="140"/>
      <c r="ID239" s="140"/>
      <c r="IE239" s="140"/>
      <c r="IF239" s="140"/>
      <c r="IG239" s="140"/>
      <c r="IH239" s="140"/>
      <c r="II239" s="140"/>
      <c r="IJ239" s="140"/>
      <c r="IK239" s="140"/>
      <c r="IL239" s="140"/>
      <c r="IM239" s="140"/>
      <c r="IN239" s="140"/>
      <c r="IO239" s="140"/>
      <c r="IP239" s="140"/>
      <c r="IQ239" s="140"/>
      <c r="IR239" s="140"/>
      <c r="IS239" s="140"/>
      <c r="IT239" s="140"/>
      <c r="IU239" s="140"/>
      <c r="IV239" s="140"/>
      <c r="IW239" s="140"/>
      <c r="IX239" s="140"/>
      <c r="IY239" s="140"/>
      <c r="IZ239" s="140"/>
      <c r="JA239" s="140"/>
      <c r="JB239" s="140"/>
      <c r="JC239" s="140"/>
      <c r="JD239" s="140"/>
      <c r="JE239" s="140"/>
      <c r="JF239" s="140"/>
      <c r="JG239" s="140"/>
      <c r="JH239" s="140"/>
      <c r="JI239" s="140"/>
      <c r="JJ239" s="140"/>
      <c r="JK239" s="140"/>
      <c r="JL239" s="140"/>
      <c r="JM239" s="140"/>
      <c r="JN239" s="140"/>
      <c r="JO239" s="140"/>
      <c r="JP239" s="140"/>
      <c r="JQ239" s="140"/>
      <c r="JR239" s="140"/>
      <c r="JS239" s="140"/>
      <c r="JT239" s="140"/>
      <c r="JU239" s="140"/>
      <c r="JV239" s="140"/>
      <c r="JW239" s="140"/>
      <c r="JX239" s="140"/>
      <c r="JY239" s="140"/>
      <c r="JZ239" s="140"/>
      <c r="KA239" s="140"/>
      <c r="KB239" s="140"/>
      <c r="KC239" s="140"/>
      <c r="KD239" s="140"/>
      <c r="KE239" s="140"/>
      <c r="KF239" s="140"/>
      <c r="KG239" s="140"/>
      <c r="KH239" s="140"/>
      <c r="KI239" s="140"/>
      <c r="KJ239" s="140"/>
      <c r="KK239" s="140"/>
      <c r="KL239" s="140"/>
      <c r="KM239" s="140"/>
      <c r="KN239" s="140"/>
      <c r="KO239" s="140"/>
      <c r="KP239" s="140"/>
      <c r="KQ239" s="140"/>
      <c r="KR239" s="140"/>
      <c r="KS239" s="140"/>
      <c r="KT239" s="140"/>
      <c r="KU239" s="140"/>
      <c r="KV239" s="140"/>
      <c r="KW239" s="140"/>
      <c r="KX239" s="140"/>
      <c r="KY239" s="140"/>
      <c r="KZ239" s="140"/>
      <c r="LA239" s="140"/>
      <c r="LB239" s="140"/>
      <c r="LC239" s="140"/>
      <c r="LD239" s="140"/>
      <c r="LE239" s="140"/>
      <c r="LF239" s="140"/>
      <c r="LG239" s="140"/>
      <c r="LH239" s="140"/>
      <c r="LI239" s="140"/>
      <c r="LJ239" s="140"/>
      <c r="LK239" s="140"/>
      <c r="LL239" s="140"/>
      <c r="LM239" s="140"/>
      <c r="LN239" s="140"/>
      <c r="LO239" s="140"/>
      <c r="LP239" s="140"/>
      <c r="LQ239" s="140"/>
      <c r="LR239" s="140"/>
      <c r="LS239" s="140"/>
      <c r="LT239" s="140"/>
      <c r="LU239" s="140"/>
      <c r="LV239" s="140"/>
      <c r="LW239" s="140"/>
      <c r="LX239" s="140"/>
      <c r="LY239" s="140"/>
      <c r="LZ239" s="140"/>
      <c r="MA239" s="140"/>
      <c r="MB239" s="140"/>
      <c r="MC239" s="140"/>
      <c r="MD239" s="140"/>
      <c r="ME239" s="140"/>
      <c r="MF239" s="140"/>
      <c r="MG239" s="140"/>
      <c r="MH239" s="140"/>
      <c r="MI239" s="140"/>
      <c r="MJ239" s="140"/>
      <c r="MK239" s="140"/>
      <c r="ML239" s="140"/>
    </row>
    <row r="240" spans="2:350" s="4" customFormat="1" ht="15" customHeight="1" x14ac:dyDescent="0.3">
      <c r="C240" s="159"/>
      <c r="D240" s="159" t="s">
        <v>147</v>
      </c>
      <c r="H240" s="140"/>
      <c r="I240" s="140"/>
      <c r="J240" s="140"/>
      <c r="K240" s="140"/>
      <c r="L240" s="140"/>
      <c r="M240" s="140"/>
      <c r="N240" s="140"/>
      <c r="O240" s="140"/>
      <c r="P240" s="140"/>
      <c r="Q240" s="140"/>
      <c r="R240" s="140"/>
      <c r="S240" s="140"/>
      <c r="T240" s="140"/>
      <c r="U240" s="140"/>
      <c r="V240" s="140"/>
      <c r="W240" s="140"/>
      <c r="X240" s="140"/>
      <c r="Y240" s="140"/>
      <c r="Z240" s="140"/>
      <c r="AA240" s="140"/>
      <c r="AB240" s="140"/>
      <c r="AC240" s="140"/>
      <c r="AD240" s="140"/>
      <c r="AE240" s="140"/>
      <c r="AF240" s="140"/>
      <c r="AG240" s="140"/>
      <c r="AH240" s="140"/>
      <c r="AI240" s="140"/>
      <c r="AJ240" s="140"/>
      <c r="AK240" s="140"/>
      <c r="AL240" s="140"/>
      <c r="AM240" s="140"/>
      <c r="AN240" s="140"/>
      <c r="AO240" s="140"/>
      <c r="AP240" s="140"/>
      <c r="AQ240" s="140"/>
      <c r="AR240" s="140"/>
      <c r="AS240" s="140"/>
      <c r="AT240" s="140"/>
      <c r="AU240" s="140"/>
      <c r="AV240" s="140"/>
      <c r="AW240" s="140"/>
      <c r="AX240" s="140"/>
      <c r="AY240" s="140"/>
      <c r="AZ240" s="140"/>
      <c r="BA240" s="140"/>
      <c r="BB240" s="140"/>
      <c r="BC240" s="140"/>
      <c r="BD240" s="140"/>
      <c r="BE240" s="140"/>
      <c r="BF240" s="140"/>
      <c r="BG240" s="140"/>
      <c r="BH240" s="140"/>
      <c r="BI240" s="140"/>
      <c r="BJ240" s="140"/>
      <c r="BK240" s="140"/>
      <c r="BL240" s="140"/>
      <c r="BM240" s="140"/>
      <c r="BN240" s="140"/>
      <c r="BO240" s="140"/>
      <c r="BP240" s="140"/>
      <c r="BQ240" s="140"/>
      <c r="BR240" s="140"/>
      <c r="BS240" s="140"/>
      <c r="BT240" s="140"/>
      <c r="BU240" s="140"/>
      <c r="BV240" s="140"/>
      <c r="BW240" s="140"/>
      <c r="BX240" s="140"/>
      <c r="BY240" s="140"/>
      <c r="BZ240" s="140"/>
      <c r="CA240" s="140"/>
      <c r="CB240" s="140"/>
      <c r="CC240" s="140"/>
      <c r="CD240" s="140"/>
      <c r="CE240" s="140"/>
      <c r="CF240" s="140"/>
      <c r="CG240" s="140"/>
      <c r="CH240" s="140"/>
      <c r="CI240" s="140"/>
      <c r="CJ240" s="140"/>
      <c r="CK240" s="140"/>
      <c r="CL240" s="140"/>
      <c r="CM240" s="140"/>
      <c r="CN240" s="140"/>
      <c r="CO240" s="140"/>
      <c r="CP240" s="140"/>
      <c r="CQ240" s="140"/>
      <c r="CR240" s="140"/>
      <c r="CS240" s="140"/>
      <c r="CT240" s="140"/>
      <c r="CU240" s="140"/>
      <c r="CV240" s="140"/>
      <c r="CW240" s="140"/>
      <c r="CX240" s="140"/>
      <c r="CY240" s="140"/>
      <c r="CZ240" s="140"/>
      <c r="DA240" s="140"/>
      <c r="DB240" s="140"/>
      <c r="DC240" s="140"/>
      <c r="DD240" s="140"/>
      <c r="DE240" s="140"/>
      <c r="DF240" s="140"/>
      <c r="DG240" s="140"/>
      <c r="DH240" s="140"/>
      <c r="DI240" s="140"/>
      <c r="DJ240" s="140"/>
      <c r="DK240" s="140"/>
      <c r="DL240" s="140"/>
      <c r="DM240" s="140"/>
      <c r="DN240" s="140"/>
      <c r="DO240" s="140"/>
      <c r="DP240" s="140"/>
      <c r="DQ240" s="140"/>
      <c r="DR240" s="140"/>
      <c r="DS240" s="140"/>
      <c r="DT240" s="140"/>
      <c r="DU240" s="140"/>
      <c r="DV240" s="140"/>
      <c r="DW240" s="140"/>
      <c r="DX240" s="140"/>
      <c r="DY240" s="140"/>
      <c r="DZ240" s="140"/>
      <c r="EA240" s="140"/>
      <c r="EB240" s="140"/>
      <c r="EC240" s="140"/>
      <c r="ED240" s="140"/>
      <c r="EE240" s="140"/>
      <c r="EF240" s="140"/>
      <c r="EG240" s="140"/>
      <c r="EH240" s="140"/>
      <c r="EI240" s="140"/>
      <c r="EJ240" s="140"/>
      <c r="EK240" s="140"/>
      <c r="EL240" s="140"/>
      <c r="EM240" s="140"/>
      <c r="EN240" s="140"/>
      <c r="EO240" s="140"/>
      <c r="EP240" s="140"/>
      <c r="EQ240" s="140"/>
      <c r="ER240" s="140"/>
      <c r="ES240" s="140"/>
      <c r="ET240" s="140"/>
      <c r="EU240" s="140"/>
      <c r="EV240" s="140"/>
      <c r="EW240" s="140"/>
      <c r="EX240" s="140"/>
      <c r="EY240" s="140"/>
      <c r="EZ240" s="140"/>
      <c r="FA240" s="140"/>
      <c r="FB240" s="140"/>
      <c r="FC240" s="140"/>
      <c r="FD240" s="140"/>
      <c r="FE240" s="140"/>
      <c r="FF240" s="140"/>
      <c r="FG240" s="140"/>
      <c r="FH240" s="140"/>
      <c r="FI240" s="140"/>
      <c r="FJ240" s="140"/>
      <c r="FK240" s="140"/>
      <c r="FL240" s="140"/>
      <c r="FM240" s="140"/>
      <c r="FN240" s="140"/>
      <c r="FO240" s="140"/>
      <c r="FP240" s="140"/>
      <c r="FQ240" s="140"/>
      <c r="FR240" s="140"/>
      <c r="FS240" s="140"/>
      <c r="FT240" s="140"/>
      <c r="FU240" s="140"/>
      <c r="FV240" s="140"/>
      <c r="FW240" s="140"/>
      <c r="FX240" s="140"/>
      <c r="FY240" s="140"/>
      <c r="FZ240" s="140"/>
      <c r="GA240" s="140"/>
      <c r="GB240" s="140"/>
      <c r="GC240" s="140"/>
      <c r="GD240" s="140"/>
      <c r="GE240" s="140"/>
      <c r="GF240" s="140"/>
      <c r="GG240" s="140"/>
      <c r="GH240" s="140"/>
      <c r="GI240" s="140"/>
      <c r="GJ240" s="140"/>
      <c r="GK240" s="140"/>
      <c r="GL240" s="140"/>
      <c r="GM240" s="140"/>
      <c r="GN240" s="140"/>
      <c r="GO240" s="140"/>
      <c r="GP240" s="140"/>
      <c r="GQ240" s="140"/>
      <c r="GR240" s="140"/>
      <c r="GS240" s="140"/>
      <c r="GT240" s="140"/>
      <c r="GU240" s="140"/>
      <c r="GV240" s="140"/>
      <c r="GW240" s="140"/>
      <c r="GX240" s="140"/>
      <c r="GY240" s="140"/>
      <c r="GZ240" s="140"/>
      <c r="HA240" s="140"/>
      <c r="HB240" s="140"/>
      <c r="HC240" s="140"/>
      <c r="HD240" s="140"/>
      <c r="HE240" s="140"/>
      <c r="HF240" s="140"/>
      <c r="HG240" s="140"/>
      <c r="HH240" s="140"/>
      <c r="HI240" s="140"/>
      <c r="HJ240" s="140"/>
      <c r="HK240" s="140"/>
      <c r="HL240" s="140"/>
      <c r="HM240" s="140"/>
      <c r="HN240" s="140"/>
      <c r="HO240" s="140"/>
      <c r="HP240" s="140"/>
      <c r="HQ240" s="140"/>
      <c r="HR240" s="140"/>
      <c r="HS240" s="140"/>
      <c r="HT240" s="140"/>
      <c r="HU240" s="140"/>
      <c r="HV240" s="140"/>
      <c r="HW240" s="140"/>
      <c r="HX240" s="140"/>
      <c r="HY240" s="140"/>
      <c r="HZ240" s="140"/>
      <c r="IA240" s="140"/>
      <c r="IB240" s="140"/>
      <c r="IC240" s="140"/>
      <c r="ID240" s="140"/>
      <c r="IE240" s="140"/>
      <c r="IF240" s="140"/>
      <c r="IG240" s="140"/>
      <c r="IH240" s="140"/>
      <c r="II240" s="140"/>
      <c r="IJ240" s="140"/>
      <c r="IK240" s="140"/>
      <c r="IL240" s="140"/>
      <c r="IM240" s="140"/>
      <c r="IN240" s="140"/>
      <c r="IO240" s="140"/>
      <c r="IP240" s="140"/>
      <c r="IQ240" s="140"/>
      <c r="IR240" s="140"/>
      <c r="IS240" s="140"/>
      <c r="IT240" s="140"/>
      <c r="IU240" s="140"/>
      <c r="IV240" s="140"/>
      <c r="IW240" s="140"/>
      <c r="IX240" s="140"/>
      <c r="IY240" s="140"/>
      <c r="IZ240" s="140"/>
      <c r="JA240" s="140"/>
      <c r="JB240" s="140"/>
      <c r="JC240" s="140"/>
      <c r="JD240" s="140"/>
      <c r="JE240" s="140"/>
      <c r="JF240" s="140"/>
      <c r="JG240" s="140"/>
      <c r="JH240" s="140"/>
      <c r="JI240" s="140"/>
      <c r="JJ240" s="140"/>
      <c r="JK240" s="140"/>
      <c r="JL240" s="140"/>
      <c r="JM240" s="140"/>
      <c r="JN240" s="140"/>
      <c r="JO240" s="140"/>
      <c r="JP240" s="140"/>
      <c r="JQ240" s="140"/>
      <c r="JR240" s="140"/>
      <c r="JS240" s="140"/>
      <c r="JT240" s="140"/>
      <c r="JU240" s="140"/>
      <c r="JV240" s="140"/>
      <c r="JW240" s="140"/>
      <c r="JX240" s="140"/>
      <c r="JY240" s="140"/>
      <c r="JZ240" s="140"/>
      <c r="KA240" s="140"/>
      <c r="KB240" s="140"/>
      <c r="KC240" s="140"/>
      <c r="KD240" s="140"/>
      <c r="KE240" s="140"/>
      <c r="KF240" s="140"/>
      <c r="KG240" s="140"/>
      <c r="KH240" s="140"/>
      <c r="KI240" s="140"/>
      <c r="KJ240" s="140"/>
      <c r="KK240" s="140"/>
      <c r="KL240" s="140"/>
      <c r="KM240" s="140"/>
      <c r="KN240" s="140"/>
      <c r="KO240" s="140"/>
      <c r="KP240" s="140"/>
      <c r="KQ240" s="140"/>
      <c r="KR240" s="140"/>
      <c r="KS240" s="140"/>
      <c r="KT240" s="140"/>
      <c r="KU240" s="140"/>
      <c r="KV240" s="140"/>
      <c r="KW240" s="140"/>
      <c r="KX240" s="140"/>
      <c r="KY240" s="140"/>
      <c r="KZ240" s="140"/>
      <c r="LA240" s="140"/>
      <c r="LB240" s="140"/>
      <c r="LC240" s="140"/>
      <c r="LD240" s="140"/>
      <c r="LE240" s="140"/>
      <c r="LF240" s="140"/>
      <c r="LG240" s="140"/>
      <c r="LH240" s="140"/>
      <c r="LI240" s="140"/>
      <c r="LJ240" s="140"/>
      <c r="LK240" s="140"/>
      <c r="LL240" s="140"/>
      <c r="LM240" s="140"/>
      <c r="LN240" s="140"/>
      <c r="LO240" s="140"/>
      <c r="LP240" s="140"/>
      <c r="LQ240" s="140"/>
      <c r="LR240" s="140"/>
      <c r="LS240" s="140"/>
      <c r="LT240" s="140"/>
      <c r="LU240" s="140"/>
      <c r="LV240" s="140"/>
      <c r="LW240" s="140"/>
      <c r="LX240" s="140"/>
      <c r="LY240" s="140"/>
      <c r="LZ240" s="140"/>
      <c r="MA240" s="140"/>
      <c r="MB240" s="140"/>
      <c r="MC240" s="140"/>
      <c r="MD240" s="140"/>
      <c r="ME240" s="140"/>
      <c r="MF240" s="140"/>
      <c r="MG240" s="140"/>
      <c r="MH240" s="140"/>
      <c r="MI240" s="140"/>
      <c r="MJ240" s="140"/>
      <c r="MK240" s="140"/>
      <c r="ML240" s="140"/>
    </row>
    <row r="241" spans="3:350" s="4" customFormat="1" ht="15" customHeight="1" x14ac:dyDescent="0.3">
      <c r="C241" s="158"/>
      <c r="D241" s="69"/>
      <c r="H241" s="140"/>
      <c r="I241" s="140"/>
      <c r="J241" s="140"/>
      <c r="K241" s="140"/>
      <c r="L241" s="140"/>
      <c r="M241" s="140"/>
      <c r="N241" s="140"/>
      <c r="O241" s="140"/>
      <c r="P241" s="140"/>
      <c r="Q241" s="140"/>
      <c r="R241" s="140"/>
      <c r="S241" s="140"/>
      <c r="T241" s="140"/>
      <c r="U241" s="140"/>
      <c r="V241" s="140"/>
      <c r="W241" s="140"/>
      <c r="X241" s="140"/>
      <c r="Y241" s="140"/>
      <c r="Z241" s="140"/>
      <c r="AA241" s="140"/>
      <c r="AB241" s="140"/>
      <c r="AC241" s="140"/>
      <c r="AD241" s="140"/>
      <c r="AE241" s="140"/>
      <c r="AF241" s="140"/>
      <c r="AG241" s="140"/>
      <c r="AH241" s="140"/>
      <c r="AI241" s="140"/>
      <c r="AJ241" s="140"/>
      <c r="AK241" s="140"/>
      <c r="AL241" s="140"/>
      <c r="AM241" s="140"/>
      <c r="AN241" s="140"/>
      <c r="AO241" s="140"/>
      <c r="AP241" s="140"/>
      <c r="AQ241" s="140"/>
      <c r="AR241" s="140"/>
      <c r="AS241" s="140"/>
      <c r="AT241" s="140"/>
      <c r="AU241" s="140"/>
      <c r="AV241" s="140"/>
      <c r="AW241" s="140"/>
      <c r="AX241" s="140"/>
      <c r="AY241" s="140"/>
      <c r="AZ241" s="140"/>
      <c r="BA241" s="140"/>
      <c r="BB241" s="140"/>
      <c r="BC241" s="140"/>
      <c r="BD241" s="140"/>
      <c r="BE241" s="140"/>
      <c r="BF241" s="140"/>
      <c r="BG241" s="140"/>
      <c r="BH241" s="140"/>
      <c r="BI241" s="140"/>
      <c r="BJ241" s="140"/>
      <c r="BK241" s="140"/>
      <c r="BL241" s="140"/>
      <c r="BM241" s="140"/>
      <c r="BN241" s="140"/>
      <c r="BO241" s="140"/>
      <c r="BP241" s="140"/>
      <c r="BQ241" s="140"/>
      <c r="BR241" s="140"/>
      <c r="BS241" s="140"/>
      <c r="BT241" s="140"/>
      <c r="BU241" s="140"/>
      <c r="BV241" s="140"/>
      <c r="BW241" s="140"/>
      <c r="BX241" s="140"/>
      <c r="BY241" s="140"/>
      <c r="BZ241" s="140"/>
      <c r="CA241" s="140"/>
      <c r="CB241" s="140"/>
      <c r="CC241" s="140"/>
      <c r="CD241" s="140"/>
      <c r="CE241" s="140"/>
      <c r="CF241" s="140"/>
      <c r="CG241" s="140"/>
      <c r="CH241" s="140"/>
      <c r="CI241" s="140"/>
      <c r="CJ241" s="140"/>
      <c r="CK241" s="140"/>
      <c r="CL241" s="140"/>
      <c r="CM241" s="140"/>
      <c r="CN241" s="140"/>
      <c r="CO241" s="140"/>
      <c r="CP241" s="140"/>
      <c r="CQ241" s="140"/>
      <c r="CR241" s="140"/>
      <c r="CS241" s="140"/>
      <c r="CT241" s="140"/>
      <c r="CU241" s="140"/>
      <c r="CV241" s="140"/>
      <c r="CW241" s="140"/>
      <c r="CX241" s="140"/>
      <c r="CY241" s="140"/>
      <c r="CZ241" s="140"/>
      <c r="DA241" s="140"/>
      <c r="DB241" s="140"/>
      <c r="DC241" s="140"/>
      <c r="DD241" s="140"/>
      <c r="DE241" s="140"/>
      <c r="DF241" s="140"/>
      <c r="DG241" s="140"/>
      <c r="DH241" s="140"/>
      <c r="DI241" s="140"/>
      <c r="DJ241" s="140"/>
      <c r="DK241" s="140"/>
      <c r="DL241" s="140"/>
      <c r="DM241" s="140"/>
      <c r="DN241" s="140"/>
      <c r="DO241" s="140"/>
      <c r="DP241" s="140"/>
      <c r="DQ241" s="140"/>
      <c r="DR241" s="140"/>
      <c r="DS241" s="140"/>
      <c r="DT241" s="140"/>
      <c r="DU241" s="140"/>
      <c r="DV241" s="140"/>
      <c r="DW241" s="140"/>
      <c r="DX241" s="140"/>
      <c r="DY241" s="140"/>
      <c r="DZ241" s="140"/>
      <c r="EA241" s="140"/>
      <c r="EB241" s="140"/>
      <c r="EC241" s="140"/>
      <c r="ED241" s="140"/>
      <c r="EE241" s="140"/>
      <c r="EF241" s="140"/>
      <c r="EG241" s="140"/>
      <c r="EH241" s="140"/>
      <c r="EI241" s="140"/>
      <c r="EJ241" s="140"/>
      <c r="EK241" s="140"/>
      <c r="EL241" s="140"/>
      <c r="EM241" s="140"/>
      <c r="EN241" s="140"/>
      <c r="EO241" s="140"/>
      <c r="EP241" s="140"/>
      <c r="EQ241" s="140"/>
      <c r="ER241" s="140"/>
      <c r="ES241" s="140"/>
      <c r="ET241" s="140"/>
      <c r="EU241" s="140"/>
      <c r="EV241" s="140"/>
      <c r="EW241" s="140"/>
      <c r="EX241" s="140"/>
      <c r="EY241" s="140"/>
      <c r="EZ241" s="140"/>
      <c r="FA241" s="140"/>
      <c r="FB241" s="140"/>
      <c r="FC241" s="140"/>
      <c r="FD241" s="140"/>
      <c r="FE241" s="140"/>
      <c r="FF241" s="140"/>
      <c r="FG241" s="140"/>
      <c r="FH241" s="140"/>
      <c r="FI241" s="140"/>
      <c r="FJ241" s="140"/>
      <c r="FK241" s="140"/>
      <c r="FL241" s="140"/>
      <c r="FM241" s="140"/>
      <c r="FN241" s="140"/>
      <c r="FO241" s="140"/>
      <c r="FP241" s="140"/>
      <c r="FQ241" s="140"/>
      <c r="FR241" s="140"/>
      <c r="FS241" s="140"/>
      <c r="FT241" s="140"/>
      <c r="FU241" s="140"/>
      <c r="FV241" s="140"/>
      <c r="FW241" s="140"/>
      <c r="FX241" s="140"/>
      <c r="FY241" s="140"/>
      <c r="FZ241" s="140"/>
      <c r="GA241" s="140"/>
      <c r="GB241" s="140"/>
      <c r="GC241" s="140"/>
      <c r="GD241" s="140"/>
      <c r="GE241" s="140"/>
      <c r="GF241" s="140"/>
      <c r="GG241" s="140"/>
      <c r="GH241" s="140"/>
      <c r="GI241" s="140"/>
      <c r="GJ241" s="140"/>
      <c r="GK241" s="140"/>
      <c r="GL241" s="140"/>
      <c r="GM241" s="140"/>
      <c r="GN241" s="140"/>
      <c r="GO241" s="140"/>
      <c r="GP241" s="140"/>
      <c r="GQ241" s="140"/>
      <c r="GR241" s="140"/>
      <c r="GS241" s="140"/>
      <c r="GT241" s="140"/>
      <c r="GU241" s="140"/>
      <c r="GV241" s="140"/>
      <c r="GW241" s="140"/>
      <c r="GX241" s="140"/>
      <c r="GY241" s="140"/>
      <c r="GZ241" s="140"/>
      <c r="HA241" s="140"/>
      <c r="HB241" s="140"/>
      <c r="HC241" s="140"/>
      <c r="HD241" s="140"/>
      <c r="HE241" s="140"/>
      <c r="HF241" s="140"/>
      <c r="HG241" s="140"/>
      <c r="HH241" s="140"/>
      <c r="HI241" s="140"/>
      <c r="HJ241" s="140"/>
      <c r="HK241" s="140"/>
      <c r="HL241" s="140"/>
      <c r="HM241" s="140"/>
      <c r="HN241" s="140"/>
      <c r="HO241" s="140"/>
      <c r="HP241" s="140"/>
      <c r="HQ241" s="140"/>
      <c r="HR241" s="140"/>
      <c r="HS241" s="140"/>
      <c r="HT241" s="140"/>
      <c r="HU241" s="140"/>
      <c r="HV241" s="140"/>
      <c r="HW241" s="140"/>
      <c r="HX241" s="140"/>
      <c r="HY241" s="140"/>
      <c r="HZ241" s="140"/>
      <c r="IA241" s="140"/>
      <c r="IB241" s="140"/>
      <c r="IC241" s="140"/>
      <c r="ID241" s="140"/>
      <c r="IE241" s="140"/>
      <c r="IF241" s="140"/>
      <c r="IG241" s="140"/>
      <c r="IH241" s="140"/>
      <c r="II241" s="140"/>
      <c r="IJ241" s="140"/>
      <c r="IK241" s="140"/>
      <c r="IL241" s="140"/>
      <c r="IM241" s="140"/>
      <c r="IN241" s="140"/>
      <c r="IO241" s="140"/>
      <c r="IP241" s="140"/>
      <c r="IQ241" s="140"/>
      <c r="IR241" s="140"/>
      <c r="IS241" s="140"/>
      <c r="IT241" s="140"/>
      <c r="IU241" s="140"/>
      <c r="IV241" s="140"/>
      <c r="IW241" s="140"/>
      <c r="IX241" s="140"/>
      <c r="IY241" s="140"/>
      <c r="IZ241" s="140"/>
      <c r="JA241" s="140"/>
      <c r="JB241" s="140"/>
      <c r="JC241" s="140"/>
      <c r="JD241" s="140"/>
      <c r="JE241" s="140"/>
      <c r="JF241" s="140"/>
      <c r="JG241" s="140"/>
      <c r="JH241" s="140"/>
      <c r="JI241" s="140"/>
      <c r="JJ241" s="140"/>
      <c r="JK241" s="140"/>
      <c r="JL241" s="140"/>
      <c r="JM241" s="140"/>
      <c r="JN241" s="140"/>
      <c r="JO241" s="140"/>
      <c r="JP241" s="140"/>
      <c r="JQ241" s="140"/>
      <c r="JR241" s="140"/>
      <c r="JS241" s="140"/>
      <c r="JT241" s="140"/>
      <c r="JU241" s="140"/>
      <c r="JV241" s="140"/>
      <c r="JW241" s="140"/>
      <c r="JX241" s="140"/>
      <c r="JY241" s="140"/>
      <c r="JZ241" s="140"/>
      <c r="KA241" s="140"/>
      <c r="KB241" s="140"/>
      <c r="KC241" s="140"/>
      <c r="KD241" s="140"/>
      <c r="KE241" s="140"/>
      <c r="KF241" s="140"/>
      <c r="KG241" s="140"/>
      <c r="KH241" s="140"/>
      <c r="KI241" s="140"/>
      <c r="KJ241" s="140"/>
      <c r="KK241" s="140"/>
      <c r="KL241" s="140"/>
      <c r="KM241" s="140"/>
      <c r="KN241" s="140"/>
      <c r="KO241" s="140"/>
      <c r="KP241" s="140"/>
      <c r="KQ241" s="140"/>
      <c r="KR241" s="140"/>
      <c r="KS241" s="140"/>
      <c r="KT241" s="140"/>
      <c r="KU241" s="140"/>
      <c r="KV241" s="140"/>
      <c r="KW241" s="140"/>
      <c r="KX241" s="140"/>
      <c r="KY241" s="140"/>
      <c r="KZ241" s="140"/>
      <c r="LA241" s="140"/>
      <c r="LB241" s="140"/>
      <c r="LC241" s="140"/>
      <c r="LD241" s="140"/>
      <c r="LE241" s="140"/>
      <c r="LF241" s="140"/>
      <c r="LG241" s="140"/>
      <c r="LH241" s="140"/>
      <c r="LI241" s="140"/>
      <c r="LJ241" s="140"/>
      <c r="LK241" s="140"/>
      <c r="LL241" s="140"/>
      <c r="LM241" s="140"/>
      <c r="LN241" s="140"/>
      <c r="LO241" s="140"/>
      <c r="LP241" s="140"/>
      <c r="LQ241" s="140"/>
      <c r="LR241" s="140"/>
      <c r="LS241" s="140"/>
      <c r="LT241" s="140"/>
      <c r="LU241" s="140"/>
      <c r="LV241" s="140"/>
      <c r="LW241" s="140"/>
      <c r="LX241" s="140"/>
      <c r="LY241" s="140"/>
      <c r="LZ241" s="140"/>
      <c r="MA241" s="140"/>
      <c r="MB241" s="140"/>
      <c r="MC241" s="140"/>
      <c r="MD241" s="140"/>
      <c r="ME241" s="140"/>
      <c r="MF241" s="140"/>
      <c r="MG241" s="140"/>
      <c r="MH241" s="140"/>
      <c r="MI241" s="140"/>
      <c r="MJ241" s="140"/>
      <c r="MK241" s="140"/>
      <c r="ML241" s="140"/>
    </row>
    <row r="242" spans="3:350" s="4" customFormat="1" ht="15" customHeight="1" x14ac:dyDescent="0.3">
      <c r="C242" s="159" t="s">
        <v>148</v>
      </c>
      <c r="D242" s="79" t="s">
        <v>110</v>
      </c>
      <c r="H242" s="140"/>
      <c r="I242" s="140"/>
      <c r="J242" s="140"/>
      <c r="K242" s="140"/>
      <c r="L242" s="140"/>
      <c r="M242" s="140"/>
      <c r="N242" s="140"/>
      <c r="O242" s="140"/>
      <c r="P242" s="140"/>
      <c r="Q242" s="140"/>
      <c r="R242" s="140"/>
      <c r="S242" s="140"/>
      <c r="T242" s="140"/>
      <c r="U242" s="140"/>
      <c r="V242" s="140"/>
      <c r="W242" s="140"/>
      <c r="X242" s="140"/>
      <c r="Y242" s="140"/>
      <c r="Z242" s="140"/>
      <c r="AA242" s="140"/>
      <c r="AB242" s="140"/>
      <c r="AC242" s="140"/>
      <c r="AD242" s="140"/>
      <c r="AE242" s="140"/>
      <c r="AF242" s="140"/>
      <c r="AG242" s="140"/>
      <c r="AH242" s="140"/>
      <c r="AI242" s="140"/>
      <c r="AJ242" s="140"/>
      <c r="AK242" s="140"/>
      <c r="AL242" s="140"/>
      <c r="AM242" s="140"/>
      <c r="AN242" s="140"/>
      <c r="AO242" s="140"/>
      <c r="AP242" s="140"/>
      <c r="AQ242" s="140"/>
      <c r="AR242" s="140"/>
      <c r="AS242" s="140"/>
      <c r="AT242" s="140"/>
      <c r="AU242" s="140"/>
      <c r="AV242" s="140"/>
      <c r="AW242" s="140"/>
      <c r="AX242" s="140"/>
      <c r="AY242" s="140"/>
      <c r="AZ242" s="140"/>
      <c r="BA242" s="140"/>
      <c r="BB242" s="140"/>
      <c r="BC242" s="140"/>
      <c r="BD242" s="140"/>
      <c r="BE242" s="140"/>
      <c r="BF242" s="140"/>
      <c r="BG242" s="140"/>
      <c r="BH242" s="140"/>
      <c r="BI242" s="140"/>
      <c r="BJ242" s="140"/>
      <c r="BK242" s="140"/>
      <c r="BL242" s="140"/>
      <c r="BM242" s="140"/>
      <c r="BN242" s="140"/>
      <c r="BO242" s="140"/>
      <c r="BP242" s="140"/>
      <c r="BQ242" s="140"/>
      <c r="BR242" s="140"/>
      <c r="BS242" s="140"/>
      <c r="BT242" s="140"/>
      <c r="BU242" s="140"/>
      <c r="BV242" s="140"/>
      <c r="BW242" s="140"/>
      <c r="BX242" s="140"/>
      <c r="BY242" s="140"/>
      <c r="BZ242" s="140"/>
      <c r="CA242" s="140"/>
      <c r="CB242" s="140"/>
      <c r="CC242" s="140"/>
      <c r="CD242" s="140"/>
      <c r="CE242" s="140"/>
      <c r="CF242" s="140"/>
      <c r="CG242" s="140"/>
      <c r="CH242" s="140"/>
      <c r="CI242" s="140"/>
      <c r="CJ242" s="140"/>
      <c r="CK242" s="140"/>
      <c r="CL242" s="140"/>
      <c r="CM242" s="140"/>
      <c r="CN242" s="140"/>
      <c r="CO242" s="140"/>
      <c r="CP242" s="140"/>
      <c r="CQ242" s="140"/>
      <c r="CR242" s="140"/>
      <c r="CS242" s="140"/>
      <c r="CT242" s="140"/>
      <c r="CU242" s="140"/>
      <c r="CV242" s="140"/>
      <c r="CW242" s="140"/>
      <c r="CX242" s="140"/>
      <c r="CY242" s="140"/>
      <c r="CZ242" s="140"/>
      <c r="DA242" s="140"/>
      <c r="DB242" s="140"/>
      <c r="DC242" s="140"/>
      <c r="DD242" s="140"/>
      <c r="DE242" s="140"/>
      <c r="DF242" s="140"/>
      <c r="DG242" s="140"/>
      <c r="DH242" s="140"/>
      <c r="DI242" s="140"/>
      <c r="DJ242" s="140"/>
      <c r="DK242" s="140"/>
      <c r="DL242" s="140"/>
      <c r="DM242" s="140"/>
      <c r="DN242" s="140"/>
      <c r="DO242" s="140"/>
      <c r="DP242" s="140"/>
      <c r="DQ242" s="140"/>
      <c r="DR242" s="140"/>
      <c r="DS242" s="140"/>
      <c r="DT242" s="140"/>
      <c r="DU242" s="140"/>
      <c r="DV242" s="140"/>
      <c r="DW242" s="140"/>
      <c r="DX242" s="140"/>
      <c r="DY242" s="140"/>
      <c r="DZ242" s="140"/>
      <c r="EA242" s="140"/>
      <c r="EB242" s="140"/>
      <c r="EC242" s="140"/>
      <c r="ED242" s="140"/>
      <c r="EE242" s="140"/>
      <c r="EF242" s="140"/>
      <c r="EG242" s="140"/>
      <c r="EH242" s="140"/>
      <c r="EI242" s="140"/>
      <c r="EJ242" s="140"/>
      <c r="EK242" s="140"/>
      <c r="EL242" s="140"/>
      <c r="EM242" s="140"/>
      <c r="EN242" s="140"/>
      <c r="EO242" s="140"/>
      <c r="EP242" s="140"/>
      <c r="EQ242" s="140"/>
      <c r="ER242" s="140"/>
      <c r="ES242" s="140"/>
      <c r="ET242" s="140"/>
      <c r="EU242" s="140"/>
      <c r="EV242" s="140"/>
      <c r="EW242" s="140"/>
      <c r="EX242" s="140"/>
      <c r="EY242" s="140"/>
      <c r="EZ242" s="140"/>
      <c r="FA242" s="140"/>
      <c r="FB242" s="140"/>
      <c r="FC242" s="140"/>
      <c r="FD242" s="140"/>
      <c r="FE242" s="140"/>
      <c r="FF242" s="140"/>
      <c r="FG242" s="140"/>
      <c r="FH242" s="140"/>
      <c r="FI242" s="140"/>
      <c r="FJ242" s="140"/>
      <c r="FK242" s="140"/>
      <c r="FL242" s="140"/>
      <c r="FM242" s="140"/>
      <c r="FN242" s="140"/>
      <c r="FO242" s="140"/>
      <c r="FP242" s="140"/>
      <c r="FQ242" s="140"/>
      <c r="FR242" s="140"/>
      <c r="FS242" s="140"/>
      <c r="FT242" s="140"/>
      <c r="FU242" s="140"/>
      <c r="FV242" s="140"/>
      <c r="FW242" s="140"/>
      <c r="FX242" s="140"/>
      <c r="FY242" s="140"/>
      <c r="FZ242" s="140"/>
      <c r="GA242" s="140"/>
      <c r="GB242" s="140"/>
      <c r="GC242" s="140"/>
      <c r="GD242" s="140"/>
      <c r="GE242" s="140"/>
      <c r="GF242" s="140"/>
      <c r="GG242" s="140"/>
      <c r="GH242" s="140"/>
      <c r="GI242" s="140"/>
      <c r="GJ242" s="140"/>
      <c r="GK242" s="140"/>
      <c r="GL242" s="140"/>
      <c r="GM242" s="140"/>
      <c r="GN242" s="140"/>
      <c r="GO242" s="140"/>
      <c r="GP242" s="140"/>
      <c r="GQ242" s="140"/>
      <c r="GR242" s="140"/>
      <c r="GS242" s="140"/>
      <c r="GT242" s="140"/>
      <c r="GU242" s="140"/>
      <c r="GV242" s="140"/>
      <c r="GW242" s="140"/>
      <c r="GX242" s="140"/>
      <c r="GY242" s="140"/>
      <c r="GZ242" s="140"/>
      <c r="HA242" s="140"/>
      <c r="HB242" s="140"/>
      <c r="HC242" s="140"/>
      <c r="HD242" s="140"/>
      <c r="HE242" s="140"/>
      <c r="HF242" s="140"/>
      <c r="HG242" s="140"/>
      <c r="HH242" s="140"/>
      <c r="HI242" s="140"/>
      <c r="HJ242" s="140"/>
      <c r="HK242" s="140"/>
      <c r="HL242" s="140"/>
      <c r="HM242" s="140"/>
      <c r="HN242" s="140"/>
      <c r="HO242" s="140"/>
      <c r="HP242" s="140"/>
      <c r="HQ242" s="140"/>
      <c r="HR242" s="140"/>
      <c r="HS242" s="140"/>
      <c r="HT242" s="140"/>
      <c r="HU242" s="140"/>
      <c r="HV242" s="140"/>
      <c r="HW242" s="140"/>
      <c r="HX242" s="140"/>
      <c r="HY242" s="140"/>
      <c r="HZ242" s="140"/>
      <c r="IA242" s="140"/>
      <c r="IB242" s="140"/>
      <c r="IC242" s="140"/>
      <c r="ID242" s="140"/>
      <c r="IE242" s="140"/>
      <c r="IF242" s="140"/>
      <c r="IG242" s="140"/>
      <c r="IH242" s="140"/>
      <c r="II242" s="140"/>
      <c r="IJ242" s="140"/>
      <c r="IK242" s="140"/>
      <c r="IL242" s="140"/>
      <c r="IM242" s="140"/>
      <c r="IN242" s="140"/>
      <c r="IO242" s="140"/>
      <c r="IP242" s="140"/>
      <c r="IQ242" s="140"/>
      <c r="IR242" s="140"/>
      <c r="IS242" s="140"/>
      <c r="IT242" s="140"/>
      <c r="IU242" s="140"/>
      <c r="IV242" s="140"/>
      <c r="IW242" s="140"/>
      <c r="IX242" s="140"/>
      <c r="IY242" s="140"/>
      <c r="IZ242" s="140"/>
      <c r="JA242" s="140"/>
      <c r="JB242" s="140"/>
      <c r="JC242" s="140"/>
      <c r="JD242" s="140"/>
      <c r="JE242" s="140"/>
      <c r="JF242" s="140"/>
      <c r="JG242" s="140"/>
      <c r="JH242" s="140"/>
      <c r="JI242" s="140"/>
      <c r="JJ242" s="140"/>
      <c r="JK242" s="140"/>
      <c r="JL242" s="140"/>
      <c r="JM242" s="140"/>
      <c r="JN242" s="140"/>
      <c r="JO242" s="140"/>
      <c r="JP242" s="140"/>
      <c r="JQ242" s="140"/>
      <c r="JR242" s="140"/>
      <c r="JS242" s="140"/>
      <c r="JT242" s="140"/>
      <c r="JU242" s="140"/>
      <c r="JV242" s="140"/>
      <c r="JW242" s="140"/>
      <c r="JX242" s="140"/>
      <c r="JY242" s="140"/>
      <c r="JZ242" s="140"/>
      <c r="KA242" s="140"/>
      <c r="KB242" s="140"/>
      <c r="KC242" s="140"/>
      <c r="KD242" s="140"/>
      <c r="KE242" s="140"/>
      <c r="KF242" s="140"/>
      <c r="KG242" s="140"/>
      <c r="KH242" s="140"/>
      <c r="KI242" s="140"/>
      <c r="KJ242" s="140"/>
      <c r="KK242" s="140"/>
      <c r="KL242" s="140"/>
      <c r="KM242" s="140"/>
      <c r="KN242" s="140"/>
      <c r="KO242" s="140"/>
      <c r="KP242" s="140"/>
      <c r="KQ242" s="140"/>
      <c r="KR242" s="140"/>
      <c r="KS242" s="140"/>
      <c r="KT242" s="140"/>
      <c r="KU242" s="140"/>
      <c r="KV242" s="140"/>
      <c r="KW242" s="140"/>
      <c r="KX242" s="140"/>
      <c r="KY242" s="140"/>
      <c r="KZ242" s="140"/>
      <c r="LA242" s="140"/>
      <c r="LB242" s="140"/>
      <c r="LC242" s="140"/>
      <c r="LD242" s="140"/>
      <c r="LE242" s="140"/>
      <c r="LF242" s="140"/>
      <c r="LG242" s="140"/>
      <c r="LH242" s="140"/>
      <c r="LI242" s="140"/>
      <c r="LJ242" s="140"/>
      <c r="LK242" s="140"/>
      <c r="LL242" s="140"/>
      <c r="LM242" s="140"/>
      <c r="LN242" s="140"/>
      <c r="LO242" s="140"/>
      <c r="LP242" s="140"/>
      <c r="LQ242" s="140"/>
      <c r="LR242" s="140"/>
      <c r="LS242" s="140"/>
      <c r="LT242" s="140"/>
      <c r="LU242" s="140"/>
      <c r="LV242" s="140"/>
      <c r="LW242" s="140"/>
      <c r="LX242" s="140"/>
      <c r="LY242" s="140"/>
      <c r="LZ242" s="140"/>
      <c r="MA242" s="140"/>
      <c r="MB242" s="140"/>
      <c r="MC242" s="140"/>
      <c r="MD242" s="140"/>
      <c r="ME242" s="140"/>
      <c r="MF242" s="140"/>
      <c r="MG242" s="140"/>
      <c r="MH242" s="140"/>
      <c r="MI242" s="140"/>
      <c r="MJ242" s="140"/>
      <c r="MK242" s="140"/>
      <c r="ML242" s="140"/>
    </row>
    <row r="243" spans="3:350" s="4" customFormat="1" ht="15" customHeight="1" x14ac:dyDescent="0.3">
      <c r="C243" s="159"/>
      <c r="D243" s="79" t="s">
        <v>149</v>
      </c>
      <c r="H243" s="140"/>
      <c r="I243" s="140"/>
      <c r="J243" s="140"/>
      <c r="K243" s="140"/>
      <c r="L243" s="140"/>
      <c r="M243" s="140"/>
      <c r="N243" s="140"/>
      <c r="O243" s="140"/>
      <c r="P243" s="140"/>
      <c r="Q243" s="140"/>
      <c r="R243" s="140"/>
      <c r="S243" s="140"/>
      <c r="T243" s="140"/>
      <c r="U243" s="140"/>
      <c r="V243" s="140"/>
      <c r="W243" s="140"/>
      <c r="X243" s="140"/>
      <c r="Y243" s="140"/>
      <c r="Z243" s="140"/>
      <c r="AA243" s="140"/>
      <c r="AB243" s="140"/>
      <c r="AC243" s="140"/>
      <c r="AD243" s="140"/>
      <c r="AE243" s="140"/>
      <c r="AF243" s="140"/>
      <c r="AG243" s="140"/>
      <c r="AH243" s="140"/>
      <c r="AI243" s="140"/>
      <c r="AJ243" s="140"/>
      <c r="AK243" s="140"/>
      <c r="AL243" s="140"/>
      <c r="AM243" s="140"/>
      <c r="AN243" s="140"/>
      <c r="AO243" s="140"/>
      <c r="AP243" s="140"/>
      <c r="AQ243" s="140"/>
      <c r="AR243" s="140"/>
      <c r="AS243" s="140"/>
      <c r="AT243" s="140"/>
      <c r="AU243" s="140"/>
      <c r="AV243" s="140"/>
      <c r="AW243" s="140"/>
      <c r="AX243" s="140"/>
      <c r="AY243" s="140"/>
      <c r="AZ243" s="140"/>
      <c r="BA243" s="140"/>
      <c r="BB243" s="140"/>
      <c r="BC243" s="140"/>
      <c r="BD243" s="140"/>
      <c r="BE243" s="140"/>
      <c r="BF243" s="140"/>
      <c r="BG243" s="140"/>
      <c r="BH243" s="140"/>
      <c r="BI243" s="140"/>
      <c r="BJ243" s="140"/>
      <c r="BK243" s="140"/>
      <c r="BL243" s="140"/>
      <c r="BM243" s="140"/>
      <c r="BN243" s="140"/>
      <c r="BO243" s="140"/>
      <c r="BP243" s="140"/>
      <c r="BQ243" s="140"/>
      <c r="BR243" s="140"/>
      <c r="BS243" s="140"/>
      <c r="BT243" s="140"/>
      <c r="BU243" s="140"/>
      <c r="BV243" s="140"/>
      <c r="BW243" s="140"/>
      <c r="BX243" s="140"/>
      <c r="BY243" s="140"/>
      <c r="BZ243" s="140"/>
      <c r="CA243" s="140"/>
      <c r="CB243" s="140"/>
      <c r="CC243" s="140"/>
      <c r="CD243" s="140"/>
      <c r="CE243" s="140"/>
      <c r="CF243" s="140"/>
      <c r="CG243" s="140"/>
      <c r="CH243" s="140"/>
      <c r="CI243" s="140"/>
      <c r="CJ243" s="140"/>
      <c r="CK243" s="140"/>
      <c r="CL243" s="140"/>
      <c r="CM243" s="140"/>
      <c r="CN243" s="140"/>
      <c r="CO243" s="140"/>
      <c r="CP243" s="140"/>
      <c r="CQ243" s="140"/>
      <c r="CR243" s="140"/>
      <c r="CS243" s="140"/>
      <c r="CT243" s="140"/>
      <c r="CU243" s="140"/>
      <c r="CV243" s="140"/>
      <c r="CW243" s="140"/>
      <c r="CX243" s="140"/>
      <c r="CY243" s="140"/>
      <c r="CZ243" s="140"/>
      <c r="DA243" s="140"/>
      <c r="DB243" s="140"/>
      <c r="DC243" s="140"/>
      <c r="DD243" s="140"/>
      <c r="DE243" s="140"/>
      <c r="DF243" s="140"/>
      <c r="DG243" s="140"/>
      <c r="DH243" s="140"/>
      <c r="DI243" s="140"/>
      <c r="DJ243" s="140"/>
      <c r="DK243" s="140"/>
      <c r="DL243" s="140"/>
      <c r="DM243" s="140"/>
      <c r="DN243" s="140"/>
      <c r="DO243" s="140"/>
      <c r="DP243" s="140"/>
      <c r="DQ243" s="140"/>
      <c r="DR243" s="140"/>
      <c r="DS243" s="140"/>
      <c r="DT243" s="140"/>
      <c r="DU243" s="140"/>
      <c r="DV243" s="140"/>
      <c r="DW243" s="140"/>
      <c r="DX243" s="140"/>
      <c r="DY243" s="140"/>
      <c r="DZ243" s="140"/>
      <c r="EA243" s="140"/>
      <c r="EB243" s="140"/>
      <c r="EC243" s="140"/>
      <c r="ED243" s="140"/>
      <c r="EE243" s="140"/>
      <c r="EF243" s="140"/>
      <c r="EG243" s="140"/>
      <c r="EH243" s="140"/>
      <c r="EI243" s="140"/>
      <c r="EJ243" s="140"/>
      <c r="EK243" s="140"/>
      <c r="EL243" s="140"/>
      <c r="EM243" s="140"/>
      <c r="EN243" s="140"/>
      <c r="EO243" s="140"/>
      <c r="EP243" s="140"/>
      <c r="EQ243" s="140"/>
      <c r="ER243" s="140"/>
      <c r="ES243" s="140"/>
      <c r="ET243" s="140"/>
      <c r="EU243" s="140"/>
      <c r="EV243" s="140"/>
      <c r="EW243" s="140"/>
      <c r="EX243" s="140"/>
      <c r="EY243" s="140"/>
      <c r="EZ243" s="140"/>
      <c r="FA243" s="140"/>
      <c r="FB243" s="140"/>
      <c r="FC243" s="140"/>
      <c r="FD243" s="140"/>
      <c r="FE243" s="140"/>
      <c r="FF243" s="140"/>
      <c r="FG243" s="140"/>
      <c r="FH243" s="140"/>
      <c r="FI243" s="140"/>
      <c r="FJ243" s="140"/>
      <c r="FK243" s="140"/>
      <c r="FL243" s="140"/>
      <c r="FM243" s="140"/>
      <c r="FN243" s="140"/>
      <c r="FO243" s="140"/>
      <c r="FP243" s="140"/>
      <c r="FQ243" s="140"/>
      <c r="FR243" s="140"/>
      <c r="FS243" s="140"/>
      <c r="FT243" s="140"/>
      <c r="FU243" s="140"/>
      <c r="FV243" s="140"/>
      <c r="FW243" s="140"/>
      <c r="FX243" s="140"/>
      <c r="FY243" s="140"/>
      <c r="FZ243" s="140"/>
      <c r="GA243" s="140"/>
      <c r="GB243" s="140"/>
      <c r="GC243" s="140"/>
      <c r="GD243" s="140"/>
      <c r="GE243" s="140"/>
      <c r="GF243" s="140"/>
      <c r="GG243" s="140"/>
      <c r="GH243" s="140"/>
      <c r="GI243" s="140"/>
      <c r="GJ243" s="140"/>
      <c r="GK243" s="140"/>
      <c r="GL243" s="140"/>
      <c r="GM243" s="140"/>
      <c r="GN243" s="140"/>
      <c r="GO243" s="140"/>
      <c r="GP243" s="140"/>
      <c r="GQ243" s="140"/>
      <c r="GR243" s="140"/>
      <c r="GS243" s="140"/>
      <c r="GT243" s="140"/>
      <c r="GU243" s="140"/>
      <c r="GV243" s="140"/>
      <c r="GW243" s="140"/>
      <c r="GX243" s="140"/>
      <c r="GY243" s="140"/>
      <c r="GZ243" s="140"/>
      <c r="HA243" s="140"/>
      <c r="HB243" s="140"/>
      <c r="HC243" s="140"/>
      <c r="HD243" s="140"/>
      <c r="HE243" s="140"/>
      <c r="HF243" s="140"/>
      <c r="HG243" s="140"/>
      <c r="HH243" s="140"/>
      <c r="HI243" s="140"/>
      <c r="HJ243" s="140"/>
      <c r="HK243" s="140"/>
      <c r="HL243" s="140"/>
      <c r="HM243" s="140"/>
      <c r="HN243" s="140"/>
      <c r="HO243" s="140"/>
      <c r="HP243" s="140"/>
      <c r="HQ243" s="140"/>
      <c r="HR243" s="140"/>
      <c r="HS243" s="140"/>
      <c r="HT243" s="140"/>
      <c r="HU243" s="140"/>
      <c r="HV243" s="140"/>
      <c r="HW243" s="140"/>
      <c r="HX243" s="140"/>
      <c r="HY243" s="140"/>
      <c r="HZ243" s="140"/>
      <c r="IA243" s="140"/>
      <c r="IB243" s="140"/>
      <c r="IC243" s="140"/>
      <c r="ID243" s="140"/>
      <c r="IE243" s="140"/>
      <c r="IF243" s="140"/>
      <c r="IG243" s="140"/>
      <c r="IH243" s="140"/>
      <c r="II243" s="140"/>
      <c r="IJ243" s="140"/>
      <c r="IK243" s="140"/>
      <c r="IL243" s="140"/>
      <c r="IM243" s="140"/>
      <c r="IN243" s="140"/>
      <c r="IO243" s="140"/>
      <c r="IP243" s="140"/>
      <c r="IQ243" s="140"/>
      <c r="IR243" s="140"/>
      <c r="IS243" s="140"/>
      <c r="IT243" s="140"/>
      <c r="IU243" s="140"/>
      <c r="IV243" s="140"/>
      <c r="IW243" s="140"/>
      <c r="IX243" s="140"/>
      <c r="IY243" s="140"/>
      <c r="IZ243" s="140"/>
      <c r="JA243" s="140"/>
      <c r="JB243" s="140"/>
      <c r="JC243" s="140"/>
      <c r="JD243" s="140"/>
      <c r="JE243" s="140"/>
      <c r="JF243" s="140"/>
      <c r="JG243" s="140"/>
      <c r="JH243" s="140"/>
      <c r="JI243" s="140"/>
      <c r="JJ243" s="140"/>
      <c r="JK243" s="140"/>
      <c r="JL243" s="140"/>
      <c r="JM243" s="140"/>
      <c r="JN243" s="140"/>
      <c r="JO243" s="140"/>
      <c r="JP243" s="140"/>
      <c r="JQ243" s="140"/>
      <c r="JR243" s="140"/>
      <c r="JS243" s="140"/>
      <c r="JT243" s="140"/>
      <c r="JU243" s="140"/>
      <c r="JV243" s="140"/>
      <c r="JW243" s="140"/>
      <c r="JX243" s="140"/>
      <c r="JY243" s="140"/>
      <c r="JZ243" s="140"/>
      <c r="KA243" s="140"/>
      <c r="KB243" s="140"/>
      <c r="KC243" s="140"/>
      <c r="KD243" s="140"/>
      <c r="KE243" s="140"/>
      <c r="KF243" s="140"/>
      <c r="KG243" s="140"/>
      <c r="KH243" s="140"/>
      <c r="KI243" s="140"/>
      <c r="KJ243" s="140"/>
      <c r="KK243" s="140"/>
      <c r="KL243" s="140"/>
      <c r="KM243" s="140"/>
      <c r="KN243" s="140"/>
      <c r="KO243" s="140"/>
      <c r="KP243" s="140"/>
      <c r="KQ243" s="140"/>
      <c r="KR243" s="140"/>
      <c r="KS243" s="140"/>
      <c r="KT243" s="140"/>
      <c r="KU243" s="140"/>
      <c r="KV243" s="140"/>
      <c r="KW243" s="140"/>
      <c r="KX243" s="140"/>
      <c r="KY243" s="140"/>
      <c r="KZ243" s="140"/>
      <c r="LA243" s="140"/>
      <c r="LB243" s="140"/>
      <c r="LC243" s="140"/>
      <c r="LD243" s="140"/>
      <c r="LE243" s="140"/>
      <c r="LF243" s="140"/>
      <c r="LG243" s="140"/>
      <c r="LH243" s="140"/>
      <c r="LI243" s="140"/>
      <c r="LJ243" s="140"/>
      <c r="LK243" s="140"/>
      <c r="LL243" s="140"/>
      <c r="LM243" s="140"/>
      <c r="LN243" s="140"/>
      <c r="LO243" s="140"/>
      <c r="LP243" s="140"/>
      <c r="LQ243" s="140"/>
      <c r="LR243" s="140"/>
      <c r="LS243" s="140"/>
      <c r="LT243" s="140"/>
      <c r="LU243" s="140"/>
      <c r="LV243" s="140"/>
      <c r="LW243" s="140"/>
      <c r="LX243" s="140"/>
      <c r="LY243" s="140"/>
      <c r="LZ243" s="140"/>
      <c r="MA243" s="140"/>
      <c r="MB243" s="140"/>
      <c r="MC243" s="140"/>
      <c r="MD243" s="140"/>
      <c r="ME243" s="140"/>
      <c r="MF243" s="140"/>
      <c r="MG243" s="140"/>
      <c r="MH243" s="140"/>
      <c r="MI243" s="140"/>
      <c r="MJ243" s="140"/>
      <c r="MK243" s="140"/>
      <c r="ML243" s="140"/>
    </row>
    <row r="244" spans="3:350" s="4" customFormat="1" ht="15" customHeight="1" x14ac:dyDescent="0.3">
      <c r="C244" s="159"/>
      <c r="D244" s="79" t="s">
        <v>150</v>
      </c>
      <c r="H244" s="140"/>
      <c r="I244" s="140"/>
      <c r="J244" s="140"/>
      <c r="K244" s="140"/>
      <c r="L244" s="140"/>
      <c r="M244" s="140"/>
      <c r="N244" s="140"/>
      <c r="O244" s="140"/>
      <c r="P244" s="140"/>
      <c r="Q244" s="140"/>
      <c r="R244" s="140"/>
      <c r="S244" s="140"/>
      <c r="T244" s="140"/>
      <c r="U244" s="140"/>
      <c r="V244" s="140"/>
      <c r="W244" s="140"/>
      <c r="X244" s="140"/>
      <c r="Y244" s="140"/>
      <c r="Z244" s="140"/>
      <c r="AA244" s="140"/>
      <c r="AB244" s="140"/>
      <c r="AC244" s="140"/>
      <c r="AD244" s="140"/>
      <c r="AE244" s="140"/>
      <c r="AF244" s="140"/>
      <c r="AG244" s="140"/>
      <c r="AH244" s="140"/>
      <c r="AI244" s="140"/>
      <c r="AJ244" s="140"/>
      <c r="AK244" s="140"/>
      <c r="AL244" s="140"/>
      <c r="AM244" s="140"/>
      <c r="AN244" s="140"/>
      <c r="AO244" s="140"/>
      <c r="AP244" s="140"/>
      <c r="AQ244" s="140"/>
      <c r="AR244" s="140"/>
      <c r="AS244" s="140"/>
      <c r="AT244" s="140"/>
      <c r="AU244" s="140"/>
      <c r="AV244" s="140"/>
      <c r="AW244" s="140"/>
      <c r="AX244" s="140"/>
      <c r="AY244" s="140"/>
      <c r="AZ244" s="140"/>
      <c r="BA244" s="140"/>
      <c r="BB244" s="140"/>
      <c r="BC244" s="140"/>
      <c r="BD244" s="140"/>
      <c r="BE244" s="140"/>
      <c r="BF244" s="140"/>
      <c r="BG244" s="140"/>
      <c r="BH244" s="140"/>
      <c r="BI244" s="140"/>
      <c r="BJ244" s="140"/>
      <c r="BK244" s="140"/>
      <c r="BL244" s="140"/>
      <c r="BM244" s="140"/>
      <c r="BN244" s="140"/>
      <c r="BO244" s="140"/>
      <c r="BP244" s="140"/>
      <c r="BQ244" s="140"/>
      <c r="BR244" s="140"/>
      <c r="BS244" s="140"/>
      <c r="BT244" s="140"/>
      <c r="BU244" s="140"/>
      <c r="BV244" s="140"/>
      <c r="BW244" s="140"/>
      <c r="BX244" s="140"/>
      <c r="BY244" s="140"/>
      <c r="BZ244" s="140"/>
      <c r="CA244" s="140"/>
      <c r="CB244" s="140"/>
      <c r="CC244" s="140"/>
      <c r="CD244" s="140"/>
      <c r="CE244" s="140"/>
      <c r="CF244" s="140"/>
      <c r="CG244" s="140"/>
      <c r="CH244" s="140"/>
      <c r="CI244" s="140"/>
      <c r="CJ244" s="140"/>
      <c r="CK244" s="140"/>
      <c r="CL244" s="140"/>
      <c r="CM244" s="140"/>
      <c r="CN244" s="140"/>
      <c r="CO244" s="140"/>
      <c r="CP244" s="140"/>
      <c r="CQ244" s="140"/>
      <c r="CR244" s="140"/>
      <c r="CS244" s="140"/>
      <c r="CT244" s="140"/>
      <c r="CU244" s="140"/>
      <c r="CV244" s="140"/>
      <c r="CW244" s="140"/>
      <c r="CX244" s="140"/>
      <c r="CY244" s="140"/>
      <c r="CZ244" s="140"/>
      <c r="DA244" s="140"/>
      <c r="DB244" s="140"/>
      <c r="DC244" s="140"/>
      <c r="DD244" s="140"/>
      <c r="DE244" s="140"/>
      <c r="DF244" s="140"/>
      <c r="DG244" s="140"/>
      <c r="DH244" s="140"/>
      <c r="DI244" s="140"/>
      <c r="DJ244" s="140"/>
      <c r="DK244" s="140"/>
      <c r="DL244" s="140"/>
      <c r="DM244" s="140"/>
      <c r="DN244" s="140"/>
      <c r="DO244" s="140"/>
      <c r="DP244" s="140"/>
      <c r="DQ244" s="140"/>
      <c r="DR244" s="140"/>
      <c r="DS244" s="140"/>
      <c r="DT244" s="140"/>
      <c r="DU244" s="140"/>
      <c r="DV244" s="140"/>
      <c r="DW244" s="140"/>
      <c r="DX244" s="140"/>
      <c r="DY244" s="140"/>
      <c r="DZ244" s="140"/>
      <c r="EA244" s="140"/>
      <c r="EB244" s="140"/>
      <c r="EC244" s="140"/>
      <c r="ED244" s="140"/>
      <c r="EE244" s="140"/>
      <c r="EF244" s="140"/>
      <c r="EG244" s="140"/>
      <c r="EH244" s="140"/>
      <c r="EI244" s="140"/>
      <c r="EJ244" s="140"/>
      <c r="EK244" s="140"/>
      <c r="EL244" s="140"/>
      <c r="EM244" s="140"/>
      <c r="EN244" s="140"/>
      <c r="EO244" s="140"/>
      <c r="EP244" s="140"/>
      <c r="EQ244" s="140"/>
      <c r="ER244" s="140"/>
      <c r="ES244" s="140"/>
      <c r="ET244" s="140"/>
      <c r="EU244" s="140"/>
      <c r="EV244" s="140"/>
      <c r="EW244" s="140"/>
      <c r="EX244" s="140"/>
      <c r="EY244" s="140"/>
      <c r="EZ244" s="140"/>
      <c r="FA244" s="140"/>
      <c r="FB244" s="140"/>
      <c r="FC244" s="140"/>
      <c r="FD244" s="140"/>
      <c r="FE244" s="140"/>
      <c r="FF244" s="140"/>
      <c r="FG244" s="140"/>
      <c r="FH244" s="140"/>
      <c r="FI244" s="140"/>
      <c r="FJ244" s="140"/>
      <c r="FK244" s="140"/>
      <c r="FL244" s="140"/>
      <c r="FM244" s="140"/>
      <c r="FN244" s="140"/>
      <c r="FO244" s="140"/>
      <c r="FP244" s="140"/>
      <c r="FQ244" s="140"/>
      <c r="FR244" s="140"/>
      <c r="FS244" s="140"/>
      <c r="FT244" s="140"/>
      <c r="FU244" s="140"/>
      <c r="FV244" s="140"/>
      <c r="FW244" s="140"/>
      <c r="FX244" s="140"/>
      <c r="FY244" s="140"/>
      <c r="FZ244" s="140"/>
      <c r="GA244" s="140"/>
      <c r="GB244" s="140"/>
      <c r="GC244" s="140"/>
      <c r="GD244" s="140"/>
      <c r="GE244" s="140"/>
      <c r="GF244" s="140"/>
      <c r="GG244" s="140"/>
      <c r="GH244" s="140"/>
      <c r="GI244" s="140"/>
      <c r="GJ244" s="140"/>
      <c r="GK244" s="140"/>
      <c r="GL244" s="140"/>
      <c r="GM244" s="140"/>
      <c r="GN244" s="140"/>
      <c r="GO244" s="140"/>
      <c r="GP244" s="140"/>
      <c r="GQ244" s="140"/>
      <c r="GR244" s="140"/>
      <c r="GS244" s="140"/>
      <c r="GT244" s="140"/>
      <c r="GU244" s="140"/>
      <c r="GV244" s="140"/>
      <c r="GW244" s="140"/>
      <c r="GX244" s="140"/>
      <c r="GY244" s="140"/>
      <c r="GZ244" s="140"/>
      <c r="HA244" s="140"/>
      <c r="HB244" s="140"/>
      <c r="HC244" s="140"/>
      <c r="HD244" s="140"/>
      <c r="HE244" s="140"/>
      <c r="HF244" s="140"/>
      <c r="HG244" s="140"/>
      <c r="HH244" s="140"/>
      <c r="HI244" s="140"/>
      <c r="HJ244" s="140"/>
      <c r="HK244" s="140"/>
      <c r="HL244" s="140"/>
      <c r="HM244" s="140"/>
      <c r="HN244" s="140"/>
      <c r="HO244" s="140"/>
      <c r="HP244" s="140"/>
      <c r="HQ244" s="140"/>
      <c r="HR244" s="140"/>
      <c r="HS244" s="140"/>
      <c r="HT244" s="140"/>
      <c r="HU244" s="140"/>
      <c r="HV244" s="140"/>
      <c r="HW244" s="140"/>
      <c r="HX244" s="140"/>
      <c r="HY244" s="140"/>
      <c r="HZ244" s="140"/>
      <c r="IA244" s="140"/>
      <c r="IB244" s="140"/>
      <c r="IC244" s="140"/>
      <c r="ID244" s="140"/>
      <c r="IE244" s="140"/>
      <c r="IF244" s="140"/>
      <c r="IG244" s="140"/>
      <c r="IH244" s="140"/>
      <c r="II244" s="140"/>
      <c r="IJ244" s="140"/>
      <c r="IK244" s="140"/>
      <c r="IL244" s="140"/>
      <c r="IM244" s="140"/>
      <c r="IN244" s="140"/>
      <c r="IO244" s="140"/>
      <c r="IP244" s="140"/>
      <c r="IQ244" s="140"/>
      <c r="IR244" s="140"/>
      <c r="IS244" s="140"/>
      <c r="IT244" s="140"/>
      <c r="IU244" s="140"/>
      <c r="IV244" s="140"/>
      <c r="IW244" s="140"/>
      <c r="IX244" s="140"/>
      <c r="IY244" s="140"/>
      <c r="IZ244" s="140"/>
      <c r="JA244" s="140"/>
      <c r="JB244" s="140"/>
      <c r="JC244" s="140"/>
      <c r="JD244" s="140"/>
      <c r="JE244" s="140"/>
      <c r="JF244" s="140"/>
      <c r="JG244" s="140"/>
      <c r="JH244" s="140"/>
      <c r="JI244" s="140"/>
      <c r="JJ244" s="140"/>
      <c r="JK244" s="140"/>
      <c r="JL244" s="140"/>
      <c r="JM244" s="140"/>
      <c r="JN244" s="140"/>
      <c r="JO244" s="140"/>
      <c r="JP244" s="140"/>
      <c r="JQ244" s="140"/>
      <c r="JR244" s="140"/>
      <c r="JS244" s="140"/>
      <c r="JT244" s="140"/>
      <c r="JU244" s="140"/>
      <c r="JV244" s="140"/>
      <c r="JW244" s="140"/>
      <c r="JX244" s="140"/>
      <c r="JY244" s="140"/>
      <c r="JZ244" s="140"/>
      <c r="KA244" s="140"/>
      <c r="KB244" s="140"/>
      <c r="KC244" s="140"/>
      <c r="KD244" s="140"/>
      <c r="KE244" s="140"/>
      <c r="KF244" s="140"/>
      <c r="KG244" s="140"/>
      <c r="KH244" s="140"/>
      <c r="KI244" s="140"/>
      <c r="KJ244" s="140"/>
      <c r="KK244" s="140"/>
      <c r="KL244" s="140"/>
      <c r="KM244" s="140"/>
      <c r="KN244" s="140"/>
      <c r="KO244" s="140"/>
      <c r="KP244" s="140"/>
      <c r="KQ244" s="140"/>
      <c r="KR244" s="140"/>
      <c r="KS244" s="140"/>
      <c r="KT244" s="140"/>
      <c r="KU244" s="140"/>
      <c r="KV244" s="140"/>
      <c r="KW244" s="140"/>
      <c r="KX244" s="140"/>
      <c r="KY244" s="140"/>
      <c r="KZ244" s="140"/>
      <c r="LA244" s="140"/>
      <c r="LB244" s="140"/>
      <c r="LC244" s="140"/>
      <c r="LD244" s="140"/>
      <c r="LE244" s="140"/>
      <c r="LF244" s="140"/>
      <c r="LG244" s="140"/>
      <c r="LH244" s="140"/>
      <c r="LI244" s="140"/>
      <c r="LJ244" s="140"/>
      <c r="LK244" s="140"/>
      <c r="LL244" s="140"/>
      <c r="LM244" s="140"/>
      <c r="LN244" s="140"/>
      <c r="LO244" s="140"/>
      <c r="LP244" s="140"/>
      <c r="LQ244" s="140"/>
      <c r="LR244" s="140"/>
      <c r="LS244" s="140"/>
      <c r="LT244" s="140"/>
      <c r="LU244" s="140"/>
      <c r="LV244" s="140"/>
      <c r="LW244" s="140"/>
      <c r="LX244" s="140"/>
      <c r="LY244" s="140"/>
      <c r="LZ244" s="140"/>
      <c r="MA244" s="140"/>
      <c r="MB244" s="140"/>
      <c r="MC244" s="140"/>
      <c r="MD244" s="140"/>
      <c r="ME244" s="140"/>
      <c r="MF244" s="140"/>
      <c r="MG244" s="140"/>
      <c r="MH244" s="140"/>
      <c r="MI244" s="140"/>
      <c r="MJ244" s="140"/>
      <c r="MK244" s="140"/>
      <c r="ML244" s="140"/>
    </row>
    <row r="245" spans="3:350" s="4" customFormat="1" ht="15" customHeight="1" x14ac:dyDescent="0.3">
      <c r="C245" s="159"/>
      <c r="D245" s="79"/>
      <c r="H245" s="140"/>
      <c r="I245" s="140"/>
      <c r="J245" s="140"/>
      <c r="K245" s="140"/>
      <c r="L245" s="140"/>
      <c r="M245" s="140"/>
      <c r="N245" s="140"/>
      <c r="O245" s="140"/>
      <c r="P245" s="140"/>
      <c r="Q245" s="140"/>
      <c r="R245" s="140"/>
      <c r="S245" s="140"/>
      <c r="T245" s="140"/>
      <c r="U245" s="140"/>
      <c r="V245" s="140"/>
      <c r="W245" s="140"/>
      <c r="X245" s="140"/>
      <c r="Y245" s="140"/>
      <c r="Z245" s="140"/>
      <c r="AA245" s="140"/>
      <c r="AB245" s="140"/>
      <c r="AC245" s="140"/>
      <c r="AD245" s="140"/>
      <c r="AE245" s="140"/>
      <c r="AF245" s="140"/>
      <c r="AG245" s="140"/>
      <c r="AH245" s="140"/>
      <c r="AI245" s="140"/>
      <c r="AJ245" s="140"/>
      <c r="AK245" s="140"/>
      <c r="AL245" s="140"/>
      <c r="AM245" s="140"/>
      <c r="AN245" s="140"/>
      <c r="AO245" s="140"/>
      <c r="AP245" s="140"/>
      <c r="AQ245" s="140"/>
      <c r="AR245" s="140"/>
      <c r="AS245" s="140"/>
      <c r="AT245" s="140"/>
      <c r="AU245" s="140"/>
      <c r="AV245" s="140"/>
      <c r="AW245" s="140"/>
      <c r="AX245" s="140"/>
      <c r="AY245" s="140"/>
      <c r="AZ245" s="140"/>
      <c r="BA245" s="140"/>
      <c r="BB245" s="140"/>
      <c r="BC245" s="140"/>
      <c r="BD245" s="140"/>
      <c r="BE245" s="140"/>
      <c r="BF245" s="140"/>
      <c r="BG245" s="140"/>
      <c r="BH245" s="140"/>
      <c r="BI245" s="140"/>
      <c r="BJ245" s="140"/>
      <c r="BK245" s="140"/>
      <c r="BL245" s="140"/>
      <c r="BM245" s="140"/>
      <c r="BN245" s="140"/>
      <c r="BO245" s="140"/>
      <c r="BP245" s="140"/>
      <c r="BQ245" s="140"/>
      <c r="BR245" s="140"/>
      <c r="BS245" s="140"/>
      <c r="BT245" s="140"/>
      <c r="BU245" s="140"/>
      <c r="BV245" s="140"/>
      <c r="BW245" s="140"/>
      <c r="BX245" s="140"/>
      <c r="BY245" s="140"/>
      <c r="BZ245" s="140"/>
      <c r="CA245" s="140"/>
      <c r="CB245" s="140"/>
      <c r="CC245" s="140"/>
      <c r="CD245" s="140"/>
      <c r="CE245" s="140"/>
      <c r="CF245" s="140"/>
      <c r="CG245" s="140"/>
      <c r="CH245" s="140"/>
      <c r="CI245" s="140"/>
      <c r="CJ245" s="140"/>
      <c r="CK245" s="140"/>
      <c r="CL245" s="140"/>
      <c r="CM245" s="140"/>
      <c r="CN245" s="140"/>
      <c r="CO245" s="140"/>
      <c r="CP245" s="140"/>
      <c r="CQ245" s="140"/>
      <c r="CR245" s="140"/>
      <c r="CS245" s="140"/>
      <c r="CT245" s="140"/>
      <c r="CU245" s="140"/>
      <c r="CV245" s="140"/>
      <c r="CW245" s="140"/>
      <c r="CX245" s="140"/>
      <c r="CY245" s="140"/>
      <c r="CZ245" s="140"/>
      <c r="DA245" s="140"/>
      <c r="DB245" s="140"/>
      <c r="DC245" s="140"/>
      <c r="DD245" s="140"/>
      <c r="DE245" s="140"/>
      <c r="DF245" s="140"/>
      <c r="DG245" s="140"/>
      <c r="DH245" s="140"/>
      <c r="DI245" s="140"/>
      <c r="DJ245" s="140"/>
      <c r="DK245" s="140"/>
      <c r="DL245" s="140"/>
      <c r="DM245" s="140"/>
      <c r="DN245" s="140"/>
      <c r="DO245" s="140"/>
      <c r="DP245" s="140"/>
      <c r="DQ245" s="140"/>
      <c r="DR245" s="140"/>
      <c r="DS245" s="140"/>
      <c r="DT245" s="140"/>
      <c r="DU245" s="140"/>
      <c r="DV245" s="140"/>
      <c r="DW245" s="140"/>
      <c r="DX245" s="140"/>
      <c r="DY245" s="140"/>
      <c r="DZ245" s="140"/>
      <c r="EA245" s="140"/>
      <c r="EB245" s="140"/>
      <c r="EC245" s="140"/>
      <c r="ED245" s="140"/>
      <c r="EE245" s="140"/>
      <c r="EF245" s="140"/>
      <c r="EG245" s="140"/>
      <c r="EH245" s="140"/>
      <c r="EI245" s="140"/>
      <c r="EJ245" s="140"/>
      <c r="EK245" s="140"/>
      <c r="EL245" s="140"/>
      <c r="EM245" s="140"/>
      <c r="EN245" s="140"/>
      <c r="EO245" s="140"/>
      <c r="EP245" s="140"/>
      <c r="EQ245" s="140"/>
      <c r="ER245" s="140"/>
      <c r="ES245" s="140"/>
      <c r="ET245" s="140"/>
      <c r="EU245" s="140"/>
      <c r="EV245" s="140"/>
      <c r="EW245" s="140"/>
      <c r="EX245" s="140"/>
      <c r="EY245" s="140"/>
      <c r="EZ245" s="140"/>
      <c r="FA245" s="140"/>
      <c r="FB245" s="140"/>
      <c r="FC245" s="140"/>
      <c r="FD245" s="140"/>
      <c r="FE245" s="140"/>
      <c r="FF245" s="140"/>
      <c r="FG245" s="140"/>
      <c r="FH245" s="140"/>
      <c r="FI245" s="140"/>
      <c r="FJ245" s="140"/>
      <c r="FK245" s="140"/>
      <c r="FL245" s="140"/>
      <c r="FM245" s="140"/>
      <c r="FN245" s="140"/>
      <c r="FO245" s="140"/>
      <c r="FP245" s="140"/>
      <c r="FQ245" s="140"/>
      <c r="FR245" s="140"/>
      <c r="FS245" s="140"/>
      <c r="FT245" s="140"/>
      <c r="FU245" s="140"/>
      <c r="FV245" s="140"/>
      <c r="FW245" s="140"/>
      <c r="FX245" s="140"/>
      <c r="FY245" s="140"/>
      <c r="FZ245" s="140"/>
      <c r="GA245" s="140"/>
      <c r="GB245" s="140"/>
      <c r="GC245" s="140"/>
      <c r="GD245" s="140"/>
      <c r="GE245" s="140"/>
      <c r="GF245" s="140"/>
      <c r="GG245" s="140"/>
      <c r="GH245" s="140"/>
      <c r="GI245" s="140"/>
      <c r="GJ245" s="140"/>
      <c r="GK245" s="140"/>
      <c r="GL245" s="140"/>
      <c r="GM245" s="140"/>
      <c r="GN245" s="140"/>
      <c r="GO245" s="140"/>
      <c r="GP245" s="140"/>
      <c r="GQ245" s="140"/>
      <c r="GR245" s="140"/>
      <c r="GS245" s="140"/>
      <c r="GT245" s="140"/>
      <c r="GU245" s="140"/>
      <c r="GV245" s="140"/>
      <c r="GW245" s="140"/>
      <c r="GX245" s="140"/>
      <c r="GY245" s="140"/>
      <c r="GZ245" s="140"/>
      <c r="HA245" s="140"/>
      <c r="HB245" s="140"/>
      <c r="HC245" s="140"/>
      <c r="HD245" s="140"/>
      <c r="HE245" s="140"/>
      <c r="HF245" s="140"/>
      <c r="HG245" s="140"/>
      <c r="HH245" s="140"/>
      <c r="HI245" s="140"/>
      <c r="HJ245" s="140"/>
      <c r="HK245" s="140"/>
      <c r="HL245" s="140"/>
      <c r="HM245" s="140"/>
      <c r="HN245" s="140"/>
      <c r="HO245" s="140"/>
      <c r="HP245" s="140"/>
      <c r="HQ245" s="140"/>
      <c r="HR245" s="140"/>
      <c r="HS245" s="140"/>
      <c r="HT245" s="140"/>
      <c r="HU245" s="140"/>
      <c r="HV245" s="140"/>
      <c r="HW245" s="140"/>
      <c r="HX245" s="140"/>
      <c r="HY245" s="140"/>
      <c r="HZ245" s="140"/>
      <c r="IA245" s="140"/>
      <c r="IB245" s="140"/>
      <c r="IC245" s="140"/>
      <c r="ID245" s="140"/>
      <c r="IE245" s="140"/>
      <c r="IF245" s="140"/>
      <c r="IG245" s="140"/>
      <c r="IH245" s="140"/>
      <c r="II245" s="140"/>
      <c r="IJ245" s="140"/>
      <c r="IK245" s="140"/>
      <c r="IL245" s="140"/>
      <c r="IM245" s="140"/>
      <c r="IN245" s="140"/>
      <c r="IO245" s="140"/>
      <c r="IP245" s="140"/>
      <c r="IQ245" s="140"/>
      <c r="IR245" s="140"/>
      <c r="IS245" s="140"/>
      <c r="IT245" s="140"/>
      <c r="IU245" s="140"/>
      <c r="IV245" s="140"/>
      <c r="IW245" s="140"/>
      <c r="IX245" s="140"/>
      <c r="IY245" s="140"/>
      <c r="IZ245" s="140"/>
      <c r="JA245" s="140"/>
      <c r="JB245" s="140"/>
      <c r="JC245" s="140"/>
      <c r="JD245" s="140"/>
      <c r="JE245" s="140"/>
      <c r="JF245" s="140"/>
      <c r="JG245" s="140"/>
      <c r="JH245" s="140"/>
      <c r="JI245" s="140"/>
      <c r="JJ245" s="140"/>
      <c r="JK245" s="140"/>
      <c r="JL245" s="140"/>
      <c r="JM245" s="140"/>
      <c r="JN245" s="140"/>
      <c r="JO245" s="140"/>
      <c r="JP245" s="140"/>
      <c r="JQ245" s="140"/>
      <c r="JR245" s="140"/>
      <c r="JS245" s="140"/>
      <c r="JT245" s="140"/>
      <c r="JU245" s="140"/>
      <c r="JV245" s="140"/>
      <c r="JW245" s="140"/>
      <c r="JX245" s="140"/>
      <c r="JY245" s="140"/>
      <c r="JZ245" s="140"/>
      <c r="KA245" s="140"/>
      <c r="KB245" s="140"/>
      <c r="KC245" s="140"/>
      <c r="KD245" s="140"/>
      <c r="KE245" s="140"/>
      <c r="KF245" s="140"/>
      <c r="KG245" s="140"/>
      <c r="KH245" s="140"/>
      <c r="KI245" s="140"/>
      <c r="KJ245" s="140"/>
      <c r="KK245" s="140"/>
      <c r="KL245" s="140"/>
      <c r="KM245" s="140"/>
      <c r="KN245" s="140"/>
      <c r="KO245" s="140"/>
      <c r="KP245" s="140"/>
      <c r="KQ245" s="140"/>
      <c r="KR245" s="140"/>
      <c r="KS245" s="140"/>
      <c r="KT245" s="140"/>
      <c r="KU245" s="140"/>
      <c r="KV245" s="140"/>
      <c r="KW245" s="140"/>
      <c r="KX245" s="140"/>
      <c r="KY245" s="140"/>
      <c r="KZ245" s="140"/>
      <c r="LA245" s="140"/>
      <c r="LB245" s="140"/>
      <c r="LC245" s="140"/>
      <c r="LD245" s="140"/>
      <c r="LE245" s="140"/>
      <c r="LF245" s="140"/>
      <c r="LG245" s="140"/>
      <c r="LH245" s="140"/>
      <c r="LI245" s="140"/>
      <c r="LJ245" s="140"/>
      <c r="LK245" s="140"/>
      <c r="LL245" s="140"/>
      <c r="LM245" s="140"/>
      <c r="LN245" s="140"/>
      <c r="LO245" s="140"/>
      <c r="LP245" s="140"/>
      <c r="LQ245" s="140"/>
      <c r="LR245" s="140"/>
      <c r="LS245" s="140"/>
      <c r="LT245" s="140"/>
      <c r="LU245" s="140"/>
      <c r="LV245" s="140"/>
      <c r="LW245" s="140"/>
      <c r="LX245" s="140"/>
      <c r="LY245" s="140"/>
      <c r="LZ245" s="140"/>
      <c r="MA245" s="140"/>
      <c r="MB245" s="140"/>
      <c r="MC245" s="140"/>
      <c r="MD245" s="140"/>
      <c r="ME245" s="140"/>
      <c r="MF245" s="140"/>
      <c r="MG245" s="140"/>
      <c r="MH245" s="140"/>
      <c r="MI245" s="140"/>
      <c r="MJ245" s="140"/>
      <c r="MK245" s="140"/>
      <c r="ML245" s="140"/>
    </row>
    <row r="246" spans="3:350" s="4" customFormat="1" ht="15" customHeight="1" x14ac:dyDescent="0.3">
      <c r="C246" s="158" t="s">
        <v>141</v>
      </c>
      <c r="D246" s="158" t="s">
        <v>151</v>
      </c>
      <c r="H246" s="140"/>
      <c r="I246" s="140"/>
      <c r="J246" s="140"/>
      <c r="K246" s="140"/>
      <c r="L246" s="140"/>
      <c r="M246" s="140"/>
      <c r="N246" s="140"/>
      <c r="O246" s="140"/>
      <c r="P246" s="140"/>
      <c r="Q246" s="140"/>
      <c r="R246" s="140"/>
      <c r="S246" s="140"/>
      <c r="T246" s="140"/>
      <c r="U246" s="140"/>
      <c r="V246" s="140"/>
      <c r="W246" s="140"/>
      <c r="X246" s="140"/>
      <c r="Y246" s="140"/>
      <c r="Z246" s="140"/>
      <c r="AA246" s="140"/>
      <c r="AB246" s="140"/>
      <c r="AC246" s="140"/>
      <c r="AD246" s="140"/>
      <c r="AE246" s="140"/>
      <c r="AF246" s="140"/>
      <c r="AG246" s="140"/>
      <c r="AH246" s="140"/>
      <c r="AI246" s="140"/>
      <c r="AJ246" s="140"/>
      <c r="AK246" s="140"/>
      <c r="AL246" s="140"/>
      <c r="AM246" s="140"/>
      <c r="AN246" s="140"/>
      <c r="AO246" s="140"/>
      <c r="AP246" s="140"/>
      <c r="AQ246" s="140"/>
      <c r="AR246" s="140"/>
      <c r="AS246" s="140"/>
      <c r="AT246" s="140"/>
      <c r="AU246" s="140"/>
      <c r="AV246" s="140"/>
      <c r="AW246" s="140"/>
      <c r="AX246" s="140"/>
      <c r="AY246" s="140"/>
      <c r="AZ246" s="140"/>
      <c r="BA246" s="140"/>
      <c r="BB246" s="140"/>
      <c r="BC246" s="140"/>
      <c r="BD246" s="140"/>
      <c r="BE246" s="140"/>
      <c r="BF246" s="140"/>
      <c r="BG246" s="140"/>
      <c r="BH246" s="140"/>
      <c r="BI246" s="140"/>
      <c r="BJ246" s="140"/>
      <c r="BK246" s="140"/>
      <c r="BL246" s="140"/>
      <c r="BM246" s="140"/>
      <c r="BN246" s="140"/>
      <c r="BO246" s="140"/>
      <c r="BP246" s="140"/>
      <c r="BQ246" s="140"/>
      <c r="BR246" s="140"/>
      <c r="BS246" s="140"/>
      <c r="BT246" s="140"/>
      <c r="BU246" s="140"/>
      <c r="BV246" s="140"/>
      <c r="BW246" s="140"/>
      <c r="BX246" s="140"/>
      <c r="BY246" s="140"/>
      <c r="BZ246" s="140"/>
      <c r="CA246" s="140"/>
      <c r="CB246" s="140"/>
      <c r="CC246" s="140"/>
      <c r="CD246" s="140"/>
      <c r="CE246" s="140"/>
      <c r="CF246" s="140"/>
      <c r="CG246" s="140"/>
      <c r="CH246" s="140"/>
      <c r="CI246" s="140"/>
      <c r="CJ246" s="140"/>
      <c r="CK246" s="140"/>
      <c r="CL246" s="140"/>
      <c r="CM246" s="140"/>
      <c r="CN246" s="140"/>
      <c r="CO246" s="140"/>
      <c r="CP246" s="140"/>
      <c r="CQ246" s="140"/>
      <c r="CR246" s="140"/>
      <c r="CS246" s="140"/>
      <c r="CT246" s="140"/>
      <c r="CU246" s="140"/>
      <c r="CV246" s="140"/>
      <c r="CW246" s="140"/>
      <c r="CX246" s="140"/>
      <c r="CY246" s="140"/>
      <c r="CZ246" s="140"/>
      <c r="DA246" s="140"/>
      <c r="DB246" s="140"/>
      <c r="DC246" s="140"/>
      <c r="DD246" s="140"/>
      <c r="DE246" s="140"/>
      <c r="DF246" s="140"/>
      <c r="DG246" s="140"/>
      <c r="DH246" s="140"/>
      <c r="DI246" s="140"/>
      <c r="DJ246" s="140"/>
      <c r="DK246" s="140"/>
      <c r="DL246" s="140"/>
      <c r="DM246" s="140"/>
      <c r="DN246" s="140"/>
      <c r="DO246" s="140"/>
      <c r="DP246" s="140"/>
      <c r="DQ246" s="140"/>
      <c r="DR246" s="140"/>
      <c r="DS246" s="140"/>
      <c r="DT246" s="140"/>
      <c r="DU246" s="140"/>
      <c r="DV246" s="140"/>
      <c r="DW246" s="140"/>
      <c r="DX246" s="140"/>
      <c r="DY246" s="140"/>
      <c r="DZ246" s="140"/>
      <c r="EA246" s="140"/>
      <c r="EB246" s="140"/>
      <c r="EC246" s="140"/>
      <c r="ED246" s="140"/>
      <c r="EE246" s="140"/>
      <c r="EF246" s="140"/>
      <c r="EG246" s="140"/>
      <c r="EH246" s="140"/>
      <c r="EI246" s="140"/>
      <c r="EJ246" s="140"/>
      <c r="EK246" s="140"/>
      <c r="EL246" s="140"/>
      <c r="EM246" s="140"/>
      <c r="EN246" s="140"/>
      <c r="EO246" s="140"/>
      <c r="EP246" s="140"/>
      <c r="EQ246" s="140"/>
      <c r="ER246" s="140"/>
      <c r="ES246" s="140"/>
      <c r="ET246" s="140"/>
      <c r="EU246" s="140"/>
      <c r="EV246" s="140"/>
      <c r="EW246" s="140"/>
      <c r="EX246" s="140"/>
      <c r="EY246" s="140"/>
      <c r="EZ246" s="140"/>
      <c r="FA246" s="140"/>
      <c r="FB246" s="140"/>
      <c r="FC246" s="140"/>
      <c r="FD246" s="140"/>
      <c r="FE246" s="140"/>
      <c r="FF246" s="140"/>
      <c r="FG246" s="140"/>
      <c r="FH246" s="140"/>
      <c r="FI246" s="140"/>
      <c r="FJ246" s="140"/>
      <c r="FK246" s="140"/>
      <c r="FL246" s="140"/>
      <c r="FM246" s="140"/>
      <c r="FN246" s="140"/>
      <c r="FO246" s="140"/>
      <c r="FP246" s="140"/>
      <c r="FQ246" s="140"/>
      <c r="FR246" s="140"/>
      <c r="FS246" s="140"/>
      <c r="FT246" s="140"/>
      <c r="FU246" s="140"/>
      <c r="FV246" s="140"/>
      <c r="FW246" s="140"/>
      <c r="FX246" s="140"/>
      <c r="FY246" s="140"/>
      <c r="FZ246" s="140"/>
      <c r="GA246" s="140"/>
      <c r="GB246" s="140"/>
      <c r="GC246" s="140"/>
      <c r="GD246" s="140"/>
      <c r="GE246" s="140"/>
      <c r="GF246" s="140"/>
      <c r="GG246" s="140"/>
      <c r="GH246" s="140"/>
      <c r="GI246" s="140"/>
      <c r="GJ246" s="140"/>
      <c r="GK246" s="140"/>
      <c r="GL246" s="140"/>
      <c r="GM246" s="140"/>
      <c r="GN246" s="140"/>
      <c r="GO246" s="140"/>
      <c r="GP246" s="140"/>
      <c r="GQ246" s="140"/>
      <c r="GR246" s="140"/>
      <c r="GS246" s="140"/>
      <c r="GT246" s="140"/>
      <c r="GU246" s="140"/>
      <c r="GV246" s="140"/>
      <c r="GW246" s="140"/>
      <c r="GX246" s="140"/>
      <c r="GY246" s="140"/>
      <c r="GZ246" s="140"/>
      <c r="HA246" s="140"/>
      <c r="HB246" s="140"/>
      <c r="HC246" s="140"/>
      <c r="HD246" s="140"/>
      <c r="HE246" s="140"/>
      <c r="HF246" s="140"/>
      <c r="HG246" s="140"/>
      <c r="HH246" s="140"/>
      <c r="HI246" s="140"/>
      <c r="HJ246" s="140"/>
      <c r="HK246" s="140"/>
      <c r="HL246" s="140"/>
      <c r="HM246" s="140"/>
      <c r="HN246" s="140"/>
      <c r="HO246" s="140"/>
      <c r="HP246" s="140"/>
      <c r="HQ246" s="140"/>
      <c r="HR246" s="140"/>
      <c r="HS246" s="140"/>
      <c r="HT246" s="140"/>
      <c r="HU246" s="140"/>
      <c r="HV246" s="140"/>
      <c r="HW246" s="140"/>
      <c r="HX246" s="140"/>
      <c r="HY246" s="140"/>
      <c r="HZ246" s="140"/>
      <c r="IA246" s="140"/>
      <c r="IB246" s="140"/>
      <c r="IC246" s="140"/>
      <c r="ID246" s="140"/>
      <c r="IE246" s="140"/>
      <c r="IF246" s="140"/>
      <c r="IG246" s="140"/>
      <c r="IH246" s="140"/>
      <c r="II246" s="140"/>
      <c r="IJ246" s="140"/>
      <c r="IK246" s="140"/>
      <c r="IL246" s="140"/>
      <c r="IM246" s="140"/>
      <c r="IN246" s="140"/>
      <c r="IO246" s="140"/>
      <c r="IP246" s="140"/>
      <c r="IQ246" s="140"/>
      <c r="IR246" s="140"/>
      <c r="IS246" s="140"/>
      <c r="IT246" s="140"/>
      <c r="IU246" s="140"/>
      <c r="IV246" s="140"/>
      <c r="IW246" s="140"/>
      <c r="IX246" s="140"/>
      <c r="IY246" s="140"/>
      <c r="IZ246" s="140"/>
      <c r="JA246" s="140"/>
      <c r="JB246" s="140"/>
      <c r="JC246" s="140"/>
      <c r="JD246" s="140"/>
      <c r="JE246" s="140"/>
      <c r="JF246" s="140"/>
      <c r="JG246" s="140"/>
      <c r="JH246" s="140"/>
      <c r="JI246" s="140"/>
      <c r="JJ246" s="140"/>
      <c r="JK246" s="140"/>
      <c r="JL246" s="140"/>
      <c r="JM246" s="140"/>
      <c r="JN246" s="140"/>
      <c r="JO246" s="140"/>
      <c r="JP246" s="140"/>
      <c r="JQ246" s="140"/>
      <c r="JR246" s="140"/>
      <c r="JS246" s="140"/>
      <c r="JT246" s="140"/>
      <c r="JU246" s="140"/>
      <c r="JV246" s="140"/>
      <c r="JW246" s="140"/>
      <c r="JX246" s="140"/>
      <c r="JY246" s="140"/>
      <c r="JZ246" s="140"/>
      <c r="KA246" s="140"/>
      <c r="KB246" s="140"/>
      <c r="KC246" s="140"/>
      <c r="KD246" s="140"/>
      <c r="KE246" s="140"/>
      <c r="KF246" s="140"/>
      <c r="KG246" s="140"/>
      <c r="KH246" s="140"/>
      <c r="KI246" s="140"/>
      <c r="KJ246" s="140"/>
      <c r="KK246" s="140"/>
      <c r="KL246" s="140"/>
      <c r="KM246" s="140"/>
      <c r="KN246" s="140"/>
      <c r="KO246" s="140"/>
      <c r="KP246" s="140"/>
      <c r="KQ246" s="140"/>
      <c r="KR246" s="140"/>
      <c r="KS246" s="140"/>
      <c r="KT246" s="140"/>
      <c r="KU246" s="140"/>
      <c r="KV246" s="140"/>
      <c r="KW246" s="140"/>
      <c r="KX246" s="140"/>
      <c r="KY246" s="140"/>
      <c r="KZ246" s="140"/>
      <c r="LA246" s="140"/>
      <c r="LB246" s="140"/>
      <c r="LC246" s="140"/>
      <c r="LD246" s="140"/>
      <c r="LE246" s="140"/>
      <c r="LF246" s="140"/>
      <c r="LG246" s="140"/>
      <c r="LH246" s="140"/>
      <c r="LI246" s="140"/>
      <c r="LJ246" s="140"/>
      <c r="LK246" s="140"/>
      <c r="LL246" s="140"/>
      <c r="LM246" s="140"/>
      <c r="LN246" s="140"/>
      <c r="LO246" s="140"/>
      <c r="LP246" s="140"/>
      <c r="LQ246" s="140"/>
      <c r="LR246" s="140"/>
      <c r="LS246" s="140"/>
      <c r="LT246" s="140"/>
      <c r="LU246" s="140"/>
      <c r="LV246" s="140"/>
      <c r="LW246" s="140"/>
      <c r="LX246" s="140"/>
      <c r="LY246" s="140"/>
      <c r="LZ246" s="140"/>
      <c r="MA246" s="140"/>
      <c r="MB246" s="140"/>
      <c r="MC246" s="140"/>
      <c r="MD246" s="140"/>
      <c r="ME246" s="140"/>
      <c r="MF246" s="140"/>
      <c r="MG246" s="140"/>
      <c r="MH246" s="140"/>
      <c r="MI246" s="140"/>
      <c r="MJ246" s="140"/>
      <c r="MK246" s="140"/>
      <c r="ML246" s="140"/>
    </row>
    <row r="247" spans="3:350" x14ac:dyDescent="0.3">
      <c r="C247" s="197"/>
    </row>
    <row r="248" spans="3:350" x14ac:dyDescent="0.3">
      <c r="C248" s="198" t="s">
        <v>152</v>
      </c>
    </row>
    <row r="250" spans="3:350" x14ac:dyDescent="0.3">
      <c r="C250" s="199">
        <f>BI232</f>
        <v>100.13560363986724</v>
      </c>
      <c r="D250" s="160" t="s">
        <v>153</v>
      </c>
    </row>
    <row r="251" spans="3:350" s="4" customFormat="1" ht="35.15" customHeight="1" x14ac:dyDescent="0.3">
      <c r="D251" s="441" t="s">
        <v>154</v>
      </c>
      <c r="E251" s="441"/>
      <c r="F251" s="441"/>
      <c r="G251" s="441" t="s">
        <v>155</v>
      </c>
      <c r="H251" s="441"/>
      <c r="I251" s="441"/>
      <c r="J251" s="442"/>
      <c r="K251" s="442"/>
      <c r="L251" s="443"/>
      <c r="M251" s="443"/>
      <c r="N251" s="1"/>
      <c r="O251" s="1"/>
      <c r="P251" s="1"/>
      <c r="Q251" s="1"/>
    </row>
    <row r="252" spans="3:350" x14ac:dyDescent="0.3">
      <c r="D252" s="66"/>
      <c r="E252" s="66"/>
      <c r="F252" s="66"/>
      <c r="G252" s="66"/>
      <c r="H252" s="66"/>
      <c r="I252" s="66"/>
    </row>
    <row r="253" spans="3:350" x14ac:dyDescent="0.3">
      <c r="C253" s="166"/>
      <c r="D253" s="200">
        <v>2030</v>
      </c>
      <c r="E253" s="200">
        <v>2040</v>
      </c>
      <c r="F253" s="200">
        <v>2050</v>
      </c>
      <c r="G253" s="200">
        <v>2030</v>
      </c>
      <c r="H253" s="200">
        <v>2040</v>
      </c>
      <c r="I253" s="200">
        <v>2050</v>
      </c>
    </row>
    <row r="254" spans="3:350" x14ac:dyDescent="0.3">
      <c r="C254" t="s">
        <v>5</v>
      </c>
      <c r="D254" s="201">
        <f t="shared" ref="D254:F259" si="129">SUMIFS($H$232:$IE$232,$H$4:$IE$4,$C254,$H$1:$IE$1,D$253)</f>
        <v>78.125644932287017</v>
      </c>
      <c r="E254" s="201">
        <f t="shared" si="129"/>
        <v>63.802164119358352</v>
      </c>
      <c r="F254" s="201">
        <f t="shared" si="129"/>
        <v>48.513137760013954</v>
      </c>
      <c r="G254" s="202">
        <f t="shared" ref="G254:I259" si="130">(D254-$C$250)/$C$250</f>
        <v>-0.21980152820307505</v>
      </c>
      <c r="H254" s="202">
        <f t="shared" si="130"/>
        <v>-0.36284236774744288</v>
      </c>
      <c r="I254" s="202">
        <f t="shared" si="130"/>
        <v>-0.51552558733765608</v>
      </c>
    </row>
    <row r="255" spans="3:350" x14ac:dyDescent="0.3">
      <c r="C255" t="s">
        <v>6</v>
      </c>
      <c r="D255" s="201">
        <f t="shared" si="129"/>
        <v>81.041623652583368</v>
      </c>
      <c r="E255" s="201">
        <f t="shared" si="129"/>
        <v>70.381123424233337</v>
      </c>
      <c r="F255" s="201">
        <f t="shared" si="129"/>
        <v>62.398715321872203</v>
      </c>
      <c r="G255" s="202">
        <f t="shared" si="130"/>
        <v>-0.19068122918551958</v>
      </c>
      <c r="H255" s="202">
        <f t="shared" si="130"/>
        <v>-0.2971418669691594</v>
      </c>
      <c r="I255" s="202">
        <f t="shared" si="130"/>
        <v>-0.37685785021792945</v>
      </c>
    </row>
    <row r="256" spans="3:350" x14ac:dyDescent="0.3">
      <c r="C256" t="s">
        <v>7</v>
      </c>
      <c r="D256" s="201">
        <f t="shared" si="129"/>
        <v>63.216672774473487</v>
      </c>
      <c r="E256" s="201">
        <f t="shared" si="129"/>
        <v>49.005703909574621</v>
      </c>
      <c r="F256" s="201">
        <f t="shared" si="129"/>
        <v>39.307122663580806</v>
      </c>
      <c r="G256" s="202">
        <f t="shared" si="130"/>
        <v>-0.36868935247218232</v>
      </c>
      <c r="H256" s="202">
        <f t="shared" si="130"/>
        <v>-0.51060659617311321</v>
      </c>
      <c r="I256" s="202">
        <f t="shared" si="130"/>
        <v>-0.60746107044057041</v>
      </c>
    </row>
    <row r="257" spans="2:54" x14ac:dyDescent="0.3">
      <c r="C257" t="s">
        <v>8</v>
      </c>
      <c r="D257" s="201">
        <f t="shared" si="129"/>
        <v>71.51310559922328</v>
      </c>
      <c r="E257" s="201">
        <f t="shared" si="129"/>
        <v>58.286770211856428</v>
      </c>
      <c r="F257" s="201">
        <f t="shared" si="129"/>
        <v>50.873652731328917</v>
      </c>
      <c r="G257" s="202">
        <f t="shared" si="130"/>
        <v>-0.28583737452248614</v>
      </c>
      <c r="H257" s="202">
        <f t="shared" si="130"/>
        <v>-0.41792161735518246</v>
      </c>
      <c r="I257" s="202">
        <f t="shared" si="130"/>
        <v>-0.4919524037195252</v>
      </c>
    </row>
    <row r="258" spans="2:54" x14ac:dyDescent="0.3">
      <c r="C258" t="s">
        <v>9</v>
      </c>
      <c r="D258" s="201">
        <f t="shared" si="129"/>
        <v>66.924301811058243</v>
      </c>
      <c r="E258" s="201">
        <f t="shared" si="129"/>
        <v>56.287610300153169</v>
      </c>
      <c r="F258" s="201">
        <f t="shared" si="129"/>
        <v>48.623217835274112</v>
      </c>
      <c r="G258" s="202">
        <f t="shared" si="130"/>
        <v>-0.33166327082075431</v>
      </c>
      <c r="H258" s="202">
        <f t="shared" si="130"/>
        <v>-0.43788614384760904</v>
      </c>
      <c r="I258" s="202">
        <f t="shared" si="130"/>
        <v>-0.51442627728949319</v>
      </c>
    </row>
    <row r="259" spans="2:54" x14ac:dyDescent="0.3">
      <c r="C259" t="s">
        <v>10</v>
      </c>
      <c r="D259" s="201">
        <f t="shared" si="129"/>
        <v>78.459341817400684</v>
      </c>
      <c r="E259" s="201">
        <f t="shared" si="129"/>
        <v>67.133007826445549</v>
      </c>
      <c r="F259" s="201">
        <f t="shared" si="129"/>
        <v>58.463867510392525</v>
      </c>
      <c r="G259" s="202">
        <f t="shared" si="130"/>
        <v>-0.21646907827533715</v>
      </c>
      <c r="H259" s="202">
        <f t="shared" si="130"/>
        <v>-0.32957903696385454</v>
      </c>
      <c r="I259" s="202">
        <f t="shared" si="130"/>
        <v>-0.41615304262153407</v>
      </c>
    </row>
    <row r="261" spans="2:54" x14ac:dyDescent="0.3">
      <c r="C261" s="69" t="s">
        <v>156</v>
      </c>
    </row>
    <row r="262" spans="2:54" x14ac:dyDescent="0.3">
      <c r="B262" s="203"/>
      <c r="C262" s="69" t="s">
        <v>157</v>
      </c>
    </row>
    <row r="263" spans="2:54" x14ac:dyDescent="0.3">
      <c r="B263" s="203"/>
      <c r="C263" s="69" t="s">
        <v>158</v>
      </c>
    </row>
    <row r="265" spans="2:54" hidden="1" outlineLevel="1" x14ac:dyDescent="0.3">
      <c r="C265" s="120" t="s">
        <v>159</v>
      </c>
    </row>
    <row r="266" spans="2:54" ht="18" hidden="1" customHeight="1" outlineLevel="1" x14ac:dyDescent="0.3">
      <c r="C266" s="131"/>
      <c r="D266" s="132"/>
      <c r="E266" s="133" t="s">
        <v>101</v>
      </c>
      <c r="F266" s="134" t="s">
        <v>102</v>
      </c>
      <c r="H266" s="135">
        <v>2015</v>
      </c>
      <c r="I266" s="133">
        <v>2020</v>
      </c>
      <c r="J266" s="133">
        <v>2025</v>
      </c>
      <c r="K266" s="133">
        <v>2030</v>
      </c>
      <c r="L266" s="133">
        <v>2040</v>
      </c>
      <c r="M266" s="134">
        <v>2050</v>
      </c>
      <c r="N266" s="1"/>
      <c r="O266" s="1"/>
      <c r="P266" s="1"/>
      <c r="Q266" s="1"/>
      <c r="S266" s="135">
        <f>S$1</f>
        <v>2015</v>
      </c>
      <c r="T266" s="133">
        <f t="shared" ref="T266:BB266" si="131">T$1</f>
        <v>2016</v>
      </c>
      <c r="U266" s="133">
        <f t="shared" si="131"/>
        <v>2017</v>
      </c>
      <c r="V266" s="133">
        <f t="shared" si="131"/>
        <v>2018</v>
      </c>
      <c r="W266" s="133">
        <f t="shared" si="131"/>
        <v>2019</v>
      </c>
      <c r="X266" s="133">
        <f t="shared" si="131"/>
        <v>2020</v>
      </c>
      <c r="Y266" s="133">
        <f t="shared" si="131"/>
        <v>2021</v>
      </c>
      <c r="Z266" s="133">
        <f t="shared" si="131"/>
        <v>2022</v>
      </c>
      <c r="AA266" s="133">
        <f t="shared" si="131"/>
        <v>2023</v>
      </c>
      <c r="AB266" s="133">
        <f t="shared" si="131"/>
        <v>2024</v>
      </c>
      <c r="AC266" s="133">
        <f t="shared" si="131"/>
        <v>2025</v>
      </c>
      <c r="AD266" s="133">
        <f t="shared" si="131"/>
        <v>2026</v>
      </c>
      <c r="AE266" s="133">
        <f t="shared" si="131"/>
        <v>2027</v>
      </c>
      <c r="AF266" s="133">
        <f t="shared" si="131"/>
        <v>2028</v>
      </c>
      <c r="AG266" s="133">
        <f t="shared" si="131"/>
        <v>2029</v>
      </c>
      <c r="AH266" s="133">
        <f t="shared" si="131"/>
        <v>2030</v>
      </c>
      <c r="AI266" s="133">
        <f t="shared" si="131"/>
        <v>2031</v>
      </c>
      <c r="AJ266" s="133">
        <f t="shared" si="131"/>
        <v>2032</v>
      </c>
      <c r="AK266" s="133">
        <f t="shared" si="131"/>
        <v>2033</v>
      </c>
      <c r="AL266" s="133">
        <f t="shared" si="131"/>
        <v>2034</v>
      </c>
      <c r="AM266" s="133">
        <f t="shared" si="131"/>
        <v>2035</v>
      </c>
      <c r="AN266" s="133">
        <f t="shared" si="131"/>
        <v>2036</v>
      </c>
      <c r="AO266" s="133">
        <f t="shared" si="131"/>
        <v>2037</v>
      </c>
      <c r="AP266" s="133">
        <f t="shared" si="131"/>
        <v>2038</v>
      </c>
      <c r="AQ266" s="133">
        <f t="shared" si="131"/>
        <v>2039</v>
      </c>
      <c r="AR266" s="133">
        <f t="shared" si="131"/>
        <v>2040</v>
      </c>
      <c r="AS266" s="133">
        <f t="shared" si="131"/>
        <v>2041</v>
      </c>
      <c r="AT266" s="133">
        <f t="shared" si="131"/>
        <v>2042</v>
      </c>
      <c r="AU266" s="133">
        <f t="shared" si="131"/>
        <v>2043</v>
      </c>
      <c r="AV266" s="133">
        <f t="shared" si="131"/>
        <v>2044</v>
      </c>
      <c r="AW266" s="133">
        <f t="shared" si="131"/>
        <v>2045</v>
      </c>
      <c r="AX266" s="133">
        <f t="shared" si="131"/>
        <v>2046</v>
      </c>
      <c r="AY266" s="133">
        <f t="shared" si="131"/>
        <v>2047</v>
      </c>
      <c r="AZ266" s="133">
        <f t="shared" si="131"/>
        <v>2048</v>
      </c>
      <c r="BA266" s="133">
        <f t="shared" si="131"/>
        <v>2049</v>
      </c>
      <c r="BB266" s="134">
        <f t="shared" si="131"/>
        <v>2050</v>
      </c>
    </row>
    <row r="267" spans="2:54" ht="18" hidden="1" customHeight="1" outlineLevel="1" x14ac:dyDescent="0.3">
      <c r="C267" s="204" t="str">
        <f>$H$2</f>
        <v>Historique</v>
      </c>
      <c r="D267" s="4"/>
      <c r="E267" s="1" t="s">
        <v>160</v>
      </c>
      <c r="F267" s="138"/>
      <c r="H267" s="205">
        <f>H$232</f>
        <v>105.94709172586673</v>
      </c>
      <c r="I267" s="206">
        <f>M$232</f>
        <v>98.042141529715011</v>
      </c>
      <c r="J267" s="206"/>
      <c r="K267" s="206"/>
      <c r="L267" s="206"/>
      <c r="M267" s="207"/>
      <c r="N267" s="206"/>
      <c r="O267" s="206"/>
      <c r="P267" s="206"/>
      <c r="Q267" s="206"/>
      <c r="S267" s="205">
        <f t="shared" ref="S267:X267" si="132">H$232</f>
        <v>105.94709172586673</v>
      </c>
      <c r="T267" s="206">
        <f t="shared" si="132"/>
        <v>104.3127509738071</v>
      </c>
      <c r="U267" s="206">
        <f t="shared" si="132"/>
        <v>102.70575505279278</v>
      </c>
      <c r="V267" s="206">
        <f t="shared" si="132"/>
        <v>101.12542337986515</v>
      </c>
      <c r="W267" s="206">
        <f t="shared" si="132"/>
        <v>99.571097771521082</v>
      </c>
      <c r="X267" s="206">
        <f t="shared" si="132"/>
        <v>98.042141529715011</v>
      </c>
      <c r="Y267" s="206"/>
      <c r="Z267" s="206"/>
      <c r="AA267" s="206"/>
      <c r="AB267" s="206"/>
      <c r="AC267" s="206"/>
      <c r="AD267" s="206"/>
      <c r="AE267" s="206"/>
      <c r="AF267" s="206"/>
      <c r="AG267" s="206"/>
      <c r="AH267" s="206"/>
      <c r="AI267" s="206"/>
      <c r="AJ267" s="206"/>
      <c r="AK267" s="206"/>
      <c r="AL267" s="206"/>
      <c r="AM267" s="206"/>
      <c r="AN267" s="206"/>
      <c r="AO267" s="206"/>
      <c r="AP267" s="206"/>
      <c r="AQ267" s="206"/>
      <c r="AR267" s="206"/>
      <c r="AS267" s="206"/>
      <c r="AT267" s="206"/>
      <c r="AU267" s="206"/>
      <c r="AV267" s="206"/>
      <c r="AW267" s="206"/>
      <c r="AX267" s="206"/>
      <c r="AY267" s="206"/>
      <c r="AZ267" s="206"/>
      <c r="BA267" s="206"/>
      <c r="BB267" s="207"/>
    </row>
    <row r="268" spans="2:54" ht="18" hidden="1" customHeight="1" outlineLevel="1" x14ac:dyDescent="0.3">
      <c r="C268" s="204" t="str">
        <f>$S$2</f>
        <v>AMS 2018</v>
      </c>
      <c r="D268" s="4"/>
      <c r="E268" s="137" t="s">
        <v>105</v>
      </c>
      <c r="F268" s="138"/>
      <c r="H268" s="205">
        <f>S$232</f>
        <v>118.95387856277725</v>
      </c>
      <c r="I268" s="206">
        <f>X$232</f>
        <v>105.37435397786993</v>
      </c>
      <c r="J268" s="206">
        <f>AC$232</f>
        <v>91.963600635552339</v>
      </c>
      <c r="K268" s="206">
        <f>AH$232</f>
        <v>78.125644932287017</v>
      </c>
      <c r="L268" s="206">
        <f>AR$232</f>
        <v>63.802164119358352</v>
      </c>
      <c r="M268" s="207">
        <f>BB$232</f>
        <v>48.513137760013954</v>
      </c>
      <c r="N268" s="206"/>
      <c r="O268" s="206"/>
      <c r="P268" s="206"/>
      <c r="Q268" s="206"/>
      <c r="S268" s="205"/>
      <c r="T268" s="206"/>
      <c r="U268" s="206"/>
      <c r="V268" s="206"/>
      <c r="W268" s="206"/>
      <c r="X268" s="206"/>
      <c r="Y268" s="206">
        <f t="shared" ref="Y268:BB268" si="133">Y$232</f>
        <v>102.72588975776108</v>
      </c>
      <c r="Z268" s="206">
        <f t="shared" si="133"/>
        <v>100.06064581614254</v>
      </c>
      <c r="AA268" s="206">
        <f t="shared" si="133"/>
        <v>97.378568081960381</v>
      </c>
      <c r="AB268" s="206">
        <f t="shared" si="133"/>
        <v>94.679578347519879</v>
      </c>
      <c r="AC268" s="206">
        <f t="shared" si="133"/>
        <v>91.963600635552339</v>
      </c>
      <c r="AD268" s="206">
        <f t="shared" si="133"/>
        <v>89.230413112211551</v>
      </c>
      <c r="AE268" s="206">
        <f t="shared" si="133"/>
        <v>86.480188060368448</v>
      </c>
      <c r="AF268" s="206">
        <f t="shared" si="133"/>
        <v>83.712698533756608</v>
      </c>
      <c r="AG268" s="206">
        <f t="shared" si="133"/>
        <v>80.927841040079556</v>
      </c>
      <c r="AH268" s="206">
        <f t="shared" si="133"/>
        <v>78.125644932287017</v>
      </c>
      <c r="AI268" s="206">
        <f t="shared" si="133"/>
        <v>76.738858209510596</v>
      </c>
      <c r="AJ268" s="206">
        <f t="shared" si="133"/>
        <v>75.343882699364599</v>
      </c>
      <c r="AK268" s="206">
        <f t="shared" si="133"/>
        <v>73.942771096691033</v>
      </c>
      <c r="AL268" s="206">
        <f t="shared" si="133"/>
        <v>72.516659694489718</v>
      </c>
      <c r="AM268" s="206">
        <f t="shared" si="133"/>
        <v>71.087490629734219</v>
      </c>
      <c r="AN268" s="206">
        <f t="shared" si="133"/>
        <v>69.648655617180296</v>
      </c>
      <c r="AO268" s="206">
        <f t="shared" si="133"/>
        <v>68.200339434648797</v>
      </c>
      <c r="AP268" s="206">
        <f t="shared" si="133"/>
        <v>66.743215172039271</v>
      </c>
      <c r="AQ268" s="206">
        <f t="shared" si="133"/>
        <v>65.277015108791332</v>
      </c>
      <c r="AR268" s="206">
        <f t="shared" si="133"/>
        <v>63.802164119358352</v>
      </c>
      <c r="AS268" s="206">
        <f t="shared" si="133"/>
        <v>62.317675499361471</v>
      </c>
      <c r="AT268" s="206">
        <f t="shared" si="133"/>
        <v>60.823041683620517</v>
      </c>
      <c r="AU268" s="206">
        <f t="shared" si="133"/>
        <v>59.319134622669395</v>
      </c>
      <c r="AV268" s="206">
        <f t="shared" si="133"/>
        <v>57.805473210476805</v>
      </c>
      <c r="AW268" s="206">
        <f t="shared" si="133"/>
        <v>56.281706579629819</v>
      </c>
      <c r="AX268" s="206">
        <f t="shared" si="133"/>
        <v>54.74743280975467</v>
      </c>
      <c r="AY268" s="206">
        <f t="shared" si="133"/>
        <v>53.203096929946341</v>
      </c>
      <c r="AZ268" s="206">
        <f t="shared" si="133"/>
        <v>51.649212979567821</v>
      </c>
      <c r="BA268" s="206">
        <f t="shared" si="133"/>
        <v>50.085981981262165</v>
      </c>
      <c r="BB268" s="207">
        <f t="shared" si="133"/>
        <v>48.513137760013954</v>
      </c>
    </row>
    <row r="269" spans="2:54" ht="18" hidden="1" customHeight="1" outlineLevel="1" x14ac:dyDescent="0.3">
      <c r="C269" s="204" t="str">
        <f>$BD$2</f>
        <v>ADEME Tend.</v>
      </c>
      <c r="D269" s="4"/>
      <c r="E269" s="137" t="s">
        <v>105</v>
      </c>
      <c r="F269" s="138"/>
      <c r="H269" s="205">
        <f>BD$232</f>
        <v>0</v>
      </c>
      <c r="I269" s="206">
        <f>BI$232</f>
        <v>100.13560363986724</v>
      </c>
      <c r="J269" s="206">
        <f>BN$232</f>
        <v>90.805378846698005</v>
      </c>
      <c r="K269" s="206">
        <f>BS$232</f>
        <v>81.041623652583368</v>
      </c>
      <c r="L269" s="206">
        <f>CC$232</f>
        <v>70.381123424233337</v>
      </c>
      <c r="M269" s="207">
        <f>CM$232</f>
        <v>62.398715321872203</v>
      </c>
      <c r="N269" s="206"/>
      <c r="O269" s="206"/>
      <c r="P269" s="206"/>
      <c r="Q269" s="206"/>
      <c r="S269" s="205"/>
      <c r="T269" s="206"/>
      <c r="U269" s="206"/>
      <c r="V269" s="206"/>
      <c r="W269" s="206"/>
      <c r="X269" s="206"/>
      <c r="Y269" s="206">
        <f t="shared" ref="Y269:BB269" si="134">BJ$232</f>
        <v>98.30233743646339</v>
      </c>
      <c r="Z269" s="206">
        <f t="shared" si="134"/>
        <v>96.452983559852498</v>
      </c>
      <c r="AA269" s="206">
        <f t="shared" si="134"/>
        <v>94.5872440311107</v>
      </c>
      <c r="AB269" s="206">
        <f t="shared" si="134"/>
        <v>92.704813466634462</v>
      </c>
      <c r="AC269" s="206">
        <f t="shared" si="134"/>
        <v>90.805378846698005</v>
      </c>
      <c r="AD269" s="206">
        <f t="shared" si="134"/>
        <v>88.888619275275261</v>
      </c>
      <c r="AE269" s="206">
        <f t="shared" si="134"/>
        <v>86.954205730739034</v>
      </c>
      <c r="AF269" s="206">
        <f t="shared" si="134"/>
        <v>85.001800807031202</v>
      </c>
      <c r="AG269" s="206">
        <f t="shared" si="134"/>
        <v>83.031058444875427</v>
      </c>
      <c r="AH269" s="206">
        <f t="shared" si="134"/>
        <v>81.041623652583368</v>
      </c>
      <c r="AI269" s="206">
        <f t="shared" si="134"/>
        <v>79.974632657824614</v>
      </c>
      <c r="AJ269" s="206">
        <f t="shared" si="134"/>
        <v>78.907847089917212</v>
      </c>
      <c r="AK269" s="206">
        <f t="shared" si="134"/>
        <v>77.841268306844384</v>
      </c>
      <c r="AL269" s="206">
        <f t="shared" si="134"/>
        <v>76.77489767858512</v>
      </c>
      <c r="AM269" s="206">
        <f t="shared" si="134"/>
        <v>75.708736587246946</v>
      </c>
      <c r="AN269" s="206">
        <f t="shared" si="134"/>
        <v>74.642786427200463</v>
      </c>
      <c r="AO269" s="206">
        <f t="shared" si="134"/>
        <v>73.577048605215495</v>
      </c>
      <c r="AP269" s="206">
        <f t="shared" si="134"/>
        <v>72.511524540599538</v>
      </c>
      <c r="AQ269" s="206">
        <f t="shared" si="134"/>
        <v>71.446215665337405</v>
      </c>
      <c r="AR269" s="206">
        <f t="shared" si="134"/>
        <v>70.381123424233337</v>
      </c>
      <c r="AS269" s="206">
        <f t="shared" si="134"/>
        <v>69.576121207124459</v>
      </c>
      <c r="AT269" s="206">
        <f t="shared" si="134"/>
        <v>68.772594502110209</v>
      </c>
      <c r="AU269" s="206">
        <f t="shared" si="134"/>
        <v>67.970553282900227</v>
      </c>
      <c r="AV269" s="206">
        <f t="shared" si="134"/>
        <v>67.17000761329669</v>
      </c>
      <c r="AW269" s="206">
        <f t="shared" si="134"/>
        <v>66.370967648214048</v>
      </c>
      <c r="AX269" s="206">
        <f t="shared" si="134"/>
        <v>65.573443634712177</v>
      </c>
      <c r="AY269" s="206">
        <f t="shared" si="134"/>
        <v>64.777445913044204</v>
      </c>
      <c r="AZ269" s="206">
        <f t="shared" si="134"/>
        <v>63.982984917718156</v>
      </c>
      <c r="BA269" s="206">
        <f t="shared" si="134"/>
        <v>63.190071178573476</v>
      </c>
      <c r="BB269" s="207">
        <f t="shared" si="134"/>
        <v>62.398715321872203</v>
      </c>
    </row>
    <row r="270" spans="2:54" ht="18" hidden="1" customHeight="1" outlineLevel="1" x14ac:dyDescent="0.3">
      <c r="C270" s="204" t="str">
        <f>$CO$2</f>
        <v>ADEME S1</v>
      </c>
      <c r="D270" s="4"/>
      <c r="E270" s="137" t="s">
        <v>105</v>
      </c>
      <c r="F270" s="138"/>
      <c r="H270" s="205">
        <f>CO$232</f>
        <v>0</v>
      </c>
      <c r="I270" s="206">
        <f>CT$232</f>
        <v>100.13814580769669</v>
      </c>
      <c r="J270" s="206">
        <f>CY$232</f>
        <v>82.800308441461169</v>
      </c>
      <c r="K270" s="206">
        <f>DD$232</f>
        <v>63.216672774473487</v>
      </c>
      <c r="L270" s="206">
        <f>DN$232</f>
        <v>49.005703909574621</v>
      </c>
      <c r="M270" s="207">
        <f>DX$232</f>
        <v>39.307122663580806</v>
      </c>
      <c r="N270" s="206"/>
      <c r="O270" s="206"/>
      <c r="P270" s="206"/>
      <c r="Q270" s="206"/>
      <c r="S270" s="205"/>
      <c r="T270" s="206"/>
      <c r="U270" s="206"/>
      <c r="V270" s="206"/>
      <c r="W270" s="206"/>
      <c r="X270" s="206"/>
      <c r="Y270" s="206">
        <f t="shared" ref="Y270:BB270" si="135">CU$232</f>
        <v>96.830806820811986</v>
      </c>
      <c r="Z270" s="206">
        <f t="shared" si="135"/>
        <v>93.446277557271713</v>
      </c>
      <c r="AA270" s="206">
        <f t="shared" si="135"/>
        <v>89.981706071650294</v>
      </c>
      <c r="AB270" s="206">
        <f t="shared" si="135"/>
        <v>86.434098172415503</v>
      </c>
      <c r="AC270" s="206">
        <f t="shared" si="135"/>
        <v>82.800308441461169</v>
      </c>
      <c r="AD270" s="206">
        <f t="shared" si="135"/>
        <v>79.077030564579346</v>
      </c>
      <c r="AE270" s="206">
        <f t="shared" si="135"/>
        <v>75.260786910390479</v>
      </c>
      <c r="AF270" s="206">
        <f t="shared" si="135"/>
        <v>71.347917288689885</v>
      </c>
      <c r="AG270" s="206">
        <f t="shared" si="135"/>
        <v>67.334566811823976</v>
      </c>
      <c r="AH270" s="206">
        <f t="shared" si="135"/>
        <v>63.216672774473487</v>
      </c>
      <c r="AI270" s="206">
        <f t="shared" si="135"/>
        <v>61.902705228153287</v>
      </c>
      <c r="AJ270" s="206">
        <f t="shared" si="135"/>
        <v>60.566663275792543</v>
      </c>
      <c r="AK270" s="206">
        <f t="shared" si="135"/>
        <v>59.207939106163472</v>
      </c>
      <c r="AL270" s="206">
        <f t="shared" si="135"/>
        <v>57.825902386834507</v>
      </c>
      <c r="AM270" s="206">
        <f t="shared" si="135"/>
        <v>56.419899211320882</v>
      </c>
      <c r="AN270" s="206">
        <f t="shared" si="135"/>
        <v>54.98925098661396</v>
      </c>
      <c r="AO270" s="206">
        <f t="shared" si="135"/>
        <v>53.533253257112854</v>
      </c>
      <c r="AP270" s="206">
        <f t="shared" si="135"/>
        <v>52.051174460675306</v>
      </c>
      <c r="AQ270" s="206">
        <f t="shared" si="135"/>
        <v>50.542254612173167</v>
      </c>
      <c r="AR270" s="206">
        <f t="shared" si="135"/>
        <v>49.005703909574621</v>
      </c>
      <c r="AS270" s="206">
        <f t="shared" si="135"/>
        <v>48.112266846756782</v>
      </c>
      <c r="AT270" s="206">
        <f t="shared" si="135"/>
        <v>47.203206553173615</v>
      </c>
      <c r="AU270" s="206">
        <f t="shared" si="135"/>
        <v>46.278049375569083</v>
      </c>
      <c r="AV270" s="206">
        <f t="shared" si="135"/>
        <v>45.336302318742291</v>
      </c>
      <c r="AW270" s="206">
        <f t="shared" si="135"/>
        <v>44.377452048062842</v>
      </c>
      <c r="AX270" s="206">
        <f t="shared" si="135"/>
        <v>43.400963829613211</v>
      </c>
      <c r="AY270" s="206">
        <f t="shared" si="135"/>
        <v>42.406280403360086</v>
      </c>
      <c r="AZ270" s="206">
        <f t="shared" si="135"/>
        <v>41.392820784364865</v>
      </c>
      <c r="BA270" s="206">
        <f t="shared" si="135"/>
        <v>40.359978986614294</v>
      </c>
      <c r="BB270" s="207">
        <f t="shared" si="135"/>
        <v>39.307122663580806</v>
      </c>
    </row>
    <row r="271" spans="2:54" ht="18" hidden="1" customHeight="1" outlineLevel="1" x14ac:dyDescent="0.3">
      <c r="C271" s="204" t="str">
        <f>$DZ$2</f>
        <v>ADEME S2</v>
      </c>
      <c r="D271" s="4"/>
      <c r="E271" s="137" t="s">
        <v>105</v>
      </c>
      <c r="F271" s="138"/>
      <c r="H271" s="205">
        <f>DZ$232</f>
        <v>0</v>
      </c>
      <c r="I271" s="206">
        <f>EE$232</f>
        <v>100.14450122727028</v>
      </c>
      <c r="J271" s="206">
        <f>EJ$232</f>
        <v>86.689569824803158</v>
      </c>
      <c r="K271" s="206">
        <f>EO$232</f>
        <v>71.51310559922328</v>
      </c>
      <c r="L271" s="206">
        <f>EY$232</f>
        <v>58.286770211856428</v>
      </c>
      <c r="M271" s="207">
        <f>FI$232</f>
        <v>50.873652731328917</v>
      </c>
      <c r="N271" s="206"/>
      <c r="O271" s="206"/>
      <c r="P271" s="206"/>
      <c r="Q271" s="206"/>
      <c r="S271" s="205"/>
      <c r="T271" s="206"/>
      <c r="U271" s="206"/>
      <c r="V271" s="206"/>
      <c r="W271" s="206"/>
      <c r="X271" s="206"/>
      <c r="Y271" s="206">
        <f t="shared" ref="Y271:BB271" si="136">EF$232</f>
        <v>97.576339244211823</v>
      </c>
      <c r="Z271" s="206">
        <f t="shared" si="136"/>
        <v>94.949006499984307</v>
      </c>
      <c r="AA271" s="206">
        <f t="shared" si="136"/>
        <v>92.260316815331009</v>
      </c>
      <c r="AB271" s="206">
        <f t="shared" si="136"/>
        <v>89.50797497122015</v>
      </c>
      <c r="AC271" s="206">
        <f t="shared" si="136"/>
        <v>86.689569824803158</v>
      </c>
      <c r="AD271" s="206">
        <f t="shared" si="136"/>
        <v>83.80256689716866</v>
      </c>
      <c r="AE271" s="206">
        <f t="shared" si="136"/>
        <v>80.84430038499643</v>
      </c>
      <c r="AF271" s="206">
        <f t="shared" si="136"/>
        <v>77.811964543187329</v>
      </c>
      <c r="AG271" s="206">
        <f t="shared" si="136"/>
        <v>74.702604379913708</v>
      </c>
      <c r="AH271" s="206">
        <f t="shared" si="136"/>
        <v>71.51310559922328</v>
      </c>
      <c r="AI271" s="206">
        <f t="shared" si="136"/>
        <v>70.289457412538368</v>
      </c>
      <c r="AJ271" s="206">
        <f t="shared" si="136"/>
        <v>69.045412919390643</v>
      </c>
      <c r="AK271" s="206">
        <f t="shared" si="136"/>
        <v>67.780410514450864</v>
      </c>
      <c r="AL271" s="206">
        <f t="shared" si="136"/>
        <v>66.493867783251133</v>
      </c>
      <c r="AM271" s="206">
        <f t="shared" si="136"/>
        <v>65.185180529373326</v>
      </c>
      <c r="AN271" s="206">
        <f t="shared" si="136"/>
        <v>63.853721746548715</v>
      </c>
      <c r="AO271" s="206">
        <f t="shared" si="136"/>
        <v>62.498840531994212</v>
      </c>
      <c r="AP271" s="206">
        <f t="shared" si="136"/>
        <v>61.119860937028683</v>
      </c>
      <c r="AQ271" s="206">
        <f t="shared" si="136"/>
        <v>59.716080750704691</v>
      </c>
      <c r="AR271" s="206">
        <f t="shared" si="136"/>
        <v>58.286770211856428</v>
      </c>
      <c r="AS271" s="206">
        <f t="shared" si="136"/>
        <v>57.601352217336093</v>
      </c>
      <c r="AT271" s="206">
        <f t="shared" si="136"/>
        <v>56.904507516755672</v>
      </c>
      <c r="AU271" s="206">
        <f t="shared" si="136"/>
        <v>56.195889683910998</v>
      </c>
      <c r="AV271" s="206">
        <f t="shared" si="136"/>
        <v>55.475138146054036</v>
      </c>
      <c r="AW271" s="206">
        <f t="shared" si="136"/>
        <v>54.741877454340695</v>
      </c>
      <c r="AX271" s="206">
        <f t="shared" si="136"/>
        <v>53.995716508659392</v>
      </c>
      <c r="AY271" s="206">
        <f t="shared" si="136"/>
        <v>53.236247733477541</v>
      </c>
      <c r="AZ271" s="206">
        <f t="shared" si="136"/>
        <v>52.463046201056535</v>
      </c>
      <c r="BA271" s="206">
        <f t="shared" si="136"/>
        <v>51.675668698071689</v>
      </c>
      <c r="BB271" s="207">
        <f t="shared" si="136"/>
        <v>50.873652731328917</v>
      </c>
    </row>
    <row r="272" spans="2:54" ht="18" hidden="1" customHeight="1" outlineLevel="1" x14ac:dyDescent="0.3">
      <c r="C272" s="204" t="str">
        <f>$FK$2</f>
        <v>ADEME S3</v>
      </c>
      <c r="D272" s="4"/>
      <c r="E272" s="137" t="s">
        <v>105</v>
      </c>
      <c r="F272" s="138"/>
      <c r="H272" s="205">
        <f>FK$232</f>
        <v>0</v>
      </c>
      <c r="I272" s="206">
        <f>FP$232</f>
        <v>100.14450122727028</v>
      </c>
      <c r="J272" s="206">
        <f>FU$232</f>
        <v>84.115201029537246</v>
      </c>
      <c r="K272" s="206">
        <f>FZ$232</f>
        <v>66.924301811058243</v>
      </c>
      <c r="L272" s="206">
        <f>GJ$232</f>
        <v>56.287610300153169</v>
      </c>
      <c r="M272" s="207">
        <f>GT$232</f>
        <v>48.623217835274112</v>
      </c>
      <c r="N272" s="206"/>
      <c r="O272" s="206"/>
      <c r="P272" s="206"/>
      <c r="Q272" s="206"/>
      <c r="S272" s="205"/>
      <c r="T272" s="206"/>
      <c r="U272" s="206"/>
      <c r="V272" s="206"/>
      <c r="W272" s="206"/>
      <c r="X272" s="206"/>
      <c r="Y272" s="206">
        <f t="shared" ref="Y272:BB272" si="137">FQ$232</f>
        <v>97.025331092063269</v>
      </c>
      <c r="Z272" s="206">
        <f t="shared" si="137"/>
        <v>93.863793172151418</v>
      </c>
      <c r="AA272" s="206">
        <f t="shared" si="137"/>
        <v>90.658925097425325</v>
      </c>
      <c r="AB272" s="206">
        <f t="shared" si="137"/>
        <v>87.409735128852006</v>
      </c>
      <c r="AC272" s="206">
        <f t="shared" si="137"/>
        <v>84.115201029537246</v>
      </c>
      <c r="AD272" s="206">
        <f t="shared" si="137"/>
        <v>80.774268883308707</v>
      </c>
      <c r="AE272" s="206">
        <f t="shared" si="137"/>
        <v>77.385851857952076</v>
      </c>
      <c r="AF272" s="206">
        <f t="shared" si="137"/>
        <v>73.948828910050807</v>
      </c>
      <c r="AG272" s="206">
        <f t="shared" si="137"/>
        <v>70.462043428187727</v>
      </c>
      <c r="AH272" s="206">
        <f t="shared" si="137"/>
        <v>66.924301811058243</v>
      </c>
      <c r="AI272" s="206">
        <f t="shared" si="137"/>
        <v>65.884158256714159</v>
      </c>
      <c r="AJ272" s="206">
        <f t="shared" si="137"/>
        <v>64.838941402698865</v>
      </c>
      <c r="AK272" s="206">
        <f t="shared" si="137"/>
        <v>63.788594775902872</v>
      </c>
      <c r="AL272" s="206">
        <f t="shared" si="137"/>
        <v>62.733061061926051</v>
      </c>
      <c r="AM272" s="206">
        <f t="shared" si="137"/>
        <v>61.672282089353033</v>
      </c>
      <c r="AN272" s="206">
        <f t="shared" si="137"/>
        <v>60.606198813674411</v>
      </c>
      <c r="AO272" s="206">
        <f t="shared" si="137"/>
        <v>59.534751300844903</v>
      </c>
      <c r="AP272" s="206">
        <f t="shared" si="137"/>
        <v>58.457878710468194</v>
      </c>
      <c r="AQ272" s="206">
        <f t="shared" si="137"/>
        <v>57.375519278599228</v>
      </c>
      <c r="AR272" s="206">
        <f t="shared" si="137"/>
        <v>56.287610300153169</v>
      </c>
      <c r="AS272" s="206">
        <f t="shared" si="137"/>
        <v>55.536442246945917</v>
      </c>
      <c r="AT272" s="206">
        <f t="shared" si="137"/>
        <v>54.781984810422877</v>
      </c>
      <c r="AU272" s="206">
        <f t="shared" si="137"/>
        <v>54.024199964058781</v>
      </c>
      <c r="AV272" s="206">
        <f t="shared" si="137"/>
        <v>53.263049092926273</v>
      </c>
      <c r="AW272" s="206">
        <f t="shared" si="137"/>
        <v>52.498492982270676</v>
      </c>
      <c r="AX272" s="206">
        <f t="shared" si="137"/>
        <v>51.730491805817991</v>
      </c>
      <c r="AY272" s="206">
        <f t="shared" si="137"/>
        <v>50.959005113807955</v>
      </c>
      <c r="AZ272" s="206">
        <f t="shared" si="137"/>
        <v>50.183991820745241</v>
      </c>
      <c r="BA272" s="206">
        <f t="shared" si="137"/>
        <v>49.405410192860607</v>
      </c>
      <c r="BB272" s="207">
        <f t="shared" si="137"/>
        <v>48.623217835274112</v>
      </c>
    </row>
    <row r="273" spans="3:350" ht="18" hidden="1" customHeight="1" outlineLevel="1" x14ac:dyDescent="0.3">
      <c r="C273" s="204" t="str">
        <f>$GV$2</f>
        <v>ADEME S4</v>
      </c>
      <c r="D273" s="4"/>
      <c r="E273" s="137" t="s">
        <v>105</v>
      </c>
      <c r="F273" s="138"/>
      <c r="H273" s="205">
        <f>GV$232</f>
        <v>0</v>
      </c>
      <c r="I273" s="206">
        <f>HA$232</f>
        <v>100.13602733450548</v>
      </c>
      <c r="J273" s="206">
        <f>HF$232</f>
        <v>89.554812648923061</v>
      </c>
      <c r="K273" s="206">
        <f>HK$232</f>
        <v>78.459341817400684</v>
      </c>
      <c r="L273" s="206">
        <f>HU$232</f>
        <v>67.133007826445549</v>
      </c>
      <c r="M273" s="207">
        <f>IE$232</f>
        <v>58.463867510392525</v>
      </c>
      <c r="N273" s="206"/>
      <c r="O273" s="206"/>
      <c r="P273" s="206"/>
      <c r="Q273" s="206"/>
      <c r="S273" s="205"/>
      <c r="T273" s="206"/>
      <c r="U273" s="206"/>
      <c r="V273" s="206"/>
      <c r="W273" s="206"/>
      <c r="X273" s="206"/>
      <c r="Y273" s="206">
        <f t="shared" ref="Y273:BB273" si="138">HB$232</f>
        <v>98.058666737120006</v>
      </c>
      <c r="Z273" s="206">
        <f t="shared" si="138"/>
        <v>95.962222853297106</v>
      </c>
      <c r="AA273" s="206">
        <f t="shared" si="138"/>
        <v>93.846342218798384</v>
      </c>
      <c r="AB273" s="206">
        <f t="shared" si="138"/>
        <v>91.710662585913795</v>
      </c>
      <c r="AC273" s="206">
        <f t="shared" si="138"/>
        <v>89.554812648923061</v>
      </c>
      <c r="AD273" s="206">
        <f t="shared" si="138"/>
        <v>87.378411759195217</v>
      </c>
      <c r="AE273" s="206">
        <f t="shared" si="138"/>
        <v>85.181069629466535</v>
      </c>
      <c r="AF273" s="206">
        <f t="shared" si="138"/>
        <v>82.962386026815153</v>
      </c>
      <c r="AG273" s="206">
        <f t="shared" si="138"/>
        <v>80.721950453824235</v>
      </c>
      <c r="AH273" s="206">
        <f t="shared" si="138"/>
        <v>78.459341817400684</v>
      </c>
      <c r="AI273" s="206">
        <f t="shared" si="138"/>
        <v>77.327082109618928</v>
      </c>
      <c r="AJ273" s="206">
        <f t="shared" si="138"/>
        <v>76.194740819987572</v>
      </c>
      <c r="AK273" s="206">
        <f t="shared" si="138"/>
        <v>75.06231740920623</v>
      </c>
      <c r="AL273" s="206">
        <f t="shared" si="138"/>
        <v>73.929811333210537</v>
      </c>
      <c r="AM273" s="206">
        <f t="shared" si="138"/>
        <v>72.797222043119589</v>
      </c>
      <c r="AN273" s="206">
        <f t="shared" si="138"/>
        <v>71.664548985182336</v>
      </c>
      <c r="AO273" s="206">
        <f t="shared" si="138"/>
        <v>70.531791600723523</v>
      </c>
      <c r="AP273" s="206">
        <f t="shared" si="138"/>
        <v>69.398949326088896</v>
      </c>
      <c r="AQ273" s="206">
        <f t="shared" si="138"/>
        <v>68.266021592589539</v>
      </c>
      <c r="AR273" s="206">
        <f t="shared" si="138"/>
        <v>67.133007826445549</v>
      </c>
      <c r="AS273" s="206">
        <f t="shared" si="138"/>
        <v>66.260718728577515</v>
      </c>
      <c r="AT273" s="206">
        <f t="shared" si="138"/>
        <v>65.389602607787978</v>
      </c>
      <c r="AU273" s="206">
        <f t="shared" si="138"/>
        <v>64.519667392804038</v>
      </c>
      <c r="AV273" s="206">
        <f t="shared" si="138"/>
        <v>63.650921083973131</v>
      </c>
      <c r="AW273" s="206">
        <f t="shared" si="138"/>
        <v>62.783371754073379</v>
      </c>
      <c r="AX273" s="206">
        <f t="shared" si="138"/>
        <v>61.917027549135213</v>
      </c>
      <c r="AY273" s="206">
        <f t="shared" si="138"/>
        <v>61.051896689274166</v>
      </c>
      <c r="AZ273" s="206">
        <f t="shared" si="138"/>
        <v>60.18798746953491</v>
      </c>
      <c r="BA273" s="206">
        <f t="shared" si="138"/>
        <v>59.32530826074705</v>
      </c>
      <c r="BB273" s="207">
        <f t="shared" si="138"/>
        <v>58.463867510392525</v>
      </c>
    </row>
    <row r="274" spans="3:350" ht="18" hidden="1" customHeight="1" outlineLevel="1" x14ac:dyDescent="0.3">
      <c r="C274" s="208"/>
      <c r="D274" s="39"/>
      <c r="E274" s="209"/>
      <c r="F274" s="210"/>
      <c r="H274" s="211"/>
      <c r="I274" s="166"/>
      <c r="J274" s="166"/>
      <c r="K274" s="166"/>
      <c r="L274" s="166"/>
      <c r="M274" s="212"/>
      <c r="S274" s="211"/>
      <c r="T274" s="166"/>
      <c r="U274" s="166"/>
      <c r="V274" s="166"/>
      <c r="W274" s="166"/>
      <c r="X274" s="166"/>
      <c r="Y274" s="166"/>
      <c r="Z274" s="166"/>
      <c r="AA274" s="166"/>
      <c r="AB274" s="166"/>
      <c r="AC274" s="166"/>
      <c r="AD274" s="166"/>
      <c r="AE274" s="166"/>
      <c r="AF274" s="166"/>
      <c r="AG274" s="166"/>
      <c r="AH274" s="166"/>
      <c r="AI274" s="166"/>
      <c r="AJ274" s="166"/>
      <c r="AK274" s="166"/>
      <c r="AL274" s="166"/>
      <c r="AM274" s="166"/>
      <c r="AN274" s="166"/>
      <c r="AO274" s="166"/>
      <c r="AP274" s="166"/>
      <c r="AQ274" s="166"/>
      <c r="AR274" s="166"/>
      <c r="AS274" s="166"/>
      <c r="AT274" s="166"/>
      <c r="AU274" s="166"/>
      <c r="AV274" s="166"/>
      <c r="AW274" s="166"/>
      <c r="AX274" s="166"/>
      <c r="AY274" s="166"/>
      <c r="AZ274" s="166"/>
      <c r="BA274" s="166"/>
      <c r="BB274" s="212"/>
    </row>
    <row r="275" spans="3:350" s="4" customFormat="1" ht="18" hidden="1" customHeight="1" outlineLevel="1" x14ac:dyDescent="0.3">
      <c r="H275" s="140"/>
      <c r="I275" s="140"/>
      <c r="J275" s="140"/>
      <c r="K275" s="140"/>
      <c r="L275" s="140"/>
      <c r="M275" s="140"/>
      <c r="N275" s="140"/>
      <c r="O275" s="140"/>
      <c r="P275" s="140"/>
      <c r="Q275" s="140"/>
      <c r="R275" s="140"/>
      <c r="S275" s="140"/>
      <c r="T275" s="140"/>
      <c r="U275" s="140"/>
      <c r="V275" s="140"/>
      <c r="W275" s="140"/>
      <c r="X275" s="140"/>
      <c r="Y275" s="140"/>
      <c r="Z275" s="140"/>
      <c r="AA275" s="140"/>
      <c r="AB275" s="140"/>
      <c r="AC275" s="140"/>
      <c r="AD275" s="140"/>
      <c r="AE275" s="140"/>
      <c r="AF275" s="140"/>
      <c r="AG275" s="140"/>
      <c r="AH275" s="140"/>
      <c r="AI275" s="140"/>
      <c r="AJ275" s="140"/>
      <c r="AK275" s="140"/>
      <c r="AL275" s="140"/>
      <c r="AM275" s="140"/>
      <c r="AN275" s="140"/>
      <c r="AO275" s="140"/>
      <c r="AP275" s="140"/>
      <c r="AQ275" s="140"/>
      <c r="AR275" s="140"/>
      <c r="AS275" s="140"/>
      <c r="AT275" s="140"/>
      <c r="AU275" s="140"/>
      <c r="AV275" s="140"/>
      <c r="AW275" s="140"/>
      <c r="AX275" s="140"/>
      <c r="AY275" s="140"/>
      <c r="AZ275" s="140"/>
      <c r="BA275" s="140"/>
      <c r="BB275" s="140"/>
      <c r="BC275" s="140"/>
      <c r="BD275" s="140"/>
      <c r="BE275" s="140"/>
      <c r="BF275" s="140"/>
      <c r="BG275" s="140"/>
      <c r="BH275" s="140"/>
      <c r="BI275" s="140"/>
      <c r="BJ275" s="140"/>
      <c r="BK275" s="140"/>
      <c r="BL275" s="140"/>
      <c r="BM275" s="140"/>
      <c r="BN275" s="140"/>
      <c r="BO275" s="140"/>
      <c r="BP275" s="140"/>
      <c r="BQ275" s="140"/>
      <c r="BR275" s="140"/>
      <c r="BS275" s="140"/>
      <c r="BT275" s="140"/>
      <c r="BU275" s="140"/>
      <c r="BV275" s="140"/>
      <c r="BW275" s="140"/>
      <c r="BX275" s="140"/>
      <c r="BY275" s="140"/>
      <c r="BZ275" s="140"/>
      <c r="CA275" s="140"/>
      <c r="CB275" s="140"/>
      <c r="CC275" s="140"/>
      <c r="CD275" s="140"/>
      <c r="CE275" s="140"/>
      <c r="CF275" s="140"/>
      <c r="CG275" s="140"/>
      <c r="CH275" s="140"/>
      <c r="CI275" s="140"/>
      <c r="CJ275" s="140"/>
      <c r="CK275" s="140"/>
      <c r="CL275" s="140"/>
      <c r="CM275" s="140"/>
      <c r="CN275" s="140"/>
      <c r="FJ275" s="140"/>
      <c r="FK275" s="140"/>
      <c r="FL275" s="140"/>
      <c r="FM275" s="140"/>
      <c r="FN275" s="140"/>
      <c r="FO275" s="140"/>
      <c r="FP275" s="140"/>
      <c r="FQ275" s="140"/>
      <c r="FR275" s="140"/>
      <c r="FS275" s="140"/>
      <c r="FT275" s="140"/>
      <c r="FU275" s="140"/>
      <c r="FV275" s="140"/>
      <c r="FW275" s="140"/>
      <c r="FX275" s="140"/>
      <c r="FY275" s="140"/>
      <c r="FZ275" s="140"/>
      <c r="GA275" s="140"/>
      <c r="GB275" s="140"/>
      <c r="GC275" s="140"/>
      <c r="GD275" s="140"/>
      <c r="GE275" s="140"/>
      <c r="GF275" s="140"/>
      <c r="GG275" s="140"/>
      <c r="GH275" s="140"/>
      <c r="GI275" s="140"/>
      <c r="GJ275" s="140"/>
      <c r="GK275" s="140"/>
      <c r="GL275" s="140"/>
      <c r="GM275" s="140"/>
      <c r="GN275" s="140"/>
      <c r="GO275" s="140"/>
      <c r="GP275" s="140"/>
      <c r="GQ275" s="140"/>
      <c r="GR275" s="140"/>
      <c r="GS275" s="140"/>
      <c r="GT275" s="140"/>
      <c r="GU275" s="140"/>
      <c r="GV275" s="140"/>
      <c r="GW275" s="140"/>
      <c r="GX275" s="140"/>
      <c r="GY275" s="140"/>
      <c r="GZ275" s="140"/>
      <c r="HA275" s="140"/>
      <c r="HB275" s="140"/>
      <c r="HC275" s="140"/>
      <c r="HD275" s="140"/>
      <c r="HE275" s="140"/>
      <c r="HF275" s="140"/>
      <c r="HG275" s="140"/>
      <c r="HH275" s="140"/>
      <c r="HI275" s="140"/>
      <c r="HJ275" s="140"/>
      <c r="HK275" s="140"/>
      <c r="HL275" s="140"/>
      <c r="HM275" s="140"/>
      <c r="HN275" s="140"/>
      <c r="HO275" s="140"/>
      <c r="HP275" s="140"/>
      <c r="HQ275" s="140"/>
      <c r="HR275" s="140"/>
      <c r="HS275" s="140"/>
      <c r="HT275" s="140"/>
      <c r="HU275" s="140"/>
      <c r="HV275" s="140"/>
      <c r="HW275" s="140"/>
      <c r="HX275" s="140"/>
      <c r="HY275" s="140"/>
      <c r="HZ275" s="140"/>
      <c r="IA275" s="140"/>
      <c r="IB275" s="140"/>
      <c r="IC275" s="140"/>
      <c r="ID275" s="140"/>
      <c r="IE275" s="140"/>
      <c r="IF275" s="140"/>
      <c r="IG275" s="140"/>
      <c r="IH275" s="140"/>
      <c r="II275" s="140"/>
      <c r="IJ275" s="140"/>
      <c r="IK275" s="140"/>
      <c r="IL275" s="140"/>
      <c r="IM275" s="140"/>
      <c r="IN275" s="140"/>
      <c r="IO275" s="140"/>
      <c r="IP275" s="140"/>
      <c r="IQ275" s="140"/>
      <c r="IR275" s="140"/>
      <c r="IS275" s="140"/>
      <c r="IT275" s="140"/>
      <c r="IU275" s="140"/>
      <c r="IV275" s="140"/>
      <c r="IW275" s="140"/>
      <c r="IX275" s="140"/>
      <c r="IY275" s="140"/>
      <c r="IZ275" s="140"/>
      <c r="JA275" s="140"/>
      <c r="JB275" s="140"/>
      <c r="JC275" s="140"/>
      <c r="JD275" s="140"/>
      <c r="JE275" s="140"/>
      <c r="JF275" s="140"/>
      <c r="JG275" s="140"/>
      <c r="JH275" s="140"/>
      <c r="JI275" s="140"/>
      <c r="JJ275" s="140"/>
      <c r="JK275" s="140"/>
      <c r="JL275" s="140"/>
      <c r="JM275" s="140"/>
      <c r="JN275" s="140"/>
      <c r="JO275" s="140"/>
      <c r="JP275" s="140"/>
      <c r="JQ275" s="140"/>
      <c r="JR275" s="140"/>
      <c r="JS275" s="140"/>
      <c r="JT275" s="140"/>
      <c r="JU275" s="140"/>
      <c r="JV275" s="140"/>
      <c r="JW275" s="140"/>
      <c r="JX275" s="140"/>
      <c r="JY275" s="140"/>
      <c r="JZ275" s="140"/>
      <c r="KA275" s="140"/>
      <c r="KB275" s="140"/>
      <c r="KC275" s="140"/>
      <c r="KD275" s="140"/>
      <c r="KE275" s="140"/>
      <c r="KF275" s="140"/>
      <c r="KG275" s="140"/>
      <c r="KH275" s="140"/>
      <c r="KI275" s="140"/>
      <c r="KJ275" s="140"/>
      <c r="KK275" s="140"/>
      <c r="KL275" s="140"/>
      <c r="KM275" s="140"/>
      <c r="KN275" s="140"/>
      <c r="KO275" s="140"/>
      <c r="KP275" s="140"/>
      <c r="KQ275" s="140"/>
      <c r="KR275" s="140"/>
      <c r="KS275" s="140"/>
      <c r="KT275" s="140"/>
      <c r="KU275" s="140"/>
      <c r="KV275" s="140"/>
      <c r="KW275" s="140"/>
      <c r="KX275" s="140"/>
      <c r="KY275" s="140"/>
      <c r="KZ275" s="140"/>
      <c r="LA275" s="140"/>
      <c r="LB275" s="140"/>
      <c r="LC275" s="140"/>
      <c r="LD275" s="140"/>
      <c r="LE275" s="140"/>
      <c r="LF275" s="140"/>
      <c r="LG275" s="140"/>
      <c r="LH275" s="140"/>
      <c r="LI275" s="140"/>
      <c r="LJ275" s="140"/>
      <c r="LK275" s="140"/>
      <c r="LL275" s="140"/>
      <c r="LM275" s="140"/>
      <c r="LN275" s="140"/>
      <c r="LO275" s="140"/>
      <c r="LP275" s="140"/>
      <c r="LQ275" s="140"/>
      <c r="LR275" s="140"/>
      <c r="LS275" s="140"/>
      <c r="LT275" s="140"/>
      <c r="LU275" s="140"/>
      <c r="LV275" s="140"/>
      <c r="LW275" s="140"/>
      <c r="LX275" s="140"/>
      <c r="LY275" s="140"/>
      <c r="LZ275" s="140"/>
      <c r="MA275" s="140"/>
      <c r="MB275" s="140"/>
      <c r="MC275" s="140"/>
      <c r="MD275" s="140"/>
      <c r="ME275" s="140"/>
      <c r="MF275" s="140"/>
      <c r="MG275" s="140"/>
      <c r="MH275" s="140"/>
      <c r="MI275" s="140"/>
      <c r="MJ275" s="140"/>
      <c r="MK275" s="140"/>
      <c r="ML275" s="140"/>
    </row>
    <row r="276" spans="3:350" s="4" customFormat="1" ht="18" customHeight="1" collapsed="1" x14ac:dyDescent="0.3">
      <c r="H276" s="140"/>
      <c r="I276" s="140"/>
      <c r="J276" s="140"/>
      <c r="K276" s="140"/>
      <c r="L276" s="140"/>
      <c r="M276" s="140"/>
      <c r="N276" s="140"/>
      <c r="O276" s="140"/>
      <c r="P276" s="140"/>
      <c r="Q276" s="140"/>
      <c r="R276" s="140"/>
      <c r="S276" s="140"/>
      <c r="T276" s="140"/>
      <c r="U276" s="140"/>
      <c r="V276" s="140"/>
      <c r="W276" s="140"/>
      <c r="X276" s="140"/>
      <c r="Y276" s="140"/>
      <c r="Z276" s="140"/>
      <c r="AA276" s="140"/>
      <c r="AB276" s="140"/>
      <c r="AC276" s="140"/>
      <c r="AD276" s="140"/>
      <c r="AE276" s="140"/>
      <c r="AF276" s="140"/>
      <c r="AG276" s="140"/>
      <c r="AH276" s="140"/>
      <c r="AI276" s="140"/>
      <c r="AJ276" s="140"/>
      <c r="AK276" s="140"/>
      <c r="AL276" s="140"/>
      <c r="AM276" s="140"/>
      <c r="AN276" s="140"/>
      <c r="AO276" s="140"/>
      <c r="AP276" s="140"/>
      <c r="AQ276" s="140"/>
      <c r="AR276" s="140"/>
      <c r="AS276" s="140"/>
      <c r="AT276" s="140"/>
      <c r="AU276" s="140"/>
      <c r="AV276" s="140"/>
      <c r="AW276" s="140"/>
      <c r="AX276" s="140"/>
      <c r="AY276" s="140"/>
      <c r="AZ276" s="140"/>
      <c r="BA276" s="140"/>
      <c r="BB276" s="140"/>
      <c r="BC276" s="140"/>
      <c r="BD276" s="140"/>
      <c r="BE276" s="140"/>
      <c r="BF276" s="140"/>
      <c r="BG276" s="140"/>
      <c r="BH276" s="140"/>
      <c r="BI276" s="140"/>
      <c r="BJ276" s="140"/>
      <c r="BK276" s="140"/>
      <c r="BL276" s="140"/>
      <c r="BM276" s="140"/>
      <c r="BN276" s="140"/>
      <c r="BO276" s="140"/>
      <c r="BP276" s="140"/>
      <c r="BQ276" s="140"/>
      <c r="BR276" s="140"/>
      <c r="BS276" s="140"/>
      <c r="BT276" s="140"/>
      <c r="BU276" s="140"/>
      <c r="BV276" s="140"/>
      <c r="BW276" s="140"/>
      <c r="BX276" s="140"/>
      <c r="BY276" s="140"/>
      <c r="BZ276" s="140"/>
      <c r="CA276" s="140"/>
      <c r="CB276" s="140"/>
      <c r="CC276" s="140"/>
      <c r="CD276" s="140"/>
      <c r="CE276" s="140"/>
      <c r="CF276" s="140"/>
      <c r="CG276" s="140"/>
      <c r="CH276" s="140"/>
      <c r="CI276" s="140"/>
      <c r="CJ276" s="140"/>
      <c r="CK276" s="140"/>
      <c r="CL276" s="140"/>
      <c r="CM276" s="140"/>
      <c r="CN276" s="140"/>
      <c r="FJ276" s="140"/>
      <c r="FK276" s="140"/>
      <c r="FL276" s="140"/>
      <c r="FM276" s="140"/>
      <c r="FN276" s="140"/>
      <c r="FO276" s="140"/>
      <c r="FP276" s="140"/>
      <c r="FQ276" s="140"/>
      <c r="FR276" s="140"/>
      <c r="FS276" s="140"/>
      <c r="FT276" s="140"/>
      <c r="FU276" s="140"/>
      <c r="FV276" s="140"/>
      <c r="FW276" s="140"/>
      <c r="FX276" s="140"/>
      <c r="FY276" s="140"/>
      <c r="FZ276" s="140"/>
      <c r="GA276" s="140"/>
      <c r="GB276" s="140"/>
      <c r="GC276" s="140"/>
      <c r="GD276" s="140"/>
      <c r="GE276" s="140"/>
      <c r="GF276" s="140"/>
      <c r="GG276" s="140"/>
      <c r="GH276" s="140"/>
      <c r="GI276" s="140"/>
      <c r="GJ276" s="140"/>
      <c r="GK276" s="140"/>
      <c r="GL276" s="140"/>
      <c r="GM276" s="140"/>
      <c r="GN276" s="140"/>
      <c r="GO276" s="140"/>
      <c r="GP276" s="140"/>
      <c r="GQ276" s="140"/>
      <c r="GR276" s="140"/>
      <c r="GS276" s="140"/>
      <c r="GT276" s="140"/>
      <c r="GU276" s="140"/>
      <c r="GV276" s="140"/>
      <c r="GW276" s="140"/>
      <c r="GX276" s="140"/>
      <c r="GY276" s="140"/>
      <c r="GZ276" s="140"/>
      <c r="HA276" s="140"/>
      <c r="HB276" s="140"/>
      <c r="HC276" s="140"/>
      <c r="HD276" s="140"/>
      <c r="HE276" s="140"/>
      <c r="HF276" s="140"/>
      <c r="HG276" s="140"/>
      <c r="HH276" s="140"/>
      <c r="HI276" s="140"/>
      <c r="HJ276" s="140"/>
      <c r="HK276" s="140"/>
      <c r="HL276" s="140"/>
      <c r="HM276" s="140"/>
      <c r="HN276" s="140"/>
      <c r="HO276" s="140"/>
      <c r="HP276" s="140"/>
      <c r="HQ276" s="140"/>
      <c r="HR276" s="140"/>
      <c r="HS276" s="140"/>
      <c r="HT276" s="140"/>
      <c r="HU276" s="140"/>
      <c r="HV276" s="140"/>
      <c r="HW276" s="140"/>
      <c r="HX276" s="140"/>
      <c r="HY276" s="140"/>
      <c r="HZ276" s="140"/>
      <c r="IA276" s="140"/>
      <c r="IB276" s="140"/>
      <c r="IC276" s="140"/>
      <c r="ID276" s="140"/>
      <c r="IE276" s="140"/>
      <c r="IF276" s="140"/>
      <c r="IG276" s="140"/>
      <c r="IH276" s="140"/>
      <c r="II276" s="140"/>
      <c r="IJ276" s="140"/>
      <c r="IK276" s="140"/>
      <c r="IL276" s="140"/>
      <c r="IM276" s="140"/>
      <c r="IN276" s="140"/>
      <c r="IO276" s="140"/>
      <c r="IP276" s="140"/>
      <c r="IQ276" s="140"/>
      <c r="IR276" s="140"/>
      <c r="IS276" s="140"/>
      <c r="IT276" s="140"/>
      <c r="IU276" s="140"/>
      <c r="IV276" s="140"/>
      <c r="IW276" s="140"/>
      <c r="IX276" s="140"/>
      <c r="IY276" s="140"/>
      <c r="IZ276" s="140"/>
      <c r="JA276" s="140"/>
      <c r="JB276" s="140"/>
      <c r="JC276" s="140"/>
      <c r="JD276" s="140"/>
      <c r="JE276" s="140"/>
      <c r="JF276" s="140"/>
      <c r="JG276" s="140"/>
      <c r="JH276" s="140"/>
      <c r="JI276" s="140"/>
      <c r="JJ276" s="140"/>
      <c r="JK276" s="140"/>
      <c r="JL276" s="140"/>
      <c r="JM276" s="140"/>
      <c r="JN276" s="140"/>
      <c r="JO276" s="140"/>
      <c r="JP276" s="140"/>
      <c r="JQ276" s="140"/>
      <c r="JR276" s="140"/>
      <c r="JS276" s="140"/>
      <c r="JT276" s="140"/>
      <c r="JU276" s="140"/>
      <c r="JV276" s="140"/>
      <c r="JW276" s="140"/>
      <c r="JX276" s="140"/>
      <c r="JY276" s="140"/>
      <c r="JZ276" s="140"/>
      <c r="KA276" s="140"/>
      <c r="KB276" s="140"/>
      <c r="KC276" s="140"/>
      <c r="KD276" s="140"/>
      <c r="KE276" s="140"/>
      <c r="KF276" s="140"/>
      <c r="KG276" s="140"/>
      <c r="KH276" s="140"/>
      <c r="KI276" s="140"/>
      <c r="KJ276" s="140"/>
      <c r="KK276" s="140"/>
      <c r="KL276" s="140"/>
      <c r="KM276" s="140"/>
      <c r="KN276" s="140"/>
      <c r="KO276" s="140"/>
      <c r="KP276" s="140"/>
      <c r="KQ276" s="140"/>
      <c r="KR276" s="140"/>
      <c r="KS276" s="140"/>
      <c r="KT276" s="140"/>
      <c r="KU276" s="140"/>
      <c r="KV276" s="140"/>
      <c r="KW276" s="140"/>
      <c r="KX276" s="140"/>
      <c r="KY276" s="140"/>
      <c r="KZ276" s="140"/>
      <c r="LA276" s="140"/>
      <c r="LB276" s="140"/>
      <c r="LC276" s="140"/>
      <c r="LD276" s="140"/>
      <c r="LE276" s="140"/>
      <c r="LF276" s="140"/>
      <c r="LG276" s="140"/>
      <c r="LH276" s="140"/>
      <c r="LI276" s="140"/>
      <c r="LJ276" s="140"/>
      <c r="LK276" s="140"/>
      <c r="LL276" s="140"/>
      <c r="LM276" s="140"/>
      <c r="LN276" s="140"/>
      <c r="LO276" s="140"/>
      <c r="LP276" s="140"/>
      <c r="LQ276" s="140"/>
      <c r="LR276" s="140"/>
      <c r="LS276" s="140"/>
      <c r="LT276" s="140"/>
      <c r="LU276" s="140"/>
      <c r="LV276" s="140"/>
      <c r="LW276" s="140"/>
      <c r="LX276" s="140"/>
      <c r="LY276" s="140"/>
      <c r="LZ276" s="140"/>
      <c r="MA276" s="140"/>
      <c r="MB276" s="140"/>
      <c r="MC276" s="140"/>
      <c r="MD276" s="140"/>
      <c r="ME276" s="140"/>
      <c r="MF276" s="140"/>
      <c r="MG276" s="140"/>
      <c r="MH276" s="140"/>
      <c r="MI276" s="140"/>
      <c r="MJ276" s="140"/>
      <c r="MK276" s="140"/>
      <c r="ML276" s="140"/>
    </row>
    <row r="277" spans="3:350" s="4" customFormat="1" ht="18" customHeight="1" x14ac:dyDescent="0.3">
      <c r="H277" s="140"/>
      <c r="I277" s="140"/>
      <c r="J277" s="140"/>
      <c r="K277" s="140"/>
      <c r="L277" s="140"/>
      <c r="M277" s="140"/>
      <c r="N277" s="140"/>
      <c r="O277" s="140"/>
      <c r="P277" s="140"/>
      <c r="Q277" s="140"/>
      <c r="R277" s="140"/>
      <c r="S277" s="140"/>
      <c r="T277" s="140"/>
      <c r="U277" s="140"/>
      <c r="V277" s="140"/>
      <c r="W277" s="140"/>
      <c r="X277" s="140"/>
      <c r="Y277" s="140"/>
      <c r="Z277" s="140"/>
      <c r="AA277" s="140"/>
      <c r="AB277" s="140"/>
      <c r="AC277" s="140"/>
      <c r="AD277" s="140"/>
      <c r="AE277" s="140"/>
      <c r="AF277" s="140"/>
      <c r="AG277" s="140"/>
      <c r="AH277" s="140"/>
      <c r="AI277" s="140"/>
      <c r="AJ277" s="140"/>
      <c r="AK277" s="140"/>
      <c r="AL277" s="140"/>
      <c r="AM277" s="140"/>
      <c r="AN277" s="140"/>
      <c r="AO277" s="140"/>
      <c r="AP277" s="140"/>
      <c r="AQ277" s="140"/>
      <c r="AR277" s="140"/>
      <c r="AS277" s="140"/>
      <c r="AT277" s="140"/>
      <c r="AU277" s="140"/>
      <c r="AV277" s="140"/>
      <c r="AW277" s="140"/>
      <c r="AX277" s="140"/>
      <c r="AY277" s="140"/>
      <c r="AZ277" s="140"/>
      <c r="BA277" s="140"/>
      <c r="BB277" s="140"/>
      <c r="BC277" s="140"/>
      <c r="BD277" s="140"/>
      <c r="BE277" s="140"/>
      <c r="BF277" s="140"/>
      <c r="BG277" s="140"/>
      <c r="BH277" s="140"/>
      <c r="BI277" s="140"/>
      <c r="BJ277" s="140"/>
      <c r="BK277" s="140"/>
      <c r="BL277" s="140"/>
      <c r="BM277" s="140"/>
      <c r="BN277" s="140"/>
      <c r="BO277" s="140"/>
      <c r="BP277" s="140"/>
      <c r="BQ277" s="140"/>
      <c r="BR277" s="140"/>
      <c r="BS277" s="140"/>
      <c r="BT277" s="140"/>
      <c r="BU277" s="140"/>
      <c r="BV277" s="140"/>
      <c r="BW277" s="140"/>
      <c r="BX277" s="140"/>
      <c r="BY277" s="140"/>
      <c r="BZ277" s="140"/>
      <c r="CA277" s="140"/>
      <c r="CB277" s="140"/>
      <c r="CC277" s="140"/>
      <c r="CD277" s="140"/>
      <c r="CE277" s="140"/>
      <c r="CF277" s="140"/>
      <c r="CG277" s="140"/>
      <c r="CH277" s="140"/>
      <c r="CI277" s="140"/>
      <c r="CJ277" s="140"/>
      <c r="CK277" s="140"/>
      <c r="CL277" s="140"/>
      <c r="CM277" s="140"/>
      <c r="CN277" s="140"/>
      <c r="FJ277" s="140"/>
      <c r="FK277" s="140"/>
      <c r="FL277" s="140"/>
      <c r="FM277" s="140"/>
      <c r="FN277" s="140"/>
      <c r="FO277" s="140"/>
      <c r="FP277" s="140"/>
      <c r="FQ277" s="140"/>
      <c r="FR277" s="140"/>
      <c r="FS277" s="140"/>
      <c r="FT277" s="140"/>
      <c r="FU277" s="140"/>
      <c r="FV277" s="140"/>
      <c r="FW277" s="140"/>
      <c r="FX277" s="140"/>
      <c r="FY277" s="140"/>
      <c r="FZ277" s="140"/>
      <c r="GA277" s="140"/>
      <c r="GB277" s="140"/>
      <c r="GC277" s="140"/>
      <c r="GD277" s="140"/>
      <c r="GE277" s="140"/>
      <c r="GF277" s="140"/>
      <c r="GG277" s="140"/>
      <c r="GH277" s="140"/>
      <c r="GI277" s="140"/>
      <c r="GJ277" s="140"/>
      <c r="GK277" s="140"/>
      <c r="GL277" s="140"/>
      <c r="GM277" s="140"/>
      <c r="GN277" s="140"/>
      <c r="GO277" s="140"/>
      <c r="GP277" s="140"/>
      <c r="GQ277" s="140"/>
      <c r="GR277" s="140"/>
      <c r="GS277" s="140"/>
      <c r="GT277" s="140"/>
      <c r="GU277" s="140"/>
      <c r="GV277" s="140"/>
      <c r="GW277" s="140"/>
      <c r="GX277" s="140"/>
      <c r="GY277" s="140"/>
      <c r="GZ277" s="140"/>
      <c r="HA277" s="140"/>
      <c r="HB277" s="140"/>
      <c r="HC277" s="140"/>
      <c r="HD277" s="140"/>
      <c r="HE277" s="140"/>
      <c r="HF277" s="140"/>
      <c r="HG277" s="140"/>
      <c r="HH277" s="140"/>
      <c r="HI277" s="140"/>
      <c r="HJ277" s="140"/>
      <c r="HK277" s="140"/>
      <c r="HL277" s="140"/>
      <c r="HM277" s="140"/>
      <c r="HN277" s="140"/>
      <c r="HO277" s="140"/>
      <c r="HP277" s="140"/>
      <c r="HQ277" s="140"/>
      <c r="HR277" s="140"/>
      <c r="HS277" s="140"/>
      <c r="HT277" s="140"/>
      <c r="HU277" s="140"/>
      <c r="HV277" s="140"/>
      <c r="HW277" s="140"/>
      <c r="HX277" s="140"/>
      <c r="HY277" s="140"/>
      <c r="HZ277" s="140"/>
      <c r="IA277" s="140"/>
      <c r="IB277" s="140"/>
      <c r="IC277" s="140"/>
      <c r="ID277" s="140"/>
      <c r="IE277" s="140"/>
      <c r="IF277" s="140"/>
      <c r="IG277" s="140"/>
      <c r="IH277" s="140"/>
      <c r="II277" s="140"/>
      <c r="IJ277" s="140"/>
      <c r="IK277" s="140"/>
      <c r="IL277" s="140"/>
      <c r="IM277" s="140"/>
      <c r="IN277" s="140"/>
      <c r="IO277" s="140"/>
      <c r="IP277" s="140"/>
      <c r="IQ277" s="140"/>
      <c r="IR277" s="140"/>
      <c r="IS277" s="140"/>
      <c r="IT277" s="140"/>
      <c r="IU277" s="140"/>
      <c r="IV277" s="140"/>
      <c r="IW277" s="140"/>
      <c r="IX277" s="140"/>
      <c r="IY277" s="140"/>
      <c r="IZ277" s="140"/>
      <c r="JA277" s="140"/>
      <c r="JB277" s="140"/>
      <c r="JC277" s="140"/>
      <c r="JD277" s="140"/>
      <c r="JE277" s="140"/>
      <c r="JF277" s="140"/>
      <c r="JG277" s="140"/>
      <c r="JH277" s="140"/>
      <c r="JI277" s="140"/>
      <c r="JJ277" s="140"/>
      <c r="JK277" s="140"/>
      <c r="JL277" s="140"/>
      <c r="JM277" s="140"/>
      <c r="JN277" s="140"/>
      <c r="JO277" s="140"/>
      <c r="JP277" s="140"/>
      <c r="JQ277" s="140"/>
      <c r="JR277" s="140"/>
      <c r="JS277" s="140"/>
      <c r="JT277" s="140"/>
      <c r="JU277" s="140"/>
      <c r="JV277" s="140"/>
      <c r="JW277" s="140"/>
      <c r="JX277" s="140"/>
      <c r="JY277" s="140"/>
      <c r="JZ277" s="140"/>
      <c r="KA277" s="140"/>
      <c r="KB277" s="140"/>
      <c r="KC277" s="140"/>
      <c r="KD277" s="140"/>
      <c r="KE277" s="140"/>
      <c r="KF277" s="140"/>
      <c r="KG277" s="140"/>
      <c r="KH277" s="140"/>
      <c r="KI277" s="140"/>
      <c r="KJ277" s="140"/>
      <c r="KK277" s="140"/>
      <c r="KL277" s="140"/>
      <c r="KM277" s="140"/>
      <c r="KN277" s="140"/>
      <c r="KO277" s="140"/>
      <c r="KP277" s="140"/>
      <c r="KQ277" s="140"/>
      <c r="KR277" s="140"/>
      <c r="KS277" s="140"/>
      <c r="KT277" s="140"/>
      <c r="KU277" s="140"/>
      <c r="KV277" s="140"/>
      <c r="KW277" s="140"/>
      <c r="KX277" s="140"/>
      <c r="KY277" s="140"/>
      <c r="KZ277" s="140"/>
      <c r="LA277" s="140"/>
      <c r="LB277" s="140"/>
      <c r="LC277" s="140"/>
      <c r="LD277" s="140"/>
      <c r="LE277" s="140"/>
      <c r="LF277" s="140"/>
      <c r="LG277" s="140"/>
      <c r="LH277" s="140"/>
      <c r="LI277" s="140"/>
      <c r="LJ277" s="140"/>
      <c r="LK277" s="140"/>
      <c r="LL277" s="140"/>
      <c r="LM277" s="140"/>
      <c r="LN277" s="140"/>
      <c r="LO277" s="140"/>
      <c r="LP277" s="140"/>
      <c r="LQ277" s="140"/>
      <c r="LR277" s="140"/>
      <c r="LS277" s="140"/>
      <c r="LT277" s="140"/>
      <c r="LU277" s="140"/>
      <c r="LV277" s="140"/>
      <c r="LW277" s="140"/>
      <c r="LX277" s="140"/>
      <c r="LY277" s="140"/>
      <c r="LZ277" s="140"/>
      <c r="MA277" s="140"/>
      <c r="MB277" s="140"/>
      <c r="MC277" s="140"/>
      <c r="MD277" s="140"/>
      <c r="ME277" s="140"/>
      <c r="MF277" s="140"/>
      <c r="MG277" s="140"/>
      <c r="MH277" s="140"/>
      <c r="MI277" s="140"/>
      <c r="MJ277" s="140"/>
      <c r="MK277" s="140"/>
      <c r="ML277" s="140"/>
    </row>
    <row r="278" spans="3:350" s="4" customFormat="1" ht="18" customHeight="1" x14ac:dyDescent="0.3">
      <c r="H278" s="140"/>
      <c r="I278" s="140"/>
      <c r="J278" s="140"/>
      <c r="K278" s="140"/>
      <c r="L278" s="140"/>
      <c r="M278" s="140"/>
      <c r="N278" s="140"/>
      <c r="O278" s="140"/>
      <c r="P278" s="140"/>
      <c r="Q278" s="140"/>
      <c r="R278" s="140"/>
      <c r="S278" s="140"/>
      <c r="T278" s="140"/>
      <c r="U278" s="140"/>
      <c r="V278" s="140"/>
      <c r="W278" s="140"/>
      <c r="X278" s="140"/>
      <c r="Y278" s="140"/>
      <c r="Z278" s="140"/>
      <c r="AA278" s="140"/>
      <c r="AB278" s="140"/>
      <c r="AC278" s="140"/>
      <c r="AD278" s="140"/>
      <c r="AE278" s="140"/>
      <c r="AF278" s="140"/>
      <c r="AG278" s="140"/>
      <c r="AH278" s="140"/>
      <c r="AI278" s="140"/>
      <c r="AJ278" s="140"/>
      <c r="AK278" s="140"/>
      <c r="AL278" s="140"/>
      <c r="AM278" s="140"/>
      <c r="AN278" s="140"/>
      <c r="AO278" s="140"/>
      <c r="AP278" s="140"/>
      <c r="AQ278" s="140"/>
      <c r="AR278" s="140"/>
      <c r="AS278" s="140"/>
      <c r="AT278" s="140"/>
      <c r="AU278" s="140"/>
      <c r="AV278" s="140"/>
      <c r="AW278" s="140"/>
      <c r="AX278" s="140"/>
      <c r="AY278" s="140"/>
      <c r="AZ278" s="140"/>
      <c r="BA278" s="140"/>
      <c r="BB278" s="140"/>
      <c r="BC278" s="140"/>
      <c r="BD278" s="140"/>
      <c r="BE278" s="140"/>
      <c r="BF278" s="140"/>
      <c r="BG278" s="140"/>
      <c r="BH278" s="140"/>
      <c r="BI278" s="140"/>
      <c r="BJ278" s="140"/>
      <c r="BK278" s="140"/>
      <c r="BL278" s="140"/>
      <c r="BM278" s="140"/>
      <c r="BN278" s="140"/>
      <c r="BO278" s="140"/>
      <c r="BP278" s="140"/>
      <c r="BQ278" s="140"/>
      <c r="BR278" s="140"/>
      <c r="BS278" s="140"/>
      <c r="BT278" s="140"/>
      <c r="BU278" s="140"/>
      <c r="BV278" s="140"/>
      <c r="BW278" s="140"/>
      <c r="BX278" s="140"/>
      <c r="BY278" s="140"/>
      <c r="BZ278" s="140"/>
      <c r="CA278" s="140"/>
      <c r="CB278" s="140"/>
      <c r="CC278" s="140"/>
      <c r="CD278" s="140"/>
      <c r="CE278" s="140"/>
      <c r="CF278" s="140"/>
      <c r="CG278" s="140"/>
      <c r="CH278" s="140"/>
      <c r="CI278" s="140"/>
      <c r="CJ278" s="140"/>
      <c r="CK278" s="140"/>
      <c r="CL278" s="140"/>
      <c r="CM278" s="140"/>
      <c r="CN278" s="140"/>
      <c r="FJ278" s="140"/>
      <c r="FK278" s="140"/>
      <c r="FL278" s="140"/>
      <c r="FM278" s="140"/>
      <c r="FN278" s="140"/>
      <c r="FO278" s="140"/>
      <c r="FP278" s="140"/>
      <c r="FQ278" s="140"/>
      <c r="FR278" s="140"/>
      <c r="FS278" s="140"/>
      <c r="FT278" s="140"/>
      <c r="FU278" s="140"/>
      <c r="FV278" s="140"/>
      <c r="FW278" s="140"/>
      <c r="FX278" s="140"/>
      <c r="FY278" s="140"/>
      <c r="FZ278" s="140"/>
      <c r="GA278" s="140"/>
      <c r="GB278" s="140"/>
      <c r="GC278" s="140"/>
      <c r="GD278" s="140"/>
      <c r="GE278" s="140"/>
      <c r="GF278" s="140"/>
      <c r="GG278" s="140"/>
      <c r="GH278" s="140"/>
      <c r="GI278" s="140"/>
      <c r="GJ278" s="140"/>
      <c r="GK278" s="140"/>
      <c r="GL278" s="140"/>
      <c r="GM278" s="140"/>
      <c r="GN278" s="140"/>
      <c r="GO278" s="140"/>
      <c r="GP278" s="140"/>
      <c r="GQ278" s="140"/>
      <c r="GR278" s="140"/>
      <c r="GS278" s="140"/>
      <c r="GT278" s="140"/>
      <c r="GU278" s="140"/>
      <c r="GV278" s="140"/>
      <c r="GW278" s="140"/>
      <c r="GX278" s="140"/>
      <c r="GY278" s="140"/>
      <c r="GZ278" s="140"/>
      <c r="HA278" s="140"/>
      <c r="HB278" s="140"/>
      <c r="HC278" s="140"/>
      <c r="HD278" s="140"/>
      <c r="HE278" s="140"/>
      <c r="HF278" s="140"/>
      <c r="HG278" s="140"/>
      <c r="HH278" s="140"/>
      <c r="HI278" s="140"/>
      <c r="HJ278" s="140"/>
      <c r="HK278" s="140"/>
      <c r="HL278" s="140"/>
      <c r="HM278" s="140"/>
      <c r="HN278" s="140"/>
      <c r="HO278" s="140"/>
      <c r="HP278" s="140"/>
      <c r="HQ278" s="140"/>
      <c r="HR278" s="140"/>
      <c r="HS278" s="140"/>
      <c r="HT278" s="140"/>
      <c r="HU278" s="140"/>
      <c r="HV278" s="140"/>
      <c r="HW278" s="140"/>
      <c r="HX278" s="140"/>
      <c r="HY278" s="140"/>
      <c r="HZ278" s="140"/>
      <c r="IA278" s="140"/>
      <c r="IB278" s="140"/>
      <c r="IC278" s="140"/>
      <c r="ID278" s="140"/>
      <c r="IE278" s="140"/>
      <c r="IF278" s="140"/>
      <c r="IG278" s="140"/>
      <c r="IH278" s="140"/>
      <c r="II278" s="140"/>
      <c r="IJ278" s="140"/>
      <c r="IK278" s="140"/>
      <c r="IL278" s="140"/>
      <c r="IM278" s="140"/>
      <c r="IN278" s="140"/>
      <c r="IO278" s="140"/>
      <c r="IP278" s="140"/>
      <c r="IQ278" s="140"/>
      <c r="IR278" s="140"/>
      <c r="IS278" s="140"/>
      <c r="IT278" s="140"/>
      <c r="IU278" s="140"/>
      <c r="IV278" s="140"/>
      <c r="IW278" s="140"/>
      <c r="IX278" s="140"/>
      <c r="IY278" s="140"/>
      <c r="IZ278" s="140"/>
      <c r="JA278" s="140"/>
      <c r="JB278" s="140"/>
      <c r="JC278" s="140"/>
      <c r="JD278" s="140"/>
      <c r="JE278" s="140"/>
      <c r="JF278" s="140"/>
      <c r="JG278" s="140"/>
      <c r="JH278" s="140"/>
      <c r="JI278" s="140"/>
      <c r="JJ278" s="140"/>
      <c r="JK278" s="140"/>
      <c r="JL278" s="140"/>
      <c r="JM278" s="140"/>
      <c r="JN278" s="140"/>
      <c r="JO278" s="140"/>
      <c r="JP278" s="140"/>
      <c r="JQ278" s="140"/>
      <c r="JR278" s="140"/>
      <c r="JS278" s="140"/>
      <c r="JT278" s="140"/>
      <c r="JU278" s="140"/>
      <c r="JV278" s="140"/>
      <c r="JW278" s="140"/>
      <c r="JX278" s="140"/>
      <c r="JY278" s="140"/>
      <c r="JZ278" s="140"/>
      <c r="KA278" s="140"/>
      <c r="KB278" s="140"/>
      <c r="KC278" s="140"/>
      <c r="KD278" s="140"/>
      <c r="KE278" s="140"/>
      <c r="KF278" s="140"/>
      <c r="KG278" s="140"/>
      <c r="KH278" s="140"/>
      <c r="KI278" s="140"/>
      <c r="KJ278" s="140"/>
      <c r="KK278" s="140"/>
      <c r="KL278" s="140"/>
      <c r="KM278" s="140"/>
      <c r="KN278" s="140"/>
      <c r="KO278" s="140"/>
      <c r="KP278" s="140"/>
      <c r="KQ278" s="140"/>
      <c r="KR278" s="140"/>
      <c r="KS278" s="140"/>
      <c r="KT278" s="140"/>
      <c r="KU278" s="140"/>
      <c r="KV278" s="140"/>
      <c r="KW278" s="140"/>
      <c r="KX278" s="140"/>
      <c r="KY278" s="140"/>
      <c r="KZ278" s="140"/>
      <c r="LA278" s="140"/>
      <c r="LB278" s="140"/>
      <c r="LC278" s="140"/>
      <c r="LD278" s="140"/>
      <c r="LE278" s="140"/>
      <c r="LF278" s="140"/>
      <c r="LG278" s="140"/>
      <c r="LH278" s="140"/>
      <c r="LI278" s="140"/>
      <c r="LJ278" s="140"/>
      <c r="LK278" s="140"/>
      <c r="LL278" s="140"/>
      <c r="LM278" s="140"/>
      <c r="LN278" s="140"/>
      <c r="LO278" s="140"/>
      <c r="LP278" s="140"/>
      <c r="LQ278" s="140"/>
      <c r="LR278" s="140"/>
      <c r="LS278" s="140"/>
      <c r="LT278" s="140"/>
      <c r="LU278" s="140"/>
      <c r="LV278" s="140"/>
      <c r="LW278" s="140"/>
      <c r="LX278" s="140"/>
      <c r="LY278" s="140"/>
      <c r="LZ278" s="140"/>
      <c r="MA278" s="140"/>
      <c r="MB278" s="140"/>
      <c r="MC278" s="140"/>
      <c r="MD278" s="140"/>
      <c r="ME278" s="140"/>
      <c r="MF278" s="140"/>
      <c r="MG278" s="140"/>
      <c r="MH278" s="140"/>
      <c r="MI278" s="140"/>
      <c r="MJ278" s="140"/>
      <c r="MK278" s="140"/>
      <c r="ML278" s="140"/>
    </row>
    <row r="279" spans="3:350" s="4" customFormat="1" ht="18" customHeight="1" x14ac:dyDescent="0.3">
      <c r="H279" s="140"/>
      <c r="I279" s="140"/>
      <c r="J279" s="140"/>
      <c r="K279" s="140"/>
      <c r="L279" s="140"/>
      <c r="M279" s="140"/>
      <c r="N279" s="140"/>
      <c r="O279" s="140"/>
      <c r="P279" s="140"/>
      <c r="Q279" s="140"/>
      <c r="R279" s="140"/>
      <c r="S279" s="140"/>
      <c r="T279" s="140"/>
      <c r="U279" s="140"/>
      <c r="V279" s="140"/>
      <c r="W279" s="140"/>
      <c r="X279" s="140"/>
      <c r="Y279" s="140"/>
      <c r="Z279" s="140"/>
      <c r="AA279" s="140"/>
      <c r="AB279" s="140"/>
      <c r="AC279" s="140"/>
      <c r="AD279" s="140"/>
      <c r="AE279" s="140"/>
      <c r="AF279" s="140"/>
      <c r="AG279" s="140"/>
      <c r="AH279" s="140"/>
      <c r="AI279" s="140"/>
      <c r="AJ279" s="140"/>
      <c r="AK279" s="140"/>
      <c r="AL279" s="140"/>
      <c r="AM279" s="140"/>
      <c r="AN279" s="140"/>
      <c r="AO279" s="140"/>
      <c r="AP279" s="140"/>
      <c r="AQ279" s="140"/>
      <c r="AR279" s="140"/>
      <c r="AS279" s="140"/>
      <c r="AT279" s="140"/>
      <c r="AU279" s="140"/>
      <c r="AV279" s="140"/>
      <c r="AW279" s="140"/>
      <c r="AX279" s="140"/>
      <c r="AY279" s="140"/>
      <c r="AZ279" s="140"/>
      <c r="BA279" s="140"/>
      <c r="BB279" s="140"/>
      <c r="BC279" s="140"/>
      <c r="BD279" s="140"/>
      <c r="BE279" s="140"/>
      <c r="BF279" s="140"/>
      <c r="BG279" s="140"/>
      <c r="BH279" s="140"/>
      <c r="BI279" s="140"/>
      <c r="BJ279" s="140"/>
      <c r="BK279" s="140"/>
      <c r="BL279" s="140"/>
      <c r="BM279" s="140"/>
      <c r="BN279" s="140"/>
      <c r="BO279" s="140"/>
      <c r="BP279" s="140"/>
      <c r="BQ279" s="140"/>
      <c r="BR279" s="140"/>
      <c r="BS279" s="140"/>
      <c r="BT279" s="140"/>
      <c r="BU279" s="140"/>
      <c r="BV279" s="140"/>
      <c r="BW279" s="140"/>
      <c r="BX279" s="140"/>
      <c r="BY279" s="140"/>
      <c r="BZ279" s="140"/>
      <c r="CA279" s="140"/>
      <c r="CB279" s="140"/>
      <c r="CC279" s="140"/>
      <c r="CD279" s="140"/>
      <c r="CE279" s="140"/>
      <c r="CF279" s="140"/>
      <c r="CG279" s="140"/>
      <c r="CH279" s="140"/>
      <c r="CI279" s="140"/>
      <c r="CJ279" s="140"/>
      <c r="CK279" s="140"/>
      <c r="CL279" s="140"/>
      <c r="CM279" s="140"/>
      <c r="CN279" s="140"/>
      <c r="FJ279" s="140"/>
      <c r="FK279" s="140"/>
      <c r="FL279" s="140"/>
      <c r="FM279" s="140"/>
      <c r="FN279" s="140"/>
      <c r="FO279" s="140"/>
      <c r="FP279" s="140"/>
      <c r="FQ279" s="140"/>
      <c r="FR279" s="140"/>
      <c r="FS279" s="140"/>
      <c r="FT279" s="140"/>
      <c r="FU279" s="140"/>
      <c r="FV279" s="140"/>
      <c r="FW279" s="140"/>
      <c r="FX279" s="140"/>
      <c r="FY279" s="140"/>
      <c r="FZ279" s="140"/>
      <c r="GA279" s="140"/>
      <c r="GB279" s="140"/>
      <c r="GC279" s="140"/>
      <c r="GD279" s="140"/>
      <c r="GE279" s="140"/>
      <c r="GF279" s="140"/>
      <c r="GG279" s="140"/>
      <c r="GH279" s="140"/>
      <c r="GI279" s="140"/>
      <c r="GJ279" s="140"/>
      <c r="GK279" s="140"/>
      <c r="GL279" s="140"/>
      <c r="GM279" s="140"/>
      <c r="GN279" s="140"/>
      <c r="GO279" s="140"/>
      <c r="GP279" s="140"/>
      <c r="GQ279" s="140"/>
      <c r="GR279" s="140"/>
      <c r="GS279" s="140"/>
      <c r="GT279" s="140"/>
      <c r="GU279" s="140"/>
      <c r="GV279" s="140"/>
      <c r="GW279" s="140"/>
      <c r="GX279" s="140"/>
      <c r="GY279" s="140"/>
      <c r="GZ279" s="140"/>
      <c r="HA279" s="140"/>
      <c r="HB279" s="140"/>
      <c r="HC279" s="140"/>
      <c r="HD279" s="140"/>
      <c r="HE279" s="140"/>
      <c r="HF279" s="140"/>
      <c r="HG279" s="140"/>
      <c r="HH279" s="140"/>
      <c r="HI279" s="140"/>
      <c r="HJ279" s="140"/>
      <c r="HK279" s="140"/>
      <c r="HL279" s="140"/>
      <c r="HM279" s="140"/>
      <c r="HN279" s="140"/>
      <c r="HO279" s="140"/>
      <c r="HP279" s="140"/>
      <c r="HQ279" s="140"/>
      <c r="HR279" s="140"/>
      <c r="HS279" s="140"/>
      <c r="HT279" s="140"/>
      <c r="HU279" s="140"/>
      <c r="HV279" s="140"/>
      <c r="HW279" s="140"/>
      <c r="HX279" s="140"/>
      <c r="HY279" s="140"/>
      <c r="HZ279" s="140"/>
      <c r="IA279" s="140"/>
      <c r="IB279" s="140"/>
      <c r="IC279" s="140"/>
      <c r="ID279" s="140"/>
      <c r="IE279" s="140"/>
      <c r="IF279" s="140"/>
      <c r="IG279" s="140"/>
      <c r="IH279" s="140"/>
      <c r="II279" s="140"/>
      <c r="IJ279" s="140"/>
      <c r="IK279" s="140"/>
      <c r="IL279" s="140"/>
      <c r="IM279" s="140"/>
      <c r="IN279" s="140"/>
      <c r="IO279" s="140"/>
      <c r="IP279" s="140"/>
      <c r="IQ279" s="140"/>
      <c r="IR279" s="140"/>
      <c r="IS279" s="140"/>
      <c r="IT279" s="140"/>
      <c r="IU279" s="140"/>
      <c r="IV279" s="140"/>
      <c r="IW279" s="140"/>
      <c r="IX279" s="140"/>
      <c r="IY279" s="140"/>
      <c r="IZ279" s="140"/>
      <c r="JA279" s="140"/>
      <c r="JB279" s="140"/>
      <c r="JC279" s="140"/>
      <c r="JD279" s="140"/>
      <c r="JE279" s="140"/>
      <c r="JF279" s="140"/>
      <c r="JG279" s="140"/>
      <c r="JH279" s="140"/>
      <c r="JI279" s="140"/>
      <c r="JJ279" s="140"/>
      <c r="JK279" s="140"/>
      <c r="JL279" s="140"/>
      <c r="JM279" s="140"/>
      <c r="JN279" s="140"/>
      <c r="JO279" s="140"/>
      <c r="JP279" s="140"/>
      <c r="JQ279" s="140"/>
      <c r="JR279" s="140"/>
      <c r="JS279" s="140"/>
      <c r="JT279" s="140"/>
      <c r="JU279" s="140"/>
      <c r="JV279" s="140"/>
      <c r="JW279" s="140"/>
      <c r="JX279" s="140"/>
      <c r="JY279" s="140"/>
      <c r="JZ279" s="140"/>
      <c r="KA279" s="140"/>
      <c r="KB279" s="140"/>
      <c r="KC279" s="140"/>
      <c r="KD279" s="140"/>
      <c r="KE279" s="140"/>
      <c r="KF279" s="140"/>
      <c r="KG279" s="140"/>
      <c r="KH279" s="140"/>
      <c r="KI279" s="140"/>
      <c r="KJ279" s="140"/>
      <c r="KK279" s="140"/>
      <c r="KL279" s="140"/>
      <c r="KM279" s="140"/>
      <c r="KN279" s="140"/>
      <c r="KO279" s="140"/>
      <c r="KP279" s="140"/>
      <c r="KQ279" s="140"/>
      <c r="KR279" s="140"/>
      <c r="KS279" s="140"/>
      <c r="KT279" s="140"/>
      <c r="KU279" s="140"/>
      <c r="KV279" s="140"/>
      <c r="KW279" s="140"/>
      <c r="KX279" s="140"/>
      <c r="KY279" s="140"/>
      <c r="KZ279" s="140"/>
      <c r="LA279" s="140"/>
      <c r="LB279" s="140"/>
      <c r="LC279" s="140"/>
      <c r="LD279" s="140"/>
      <c r="LE279" s="140"/>
      <c r="LF279" s="140"/>
      <c r="LG279" s="140"/>
      <c r="LH279" s="140"/>
      <c r="LI279" s="140"/>
      <c r="LJ279" s="140"/>
      <c r="LK279" s="140"/>
      <c r="LL279" s="140"/>
      <c r="LM279" s="140"/>
      <c r="LN279" s="140"/>
      <c r="LO279" s="140"/>
      <c r="LP279" s="140"/>
      <c r="LQ279" s="140"/>
      <c r="LR279" s="140"/>
      <c r="LS279" s="140"/>
      <c r="LT279" s="140"/>
      <c r="LU279" s="140"/>
      <c r="LV279" s="140"/>
      <c r="LW279" s="140"/>
      <c r="LX279" s="140"/>
      <c r="LY279" s="140"/>
      <c r="LZ279" s="140"/>
      <c r="MA279" s="140"/>
      <c r="MB279" s="140"/>
      <c r="MC279" s="140"/>
      <c r="MD279" s="140"/>
      <c r="ME279" s="140"/>
      <c r="MF279" s="140"/>
      <c r="MG279" s="140"/>
      <c r="MH279" s="140"/>
      <c r="MI279" s="140"/>
      <c r="MJ279" s="140"/>
      <c r="MK279" s="140"/>
      <c r="ML279" s="140"/>
    </row>
    <row r="280" spans="3:350" s="4" customFormat="1" ht="18" customHeight="1" x14ac:dyDescent="0.3">
      <c r="H280" s="140"/>
      <c r="I280" s="140"/>
      <c r="J280" s="140"/>
      <c r="K280" s="140"/>
      <c r="L280" s="140"/>
      <c r="M280" s="140"/>
      <c r="N280" s="140"/>
      <c r="O280" s="140"/>
      <c r="P280" s="140"/>
      <c r="Q280" s="140"/>
      <c r="R280" s="140"/>
      <c r="S280" s="140"/>
      <c r="T280" s="140"/>
      <c r="U280" s="140"/>
      <c r="V280" s="140"/>
      <c r="W280" s="140"/>
      <c r="X280" s="140"/>
      <c r="Y280" s="140"/>
      <c r="Z280" s="140"/>
      <c r="AA280" s="140"/>
      <c r="AB280" s="140"/>
      <c r="AC280" s="140"/>
      <c r="AD280" s="140"/>
      <c r="AE280" s="140"/>
      <c r="AF280" s="140"/>
      <c r="AG280" s="140"/>
      <c r="AH280" s="140"/>
      <c r="AI280" s="140"/>
      <c r="AJ280" s="140"/>
      <c r="AK280" s="140"/>
      <c r="AL280" s="140"/>
      <c r="AM280" s="140"/>
      <c r="AN280" s="140"/>
      <c r="AO280" s="140"/>
      <c r="AP280" s="140"/>
      <c r="AQ280" s="140"/>
      <c r="AR280" s="140"/>
      <c r="AS280" s="140"/>
      <c r="AT280" s="140"/>
      <c r="AU280" s="140"/>
      <c r="AV280" s="140"/>
      <c r="AW280" s="140"/>
      <c r="AX280" s="140"/>
      <c r="AY280" s="140"/>
      <c r="AZ280" s="140"/>
      <c r="BA280" s="140"/>
      <c r="BB280" s="140"/>
      <c r="BC280" s="140"/>
      <c r="BD280" s="140"/>
      <c r="BE280" s="140"/>
      <c r="BF280" s="140"/>
      <c r="BG280" s="140"/>
      <c r="BH280" s="140"/>
      <c r="BI280" s="140"/>
      <c r="BJ280" s="140"/>
      <c r="BK280" s="140"/>
      <c r="BL280" s="140"/>
      <c r="BM280" s="140"/>
      <c r="BN280" s="140"/>
      <c r="BO280" s="140"/>
      <c r="BP280" s="140"/>
      <c r="BQ280" s="140"/>
      <c r="BR280" s="140"/>
      <c r="BS280" s="140"/>
      <c r="BT280" s="140"/>
      <c r="BU280" s="140"/>
      <c r="BV280" s="140"/>
      <c r="BW280" s="140"/>
      <c r="BX280" s="140"/>
      <c r="BY280" s="140"/>
      <c r="BZ280" s="140"/>
      <c r="CA280" s="140"/>
      <c r="CB280" s="140"/>
      <c r="CC280" s="140"/>
      <c r="CD280" s="140"/>
      <c r="CE280" s="140"/>
      <c r="CF280" s="140"/>
      <c r="CG280" s="140"/>
      <c r="CH280" s="140"/>
      <c r="CI280" s="140"/>
      <c r="CJ280" s="140"/>
      <c r="CK280" s="140"/>
      <c r="CL280" s="140"/>
      <c r="CM280" s="140"/>
      <c r="CN280" s="140"/>
      <c r="FJ280" s="140"/>
      <c r="FK280" s="140"/>
      <c r="FL280" s="140"/>
      <c r="FM280" s="140"/>
      <c r="FN280" s="140"/>
      <c r="FO280" s="140"/>
      <c r="FP280" s="140"/>
      <c r="FQ280" s="140"/>
      <c r="FR280" s="140"/>
      <c r="FS280" s="140"/>
      <c r="FT280" s="140"/>
      <c r="FU280" s="140"/>
      <c r="FV280" s="140"/>
      <c r="FW280" s="140"/>
      <c r="FX280" s="140"/>
      <c r="FY280" s="140"/>
      <c r="FZ280" s="140"/>
      <c r="GA280" s="140"/>
      <c r="GB280" s="140"/>
      <c r="GC280" s="140"/>
      <c r="GD280" s="140"/>
      <c r="GE280" s="140"/>
      <c r="GF280" s="140"/>
      <c r="GG280" s="140"/>
      <c r="GH280" s="140"/>
      <c r="GI280" s="140"/>
      <c r="GJ280" s="140"/>
      <c r="GK280" s="140"/>
      <c r="GL280" s="140"/>
      <c r="GM280" s="140"/>
      <c r="GN280" s="140"/>
      <c r="GO280" s="140"/>
      <c r="GP280" s="140"/>
      <c r="GQ280" s="140"/>
      <c r="GR280" s="140"/>
      <c r="GS280" s="140"/>
      <c r="GT280" s="140"/>
      <c r="GU280" s="140"/>
      <c r="GV280" s="140"/>
      <c r="GW280" s="140"/>
      <c r="GX280" s="140"/>
      <c r="GY280" s="140"/>
      <c r="GZ280" s="140"/>
      <c r="HA280" s="140"/>
      <c r="HB280" s="140"/>
      <c r="HC280" s="140"/>
      <c r="HD280" s="140"/>
      <c r="HE280" s="140"/>
      <c r="HF280" s="140"/>
      <c r="HG280" s="140"/>
      <c r="HH280" s="140"/>
      <c r="HI280" s="140"/>
      <c r="HJ280" s="140"/>
      <c r="HK280" s="140"/>
      <c r="HL280" s="140"/>
      <c r="HM280" s="140"/>
      <c r="HN280" s="140"/>
      <c r="HO280" s="140"/>
      <c r="HP280" s="140"/>
      <c r="HQ280" s="140"/>
      <c r="HR280" s="140"/>
      <c r="HS280" s="140"/>
      <c r="HT280" s="140"/>
      <c r="HU280" s="140"/>
      <c r="HV280" s="140"/>
      <c r="HW280" s="140"/>
      <c r="HX280" s="140"/>
      <c r="HY280" s="140"/>
      <c r="HZ280" s="140"/>
      <c r="IA280" s="140"/>
      <c r="IB280" s="140"/>
      <c r="IC280" s="140"/>
      <c r="ID280" s="140"/>
      <c r="IE280" s="140"/>
      <c r="IF280" s="140"/>
      <c r="IG280" s="140"/>
      <c r="IH280" s="140"/>
      <c r="II280" s="140"/>
      <c r="IJ280" s="140"/>
      <c r="IK280" s="140"/>
      <c r="IL280" s="140"/>
      <c r="IM280" s="140"/>
      <c r="IN280" s="140"/>
      <c r="IO280" s="140"/>
      <c r="IP280" s="140"/>
      <c r="IQ280" s="140"/>
      <c r="IR280" s="140"/>
      <c r="IS280" s="140"/>
      <c r="IT280" s="140"/>
      <c r="IU280" s="140"/>
      <c r="IV280" s="140"/>
      <c r="IW280" s="140"/>
      <c r="IX280" s="140"/>
      <c r="IY280" s="140"/>
      <c r="IZ280" s="140"/>
      <c r="JA280" s="140"/>
      <c r="JB280" s="140"/>
      <c r="JC280" s="140"/>
      <c r="JD280" s="140"/>
      <c r="JE280" s="140"/>
      <c r="JF280" s="140"/>
      <c r="JG280" s="140"/>
      <c r="JH280" s="140"/>
      <c r="JI280" s="140"/>
      <c r="JJ280" s="140"/>
      <c r="JK280" s="140"/>
      <c r="JL280" s="140"/>
      <c r="JM280" s="140"/>
      <c r="JN280" s="140"/>
      <c r="JO280" s="140"/>
      <c r="JP280" s="140"/>
      <c r="JQ280" s="140"/>
      <c r="JR280" s="140"/>
      <c r="JS280" s="140"/>
      <c r="JT280" s="140"/>
      <c r="JU280" s="140"/>
      <c r="JV280" s="140"/>
      <c r="JW280" s="140"/>
      <c r="JX280" s="140"/>
      <c r="JY280" s="140"/>
      <c r="JZ280" s="140"/>
      <c r="KA280" s="140"/>
      <c r="KB280" s="140"/>
      <c r="KC280" s="140"/>
      <c r="KD280" s="140"/>
      <c r="KE280" s="140"/>
      <c r="KF280" s="140"/>
      <c r="KG280" s="140"/>
      <c r="KH280" s="140"/>
      <c r="KI280" s="140"/>
      <c r="KJ280" s="140"/>
      <c r="KK280" s="140"/>
      <c r="KL280" s="140"/>
      <c r="KM280" s="140"/>
      <c r="KN280" s="140"/>
      <c r="KO280" s="140"/>
      <c r="KP280" s="140"/>
      <c r="KQ280" s="140"/>
      <c r="KR280" s="140"/>
      <c r="KS280" s="140"/>
      <c r="KT280" s="140"/>
      <c r="KU280" s="140"/>
      <c r="KV280" s="140"/>
      <c r="KW280" s="140"/>
      <c r="KX280" s="140"/>
      <c r="KY280" s="140"/>
      <c r="KZ280" s="140"/>
      <c r="LA280" s="140"/>
      <c r="LB280" s="140"/>
      <c r="LC280" s="140"/>
      <c r="LD280" s="140"/>
      <c r="LE280" s="140"/>
      <c r="LF280" s="140"/>
      <c r="LG280" s="140"/>
      <c r="LH280" s="140"/>
      <c r="LI280" s="140"/>
      <c r="LJ280" s="140"/>
      <c r="LK280" s="140"/>
      <c r="LL280" s="140"/>
      <c r="LM280" s="140"/>
      <c r="LN280" s="140"/>
      <c r="LO280" s="140"/>
      <c r="LP280" s="140"/>
      <c r="LQ280" s="140"/>
      <c r="LR280" s="140"/>
      <c r="LS280" s="140"/>
      <c r="LT280" s="140"/>
      <c r="LU280" s="140"/>
      <c r="LV280" s="140"/>
      <c r="LW280" s="140"/>
      <c r="LX280" s="140"/>
      <c r="LY280" s="140"/>
      <c r="LZ280" s="140"/>
      <c r="MA280" s="140"/>
      <c r="MB280" s="140"/>
      <c r="MC280" s="140"/>
      <c r="MD280" s="140"/>
      <c r="ME280" s="140"/>
      <c r="MF280" s="140"/>
      <c r="MG280" s="140"/>
      <c r="MH280" s="140"/>
      <c r="MI280" s="140"/>
      <c r="MJ280" s="140"/>
      <c r="MK280" s="140"/>
      <c r="ML280" s="140"/>
    </row>
    <row r="281" spans="3:350" s="4" customFormat="1" ht="18" customHeight="1" x14ac:dyDescent="0.3">
      <c r="H281" s="140"/>
      <c r="I281" s="140"/>
      <c r="J281" s="140"/>
      <c r="K281" s="140"/>
      <c r="L281" s="140"/>
      <c r="M281" s="140"/>
      <c r="N281" s="140"/>
      <c r="O281" s="140"/>
      <c r="P281" s="140"/>
      <c r="Q281" s="140"/>
      <c r="R281" s="140"/>
      <c r="S281" s="140"/>
      <c r="T281" s="140"/>
      <c r="U281" s="140"/>
      <c r="V281" s="140"/>
      <c r="W281" s="140"/>
      <c r="X281" s="140"/>
      <c r="Y281" s="140"/>
      <c r="Z281" s="140"/>
      <c r="AA281" s="140"/>
      <c r="AB281" s="140"/>
      <c r="AC281" s="140"/>
      <c r="AD281" s="140"/>
      <c r="AE281" s="140"/>
      <c r="AF281" s="140"/>
      <c r="AG281" s="140"/>
      <c r="AH281" s="140"/>
      <c r="AI281" s="140"/>
      <c r="AJ281" s="140"/>
      <c r="AK281" s="140"/>
      <c r="AL281" s="140"/>
      <c r="AM281" s="140"/>
      <c r="AN281" s="140"/>
      <c r="AO281" s="140"/>
      <c r="AP281" s="140"/>
      <c r="AQ281" s="140"/>
      <c r="AR281" s="140"/>
      <c r="AS281" s="140"/>
      <c r="AT281" s="140"/>
      <c r="AU281" s="140"/>
      <c r="AV281" s="140"/>
      <c r="AW281" s="140"/>
      <c r="AX281" s="140"/>
      <c r="AY281" s="140"/>
      <c r="AZ281" s="140"/>
      <c r="BA281" s="140"/>
      <c r="BB281" s="140"/>
      <c r="BC281" s="140"/>
      <c r="BD281" s="140"/>
      <c r="BE281" s="140"/>
      <c r="BF281" s="140"/>
      <c r="BG281" s="140"/>
      <c r="BH281" s="140"/>
      <c r="BI281" s="140"/>
      <c r="BJ281" s="140"/>
      <c r="BK281" s="140"/>
      <c r="BL281" s="140"/>
      <c r="BM281" s="140"/>
      <c r="BN281" s="140"/>
      <c r="BO281" s="140"/>
      <c r="BP281" s="140"/>
      <c r="BQ281" s="140"/>
      <c r="BR281" s="140"/>
      <c r="BS281" s="140"/>
      <c r="BT281" s="140"/>
      <c r="BU281" s="140"/>
      <c r="BV281" s="140"/>
      <c r="BW281" s="140"/>
      <c r="BX281" s="140"/>
      <c r="BY281" s="140"/>
      <c r="BZ281" s="140"/>
      <c r="CA281" s="140"/>
      <c r="CB281" s="140"/>
      <c r="CC281" s="140"/>
      <c r="CD281" s="140"/>
      <c r="CE281" s="140"/>
      <c r="CF281" s="140"/>
      <c r="CG281" s="140"/>
      <c r="CH281" s="140"/>
      <c r="CI281" s="140"/>
      <c r="CJ281" s="140"/>
      <c r="CK281" s="140"/>
      <c r="CL281" s="140"/>
      <c r="CM281" s="140"/>
      <c r="CN281" s="140"/>
      <c r="FJ281" s="140"/>
      <c r="FK281" s="140"/>
      <c r="FL281" s="140"/>
      <c r="FM281" s="140"/>
      <c r="FN281" s="140"/>
      <c r="FO281" s="140"/>
      <c r="FP281" s="140"/>
      <c r="FQ281" s="140"/>
      <c r="FR281" s="140"/>
      <c r="FS281" s="140"/>
      <c r="FT281" s="140"/>
      <c r="FU281" s="140"/>
      <c r="FV281" s="140"/>
      <c r="FW281" s="140"/>
      <c r="FX281" s="140"/>
      <c r="FY281" s="140"/>
      <c r="FZ281" s="140"/>
      <c r="GA281" s="140"/>
      <c r="GB281" s="140"/>
      <c r="GC281" s="140"/>
      <c r="GD281" s="140"/>
      <c r="GE281" s="140"/>
      <c r="GF281" s="140"/>
      <c r="GG281" s="140"/>
      <c r="GH281" s="140"/>
      <c r="GI281" s="140"/>
      <c r="GJ281" s="140"/>
      <c r="GK281" s="140"/>
      <c r="GL281" s="140"/>
      <c r="GM281" s="140"/>
      <c r="GN281" s="140"/>
      <c r="GO281" s="140"/>
      <c r="GP281" s="140"/>
      <c r="GQ281" s="140"/>
      <c r="GR281" s="140"/>
      <c r="GS281" s="140"/>
      <c r="GT281" s="140"/>
      <c r="GU281" s="140"/>
      <c r="GV281" s="140"/>
      <c r="GW281" s="140"/>
      <c r="GX281" s="140"/>
      <c r="GY281" s="140"/>
      <c r="GZ281" s="140"/>
      <c r="HA281" s="140"/>
      <c r="HB281" s="140"/>
      <c r="HC281" s="140"/>
      <c r="HD281" s="140"/>
      <c r="HE281" s="140"/>
      <c r="HF281" s="140"/>
      <c r="HG281" s="140"/>
      <c r="HH281" s="140"/>
      <c r="HI281" s="140"/>
      <c r="HJ281" s="140"/>
      <c r="HK281" s="140"/>
      <c r="HL281" s="140"/>
      <c r="HM281" s="140"/>
      <c r="HN281" s="140"/>
      <c r="HO281" s="140"/>
      <c r="HP281" s="140"/>
      <c r="HQ281" s="140"/>
      <c r="HR281" s="140"/>
      <c r="HS281" s="140"/>
      <c r="HT281" s="140"/>
      <c r="HU281" s="140"/>
      <c r="HV281" s="140"/>
      <c r="HW281" s="140"/>
      <c r="HX281" s="140"/>
      <c r="HY281" s="140"/>
      <c r="HZ281" s="140"/>
      <c r="IA281" s="140"/>
      <c r="IB281" s="140"/>
      <c r="IC281" s="140"/>
      <c r="ID281" s="140"/>
      <c r="IE281" s="140"/>
      <c r="IF281" s="140"/>
      <c r="IG281" s="140"/>
      <c r="IH281" s="140"/>
      <c r="II281" s="140"/>
      <c r="IJ281" s="140"/>
      <c r="IK281" s="140"/>
      <c r="IL281" s="140"/>
      <c r="IM281" s="140"/>
      <c r="IN281" s="140"/>
      <c r="IO281" s="140"/>
      <c r="IP281" s="140"/>
      <c r="IQ281" s="140"/>
      <c r="IR281" s="140"/>
      <c r="IS281" s="140"/>
      <c r="IT281" s="140"/>
      <c r="IU281" s="140"/>
      <c r="IV281" s="140"/>
      <c r="IW281" s="140"/>
      <c r="IX281" s="140"/>
      <c r="IY281" s="140"/>
      <c r="IZ281" s="140"/>
      <c r="JA281" s="140"/>
      <c r="JB281" s="140"/>
      <c r="JC281" s="140"/>
      <c r="JD281" s="140"/>
      <c r="JE281" s="140"/>
      <c r="JF281" s="140"/>
      <c r="JG281" s="140"/>
      <c r="JH281" s="140"/>
      <c r="JI281" s="140"/>
      <c r="JJ281" s="140"/>
      <c r="JK281" s="140"/>
      <c r="JL281" s="140"/>
      <c r="JM281" s="140"/>
      <c r="JN281" s="140"/>
      <c r="JO281" s="140"/>
      <c r="JP281" s="140"/>
      <c r="JQ281" s="140"/>
      <c r="JR281" s="140"/>
      <c r="JS281" s="140"/>
      <c r="JT281" s="140"/>
      <c r="JU281" s="140"/>
      <c r="JV281" s="140"/>
      <c r="JW281" s="140"/>
      <c r="JX281" s="140"/>
      <c r="JY281" s="140"/>
      <c r="JZ281" s="140"/>
      <c r="KA281" s="140"/>
      <c r="KB281" s="140"/>
      <c r="KC281" s="140"/>
      <c r="KD281" s="140"/>
      <c r="KE281" s="140"/>
      <c r="KF281" s="140"/>
      <c r="KG281" s="140"/>
      <c r="KH281" s="140"/>
      <c r="KI281" s="140"/>
      <c r="KJ281" s="140"/>
      <c r="KK281" s="140"/>
      <c r="KL281" s="140"/>
      <c r="KM281" s="140"/>
      <c r="KN281" s="140"/>
      <c r="KO281" s="140"/>
      <c r="KP281" s="140"/>
      <c r="KQ281" s="140"/>
      <c r="KR281" s="140"/>
      <c r="KS281" s="140"/>
      <c r="KT281" s="140"/>
      <c r="KU281" s="140"/>
      <c r="KV281" s="140"/>
      <c r="KW281" s="140"/>
      <c r="KX281" s="140"/>
      <c r="KY281" s="140"/>
      <c r="KZ281" s="140"/>
      <c r="LA281" s="140"/>
      <c r="LB281" s="140"/>
      <c r="LC281" s="140"/>
      <c r="LD281" s="140"/>
      <c r="LE281" s="140"/>
      <c r="LF281" s="140"/>
      <c r="LG281" s="140"/>
      <c r="LH281" s="140"/>
      <c r="LI281" s="140"/>
      <c r="LJ281" s="140"/>
      <c r="LK281" s="140"/>
      <c r="LL281" s="140"/>
      <c r="LM281" s="140"/>
      <c r="LN281" s="140"/>
      <c r="LO281" s="140"/>
      <c r="LP281" s="140"/>
      <c r="LQ281" s="140"/>
      <c r="LR281" s="140"/>
      <c r="LS281" s="140"/>
      <c r="LT281" s="140"/>
      <c r="LU281" s="140"/>
      <c r="LV281" s="140"/>
      <c r="LW281" s="140"/>
      <c r="LX281" s="140"/>
      <c r="LY281" s="140"/>
      <c r="LZ281" s="140"/>
      <c r="MA281" s="140"/>
      <c r="MB281" s="140"/>
      <c r="MC281" s="140"/>
      <c r="MD281" s="140"/>
      <c r="ME281" s="140"/>
      <c r="MF281" s="140"/>
      <c r="MG281" s="140"/>
      <c r="MH281" s="140"/>
      <c r="MI281" s="140"/>
      <c r="MJ281" s="140"/>
      <c r="MK281" s="140"/>
      <c r="ML281" s="140"/>
    </row>
    <row r="282" spans="3:350" s="4" customFormat="1" ht="18" customHeight="1" x14ac:dyDescent="0.3">
      <c r="H282" s="140"/>
      <c r="I282" s="140"/>
      <c r="J282" s="140"/>
      <c r="K282" s="140"/>
      <c r="L282" s="140"/>
      <c r="M282" s="140"/>
      <c r="N282" s="140"/>
      <c r="O282" s="140"/>
      <c r="P282" s="140"/>
      <c r="Q282" s="140"/>
      <c r="R282" s="140"/>
      <c r="S282" s="140"/>
      <c r="T282" s="140"/>
      <c r="U282" s="140"/>
      <c r="V282" s="140"/>
      <c r="W282" s="140"/>
      <c r="X282" s="140"/>
      <c r="Y282" s="140"/>
      <c r="Z282" s="140"/>
      <c r="AA282" s="140"/>
      <c r="AB282" s="140"/>
      <c r="AC282" s="140"/>
      <c r="AD282" s="140"/>
      <c r="AE282" s="140"/>
      <c r="AF282" s="140"/>
      <c r="AG282" s="140"/>
      <c r="AH282" s="140"/>
      <c r="AI282" s="140"/>
      <c r="AJ282" s="140"/>
      <c r="AK282" s="140"/>
      <c r="AL282" s="140"/>
      <c r="AM282" s="140"/>
      <c r="AN282" s="140"/>
      <c r="AO282" s="140"/>
      <c r="AP282" s="140"/>
      <c r="AQ282" s="140"/>
      <c r="AR282" s="140"/>
      <c r="AS282" s="140"/>
      <c r="AT282" s="140"/>
      <c r="AU282" s="140"/>
      <c r="AV282" s="140"/>
      <c r="AW282" s="140"/>
      <c r="AX282" s="140"/>
      <c r="AY282" s="140"/>
      <c r="AZ282" s="140"/>
      <c r="BA282" s="140"/>
      <c r="BB282" s="140"/>
      <c r="BC282" s="140"/>
      <c r="BD282" s="140"/>
      <c r="BE282" s="140"/>
      <c r="BF282" s="140"/>
      <c r="BG282" s="140"/>
      <c r="BH282" s="140"/>
      <c r="BI282" s="140"/>
      <c r="BJ282" s="140"/>
      <c r="BK282" s="140"/>
      <c r="BL282" s="140"/>
      <c r="BM282" s="140"/>
      <c r="BN282" s="140"/>
      <c r="BO282" s="140"/>
      <c r="BP282" s="140"/>
      <c r="BQ282" s="140"/>
      <c r="BR282" s="140"/>
      <c r="BS282" s="140"/>
      <c r="BT282" s="140"/>
      <c r="BU282" s="140"/>
      <c r="BV282" s="140"/>
      <c r="BW282" s="140"/>
      <c r="BX282" s="140"/>
      <c r="BY282" s="140"/>
      <c r="BZ282" s="140"/>
      <c r="CA282" s="140"/>
      <c r="CB282" s="140"/>
      <c r="CC282" s="140"/>
      <c r="CD282" s="140"/>
      <c r="CE282" s="140"/>
      <c r="CF282" s="140"/>
      <c r="CG282" s="140"/>
      <c r="CH282" s="140"/>
      <c r="CI282" s="140"/>
      <c r="CJ282" s="140"/>
      <c r="CK282" s="140"/>
      <c r="CL282" s="140"/>
      <c r="CM282" s="140"/>
      <c r="CN282" s="140"/>
      <c r="FJ282" s="140"/>
      <c r="FK282" s="140"/>
      <c r="FL282" s="140"/>
      <c r="FM282" s="140"/>
      <c r="FN282" s="140"/>
      <c r="FO282" s="140"/>
      <c r="FP282" s="140"/>
      <c r="FQ282" s="140"/>
      <c r="FR282" s="140"/>
      <c r="FS282" s="140"/>
      <c r="FT282" s="140"/>
      <c r="FU282" s="140"/>
      <c r="FV282" s="140"/>
      <c r="FW282" s="140"/>
      <c r="FX282" s="140"/>
      <c r="FY282" s="140"/>
      <c r="FZ282" s="140"/>
      <c r="GA282" s="140"/>
      <c r="GB282" s="140"/>
      <c r="GC282" s="140"/>
      <c r="GD282" s="140"/>
      <c r="GE282" s="140"/>
      <c r="GF282" s="140"/>
      <c r="GG282" s="140"/>
      <c r="GH282" s="140"/>
      <c r="GI282" s="140"/>
      <c r="GJ282" s="140"/>
      <c r="GK282" s="140"/>
      <c r="GL282" s="140"/>
      <c r="GM282" s="140"/>
      <c r="GN282" s="140"/>
      <c r="GO282" s="140"/>
      <c r="GP282" s="140"/>
      <c r="GQ282" s="140"/>
      <c r="GR282" s="140"/>
      <c r="GS282" s="140"/>
      <c r="GT282" s="140"/>
      <c r="GU282" s="140"/>
      <c r="GV282" s="140"/>
      <c r="GW282" s="140"/>
      <c r="GX282" s="140"/>
      <c r="GY282" s="140"/>
      <c r="GZ282" s="140"/>
      <c r="HA282" s="140"/>
      <c r="HB282" s="140"/>
      <c r="HC282" s="140"/>
      <c r="HD282" s="140"/>
      <c r="HE282" s="140"/>
      <c r="HF282" s="140"/>
      <c r="HG282" s="140"/>
      <c r="HH282" s="140"/>
      <c r="HI282" s="140"/>
      <c r="HJ282" s="140"/>
      <c r="HK282" s="140"/>
      <c r="HL282" s="140"/>
      <c r="HM282" s="140"/>
      <c r="HN282" s="140"/>
      <c r="HO282" s="140"/>
      <c r="HP282" s="140"/>
      <c r="HQ282" s="140"/>
      <c r="HR282" s="140"/>
      <c r="HS282" s="140"/>
      <c r="HT282" s="140"/>
      <c r="HU282" s="140"/>
      <c r="HV282" s="140"/>
      <c r="HW282" s="140"/>
      <c r="HX282" s="140"/>
      <c r="HY282" s="140"/>
      <c r="HZ282" s="140"/>
      <c r="IA282" s="140"/>
      <c r="IB282" s="140"/>
      <c r="IC282" s="140"/>
      <c r="ID282" s="140"/>
      <c r="IE282" s="140"/>
      <c r="IF282" s="140"/>
      <c r="IG282" s="140"/>
      <c r="IH282" s="140"/>
      <c r="II282" s="140"/>
      <c r="IJ282" s="140"/>
      <c r="IK282" s="140"/>
      <c r="IL282" s="140"/>
      <c r="IM282" s="140"/>
      <c r="IN282" s="140"/>
      <c r="IO282" s="140"/>
      <c r="IP282" s="140"/>
      <c r="IQ282" s="140"/>
      <c r="IR282" s="140"/>
      <c r="IS282" s="140"/>
      <c r="IT282" s="140"/>
      <c r="IU282" s="140"/>
      <c r="IV282" s="140"/>
      <c r="IW282" s="140"/>
      <c r="IX282" s="140"/>
      <c r="IY282" s="140"/>
      <c r="IZ282" s="140"/>
      <c r="JA282" s="140"/>
      <c r="JB282" s="140"/>
      <c r="JC282" s="140"/>
      <c r="JD282" s="140"/>
      <c r="JE282" s="140"/>
      <c r="JF282" s="140"/>
      <c r="JG282" s="140"/>
      <c r="JH282" s="140"/>
      <c r="JI282" s="140"/>
      <c r="JJ282" s="140"/>
      <c r="JK282" s="140"/>
      <c r="JL282" s="140"/>
      <c r="JM282" s="140"/>
      <c r="JN282" s="140"/>
      <c r="JO282" s="140"/>
      <c r="JP282" s="140"/>
      <c r="JQ282" s="140"/>
      <c r="JR282" s="140"/>
      <c r="JS282" s="140"/>
      <c r="JT282" s="140"/>
      <c r="JU282" s="140"/>
      <c r="JV282" s="140"/>
      <c r="JW282" s="140"/>
      <c r="JX282" s="140"/>
      <c r="JY282" s="140"/>
      <c r="JZ282" s="140"/>
      <c r="KA282" s="140"/>
      <c r="KB282" s="140"/>
      <c r="KC282" s="140"/>
      <c r="KD282" s="140"/>
      <c r="KE282" s="140"/>
      <c r="KF282" s="140"/>
      <c r="KG282" s="140"/>
      <c r="KH282" s="140"/>
      <c r="KI282" s="140"/>
      <c r="KJ282" s="140"/>
      <c r="KK282" s="140"/>
      <c r="KL282" s="140"/>
      <c r="KM282" s="140"/>
      <c r="KN282" s="140"/>
      <c r="KO282" s="140"/>
      <c r="KP282" s="140"/>
      <c r="KQ282" s="140"/>
      <c r="KR282" s="140"/>
      <c r="KS282" s="140"/>
      <c r="KT282" s="140"/>
      <c r="KU282" s="140"/>
      <c r="KV282" s="140"/>
      <c r="KW282" s="140"/>
      <c r="KX282" s="140"/>
      <c r="KY282" s="140"/>
      <c r="KZ282" s="140"/>
      <c r="LA282" s="140"/>
      <c r="LB282" s="140"/>
      <c r="LC282" s="140"/>
      <c r="LD282" s="140"/>
      <c r="LE282" s="140"/>
      <c r="LF282" s="140"/>
      <c r="LG282" s="140"/>
      <c r="LH282" s="140"/>
      <c r="LI282" s="140"/>
      <c r="LJ282" s="140"/>
      <c r="LK282" s="140"/>
      <c r="LL282" s="140"/>
      <c r="LM282" s="140"/>
      <c r="LN282" s="140"/>
      <c r="LO282" s="140"/>
      <c r="LP282" s="140"/>
      <c r="LQ282" s="140"/>
      <c r="LR282" s="140"/>
      <c r="LS282" s="140"/>
      <c r="LT282" s="140"/>
      <c r="LU282" s="140"/>
      <c r="LV282" s="140"/>
      <c r="LW282" s="140"/>
      <c r="LX282" s="140"/>
      <c r="LY282" s="140"/>
      <c r="LZ282" s="140"/>
      <c r="MA282" s="140"/>
      <c r="MB282" s="140"/>
      <c r="MC282" s="140"/>
      <c r="MD282" s="140"/>
      <c r="ME282" s="140"/>
      <c r="MF282" s="140"/>
      <c r="MG282" s="140"/>
      <c r="MH282" s="140"/>
      <c r="MI282" s="140"/>
      <c r="MJ282" s="140"/>
      <c r="MK282" s="140"/>
      <c r="ML282" s="140"/>
    </row>
    <row r="283" spans="3:350" s="4" customFormat="1" ht="18" customHeight="1" x14ac:dyDescent="0.3">
      <c r="H283" s="140"/>
      <c r="I283" s="140"/>
      <c r="J283" s="140"/>
      <c r="K283" s="140"/>
      <c r="L283" s="140"/>
      <c r="M283" s="140"/>
      <c r="N283" s="140"/>
      <c r="O283" s="140"/>
      <c r="P283" s="140"/>
      <c r="Q283" s="140"/>
      <c r="R283" s="140"/>
      <c r="S283" s="140"/>
      <c r="T283" s="140"/>
      <c r="U283" s="140"/>
      <c r="V283" s="140"/>
      <c r="W283" s="140"/>
      <c r="X283" s="140"/>
      <c r="Y283" s="140"/>
      <c r="Z283" s="140"/>
      <c r="AA283" s="140"/>
      <c r="AB283" s="140"/>
      <c r="AC283" s="140"/>
      <c r="AD283" s="140"/>
      <c r="AE283" s="140"/>
      <c r="AF283" s="140"/>
      <c r="AG283" s="140"/>
      <c r="AH283" s="140"/>
      <c r="AI283" s="140"/>
      <c r="AJ283" s="140"/>
      <c r="AK283" s="140"/>
      <c r="AL283" s="140"/>
      <c r="AM283" s="140"/>
      <c r="AN283" s="140"/>
      <c r="AO283" s="140"/>
      <c r="AP283" s="140"/>
      <c r="AQ283" s="140"/>
      <c r="AR283" s="140"/>
      <c r="AS283" s="140"/>
      <c r="AT283" s="140"/>
      <c r="AU283" s="140"/>
      <c r="AV283" s="140"/>
      <c r="AW283" s="140"/>
      <c r="AX283" s="140"/>
      <c r="AY283" s="140"/>
      <c r="AZ283" s="140"/>
      <c r="BA283" s="140"/>
      <c r="BB283" s="140"/>
      <c r="BC283" s="140"/>
      <c r="BD283" s="140"/>
      <c r="BE283" s="140"/>
      <c r="BF283" s="140"/>
      <c r="BG283" s="140"/>
      <c r="BH283" s="140"/>
      <c r="BI283" s="140"/>
      <c r="BJ283" s="140"/>
      <c r="BK283" s="140"/>
      <c r="BL283" s="140"/>
      <c r="BM283" s="140"/>
      <c r="BN283" s="140"/>
      <c r="BO283" s="140"/>
      <c r="BP283" s="140"/>
      <c r="BQ283" s="140"/>
      <c r="BR283" s="140"/>
      <c r="BS283" s="140"/>
      <c r="BT283" s="140"/>
      <c r="BU283" s="140"/>
      <c r="BV283" s="140"/>
      <c r="BW283" s="140"/>
      <c r="BX283" s="140"/>
      <c r="BY283" s="140"/>
      <c r="BZ283" s="140"/>
      <c r="CA283" s="140"/>
      <c r="CB283" s="140"/>
      <c r="CC283" s="140"/>
      <c r="CD283" s="140"/>
      <c r="CE283" s="140"/>
      <c r="CF283" s="140"/>
      <c r="CG283" s="140"/>
      <c r="CH283" s="140"/>
      <c r="CI283" s="140"/>
      <c r="CJ283" s="140"/>
      <c r="CK283" s="140"/>
      <c r="CL283" s="140"/>
      <c r="CM283" s="140"/>
      <c r="CN283" s="140"/>
      <c r="FJ283" s="140"/>
      <c r="FK283" s="140"/>
      <c r="FL283" s="140"/>
      <c r="FM283" s="140"/>
      <c r="FN283" s="140"/>
      <c r="FO283" s="140"/>
      <c r="FP283" s="140"/>
      <c r="FQ283" s="140"/>
      <c r="FR283" s="140"/>
      <c r="FS283" s="140"/>
      <c r="FT283" s="140"/>
      <c r="FU283" s="140"/>
      <c r="FV283" s="140"/>
      <c r="FW283" s="140"/>
      <c r="FX283" s="140"/>
      <c r="FY283" s="140"/>
      <c r="FZ283" s="140"/>
      <c r="GA283" s="140"/>
      <c r="GB283" s="140"/>
      <c r="GC283" s="140"/>
      <c r="GD283" s="140"/>
      <c r="GE283" s="140"/>
      <c r="GF283" s="140"/>
      <c r="GG283" s="140"/>
      <c r="GH283" s="140"/>
      <c r="GI283" s="140"/>
      <c r="GJ283" s="140"/>
      <c r="GK283" s="140"/>
      <c r="GL283" s="140"/>
      <c r="GM283" s="140"/>
      <c r="GN283" s="140"/>
      <c r="GO283" s="140"/>
      <c r="GP283" s="140"/>
      <c r="GQ283" s="140"/>
      <c r="GR283" s="140"/>
      <c r="GS283" s="140"/>
      <c r="GT283" s="140"/>
      <c r="GU283" s="140"/>
      <c r="GV283" s="140"/>
      <c r="GW283" s="140"/>
      <c r="GX283" s="140"/>
      <c r="GY283" s="140"/>
      <c r="GZ283" s="140"/>
      <c r="HA283" s="140"/>
      <c r="HB283" s="140"/>
      <c r="HC283" s="140"/>
      <c r="HD283" s="140"/>
      <c r="HE283" s="140"/>
      <c r="HF283" s="140"/>
      <c r="HG283" s="140"/>
      <c r="HH283" s="140"/>
      <c r="HI283" s="140"/>
      <c r="HJ283" s="140"/>
      <c r="HK283" s="140"/>
      <c r="HL283" s="140"/>
      <c r="HM283" s="140"/>
      <c r="HN283" s="140"/>
      <c r="HO283" s="140"/>
      <c r="HP283" s="140"/>
      <c r="HQ283" s="140"/>
      <c r="HR283" s="140"/>
      <c r="HS283" s="140"/>
      <c r="HT283" s="140"/>
      <c r="HU283" s="140"/>
      <c r="HV283" s="140"/>
      <c r="HW283" s="140"/>
      <c r="HX283" s="140"/>
      <c r="HY283" s="140"/>
      <c r="HZ283" s="140"/>
      <c r="IA283" s="140"/>
      <c r="IB283" s="140"/>
      <c r="IC283" s="140"/>
      <c r="ID283" s="140"/>
      <c r="IE283" s="140"/>
      <c r="IF283" s="140"/>
      <c r="IG283" s="140"/>
      <c r="IH283" s="140"/>
      <c r="II283" s="140"/>
      <c r="IJ283" s="140"/>
      <c r="IK283" s="140"/>
      <c r="IL283" s="140"/>
      <c r="IM283" s="140"/>
      <c r="IN283" s="140"/>
      <c r="IO283" s="140"/>
      <c r="IP283" s="140"/>
      <c r="IQ283" s="140"/>
      <c r="IR283" s="140"/>
      <c r="IS283" s="140"/>
      <c r="IT283" s="140"/>
      <c r="IU283" s="140"/>
      <c r="IV283" s="140"/>
      <c r="IW283" s="140"/>
      <c r="IX283" s="140"/>
      <c r="IY283" s="140"/>
      <c r="IZ283" s="140"/>
      <c r="JA283" s="140"/>
      <c r="JB283" s="140"/>
      <c r="JC283" s="140"/>
      <c r="JD283" s="140"/>
      <c r="JE283" s="140"/>
      <c r="JF283" s="140"/>
      <c r="JG283" s="140"/>
      <c r="JH283" s="140"/>
      <c r="JI283" s="140"/>
      <c r="JJ283" s="140"/>
      <c r="JK283" s="140"/>
      <c r="JL283" s="140"/>
      <c r="JM283" s="140"/>
      <c r="JN283" s="140"/>
      <c r="JO283" s="140"/>
      <c r="JP283" s="140"/>
      <c r="JQ283" s="140"/>
      <c r="JR283" s="140"/>
      <c r="JS283" s="140"/>
      <c r="JT283" s="140"/>
      <c r="JU283" s="140"/>
      <c r="JV283" s="140"/>
      <c r="JW283" s="140"/>
      <c r="JX283" s="140"/>
      <c r="JY283" s="140"/>
      <c r="JZ283" s="140"/>
      <c r="KA283" s="140"/>
      <c r="KB283" s="140"/>
      <c r="KC283" s="140"/>
      <c r="KD283" s="140"/>
      <c r="KE283" s="140"/>
      <c r="KF283" s="140"/>
      <c r="KG283" s="140"/>
      <c r="KH283" s="140"/>
      <c r="KI283" s="140"/>
      <c r="KJ283" s="140"/>
      <c r="KK283" s="140"/>
      <c r="KL283" s="140"/>
      <c r="KM283" s="140"/>
      <c r="KN283" s="140"/>
      <c r="KO283" s="140"/>
      <c r="KP283" s="140"/>
      <c r="KQ283" s="140"/>
      <c r="KR283" s="140"/>
      <c r="KS283" s="140"/>
      <c r="KT283" s="140"/>
      <c r="KU283" s="140"/>
      <c r="KV283" s="140"/>
      <c r="KW283" s="140"/>
      <c r="KX283" s="140"/>
      <c r="KY283" s="140"/>
      <c r="KZ283" s="140"/>
      <c r="LA283" s="140"/>
      <c r="LB283" s="140"/>
      <c r="LC283" s="140"/>
      <c r="LD283" s="140"/>
      <c r="LE283" s="140"/>
      <c r="LF283" s="140"/>
      <c r="LG283" s="140"/>
      <c r="LH283" s="140"/>
      <c r="LI283" s="140"/>
      <c r="LJ283" s="140"/>
      <c r="LK283" s="140"/>
      <c r="LL283" s="140"/>
      <c r="LM283" s="140"/>
      <c r="LN283" s="140"/>
      <c r="LO283" s="140"/>
      <c r="LP283" s="140"/>
      <c r="LQ283" s="140"/>
      <c r="LR283" s="140"/>
      <c r="LS283" s="140"/>
      <c r="LT283" s="140"/>
      <c r="LU283" s="140"/>
      <c r="LV283" s="140"/>
      <c r="LW283" s="140"/>
      <c r="LX283" s="140"/>
      <c r="LY283" s="140"/>
      <c r="LZ283" s="140"/>
      <c r="MA283" s="140"/>
      <c r="MB283" s="140"/>
      <c r="MC283" s="140"/>
      <c r="MD283" s="140"/>
      <c r="ME283" s="140"/>
      <c r="MF283" s="140"/>
      <c r="MG283" s="140"/>
      <c r="MH283" s="140"/>
      <c r="MI283" s="140"/>
      <c r="MJ283" s="140"/>
      <c r="MK283" s="140"/>
      <c r="ML283" s="140"/>
    </row>
    <row r="284" spans="3:350" s="4" customFormat="1" ht="18" customHeight="1" x14ac:dyDescent="0.3">
      <c r="H284" s="140"/>
      <c r="I284" s="140"/>
      <c r="J284" s="140"/>
      <c r="K284" s="140"/>
      <c r="L284" s="140"/>
      <c r="M284" s="140"/>
      <c r="N284" s="140"/>
      <c r="O284" s="140"/>
      <c r="P284" s="140"/>
      <c r="Q284" s="140"/>
      <c r="R284" s="140"/>
      <c r="S284" s="140"/>
      <c r="T284" s="140"/>
      <c r="U284" s="140"/>
      <c r="V284" s="140"/>
      <c r="W284" s="140"/>
      <c r="X284" s="140"/>
      <c r="Y284" s="140"/>
      <c r="Z284" s="140"/>
      <c r="AA284" s="140"/>
      <c r="AB284" s="140"/>
      <c r="AC284" s="140"/>
      <c r="AD284" s="140"/>
      <c r="AE284" s="140"/>
      <c r="AF284" s="140"/>
      <c r="AG284" s="140"/>
      <c r="AH284" s="140"/>
      <c r="AI284" s="140"/>
      <c r="AJ284" s="140"/>
      <c r="AK284" s="140"/>
      <c r="AL284" s="140"/>
      <c r="AM284" s="140"/>
      <c r="AN284" s="140"/>
      <c r="AO284" s="140"/>
      <c r="AP284" s="140"/>
      <c r="AQ284" s="140"/>
      <c r="AR284" s="140"/>
      <c r="AS284" s="140"/>
      <c r="AT284" s="140"/>
      <c r="AU284" s="140"/>
      <c r="AV284" s="140"/>
      <c r="AW284" s="140"/>
      <c r="AX284" s="140"/>
      <c r="AY284" s="140"/>
      <c r="AZ284" s="140"/>
      <c r="BA284" s="140"/>
      <c r="BB284" s="140"/>
      <c r="BC284" s="140"/>
      <c r="BD284" s="140"/>
      <c r="BE284" s="140"/>
      <c r="BF284" s="140"/>
      <c r="BG284" s="140"/>
      <c r="BH284" s="140"/>
      <c r="BI284" s="140"/>
      <c r="BJ284" s="140"/>
      <c r="BK284" s="140"/>
      <c r="BL284" s="140"/>
      <c r="BM284" s="140"/>
      <c r="BN284" s="140"/>
      <c r="BO284" s="140"/>
      <c r="BP284" s="140"/>
      <c r="BQ284" s="140"/>
      <c r="BR284" s="140"/>
      <c r="BS284" s="140"/>
      <c r="BT284" s="140"/>
      <c r="BU284" s="140"/>
      <c r="BV284" s="140"/>
      <c r="BW284" s="140"/>
      <c r="BX284" s="140"/>
      <c r="BY284" s="140"/>
      <c r="BZ284" s="140"/>
      <c r="CA284" s="140"/>
      <c r="CB284" s="140"/>
      <c r="CC284" s="140"/>
      <c r="CD284" s="140"/>
      <c r="CE284" s="140"/>
      <c r="CF284" s="140"/>
      <c r="CG284" s="140"/>
      <c r="CH284" s="140"/>
      <c r="CI284" s="140"/>
      <c r="CJ284" s="140"/>
      <c r="CK284" s="140"/>
      <c r="CL284" s="140"/>
      <c r="CM284" s="140"/>
      <c r="CN284" s="140"/>
      <c r="FJ284" s="140"/>
      <c r="FK284" s="140"/>
      <c r="FL284" s="140"/>
      <c r="FM284" s="140"/>
      <c r="FN284" s="140"/>
      <c r="FO284" s="140"/>
      <c r="FP284" s="140"/>
      <c r="FQ284" s="140"/>
      <c r="FR284" s="140"/>
      <c r="FS284" s="140"/>
      <c r="FT284" s="140"/>
      <c r="FU284" s="140"/>
      <c r="FV284" s="140"/>
      <c r="FW284" s="140"/>
      <c r="FX284" s="140"/>
      <c r="FY284" s="140"/>
      <c r="FZ284" s="140"/>
      <c r="GA284" s="140"/>
      <c r="GB284" s="140"/>
      <c r="GC284" s="140"/>
      <c r="GD284" s="140"/>
      <c r="GE284" s="140"/>
      <c r="GF284" s="140"/>
      <c r="GG284" s="140"/>
      <c r="GH284" s="140"/>
      <c r="GI284" s="140"/>
      <c r="GJ284" s="140"/>
      <c r="GK284" s="140"/>
      <c r="GL284" s="140"/>
      <c r="GM284" s="140"/>
      <c r="GN284" s="140"/>
      <c r="GO284" s="140"/>
      <c r="GP284" s="140"/>
      <c r="GQ284" s="140"/>
      <c r="GR284" s="140"/>
      <c r="GS284" s="140"/>
      <c r="GT284" s="140"/>
      <c r="GU284" s="140"/>
      <c r="GV284" s="140"/>
      <c r="GW284" s="140"/>
      <c r="GX284" s="140"/>
      <c r="GY284" s="140"/>
      <c r="GZ284" s="140"/>
      <c r="HA284" s="140"/>
      <c r="HB284" s="140"/>
      <c r="HC284" s="140"/>
      <c r="HD284" s="140"/>
      <c r="HE284" s="140"/>
      <c r="HF284" s="140"/>
      <c r="HG284" s="140"/>
      <c r="HH284" s="140"/>
      <c r="HI284" s="140"/>
      <c r="HJ284" s="140"/>
      <c r="HK284" s="140"/>
      <c r="HL284" s="140"/>
      <c r="HM284" s="140"/>
      <c r="HN284" s="140"/>
      <c r="HO284" s="140"/>
      <c r="HP284" s="140"/>
      <c r="HQ284" s="140"/>
      <c r="HR284" s="140"/>
      <c r="HS284" s="140"/>
      <c r="HT284" s="140"/>
      <c r="HU284" s="140"/>
      <c r="HV284" s="140"/>
      <c r="HW284" s="140"/>
      <c r="HX284" s="140"/>
      <c r="HY284" s="140"/>
      <c r="HZ284" s="140"/>
      <c r="IA284" s="140"/>
      <c r="IB284" s="140"/>
      <c r="IC284" s="140"/>
      <c r="ID284" s="140"/>
      <c r="IE284" s="140"/>
      <c r="IF284" s="140"/>
      <c r="IG284" s="140"/>
      <c r="IH284" s="140"/>
      <c r="II284" s="140"/>
      <c r="IJ284" s="140"/>
      <c r="IK284" s="140"/>
      <c r="IL284" s="140"/>
      <c r="IM284" s="140"/>
      <c r="IN284" s="140"/>
      <c r="IO284" s="140"/>
      <c r="IP284" s="140"/>
      <c r="IQ284" s="140"/>
      <c r="IR284" s="140"/>
      <c r="IS284" s="140"/>
      <c r="IT284" s="140"/>
      <c r="IU284" s="140"/>
      <c r="IV284" s="140"/>
      <c r="IW284" s="140"/>
      <c r="IX284" s="140"/>
      <c r="IY284" s="140"/>
      <c r="IZ284" s="140"/>
      <c r="JA284" s="140"/>
      <c r="JB284" s="140"/>
      <c r="JC284" s="140"/>
      <c r="JD284" s="140"/>
      <c r="JE284" s="140"/>
      <c r="JF284" s="140"/>
      <c r="JG284" s="140"/>
      <c r="JH284" s="140"/>
      <c r="JI284" s="140"/>
      <c r="JJ284" s="140"/>
      <c r="JK284" s="140"/>
      <c r="JL284" s="140"/>
      <c r="JM284" s="140"/>
      <c r="JN284" s="140"/>
      <c r="JO284" s="140"/>
      <c r="JP284" s="140"/>
      <c r="JQ284" s="140"/>
      <c r="JR284" s="140"/>
      <c r="JS284" s="140"/>
      <c r="JT284" s="140"/>
      <c r="JU284" s="140"/>
      <c r="JV284" s="140"/>
      <c r="JW284" s="140"/>
      <c r="JX284" s="140"/>
      <c r="JY284" s="140"/>
      <c r="JZ284" s="140"/>
      <c r="KA284" s="140"/>
      <c r="KB284" s="140"/>
      <c r="KC284" s="140"/>
      <c r="KD284" s="140"/>
      <c r="KE284" s="140"/>
      <c r="KF284" s="140"/>
      <c r="KG284" s="140"/>
      <c r="KH284" s="140"/>
      <c r="KI284" s="140"/>
      <c r="KJ284" s="140"/>
      <c r="KK284" s="140"/>
      <c r="KL284" s="140"/>
      <c r="KM284" s="140"/>
      <c r="KN284" s="140"/>
      <c r="KO284" s="140"/>
      <c r="KP284" s="140"/>
      <c r="KQ284" s="140"/>
      <c r="KR284" s="140"/>
      <c r="KS284" s="140"/>
      <c r="KT284" s="140"/>
      <c r="KU284" s="140"/>
      <c r="KV284" s="140"/>
      <c r="KW284" s="140"/>
      <c r="KX284" s="140"/>
      <c r="KY284" s="140"/>
      <c r="KZ284" s="140"/>
      <c r="LA284" s="140"/>
      <c r="LB284" s="140"/>
      <c r="LC284" s="140"/>
      <c r="LD284" s="140"/>
      <c r="LE284" s="140"/>
      <c r="LF284" s="140"/>
      <c r="LG284" s="140"/>
      <c r="LH284" s="140"/>
      <c r="LI284" s="140"/>
      <c r="LJ284" s="140"/>
      <c r="LK284" s="140"/>
      <c r="LL284" s="140"/>
      <c r="LM284" s="140"/>
      <c r="LN284" s="140"/>
      <c r="LO284" s="140"/>
      <c r="LP284" s="140"/>
      <c r="LQ284" s="140"/>
      <c r="LR284" s="140"/>
      <c r="LS284" s="140"/>
      <c r="LT284" s="140"/>
      <c r="LU284" s="140"/>
      <c r="LV284" s="140"/>
      <c r="LW284" s="140"/>
      <c r="LX284" s="140"/>
      <c r="LY284" s="140"/>
      <c r="LZ284" s="140"/>
      <c r="MA284" s="140"/>
      <c r="MB284" s="140"/>
      <c r="MC284" s="140"/>
      <c r="MD284" s="140"/>
      <c r="ME284" s="140"/>
      <c r="MF284" s="140"/>
      <c r="MG284" s="140"/>
      <c r="MH284" s="140"/>
      <c r="MI284" s="140"/>
      <c r="MJ284" s="140"/>
      <c r="MK284" s="140"/>
      <c r="ML284" s="140"/>
    </row>
    <row r="285" spans="3:350" s="4" customFormat="1" ht="18" customHeight="1" x14ac:dyDescent="0.3">
      <c r="H285" s="140"/>
      <c r="I285" s="140"/>
      <c r="J285" s="140"/>
      <c r="K285" s="140"/>
      <c r="L285" s="140"/>
      <c r="M285" s="140"/>
      <c r="N285" s="140"/>
      <c r="O285" s="140"/>
      <c r="P285" s="140"/>
      <c r="Q285" s="140"/>
      <c r="R285" s="140"/>
      <c r="S285" s="140"/>
      <c r="T285" s="140"/>
      <c r="U285" s="140"/>
      <c r="V285" s="140"/>
      <c r="W285" s="140"/>
      <c r="X285" s="140"/>
      <c r="Y285" s="140"/>
      <c r="Z285" s="140"/>
      <c r="AA285" s="140"/>
      <c r="AB285" s="140"/>
      <c r="AC285" s="140"/>
      <c r="AD285" s="140"/>
      <c r="AE285" s="140"/>
      <c r="AF285" s="140"/>
      <c r="AG285" s="140"/>
      <c r="AH285" s="140"/>
      <c r="AI285" s="140"/>
      <c r="AJ285" s="140"/>
      <c r="AK285" s="140"/>
      <c r="AL285" s="140"/>
      <c r="AM285" s="140"/>
      <c r="AN285" s="140"/>
      <c r="AO285" s="140"/>
      <c r="AP285" s="140"/>
      <c r="AQ285" s="140"/>
      <c r="AR285" s="140"/>
      <c r="AS285" s="140"/>
      <c r="AT285" s="140"/>
      <c r="AU285" s="140"/>
      <c r="AV285" s="140"/>
      <c r="AW285" s="140"/>
      <c r="AX285" s="140"/>
      <c r="AY285" s="140"/>
      <c r="AZ285" s="140"/>
      <c r="BA285" s="140"/>
      <c r="BB285" s="140"/>
      <c r="BC285" s="140"/>
      <c r="BD285" s="140"/>
      <c r="BE285" s="140"/>
      <c r="BF285" s="140"/>
      <c r="BG285" s="140"/>
      <c r="BH285" s="140"/>
      <c r="BI285" s="140"/>
      <c r="BJ285" s="140"/>
      <c r="BK285" s="140"/>
      <c r="BL285" s="140"/>
      <c r="BM285" s="140"/>
      <c r="BN285" s="140"/>
      <c r="BO285" s="140"/>
      <c r="BP285" s="140"/>
      <c r="BQ285" s="140"/>
      <c r="BR285" s="140"/>
      <c r="BS285" s="140"/>
      <c r="BT285" s="140"/>
      <c r="BU285" s="140"/>
      <c r="BV285" s="140"/>
      <c r="BW285" s="140"/>
      <c r="BX285" s="140"/>
      <c r="BY285" s="140"/>
      <c r="BZ285" s="140"/>
      <c r="CA285" s="140"/>
      <c r="CB285" s="140"/>
      <c r="CC285" s="140"/>
      <c r="CD285" s="140"/>
      <c r="CE285" s="140"/>
      <c r="CF285" s="140"/>
      <c r="CG285" s="140"/>
      <c r="CH285" s="140"/>
      <c r="CI285" s="140"/>
      <c r="CJ285" s="140"/>
      <c r="CK285" s="140"/>
      <c r="CL285" s="140"/>
      <c r="CM285" s="140"/>
      <c r="CN285" s="140"/>
      <c r="FJ285" s="140"/>
      <c r="FK285" s="140"/>
      <c r="FL285" s="140"/>
      <c r="FM285" s="140"/>
      <c r="FN285" s="140"/>
      <c r="FO285" s="140"/>
      <c r="FP285" s="140"/>
      <c r="FQ285" s="140"/>
      <c r="FR285" s="140"/>
      <c r="FS285" s="140"/>
      <c r="FT285" s="140"/>
      <c r="FU285" s="140"/>
      <c r="FV285" s="140"/>
      <c r="FW285" s="140"/>
      <c r="FX285" s="140"/>
      <c r="FY285" s="140"/>
      <c r="FZ285" s="140"/>
      <c r="GA285" s="140"/>
      <c r="GB285" s="140"/>
      <c r="GC285" s="140"/>
      <c r="GD285" s="140"/>
      <c r="GE285" s="140"/>
      <c r="GF285" s="140"/>
      <c r="GG285" s="140"/>
      <c r="GH285" s="140"/>
      <c r="GI285" s="140"/>
      <c r="GJ285" s="140"/>
      <c r="GK285" s="140"/>
      <c r="GL285" s="140"/>
      <c r="GM285" s="140"/>
      <c r="GN285" s="140"/>
      <c r="GO285" s="140"/>
      <c r="GP285" s="140"/>
      <c r="GQ285" s="140"/>
      <c r="GR285" s="140"/>
      <c r="GS285" s="140"/>
      <c r="GT285" s="140"/>
      <c r="GU285" s="140"/>
      <c r="GV285" s="140"/>
      <c r="GW285" s="140"/>
      <c r="GX285" s="140"/>
      <c r="GY285" s="140"/>
      <c r="GZ285" s="140"/>
      <c r="HA285" s="140"/>
      <c r="HB285" s="140"/>
      <c r="HC285" s="140"/>
      <c r="HD285" s="140"/>
      <c r="HE285" s="140"/>
      <c r="HF285" s="140"/>
      <c r="HG285" s="140"/>
      <c r="HH285" s="140"/>
      <c r="HI285" s="140"/>
      <c r="HJ285" s="140"/>
      <c r="HK285" s="140"/>
      <c r="HL285" s="140"/>
      <c r="HM285" s="140"/>
      <c r="HN285" s="140"/>
      <c r="HO285" s="140"/>
      <c r="HP285" s="140"/>
      <c r="HQ285" s="140"/>
      <c r="HR285" s="140"/>
      <c r="HS285" s="140"/>
      <c r="HT285" s="140"/>
      <c r="HU285" s="140"/>
      <c r="HV285" s="140"/>
      <c r="HW285" s="140"/>
      <c r="HX285" s="140"/>
      <c r="HY285" s="140"/>
      <c r="HZ285" s="140"/>
      <c r="IA285" s="140"/>
      <c r="IB285" s="140"/>
      <c r="IC285" s="140"/>
      <c r="ID285" s="140"/>
      <c r="IE285" s="140"/>
      <c r="IF285" s="140"/>
      <c r="IG285" s="140"/>
      <c r="IH285" s="140"/>
      <c r="II285" s="140"/>
      <c r="IJ285" s="140"/>
      <c r="IK285" s="140"/>
      <c r="IL285" s="140"/>
      <c r="IM285" s="140"/>
      <c r="IN285" s="140"/>
      <c r="IO285" s="140"/>
      <c r="IP285" s="140"/>
      <c r="IQ285" s="140"/>
      <c r="IR285" s="140"/>
      <c r="IS285" s="140"/>
      <c r="IT285" s="140"/>
      <c r="IU285" s="140"/>
      <c r="IV285" s="140"/>
      <c r="IW285" s="140"/>
      <c r="IX285" s="140"/>
      <c r="IY285" s="140"/>
      <c r="IZ285" s="140"/>
      <c r="JA285" s="140"/>
      <c r="JB285" s="140"/>
      <c r="JC285" s="140"/>
      <c r="JD285" s="140"/>
      <c r="JE285" s="140"/>
      <c r="JF285" s="140"/>
      <c r="JG285" s="140"/>
      <c r="JH285" s="140"/>
      <c r="JI285" s="140"/>
      <c r="JJ285" s="140"/>
      <c r="JK285" s="140"/>
      <c r="JL285" s="140"/>
      <c r="JM285" s="140"/>
      <c r="JN285" s="140"/>
      <c r="JO285" s="140"/>
      <c r="JP285" s="140"/>
      <c r="JQ285" s="140"/>
      <c r="JR285" s="140"/>
      <c r="JS285" s="140"/>
      <c r="JT285" s="140"/>
      <c r="JU285" s="140"/>
      <c r="JV285" s="140"/>
      <c r="JW285" s="140"/>
      <c r="JX285" s="140"/>
      <c r="JY285" s="140"/>
      <c r="JZ285" s="140"/>
      <c r="KA285" s="140"/>
      <c r="KB285" s="140"/>
      <c r="KC285" s="140"/>
      <c r="KD285" s="140"/>
      <c r="KE285" s="140"/>
      <c r="KF285" s="140"/>
      <c r="KG285" s="140"/>
      <c r="KH285" s="140"/>
      <c r="KI285" s="140"/>
      <c r="KJ285" s="140"/>
      <c r="KK285" s="140"/>
      <c r="KL285" s="140"/>
      <c r="KM285" s="140"/>
      <c r="KN285" s="140"/>
      <c r="KO285" s="140"/>
      <c r="KP285" s="140"/>
      <c r="KQ285" s="140"/>
      <c r="KR285" s="140"/>
      <c r="KS285" s="140"/>
      <c r="KT285" s="140"/>
      <c r="KU285" s="140"/>
      <c r="KV285" s="140"/>
      <c r="KW285" s="140"/>
      <c r="KX285" s="140"/>
      <c r="KY285" s="140"/>
      <c r="KZ285" s="140"/>
      <c r="LA285" s="140"/>
      <c r="LB285" s="140"/>
      <c r="LC285" s="140"/>
      <c r="LD285" s="140"/>
      <c r="LE285" s="140"/>
      <c r="LF285" s="140"/>
      <c r="LG285" s="140"/>
      <c r="LH285" s="140"/>
      <c r="LI285" s="140"/>
      <c r="LJ285" s="140"/>
      <c r="LK285" s="140"/>
      <c r="LL285" s="140"/>
      <c r="LM285" s="140"/>
      <c r="LN285" s="140"/>
      <c r="LO285" s="140"/>
      <c r="LP285" s="140"/>
      <c r="LQ285" s="140"/>
      <c r="LR285" s="140"/>
      <c r="LS285" s="140"/>
      <c r="LT285" s="140"/>
      <c r="LU285" s="140"/>
      <c r="LV285" s="140"/>
      <c r="LW285" s="140"/>
      <c r="LX285" s="140"/>
      <c r="LY285" s="140"/>
      <c r="LZ285" s="140"/>
      <c r="MA285" s="140"/>
      <c r="MB285" s="140"/>
      <c r="MC285" s="140"/>
      <c r="MD285" s="140"/>
      <c r="ME285" s="140"/>
      <c r="MF285" s="140"/>
      <c r="MG285" s="140"/>
      <c r="MH285" s="140"/>
      <c r="MI285" s="140"/>
      <c r="MJ285" s="140"/>
      <c r="MK285" s="140"/>
      <c r="ML285" s="140"/>
    </row>
    <row r="286" spans="3:350" s="4" customFormat="1" ht="18" customHeight="1" x14ac:dyDescent="0.3">
      <c r="H286" s="140"/>
      <c r="I286" s="140"/>
      <c r="J286" s="140"/>
      <c r="K286" s="140"/>
      <c r="L286" s="140"/>
      <c r="M286" s="140"/>
      <c r="N286" s="140"/>
      <c r="O286" s="140"/>
      <c r="P286" s="140"/>
      <c r="Q286" s="140"/>
      <c r="R286" s="140"/>
      <c r="S286" s="140"/>
      <c r="T286" s="140"/>
      <c r="U286" s="140"/>
      <c r="V286" s="140"/>
      <c r="W286" s="140"/>
      <c r="X286" s="140"/>
      <c r="Y286" s="140"/>
      <c r="Z286" s="140"/>
      <c r="AA286" s="140"/>
      <c r="AB286" s="140"/>
      <c r="AC286" s="140"/>
      <c r="AD286" s="140"/>
      <c r="AE286" s="140"/>
      <c r="AF286" s="140"/>
      <c r="AG286" s="140"/>
      <c r="AH286" s="140"/>
      <c r="AI286" s="140"/>
      <c r="AJ286" s="140"/>
      <c r="AK286" s="140"/>
      <c r="AL286" s="140"/>
      <c r="AM286" s="140"/>
      <c r="AN286" s="140"/>
      <c r="AO286" s="140"/>
      <c r="AP286" s="140"/>
      <c r="AQ286" s="140"/>
      <c r="AR286" s="140"/>
      <c r="AS286" s="140"/>
      <c r="AT286" s="140"/>
      <c r="AU286" s="140"/>
      <c r="AV286" s="140"/>
      <c r="AW286" s="140"/>
      <c r="AX286" s="140"/>
      <c r="AY286" s="140"/>
      <c r="AZ286" s="140"/>
      <c r="BA286" s="140"/>
      <c r="BB286" s="140"/>
      <c r="BC286" s="140"/>
      <c r="BD286" s="140"/>
      <c r="BE286" s="140"/>
      <c r="BF286" s="140"/>
      <c r="BG286" s="140"/>
      <c r="BH286" s="140"/>
      <c r="BI286" s="140"/>
      <c r="BJ286" s="140"/>
      <c r="BK286" s="140"/>
      <c r="BL286" s="140"/>
      <c r="BM286" s="140"/>
      <c r="BN286" s="140"/>
      <c r="BO286" s="140"/>
      <c r="BP286" s="140"/>
      <c r="BQ286" s="140"/>
      <c r="BR286" s="140"/>
      <c r="BS286" s="140"/>
      <c r="BT286" s="140"/>
      <c r="BU286" s="140"/>
      <c r="BV286" s="140"/>
      <c r="BW286" s="140"/>
      <c r="BX286" s="140"/>
      <c r="BY286" s="140"/>
      <c r="BZ286" s="140"/>
      <c r="CA286" s="140"/>
      <c r="CB286" s="140"/>
      <c r="CC286" s="140"/>
      <c r="CD286" s="140"/>
      <c r="CE286" s="140"/>
      <c r="CF286" s="140"/>
      <c r="CG286" s="140"/>
      <c r="CH286" s="140"/>
      <c r="CI286" s="140"/>
      <c r="CJ286" s="140"/>
      <c r="CK286" s="140"/>
      <c r="CL286" s="140"/>
      <c r="CM286" s="140"/>
      <c r="CN286" s="140"/>
      <c r="FJ286" s="140"/>
      <c r="FK286" s="140"/>
      <c r="FL286" s="140"/>
      <c r="FM286" s="140"/>
      <c r="FN286" s="140"/>
      <c r="FO286" s="140"/>
      <c r="FP286" s="140"/>
      <c r="FQ286" s="140"/>
      <c r="FR286" s="140"/>
      <c r="FS286" s="140"/>
      <c r="FT286" s="140"/>
      <c r="FU286" s="140"/>
      <c r="FV286" s="140"/>
      <c r="FW286" s="140"/>
      <c r="FX286" s="140"/>
      <c r="FY286" s="140"/>
      <c r="FZ286" s="140"/>
      <c r="GA286" s="140"/>
      <c r="GB286" s="140"/>
      <c r="GC286" s="140"/>
      <c r="GD286" s="140"/>
      <c r="GE286" s="140"/>
      <c r="GF286" s="140"/>
      <c r="GG286" s="140"/>
      <c r="GH286" s="140"/>
      <c r="GI286" s="140"/>
      <c r="GJ286" s="140"/>
      <c r="GK286" s="140"/>
      <c r="GL286" s="140"/>
      <c r="GM286" s="140"/>
      <c r="GN286" s="140"/>
      <c r="GO286" s="140"/>
      <c r="GP286" s="140"/>
      <c r="GQ286" s="140"/>
      <c r="GR286" s="140"/>
      <c r="GS286" s="140"/>
      <c r="GT286" s="140"/>
      <c r="GU286" s="140"/>
      <c r="GV286" s="140"/>
      <c r="GW286" s="140"/>
      <c r="GX286" s="140"/>
      <c r="GY286" s="140"/>
      <c r="GZ286" s="140"/>
      <c r="HA286" s="140"/>
      <c r="HB286" s="140"/>
      <c r="HC286" s="140"/>
      <c r="HD286" s="140"/>
      <c r="HE286" s="140"/>
      <c r="HF286" s="140"/>
      <c r="HG286" s="140"/>
      <c r="HH286" s="140"/>
      <c r="HI286" s="140"/>
      <c r="HJ286" s="140"/>
      <c r="HK286" s="140"/>
      <c r="HL286" s="140"/>
      <c r="HM286" s="140"/>
      <c r="HN286" s="140"/>
      <c r="HO286" s="140"/>
      <c r="HP286" s="140"/>
      <c r="HQ286" s="140"/>
      <c r="HR286" s="140"/>
      <c r="HS286" s="140"/>
      <c r="HT286" s="140"/>
      <c r="HU286" s="140"/>
      <c r="HV286" s="140"/>
      <c r="HW286" s="140"/>
      <c r="HX286" s="140"/>
      <c r="HY286" s="140"/>
      <c r="HZ286" s="140"/>
      <c r="IA286" s="140"/>
      <c r="IB286" s="140"/>
      <c r="IC286" s="140"/>
      <c r="ID286" s="140"/>
      <c r="IE286" s="140"/>
      <c r="IF286" s="140"/>
      <c r="IG286" s="140"/>
      <c r="IH286" s="140"/>
      <c r="II286" s="140"/>
      <c r="IJ286" s="140"/>
      <c r="IK286" s="140"/>
      <c r="IL286" s="140"/>
      <c r="IM286" s="140"/>
      <c r="IN286" s="140"/>
      <c r="IO286" s="140"/>
      <c r="IP286" s="140"/>
      <c r="IQ286" s="140"/>
      <c r="IR286" s="140"/>
      <c r="IS286" s="140"/>
      <c r="IT286" s="140"/>
      <c r="IU286" s="140"/>
      <c r="IV286" s="140"/>
      <c r="IW286" s="140"/>
      <c r="IX286" s="140"/>
      <c r="IY286" s="140"/>
      <c r="IZ286" s="140"/>
      <c r="JA286" s="140"/>
      <c r="JB286" s="140"/>
      <c r="JC286" s="140"/>
      <c r="JD286" s="140"/>
      <c r="JE286" s="140"/>
      <c r="JF286" s="140"/>
      <c r="JG286" s="140"/>
      <c r="JH286" s="140"/>
      <c r="JI286" s="140"/>
      <c r="JJ286" s="140"/>
      <c r="JK286" s="140"/>
      <c r="JL286" s="140"/>
      <c r="JM286" s="140"/>
      <c r="JN286" s="140"/>
      <c r="JO286" s="140"/>
      <c r="JP286" s="140"/>
      <c r="JQ286" s="140"/>
      <c r="JR286" s="140"/>
      <c r="JS286" s="140"/>
      <c r="JT286" s="140"/>
      <c r="JU286" s="140"/>
      <c r="JV286" s="140"/>
      <c r="JW286" s="140"/>
      <c r="JX286" s="140"/>
      <c r="JY286" s="140"/>
      <c r="JZ286" s="140"/>
      <c r="KA286" s="140"/>
      <c r="KB286" s="140"/>
      <c r="KC286" s="140"/>
      <c r="KD286" s="140"/>
      <c r="KE286" s="140"/>
      <c r="KF286" s="140"/>
      <c r="KG286" s="140"/>
      <c r="KH286" s="140"/>
      <c r="KI286" s="140"/>
      <c r="KJ286" s="140"/>
      <c r="KK286" s="140"/>
      <c r="KL286" s="140"/>
      <c r="KM286" s="140"/>
      <c r="KN286" s="140"/>
      <c r="KO286" s="140"/>
      <c r="KP286" s="140"/>
      <c r="KQ286" s="140"/>
      <c r="KR286" s="140"/>
      <c r="KS286" s="140"/>
      <c r="KT286" s="140"/>
      <c r="KU286" s="140"/>
      <c r="KV286" s="140"/>
      <c r="KW286" s="140"/>
      <c r="KX286" s="140"/>
      <c r="KY286" s="140"/>
      <c r="KZ286" s="140"/>
      <c r="LA286" s="140"/>
      <c r="LB286" s="140"/>
      <c r="LC286" s="140"/>
      <c r="LD286" s="140"/>
      <c r="LE286" s="140"/>
      <c r="LF286" s="140"/>
      <c r="LG286" s="140"/>
      <c r="LH286" s="140"/>
      <c r="LI286" s="140"/>
      <c r="LJ286" s="140"/>
      <c r="LK286" s="140"/>
      <c r="LL286" s="140"/>
      <c r="LM286" s="140"/>
      <c r="LN286" s="140"/>
      <c r="LO286" s="140"/>
      <c r="LP286" s="140"/>
      <c r="LQ286" s="140"/>
      <c r="LR286" s="140"/>
      <c r="LS286" s="140"/>
      <c r="LT286" s="140"/>
      <c r="LU286" s="140"/>
      <c r="LV286" s="140"/>
      <c r="LW286" s="140"/>
      <c r="LX286" s="140"/>
      <c r="LY286" s="140"/>
      <c r="LZ286" s="140"/>
      <c r="MA286" s="140"/>
      <c r="MB286" s="140"/>
      <c r="MC286" s="140"/>
      <c r="MD286" s="140"/>
      <c r="ME286" s="140"/>
      <c r="MF286" s="140"/>
      <c r="MG286" s="140"/>
      <c r="MH286" s="140"/>
      <c r="MI286" s="140"/>
      <c r="MJ286" s="140"/>
      <c r="MK286" s="140"/>
      <c r="ML286" s="140"/>
    </row>
    <row r="287" spans="3:350" s="4" customFormat="1" ht="18" customHeight="1" x14ac:dyDescent="0.3">
      <c r="H287" s="140"/>
      <c r="I287" s="140"/>
      <c r="J287" s="140"/>
      <c r="K287" s="140"/>
      <c r="L287" s="140"/>
      <c r="M287" s="140"/>
      <c r="N287" s="140"/>
      <c r="O287" s="140"/>
      <c r="P287" s="140"/>
      <c r="Q287" s="140"/>
      <c r="R287" s="140"/>
      <c r="S287" s="140"/>
      <c r="T287" s="140"/>
      <c r="U287" s="140"/>
      <c r="V287" s="140"/>
      <c r="W287" s="140"/>
      <c r="X287" s="140"/>
      <c r="Y287" s="140"/>
      <c r="Z287" s="140"/>
      <c r="AA287" s="140"/>
      <c r="AB287" s="140"/>
      <c r="AC287" s="140"/>
      <c r="AD287" s="140"/>
      <c r="AE287" s="140"/>
      <c r="AF287" s="140"/>
      <c r="AG287" s="140"/>
      <c r="AH287" s="140"/>
      <c r="AI287" s="140"/>
      <c r="AJ287" s="140"/>
      <c r="AK287" s="140"/>
      <c r="AL287" s="140"/>
      <c r="AM287" s="140"/>
      <c r="AN287" s="140"/>
      <c r="AO287" s="140"/>
      <c r="AP287" s="140"/>
      <c r="AQ287" s="140"/>
      <c r="AR287" s="140"/>
      <c r="AS287" s="140"/>
      <c r="AT287" s="140"/>
      <c r="AU287" s="140"/>
      <c r="AV287" s="140"/>
      <c r="AW287" s="140"/>
      <c r="AX287" s="140"/>
      <c r="AY287" s="140"/>
      <c r="AZ287" s="140"/>
      <c r="BA287" s="140"/>
      <c r="BB287" s="140"/>
      <c r="BC287" s="140"/>
      <c r="BD287" s="140"/>
      <c r="BE287" s="140"/>
      <c r="BF287" s="140"/>
      <c r="BG287" s="140"/>
      <c r="BH287" s="140"/>
      <c r="BI287" s="140"/>
      <c r="BJ287" s="140"/>
      <c r="BK287" s="140"/>
      <c r="BL287" s="140"/>
      <c r="BM287" s="140"/>
      <c r="BN287" s="140"/>
      <c r="BO287" s="140"/>
      <c r="BP287" s="140"/>
      <c r="BQ287" s="140"/>
      <c r="BR287" s="140"/>
      <c r="BS287" s="140"/>
      <c r="BT287" s="140"/>
      <c r="BU287" s="140"/>
      <c r="BV287" s="140"/>
      <c r="BW287" s="140"/>
      <c r="BX287" s="140"/>
      <c r="BY287" s="140"/>
      <c r="BZ287" s="140"/>
      <c r="CA287" s="140"/>
      <c r="CB287" s="140"/>
      <c r="CC287" s="140"/>
      <c r="CD287" s="140"/>
      <c r="CE287" s="140"/>
      <c r="CF287" s="140"/>
      <c r="CG287" s="140"/>
      <c r="CH287" s="140"/>
      <c r="CI287" s="140"/>
      <c r="CJ287" s="140"/>
      <c r="CK287" s="140"/>
      <c r="CL287" s="140"/>
      <c r="CM287" s="140"/>
      <c r="CN287" s="140"/>
      <c r="FJ287" s="140"/>
      <c r="FK287" s="140"/>
      <c r="FL287" s="140"/>
      <c r="FM287" s="140"/>
      <c r="FN287" s="140"/>
      <c r="FO287" s="140"/>
      <c r="FP287" s="140"/>
      <c r="FQ287" s="140"/>
      <c r="FR287" s="140"/>
      <c r="FS287" s="140"/>
      <c r="FT287" s="140"/>
      <c r="FU287" s="140"/>
      <c r="FV287" s="140"/>
      <c r="FW287" s="140"/>
      <c r="FX287" s="140"/>
      <c r="FY287" s="140"/>
      <c r="FZ287" s="140"/>
      <c r="GA287" s="140"/>
      <c r="GB287" s="140"/>
      <c r="GC287" s="140"/>
      <c r="GD287" s="140"/>
      <c r="GE287" s="140"/>
      <c r="GF287" s="140"/>
      <c r="GG287" s="140"/>
      <c r="GH287" s="140"/>
      <c r="GI287" s="140"/>
      <c r="GJ287" s="140"/>
      <c r="GK287" s="140"/>
      <c r="GL287" s="140"/>
      <c r="GM287" s="140"/>
      <c r="GN287" s="140"/>
      <c r="GO287" s="140"/>
      <c r="GP287" s="140"/>
      <c r="GQ287" s="140"/>
      <c r="GR287" s="140"/>
      <c r="GS287" s="140"/>
      <c r="GT287" s="140"/>
      <c r="GU287" s="140"/>
      <c r="GV287" s="140"/>
      <c r="GW287" s="140"/>
      <c r="GX287" s="140"/>
      <c r="GY287" s="140"/>
      <c r="GZ287" s="140"/>
      <c r="HA287" s="140"/>
      <c r="HB287" s="140"/>
      <c r="HC287" s="140"/>
      <c r="HD287" s="140"/>
      <c r="HE287" s="140"/>
      <c r="HF287" s="140"/>
      <c r="HG287" s="140"/>
      <c r="HH287" s="140"/>
      <c r="HI287" s="140"/>
      <c r="HJ287" s="140"/>
      <c r="HK287" s="140"/>
      <c r="HL287" s="140"/>
      <c r="HM287" s="140"/>
      <c r="HN287" s="140"/>
      <c r="HO287" s="140"/>
      <c r="HP287" s="140"/>
      <c r="HQ287" s="140"/>
      <c r="HR287" s="140"/>
      <c r="HS287" s="140"/>
      <c r="HT287" s="140"/>
      <c r="HU287" s="140"/>
      <c r="HV287" s="140"/>
      <c r="HW287" s="140"/>
      <c r="HX287" s="140"/>
      <c r="HY287" s="140"/>
      <c r="HZ287" s="140"/>
      <c r="IA287" s="140"/>
      <c r="IB287" s="140"/>
      <c r="IC287" s="140"/>
      <c r="ID287" s="140"/>
      <c r="IE287" s="140"/>
      <c r="IF287" s="140"/>
      <c r="IG287" s="140"/>
      <c r="IH287" s="140"/>
      <c r="II287" s="140"/>
      <c r="IJ287" s="140"/>
      <c r="IK287" s="140"/>
      <c r="IL287" s="140"/>
      <c r="IM287" s="140"/>
      <c r="IN287" s="140"/>
      <c r="IO287" s="140"/>
      <c r="IP287" s="140"/>
      <c r="IQ287" s="140"/>
      <c r="IR287" s="140"/>
      <c r="IS287" s="140"/>
      <c r="IT287" s="140"/>
      <c r="IU287" s="140"/>
      <c r="IV287" s="140"/>
      <c r="IW287" s="140"/>
      <c r="IX287" s="140"/>
      <c r="IY287" s="140"/>
      <c r="IZ287" s="140"/>
      <c r="JA287" s="140"/>
      <c r="JB287" s="140"/>
      <c r="JC287" s="140"/>
      <c r="JD287" s="140"/>
      <c r="JE287" s="140"/>
      <c r="JF287" s="140"/>
      <c r="JG287" s="140"/>
      <c r="JH287" s="140"/>
      <c r="JI287" s="140"/>
      <c r="JJ287" s="140"/>
      <c r="JK287" s="140"/>
      <c r="JL287" s="140"/>
      <c r="JM287" s="140"/>
      <c r="JN287" s="140"/>
      <c r="JO287" s="140"/>
      <c r="JP287" s="140"/>
      <c r="JQ287" s="140"/>
      <c r="JR287" s="140"/>
      <c r="JS287" s="140"/>
      <c r="JT287" s="140"/>
      <c r="JU287" s="140"/>
      <c r="JV287" s="140"/>
      <c r="JW287" s="140"/>
      <c r="JX287" s="140"/>
      <c r="JY287" s="140"/>
      <c r="JZ287" s="140"/>
      <c r="KA287" s="140"/>
      <c r="KB287" s="140"/>
      <c r="KC287" s="140"/>
      <c r="KD287" s="140"/>
      <c r="KE287" s="140"/>
      <c r="KF287" s="140"/>
      <c r="KG287" s="140"/>
      <c r="KH287" s="140"/>
      <c r="KI287" s="140"/>
      <c r="KJ287" s="140"/>
      <c r="KK287" s="140"/>
      <c r="KL287" s="140"/>
      <c r="KM287" s="140"/>
      <c r="KN287" s="140"/>
      <c r="KO287" s="140"/>
      <c r="KP287" s="140"/>
      <c r="KQ287" s="140"/>
      <c r="KR287" s="140"/>
      <c r="KS287" s="140"/>
      <c r="KT287" s="140"/>
      <c r="KU287" s="140"/>
      <c r="KV287" s="140"/>
      <c r="KW287" s="140"/>
      <c r="KX287" s="140"/>
      <c r="KY287" s="140"/>
      <c r="KZ287" s="140"/>
      <c r="LA287" s="140"/>
      <c r="LB287" s="140"/>
      <c r="LC287" s="140"/>
      <c r="LD287" s="140"/>
      <c r="LE287" s="140"/>
      <c r="LF287" s="140"/>
      <c r="LG287" s="140"/>
      <c r="LH287" s="140"/>
      <c r="LI287" s="140"/>
      <c r="LJ287" s="140"/>
      <c r="LK287" s="140"/>
      <c r="LL287" s="140"/>
      <c r="LM287" s="140"/>
      <c r="LN287" s="140"/>
      <c r="LO287" s="140"/>
      <c r="LP287" s="140"/>
      <c r="LQ287" s="140"/>
      <c r="LR287" s="140"/>
      <c r="LS287" s="140"/>
      <c r="LT287" s="140"/>
      <c r="LU287" s="140"/>
      <c r="LV287" s="140"/>
      <c r="LW287" s="140"/>
      <c r="LX287" s="140"/>
      <c r="LY287" s="140"/>
      <c r="LZ287" s="140"/>
      <c r="MA287" s="140"/>
      <c r="MB287" s="140"/>
      <c r="MC287" s="140"/>
      <c r="MD287" s="140"/>
      <c r="ME287" s="140"/>
      <c r="MF287" s="140"/>
      <c r="MG287" s="140"/>
      <c r="MH287" s="140"/>
      <c r="MI287" s="140"/>
      <c r="MJ287" s="140"/>
      <c r="MK287" s="140"/>
      <c r="ML287" s="140"/>
    </row>
    <row r="288" spans="3:350" s="4" customFormat="1" ht="18" customHeight="1" x14ac:dyDescent="0.3">
      <c r="H288" s="140"/>
      <c r="I288" s="140"/>
      <c r="J288" s="140"/>
      <c r="K288" s="140"/>
      <c r="L288" s="140"/>
      <c r="M288" s="140"/>
      <c r="N288" s="140"/>
      <c r="O288" s="140"/>
      <c r="P288" s="140"/>
      <c r="Q288" s="140"/>
      <c r="R288" s="140"/>
      <c r="S288" s="140"/>
      <c r="T288" s="140"/>
      <c r="U288" s="140"/>
      <c r="V288" s="140"/>
      <c r="W288" s="140"/>
      <c r="X288" s="140"/>
      <c r="Y288" s="140"/>
      <c r="Z288" s="140"/>
      <c r="AA288" s="140"/>
      <c r="AB288" s="140"/>
      <c r="AC288" s="140"/>
      <c r="AD288" s="140"/>
      <c r="AE288" s="140"/>
      <c r="AF288" s="140"/>
      <c r="AG288" s="140"/>
      <c r="AH288" s="140"/>
      <c r="AI288" s="140"/>
      <c r="AJ288" s="140"/>
      <c r="AK288" s="140"/>
      <c r="AL288" s="140"/>
      <c r="AM288" s="140"/>
      <c r="AN288" s="140"/>
      <c r="AO288" s="140"/>
      <c r="AP288" s="140"/>
      <c r="AQ288" s="140"/>
      <c r="AR288" s="140"/>
      <c r="AS288" s="140"/>
      <c r="AT288" s="140"/>
      <c r="AU288" s="140"/>
      <c r="AV288" s="140"/>
      <c r="AW288" s="140"/>
      <c r="AX288" s="140"/>
      <c r="AY288" s="140"/>
      <c r="AZ288" s="140"/>
      <c r="BA288" s="140"/>
      <c r="BB288" s="140"/>
      <c r="BC288" s="140"/>
      <c r="BD288" s="140"/>
      <c r="BE288" s="140"/>
      <c r="BF288" s="140"/>
      <c r="BG288" s="140"/>
      <c r="BH288" s="140"/>
      <c r="BI288" s="140"/>
      <c r="BJ288" s="140"/>
      <c r="BK288" s="140"/>
      <c r="BL288" s="140"/>
      <c r="BM288" s="140"/>
      <c r="BN288" s="140"/>
      <c r="BO288" s="140"/>
      <c r="BP288" s="140"/>
      <c r="BQ288" s="140"/>
      <c r="BR288" s="140"/>
      <c r="BS288" s="140"/>
      <c r="BT288" s="140"/>
      <c r="BU288" s="140"/>
      <c r="BV288" s="140"/>
      <c r="BW288" s="140"/>
      <c r="BX288" s="140"/>
      <c r="BY288" s="140"/>
      <c r="BZ288" s="140"/>
      <c r="CA288" s="140"/>
      <c r="CB288" s="140"/>
      <c r="CC288" s="140"/>
      <c r="CD288" s="140"/>
      <c r="CE288" s="140"/>
      <c r="CF288" s="140"/>
      <c r="CG288" s="140"/>
      <c r="CH288" s="140"/>
      <c r="CI288" s="140"/>
      <c r="CJ288" s="140"/>
      <c r="CK288" s="140"/>
      <c r="CL288" s="140"/>
      <c r="CM288" s="140"/>
      <c r="CN288" s="140"/>
      <c r="FJ288" s="140"/>
      <c r="FK288" s="140"/>
      <c r="FL288" s="140"/>
      <c r="FM288" s="140"/>
      <c r="FN288" s="140"/>
      <c r="FO288" s="140"/>
      <c r="FP288" s="140"/>
      <c r="FQ288" s="140"/>
      <c r="FR288" s="140"/>
      <c r="FS288" s="140"/>
      <c r="FT288" s="140"/>
      <c r="FU288" s="140"/>
      <c r="FV288" s="140"/>
      <c r="FW288" s="140"/>
      <c r="FX288" s="140"/>
      <c r="FY288" s="140"/>
      <c r="FZ288" s="140"/>
      <c r="GA288" s="140"/>
      <c r="GB288" s="140"/>
      <c r="GC288" s="140"/>
      <c r="GD288" s="140"/>
      <c r="GE288" s="140"/>
      <c r="GF288" s="140"/>
      <c r="GG288" s="140"/>
      <c r="GH288" s="140"/>
      <c r="GI288" s="140"/>
      <c r="GJ288" s="140"/>
      <c r="GK288" s="140"/>
      <c r="GL288" s="140"/>
      <c r="GM288" s="140"/>
      <c r="GN288" s="140"/>
      <c r="GO288" s="140"/>
      <c r="GP288" s="140"/>
      <c r="GQ288" s="140"/>
      <c r="GR288" s="140"/>
      <c r="GS288" s="140"/>
      <c r="GT288" s="140"/>
      <c r="GU288" s="140"/>
      <c r="GV288" s="140"/>
      <c r="GW288" s="140"/>
      <c r="GX288" s="140"/>
      <c r="GY288" s="140"/>
      <c r="GZ288" s="140"/>
      <c r="HA288" s="140"/>
      <c r="HB288" s="140"/>
      <c r="HC288" s="140"/>
      <c r="HD288" s="140"/>
      <c r="HE288" s="140"/>
      <c r="HF288" s="140"/>
      <c r="HG288" s="140"/>
      <c r="HH288" s="140"/>
      <c r="HI288" s="140"/>
      <c r="HJ288" s="140"/>
      <c r="HK288" s="140"/>
      <c r="HL288" s="140"/>
      <c r="HM288" s="140"/>
      <c r="HN288" s="140"/>
      <c r="HO288" s="140"/>
      <c r="HP288" s="140"/>
      <c r="HQ288" s="140"/>
      <c r="HR288" s="140"/>
      <c r="HS288" s="140"/>
      <c r="HT288" s="140"/>
      <c r="HU288" s="140"/>
      <c r="HV288" s="140"/>
      <c r="HW288" s="140"/>
      <c r="HX288" s="140"/>
      <c r="HY288" s="140"/>
      <c r="HZ288" s="140"/>
      <c r="IA288" s="140"/>
      <c r="IB288" s="140"/>
      <c r="IC288" s="140"/>
      <c r="ID288" s="140"/>
      <c r="IE288" s="140"/>
      <c r="IF288" s="140"/>
      <c r="IG288" s="140"/>
      <c r="IH288" s="140"/>
      <c r="II288" s="140"/>
      <c r="IJ288" s="140"/>
      <c r="IK288" s="140"/>
      <c r="IL288" s="140"/>
      <c r="IM288" s="140"/>
      <c r="IN288" s="140"/>
      <c r="IO288" s="140"/>
      <c r="IP288" s="140"/>
      <c r="IQ288" s="140"/>
      <c r="IR288" s="140"/>
      <c r="IS288" s="140"/>
      <c r="IT288" s="140"/>
      <c r="IU288" s="140"/>
      <c r="IV288" s="140"/>
      <c r="IW288" s="140"/>
      <c r="IX288" s="140"/>
      <c r="IY288" s="140"/>
      <c r="IZ288" s="140"/>
      <c r="JA288" s="140"/>
      <c r="JB288" s="140"/>
      <c r="JC288" s="140"/>
      <c r="JD288" s="140"/>
      <c r="JE288" s="140"/>
      <c r="JF288" s="140"/>
      <c r="JG288" s="140"/>
      <c r="JH288" s="140"/>
      <c r="JI288" s="140"/>
      <c r="JJ288" s="140"/>
      <c r="JK288" s="140"/>
      <c r="JL288" s="140"/>
      <c r="JM288" s="140"/>
      <c r="JN288" s="140"/>
      <c r="JO288" s="140"/>
      <c r="JP288" s="140"/>
      <c r="JQ288" s="140"/>
      <c r="JR288" s="140"/>
      <c r="JS288" s="140"/>
      <c r="JT288" s="140"/>
      <c r="JU288" s="140"/>
      <c r="JV288" s="140"/>
      <c r="JW288" s="140"/>
      <c r="JX288" s="140"/>
      <c r="JY288" s="140"/>
      <c r="JZ288" s="140"/>
      <c r="KA288" s="140"/>
      <c r="KB288" s="140"/>
      <c r="KC288" s="140"/>
      <c r="KD288" s="140"/>
      <c r="KE288" s="140"/>
      <c r="KF288" s="140"/>
      <c r="KG288" s="140"/>
      <c r="KH288" s="140"/>
      <c r="KI288" s="140"/>
      <c r="KJ288" s="140"/>
      <c r="KK288" s="140"/>
      <c r="KL288" s="140"/>
      <c r="KM288" s="140"/>
      <c r="KN288" s="140"/>
      <c r="KO288" s="140"/>
      <c r="KP288" s="140"/>
      <c r="KQ288" s="140"/>
      <c r="KR288" s="140"/>
      <c r="KS288" s="140"/>
      <c r="KT288" s="140"/>
      <c r="KU288" s="140"/>
      <c r="KV288" s="140"/>
      <c r="KW288" s="140"/>
      <c r="KX288" s="140"/>
      <c r="KY288" s="140"/>
      <c r="KZ288" s="140"/>
      <c r="LA288" s="140"/>
      <c r="LB288" s="140"/>
      <c r="LC288" s="140"/>
      <c r="LD288" s="140"/>
      <c r="LE288" s="140"/>
      <c r="LF288" s="140"/>
      <c r="LG288" s="140"/>
      <c r="LH288" s="140"/>
      <c r="LI288" s="140"/>
      <c r="LJ288" s="140"/>
      <c r="LK288" s="140"/>
      <c r="LL288" s="140"/>
      <c r="LM288" s="140"/>
      <c r="LN288" s="140"/>
      <c r="LO288" s="140"/>
      <c r="LP288" s="140"/>
      <c r="LQ288" s="140"/>
      <c r="LR288" s="140"/>
      <c r="LS288" s="140"/>
      <c r="LT288" s="140"/>
      <c r="LU288" s="140"/>
      <c r="LV288" s="140"/>
      <c r="LW288" s="140"/>
      <c r="LX288" s="140"/>
      <c r="LY288" s="140"/>
      <c r="LZ288" s="140"/>
      <c r="MA288" s="140"/>
      <c r="MB288" s="140"/>
      <c r="MC288" s="140"/>
      <c r="MD288" s="140"/>
      <c r="ME288" s="140"/>
      <c r="MF288" s="140"/>
      <c r="MG288" s="140"/>
      <c r="MH288" s="140"/>
      <c r="MI288" s="140"/>
      <c r="MJ288" s="140"/>
      <c r="MK288" s="140"/>
      <c r="ML288" s="140"/>
    </row>
    <row r="289" spans="2:350" s="4" customFormat="1" ht="18" customHeight="1" x14ac:dyDescent="0.3">
      <c r="H289" s="140"/>
      <c r="I289" s="140"/>
      <c r="J289" s="140"/>
      <c r="K289" s="140"/>
      <c r="L289" s="140"/>
      <c r="M289" s="140"/>
      <c r="N289" s="140"/>
      <c r="O289" s="140"/>
      <c r="P289" s="140"/>
      <c r="Q289" s="140"/>
      <c r="R289" s="140"/>
      <c r="S289" s="140"/>
      <c r="T289" s="140"/>
      <c r="U289" s="140"/>
      <c r="V289" s="140"/>
      <c r="W289" s="140"/>
      <c r="X289" s="140"/>
      <c r="Y289" s="140"/>
      <c r="Z289" s="140"/>
      <c r="AA289" s="140"/>
      <c r="AB289" s="140"/>
      <c r="AC289" s="140"/>
      <c r="AD289" s="140"/>
      <c r="AE289" s="140"/>
      <c r="AF289" s="140"/>
      <c r="AG289" s="140"/>
      <c r="AH289" s="140"/>
      <c r="AI289" s="140"/>
      <c r="AJ289" s="140"/>
      <c r="AK289" s="140"/>
      <c r="AL289" s="140"/>
      <c r="AM289" s="140"/>
      <c r="AN289" s="140"/>
      <c r="AO289" s="140"/>
      <c r="AP289" s="140"/>
      <c r="AQ289" s="140"/>
      <c r="AR289" s="140"/>
      <c r="AS289" s="140"/>
      <c r="AT289" s="140"/>
      <c r="AU289" s="140"/>
      <c r="AV289" s="140"/>
      <c r="AW289" s="140"/>
      <c r="AX289" s="140"/>
      <c r="AY289" s="140"/>
      <c r="AZ289" s="140"/>
      <c r="BA289" s="140"/>
      <c r="BB289" s="140"/>
      <c r="BC289" s="140"/>
      <c r="BD289" s="140"/>
      <c r="BE289" s="140"/>
      <c r="BF289" s="140"/>
      <c r="BG289" s="140"/>
      <c r="BH289" s="140"/>
      <c r="BI289" s="140"/>
      <c r="BJ289" s="140"/>
      <c r="BK289" s="140"/>
      <c r="BL289" s="140"/>
      <c r="BM289" s="140"/>
      <c r="BN289" s="140"/>
      <c r="BO289" s="140"/>
      <c r="BP289" s="140"/>
      <c r="BQ289" s="140"/>
      <c r="BR289" s="140"/>
      <c r="BS289" s="140"/>
      <c r="BT289" s="140"/>
      <c r="BU289" s="140"/>
      <c r="BV289" s="140"/>
      <c r="BW289" s="140"/>
      <c r="BX289" s="140"/>
      <c r="BY289" s="140"/>
      <c r="BZ289" s="140"/>
      <c r="CA289" s="140"/>
      <c r="CB289" s="140"/>
      <c r="CC289" s="140"/>
      <c r="CD289" s="140"/>
      <c r="CE289" s="140"/>
      <c r="CF289" s="140"/>
      <c r="CG289" s="140"/>
      <c r="CH289" s="140"/>
      <c r="CI289" s="140"/>
      <c r="CJ289" s="140"/>
      <c r="CK289" s="140"/>
      <c r="CL289" s="140"/>
      <c r="CM289" s="140"/>
      <c r="CN289" s="140"/>
      <c r="FJ289" s="140"/>
      <c r="FK289" s="140"/>
      <c r="FL289" s="140"/>
      <c r="FM289" s="140"/>
      <c r="FN289" s="140"/>
      <c r="FO289" s="140"/>
      <c r="FP289" s="140"/>
      <c r="FQ289" s="140"/>
      <c r="FR289" s="140"/>
      <c r="FS289" s="140"/>
      <c r="FT289" s="140"/>
      <c r="FU289" s="140"/>
      <c r="FV289" s="140"/>
      <c r="FW289" s="140"/>
      <c r="FX289" s="140"/>
      <c r="FY289" s="140"/>
      <c r="FZ289" s="140"/>
      <c r="GA289" s="140"/>
      <c r="GB289" s="140"/>
      <c r="GC289" s="140"/>
      <c r="GD289" s="140"/>
      <c r="GE289" s="140"/>
      <c r="GF289" s="140"/>
      <c r="GG289" s="140"/>
      <c r="GH289" s="140"/>
      <c r="GI289" s="140"/>
      <c r="GJ289" s="140"/>
      <c r="GK289" s="140"/>
      <c r="GL289" s="140"/>
      <c r="GM289" s="140"/>
      <c r="GN289" s="140"/>
      <c r="GO289" s="140"/>
      <c r="GP289" s="140"/>
      <c r="GQ289" s="140"/>
      <c r="GR289" s="140"/>
      <c r="GS289" s="140"/>
      <c r="GT289" s="140"/>
      <c r="GU289" s="140"/>
      <c r="GV289" s="140"/>
      <c r="GW289" s="140"/>
      <c r="GX289" s="140"/>
      <c r="GY289" s="140"/>
      <c r="GZ289" s="140"/>
      <c r="HA289" s="140"/>
      <c r="HB289" s="140"/>
      <c r="HC289" s="140"/>
      <c r="HD289" s="140"/>
      <c r="HE289" s="140"/>
      <c r="HF289" s="140"/>
      <c r="HG289" s="140"/>
      <c r="HH289" s="140"/>
      <c r="HI289" s="140"/>
      <c r="HJ289" s="140"/>
      <c r="HK289" s="140"/>
      <c r="HL289" s="140"/>
      <c r="HM289" s="140"/>
      <c r="HN289" s="140"/>
      <c r="HO289" s="140"/>
      <c r="HP289" s="140"/>
      <c r="HQ289" s="140"/>
      <c r="HR289" s="140"/>
      <c r="HS289" s="140"/>
      <c r="HT289" s="140"/>
      <c r="HU289" s="140"/>
      <c r="HV289" s="140"/>
      <c r="HW289" s="140"/>
      <c r="HX289" s="140"/>
      <c r="HY289" s="140"/>
      <c r="HZ289" s="140"/>
      <c r="IA289" s="140"/>
      <c r="IB289" s="140"/>
      <c r="IC289" s="140"/>
      <c r="ID289" s="140"/>
      <c r="IE289" s="140"/>
      <c r="IF289" s="140"/>
      <c r="IG289" s="140"/>
      <c r="IH289" s="140"/>
      <c r="II289" s="140"/>
      <c r="IJ289" s="140"/>
      <c r="IK289" s="140"/>
      <c r="IL289" s="140"/>
      <c r="IM289" s="140"/>
      <c r="IN289" s="140"/>
      <c r="IO289" s="140"/>
      <c r="IP289" s="140"/>
      <c r="IQ289" s="140"/>
      <c r="IR289" s="140"/>
      <c r="IS289" s="140"/>
      <c r="IT289" s="140"/>
      <c r="IU289" s="140"/>
      <c r="IV289" s="140"/>
      <c r="IW289" s="140"/>
      <c r="IX289" s="140"/>
      <c r="IY289" s="140"/>
      <c r="IZ289" s="140"/>
      <c r="JA289" s="140"/>
      <c r="JB289" s="140"/>
      <c r="JC289" s="140"/>
      <c r="JD289" s="140"/>
      <c r="JE289" s="140"/>
      <c r="JF289" s="140"/>
      <c r="JG289" s="140"/>
      <c r="JH289" s="140"/>
      <c r="JI289" s="140"/>
      <c r="JJ289" s="140"/>
      <c r="JK289" s="140"/>
      <c r="JL289" s="140"/>
      <c r="JM289" s="140"/>
      <c r="JN289" s="140"/>
      <c r="JO289" s="140"/>
      <c r="JP289" s="140"/>
      <c r="JQ289" s="140"/>
      <c r="JR289" s="140"/>
      <c r="JS289" s="140"/>
      <c r="JT289" s="140"/>
      <c r="JU289" s="140"/>
      <c r="JV289" s="140"/>
      <c r="JW289" s="140"/>
      <c r="JX289" s="140"/>
      <c r="JY289" s="140"/>
      <c r="JZ289" s="140"/>
      <c r="KA289" s="140"/>
      <c r="KB289" s="140"/>
      <c r="KC289" s="140"/>
      <c r="KD289" s="140"/>
      <c r="KE289" s="140"/>
      <c r="KF289" s="140"/>
      <c r="KG289" s="140"/>
      <c r="KH289" s="140"/>
      <c r="KI289" s="140"/>
      <c r="KJ289" s="140"/>
      <c r="KK289" s="140"/>
      <c r="KL289" s="140"/>
      <c r="KM289" s="140"/>
      <c r="KN289" s="140"/>
      <c r="KO289" s="140"/>
      <c r="KP289" s="140"/>
      <c r="KQ289" s="140"/>
      <c r="KR289" s="140"/>
      <c r="KS289" s="140"/>
      <c r="KT289" s="140"/>
      <c r="KU289" s="140"/>
      <c r="KV289" s="140"/>
      <c r="KW289" s="140"/>
      <c r="KX289" s="140"/>
      <c r="KY289" s="140"/>
      <c r="KZ289" s="140"/>
      <c r="LA289" s="140"/>
      <c r="LB289" s="140"/>
      <c r="LC289" s="140"/>
      <c r="LD289" s="140"/>
      <c r="LE289" s="140"/>
      <c r="LF289" s="140"/>
      <c r="LG289" s="140"/>
      <c r="LH289" s="140"/>
      <c r="LI289" s="140"/>
      <c r="LJ289" s="140"/>
      <c r="LK289" s="140"/>
      <c r="LL289" s="140"/>
      <c r="LM289" s="140"/>
      <c r="LN289" s="140"/>
      <c r="LO289" s="140"/>
      <c r="LP289" s="140"/>
      <c r="LQ289" s="140"/>
      <c r="LR289" s="140"/>
      <c r="LS289" s="140"/>
      <c r="LT289" s="140"/>
      <c r="LU289" s="140"/>
      <c r="LV289" s="140"/>
      <c r="LW289" s="140"/>
      <c r="LX289" s="140"/>
      <c r="LY289" s="140"/>
      <c r="LZ289" s="140"/>
      <c r="MA289" s="140"/>
      <c r="MB289" s="140"/>
      <c r="MC289" s="140"/>
      <c r="MD289" s="140"/>
      <c r="ME289" s="140"/>
      <c r="MF289" s="140"/>
      <c r="MG289" s="140"/>
      <c r="MH289" s="140"/>
      <c r="MI289" s="140"/>
      <c r="MJ289" s="140"/>
      <c r="MK289" s="140"/>
      <c r="ML289" s="140"/>
    </row>
    <row r="290" spans="2:350" s="4" customFormat="1" ht="18" customHeight="1" x14ac:dyDescent="0.3">
      <c r="H290" s="140"/>
      <c r="I290" s="140"/>
      <c r="J290" s="140"/>
      <c r="K290" s="140"/>
      <c r="L290" s="140"/>
      <c r="M290" s="140"/>
      <c r="N290" s="140"/>
      <c r="O290" s="140"/>
      <c r="P290" s="140"/>
      <c r="Q290" s="140"/>
      <c r="R290" s="140"/>
      <c r="S290" s="140"/>
      <c r="T290" s="140"/>
      <c r="U290" s="140"/>
      <c r="V290" s="140"/>
      <c r="W290" s="140"/>
      <c r="X290" s="140"/>
      <c r="Y290" s="140"/>
      <c r="Z290" s="140"/>
      <c r="AA290" s="140"/>
      <c r="AB290" s="140"/>
      <c r="AC290" s="140"/>
      <c r="AD290" s="140"/>
      <c r="AE290" s="140"/>
      <c r="AF290" s="140"/>
      <c r="AG290" s="140"/>
      <c r="AH290" s="140"/>
      <c r="AI290" s="140"/>
      <c r="AJ290" s="140"/>
      <c r="AK290" s="140"/>
      <c r="AL290" s="140"/>
      <c r="AM290" s="140"/>
      <c r="AN290" s="140"/>
      <c r="AO290" s="140"/>
      <c r="AP290" s="140"/>
      <c r="AQ290" s="140"/>
      <c r="AR290" s="140"/>
      <c r="AS290" s="140"/>
      <c r="AT290" s="140"/>
      <c r="AU290" s="140"/>
      <c r="AV290" s="140"/>
      <c r="AW290" s="140"/>
      <c r="AX290" s="140"/>
      <c r="AY290" s="140"/>
      <c r="AZ290" s="140"/>
      <c r="BA290" s="140"/>
      <c r="BB290" s="140"/>
      <c r="BC290" s="140"/>
      <c r="BD290" s="140"/>
      <c r="BE290" s="140"/>
      <c r="BF290" s="140"/>
      <c r="BG290" s="140"/>
      <c r="BH290" s="140"/>
      <c r="BI290" s="140"/>
      <c r="BJ290" s="140"/>
      <c r="BK290" s="140"/>
      <c r="BL290" s="140"/>
      <c r="BM290" s="140"/>
      <c r="BN290" s="140"/>
      <c r="BO290" s="140"/>
      <c r="BP290" s="140"/>
      <c r="BQ290" s="140"/>
      <c r="BR290" s="140"/>
      <c r="BS290" s="140"/>
      <c r="BT290" s="140"/>
      <c r="BU290" s="140"/>
      <c r="BV290" s="140"/>
      <c r="BW290" s="140"/>
      <c r="BX290" s="140"/>
      <c r="BY290" s="140"/>
      <c r="BZ290" s="140"/>
      <c r="CA290" s="140"/>
      <c r="CB290" s="140"/>
      <c r="CC290" s="140"/>
      <c r="CD290" s="140"/>
      <c r="CE290" s="140"/>
      <c r="CF290" s="140"/>
      <c r="CG290" s="140"/>
      <c r="CH290" s="140"/>
      <c r="CI290" s="140"/>
      <c r="CJ290" s="140"/>
      <c r="CK290" s="140"/>
      <c r="CL290" s="140"/>
      <c r="CM290" s="140"/>
      <c r="CN290" s="140"/>
      <c r="FJ290" s="140"/>
      <c r="FK290" s="140"/>
      <c r="FL290" s="140"/>
      <c r="FM290" s="140"/>
      <c r="FN290" s="140"/>
      <c r="FO290" s="140"/>
      <c r="FP290" s="140"/>
      <c r="FQ290" s="140"/>
      <c r="FR290" s="140"/>
      <c r="FS290" s="140"/>
      <c r="FT290" s="140"/>
      <c r="FU290" s="140"/>
      <c r="FV290" s="140"/>
      <c r="FW290" s="140"/>
      <c r="FX290" s="140"/>
      <c r="FY290" s="140"/>
      <c r="FZ290" s="140"/>
      <c r="GA290" s="140"/>
      <c r="GB290" s="140"/>
      <c r="GC290" s="140"/>
      <c r="GD290" s="140"/>
      <c r="GE290" s="140"/>
      <c r="GF290" s="140"/>
      <c r="GG290" s="140"/>
      <c r="GH290" s="140"/>
      <c r="GI290" s="140"/>
      <c r="GJ290" s="140"/>
      <c r="GK290" s="140"/>
      <c r="GL290" s="140"/>
      <c r="GM290" s="140"/>
      <c r="GN290" s="140"/>
      <c r="GO290" s="140"/>
      <c r="GP290" s="140"/>
      <c r="GQ290" s="140"/>
      <c r="GR290" s="140"/>
      <c r="GS290" s="140"/>
      <c r="GT290" s="140"/>
      <c r="GU290" s="140"/>
      <c r="GV290" s="140"/>
      <c r="GW290" s="140"/>
      <c r="GX290" s="140"/>
      <c r="GY290" s="140"/>
      <c r="GZ290" s="140"/>
      <c r="HA290" s="140"/>
      <c r="HB290" s="140"/>
      <c r="HC290" s="140"/>
      <c r="HD290" s="140"/>
      <c r="HE290" s="140"/>
      <c r="HF290" s="140"/>
      <c r="HG290" s="140"/>
      <c r="HH290" s="140"/>
      <c r="HI290" s="140"/>
      <c r="HJ290" s="140"/>
      <c r="HK290" s="140"/>
      <c r="HL290" s="140"/>
      <c r="HM290" s="140"/>
      <c r="HN290" s="140"/>
      <c r="HO290" s="140"/>
      <c r="HP290" s="140"/>
      <c r="HQ290" s="140"/>
      <c r="HR290" s="140"/>
      <c r="HS290" s="140"/>
      <c r="HT290" s="140"/>
      <c r="HU290" s="140"/>
      <c r="HV290" s="140"/>
      <c r="HW290" s="140"/>
      <c r="HX290" s="140"/>
      <c r="HY290" s="140"/>
      <c r="HZ290" s="140"/>
      <c r="IA290" s="140"/>
      <c r="IB290" s="140"/>
      <c r="IC290" s="140"/>
      <c r="ID290" s="140"/>
      <c r="IE290" s="140"/>
      <c r="IF290" s="140"/>
      <c r="IG290" s="140"/>
      <c r="IH290" s="140"/>
      <c r="II290" s="140"/>
      <c r="IJ290" s="140"/>
      <c r="IK290" s="140"/>
      <c r="IL290" s="140"/>
      <c r="IM290" s="140"/>
      <c r="IN290" s="140"/>
      <c r="IO290" s="140"/>
      <c r="IP290" s="140"/>
      <c r="IQ290" s="140"/>
      <c r="IR290" s="140"/>
      <c r="IS290" s="140"/>
      <c r="IT290" s="140"/>
      <c r="IU290" s="140"/>
      <c r="IV290" s="140"/>
      <c r="IW290" s="140"/>
      <c r="IX290" s="140"/>
      <c r="IY290" s="140"/>
      <c r="IZ290" s="140"/>
      <c r="JA290" s="140"/>
      <c r="JB290" s="140"/>
      <c r="JC290" s="140"/>
      <c r="JD290" s="140"/>
      <c r="JE290" s="140"/>
      <c r="JF290" s="140"/>
      <c r="JG290" s="140"/>
      <c r="JH290" s="140"/>
      <c r="JI290" s="140"/>
      <c r="JJ290" s="140"/>
      <c r="JK290" s="140"/>
      <c r="JL290" s="140"/>
      <c r="JM290" s="140"/>
      <c r="JN290" s="140"/>
      <c r="JO290" s="140"/>
      <c r="JP290" s="140"/>
      <c r="JQ290" s="140"/>
      <c r="JR290" s="140"/>
      <c r="JS290" s="140"/>
      <c r="JT290" s="140"/>
      <c r="JU290" s="140"/>
      <c r="JV290" s="140"/>
      <c r="JW290" s="140"/>
      <c r="JX290" s="140"/>
      <c r="JY290" s="140"/>
      <c r="JZ290" s="140"/>
      <c r="KA290" s="140"/>
      <c r="KB290" s="140"/>
      <c r="KC290" s="140"/>
      <c r="KD290" s="140"/>
      <c r="KE290" s="140"/>
      <c r="KF290" s="140"/>
      <c r="KG290" s="140"/>
      <c r="KH290" s="140"/>
      <c r="KI290" s="140"/>
      <c r="KJ290" s="140"/>
      <c r="KK290" s="140"/>
      <c r="KL290" s="140"/>
      <c r="KM290" s="140"/>
      <c r="KN290" s="140"/>
      <c r="KO290" s="140"/>
      <c r="KP290" s="140"/>
      <c r="KQ290" s="140"/>
      <c r="KR290" s="140"/>
      <c r="KS290" s="140"/>
      <c r="KT290" s="140"/>
      <c r="KU290" s="140"/>
      <c r="KV290" s="140"/>
      <c r="KW290" s="140"/>
      <c r="KX290" s="140"/>
      <c r="KY290" s="140"/>
      <c r="KZ290" s="140"/>
      <c r="LA290" s="140"/>
      <c r="LB290" s="140"/>
      <c r="LC290" s="140"/>
      <c r="LD290" s="140"/>
      <c r="LE290" s="140"/>
      <c r="LF290" s="140"/>
      <c r="LG290" s="140"/>
      <c r="LH290" s="140"/>
      <c r="LI290" s="140"/>
      <c r="LJ290" s="140"/>
      <c r="LK290" s="140"/>
      <c r="LL290" s="140"/>
      <c r="LM290" s="140"/>
      <c r="LN290" s="140"/>
      <c r="LO290" s="140"/>
      <c r="LP290" s="140"/>
      <c r="LQ290" s="140"/>
      <c r="LR290" s="140"/>
      <c r="LS290" s="140"/>
      <c r="LT290" s="140"/>
      <c r="LU290" s="140"/>
      <c r="LV290" s="140"/>
      <c r="LW290" s="140"/>
      <c r="LX290" s="140"/>
      <c r="LY290" s="140"/>
      <c r="LZ290" s="140"/>
      <c r="MA290" s="140"/>
      <c r="MB290" s="140"/>
      <c r="MC290" s="140"/>
      <c r="MD290" s="140"/>
      <c r="ME290" s="140"/>
      <c r="MF290" s="140"/>
      <c r="MG290" s="140"/>
      <c r="MH290" s="140"/>
      <c r="MI290" s="140"/>
      <c r="MJ290" s="140"/>
      <c r="MK290" s="140"/>
      <c r="ML290" s="140"/>
    </row>
    <row r="291" spans="2:350" s="4" customFormat="1" ht="18" customHeight="1" x14ac:dyDescent="0.3">
      <c r="H291" s="140"/>
      <c r="I291" s="140"/>
      <c r="J291" s="140"/>
      <c r="K291" s="140"/>
      <c r="L291" s="140"/>
      <c r="M291" s="140"/>
      <c r="N291" s="140"/>
      <c r="O291" s="140"/>
      <c r="P291" s="140"/>
      <c r="Q291" s="140"/>
      <c r="R291" s="140"/>
      <c r="S291" s="140"/>
      <c r="T291" s="140"/>
      <c r="U291" s="140"/>
      <c r="V291" s="140"/>
      <c r="W291" s="140"/>
      <c r="X291" s="140"/>
      <c r="Y291" s="140"/>
      <c r="Z291" s="140"/>
      <c r="AA291" s="140"/>
      <c r="AB291" s="140"/>
      <c r="AC291" s="140"/>
      <c r="AD291" s="140"/>
      <c r="AE291" s="140"/>
      <c r="AF291" s="140"/>
      <c r="AG291" s="140"/>
      <c r="AH291" s="140"/>
      <c r="AI291" s="140"/>
      <c r="AJ291" s="140"/>
      <c r="AK291" s="140"/>
      <c r="AL291" s="140"/>
      <c r="AM291" s="140"/>
      <c r="AN291" s="140"/>
      <c r="AO291" s="140"/>
      <c r="AP291" s="140"/>
      <c r="AQ291" s="140"/>
      <c r="AR291" s="140"/>
      <c r="AS291" s="140"/>
      <c r="AT291" s="140"/>
      <c r="AU291" s="140"/>
      <c r="AV291" s="140"/>
      <c r="AW291" s="140"/>
      <c r="AX291" s="140"/>
      <c r="AY291" s="140"/>
      <c r="AZ291" s="140"/>
      <c r="BA291" s="140"/>
      <c r="BB291" s="140"/>
      <c r="BC291" s="140"/>
      <c r="BD291" s="140"/>
      <c r="BE291" s="140"/>
      <c r="BF291" s="140"/>
      <c r="BG291" s="140"/>
      <c r="BH291" s="140"/>
      <c r="BI291" s="140"/>
      <c r="BJ291" s="140"/>
      <c r="BK291" s="140"/>
      <c r="BL291" s="140"/>
      <c r="BM291" s="140"/>
      <c r="BN291" s="140"/>
      <c r="BO291" s="140"/>
      <c r="BP291" s="140"/>
      <c r="BQ291" s="140"/>
      <c r="BR291" s="140"/>
      <c r="BS291" s="140"/>
      <c r="BT291" s="140"/>
      <c r="BU291" s="140"/>
      <c r="BV291" s="140"/>
      <c r="BW291" s="140"/>
      <c r="BX291" s="140"/>
      <c r="BY291" s="140"/>
      <c r="BZ291" s="140"/>
      <c r="CA291" s="140"/>
      <c r="CB291" s="140"/>
      <c r="CC291" s="140"/>
      <c r="CD291" s="140"/>
      <c r="CE291" s="140"/>
      <c r="CF291" s="140"/>
      <c r="CG291" s="140"/>
      <c r="CH291" s="140"/>
      <c r="CI291" s="140"/>
      <c r="CJ291" s="140"/>
      <c r="CK291" s="140"/>
      <c r="CL291" s="140"/>
      <c r="CM291" s="140"/>
      <c r="CN291" s="140"/>
      <c r="FJ291" s="140"/>
      <c r="FK291" s="140"/>
      <c r="FL291" s="140"/>
      <c r="FM291" s="140"/>
      <c r="FN291" s="140"/>
      <c r="FO291" s="140"/>
      <c r="FP291" s="140"/>
      <c r="FQ291" s="140"/>
      <c r="FR291" s="140"/>
      <c r="FS291" s="140"/>
      <c r="FT291" s="140"/>
      <c r="FU291" s="140"/>
      <c r="FV291" s="140"/>
      <c r="FW291" s="140"/>
      <c r="FX291" s="140"/>
      <c r="FY291" s="140"/>
      <c r="FZ291" s="140"/>
      <c r="GA291" s="140"/>
      <c r="GB291" s="140"/>
      <c r="GC291" s="140"/>
      <c r="GD291" s="140"/>
      <c r="GE291" s="140"/>
      <c r="GF291" s="140"/>
      <c r="GG291" s="140"/>
      <c r="GH291" s="140"/>
      <c r="GI291" s="140"/>
      <c r="GJ291" s="140"/>
      <c r="GK291" s="140"/>
      <c r="GL291" s="140"/>
      <c r="GM291" s="140"/>
      <c r="GN291" s="140"/>
      <c r="GO291" s="140"/>
      <c r="GP291" s="140"/>
      <c r="GQ291" s="140"/>
      <c r="GR291" s="140"/>
      <c r="GS291" s="140"/>
      <c r="GT291" s="140"/>
      <c r="GU291" s="140"/>
      <c r="GV291" s="140"/>
      <c r="GW291" s="140"/>
      <c r="GX291" s="140"/>
      <c r="GY291" s="140"/>
      <c r="GZ291" s="140"/>
      <c r="HA291" s="140"/>
      <c r="HB291" s="140"/>
      <c r="HC291" s="140"/>
      <c r="HD291" s="140"/>
      <c r="HE291" s="140"/>
      <c r="HF291" s="140"/>
      <c r="HG291" s="140"/>
      <c r="HH291" s="140"/>
      <c r="HI291" s="140"/>
      <c r="HJ291" s="140"/>
      <c r="HK291" s="140"/>
      <c r="HL291" s="140"/>
      <c r="HM291" s="140"/>
      <c r="HN291" s="140"/>
      <c r="HO291" s="140"/>
      <c r="HP291" s="140"/>
      <c r="HQ291" s="140"/>
      <c r="HR291" s="140"/>
      <c r="HS291" s="140"/>
      <c r="HT291" s="140"/>
      <c r="HU291" s="140"/>
      <c r="HV291" s="140"/>
      <c r="HW291" s="140"/>
      <c r="HX291" s="140"/>
      <c r="HY291" s="140"/>
      <c r="HZ291" s="140"/>
      <c r="IA291" s="140"/>
      <c r="IB291" s="140"/>
      <c r="IC291" s="140"/>
      <c r="ID291" s="140"/>
      <c r="IE291" s="140"/>
      <c r="IF291" s="140"/>
      <c r="IG291" s="140"/>
      <c r="IH291" s="140"/>
      <c r="II291" s="140"/>
      <c r="IJ291" s="140"/>
      <c r="IK291" s="140"/>
      <c r="IL291" s="140"/>
      <c r="IM291" s="140"/>
      <c r="IN291" s="140"/>
      <c r="IO291" s="140"/>
      <c r="IP291" s="140"/>
      <c r="IQ291" s="140"/>
      <c r="IR291" s="140"/>
      <c r="IS291" s="140"/>
      <c r="IT291" s="140"/>
      <c r="IU291" s="140"/>
      <c r="IV291" s="140"/>
      <c r="IW291" s="140"/>
      <c r="IX291" s="140"/>
      <c r="IY291" s="140"/>
      <c r="IZ291" s="140"/>
      <c r="JA291" s="140"/>
      <c r="JB291" s="140"/>
      <c r="JC291" s="140"/>
      <c r="JD291" s="140"/>
      <c r="JE291" s="140"/>
      <c r="JF291" s="140"/>
      <c r="JG291" s="140"/>
      <c r="JH291" s="140"/>
      <c r="JI291" s="140"/>
      <c r="JJ291" s="140"/>
      <c r="JK291" s="140"/>
      <c r="JL291" s="140"/>
      <c r="JM291" s="140"/>
      <c r="JN291" s="140"/>
      <c r="JO291" s="140"/>
      <c r="JP291" s="140"/>
      <c r="JQ291" s="140"/>
      <c r="JR291" s="140"/>
      <c r="JS291" s="140"/>
      <c r="JT291" s="140"/>
      <c r="JU291" s="140"/>
      <c r="JV291" s="140"/>
      <c r="JW291" s="140"/>
      <c r="JX291" s="140"/>
      <c r="JY291" s="140"/>
      <c r="JZ291" s="140"/>
      <c r="KA291" s="140"/>
      <c r="KB291" s="140"/>
      <c r="KC291" s="140"/>
      <c r="KD291" s="140"/>
      <c r="KE291" s="140"/>
      <c r="KF291" s="140"/>
      <c r="KG291" s="140"/>
      <c r="KH291" s="140"/>
      <c r="KI291" s="140"/>
      <c r="KJ291" s="140"/>
      <c r="KK291" s="140"/>
      <c r="KL291" s="140"/>
      <c r="KM291" s="140"/>
      <c r="KN291" s="140"/>
      <c r="KO291" s="140"/>
      <c r="KP291" s="140"/>
      <c r="KQ291" s="140"/>
      <c r="KR291" s="140"/>
      <c r="KS291" s="140"/>
      <c r="KT291" s="140"/>
      <c r="KU291" s="140"/>
      <c r="KV291" s="140"/>
      <c r="KW291" s="140"/>
      <c r="KX291" s="140"/>
      <c r="KY291" s="140"/>
      <c r="KZ291" s="140"/>
      <c r="LA291" s="140"/>
      <c r="LB291" s="140"/>
      <c r="LC291" s="140"/>
      <c r="LD291" s="140"/>
      <c r="LE291" s="140"/>
      <c r="LF291" s="140"/>
      <c r="LG291" s="140"/>
      <c r="LH291" s="140"/>
      <c r="LI291" s="140"/>
      <c r="LJ291" s="140"/>
      <c r="LK291" s="140"/>
      <c r="LL291" s="140"/>
      <c r="LM291" s="140"/>
      <c r="LN291" s="140"/>
      <c r="LO291" s="140"/>
      <c r="LP291" s="140"/>
      <c r="LQ291" s="140"/>
      <c r="LR291" s="140"/>
      <c r="LS291" s="140"/>
      <c r="LT291" s="140"/>
      <c r="LU291" s="140"/>
      <c r="LV291" s="140"/>
      <c r="LW291" s="140"/>
      <c r="LX291" s="140"/>
      <c r="LY291" s="140"/>
      <c r="LZ291" s="140"/>
      <c r="MA291" s="140"/>
      <c r="MB291" s="140"/>
      <c r="MC291" s="140"/>
      <c r="MD291" s="140"/>
      <c r="ME291" s="140"/>
      <c r="MF291" s="140"/>
      <c r="MG291" s="140"/>
      <c r="MH291" s="140"/>
      <c r="MI291" s="140"/>
      <c r="MJ291" s="140"/>
      <c r="MK291" s="140"/>
      <c r="ML291" s="140"/>
    </row>
    <row r="292" spans="2:350" s="4" customFormat="1" ht="18" customHeight="1" x14ac:dyDescent="0.3">
      <c r="H292" s="140"/>
      <c r="I292" s="140"/>
      <c r="J292" s="140"/>
      <c r="K292" s="140"/>
      <c r="L292" s="140"/>
      <c r="M292" s="140"/>
      <c r="N292" s="140"/>
      <c r="O292" s="140"/>
      <c r="P292" s="140"/>
      <c r="Q292" s="140"/>
      <c r="R292" s="140"/>
      <c r="S292" s="140"/>
      <c r="T292" s="140"/>
      <c r="U292" s="140"/>
      <c r="V292" s="140"/>
      <c r="W292" s="140"/>
      <c r="X292" s="140"/>
      <c r="Y292" s="140"/>
      <c r="Z292" s="140"/>
      <c r="AA292" s="140"/>
      <c r="AB292" s="140"/>
      <c r="AC292" s="140"/>
      <c r="AD292" s="140"/>
      <c r="AE292" s="140"/>
      <c r="AF292" s="140"/>
      <c r="AG292" s="140"/>
      <c r="AH292" s="140"/>
      <c r="AI292" s="140"/>
      <c r="AJ292" s="140"/>
      <c r="AK292" s="140"/>
      <c r="AL292" s="140"/>
      <c r="AM292" s="140"/>
      <c r="AN292" s="140"/>
      <c r="AO292" s="140"/>
      <c r="AP292" s="140"/>
      <c r="AQ292" s="140"/>
      <c r="AR292" s="140"/>
      <c r="AS292" s="140"/>
      <c r="AT292" s="140"/>
      <c r="AU292" s="140"/>
      <c r="AV292" s="140"/>
      <c r="AW292" s="140"/>
      <c r="AX292" s="140"/>
      <c r="AY292" s="140"/>
      <c r="AZ292" s="140"/>
      <c r="BA292" s="140"/>
      <c r="BB292" s="140"/>
      <c r="BC292" s="140"/>
      <c r="BD292" s="140"/>
      <c r="BE292" s="140"/>
      <c r="BF292" s="140"/>
      <c r="BG292" s="140"/>
      <c r="BH292" s="140"/>
      <c r="BI292" s="140"/>
      <c r="BJ292" s="140"/>
      <c r="BK292" s="140"/>
      <c r="BL292" s="140"/>
      <c r="BM292" s="140"/>
      <c r="BN292" s="140"/>
      <c r="BO292" s="140"/>
      <c r="BP292" s="140"/>
      <c r="BQ292" s="140"/>
      <c r="BR292" s="140"/>
      <c r="BS292" s="140"/>
      <c r="BT292" s="140"/>
      <c r="BU292" s="140"/>
      <c r="BV292" s="140"/>
      <c r="BW292" s="140"/>
      <c r="BX292" s="140"/>
      <c r="BY292" s="140"/>
      <c r="BZ292" s="140"/>
      <c r="CA292" s="140"/>
      <c r="CB292" s="140"/>
      <c r="CC292" s="140"/>
      <c r="CD292" s="140"/>
      <c r="CE292" s="140"/>
      <c r="CF292" s="140"/>
      <c r="CG292" s="140"/>
      <c r="CH292" s="140"/>
      <c r="CI292" s="140"/>
      <c r="CJ292" s="140"/>
      <c r="CK292" s="140"/>
      <c r="CL292" s="140"/>
      <c r="CM292" s="140"/>
      <c r="CN292" s="140"/>
      <c r="FJ292" s="140"/>
      <c r="FK292" s="140"/>
      <c r="FL292" s="140"/>
      <c r="FM292" s="140"/>
      <c r="FN292" s="140"/>
      <c r="FO292" s="140"/>
      <c r="FP292" s="140"/>
      <c r="FQ292" s="140"/>
      <c r="FR292" s="140"/>
      <c r="FS292" s="140"/>
      <c r="FT292" s="140"/>
      <c r="FU292" s="140"/>
      <c r="FV292" s="140"/>
      <c r="FW292" s="140"/>
      <c r="FX292" s="140"/>
      <c r="FY292" s="140"/>
      <c r="FZ292" s="140"/>
      <c r="GA292" s="140"/>
      <c r="GB292" s="140"/>
      <c r="GC292" s="140"/>
      <c r="GD292" s="140"/>
      <c r="GE292" s="140"/>
      <c r="GF292" s="140"/>
      <c r="GG292" s="140"/>
      <c r="GH292" s="140"/>
      <c r="GI292" s="140"/>
      <c r="GJ292" s="140"/>
      <c r="GK292" s="140"/>
      <c r="GL292" s="140"/>
      <c r="GM292" s="140"/>
      <c r="GN292" s="140"/>
      <c r="GO292" s="140"/>
      <c r="GP292" s="140"/>
      <c r="GQ292" s="140"/>
      <c r="GR292" s="140"/>
      <c r="GS292" s="140"/>
      <c r="GT292" s="140"/>
      <c r="GU292" s="140"/>
      <c r="GV292" s="140"/>
      <c r="GW292" s="140"/>
      <c r="GX292" s="140"/>
      <c r="GY292" s="140"/>
      <c r="GZ292" s="140"/>
      <c r="HA292" s="140"/>
      <c r="HB292" s="140"/>
      <c r="HC292" s="140"/>
      <c r="HD292" s="140"/>
      <c r="HE292" s="140"/>
      <c r="HF292" s="140"/>
      <c r="HG292" s="140"/>
      <c r="HH292" s="140"/>
      <c r="HI292" s="140"/>
      <c r="HJ292" s="140"/>
      <c r="HK292" s="140"/>
      <c r="HL292" s="140"/>
      <c r="HM292" s="140"/>
      <c r="HN292" s="140"/>
      <c r="HO292" s="140"/>
      <c r="HP292" s="140"/>
      <c r="HQ292" s="140"/>
      <c r="HR292" s="140"/>
      <c r="HS292" s="140"/>
      <c r="HT292" s="140"/>
      <c r="HU292" s="140"/>
      <c r="HV292" s="140"/>
      <c r="HW292" s="140"/>
      <c r="HX292" s="140"/>
      <c r="HY292" s="140"/>
      <c r="HZ292" s="140"/>
      <c r="IA292" s="140"/>
      <c r="IB292" s="140"/>
      <c r="IC292" s="140"/>
      <c r="ID292" s="140"/>
      <c r="IE292" s="140"/>
      <c r="IF292" s="140"/>
      <c r="IG292" s="140"/>
      <c r="IH292" s="140"/>
      <c r="II292" s="140"/>
      <c r="IJ292" s="140"/>
      <c r="IK292" s="140"/>
      <c r="IL292" s="140"/>
      <c r="IM292" s="140"/>
      <c r="IN292" s="140"/>
      <c r="IO292" s="140"/>
      <c r="IP292" s="140"/>
      <c r="IQ292" s="140"/>
      <c r="IR292" s="140"/>
      <c r="IS292" s="140"/>
      <c r="IT292" s="140"/>
      <c r="IU292" s="140"/>
      <c r="IV292" s="140"/>
      <c r="IW292" s="140"/>
      <c r="IX292" s="140"/>
      <c r="IY292" s="140"/>
      <c r="IZ292" s="140"/>
      <c r="JA292" s="140"/>
      <c r="JB292" s="140"/>
      <c r="JC292" s="140"/>
      <c r="JD292" s="140"/>
      <c r="JE292" s="140"/>
      <c r="JF292" s="140"/>
      <c r="JG292" s="140"/>
      <c r="JH292" s="140"/>
      <c r="JI292" s="140"/>
      <c r="JJ292" s="140"/>
      <c r="JK292" s="140"/>
      <c r="JL292" s="140"/>
      <c r="JM292" s="140"/>
      <c r="JN292" s="140"/>
      <c r="JO292" s="140"/>
      <c r="JP292" s="140"/>
      <c r="JQ292" s="140"/>
      <c r="JR292" s="140"/>
      <c r="JS292" s="140"/>
      <c r="JT292" s="140"/>
      <c r="JU292" s="140"/>
      <c r="JV292" s="140"/>
      <c r="JW292" s="140"/>
      <c r="JX292" s="140"/>
      <c r="JY292" s="140"/>
      <c r="JZ292" s="140"/>
      <c r="KA292" s="140"/>
      <c r="KB292" s="140"/>
      <c r="KC292" s="140"/>
      <c r="KD292" s="140"/>
      <c r="KE292" s="140"/>
      <c r="KF292" s="140"/>
      <c r="KG292" s="140"/>
      <c r="KH292" s="140"/>
      <c r="KI292" s="140"/>
      <c r="KJ292" s="140"/>
      <c r="KK292" s="140"/>
      <c r="KL292" s="140"/>
      <c r="KM292" s="140"/>
      <c r="KN292" s="140"/>
      <c r="KO292" s="140"/>
      <c r="KP292" s="140"/>
      <c r="KQ292" s="140"/>
      <c r="KR292" s="140"/>
      <c r="KS292" s="140"/>
      <c r="KT292" s="140"/>
      <c r="KU292" s="140"/>
      <c r="KV292" s="140"/>
      <c r="KW292" s="140"/>
      <c r="KX292" s="140"/>
      <c r="KY292" s="140"/>
      <c r="KZ292" s="140"/>
      <c r="LA292" s="140"/>
      <c r="LB292" s="140"/>
      <c r="LC292" s="140"/>
      <c r="LD292" s="140"/>
      <c r="LE292" s="140"/>
      <c r="LF292" s="140"/>
      <c r="LG292" s="140"/>
      <c r="LH292" s="140"/>
      <c r="LI292" s="140"/>
      <c r="LJ292" s="140"/>
      <c r="LK292" s="140"/>
      <c r="LL292" s="140"/>
      <c r="LM292" s="140"/>
      <c r="LN292" s="140"/>
      <c r="LO292" s="140"/>
      <c r="LP292" s="140"/>
      <c r="LQ292" s="140"/>
      <c r="LR292" s="140"/>
      <c r="LS292" s="140"/>
      <c r="LT292" s="140"/>
      <c r="LU292" s="140"/>
      <c r="LV292" s="140"/>
      <c r="LW292" s="140"/>
      <c r="LX292" s="140"/>
      <c r="LY292" s="140"/>
      <c r="LZ292" s="140"/>
      <c r="MA292" s="140"/>
      <c r="MB292" s="140"/>
      <c r="MC292" s="140"/>
      <c r="MD292" s="140"/>
      <c r="ME292" s="140"/>
      <c r="MF292" s="140"/>
      <c r="MG292" s="140"/>
      <c r="MH292" s="140"/>
      <c r="MI292" s="140"/>
      <c r="MJ292" s="140"/>
      <c r="MK292" s="140"/>
      <c r="ML292" s="140"/>
    </row>
    <row r="293" spans="2:350" ht="20" x14ac:dyDescent="0.4">
      <c r="B293" s="73" t="s">
        <v>25</v>
      </c>
      <c r="C293" s="74" t="s">
        <v>161</v>
      </c>
    </row>
    <row r="295" spans="2:350" x14ac:dyDescent="0.3">
      <c r="C295" s="79" t="s">
        <v>162</v>
      </c>
    </row>
    <row r="297" spans="2:350" ht="18" x14ac:dyDescent="0.4">
      <c r="C297" s="213" t="s">
        <v>163</v>
      </c>
    </row>
    <row r="299" spans="2:350" x14ac:dyDescent="0.3">
      <c r="C299" s="69" t="s">
        <v>164</v>
      </c>
    </row>
    <row r="300" spans="2:350" x14ac:dyDescent="0.3">
      <c r="C300" s="69" t="s">
        <v>165</v>
      </c>
    </row>
    <row r="301" spans="2:350" x14ac:dyDescent="0.3">
      <c r="C301" s="69"/>
    </row>
    <row r="302" spans="2:350" x14ac:dyDescent="0.3">
      <c r="C302" s="76" t="s">
        <v>166</v>
      </c>
    </row>
    <row r="303" spans="2:350" x14ac:dyDescent="0.3">
      <c r="C303" s="76" t="s">
        <v>167</v>
      </c>
    </row>
    <row r="304" spans="2:350" x14ac:dyDescent="0.3">
      <c r="C304" s="76" t="s">
        <v>168</v>
      </c>
    </row>
    <row r="305" spans="2:3" x14ac:dyDescent="0.3">
      <c r="C305" s="214" t="s">
        <v>169</v>
      </c>
    </row>
    <row r="306" spans="2:3" x14ac:dyDescent="0.3">
      <c r="C306" s="76" t="s">
        <v>170</v>
      </c>
    </row>
    <row r="307" spans="2:3" x14ac:dyDescent="0.3">
      <c r="C307" s="76" t="s">
        <v>171</v>
      </c>
    </row>
    <row r="308" spans="2:3" x14ac:dyDescent="0.3">
      <c r="C308" s="76" t="s">
        <v>172</v>
      </c>
    </row>
    <row r="309" spans="2:3" x14ac:dyDescent="0.3">
      <c r="C309" s="214"/>
    </row>
    <row r="310" spans="2:3" x14ac:dyDescent="0.3">
      <c r="C310" s="75" t="s">
        <v>173</v>
      </c>
    </row>
    <row r="311" spans="2:3" x14ac:dyDescent="0.3">
      <c r="C311" s="76"/>
    </row>
    <row r="312" spans="2:3" x14ac:dyDescent="0.3">
      <c r="C312" s="75" t="s">
        <v>174</v>
      </c>
    </row>
    <row r="313" spans="2:3" x14ac:dyDescent="0.3">
      <c r="C313" s="75" t="s">
        <v>175</v>
      </c>
    </row>
    <row r="315" spans="2:3" ht="18" x14ac:dyDescent="0.4">
      <c r="B315" s="73" t="s">
        <v>25</v>
      </c>
      <c r="C315" s="213" t="s">
        <v>176</v>
      </c>
    </row>
    <row r="317" spans="2:3" ht="15.5" x14ac:dyDescent="0.35">
      <c r="C317" s="70" t="s">
        <v>177</v>
      </c>
    </row>
    <row r="319" spans="2:3" x14ac:dyDescent="0.3">
      <c r="C319" s="69" t="s">
        <v>178</v>
      </c>
    </row>
    <row r="321" spans="2:3" x14ac:dyDescent="0.3">
      <c r="C321" s="69" t="s">
        <v>179</v>
      </c>
    </row>
    <row r="322" spans="2:3" x14ac:dyDescent="0.3">
      <c r="C322" s="69" t="s">
        <v>180</v>
      </c>
    </row>
    <row r="323" spans="2:3" x14ac:dyDescent="0.3">
      <c r="B323" s="215" t="s">
        <v>60</v>
      </c>
      <c r="C323" s="69" t="s">
        <v>181</v>
      </c>
    </row>
    <row r="324" spans="2:3" x14ac:dyDescent="0.3">
      <c r="C324" s="69"/>
    </row>
    <row r="325" spans="2:3" x14ac:dyDescent="0.3">
      <c r="C325" s="216" t="s">
        <v>182</v>
      </c>
    </row>
    <row r="326" spans="2:3" x14ac:dyDescent="0.3">
      <c r="C326" s="69" t="s">
        <v>183</v>
      </c>
    </row>
    <row r="327" spans="2:3" x14ac:dyDescent="0.3">
      <c r="C327" s="69"/>
    </row>
    <row r="328" spans="2:3" x14ac:dyDescent="0.3">
      <c r="C328" s="216" t="s">
        <v>184</v>
      </c>
    </row>
    <row r="329" spans="2:3" x14ac:dyDescent="0.3">
      <c r="C329" s="69" t="s">
        <v>185</v>
      </c>
    </row>
    <row r="331" spans="2:3" x14ac:dyDescent="0.3">
      <c r="C331" s="69" t="s">
        <v>186</v>
      </c>
    </row>
    <row r="332" spans="2:3" x14ac:dyDescent="0.3">
      <c r="C332" s="69" t="s">
        <v>187</v>
      </c>
    </row>
    <row r="333" spans="2:3" x14ac:dyDescent="0.3">
      <c r="C333" s="69" t="s">
        <v>188</v>
      </c>
    </row>
    <row r="334" spans="2:3" x14ac:dyDescent="0.3">
      <c r="B334" s="215" t="s">
        <v>60</v>
      </c>
      <c r="C334" s="69" t="s">
        <v>189</v>
      </c>
    </row>
    <row r="337" spans="3:350" x14ac:dyDescent="0.3">
      <c r="C337" s="120" t="s">
        <v>190</v>
      </c>
      <c r="H337" s="121" t="s">
        <v>100</v>
      </c>
      <c r="S337" s="122" t="s">
        <v>5</v>
      </c>
      <c r="BD337" s="123" t="s">
        <v>6</v>
      </c>
      <c r="CO337" s="124" t="s">
        <v>7</v>
      </c>
      <c r="DZ337" s="125" t="s">
        <v>8</v>
      </c>
      <c r="FK337" s="126" t="s">
        <v>9</v>
      </c>
      <c r="GV337" s="127" t="s">
        <v>10</v>
      </c>
      <c r="IG337" s="128" t="s">
        <v>11</v>
      </c>
      <c r="JR337" s="129" t="str">
        <f>JR$4</f>
        <v>AMS2 2023</v>
      </c>
      <c r="LC337" s="130" t="str">
        <f>LC$4</f>
        <v>AMS3 2025</v>
      </c>
    </row>
    <row r="338" spans="3:350" s="4" customFormat="1" ht="18" customHeight="1" x14ac:dyDescent="0.3">
      <c r="C338" s="131"/>
      <c r="D338" s="132"/>
      <c r="E338" s="133" t="s">
        <v>101</v>
      </c>
      <c r="F338" s="134" t="s">
        <v>102</v>
      </c>
      <c r="H338" s="135">
        <f t="shared" ref="H338:M338" si="139">H$1</f>
        <v>2015</v>
      </c>
      <c r="I338" s="133">
        <f t="shared" si="139"/>
        <v>2016</v>
      </c>
      <c r="J338" s="133">
        <f t="shared" si="139"/>
        <v>2017</v>
      </c>
      <c r="K338" s="133">
        <f t="shared" si="139"/>
        <v>2018</v>
      </c>
      <c r="L338" s="133">
        <f t="shared" si="139"/>
        <v>2019</v>
      </c>
      <c r="M338" s="134">
        <f t="shared" si="139"/>
        <v>2020</v>
      </c>
      <c r="N338" s="1"/>
      <c r="O338" s="1"/>
      <c r="P338" s="1"/>
      <c r="Q338" s="1"/>
      <c r="S338" s="135">
        <f t="shared" ref="S338:BB338" si="140">S$1</f>
        <v>2015</v>
      </c>
      <c r="T338" s="133">
        <f t="shared" si="140"/>
        <v>2016</v>
      </c>
      <c r="U338" s="133">
        <f t="shared" si="140"/>
        <v>2017</v>
      </c>
      <c r="V338" s="133">
        <f t="shared" si="140"/>
        <v>2018</v>
      </c>
      <c r="W338" s="133">
        <f t="shared" si="140"/>
        <v>2019</v>
      </c>
      <c r="X338" s="133">
        <f t="shared" si="140"/>
        <v>2020</v>
      </c>
      <c r="Y338" s="133">
        <f t="shared" si="140"/>
        <v>2021</v>
      </c>
      <c r="Z338" s="133">
        <f t="shared" si="140"/>
        <v>2022</v>
      </c>
      <c r="AA338" s="133">
        <f t="shared" si="140"/>
        <v>2023</v>
      </c>
      <c r="AB338" s="133">
        <f t="shared" si="140"/>
        <v>2024</v>
      </c>
      <c r="AC338" s="133">
        <f t="shared" si="140"/>
        <v>2025</v>
      </c>
      <c r="AD338" s="133">
        <f t="shared" si="140"/>
        <v>2026</v>
      </c>
      <c r="AE338" s="133">
        <f t="shared" si="140"/>
        <v>2027</v>
      </c>
      <c r="AF338" s="133">
        <f t="shared" si="140"/>
        <v>2028</v>
      </c>
      <c r="AG338" s="133">
        <f t="shared" si="140"/>
        <v>2029</v>
      </c>
      <c r="AH338" s="133">
        <f t="shared" si="140"/>
        <v>2030</v>
      </c>
      <c r="AI338" s="133">
        <f t="shared" si="140"/>
        <v>2031</v>
      </c>
      <c r="AJ338" s="133">
        <f t="shared" si="140"/>
        <v>2032</v>
      </c>
      <c r="AK338" s="133">
        <f t="shared" si="140"/>
        <v>2033</v>
      </c>
      <c r="AL338" s="133">
        <f t="shared" si="140"/>
        <v>2034</v>
      </c>
      <c r="AM338" s="133">
        <f t="shared" si="140"/>
        <v>2035</v>
      </c>
      <c r="AN338" s="133">
        <f t="shared" si="140"/>
        <v>2036</v>
      </c>
      <c r="AO338" s="133">
        <f t="shared" si="140"/>
        <v>2037</v>
      </c>
      <c r="AP338" s="133">
        <f t="shared" si="140"/>
        <v>2038</v>
      </c>
      <c r="AQ338" s="133">
        <f t="shared" si="140"/>
        <v>2039</v>
      </c>
      <c r="AR338" s="133">
        <f t="shared" si="140"/>
        <v>2040</v>
      </c>
      <c r="AS338" s="133">
        <f t="shared" si="140"/>
        <v>2041</v>
      </c>
      <c r="AT338" s="133">
        <f t="shared" si="140"/>
        <v>2042</v>
      </c>
      <c r="AU338" s="133">
        <f t="shared" si="140"/>
        <v>2043</v>
      </c>
      <c r="AV338" s="133">
        <f t="shared" si="140"/>
        <v>2044</v>
      </c>
      <c r="AW338" s="133">
        <f t="shared" si="140"/>
        <v>2045</v>
      </c>
      <c r="AX338" s="133">
        <f t="shared" si="140"/>
        <v>2046</v>
      </c>
      <c r="AY338" s="133">
        <f t="shared" si="140"/>
        <v>2047</v>
      </c>
      <c r="AZ338" s="133">
        <f t="shared" si="140"/>
        <v>2048</v>
      </c>
      <c r="BA338" s="133">
        <f t="shared" si="140"/>
        <v>2049</v>
      </c>
      <c r="BB338" s="134">
        <f t="shared" si="140"/>
        <v>2050</v>
      </c>
      <c r="BD338" s="135">
        <f t="shared" ref="BD338:CM338" si="141">BD$1</f>
        <v>2015</v>
      </c>
      <c r="BE338" s="133">
        <f t="shared" si="141"/>
        <v>2016</v>
      </c>
      <c r="BF338" s="133">
        <f t="shared" si="141"/>
        <v>2017</v>
      </c>
      <c r="BG338" s="133">
        <f t="shared" si="141"/>
        <v>2018</v>
      </c>
      <c r="BH338" s="133">
        <f t="shared" si="141"/>
        <v>2019</v>
      </c>
      <c r="BI338" s="133">
        <f t="shared" si="141"/>
        <v>2020</v>
      </c>
      <c r="BJ338" s="133">
        <f t="shared" si="141"/>
        <v>2021</v>
      </c>
      <c r="BK338" s="133">
        <f t="shared" si="141"/>
        <v>2022</v>
      </c>
      <c r="BL338" s="133">
        <f t="shared" si="141"/>
        <v>2023</v>
      </c>
      <c r="BM338" s="133">
        <f t="shared" si="141"/>
        <v>2024</v>
      </c>
      <c r="BN338" s="133">
        <f t="shared" si="141"/>
        <v>2025</v>
      </c>
      <c r="BO338" s="133">
        <f t="shared" si="141"/>
        <v>2026</v>
      </c>
      <c r="BP338" s="133">
        <f t="shared" si="141"/>
        <v>2027</v>
      </c>
      <c r="BQ338" s="133">
        <f t="shared" si="141"/>
        <v>2028</v>
      </c>
      <c r="BR338" s="133">
        <f t="shared" si="141"/>
        <v>2029</v>
      </c>
      <c r="BS338" s="133">
        <f t="shared" si="141"/>
        <v>2030</v>
      </c>
      <c r="BT338" s="133">
        <f t="shared" si="141"/>
        <v>2031</v>
      </c>
      <c r="BU338" s="133">
        <f t="shared" si="141"/>
        <v>2032</v>
      </c>
      <c r="BV338" s="133">
        <f t="shared" si="141"/>
        <v>2033</v>
      </c>
      <c r="BW338" s="133">
        <f t="shared" si="141"/>
        <v>2034</v>
      </c>
      <c r="BX338" s="133">
        <f t="shared" si="141"/>
        <v>2035</v>
      </c>
      <c r="BY338" s="133">
        <f t="shared" si="141"/>
        <v>2036</v>
      </c>
      <c r="BZ338" s="133">
        <f t="shared" si="141"/>
        <v>2037</v>
      </c>
      <c r="CA338" s="133">
        <f t="shared" si="141"/>
        <v>2038</v>
      </c>
      <c r="CB338" s="133">
        <f t="shared" si="141"/>
        <v>2039</v>
      </c>
      <c r="CC338" s="133">
        <f t="shared" si="141"/>
        <v>2040</v>
      </c>
      <c r="CD338" s="133">
        <f t="shared" si="141"/>
        <v>2041</v>
      </c>
      <c r="CE338" s="133">
        <f t="shared" si="141"/>
        <v>2042</v>
      </c>
      <c r="CF338" s="133">
        <f t="shared" si="141"/>
        <v>2043</v>
      </c>
      <c r="CG338" s="133">
        <f t="shared" si="141"/>
        <v>2044</v>
      </c>
      <c r="CH338" s="133">
        <f t="shared" si="141"/>
        <v>2045</v>
      </c>
      <c r="CI338" s="133">
        <f t="shared" si="141"/>
        <v>2046</v>
      </c>
      <c r="CJ338" s="133">
        <f t="shared" si="141"/>
        <v>2047</v>
      </c>
      <c r="CK338" s="133">
        <f t="shared" si="141"/>
        <v>2048</v>
      </c>
      <c r="CL338" s="133">
        <f t="shared" si="141"/>
        <v>2049</v>
      </c>
      <c r="CM338" s="134">
        <f t="shared" si="141"/>
        <v>2050</v>
      </c>
      <c r="CO338" s="135">
        <f t="shared" ref="CO338:DX338" si="142">CO$1</f>
        <v>2015</v>
      </c>
      <c r="CP338" s="133">
        <f t="shared" si="142"/>
        <v>2016</v>
      </c>
      <c r="CQ338" s="133">
        <f t="shared" si="142"/>
        <v>2017</v>
      </c>
      <c r="CR338" s="133">
        <f t="shared" si="142"/>
        <v>2018</v>
      </c>
      <c r="CS338" s="133">
        <f t="shared" si="142"/>
        <v>2019</v>
      </c>
      <c r="CT338" s="133">
        <f t="shared" si="142"/>
        <v>2020</v>
      </c>
      <c r="CU338" s="133">
        <f t="shared" si="142"/>
        <v>2021</v>
      </c>
      <c r="CV338" s="133">
        <f t="shared" si="142"/>
        <v>2022</v>
      </c>
      <c r="CW338" s="133">
        <f t="shared" si="142"/>
        <v>2023</v>
      </c>
      <c r="CX338" s="133">
        <f t="shared" si="142"/>
        <v>2024</v>
      </c>
      <c r="CY338" s="133">
        <f t="shared" si="142"/>
        <v>2025</v>
      </c>
      <c r="CZ338" s="133">
        <f t="shared" si="142"/>
        <v>2026</v>
      </c>
      <c r="DA338" s="133">
        <f t="shared" si="142"/>
        <v>2027</v>
      </c>
      <c r="DB338" s="133">
        <f t="shared" si="142"/>
        <v>2028</v>
      </c>
      <c r="DC338" s="133">
        <f t="shared" si="142"/>
        <v>2029</v>
      </c>
      <c r="DD338" s="133">
        <f t="shared" si="142"/>
        <v>2030</v>
      </c>
      <c r="DE338" s="133">
        <f t="shared" si="142"/>
        <v>2031</v>
      </c>
      <c r="DF338" s="133">
        <f t="shared" si="142"/>
        <v>2032</v>
      </c>
      <c r="DG338" s="133">
        <f t="shared" si="142"/>
        <v>2033</v>
      </c>
      <c r="DH338" s="133">
        <f t="shared" si="142"/>
        <v>2034</v>
      </c>
      <c r="DI338" s="133">
        <f t="shared" si="142"/>
        <v>2035</v>
      </c>
      <c r="DJ338" s="133">
        <f t="shared" si="142"/>
        <v>2036</v>
      </c>
      <c r="DK338" s="133">
        <f t="shared" si="142"/>
        <v>2037</v>
      </c>
      <c r="DL338" s="133">
        <f t="shared" si="142"/>
        <v>2038</v>
      </c>
      <c r="DM338" s="133">
        <f t="shared" si="142"/>
        <v>2039</v>
      </c>
      <c r="DN338" s="133">
        <f t="shared" si="142"/>
        <v>2040</v>
      </c>
      <c r="DO338" s="133">
        <f t="shared" si="142"/>
        <v>2041</v>
      </c>
      <c r="DP338" s="133">
        <f t="shared" si="142"/>
        <v>2042</v>
      </c>
      <c r="DQ338" s="133">
        <f t="shared" si="142"/>
        <v>2043</v>
      </c>
      <c r="DR338" s="133">
        <f t="shared" si="142"/>
        <v>2044</v>
      </c>
      <c r="DS338" s="133">
        <f t="shared" si="142"/>
        <v>2045</v>
      </c>
      <c r="DT338" s="133">
        <f t="shared" si="142"/>
        <v>2046</v>
      </c>
      <c r="DU338" s="133">
        <f t="shared" si="142"/>
        <v>2047</v>
      </c>
      <c r="DV338" s="133">
        <f t="shared" si="142"/>
        <v>2048</v>
      </c>
      <c r="DW338" s="133">
        <f t="shared" si="142"/>
        <v>2049</v>
      </c>
      <c r="DX338" s="134">
        <f t="shared" si="142"/>
        <v>2050</v>
      </c>
      <c r="DZ338" s="135">
        <f t="shared" ref="DZ338:FI338" si="143">DZ$1</f>
        <v>2015</v>
      </c>
      <c r="EA338" s="133">
        <f t="shared" si="143"/>
        <v>2016</v>
      </c>
      <c r="EB338" s="133">
        <f t="shared" si="143"/>
        <v>2017</v>
      </c>
      <c r="EC338" s="133">
        <f t="shared" si="143"/>
        <v>2018</v>
      </c>
      <c r="ED338" s="133">
        <f t="shared" si="143"/>
        <v>2019</v>
      </c>
      <c r="EE338" s="133">
        <f t="shared" si="143"/>
        <v>2020</v>
      </c>
      <c r="EF338" s="133">
        <f t="shared" si="143"/>
        <v>2021</v>
      </c>
      <c r="EG338" s="133">
        <f t="shared" si="143"/>
        <v>2022</v>
      </c>
      <c r="EH338" s="133">
        <f t="shared" si="143"/>
        <v>2023</v>
      </c>
      <c r="EI338" s="133">
        <f t="shared" si="143"/>
        <v>2024</v>
      </c>
      <c r="EJ338" s="133">
        <f t="shared" si="143"/>
        <v>2025</v>
      </c>
      <c r="EK338" s="133">
        <f t="shared" si="143"/>
        <v>2026</v>
      </c>
      <c r="EL338" s="133">
        <f t="shared" si="143"/>
        <v>2027</v>
      </c>
      <c r="EM338" s="133">
        <f t="shared" si="143"/>
        <v>2028</v>
      </c>
      <c r="EN338" s="133">
        <f t="shared" si="143"/>
        <v>2029</v>
      </c>
      <c r="EO338" s="133">
        <f t="shared" si="143"/>
        <v>2030</v>
      </c>
      <c r="EP338" s="133">
        <f t="shared" si="143"/>
        <v>2031</v>
      </c>
      <c r="EQ338" s="133">
        <f t="shared" si="143"/>
        <v>2032</v>
      </c>
      <c r="ER338" s="133">
        <f t="shared" si="143"/>
        <v>2033</v>
      </c>
      <c r="ES338" s="133">
        <f t="shared" si="143"/>
        <v>2034</v>
      </c>
      <c r="ET338" s="133">
        <f t="shared" si="143"/>
        <v>2035</v>
      </c>
      <c r="EU338" s="133">
        <f t="shared" si="143"/>
        <v>2036</v>
      </c>
      <c r="EV338" s="133">
        <f t="shared" si="143"/>
        <v>2037</v>
      </c>
      <c r="EW338" s="133">
        <f t="shared" si="143"/>
        <v>2038</v>
      </c>
      <c r="EX338" s="133">
        <f t="shared" si="143"/>
        <v>2039</v>
      </c>
      <c r="EY338" s="133">
        <f t="shared" si="143"/>
        <v>2040</v>
      </c>
      <c r="EZ338" s="133">
        <f t="shared" si="143"/>
        <v>2041</v>
      </c>
      <c r="FA338" s="133">
        <f t="shared" si="143"/>
        <v>2042</v>
      </c>
      <c r="FB338" s="133">
        <f t="shared" si="143"/>
        <v>2043</v>
      </c>
      <c r="FC338" s="133">
        <f t="shared" si="143"/>
        <v>2044</v>
      </c>
      <c r="FD338" s="133">
        <f t="shared" si="143"/>
        <v>2045</v>
      </c>
      <c r="FE338" s="133">
        <f t="shared" si="143"/>
        <v>2046</v>
      </c>
      <c r="FF338" s="133">
        <f t="shared" si="143"/>
        <v>2047</v>
      </c>
      <c r="FG338" s="133">
        <f t="shared" si="143"/>
        <v>2048</v>
      </c>
      <c r="FH338" s="133">
        <f t="shared" si="143"/>
        <v>2049</v>
      </c>
      <c r="FI338" s="134">
        <f t="shared" si="143"/>
        <v>2050</v>
      </c>
      <c r="FK338" s="135">
        <f t="shared" ref="FK338:GT338" si="144">FK$1</f>
        <v>2015</v>
      </c>
      <c r="FL338" s="133">
        <f t="shared" si="144"/>
        <v>2016</v>
      </c>
      <c r="FM338" s="133">
        <f t="shared" si="144"/>
        <v>2017</v>
      </c>
      <c r="FN338" s="133">
        <f t="shared" si="144"/>
        <v>2018</v>
      </c>
      <c r="FO338" s="133">
        <f t="shared" si="144"/>
        <v>2019</v>
      </c>
      <c r="FP338" s="133">
        <f t="shared" si="144"/>
        <v>2020</v>
      </c>
      <c r="FQ338" s="133">
        <f t="shared" si="144"/>
        <v>2021</v>
      </c>
      <c r="FR338" s="133">
        <f t="shared" si="144"/>
        <v>2022</v>
      </c>
      <c r="FS338" s="133">
        <f t="shared" si="144"/>
        <v>2023</v>
      </c>
      <c r="FT338" s="133">
        <f t="shared" si="144"/>
        <v>2024</v>
      </c>
      <c r="FU338" s="133">
        <f t="shared" si="144"/>
        <v>2025</v>
      </c>
      <c r="FV338" s="133">
        <f t="shared" si="144"/>
        <v>2026</v>
      </c>
      <c r="FW338" s="133">
        <f t="shared" si="144"/>
        <v>2027</v>
      </c>
      <c r="FX338" s="133">
        <f t="shared" si="144"/>
        <v>2028</v>
      </c>
      <c r="FY338" s="133">
        <f t="shared" si="144"/>
        <v>2029</v>
      </c>
      <c r="FZ338" s="133">
        <f t="shared" si="144"/>
        <v>2030</v>
      </c>
      <c r="GA338" s="133">
        <f t="shared" si="144"/>
        <v>2031</v>
      </c>
      <c r="GB338" s="133">
        <f t="shared" si="144"/>
        <v>2032</v>
      </c>
      <c r="GC338" s="133">
        <f t="shared" si="144"/>
        <v>2033</v>
      </c>
      <c r="GD338" s="133">
        <f t="shared" si="144"/>
        <v>2034</v>
      </c>
      <c r="GE338" s="133">
        <f t="shared" si="144"/>
        <v>2035</v>
      </c>
      <c r="GF338" s="133">
        <f t="shared" si="144"/>
        <v>2036</v>
      </c>
      <c r="GG338" s="133">
        <f t="shared" si="144"/>
        <v>2037</v>
      </c>
      <c r="GH338" s="133">
        <f t="shared" si="144"/>
        <v>2038</v>
      </c>
      <c r="GI338" s="133">
        <f t="shared" si="144"/>
        <v>2039</v>
      </c>
      <c r="GJ338" s="133">
        <f t="shared" si="144"/>
        <v>2040</v>
      </c>
      <c r="GK338" s="133">
        <f t="shared" si="144"/>
        <v>2041</v>
      </c>
      <c r="GL338" s="133">
        <f t="shared" si="144"/>
        <v>2042</v>
      </c>
      <c r="GM338" s="133">
        <f t="shared" si="144"/>
        <v>2043</v>
      </c>
      <c r="GN338" s="133">
        <f t="shared" si="144"/>
        <v>2044</v>
      </c>
      <c r="GO338" s="133">
        <f t="shared" si="144"/>
        <v>2045</v>
      </c>
      <c r="GP338" s="133">
        <f t="shared" si="144"/>
        <v>2046</v>
      </c>
      <c r="GQ338" s="133">
        <f t="shared" si="144"/>
        <v>2047</v>
      </c>
      <c r="GR338" s="133">
        <f t="shared" si="144"/>
        <v>2048</v>
      </c>
      <c r="GS338" s="133">
        <f t="shared" si="144"/>
        <v>2049</v>
      </c>
      <c r="GT338" s="134">
        <f t="shared" si="144"/>
        <v>2050</v>
      </c>
      <c r="GV338" s="135">
        <f t="shared" ref="GV338:IE338" si="145">GV$1</f>
        <v>2015</v>
      </c>
      <c r="GW338" s="133">
        <f t="shared" si="145"/>
        <v>2016</v>
      </c>
      <c r="GX338" s="133">
        <f t="shared" si="145"/>
        <v>2017</v>
      </c>
      <c r="GY338" s="133">
        <f t="shared" si="145"/>
        <v>2018</v>
      </c>
      <c r="GZ338" s="133">
        <f t="shared" si="145"/>
        <v>2019</v>
      </c>
      <c r="HA338" s="133">
        <f t="shared" si="145"/>
        <v>2020</v>
      </c>
      <c r="HB338" s="133">
        <f t="shared" si="145"/>
        <v>2021</v>
      </c>
      <c r="HC338" s="133">
        <f t="shared" si="145"/>
        <v>2022</v>
      </c>
      <c r="HD338" s="133">
        <f t="shared" si="145"/>
        <v>2023</v>
      </c>
      <c r="HE338" s="133">
        <f t="shared" si="145"/>
        <v>2024</v>
      </c>
      <c r="HF338" s="133">
        <f t="shared" si="145"/>
        <v>2025</v>
      </c>
      <c r="HG338" s="133">
        <f t="shared" si="145"/>
        <v>2026</v>
      </c>
      <c r="HH338" s="133">
        <f t="shared" si="145"/>
        <v>2027</v>
      </c>
      <c r="HI338" s="133">
        <f t="shared" si="145"/>
        <v>2028</v>
      </c>
      <c r="HJ338" s="133">
        <f t="shared" si="145"/>
        <v>2029</v>
      </c>
      <c r="HK338" s="133">
        <f t="shared" si="145"/>
        <v>2030</v>
      </c>
      <c r="HL338" s="133">
        <f t="shared" si="145"/>
        <v>2031</v>
      </c>
      <c r="HM338" s="133">
        <f t="shared" si="145"/>
        <v>2032</v>
      </c>
      <c r="HN338" s="133">
        <f t="shared" si="145"/>
        <v>2033</v>
      </c>
      <c r="HO338" s="133">
        <f t="shared" si="145"/>
        <v>2034</v>
      </c>
      <c r="HP338" s="133">
        <f t="shared" si="145"/>
        <v>2035</v>
      </c>
      <c r="HQ338" s="133">
        <f t="shared" si="145"/>
        <v>2036</v>
      </c>
      <c r="HR338" s="133">
        <f t="shared" si="145"/>
        <v>2037</v>
      </c>
      <c r="HS338" s="133">
        <f t="shared" si="145"/>
        <v>2038</v>
      </c>
      <c r="HT338" s="133">
        <f t="shared" si="145"/>
        <v>2039</v>
      </c>
      <c r="HU338" s="133">
        <f t="shared" si="145"/>
        <v>2040</v>
      </c>
      <c r="HV338" s="133">
        <f t="shared" si="145"/>
        <v>2041</v>
      </c>
      <c r="HW338" s="133">
        <f t="shared" si="145"/>
        <v>2042</v>
      </c>
      <c r="HX338" s="133">
        <f t="shared" si="145"/>
        <v>2043</v>
      </c>
      <c r="HY338" s="133">
        <f t="shared" si="145"/>
        <v>2044</v>
      </c>
      <c r="HZ338" s="133">
        <f t="shared" si="145"/>
        <v>2045</v>
      </c>
      <c r="IA338" s="133">
        <f t="shared" si="145"/>
        <v>2046</v>
      </c>
      <c r="IB338" s="133">
        <f t="shared" si="145"/>
        <v>2047</v>
      </c>
      <c r="IC338" s="133">
        <f t="shared" si="145"/>
        <v>2048</v>
      </c>
      <c r="ID338" s="133">
        <f t="shared" si="145"/>
        <v>2049</v>
      </c>
      <c r="IE338" s="134">
        <f t="shared" si="145"/>
        <v>2050</v>
      </c>
      <c r="IG338" s="135">
        <f t="shared" ref="IG338:JP338" si="146">IG$1</f>
        <v>2015</v>
      </c>
      <c r="IH338" s="133">
        <f t="shared" si="146"/>
        <v>2016</v>
      </c>
      <c r="II338" s="133">
        <f t="shared" si="146"/>
        <v>2017</v>
      </c>
      <c r="IJ338" s="133">
        <f t="shared" si="146"/>
        <v>2018</v>
      </c>
      <c r="IK338" s="133">
        <f t="shared" si="146"/>
        <v>2019</v>
      </c>
      <c r="IL338" s="133">
        <f t="shared" si="146"/>
        <v>2020</v>
      </c>
      <c r="IM338" s="133">
        <f t="shared" si="146"/>
        <v>2021</v>
      </c>
      <c r="IN338" s="133">
        <f t="shared" si="146"/>
        <v>2022</v>
      </c>
      <c r="IO338" s="133">
        <f t="shared" si="146"/>
        <v>2023</v>
      </c>
      <c r="IP338" s="133">
        <f t="shared" si="146"/>
        <v>2024</v>
      </c>
      <c r="IQ338" s="133">
        <f t="shared" si="146"/>
        <v>2025</v>
      </c>
      <c r="IR338" s="133">
        <f t="shared" si="146"/>
        <v>2026</v>
      </c>
      <c r="IS338" s="133">
        <f t="shared" si="146"/>
        <v>2027</v>
      </c>
      <c r="IT338" s="133">
        <f t="shared" si="146"/>
        <v>2028</v>
      </c>
      <c r="IU338" s="133">
        <f t="shared" si="146"/>
        <v>2029</v>
      </c>
      <c r="IV338" s="133">
        <f t="shared" si="146"/>
        <v>2030</v>
      </c>
      <c r="IW338" s="133">
        <f t="shared" si="146"/>
        <v>2031</v>
      </c>
      <c r="IX338" s="133">
        <f t="shared" si="146"/>
        <v>2032</v>
      </c>
      <c r="IY338" s="133">
        <f t="shared" si="146"/>
        <v>2033</v>
      </c>
      <c r="IZ338" s="133">
        <f t="shared" si="146"/>
        <v>2034</v>
      </c>
      <c r="JA338" s="133">
        <f t="shared" si="146"/>
        <v>2035</v>
      </c>
      <c r="JB338" s="133">
        <f t="shared" si="146"/>
        <v>2036</v>
      </c>
      <c r="JC338" s="133">
        <f t="shared" si="146"/>
        <v>2037</v>
      </c>
      <c r="JD338" s="133">
        <f t="shared" si="146"/>
        <v>2038</v>
      </c>
      <c r="JE338" s="133">
        <f t="shared" si="146"/>
        <v>2039</v>
      </c>
      <c r="JF338" s="133">
        <f t="shared" si="146"/>
        <v>2040</v>
      </c>
      <c r="JG338" s="133">
        <f t="shared" si="146"/>
        <v>2041</v>
      </c>
      <c r="JH338" s="133">
        <f t="shared" si="146"/>
        <v>2042</v>
      </c>
      <c r="JI338" s="133">
        <f t="shared" si="146"/>
        <v>2043</v>
      </c>
      <c r="JJ338" s="133">
        <f t="shared" si="146"/>
        <v>2044</v>
      </c>
      <c r="JK338" s="133">
        <f t="shared" si="146"/>
        <v>2045</v>
      </c>
      <c r="JL338" s="133">
        <f t="shared" si="146"/>
        <v>2046</v>
      </c>
      <c r="JM338" s="133">
        <f t="shared" si="146"/>
        <v>2047</v>
      </c>
      <c r="JN338" s="133">
        <f t="shared" si="146"/>
        <v>2048</v>
      </c>
      <c r="JO338" s="133">
        <f t="shared" si="146"/>
        <v>2049</v>
      </c>
      <c r="JP338" s="134">
        <f t="shared" si="146"/>
        <v>2050</v>
      </c>
      <c r="JR338" s="135">
        <f t="shared" ref="JR338:MC338" si="147">JR$1</f>
        <v>2015</v>
      </c>
      <c r="JS338" s="133">
        <f t="shared" si="147"/>
        <v>2016</v>
      </c>
      <c r="JT338" s="133">
        <f t="shared" si="147"/>
        <v>2017</v>
      </c>
      <c r="JU338" s="133">
        <f t="shared" si="147"/>
        <v>2018</v>
      </c>
      <c r="JV338" s="133">
        <f t="shared" si="147"/>
        <v>2019</v>
      </c>
      <c r="JW338" s="133">
        <f t="shared" si="147"/>
        <v>2020</v>
      </c>
      <c r="JX338" s="133">
        <f t="shared" si="147"/>
        <v>2021</v>
      </c>
      <c r="JY338" s="133">
        <f t="shared" si="147"/>
        <v>2022</v>
      </c>
      <c r="JZ338" s="133">
        <f t="shared" si="147"/>
        <v>2023</v>
      </c>
      <c r="KA338" s="133">
        <f t="shared" si="147"/>
        <v>2024</v>
      </c>
      <c r="KB338" s="133">
        <f t="shared" si="147"/>
        <v>2025</v>
      </c>
      <c r="KC338" s="133">
        <f t="shared" si="147"/>
        <v>2026</v>
      </c>
      <c r="KD338" s="133">
        <f t="shared" si="147"/>
        <v>2027</v>
      </c>
      <c r="KE338" s="133">
        <f t="shared" si="147"/>
        <v>2028</v>
      </c>
      <c r="KF338" s="133">
        <f t="shared" si="147"/>
        <v>2029</v>
      </c>
      <c r="KG338" s="133">
        <f t="shared" si="147"/>
        <v>2030</v>
      </c>
      <c r="KH338" s="133">
        <f t="shared" si="147"/>
        <v>2031</v>
      </c>
      <c r="KI338" s="133">
        <f t="shared" si="147"/>
        <v>2032</v>
      </c>
      <c r="KJ338" s="133">
        <f t="shared" si="147"/>
        <v>2033</v>
      </c>
      <c r="KK338" s="133">
        <f t="shared" si="147"/>
        <v>2034</v>
      </c>
      <c r="KL338" s="133">
        <f t="shared" si="147"/>
        <v>2035</v>
      </c>
      <c r="KM338" s="133">
        <f t="shared" si="147"/>
        <v>2036</v>
      </c>
      <c r="KN338" s="133">
        <f t="shared" si="147"/>
        <v>2037</v>
      </c>
      <c r="KO338" s="133">
        <f t="shared" si="147"/>
        <v>2038</v>
      </c>
      <c r="KP338" s="133">
        <f t="shared" si="147"/>
        <v>2039</v>
      </c>
      <c r="KQ338" s="133">
        <f t="shared" si="147"/>
        <v>2040</v>
      </c>
      <c r="KR338" s="133">
        <f t="shared" si="147"/>
        <v>2041</v>
      </c>
      <c r="KS338" s="133">
        <f t="shared" si="147"/>
        <v>2042</v>
      </c>
      <c r="KT338" s="133">
        <f t="shared" si="147"/>
        <v>2043</v>
      </c>
      <c r="KU338" s="133">
        <f t="shared" si="147"/>
        <v>2044</v>
      </c>
      <c r="KV338" s="133">
        <f t="shared" si="147"/>
        <v>2045</v>
      </c>
      <c r="KW338" s="133">
        <f t="shared" si="147"/>
        <v>2046</v>
      </c>
      <c r="KX338" s="133">
        <f t="shared" si="147"/>
        <v>2047</v>
      </c>
      <c r="KY338" s="133">
        <f t="shared" si="147"/>
        <v>2048</v>
      </c>
      <c r="KZ338" s="133">
        <f t="shared" si="147"/>
        <v>2049</v>
      </c>
      <c r="LA338" s="134">
        <f t="shared" si="147"/>
        <v>2050</v>
      </c>
      <c r="LC338" s="135">
        <f t="shared" si="147"/>
        <v>2015</v>
      </c>
      <c r="LD338" s="133">
        <f t="shared" si="147"/>
        <v>2016</v>
      </c>
      <c r="LE338" s="133">
        <f t="shared" si="147"/>
        <v>2017</v>
      </c>
      <c r="LF338" s="133">
        <f t="shared" si="147"/>
        <v>2018</v>
      </c>
      <c r="LG338" s="133">
        <f t="shared" si="147"/>
        <v>2019</v>
      </c>
      <c r="LH338" s="133">
        <f t="shared" si="147"/>
        <v>2020</v>
      </c>
      <c r="LI338" s="133">
        <f t="shared" si="147"/>
        <v>2021</v>
      </c>
      <c r="LJ338" s="133">
        <f t="shared" si="147"/>
        <v>2022</v>
      </c>
      <c r="LK338" s="133">
        <f t="shared" si="147"/>
        <v>2023</v>
      </c>
      <c r="LL338" s="133">
        <f t="shared" si="147"/>
        <v>2024</v>
      </c>
      <c r="LM338" s="133">
        <f t="shared" si="147"/>
        <v>2025</v>
      </c>
      <c r="LN338" s="133">
        <f t="shared" si="147"/>
        <v>2026</v>
      </c>
      <c r="LO338" s="133">
        <f t="shared" si="147"/>
        <v>2027</v>
      </c>
      <c r="LP338" s="133">
        <f t="shared" si="147"/>
        <v>2028</v>
      </c>
      <c r="LQ338" s="133">
        <f t="shared" si="147"/>
        <v>2029</v>
      </c>
      <c r="LR338" s="133">
        <f t="shared" si="147"/>
        <v>2030</v>
      </c>
      <c r="LS338" s="133">
        <f t="shared" si="147"/>
        <v>2031</v>
      </c>
      <c r="LT338" s="133">
        <f t="shared" si="147"/>
        <v>2032</v>
      </c>
      <c r="LU338" s="133">
        <f t="shared" si="147"/>
        <v>2033</v>
      </c>
      <c r="LV338" s="133">
        <f t="shared" si="147"/>
        <v>2034</v>
      </c>
      <c r="LW338" s="133">
        <f t="shared" si="147"/>
        <v>2035</v>
      </c>
      <c r="LX338" s="133">
        <f t="shared" si="147"/>
        <v>2036</v>
      </c>
      <c r="LY338" s="133">
        <f t="shared" si="147"/>
        <v>2037</v>
      </c>
      <c r="LZ338" s="133">
        <f t="shared" si="147"/>
        <v>2038</v>
      </c>
      <c r="MA338" s="133">
        <f t="shared" si="147"/>
        <v>2039</v>
      </c>
      <c r="MB338" s="133">
        <f t="shared" si="147"/>
        <v>2040</v>
      </c>
      <c r="MC338" s="133">
        <f t="shared" si="147"/>
        <v>2041</v>
      </c>
      <c r="MD338" s="133">
        <f t="shared" ref="MD338:ML338" si="148">MD$1</f>
        <v>2042</v>
      </c>
      <c r="ME338" s="133">
        <f t="shared" si="148"/>
        <v>2043</v>
      </c>
      <c r="MF338" s="133">
        <f t="shared" si="148"/>
        <v>2044</v>
      </c>
      <c r="MG338" s="133">
        <f t="shared" si="148"/>
        <v>2045</v>
      </c>
      <c r="MH338" s="133">
        <f t="shared" si="148"/>
        <v>2046</v>
      </c>
      <c r="MI338" s="133">
        <f t="shared" si="148"/>
        <v>2047</v>
      </c>
      <c r="MJ338" s="133">
        <f t="shared" si="148"/>
        <v>2048</v>
      </c>
      <c r="MK338" s="133">
        <f t="shared" si="148"/>
        <v>2049</v>
      </c>
      <c r="ML338" s="134">
        <f t="shared" si="148"/>
        <v>2050</v>
      </c>
    </row>
    <row r="339" spans="3:350" s="4" customFormat="1" ht="18" customHeight="1" x14ac:dyDescent="0.3">
      <c r="C339" s="136" t="s">
        <v>76</v>
      </c>
      <c r="E339" s="137" t="s">
        <v>123</v>
      </c>
      <c r="F339" s="138" t="s">
        <v>104</v>
      </c>
      <c r="H339" s="139"/>
      <c r="I339" s="140"/>
      <c r="J339" s="140"/>
      <c r="K339" s="140"/>
      <c r="L339" s="140"/>
      <c r="M339" s="141"/>
      <c r="N339" s="140"/>
      <c r="O339" s="140"/>
      <c r="P339" s="140"/>
      <c r="Q339" s="140"/>
      <c r="R339" s="140"/>
      <c r="S339" s="139"/>
      <c r="T339" s="140"/>
      <c r="U339" s="140"/>
      <c r="V339" s="140"/>
      <c r="W339" s="140"/>
      <c r="X339" s="140"/>
      <c r="Y339" s="140"/>
      <c r="Z339" s="140"/>
      <c r="AA339" s="140"/>
      <c r="AB339" s="140"/>
      <c r="AC339" s="140"/>
      <c r="AD339" s="140"/>
      <c r="AE339" s="140"/>
      <c r="AF339" s="140"/>
      <c r="AG339" s="140"/>
      <c r="AH339" s="140"/>
      <c r="AI339" s="140"/>
      <c r="AJ339" s="140"/>
      <c r="AK339" s="140"/>
      <c r="AL339" s="140"/>
      <c r="AM339" s="140"/>
      <c r="AN339" s="140"/>
      <c r="AO339" s="140"/>
      <c r="AP339" s="140"/>
      <c r="AQ339" s="140"/>
      <c r="AR339" s="140"/>
      <c r="AS339" s="140"/>
      <c r="AT339" s="140"/>
      <c r="AU339" s="140"/>
      <c r="AV339" s="140"/>
      <c r="AW339" s="140"/>
      <c r="AX339" s="140"/>
      <c r="AY339" s="140"/>
      <c r="AZ339" s="140"/>
      <c r="BA339" s="140"/>
      <c r="BB339" s="141"/>
      <c r="BC339" s="140"/>
      <c r="BD339" s="139"/>
      <c r="BE339" s="140"/>
      <c r="BF339" s="140"/>
      <c r="BG339" s="140"/>
      <c r="BH339" s="140"/>
      <c r="BI339" s="217">
        <v>0</v>
      </c>
      <c r="BJ339" s="218">
        <f t="shared" ref="BJ339:BY346" si="149">$BI339+($CM339-$BI339)*(BJ$1-$BI$1)/($CM$1-$BI$1)</f>
        <v>1.5000000000000001E-2</v>
      </c>
      <c r="BK339" s="218">
        <f t="shared" si="149"/>
        <v>3.0000000000000002E-2</v>
      </c>
      <c r="BL339" s="218">
        <f t="shared" si="149"/>
        <v>4.5000000000000005E-2</v>
      </c>
      <c r="BM339" s="218">
        <f t="shared" si="149"/>
        <v>6.0000000000000005E-2</v>
      </c>
      <c r="BN339" s="219">
        <f t="shared" si="149"/>
        <v>7.4999999999999997E-2</v>
      </c>
      <c r="BO339" s="219">
        <f t="shared" si="149"/>
        <v>9.0000000000000011E-2</v>
      </c>
      <c r="BP339" s="219">
        <f t="shared" si="149"/>
        <v>0.105</v>
      </c>
      <c r="BQ339" s="219">
        <f t="shared" si="149"/>
        <v>0.12000000000000001</v>
      </c>
      <c r="BR339" s="219">
        <f t="shared" si="149"/>
        <v>0.13499999999999998</v>
      </c>
      <c r="BS339" s="219">
        <f t="shared" si="149"/>
        <v>0.15</v>
      </c>
      <c r="BT339" s="219">
        <f t="shared" si="149"/>
        <v>0.16500000000000001</v>
      </c>
      <c r="BU339" s="219">
        <f t="shared" si="149"/>
        <v>0.18000000000000002</v>
      </c>
      <c r="BV339" s="219">
        <f t="shared" si="149"/>
        <v>0.19500000000000001</v>
      </c>
      <c r="BW339" s="219">
        <f t="shared" si="149"/>
        <v>0.21</v>
      </c>
      <c r="BX339" s="219">
        <f t="shared" si="149"/>
        <v>0.22500000000000001</v>
      </c>
      <c r="BY339" s="219">
        <f t="shared" si="149"/>
        <v>0.24000000000000002</v>
      </c>
      <c r="BZ339" s="219">
        <f t="shared" ref="BZ339:CL346" si="150">$BI339+($CM339-$BI339)*(BZ$1-$BI$1)/($CM$1-$BI$1)</f>
        <v>0.255</v>
      </c>
      <c r="CA339" s="219">
        <f t="shared" si="150"/>
        <v>0.26999999999999996</v>
      </c>
      <c r="CB339" s="219">
        <f t="shared" si="150"/>
        <v>0.28500000000000003</v>
      </c>
      <c r="CC339" s="219">
        <f t="shared" si="150"/>
        <v>0.3</v>
      </c>
      <c r="CD339" s="218">
        <f t="shared" si="150"/>
        <v>0.31500000000000006</v>
      </c>
      <c r="CE339" s="218">
        <f t="shared" si="150"/>
        <v>0.33</v>
      </c>
      <c r="CF339" s="218">
        <f t="shared" si="150"/>
        <v>0.34499999999999997</v>
      </c>
      <c r="CG339" s="218">
        <f t="shared" si="150"/>
        <v>0.36000000000000004</v>
      </c>
      <c r="CH339" s="218">
        <f t="shared" si="150"/>
        <v>0.375</v>
      </c>
      <c r="CI339" s="218">
        <f t="shared" si="150"/>
        <v>0.39</v>
      </c>
      <c r="CJ339" s="218">
        <f t="shared" si="150"/>
        <v>0.40500000000000003</v>
      </c>
      <c r="CK339" s="218">
        <f t="shared" si="150"/>
        <v>0.42</v>
      </c>
      <c r="CL339" s="218">
        <f t="shared" si="150"/>
        <v>0.435</v>
      </c>
      <c r="CM339" s="220">
        <f t="shared" ref="CM339:CM346" si="151">BD111</f>
        <v>0.45</v>
      </c>
      <c r="CN339" s="140"/>
      <c r="CO339" s="139"/>
      <c r="CP339" s="140"/>
      <c r="CQ339" s="140"/>
      <c r="CR339" s="140"/>
      <c r="CS339" s="140"/>
      <c r="CT339" s="217">
        <v>0</v>
      </c>
      <c r="CU339" s="218">
        <f t="shared" ref="CU339:DJ346" si="152">$CT339+($DX339-$CT339)*(CU$1-$CT$1)/($DX$1-$CT$1)</f>
        <v>2.5000000000000001E-2</v>
      </c>
      <c r="CV339" s="218">
        <f t="shared" si="152"/>
        <v>0.05</v>
      </c>
      <c r="CW339" s="218">
        <f t="shared" si="152"/>
        <v>7.4999999999999997E-2</v>
      </c>
      <c r="CX339" s="218">
        <f t="shared" si="152"/>
        <v>0.1</v>
      </c>
      <c r="CY339" s="219">
        <f t="shared" si="152"/>
        <v>0.125</v>
      </c>
      <c r="CZ339" s="219">
        <f t="shared" si="152"/>
        <v>0.15</v>
      </c>
      <c r="DA339" s="219">
        <f t="shared" si="152"/>
        <v>0.17499999999999999</v>
      </c>
      <c r="DB339" s="219">
        <f t="shared" si="152"/>
        <v>0.2</v>
      </c>
      <c r="DC339" s="219">
        <f t="shared" si="152"/>
        <v>0.22500000000000001</v>
      </c>
      <c r="DD339" s="219">
        <f t="shared" si="152"/>
        <v>0.25</v>
      </c>
      <c r="DE339" s="219">
        <f t="shared" si="152"/>
        <v>0.27500000000000002</v>
      </c>
      <c r="DF339" s="219">
        <f t="shared" si="152"/>
        <v>0.3</v>
      </c>
      <c r="DG339" s="219">
        <f t="shared" si="152"/>
        <v>0.32500000000000001</v>
      </c>
      <c r="DH339" s="219">
        <f t="shared" si="152"/>
        <v>0.35</v>
      </c>
      <c r="DI339" s="219">
        <f t="shared" si="152"/>
        <v>0.375</v>
      </c>
      <c r="DJ339" s="219">
        <f t="shared" si="152"/>
        <v>0.4</v>
      </c>
      <c r="DK339" s="219">
        <f t="shared" ref="DK339:DW346" si="153">$CT339+($DX339-$CT339)*(DK$1-$CT$1)/($DX$1-$CT$1)</f>
        <v>0.42499999999999999</v>
      </c>
      <c r="DL339" s="219">
        <f t="shared" si="153"/>
        <v>0.45</v>
      </c>
      <c r="DM339" s="219">
        <f t="shared" si="153"/>
        <v>0.47499999999999998</v>
      </c>
      <c r="DN339" s="219">
        <f t="shared" si="153"/>
        <v>0.5</v>
      </c>
      <c r="DO339" s="218">
        <f t="shared" si="153"/>
        <v>0.52500000000000002</v>
      </c>
      <c r="DP339" s="218">
        <f t="shared" si="153"/>
        <v>0.55000000000000004</v>
      </c>
      <c r="DQ339" s="218">
        <f t="shared" si="153"/>
        <v>0.57499999999999996</v>
      </c>
      <c r="DR339" s="218">
        <f t="shared" si="153"/>
        <v>0.6</v>
      </c>
      <c r="DS339" s="218">
        <f t="shared" si="153"/>
        <v>0.625</v>
      </c>
      <c r="DT339" s="218">
        <f t="shared" si="153"/>
        <v>0.65</v>
      </c>
      <c r="DU339" s="218">
        <f t="shared" si="153"/>
        <v>0.67500000000000004</v>
      </c>
      <c r="DV339" s="218">
        <f t="shared" si="153"/>
        <v>0.7</v>
      </c>
      <c r="DW339" s="218">
        <f t="shared" si="153"/>
        <v>0.72499999999999998</v>
      </c>
      <c r="DX339" s="220">
        <f t="shared" ref="DX339:DX346" si="154">CO111</f>
        <v>0.75</v>
      </c>
      <c r="DY339" s="140"/>
      <c r="DZ339" s="139"/>
      <c r="EA339" s="140"/>
      <c r="EB339" s="140"/>
      <c r="EC339" s="140"/>
      <c r="ED339" s="140"/>
      <c r="EE339" s="217">
        <v>0</v>
      </c>
      <c r="EF339" s="218">
        <f t="shared" ref="EF339:EU346" si="155">$EE339+($FI339-$EE339)*(EF$1-$EE$1)/($FI$1-$EE$1)</f>
        <v>2.1666666666666667E-2</v>
      </c>
      <c r="EG339" s="218">
        <f t="shared" si="155"/>
        <v>4.3333333333333335E-2</v>
      </c>
      <c r="EH339" s="218">
        <f t="shared" si="155"/>
        <v>6.5000000000000002E-2</v>
      </c>
      <c r="EI339" s="218">
        <f t="shared" si="155"/>
        <v>8.666666666666667E-2</v>
      </c>
      <c r="EJ339" s="219">
        <f t="shared" si="155"/>
        <v>0.10833333333333334</v>
      </c>
      <c r="EK339" s="219">
        <f t="shared" si="155"/>
        <v>0.13</v>
      </c>
      <c r="EL339" s="219">
        <f t="shared" si="155"/>
        <v>0.15166666666666667</v>
      </c>
      <c r="EM339" s="219">
        <f t="shared" si="155"/>
        <v>0.17333333333333334</v>
      </c>
      <c r="EN339" s="219">
        <f t="shared" si="155"/>
        <v>0.19500000000000001</v>
      </c>
      <c r="EO339" s="219">
        <f t="shared" si="155"/>
        <v>0.21666666666666667</v>
      </c>
      <c r="EP339" s="219">
        <f t="shared" si="155"/>
        <v>0.23833333333333334</v>
      </c>
      <c r="EQ339" s="219">
        <f t="shared" si="155"/>
        <v>0.26</v>
      </c>
      <c r="ER339" s="219">
        <f t="shared" si="155"/>
        <v>0.28166666666666668</v>
      </c>
      <c r="ES339" s="219">
        <f t="shared" si="155"/>
        <v>0.30333333333333334</v>
      </c>
      <c r="ET339" s="219">
        <f t="shared" si="155"/>
        <v>0.32500000000000001</v>
      </c>
      <c r="EU339" s="219">
        <f t="shared" si="155"/>
        <v>0.34666666666666668</v>
      </c>
      <c r="EV339" s="219">
        <f t="shared" ref="EV339:FH346" si="156">$EE339+($FI339-$EE339)*(EV$1-$EE$1)/($FI$1-$EE$1)</f>
        <v>0.36833333333333335</v>
      </c>
      <c r="EW339" s="219">
        <f t="shared" si="156"/>
        <v>0.39</v>
      </c>
      <c r="EX339" s="219">
        <f t="shared" si="156"/>
        <v>0.41166666666666668</v>
      </c>
      <c r="EY339" s="219">
        <f t="shared" si="156"/>
        <v>0.43333333333333335</v>
      </c>
      <c r="EZ339" s="218">
        <f t="shared" si="156"/>
        <v>0.45500000000000002</v>
      </c>
      <c r="FA339" s="218">
        <f t="shared" si="156"/>
        <v>0.47666666666666668</v>
      </c>
      <c r="FB339" s="218">
        <f t="shared" si="156"/>
        <v>0.49833333333333335</v>
      </c>
      <c r="FC339" s="218">
        <f t="shared" si="156"/>
        <v>0.52</v>
      </c>
      <c r="FD339" s="218">
        <f t="shared" si="156"/>
        <v>0.54166666666666663</v>
      </c>
      <c r="FE339" s="218">
        <f t="shared" si="156"/>
        <v>0.56333333333333335</v>
      </c>
      <c r="FF339" s="218">
        <f t="shared" si="156"/>
        <v>0.58500000000000008</v>
      </c>
      <c r="FG339" s="218">
        <f t="shared" si="156"/>
        <v>0.60666666666666669</v>
      </c>
      <c r="FH339" s="218">
        <f t="shared" si="156"/>
        <v>0.62833333333333341</v>
      </c>
      <c r="FI339" s="220">
        <f t="shared" ref="FI339:FI346" si="157">DZ111</f>
        <v>0.65</v>
      </c>
      <c r="FJ339" s="140"/>
      <c r="FK339" s="139"/>
      <c r="FL339" s="140"/>
      <c r="FM339" s="140"/>
      <c r="FN339" s="140"/>
      <c r="FO339" s="140"/>
      <c r="FP339" s="217">
        <v>0</v>
      </c>
      <c r="FQ339" s="218">
        <f t="shared" ref="FQ339:GF346" si="158">$FP339+($GT339-$FP339)*(FQ$1-$FP$1)/($GT$1-$FP$1)</f>
        <v>2.1666666666666667E-2</v>
      </c>
      <c r="FR339" s="218">
        <f t="shared" si="158"/>
        <v>4.3333333333333335E-2</v>
      </c>
      <c r="FS339" s="218">
        <f t="shared" si="158"/>
        <v>6.5000000000000002E-2</v>
      </c>
      <c r="FT339" s="218">
        <f t="shared" si="158"/>
        <v>8.666666666666667E-2</v>
      </c>
      <c r="FU339" s="219">
        <f t="shared" si="158"/>
        <v>0.10833333333333334</v>
      </c>
      <c r="FV339" s="219">
        <f t="shared" si="158"/>
        <v>0.13</v>
      </c>
      <c r="FW339" s="219">
        <f t="shared" si="158"/>
        <v>0.15166666666666667</v>
      </c>
      <c r="FX339" s="219">
        <f t="shared" si="158"/>
        <v>0.17333333333333334</v>
      </c>
      <c r="FY339" s="219">
        <f t="shared" si="158"/>
        <v>0.19500000000000001</v>
      </c>
      <c r="FZ339" s="219">
        <f t="shared" si="158"/>
        <v>0.21666666666666667</v>
      </c>
      <c r="GA339" s="219">
        <f t="shared" si="158"/>
        <v>0.23833333333333334</v>
      </c>
      <c r="GB339" s="219">
        <f t="shared" si="158"/>
        <v>0.26</v>
      </c>
      <c r="GC339" s="219">
        <f t="shared" si="158"/>
        <v>0.28166666666666668</v>
      </c>
      <c r="GD339" s="219">
        <f t="shared" si="158"/>
        <v>0.30333333333333334</v>
      </c>
      <c r="GE339" s="219">
        <f t="shared" si="158"/>
        <v>0.32500000000000001</v>
      </c>
      <c r="GF339" s="219">
        <f t="shared" si="158"/>
        <v>0.34666666666666668</v>
      </c>
      <c r="GG339" s="219">
        <f t="shared" ref="GG339:GS346" si="159">$FP339+($GT339-$FP339)*(GG$1-$FP$1)/($GT$1-$FP$1)</f>
        <v>0.36833333333333335</v>
      </c>
      <c r="GH339" s="219">
        <f t="shared" si="159"/>
        <v>0.39</v>
      </c>
      <c r="GI339" s="219">
        <f t="shared" si="159"/>
        <v>0.41166666666666668</v>
      </c>
      <c r="GJ339" s="219">
        <f t="shared" si="159"/>
        <v>0.43333333333333335</v>
      </c>
      <c r="GK339" s="218">
        <f t="shared" si="159"/>
        <v>0.45500000000000002</v>
      </c>
      <c r="GL339" s="218">
        <f t="shared" si="159"/>
        <v>0.47666666666666668</v>
      </c>
      <c r="GM339" s="218">
        <f t="shared" si="159"/>
        <v>0.49833333333333335</v>
      </c>
      <c r="GN339" s="218">
        <f t="shared" si="159"/>
        <v>0.52</v>
      </c>
      <c r="GO339" s="218">
        <f t="shared" si="159"/>
        <v>0.54166666666666663</v>
      </c>
      <c r="GP339" s="218">
        <f t="shared" si="159"/>
        <v>0.56333333333333335</v>
      </c>
      <c r="GQ339" s="218">
        <f t="shared" si="159"/>
        <v>0.58500000000000008</v>
      </c>
      <c r="GR339" s="218">
        <f t="shared" si="159"/>
        <v>0.60666666666666669</v>
      </c>
      <c r="GS339" s="218">
        <f t="shared" si="159"/>
        <v>0.62833333333333341</v>
      </c>
      <c r="GT339" s="220">
        <f t="shared" ref="GT339:GT346" si="160">FK111</f>
        <v>0.65</v>
      </c>
      <c r="GU339" s="140"/>
      <c r="GV339" s="139"/>
      <c r="GW339" s="140"/>
      <c r="GX339" s="140"/>
      <c r="GY339" s="140"/>
      <c r="GZ339" s="140"/>
      <c r="HA339" s="217">
        <v>0</v>
      </c>
      <c r="HB339" s="218">
        <f t="shared" ref="HB339:HQ346" si="161">$HA339+($IE339-$HA339)*(HB$1-$HA$1)/($IE$1-$HA$1)</f>
        <v>1.8333333333333333E-2</v>
      </c>
      <c r="HC339" s="218">
        <f t="shared" si="161"/>
        <v>3.6666666666666667E-2</v>
      </c>
      <c r="HD339" s="218">
        <f t="shared" si="161"/>
        <v>5.5000000000000007E-2</v>
      </c>
      <c r="HE339" s="218">
        <f t="shared" si="161"/>
        <v>7.3333333333333334E-2</v>
      </c>
      <c r="HF339" s="219">
        <f t="shared" si="161"/>
        <v>9.166666666666666E-2</v>
      </c>
      <c r="HG339" s="219">
        <f t="shared" si="161"/>
        <v>0.11000000000000001</v>
      </c>
      <c r="HH339" s="219">
        <f t="shared" si="161"/>
        <v>0.12833333333333335</v>
      </c>
      <c r="HI339" s="219">
        <f t="shared" si="161"/>
        <v>0.14666666666666667</v>
      </c>
      <c r="HJ339" s="219">
        <f t="shared" si="161"/>
        <v>0.16500000000000001</v>
      </c>
      <c r="HK339" s="219">
        <f t="shared" si="161"/>
        <v>0.18333333333333332</v>
      </c>
      <c r="HL339" s="219">
        <f t="shared" si="161"/>
        <v>0.20166666666666669</v>
      </c>
      <c r="HM339" s="219">
        <f t="shared" si="161"/>
        <v>0.22000000000000003</v>
      </c>
      <c r="HN339" s="219">
        <f t="shared" si="161"/>
        <v>0.23833333333333334</v>
      </c>
      <c r="HO339" s="219">
        <f t="shared" si="161"/>
        <v>0.25666666666666671</v>
      </c>
      <c r="HP339" s="219">
        <f t="shared" si="161"/>
        <v>0.27500000000000002</v>
      </c>
      <c r="HQ339" s="219">
        <f t="shared" si="161"/>
        <v>0.29333333333333333</v>
      </c>
      <c r="HR339" s="219">
        <f t="shared" ref="HR339:ID346" si="162">$HA339+($IE339-$HA339)*(HR$1-$HA$1)/($IE$1-$HA$1)</f>
        <v>0.3116666666666667</v>
      </c>
      <c r="HS339" s="219">
        <f t="shared" si="162"/>
        <v>0.33</v>
      </c>
      <c r="HT339" s="219">
        <f t="shared" si="162"/>
        <v>0.34833333333333338</v>
      </c>
      <c r="HU339" s="219">
        <f t="shared" si="162"/>
        <v>0.36666666666666664</v>
      </c>
      <c r="HV339" s="218">
        <f t="shared" si="162"/>
        <v>0.38500000000000001</v>
      </c>
      <c r="HW339" s="218">
        <f t="shared" si="162"/>
        <v>0.40333333333333338</v>
      </c>
      <c r="HX339" s="218">
        <f t="shared" si="162"/>
        <v>0.42166666666666669</v>
      </c>
      <c r="HY339" s="218">
        <f t="shared" si="162"/>
        <v>0.44000000000000006</v>
      </c>
      <c r="HZ339" s="218">
        <f t="shared" si="162"/>
        <v>0.45833333333333337</v>
      </c>
      <c r="IA339" s="218">
        <f t="shared" si="162"/>
        <v>0.47666666666666668</v>
      </c>
      <c r="IB339" s="218">
        <f t="shared" si="162"/>
        <v>0.49500000000000005</v>
      </c>
      <c r="IC339" s="218">
        <f t="shared" si="162"/>
        <v>0.51333333333333342</v>
      </c>
      <c r="ID339" s="218">
        <f t="shared" si="162"/>
        <v>0.53166666666666673</v>
      </c>
      <c r="IE339" s="220">
        <f t="shared" ref="IE339:IE346" si="163">GV111</f>
        <v>0.55000000000000004</v>
      </c>
      <c r="IF339" s="140"/>
      <c r="IG339" s="139"/>
      <c r="IH339" s="140"/>
      <c r="II339" s="140"/>
      <c r="IJ339" s="140"/>
      <c r="IK339" s="140"/>
      <c r="IL339" s="217">
        <v>0</v>
      </c>
      <c r="IM339" s="218">
        <f t="shared" ref="IM339:JB346" si="164">$IL339+($JP339-$IL339)*(IM$1-$IL$1)/($JP$1-$IL$1)</f>
        <v>0</v>
      </c>
      <c r="IN339" s="218">
        <f t="shared" si="164"/>
        <v>0</v>
      </c>
      <c r="IO339" s="218">
        <f t="shared" si="164"/>
        <v>0</v>
      </c>
      <c r="IP339" s="218">
        <f t="shared" si="164"/>
        <v>0</v>
      </c>
      <c r="IQ339" s="219">
        <f t="shared" si="164"/>
        <v>0</v>
      </c>
      <c r="IR339" s="219">
        <f t="shared" si="164"/>
        <v>0</v>
      </c>
      <c r="IS339" s="219">
        <f t="shared" si="164"/>
        <v>0</v>
      </c>
      <c r="IT339" s="219">
        <f t="shared" si="164"/>
        <v>0</v>
      </c>
      <c r="IU339" s="219">
        <f t="shared" si="164"/>
        <v>0</v>
      </c>
      <c r="IV339" s="219">
        <f t="shared" si="164"/>
        <v>0</v>
      </c>
      <c r="IW339" s="219">
        <f t="shared" si="164"/>
        <v>0</v>
      </c>
      <c r="IX339" s="219">
        <f t="shared" si="164"/>
        <v>0</v>
      </c>
      <c r="IY339" s="219">
        <f t="shared" si="164"/>
        <v>0</v>
      </c>
      <c r="IZ339" s="219">
        <f t="shared" si="164"/>
        <v>0</v>
      </c>
      <c r="JA339" s="219">
        <f t="shared" si="164"/>
        <v>0</v>
      </c>
      <c r="JB339" s="219">
        <f t="shared" si="164"/>
        <v>0</v>
      </c>
      <c r="JC339" s="219">
        <f t="shared" ref="JC339:JO346" si="165">$IL339+($JP339-$IL339)*(JC$1-$IL$1)/($JP$1-$IL$1)</f>
        <v>0</v>
      </c>
      <c r="JD339" s="219">
        <f t="shared" si="165"/>
        <v>0</v>
      </c>
      <c r="JE339" s="219">
        <f t="shared" si="165"/>
        <v>0</v>
      </c>
      <c r="JF339" s="219">
        <f t="shared" si="165"/>
        <v>0</v>
      </c>
      <c r="JG339" s="218">
        <f t="shared" si="165"/>
        <v>0</v>
      </c>
      <c r="JH339" s="218">
        <f t="shared" si="165"/>
        <v>0</v>
      </c>
      <c r="JI339" s="218">
        <f t="shared" si="165"/>
        <v>0</v>
      </c>
      <c r="JJ339" s="218">
        <f t="shared" si="165"/>
        <v>0</v>
      </c>
      <c r="JK339" s="218">
        <f t="shared" si="165"/>
        <v>0</v>
      </c>
      <c r="JL339" s="218">
        <f t="shared" si="165"/>
        <v>0</v>
      </c>
      <c r="JM339" s="218">
        <f t="shared" si="165"/>
        <v>0</v>
      </c>
      <c r="JN339" s="218">
        <f t="shared" si="165"/>
        <v>0</v>
      </c>
      <c r="JO339" s="218">
        <f t="shared" si="165"/>
        <v>0</v>
      </c>
      <c r="JP339" s="220">
        <f t="shared" ref="JP339:JP346" si="166">IG111</f>
        <v>0</v>
      </c>
      <c r="JQ339" s="140"/>
      <c r="JR339" s="139"/>
      <c r="JS339" s="140"/>
      <c r="JT339" s="140"/>
      <c r="JU339" s="140"/>
      <c r="JV339" s="140"/>
      <c r="JW339" s="217">
        <v>0</v>
      </c>
      <c r="JX339" s="218">
        <f t="shared" ref="JX339:KM346" si="167">$JW339+($LA339-$JW339)*(JX$1-$JW$1)/($LA$1-$JW$1)</f>
        <v>0</v>
      </c>
      <c r="JY339" s="218">
        <f t="shared" si="167"/>
        <v>0</v>
      </c>
      <c r="JZ339" s="218">
        <f t="shared" si="167"/>
        <v>0</v>
      </c>
      <c r="KA339" s="218">
        <f t="shared" si="167"/>
        <v>0</v>
      </c>
      <c r="KB339" s="219">
        <f t="shared" si="167"/>
        <v>0</v>
      </c>
      <c r="KC339" s="219">
        <f t="shared" si="167"/>
        <v>0</v>
      </c>
      <c r="KD339" s="219">
        <f t="shared" si="167"/>
        <v>0</v>
      </c>
      <c r="KE339" s="219">
        <f t="shared" si="167"/>
        <v>0</v>
      </c>
      <c r="KF339" s="219">
        <f t="shared" si="167"/>
        <v>0</v>
      </c>
      <c r="KG339" s="219">
        <f t="shared" si="167"/>
        <v>0</v>
      </c>
      <c r="KH339" s="219">
        <f t="shared" si="167"/>
        <v>0</v>
      </c>
      <c r="KI339" s="219">
        <f t="shared" si="167"/>
        <v>0</v>
      </c>
      <c r="KJ339" s="219">
        <f t="shared" si="167"/>
        <v>0</v>
      </c>
      <c r="KK339" s="219">
        <f t="shared" si="167"/>
        <v>0</v>
      </c>
      <c r="KL339" s="219">
        <f t="shared" si="167"/>
        <v>0</v>
      </c>
      <c r="KM339" s="219">
        <f t="shared" si="167"/>
        <v>0</v>
      </c>
      <c r="KN339" s="219">
        <f t="shared" ref="KN339:KZ346" si="168">$JW339+($LA339-$JW339)*(KN$1-$JW$1)/($LA$1-$JW$1)</f>
        <v>0</v>
      </c>
      <c r="KO339" s="219">
        <f t="shared" si="168"/>
        <v>0</v>
      </c>
      <c r="KP339" s="219">
        <f t="shared" si="168"/>
        <v>0</v>
      </c>
      <c r="KQ339" s="219">
        <f t="shared" si="168"/>
        <v>0</v>
      </c>
      <c r="KR339" s="218">
        <f t="shared" si="168"/>
        <v>0</v>
      </c>
      <c r="KS339" s="218">
        <f t="shared" si="168"/>
        <v>0</v>
      </c>
      <c r="KT339" s="218">
        <f t="shared" si="168"/>
        <v>0</v>
      </c>
      <c r="KU339" s="218">
        <f t="shared" si="168"/>
        <v>0</v>
      </c>
      <c r="KV339" s="218">
        <f t="shared" si="168"/>
        <v>0</v>
      </c>
      <c r="KW339" s="218">
        <f t="shared" si="168"/>
        <v>0</v>
      </c>
      <c r="KX339" s="218">
        <f t="shared" si="168"/>
        <v>0</v>
      </c>
      <c r="KY339" s="218">
        <f t="shared" si="168"/>
        <v>0</v>
      </c>
      <c r="KZ339" s="218">
        <f t="shared" si="168"/>
        <v>0</v>
      </c>
      <c r="LA339" s="220">
        <f t="shared" ref="LA339:LA346" si="169">JR111</f>
        <v>0</v>
      </c>
      <c r="LB339" s="140"/>
      <c r="LC339" s="139"/>
      <c r="LD339" s="140"/>
      <c r="LE339" s="140"/>
      <c r="LF339" s="140"/>
      <c r="LG339" s="140"/>
      <c r="LH339" s="217">
        <v>0</v>
      </c>
      <c r="LI339" s="218">
        <f t="shared" ref="LI339:LX346" si="170">$LH339+($ML339-$LH339)*(LI$1-$LH$1)/($ML$1-$LH$1)</f>
        <v>0</v>
      </c>
      <c r="LJ339" s="218">
        <f t="shared" si="170"/>
        <v>0</v>
      </c>
      <c r="LK339" s="218">
        <f t="shared" si="170"/>
        <v>0</v>
      </c>
      <c r="LL339" s="218">
        <f t="shared" si="170"/>
        <v>0</v>
      </c>
      <c r="LM339" s="219">
        <f t="shared" si="170"/>
        <v>0</v>
      </c>
      <c r="LN339" s="219">
        <f t="shared" si="170"/>
        <v>0</v>
      </c>
      <c r="LO339" s="219">
        <f t="shared" si="170"/>
        <v>0</v>
      </c>
      <c r="LP339" s="219">
        <f t="shared" si="170"/>
        <v>0</v>
      </c>
      <c r="LQ339" s="219">
        <f t="shared" si="170"/>
        <v>0</v>
      </c>
      <c r="LR339" s="219">
        <f t="shared" si="170"/>
        <v>0</v>
      </c>
      <c r="LS339" s="219">
        <f t="shared" si="170"/>
        <v>0</v>
      </c>
      <c r="LT339" s="219">
        <f t="shared" si="170"/>
        <v>0</v>
      </c>
      <c r="LU339" s="219">
        <f t="shared" si="170"/>
        <v>0</v>
      </c>
      <c r="LV339" s="219">
        <f t="shared" si="170"/>
        <v>0</v>
      </c>
      <c r="LW339" s="219">
        <f t="shared" si="170"/>
        <v>0</v>
      </c>
      <c r="LX339" s="219">
        <f t="shared" si="170"/>
        <v>0</v>
      </c>
      <c r="LY339" s="219">
        <f t="shared" ref="LY339:MK346" si="171">$LH339+($ML339-$LH339)*(LY$1-$LH$1)/($ML$1-$LH$1)</f>
        <v>0</v>
      </c>
      <c r="LZ339" s="219">
        <f t="shared" si="171"/>
        <v>0</v>
      </c>
      <c r="MA339" s="219">
        <f t="shared" si="171"/>
        <v>0</v>
      </c>
      <c r="MB339" s="219">
        <f t="shared" si="171"/>
        <v>0</v>
      </c>
      <c r="MC339" s="218">
        <f t="shared" si="171"/>
        <v>0</v>
      </c>
      <c r="MD339" s="218">
        <f t="shared" si="171"/>
        <v>0</v>
      </c>
      <c r="ME339" s="218">
        <f t="shared" si="171"/>
        <v>0</v>
      </c>
      <c r="MF339" s="218">
        <f t="shared" si="171"/>
        <v>0</v>
      </c>
      <c r="MG339" s="218">
        <f t="shared" si="171"/>
        <v>0</v>
      </c>
      <c r="MH339" s="218">
        <f t="shared" si="171"/>
        <v>0</v>
      </c>
      <c r="MI339" s="218">
        <f t="shared" si="171"/>
        <v>0</v>
      </c>
      <c r="MJ339" s="218">
        <f t="shared" si="171"/>
        <v>0</v>
      </c>
      <c r="MK339" s="218">
        <f t="shared" si="171"/>
        <v>0</v>
      </c>
      <c r="ML339" s="220">
        <f t="shared" ref="ML339:ML346" si="172">LC111</f>
        <v>0</v>
      </c>
    </row>
    <row r="340" spans="3:350" s="4" customFormat="1" ht="18" customHeight="1" x14ac:dyDescent="0.3">
      <c r="C340" s="136" t="s">
        <v>77</v>
      </c>
      <c r="E340" s="137" t="s">
        <v>105</v>
      </c>
      <c r="F340" s="147" t="s">
        <v>105</v>
      </c>
      <c r="H340" s="139"/>
      <c r="I340" s="140"/>
      <c r="J340" s="140"/>
      <c r="K340" s="140"/>
      <c r="L340" s="140"/>
      <c r="M340" s="141"/>
      <c r="N340" s="140"/>
      <c r="O340" s="140"/>
      <c r="P340" s="140"/>
      <c r="Q340" s="140"/>
      <c r="R340" s="140"/>
      <c r="S340" s="139"/>
      <c r="T340" s="140"/>
      <c r="U340" s="140"/>
      <c r="V340" s="140"/>
      <c r="W340" s="140"/>
      <c r="X340" s="140"/>
      <c r="Y340" s="140"/>
      <c r="Z340" s="140"/>
      <c r="AA340" s="140"/>
      <c r="AB340" s="140"/>
      <c r="AC340" s="140"/>
      <c r="AD340" s="140"/>
      <c r="AE340" s="140"/>
      <c r="AF340" s="140"/>
      <c r="AG340" s="140"/>
      <c r="AH340" s="140"/>
      <c r="AI340" s="140"/>
      <c r="AJ340" s="140"/>
      <c r="AK340" s="140"/>
      <c r="AL340" s="140"/>
      <c r="AM340" s="140"/>
      <c r="AN340" s="140"/>
      <c r="AO340" s="140"/>
      <c r="AP340" s="140"/>
      <c r="AQ340" s="140"/>
      <c r="AR340" s="140"/>
      <c r="AS340" s="140"/>
      <c r="AT340" s="140"/>
      <c r="AU340" s="140"/>
      <c r="AV340" s="140"/>
      <c r="AW340" s="140"/>
      <c r="AX340" s="140"/>
      <c r="AY340" s="140"/>
      <c r="AZ340" s="140"/>
      <c r="BA340" s="140"/>
      <c r="BB340" s="141"/>
      <c r="BC340" s="140"/>
      <c r="BD340" s="139"/>
      <c r="BE340" s="140"/>
      <c r="BF340" s="140"/>
      <c r="BG340" s="140"/>
      <c r="BH340" s="140"/>
      <c r="BI340" s="217">
        <v>0</v>
      </c>
      <c r="BJ340" s="218">
        <f t="shared" si="149"/>
        <v>1.5333333333333334E-2</v>
      </c>
      <c r="BK340" s="218">
        <f t="shared" si="149"/>
        <v>3.0666666666666668E-2</v>
      </c>
      <c r="BL340" s="218">
        <f t="shared" si="149"/>
        <v>4.6000000000000006E-2</v>
      </c>
      <c r="BM340" s="218">
        <f t="shared" si="149"/>
        <v>6.1333333333333337E-2</v>
      </c>
      <c r="BN340" s="219">
        <f t="shared" si="149"/>
        <v>7.6666666666666675E-2</v>
      </c>
      <c r="BO340" s="219">
        <f t="shared" si="149"/>
        <v>9.2000000000000012E-2</v>
      </c>
      <c r="BP340" s="219">
        <f t="shared" si="149"/>
        <v>0.10733333333333334</v>
      </c>
      <c r="BQ340" s="219">
        <f t="shared" si="149"/>
        <v>0.12266666666666667</v>
      </c>
      <c r="BR340" s="219">
        <f t="shared" si="149"/>
        <v>0.13800000000000001</v>
      </c>
      <c r="BS340" s="219">
        <f t="shared" si="149"/>
        <v>0.15333333333333335</v>
      </c>
      <c r="BT340" s="219">
        <f t="shared" si="149"/>
        <v>0.16866666666666669</v>
      </c>
      <c r="BU340" s="219">
        <f t="shared" si="149"/>
        <v>0.18400000000000002</v>
      </c>
      <c r="BV340" s="219">
        <f t="shared" si="149"/>
        <v>0.19933333333333333</v>
      </c>
      <c r="BW340" s="219">
        <f t="shared" si="149"/>
        <v>0.21466666666666667</v>
      </c>
      <c r="BX340" s="219">
        <f t="shared" si="149"/>
        <v>0.23</v>
      </c>
      <c r="BY340" s="219">
        <f t="shared" si="149"/>
        <v>0.24533333333333335</v>
      </c>
      <c r="BZ340" s="219">
        <f t="shared" si="150"/>
        <v>0.26066666666666666</v>
      </c>
      <c r="CA340" s="219">
        <f t="shared" si="150"/>
        <v>0.27600000000000002</v>
      </c>
      <c r="CB340" s="219">
        <f t="shared" si="150"/>
        <v>0.29133333333333333</v>
      </c>
      <c r="CC340" s="219">
        <f t="shared" si="150"/>
        <v>0.3066666666666667</v>
      </c>
      <c r="CD340" s="218">
        <f t="shared" si="150"/>
        <v>0.32200000000000001</v>
      </c>
      <c r="CE340" s="218">
        <f t="shared" si="150"/>
        <v>0.33733333333333337</v>
      </c>
      <c r="CF340" s="218">
        <f t="shared" si="150"/>
        <v>0.35266666666666668</v>
      </c>
      <c r="CG340" s="218">
        <f t="shared" si="150"/>
        <v>0.36800000000000005</v>
      </c>
      <c r="CH340" s="218">
        <f t="shared" si="150"/>
        <v>0.38333333333333336</v>
      </c>
      <c r="CI340" s="218">
        <f t="shared" si="150"/>
        <v>0.39866666666666667</v>
      </c>
      <c r="CJ340" s="218">
        <f t="shared" si="150"/>
        <v>0.41399999999999998</v>
      </c>
      <c r="CK340" s="218">
        <f t="shared" si="150"/>
        <v>0.42933333333333334</v>
      </c>
      <c r="CL340" s="218">
        <f t="shared" si="150"/>
        <v>0.44466666666666665</v>
      </c>
      <c r="CM340" s="220">
        <f t="shared" si="151"/>
        <v>0.46</v>
      </c>
      <c r="CN340" s="140"/>
      <c r="CO340" s="139"/>
      <c r="CP340" s="140"/>
      <c r="CQ340" s="140"/>
      <c r="CR340" s="140"/>
      <c r="CS340" s="140"/>
      <c r="CT340" s="217">
        <v>0</v>
      </c>
      <c r="CU340" s="218">
        <f t="shared" si="152"/>
        <v>2.5333333333333333E-2</v>
      </c>
      <c r="CV340" s="218">
        <f t="shared" si="152"/>
        <v>5.0666666666666665E-2</v>
      </c>
      <c r="CW340" s="218">
        <f t="shared" si="152"/>
        <v>7.6000000000000012E-2</v>
      </c>
      <c r="CX340" s="218">
        <f t="shared" si="152"/>
        <v>0.10133333333333333</v>
      </c>
      <c r="CY340" s="219">
        <f t="shared" si="152"/>
        <v>0.12666666666666665</v>
      </c>
      <c r="CZ340" s="219">
        <f t="shared" si="152"/>
        <v>0.15200000000000002</v>
      </c>
      <c r="DA340" s="219">
        <f t="shared" si="152"/>
        <v>0.17733333333333334</v>
      </c>
      <c r="DB340" s="219">
        <f t="shared" si="152"/>
        <v>0.20266666666666666</v>
      </c>
      <c r="DC340" s="219">
        <f t="shared" si="152"/>
        <v>0.22800000000000001</v>
      </c>
      <c r="DD340" s="219">
        <f t="shared" si="152"/>
        <v>0.2533333333333333</v>
      </c>
      <c r="DE340" s="219">
        <f t="shared" si="152"/>
        <v>0.27866666666666667</v>
      </c>
      <c r="DF340" s="219">
        <f t="shared" si="152"/>
        <v>0.30400000000000005</v>
      </c>
      <c r="DG340" s="219">
        <f t="shared" si="152"/>
        <v>0.32933333333333337</v>
      </c>
      <c r="DH340" s="219">
        <f t="shared" si="152"/>
        <v>0.35466666666666669</v>
      </c>
      <c r="DI340" s="219">
        <f t="shared" si="152"/>
        <v>0.38</v>
      </c>
      <c r="DJ340" s="219">
        <f t="shared" si="152"/>
        <v>0.40533333333333332</v>
      </c>
      <c r="DK340" s="219">
        <f t="shared" si="153"/>
        <v>0.43066666666666664</v>
      </c>
      <c r="DL340" s="219">
        <f t="shared" si="153"/>
        <v>0.45600000000000002</v>
      </c>
      <c r="DM340" s="219">
        <f t="shared" si="153"/>
        <v>0.48133333333333334</v>
      </c>
      <c r="DN340" s="219">
        <f t="shared" si="153"/>
        <v>0.5066666666666666</v>
      </c>
      <c r="DO340" s="218">
        <f t="shared" si="153"/>
        <v>0.53200000000000003</v>
      </c>
      <c r="DP340" s="218">
        <f t="shared" si="153"/>
        <v>0.55733333333333335</v>
      </c>
      <c r="DQ340" s="218">
        <f t="shared" si="153"/>
        <v>0.58266666666666667</v>
      </c>
      <c r="DR340" s="218">
        <f t="shared" si="153"/>
        <v>0.6080000000000001</v>
      </c>
      <c r="DS340" s="218">
        <f t="shared" si="153"/>
        <v>0.6333333333333333</v>
      </c>
      <c r="DT340" s="218">
        <f t="shared" si="153"/>
        <v>0.65866666666666673</v>
      </c>
      <c r="DU340" s="218">
        <f t="shared" si="153"/>
        <v>0.68399999999999994</v>
      </c>
      <c r="DV340" s="218">
        <f t="shared" si="153"/>
        <v>0.70933333333333337</v>
      </c>
      <c r="DW340" s="218">
        <f t="shared" si="153"/>
        <v>0.73466666666666669</v>
      </c>
      <c r="DX340" s="220">
        <f t="shared" si="154"/>
        <v>0.76</v>
      </c>
      <c r="DY340" s="140"/>
      <c r="DZ340" s="139"/>
      <c r="EA340" s="140"/>
      <c r="EB340" s="140"/>
      <c r="EC340" s="140"/>
      <c r="ED340" s="140"/>
      <c r="EE340" s="217">
        <v>0</v>
      </c>
      <c r="EF340" s="218">
        <f t="shared" si="155"/>
        <v>2.2000000000000002E-2</v>
      </c>
      <c r="EG340" s="218">
        <f t="shared" si="155"/>
        <v>4.4000000000000004E-2</v>
      </c>
      <c r="EH340" s="218">
        <f t="shared" si="155"/>
        <v>6.6000000000000003E-2</v>
      </c>
      <c r="EI340" s="218">
        <f t="shared" si="155"/>
        <v>8.8000000000000009E-2</v>
      </c>
      <c r="EJ340" s="219">
        <f t="shared" si="155"/>
        <v>0.11000000000000001</v>
      </c>
      <c r="EK340" s="219">
        <f t="shared" si="155"/>
        <v>0.13200000000000001</v>
      </c>
      <c r="EL340" s="219">
        <f t="shared" si="155"/>
        <v>0.154</v>
      </c>
      <c r="EM340" s="219">
        <f t="shared" si="155"/>
        <v>0.17600000000000002</v>
      </c>
      <c r="EN340" s="219">
        <f t="shared" si="155"/>
        <v>0.19800000000000001</v>
      </c>
      <c r="EO340" s="219">
        <f t="shared" si="155"/>
        <v>0.22000000000000003</v>
      </c>
      <c r="EP340" s="219">
        <f t="shared" si="155"/>
        <v>0.24200000000000002</v>
      </c>
      <c r="EQ340" s="219">
        <f t="shared" si="155"/>
        <v>0.26400000000000001</v>
      </c>
      <c r="ER340" s="219">
        <f t="shared" si="155"/>
        <v>0.28599999999999998</v>
      </c>
      <c r="ES340" s="219">
        <f t="shared" si="155"/>
        <v>0.308</v>
      </c>
      <c r="ET340" s="219">
        <f t="shared" si="155"/>
        <v>0.33</v>
      </c>
      <c r="EU340" s="219">
        <f t="shared" si="155"/>
        <v>0.35200000000000004</v>
      </c>
      <c r="EV340" s="219">
        <f t="shared" si="156"/>
        <v>0.374</v>
      </c>
      <c r="EW340" s="219">
        <f t="shared" si="156"/>
        <v>0.39600000000000002</v>
      </c>
      <c r="EX340" s="219">
        <f t="shared" si="156"/>
        <v>0.41800000000000004</v>
      </c>
      <c r="EY340" s="219">
        <f t="shared" si="156"/>
        <v>0.44000000000000006</v>
      </c>
      <c r="EZ340" s="218">
        <f t="shared" si="156"/>
        <v>0.46200000000000002</v>
      </c>
      <c r="FA340" s="218">
        <f t="shared" si="156"/>
        <v>0.48400000000000004</v>
      </c>
      <c r="FB340" s="218">
        <f t="shared" si="156"/>
        <v>0.50600000000000001</v>
      </c>
      <c r="FC340" s="218">
        <f t="shared" si="156"/>
        <v>0.52800000000000002</v>
      </c>
      <c r="FD340" s="218">
        <f t="shared" si="156"/>
        <v>0.55000000000000004</v>
      </c>
      <c r="FE340" s="218">
        <f t="shared" si="156"/>
        <v>0.57199999999999995</v>
      </c>
      <c r="FF340" s="218">
        <f t="shared" si="156"/>
        <v>0.59399999999999997</v>
      </c>
      <c r="FG340" s="218">
        <f t="shared" si="156"/>
        <v>0.61599999999999999</v>
      </c>
      <c r="FH340" s="218">
        <f t="shared" si="156"/>
        <v>0.63800000000000001</v>
      </c>
      <c r="FI340" s="220">
        <f t="shared" si="157"/>
        <v>0.66</v>
      </c>
      <c r="FJ340" s="140"/>
      <c r="FK340" s="139"/>
      <c r="FL340" s="140"/>
      <c r="FM340" s="140"/>
      <c r="FN340" s="140"/>
      <c r="FO340" s="140"/>
      <c r="FP340" s="217">
        <v>0</v>
      </c>
      <c r="FQ340" s="218">
        <f t="shared" si="158"/>
        <v>2.2000000000000002E-2</v>
      </c>
      <c r="FR340" s="218">
        <f t="shared" si="158"/>
        <v>4.4000000000000004E-2</v>
      </c>
      <c r="FS340" s="218">
        <f t="shared" si="158"/>
        <v>6.6000000000000003E-2</v>
      </c>
      <c r="FT340" s="218">
        <f t="shared" si="158"/>
        <v>8.8000000000000009E-2</v>
      </c>
      <c r="FU340" s="219">
        <f t="shared" si="158"/>
        <v>0.11000000000000001</v>
      </c>
      <c r="FV340" s="219">
        <f t="shared" si="158"/>
        <v>0.13200000000000001</v>
      </c>
      <c r="FW340" s="219">
        <f t="shared" si="158"/>
        <v>0.154</v>
      </c>
      <c r="FX340" s="219">
        <f t="shared" si="158"/>
        <v>0.17600000000000002</v>
      </c>
      <c r="FY340" s="219">
        <f t="shared" si="158"/>
        <v>0.19800000000000001</v>
      </c>
      <c r="FZ340" s="219">
        <f t="shared" si="158"/>
        <v>0.22000000000000003</v>
      </c>
      <c r="GA340" s="219">
        <f t="shared" si="158"/>
        <v>0.24200000000000002</v>
      </c>
      <c r="GB340" s="219">
        <f t="shared" si="158"/>
        <v>0.26400000000000001</v>
      </c>
      <c r="GC340" s="219">
        <f t="shared" si="158"/>
        <v>0.28599999999999998</v>
      </c>
      <c r="GD340" s="219">
        <f t="shared" si="158"/>
        <v>0.308</v>
      </c>
      <c r="GE340" s="219">
        <f t="shared" si="158"/>
        <v>0.33</v>
      </c>
      <c r="GF340" s="219">
        <f t="shared" si="158"/>
        <v>0.35200000000000004</v>
      </c>
      <c r="GG340" s="219">
        <f t="shared" si="159"/>
        <v>0.374</v>
      </c>
      <c r="GH340" s="219">
        <f t="shared" si="159"/>
        <v>0.39600000000000002</v>
      </c>
      <c r="GI340" s="219">
        <f t="shared" si="159"/>
        <v>0.41800000000000004</v>
      </c>
      <c r="GJ340" s="219">
        <f t="shared" si="159"/>
        <v>0.44000000000000006</v>
      </c>
      <c r="GK340" s="218">
        <f t="shared" si="159"/>
        <v>0.46200000000000002</v>
      </c>
      <c r="GL340" s="218">
        <f t="shared" si="159"/>
        <v>0.48400000000000004</v>
      </c>
      <c r="GM340" s="218">
        <f t="shared" si="159"/>
        <v>0.50600000000000001</v>
      </c>
      <c r="GN340" s="218">
        <f t="shared" si="159"/>
        <v>0.52800000000000002</v>
      </c>
      <c r="GO340" s="218">
        <f t="shared" si="159"/>
        <v>0.55000000000000004</v>
      </c>
      <c r="GP340" s="218">
        <f t="shared" si="159"/>
        <v>0.57199999999999995</v>
      </c>
      <c r="GQ340" s="218">
        <f t="shared" si="159"/>
        <v>0.59399999999999997</v>
      </c>
      <c r="GR340" s="218">
        <f t="shared" si="159"/>
        <v>0.61599999999999999</v>
      </c>
      <c r="GS340" s="218">
        <f t="shared" si="159"/>
        <v>0.63800000000000001</v>
      </c>
      <c r="GT340" s="220">
        <f t="shared" si="160"/>
        <v>0.66</v>
      </c>
      <c r="GU340" s="140"/>
      <c r="GV340" s="139"/>
      <c r="GW340" s="140"/>
      <c r="GX340" s="140"/>
      <c r="GY340" s="140"/>
      <c r="GZ340" s="140"/>
      <c r="HA340" s="217">
        <v>0</v>
      </c>
      <c r="HB340" s="218">
        <f t="shared" si="161"/>
        <v>1.8333333333333333E-2</v>
      </c>
      <c r="HC340" s="218">
        <f t="shared" si="161"/>
        <v>3.6666666666666667E-2</v>
      </c>
      <c r="HD340" s="218">
        <f t="shared" si="161"/>
        <v>5.5000000000000007E-2</v>
      </c>
      <c r="HE340" s="218">
        <f t="shared" si="161"/>
        <v>7.3333333333333334E-2</v>
      </c>
      <c r="HF340" s="219">
        <f t="shared" si="161"/>
        <v>9.166666666666666E-2</v>
      </c>
      <c r="HG340" s="219">
        <f t="shared" si="161"/>
        <v>0.11000000000000001</v>
      </c>
      <c r="HH340" s="219">
        <f t="shared" si="161"/>
        <v>0.12833333333333335</v>
      </c>
      <c r="HI340" s="219">
        <f t="shared" si="161"/>
        <v>0.14666666666666667</v>
      </c>
      <c r="HJ340" s="219">
        <f t="shared" si="161"/>
        <v>0.16500000000000001</v>
      </c>
      <c r="HK340" s="219">
        <f t="shared" si="161"/>
        <v>0.18333333333333332</v>
      </c>
      <c r="HL340" s="219">
        <f t="shared" si="161"/>
        <v>0.20166666666666669</v>
      </c>
      <c r="HM340" s="219">
        <f t="shared" si="161"/>
        <v>0.22000000000000003</v>
      </c>
      <c r="HN340" s="219">
        <f t="shared" si="161"/>
        <v>0.23833333333333334</v>
      </c>
      <c r="HO340" s="219">
        <f t="shared" si="161"/>
        <v>0.25666666666666671</v>
      </c>
      <c r="HP340" s="219">
        <f t="shared" si="161"/>
        <v>0.27500000000000002</v>
      </c>
      <c r="HQ340" s="219">
        <f t="shared" si="161"/>
        <v>0.29333333333333333</v>
      </c>
      <c r="HR340" s="219">
        <f t="shared" si="162"/>
        <v>0.3116666666666667</v>
      </c>
      <c r="HS340" s="219">
        <f t="shared" si="162"/>
        <v>0.33</v>
      </c>
      <c r="HT340" s="219">
        <f t="shared" si="162"/>
        <v>0.34833333333333338</v>
      </c>
      <c r="HU340" s="219">
        <f t="shared" si="162"/>
        <v>0.36666666666666664</v>
      </c>
      <c r="HV340" s="218">
        <f t="shared" si="162"/>
        <v>0.38500000000000001</v>
      </c>
      <c r="HW340" s="218">
        <f t="shared" si="162"/>
        <v>0.40333333333333338</v>
      </c>
      <c r="HX340" s="218">
        <f t="shared" si="162"/>
        <v>0.42166666666666669</v>
      </c>
      <c r="HY340" s="218">
        <f t="shared" si="162"/>
        <v>0.44000000000000006</v>
      </c>
      <c r="HZ340" s="218">
        <f t="shared" si="162"/>
        <v>0.45833333333333337</v>
      </c>
      <c r="IA340" s="218">
        <f t="shared" si="162"/>
        <v>0.47666666666666668</v>
      </c>
      <c r="IB340" s="218">
        <f t="shared" si="162"/>
        <v>0.49500000000000005</v>
      </c>
      <c r="IC340" s="218">
        <f t="shared" si="162"/>
        <v>0.51333333333333342</v>
      </c>
      <c r="ID340" s="218">
        <f t="shared" si="162"/>
        <v>0.53166666666666673</v>
      </c>
      <c r="IE340" s="220">
        <f t="shared" si="163"/>
        <v>0.55000000000000004</v>
      </c>
      <c r="IF340" s="140"/>
      <c r="IG340" s="139"/>
      <c r="IH340" s="140"/>
      <c r="II340" s="140"/>
      <c r="IJ340" s="140"/>
      <c r="IK340" s="140"/>
      <c r="IL340" s="217">
        <v>0</v>
      </c>
      <c r="IM340" s="218">
        <f t="shared" si="164"/>
        <v>0</v>
      </c>
      <c r="IN340" s="218">
        <f t="shared" si="164"/>
        <v>0</v>
      </c>
      <c r="IO340" s="218">
        <f t="shared" si="164"/>
        <v>0</v>
      </c>
      <c r="IP340" s="218">
        <f t="shared" si="164"/>
        <v>0</v>
      </c>
      <c r="IQ340" s="219">
        <f t="shared" si="164"/>
        <v>0</v>
      </c>
      <c r="IR340" s="219">
        <f t="shared" si="164"/>
        <v>0</v>
      </c>
      <c r="IS340" s="219">
        <f t="shared" si="164"/>
        <v>0</v>
      </c>
      <c r="IT340" s="219">
        <f t="shared" si="164"/>
        <v>0</v>
      </c>
      <c r="IU340" s="219">
        <f t="shared" si="164"/>
        <v>0</v>
      </c>
      <c r="IV340" s="219">
        <f t="shared" si="164"/>
        <v>0</v>
      </c>
      <c r="IW340" s="219">
        <f t="shared" si="164"/>
        <v>0</v>
      </c>
      <c r="IX340" s="219">
        <f t="shared" si="164"/>
        <v>0</v>
      </c>
      <c r="IY340" s="219">
        <f t="shared" si="164"/>
        <v>0</v>
      </c>
      <c r="IZ340" s="219">
        <f t="shared" si="164"/>
        <v>0</v>
      </c>
      <c r="JA340" s="219">
        <f t="shared" si="164"/>
        <v>0</v>
      </c>
      <c r="JB340" s="219">
        <f t="shared" si="164"/>
        <v>0</v>
      </c>
      <c r="JC340" s="219">
        <f t="shared" si="165"/>
        <v>0</v>
      </c>
      <c r="JD340" s="219">
        <f t="shared" si="165"/>
        <v>0</v>
      </c>
      <c r="JE340" s="219">
        <f t="shared" si="165"/>
        <v>0</v>
      </c>
      <c r="JF340" s="219">
        <f t="shared" si="165"/>
        <v>0</v>
      </c>
      <c r="JG340" s="218">
        <f t="shared" si="165"/>
        <v>0</v>
      </c>
      <c r="JH340" s="218">
        <f t="shared" si="165"/>
        <v>0</v>
      </c>
      <c r="JI340" s="218">
        <f t="shared" si="165"/>
        <v>0</v>
      </c>
      <c r="JJ340" s="218">
        <f t="shared" si="165"/>
        <v>0</v>
      </c>
      <c r="JK340" s="218">
        <f t="shared" si="165"/>
        <v>0</v>
      </c>
      <c r="JL340" s="218">
        <f t="shared" si="165"/>
        <v>0</v>
      </c>
      <c r="JM340" s="218">
        <f t="shared" si="165"/>
        <v>0</v>
      </c>
      <c r="JN340" s="218">
        <f t="shared" si="165"/>
        <v>0</v>
      </c>
      <c r="JO340" s="218">
        <f t="shared" si="165"/>
        <v>0</v>
      </c>
      <c r="JP340" s="220">
        <f t="shared" si="166"/>
        <v>0</v>
      </c>
      <c r="JQ340" s="140"/>
      <c r="JR340" s="139"/>
      <c r="JS340" s="140"/>
      <c r="JT340" s="140"/>
      <c r="JU340" s="140"/>
      <c r="JV340" s="140"/>
      <c r="JW340" s="217">
        <v>0</v>
      </c>
      <c r="JX340" s="218">
        <f t="shared" si="167"/>
        <v>0</v>
      </c>
      <c r="JY340" s="218">
        <f t="shared" si="167"/>
        <v>0</v>
      </c>
      <c r="JZ340" s="218">
        <f t="shared" si="167"/>
        <v>0</v>
      </c>
      <c r="KA340" s="218">
        <f t="shared" si="167"/>
        <v>0</v>
      </c>
      <c r="KB340" s="219">
        <f t="shared" si="167"/>
        <v>0</v>
      </c>
      <c r="KC340" s="219">
        <f t="shared" si="167"/>
        <v>0</v>
      </c>
      <c r="KD340" s="219">
        <f t="shared" si="167"/>
        <v>0</v>
      </c>
      <c r="KE340" s="219">
        <f t="shared" si="167"/>
        <v>0</v>
      </c>
      <c r="KF340" s="219">
        <f t="shared" si="167"/>
        <v>0</v>
      </c>
      <c r="KG340" s="219">
        <f t="shared" si="167"/>
        <v>0</v>
      </c>
      <c r="KH340" s="219">
        <f t="shared" si="167"/>
        <v>0</v>
      </c>
      <c r="KI340" s="219">
        <f t="shared" si="167"/>
        <v>0</v>
      </c>
      <c r="KJ340" s="219">
        <f t="shared" si="167"/>
        <v>0</v>
      </c>
      <c r="KK340" s="219">
        <f t="shared" si="167"/>
        <v>0</v>
      </c>
      <c r="KL340" s="219">
        <f t="shared" si="167"/>
        <v>0</v>
      </c>
      <c r="KM340" s="219">
        <f t="shared" si="167"/>
        <v>0</v>
      </c>
      <c r="KN340" s="219">
        <f t="shared" si="168"/>
        <v>0</v>
      </c>
      <c r="KO340" s="219">
        <f t="shared" si="168"/>
        <v>0</v>
      </c>
      <c r="KP340" s="219">
        <f t="shared" si="168"/>
        <v>0</v>
      </c>
      <c r="KQ340" s="219">
        <f t="shared" si="168"/>
        <v>0</v>
      </c>
      <c r="KR340" s="218">
        <f t="shared" si="168"/>
        <v>0</v>
      </c>
      <c r="KS340" s="218">
        <f t="shared" si="168"/>
        <v>0</v>
      </c>
      <c r="KT340" s="218">
        <f t="shared" si="168"/>
        <v>0</v>
      </c>
      <c r="KU340" s="218">
        <f t="shared" si="168"/>
        <v>0</v>
      </c>
      <c r="KV340" s="218">
        <f t="shared" si="168"/>
        <v>0</v>
      </c>
      <c r="KW340" s="218">
        <f t="shared" si="168"/>
        <v>0</v>
      </c>
      <c r="KX340" s="218">
        <f t="shared" si="168"/>
        <v>0</v>
      </c>
      <c r="KY340" s="218">
        <f t="shared" si="168"/>
        <v>0</v>
      </c>
      <c r="KZ340" s="218">
        <f t="shared" si="168"/>
        <v>0</v>
      </c>
      <c r="LA340" s="220">
        <f t="shared" si="169"/>
        <v>0</v>
      </c>
      <c r="LB340" s="140"/>
      <c r="LC340" s="139"/>
      <c r="LD340" s="140"/>
      <c r="LE340" s="140"/>
      <c r="LF340" s="140"/>
      <c r="LG340" s="140"/>
      <c r="LH340" s="217">
        <v>0</v>
      </c>
      <c r="LI340" s="218">
        <f t="shared" si="170"/>
        <v>0</v>
      </c>
      <c r="LJ340" s="218">
        <f t="shared" si="170"/>
        <v>0</v>
      </c>
      <c r="LK340" s="218">
        <f t="shared" si="170"/>
        <v>0</v>
      </c>
      <c r="LL340" s="218">
        <f t="shared" si="170"/>
        <v>0</v>
      </c>
      <c r="LM340" s="219">
        <f t="shared" si="170"/>
        <v>0</v>
      </c>
      <c r="LN340" s="219">
        <f t="shared" si="170"/>
        <v>0</v>
      </c>
      <c r="LO340" s="219">
        <f t="shared" si="170"/>
        <v>0</v>
      </c>
      <c r="LP340" s="219">
        <f t="shared" si="170"/>
        <v>0</v>
      </c>
      <c r="LQ340" s="219">
        <f t="shared" si="170"/>
        <v>0</v>
      </c>
      <c r="LR340" s="219">
        <f t="shared" si="170"/>
        <v>0</v>
      </c>
      <c r="LS340" s="219">
        <f t="shared" si="170"/>
        <v>0</v>
      </c>
      <c r="LT340" s="219">
        <f t="shared" si="170"/>
        <v>0</v>
      </c>
      <c r="LU340" s="219">
        <f t="shared" si="170"/>
        <v>0</v>
      </c>
      <c r="LV340" s="219">
        <f t="shared" si="170"/>
        <v>0</v>
      </c>
      <c r="LW340" s="219">
        <f t="shared" si="170"/>
        <v>0</v>
      </c>
      <c r="LX340" s="219">
        <f t="shared" si="170"/>
        <v>0</v>
      </c>
      <c r="LY340" s="219">
        <f t="shared" si="171"/>
        <v>0</v>
      </c>
      <c r="LZ340" s="219">
        <f t="shared" si="171"/>
        <v>0</v>
      </c>
      <c r="MA340" s="219">
        <f t="shared" si="171"/>
        <v>0</v>
      </c>
      <c r="MB340" s="219">
        <f t="shared" si="171"/>
        <v>0</v>
      </c>
      <c r="MC340" s="218">
        <f t="shared" si="171"/>
        <v>0</v>
      </c>
      <c r="MD340" s="218">
        <f t="shared" si="171"/>
        <v>0</v>
      </c>
      <c r="ME340" s="218">
        <f t="shared" si="171"/>
        <v>0</v>
      </c>
      <c r="MF340" s="218">
        <f t="shared" si="171"/>
        <v>0</v>
      </c>
      <c r="MG340" s="218">
        <f t="shared" si="171"/>
        <v>0</v>
      </c>
      <c r="MH340" s="218">
        <f t="shared" si="171"/>
        <v>0</v>
      </c>
      <c r="MI340" s="218">
        <f t="shared" si="171"/>
        <v>0</v>
      </c>
      <c r="MJ340" s="218">
        <f t="shared" si="171"/>
        <v>0</v>
      </c>
      <c r="MK340" s="218">
        <f t="shared" si="171"/>
        <v>0</v>
      </c>
      <c r="ML340" s="220">
        <f t="shared" si="172"/>
        <v>0</v>
      </c>
    </row>
    <row r="341" spans="3:350" s="4" customFormat="1" ht="18" customHeight="1" x14ac:dyDescent="0.3">
      <c r="C341" s="136" t="s">
        <v>78</v>
      </c>
      <c r="E341" s="137" t="s">
        <v>105</v>
      </c>
      <c r="F341" s="147" t="s">
        <v>105</v>
      </c>
      <c r="H341" s="139"/>
      <c r="I341" s="140"/>
      <c r="J341" s="140"/>
      <c r="K341" s="140"/>
      <c r="L341" s="140"/>
      <c r="M341" s="141"/>
      <c r="N341" s="140"/>
      <c r="O341" s="140"/>
      <c r="P341" s="140"/>
      <c r="Q341" s="140"/>
      <c r="R341" s="140"/>
      <c r="S341" s="139"/>
      <c r="T341" s="140"/>
      <c r="U341" s="140"/>
      <c r="V341" s="140"/>
      <c r="W341" s="140"/>
      <c r="X341" s="140"/>
      <c r="Y341" s="140"/>
      <c r="Z341" s="140"/>
      <c r="AA341" s="140"/>
      <c r="AB341" s="140"/>
      <c r="AC341" s="140"/>
      <c r="AD341" s="140"/>
      <c r="AE341" s="140"/>
      <c r="AF341" s="140"/>
      <c r="AG341" s="140"/>
      <c r="AH341" s="140"/>
      <c r="AI341" s="140"/>
      <c r="AJ341" s="140"/>
      <c r="AK341" s="140"/>
      <c r="AL341" s="140"/>
      <c r="AM341" s="140"/>
      <c r="AN341" s="140"/>
      <c r="AO341" s="140"/>
      <c r="AP341" s="140"/>
      <c r="AQ341" s="140"/>
      <c r="AR341" s="140"/>
      <c r="AS341" s="140"/>
      <c r="AT341" s="140"/>
      <c r="AU341" s="140"/>
      <c r="AV341" s="140"/>
      <c r="AW341" s="140"/>
      <c r="AX341" s="140"/>
      <c r="AY341" s="140"/>
      <c r="AZ341" s="140"/>
      <c r="BA341" s="140"/>
      <c r="BB341" s="141"/>
      <c r="BC341" s="140"/>
      <c r="BD341" s="139"/>
      <c r="BE341" s="140"/>
      <c r="BF341" s="140"/>
      <c r="BG341" s="140"/>
      <c r="BH341" s="140"/>
      <c r="BI341" s="217">
        <v>0</v>
      </c>
      <c r="BJ341" s="218">
        <f t="shared" si="149"/>
        <v>1.0666666666666666E-2</v>
      </c>
      <c r="BK341" s="218">
        <f t="shared" si="149"/>
        <v>2.1333333333333333E-2</v>
      </c>
      <c r="BL341" s="218">
        <f t="shared" si="149"/>
        <v>3.2000000000000001E-2</v>
      </c>
      <c r="BM341" s="218">
        <f t="shared" si="149"/>
        <v>4.2666666666666665E-2</v>
      </c>
      <c r="BN341" s="219">
        <f t="shared" si="149"/>
        <v>5.3333333333333337E-2</v>
      </c>
      <c r="BO341" s="219">
        <f t="shared" si="149"/>
        <v>6.4000000000000001E-2</v>
      </c>
      <c r="BP341" s="219">
        <f t="shared" si="149"/>
        <v>7.4666666666666673E-2</v>
      </c>
      <c r="BQ341" s="219">
        <f t="shared" si="149"/>
        <v>8.533333333333333E-2</v>
      </c>
      <c r="BR341" s="219">
        <f t="shared" si="149"/>
        <v>9.6000000000000002E-2</v>
      </c>
      <c r="BS341" s="219">
        <f t="shared" si="149"/>
        <v>0.10666666666666667</v>
      </c>
      <c r="BT341" s="219">
        <f t="shared" si="149"/>
        <v>0.11733333333333333</v>
      </c>
      <c r="BU341" s="219">
        <f t="shared" si="149"/>
        <v>0.128</v>
      </c>
      <c r="BV341" s="219">
        <f t="shared" si="149"/>
        <v>0.13866666666666666</v>
      </c>
      <c r="BW341" s="219">
        <f t="shared" si="149"/>
        <v>0.14933333333333335</v>
      </c>
      <c r="BX341" s="219">
        <f t="shared" si="149"/>
        <v>0.16</v>
      </c>
      <c r="BY341" s="219">
        <f t="shared" si="149"/>
        <v>0.17066666666666666</v>
      </c>
      <c r="BZ341" s="219">
        <f t="shared" si="150"/>
        <v>0.18133333333333335</v>
      </c>
      <c r="CA341" s="219">
        <f t="shared" si="150"/>
        <v>0.192</v>
      </c>
      <c r="CB341" s="219">
        <f t="shared" si="150"/>
        <v>0.20266666666666666</v>
      </c>
      <c r="CC341" s="219">
        <f t="shared" si="150"/>
        <v>0.21333333333333335</v>
      </c>
      <c r="CD341" s="218">
        <f t="shared" si="150"/>
        <v>0.224</v>
      </c>
      <c r="CE341" s="218">
        <f t="shared" si="150"/>
        <v>0.23466666666666666</v>
      </c>
      <c r="CF341" s="218">
        <f t="shared" si="150"/>
        <v>0.24533333333333335</v>
      </c>
      <c r="CG341" s="218">
        <f t="shared" si="150"/>
        <v>0.25600000000000001</v>
      </c>
      <c r="CH341" s="218">
        <f t="shared" si="150"/>
        <v>0.26666666666666666</v>
      </c>
      <c r="CI341" s="218">
        <f t="shared" si="150"/>
        <v>0.27733333333333332</v>
      </c>
      <c r="CJ341" s="218">
        <f t="shared" si="150"/>
        <v>0.28800000000000003</v>
      </c>
      <c r="CK341" s="218">
        <f t="shared" si="150"/>
        <v>0.29866666666666669</v>
      </c>
      <c r="CL341" s="218">
        <f t="shared" si="150"/>
        <v>0.30933333333333329</v>
      </c>
      <c r="CM341" s="220">
        <f t="shared" si="151"/>
        <v>0.32</v>
      </c>
      <c r="CN341" s="140"/>
      <c r="CO341" s="139"/>
      <c r="CP341" s="140"/>
      <c r="CQ341" s="140"/>
      <c r="CR341" s="140"/>
      <c r="CS341" s="140"/>
      <c r="CT341" s="217">
        <v>0</v>
      </c>
      <c r="CU341" s="218">
        <f t="shared" si="152"/>
        <v>2.0666666666666667E-2</v>
      </c>
      <c r="CV341" s="218">
        <f t="shared" si="152"/>
        <v>4.1333333333333333E-2</v>
      </c>
      <c r="CW341" s="218">
        <f t="shared" si="152"/>
        <v>6.1999999999999993E-2</v>
      </c>
      <c r="CX341" s="218">
        <f t="shared" si="152"/>
        <v>8.2666666666666666E-2</v>
      </c>
      <c r="CY341" s="219">
        <f t="shared" si="152"/>
        <v>0.10333333333333333</v>
      </c>
      <c r="CZ341" s="219">
        <f t="shared" si="152"/>
        <v>0.12399999999999999</v>
      </c>
      <c r="DA341" s="219">
        <f t="shared" si="152"/>
        <v>0.14466666666666667</v>
      </c>
      <c r="DB341" s="219">
        <f t="shared" si="152"/>
        <v>0.16533333333333333</v>
      </c>
      <c r="DC341" s="219">
        <f t="shared" si="152"/>
        <v>0.186</v>
      </c>
      <c r="DD341" s="219">
        <f t="shared" si="152"/>
        <v>0.20666666666666667</v>
      </c>
      <c r="DE341" s="219">
        <f t="shared" si="152"/>
        <v>0.22733333333333333</v>
      </c>
      <c r="DF341" s="219">
        <f t="shared" si="152"/>
        <v>0.24799999999999997</v>
      </c>
      <c r="DG341" s="219">
        <f t="shared" si="152"/>
        <v>0.26866666666666666</v>
      </c>
      <c r="DH341" s="219">
        <f t="shared" si="152"/>
        <v>0.28933333333333333</v>
      </c>
      <c r="DI341" s="219">
        <f t="shared" si="152"/>
        <v>0.31</v>
      </c>
      <c r="DJ341" s="219">
        <f t="shared" si="152"/>
        <v>0.33066666666666666</v>
      </c>
      <c r="DK341" s="219">
        <f t="shared" si="153"/>
        <v>0.35133333333333333</v>
      </c>
      <c r="DL341" s="219">
        <f t="shared" si="153"/>
        <v>0.372</v>
      </c>
      <c r="DM341" s="219">
        <f t="shared" si="153"/>
        <v>0.39266666666666666</v>
      </c>
      <c r="DN341" s="219">
        <f t="shared" si="153"/>
        <v>0.41333333333333333</v>
      </c>
      <c r="DO341" s="218">
        <f t="shared" si="153"/>
        <v>0.434</v>
      </c>
      <c r="DP341" s="218">
        <f t="shared" si="153"/>
        <v>0.45466666666666666</v>
      </c>
      <c r="DQ341" s="218">
        <f t="shared" si="153"/>
        <v>0.47533333333333333</v>
      </c>
      <c r="DR341" s="218">
        <f t="shared" si="153"/>
        <v>0.49599999999999994</v>
      </c>
      <c r="DS341" s="218">
        <f t="shared" si="153"/>
        <v>0.51666666666666672</v>
      </c>
      <c r="DT341" s="218">
        <f t="shared" si="153"/>
        <v>0.53733333333333333</v>
      </c>
      <c r="DU341" s="218">
        <f t="shared" si="153"/>
        <v>0.55799999999999994</v>
      </c>
      <c r="DV341" s="218">
        <f t="shared" si="153"/>
        <v>0.57866666666666666</v>
      </c>
      <c r="DW341" s="218">
        <f t="shared" si="153"/>
        <v>0.59933333333333338</v>
      </c>
      <c r="DX341" s="220">
        <f t="shared" si="154"/>
        <v>0.62</v>
      </c>
      <c r="DY341" s="140"/>
      <c r="DZ341" s="139"/>
      <c r="EA341" s="140"/>
      <c r="EB341" s="140"/>
      <c r="EC341" s="140"/>
      <c r="ED341" s="140"/>
      <c r="EE341" s="217">
        <v>0</v>
      </c>
      <c r="EF341" s="218">
        <f t="shared" si="155"/>
        <v>1.7333333333333333E-2</v>
      </c>
      <c r="EG341" s="218">
        <f t="shared" si="155"/>
        <v>3.4666666666666665E-2</v>
      </c>
      <c r="EH341" s="218">
        <f t="shared" si="155"/>
        <v>5.2000000000000005E-2</v>
      </c>
      <c r="EI341" s="218">
        <f t="shared" si="155"/>
        <v>6.933333333333333E-2</v>
      </c>
      <c r="EJ341" s="219">
        <f t="shared" si="155"/>
        <v>8.666666666666667E-2</v>
      </c>
      <c r="EK341" s="219">
        <f t="shared" si="155"/>
        <v>0.10400000000000001</v>
      </c>
      <c r="EL341" s="219">
        <f t="shared" si="155"/>
        <v>0.12133333333333333</v>
      </c>
      <c r="EM341" s="219">
        <f t="shared" si="155"/>
        <v>0.13866666666666666</v>
      </c>
      <c r="EN341" s="219">
        <f t="shared" si="155"/>
        <v>0.156</v>
      </c>
      <c r="EO341" s="219">
        <f t="shared" si="155"/>
        <v>0.17333333333333334</v>
      </c>
      <c r="EP341" s="219">
        <f t="shared" si="155"/>
        <v>0.19066666666666668</v>
      </c>
      <c r="EQ341" s="219">
        <f t="shared" si="155"/>
        <v>0.20800000000000002</v>
      </c>
      <c r="ER341" s="219">
        <f t="shared" si="155"/>
        <v>0.22533333333333333</v>
      </c>
      <c r="ES341" s="219">
        <f t="shared" si="155"/>
        <v>0.24266666666666667</v>
      </c>
      <c r="ET341" s="219">
        <f t="shared" si="155"/>
        <v>0.26</v>
      </c>
      <c r="EU341" s="219">
        <f t="shared" si="155"/>
        <v>0.27733333333333332</v>
      </c>
      <c r="EV341" s="219">
        <f t="shared" si="156"/>
        <v>0.29466666666666669</v>
      </c>
      <c r="EW341" s="219">
        <f t="shared" si="156"/>
        <v>0.312</v>
      </c>
      <c r="EX341" s="219">
        <f t="shared" si="156"/>
        <v>0.32933333333333337</v>
      </c>
      <c r="EY341" s="219">
        <f t="shared" si="156"/>
        <v>0.34666666666666668</v>
      </c>
      <c r="EZ341" s="218">
        <f t="shared" si="156"/>
        <v>0.36399999999999999</v>
      </c>
      <c r="FA341" s="218">
        <f t="shared" si="156"/>
        <v>0.38133333333333336</v>
      </c>
      <c r="FB341" s="218">
        <f t="shared" si="156"/>
        <v>0.39866666666666667</v>
      </c>
      <c r="FC341" s="218">
        <f t="shared" si="156"/>
        <v>0.41600000000000004</v>
      </c>
      <c r="FD341" s="218">
        <f t="shared" si="156"/>
        <v>0.43333333333333335</v>
      </c>
      <c r="FE341" s="218">
        <f t="shared" si="156"/>
        <v>0.45066666666666666</v>
      </c>
      <c r="FF341" s="218">
        <f t="shared" si="156"/>
        <v>0.46800000000000003</v>
      </c>
      <c r="FG341" s="218">
        <f t="shared" si="156"/>
        <v>0.48533333333333334</v>
      </c>
      <c r="FH341" s="218">
        <f t="shared" si="156"/>
        <v>0.50266666666666671</v>
      </c>
      <c r="FI341" s="220">
        <f t="shared" si="157"/>
        <v>0.52</v>
      </c>
      <c r="FJ341" s="140"/>
      <c r="FK341" s="139"/>
      <c r="FL341" s="140"/>
      <c r="FM341" s="140"/>
      <c r="FN341" s="140"/>
      <c r="FO341" s="140"/>
      <c r="FP341" s="217">
        <v>0</v>
      </c>
      <c r="FQ341" s="218">
        <f t="shared" si="158"/>
        <v>1.7333333333333333E-2</v>
      </c>
      <c r="FR341" s="218">
        <f t="shared" si="158"/>
        <v>3.4666666666666665E-2</v>
      </c>
      <c r="FS341" s="218">
        <f t="shared" si="158"/>
        <v>5.2000000000000005E-2</v>
      </c>
      <c r="FT341" s="218">
        <f t="shared" si="158"/>
        <v>6.933333333333333E-2</v>
      </c>
      <c r="FU341" s="219">
        <f t="shared" si="158"/>
        <v>8.666666666666667E-2</v>
      </c>
      <c r="FV341" s="219">
        <f t="shared" si="158"/>
        <v>0.10400000000000001</v>
      </c>
      <c r="FW341" s="219">
        <f t="shared" si="158"/>
        <v>0.12133333333333333</v>
      </c>
      <c r="FX341" s="219">
        <f t="shared" si="158"/>
        <v>0.13866666666666666</v>
      </c>
      <c r="FY341" s="219">
        <f t="shared" si="158"/>
        <v>0.156</v>
      </c>
      <c r="FZ341" s="219">
        <f t="shared" si="158"/>
        <v>0.17333333333333334</v>
      </c>
      <c r="GA341" s="219">
        <f t="shared" si="158"/>
        <v>0.19066666666666668</v>
      </c>
      <c r="GB341" s="219">
        <f t="shared" si="158"/>
        <v>0.20800000000000002</v>
      </c>
      <c r="GC341" s="219">
        <f t="shared" si="158"/>
        <v>0.22533333333333333</v>
      </c>
      <c r="GD341" s="219">
        <f t="shared" si="158"/>
        <v>0.24266666666666667</v>
      </c>
      <c r="GE341" s="219">
        <f t="shared" si="158"/>
        <v>0.26</v>
      </c>
      <c r="GF341" s="219">
        <f t="shared" si="158"/>
        <v>0.27733333333333332</v>
      </c>
      <c r="GG341" s="219">
        <f t="shared" si="159"/>
        <v>0.29466666666666669</v>
      </c>
      <c r="GH341" s="219">
        <f t="shared" si="159"/>
        <v>0.312</v>
      </c>
      <c r="GI341" s="219">
        <f t="shared" si="159"/>
        <v>0.32933333333333337</v>
      </c>
      <c r="GJ341" s="219">
        <f t="shared" si="159"/>
        <v>0.34666666666666668</v>
      </c>
      <c r="GK341" s="218">
        <f t="shared" si="159"/>
        <v>0.36399999999999999</v>
      </c>
      <c r="GL341" s="218">
        <f t="shared" si="159"/>
        <v>0.38133333333333336</v>
      </c>
      <c r="GM341" s="218">
        <f t="shared" si="159"/>
        <v>0.39866666666666667</v>
      </c>
      <c r="GN341" s="218">
        <f t="shared" si="159"/>
        <v>0.41600000000000004</v>
      </c>
      <c r="GO341" s="218">
        <f t="shared" si="159"/>
        <v>0.43333333333333335</v>
      </c>
      <c r="GP341" s="218">
        <f t="shared" si="159"/>
        <v>0.45066666666666666</v>
      </c>
      <c r="GQ341" s="218">
        <f t="shared" si="159"/>
        <v>0.46800000000000003</v>
      </c>
      <c r="GR341" s="218">
        <f t="shared" si="159"/>
        <v>0.48533333333333334</v>
      </c>
      <c r="GS341" s="218">
        <f t="shared" si="159"/>
        <v>0.50266666666666671</v>
      </c>
      <c r="GT341" s="220">
        <f t="shared" si="160"/>
        <v>0.52</v>
      </c>
      <c r="GU341" s="140"/>
      <c r="GV341" s="139"/>
      <c r="GW341" s="140"/>
      <c r="GX341" s="140"/>
      <c r="GY341" s="140"/>
      <c r="GZ341" s="140"/>
      <c r="HA341" s="217">
        <v>0</v>
      </c>
      <c r="HB341" s="218">
        <f t="shared" si="161"/>
        <v>1.4E-2</v>
      </c>
      <c r="HC341" s="218">
        <f t="shared" si="161"/>
        <v>2.8000000000000001E-2</v>
      </c>
      <c r="HD341" s="218">
        <f t="shared" si="161"/>
        <v>4.2000000000000003E-2</v>
      </c>
      <c r="HE341" s="218">
        <f t="shared" si="161"/>
        <v>5.6000000000000001E-2</v>
      </c>
      <c r="HF341" s="219">
        <f t="shared" si="161"/>
        <v>7.0000000000000007E-2</v>
      </c>
      <c r="HG341" s="219">
        <f t="shared" si="161"/>
        <v>8.4000000000000005E-2</v>
      </c>
      <c r="HH341" s="219">
        <f t="shared" si="161"/>
        <v>9.8000000000000004E-2</v>
      </c>
      <c r="HI341" s="219">
        <f t="shared" si="161"/>
        <v>0.112</v>
      </c>
      <c r="HJ341" s="219">
        <f t="shared" si="161"/>
        <v>0.126</v>
      </c>
      <c r="HK341" s="219">
        <f t="shared" si="161"/>
        <v>0.14000000000000001</v>
      </c>
      <c r="HL341" s="219">
        <f t="shared" si="161"/>
        <v>0.154</v>
      </c>
      <c r="HM341" s="219">
        <f t="shared" si="161"/>
        <v>0.16800000000000001</v>
      </c>
      <c r="HN341" s="219">
        <f t="shared" si="161"/>
        <v>0.182</v>
      </c>
      <c r="HO341" s="219">
        <f t="shared" si="161"/>
        <v>0.19600000000000001</v>
      </c>
      <c r="HP341" s="219">
        <f t="shared" si="161"/>
        <v>0.21</v>
      </c>
      <c r="HQ341" s="219">
        <f t="shared" si="161"/>
        <v>0.224</v>
      </c>
      <c r="HR341" s="219">
        <f t="shared" si="162"/>
        <v>0.23799999999999999</v>
      </c>
      <c r="HS341" s="219">
        <f t="shared" si="162"/>
        <v>0.252</v>
      </c>
      <c r="HT341" s="219">
        <f t="shared" si="162"/>
        <v>0.26599999999999996</v>
      </c>
      <c r="HU341" s="219">
        <f t="shared" si="162"/>
        <v>0.28000000000000003</v>
      </c>
      <c r="HV341" s="218">
        <f t="shared" si="162"/>
        <v>0.29399999999999998</v>
      </c>
      <c r="HW341" s="218">
        <f t="shared" si="162"/>
        <v>0.308</v>
      </c>
      <c r="HX341" s="218">
        <f t="shared" si="162"/>
        <v>0.32200000000000001</v>
      </c>
      <c r="HY341" s="218">
        <f t="shared" si="162"/>
        <v>0.33600000000000002</v>
      </c>
      <c r="HZ341" s="218">
        <f t="shared" si="162"/>
        <v>0.35</v>
      </c>
      <c r="IA341" s="218">
        <f t="shared" si="162"/>
        <v>0.36399999999999999</v>
      </c>
      <c r="IB341" s="218">
        <f t="shared" si="162"/>
        <v>0.378</v>
      </c>
      <c r="IC341" s="218">
        <f t="shared" si="162"/>
        <v>0.39200000000000002</v>
      </c>
      <c r="ID341" s="218">
        <f t="shared" si="162"/>
        <v>0.40599999999999997</v>
      </c>
      <c r="IE341" s="220">
        <f t="shared" si="163"/>
        <v>0.42</v>
      </c>
      <c r="IF341" s="140"/>
      <c r="IG341" s="139"/>
      <c r="IH341" s="140"/>
      <c r="II341" s="140"/>
      <c r="IJ341" s="140"/>
      <c r="IK341" s="140"/>
      <c r="IL341" s="217">
        <v>0</v>
      </c>
      <c r="IM341" s="218">
        <f t="shared" si="164"/>
        <v>0</v>
      </c>
      <c r="IN341" s="218">
        <f t="shared" si="164"/>
        <v>0</v>
      </c>
      <c r="IO341" s="218">
        <f t="shared" si="164"/>
        <v>0</v>
      </c>
      <c r="IP341" s="218">
        <f t="shared" si="164"/>
        <v>0</v>
      </c>
      <c r="IQ341" s="219">
        <f t="shared" si="164"/>
        <v>0</v>
      </c>
      <c r="IR341" s="219">
        <f t="shared" si="164"/>
        <v>0</v>
      </c>
      <c r="IS341" s="219">
        <f t="shared" si="164"/>
        <v>0</v>
      </c>
      <c r="IT341" s="219">
        <f t="shared" si="164"/>
        <v>0</v>
      </c>
      <c r="IU341" s="219">
        <f t="shared" si="164"/>
        <v>0</v>
      </c>
      <c r="IV341" s="219">
        <f t="shared" si="164"/>
        <v>0</v>
      </c>
      <c r="IW341" s="219">
        <f t="shared" si="164"/>
        <v>0</v>
      </c>
      <c r="IX341" s="219">
        <f t="shared" si="164"/>
        <v>0</v>
      </c>
      <c r="IY341" s="219">
        <f t="shared" si="164"/>
        <v>0</v>
      </c>
      <c r="IZ341" s="219">
        <f t="shared" si="164"/>
        <v>0</v>
      </c>
      <c r="JA341" s="219">
        <f t="shared" si="164"/>
        <v>0</v>
      </c>
      <c r="JB341" s="219">
        <f t="shared" si="164"/>
        <v>0</v>
      </c>
      <c r="JC341" s="219">
        <f t="shared" si="165"/>
        <v>0</v>
      </c>
      <c r="JD341" s="219">
        <f t="shared" si="165"/>
        <v>0</v>
      </c>
      <c r="JE341" s="219">
        <f t="shared" si="165"/>
        <v>0</v>
      </c>
      <c r="JF341" s="219">
        <f t="shared" si="165"/>
        <v>0</v>
      </c>
      <c r="JG341" s="218">
        <f t="shared" si="165"/>
        <v>0</v>
      </c>
      <c r="JH341" s="218">
        <f t="shared" si="165"/>
        <v>0</v>
      </c>
      <c r="JI341" s="218">
        <f t="shared" si="165"/>
        <v>0</v>
      </c>
      <c r="JJ341" s="218">
        <f t="shared" si="165"/>
        <v>0</v>
      </c>
      <c r="JK341" s="218">
        <f t="shared" si="165"/>
        <v>0</v>
      </c>
      <c r="JL341" s="218">
        <f t="shared" si="165"/>
        <v>0</v>
      </c>
      <c r="JM341" s="218">
        <f t="shared" si="165"/>
        <v>0</v>
      </c>
      <c r="JN341" s="218">
        <f t="shared" si="165"/>
        <v>0</v>
      </c>
      <c r="JO341" s="218">
        <f t="shared" si="165"/>
        <v>0</v>
      </c>
      <c r="JP341" s="220">
        <f t="shared" si="166"/>
        <v>0</v>
      </c>
      <c r="JQ341" s="140"/>
      <c r="JR341" s="139"/>
      <c r="JS341" s="140"/>
      <c r="JT341" s="140"/>
      <c r="JU341" s="140"/>
      <c r="JV341" s="140"/>
      <c r="JW341" s="217">
        <v>0</v>
      </c>
      <c r="JX341" s="218">
        <f t="shared" si="167"/>
        <v>0</v>
      </c>
      <c r="JY341" s="218">
        <f t="shared" si="167"/>
        <v>0</v>
      </c>
      <c r="JZ341" s="218">
        <f t="shared" si="167"/>
        <v>0</v>
      </c>
      <c r="KA341" s="218">
        <f t="shared" si="167"/>
        <v>0</v>
      </c>
      <c r="KB341" s="219">
        <f t="shared" si="167"/>
        <v>0</v>
      </c>
      <c r="KC341" s="219">
        <f t="shared" si="167"/>
        <v>0</v>
      </c>
      <c r="KD341" s="219">
        <f t="shared" si="167"/>
        <v>0</v>
      </c>
      <c r="KE341" s="219">
        <f t="shared" si="167"/>
        <v>0</v>
      </c>
      <c r="KF341" s="219">
        <f t="shared" si="167"/>
        <v>0</v>
      </c>
      <c r="KG341" s="219">
        <f t="shared" si="167"/>
        <v>0</v>
      </c>
      <c r="KH341" s="219">
        <f t="shared" si="167"/>
        <v>0</v>
      </c>
      <c r="KI341" s="219">
        <f t="shared" si="167"/>
        <v>0</v>
      </c>
      <c r="KJ341" s="219">
        <f t="shared" si="167"/>
        <v>0</v>
      </c>
      <c r="KK341" s="219">
        <f t="shared" si="167"/>
        <v>0</v>
      </c>
      <c r="KL341" s="219">
        <f t="shared" si="167"/>
        <v>0</v>
      </c>
      <c r="KM341" s="219">
        <f t="shared" si="167"/>
        <v>0</v>
      </c>
      <c r="KN341" s="219">
        <f t="shared" si="168"/>
        <v>0</v>
      </c>
      <c r="KO341" s="219">
        <f t="shared" si="168"/>
        <v>0</v>
      </c>
      <c r="KP341" s="219">
        <f t="shared" si="168"/>
        <v>0</v>
      </c>
      <c r="KQ341" s="219">
        <f t="shared" si="168"/>
        <v>0</v>
      </c>
      <c r="KR341" s="218">
        <f t="shared" si="168"/>
        <v>0</v>
      </c>
      <c r="KS341" s="218">
        <f t="shared" si="168"/>
        <v>0</v>
      </c>
      <c r="KT341" s="218">
        <f t="shared" si="168"/>
        <v>0</v>
      </c>
      <c r="KU341" s="218">
        <f t="shared" si="168"/>
        <v>0</v>
      </c>
      <c r="KV341" s="218">
        <f t="shared" si="168"/>
        <v>0</v>
      </c>
      <c r="KW341" s="218">
        <f t="shared" si="168"/>
        <v>0</v>
      </c>
      <c r="KX341" s="218">
        <f t="shared" si="168"/>
        <v>0</v>
      </c>
      <c r="KY341" s="218">
        <f t="shared" si="168"/>
        <v>0</v>
      </c>
      <c r="KZ341" s="218">
        <f t="shared" si="168"/>
        <v>0</v>
      </c>
      <c r="LA341" s="220">
        <f t="shared" si="169"/>
        <v>0</v>
      </c>
      <c r="LB341" s="140"/>
      <c r="LC341" s="139"/>
      <c r="LD341" s="140"/>
      <c r="LE341" s="140"/>
      <c r="LF341" s="140"/>
      <c r="LG341" s="140"/>
      <c r="LH341" s="217">
        <v>0</v>
      </c>
      <c r="LI341" s="218">
        <f t="shared" si="170"/>
        <v>0</v>
      </c>
      <c r="LJ341" s="218">
        <f t="shared" si="170"/>
        <v>0</v>
      </c>
      <c r="LK341" s="218">
        <f t="shared" si="170"/>
        <v>0</v>
      </c>
      <c r="LL341" s="218">
        <f t="shared" si="170"/>
        <v>0</v>
      </c>
      <c r="LM341" s="219">
        <f t="shared" si="170"/>
        <v>0</v>
      </c>
      <c r="LN341" s="219">
        <f t="shared" si="170"/>
        <v>0</v>
      </c>
      <c r="LO341" s="219">
        <f t="shared" si="170"/>
        <v>0</v>
      </c>
      <c r="LP341" s="219">
        <f t="shared" si="170"/>
        <v>0</v>
      </c>
      <c r="LQ341" s="219">
        <f t="shared" si="170"/>
        <v>0</v>
      </c>
      <c r="LR341" s="219">
        <f t="shared" si="170"/>
        <v>0</v>
      </c>
      <c r="LS341" s="219">
        <f t="shared" si="170"/>
        <v>0</v>
      </c>
      <c r="LT341" s="219">
        <f t="shared" si="170"/>
        <v>0</v>
      </c>
      <c r="LU341" s="219">
        <f t="shared" si="170"/>
        <v>0</v>
      </c>
      <c r="LV341" s="219">
        <f t="shared" si="170"/>
        <v>0</v>
      </c>
      <c r="LW341" s="219">
        <f t="shared" si="170"/>
        <v>0</v>
      </c>
      <c r="LX341" s="219">
        <f t="shared" si="170"/>
        <v>0</v>
      </c>
      <c r="LY341" s="219">
        <f t="shared" si="171"/>
        <v>0</v>
      </c>
      <c r="LZ341" s="219">
        <f t="shared" si="171"/>
        <v>0</v>
      </c>
      <c r="MA341" s="219">
        <f t="shared" si="171"/>
        <v>0</v>
      </c>
      <c r="MB341" s="219">
        <f t="shared" si="171"/>
        <v>0</v>
      </c>
      <c r="MC341" s="218">
        <f t="shared" si="171"/>
        <v>0</v>
      </c>
      <c r="MD341" s="218">
        <f t="shared" si="171"/>
        <v>0</v>
      </c>
      <c r="ME341" s="218">
        <f t="shared" si="171"/>
        <v>0</v>
      </c>
      <c r="MF341" s="218">
        <f t="shared" si="171"/>
        <v>0</v>
      </c>
      <c r="MG341" s="218">
        <f t="shared" si="171"/>
        <v>0</v>
      </c>
      <c r="MH341" s="218">
        <f t="shared" si="171"/>
        <v>0</v>
      </c>
      <c r="MI341" s="218">
        <f t="shared" si="171"/>
        <v>0</v>
      </c>
      <c r="MJ341" s="218">
        <f t="shared" si="171"/>
        <v>0</v>
      </c>
      <c r="MK341" s="218">
        <f t="shared" si="171"/>
        <v>0</v>
      </c>
      <c r="ML341" s="220">
        <f t="shared" si="172"/>
        <v>0</v>
      </c>
    </row>
    <row r="342" spans="3:350" s="4" customFormat="1" ht="18" customHeight="1" x14ac:dyDescent="0.3">
      <c r="C342" s="136" t="s">
        <v>79</v>
      </c>
      <c r="E342" s="137" t="s">
        <v>105</v>
      </c>
      <c r="F342" s="147" t="s">
        <v>105</v>
      </c>
      <c r="H342" s="139"/>
      <c r="I342" s="140"/>
      <c r="J342" s="140"/>
      <c r="K342" s="140"/>
      <c r="L342" s="140"/>
      <c r="M342" s="141"/>
      <c r="N342" s="140"/>
      <c r="O342" s="140"/>
      <c r="P342" s="140"/>
      <c r="Q342" s="140"/>
      <c r="R342" s="140"/>
      <c r="S342" s="139"/>
      <c r="T342" s="140"/>
      <c r="U342" s="140"/>
      <c r="V342" s="140"/>
      <c r="W342" s="140"/>
      <c r="X342" s="140"/>
      <c r="Y342" s="140"/>
      <c r="Z342" s="140"/>
      <c r="AA342" s="140"/>
      <c r="AB342" s="140"/>
      <c r="AC342" s="140"/>
      <c r="AD342" s="140"/>
      <c r="AE342" s="140"/>
      <c r="AF342" s="140"/>
      <c r="AG342" s="140"/>
      <c r="AH342" s="140"/>
      <c r="AI342" s="140"/>
      <c r="AJ342" s="140"/>
      <c r="AK342" s="140"/>
      <c r="AL342" s="140"/>
      <c r="AM342" s="140"/>
      <c r="AN342" s="140"/>
      <c r="AO342" s="140"/>
      <c r="AP342" s="140"/>
      <c r="AQ342" s="140"/>
      <c r="AR342" s="140"/>
      <c r="AS342" s="140"/>
      <c r="AT342" s="140"/>
      <c r="AU342" s="140"/>
      <c r="AV342" s="140"/>
      <c r="AW342" s="140"/>
      <c r="AX342" s="140"/>
      <c r="AY342" s="140"/>
      <c r="AZ342" s="140"/>
      <c r="BA342" s="140"/>
      <c r="BB342" s="141"/>
      <c r="BC342" s="140"/>
      <c r="BD342" s="139"/>
      <c r="BE342" s="140"/>
      <c r="BF342" s="140"/>
      <c r="BG342" s="140"/>
      <c r="BH342" s="140"/>
      <c r="BI342" s="217">
        <v>0</v>
      </c>
      <c r="BJ342" s="218">
        <f t="shared" si="149"/>
        <v>2.1666666666666667E-2</v>
      </c>
      <c r="BK342" s="218">
        <f t="shared" si="149"/>
        <v>4.3333333333333335E-2</v>
      </c>
      <c r="BL342" s="218">
        <f t="shared" si="149"/>
        <v>6.5000000000000002E-2</v>
      </c>
      <c r="BM342" s="218">
        <f t="shared" si="149"/>
        <v>8.666666666666667E-2</v>
      </c>
      <c r="BN342" s="219">
        <f t="shared" si="149"/>
        <v>0.10833333333333334</v>
      </c>
      <c r="BO342" s="219">
        <f t="shared" si="149"/>
        <v>0.13</v>
      </c>
      <c r="BP342" s="219">
        <f t="shared" si="149"/>
        <v>0.15166666666666667</v>
      </c>
      <c r="BQ342" s="219">
        <f t="shared" si="149"/>
        <v>0.17333333333333334</v>
      </c>
      <c r="BR342" s="219">
        <f t="shared" si="149"/>
        <v>0.19500000000000001</v>
      </c>
      <c r="BS342" s="219">
        <f t="shared" si="149"/>
        <v>0.21666666666666667</v>
      </c>
      <c r="BT342" s="219">
        <f t="shared" si="149"/>
        <v>0.23833333333333334</v>
      </c>
      <c r="BU342" s="219">
        <f t="shared" si="149"/>
        <v>0.26</v>
      </c>
      <c r="BV342" s="219">
        <f t="shared" si="149"/>
        <v>0.28166666666666668</v>
      </c>
      <c r="BW342" s="219">
        <f t="shared" si="149"/>
        <v>0.30333333333333334</v>
      </c>
      <c r="BX342" s="219">
        <f t="shared" si="149"/>
        <v>0.32500000000000001</v>
      </c>
      <c r="BY342" s="219">
        <f t="shared" si="149"/>
        <v>0.34666666666666668</v>
      </c>
      <c r="BZ342" s="219">
        <f t="shared" si="150"/>
        <v>0.36833333333333335</v>
      </c>
      <c r="CA342" s="219">
        <f t="shared" si="150"/>
        <v>0.39</v>
      </c>
      <c r="CB342" s="219">
        <f t="shared" si="150"/>
        <v>0.41166666666666668</v>
      </c>
      <c r="CC342" s="219">
        <f t="shared" si="150"/>
        <v>0.43333333333333335</v>
      </c>
      <c r="CD342" s="218">
        <f t="shared" si="150"/>
        <v>0.45500000000000002</v>
      </c>
      <c r="CE342" s="218">
        <f t="shared" si="150"/>
        <v>0.47666666666666668</v>
      </c>
      <c r="CF342" s="218">
        <f t="shared" si="150"/>
        <v>0.49833333333333335</v>
      </c>
      <c r="CG342" s="218">
        <f t="shared" si="150"/>
        <v>0.52</v>
      </c>
      <c r="CH342" s="218">
        <f t="shared" si="150"/>
        <v>0.54166666666666663</v>
      </c>
      <c r="CI342" s="218">
        <f t="shared" si="150"/>
        <v>0.56333333333333335</v>
      </c>
      <c r="CJ342" s="218">
        <f t="shared" si="150"/>
        <v>0.58500000000000008</v>
      </c>
      <c r="CK342" s="218">
        <f t="shared" si="150"/>
        <v>0.60666666666666669</v>
      </c>
      <c r="CL342" s="218">
        <f t="shared" si="150"/>
        <v>0.62833333333333341</v>
      </c>
      <c r="CM342" s="220">
        <f t="shared" si="151"/>
        <v>0.65</v>
      </c>
      <c r="CN342" s="140"/>
      <c r="CO342" s="139"/>
      <c r="CP342" s="140"/>
      <c r="CQ342" s="140"/>
      <c r="CR342" s="140"/>
      <c r="CS342" s="140"/>
      <c r="CT342" s="217">
        <v>0</v>
      </c>
      <c r="CU342" s="218">
        <f t="shared" si="152"/>
        <v>3.2000000000000001E-2</v>
      </c>
      <c r="CV342" s="218">
        <f t="shared" si="152"/>
        <v>6.4000000000000001E-2</v>
      </c>
      <c r="CW342" s="218">
        <f t="shared" si="152"/>
        <v>9.6000000000000002E-2</v>
      </c>
      <c r="CX342" s="218">
        <f t="shared" si="152"/>
        <v>0.128</v>
      </c>
      <c r="CY342" s="219">
        <f t="shared" si="152"/>
        <v>0.16</v>
      </c>
      <c r="CZ342" s="219">
        <f t="shared" si="152"/>
        <v>0.192</v>
      </c>
      <c r="DA342" s="219">
        <f t="shared" si="152"/>
        <v>0.224</v>
      </c>
      <c r="DB342" s="219">
        <f t="shared" si="152"/>
        <v>0.25600000000000001</v>
      </c>
      <c r="DC342" s="219">
        <f t="shared" si="152"/>
        <v>0.28800000000000003</v>
      </c>
      <c r="DD342" s="219">
        <f t="shared" si="152"/>
        <v>0.32</v>
      </c>
      <c r="DE342" s="219">
        <f t="shared" si="152"/>
        <v>0.35199999999999998</v>
      </c>
      <c r="DF342" s="219">
        <f t="shared" si="152"/>
        <v>0.38400000000000001</v>
      </c>
      <c r="DG342" s="219">
        <f t="shared" si="152"/>
        <v>0.41600000000000004</v>
      </c>
      <c r="DH342" s="219">
        <f t="shared" si="152"/>
        <v>0.44800000000000001</v>
      </c>
      <c r="DI342" s="219">
        <f t="shared" si="152"/>
        <v>0.47999999999999993</v>
      </c>
      <c r="DJ342" s="219">
        <f t="shared" si="152"/>
        <v>0.51200000000000001</v>
      </c>
      <c r="DK342" s="219">
        <f t="shared" si="153"/>
        <v>0.54400000000000004</v>
      </c>
      <c r="DL342" s="219">
        <f t="shared" si="153"/>
        <v>0.57600000000000007</v>
      </c>
      <c r="DM342" s="219">
        <f t="shared" si="153"/>
        <v>0.60799999999999998</v>
      </c>
      <c r="DN342" s="219">
        <f t="shared" si="153"/>
        <v>0.64</v>
      </c>
      <c r="DO342" s="218">
        <f t="shared" si="153"/>
        <v>0.67200000000000004</v>
      </c>
      <c r="DP342" s="218">
        <f t="shared" si="153"/>
        <v>0.70399999999999996</v>
      </c>
      <c r="DQ342" s="218">
        <f t="shared" si="153"/>
        <v>0.73599999999999999</v>
      </c>
      <c r="DR342" s="218">
        <f t="shared" si="153"/>
        <v>0.76800000000000002</v>
      </c>
      <c r="DS342" s="218">
        <f t="shared" si="153"/>
        <v>0.8</v>
      </c>
      <c r="DT342" s="218">
        <f t="shared" si="153"/>
        <v>0.83200000000000007</v>
      </c>
      <c r="DU342" s="218">
        <f t="shared" si="153"/>
        <v>0.86399999999999999</v>
      </c>
      <c r="DV342" s="218">
        <f t="shared" si="153"/>
        <v>0.89600000000000002</v>
      </c>
      <c r="DW342" s="218">
        <f t="shared" si="153"/>
        <v>0.92800000000000005</v>
      </c>
      <c r="DX342" s="220">
        <f t="shared" si="154"/>
        <v>0.96</v>
      </c>
      <c r="DY342" s="140"/>
      <c r="DZ342" s="139"/>
      <c r="EA342" s="140"/>
      <c r="EB342" s="140"/>
      <c r="EC342" s="140"/>
      <c r="ED342" s="140"/>
      <c r="EE342" s="217">
        <v>0</v>
      </c>
      <c r="EF342" s="218">
        <f t="shared" si="155"/>
        <v>2.8333333333333332E-2</v>
      </c>
      <c r="EG342" s="218">
        <f t="shared" si="155"/>
        <v>5.6666666666666664E-2</v>
      </c>
      <c r="EH342" s="218">
        <f t="shared" si="155"/>
        <v>8.4999999999999992E-2</v>
      </c>
      <c r="EI342" s="218">
        <f t="shared" si="155"/>
        <v>0.11333333333333333</v>
      </c>
      <c r="EJ342" s="219">
        <f t="shared" si="155"/>
        <v>0.14166666666666666</v>
      </c>
      <c r="EK342" s="219">
        <f t="shared" si="155"/>
        <v>0.16999999999999998</v>
      </c>
      <c r="EL342" s="219">
        <f t="shared" si="155"/>
        <v>0.19833333333333333</v>
      </c>
      <c r="EM342" s="219">
        <f t="shared" si="155"/>
        <v>0.22666666666666666</v>
      </c>
      <c r="EN342" s="219">
        <f t="shared" si="155"/>
        <v>0.255</v>
      </c>
      <c r="EO342" s="219">
        <f t="shared" si="155"/>
        <v>0.28333333333333333</v>
      </c>
      <c r="EP342" s="219">
        <f t="shared" si="155"/>
        <v>0.31166666666666665</v>
      </c>
      <c r="EQ342" s="219">
        <f t="shared" si="155"/>
        <v>0.33999999999999997</v>
      </c>
      <c r="ER342" s="219">
        <f t="shared" si="155"/>
        <v>0.36833333333333329</v>
      </c>
      <c r="ES342" s="219">
        <f t="shared" si="155"/>
        <v>0.39666666666666667</v>
      </c>
      <c r="ET342" s="219">
        <f t="shared" si="155"/>
        <v>0.42499999999999999</v>
      </c>
      <c r="EU342" s="219">
        <f t="shared" si="155"/>
        <v>0.45333333333333331</v>
      </c>
      <c r="EV342" s="219">
        <f t="shared" si="156"/>
        <v>0.48166666666666663</v>
      </c>
      <c r="EW342" s="219">
        <f t="shared" si="156"/>
        <v>0.51</v>
      </c>
      <c r="EX342" s="219">
        <f t="shared" si="156"/>
        <v>0.53833333333333333</v>
      </c>
      <c r="EY342" s="219">
        <f t="shared" si="156"/>
        <v>0.56666666666666665</v>
      </c>
      <c r="EZ342" s="218">
        <f t="shared" si="156"/>
        <v>0.59499999999999997</v>
      </c>
      <c r="FA342" s="218">
        <f t="shared" si="156"/>
        <v>0.62333333333333329</v>
      </c>
      <c r="FB342" s="218">
        <f t="shared" si="156"/>
        <v>0.65166666666666673</v>
      </c>
      <c r="FC342" s="218">
        <f t="shared" si="156"/>
        <v>0.67999999999999994</v>
      </c>
      <c r="FD342" s="218">
        <f t="shared" si="156"/>
        <v>0.70833333333333337</v>
      </c>
      <c r="FE342" s="218">
        <f t="shared" si="156"/>
        <v>0.73666666666666658</v>
      </c>
      <c r="FF342" s="218">
        <f t="shared" si="156"/>
        <v>0.76500000000000001</v>
      </c>
      <c r="FG342" s="218">
        <f t="shared" si="156"/>
        <v>0.79333333333333333</v>
      </c>
      <c r="FH342" s="218">
        <f t="shared" si="156"/>
        <v>0.82166666666666666</v>
      </c>
      <c r="FI342" s="220">
        <f t="shared" si="157"/>
        <v>0.85</v>
      </c>
      <c r="FJ342" s="140"/>
      <c r="FK342" s="139"/>
      <c r="FL342" s="140"/>
      <c r="FM342" s="140"/>
      <c r="FN342" s="140"/>
      <c r="FO342" s="140"/>
      <c r="FP342" s="217">
        <v>0</v>
      </c>
      <c r="FQ342" s="218">
        <f t="shared" si="158"/>
        <v>2.8333333333333332E-2</v>
      </c>
      <c r="FR342" s="218">
        <f t="shared" si="158"/>
        <v>5.6666666666666664E-2</v>
      </c>
      <c r="FS342" s="218">
        <f t="shared" si="158"/>
        <v>8.4999999999999992E-2</v>
      </c>
      <c r="FT342" s="218">
        <f t="shared" si="158"/>
        <v>0.11333333333333333</v>
      </c>
      <c r="FU342" s="219">
        <f t="shared" si="158"/>
        <v>0.14166666666666666</v>
      </c>
      <c r="FV342" s="219">
        <f t="shared" si="158"/>
        <v>0.16999999999999998</v>
      </c>
      <c r="FW342" s="219">
        <f t="shared" si="158"/>
        <v>0.19833333333333333</v>
      </c>
      <c r="FX342" s="219">
        <f t="shared" si="158"/>
        <v>0.22666666666666666</v>
      </c>
      <c r="FY342" s="219">
        <f t="shared" si="158"/>
        <v>0.255</v>
      </c>
      <c r="FZ342" s="219">
        <f t="shared" si="158"/>
        <v>0.28333333333333333</v>
      </c>
      <c r="GA342" s="219">
        <f t="shared" si="158"/>
        <v>0.31166666666666665</v>
      </c>
      <c r="GB342" s="219">
        <f t="shared" si="158"/>
        <v>0.33999999999999997</v>
      </c>
      <c r="GC342" s="219">
        <f t="shared" si="158"/>
        <v>0.36833333333333329</v>
      </c>
      <c r="GD342" s="219">
        <f t="shared" si="158"/>
        <v>0.39666666666666667</v>
      </c>
      <c r="GE342" s="219">
        <f t="shared" si="158"/>
        <v>0.42499999999999999</v>
      </c>
      <c r="GF342" s="219">
        <f t="shared" si="158"/>
        <v>0.45333333333333331</v>
      </c>
      <c r="GG342" s="219">
        <f t="shared" si="159"/>
        <v>0.48166666666666663</v>
      </c>
      <c r="GH342" s="219">
        <f t="shared" si="159"/>
        <v>0.51</v>
      </c>
      <c r="GI342" s="219">
        <f t="shared" si="159"/>
        <v>0.53833333333333333</v>
      </c>
      <c r="GJ342" s="219">
        <f t="shared" si="159"/>
        <v>0.56666666666666665</v>
      </c>
      <c r="GK342" s="218">
        <f t="shared" si="159"/>
        <v>0.59499999999999997</v>
      </c>
      <c r="GL342" s="218">
        <f t="shared" si="159"/>
        <v>0.62333333333333329</v>
      </c>
      <c r="GM342" s="218">
        <f t="shared" si="159"/>
        <v>0.65166666666666673</v>
      </c>
      <c r="GN342" s="218">
        <f t="shared" si="159"/>
        <v>0.67999999999999994</v>
      </c>
      <c r="GO342" s="218">
        <f t="shared" si="159"/>
        <v>0.70833333333333337</v>
      </c>
      <c r="GP342" s="218">
        <f t="shared" si="159"/>
        <v>0.73666666666666658</v>
      </c>
      <c r="GQ342" s="218">
        <f t="shared" si="159"/>
        <v>0.76500000000000001</v>
      </c>
      <c r="GR342" s="218">
        <f t="shared" si="159"/>
        <v>0.79333333333333333</v>
      </c>
      <c r="GS342" s="218">
        <f t="shared" si="159"/>
        <v>0.82166666666666666</v>
      </c>
      <c r="GT342" s="220">
        <f t="shared" si="160"/>
        <v>0.85</v>
      </c>
      <c r="GU342" s="140"/>
      <c r="GV342" s="139"/>
      <c r="GW342" s="140"/>
      <c r="GX342" s="140"/>
      <c r="GY342" s="140"/>
      <c r="GZ342" s="140"/>
      <c r="HA342" s="217">
        <v>0</v>
      </c>
      <c r="HB342" s="218">
        <f t="shared" si="161"/>
        <v>2.5000000000000001E-2</v>
      </c>
      <c r="HC342" s="218">
        <f t="shared" si="161"/>
        <v>0.05</v>
      </c>
      <c r="HD342" s="218">
        <f t="shared" si="161"/>
        <v>7.4999999999999997E-2</v>
      </c>
      <c r="HE342" s="218">
        <f t="shared" si="161"/>
        <v>0.1</v>
      </c>
      <c r="HF342" s="219">
        <f t="shared" si="161"/>
        <v>0.125</v>
      </c>
      <c r="HG342" s="219">
        <f t="shared" si="161"/>
        <v>0.15</v>
      </c>
      <c r="HH342" s="219">
        <f t="shared" si="161"/>
        <v>0.17499999999999999</v>
      </c>
      <c r="HI342" s="219">
        <f t="shared" si="161"/>
        <v>0.2</v>
      </c>
      <c r="HJ342" s="219">
        <f t="shared" si="161"/>
        <v>0.22500000000000001</v>
      </c>
      <c r="HK342" s="219">
        <f t="shared" si="161"/>
        <v>0.25</v>
      </c>
      <c r="HL342" s="219">
        <f t="shared" si="161"/>
        <v>0.27500000000000002</v>
      </c>
      <c r="HM342" s="219">
        <f t="shared" si="161"/>
        <v>0.3</v>
      </c>
      <c r="HN342" s="219">
        <f t="shared" si="161"/>
        <v>0.32500000000000001</v>
      </c>
      <c r="HO342" s="219">
        <f t="shared" si="161"/>
        <v>0.35</v>
      </c>
      <c r="HP342" s="219">
        <f t="shared" si="161"/>
        <v>0.375</v>
      </c>
      <c r="HQ342" s="219">
        <f t="shared" si="161"/>
        <v>0.4</v>
      </c>
      <c r="HR342" s="219">
        <f t="shared" si="162"/>
        <v>0.42499999999999999</v>
      </c>
      <c r="HS342" s="219">
        <f t="shared" si="162"/>
        <v>0.45</v>
      </c>
      <c r="HT342" s="219">
        <f t="shared" si="162"/>
        <v>0.47499999999999998</v>
      </c>
      <c r="HU342" s="219">
        <f t="shared" si="162"/>
        <v>0.5</v>
      </c>
      <c r="HV342" s="218">
        <f t="shared" si="162"/>
        <v>0.52500000000000002</v>
      </c>
      <c r="HW342" s="218">
        <f t="shared" si="162"/>
        <v>0.55000000000000004</v>
      </c>
      <c r="HX342" s="218">
        <f t="shared" si="162"/>
        <v>0.57499999999999996</v>
      </c>
      <c r="HY342" s="218">
        <f t="shared" si="162"/>
        <v>0.6</v>
      </c>
      <c r="HZ342" s="218">
        <f t="shared" si="162"/>
        <v>0.625</v>
      </c>
      <c r="IA342" s="218">
        <f t="shared" si="162"/>
        <v>0.65</v>
      </c>
      <c r="IB342" s="218">
        <f t="shared" si="162"/>
        <v>0.67500000000000004</v>
      </c>
      <c r="IC342" s="218">
        <f t="shared" si="162"/>
        <v>0.7</v>
      </c>
      <c r="ID342" s="218">
        <f t="shared" si="162"/>
        <v>0.72499999999999998</v>
      </c>
      <c r="IE342" s="220">
        <f t="shared" si="163"/>
        <v>0.75</v>
      </c>
      <c r="IF342" s="140"/>
      <c r="IG342" s="139"/>
      <c r="IH342" s="140"/>
      <c r="II342" s="140"/>
      <c r="IJ342" s="140"/>
      <c r="IK342" s="140"/>
      <c r="IL342" s="217">
        <v>0</v>
      </c>
      <c r="IM342" s="218">
        <f t="shared" si="164"/>
        <v>0</v>
      </c>
      <c r="IN342" s="218">
        <f t="shared" si="164"/>
        <v>0</v>
      </c>
      <c r="IO342" s="218">
        <f t="shared" si="164"/>
        <v>0</v>
      </c>
      <c r="IP342" s="218">
        <f t="shared" si="164"/>
        <v>0</v>
      </c>
      <c r="IQ342" s="219">
        <f t="shared" si="164"/>
        <v>0</v>
      </c>
      <c r="IR342" s="219">
        <f t="shared" si="164"/>
        <v>0</v>
      </c>
      <c r="IS342" s="219">
        <f t="shared" si="164"/>
        <v>0</v>
      </c>
      <c r="IT342" s="219">
        <f t="shared" si="164"/>
        <v>0</v>
      </c>
      <c r="IU342" s="219">
        <f t="shared" si="164"/>
        <v>0</v>
      </c>
      <c r="IV342" s="219">
        <f t="shared" si="164"/>
        <v>0</v>
      </c>
      <c r="IW342" s="219">
        <f t="shared" si="164"/>
        <v>0</v>
      </c>
      <c r="IX342" s="219">
        <f t="shared" si="164"/>
        <v>0</v>
      </c>
      <c r="IY342" s="219">
        <f t="shared" si="164"/>
        <v>0</v>
      </c>
      <c r="IZ342" s="219">
        <f t="shared" si="164"/>
        <v>0</v>
      </c>
      <c r="JA342" s="219">
        <f t="shared" si="164"/>
        <v>0</v>
      </c>
      <c r="JB342" s="219">
        <f t="shared" si="164"/>
        <v>0</v>
      </c>
      <c r="JC342" s="219">
        <f t="shared" si="165"/>
        <v>0</v>
      </c>
      <c r="JD342" s="219">
        <f t="shared" si="165"/>
        <v>0</v>
      </c>
      <c r="JE342" s="219">
        <f t="shared" si="165"/>
        <v>0</v>
      </c>
      <c r="JF342" s="219">
        <f t="shared" si="165"/>
        <v>0</v>
      </c>
      <c r="JG342" s="218">
        <f t="shared" si="165"/>
        <v>0</v>
      </c>
      <c r="JH342" s="218">
        <f t="shared" si="165"/>
        <v>0</v>
      </c>
      <c r="JI342" s="218">
        <f t="shared" si="165"/>
        <v>0</v>
      </c>
      <c r="JJ342" s="218">
        <f t="shared" si="165"/>
        <v>0</v>
      </c>
      <c r="JK342" s="218">
        <f t="shared" si="165"/>
        <v>0</v>
      </c>
      <c r="JL342" s="218">
        <f t="shared" si="165"/>
        <v>0</v>
      </c>
      <c r="JM342" s="218">
        <f t="shared" si="165"/>
        <v>0</v>
      </c>
      <c r="JN342" s="218">
        <f t="shared" si="165"/>
        <v>0</v>
      </c>
      <c r="JO342" s="218">
        <f t="shared" si="165"/>
        <v>0</v>
      </c>
      <c r="JP342" s="220">
        <f t="shared" si="166"/>
        <v>0</v>
      </c>
      <c r="JQ342" s="140"/>
      <c r="JR342" s="139"/>
      <c r="JS342" s="140"/>
      <c r="JT342" s="140"/>
      <c r="JU342" s="140"/>
      <c r="JV342" s="140"/>
      <c r="JW342" s="217">
        <v>0</v>
      </c>
      <c r="JX342" s="218">
        <f t="shared" si="167"/>
        <v>0</v>
      </c>
      <c r="JY342" s="218">
        <f t="shared" si="167"/>
        <v>0</v>
      </c>
      <c r="JZ342" s="218">
        <f t="shared" si="167"/>
        <v>0</v>
      </c>
      <c r="KA342" s="218">
        <f t="shared" si="167"/>
        <v>0</v>
      </c>
      <c r="KB342" s="219">
        <f t="shared" si="167"/>
        <v>0</v>
      </c>
      <c r="KC342" s="219">
        <f t="shared" si="167"/>
        <v>0</v>
      </c>
      <c r="KD342" s="219">
        <f t="shared" si="167"/>
        <v>0</v>
      </c>
      <c r="KE342" s="219">
        <f t="shared" si="167"/>
        <v>0</v>
      </c>
      <c r="KF342" s="219">
        <f t="shared" si="167"/>
        <v>0</v>
      </c>
      <c r="KG342" s="219">
        <f t="shared" si="167"/>
        <v>0</v>
      </c>
      <c r="KH342" s="219">
        <f t="shared" si="167"/>
        <v>0</v>
      </c>
      <c r="KI342" s="219">
        <f t="shared" si="167"/>
        <v>0</v>
      </c>
      <c r="KJ342" s="219">
        <f t="shared" si="167"/>
        <v>0</v>
      </c>
      <c r="KK342" s="219">
        <f t="shared" si="167"/>
        <v>0</v>
      </c>
      <c r="KL342" s="219">
        <f t="shared" si="167"/>
        <v>0</v>
      </c>
      <c r="KM342" s="219">
        <f t="shared" si="167"/>
        <v>0</v>
      </c>
      <c r="KN342" s="219">
        <f t="shared" si="168"/>
        <v>0</v>
      </c>
      <c r="KO342" s="219">
        <f t="shared" si="168"/>
        <v>0</v>
      </c>
      <c r="KP342" s="219">
        <f t="shared" si="168"/>
        <v>0</v>
      </c>
      <c r="KQ342" s="219">
        <f t="shared" si="168"/>
        <v>0</v>
      </c>
      <c r="KR342" s="218">
        <f t="shared" si="168"/>
        <v>0</v>
      </c>
      <c r="KS342" s="218">
        <f t="shared" si="168"/>
        <v>0</v>
      </c>
      <c r="KT342" s="218">
        <f t="shared" si="168"/>
        <v>0</v>
      </c>
      <c r="KU342" s="218">
        <f t="shared" si="168"/>
        <v>0</v>
      </c>
      <c r="KV342" s="218">
        <f t="shared" si="168"/>
        <v>0</v>
      </c>
      <c r="KW342" s="218">
        <f t="shared" si="168"/>
        <v>0</v>
      </c>
      <c r="KX342" s="218">
        <f t="shared" si="168"/>
        <v>0</v>
      </c>
      <c r="KY342" s="218">
        <f t="shared" si="168"/>
        <v>0</v>
      </c>
      <c r="KZ342" s="218">
        <f t="shared" si="168"/>
        <v>0</v>
      </c>
      <c r="LA342" s="220">
        <f t="shared" si="169"/>
        <v>0</v>
      </c>
      <c r="LB342" s="140"/>
      <c r="LC342" s="139"/>
      <c r="LD342" s="140"/>
      <c r="LE342" s="140"/>
      <c r="LF342" s="140"/>
      <c r="LG342" s="140"/>
      <c r="LH342" s="217">
        <v>0</v>
      </c>
      <c r="LI342" s="218">
        <f t="shared" si="170"/>
        <v>0</v>
      </c>
      <c r="LJ342" s="218">
        <f t="shared" si="170"/>
        <v>0</v>
      </c>
      <c r="LK342" s="218">
        <f t="shared" si="170"/>
        <v>0</v>
      </c>
      <c r="LL342" s="218">
        <f t="shared" si="170"/>
        <v>0</v>
      </c>
      <c r="LM342" s="219">
        <f t="shared" si="170"/>
        <v>0</v>
      </c>
      <c r="LN342" s="219">
        <f t="shared" si="170"/>
        <v>0</v>
      </c>
      <c r="LO342" s="219">
        <f t="shared" si="170"/>
        <v>0</v>
      </c>
      <c r="LP342" s="219">
        <f t="shared" si="170"/>
        <v>0</v>
      </c>
      <c r="LQ342" s="219">
        <f t="shared" si="170"/>
        <v>0</v>
      </c>
      <c r="LR342" s="219">
        <f t="shared" si="170"/>
        <v>0</v>
      </c>
      <c r="LS342" s="219">
        <f t="shared" si="170"/>
        <v>0</v>
      </c>
      <c r="LT342" s="219">
        <f t="shared" si="170"/>
        <v>0</v>
      </c>
      <c r="LU342" s="219">
        <f t="shared" si="170"/>
        <v>0</v>
      </c>
      <c r="LV342" s="219">
        <f t="shared" si="170"/>
        <v>0</v>
      </c>
      <c r="LW342" s="219">
        <f t="shared" si="170"/>
        <v>0</v>
      </c>
      <c r="LX342" s="219">
        <f t="shared" si="170"/>
        <v>0</v>
      </c>
      <c r="LY342" s="219">
        <f t="shared" si="171"/>
        <v>0</v>
      </c>
      <c r="LZ342" s="219">
        <f t="shared" si="171"/>
        <v>0</v>
      </c>
      <c r="MA342" s="219">
        <f t="shared" si="171"/>
        <v>0</v>
      </c>
      <c r="MB342" s="219">
        <f t="shared" si="171"/>
        <v>0</v>
      </c>
      <c r="MC342" s="218">
        <f t="shared" si="171"/>
        <v>0</v>
      </c>
      <c r="MD342" s="218">
        <f t="shared" si="171"/>
        <v>0</v>
      </c>
      <c r="ME342" s="218">
        <f t="shared" si="171"/>
        <v>0</v>
      </c>
      <c r="MF342" s="218">
        <f t="shared" si="171"/>
        <v>0</v>
      </c>
      <c r="MG342" s="218">
        <f t="shared" si="171"/>
        <v>0</v>
      </c>
      <c r="MH342" s="218">
        <f t="shared" si="171"/>
        <v>0</v>
      </c>
      <c r="MI342" s="218">
        <f t="shared" si="171"/>
        <v>0</v>
      </c>
      <c r="MJ342" s="218">
        <f t="shared" si="171"/>
        <v>0</v>
      </c>
      <c r="MK342" s="218">
        <f t="shared" si="171"/>
        <v>0</v>
      </c>
      <c r="ML342" s="220">
        <f t="shared" si="172"/>
        <v>0</v>
      </c>
    </row>
    <row r="343" spans="3:350" s="4" customFormat="1" ht="18" customHeight="1" x14ac:dyDescent="0.3">
      <c r="C343" s="136" t="s">
        <v>80</v>
      </c>
      <c r="E343" s="137" t="s">
        <v>105</v>
      </c>
      <c r="F343" s="147" t="s">
        <v>105</v>
      </c>
      <c r="H343" s="139"/>
      <c r="I343" s="140"/>
      <c r="J343" s="140"/>
      <c r="K343" s="140"/>
      <c r="L343" s="140"/>
      <c r="M343" s="141"/>
      <c r="N343" s="140"/>
      <c r="O343" s="140"/>
      <c r="P343" s="140"/>
      <c r="Q343" s="140"/>
      <c r="R343" s="140"/>
      <c r="S343" s="139"/>
      <c r="T343" s="140"/>
      <c r="U343" s="140"/>
      <c r="V343" s="140"/>
      <c r="W343" s="140"/>
      <c r="X343" s="140"/>
      <c r="Y343" s="140"/>
      <c r="Z343" s="140"/>
      <c r="AA343" s="140"/>
      <c r="AB343" s="140"/>
      <c r="AC343" s="140"/>
      <c r="AD343" s="140"/>
      <c r="AE343" s="140"/>
      <c r="AF343" s="140"/>
      <c r="AG343" s="140"/>
      <c r="AH343" s="140"/>
      <c r="AI343" s="140"/>
      <c r="AJ343" s="140"/>
      <c r="AK343" s="140"/>
      <c r="AL343" s="140"/>
      <c r="AM343" s="140"/>
      <c r="AN343" s="140"/>
      <c r="AO343" s="140"/>
      <c r="AP343" s="140"/>
      <c r="AQ343" s="140"/>
      <c r="AR343" s="140"/>
      <c r="AS343" s="140"/>
      <c r="AT343" s="140"/>
      <c r="AU343" s="140"/>
      <c r="AV343" s="140"/>
      <c r="AW343" s="140"/>
      <c r="AX343" s="140"/>
      <c r="AY343" s="140"/>
      <c r="AZ343" s="140"/>
      <c r="BA343" s="140"/>
      <c r="BB343" s="141"/>
      <c r="BC343" s="140"/>
      <c r="BD343" s="177"/>
      <c r="BE343" s="178"/>
      <c r="BF343" s="178"/>
      <c r="BG343" s="178"/>
      <c r="BH343" s="178"/>
      <c r="BI343" s="217">
        <v>0</v>
      </c>
      <c r="BJ343" s="218">
        <f t="shared" si="149"/>
        <v>1.9333333333333331E-2</v>
      </c>
      <c r="BK343" s="218">
        <f t="shared" si="149"/>
        <v>3.8666666666666662E-2</v>
      </c>
      <c r="BL343" s="218">
        <f t="shared" si="149"/>
        <v>5.7999999999999989E-2</v>
      </c>
      <c r="BM343" s="218">
        <f t="shared" si="149"/>
        <v>7.7333333333333323E-2</v>
      </c>
      <c r="BN343" s="219">
        <f t="shared" si="149"/>
        <v>9.6666666666666665E-2</v>
      </c>
      <c r="BO343" s="219">
        <f t="shared" si="149"/>
        <v>0.11599999999999998</v>
      </c>
      <c r="BP343" s="219">
        <f t="shared" si="149"/>
        <v>0.13533333333333333</v>
      </c>
      <c r="BQ343" s="219">
        <f t="shared" si="149"/>
        <v>0.15466666666666665</v>
      </c>
      <c r="BR343" s="219">
        <f t="shared" si="149"/>
        <v>0.17399999999999999</v>
      </c>
      <c r="BS343" s="219">
        <f t="shared" si="149"/>
        <v>0.19333333333333333</v>
      </c>
      <c r="BT343" s="219">
        <f t="shared" si="149"/>
        <v>0.21266666666666667</v>
      </c>
      <c r="BU343" s="219">
        <f t="shared" si="149"/>
        <v>0.23199999999999996</v>
      </c>
      <c r="BV343" s="219">
        <f t="shared" si="149"/>
        <v>0.2513333333333333</v>
      </c>
      <c r="BW343" s="219">
        <f t="shared" si="149"/>
        <v>0.27066666666666667</v>
      </c>
      <c r="BX343" s="219">
        <f t="shared" si="149"/>
        <v>0.28999999999999998</v>
      </c>
      <c r="BY343" s="219">
        <f t="shared" si="149"/>
        <v>0.30933333333333329</v>
      </c>
      <c r="BZ343" s="219">
        <f t="shared" si="150"/>
        <v>0.32866666666666666</v>
      </c>
      <c r="CA343" s="219">
        <f t="shared" si="150"/>
        <v>0.34799999999999998</v>
      </c>
      <c r="CB343" s="219">
        <f t="shared" si="150"/>
        <v>0.36733333333333335</v>
      </c>
      <c r="CC343" s="219">
        <f t="shared" si="150"/>
        <v>0.38666666666666666</v>
      </c>
      <c r="CD343" s="218">
        <f t="shared" si="150"/>
        <v>0.40599999999999997</v>
      </c>
      <c r="CE343" s="218">
        <f t="shared" si="150"/>
        <v>0.42533333333333334</v>
      </c>
      <c r="CF343" s="218">
        <f t="shared" si="150"/>
        <v>0.44466666666666665</v>
      </c>
      <c r="CG343" s="218">
        <f t="shared" si="150"/>
        <v>0.46399999999999991</v>
      </c>
      <c r="CH343" s="218">
        <f t="shared" si="150"/>
        <v>0.48333333333333328</v>
      </c>
      <c r="CI343" s="218">
        <f t="shared" si="150"/>
        <v>0.5026666666666666</v>
      </c>
      <c r="CJ343" s="218">
        <f t="shared" si="150"/>
        <v>0.52199999999999991</v>
      </c>
      <c r="CK343" s="218">
        <f t="shared" si="150"/>
        <v>0.54133333333333333</v>
      </c>
      <c r="CL343" s="218">
        <f t="shared" si="150"/>
        <v>0.56066666666666665</v>
      </c>
      <c r="CM343" s="220">
        <f t="shared" si="151"/>
        <v>0.57999999999999996</v>
      </c>
      <c r="CN343" s="140"/>
      <c r="CO343" s="177"/>
      <c r="CP343" s="178"/>
      <c r="CQ343" s="178"/>
      <c r="CR343" s="178"/>
      <c r="CS343" s="178"/>
      <c r="CT343" s="217">
        <v>0</v>
      </c>
      <c r="CU343" s="218">
        <f t="shared" si="152"/>
        <v>2.9666666666666668E-2</v>
      </c>
      <c r="CV343" s="218">
        <f t="shared" si="152"/>
        <v>5.9333333333333335E-2</v>
      </c>
      <c r="CW343" s="218">
        <f t="shared" si="152"/>
        <v>8.8999999999999996E-2</v>
      </c>
      <c r="CX343" s="218">
        <f t="shared" si="152"/>
        <v>0.11866666666666667</v>
      </c>
      <c r="CY343" s="219">
        <f t="shared" si="152"/>
        <v>0.14833333333333334</v>
      </c>
      <c r="CZ343" s="219">
        <f t="shared" si="152"/>
        <v>0.17799999999999999</v>
      </c>
      <c r="DA343" s="219">
        <f t="shared" si="152"/>
        <v>0.20766666666666669</v>
      </c>
      <c r="DB343" s="219">
        <f t="shared" si="152"/>
        <v>0.23733333333333334</v>
      </c>
      <c r="DC343" s="219">
        <f t="shared" si="152"/>
        <v>0.26700000000000002</v>
      </c>
      <c r="DD343" s="219">
        <f t="shared" si="152"/>
        <v>0.29666666666666669</v>
      </c>
      <c r="DE343" s="219">
        <f t="shared" si="152"/>
        <v>0.32633333333333336</v>
      </c>
      <c r="DF343" s="219">
        <f t="shared" si="152"/>
        <v>0.35599999999999998</v>
      </c>
      <c r="DG343" s="219">
        <f t="shared" si="152"/>
        <v>0.38566666666666666</v>
      </c>
      <c r="DH343" s="219">
        <f t="shared" si="152"/>
        <v>0.41533333333333339</v>
      </c>
      <c r="DI343" s="219">
        <f t="shared" si="152"/>
        <v>0.44500000000000001</v>
      </c>
      <c r="DJ343" s="219">
        <f t="shared" si="152"/>
        <v>0.47466666666666668</v>
      </c>
      <c r="DK343" s="219">
        <f t="shared" si="153"/>
        <v>0.50433333333333341</v>
      </c>
      <c r="DL343" s="219">
        <f t="shared" si="153"/>
        <v>0.53400000000000003</v>
      </c>
      <c r="DM343" s="219">
        <f t="shared" si="153"/>
        <v>0.56366666666666665</v>
      </c>
      <c r="DN343" s="219">
        <f t="shared" si="153"/>
        <v>0.59333333333333338</v>
      </c>
      <c r="DO343" s="218">
        <f t="shared" si="153"/>
        <v>0.623</v>
      </c>
      <c r="DP343" s="218">
        <f t="shared" si="153"/>
        <v>0.65266666666666673</v>
      </c>
      <c r="DQ343" s="218">
        <f t="shared" si="153"/>
        <v>0.68233333333333335</v>
      </c>
      <c r="DR343" s="218">
        <f t="shared" si="153"/>
        <v>0.71199999999999997</v>
      </c>
      <c r="DS343" s="218">
        <f t="shared" si="153"/>
        <v>0.7416666666666667</v>
      </c>
      <c r="DT343" s="218">
        <f t="shared" si="153"/>
        <v>0.77133333333333332</v>
      </c>
      <c r="DU343" s="218">
        <f t="shared" si="153"/>
        <v>0.80100000000000005</v>
      </c>
      <c r="DV343" s="218">
        <f t="shared" si="153"/>
        <v>0.83066666666666678</v>
      </c>
      <c r="DW343" s="218">
        <f t="shared" si="153"/>
        <v>0.86033333333333328</v>
      </c>
      <c r="DX343" s="220">
        <f t="shared" si="154"/>
        <v>0.89</v>
      </c>
      <c r="DY343" s="140"/>
      <c r="DZ343" s="177"/>
      <c r="EA343" s="178"/>
      <c r="EB343" s="178"/>
      <c r="EC343" s="178"/>
      <c r="ED343" s="178"/>
      <c r="EE343" s="217">
        <v>0</v>
      </c>
      <c r="EF343" s="218">
        <f t="shared" si="155"/>
        <v>2.6000000000000002E-2</v>
      </c>
      <c r="EG343" s="218">
        <f t="shared" si="155"/>
        <v>5.2000000000000005E-2</v>
      </c>
      <c r="EH343" s="218">
        <f t="shared" si="155"/>
        <v>7.8E-2</v>
      </c>
      <c r="EI343" s="218">
        <f t="shared" si="155"/>
        <v>0.10400000000000001</v>
      </c>
      <c r="EJ343" s="219">
        <f t="shared" si="155"/>
        <v>0.13</v>
      </c>
      <c r="EK343" s="219">
        <f t="shared" si="155"/>
        <v>0.156</v>
      </c>
      <c r="EL343" s="219">
        <f t="shared" si="155"/>
        <v>0.182</v>
      </c>
      <c r="EM343" s="219">
        <f t="shared" si="155"/>
        <v>0.20800000000000002</v>
      </c>
      <c r="EN343" s="219">
        <f t="shared" si="155"/>
        <v>0.23400000000000001</v>
      </c>
      <c r="EO343" s="219">
        <f t="shared" si="155"/>
        <v>0.26</v>
      </c>
      <c r="EP343" s="219">
        <f t="shared" si="155"/>
        <v>0.28599999999999998</v>
      </c>
      <c r="EQ343" s="219">
        <f t="shared" si="155"/>
        <v>0.312</v>
      </c>
      <c r="ER343" s="219">
        <f t="shared" si="155"/>
        <v>0.33800000000000002</v>
      </c>
      <c r="ES343" s="219">
        <f t="shared" si="155"/>
        <v>0.36399999999999999</v>
      </c>
      <c r="ET343" s="219">
        <f t="shared" si="155"/>
        <v>0.39</v>
      </c>
      <c r="EU343" s="219">
        <f t="shared" si="155"/>
        <v>0.41600000000000004</v>
      </c>
      <c r="EV343" s="219">
        <f t="shared" si="156"/>
        <v>0.442</v>
      </c>
      <c r="EW343" s="219">
        <f t="shared" si="156"/>
        <v>0.46800000000000003</v>
      </c>
      <c r="EX343" s="219">
        <f t="shared" si="156"/>
        <v>0.49399999999999999</v>
      </c>
      <c r="EY343" s="219">
        <f t="shared" si="156"/>
        <v>0.52</v>
      </c>
      <c r="EZ343" s="218">
        <f t="shared" si="156"/>
        <v>0.54599999999999993</v>
      </c>
      <c r="FA343" s="218">
        <f t="shared" si="156"/>
        <v>0.57199999999999995</v>
      </c>
      <c r="FB343" s="218">
        <f t="shared" si="156"/>
        <v>0.59800000000000009</v>
      </c>
      <c r="FC343" s="218">
        <f t="shared" si="156"/>
        <v>0.624</v>
      </c>
      <c r="FD343" s="218">
        <f t="shared" si="156"/>
        <v>0.65</v>
      </c>
      <c r="FE343" s="218">
        <f t="shared" si="156"/>
        <v>0.67600000000000005</v>
      </c>
      <c r="FF343" s="218">
        <f t="shared" si="156"/>
        <v>0.70200000000000007</v>
      </c>
      <c r="FG343" s="218">
        <f t="shared" si="156"/>
        <v>0.72799999999999998</v>
      </c>
      <c r="FH343" s="218">
        <f t="shared" si="156"/>
        <v>0.754</v>
      </c>
      <c r="FI343" s="220">
        <f t="shared" si="157"/>
        <v>0.78</v>
      </c>
      <c r="FJ343" s="140"/>
      <c r="FK343" s="177"/>
      <c r="FL343" s="178"/>
      <c r="FM343" s="178"/>
      <c r="FN343" s="178"/>
      <c r="FO343" s="178"/>
      <c r="FP343" s="217">
        <v>0</v>
      </c>
      <c r="FQ343" s="218">
        <f t="shared" si="158"/>
        <v>2.6000000000000002E-2</v>
      </c>
      <c r="FR343" s="218">
        <f t="shared" si="158"/>
        <v>5.2000000000000005E-2</v>
      </c>
      <c r="FS343" s="218">
        <f t="shared" si="158"/>
        <v>7.8E-2</v>
      </c>
      <c r="FT343" s="218">
        <f t="shared" si="158"/>
        <v>0.10400000000000001</v>
      </c>
      <c r="FU343" s="219">
        <f t="shared" si="158"/>
        <v>0.13</v>
      </c>
      <c r="FV343" s="219">
        <f t="shared" si="158"/>
        <v>0.156</v>
      </c>
      <c r="FW343" s="219">
        <f t="shared" si="158"/>
        <v>0.182</v>
      </c>
      <c r="FX343" s="219">
        <f t="shared" si="158"/>
        <v>0.20800000000000002</v>
      </c>
      <c r="FY343" s="219">
        <f t="shared" si="158"/>
        <v>0.23400000000000001</v>
      </c>
      <c r="FZ343" s="219">
        <f t="shared" si="158"/>
        <v>0.26</v>
      </c>
      <c r="GA343" s="219">
        <f t="shared" si="158"/>
        <v>0.28599999999999998</v>
      </c>
      <c r="GB343" s="219">
        <f t="shared" si="158"/>
        <v>0.312</v>
      </c>
      <c r="GC343" s="219">
        <f t="shared" si="158"/>
        <v>0.33800000000000002</v>
      </c>
      <c r="GD343" s="219">
        <f t="shared" si="158"/>
        <v>0.36399999999999999</v>
      </c>
      <c r="GE343" s="219">
        <f t="shared" si="158"/>
        <v>0.39</v>
      </c>
      <c r="GF343" s="219">
        <f t="shared" si="158"/>
        <v>0.41600000000000004</v>
      </c>
      <c r="GG343" s="219">
        <f t="shared" si="159"/>
        <v>0.442</v>
      </c>
      <c r="GH343" s="219">
        <f t="shared" si="159"/>
        <v>0.46800000000000003</v>
      </c>
      <c r="GI343" s="219">
        <f t="shared" si="159"/>
        <v>0.49399999999999999</v>
      </c>
      <c r="GJ343" s="219">
        <f t="shared" si="159"/>
        <v>0.52</v>
      </c>
      <c r="GK343" s="218">
        <f t="shared" si="159"/>
        <v>0.54599999999999993</v>
      </c>
      <c r="GL343" s="218">
        <f t="shared" si="159"/>
        <v>0.57199999999999995</v>
      </c>
      <c r="GM343" s="218">
        <f t="shared" si="159"/>
        <v>0.59800000000000009</v>
      </c>
      <c r="GN343" s="218">
        <f t="shared" si="159"/>
        <v>0.624</v>
      </c>
      <c r="GO343" s="218">
        <f t="shared" si="159"/>
        <v>0.65</v>
      </c>
      <c r="GP343" s="218">
        <f t="shared" si="159"/>
        <v>0.67600000000000005</v>
      </c>
      <c r="GQ343" s="218">
        <f t="shared" si="159"/>
        <v>0.70200000000000007</v>
      </c>
      <c r="GR343" s="218">
        <f t="shared" si="159"/>
        <v>0.72799999999999998</v>
      </c>
      <c r="GS343" s="218">
        <f t="shared" si="159"/>
        <v>0.754</v>
      </c>
      <c r="GT343" s="220">
        <f t="shared" si="160"/>
        <v>0.78</v>
      </c>
      <c r="GU343" s="140"/>
      <c r="GV343" s="177"/>
      <c r="GW343" s="178"/>
      <c r="GX343" s="178"/>
      <c r="GY343" s="178"/>
      <c r="GZ343" s="178"/>
      <c r="HA343" s="217">
        <v>0</v>
      </c>
      <c r="HB343" s="218">
        <f t="shared" si="161"/>
        <v>2.2666666666666668E-2</v>
      </c>
      <c r="HC343" s="218">
        <f t="shared" si="161"/>
        <v>4.5333333333333337E-2</v>
      </c>
      <c r="HD343" s="218">
        <f t="shared" si="161"/>
        <v>6.8000000000000005E-2</v>
      </c>
      <c r="HE343" s="218">
        <f t="shared" si="161"/>
        <v>9.0666666666666673E-2</v>
      </c>
      <c r="HF343" s="219">
        <f t="shared" si="161"/>
        <v>0.11333333333333334</v>
      </c>
      <c r="HG343" s="219">
        <f t="shared" si="161"/>
        <v>0.13600000000000001</v>
      </c>
      <c r="HH343" s="219">
        <f t="shared" si="161"/>
        <v>0.15866666666666668</v>
      </c>
      <c r="HI343" s="219">
        <f t="shared" si="161"/>
        <v>0.18133333333333335</v>
      </c>
      <c r="HJ343" s="219">
        <f t="shared" si="161"/>
        <v>0.20400000000000001</v>
      </c>
      <c r="HK343" s="219">
        <f t="shared" si="161"/>
        <v>0.22666666666666668</v>
      </c>
      <c r="HL343" s="219">
        <f t="shared" si="161"/>
        <v>0.24933333333333335</v>
      </c>
      <c r="HM343" s="219">
        <f t="shared" si="161"/>
        <v>0.27200000000000002</v>
      </c>
      <c r="HN343" s="219">
        <f t="shared" si="161"/>
        <v>0.29466666666666669</v>
      </c>
      <c r="HO343" s="219">
        <f t="shared" si="161"/>
        <v>0.31733333333333336</v>
      </c>
      <c r="HP343" s="219">
        <f t="shared" si="161"/>
        <v>0.34</v>
      </c>
      <c r="HQ343" s="219">
        <f t="shared" si="161"/>
        <v>0.36266666666666669</v>
      </c>
      <c r="HR343" s="219">
        <f t="shared" si="162"/>
        <v>0.38533333333333336</v>
      </c>
      <c r="HS343" s="219">
        <f t="shared" si="162"/>
        <v>0.40800000000000003</v>
      </c>
      <c r="HT343" s="219">
        <f t="shared" si="162"/>
        <v>0.4306666666666667</v>
      </c>
      <c r="HU343" s="219">
        <f t="shared" si="162"/>
        <v>0.45333333333333337</v>
      </c>
      <c r="HV343" s="218">
        <f t="shared" si="162"/>
        <v>0.47600000000000003</v>
      </c>
      <c r="HW343" s="218">
        <f t="shared" si="162"/>
        <v>0.4986666666666667</v>
      </c>
      <c r="HX343" s="218">
        <f t="shared" si="162"/>
        <v>0.52133333333333332</v>
      </c>
      <c r="HY343" s="218">
        <f t="shared" si="162"/>
        <v>0.54400000000000004</v>
      </c>
      <c r="HZ343" s="218">
        <f t="shared" si="162"/>
        <v>0.56666666666666665</v>
      </c>
      <c r="IA343" s="218">
        <f t="shared" si="162"/>
        <v>0.58933333333333338</v>
      </c>
      <c r="IB343" s="218">
        <f t="shared" si="162"/>
        <v>0.6120000000000001</v>
      </c>
      <c r="IC343" s="218">
        <f t="shared" si="162"/>
        <v>0.63466666666666671</v>
      </c>
      <c r="ID343" s="218">
        <f t="shared" si="162"/>
        <v>0.65733333333333344</v>
      </c>
      <c r="IE343" s="220">
        <f t="shared" si="163"/>
        <v>0.68</v>
      </c>
      <c r="IF343" s="140"/>
      <c r="IG343" s="177"/>
      <c r="IH343" s="178"/>
      <c r="II343" s="178"/>
      <c r="IJ343" s="178"/>
      <c r="IK343" s="178"/>
      <c r="IL343" s="217">
        <v>0</v>
      </c>
      <c r="IM343" s="218">
        <f t="shared" si="164"/>
        <v>0</v>
      </c>
      <c r="IN343" s="218">
        <f t="shared" si="164"/>
        <v>0</v>
      </c>
      <c r="IO343" s="218">
        <f t="shared" si="164"/>
        <v>0</v>
      </c>
      <c r="IP343" s="218">
        <f t="shared" si="164"/>
        <v>0</v>
      </c>
      <c r="IQ343" s="219">
        <f t="shared" si="164"/>
        <v>0</v>
      </c>
      <c r="IR343" s="219">
        <f t="shared" si="164"/>
        <v>0</v>
      </c>
      <c r="IS343" s="219">
        <f t="shared" si="164"/>
        <v>0</v>
      </c>
      <c r="IT343" s="219">
        <f t="shared" si="164"/>
        <v>0</v>
      </c>
      <c r="IU343" s="219">
        <f t="shared" si="164"/>
        <v>0</v>
      </c>
      <c r="IV343" s="219">
        <f t="shared" si="164"/>
        <v>0</v>
      </c>
      <c r="IW343" s="219">
        <f t="shared" si="164"/>
        <v>0</v>
      </c>
      <c r="IX343" s="219">
        <f t="shared" si="164"/>
        <v>0</v>
      </c>
      <c r="IY343" s="219">
        <f t="shared" si="164"/>
        <v>0</v>
      </c>
      <c r="IZ343" s="219">
        <f t="shared" si="164"/>
        <v>0</v>
      </c>
      <c r="JA343" s="219">
        <f t="shared" si="164"/>
        <v>0</v>
      </c>
      <c r="JB343" s="219">
        <f t="shared" si="164"/>
        <v>0</v>
      </c>
      <c r="JC343" s="219">
        <f t="shared" si="165"/>
        <v>0</v>
      </c>
      <c r="JD343" s="219">
        <f t="shared" si="165"/>
        <v>0</v>
      </c>
      <c r="JE343" s="219">
        <f t="shared" si="165"/>
        <v>0</v>
      </c>
      <c r="JF343" s="219">
        <f t="shared" si="165"/>
        <v>0</v>
      </c>
      <c r="JG343" s="218">
        <f t="shared" si="165"/>
        <v>0</v>
      </c>
      <c r="JH343" s="218">
        <f t="shared" si="165"/>
        <v>0</v>
      </c>
      <c r="JI343" s="218">
        <f t="shared" si="165"/>
        <v>0</v>
      </c>
      <c r="JJ343" s="218">
        <f t="shared" si="165"/>
        <v>0</v>
      </c>
      <c r="JK343" s="218">
        <f t="shared" si="165"/>
        <v>0</v>
      </c>
      <c r="JL343" s="218">
        <f t="shared" si="165"/>
        <v>0</v>
      </c>
      <c r="JM343" s="218">
        <f t="shared" si="165"/>
        <v>0</v>
      </c>
      <c r="JN343" s="218">
        <f t="shared" si="165"/>
        <v>0</v>
      </c>
      <c r="JO343" s="218">
        <f t="shared" si="165"/>
        <v>0</v>
      </c>
      <c r="JP343" s="220">
        <f t="shared" si="166"/>
        <v>0</v>
      </c>
      <c r="JQ343" s="140"/>
      <c r="JR343" s="177"/>
      <c r="JS343" s="178"/>
      <c r="JT343" s="178"/>
      <c r="JU343" s="178"/>
      <c r="JV343" s="178"/>
      <c r="JW343" s="217">
        <v>0</v>
      </c>
      <c r="JX343" s="218">
        <f t="shared" si="167"/>
        <v>0</v>
      </c>
      <c r="JY343" s="218">
        <f t="shared" si="167"/>
        <v>0</v>
      </c>
      <c r="JZ343" s="218">
        <f t="shared" si="167"/>
        <v>0</v>
      </c>
      <c r="KA343" s="218">
        <f t="shared" si="167"/>
        <v>0</v>
      </c>
      <c r="KB343" s="219">
        <f t="shared" si="167"/>
        <v>0</v>
      </c>
      <c r="KC343" s="219">
        <f t="shared" si="167"/>
        <v>0</v>
      </c>
      <c r="KD343" s="219">
        <f t="shared" si="167"/>
        <v>0</v>
      </c>
      <c r="KE343" s="219">
        <f t="shared" si="167"/>
        <v>0</v>
      </c>
      <c r="KF343" s="219">
        <f t="shared" si="167"/>
        <v>0</v>
      </c>
      <c r="KG343" s="219">
        <f t="shared" si="167"/>
        <v>0</v>
      </c>
      <c r="KH343" s="219">
        <f t="shared" si="167"/>
        <v>0</v>
      </c>
      <c r="KI343" s="219">
        <f t="shared" si="167"/>
        <v>0</v>
      </c>
      <c r="KJ343" s="219">
        <f t="shared" si="167"/>
        <v>0</v>
      </c>
      <c r="KK343" s="219">
        <f t="shared" si="167"/>
        <v>0</v>
      </c>
      <c r="KL343" s="219">
        <f t="shared" si="167"/>
        <v>0</v>
      </c>
      <c r="KM343" s="219">
        <f t="shared" si="167"/>
        <v>0</v>
      </c>
      <c r="KN343" s="219">
        <f t="shared" si="168"/>
        <v>0</v>
      </c>
      <c r="KO343" s="219">
        <f t="shared" si="168"/>
        <v>0</v>
      </c>
      <c r="KP343" s="219">
        <f t="shared" si="168"/>
        <v>0</v>
      </c>
      <c r="KQ343" s="219">
        <f t="shared" si="168"/>
        <v>0</v>
      </c>
      <c r="KR343" s="218">
        <f t="shared" si="168"/>
        <v>0</v>
      </c>
      <c r="KS343" s="218">
        <f t="shared" si="168"/>
        <v>0</v>
      </c>
      <c r="KT343" s="218">
        <f t="shared" si="168"/>
        <v>0</v>
      </c>
      <c r="KU343" s="218">
        <f t="shared" si="168"/>
        <v>0</v>
      </c>
      <c r="KV343" s="218">
        <f t="shared" si="168"/>
        <v>0</v>
      </c>
      <c r="KW343" s="218">
        <f t="shared" si="168"/>
        <v>0</v>
      </c>
      <c r="KX343" s="218">
        <f t="shared" si="168"/>
        <v>0</v>
      </c>
      <c r="KY343" s="218">
        <f t="shared" si="168"/>
        <v>0</v>
      </c>
      <c r="KZ343" s="218">
        <f t="shared" si="168"/>
        <v>0</v>
      </c>
      <c r="LA343" s="220">
        <f t="shared" si="169"/>
        <v>0</v>
      </c>
      <c r="LB343" s="140"/>
      <c r="LC343" s="177"/>
      <c r="LD343" s="178"/>
      <c r="LE343" s="178"/>
      <c r="LF343" s="178"/>
      <c r="LG343" s="178"/>
      <c r="LH343" s="217">
        <v>0</v>
      </c>
      <c r="LI343" s="218">
        <f t="shared" si="170"/>
        <v>0</v>
      </c>
      <c r="LJ343" s="218">
        <f t="shared" si="170"/>
        <v>0</v>
      </c>
      <c r="LK343" s="218">
        <f t="shared" si="170"/>
        <v>0</v>
      </c>
      <c r="LL343" s="218">
        <f t="shared" si="170"/>
        <v>0</v>
      </c>
      <c r="LM343" s="219">
        <f t="shared" si="170"/>
        <v>0</v>
      </c>
      <c r="LN343" s="219">
        <f t="shared" si="170"/>
        <v>0</v>
      </c>
      <c r="LO343" s="219">
        <f t="shared" si="170"/>
        <v>0</v>
      </c>
      <c r="LP343" s="219">
        <f t="shared" si="170"/>
        <v>0</v>
      </c>
      <c r="LQ343" s="219">
        <f t="shared" si="170"/>
        <v>0</v>
      </c>
      <c r="LR343" s="219">
        <f t="shared" si="170"/>
        <v>0</v>
      </c>
      <c r="LS343" s="219">
        <f t="shared" si="170"/>
        <v>0</v>
      </c>
      <c r="LT343" s="219">
        <f t="shared" si="170"/>
        <v>0</v>
      </c>
      <c r="LU343" s="219">
        <f t="shared" si="170"/>
        <v>0</v>
      </c>
      <c r="LV343" s="219">
        <f t="shared" si="170"/>
        <v>0</v>
      </c>
      <c r="LW343" s="219">
        <f t="shared" si="170"/>
        <v>0</v>
      </c>
      <c r="LX343" s="219">
        <f t="shared" si="170"/>
        <v>0</v>
      </c>
      <c r="LY343" s="219">
        <f t="shared" si="171"/>
        <v>0</v>
      </c>
      <c r="LZ343" s="219">
        <f t="shared" si="171"/>
        <v>0</v>
      </c>
      <c r="MA343" s="219">
        <f t="shared" si="171"/>
        <v>0</v>
      </c>
      <c r="MB343" s="219">
        <f t="shared" si="171"/>
        <v>0</v>
      </c>
      <c r="MC343" s="218">
        <f t="shared" si="171"/>
        <v>0</v>
      </c>
      <c r="MD343" s="218">
        <f t="shared" si="171"/>
        <v>0</v>
      </c>
      <c r="ME343" s="218">
        <f t="shared" si="171"/>
        <v>0</v>
      </c>
      <c r="MF343" s="218">
        <f t="shared" si="171"/>
        <v>0</v>
      </c>
      <c r="MG343" s="218">
        <f t="shared" si="171"/>
        <v>0</v>
      </c>
      <c r="MH343" s="218">
        <f t="shared" si="171"/>
        <v>0</v>
      </c>
      <c r="MI343" s="218">
        <f t="shared" si="171"/>
        <v>0</v>
      </c>
      <c r="MJ343" s="218">
        <f t="shared" si="171"/>
        <v>0</v>
      </c>
      <c r="MK343" s="218">
        <f t="shared" si="171"/>
        <v>0</v>
      </c>
      <c r="ML343" s="220">
        <f t="shared" si="172"/>
        <v>0</v>
      </c>
    </row>
    <row r="344" spans="3:350" s="4" customFormat="1" ht="18" customHeight="1" x14ac:dyDescent="0.3">
      <c r="C344" s="136" t="s">
        <v>81</v>
      </c>
      <c r="E344" s="137" t="s">
        <v>105</v>
      </c>
      <c r="F344" s="147" t="s">
        <v>105</v>
      </c>
      <c r="H344" s="139"/>
      <c r="I344" s="140"/>
      <c r="J344" s="140"/>
      <c r="K344" s="140"/>
      <c r="L344" s="140"/>
      <c r="M344" s="141"/>
      <c r="N344" s="140"/>
      <c r="O344" s="140"/>
      <c r="P344" s="140"/>
      <c r="Q344" s="140"/>
      <c r="R344" s="140"/>
      <c r="S344" s="139"/>
      <c r="T344" s="140"/>
      <c r="U344" s="140"/>
      <c r="V344" s="140"/>
      <c r="W344" s="140"/>
      <c r="X344" s="140"/>
      <c r="Y344" s="140"/>
      <c r="Z344" s="140"/>
      <c r="AA344" s="140"/>
      <c r="AB344" s="140"/>
      <c r="AC344" s="140"/>
      <c r="AD344" s="140"/>
      <c r="AE344" s="140"/>
      <c r="AF344" s="140"/>
      <c r="AG344" s="140"/>
      <c r="AH344" s="140"/>
      <c r="AI344" s="140"/>
      <c r="AJ344" s="140"/>
      <c r="AK344" s="140"/>
      <c r="AL344" s="140"/>
      <c r="AM344" s="140"/>
      <c r="AN344" s="140"/>
      <c r="AO344" s="140"/>
      <c r="AP344" s="140"/>
      <c r="AQ344" s="140"/>
      <c r="AR344" s="140"/>
      <c r="AS344" s="140"/>
      <c r="AT344" s="140"/>
      <c r="AU344" s="140"/>
      <c r="AV344" s="140"/>
      <c r="AW344" s="140"/>
      <c r="AX344" s="140"/>
      <c r="AY344" s="140"/>
      <c r="AZ344" s="140"/>
      <c r="BA344" s="140"/>
      <c r="BB344" s="141"/>
      <c r="BC344" s="140"/>
      <c r="BD344" s="177"/>
      <c r="BE344" s="178"/>
      <c r="BF344" s="178"/>
      <c r="BG344" s="178"/>
      <c r="BH344" s="178"/>
      <c r="BI344" s="217">
        <v>0</v>
      </c>
      <c r="BJ344" s="218">
        <f t="shared" si="149"/>
        <v>2.6333333333333334E-2</v>
      </c>
      <c r="BK344" s="218">
        <f t="shared" si="149"/>
        <v>5.2666666666666667E-2</v>
      </c>
      <c r="BL344" s="218">
        <f t="shared" si="149"/>
        <v>7.9000000000000001E-2</v>
      </c>
      <c r="BM344" s="218">
        <f t="shared" si="149"/>
        <v>0.10533333333333333</v>
      </c>
      <c r="BN344" s="219">
        <f t="shared" si="149"/>
        <v>0.13166666666666668</v>
      </c>
      <c r="BO344" s="219">
        <f t="shared" si="149"/>
        <v>0.158</v>
      </c>
      <c r="BP344" s="219">
        <f t="shared" si="149"/>
        <v>0.18433333333333335</v>
      </c>
      <c r="BQ344" s="219">
        <f t="shared" si="149"/>
        <v>0.21066666666666667</v>
      </c>
      <c r="BR344" s="219">
        <f t="shared" si="149"/>
        <v>0.23700000000000002</v>
      </c>
      <c r="BS344" s="219">
        <f t="shared" si="149"/>
        <v>0.26333333333333336</v>
      </c>
      <c r="BT344" s="219">
        <f t="shared" si="149"/>
        <v>0.28966666666666668</v>
      </c>
      <c r="BU344" s="219">
        <f t="shared" si="149"/>
        <v>0.316</v>
      </c>
      <c r="BV344" s="219">
        <f t="shared" si="149"/>
        <v>0.34233333333333332</v>
      </c>
      <c r="BW344" s="219">
        <f t="shared" si="149"/>
        <v>0.3686666666666667</v>
      </c>
      <c r="BX344" s="219">
        <f t="shared" si="149"/>
        <v>0.39500000000000007</v>
      </c>
      <c r="BY344" s="219">
        <f t="shared" si="149"/>
        <v>0.42133333333333334</v>
      </c>
      <c r="BZ344" s="219">
        <f t="shared" si="150"/>
        <v>0.44766666666666666</v>
      </c>
      <c r="CA344" s="219">
        <f t="shared" si="150"/>
        <v>0.47400000000000003</v>
      </c>
      <c r="CB344" s="219">
        <f t="shared" si="150"/>
        <v>0.50033333333333341</v>
      </c>
      <c r="CC344" s="219">
        <f t="shared" si="150"/>
        <v>0.52666666666666673</v>
      </c>
      <c r="CD344" s="218">
        <f t="shared" si="150"/>
        <v>0.55300000000000005</v>
      </c>
      <c r="CE344" s="218">
        <f t="shared" si="150"/>
        <v>0.57933333333333337</v>
      </c>
      <c r="CF344" s="218">
        <f t="shared" si="150"/>
        <v>0.60566666666666669</v>
      </c>
      <c r="CG344" s="218">
        <f t="shared" si="150"/>
        <v>0.63200000000000001</v>
      </c>
      <c r="CH344" s="218">
        <f t="shared" si="150"/>
        <v>0.65833333333333333</v>
      </c>
      <c r="CI344" s="218">
        <f t="shared" si="150"/>
        <v>0.68466666666666665</v>
      </c>
      <c r="CJ344" s="218">
        <f t="shared" si="150"/>
        <v>0.71100000000000008</v>
      </c>
      <c r="CK344" s="218">
        <f t="shared" si="150"/>
        <v>0.7373333333333334</v>
      </c>
      <c r="CL344" s="218">
        <f t="shared" si="150"/>
        <v>0.76366666666666672</v>
      </c>
      <c r="CM344" s="220">
        <f t="shared" si="151"/>
        <v>0.79</v>
      </c>
      <c r="CN344" s="140"/>
      <c r="CO344" s="177"/>
      <c r="CP344" s="178"/>
      <c r="CQ344" s="178"/>
      <c r="CR344" s="178"/>
      <c r="CS344" s="178"/>
      <c r="CT344" s="217">
        <v>0</v>
      </c>
      <c r="CU344" s="218">
        <f t="shared" si="152"/>
        <v>3.3000000000000002E-2</v>
      </c>
      <c r="CV344" s="218">
        <f t="shared" si="152"/>
        <v>6.6000000000000003E-2</v>
      </c>
      <c r="CW344" s="218">
        <f t="shared" si="152"/>
        <v>9.8999999999999991E-2</v>
      </c>
      <c r="CX344" s="218">
        <f t="shared" si="152"/>
        <v>0.13200000000000001</v>
      </c>
      <c r="CY344" s="219">
        <f t="shared" si="152"/>
        <v>0.16500000000000001</v>
      </c>
      <c r="CZ344" s="219">
        <f t="shared" si="152"/>
        <v>0.19799999999999998</v>
      </c>
      <c r="DA344" s="219">
        <f t="shared" si="152"/>
        <v>0.23099999999999998</v>
      </c>
      <c r="DB344" s="219">
        <f t="shared" si="152"/>
        <v>0.26400000000000001</v>
      </c>
      <c r="DC344" s="219">
        <f t="shared" si="152"/>
        <v>0.29699999999999999</v>
      </c>
      <c r="DD344" s="219">
        <f t="shared" si="152"/>
        <v>0.33</v>
      </c>
      <c r="DE344" s="219">
        <f t="shared" si="152"/>
        <v>0.36300000000000004</v>
      </c>
      <c r="DF344" s="219">
        <f t="shared" si="152"/>
        <v>0.39599999999999996</v>
      </c>
      <c r="DG344" s="219">
        <f t="shared" si="152"/>
        <v>0.42899999999999999</v>
      </c>
      <c r="DH344" s="219">
        <f t="shared" si="152"/>
        <v>0.46199999999999997</v>
      </c>
      <c r="DI344" s="219">
        <f t="shared" si="152"/>
        <v>0.495</v>
      </c>
      <c r="DJ344" s="219">
        <f t="shared" si="152"/>
        <v>0.52800000000000002</v>
      </c>
      <c r="DK344" s="219">
        <f t="shared" si="153"/>
        <v>0.56099999999999994</v>
      </c>
      <c r="DL344" s="219">
        <f t="shared" si="153"/>
        <v>0.59399999999999997</v>
      </c>
      <c r="DM344" s="219">
        <f t="shared" si="153"/>
        <v>0.627</v>
      </c>
      <c r="DN344" s="219">
        <f t="shared" si="153"/>
        <v>0.66</v>
      </c>
      <c r="DO344" s="218">
        <f t="shared" si="153"/>
        <v>0.69299999999999995</v>
      </c>
      <c r="DP344" s="218">
        <f t="shared" si="153"/>
        <v>0.72600000000000009</v>
      </c>
      <c r="DQ344" s="218">
        <f t="shared" si="153"/>
        <v>0.75900000000000001</v>
      </c>
      <c r="DR344" s="218">
        <f t="shared" si="153"/>
        <v>0.79199999999999993</v>
      </c>
      <c r="DS344" s="218">
        <f t="shared" si="153"/>
        <v>0.82499999999999996</v>
      </c>
      <c r="DT344" s="218">
        <f t="shared" si="153"/>
        <v>0.85799999999999998</v>
      </c>
      <c r="DU344" s="218">
        <f t="shared" si="153"/>
        <v>0.89100000000000001</v>
      </c>
      <c r="DV344" s="218">
        <f t="shared" si="153"/>
        <v>0.92399999999999993</v>
      </c>
      <c r="DW344" s="218">
        <f t="shared" si="153"/>
        <v>0.95700000000000007</v>
      </c>
      <c r="DX344" s="220">
        <f t="shared" si="154"/>
        <v>0.99</v>
      </c>
      <c r="DY344" s="140"/>
      <c r="DZ344" s="177"/>
      <c r="EA344" s="178"/>
      <c r="EB344" s="178"/>
      <c r="EC344" s="178"/>
      <c r="ED344" s="178"/>
      <c r="EE344" s="217">
        <v>0</v>
      </c>
      <c r="EF344" s="218">
        <f t="shared" si="155"/>
        <v>3.3000000000000002E-2</v>
      </c>
      <c r="EG344" s="218">
        <f t="shared" si="155"/>
        <v>6.6000000000000003E-2</v>
      </c>
      <c r="EH344" s="218">
        <f t="shared" si="155"/>
        <v>9.8999999999999991E-2</v>
      </c>
      <c r="EI344" s="218">
        <f t="shared" si="155"/>
        <v>0.13200000000000001</v>
      </c>
      <c r="EJ344" s="219">
        <f t="shared" si="155"/>
        <v>0.16500000000000001</v>
      </c>
      <c r="EK344" s="219">
        <f t="shared" si="155"/>
        <v>0.19799999999999998</v>
      </c>
      <c r="EL344" s="219">
        <f t="shared" si="155"/>
        <v>0.23099999999999998</v>
      </c>
      <c r="EM344" s="219">
        <f t="shared" si="155"/>
        <v>0.26400000000000001</v>
      </c>
      <c r="EN344" s="219">
        <f t="shared" si="155"/>
        <v>0.29699999999999999</v>
      </c>
      <c r="EO344" s="219">
        <f t="shared" si="155"/>
        <v>0.33</v>
      </c>
      <c r="EP344" s="219">
        <f t="shared" si="155"/>
        <v>0.36300000000000004</v>
      </c>
      <c r="EQ344" s="219">
        <f t="shared" si="155"/>
        <v>0.39599999999999996</v>
      </c>
      <c r="ER344" s="219">
        <f t="shared" si="155"/>
        <v>0.42899999999999999</v>
      </c>
      <c r="ES344" s="219">
        <f t="shared" si="155"/>
        <v>0.46199999999999997</v>
      </c>
      <c r="ET344" s="219">
        <f t="shared" si="155"/>
        <v>0.495</v>
      </c>
      <c r="EU344" s="219">
        <f t="shared" si="155"/>
        <v>0.52800000000000002</v>
      </c>
      <c r="EV344" s="219">
        <f t="shared" si="156"/>
        <v>0.56099999999999994</v>
      </c>
      <c r="EW344" s="219">
        <f t="shared" si="156"/>
        <v>0.59399999999999997</v>
      </c>
      <c r="EX344" s="219">
        <f t="shared" si="156"/>
        <v>0.627</v>
      </c>
      <c r="EY344" s="219">
        <f t="shared" si="156"/>
        <v>0.66</v>
      </c>
      <c r="EZ344" s="218">
        <f t="shared" si="156"/>
        <v>0.69299999999999995</v>
      </c>
      <c r="FA344" s="218">
        <f t="shared" si="156"/>
        <v>0.72600000000000009</v>
      </c>
      <c r="FB344" s="218">
        <f t="shared" si="156"/>
        <v>0.75900000000000001</v>
      </c>
      <c r="FC344" s="218">
        <f t="shared" si="156"/>
        <v>0.79199999999999993</v>
      </c>
      <c r="FD344" s="218">
        <f t="shared" si="156"/>
        <v>0.82499999999999996</v>
      </c>
      <c r="FE344" s="218">
        <f t="shared" si="156"/>
        <v>0.85799999999999998</v>
      </c>
      <c r="FF344" s="218">
        <f t="shared" si="156"/>
        <v>0.89100000000000001</v>
      </c>
      <c r="FG344" s="218">
        <f t="shared" si="156"/>
        <v>0.92399999999999993</v>
      </c>
      <c r="FH344" s="218">
        <f t="shared" si="156"/>
        <v>0.95700000000000007</v>
      </c>
      <c r="FI344" s="220">
        <f t="shared" si="157"/>
        <v>0.99</v>
      </c>
      <c r="FJ344" s="140"/>
      <c r="FK344" s="177"/>
      <c r="FL344" s="178"/>
      <c r="FM344" s="178"/>
      <c r="FN344" s="178"/>
      <c r="FO344" s="178"/>
      <c r="FP344" s="217">
        <v>0</v>
      </c>
      <c r="FQ344" s="218">
        <f t="shared" si="158"/>
        <v>3.3000000000000002E-2</v>
      </c>
      <c r="FR344" s="218">
        <f t="shared" si="158"/>
        <v>6.6000000000000003E-2</v>
      </c>
      <c r="FS344" s="218">
        <f t="shared" si="158"/>
        <v>9.8999999999999991E-2</v>
      </c>
      <c r="FT344" s="218">
        <f t="shared" si="158"/>
        <v>0.13200000000000001</v>
      </c>
      <c r="FU344" s="219">
        <f t="shared" si="158"/>
        <v>0.16500000000000001</v>
      </c>
      <c r="FV344" s="219">
        <f t="shared" si="158"/>
        <v>0.19799999999999998</v>
      </c>
      <c r="FW344" s="219">
        <f t="shared" si="158"/>
        <v>0.23099999999999998</v>
      </c>
      <c r="FX344" s="219">
        <f t="shared" si="158"/>
        <v>0.26400000000000001</v>
      </c>
      <c r="FY344" s="219">
        <f t="shared" si="158"/>
        <v>0.29699999999999999</v>
      </c>
      <c r="FZ344" s="219">
        <f t="shared" si="158"/>
        <v>0.33</v>
      </c>
      <c r="GA344" s="219">
        <f t="shared" si="158"/>
        <v>0.36300000000000004</v>
      </c>
      <c r="GB344" s="219">
        <f t="shared" si="158"/>
        <v>0.39599999999999996</v>
      </c>
      <c r="GC344" s="219">
        <f t="shared" si="158"/>
        <v>0.42899999999999999</v>
      </c>
      <c r="GD344" s="219">
        <f t="shared" si="158"/>
        <v>0.46199999999999997</v>
      </c>
      <c r="GE344" s="219">
        <f t="shared" si="158"/>
        <v>0.495</v>
      </c>
      <c r="GF344" s="219">
        <f t="shared" si="158"/>
        <v>0.52800000000000002</v>
      </c>
      <c r="GG344" s="219">
        <f t="shared" si="159"/>
        <v>0.56099999999999994</v>
      </c>
      <c r="GH344" s="219">
        <f t="shared" si="159"/>
        <v>0.59399999999999997</v>
      </c>
      <c r="GI344" s="219">
        <f t="shared" si="159"/>
        <v>0.627</v>
      </c>
      <c r="GJ344" s="219">
        <f t="shared" si="159"/>
        <v>0.66</v>
      </c>
      <c r="GK344" s="218">
        <f t="shared" si="159"/>
        <v>0.69299999999999995</v>
      </c>
      <c r="GL344" s="218">
        <f t="shared" si="159"/>
        <v>0.72600000000000009</v>
      </c>
      <c r="GM344" s="218">
        <f t="shared" si="159"/>
        <v>0.75900000000000001</v>
      </c>
      <c r="GN344" s="218">
        <f t="shared" si="159"/>
        <v>0.79199999999999993</v>
      </c>
      <c r="GO344" s="218">
        <f t="shared" si="159"/>
        <v>0.82499999999999996</v>
      </c>
      <c r="GP344" s="218">
        <f t="shared" si="159"/>
        <v>0.85799999999999998</v>
      </c>
      <c r="GQ344" s="218">
        <f t="shared" si="159"/>
        <v>0.89100000000000001</v>
      </c>
      <c r="GR344" s="218">
        <f t="shared" si="159"/>
        <v>0.92399999999999993</v>
      </c>
      <c r="GS344" s="218">
        <f t="shared" si="159"/>
        <v>0.95700000000000007</v>
      </c>
      <c r="GT344" s="220">
        <f t="shared" si="160"/>
        <v>0.99</v>
      </c>
      <c r="GU344" s="140"/>
      <c r="GV344" s="177"/>
      <c r="GW344" s="178"/>
      <c r="GX344" s="178"/>
      <c r="GY344" s="178"/>
      <c r="GZ344" s="178"/>
      <c r="HA344" s="217">
        <v>0</v>
      </c>
      <c r="HB344" s="218">
        <f t="shared" si="161"/>
        <v>2.9666666666666668E-2</v>
      </c>
      <c r="HC344" s="218">
        <f t="shared" si="161"/>
        <v>5.9333333333333335E-2</v>
      </c>
      <c r="HD344" s="218">
        <f t="shared" si="161"/>
        <v>8.8999999999999996E-2</v>
      </c>
      <c r="HE344" s="218">
        <f t="shared" si="161"/>
        <v>0.11866666666666667</v>
      </c>
      <c r="HF344" s="219">
        <f t="shared" si="161"/>
        <v>0.14833333333333334</v>
      </c>
      <c r="HG344" s="219">
        <f t="shared" si="161"/>
        <v>0.17799999999999999</v>
      </c>
      <c r="HH344" s="219">
        <f t="shared" si="161"/>
        <v>0.20766666666666669</v>
      </c>
      <c r="HI344" s="219">
        <f t="shared" si="161"/>
        <v>0.23733333333333334</v>
      </c>
      <c r="HJ344" s="219">
        <f t="shared" si="161"/>
        <v>0.26700000000000002</v>
      </c>
      <c r="HK344" s="219">
        <f t="shared" si="161"/>
        <v>0.29666666666666669</v>
      </c>
      <c r="HL344" s="219">
        <f t="shared" si="161"/>
        <v>0.32633333333333336</v>
      </c>
      <c r="HM344" s="219">
        <f t="shared" si="161"/>
        <v>0.35599999999999998</v>
      </c>
      <c r="HN344" s="219">
        <f t="shared" si="161"/>
        <v>0.38566666666666666</v>
      </c>
      <c r="HO344" s="219">
        <f t="shared" si="161"/>
        <v>0.41533333333333339</v>
      </c>
      <c r="HP344" s="219">
        <f t="shared" si="161"/>
        <v>0.44500000000000001</v>
      </c>
      <c r="HQ344" s="219">
        <f t="shared" si="161"/>
        <v>0.47466666666666668</v>
      </c>
      <c r="HR344" s="219">
        <f t="shared" si="162"/>
        <v>0.50433333333333341</v>
      </c>
      <c r="HS344" s="219">
        <f t="shared" si="162"/>
        <v>0.53400000000000003</v>
      </c>
      <c r="HT344" s="219">
        <f t="shared" si="162"/>
        <v>0.56366666666666665</v>
      </c>
      <c r="HU344" s="219">
        <f t="shared" si="162"/>
        <v>0.59333333333333338</v>
      </c>
      <c r="HV344" s="218">
        <f t="shared" si="162"/>
        <v>0.623</v>
      </c>
      <c r="HW344" s="218">
        <f t="shared" si="162"/>
        <v>0.65266666666666673</v>
      </c>
      <c r="HX344" s="218">
        <f t="shared" si="162"/>
        <v>0.68233333333333335</v>
      </c>
      <c r="HY344" s="218">
        <f t="shared" si="162"/>
        <v>0.71199999999999997</v>
      </c>
      <c r="HZ344" s="218">
        <f t="shared" si="162"/>
        <v>0.7416666666666667</v>
      </c>
      <c r="IA344" s="218">
        <f t="shared" si="162"/>
        <v>0.77133333333333332</v>
      </c>
      <c r="IB344" s="218">
        <f t="shared" si="162"/>
        <v>0.80100000000000005</v>
      </c>
      <c r="IC344" s="218">
        <f t="shared" si="162"/>
        <v>0.83066666666666678</v>
      </c>
      <c r="ID344" s="218">
        <f t="shared" si="162"/>
        <v>0.86033333333333328</v>
      </c>
      <c r="IE344" s="220">
        <f t="shared" si="163"/>
        <v>0.89</v>
      </c>
      <c r="IF344" s="140"/>
      <c r="IG344" s="177"/>
      <c r="IH344" s="178"/>
      <c r="II344" s="178"/>
      <c r="IJ344" s="178"/>
      <c r="IK344" s="178"/>
      <c r="IL344" s="217">
        <v>0</v>
      </c>
      <c r="IM344" s="218">
        <f t="shared" si="164"/>
        <v>0</v>
      </c>
      <c r="IN344" s="218">
        <f t="shared" si="164"/>
        <v>0</v>
      </c>
      <c r="IO344" s="218">
        <f t="shared" si="164"/>
        <v>0</v>
      </c>
      <c r="IP344" s="218">
        <f t="shared" si="164"/>
        <v>0</v>
      </c>
      <c r="IQ344" s="219">
        <f t="shared" si="164"/>
        <v>0</v>
      </c>
      <c r="IR344" s="219">
        <f t="shared" si="164"/>
        <v>0</v>
      </c>
      <c r="IS344" s="219">
        <f t="shared" si="164"/>
        <v>0</v>
      </c>
      <c r="IT344" s="219">
        <f t="shared" si="164"/>
        <v>0</v>
      </c>
      <c r="IU344" s="219">
        <f t="shared" si="164"/>
        <v>0</v>
      </c>
      <c r="IV344" s="219">
        <f t="shared" si="164"/>
        <v>0</v>
      </c>
      <c r="IW344" s="219">
        <f t="shared" si="164"/>
        <v>0</v>
      </c>
      <c r="IX344" s="219">
        <f t="shared" si="164"/>
        <v>0</v>
      </c>
      <c r="IY344" s="219">
        <f t="shared" si="164"/>
        <v>0</v>
      </c>
      <c r="IZ344" s="219">
        <f t="shared" si="164"/>
        <v>0</v>
      </c>
      <c r="JA344" s="219">
        <f t="shared" si="164"/>
        <v>0</v>
      </c>
      <c r="JB344" s="219">
        <f t="shared" si="164"/>
        <v>0</v>
      </c>
      <c r="JC344" s="219">
        <f t="shared" si="165"/>
        <v>0</v>
      </c>
      <c r="JD344" s="219">
        <f t="shared" si="165"/>
        <v>0</v>
      </c>
      <c r="JE344" s="219">
        <f t="shared" si="165"/>
        <v>0</v>
      </c>
      <c r="JF344" s="219">
        <f t="shared" si="165"/>
        <v>0</v>
      </c>
      <c r="JG344" s="218">
        <f t="shared" si="165"/>
        <v>0</v>
      </c>
      <c r="JH344" s="218">
        <f t="shared" si="165"/>
        <v>0</v>
      </c>
      <c r="JI344" s="218">
        <f t="shared" si="165"/>
        <v>0</v>
      </c>
      <c r="JJ344" s="218">
        <f t="shared" si="165"/>
        <v>0</v>
      </c>
      <c r="JK344" s="218">
        <f t="shared" si="165"/>
        <v>0</v>
      </c>
      <c r="JL344" s="218">
        <f t="shared" si="165"/>
        <v>0</v>
      </c>
      <c r="JM344" s="218">
        <f t="shared" si="165"/>
        <v>0</v>
      </c>
      <c r="JN344" s="218">
        <f t="shared" si="165"/>
        <v>0</v>
      </c>
      <c r="JO344" s="218">
        <f t="shared" si="165"/>
        <v>0</v>
      </c>
      <c r="JP344" s="220">
        <f t="shared" si="166"/>
        <v>0</v>
      </c>
      <c r="JQ344" s="140"/>
      <c r="JR344" s="177"/>
      <c r="JS344" s="178"/>
      <c r="JT344" s="178"/>
      <c r="JU344" s="178"/>
      <c r="JV344" s="178"/>
      <c r="JW344" s="217">
        <v>0</v>
      </c>
      <c r="JX344" s="218">
        <f t="shared" si="167"/>
        <v>0</v>
      </c>
      <c r="JY344" s="218">
        <f t="shared" si="167"/>
        <v>0</v>
      </c>
      <c r="JZ344" s="218">
        <f t="shared" si="167"/>
        <v>0</v>
      </c>
      <c r="KA344" s="218">
        <f t="shared" si="167"/>
        <v>0</v>
      </c>
      <c r="KB344" s="219">
        <f t="shared" si="167"/>
        <v>0</v>
      </c>
      <c r="KC344" s="219">
        <f t="shared" si="167"/>
        <v>0</v>
      </c>
      <c r="KD344" s="219">
        <f t="shared" si="167"/>
        <v>0</v>
      </c>
      <c r="KE344" s="219">
        <f t="shared" si="167"/>
        <v>0</v>
      </c>
      <c r="KF344" s="219">
        <f t="shared" si="167"/>
        <v>0</v>
      </c>
      <c r="KG344" s="219">
        <f t="shared" si="167"/>
        <v>0</v>
      </c>
      <c r="KH344" s="219">
        <f t="shared" si="167"/>
        <v>0</v>
      </c>
      <c r="KI344" s="219">
        <f t="shared" si="167"/>
        <v>0</v>
      </c>
      <c r="KJ344" s="219">
        <f t="shared" si="167"/>
        <v>0</v>
      </c>
      <c r="KK344" s="219">
        <f t="shared" si="167"/>
        <v>0</v>
      </c>
      <c r="KL344" s="219">
        <f t="shared" si="167"/>
        <v>0</v>
      </c>
      <c r="KM344" s="219">
        <f t="shared" si="167"/>
        <v>0</v>
      </c>
      <c r="KN344" s="219">
        <f t="shared" si="168"/>
        <v>0</v>
      </c>
      <c r="KO344" s="219">
        <f t="shared" si="168"/>
        <v>0</v>
      </c>
      <c r="KP344" s="219">
        <f t="shared" si="168"/>
        <v>0</v>
      </c>
      <c r="KQ344" s="219">
        <f t="shared" si="168"/>
        <v>0</v>
      </c>
      <c r="KR344" s="218">
        <f t="shared" si="168"/>
        <v>0</v>
      </c>
      <c r="KS344" s="218">
        <f t="shared" si="168"/>
        <v>0</v>
      </c>
      <c r="KT344" s="218">
        <f t="shared" si="168"/>
        <v>0</v>
      </c>
      <c r="KU344" s="218">
        <f t="shared" si="168"/>
        <v>0</v>
      </c>
      <c r="KV344" s="218">
        <f t="shared" si="168"/>
        <v>0</v>
      </c>
      <c r="KW344" s="218">
        <f t="shared" si="168"/>
        <v>0</v>
      </c>
      <c r="KX344" s="218">
        <f t="shared" si="168"/>
        <v>0</v>
      </c>
      <c r="KY344" s="218">
        <f t="shared" si="168"/>
        <v>0</v>
      </c>
      <c r="KZ344" s="218">
        <f t="shared" si="168"/>
        <v>0</v>
      </c>
      <c r="LA344" s="220">
        <f t="shared" si="169"/>
        <v>0</v>
      </c>
      <c r="LB344" s="140"/>
      <c r="LC344" s="177"/>
      <c r="LD344" s="178"/>
      <c r="LE344" s="178"/>
      <c r="LF344" s="178"/>
      <c r="LG344" s="178"/>
      <c r="LH344" s="217">
        <v>0</v>
      </c>
      <c r="LI344" s="218">
        <f t="shared" si="170"/>
        <v>0</v>
      </c>
      <c r="LJ344" s="218">
        <f t="shared" si="170"/>
        <v>0</v>
      </c>
      <c r="LK344" s="218">
        <f t="shared" si="170"/>
        <v>0</v>
      </c>
      <c r="LL344" s="218">
        <f t="shared" si="170"/>
        <v>0</v>
      </c>
      <c r="LM344" s="219">
        <f t="shared" si="170"/>
        <v>0</v>
      </c>
      <c r="LN344" s="219">
        <f t="shared" si="170"/>
        <v>0</v>
      </c>
      <c r="LO344" s="219">
        <f t="shared" si="170"/>
        <v>0</v>
      </c>
      <c r="LP344" s="219">
        <f t="shared" si="170"/>
        <v>0</v>
      </c>
      <c r="LQ344" s="219">
        <f t="shared" si="170"/>
        <v>0</v>
      </c>
      <c r="LR344" s="219">
        <f t="shared" si="170"/>
        <v>0</v>
      </c>
      <c r="LS344" s="219">
        <f t="shared" si="170"/>
        <v>0</v>
      </c>
      <c r="LT344" s="219">
        <f t="shared" si="170"/>
        <v>0</v>
      </c>
      <c r="LU344" s="219">
        <f t="shared" si="170"/>
        <v>0</v>
      </c>
      <c r="LV344" s="219">
        <f t="shared" si="170"/>
        <v>0</v>
      </c>
      <c r="LW344" s="219">
        <f t="shared" si="170"/>
        <v>0</v>
      </c>
      <c r="LX344" s="219">
        <f t="shared" si="170"/>
        <v>0</v>
      </c>
      <c r="LY344" s="219">
        <f t="shared" si="171"/>
        <v>0</v>
      </c>
      <c r="LZ344" s="219">
        <f t="shared" si="171"/>
        <v>0</v>
      </c>
      <c r="MA344" s="219">
        <f t="shared" si="171"/>
        <v>0</v>
      </c>
      <c r="MB344" s="219">
        <f t="shared" si="171"/>
        <v>0</v>
      </c>
      <c r="MC344" s="218">
        <f t="shared" si="171"/>
        <v>0</v>
      </c>
      <c r="MD344" s="218">
        <f t="shared" si="171"/>
        <v>0</v>
      </c>
      <c r="ME344" s="218">
        <f t="shared" si="171"/>
        <v>0</v>
      </c>
      <c r="MF344" s="218">
        <f t="shared" si="171"/>
        <v>0</v>
      </c>
      <c r="MG344" s="218">
        <f t="shared" si="171"/>
        <v>0</v>
      </c>
      <c r="MH344" s="218">
        <f t="shared" si="171"/>
        <v>0</v>
      </c>
      <c r="MI344" s="218">
        <f t="shared" si="171"/>
        <v>0</v>
      </c>
      <c r="MJ344" s="218">
        <f t="shared" si="171"/>
        <v>0</v>
      </c>
      <c r="MK344" s="218">
        <f t="shared" si="171"/>
        <v>0</v>
      </c>
      <c r="ML344" s="220">
        <f t="shared" si="172"/>
        <v>0</v>
      </c>
    </row>
    <row r="345" spans="3:350" s="4" customFormat="1" ht="18" customHeight="1" x14ac:dyDescent="0.3">
      <c r="C345" s="136" t="s">
        <v>82</v>
      </c>
      <c r="E345" s="137" t="s">
        <v>105</v>
      </c>
      <c r="F345" s="147" t="s">
        <v>105</v>
      </c>
      <c r="H345" s="139"/>
      <c r="I345" s="140"/>
      <c r="J345" s="140"/>
      <c r="K345" s="140"/>
      <c r="L345" s="140"/>
      <c r="M345" s="141"/>
      <c r="N345" s="140"/>
      <c r="O345" s="140"/>
      <c r="P345" s="140"/>
      <c r="Q345" s="140"/>
      <c r="R345" s="140"/>
      <c r="S345" s="139"/>
      <c r="T345" s="140"/>
      <c r="U345" s="140"/>
      <c r="V345" s="140"/>
      <c r="W345" s="140"/>
      <c r="X345" s="140"/>
      <c r="Y345" s="140"/>
      <c r="Z345" s="140"/>
      <c r="AA345" s="140"/>
      <c r="AB345" s="140"/>
      <c r="AC345" s="140"/>
      <c r="AD345" s="140"/>
      <c r="AE345" s="140"/>
      <c r="AF345" s="140"/>
      <c r="AG345" s="140"/>
      <c r="AH345" s="140"/>
      <c r="AI345" s="140"/>
      <c r="AJ345" s="140"/>
      <c r="AK345" s="140"/>
      <c r="AL345" s="140"/>
      <c r="AM345" s="140"/>
      <c r="AN345" s="140"/>
      <c r="AO345" s="140"/>
      <c r="AP345" s="140"/>
      <c r="AQ345" s="140"/>
      <c r="AR345" s="140"/>
      <c r="AS345" s="140"/>
      <c r="AT345" s="140"/>
      <c r="AU345" s="140"/>
      <c r="AV345" s="140"/>
      <c r="AW345" s="140"/>
      <c r="AX345" s="140"/>
      <c r="AY345" s="140"/>
      <c r="AZ345" s="140"/>
      <c r="BA345" s="140"/>
      <c r="BB345" s="141"/>
      <c r="BC345" s="140"/>
      <c r="BD345" s="177"/>
      <c r="BE345" s="178"/>
      <c r="BF345" s="178"/>
      <c r="BG345" s="178"/>
      <c r="BH345" s="178"/>
      <c r="BI345" s="217">
        <v>0</v>
      </c>
      <c r="BJ345" s="218">
        <f t="shared" si="149"/>
        <v>1.3000000000000001E-2</v>
      </c>
      <c r="BK345" s="218">
        <f t="shared" si="149"/>
        <v>2.6000000000000002E-2</v>
      </c>
      <c r="BL345" s="218">
        <f t="shared" si="149"/>
        <v>3.9E-2</v>
      </c>
      <c r="BM345" s="218">
        <f t="shared" si="149"/>
        <v>5.2000000000000005E-2</v>
      </c>
      <c r="BN345" s="219">
        <f t="shared" si="149"/>
        <v>6.5000000000000002E-2</v>
      </c>
      <c r="BO345" s="219">
        <f t="shared" si="149"/>
        <v>7.8E-2</v>
      </c>
      <c r="BP345" s="219">
        <f t="shared" si="149"/>
        <v>9.0999999999999998E-2</v>
      </c>
      <c r="BQ345" s="219">
        <f t="shared" si="149"/>
        <v>0.10400000000000001</v>
      </c>
      <c r="BR345" s="219">
        <f t="shared" si="149"/>
        <v>0.11700000000000001</v>
      </c>
      <c r="BS345" s="219">
        <f t="shared" si="149"/>
        <v>0.13</v>
      </c>
      <c r="BT345" s="219">
        <f t="shared" si="149"/>
        <v>0.14299999999999999</v>
      </c>
      <c r="BU345" s="219">
        <f t="shared" si="149"/>
        <v>0.156</v>
      </c>
      <c r="BV345" s="219">
        <f t="shared" si="149"/>
        <v>0.16900000000000001</v>
      </c>
      <c r="BW345" s="219">
        <f t="shared" si="149"/>
        <v>0.182</v>
      </c>
      <c r="BX345" s="219">
        <f t="shared" si="149"/>
        <v>0.19500000000000001</v>
      </c>
      <c r="BY345" s="219">
        <f t="shared" si="149"/>
        <v>0.20800000000000002</v>
      </c>
      <c r="BZ345" s="219">
        <f t="shared" si="150"/>
        <v>0.221</v>
      </c>
      <c r="CA345" s="219">
        <f t="shared" si="150"/>
        <v>0.23400000000000001</v>
      </c>
      <c r="CB345" s="219">
        <f t="shared" si="150"/>
        <v>0.247</v>
      </c>
      <c r="CC345" s="219">
        <f t="shared" si="150"/>
        <v>0.26</v>
      </c>
      <c r="CD345" s="218">
        <f t="shared" si="150"/>
        <v>0.27299999999999996</v>
      </c>
      <c r="CE345" s="218">
        <f t="shared" si="150"/>
        <v>0.28599999999999998</v>
      </c>
      <c r="CF345" s="218">
        <f t="shared" si="150"/>
        <v>0.29900000000000004</v>
      </c>
      <c r="CG345" s="218">
        <f t="shared" si="150"/>
        <v>0.312</v>
      </c>
      <c r="CH345" s="218">
        <f t="shared" si="150"/>
        <v>0.32500000000000001</v>
      </c>
      <c r="CI345" s="218">
        <f t="shared" si="150"/>
        <v>0.33800000000000002</v>
      </c>
      <c r="CJ345" s="218">
        <f t="shared" si="150"/>
        <v>0.35100000000000003</v>
      </c>
      <c r="CK345" s="218">
        <f t="shared" si="150"/>
        <v>0.36399999999999999</v>
      </c>
      <c r="CL345" s="218">
        <f t="shared" si="150"/>
        <v>0.377</v>
      </c>
      <c r="CM345" s="220">
        <f t="shared" si="151"/>
        <v>0.39</v>
      </c>
      <c r="CN345" s="140"/>
      <c r="CO345" s="177"/>
      <c r="CP345" s="178"/>
      <c r="CQ345" s="178"/>
      <c r="CR345" s="178"/>
      <c r="CS345" s="178"/>
      <c r="CT345" s="217">
        <v>0</v>
      </c>
      <c r="CU345" s="218">
        <f t="shared" si="152"/>
        <v>2.3E-2</v>
      </c>
      <c r="CV345" s="218">
        <f t="shared" si="152"/>
        <v>4.5999999999999999E-2</v>
      </c>
      <c r="CW345" s="218">
        <f t="shared" si="152"/>
        <v>6.8999999999999992E-2</v>
      </c>
      <c r="CX345" s="218">
        <f t="shared" si="152"/>
        <v>9.1999999999999998E-2</v>
      </c>
      <c r="CY345" s="219">
        <f t="shared" si="152"/>
        <v>0.11499999999999999</v>
      </c>
      <c r="CZ345" s="219">
        <f t="shared" si="152"/>
        <v>0.13799999999999998</v>
      </c>
      <c r="DA345" s="219">
        <f t="shared" si="152"/>
        <v>0.161</v>
      </c>
      <c r="DB345" s="219">
        <f t="shared" si="152"/>
        <v>0.184</v>
      </c>
      <c r="DC345" s="219">
        <f t="shared" si="152"/>
        <v>0.20699999999999996</v>
      </c>
      <c r="DD345" s="219">
        <f t="shared" si="152"/>
        <v>0.22999999999999998</v>
      </c>
      <c r="DE345" s="219">
        <f t="shared" si="152"/>
        <v>0.253</v>
      </c>
      <c r="DF345" s="219">
        <f t="shared" si="152"/>
        <v>0.27599999999999997</v>
      </c>
      <c r="DG345" s="219">
        <f t="shared" si="152"/>
        <v>0.29899999999999999</v>
      </c>
      <c r="DH345" s="219">
        <f t="shared" si="152"/>
        <v>0.32200000000000001</v>
      </c>
      <c r="DI345" s="219">
        <f t="shared" si="152"/>
        <v>0.34499999999999997</v>
      </c>
      <c r="DJ345" s="219">
        <f t="shared" si="152"/>
        <v>0.36799999999999999</v>
      </c>
      <c r="DK345" s="219">
        <f t="shared" si="153"/>
        <v>0.39099999999999996</v>
      </c>
      <c r="DL345" s="219">
        <f t="shared" si="153"/>
        <v>0.41399999999999992</v>
      </c>
      <c r="DM345" s="219">
        <f t="shared" si="153"/>
        <v>0.437</v>
      </c>
      <c r="DN345" s="219">
        <f t="shared" si="153"/>
        <v>0.45999999999999996</v>
      </c>
      <c r="DO345" s="218">
        <f t="shared" si="153"/>
        <v>0.48299999999999993</v>
      </c>
      <c r="DP345" s="218">
        <f t="shared" si="153"/>
        <v>0.50600000000000001</v>
      </c>
      <c r="DQ345" s="218">
        <f t="shared" si="153"/>
        <v>0.52900000000000003</v>
      </c>
      <c r="DR345" s="218">
        <f t="shared" si="153"/>
        <v>0.55199999999999994</v>
      </c>
      <c r="DS345" s="218">
        <f t="shared" si="153"/>
        <v>0.57499999999999996</v>
      </c>
      <c r="DT345" s="218">
        <f t="shared" si="153"/>
        <v>0.59799999999999998</v>
      </c>
      <c r="DU345" s="218">
        <f t="shared" si="153"/>
        <v>0.621</v>
      </c>
      <c r="DV345" s="218">
        <f t="shared" si="153"/>
        <v>0.64400000000000002</v>
      </c>
      <c r="DW345" s="218">
        <f t="shared" si="153"/>
        <v>0.66699999999999993</v>
      </c>
      <c r="DX345" s="220">
        <f t="shared" si="154"/>
        <v>0.69</v>
      </c>
      <c r="DY345" s="140"/>
      <c r="DZ345" s="177"/>
      <c r="EA345" s="178"/>
      <c r="EB345" s="178"/>
      <c r="EC345" s="178"/>
      <c r="ED345" s="178"/>
      <c r="EE345" s="217">
        <v>0</v>
      </c>
      <c r="EF345" s="218">
        <f t="shared" si="155"/>
        <v>1.9666666666666666E-2</v>
      </c>
      <c r="EG345" s="218">
        <f t="shared" si="155"/>
        <v>3.9333333333333331E-2</v>
      </c>
      <c r="EH345" s="218">
        <f t="shared" si="155"/>
        <v>5.9000000000000004E-2</v>
      </c>
      <c r="EI345" s="218">
        <f t="shared" si="155"/>
        <v>7.8666666666666663E-2</v>
      </c>
      <c r="EJ345" s="219">
        <f t="shared" si="155"/>
        <v>9.8333333333333328E-2</v>
      </c>
      <c r="EK345" s="219">
        <f t="shared" si="155"/>
        <v>0.11800000000000001</v>
      </c>
      <c r="EL345" s="219">
        <f t="shared" si="155"/>
        <v>0.13766666666666666</v>
      </c>
      <c r="EM345" s="219">
        <f t="shared" si="155"/>
        <v>0.15733333333333333</v>
      </c>
      <c r="EN345" s="219">
        <f t="shared" si="155"/>
        <v>0.17699999999999999</v>
      </c>
      <c r="EO345" s="219">
        <f t="shared" si="155"/>
        <v>0.19666666666666666</v>
      </c>
      <c r="EP345" s="219">
        <f t="shared" si="155"/>
        <v>0.21633333333333332</v>
      </c>
      <c r="EQ345" s="219">
        <f t="shared" si="155"/>
        <v>0.23600000000000002</v>
      </c>
      <c r="ER345" s="219">
        <f t="shared" si="155"/>
        <v>0.25566666666666665</v>
      </c>
      <c r="ES345" s="219">
        <f t="shared" si="155"/>
        <v>0.27533333333333332</v>
      </c>
      <c r="ET345" s="219">
        <f t="shared" si="155"/>
        <v>0.29499999999999998</v>
      </c>
      <c r="EU345" s="219">
        <f t="shared" si="155"/>
        <v>0.31466666666666665</v>
      </c>
      <c r="EV345" s="219">
        <f t="shared" si="156"/>
        <v>0.33433333333333332</v>
      </c>
      <c r="EW345" s="219">
        <f t="shared" si="156"/>
        <v>0.35399999999999998</v>
      </c>
      <c r="EX345" s="219">
        <f t="shared" si="156"/>
        <v>0.37366666666666665</v>
      </c>
      <c r="EY345" s="219">
        <f t="shared" si="156"/>
        <v>0.39333333333333331</v>
      </c>
      <c r="EZ345" s="218">
        <f t="shared" si="156"/>
        <v>0.41299999999999998</v>
      </c>
      <c r="FA345" s="218">
        <f t="shared" si="156"/>
        <v>0.43266666666666664</v>
      </c>
      <c r="FB345" s="218">
        <f t="shared" si="156"/>
        <v>0.45233333333333331</v>
      </c>
      <c r="FC345" s="218">
        <f t="shared" si="156"/>
        <v>0.47200000000000003</v>
      </c>
      <c r="FD345" s="218">
        <f t="shared" si="156"/>
        <v>0.49166666666666664</v>
      </c>
      <c r="FE345" s="218">
        <f t="shared" si="156"/>
        <v>0.51133333333333331</v>
      </c>
      <c r="FF345" s="218">
        <f t="shared" si="156"/>
        <v>0.53100000000000003</v>
      </c>
      <c r="FG345" s="218">
        <f t="shared" si="156"/>
        <v>0.55066666666666664</v>
      </c>
      <c r="FH345" s="218">
        <f t="shared" si="156"/>
        <v>0.57033333333333336</v>
      </c>
      <c r="FI345" s="220">
        <f t="shared" si="157"/>
        <v>0.59</v>
      </c>
      <c r="FJ345" s="140"/>
      <c r="FK345" s="177"/>
      <c r="FL345" s="178"/>
      <c r="FM345" s="178"/>
      <c r="FN345" s="178"/>
      <c r="FO345" s="178"/>
      <c r="FP345" s="217">
        <v>0</v>
      </c>
      <c r="FQ345" s="218">
        <f t="shared" si="158"/>
        <v>1.9666666666666666E-2</v>
      </c>
      <c r="FR345" s="218">
        <f t="shared" si="158"/>
        <v>3.9333333333333331E-2</v>
      </c>
      <c r="FS345" s="218">
        <f t="shared" si="158"/>
        <v>5.9000000000000004E-2</v>
      </c>
      <c r="FT345" s="218">
        <f t="shared" si="158"/>
        <v>7.8666666666666663E-2</v>
      </c>
      <c r="FU345" s="219">
        <f t="shared" si="158"/>
        <v>9.8333333333333328E-2</v>
      </c>
      <c r="FV345" s="219">
        <f t="shared" si="158"/>
        <v>0.11800000000000001</v>
      </c>
      <c r="FW345" s="219">
        <f t="shared" si="158"/>
        <v>0.13766666666666666</v>
      </c>
      <c r="FX345" s="219">
        <f t="shared" si="158"/>
        <v>0.15733333333333333</v>
      </c>
      <c r="FY345" s="219">
        <f t="shared" si="158"/>
        <v>0.17699999999999999</v>
      </c>
      <c r="FZ345" s="219">
        <f t="shared" si="158"/>
        <v>0.19666666666666666</v>
      </c>
      <c r="GA345" s="219">
        <f t="shared" si="158"/>
        <v>0.21633333333333332</v>
      </c>
      <c r="GB345" s="219">
        <f t="shared" si="158"/>
        <v>0.23600000000000002</v>
      </c>
      <c r="GC345" s="219">
        <f t="shared" si="158"/>
        <v>0.25566666666666665</v>
      </c>
      <c r="GD345" s="219">
        <f t="shared" si="158"/>
        <v>0.27533333333333332</v>
      </c>
      <c r="GE345" s="219">
        <f t="shared" si="158"/>
        <v>0.29499999999999998</v>
      </c>
      <c r="GF345" s="219">
        <f t="shared" si="158"/>
        <v>0.31466666666666665</v>
      </c>
      <c r="GG345" s="219">
        <f t="shared" si="159"/>
        <v>0.33433333333333332</v>
      </c>
      <c r="GH345" s="219">
        <f t="shared" si="159"/>
        <v>0.35399999999999998</v>
      </c>
      <c r="GI345" s="219">
        <f t="shared" si="159"/>
        <v>0.37366666666666665</v>
      </c>
      <c r="GJ345" s="219">
        <f t="shared" si="159"/>
        <v>0.39333333333333331</v>
      </c>
      <c r="GK345" s="218">
        <f t="shared" si="159"/>
        <v>0.41299999999999998</v>
      </c>
      <c r="GL345" s="218">
        <f t="shared" si="159"/>
        <v>0.43266666666666664</v>
      </c>
      <c r="GM345" s="218">
        <f t="shared" si="159"/>
        <v>0.45233333333333331</v>
      </c>
      <c r="GN345" s="218">
        <f t="shared" si="159"/>
        <v>0.47200000000000003</v>
      </c>
      <c r="GO345" s="218">
        <f t="shared" si="159"/>
        <v>0.49166666666666664</v>
      </c>
      <c r="GP345" s="218">
        <f t="shared" si="159"/>
        <v>0.51133333333333331</v>
      </c>
      <c r="GQ345" s="218">
        <f t="shared" si="159"/>
        <v>0.53100000000000003</v>
      </c>
      <c r="GR345" s="218">
        <f t="shared" si="159"/>
        <v>0.55066666666666664</v>
      </c>
      <c r="GS345" s="218">
        <f t="shared" si="159"/>
        <v>0.57033333333333336</v>
      </c>
      <c r="GT345" s="220">
        <f t="shared" si="160"/>
        <v>0.59</v>
      </c>
      <c r="GU345" s="140"/>
      <c r="GV345" s="177"/>
      <c r="GW345" s="178"/>
      <c r="GX345" s="178"/>
      <c r="GY345" s="178"/>
      <c r="GZ345" s="178"/>
      <c r="HA345" s="217">
        <v>0</v>
      </c>
      <c r="HB345" s="218">
        <f t="shared" si="161"/>
        <v>1.6333333333333332E-2</v>
      </c>
      <c r="HC345" s="218">
        <f t="shared" si="161"/>
        <v>3.2666666666666663E-2</v>
      </c>
      <c r="HD345" s="218">
        <f t="shared" si="161"/>
        <v>4.9000000000000002E-2</v>
      </c>
      <c r="HE345" s="218">
        <f t="shared" si="161"/>
        <v>6.5333333333333327E-2</v>
      </c>
      <c r="HF345" s="219">
        <f t="shared" si="161"/>
        <v>8.1666666666666679E-2</v>
      </c>
      <c r="HG345" s="219">
        <f t="shared" si="161"/>
        <v>9.8000000000000004E-2</v>
      </c>
      <c r="HH345" s="219">
        <f t="shared" si="161"/>
        <v>0.11433333333333333</v>
      </c>
      <c r="HI345" s="219">
        <f t="shared" si="161"/>
        <v>0.13066666666666665</v>
      </c>
      <c r="HJ345" s="219">
        <f t="shared" si="161"/>
        <v>0.14699999999999999</v>
      </c>
      <c r="HK345" s="219">
        <f t="shared" si="161"/>
        <v>0.16333333333333336</v>
      </c>
      <c r="HL345" s="219">
        <f t="shared" si="161"/>
        <v>0.17966666666666667</v>
      </c>
      <c r="HM345" s="219">
        <f t="shared" si="161"/>
        <v>0.19600000000000001</v>
      </c>
      <c r="HN345" s="219">
        <f t="shared" si="161"/>
        <v>0.21233333333333335</v>
      </c>
      <c r="HO345" s="219">
        <f t="shared" si="161"/>
        <v>0.22866666666666666</v>
      </c>
      <c r="HP345" s="219">
        <f t="shared" si="161"/>
        <v>0.245</v>
      </c>
      <c r="HQ345" s="219">
        <f t="shared" si="161"/>
        <v>0.26133333333333331</v>
      </c>
      <c r="HR345" s="219">
        <f t="shared" si="162"/>
        <v>0.27766666666666667</v>
      </c>
      <c r="HS345" s="219">
        <f t="shared" si="162"/>
        <v>0.29399999999999998</v>
      </c>
      <c r="HT345" s="219">
        <f t="shared" si="162"/>
        <v>0.31033333333333335</v>
      </c>
      <c r="HU345" s="219">
        <f t="shared" si="162"/>
        <v>0.32666666666666672</v>
      </c>
      <c r="HV345" s="218">
        <f t="shared" si="162"/>
        <v>0.34299999999999997</v>
      </c>
      <c r="HW345" s="218">
        <f t="shared" si="162"/>
        <v>0.35933333333333334</v>
      </c>
      <c r="HX345" s="218">
        <f t="shared" si="162"/>
        <v>0.37566666666666665</v>
      </c>
      <c r="HY345" s="218">
        <f t="shared" si="162"/>
        <v>0.39200000000000002</v>
      </c>
      <c r="HZ345" s="218">
        <f t="shared" si="162"/>
        <v>0.40833333333333333</v>
      </c>
      <c r="IA345" s="218">
        <f t="shared" si="162"/>
        <v>0.42466666666666669</v>
      </c>
      <c r="IB345" s="218">
        <f t="shared" si="162"/>
        <v>0.441</v>
      </c>
      <c r="IC345" s="218">
        <f t="shared" si="162"/>
        <v>0.45733333333333331</v>
      </c>
      <c r="ID345" s="218">
        <f t="shared" si="162"/>
        <v>0.47366666666666662</v>
      </c>
      <c r="IE345" s="220">
        <f t="shared" si="163"/>
        <v>0.49</v>
      </c>
      <c r="IF345" s="140"/>
      <c r="IG345" s="177"/>
      <c r="IH345" s="178"/>
      <c r="II345" s="178"/>
      <c r="IJ345" s="178"/>
      <c r="IK345" s="178"/>
      <c r="IL345" s="217">
        <v>0</v>
      </c>
      <c r="IM345" s="218">
        <f t="shared" si="164"/>
        <v>0</v>
      </c>
      <c r="IN345" s="218">
        <f t="shared" si="164"/>
        <v>0</v>
      </c>
      <c r="IO345" s="218">
        <f t="shared" si="164"/>
        <v>0</v>
      </c>
      <c r="IP345" s="218">
        <f t="shared" si="164"/>
        <v>0</v>
      </c>
      <c r="IQ345" s="219">
        <f t="shared" si="164"/>
        <v>0</v>
      </c>
      <c r="IR345" s="219">
        <f t="shared" si="164"/>
        <v>0</v>
      </c>
      <c r="IS345" s="219">
        <f t="shared" si="164"/>
        <v>0</v>
      </c>
      <c r="IT345" s="219">
        <f t="shared" si="164"/>
        <v>0</v>
      </c>
      <c r="IU345" s="219">
        <f t="shared" si="164"/>
        <v>0</v>
      </c>
      <c r="IV345" s="219">
        <f t="shared" si="164"/>
        <v>0</v>
      </c>
      <c r="IW345" s="219">
        <f t="shared" si="164"/>
        <v>0</v>
      </c>
      <c r="IX345" s="219">
        <f t="shared" si="164"/>
        <v>0</v>
      </c>
      <c r="IY345" s="219">
        <f t="shared" si="164"/>
        <v>0</v>
      </c>
      <c r="IZ345" s="219">
        <f t="shared" si="164"/>
        <v>0</v>
      </c>
      <c r="JA345" s="219">
        <f t="shared" si="164"/>
        <v>0</v>
      </c>
      <c r="JB345" s="219">
        <f t="shared" si="164"/>
        <v>0</v>
      </c>
      <c r="JC345" s="219">
        <f t="shared" si="165"/>
        <v>0</v>
      </c>
      <c r="JD345" s="219">
        <f t="shared" si="165"/>
        <v>0</v>
      </c>
      <c r="JE345" s="219">
        <f t="shared" si="165"/>
        <v>0</v>
      </c>
      <c r="JF345" s="219">
        <f t="shared" si="165"/>
        <v>0</v>
      </c>
      <c r="JG345" s="218">
        <f t="shared" si="165"/>
        <v>0</v>
      </c>
      <c r="JH345" s="218">
        <f t="shared" si="165"/>
        <v>0</v>
      </c>
      <c r="JI345" s="218">
        <f t="shared" si="165"/>
        <v>0</v>
      </c>
      <c r="JJ345" s="218">
        <f t="shared" si="165"/>
        <v>0</v>
      </c>
      <c r="JK345" s="218">
        <f t="shared" si="165"/>
        <v>0</v>
      </c>
      <c r="JL345" s="218">
        <f t="shared" si="165"/>
        <v>0</v>
      </c>
      <c r="JM345" s="218">
        <f t="shared" si="165"/>
        <v>0</v>
      </c>
      <c r="JN345" s="218">
        <f t="shared" si="165"/>
        <v>0</v>
      </c>
      <c r="JO345" s="218">
        <f t="shared" si="165"/>
        <v>0</v>
      </c>
      <c r="JP345" s="220">
        <f t="shared" si="166"/>
        <v>0</v>
      </c>
      <c r="JQ345" s="140"/>
      <c r="JR345" s="177"/>
      <c r="JS345" s="178"/>
      <c r="JT345" s="178"/>
      <c r="JU345" s="178"/>
      <c r="JV345" s="178"/>
      <c r="JW345" s="217">
        <v>0</v>
      </c>
      <c r="JX345" s="218">
        <f t="shared" si="167"/>
        <v>0</v>
      </c>
      <c r="JY345" s="218">
        <f t="shared" si="167"/>
        <v>0</v>
      </c>
      <c r="JZ345" s="218">
        <f t="shared" si="167"/>
        <v>0</v>
      </c>
      <c r="KA345" s="218">
        <f t="shared" si="167"/>
        <v>0</v>
      </c>
      <c r="KB345" s="219">
        <f t="shared" si="167"/>
        <v>0</v>
      </c>
      <c r="KC345" s="219">
        <f t="shared" si="167"/>
        <v>0</v>
      </c>
      <c r="KD345" s="219">
        <f t="shared" si="167"/>
        <v>0</v>
      </c>
      <c r="KE345" s="219">
        <f t="shared" si="167"/>
        <v>0</v>
      </c>
      <c r="KF345" s="219">
        <f t="shared" si="167"/>
        <v>0</v>
      </c>
      <c r="KG345" s="219">
        <f t="shared" si="167"/>
        <v>0</v>
      </c>
      <c r="KH345" s="219">
        <f t="shared" si="167"/>
        <v>0</v>
      </c>
      <c r="KI345" s="219">
        <f t="shared" si="167"/>
        <v>0</v>
      </c>
      <c r="KJ345" s="219">
        <f t="shared" si="167"/>
        <v>0</v>
      </c>
      <c r="KK345" s="219">
        <f t="shared" si="167"/>
        <v>0</v>
      </c>
      <c r="KL345" s="219">
        <f t="shared" si="167"/>
        <v>0</v>
      </c>
      <c r="KM345" s="219">
        <f t="shared" si="167"/>
        <v>0</v>
      </c>
      <c r="KN345" s="219">
        <f t="shared" si="168"/>
        <v>0</v>
      </c>
      <c r="KO345" s="219">
        <f t="shared" si="168"/>
        <v>0</v>
      </c>
      <c r="KP345" s="219">
        <f t="shared" si="168"/>
        <v>0</v>
      </c>
      <c r="KQ345" s="219">
        <f t="shared" si="168"/>
        <v>0</v>
      </c>
      <c r="KR345" s="218">
        <f t="shared" si="168"/>
        <v>0</v>
      </c>
      <c r="KS345" s="218">
        <f t="shared" si="168"/>
        <v>0</v>
      </c>
      <c r="KT345" s="218">
        <f t="shared" si="168"/>
        <v>0</v>
      </c>
      <c r="KU345" s="218">
        <f t="shared" si="168"/>
        <v>0</v>
      </c>
      <c r="KV345" s="218">
        <f t="shared" si="168"/>
        <v>0</v>
      </c>
      <c r="KW345" s="218">
        <f t="shared" si="168"/>
        <v>0</v>
      </c>
      <c r="KX345" s="218">
        <f t="shared" si="168"/>
        <v>0</v>
      </c>
      <c r="KY345" s="218">
        <f t="shared" si="168"/>
        <v>0</v>
      </c>
      <c r="KZ345" s="218">
        <f t="shared" si="168"/>
        <v>0</v>
      </c>
      <c r="LA345" s="220">
        <f t="shared" si="169"/>
        <v>0</v>
      </c>
      <c r="LB345" s="140"/>
      <c r="LC345" s="177"/>
      <c r="LD345" s="178"/>
      <c r="LE345" s="178"/>
      <c r="LF345" s="178"/>
      <c r="LG345" s="178"/>
      <c r="LH345" s="217">
        <v>0</v>
      </c>
      <c r="LI345" s="218">
        <f t="shared" si="170"/>
        <v>0</v>
      </c>
      <c r="LJ345" s="218">
        <f t="shared" si="170"/>
        <v>0</v>
      </c>
      <c r="LK345" s="218">
        <f t="shared" si="170"/>
        <v>0</v>
      </c>
      <c r="LL345" s="218">
        <f t="shared" si="170"/>
        <v>0</v>
      </c>
      <c r="LM345" s="219">
        <f t="shared" si="170"/>
        <v>0</v>
      </c>
      <c r="LN345" s="219">
        <f t="shared" si="170"/>
        <v>0</v>
      </c>
      <c r="LO345" s="219">
        <f t="shared" si="170"/>
        <v>0</v>
      </c>
      <c r="LP345" s="219">
        <f t="shared" si="170"/>
        <v>0</v>
      </c>
      <c r="LQ345" s="219">
        <f t="shared" si="170"/>
        <v>0</v>
      </c>
      <c r="LR345" s="219">
        <f t="shared" si="170"/>
        <v>0</v>
      </c>
      <c r="LS345" s="219">
        <f t="shared" si="170"/>
        <v>0</v>
      </c>
      <c r="LT345" s="219">
        <f t="shared" si="170"/>
        <v>0</v>
      </c>
      <c r="LU345" s="219">
        <f t="shared" si="170"/>
        <v>0</v>
      </c>
      <c r="LV345" s="219">
        <f t="shared" si="170"/>
        <v>0</v>
      </c>
      <c r="LW345" s="219">
        <f t="shared" si="170"/>
        <v>0</v>
      </c>
      <c r="LX345" s="219">
        <f t="shared" si="170"/>
        <v>0</v>
      </c>
      <c r="LY345" s="219">
        <f t="shared" si="171"/>
        <v>0</v>
      </c>
      <c r="LZ345" s="219">
        <f t="shared" si="171"/>
        <v>0</v>
      </c>
      <c r="MA345" s="219">
        <f t="shared" si="171"/>
        <v>0</v>
      </c>
      <c r="MB345" s="219">
        <f t="shared" si="171"/>
        <v>0</v>
      </c>
      <c r="MC345" s="218">
        <f t="shared" si="171"/>
        <v>0</v>
      </c>
      <c r="MD345" s="218">
        <f t="shared" si="171"/>
        <v>0</v>
      </c>
      <c r="ME345" s="218">
        <f t="shared" si="171"/>
        <v>0</v>
      </c>
      <c r="MF345" s="218">
        <f t="shared" si="171"/>
        <v>0</v>
      </c>
      <c r="MG345" s="218">
        <f t="shared" si="171"/>
        <v>0</v>
      </c>
      <c r="MH345" s="218">
        <f t="shared" si="171"/>
        <v>0</v>
      </c>
      <c r="MI345" s="218">
        <f t="shared" si="171"/>
        <v>0</v>
      </c>
      <c r="MJ345" s="218">
        <f t="shared" si="171"/>
        <v>0</v>
      </c>
      <c r="MK345" s="218">
        <f t="shared" si="171"/>
        <v>0</v>
      </c>
      <c r="ML345" s="220">
        <f t="shared" si="172"/>
        <v>0</v>
      </c>
    </row>
    <row r="346" spans="3:350" s="4" customFormat="1" ht="18" customHeight="1" x14ac:dyDescent="0.3">
      <c r="C346" s="136" t="s">
        <v>83</v>
      </c>
      <c r="E346" s="137" t="s">
        <v>105</v>
      </c>
      <c r="F346" s="147" t="s">
        <v>105</v>
      </c>
      <c r="H346" s="139"/>
      <c r="I346" s="140"/>
      <c r="J346" s="140"/>
      <c r="K346" s="140"/>
      <c r="L346" s="140"/>
      <c r="M346" s="141"/>
      <c r="N346" s="140"/>
      <c r="O346" s="140"/>
      <c r="P346" s="140"/>
      <c r="Q346" s="140"/>
      <c r="R346" s="140"/>
      <c r="S346" s="139"/>
      <c r="T346" s="140"/>
      <c r="U346" s="140"/>
      <c r="V346" s="140"/>
      <c r="W346" s="140"/>
      <c r="X346" s="140"/>
      <c r="Y346" s="140"/>
      <c r="Z346" s="140"/>
      <c r="AA346" s="140"/>
      <c r="AB346" s="140"/>
      <c r="AC346" s="140"/>
      <c r="AD346" s="140"/>
      <c r="AE346" s="140"/>
      <c r="AF346" s="140"/>
      <c r="AG346" s="140"/>
      <c r="AH346" s="140"/>
      <c r="AI346" s="140"/>
      <c r="AJ346" s="140"/>
      <c r="AK346" s="140"/>
      <c r="AL346" s="140"/>
      <c r="AM346" s="140"/>
      <c r="AN346" s="140"/>
      <c r="AO346" s="140"/>
      <c r="AP346" s="140"/>
      <c r="AQ346" s="140"/>
      <c r="AR346" s="140"/>
      <c r="AS346" s="140"/>
      <c r="AT346" s="140"/>
      <c r="AU346" s="140"/>
      <c r="AV346" s="140"/>
      <c r="AW346" s="140"/>
      <c r="AX346" s="140"/>
      <c r="AY346" s="140"/>
      <c r="AZ346" s="140"/>
      <c r="BA346" s="140"/>
      <c r="BB346" s="141"/>
      <c r="BC346" s="140"/>
      <c r="BD346" s="177"/>
      <c r="BE346" s="178"/>
      <c r="BF346" s="178"/>
      <c r="BG346" s="178"/>
      <c r="BH346" s="178"/>
      <c r="BI346" s="217">
        <v>0</v>
      </c>
      <c r="BJ346" s="218">
        <f t="shared" si="149"/>
        <v>1.9333333333333331E-2</v>
      </c>
      <c r="BK346" s="218">
        <f t="shared" si="149"/>
        <v>3.8666666666666662E-2</v>
      </c>
      <c r="BL346" s="218">
        <f t="shared" si="149"/>
        <v>5.7999999999999989E-2</v>
      </c>
      <c r="BM346" s="218">
        <f t="shared" si="149"/>
        <v>7.7333333333333323E-2</v>
      </c>
      <c r="BN346" s="219">
        <f t="shared" si="149"/>
        <v>9.6666666666666665E-2</v>
      </c>
      <c r="BO346" s="219">
        <f t="shared" si="149"/>
        <v>0.11599999999999998</v>
      </c>
      <c r="BP346" s="219">
        <f t="shared" si="149"/>
        <v>0.13533333333333333</v>
      </c>
      <c r="BQ346" s="219">
        <f t="shared" si="149"/>
        <v>0.15466666666666665</v>
      </c>
      <c r="BR346" s="219">
        <f t="shared" si="149"/>
        <v>0.17399999999999999</v>
      </c>
      <c r="BS346" s="219">
        <f t="shared" si="149"/>
        <v>0.19333333333333333</v>
      </c>
      <c r="BT346" s="219">
        <f t="shared" si="149"/>
        <v>0.21266666666666667</v>
      </c>
      <c r="BU346" s="219">
        <f t="shared" si="149"/>
        <v>0.23199999999999996</v>
      </c>
      <c r="BV346" s="219">
        <f t="shared" si="149"/>
        <v>0.2513333333333333</v>
      </c>
      <c r="BW346" s="219">
        <f t="shared" si="149"/>
        <v>0.27066666666666667</v>
      </c>
      <c r="BX346" s="219">
        <f t="shared" si="149"/>
        <v>0.28999999999999998</v>
      </c>
      <c r="BY346" s="219">
        <f t="shared" si="149"/>
        <v>0.30933333333333329</v>
      </c>
      <c r="BZ346" s="219">
        <f t="shared" si="150"/>
        <v>0.32866666666666666</v>
      </c>
      <c r="CA346" s="219">
        <f t="shared" si="150"/>
        <v>0.34799999999999998</v>
      </c>
      <c r="CB346" s="219">
        <f t="shared" si="150"/>
        <v>0.36733333333333335</v>
      </c>
      <c r="CC346" s="219">
        <f t="shared" si="150"/>
        <v>0.38666666666666666</v>
      </c>
      <c r="CD346" s="218">
        <f t="shared" si="150"/>
        <v>0.40599999999999997</v>
      </c>
      <c r="CE346" s="218">
        <f t="shared" si="150"/>
        <v>0.42533333333333334</v>
      </c>
      <c r="CF346" s="218">
        <f t="shared" si="150"/>
        <v>0.44466666666666665</v>
      </c>
      <c r="CG346" s="218">
        <f t="shared" si="150"/>
        <v>0.46399999999999991</v>
      </c>
      <c r="CH346" s="218">
        <f t="shared" si="150"/>
        <v>0.48333333333333328</v>
      </c>
      <c r="CI346" s="218">
        <f t="shared" si="150"/>
        <v>0.5026666666666666</v>
      </c>
      <c r="CJ346" s="218">
        <f t="shared" si="150"/>
        <v>0.52199999999999991</v>
      </c>
      <c r="CK346" s="218">
        <f t="shared" si="150"/>
        <v>0.54133333333333333</v>
      </c>
      <c r="CL346" s="218">
        <f t="shared" si="150"/>
        <v>0.56066666666666665</v>
      </c>
      <c r="CM346" s="220">
        <f t="shared" si="151"/>
        <v>0.57999999999999996</v>
      </c>
      <c r="CN346" s="140"/>
      <c r="CO346" s="177"/>
      <c r="CP346" s="178"/>
      <c r="CQ346" s="178"/>
      <c r="CR346" s="178"/>
      <c r="CS346" s="178"/>
      <c r="CT346" s="217">
        <v>0</v>
      </c>
      <c r="CU346" s="218">
        <f t="shared" si="152"/>
        <v>2.9333333333333333E-2</v>
      </c>
      <c r="CV346" s="218">
        <f t="shared" si="152"/>
        <v>5.8666666666666666E-2</v>
      </c>
      <c r="CW346" s="218">
        <f t="shared" si="152"/>
        <v>8.8000000000000009E-2</v>
      </c>
      <c r="CX346" s="218">
        <f t="shared" si="152"/>
        <v>0.11733333333333333</v>
      </c>
      <c r="CY346" s="219">
        <f t="shared" si="152"/>
        <v>0.14666666666666667</v>
      </c>
      <c r="CZ346" s="219">
        <f t="shared" si="152"/>
        <v>0.17600000000000002</v>
      </c>
      <c r="DA346" s="219">
        <f t="shared" si="152"/>
        <v>0.20533333333333334</v>
      </c>
      <c r="DB346" s="219">
        <f t="shared" si="152"/>
        <v>0.23466666666666666</v>
      </c>
      <c r="DC346" s="219">
        <f t="shared" si="152"/>
        <v>0.26400000000000001</v>
      </c>
      <c r="DD346" s="219">
        <f t="shared" si="152"/>
        <v>0.29333333333333333</v>
      </c>
      <c r="DE346" s="219">
        <f t="shared" si="152"/>
        <v>0.32266666666666666</v>
      </c>
      <c r="DF346" s="219">
        <f t="shared" si="152"/>
        <v>0.35200000000000004</v>
      </c>
      <c r="DG346" s="219">
        <f t="shared" si="152"/>
        <v>0.3813333333333333</v>
      </c>
      <c r="DH346" s="219">
        <f t="shared" si="152"/>
        <v>0.41066666666666668</v>
      </c>
      <c r="DI346" s="219">
        <f t="shared" si="152"/>
        <v>0.44</v>
      </c>
      <c r="DJ346" s="219">
        <f t="shared" si="152"/>
        <v>0.46933333333333332</v>
      </c>
      <c r="DK346" s="219">
        <f t="shared" si="153"/>
        <v>0.4986666666666667</v>
      </c>
      <c r="DL346" s="219">
        <f t="shared" si="153"/>
        <v>0.52800000000000002</v>
      </c>
      <c r="DM346" s="219">
        <f t="shared" si="153"/>
        <v>0.55733333333333335</v>
      </c>
      <c r="DN346" s="219">
        <f t="shared" si="153"/>
        <v>0.58666666666666667</v>
      </c>
      <c r="DO346" s="218">
        <f t="shared" si="153"/>
        <v>0.61599999999999999</v>
      </c>
      <c r="DP346" s="218">
        <f t="shared" si="153"/>
        <v>0.64533333333333331</v>
      </c>
      <c r="DQ346" s="218">
        <f t="shared" si="153"/>
        <v>0.67466666666666664</v>
      </c>
      <c r="DR346" s="218">
        <f t="shared" si="153"/>
        <v>0.70400000000000007</v>
      </c>
      <c r="DS346" s="218">
        <f t="shared" si="153"/>
        <v>0.73333333333333328</v>
      </c>
      <c r="DT346" s="218">
        <f t="shared" si="153"/>
        <v>0.7626666666666666</v>
      </c>
      <c r="DU346" s="218">
        <f t="shared" si="153"/>
        <v>0.79200000000000004</v>
      </c>
      <c r="DV346" s="218">
        <f t="shared" si="153"/>
        <v>0.82133333333333336</v>
      </c>
      <c r="DW346" s="218">
        <f t="shared" si="153"/>
        <v>0.85066666666666668</v>
      </c>
      <c r="DX346" s="220">
        <f t="shared" si="154"/>
        <v>0.88</v>
      </c>
      <c r="DY346" s="140"/>
      <c r="DZ346" s="177"/>
      <c r="EA346" s="178"/>
      <c r="EB346" s="178"/>
      <c r="EC346" s="178"/>
      <c r="ED346" s="178"/>
      <c r="EE346" s="217">
        <v>0</v>
      </c>
      <c r="EF346" s="218">
        <f t="shared" si="155"/>
        <v>2.6000000000000002E-2</v>
      </c>
      <c r="EG346" s="218">
        <f t="shared" si="155"/>
        <v>5.2000000000000005E-2</v>
      </c>
      <c r="EH346" s="218">
        <f t="shared" si="155"/>
        <v>7.8E-2</v>
      </c>
      <c r="EI346" s="218">
        <f t="shared" si="155"/>
        <v>0.10400000000000001</v>
      </c>
      <c r="EJ346" s="219">
        <f t="shared" si="155"/>
        <v>0.13</v>
      </c>
      <c r="EK346" s="219">
        <f t="shared" si="155"/>
        <v>0.156</v>
      </c>
      <c r="EL346" s="219">
        <f t="shared" si="155"/>
        <v>0.182</v>
      </c>
      <c r="EM346" s="219">
        <f t="shared" si="155"/>
        <v>0.20800000000000002</v>
      </c>
      <c r="EN346" s="219">
        <f t="shared" si="155"/>
        <v>0.23400000000000001</v>
      </c>
      <c r="EO346" s="219">
        <f t="shared" si="155"/>
        <v>0.26</v>
      </c>
      <c r="EP346" s="219">
        <f t="shared" si="155"/>
        <v>0.28599999999999998</v>
      </c>
      <c r="EQ346" s="219">
        <f t="shared" si="155"/>
        <v>0.312</v>
      </c>
      <c r="ER346" s="219">
        <f t="shared" si="155"/>
        <v>0.33800000000000002</v>
      </c>
      <c r="ES346" s="219">
        <f t="shared" si="155"/>
        <v>0.36399999999999999</v>
      </c>
      <c r="ET346" s="219">
        <f t="shared" si="155"/>
        <v>0.39</v>
      </c>
      <c r="EU346" s="219">
        <f t="shared" si="155"/>
        <v>0.41600000000000004</v>
      </c>
      <c r="EV346" s="219">
        <f t="shared" si="156"/>
        <v>0.442</v>
      </c>
      <c r="EW346" s="219">
        <f t="shared" si="156"/>
        <v>0.46800000000000003</v>
      </c>
      <c r="EX346" s="219">
        <f t="shared" si="156"/>
        <v>0.49399999999999999</v>
      </c>
      <c r="EY346" s="219">
        <f t="shared" si="156"/>
        <v>0.52</v>
      </c>
      <c r="EZ346" s="218">
        <f t="shared" si="156"/>
        <v>0.54599999999999993</v>
      </c>
      <c r="FA346" s="218">
        <f t="shared" si="156"/>
        <v>0.57199999999999995</v>
      </c>
      <c r="FB346" s="218">
        <f t="shared" si="156"/>
        <v>0.59800000000000009</v>
      </c>
      <c r="FC346" s="218">
        <f t="shared" si="156"/>
        <v>0.624</v>
      </c>
      <c r="FD346" s="218">
        <f t="shared" si="156"/>
        <v>0.65</v>
      </c>
      <c r="FE346" s="218">
        <f t="shared" si="156"/>
        <v>0.67600000000000005</v>
      </c>
      <c r="FF346" s="218">
        <f t="shared" si="156"/>
        <v>0.70200000000000007</v>
      </c>
      <c r="FG346" s="218">
        <f t="shared" si="156"/>
        <v>0.72799999999999998</v>
      </c>
      <c r="FH346" s="218">
        <f t="shared" si="156"/>
        <v>0.754</v>
      </c>
      <c r="FI346" s="220">
        <f t="shared" si="157"/>
        <v>0.78</v>
      </c>
      <c r="FJ346" s="140"/>
      <c r="FK346" s="177"/>
      <c r="FL346" s="178"/>
      <c r="FM346" s="178"/>
      <c r="FN346" s="178"/>
      <c r="FO346" s="178"/>
      <c r="FP346" s="217">
        <v>0</v>
      </c>
      <c r="FQ346" s="218">
        <f t="shared" si="158"/>
        <v>1.9333333333333331E-2</v>
      </c>
      <c r="FR346" s="218">
        <f t="shared" si="158"/>
        <v>3.8666666666666662E-2</v>
      </c>
      <c r="FS346" s="218">
        <f t="shared" si="158"/>
        <v>5.7999999999999989E-2</v>
      </c>
      <c r="FT346" s="218">
        <f t="shared" si="158"/>
        <v>7.7333333333333323E-2</v>
      </c>
      <c r="FU346" s="219">
        <f t="shared" si="158"/>
        <v>9.6666666666666665E-2</v>
      </c>
      <c r="FV346" s="219">
        <f t="shared" si="158"/>
        <v>0.11599999999999998</v>
      </c>
      <c r="FW346" s="219">
        <f t="shared" si="158"/>
        <v>0.13533333333333333</v>
      </c>
      <c r="FX346" s="219">
        <f t="shared" si="158"/>
        <v>0.15466666666666665</v>
      </c>
      <c r="FY346" s="219">
        <f t="shared" si="158"/>
        <v>0.17399999999999999</v>
      </c>
      <c r="FZ346" s="219">
        <f t="shared" si="158"/>
        <v>0.19333333333333333</v>
      </c>
      <c r="GA346" s="219">
        <f t="shared" si="158"/>
        <v>0.21266666666666667</v>
      </c>
      <c r="GB346" s="219">
        <f t="shared" si="158"/>
        <v>0.23199999999999996</v>
      </c>
      <c r="GC346" s="219">
        <f t="shared" si="158"/>
        <v>0.2513333333333333</v>
      </c>
      <c r="GD346" s="219">
        <f t="shared" si="158"/>
        <v>0.27066666666666667</v>
      </c>
      <c r="GE346" s="219">
        <f t="shared" si="158"/>
        <v>0.28999999999999998</v>
      </c>
      <c r="GF346" s="219">
        <f t="shared" si="158"/>
        <v>0.30933333333333329</v>
      </c>
      <c r="GG346" s="219">
        <f t="shared" si="159"/>
        <v>0.32866666666666666</v>
      </c>
      <c r="GH346" s="219">
        <f t="shared" si="159"/>
        <v>0.34799999999999998</v>
      </c>
      <c r="GI346" s="219">
        <f t="shared" si="159"/>
        <v>0.36733333333333335</v>
      </c>
      <c r="GJ346" s="219">
        <f t="shared" si="159"/>
        <v>0.38666666666666666</v>
      </c>
      <c r="GK346" s="218">
        <f t="shared" si="159"/>
        <v>0.40599999999999997</v>
      </c>
      <c r="GL346" s="218">
        <f t="shared" si="159"/>
        <v>0.42533333333333334</v>
      </c>
      <c r="GM346" s="218">
        <f t="shared" si="159"/>
        <v>0.44466666666666665</v>
      </c>
      <c r="GN346" s="218">
        <f t="shared" si="159"/>
        <v>0.46399999999999991</v>
      </c>
      <c r="GO346" s="218">
        <f t="shared" si="159"/>
        <v>0.48333333333333328</v>
      </c>
      <c r="GP346" s="218">
        <f t="shared" si="159"/>
        <v>0.5026666666666666</v>
      </c>
      <c r="GQ346" s="218">
        <f t="shared" si="159"/>
        <v>0.52199999999999991</v>
      </c>
      <c r="GR346" s="218">
        <f t="shared" si="159"/>
        <v>0.54133333333333333</v>
      </c>
      <c r="GS346" s="218">
        <f t="shared" si="159"/>
        <v>0.56066666666666665</v>
      </c>
      <c r="GT346" s="220">
        <f t="shared" si="160"/>
        <v>0.57999999999999996</v>
      </c>
      <c r="GU346" s="140"/>
      <c r="GV346" s="177"/>
      <c r="GW346" s="178"/>
      <c r="GX346" s="178"/>
      <c r="GY346" s="178"/>
      <c r="GZ346" s="178"/>
      <c r="HA346" s="217">
        <v>0</v>
      </c>
      <c r="HB346" s="218">
        <f t="shared" si="161"/>
        <v>1.9333333333333331E-2</v>
      </c>
      <c r="HC346" s="218">
        <f t="shared" si="161"/>
        <v>3.8666666666666662E-2</v>
      </c>
      <c r="HD346" s="218">
        <f t="shared" si="161"/>
        <v>5.7999999999999989E-2</v>
      </c>
      <c r="HE346" s="218">
        <f t="shared" si="161"/>
        <v>7.7333333333333323E-2</v>
      </c>
      <c r="HF346" s="219">
        <f t="shared" si="161"/>
        <v>9.6666666666666665E-2</v>
      </c>
      <c r="HG346" s="219">
        <f t="shared" si="161"/>
        <v>0.11599999999999998</v>
      </c>
      <c r="HH346" s="219">
        <f t="shared" si="161"/>
        <v>0.13533333333333333</v>
      </c>
      <c r="HI346" s="219">
        <f t="shared" si="161"/>
        <v>0.15466666666666665</v>
      </c>
      <c r="HJ346" s="219">
        <f t="shared" si="161"/>
        <v>0.17399999999999999</v>
      </c>
      <c r="HK346" s="219">
        <f t="shared" si="161"/>
        <v>0.19333333333333333</v>
      </c>
      <c r="HL346" s="219">
        <f t="shared" si="161"/>
        <v>0.21266666666666667</v>
      </c>
      <c r="HM346" s="219">
        <f t="shared" si="161"/>
        <v>0.23199999999999996</v>
      </c>
      <c r="HN346" s="219">
        <f t="shared" si="161"/>
        <v>0.2513333333333333</v>
      </c>
      <c r="HO346" s="219">
        <f t="shared" si="161"/>
        <v>0.27066666666666667</v>
      </c>
      <c r="HP346" s="219">
        <f t="shared" si="161"/>
        <v>0.28999999999999998</v>
      </c>
      <c r="HQ346" s="219">
        <f t="shared" si="161"/>
        <v>0.30933333333333329</v>
      </c>
      <c r="HR346" s="219">
        <f t="shared" si="162"/>
        <v>0.32866666666666666</v>
      </c>
      <c r="HS346" s="219">
        <f t="shared" si="162"/>
        <v>0.34799999999999998</v>
      </c>
      <c r="HT346" s="219">
        <f t="shared" si="162"/>
        <v>0.36733333333333335</v>
      </c>
      <c r="HU346" s="219">
        <f t="shared" si="162"/>
        <v>0.38666666666666666</v>
      </c>
      <c r="HV346" s="218">
        <f t="shared" si="162"/>
        <v>0.40599999999999997</v>
      </c>
      <c r="HW346" s="218">
        <f t="shared" si="162"/>
        <v>0.42533333333333334</v>
      </c>
      <c r="HX346" s="218">
        <f t="shared" si="162"/>
        <v>0.44466666666666665</v>
      </c>
      <c r="HY346" s="218">
        <f t="shared" si="162"/>
        <v>0.46399999999999991</v>
      </c>
      <c r="HZ346" s="218">
        <f t="shared" si="162"/>
        <v>0.48333333333333328</v>
      </c>
      <c r="IA346" s="218">
        <f t="shared" si="162"/>
        <v>0.5026666666666666</v>
      </c>
      <c r="IB346" s="218">
        <f t="shared" si="162"/>
        <v>0.52199999999999991</v>
      </c>
      <c r="IC346" s="218">
        <f t="shared" si="162"/>
        <v>0.54133333333333333</v>
      </c>
      <c r="ID346" s="218">
        <f t="shared" si="162"/>
        <v>0.56066666666666665</v>
      </c>
      <c r="IE346" s="220">
        <f t="shared" si="163"/>
        <v>0.57999999999999996</v>
      </c>
      <c r="IF346" s="140"/>
      <c r="IG346" s="177"/>
      <c r="IH346" s="178"/>
      <c r="II346" s="178"/>
      <c r="IJ346" s="178"/>
      <c r="IK346" s="178"/>
      <c r="IL346" s="217">
        <v>0</v>
      </c>
      <c r="IM346" s="218">
        <f t="shared" si="164"/>
        <v>0</v>
      </c>
      <c r="IN346" s="218">
        <f t="shared" si="164"/>
        <v>0</v>
      </c>
      <c r="IO346" s="218">
        <f t="shared" si="164"/>
        <v>0</v>
      </c>
      <c r="IP346" s="218">
        <f t="shared" si="164"/>
        <v>0</v>
      </c>
      <c r="IQ346" s="219">
        <f t="shared" si="164"/>
        <v>0</v>
      </c>
      <c r="IR346" s="219">
        <f t="shared" si="164"/>
        <v>0</v>
      </c>
      <c r="IS346" s="219">
        <f t="shared" si="164"/>
        <v>0</v>
      </c>
      <c r="IT346" s="219">
        <f t="shared" si="164"/>
        <v>0</v>
      </c>
      <c r="IU346" s="219">
        <f t="shared" si="164"/>
        <v>0</v>
      </c>
      <c r="IV346" s="219">
        <f t="shared" si="164"/>
        <v>0</v>
      </c>
      <c r="IW346" s="219">
        <f t="shared" si="164"/>
        <v>0</v>
      </c>
      <c r="IX346" s="219">
        <f t="shared" si="164"/>
        <v>0</v>
      </c>
      <c r="IY346" s="219">
        <f t="shared" si="164"/>
        <v>0</v>
      </c>
      <c r="IZ346" s="219">
        <f t="shared" si="164"/>
        <v>0</v>
      </c>
      <c r="JA346" s="219">
        <f t="shared" si="164"/>
        <v>0</v>
      </c>
      <c r="JB346" s="219">
        <f t="shared" si="164"/>
        <v>0</v>
      </c>
      <c r="JC346" s="219">
        <f t="shared" si="165"/>
        <v>0</v>
      </c>
      <c r="JD346" s="219">
        <f t="shared" si="165"/>
        <v>0</v>
      </c>
      <c r="JE346" s="219">
        <f t="shared" si="165"/>
        <v>0</v>
      </c>
      <c r="JF346" s="219">
        <f t="shared" si="165"/>
        <v>0</v>
      </c>
      <c r="JG346" s="218">
        <f t="shared" si="165"/>
        <v>0</v>
      </c>
      <c r="JH346" s="218">
        <f t="shared" si="165"/>
        <v>0</v>
      </c>
      <c r="JI346" s="218">
        <f t="shared" si="165"/>
        <v>0</v>
      </c>
      <c r="JJ346" s="218">
        <f t="shared" si="165"/>
        <v>0</v>
      </c>
      <c r="JK346" s="218">
        <f t="shared" si="165"/>
        <v>0</v>
      </c>
      <c r="JL346" s="218">
        <f t="shared" si="165"/>
        <v>0</v>
      </c>
      <c r="JM346" s="218">
        <f t="shared" si="165"/>
        <v>0</v>
      </c>
      <c r="JN346" s="218">
        <f t="shared" si="165"/>
        <v>0</v>
      </c>
      <c r="JO346" s="218">
        <f t="shared" si="165"/>
        <v>0</v>
      </c>
      <c r="JP346" s="220">
        <f t="shared" si="166"/>
        <v>0</v>
      </c>
      <c r="JQ346" s="140"/>
      <c r="JR346" s="177"/>
      <c r="JS346" s="178"/>
      <c r="JT346" s="178"/>
      <c r="JU346" s="178"/>
      <c r="JV346" s="178"/>
      <c r="JW346" s="217">
        <v>0</v>
      </c>
      <c r="JX346" s="218">
        <f t="shared" si="167"/>
        <v>0</v>
      </c>
      <c r="JY346" s="218">
        <f t="shared" si="167"/>
        <v>0</v>
      </c>
      <c r="JZ346" s="218">
        <f t="shared" si="167"/>
        <v>0</v>
      </c>
      <c r="KA346" s="218">
        <f t="shared" si="167"/>
        <v>0</v>
      </c>
      <c r="KB346" s="219">
        <f t="shared" si="167"/>
        <v>0</v>
      </c>
      <c r="KC346" s="219">
        <f t="shared" si="167"/>
        <v>0</v>
      </c>
      <c r="KD346" s="219">
        <f t="shared" si="167"/>
        <v>0</v>
      </c>
      <c r="KE346" s="219">
        <f t="shared" si="167"/>
        <v>0</v>
      </c>
      <c r="KF346" s="219">
        <f t="shared" si="167"/>
        <v>0</v>
      </c>
      <c r="KG346" s="219">
        <f t="shared" si="167"/>
        <v>0</v>
      </c>
      <c r="KH346" s="219">
        <f t="shared" si="167"/>
        <v>0</v>
      </c>
      <c r="KI346" s="219">
        <f t="shared" si="167"/>
        <v>0</v>
      </c>
      <c r="KJ346" s="219">
        <f t="shared" si="167"/>
        <v>0</v>
      </c>
      <c r="KK346" s="219">
        <f t="shared" si="167"/>
        <v>0</v>
      </c>
      <c r="KL346" s="219">
        <f t="shared" si="167"/>
        <v>0</v>
      </c>
      <c r="KM346" s="219">
        <f t="shared" si="167"/>
        <v>0</v>
      </c>
      <c r="KN346" s="219">
        <f t="shared" si="168"/>
        <v>0</v>
      </c>
      <c r="KO346" s="219">
        <f t="shared" si="168"/>
        <v>0</v>
      </c>
      <c r="KP346" s="219">
        <f t="shared" si="168"/>
        <v>0</v>
      </c>
      <c r="KQ346" s="219">
        <f t="shared" si="168"/>
        <v>0</v>
      </c>
      <c r="KR346" s="218">
        <f t="shared" si="168"/>
        <v>0</v>
      </c>
      <c r="KS346" s="218">
        <f t="shared" si="168"/>
        <v>0</v>
      </c>
      <c r="KT346" s="218">
        <f t="shared" si="168"/>
        <v>0</v>
      </c>
      <c r="KU346" s="218">
        <f t="shared" si="168"/>
        <v>0</v>
      </c>
      <c r="KV346" s="218">
        <f t="shared" si="168"/>
        <v>0</v>
      </c>
      <c r="KW346" s="218">
        <f t="shared" si="168"/>
        <v>0</v>
      </c>
      <c r="KX346" s="218">
        <f t="shared" si="168"/>
        <v>0</v>
      </c>
      <c r="KY346" s="218">
        <f t="shared" si="168"/>
        <v>0</v>
      </c>
      <c r="KZ346" s="218">
        <f t="shared" si="168"/>
        <v>0</v>
      </c>
      <c r="LA346" s="220">
        <f t="shared" si="169"/>
        <v>0</v>
      </c>
      <c r="LB346" s="140"/>
      <c r="LC346" s="177"/>
      <c r="LD346" s="178"/>
      <c r="LE346" s="178"/>
      <c r="LF346" s="178"/>
      <c r="LG346" s="178"/>
      <c r="LH346" s="217">
        <v>0</v>
      </c>
      <c r="LI346" s="218">
        <f t="shared" si="170"/>
        <v>0</v>
      </c>
      <c r="LJ346" s="218">
        <f t="shared" si="170"/>
        <v>0</v>
      </c>
      <c r="LK346" s="218">
        <f t="shared" si="170"/>
        <v>0</v>
      </c>
      <c r="LL346" s="218">
        <f t="shared" si="170"/>
        <v>0</v>
      </c>
      <c r="LM346" s="219">
        <f t="shared" si="170"/>
        <v>0</v>
      </c>
      <c r="LN346" s="219">
        <f t="shared" si="170"/>
        <v>0</v>
      </c>
      <c r="LO346" s="219">
        <f t="shared" si="170"/>
        <v>0</v>
      </c>
      <c r="LP346" s="219">
        <f t="shared" si="170"/>
        <v>0</v>
      </c>
      <c r="LQ346" s="219">
        <f t="shared" si="170"/>
        <v>0</v>
      </c>
      <c r="LR346" s="219">
        <f t="shared" si="170"/>
        <v>0</v>
      </c>
      <c r="LS346" s="219">
        <f t="shared" si="170"/>
        <v>0</v>
      </c>
      <c r="LT346" s="219">
        <f t="shared" si="170"/>
        <v>0</v>
      </c>
      <c r="LU346" s="219">
        <f t="shared" si="170"/>
        <v>0</v>
      </c>
      <c r="LV346" s="219">
        <f t="shared" si="170"/>
        <v>0</v>
      </c>
      <c r="LW346" s="219">
        <f t="shared" si="170"/>
        <v>0</v>
      </c>
      <c r="LX346" s="219">
        <f t="shared" si="170"/>
        <v>0</v>
      </c>
      <c r="LY346" s="219">
        <f t="shared" si="171"/>
        <v>0</v>
      </c>
      <c r="LZ346" s="219">
        <f t="shared" si="171"/>
        <v>0</v>
      </c>
      <c r="MA346" s="219">
        <f t="shared" si="171"/>
        <v>0</v>
      </c>
      <c r="MB346" s="219">
        <f t="shared" si="171"/>
        <v>0</v>
      </c>
      <c r="MC346" s="218">
        <f t="shared" si="171"/>
        <v>0</v>
      </c>
      <c r="MD346" s="218">
        <f t="shared" si="171"/>
        <v>0</v>
      </c>
      <c r="ME346" s="218">
        <f t="shared" si="171"/>
        <v>0</v>
      </c>
      <c r="MF346" s="218">
        <f t="shared" si="171"/>
        <v>0</v>
      </c>
      <c r="MG346" s="218">
        <f t="shared" si="171"/>
        <v>0</v>
      </c>
      <c r="MH346" s="218">
        <f t="shared" si="171"/>
        <v>0</v>
      </c>
      <c r="MI346" s="218">
        <f t="shared" si="171"/>
        <v>0</v>
      </c>
      <c r="MJ346" s="218">
        <f t="shared" si="171"/>
        <v>0</v>
      </c>
      <c r="MK346" s="218">
        <f t="shared" si="171"/>
        <v>0</v>
      </c>
      <c r="ML346" s="220">
        <f t="shared" si="172"/>
        <v>0</v>
      </c>
    </row>
    <row r="347" spans="3:350" s="4" customFormat="1" ht="18" customHeight="1" x14ac:dyDescent="0.3">
      <c r="C347" s="148" t="s">
        <v>106</v>
      </c>
      <c r="D347" s="132"/>
      <c r="E347" s="149" t="s">
        <v>123</v>
      </c>
      <c r="F347" s="134"/>
      <c r="H347" s="221"/>
      <c r="I347" s="222"/>
      <c r="J347" s="222"/>
      <c r="K347" s="222"/>
      <c r="L347" s="222"/>
      <c r="M347" s="223"/>
      <c r="N347" s="224"/>
      <c r="O347" s="224"/>
      <c r="P347" s="224"/>
      <c r="Q347" s="224"/>
      <c r="R347" s="140"/>
      <c r="S347" s="180"/>
      <c r="T347" s="181"/>
      <c r="U347" s="181"/>
      <c r="V347" s="181"/>
      <c r="W347" s="181"/>
      <c r="X347" s="225">
        <v>0.03</v>
      </c>
      <c r="Y347" s="226">
        <f t="shared" ref="Y347:BA347" si="173">$X347+($BB347-$X347)*(Y$1-$X$1)/($BB$1-$X$1)</f>
        <v>6.066666666666666E-2</v>
      </c>
      <c r="Z347" s="226">
        <f t="shared" si="173"/>
        <v>9.1333333333333322E-2</v>
      </c>
      <c r="AA347" s="226">
        <f t="shared" si="173"/>
        <v>0.122</v>
      </c>
      <c r="AB347" s="226">
        <f t="shared" si="173"/>
        <v>0.15266666666666667</v>
      </c>
      <c r="AC347" s="226">
        <f t="shared" si="173"/>
        <v>0.18333333333333332</v>
      </c>
      <c r="AD347" s="226">
        <f t="shared" si="173"/>
        <v>0.214</v>
      </c>
      <c r="AE347" s="226">
        <f t="shared" si="173"/>
        <v>0.24466666666666664</v>
      </c>
      <c r="AF347" s="226">
        <f t="shared" si="173"/>
        <v>0.27533333333333332</v>
      </c>
      <c r="AG347" s="226">
        <f t="shared" si="173"/>
        <v>0.30599999999999994</v>
      </c>
      <c r="AH347" s="226">
        <f t="shared" si="173"/>
        <v>0.33666666666666667</v>
      </c>
      <c r="AI347" s="226">
        <f t="shared" si="173"/>
        <v>0.36733333333333329</v>
      </c>
      <c r="AJ347" s="226">
        <f t="shared" si="173"/>
        <v>0.39800000000000002</v>
      </c>
      <c r="AK347" s="226">
        <f t="shared" si="173"/>
        <v>0.42866666666666664</v>
      </c>
      <c r="AL347" s="226">
        <f t="shared" si="173"/>
        <v>0.45933333333333326</v>
      </c>
      <c r="AM347" s="226">
        <f t="shared" si="173"/>
        <v>0.49</v>
      </c>
      <c r="AN347" s="226">
        <f t="shared" si="173"/>
        <v>0.52066666666666661</v>
      </c>
      <c r="AO347" s="226">
        <f t="shared" si="173"/>
        <v>0.55133333333333334</v>
      </c>
      <c r="AP347" s="226">
        <f t="shared" si="173"/>
        <v>0.58199999999999996</v>
      </c>
      <c r="AQ347" s="226">
        <f t="shared" si="173"/>
        <v>0.61266666666666658</v>
      </c>
      <c r="AR347" s="226">
        <f t="shared" si="173"/>
        <v>0.64333333333333331</v>
      </c>
      <c r="AS347" s="226">
        <f t="shared" si="173"/>
        <v>0.67400000000000004</v>
      </c>
      <c r="AT347" s="226">
        <f t="shared" si="173"/>
        <v>0.70466666666666666</v>
      </c>
      <c r="AU347" s="226">
        <f t="shared" si="173"/>
        <v>0.73533333333333328</v>
      </c>
      <c r="AV347" s="226">
        <f t="shared" si="173"/>
        <v>0.76600000000000001</v>
      </c>
      <c r="AW347" s="226">
        <f t="shared" si="173"/>
        <v>0.79666666666666675</v>
      </c>
      <c r="AX347" s="226">
        <f t="shared" si="173"/>
        <v>0.82733333333333325</v>
      </c>
      <c r="AY347" s="226">
        <f t="shared" si="173"/>
        <v>0.85799999999999987</v>
      </c>
      <c r="AZ347" s="226">
        <f t="shared" si="173"/>
        <v>0.8886666666666666</v>
      </c>
      <c r="BA347" s="226">
        <f t="shared" si="173"/>
        <v>0.91933333333333334</v>
      </c>
      <c r="BB347" s="227">
        <v>0.95</v>
      </c>
      <c r="BC347" s="140"/>
      <c r="BD347" s="153"/>
      <c r="BE347" s="154"/>
      <c r="BF347" s="154"/>
      <c r="BG347" s="154"/>
      <c r="BH347" s="154"/>
      <c r="BI347" s="226">
        <f t="shared" ref="BI347:CM347" si="174">SUMPRODUCT(BI188:BI195,BI339:BI346)/BI196</f>
        <v>0</v>
      </c>
      <c r="BJ347" s="226">
        <f t="shared" si="174"/>
        <v>1.6989733200392508E-2</v>
      </c>
      <c r="BK347" s="226">
        <f t="shared" si="174"/>
        <v>3.39965793674901E-2</v>
      </c>
      <c r="BL347" s="226">
        <f t="shared" si="174"/>
        <v>5.10208554708967E-2</v>
      </c>
      <c r="BM347" s="226">
        <f t="shared" si="174"/>
        <v>6.8062886356808031E-2</v>
      </c>
      <c r="BN347" s="226">
        <f t="shared" si="174"/>
        <v>8.5123004994204512E-2</v>
      </c>
      <c r="BO347" s="226">
        <f t="shared" si="174"/>
        <v>0.10220155273033624</v>
      </c>
      <c r="BP347" s="226">
        <f t="shared" si="174"/>
        <v>0.1192988795559122</v>
      </c>
      <c r="BQ347" s="226">
        <f t="shared" si="174"/>
        <v>0.13641534438042566</v>
      </c>
      <c r="BR347" s="226">
        <f t="shared" si="174"/>
        <v>0.15355131531807178</v>
      </c>
      <c r="BS347" s="226">
        <f t="shared" si="174"/>
        <v>0.17070716998473467</v>
      </c>
      <c r="BT347" s="226">
        <f t="shared" si="174"/>
        <v>0.18785352515310777</v>
      </c>
      <c r="BU347" s="226">
        <f t="shared" si="174"/>
        <v>0.20501399555970801</v>
      </c>
      <c r="BV347" s="226">
        <f t="shared" si="174"/>
        <v>0.22218867451393765</v>
      </c>
      <c r="BW347" s="226">
        <f t="shared" si="174"/>
        <v>0.23937765614944936</v>
      </c>
      <c r="BX347" s="226">
        <f t="shared" si="174"/>
        <v>0.25658103543326838</v>
      </c>
      <c r="BY347" s="226">
        <f t="shared" si="174"/>
        <v>0.27379890817503472</v>
      </c>
      <c r="BZ347" s="226">
        <f t="shared" si="174"/>
        <v>0.29103137103636967</v>
      </c>
      <c r="CA347" s="226">
        <f t="shared" si="174"/>
        <v>0.30827852154036722</v>
      </c>
      <c r="CB347" s="226">
        <f t="shared" si="174"/>
        <v>0.32554045808121224</v>
      </c>
      <c r="CC347" s="226">
        <f t="shared" si="174"/>
        <v>0.34281727993392808</v>
      </c>
      <c r="CD347" s="226">
        <f t="shared" si="174"/>
        <v>0.36010908726425617</v>
      </c>
      <c r="CE347" s="226">
        <f t="shared" si="174"/>
        <v>0.37741598113866703</v>
      </c>
      <c r="CF347" s="226">
        <f t="shared" si="174"/>
        <v>0.39473806353450869</v>
      </c>
      <c r="CG347" s="226">
        <f t="shared" si="174"/>
        <v>0.41207543735029095</v>
      </c>
      <c r="CH347" s="226">
        <f t="shared" si="174"/>
        <v>0.42942820641611029</v>
      </c>
      <c r="CI347" s="226">
        <f t="shared" si="174"/>
        <v>0.44679647550421675</v>
      </c>
      <c r="CJ347" s="226">
        <f t="shared" si="174"/>
        <v>0.46418035033972377</v>
      </c>
      <c r="CK347" s="226">
        <f t="shared" si="174"/>
        <v>0.48157993761146578</v>
      </c>
      <c r="CL347" s="226">
        <f t="shared" si="174"/>
        <v>0.4989953449830043</v>
      </c>
      <c r="CM347" s="228">
        <f t="shared" si="174"/>
        <v>0.51642668110378454</v>
      </c>
      <c r="CN347" s="140"/>
      <c r="CO347" s="153"/>
      <c r="CP347" s="154"/>
      <c r="CQ347" s="154"/>
      <c r="CR347" s="154"/>
      <c r="CS347" s="154"/>
      <c r="CT347" s="226">
        <f t="shared" ref="CT347:DX347" si="175">SUMPRODUCT(CT188:CT195,CT339:CT346)/CT196</f>
        <v>0</v>
      </c>
      <c r="CU347" s="226">
        <f t="shared" si="175"/>
        <v>2.6672402466781629E-2</v>
      </c>
      <c r="CV347" s="226">
        <f t="shared" si="175"/>
        <v>5.3333812344378791E-2</v>
      </c>
      <c r="CW347" s="226">
        <f t="shared" si="175"/>
        <v>7.9983823490129488E-2</v>
      </c>
      <c r="CX347" s="226">
        <f t="shared" si="175"/>
        <v>0.10662200950424763</v>
      </c>
      <c r="CY347" s="226">
        <f t="shared" si="175"/>
        <v>0.13324792245092379</v>
      </c>
      <c r="CZ347" s="226">
        <f t="shared" si="175"/>
        <v>0.1598610914812976</v>
      </c>
      <c r="DA347" s="226">
        <f t="shared" si="175"/>
        <v>0.18646102134940332</v>
      </c>
      <c r="DB347" s="226">
        <f t="shared" si="175"/>
        <v>0.21304719081125811</v>
      </c>
      <c r="DC347" s="226">
        <f t="shared" si="175"/>
        <v>0.2396190508962121</v>
      </c>
      <c r="DD347" s="226">
        <f t="shared" si="175"/>
        <v>0.26617602303851218</v>
      </c>
      <c r="DE347" s="226">
        <f t="shared" si="175"/>
        <v>0.29269280980005624</v>
      </c>
      <c r="DF347" s="226">
        <f t="shared" si="175"/>
        <v>0.31918926597193781</v>
      </c>
      <c r="DG347" s="226">
        <f t="shared" si="175"/>
        <v>0.34566483175831719</v>
      </c>
      <c r="DH347" s="226">
        <f t="shared" si="175"/>
        <v>0.37211892662126317</v>
      </c>
      <c r="DI347" s="226">
        <f t="shared" si="175"/>
        <v>0.39855094831107546</v>
      </c>
      <c r="DJ347" s="226">
        <f t="shared" si="175"/>
        <v>0.42496027184169644</v>
      </c>
      <c r="DK347" s="226">
        <f t="shared" si="175"/>
        <v>0.45134624840754883</v>
      </c>
      <c r="DL347" s="226">
        <f t="shared" si="175"/>
        <v>0.47770820423785459</v>
      </c>
      <c r="DM347" s="226">
        <f t="shared" si="175"/>
        <v>0.50404543938418678</v>
      </c>
      <c r="DN347" s="226">
        <f t="shared" si="175"/>
        <v>0.53035722643666638</v>
      </c>
      <c r="DO347" s="226">
        <f t="shared" si="175"/>
        <v>0.55664280916386022</v>
      </c>
      <c r="DP347" s="226">
        <f t="shared" si="175"/>
        <v>0.58290140107103394</v>
      </c>
      <c r="DQ347" s="226">
        <f t="shared" si="175"/>
        <v>0.60913218387098589</v>
      </c>
      <c r="DR347" s="226">
        <f t="shared" si="175"/>
        <v>0.63533430586121342</v>
      </c>
      <c r="DS347" s="226">
        <f t="shared" si="175"/>
        <v>0.66150688020065129</v>
      </c>
      <c r="DT347" s="226">
        <f t="shared" si="175"/>
        <v>0.68764898307865197</v>
      </c>
      <c r="DU347" s="226">
        <f t="shared" si="175"/>
        <v>0.71375965176826828</v>
      </c>
      <c r="DV347" s="226">
        <f t="shared" si="175"/>
        <v>0.73983788255521388</v>
      </c>
      <c r="DW347" s="226">
        <f t="shared" si="175"/>
        <v>0.76588262853314404</v>
      </c>
      <c r="DX347" s="228">
        <f t="shared" si="175"/>
        <v>0.79189279725507566</v>
      </c>
      <c r="DY347" s="140"/>
      <c r="DZ347" s="153"/>
      <c r="EA347" s="154"/>
      <c r="EB347" s="154"/>
      <c r="EC347" s="154"/>
      <c r="ED347" s="154"/>
      <c r="EE347" s="226">
        <f t="shared" ref="EE347:FI347" si="176">SUMPRODUCT(EE188:EE195,EE339:EE346)/EE196</f>
        <v>0</v>
      </c>
      <c r="EF347" s="226">
        <f t="shared" si="176"/>
        <v>2.3643780375998742E-2</v>
      </c>
      <c r="EG347" s="226">
        <f t="shared" si="176"/>
        <v>4.7279024498932676E-2</v>
      </c>
      <c r="EH347" s="226">
        <f t="shared" si="176"/>
        <v>7.0905416980271835E-2</v>
      </c>
      <c r="EI347" s="226">
        <f t="shared" si="176"/>
        <v>9.4522626700894147E-2</v>
      </c>
      <c r="EJ347" s="226">
        <f t="shared" si="176"/>
        <v>0.1181303058179609</v>
      </c>
      <c r="EK347" s="226">
        <f t="shared" si="176"/>
        <v>0.14172808869559136</v>
      </c>
      <c r="EL347" s="226">
        <f t="shared" si="176"/>
        <v>0.16531559075242619</v>
      </c>
      <c r="EM347" s="226">
        <f t="shared" si="176"/>
        <v>0.18889240721844505</v>
      </c>
      <c r="EN347" s="226">
        <f t="shared" si="176"/>
        <v>0.21245811179259066</v>
      </c>
      <c r="EO347" s="226">
        <f t="shared" si="176"/>
        <v>0.23601225519184155</v>
      </c>
      <c r="EP347" s="226">
        <f t="shared" si="176"/>
        <v>0.25953003604576463</v>
      </c>
      <c r="EQ347" s="226">
        <f t="shared" si="176"/>
        <v>0.28303098934304199</v>
      </c>
      <c r="ER347" s="226">
        <f t="shared" si="176"/>
        <v>0.30651465174265113</v>
      </c>
      <c r="ES347" s="226">
        <f t="shared" si="176"/>
        <v>0.32998054273541416</v>
      </c>
      <c r="ET347" s="226">
        <f t="shared" si="176"/>
        <v>0.35342816384139941</v>
      </c>
      <c r="EU347" s="226">
        <f t="shared" si="176"/>
        <v>0.37685699776187331</v>
      </c>
      <c r="EV347" s="226">
        <f t="shared" si="176"/>
        <v>0.40026650748277037</v>
      </c>
      <c r="EW347" s="226">
        <f t="shared" si="176"/>
        <v>0.42365613532641783</v>
      </c>
      <c r="EX347" s="226">
        <f t="shared" si="176"/>
        <v>0.44702530194799583</v>
      </c>
      <c r="EY347" s="226">
        <f t="shared" si="176"/>
        <v>0.47037340527293853</v>
      </c>
      <c r="EZ347" s="226">
        <f t="shared" si="176"/>
        <v>0.49369981937118257</v>
      </c>
      <c r="FA347" s="226">
        <f t="shared" si="176"/>
        <v>0.51700389326383756</v>
      </c>
      <c r="FB347" s="226">
        <f t="shared" si="176"/>
        <v>0.54028494965750162</v>
      </c>
      <c r="FC347" s="226">
        <f t="shared" si="176"/>
        <v>0.56354228360104719</v>
      </c>
      <c r="FD347" s="226">
        <f t="shared" si="176"/>
        <v>0.58677516105928307</v>
      </c>
      <c r="FE347" s="226">
        <f t="shared" si="176"/>
        <v>0.60998281739742755</v>
      </c>
      <c r="FF347" s="226">
        <f t="shared" si="176"/>
        <v>0.63316445576981517</v>
      </c>
      <c r="FG347" s="226">
        <f t="shared" si="176"/>
        <v>0.65631924540570652</v>
      </c>
      <c r="FH347" s="226">
        <f t="shared" si="176"/>
        <v>0.67944631978444925</v>
      </c>
      <c r="FI347" s="228">
        <f t="shared" si="176"/>
        <v>0.70254477469156673</v>
      </c>
      <c r="FJ347" s="140"/>
      <c r="FK347" s="153"/>
      <c r="FL347" s="154"/>
      <c r="FM347" s="154"/>
      <c r="FN347" s="154"/>
      <c r="FO347" s="154"/>
      <c r="FP347" s="226">
        <f t="shared" ref="FP347:GT347" si="177">SUMPRODUCT(FP188:FP195,FP339:FP346)/FP196</f>
        <v>0</v>
      </c>
      <c r="FQ347" s="226">
        <f t="shared" si="177"/>
        <v>2.3473086895498128E-2</v>
      </c>
      <c r="FR347" s="226">
        <f t="shared" si="177"/>
        <v>4.6947840500571381E-2</v>
      </c>
      <c r="FS347" s="226">
        <f t="shared" si="177"/>
        <v>7.0424298673972291E-2</v>
      </c>
      <c r="FT347" s="226">
        <f t="shared" si="177"/>
        <v>9.3902500429799751E-2</v>
      </c>
      <c r="FU347" s="226">
        <f t="shared" si="177"/>
        <v>0.11738248598191039</v>
      </c>
      <c r="FV347" s="226">
        <f t="shared" si="177"/>
        <v>0.14086429679039444</v>
      </c>
      <c r="FW347" s="226">
        <f t="shared" si="177"/>
        <v>0.16434797561022879</v>
      </c>
      <c r="FX347" s="226">
        <f t="shared" si="177"/>
        <v>0.18783356654222758</v>
      </c>
      <c r="FY347" s="226">
        <f t="shared" si="177"/>
        <v>0.21132111508641716</v>
      </c>
      <c r="FZ347" s="226">
        <f t="shared" si="177"/>
        <v>0.23481066819797211</v>
      </c>
      <c r="GA347" s="226">
        <f t="shared" si="177"/>
        <v>0.25828468048275538</v>
      </c>
      <c r="GB347" s="226">
        <f t="shared" si="177"/>
        <v>0.28175735322531253</v>
      </c>
      <c r="GC347" s="226">
        <f t="shared" si="177"/>
        <v>0.30522867151461536</v>
      </c>
      <c r="GD347" s="226">
        <f t="shared" si="177"/>
        <v>0.32869862021750301</v>
      </c>
      <c r="GE347" s="226">
        <f t="shared" si="177"/>
        <v>0.35216718397453073</v>
      </c>
      <c r="GF347" s="226">
        <f t="shared" si="177"/>
        <v>0.37563434719572358</v>
      </c>
      <c r="GG347" s="226">
        <f t="shared" si="177"/>
        <v>0.39910009405623592</v>
      </c>
      <c r="GH347" s="226">
        <f t="shared" si="177"/>
        <v>0.42256440849191129</v>
      </c>
      <c r="GI347" s="226">
        <f t="shared" si="177"/>
        <v>0.44602727419474164</v>
      </c>
      <c r="GJ347" s="226">
        <f t="shared" si="177"/>
        <v>0.4694886746082223</v>
      </c>
      <c r="GK347" s="226">
        <f t="shared" si="177"/>
        <v>0.49294859292260101</v>
      </c>
      <c r="GL347" s="226">
        <f t="shared" si="177"/>
        <v>0.51640701207001805</v>
      </c>
      <c r="GM347" s="226">
        <f t="shared" si="177"/>
        <v>0.5398639147195311</v>
      </c>
      <c r="GN347" s="226">
        <f t="shared" si="177"/>
        <v>0.56331928327202885</v>
      </c>
      <c r="GO347" s="226">
        <f t="shared" si="177"/>
        <v>0.58677309985502357</v>
      </c>
      <c r="GP347" s="226">
        <f t="shared" si="177"/>
        <v>0.61022534631732084</v>
      </c>
      <c r="GQ347" s="226">
        <f t="shared" si="177"/>
        <v>0.63367600422356773</v>
      </c>
      <c r="GR347" s="226">
        <f t="shared" si="177"/>
        <v>0.65712505484866801</v>
      </c>
      <c r="GS347" s="226">
        <f t="shared" si="177"/>
        <v>0.68057247917206942</v>
      </c>
      <c r="GT347" s="228">
        <f t="shared" si="177"/>
        <v>0.70401825787191252</v>
      </c>
      <c r="GU347" s="140"/>
      <c r="GV347" s="153"/>
      <c r="GW347" s="154"/>
      <c r="GX347" s="154"/>
      <c r="GY347" s="154"/>
      <c r="GZ347" s="154"/>
      <c r="HA347" s="226">
        <f t="shared" ref="HA347:IE347" si="178">SUMPRODUCT(HA188:HA195,HA339:HA346)/HA196</f>
        <v>0</v>
      </c>
      <c r="HB347" s="226">
        <f t="shared" si="178"/>
        <v>2.0212265932114889E-2</v>
      </c>
      <c r="HC347" s="226">
        <f t="shared" si="178"/>
        <v>4.0440422597834952E-2</v>
      </c>
      <c r="HD347" s="226">
        <f t="shared" si="178"/>
        <v>6.0684764328331607E-2</v>
      </c>
      <c r="HE347" s="226">
        <f t="shared" si="178"/>
        <v>8.0945592768810387E-2</v>
      </c>
      <c r="HF347" s="226">
        <f t="shared" si="178"/>
        <v>0.10122321710712034</v>
      </c>
      <c r="HG347" s="226">
        <f t="shared" si="178"/>
        <v>0.12151795431099197</v>
      </c>
      <c r="HH347" s="226">
        <f t="shared" si="178"/>
        <v>0.14183012937428613</v>
      </c>
      <c r="HI347" s="226">
        <f t="shared" si="178"/>
        <v>0.16216007557265541</v>
      </c>
      <c r="HJ347" s="226">
        <f t="shared" si="178"/>
        <v>0.18250813472904096</v>
      </c>
      <c r="HK347" s="226">
        <f t="shared" si="178"/>
        <v>0.20287465748944847</v>
      </c>
      <c r="HL347" s="226">
        <f t="shared" si="178"/>
        <v>0.22323479945727273</v>
      </c>
      <c r="HM347" s="226">
        <f t="shared" si="178"/>
        <v>0.24360850391800618</v>
      </c>
      <c r="HN347" s="226">
        <f t="shared" si="178"/>
        <v>0.26399586052710389</v>
      </c>
      <c r="HO347" s="226">
        <f t="shared" si="178"/>
        <v>0.28439695973199425</v>
      </c>
      <c r="HP347" s="226">
        <f t="shared" si="178"/>
        <v>0.30481189278084353</v>
      </c>
      <c r="HQ347" s="226">
        <f t="shared" si="178"/>
        <v>0.32524075173143635</v>
      </c>
      <c r="HR347" s="226">
        <f t="shared" si="178"/>
        <v>0.34568362946017606</v>
      </c>
      <c r="HS347" s="226">
        <f t="shared" si="178"/>
        <v>0.36614061967120326</v>
      </c>
      <c r="HT347" s="226">
        <f t="shared" si="178"/>
        <v>0.38661181690563812</v>
      </c>
      <c r="HU347" s="226">
        <f t="shared" si="178"/>
        <v>0.40709731655094639</v>
      </c>
      <c r="HV347" s="226">
        <f t="shared" si="178"/>
        <v>0.42759721485043173</v>
      </c>
      <c r="HW347" s="226">
        <f t="shared" si="178"/>
        <v>0.44811160891285451</v>
      </c>
      <c r="HX347" s="226">
        <f t="shared" si="178"/>
        <v>0.46864059672218333</v>
      </c>
      <c r="HY347" s="226">
        <f t="shared" si="178"/>
        <v>0.48918427714747648</v>
      </c>
      <c r="HZ347" s="226">
        <f t="shared" si="178"/>
        <v>0.50974274995289848</v>
      </c>
      <c r="IA347" s="226">
        <f t="shared" si="178"/>
        <v>0.53031611580787297</v>
      </c>
      <c r="IB347" s="226">
        <f t="shared" si="178"/>
        <v>0.55090447629737327</v>
      </c>
      <c r="IC347" s="226">
        <f t="shared" si="178"/>
        <v>0.57150793393235544</v>
      </c>
      <c r="ID347" s="226">
        <f t="shared" si="178"/>
        <v>0.59212659216033214</v>
      </c>
      <c r="IE347" s="228">
        <f t="shared" si="178"/>
        <v>0.61276055537609375</v>
      </c>
      <c r="IF347" s="140"/>
      <c r="IG347" s="153"/>
      <c r="IH347" s="154"/>
      <c r="II347" s="154"/>
      <c r="IJ347" s="154"/>
      <c r="IK347" s="154"/>
      <c r="IL347" s="226">
        <f t="shared" ref="IL347:JP347" si="179">SUMPRODUCT(IL188:IL195,IL339:IL346)/IL196</f>
        <v>0</v>
      </c>
      <c r="IM347" s="226">
        <f t="shared" si="179"/>
        <v>0</v>
      </c>
      <c r="IN347" s="226">
        <f t="shared" si="179"/>
        <v>0</v>
      </c>
      <c r="IO347" s="226">
        <f t="shared" si="179"/>
        <v>0</v>
      </c>
      <c r="IP347" s="226">
        <f t="shared" si="179"/>
        <v>0</v>
      </c>
      <c r="IQ347" s="226">
        <f t="shared" si="179"/>
        <v>0</v>
      </c>
      <c r="IR347" s="226">
        <f t="shared" si="179"/>
        <v>0</v>
      </c>
      <c r="IS347" s="226">
        <f t="shared" si="179"/>
        <v>0</v>
      </c>
      <c r="IT347" s="226">
        <f t="shared" si="179"/>
        <v>0</v>
      </c>
      <c r="IU347" s="226">
        <f t="shared" si="179"/>
        <v>0</v>
      </c>
      <c r="IV347" s="226">
        <f t="shared" si="179"/>
        <v>0</v>
      </c>
      <c r="IW347" s="226">
        <f t="shared" si="179"/>
        <v>0</v>
      </c>
      <c r="IX347" s="226">
        <f t="shared" si="179"/>
        <v>0</v>
      </c>
      <c r="IY347" s="226">
        <f t="shared" si="179"/>
        <v>0</v>
      </c>
      <c r="IZ347" s="226">
        <f t="shared" si="179"/>
        <v>0</v>
      </c>
      <c r="JA347" s="226">
        <f t="shared" si="179"/>
        <v>0</v>
      </c>
      <c r="JB347" s="226">
        <f t="shared" si="179"/>
        <v>0</v>
      </c>
      <c r="JC347" s="226">
        <f t="shared" si="179"/>
        <v>0</v>
      </c>
      <c r="JD347" s="226">
        <f t="shared" si="179"/>
        <v>0</v>
      </c>
      <c r="JE347" s="226">
        <f t="shared" si="179"/>
        <v>0</v>
      </c>
      <c r="JF347" s="226">
        <f t="shared" si="179"/>
        <v>0</v>
      </c>
      <c r="JG347" s="226">
        <f t="shared" si="179"/>
        <v>0</v>
      </c>
      <c r="JH347" s="226">
        <f t="shared" si="179"/>
        <v>0</v>
      </c>
      <c r="JI347" s="226">
        <f t="shared" si="179"/>
        <v>0</v>
      </c>
      <c r="JJ347" s="226">
        <f t="shared" si="179"/>
        <v>0</v>
      </c>
      <c r="JK347" s="226">
        <f t="shared" si="179"/>
        <v>0</v>
      </c>
      <c r="JL347" s="226">
        <f t="shared" si="179"/>
        <v>0</v>
      </c>
      <c r="JM347" s="226">
        <f t="shared" si="179"/>
        <v>0</v>
      </c>
      <c r="JN347" s="226">
        <f t="shared" si="179"/>
        <v>0</v>
      </c>
      <c r="JO347" s="226">
        <f t="shared" si="179"/>
        <v>0</v>
      </c>
      <c r="JP347" s="228">
        <f t="shared" si="179"/>
        <v>0</v>
      </c>
      <c r="JQ347" s="140"/>
      <c r="JR347" s="153"/>
      <c r="JS347" s="154"/>
      <c r="JT347" s="154"/>
      <c r="JU347" s="154"/>
      <c r="JV347" s="154"/>
      <c r="JW347" s="226">
        <f t="shared" ref="JW347:LA347" si="180">SUMPRODUCT(JW188:JW195,JW339:JW346)/JW196</f>
        <v>0</v>
      </c>
      <c r="JX347" s="226">
        <f t="shared" si="180"/>
        <v>0</v>
      </c>
      <c r="JY347" s="226">
        <f t="shared" si="180"/>
        <v>0</v>
      </c>
      <c r="JZ347" s="226">
        <f t="shared" si="180"/>
        <v>0</v>
      </c>
      <c r="KA347" s="226">
        <f t="shared" si="180"/>
        <v>0</v>
      </c>
      <c r="KB347" s="226">
        <f t="shared" si="180"/>
        <v>0</v>
      </c>
      <c r="KC347" s="226">
        <f t="shared" si="180"/>
        <v>0</v>
      </c>
      <c r="KD347" s="226">
        <f t="shared" si="180"/>
        <v>0</v>
      </c>
      <c r="KE347" s="226">
        <f t="shared" si="180"/>
        <v>0</v>
      </c>
      <c r="KF347" s="226">
        <f t="shared" si="180"/>
        <v>0</v>
      </c>
      <c r="KG347" s="226">
        <f t="shared" si="180"/>
        <v>0</v>
      </c>
      <c r="KH347" s="226">
        <f t="shared" si="180"/>
        <v>0</v>
      </c>
      <c r="KI347" s="226">
        <f t="shared" si="180"/>
        <v>0</v>
      </c>
      <c r="KJ347" s="226">
        <f t="shared" si="180"/>
        <v>0</v>
      </c>
      <c r="KK347" s="226">
        <f t="shared" si="180"/>
        <v>0</v>
      </c>
      <c r="KL347" s="226">
        <f t="shared" si="180"/>
        <v>0</v>
      </c>
      <c r="KM347" s="226">
        <f t="shared" si="180"/>
        <v>0</v>
      </c>
      <c r="KN347" s="226">
        <f t="shared" si="180"/>
        <v>0</v>
      </c>
      <c r="KO347" s="226">
        <f t="shared" si="180"/>
        <v>0</v>
      </c>
      <c r="KP347" s="226">
        <f t="shared" si="180"/>
        <v>0</v>
      </c>
      <c r="KQ347" s="226">
        <f t="shared" si="180"/>
        <v>0</v>
      </c>
      <c r="KR347" s="226">
        <f t="shared" si="180"/>
        <v>0</v>
      </c>
      <c r="KS347" s="226">
        <f t="shared" si="180"/>
        <v>0</v>
      </c>
      <c r="KT347" s="226">
        <f t="shared" si="180"/>
        <v>0</v>
      </c>
      <c r="KU347" s="226">
        <f t="shared" si="180"/>
        <v>0</v>
      </c>
      <c r="KV347" s="226">
        <f t="shared" si="180"/>
        <v>0</v>
      </c>
      <c r="KW347" s="226">
        <f t="shared" si="180"/>
        <v>0</v>
      </c>
      <c r="KX347" s="226">
        <f t="shared" si="180"/>
        <v>0</v>
      </c>
      <c r="KY347" s="226">
        <f t="shared" si="180"/>
        <v>0</v>
      </c>
      <c r="KZ347" s="226">
        <f t="shared" si="180"/>
        <v>0</v>
      </c>
      <c r="LA347" s="228">
        <f t="shared" si="180"/>
        <v>0</v>
      </c>
      <c r="LB347" s="140"/>
      <c r="LC347" s="153"/>
      <c r="LD347" s="154"/>
      <c r="LE347" s="154"/>
      <c r="LF347" s="154"/>
      <c r="LG347" s="154"/>
      <c r="LH347" s="226">
        <f t="shared" ref="LH347:ML347" si="181">SUMPRODUCT(LH188:LH195,LH339:LH346)/LH196</f>
        <v>0</v>
      </c>
      <c r="LI347" s="226">
        <f t="shared" si="181"/>
        <v>0</v>
      </c>
      <c r="LJ347" s="226">
        <f t="shared" si="181"/>
        <v>0</v>
      </c>
      <c r="LK347" s="226">
        <f t="shared" si="181"/>
        <v>0</v>
      </c>
      <c r="LL347" s="226">
        <f t="shared" si="181"/>
        <v>0</v>
      </c>
      <c r="LM347" s="226">
        <f t="shared" si="181"/>
        <v>0</v>
      </c>
      <c r="LN347" s="226">
        <f t="shared" si="181"/>
        <v>0</v>
      </c>
      <c r="LO347" s="226">
        <f t="shared" si="181"/>
        <v>0</v>
      </c>
      <c r="LP347" s="226">
        <f t="shared" si="181"/>
        <v>0</v>
      </c>
      <c r="LQ347" s="226">
        <f t="shared" si="181"/>
        <v>0</v>
      </c>
      <c r="LR347" s="226">
        <f t="shared" si="181"/>
        <v>0</v>
      </c>
      <c r="LS347" s="226">
        <f t="shared" si="181"/>
        <v>0</v>
      </c>
      <c r="LT347" s="226">
        <f t="shared" si="181"/>
        <v>0</v>
      </c>
      <c r="LU347" s="226">
        <f t="shared" si="181"/>
        <v>0</v>
      </c>
      <c r="LV347" s="226">
        <f t="shared" si="181"/>
        <v>0</v>
      </c>
      <c r="LW347" s="226">
        <f t="shared" si="181"/>
        <v>0</v>
      </c>
      <c r="LX347" s="226">
        <f t="shared" si="181"/>
        <v>0</v>
      </c>
      <c r="LY347" s="226">
        <f t="shared" si="181"/>
        <v>0</v>
      </c>
      <c r="LZ347" s="226">
        <f t="shared" si="181"/>
        <v>0</v>
      </c>
      <c r="MA347" s="226">
        <f t="shared" si="181"/>
        <v>0</v>
      </c>
      <c r="MB347" s="226">
        <f t="shared" si="181"/>
        <v>0</v>
      </c>
      <c r="MC347" s="226">
        <f t="shared" si="181"/>
        <v>0</v>
      </c>
      <c r="MD347" s="226">
        <f t="shared" si="181"/>
        <v>0</v>
      </c>
      <c r="ME347" s="226">
        <f t="shared" si="181"/>
        <v>0</v>
      </c>
      <c r="MF347" s="226">
        <f t="shared" si="181"/>
        <v>0</v>
      </c>
      <c r="MG347" s="226">
        <f t="shared" si="181"/>
        <v>0</v>
      </c>
      <c r="MH347" s="226">
        <f t="shared" si="181"/>
        <v>0</v>
      </c>
      <c r="MI347" s="226">
        <f t="shared" si="181"/>
        <v>0</v>
      </c>
      <c r="MJ347" s="226">
        <f t="shared" si="181"/>
        <v>0</v>
      </c>
      <c r="MK347" s="226">
        <f t="shared" si="181"/>
        <v>0</v>
      </c>
      <c r="ML347" s="228">
        <f t="shared" si="181"/>
        <v>0</v>
      </c>
    </row>
    <row r="349" spans="3:350" x14ac:dyDescent="0.3">
      <c r="C349" s="197" t="s">
        <v>109</v>
      </c>
      <c r="D349" s="69" t="s">
        <v>191</v>
      </c>
    </row>
    <row r="350" spans="3:350" x14ac:dyDescent="0.3">
      <c r="C350" s="197"/>
      <c r="D350" s="69" t="s">
        <v>192</v>
      </c>
    </row>
    <row r="351" spans="3:350" x14ac:dyDescent="0.3">
      <c r="C351" s="197"/>
      <c r="D351" s="216" t="s">
        <v>193</v>
      </c>
    </row>
    <row r="352" spans="3:350" x14ac:dyDescent="0.3">
      <c r="C352" s="197"/>
      <c r="D352" s="69" t="s">
        <v>194</v>
      </c>
    </row>
    <row r="353" spans="3:54" x14ac:dyDescent="0.3">
      <c r="C353" s="197"/>
      <c r="D353" s="216" t="s">
        <v>195</v>
      </c>
    </row>
    <row r="354" spans="3:54" x14ac:dyDescent="0.3">
      <c r="C354" s="197"/>
    </row>
    <row r="355" spans="3:54" x14ac:dyDescent="0.3">
      <c r="C355" s="69" t="s">
        <v>111</v>
      </c>
      <c r="D355" s="69" t="s">
        <v>196</v>
      </c>
    </row>
    <row r="357" spans="3:54" x14ac:dyDescent="0.3">
      <c r="C357" s="69" t="s">
        <v>6</v>
      </c>
      <c r="D357" s="69" t="s">
        <v>197</v>
      </c>
    </row>
    <row r="358" spans="3:54" x14ac:dyDescent="0.3">
      <c r="C358" s="69" t="s">
        <v>7</v>
      </c>
      <c r="D358" s="69" t="s">
        <v>198</v>
      </c>
    </row>
    <row r="359" spans="3:54" x14ac:dyDescent="0.3">
      <c r="C359" s="69"/>
      <c r="D359" s="69" t="s">
        <v>199</v>
      </c>
    </row>
    <row r="360" spans="3:54" x14ac:dyDescent="0.3">
      <c r="C360" s="69" t="s">
        <v>8</v>
      </c>
      <c r="D360" s="69" t="s">
        <v>200</v>
      </c>
    </row>
    <row r="361" spans="3:54" x14ac:dyDescent="0.3">
      <c r="C361" s="69"/>
      <c r="D361" s="69" t="s">
        <v>201</v>
      </c>
    </row>
    <row r="362" spans="3:54" x14ac:dyDescent="0.3">
      <c r="C362" s="69" t="s">
        <v>9</v>
      </c>
      <c r="D362" s="69" t="s">
        <v>202</v>
      </c>
    </row>
    <row r="363" spans="3:54" x14ac:dyDescent="0.3">
      <c r="C363" s="69" t="s">
        <v>10</v>
      </c>
      <c r="D363" s="69" t="s">
        <v>203</v>
      </c>
    </row>
    <row r="366" spans="3:54" hidden="1" outlineLevel="1" x14ac:dyDescent="0.3">
      <c r="C366" s="120" t="s">
        <v>204</v>
      </c>
    </row>
    <row r="367" spans="3:54" ht="18" hidden="1" customHeight="1" outlineLevel="1" x14ac:dyDescent="0.3">
      <c r="C367" s="131"/>
      <c r="D367" s="132"/>
      <c r="E367" s="133" t="s">
        <v>101</v>
      </c>
      <c r="F367" s="134" t="s">
        <v>102</v>
      </c>
      <c r="H367" s="135">
        <v>2015</v>
      </c>
      <c r="I367" s="133">
        <v>2020</v>
      </c>
      <c r="J367" s="133">
        <v>2025</v>
      </c>
      <c r="K367" s="133">
        <v>2030</v>
      </c>
      <c r="L367" s="133">
        <v>2040</v>
      </c>
      <c r="M367" s="134">
        <v>2050</v>
      </c>
      <c r="N367" s="1"/>
      <c r="O367" s="1"/>
      <c r="P367" s="1"/>
      <c r="Q367" s="1"/>
      <c r="S367" s="135">
        <f>S$1</f>
        <v>2015</v>
      </c>
      <c r="T367" s="133">
        <f t="shared" ref="T367:BB367" si="182">T$1</f>
        <v>2016</v>
      </c>
      <c r="U367" s="133">
        <f t="shared" si="182"/>
        <v>2017</v>
      </c>
      <c r="V367" s="133">
        <f t="shared" si="182"/>
        <v>2018</v>
      </c>
      <c r="W367" s="133">
        <f t="shared" si="182"/>
        <v>2019</v>
      </c>
      <c r="X367" s="133">
        <f t="shared" si="182"/>
        <v>2020</v>
      </c>
      <c r="Y367" s="133">
        <f t="shared" si="182"/>
        <v>2021</v>
      </c>
      <c r="Z367" s="133">
        <f t="shared" si="182"/>
        <v>2022</v>
      </c>
      <c r="AA367" s="133">
        <f t="shared" si="182"/>
        <v>2023</v>
      </c>
      <c r="AB367" s="133">
        <f t="shared" si="182"/>
        <v>2024</v>
      </c>
      <c r="AC367" s="133">
        <f t="shared" si="182"/>
        <v>2025</v>
      </c>
      <c r="AD367" s="133">
        <f t="shared" si="182"/>
        <v>2026</v>
      </c>
      <c r="AE367" s="133">
        <f t="shared" si="182"/>
        <v>2027</v>
      </c>
      <c r="AF367" s="133">
        <f t="shared" si="182"/>
        <v>2028</v>
      </c>
      <c r="AG367" s="133">
        <f t="shared" si="182"/>
        <v>2029</v>
      </c>
      <c r="AH367" s="133">
        <f t="shared" si="182"/>
        <v>2030</v>
      </c>
      <c r="AI367" s="133">
        <f t="shared" si="182"/>
        <v>2031</v>
      </c>
      <c r="AJ367" s="133">
        <f t="shared" si="182"/>
        <v>2032</v>
      </c>
      <c r="AK367" s="133">
        <f t="shared" si="182"/>
        <v>2033</v>
      </c>
      <c r="AL367" s="133">
        <f t="shared" si="182"/>
        <v>2034</v>
      </c>
      <c r="AM367" s="133">
        <f t="shared" si="182"/>
        <v>2035</v>
      </c>
      <c r="AN367" s="133">
        <f t="shared" si="182"/>
        <v>2036</v>
      </c>
      <c r="AO367" s="133">
        <f t="shared" si="182"/>
        <v>2037</v>
      </c>
      <c r="AP367" s="133">
        <f t="shared" si="182"/>
        <v>2038</v>
      </c>
      <c r="AQ367" s="133">
        <f t="shared" si="182"/>
        <v>2039</v>
      </c>
      <c r="AR367" s="133">
        <f t="shared" si="182"/>
        <v>2040</v>
      </c>
      <c r="AS367" s="133">
        <f t="shared" si="182"/>
        <v>2041</v>
      </c>
      <c r="AT367" s="133">
        <f t="shared" si="182"/>
        <v>2042</v>
      </c>
      <c r="AU367" s="133">
        <f t="shared" si="182"/>
        <v>2043</v>
      </c>
      <c r="AV367" s="133">
        <f t="shared" si="182"/>
        <v>2044</v>
      </c>
      <c r="AW367" s="133">
        <f t="shared" si="182"/>
        <v>2045</v>
      </c>
      <c r="AX367" s="133">
        <f t="shared" si="182"/>
        <v>2046</v>
      </c>
      <c r="AY367" s="133">
        <f t="shared" si="182"/>
        <v>2047</v>
      </c>
      <c r="AZ367" s="133">
        <f t="shared" si="182"/>
        <v>2048</v>
      </c>
      <c r="BA367" s="133">
        <f t="shared" si="182"/>
        <v>2049</v>
      </c>
      <c r="BB367" s="134">
        <f t="shared" si="182"/>
        <v>2050</v>
      </c>
    </row>
    <row r="368" spans="3:54" ht="18" hidden="1" customHeight="1" outlineLevel="1" x14ac:dyDescent="0.3">
      <c r="C368" s="204" t="str">
        <f>$H$2</f>
        <v>Historique</v>
      </c>
      <c r="D368" s="4"/>
      <c r="E368" s="1" t="s">
        <v>205</v>
      </c>
      <c r="F368" s="138"/>
      <c r="H368" s="229">
        <f>H$347</f>
        <v>0</v>
      </c>
      <c r="I368" s="230">
        <f>M$347</f>
        <v>0</v>
      </c>
      <c r="J368" s="230"/>
      <c r="K368" s="230"/>
      <c r="L368" s="230"/>
      <c r="M368" s="231"/>
      <c r="N368" s="232"/>
      <c r="O368" s="232"/>
      <c r="P368" s="232"/>
      <c r="Q368" s="232"/>
      <c r="R368" s="233"/>
      <c r="S368" s="229">
        <f t="shared" ref="S368:X368" si="183">H$347</f>
        <v>0</v>
      </c>
      <c r="T368" s="230">
        <f t="shared" si="183"/>
        <v>0</v>
      </c>
      <c r="U368" s="230">
        <f t="shared" si="183"/>
        <v>0</v>
      </c>
      <c r="V368" s="230">
        <f t="shared" si="183"/>
        <v>0</v>
      </c>
      <c r="W368" s="230">
        <f t="shared" si="183"/>
        <v>0</v>
      </c>
      <c r="X368" s="230">
        <f t="shared" si="183"/>
        <v>0</v>
      </c>
      <c r="Y368" s="230"/>
      <c r="Z368" s="230"/>
      <c r="AA368" s="230"/>
      <c r="AB368" s="230"/>
      <c r="AC368" s="230"/>
      <c r="AD368" s="230"/>
      <c r="AE368" s="230"/>
      <c r="AF368" s="230"/>
      <c r="AG368" s="230"/>
      <c r="AH368" s="230"/>
      <c r="AI368" s="230"/>
      <c r="AJ368" s="230"/>
      <c r="AK368" s="230"/>
      <c r="AL368" s="230"/>
      <c r="AM368" s="230"/>
      <c r="AN368" s="230"/>
      <c r="AO368" s="230"/>
      <c r="AP368" s="230"/>
      <c r="AQ368" s="230"/>
      <c r="AR368" s="230"/>
      <c r="AS368" s="230"/>
      <c r="AT368" s="230"/>
      <c r="AU368" s="230"/>
      <c r="AV368" s="230"/>
      <c r="AW368" s="230"/>
      <c r="AX368" s="230"/>
      <c r="AY368" s="230"/>
      <c r="AZ368" s="230"/>
      <c r="BA368" s="230"/>
      <c r="BB368" s="231"/>
    </row>
    <row r="369" spans="3:350" ht="18" hidden="1" customHeight="1" outlineLevel="1" x14ac:dyDescent="0.3">
      <c r="C369" s="204" t="str">
        <f>$S$2</f>
        <v>AMS 2018</v>
      </c>
      <c r="D369" s="4"/>
      <c r="E369" s="137" t="s">
        <v>105</v>
      </c>
      <c r="F369" s="138"/>
      <c r="H369" s="229">
        <f>S$347</f>
        <v>0</v>
      </c>
      <c r="I369" s="230">
        <f>X$347</f>
        <v>0.03</v>
      </c>
      <c r="J369" s="230">
        <f>AC$347</f>
        <v>0.18333333333333332</v>
      </c>
      <c r="K369" s="230">
        <f>AH$347</f>
        <v>0.33666666666666667</v>
      </c>
      <c r="L369" s="230">
        <f>AR$347</f>
        <v>0.64333333333333331</v>
      </c>
      <c r="M369" s="231">
        <f>BB$347</f>
        <v>0.95</v>
      </c>
      <c r="N369" s="232"/>
      <c r="O369" s="232"/>
      <c r="P369" s="232"/>
      <c r="Q369" s="232"/>
      <c r="R369" s="233"/>
      <c r="S369" s="229"/>
      <c r="T369" s="230"/>
      <c r="U369" s="230"/>
      <c r="V369" s="230"/>
      <c r="W369" s="230"/>
      <c r="X369" s="230"/>
      <c r="Y369" s="230">
        <f t="shared" ref="Y369:BB369" si="184">Y$347</f>
        <v>6.066666666666666E-2</v>
      </c>
      <c r="Z369" s="230">
        <f t="shared" si="184"/>
        <v>9.1333333333333322E-2</v>
      </c>
      <c r="AA369" s="230">
        <f t="shared" si="184"/>
        <v>0.122</v>
      </c>
      <c r="AB369" s="230">
        <f t="shared" si="184"/>
        <v>0.15266666666666667</v>
      </c>
      <c r="AC369" s="230">
        <f t="shared" si="184"/>
        <v>0.18333333333333332</v>
      </c>
      <c r="AD369" s="230">
        <f t="shared" si="184"/>
        <v>0.214</v>
      </c>
      <c r="AE369" s="230">
        <f t="shared" si="184"/>
        <v>0.24466666666666664</v>
      </c>
      <c r="AF369" s="230">
        <f t="shared" si="184"/>
        <v>0.27533333333333332</v>
      </c>
      <c r="AG369" s="230">
        <f t="shared" si="184"/>
        <v>0.30599999999999994</v>
      </c>
      <c r="AH369" s="230">
        <f t="shared" si="184"/>
        <v>0.33666666666666667</v>
      </c>
      <c r="AI369" s="230">
        <f t="shared" si="184"/>
        <v>0.36733333333333329</v>
      </c>
      <c r="AJ369" s="230">
        <f t="shared" si="184"/>
        <v>0.39800000000000002</v>
      </c>
      <c r="AK369" s="230">
        <f t="shared" si="184"/>
        <v>0.42866666666666664</v>
      </c>
      <c r="AL369" s="230">
        <f t="shared" si="184"/>
        <v>0.45933333333333326</v>
      </c>
      <c r="AM369" s="230">
        <f t="shared" si="184"/>
        <v>0.49</v>
      </c>
      <c r="AN369" s="230">
        <f t="shared" si="184"/>
        <v>0.52066666666666661</v>
      </c>
      <c r="AO369" s="230">
        <f t="shared" si="184"/>
        <v>0.55133333333333334</v>
      </c>
      <c r="AP369" s="230">
        <f t="shared" si="184"/>
        <v>0.58199999999999996</v>
      </c>
      <c r="AQ369" s="230">
        <f t="shared" si="184"/>
        <v>0.61266666666666658</v>
      </c>
      <c r="AR369" s="230">
        <f t="shared" si="184"/>
        <v>0.64333333333333331</v>
      </c>
      <c r="AS369" s="230">
        <f t="shared" si="184"/>
        <v>0.67400000000000004</v>
      </c>
      <c r="AT369" s="230">
        <f t="shared" si="184"/>
        <v>0.70466666666666666</v>
      </c>
      <c r="AU369" s="230">
        <f t="shared" si="184"/>
        <v>0.73533333333333328</v>
      </c>
      <c r="AV369" s="230">
        <f t="shared" si="184"/>
        <v>0.76600000000000001</v>
      </c>
      <c r="AW369" s="230">
        <f t="shared" si="184"/>
        <v>0.79666666666666675</v>
      </c>
      <c r="AX369" s="230">
        <f t="shared" si="184"/>
        <v>0.82733333333333325</v>
      </c>
      <c r="AY369" s="230">
        <f t="shared" si="184"/>
        <v>0.85799999999999987</v>
      </c>
      <c r="AZ369" s="230">
        <f t="shared" si="184"/>
        <v>0.8886666666666666</v>
      </c>
      <c r="BA369" s="230">
        <f t="shared" si="184"/>
        <v>0.91933333333333334</v>
      </c>
      <c r="BB369" s="231">
        <f t="shared" si="184"/>
        <v>0.95</v>
      </c>
    </row>
    <row r="370" spans="3:350" ht="18" hidden="1" customHeight="1" outlineLevel="1" x14ac:dyDescent="0.3">
      <c r="C370" s="204" t="str">
        <f>$BD$2</f>
        <v>ADEME Tend.</v>
      </c>
      <c r="D370" s="4"/>
      <c r="E370" s="137" t="s">
        <v>105</v>
      </c>
      <c r="F370" s="138"/>
      <c r="H370" s="229">
        <f>BD$347</f>
        <v>0</v>
      </c>
      <c r="I370" s="230">
        <f>BI$347</f>
        <v>0</v>
      </c>
      <c r="J370" s="230">
        <f>BN$347</f>
        <v>8.5123004994204512E-2</v>
      </c>
      <c r="K370" s="230">
        <f>BS$347</f>
        <v>0.17070716998473467</v>
      </c>
      <c r="L370" s="230">
        <f>CC$347</f>
        <v>0.34281727993392808</v>
      </c>
      <c r="M370" s="231">
        <f>CM$347</f>
        <v>0.51642668110378454</v>
      </c>
      <c r="N370" s="232"/>
      <c r="O370" s="232"/>
      <c r="P370" s="232"/>
      <c r="Q370" s="232"/>
      <c r="R370" s="233"/>
      <c r="S370" s="229"/>
      <c r="T370" s="230"/>
      <c r="U370" s="230"/>
      <c r="V370" s="230"/>
      <c r="W370" s="230"/>
      <c r="X370" s="230"/>
      <c r="Y370" s="230">
        <f t="shared" ref="Y370:BB370" si="185">BJ$347</f>
        <v>1.6989733200392508E-2</v>
      </c>
      <c r="Z370" s="230">
        <f t="shared" si="185"/>
        <v>3.39965793674901E-2</v>
      </c>
      <c r="AA370" s="230">
        <f t="shared" si="185"/>
        <v>5.10208554708967E-2</v>
      </c>
      <c r="AB370" s="230">
        <f t="shared" si="185"/>
        <v>6.8062886356808031E-2</v>
      </c>
      <c r="AC370" s="230">
        <f t="shared" si="185"/>
        <v>8.5123004994204512E-2</v>
      </c>
      <c r="AD370" s="230">
        <f t="shared" si="185"/>
        <v>0.10220155273033624</v>
      </c>
      <c r="AE370" s="230">
        <f t="shared" si="185"/>
        <v>0.1192988795559122</v>
      </c>
      <c r="AF370" s="230">
        <f t="shared" si="185"/>
        <v>0.13641534438042566</v>
      </c>
      <c r="AG370" s="230">
        <f t="shared" si="185"/>
        <v>0.15355131531807178</v>
      </c>
      <c r="AH370" s="230">
        <f t="shared" si="185"/>
        <v>0.17070716998473467</v>
      </c>
      <c r="AI370" s="230">
        <f t="shared" si="185"/>
        <v>0.18785352515310777</v>
      </c>
      <c r="AJ370" s="230">
        <f t="shared" si="185"/>
        <v>0.20501399555970801</v>
      </c>
      <c r="AK370" s="230">
        <f t="shared" si="185"/>
        <v>0.22218867451393765</v>
      </c>
      <c r="AL370" s="230">
        <f t="shared" si="185"/>
        <v>0.23937765614944936</v>
      </c>
      <c r="AM370" s="230">
        <f t="shared" si="185"/>
        <v>0.25658103543326838</v>
      </c>
      <c r="AN370" s="230">
        <f t="shared" si="185"/>
        <v>0.27379890817503472</v>
      </c>
      <c r="AO370" s="230">
        <f t="shared" si="185"/>
        <v>0.29103137103636967</v>
      </c>
      <c r="AP370" s="230">
        <f t="shared" si="185"/>
        <v>0.30827852154036722</v>
      </c>
      <c r="AQ370" s="230">
        <f t="shared" si="185"/>
        <v>0.32554045808121224</v>
      </c>
      <c r="AR370" s="230">
        <f t="shared" si="185"/>
        <v>0.34281727993392808</v>
      </c>
      <c r="AS370" s="230">
        <f t="shared" si="185"/>
        <v>0.36010908726425617</v>
      </c>
      <c r="AT370" s="230">
        <f t="shared" si="185"/>
        <v>0.37741598113866703</v>
      </c>
      <c r="AU370" s="230">
        <f t="shared" si="185"/>
        <v>0.39473806353450869</v>
      </c>
      <c r="AV370" s="230">
        <f t="shared" si="185"/>
        <v>0.41207543735029095</v>
      </c>
      <c r="AW370" s="230">
        <f t="shared" si="185"/>
        <v>0.42942820641611029</v>
      </c>
      <c r="AX370" s="230">
        <f t="shared" si="185"/>
        <v>0.44679647550421675</v>
      </c>
      <c r="AY370" s="230">
        <f t="shared" si="185"/>
        <v>0.46418035033972377</v>
      </c>
      <c r="AZ370" s="230">
        <f t="shared" si="185"/>
        <v>0.48157993761146578</v>
      </c>
      <c r="BA370" s="230">
        <f t="shared" si="185"/>
        <v>0.4989953449830043</v>
      </c>
      <c r="BB370" s="231">
        <f t="shared" si="185"/>
        <v>0.51642668110378454</v>
      </c>
    </row>
    <row r="371" spans="3:350" ht="18" hidden="1" customHeight="1" outlineLevel="1" x14ac:dyDescent="0.3">
      <c r="C371" s="204" t="str">
        <f>$CO$2</f>
        <v>ADEME S1</v>
      </c>
      <c r="D371" s="4"/>
      <c r="E371" s="137" t="s">
        <v>105</v>
      </c>
      <c r="F371" s="138"/>
      <c r="H371" s="229">
        <f>CO$347</f>
        <v>0</v>
      </c>
      <c r="I371" s="230">
        <f>CT$347</f>
        <v>0</v>
      </c>
      <c r="J371" s="230">
        <f>CY$347</f>
        <v>0.13324792245092379</v>
      </c>
      <c r="K371" s="230">
        <f>DD$347</f>
        <v>0.26617602303851218</v>
      </c>
      <c r="L371" s="230">
        <f>DN$347</f>
        <v>0.53035722643666638</v>
      </c>
      <c r="M371" s="231">
        <f>DX$347</f>
        <v>0.79189279725507566</v>
      </c>
      <c r="N371" s="232"/>
      <c r="O371" s="232"/>
      <c r="P371" s="232"/>
      <c r="Q371" s="232"/>
      <c r="R371" s="233"/>
      <c r="S371" s="229"/>
      <c r="T371" s="230"/>
      <c r="U371" s="230"/>
      <c r="V371" s="230"/>
      <c r="W371" s="230"/>
      <c r="X371" s="230"/>
      <c r="Y371" s="230">
        <f t="shared" ref="Y371:BB371" si="186">CU$347</f>
        <v>2.6672402466781629E-2</v>
      </c>
      <c r="Z371" s="230">
        <f t="shared" si="186"/>
        <v>5.3333812344378791E-2</v>
      </c>
      <c r="AA371" s="230">
        <f t="shared" si="186"/>
        <v>7.9983823490129488E-2</v>
      </c>
      <c r="AB371" s="230">
        <f t="shared" si="186"/>
        <v>0.10662200950424763</v>
      </c>
      <c r="AC371" s="230">
        <f t="shared" si="186"/>
        <v>0.13324792245092379</v>
      </c>
      <c r="AD371" s="230">
        <f t="shared" si="186"/>
        <v>0.1598610914812976</v>
      </c>
      <c r="AE371" s="230">
        <f t="shared" si="186"/>
        <v>0.18646102134940332</v>
      </c>
      <c r="AF371" s="230">
        <f t="shared" si="186"/>
        <v>0.21304719081125811</v>
      </c>
      <c r="AG371" s="230">
        <f t="shared" si="186"/>
        <v>0.2396190508962121</v>
      </c>
      <c r="AH371" s="230">
        <f t="shared" si="186"/>
        <v>0.26617602303851218</v>
      </c>
      <c r="AI371" s="230">
        <f t="shared" si="186"/>
        <v>0.29269280980005624</v>
      </c>
      <c r="AJ371" s="230">
        <f t="shared" si="186"/>
        <v>0.31918926597193781</v>
      </c>
      <c r="AK371" s="230">
        <f t="shared" si="186"/>
        <v>0.34566483175831719</v>
      </c>
      <c r="AL371" s="230">
        <f t="shared" si="186"/>
        <v>0.37211892662126317</v>
      </c>
      <c r="AM371" s="230">
        <f t="shared" si="186"/>
        <v>0.39855094831107546</v>
      </c>
      <c r="AN371" s="230">
        <f t="shared" si="186"/>
        <v>0.42496027184169644</v>
      </c>
      <c r="AO371" s="230">
        <f t="shared" si="186"/>
        <v>0.45134624840754883</v>
      </c>
      <c r="AP371" s="230">
        <f t="shared" si="186"/>
        <v>0.47770820423785459</v>
      </c>
      <c r="AQ371" s="230">
        <f t="shared" si="186"/>
        <v>0.50404543938418678</v>
      </c>
      <c r="AR371" s="230">
        <f t="shared" si="186"/>
        <v>0.53035722643666638</v>
      </c>
      <c r="AS371" s="230">
        <f t="shared" si="186"/>
        <v>0.55664280916386022</v>
      </c>
      <c r="AT371" s="230">
        <f t="shared" si="186"/>
        <v>0.58290140107103394</v>
      </c>
      <c r="AU371" s="230">
        <f t="shared" si="186"/>
        <v>0.60913218387098589</v>
      </c>
      <c r="AV371" s="230">
        <f t="shared" si="186"/>
        <v>0.63533430586121342</v>
      </c>
      <c r="AW371" s="230">
        <f t="shared" si="186"/>
        <v>0.66150688020065129</v>
      </c>
      <c r="AX371" s="230">
        <f t="shared" si="186"/>
        <v>0.68764898307865197</v>
      </c>
      <c r="AY371" s="230">
        <f t="shared" si="186"/>
        <v>0.71375965176826828</v>
      </c>
      <c r="AZ371" s="230">
        <f t="shared" si="186"/>
        <v>0.73983788255521388</v>
      </c>
      <c r="BA371" s="230">
        <f t="shared" si="186"/>
        <v>0.76588262853314404</v>
      </c>
      <c r="BB371" s="231">
        <f t="shared" si="186"/>
        <v>0.79189279725507566</v>
      </c>
    </row>
    <row r="372" spans="3:350" ht="18" hidden="1" customHeight="1" outlineLevel="1" x14ac:dyDescent="0.3">
      <c r="C372" s="204" t="str">
        <f>$DZ$2</f>
        <v>ADEME S2</v>
      </c>
      <c r="D372" s="4"/>
      <c r="E372" s="137" t="s">
        <v>105</v>
      </c>
      <c r="F372" s="138"/>
      <c r="H372" s="229">
        <f>DZ$347</f>
        <v>0</v>
      </c>
      <c r="I372" s="230">
        <f>EE$347</f>
        <v>0</v>
      </c>
      <c r="J372" s="230">
        <f>EJ$347</f>
        <v>0.1181303058179609</v>
      </c>
      <c r="K372" s="230">
        <f>EO$347</f>
        <v>0.23601225519184155</v>
      </c>
      <c r="L372" s="230">
        <f>EY$347</f>
        <v>0.47037340527293853</v>
      </c>
      <c r="M372" s="231">
        <f>FI$347</f>
        <v>0.70254477469156673</v>
      </c>
      <c r="N372" s="232"/>
      <c r="O372" s="232"/>
      <c r="P372" s="232"/>
      <c r="Q372" s="232"/>
      <c r="R372" s="233"/>
      <c r="S372" s="229"/>
      <c r="T372" s="230"/>
      <c r="U372" s="230"/>
      <c r="V372" s="230"/>
      <c r="W372" s="230"/>
      <c r="X372" s="230"/>
      <c r="Y372" s="230">
        <f t="shared" ref="Y372:BB372" si="187">EF$347</f>
        <v>2.3643780375998742E-2</v>
      </c>
      <c r="Z372" s="230">
        <f t="shared" si="187"/>
        <v>4.7279024498932676E-2</v>
      </c>
      <c r="AA372" s="230">
        <f t="shared" si="187"/>
        <v>7.0905416980271835E-2</v>
      </c>
      <c r="AB372" s="230">
        <f t="shared" si="187"/>
        <v>9.4522626700894147E-2</v>
      </c>
      <c r="AC372" s="230">
        <f t="shared" si="187"/>
        <v>0.1181303058179609</v>
      </c>
      <c r="AD372" s="230">
        <f t="shared" si="187"/>
        <v>0.14172808869559136</v>
      </c>
      <c r="AE372" s="230">
        <f t="shared" si="187"/>
        <v>0.16531559075242619</v>
      </c>
      <c r="AF372" s="230">
        <f t="shared" si="187"/>
        <v>0.18889240721844505</v>
      </c>
      <c r="AG372" s="230">
        <f t="shared" si="187"/>
        <v>0.21245811179259066</v>
      </c>
      <c r="AH372" s="230">
        <f t="shared" si="187"/>
        <v>0.23601225519184155</v>
      </c>
      <c r="AI372" s="230">
        <f t="shared" si="187"/>
        <v>0.25953003604576463</v>
      </c>
      <c r="AJ372" s="230">
        <f t="shared" si="187"/>
        <v>0.28303098934304199</v>
      </c>
      <c r="AK372" s="230">
        <f t="shared" si="187"/>
        <v>0.30651465174265113</v>
      </c>
      <c r="AL372" s="230">
        <f t="shared" si="187"/>
        <v>0.32998054273541416</v>
      </c>
      <c r="AM372" s="230">
        <f t="shared" si="187"/>
        <v>0.35342816384139941</v>
      </c>
      <c r="AN372" s="230">
        <f t="shared" si="187"/>
        <v>0.37685699776187331</v>
      </c>
      <c r="AO372" s="230">
        <f t="shared" si="187"/>
        <v>0.40026650748277037</v>
      </c>
      <c r="AP372" s="230">
        <f t="shared" si="187"/>
        <v>0.42365613532641783</v>
      </c>
      <c r="AQ372" s="230">
        <f t="shared" si="187"/>
        <v>0.44702530194799583</v>
      </c>
      <c r="AR372" s="230">
        <f t="shared" si="187"/>
        <v>0.47037340527293853</v>
      </c>
      <c r="AS372" s="230">
        <f t="shared" si="187"/>
        <v>0.49369981937118257</v>
      </c>
      <c r="AT372" s="230">
        <f t="shared" si="187"/>
        <v>0.51700389326383756</v>
      </c>
      <c r="AU372" s="230">
        <f t="shared" si="187"/>
        <v>0.54028494965750162</v>
      </c>
      <c r="AV372" s="230">
        <f t="shared" si="187"/>
        <v>0.56354228360104719</v>
      </c>
      <c r="AW372" s="230">
        <f t="shared" si="187"/>
        <v>0.58677516105928307</v>
      </c>
      <c r="AX372" s="230">
        <f t="shared" si="187"/>
        <v>0.60998281739742755</v>
      </c>
      <c r="AY372" s="230">
        <f t="shared" si="187"/>
        <v>0.63316445576981517</v>
      </c>
      <c r="AZ372" s="230">
        <f t="shared" si="187"/>
        <v>0.65631924540570652</v>
      </c>
      <c r="BA372" s="230">
        <f t="shared" si="187"/>
        <v>0.67944631978444925</v>
      </c>
      <c r="BB372" s="231">
        <f t="shared" si="187"/>
        <v>0.70254477469156673</v>
      </c>
    </row>
    <row r="373" spans="3:350" ht="18" hidden="1" customHeight="1" outlineLevel="1" x14ac:dyDescent="0.3">
      <c r="C373" s="204" t="str">
        <f>$FK$2</f>
        <v>ADEME S3</v>
      </c>
      <c r="D373" s="4"/>
      <c r="E373" s="137" t="s">
        <v>105</v>
      </c>
      <c r="F373" s="138"/>
      <c r="H373" s="229">
        <f>FK$347</f>
        <v>0</v>
      </c>
      <c r="I373" s="230">
        <f>FP$347</f>
        <v>0</v>
      </c>
      <c r="J373" s="230">
        <f>FU$347</f>
        <v>0.11738248598191039</v>
      </c>
      <c r="K373" s="230">
        <f>FZ$347</f>
        <v>0.23481066819797211</v>
      </c>
      <c r="L373" s="230">
        <f>GJ$347</f>
        <v>0.4694886746082223</v>
      </c>
      <c r="M373" s="231">
        <f>GT$347</f>
        <v>0.70401825787191252</v>
      </c>
      <c r="N373" s="232"/>
      <c r="O373" s="232"/>
      <c r="P373" s="232"/>
      <c r="Q373" s="232"/>
      <c r="R373" s="233"/>
      <c r="S373" s="229"/>
      <c r="T373" s="230"/>
      <c r="U373" s="230"/>
      <c r="V373" s="230"/>
      <c r="W373" s="230"/>
      <c r="X373" s="230"/>
      <c r="Y373" s="230">
        <f t="shared" ref="Y373:BB373" si="188">FQ$347</f>
        <v>2.3473086895498128E-2</v>
      </c>
      <c r="Z373" s="230">
        <f t="shared" si="188"/>
        <v>4.6947840500571381E-2</v>
      </c>
      <c r="AA373" s="230">
        <f t="shared" si="188"/>
        <v>7.0424298673972291E-2</v>
      </c>
      <c r="AB373" s="230">
        <f t="shared" si="188"/>
        <v>9.3902500429799751E-2</v>
      </c>
      <c r="AC373" s="230">
        <f t="shared" si="188"/>
        <v>0.11738248598191039</v>
      </c>
      <c r="AD373" s="230">
        <f t="shared" si="188"/>
        <v>0.14086429679039444</v>
      </c>
      <c r="AE373" s="230">
        <f t="shared" si="188"/>
        <v>0.16434797561022879</v>
      </c>
      <c r="AF373" s="230">
        <f t="shared" si="188"/>
        <v>0.18783356654222758</v>
      </c>
      <c r="AG373" s="230">
        <f t="shared" si="188"/>
        <v>0.21132111508641716</v>
      </c>
      <c r="AH373" s="230">
        <f t="shared" si="188"/>
        <v>0.23481066819797211</v>
      </c>
      <c r="AI373" s="230">
        <f t="shared" si="188"/>
        <v>0.25828468048275538</v>
      </c>
      <c r="AJ373" s="230">
        <f t="shared" si="188"/>
        <v>0.28175735322531253</v>
      </c>
      <c r="AK373" s="230">
        <f t="shared" si="188"/>
        <v>0.30522867151461536</v>
      </c>
      <c r="AL373" s="230">
        <f t="shared" si="188"/>
        <v>0.32869862021750301</v>
      </c>
      <c r="AM373" s="230">
        <f t="shared" si="188"/>
        <v>0.35216718397453073</v>
      </c>
      <c r="AN373" s="230">
        <f t="shared" si="188"/>
        <v>0.37563434719572358</v>
      </c>
      <c r="AO373" s="230">
        <f t="shared" si="188"/>
        <v>0.39910009405623592</v>
      </c>
      <c r="AP373" s="230">
        <f t="shared" si="188"/>
        <v>0.42256440849191129</v>
      </c>
      <c r="AQ373" s="230">
        <f t="shared" si="188"/>
        <v>0.44602727419474164</v>
      </c>
      <c r="AR373" s="230">
        <f t="shared" si="188"/>
        <v>0.4694886746082223</v>
      </c>
      <c r="AS373" s="230">
        <f t="shared" si="188"/>
        <v>0.49294859292260101</v>
      </c>
      <c r="AT373" s="230">
        <f t="shared" si="188"/>
        <v>0.51640701207001805</v>
      </c>
      <c r="AU373" s="230">
        <f t="shared" si="188"/>
        <v>0.5398639147195311</v>
      </c>
      <c r="AV373" s="230">
        <f t="shared" si="188"/>
        <v>0.56331928327202885</v>
      </c>
      <c r="AW373" s="230">
        <f t="shared" si="188"/>
        <v>0.58677309985502357</v>
      </c>
      <c r="AX373" s="230">
        <f t="shared" si="188"/>
        <v>0.61022534631732084</v>
      </c>
      <c r="AY373" s="230">
        <f t="shared" si="188"/>
        <v>0.63367600422356773</v>
      </c>
      <c r="AZ373" s="230">
        <f t="shared" si="188"/>
        <v>0.65712505484866801</v>
      </c>
      <c r="BA373" s="230">
        <f t="shared" si="188"/>
        <v>0.68057247917206942</v>
      </c>
      <c r="BB373" s="231">
        <f t="shared" si="188"/>
        <v>0.70401825787191252</v>
      </c>
    </row>
    <row r="374" spans="3:350" ht="18" hidden="1" customHeight="1" outlineLevel="1" x14ac:dyDescent="0.3">
      <c r="C374" s="204" t="str">
        <f>$GV$2</f>
        <v>ADEME S4</v>
      </c>
      <c r="D374" s="4"/>
      <c r="E374" s="137" t="s">
        <v>105</v>
      </c>
      <c r="F374" s="138"/>
      <c r="H374" s="229">
        <f>GV$347</f>
        <v>0</v>
      </c>
      <c r="I374" s="230">
        <f>HA$347</f>
        <v>0</v>
      </c>
      <c r="J374" s="230">
        <f>HF$347</f>
        <v>0.10122321710712034</v>
      </c>
      <c r="K374" s="230">
        <f>HK$347</f>
        <v>0.20287465748944847</v>
      </c>
      <c r="L374" s="230">
        <f>HU$347</f>
        <v>0.40709731655094639</v>
      </c>
      <c r="M374" s="231">
        <f>IE$347</f>
        <v>0.61276055537609375</v>
      </c>
      <c r="N374" s="232"/>
      <c r="O374" s="232"/>
      <c r="P374" s="232"/>
      <c r="Q374" s="232"/>
      <c r="R374" s="233"/>
      <c r="S374" s="229"/>
      <c r="T374" s="230"/>
      <c r="U374" s="230"/>
      <c r="V374" s="230"/>
      <c r="W374" s="230"/>
      <c r="X374" s="230"/>
      <c r="Y374" s="230">
        <f t="shared" ref="Y374:BB374" si="189">HB$347</f>
        <v>2.0212265932114889E-2</v>
      </c>
      <c r="Z374" s="230">
        <f t="shared" si="189"/>
        <v>4.0440422597834952E-2</v>
      </c>
      <c r="AA374" s="230">
        <f t="shared" si="189"/>
        <v>6.0684764328331607E-2</v>
      </c>
      <c r="AB374" s="230">
        <f t="shared" si="189"/>
        <v>8.0945592768810387E-2</v>
      </c>
      <c r="AC374" s="230">
        <f t="shared" si="189"/>
        <v>0.10122321710712034</v>
      </c>
      <c r="AD374" s="230">
        <f t="shared" si="189"/>
        <v>0.12151795431099197</v>
      </c>
      <c r="AE374" s="230">
        <f t="shared" si="189"/>
        <v>0.14183012937428613</v>
      </c>
      <c r="AF374" s="230">
        <f t="shared" si="189"/>
        <v>0.16216007557265541</v>
      </c>
      <c r="AG374" s="230">
        <f t="shared" si="189"/>
        <v>0.18250813472904096</v>
      </c>
      <c r="AH374" s="230">
        <f t="shared" si="189"/>
        <v>0.20287465748944847</v>
      </c>
      <c r="AI374" s="230">
        <f t="shared" si="189"/>
        <v>0.22323479945727273</v>
      </c>
      <c r="AJ374" s="230">
        <f t="shared" si="189"/>
        <v>0.24360850391800618</v>
      </c>
      <c r="AK374" s="230">
        <f t="shared" si="189"/>
        <v>0.26399586052710389</v>
      </c>
      <c r="AL374" s="230">
        <f t="shared" si="189"/>
        <v>0.28439695973199425</v>
      </c>
      <c r="AM374" s="230">
        <f t="shared" si="189"/>
        <v>0.30481189278084353</v>
      </c>
      <c r="AN374" s="230">
        <f t="shared" si="189"/>
        <v>0.32524075173143635</v>
      </c>
      <c r="AO374" s="230">
        <f t="shared" si="189"/>
        <v>0.34568362946017606</v>
      </c>
      <c r="AP374" s="230">
        <f t="shared" si="189"/>
        <v>0.36614061967120326</v>
      </c>
      <c r="AQ374" s="230">
        <f t="shared" si="189"/>
        <v>0.38661181690563812</v>
      </c>
      <c r="AR374" s="230">
        <f t="shared" si="189"/>
        <v>0.40709731655094639</v>
      </c>
      <c r="AS374" s="230">
        <f t="shared" si="189"/>
        <v>0.42759721485043173</v>
      </c>
      <c r="AT374" s="230">
        <f t="shared" si="189"/>
        <v>0.44811160891285451</v>
      </c>
      <c r="AU374" s="230">
        <f t="shared" si="189"/>
        <v>0.46864059672218333</v>
      </c>
      <c r="AV374" s="230">
        <f t="shared" si="189"/>
        <v>0.48918427714747648</v>
      </c>
      <c r="AW374" s="230">
        <f t="shared" si="189"/>
        <v>0.50974274995289848</v>
      </c>
      <c r="AX374" s="230">
        <f t="shared" si="189"/>
        <v>0.53031611580787297</v>
      </c>
      <c r="AY374" s="230">
        <f t="shared" si="189"/>
        <v>0.55090447629737327</v>
      </c>
      <c r="AZ374" s="230">
        <f t="shared" si="189"/>
        <v>0.57150793393235544</v>
      </c>
      <c r="BA374" s="230">
        <f t="shared" si="189"/>
        <v>0.59212659216033214</v>
      </c>
      <c r="BB374" s="231">
        <f t="shared" si="189"/>
        <v>0.61276055537609375</v>
      </c>
    </row>
    <row r="375" spans="3:350" ht="18" hidden="1" customHeight="1" outlineLevel="1" x14ac:dyDescent="0.3">
      <c r="C375" s="208"/>
      <c r="D375" s="39"/>
      <c r="E375" s="209"/>
      <c r="F375" s="210"/>
      <c r="H375" s="211"/>
      <c r="I375" s="166"/>
      <c r="J375" s="166"/>
      <c r="K375" s="166"/>
      <c r="L375" s="166"/>
      <c r="M375" s="212"/>
      <c r="S375" s="211"/>
      <c r="T375" s="166"/>
      <c r="U375" s="166"/>
      <c r="V375" s="166"/>
      <c r="W375" s="166"/>
      <c r="X375" s="166"/>
      <c r="Y375" s="166"/>
      <c r="Z375" s="166"/>
      <c r="AA375" s="166"/>
      <c r="AB375" s="166"/>
      <c r="AC375" s="166"/>
      <c r="AD375" s="166"/>
      <c r="AE375" s="166"/>
      <c r="AF375" s="166"/>
      <c r="AG375" s="166"/>
      <c r="AH375" s="166"/>
      <c r="AI375" s="166"/>
      <c r="AJ375" s="166"/>
      <c r="AK375" s="166"/>
      <c r="AL375" s="166"/>
      <c r="AM375" s="166"/>
      <c r="AN375" s="166"/>
      <c r="AO375" s="166"/>
      <c r="AP375" s="166"/>
      <c r="AQ375" s="166"/>
      <c r="AR375" s="166"/>
      <c r="AS375" s="166"/>
      <c r="AT375" s="166"/>
      <c r="AU375" s="166"/>
      <c r="AV375" s="166"/>
      <c r="AW375" s="166"/>
      <c r="AX375" s="166"/>
      <c r="AY375" s="166"/>
      <c r="AZ375" s="166"/>
      <c r="BA375" s="166"/>
      <c r="BB375" s="212"/>
    </row>
    <row r="376" spans="3:350" s="4" customFormat="1" ht="18" hidden="1" customHeight="1" outlineLevel="1" x14ac:dyDescent="0.3">
      <c r="H376" s="140"/>
      <c r="I376" s="140"/>
      <c r="J376" s="140"/>
      <c r="K376" s="140"/>
      <c r="L376" s="140"/>
      <c r="M376" s="140"/>
      <c r="N376" s="140"/>
      <c r="O376" s="140"/>
      <c r="P376" s="140"/>
      <c r="Q376" s="140"/>
      <c r="R376" s="140"/>
      <c r="S376" s="140"/>
      <c r="T376" s="140"/>
      <c r="U376" s="140"/>
      <c r="V376" s="140"/>
      <c r="W376" s="140"/>
      <c r="X376" s="140"/>
      <c r="Y376" s="140"/>
      <c r="Z376" s="140"/>
      <c r="AA376" s="140"/>
      <c r="AB376" s="140"/>
      <c r="AC376" s="140"/>
      <c r="AD376" s="140"/>
      <c r="AE376" s="140"/>
      <c r="AF376" s="140"/>
      <c r="AG376" s="140"/>
      <c r="AH376" s="140"/>
      <c r="AI376" s="140"/>
      <c r="AJ376" s="140"/>
      <c r="AK376" s="140"/>
      <c r="AL376" s="140"/>
      <c r="AM376" s="140"/>
      <c r="AN376" s="140"/>
      <c r="AO376" s="140"/>
      <c r="AP376" s="140"/>
      <c r="AQ376" s="140"/>
      <c r="AR376" s="140"/>
      <c r="AS376" s="140"/>
      <c r="AT376" s="140"/>
      <c r="AU376" s="140"/>
      <c r="AV376" s="140"/>
      <c r="AW376" s="140"/>
      <c r="AX376" s="140"/>
      <c r="AY376" s="140"/>
      <c r="AZ376" s="140"/>
      <c r="BA376" s="140"/>
      <c r="BB376" s="140"/>
      <c r="BC376" s="140"/>
      <c r="BD376" s="140"/>
      <c r="BE376" s="140"/>
      <c r="BF376" s="140"/>
      <c r="BG376" s="140"/>
      <c r="BH376" s="140"/>
      <c r="BI376" s="140"/>
      <c r="BJ376" s="140"/>
      <c r="BK376" s="140"/>
      <c r="BL376" s="140"/>
      <c r="BM376" s="140"/>
      <c r="BN376" s="140"/>
      <c r="BO376" s="140"/>
      <c r="BP376" s="140"/>
      <c r="BQ376" s="140"/>
      <c r="BR376" s="140"/>
      <c r="BS376" s="140"/>
      <c r="BT376" s="140"/>
      <c r="BU376" s="140"/>
      <c r="BV376" s="140"/>
      <c r="BW376" s="140"/>
      <c r="BX376" s="140"/>
      <c r="BY376" s="140"/>
      <c r="BZ376" s="140"/>
      <c r="CA376" s="140"/>
      <c r="CB376" s="140"/>
      <c r="CC376" s="140"/>
      <c r="CD376" s="140"/>
      <c r="CE376" s="140"/>
      <c r="CF376" s="140"/>
      <c r="CG376" s="140"/>
      <c r="CH376" s="140"/>
      <c r="CI376" s="140"/>
      <c r="CJ376" s="140"/>
      <c r="CK376" s="140"/>
      <c r="CL376" s="140"/>
      <c r="CM376" s="140"/>
      <c r="CN376" s="140"/>
      <c r="FJ376" s="140"/>
      <c r="FK376" s="140"/>
      <c r="FL376" s="140"/>
      <c r="FM376" s="140"/>
      <c r="FN376" s="140"/>
      <c r="FO376" s="140"/>
      <c r="FP376" s="140"/>
      <c r="FQ376" s="140"/>
      <c r="FR376" s="140"/>
      <c r="FS376" s="140"/>
      <c r="FT376" s="140"/>
      <c r="FU376" s="140"/>
      <c r="FV376" s="140"/>
      <c r="FW376" s="140"/>
      <c r="FX376" s="140"/>
      <c r="FY376" s="140"/>
      <c r="FZ376" s="140"/>
      <c r="GA376" s="140"/>
      <c r="GB376" s="140"/>
      <c r="GC376" s="140"/>
      <c r="GD376" s="140"/>
      <c r="GE376" s="140"/>
      <c r="GF376" s="140"/>
      <c r="GG376" s="140"/>
      <c r="GH376" s="140"/>
      <c r="GI376" s="140"/>
      <c r="GJ376" s="140"/>
      <c r="GK376" s="140"/>
      <c r="GL376" s="140"/>
      <c r="GM376" s="140"/>
      <c r="GN376" s="140"/>
      <c r="GO376" s="140"/>
      <c r="GP376" s="140"/>
      <c r="GQ376" s="140"/>
      <c r="GR376" s="140"/>
      <c r="GS376" s="140"/>
      <c r="GT376" s="140"/>
      <c r="GU376" s="140"/>
      <c r="GV376" s="140"/>
      <c r="GW376" s="140"/>
      <c r="GX376" s="140"/>
      <c r="GY376" s="140"/>
      <c r="GZ376" s="140"/>
      <c r="HA376" s="140"/>
      <c r="HB376" s="140"/>
      <c r="HC376" s="140"/>
      <c r="HD376" s="140"/>
      <c r="HE376" s="140"/>
      <c r="HF376" s="140"/>
      <c r="HG376" s="140"/>
      <c r="HH376" s="140"/>
      <c r="HI376" s="140"/>
      <c r="HJ376" s="140"/>
      <c r="HK376" s="140"/>
      <c r="HL376" s="140"/>
      <c r="HM376" s="140"/>
      <c r="HN376" s="140"/>
      <c r="HO376" s="140"/>
      <c r="HP376" s="140"/>
      <c r="HQ376" s="140"/>
      <c r="HR376" s="140"/>
      <c r="HS376" s="140"/>
      <c r="HT376" s="140"/>
      <c r="HU376" s="140"/>
      <c r="HV376" s="140"/>
      <c r="HW376" s="140"/>
      <c r="HX376" s="140"/>
      <c r="HY376" s="140"/>
      <c r="HZ376" s="140"/>
      <c r="IA376" s="140"/>
      <c r="IB376" s="140"/>
      <c r="IC376" s="140"/>
      <c r="ID376" s="140"/>
      <c r="IE376" s="140"/>
      <c r="IF376" s="140"/>
      <c r="IG376" s="140"/>
      <c r="IH376" s="140"/>
      <c r="II376" s="140"/>
      <c r="IJ376" s="140"/>
      <c r="IK376" s="140"/>
      <c r="IL376" s="140"/>
      <c r="IM376" s="140"/>
      <c r="IN376" s="140"/>
      <c r="IO376" s="140"/>
      <c r="IP376" s="140"/>
      <c r="IQ376" s="140"/>
      <c r="IR376" s="140"/>
      <c r="IS376" s="140"/>
      <c r="IT376" s="140"/>
      <c r="IU376" s="140"/>
      <c r="IV376" s="140"/>
      <c r="IW376" s="140"/>
      <c r="IX376" s="140"/>
      <c r="IY376" s="140"/>
      <c r="IZ376" s="140"/>
      <c r="JA376" s="140"/>
      <c r="JB376" s="140"/>
      <c r="JC376" s="140"/>
      <c r="JD376" s="140"/>
      <c r="JE376" s="140"/>
      <c r="JF376" s="140"/>
      <c r="JG376" s="140"/>
      <c r="JH376" s="140"/>
      <c r="JI376" s="140"/>
      <c r="JJ376" s="140"/>
      <c r="JK376" s="140"/>
      <c r="JL376" s="140"/>
      <c r="JM376" s="140"/>
      <c r="JN376" s="140"/>
      <c r="JO376" s="140"/>
      <c r="JP376" s="140"/>
      <c r="JQ376" s="140"/>
      <c r="JR376" s="140"/>
      <c r="JS376" s="140"/>
      <c r="JT376" s="140"/>
      <c r="JU376" s="140"/>
      <c r="JV376" s="140"/>
      <c r="JW376" s="140"/>
      <c r="JX376" s="140"/>
      <c r="JY376" s="140"/>
      <c r="JZ376" s="140"/>
      <c r="KA376" s="140"/>
      <c r="KB376" s="140"/>
      <c r="KC376" s="140"/>
      <c r="KD376" s="140"/>
      <c r="KE376" s="140"/>
      <c r="KF376" s="140"/>
      <c r="KG376" s="140"/>
      <c r="KH376" s="140"/>
      <c r="KI376" s="140"/>
      <c r="KJ376" s="140"/>
      <c r="KK376" s="140"/>
      <c r="KL376" s="140"/>
      <c r="KM376" s="140"/>
      <c r="KN376" s="140"/>
      <c r="KO376" s="140"/>
      <c r="KP376" s="140"/>
      <c r="KQ376" s="140"/>
      <c r="KR376" s="140"/>
      <c r="KS376" s="140"/>
      <c r="KT376" s="140"/>
      <c r="KU376" s="140"/>
      <c r="KV376" s="140"/>
      <c r="KW376" s="140"/>
      <c r="KX376" s="140"/>
      <c r="KY376" s="140"/>
      <c r="KZ376" s="140"/>
      <c r="LA376" s="140"/>
      <c r="LB376" s="140"/>
      <c r="LC376" s="140"/>
      <c r="LD376" s="140"/>
      <c r="LE376" s="140"/>
      <c r="LF376" s="140"/>
      <c r="LG376" s="140"/>
      <c r="LH376" s="140"/>
      <c r="LI376" s="140"/>
      <c r="LJ376" s="140"/>
      <c r="LK376" s="140"/>
      <c r="LL376" s="140"/>
      <c r="LM376" s="140"/>
      <c r="LN376" s="140"/>
      <c r="LO376" s="140"/>
      <c r="LP376" s="140"/>
      <c r="LQ376" s="140"/>
      <c r="LR376" s="140"/>
      <c r="LS376" s="140"/>
      <c r="LT376" s="140"/>
      <c r="LU376" s="140"/>
      <c r="LV376" s="140"/>
      <c r="LW376" s="140"/>
      <c r="LX376" s="140"/>
      <c r="LY376" s="140"/>
      <c r="LZ376" s="140"/>
      <c r="MA376" s="140"/>
      <c r="MB376" s="140"/>
      <c r="MC376" s="140"/>
      <c r="MD376" s="140"/>
      <c r="ME376" s="140"/>
      <c r="MF376" s="140"/>
      <c r="MG376" s="140"/>
      <c r="MH376" s="140"/>
      <c r="MI376" s="140"/>
      <c r="MJ376" s="140"/>
      <c r="MK376" s="140"/>
      <c r="ML376" s="140"/>
    </row>
    <row r="377" spans="3:350" s="4" customFormat="1" ht="18" customHeight="1" collapsed="1" x14ac:dyDescent="0.3">
      <c r="H377" s="140"/>
      <c r="I377" s="140"/>
      <c r="J377" s="140"/>
      <c r="K377" s="140"/>
      <c r="L377" s="140"/>
      <c r="M377" s="140"/>
      <c r="N377" s="140"/>
      <c r="O377" s="140"/>
      <c r="P377" s="140"/>
      <c r="Q377" s="140"/>
      <c r="R377" s="140"/>
      <c r="S377" s="140"/>
      <c r="T377" s="140"/>
      <c r="U377" s="140"/>
      <c r="V377" s="140"/>
      <c r="W377" s="140"/>
      <c r="X377" s="140"/>
      <c r="Y377" s="140"/>
      <c r="Z377" s="140"/>
      <c r="AA377" s="140"/>
      <c r="AB377" s="140"/>
      <c r="AC377" s="140"/>
      <c r="AD377" s="140"/>
      <c r="AE377" s="140"/>
      <c r="AF377" s="140"/>
      <c r="AG377" s="140"/>
      <c r="AH377" s="140"/>
      <c r="AI377" s="140"/>
      <c r="AJ377" s="140"/>
      <c r="AK377" s="140"/>
      <c r="AL377" s="140"/>
      <c r="AM377" s="140"/>
      <c r="AN377" s="140"/>
      <c r="AO377" s="140"/>
      <c r="AP377" s="140"/>
      <c r="AQ377" s="140"/>
      <c r="AR377" s="140"/>
      <c r="AS377" s="140"/>
      <c r="AT377" s="140"/>
      <c r="AU377" s="140"/>
      <c r="AV377" s="140"/>
      <c r="AW377" s="140"/>
      <c r="AX377" s="140"/>
      <c r="AY377" s="140"/>
      <c r="AZ377" s="140"/>
      <c r="BA377" s="140"/>
      <c r="BB377" s="140"/>
      <c r="BC377" s="140"/>
      <c r="BD377" s="140"/>
      <c r="BE377" s="140"/>
      <c r="BF377" s="140"/>
      <c r="BG377" s="140"/>
      <c r="BH377" s="140"/>
      <c r="BI377" s="140"/>
      <c r="BJ377" s="140"/>
      <c r="BK377" s="140"/>
      <c r="BL377" s="140"/>
      <c r="BM377" s="140"/>
      <c r="BN377" s="140"/>
      <c r="BO377" s="140"/>
      <c r="BP377" s="140"/>
      <c r="BQ377" s="140"/>
      <c r="BR377" s="140"/>
      <c r="BS377" s="140"/>
      <c r="BT377" s="140"/>
      <c r="BU377" s="140"/>
      <c r="BV377" s="140"/>
      <c r="BW377" s="140"/>
      <c r="BX377" s="140"/>
      <c r="BY377" s="140"/>
      <c r="BZ377" s="140"/>
      <c r="CA377" s="140"/>
      <c r="CB377" s="140"/>
      <c r="CC377" s="140"/>
      <c r="CD377" s="140"/>
      <c r="CE377" s="140"/>
      <c r="CF377" s="140"/>
      <c r="CG377" s="140"/>
      <c r="CH377" s="140"/>
      <c r="CI377" s="140"/>
      <c r="CJ377" s="140"/>
      <c r="CK377" s="140"/>
      <c r="CL377" s="140"/>
      <c r="CM377" s="140"/>
      <c r="CN377" s="140"/>
      <c r="FJ377" s="140"/>
      <c r="FK377" s="140"/>
      <c r="FL377" s="140"/>
      <c r="FM377" s="140"/>
      <c r="FN377" s="140"/>
      <c r="FO377" s="140"/>
      <c r="FP377" s="140"/>
      <c r="FQ377" s="140"/>
      <c r="FR377" s="140"/>
      <c r="FS377" s="140"/>
      <c r="FT377" s="140"/>
      <c r="FU377" s="140"/>
      <c r="FV377" s="140"/>
      <c r="FW377" s="140"/>
      <c r="FX377" s="140"/>
      <c r="FY377" s="140"/>
      <c r="FZ377" s="140"/>
      <c r="GA377" s="140"/>
      <c r="GB377" s="140"/>
      <c r="GC377" s="140"/>
      <c r="GD377" s="140"/>
      <c r="GE377" s="140"/>
      <c r="GF377" s="140"/>
      <c r="GG377" s="140"/>
      <c r="GH377" s="140"/>
      <c r="GI377" s="140"/>
      <c r="GJ377" s="140"/>
      <c r="GK377" s="140"/>
      <c r="GL377" s="140"/>
      <c r="GM377" s="140"/>
      <c r="GN377" s="140"/>
      <c r="GO377" s="140"/>
      <c r="GP377" s="140"/>
      <c r="GQ377" s="140"/>
      <c r="GR377" s="140"/>
      <c r="GS377" s="140"/>
      <c r="GT377" s="140"/>
      <c r="GU377" s="140"/>
      <c r="GV377" s="140"/>
      <c r="GW377" s="140"/>
      <c r="GX377" s="140"/>
      <c r="GY377" s="140"/>
      <c r="GZ377" s="140"/>
      <c r="HA377" s="140"/>
      <c r="HB377" s="140"/>
      <c r="HC377" s="140"/>
      <c r="HD377" s="140"/>
      <c r="HE377" s="140"/>
      <c r="HF377" s="140"/>
      <c r="HG377" s="140"/>
      <c r="HH377" s="140"/>
      <c r="HI377" s="140"/>
      <c r="HJ377" s="140"/>
      <c r="HK377" s="140"/>
      <c r="HL377" s="140"/>
      <c r="HM377" s="140"/>
      <c r="HN377" s="140"/>
      <c r="HO377" s="140"/>
      <c r="HP377" s="140"/>
      <c r="HQ377" s="140"/>
      <c r="HR377" s="140"/>
      <c r="HS377" s="140"/>
      <c r="HT377" s="140"/>
      <c r="HU377" s="140"/>
      <c r="HV377" s="140"/>
      <c r="HW377" s="140"/>
      <c r="HX377" s="140"/>
      <c r="HY377" s="140"/>
      <c r="HZ377" s="140"/>
      <c r="IA377" s="140"/>
      <c r="IB377" s="140"/>
      <c r="IC377" s="140"/>
      <c r="ID377" s="140"/>
      <c r="IE377" s="140"/>
      <c r="IF377" s="140"/>
      <c r="IG377" s="140"/>
      <c r="IH377" s="140"/>
      <c r="II377" s="140"/>
      <c r="IJ377" s="140"/>
      <c r="IK377" s="140"/>
      <c r="IL377" s="140"/>
      <c r="IM377" s="140"/>
      <c r="IN377" s="140"/>
      <c r="IO377" s="140"/>
      <c r="IP377" s="140"/>
      <c r="IQ377" s="140"/>
      <c r="IR377" s="140"/>
      <c r="IS377" s="140"/>
      <c r="IT377" s="140"/>
      <c r="IU377" s="140"/>
      <c r="IV377" s="140"/>
      <c r="IW377" s="140"/>
      <c r="IX377" s="140"/>
      <c r="IY377" s="140"/>
      <c r="IZ377" s="140"/>
      <c r="JA377" s="140"/>
      <c r="JB377" s="140"/>
      <c r="JC377" s="140"/>
      <c r="JD377" s="140"/>
      <c r="JE377" s="140"/>
      <c r="JF377" s="140"/>
      <c r="JG377" s="140"/>
      <c r="JH377" s="140"/>
      <c r="JI377" s="140"/>
      <c r="JJ377" s="140"/>
      <c r="JK377" s="140"/>
      <c r="JL377" s="140"/>
      <c r="JM377" s="140"/>
      <c r="JN377" s="140"/>
      <c r="JO377" s="140"/>
      <c r="JP377" s="140"/>
      <c r="JQ377" s="140"/>
      <c r="JR377" s="140"/>
      <c r="JS377" s="140"/>
      <c r="JT377" s="140"/>
      <c r="JU377" s="140"/>
      <c r="JV377" s="140"/>
      <c r="JW377" s="140"/>
      <c r="JX377" s="140"/>
      <c r="JY377" s="140"/>
      <c r="JZ377" s="140"/>
      <c r="KA377" s="140"/>
      <c r="KB377" s="140"/>
      <c r="KC377" s="140"/>
      <c r="KD377" s="140"/>
      <c r="KE377" s="140"/>
      <c r="KF377" s="140"/>
      <c r="KG377" s="140"/>
      <c r="KH377" s="140"/>
      <c r="KI377" s="140"/>
      <c r="KJ377" s="140"/>
      <c r="KK377" s="140"/>
      <c r="KL377" s="140"/>
      <c r="KM377" s="140"/>
      <c r="KN377" s="140"/>
      <c r="KO377" s="140"/>
      <c r="KP377" s="140"/>
      <c r="KQ377" s="140"/>
      <c r="KR377" s="140"/>
      <c r="KS377" s="140"/>
      <c r="KT377" s="140"/>
      <c r="KU377" s="140"/>
      <c r="KV377" s="140"/>
      <c r="KW377" s="140"/>
      <c r="KX377" s="140"/>
      <c r="KY377" s="140"/>
      <c r="KZ377" s="140"/>
      <c r="LA377" s="140"/>
      <c r="LB377" s="140"/>
      <c r="LC377" s="140"/>
      <c r="LD377" s="140"/>
      <c r="LE377" s="140"/>
      <c r="LF377" s="140"/>
      <c r="LG377" s="140"/>
      <c r="LH377" s="140"/>
      <c r="LI377" s="140"/>
      <c r="LJ377" s="140"/>
      <c r="LK377" s="140"/>
      <c r="LL377" s="140"/>
      <c r="LM377" s="140"/>
      <c r="LN377" s="140"/>
      <c r="LO377" s="140"/>
      <c r="LP377" s="140"/>
      <c r="LQ377" s="140"/>
      <c r="LR377" s="140"/>
      <c r="LS377" s="140"/>
      <c r="LT377" s="140"/>
      <c r="LU377" s="140"/>
      <c r="LV377" s="140"/>
      <c r="LW377" s="140"/>
      <c r="LX377" s="140"/>
      <c r="LY377" s="140"/>
      <c r="LZ377" s="140"/>
      <c r="MA377" s="140"/>
      <c r="MB377" s="140"/>
      <c r="MC377" s="140"/>
      <c r="MD377" s="140"/>
      <c r="ME377" s="140"/>
      <c r="MF377" s="140"/>
      <c r="MG377" s="140"/>
      <c r="MH377" s="140"/>
      <c r="MI377" s="140"/>
      <c r="MJ377" s="140"/>
      <c r="MK377" s="140"/>
      <c r="ML377" s="140"/>
    </row>
    <row r="378" spans="3:350" s="4" customFormat="1" ht="18" customHeight="1" x14ac:dyDescent="0.3">
      <c r="H378" s="140"/>
      <c r="I378" s="140"/>
      <c r="J378" s="140"/>
      <c r="K378" s="140"/>
      <c r="L378" s="140"/>
      <c r="M378" s="140"/>
      <c r="N378" s="140"/>
      <c r="O378" s="140"/>
      <c r="P378" s="140"/>
      <c r="Q378" s="140"/>
      <c r="R378" s="140"/>
      <c r="S378" s="140"/>
      <c r="T378" s="140"/>
      <c r="U378" s="140"/>
      <c r="V378" s="140"/>
      <c r="W378" s="140"/>
      <c r="X378" s="140"/>
      <c r="Y378" s="140"/>
      <c r="Z378" s="140"/>
      <c r="AA378" s="140"/>
      <c r="AB378" s="140"/>
      <c r="AC378" s="140"/>
      <c r="AD378" s="140"/>
      <c r="AE378" s="140"/>
      <c r="AF378" s="140"/>
      <c r="AG378" s="140"/>
      <c r="AH378" s="140"/>
      <c r="AI378" s="140"/>
      <c r="AJ378" s="140"/>
      <c r="AK378" s="140"/>
      <c r="AL378" s="140"/>
      <c r="AM378" s="140"/>
      <c r="AN378" s="140"/>
      <c r="AO378" s="140"/>
      <c r="AP378" s="140"/>
      <c r="AQ378" s="140"/>
      <c r="AR378" s="140"/>
      <c r="AS378" s="140"/>
      <c r="AT378" s="140"/>
      <c r="AU378" s="140"/>
      <c r="AV378" s="140"/>
      <c r="AW378" s="140"/>
      <c r="AX378" s="140"/>
      <c r="AY378" s="140"/>
      <c r="AZ378" s="140"/>
      <c r="BA378" s="140"/>
      <c r="BB378" s="140"/>
      <c r="BC378" s="140"/>
      <c r="BD378" s="140"/>
      <c r="BE378" s="140"/>
      <c r="BF378" s="140"/>
      <c r="BG378" s="140"/>
      <c r="BH378" s="140"/>
      <c r="BI378" s="140"/>
      <c r="BJ378" s="140"/>
      <c r="BK378" s="140"/>
      <c r="BL378" s="140"/>
      <c r="BM378" s="140"/>
      <c r="BN378" s="140"/>
      <c r="BO378" s="140"/>
      <c r="BP378" s="140"/>
      <c r="BQ378" s="140"/>
      <c r="BR378" s="140"/>
      <c r="BS378" s="140"/>
      <c r="BT378" s="140"/>
      <c r="BU378" s="140"/>
      <c r="BV378" s="140"/>
      <c r="BW378" s="140"/>
      <c r="BX378" s="140"/>
      <c r="BY378" s="140"/>
      <c r="BZ378" s="140"/>
      <c r="CA378" s="140"/>
      <c r="CB378" s="140"/>
      <c r="CC378" s="140"/>
      <c r="CD378" s="140"/>
      <c r="CE378" s="140"/>
      <c r="CF378" s="140"/>
      <c r="CG378" s="140"/>
      <c r="CH378" s="140"/>
      <c r="CI378" s="140"/>
      <c r="CJ378" s="140"/>
      <c r="CK378" s="140"/>
      <c r="CL378" s="140"/>
      <c r="CM378" s="140"/>
      <c r="CN378" s="140"/>
      <c r="FJ378" s="140"/>
      <c r="FK378" s="140"/>
      <c r="FL378" s="140"/>
      <c r="FM378" s="140"/>
      <c r="FN378" s="140"/>
      <c r="FO378" s="140"/>
      <c r="FP378" s="140"/>
      <c r="FQ378" s="140"/>
      <c r="FR378" s="140"/>
      <c r="FS378" s="140"/>
      <c r="FT378" s="140"/>
      <c r="FU378" s="140"/>
      <c r="FV378" s="140"/>
      <c r="FW378" s="140"/>
      <c r="FX378" s="140"/>
      <c r="FY378" s="140"/>
      <c r="FZ378" s="140"/>
      <c r="GA378" s="140"/>
      <c r="GB378" s="140"/>
      <c r="GC378" s="140"/>
      <c r="GD378" s="140"/>
      <c r="GE378" s="140"/>
      <c r="GF378" s="140"/>
      <c r="GG378" s="140"/>
      <c r="GH378" s="140"/>
      <c r="GI378" s="140"/>
      <c r="GJ378" s="140"/>
      <c r="GK378" s="140"/>
      <c r="GL378" s="140"/>
      <c r="GM378" s="140"/>
      <c r="GN378" s="140"/>
      <c r="GO378" s="140"/>
      <c r="GP378" s="140"/>
      <c r="GQ378" s="140"/>
      <c r="GR378" s="140"/>
      <c r="GS378" s="140"/>
      <c r="GT378" s="140"/>
      <c r="GU378" s="140"/>
      <c r="GV378" s="140"/>
      <c r="GW378" s="140"/>
      <c r="GX378" s="140"/>
      <c r="GY378" s="140"/>
      <c r="GZ378" s="140"/>
      <c r="HA378" s="140"/>
      <c r="HB378" s="140"/>
      <c r="HC378" s="140"/>
      <c r="HD378" s="140"/>
      <c r="HE378" s="140"/>
      <c r="HF378" s="140"/>
      <c r="HG378" s="140"/>
      <c r="HH378" s="140"/>
      <c r="HI378" s="140"/>
      <c r="HJ378" s="140"/>
      <c r="HK378" s="140"/>
      <c r="HL378" s="140"/>
      <c r="HM378" s="140"/>
      <c r="HN378" s="140"/>
      <c r="HO378" s="140"/>
      <c r="HP378" s="140"/>
      <c r="HQ378" s="140"/>
      <c r="HR378" s="140"/>
      <c r="HS378" s="140"/>
      <c r="HT378" s="140"/>
      <c r="HU378" s="140"/>
      <c r="HV378" s="140"/>
      <c r="HW378" s="140"/>
      <c r="HX378" s="140"/>
      <c r="HY378" s="140"/>
      <c r="HZ378" s="140"/>
      <c r="IA378" s="140"/>
      <c r="IB378" s="140"/>
      <c r="IC378" s="140"/>
      <c r="ID378" s="140"/>
      <c r="IE378" s="140"/>
      <c r="IF378" s="140"/>
      <c r="IG378" s="140"/>
      <c r="IH378" s="140"/>
      <c r="II378" s="140"/>
      <c r="IJ378" s="140"/>
      <c r="IK378" s="140"/>
      <c r="IL378" s="140"/>
      <c r="IM378" s="140"/>
      <c r="IN378" s="140"/>
      <c r="IO378" s="140"/>
      <c r="IP378" s="140"/>
      <c r="IQ378" s="140"/>
      <c r="IR378" s="140"/>
      <c r="IS378" s="140"/>
      <c r="IT378" s="140"/>
      <c r="IU378" s="140"/>
      <c r="IV378" s="140"/>
      <c r="IW378" s="140"/>
      <c r="IX378" s="140"/>
      <c r="IY378" s="140"/>
      <c r="IZ378" s="140"/>
      <c r="JA378" s="140"/>
      <c r="JB378" s="140"/>
      <c r="JC378" s="140"/>
      <c r="JD378" s="140"/>
      <c r="JE378" s="140"/>
      <c r="JF378" s="140"/>
      <c r="JG378" s="140"/>
      <c r="JH378" s="140"/>
      <c r="JI378" s="140"/>
      <c r="JJ378" s="140"/>
      <c r="JK378" s="140"/>
      <c r="JL378" s="140"/>
      <c r="JM378" s="140"/>
      <c r="JN378" s="140"/>
      <c r="JO378" s="140"/>
      <c r="JP378" s="140"/>
      <c r="JQ378" s="140"/>
      <c r="JR378" s="140"/>
      <c r="JS378" s="140"/>
      <c r="JT378" s="140"/>
      <c r="JU378" s="140"/>
      <c r="JV378" s="140"/>
      <c r="JW378" s="140"/>
      <c r="JX378" s="140"/>
      <c r="JY378" s="140"/>
      <c r="JZ378" s="140"/>
      <c r="KA378" s="140"/>
      <c r="KB378" s="140"/>
      <c r="KC378" s="140"/>
      <c r="KD378" s="140"/>
      <c r="KE378" s="140"/>
      <c r="KF378" s="140"/>
      <c r="KG378" s="140"/>
      <c r="KH378" s="140"/>
      <c r="KI378" s="140"/>
      <c r="KJ378" s="140"/>
      <c r="KK378" s="140"/>
      <c r="KL378" s="140"/>
      <c r="KM378" s="140"/>
      <c r="KN378" s="140"/>
      <c r="KO378" s="140"/>
      <c r="KP378" s="140"/>
      <c r="KQ378" s="140"/>
      <c r="KR378" s="140"/>
      <c r="KS378" s="140"/>
      <c r="KT378" s="140"/>
      <c r="KU378" s="140"/>
      <c r="KV378" s="140"/>
      <c r="KW378" s="140"/>
      <c r="KX378" s="140"/>
      <c r="KY378" s="140"/>
      <c r="KZ378" s="140"/>
      <c r="LA378" s="140"/>
      <c r="LB378" s="140"/>
      <c r="LC378" s="140"/>
      <c r="LD378" s="140"/>
      <c r="LE378" s="140"/>
      <c r="LF378" s="140"/>
      <c r="LG378" s="140"/>
      <c r="LH378" s="140"/>
      <c r="LI378" s="140"/>
      <c r="LJ378" s="140"/>
      <c r="LK378" s="140"/>
      <c r="LL378" s="140"/>
      <c r="LM378" s="140"/>
      <c r="LN378" s="140"/>
      <c r="LO378" s="140"/>
      <c r="LP378" s="140"/>
      <c r="LQ378" s="140"/>
      <c r="LR378" s="140"/>
      <c r="LS378" s="140"/>
      <c r="LT378" s="140"/>
      <c r="LU378" s="140"/>
      <c r="LV378" s="140"/>
      <c r="LW378" s="140"/>
      <c r="LX378" s="140"/>
      <c r="LY378" s="140"/>
      <c r="LZ378" s="140"/>
      <c r="MA378" s="140"/>
      <c r="MB378" s="140"/>
      <c r="MC378" s="140"/>
      <c r="MD378" s="140"/>
      <c r="ME378" s="140"/>
      <c r="MF378" s="140"/>
      <c r="MG378" s="140"/>
      <c r="MH378" s="140"/>
      <c r="MI378" s="140"/>
      <c r="MJ378" s="140"/>
      <c r="MK378" s="140"/>
      <c r="ML378" s="140"/>
    </row>
    <row r="379" spans="3:350" s="4" customFormat="1" ht="18" customHeight="1" x14ac:dyDescent="0.3">
      <c r="H379" s="140"/>
      <c r="I379" s="140"/>
      <c r="J379" s="140"/>
      <c r="K379" s="140"/>
      <c r="L379" s="140"/>
      <c r="M379" s="140"/>
      <c r="N379" s="140"/>
      <c r="O379" s="140"/>
      <c r="P379" s="140"/>
      <c r="Q379" s="140"/>
      <c r="R379" s="140"/>
      <c r="S379" s="140"/>
      <c r="T379" s="140"/>
      <c r="U379" s="140"/>
      <c r="V379" s="140"/>
      <c r="W379" s="140"/>
      <c r="X379" s="140"/>
      <c r="Y379" s="140"/>
      <c r="Z379" s="140"/>
      <c r="AA379" s="140"/>
      <c r="AB379" s="140"/>
      <c r="AC379" s="140"/>
      <c r="AD379" s="140"/>
      <c r="AE379" s="140"/>
      <c r="AF379" s="140"/>
      <c r="AG379" s="140"/>
      <c r="AH379" s="140"/>
      <c r="AI379" s="140"/>
      <c r="AJ379" s="140"/>
      <c r="AK379" s="140"/>
      <c r="AL379" s="140"/>
      <c r="AM379" s="140"/>
      <c r="AN379" s="140"/>
      <c r="AO379" s="140"/>
      <c r="AP379" s="140"/>
      <c r="AQ379" s="140"/>
      <c r="AR379" s="140"/>
      <c r="AS379" s="140"/>
      <c r="AT379" s="140"/>
      <c r="AU379" s="140"/>
      <c r="AV379" s="140"/>
      <c r="AW379" s="140"/>
      <c r="AX379" s="140"/>
      <c r="AY379" s="140"/>
      <c r="AZ379" s="140"/>
      <c r="BA379" s="140"/>
      <c r="BB379" s="140"/>
      <c r="BC379" s="140"/>
      <c r="BD379" s="140"/>
      <c r="BE379" s="140"/>
      <c r="BF379" s="140"/>
      <c r="BG379" s="140"/>
      <c r="BH379" s="140"/>
      <c r="BI379" s="140"/>
      <c r="BJ379" s="140"/>
      <c r="BK379" s="140"/>
      <c r="BL379" s="140"/>
      <c r="BM379" s="140"/>
      <c r="BN379" s="140"/>
      <c r="BO379" s="140"/>
      <c r="BP379" s="140"/>
      <c r="BQ379" s="140"/>
      <c r="BR379" s="140"/>
      <c r="BS379" s="140"/>
      <c r="BT379" s="140"/>
      <c r="BU379" s="140"/>
      <c r="BV379" s="140"/>
      <c r="BW379" s="140"/>
      <c r="BX379" s="140"/>
      <c r="BY379" s="140"/>
      <c r="BZ379" s="140"/>
      <c r="CA379" s="140"/>
      <c r="CB379" s="140"/>
      <c r="CC379" s="140"/>
      <c r="CD379" s="140"/>
      <c r="CE379" s="140"/>
      <c r="CF379" s="140"/>
      <c r="CG379" s="140"/>
      <c r="CH379" s="140"/>
      <c r="CI379" s="140"/>
      <c r="CJ379" s="140"/>
      <c r="CK379" s="140"/>
      <c r="CL379" s="140"/>
      <c r="CM379" s="140"/>
      <c r="CN379" s="140"/>
      <c r="FJ379" s="140"/>
      <c r="FK379" s="140"/>
      <c r="FL379" s="140"/>
      <c r="FM379" s="140"/>
      <c r="FN379" s="140"/>
      <c r="FO379" s="140"/>
      <c r="FP379" s="140"/>
      <c r="FQ379" s="140"/>
      <c r="FR379" s="140"/>
      <c r="FS379" s="140"/>
      <c r="FT379" s="140"/>
      <c r="FU379" s="140"/>
      <c r="FV379" s="140"/>
      <c r="FW379" s="140"/>
      <c r="FX379" s="140"/>
      <c r="FY379" s="140"/>
      <c r="FZ379" s="140"/>
      <c r="GA379" s="140"/>
      <c r="GB379" s="140"/>
      <c r="GC379" s="140"/>
      <c r="GD379" s="140"/>
      <c r="GE379" s="140"/>
      <c r="GF379" s="140"/>
      <c r="GG379" s="140"/>
      <c r="GH379" s="140"/>
      <c r="GI379" s="140"/>
      <c r="GJ379" s="140"/>
      <c r="GK379" s="140"/>
      <c r="GL379" s="140"/>
      <c r="GM379" s="140"/>
      <c r="GN379" s="140"/>
      <c r="GO379" s="140"/>
      <c r="GP379" s="140"/>
      <c r="GQ379" s="140"/>
      <c r="GR379" s="140"/>
      <c r="GS379" s="140"/>
      <c r="GT379" s="140"/>
      <c r="GU379" s="140"/>
      <c r="GV379" s="140"/>
      <c r="GW379" s="140"/>
      <c r="GX379" s="140"/>
      <c r="GY379" s="140"/>
      <c r="GZ379" s="140"/>
      <c r="HA379" s="140"/>
      <c r="HB379" s="140"/>
      <c r="HC379" s="140"/>
      <c r="HD379" s="140"/>
      <c r="HE379" s="140"/>
      <c r="HF379" s="140"/>
      <c r="HG379" s="140"/>
      <c r="HH379" s="140"/>
      <c r="HI379" s="140"/>
      <c r="HJ379" s="140"/>
      <c r="HK379" s="140"/>
      <c r="HL379" s="140"/>
      <c r="HM379" s="140"/>
      <c r="HN379" s="140"/>
      <c r="HO379" s="140"/>
      <c r="HP379" s="140"/>
      <c r="HQ379" s="140"/>
      <c r="HR379" s="140"/>
      <c r="HS379" s="140"/>
      <c r="HT379" s="140"/>
      <c r="HU379" s="140"/>
      <c r="HV379" s="140"/>
      <c r="HW379" s="140"/>
      <c r="HX379" s="140"/>
      <c r="HY379" s="140"/>
      <c r="HZ379" s="140"/>
      <c r="IA379" s="140"/>
      <c r="IB379" s="140"/>
      <c r="IC379" s="140"/>
      <c r="ID379" s="140"/>
      <c r="IE379" s="140"/>
      <c r="IF379" s="140"/>
      <c r="IG379" s="140"/>
      <c r="IH379" s="140"/>
      <c r="II379" s="140"/>
      <c r="IJ379" s="140"/>
      <c r="IK379" s="140"/>
      <c r="IL379" s="140"/>
      <c r="IM379" s="140"/>
      <c r="IN379" s="140"/>
      <c r="IO379" s="140"/>
      <c r="IP379" s="140"/>
      <c r="IQ379" s="140"/>
      <c r="IR379" s="140"/>
      <c r="IS379" s="140"/>
      <c r="IT379" s="140"/>
      <c r="IU379" s="140"/>
      <c r="IV379" s="140"/>
      <c r="IW379" s="140"/>
      <c r="IX379" s="140"/>
      <c r="IY379" s="140"/>
      <c r="IZ379" s="140"/>
      <c r="JA379" s="140"/>
      <c r="JB379" s="140"/>
      <c r="JC379" s="140"/>
      <c r="JD379" s="140"/>
      <c r="JE379" s="140"/>
      <c r="JF379" s="140"/>
      <c r="JG379" s="140"/>
      <c r="JH379" s="140"/>
      <c r="JI379" s="140"/>
      <c r="JJ379" s="140"/>
      <c r="JK379" s="140"/>
      <c r="JL379" s="140"/>
      <c r="JM379" s="140"/>
      <c r="JN379" s="140"/>
      <c r="JO379" s="140"/>
      <c r="JP379" s="140"/>
      <c r="JQ379" s="140"/>
      <c r="JR379" s="140"/>
      <c r="JS379" s="140"/>
      <c r="JT379" s="140"/>
      <c r="JU379" s="140"/>
      <c r="JV379" s="140"/>
      <c r="JW379" s="140"/>
      <c r="JX379" s="140"/>
      <c r="JY379" s="140"/>
      <c r="JZ379" s="140"/>
      <c r="KA379" s="140"/>
      <c r="KB379" s="140"/>
      <c r="KC379" s="140"/>
      <c r="KD379" s="140"/>
      <c r="KE379" s="140"/>
      <c r="KF379" s="140"/>
      <c r="KG379" s="140"/>
      <c r="KH379" s="140"/>
      <c r="KI379" s="140"/>
      <c r="KJ379" s="140"/>
      <c r="KK379" s="140"/>
      <c r="KL379" s="140"/>
      <c r="KM379" s="140"/>
      <c r="KN379" s="140"/>
      <c r="KO379" s="140"/>
      <c r="KP379" s="140"/>
      <c r="KQ379" s="140"/>
      <c r="KR379" s="140"/>
      <c r="KS379" s="140"/>
      <c r="KT379" s="140"/>
      <c r="KU379" s="140"/>
      <c r="KV379" s="140"/>
      <c r="KW379" s="140"/>
      <c r="KX379" s="140"/>
      <c r="KY379" s="140"/>
      <c r="KZ379" s="140"/>
      <c r="LA379" s="140"/>
      <c r="LB379" s="140"/>
      <c r="LC379" s="140"/>
      <c r="LD379" s="140"/>
      <c r="LE379" s="140"/>
      <c r="LF379" s="140"/>
      <c r="LG379" s="140"/>
      <c r="LH379" s="140"/>
      <c r="LI379" s="140"/>
      <c r="LJ379" s="140"/>
      <c r="LK379" s="140"/>
      <c r="LL379" s="140"/>
      <c r="LM379" s="140"/>
      <c r="LN379" s="140"/>
      <c r="LO379" s="140"/>
      <c r="LP379" s="140"/>
      <c r="LQ379" s="140"/>
      <c r="LR379" s="140"/>
      <c r="LS379" s="140"/>
      <c r="LT379" s="140"/>
      <c r="LU379" s="140"/>
      <c r="LV379" s="140"/>
      <c r="LW379" s="140"/>
      <c r="LX379" s="140"/>
      <c r="LY379" s="140"/>
      <c r="LZ379" s="140"/>
      <c r="MA379" s="140"/>
      <c r="MB379" s="140"/>
      <c r="MC379" s="140"/>
      <c r="MD379" s="140"/>
      <c r="ME379" s="140"/>
      <c r="MF379" s="140"/>
      <c r="MG379" s="140"/>
      <c r="MH379" s="140"/>
      <c r="MI379" s="140"/>
      <c r="MJ379" s="140"/>
      <c r="MK379" s="140"/>
      <c r="ML379" s="140"/>
    </row>
    <row r="380" spans="3:350" s="4" customFormat="1" ht="18" customHeight="1" x14ac:dyDescent="0.3">
      <c r="H380" s="140"/>
      <c r="I380" s="140"/>
      <c r="J380" s="140"/>
      <c r="K380" s="140"/>
      <c r="L380" s="140"/>
      <c r="M380" s="140"/>
      <c r="N380" s="140"/>
      <c r="O380" s="140"/>
      <c r="P380" s="140"/>
      <c r="Q380" s="140"/>
      <c r="R380" s="140"/>
      <c r="S380" s="140"/>
      <c r="T380" s="140"/>
      <c r="U380" s="140"/>
      <c r="V380" s="140"/>
      <c r="W380" s="140"/>
      <c r="X380" s="140"/>
      <c r="Y380" s="140"/>
      <c r="Z380" s="140"/>
      <c r="AA380" s="140"/>
      <c r="AB380" s="140"/>
      <c r="AC380" s="140"/>
      <c r="AD380" s="140"/>
      <c r="AE380" s="140"/>
      <c r="AF380" s="140"/>
      <c r="AG380" s="140"/>
      <c r="AH380" s="140"/>
      <c r="AI380" s="140"/>
      <c r="AJ380" s="140"/>
      <c r="AK380" s="140"/>
      <c r="AL380" s="140"/>
      <c r="AM380" s="140"/>
      <c r="AN380" s="140"/>
      <c r="AO380" s="140"/>
      <c r="AP380" s="140"/>
      <c r="AQ380" s="140"/>
      <c r="AR380" s="140"/>
      <c r="AS380" s="140"/>
      <c r="AT380" s="140"/>
      <c r="AU380" s="140"/>
      <c r="AV380" s="140"/>
      <c r="AW380" s="140"/>
      <c r="AX380" s="140"/>
      <c r="AY380" s="140"/>
      <c r="AZ380" s="140"/>
      <c r="BA380" s="140"/>
      <c r="BB380" s="140"/>
      <c r="BC380" s="140"/>
      <c r="BD380" s="140"/>
      <c r="BE380" s="140"/>
      <c r="BF380" s="140"/>
      <c r="BG380" s="140"/>
      <c r="BH380" s="140"/>
      <c r="BI380" s="140"/>
      <c r="BJ380" s="140"/>
      <c r="BK380" s="140"/>
      <c r="BL380" s="140"/>
      <c r="BM380" s="140"/>
      <c r="BN380" s="140"/>
      <c r="BO380" s="140"/>
      <c r="BP380" s="140"/>
      <c r="BQ380" s="140"/>
      <c r="BR380" s="140"/>
      <c r="BS380" s="140"/>
      <c r="BT380" s="140"/>
      <c r="BU380" s="140"/>
      <c r="BV380" s="140"/>
      <c r="BW380" s="140"/>
      <c r="BX380" s="140"/>
      <c r="BY380" s="140"/>
      <c r="BZ380" s="140"/>
      <c r="CA380" s="140"/>
      <c r="CB380" s="140"/>
      <c r="CC380" s="140"/>
      <c r="CD380" s="140"/>
      <c r="CE380" s="140"/>
      <c r="CF380" s="140"/>
      <c r="CG380" s="140"/>
      <c r="CH380" s="140"/>
      <c r="CI380" s="140"/>
      <c r="CJ380" s="140"/>
      <c r="CK380" s="140"/>
      <c r="CL380" s="140"/>
      <c r="CM380" s="140"/>
      <c r="CN380" s="140"/>
      <c r="FJ380" s="140"/>
      <c r="FK380" s="140"/>
      <c r="FL380" s="140"/>
      <c r="FM380" s="140"/>
      <c r="FN380" s="140"/>
      <c r="FO380" s="140"/>
      <c r="FP380" s="140"/>
      <c r="FQ380" s="140"/>
      <c r="FR380" s="140"/>
      <c r="FS380" s="140"/>
      <c r="FT380" s="140"/>
      <c r="FU380" s="140"/>
      <c r="FV380" s="140"/>
      <c r="FW380" s="140"/>
      <c r="FX380" s="140"/>
      <c r="FY380" s="140"/>
      <c r="FZ380" s="140"/>
      <c r="GA380" s="140"/>
      <c r="GB380" s="140"/>
      <c r="GC380" s="140"/>
      <c r="GD380" s="140"/>
      <c r="GE380" s="140"/>
      <c r="GF380" s="140"/>
      <c r="GG380" s="140"/>
      <c r="GH380" s="140"/>
      <c r="GI380" s="140"/>
      <c r="GJ380" s="140"/>
      <c r="GK380" s="140"/>
      <c r="GL380" s="140"/>
      <c r="GM380" s="140"/>
      <c r="GN380" s="140"/>
      <c r="GO380" s="140"/>
      <c r="GP380" s="140"/>
      <c r="GQ380" s="140"/>
      <c r="GR380" s="140"/>
      <c r="GS380" s="140"/>
      <c r="GT380" s="140"/>
      <c r="GU380" s="140"/>
      <c r="GV380" s="140"/>
      <c r="GW380" s="140"/>
      <c r="GX380" s="140"/>
      <c r="GY380" s="140"/>
      <c r="GZ380" s="140"/>
      <c r="HA380" s="140"/>
      <c r="HB380" s="140"/>
      <c r="HC380" s="140"/>
      <c r="HD380" s="140"/>
      <c r="HE380" s="140"/>
      <c r="HF380" s="140"/>
      <c r="HG380" s="140"/>
      <c r="HH380" s="140"/>
      <c r="HI380" s="140"/>
      <c r="HJ380" s="140"/>
      <c r="HK380" s="140"/>
      <c r="HL380" s="140"/>
      <c r="HM380" s="140"/>
      <c r="HN380" s="140"/>
      <c r="HO380" s="140"/>
      <c r="HP380" s="140"/>
      <c r="HQ380" s="140"/>
      <c r="HR380" s="140"/>
      <c r="HS380" s="140"/>
      <c r="HT380" s="140"/>
      <c r="HU380" s="140"/>
      <c r="HV380" s="140"/>
      <c r="HW380" s="140"/>
      <c r="HX380" s="140"/>
      <c r="HY380" s="140"/>
      <c r="HZ380" s="140"/>
      <c r="IA380" s="140"/>
      <c r="IB380" s="140"/>
      <c r="IC380" s="140"/>
      <c r="ID380" s="140"/>
      <c r="IE380" s="140"/>
      <c r="IF380" s="140"/>
      <c r="IG380" s="140"/>
      <c r="IH380" s="140"/>
      <c r="II380" s="140"/>
      <c r="IJ380" s="140"/>
      <c r="IK380" s="140"/>
      <c r="IL380" s="140"/>
      <c r="IM380" s="140"/>
      <c r="IN380" s="140"/>
      <c r="IO380" s="140"/>
      <c r="IP380" s="140"/>
      <c r="IQ380" s="140"/>
      <c r="IR380" s="140"/>
      <c r="IS380" s="140"/>
      <c r="IT380" s="140"/>
      <c r="IU380" s="140"/>
      <c r="IV380" s="140"/>
      <c r="IW380" s="140"/>
      <c r="IX380" s="140"/>
      <c r="IY380" s="140"/>
      <c r="IZ380" s="140"/>
      <c r="JA380" s="140"/>
      <c r="JB380" s="140"/>
      <c r="JC380" s="140"/>
      <c r="JD380" s="140"/>
      <c r="JE380" s="140"/>
      <c r="JF380" s="140"/>
      <c r="JG380" s="140"/>
      <c r="JH380" s="140"/>
      <c r="JI380" s="140"/>
      <c r="JJ380" s="140"/>
      <c r="JK380" s="140"/>
      <c r="JL380" s="140"/>
      <c r="JM380" s="140"/>
      <c r="JN380" s="140"/>
      <c r="JO380" s="140"/>
      <c r="JP380" s="140"/>
      <c r="JQ380" s="140"/>
      <c r="JR380" s="140"/>
      <c r="JS380" s="140"/>
      <c r="JT380" s="140"/>
      <c r="JU380" s="140"/>
      <c r="JV380" s="140"/>
      <c r="JW380" s="140"/>
      <c r="JX380" s="140"/>
      <c r="JY380" s="140"/>
      <c r="JZ380" s="140"/>
      <c r="KA380" s="140"/>
      <c r="KB380" s="140"/>
      <c r="KC380" s="140"/>
      <c r="KD380" s="140"/>
      <c r="KE380" s="140"/>
      <c r="KF380" s="140"/>
      <c r="KG380" s="140"/>
      <c r="KH380" s="140"/>
      <c r="KI380" s="140"/>
      <c r="KJ380" s="140"/>
      <c r="KK380" s="140"/>
      <c r="KL380" s="140"/>
      <c r="KM380" s="140"/>
      <c r="KN380" s="140"/>
      <c r="KO380" s="140"/>
      <c r="KP380" s="140"/>
      <c r="KQ380" s="140"/>
      <c r="KR380" s="140"/>
      <c r="KS380" s="140"/>
      <c r="KT380" s="140"/>
      <c r="KU380" s="140"/>
      <c r="KV380" s="140"/>
      <c r="KW380" s="140"/>
      <c r="KX380" s="140"/>
      <c r="KY380" s="140"/>
      <c r="KZ380" s="140"/>
      <c r="LA380" s="140"/>
      <c r="LB380" s="140"/>
      <c r="LC380" s="140"/>
      <c r="LD380" s="140"/>
      <c r="LE380" s="140"/>
      <c r="LF380" s="140"/>
      <c r="LG380" s="140"/>
      <c r="LH380" s="140"/>
      <c r="LI380" s="140"/>
      <c r="LJ380" s="140"/>
      <c r="LK380" s="140"/>
      <c r="LL380" s="140"/>
      <c r="LM380" s="140"/>
      <c r="LN380" s="140"/>
      <c r="LO380" s="140"/>
      <c r="LP380" s="140"/>
      <c r="LQ380" s="140"/>
      <c r="LR380" s="140"/>
      <c r="LS380" s="140"/>
      <c r="LT380" s="140"/>
      <c r="LU380" s="140"/>
      <c r="LV380" s="140"/>
      <c r="LW380" s="140"/>
      <c r="LX380" s="140"/>
      <c r="LY380" s="140"/>
      <c r="LZ380" s="140"/>
      <c r="MA380" s="140"/>
      <c r="MB380" s="140"/>
      <c r="MC380" s="140"/>
      <c r="MD380" s="140"/>
      <c r="ME380" s="140"/>
      <c r="MF380" s="140"/>
      <c r="MG380" s="140"/>
      <c r="MH380" s="140"/>
      <c r="MI380" s="140"/>
      <c r="MJ380" s="140"/>
      <c r="MK380" s="140"/>
      <c r="ML380" s="140"/>
    </row>
    <row r="381" spans="3:350" s="4" customFormat="1" ht="18" customHeight="1" x14ac:dyDescent="0.3">
      <c r="H381" s="140"/>
      <c r="I381" s="140"/>
      <c r="J381" s="140"/>
      <c r="K381" s="140"/>
      <c r="L381" s="140"/>
      <c r="M381" s="140"/>
      <c r="N381" s="140"/>
      <c r="O381" s="140"/>
      <c r="P381" s="140"/>
      <c r="Q381" s="140"/>
      <c r="R381" s="140"/>
      <c r="S381" s="140"/>
      <c r="T381" s="140"/>
      <c r="U381" s="140"/>
      <c r="V381" s="140"/>
      <c r="W381" s="140"/>
      <c r="X381" s="140"/>
      <c r="Y381" s="140"/>
      <c r="Z381" s="140"/>
      <c r="AA381" s="140"/>
      <c r="AB381" s="140"/>
      <c r="AC381" s="140"/>
      <c r="AD381" s="140"/>
      <c r="AE381" s="140"/>
      <c r="AF381" s="140"/>
      <c r="AG381" s="140"/>
      <c r="AH381" s="140"/>
      <c r="AI381" s="140"/>
      <c r="AJ381" s="140"/>
      <c r="AK381" s="140"/>
      <c r="AL381" s="140"/>
      <c r="AM381" s="140"/>
      <c r="AN381" s="140"/>
      <c r="AO381" s="140"/>
      <c r="AP381" s="140"/>
      <c r="AQ381" s="140"/>
      <c r="AR381" s="140"/>
      <c r="AS381" s="140"/>
      <c r="AT381" s="140"/>
      <c r="AU381" s="140"/>
      <c r="AV381" s="140"/>
      <c r="AW381" s="140"/>
      <c r="AX381" s="140"/>
      <c r="AY381" s="140"/>
      <c r="AZ381" s="140"/>
      <c r="BA381" s="140"/>
      <c r="BB381" s="140"/>
      <c r="BC381" s="140"/>
      <c r="BD381" s="140"/>
      <c r="BE381" s="140"/>
      <c r="BF381" s="140"/>
      <c r="BG381" s="140"/>
      <c r="BH381" s="140"/>
      <c r="BI381" s="140"/>
      <c r="BJ381" s="140"/>
      <c r="BK381" s="140"/>
      <c r="BL381" s="140"/>
      <c r="BM381" s="140"/>
      <c r="BN381" s="140"/>
      <c r="BO381" s="140"/>
      <c r="BP381" s="140"/>
      <c r="BQ381" s="140"/>
      <c r="BR381" s="140"/>
      <c r="BS381" s="140"/>
      <c r="BT381" s="140"/>
      <c r="BU381" s="140"/>
      <c r="BV381" s="140"/>
      <c r="BW381" s="140"/>
      <c r="BX381" s="140"/>
      <c r="BY381" s="140"/>
      <c r="BZ381" s="140"/>
      <c r="CA381" s="140"/>
      <c r="CB381" s="140"/>
      <c r="CC381" s="140"/>
      <c r="CD381" s="140"/>
      <c r="CE381" s="140"/>
      <c r="CF381" s="140"/>
      <c r="CG381" s="140"/>
      <c r="CH381" s="140"/>
      <c r="CI381" s="140"/>
      <c r="CJ381" s="140"/>
      <c r="CK381" s="140"/>
      <c r="CL381" s="140"/>
      <c r="CM381" s="140"/>
      <c r="CN381" s="140"/>
      <c r="FJ381" s="140"/>
      <c r="FK381" s="140"/>
      <c r="FL381" s="140"/>
      <c r="FM381" s="140"/>
      <c r="FN381" s="140"/>
      <c r="FO381" s="140"/>
      <c r="FP381" s="140"/>
      <c r="FQ381" s="140"/>
      <c r="FR381" s="140"/>
      <c r="FS381" s="140"/>
      <c r="FT381" s="140"/>
      <c r="FU381" s="140"/>
      <c r="FV381" s="140"/>
      <c r="FW381" s="140"/>
      <c r="FX381" s="140"/>
      <c r="FY381" s="140"/>
      <c r="FZ381" s="140"/>
      <c r="GA381" s="140"/>
      <c r="GB381" s="140"/>
      <c r="GC381" s="140"/>
      <c r="GD381" s="140"/>
      <c r="GE381" s="140"/>
      <c r="GF381" s="140"/>
      <c r="GG381" s="140"/>
      <c r="GH381" s="140"/>
      <c r="GI381" s="140"/>
      <c r="GJ381" s="140"/>
      <c r="GK381" s="140"/>
      <c r="GL381" s="140"/>
      <c r="GM381" s="140"/>
      <c r="GN381" s="140"/>
      <c r="GO381" s="140"/>
      <c r="GP381" s="140"/>
      <c r="GQ381" s="140"/>
      <c r="GR381" s="140"/>
      <c r="GS381" s="140"/>
      <c r="GT381" s="140"/>
      <c r="GU381" s="140"/>
      <c r="GV381" s="140"/>
      <c r="GW381" s="140"/>
      <c r="GX381" s="140"/>
      <c r="GY381" s="140"/>
      <c r="GZ381" s="140"/>
      <c r="HA381" s="140"/>
      <c r="HB381" s="140"/>
      <c r="HC381" s="140"/>
      <c r="HD381" s="140"/>
      <c r="HE381" s="140"/>
      <c r="HF381" s="140"/>
      <c r="HG381" s="140"/>
      <c r="HH381" s="140"/>
      <c r="HI381" s="140"/>
      <c r="HJ381" s="140"/>
      <c r="HK381" s="140"/>
      <c r="HL381" s="140"/>
      <c r="HM381" s="140"/>
      <c r="HN381" s="140"/>
      <c r="HO381" s="140"/>
      <c r="HP381" s="140"/>
      <c r="HQ381" s="140"/>
      <c r="HR381" s="140"/>
      <c r="HS381" s="140"/>
      <c r="HT381" s="140"/>
      <c r="HU381" s="140"/>
      <c r="HV381" s="140"/>
      <c r="HW381" s="140"/>
      <c r="HX381" s="140"/>
      <c r="HY381" s="140"/>
      <c r="HZ381" s="140"/>
      <c r="IA381" s="140"/>
      <c r="IB381" s="140"/>
      <c r="IC381" s="140"/>
      <c r="ID381" s="140"/>
      <c r="IE381" s="140"/>
      <c r="IF381" s="140"/>
      <c r="IG381" s="140"/>
      <c r="IH381" s="140"/>
      <c r="II381" s="140"/>
      <c r="IJ381" s="140"/>
      <c r="IK381" s="140"/>
      <c r="IL381" s="140"/>
      <c r="IM381" s="140"/>
      <c r="IN381" s="140"/>
      <c r="IO381" s="140"/>
      <c r="IP381" s="140"/>
      <c r="IQ381" s="140"/>
      <c r="IR381" s="140"/>
      <c r="IS381" s="140"/>
      <c r="IT381" s="140"/>
      <c r="IU381" s="140"/>
      <c r="IV381" s="140"/>
      <c r="IW381" s="140"/>
      <c r="IX381" s="140"/>
      <c r="IY381" s="140"/>
      <c r="IZ381" s="140"/>
      <c r="JA381" s="140"/>
      <c r="JB381" s="140"/>
      <c r="JC381" s="140"/>
      <c r="JD381" s="140"/>
      <c r="JE381" s="140"/>
      <c r="JF381" s="140"/>
      <c r="JG381" s="140"/>
      <c r="JH381" s="140"/>
      <c r="JI381" s="140"/>
      <c r="JJ381" s="140"/>
      <c r="JK381" s="140"/>
      <c r="JL381" s="140"/>
      <c r="JM381" s="140"/>
      <c r="JN381" s="140"/>
      <c r="JO381" s="140"/>
      <c r="JP381" s="140"/>
      <c r="JQ381" s="140"/>
      <c r="JR381" s="140"/>
      <c r="JS381" s="140"/>
      <c r="JT381" s="140"/>
      <c r="JU381" s="140"/>
      <c r="JV381" s="140"/>
      <c r="JW381" s="140"/>
      <c r="JX381" s="140"/>
      <c r="JY381" s="140"/>
      <c r="JZ381" s="140"/>
      <c r="KA381" s="140"/>
      <c r="KB381" s="140"/>
      <c r="KC381" s="140"/>
      <c r="KD381" s="140"/>
      <c r="KE381" s="140"/>
      <c r="KF381" s="140"/>
      <c r="KG381" s="140"/>
      <c r="KH381" s="140"/>
      <c r="KI381" s="140"/>
      <c r="KJ381" s="140"/>
      <c r="KK381" s="140"/>
      <c r="KL381" s="140"/>
      <c r="KM381" s="140"/>
      <c r="KN381" s="140"/>
      <c r="KO381" s="140"/>
      <c r="KP381" s="140"/>
      <c r="KQ381" s="140"/>
      <c r="KR381" s="140"/>
      <c r="KS381" s="140"/>
      <c r="KT381" s="140"/>
      <c r="KU381" s="140"/>
      <c r="KV381" s="140"/>
      <c r="KW381" s="140"/>
      <c r="KX381" s="140"/>
      <c r="KY381" s="140"/>
      <c r="KZ381" s="140"/>
      <c r="LA381" s="140"/>
      <c r="LB381" s="140"/>
      <c r="LC381" s="140"/>
      <c r="LD381" s="140"/>
      <c r="LE381" s="140"/>
      <c r="LF381" s="140"/>
      <c r="LG381" s="140"/>
      <c r="LH381" s="140"/>
      <c r="LI381" s="140"/>
      <c r="LJ381" s="140"/>
      <c r="LK381" s="140"/>
      <c r="LL381" s="140"/>
      <c r="LM381" s="140"/>
      <c r="LN381" s="140"/>
      <c r="LO381" s="140"/>
      <c r="LP381" s="140"/>
      <c r="LQ381" s="140"/>
      <c r="LR381" s="140"/>
      <c r="LS381" s="140"/>
      <c r="LT381" s="140"/>
      <c r="LU381" s="140"/>
      <c r="LV381" s="140"/>
      <c r="LW381" s="140"/>
      <c r="LX381" s="140"/>
      <c r="LY381" s="140"/>
      <c r="LZ381" s="140"/>
      <c r="MA381" s="140"/>
      <c r="MB381" s="140"/>
      <c r="MC381" s="140"/>
      <c r="MD381" s="140"/>
      <c r="ME381" s="140"/>
      <c r="MF381" s="140"/>
      <c r="MG381" s="140"/>
      <c r="MH381" s="140"/>
      <c r="MI381" s="140"/>
      <c r="MJ381" s="140"/>
      <c r="MK381" s="140"/>
      <c r="ML381" s="140"/>
    </row>
    <row r="382" spans="3:350" s="4" customFormat="1" ht="18" customHeight="1" x14ac:dyDescent="0.3">
      <c r="H382" s="140"/>
      <c r="I382" s="140"/>
      <c r="J382" s="140"/>
      <c r="K382" s="140"/>
      <c r="L382" s="140"/>
      <c r="M382" s="140"/>
      <c r="N382" s="140"/>
      <c r="O382" s="140"/>
      <c r="P382" s="140"/>
      <c r="Q382" s="140"/>
      <c r="R382" s="140"/>
      <c r="S382" s="140"/>
      <c r="T382" s="140"/>
      <c r="U382" s="140"/>
      <c r="V382" s="140"/>
      <c r="W382" s="140"/>
      <c r="X382" s="140"/>
      <c r="Y382" s="140"/>
      <c r="Z382" s="140"/>
      <c r="AA382" s="140"/>
      <c r="AB382" s="140"/>
      <c r="AC382" s="140"/>
      <c r="AD382" s="140"/>
      <c r="AE382" s="140"/>
      <c r="AF382" s="140"/>
      <c r="AG382" s="140"/>
      <c r="AH382" s="140"/>
      <c r="AI382" s="140"/>
      <c r="AJ382" s="140"/>
      <c r="AK382" s="140"/>
      <c r="AL382" s="140"/>
      <c r="AM382" s="140"/>
      <c r="AN382" s="140"/>
      <c r="AO382" s="140"/>
      <c r="AP382" s="140"/>
      <c r="AQ382" s="140"/>
      <c r="AR382" s="140"/>
      <c r="AS382" s="140"/>
      <c r="AT382" s="140"/>
      <c r="AU382" s="140"/>
      <c r="AV382" s="140"/>
      <c r="AW382" s="140"/>
      <c r="AX382" s="140"/>
      <c r="AY382" s="140"/>
      <c r="AZ382" s="140"/>
      <c r="BA382" s="140"/>
      <c r="BB382" s="140"/>
      <c r="BC382" s="140"/>
      <c r="BD382" s="140"/>
      <c r="BE382" s="140"/>
      <c r="BF382" s="140"/>
      <c r="BG382" s="140"/>
      <c r="BH382" s="140"/>
      <c r="BI382" s="140"/>
      <c r="BJ382" s="140"/>
      <c r="BK382" s="140"/>
      <c r="BL382" s="140"/>
      <c r="BM382" s="140"/>
      <c r="BN382" s="140"/>
      <c r="BO382" s="140"/>
      <c r="BP382" s="140"/>
      <c r="BQ382" s="140"/>
      <c r="BR382" s="140"/>
      <c r="BS382" s="140"/>
      <c r="BT382" s="140"/>
      <c r="BU382" s="140"/>
      <c r="BV382" s="140"/>
      <c r="BW382" s="140"/>
      <c r="BX382" s="140"/>
      <c r="BY382" s="140"/>
      <c r="BZ382" s="140"/>
      <c r="CA382" s="140"/>
      <c r="CB382" s="140"/>
      <c r="CC382" s="140"/>
      <c r="CD382" s="140"/>
      <c r="CE382" s="140"/>
      <c r="CF382" s="140"/>
      <c r="CG382" s="140"/>
      <c r="CH382" s="140"/>
      <c r="CI382" s="140"/>
      <c r="CJ382" s="140"/>
      <c r="CK382" s="140"/>
      <c r="CL382" s="140"/>
      <c r="CM382" s="140"/>
      <c r="CN382" s="140"/>
      <c r="FJ382" s="140"/>
      <c r="FK382" s="140"/>
      <c r="FL382" s="140"/>
      <c r="FM382" s="140"/>
      <c r="FN382" s="140"/>
      <c r="FO382" s="140"/>
      <c r="FP382" s="140"/>
      <c r="FQ382" s="140"/>
      <c r="FR382" s="140"/>
      <c r="FS382" s="140"/>
      <c r="FT382" s="140"/>
      <c r="FU382" s="140"/>
      <c r="FV382" s="140"/>
      <c r="FW382" s="140"/>
      <c r="FX382" s="140"/>
      <c r="FY382" s="140"/>
      <c r="FZ382" s="140"/>
      <c r="GA382" s="140"/>
      <c r="GB382" s="140"/>
      <c r="GC382" s="140"/>
      <c r="GD382" s="140"/>
      <c r="GE382" s="140"/>
      <c r="GF382" s="140"/>
      <c r="GG382" s="140"/>
      <c r="GH382" s="140"/>
      <c r="GI382" s="140"/>
      <c r="GJ382" s="140"/>
      <c r="GK382" s="140"/>
      <c r="GL382" s="140"/>
      <c r="GM382" s="140"/>
      <c r="GN382" s="140"/>
      <c r="GO382" s="140"/>
      <c r="GP382" s="140"/>
      <c r="GQ382" s="140"/>
      <c r="GR382" s="140"/>
      <c r="GS382" s="140"/>
      <c r="GT382" s="140"/>
      <c r="GU382" s="140"/>
      <c r="GV382" s="140"/>
      <c r="GW382" s="140"/>
      <c r="GX382" s="140"/>
      <c r="GY382" s="140"/>
      <c r="GZ382" s="140"/>
      <c r="HA382" s="140"/>
      <c r="HB382" s="140"/>
      <c r="HC382" s="140"/>
      <c r="HD382" s="140"/>
      <c r="HE382" s="140"/>
      <c r="HF382" s="140"/>
      <c r="HG382" s="140"/>
      <c r="HH382" s="140"/>
      <c r="HI382" s="140"/>
      <c r="HJ382" s="140"/>
      <c r="HK382" s="140"/>
      <c r="HL382" s="140"/>
      <c r="HM382" s="140"/>
      <c r="HN382" s="140"/>
      <c r="HO382" s="140"/>
      <c r="HP382" s="140"/>
      <c r="HQ382" s="140"/>
      <c r="HR382" s="140"/>
      <c r="HS382" s="140"/>
      <c r="HT382" s="140"/>
      <c r="HU382" s="140"/>
      <c r="HV382" s="140"/>
      <c r="HW382" s="140"/>
      <c r="HX382" s="140"/>
      <c r="HY382" s="140"/>
      <c r="HZ382" s="140"/>
      <c r="IA382" s="140"/>
      <c r="IB382" s="140"/>
      <c r="IC382" s="140"/>
      <c r="ID382" s="140"/>
      <c r="IE382" s="140"/>
      <c r="IF382" s="140"/>
      <c r="IG382" s="140"/>
      <c r="IH382" s="140"/>
      <c r="II382" s="140"/>
      <c r="IJ382" s="140"/>
      <c r="IK382" s="140"/>
      <c r="IL382" s="140"/>
      <c r="IM382" s="140"/>
      <c r="IN382" s="140"/>
      <c r="IO382" s="140"/>
      <c r="IP382" s="140"/>
      <c r="IQ382" s="140"/>
      <c r="IR382" s="140"/>
      <c r="IS382" s="140"/>
      <c r="IT382" s="140"/>
      <c r="IU382" s="140"/>
      <c r="IV382" s="140"/>
      <c r="IW382" s="140"/>
      <c r="IX382" s="140"/>
      <c r="IY382" s="140"/>
      <c r="IZ382" s="140"/>
      <c r="JA382" s="140"/>
      <c r="JB382" s="140"/>
      <c r="JC382" s="140"/>
      <c r="JD382" s="140"/>
      <c r="JE382" s="140"/>
      <c r="JF382" s="140"/>
      <c r="JG382" s="140"/>
      <c r="JH382" s="140"/>
      <c r="JI382" s="140"/>
      <c r="JJ382" s="140"/>
      <c r="JK382" s="140"/>
      <c r="JL382" s="140"/>
      <c r="JM382" s="140"/>
      <c r="JN382" s="140"/>
      <c r="JO382" s="140"/>
      <c r="JP382" s="140"/>
      <c r="JQ382" s="140"/>
      <c r="JR382" s="140"/>
      <c r="JS382" s="140"/>
      <c r="JT382" s="140"/>
      <c r="JU382" s="140"/>
      <c r="JV382" s="140"/>
      <c r="JW382" s="140"/>
      <c r="JX382" s="140"/>
      <c r="JY382" s="140"/>
      <c r="JZ382" s="140"/>
      <c r="KA382" s="140"/>
      <c r="KB382" s="140"/>
      <c r="KC382" s="140"/>
      <c r="KD382" s="140"/>
      <c r="KE382" s="140"/>
      <c r="KF382" s="140"/>
      <c r="KG382" s="140"/>
      <c r="KH382" s="140"/>
      <c r="KI382" s="140"/>
      <c r="KJ382" s="140"/>
      <c r="KK382" s="140"/>
      <c r="KL382" s="140"/>
      <c r="KM382" s="140"/>
      <c r="KN382" s="140"/>
      <c r="KO382" s="140"/>
      <c r="KP382" s="140"/>
      <c r="KQ382" s="140"/>
      <c r="KR382" s="140"/>
      <c r="KS382" s="140"/>
      <c r="KT382" s="140"/>
      <c r="KU382" s="140"/>
      <c r="KV382" s="140"/>
      <c r="KW382" s="140"/>
      <c r="KX382" s="140"/>
      <c r="KY382" s="140"/>
      <c r="KZ382" s="140"/>
      <c r="LA382" s="140"/>
      <c r="LB382" s="140"/>
      <c r="LC382" s="140"/>
      <c r="LD382" s="140"/>
      <c r="LE382" s="140"/>
      <c r="LF382" s="140"/>
      <c r="LG382" s="140"/>
      <c r="LH382" s="140"/>
      <c r="LI382" s="140"/>
      <c r="LJ382" s="140"/>
      <c r="LK382" s="140"/>
      <c r="LL382" s="140"/>
      <c r="LM382" s="140"/>
      <c r="LN382" s="140"/>
      <c r="LO382" s="140"/>
      <c r="LP382" s="140"/>
      <c r="LQ382" s="140"/>
      <c r="LR382" s="140"/>
      <c r="LS382" s="140"/>
      <c r="LT382" s="140"/>
      <c r="LU382" s="140"/>
      <c r="LV382" s="140"/>
      <c r="LW382" s="140"/>
      <c r="LX382" s="140"/>
      <c r="LY382" s="140"/>
      <c r="LZ382" s="140"/>
      <c r="MA382" s="140"/>
      <c r="MB382" s="140"/>
      <c r="MC382" s="140"/>
      <c r="MD382" s="140"/>
      <c r="ME382" s="140"/>
      <c r="MF382" s="140"/>
      <c r="MG382" s="140"/>
      <c r="MH382" s="140"/>
      <c r="MI382" s="140"/>
      <c r="MJ382" s="140"/>
      <c r="MK382" s="140"/>
      <c r="ML382" s="140"/>
    </row>
    <row r="383" spans="3:350" s="4" customFormat="1" ht="18" customHeight="1" x14ac:dyDescent="0.3">
      <c r="H383" s="140"/>
      <c r="I383" s="140"/>
      <c r="J383" s="140"/>
      <c r="K383" s="140"/>
      <c r="L383" s="140"/>
      <c r="M383" s="140"/>
      <c r="N383" s="140"/>
      <c r="O383" s="140"/>
      <c r="P383" s="140"/>
      <c r="Q383" s="140"/>
      <c r="R383" s="140"/>
      <c r="S383" s="140"/>
      <c r="T383" s="140"/>
      <c r="U383" s="140"/>
      <c r="V383" s="140"/>
      <c r="W383" s="140"/>
      <c r="X383" s="140"/>
      <c r="Y383" s="140"/>
      <c r="Z383" s="140"/>
      <c r="AA383" s="140"/>
      <c r="AB383" s="140"/>
      <c r="AC383" s="140"/>
      <c r="AD383" s="140"/>
      <c r="AE383" s="140"/>
      <c r="AF383" s="140"/>
      <c r="AG383" s="140"/>
      <c r="AH383" s="140"/>
      <c r="AI383" s="140"/>
      <c r="AJ383" s="140"/>
      <c r="AK383" s="140"/>
      <c r="AL383" s="140"/>
      <c r="AM383" s="140"/>
      <c r="AN383" s="140"/>
      <c r="AO383" s="140"/>
      <c r="AP383" s="140"/>
      <c r="AQ383" s="140"/>
      <c r="AR383" s="140"/>
      <c r="AS383" s="140"/>
      <c r="AT383" s="140"/>
      <c r="AU383" s="140"/>
      <c r="AV383" s="140"/>
      <c r="AW383" s="140"/>
      <c r="AX383" s="140"/>
      <c r="AY383" s="140"/>
      <c r="AZ383" s="140"/>
      <c r="BA383" s="140"/>
      <c r="BB383" s="140"/>
      <c r="BC383" s="140"/>
      <c r="BD383" s="140"/>
      <c r="BE383" s="140"/>
      <c r="BF383" s="140"/>
      <c r="BG383" s="140"/>
      <c r="BH383" s="140"/>
      <c r="BI383" s="140"/>
      <c r="BJ383" s="140"/>
      <c r="BK383" s="140"/>
      <c r="BL383" s="140"/>
      <c r="BM383" s="140"/>
      <c r="BN383" s="140"/>
      <c r="BO383" s="140"/>
      <c r="BP383" s="140"/>
      <c r="BQ383" s="140"/>
      <c r="BR383" s="140"/>
      <c r="BS383" s="140"/>
      <c r="BT383" s="140"/>
      <c r="BU383" s="140"/>
      <c r="BV383" s="140"/>
      <c r="BW383" s="140"/>
      <c r="BX383" s="140"/>
      <c r="BY383" s="140"/>
      <c r="BZ383" s="140"/>
      <c r="CA383" s="140"/>
      <c r="CB383" s="140"/>
      <c r="CC383" s="140"/>
      <c r="CD383" s="140"/>
      <c r="CE383" s="140"/>
      <c r="CF383" s="140"/>
      <c r="CG383" s="140"/>
      <c r="CH383" s="140"/>
      <c r="CI383" s="140"/>
      <c r="CJ383" s="140"/>
      <c r="CK383" s="140"/>
      <c r="CL383" s="140"/>
      <c r="CM383" s="140"/>
      <c r="CN383" s="140"/>
      <c r="FJ383" s="140"/>
      <c r="FK383" s="140"/>
      <c r="FL383" s="140"/>
      <c r="FM383" s="140"/>
      <c r="FN383" s="140"/>
      <c r="FO383" s="140"/>
      <c r="FP383" s="140"/>
      <c r="FQ383" s="140"/>
      <c r="FR383" s="140"/>
      <c r="FS383" s="140"/>
      <c r="FT383" s="140"/>
      <c r="FU383" s="140"/>
      <c r="FV383" s="140"/>
      <c r="FW383" s="140"/>
      <c r="FX383" s="140"/>
      <c r="FY383" s="140"/>
      <c r="FZ383" s="140"/>
      <c r="GA383" s="140"/>
      <c r="GB383" s="140"/>
      <c r="GC383" s="140"/>
      <c r="GD383" s="140"/>
      <c r="GE383" s="140"/>
      <c r="GF383" s="140"/>
      <c r="GG383" s="140"/>
      <c r="GH383" s="140"/>
      <c r="GI383" s="140"/>
      <c r="GJ383" s="140"/>
      <c r="GK383" s="140"/>
      <c r="GL383" s="140"/>
      <c r="GM383" s="140"/>
      <c r="GN383" s="140"/>
      <c r="GO383" s="140"/>
      <c r="GP383" s="140"/>
      <c r="GQ383" s="140"/>
      <c r="GR383" s="140"/>
      <c r="GS383" s="140"/>
      <c r="GT383" s="140"/>
      <c r="GU383" s="140"/>
      <c r="GV383" s="140"/>
      <c r="GW383" s="140"/>
      <c r="GX383" s="140"/>
      <c r="GY383" s="140"/>
      <c r="GZ383" s="140"/>
      <c r="HA383" s="140"/>
      <c r="HB383" s="140"/>
      <c r="HC383" s="140"/>
      <c r="HD383" s="140"/>
      <c r="HE383" s="140"/>
      <c r="HF383" s="140"/>
      <c r="HG383" s="140"/>
      <c r="HH383" s="140"/>
      <c r="HI383" s="140"/>
      <c r="HJ383" s="140"/>
      <c r="HK383" s="140"/>
      <c r="HL383" s="140"/>
      <c r="HM383" s="140"/>
      <c r="HN383" s="140"/>
      <c r="HO383" s="140"/>
      <c r="HP383" s="140"/>
      <c r="HQ383" s="140"/>
      <c r="HR383" s="140"/>
      <c r="HS383" s="140"/>
      <c r="HT383" s="140"/>
      <c r="HU383" s="140"/>
      <c r="HV383" s="140"/>
      <c r="HW383" s="140"/>
      <c r="HX383" s="140"/>
      <c r="HY383" s="140"/>
      <c r="HZ383" s="140"/>
      <c r="IA383" s="140"/>
      <c r="IB383" s="140"/>
      <c r="IC383" s="140"/>
      <c r="ID383" s="140"/>
      <c r="IE383" s="140"/>
      <c r="IF383" s="140"/>
      <c r="IG383" s="140"/>
      <c r="IH383" s="140"/>
      <c r="II383" s="140"/>
      <c r="IJ383" s="140"/>
      <c r="IK383" s="140"/>
      <c r="IL383" s="140"/>
      <c r="IM383" s="140"/>
      <c r="IN383" s="140"/>
      <c r="IO383" s="140"/>
      <c r="IP383" s="140"/>
      <c r="IQ383" s="140"/>
      <c r="IR383" s="140"/>
      <c r="IS383" s="140"/>
      <c r="IT383" s="140"/>
      <c r="IU383" s="140"/>
      <c r="IV383" s="140"/>
      <c r="IW383" s="140"/>
      <c r="IX383" s="140"/>
      <c r="IY383" s="140"/>
      <c r="IZ383" s="140"/>
      <c r="JA383" s="140"/>
      <c r="JB383" s="140"/>
      <c r="JC383" s="140"/>
      <c r="JD383" s="140"/>
      <c r="JE383" s="140"/>
      <c r="JF383" s="140"/>
      <c r="JG383" s="140"/>
      <c r="JH383" s="140"/>
      <c r="JI383" s="140"/>
      <c r="JJ383" s="140"/>
      <c r="JK383" s="140"/>
      <c r="JL383" s="140"/>
      <c r="JM383" s="140"/>
      <c r="JN383" s="140"/>
      <c r="JO383" s="140"/>
      <c r="JP383" s="140"/>
      <c r="JQ383" s="140"/>
      <c r="JR383" s="140"/>
      <c r="JS383" s="140"/>
      <c r="JT383" s="140"/>
      <c r="JU383" s="140"/>
      <c r="JV383" s="140"/>
      <c r="JW383" s="140"/>
      <c r="JX383" s="140"/>
      <c r="JY383" s="140"/>
      <c r="JZ383" s="140"/>
      <c r="KA383" s="140"/>
      <c r="KB383" s="140"/>
      <c r="KC383" s="140"/>
      <c r="KD383" s="140"/>
      <c r="KE383" s="140"/>
      <c r="KF383" s="140"/>
      <c r="KG383" s="140"/>
      <c r="KH383" s="140"/>
      <c r="KI383" s="140"/>
      <c r="KJ383" s="140"/>
      <c r="KK383" s="140"/>
      <c r="KL383" s="140"/>
      <c r="KM383" s="140"/>
      <c r="KN383" s="140"/>
      <c r="KO383" s="140"/>
      <c r="KP383" s="140"/>
      <c r="KQ383" s="140"/>
      <c r="KR383" s="140"/>
      <c r="KS383" s="140"/>
      <c r="KT383" s="140"/>
      <c r="KU383" s="140"/>
      <c r="KV383" s="140"/>
      <c r="KW383" s="140"/>
      <c r="KX383" s="140"/>
      <c r="KY383" s="140"/>
      <c r="KZ383" s="140"/>
      <c r="LA383" s="140"/>
      <c r="LB383" s="140"/>
      <c r="LC383" s="140"/>
      <c r="LD383" s="140"/>
      <c r="LE383" s="140"/>
      <c r="LF383" s="140"/>
      <c r="LG383" s="140"/>
      <c r="LH383" s="140"/>
      <c r="LI383" s="140"/>
      <c r="LJ383" s="140"/>
      <c r="LK383" s="140"/>
      <c r="LL383" s="140"/>
      <c r="LM383" s="140"/>
      <c r="LN383" s="140"/>
      <c r="LO383" s="140"/>
      <c r="LP383" s="140"/>
      <c r="LQ383" s="140"/>
      <c r="LR383" s="140"/>
      <c r="LS383" s="140"/>
      <c r="LT383" s="140"/>
      <c r="LU383" s="140"/>
      <c r="LV383" s="140"/>
      <c r="LW383" s="140"/>
      <c r="LX383" s="140"/>
      <c r="LY383" s="140"/>
      <c r="LZ383" s="140"/>
      <c r="MA383" s="140"/>
      <c r="MB383" s="140"/>
      <c r="MC383" s="140"/>
      <c r="MD383" s="140"/>
      <c r="ME383" s="140"/>
      <c r="MF383" s="140"/>
      <c r="MG383" s="140"/>
      <c r="MH383" s="140"/>
      <c r="MI383" s="140"/>
      <c r="MJ383" s="140"/>
      <c r="MK383" s="140"/>
      <c r="ML383" s="140"/>
    </row>
    <row r="384" spans="3:350" s="4" customFormat="1" ht="18" customHeight="1" x14ac:dyDescent="0.3">
      <c r="H384" s="140"/>
      <c r="I384" s="140"/>
      <c r="J384" s="140"/>
      <c r="K384" s="140"/>
      <c r="L384" s="140"/>
      <c r="M384" s="140"/>
      <c r="N384" s="140"/>
      <c r="O384" s="140"/>
      <c r="P384" s="140"/>
      <c r="Q384" s="140"/>
      <c r="R384" s="140"/>
      <c r="S384" s="140"/>
      <c r="T384" s="140"/>
      <c r="U384" s="140"/>
      <c r="V384" s="140"/>
      <c r="W384" s="140"/>
      <c r="X384" s="140"/>
      <c r="Y384" s="140"/>
      <c r="Z384" s="140"/>
      <c r="AA384" s="140"/>
      <c r="AB384" s="140"/>
      <c r="AC384" s="140"/>
      <c r="AD384" s="140"/>
      <c r="AE384" s="140"/>
      <c r="AF384" s="140"/>
      <c r="AG384" s="140"/>
      <c r="AH384" s="140"/>
      <c r="AI384" s="140"/>
      <c r="AJ384" s="140"/>
      <c r="AK384" s="140"/>
      <c r="AL384" s="140"/>
      <c r="AM384" s="140"/>
      <c r="AN384" s="140"/>
      <c r="AO384" s="140"/>
      <c r="AP384" s="140"/>
      <c r="AQ384" s="140"/>
      <c r="AR384" s="140"/>
      <c r="AS384" s="140"/>
      <c r="AT384" s="140"/>
      <c r="AU384" s="140"/>
      <c r="AV384" s="140"/>
      <c r="AW384" s="140"/>
      <c r="AX384" s="140"/>
      <c r="AY384" s="140"/>
      <c r="AZ384" s="140"/>
      <c r="BA384" s="140"/>
      <c r="BB384" s="140"/>
      <c r="BC384" s="140"/>
      <c r="BD384" s="140"/>
      <c r="BE384" s="140"/>
      <c r="BF384" s="140"/>
      <c r="BG384" s="140"/>
      <c r="BH384" s="140"/>
      <c r="BI384" s="140"/>
      <c r="BJ384" s="140"/>
      <c r="BK384" s="140"/>
      <c r="BL384" s="140"/>
      <c r="BM384" s="140"/>
      <c r="BN384" s="140"/>
      <c r="BO384" s="140"/>
      <c r="BP384" s="140"/>
      <c r="BQ384" s="140"/>
      <c r="BR384" s="140"/>
      <c r="BS384" s="140"/>
      <c r="BT384" s="140"/>
      <c r="BU384" s="140"/>
      <c r="BV384" s="140"/>
      <c r="BW384" s="140"/>
      <c r="BX384" s="140"/>
      <c r="BY384" s="140"/>
      <c r="BZ384" s="140"/>
      <c r="CA384" s="140"/>
      <c r="CB384" s="140"/>
      <c r="CC384" s="140"/>
      <c r="CD384" s="140"/>
      <c r="CE384" s="140"/>
      <c r="CF384" s="140"/>
      <c r="CG384" s="140"/>
      <c r="CH384" s="140"/>
      <c r="CI384" s="140"/>
      <c r="CJ384" s="140"/>
      <c r="CK384" s="140"/>
      <c r="CL384" s="140"/>
      <c r="CM384" s="140"/>
      <c r="CN384" s="140"/>
      <c r="FJ384" s="140"/>
      <c r="FK384" s="140"/>
      <c r="FL384" s="140"/>
      <c r="FM384" s="140"/>
      <c r="FN384" s="140"/>
      <c r="FO384" s="140"/>
      <c r="FP384" s="140"/>
      <c r="FQ384" s="140"/>
      <c r="FR384" s="140"/>
      <c r="FS384" s="140"/>
      <c r="FT384" s="140"/>
      <c r="FU384" s="140"/>
      <c r="FV384" s="140"/>
      <c r="FW384" s="140"/>
      <c r="FX384" s="140"/>
      <c r="FY384" s="140"/>
      <c r="FZ384" s="140"/>
      <c r="GA384" s="140"/>
      <c r="GB384" s="140"/>
      <c r="GC384" s="140"/>
      <c r="GD384" s="140"/>
      <c r="GE384" s="140"/>
      <c r="GF384" s="140"/>
      <c r="GG384" s="140"/>
      <c r="GH384" s="140"/>
      <c r="GI384" s="140"/>
      <c r="GJ384" s="140"/>
      <c r="GK384" s="140"/>
      <c r="GL384" s="140"/>
      <c r="GM384" s="140"/>
      <c r="GN384" s="140"/>
      <c r="GO384" s="140"/>
      <c r="GP384" s="140"/>
      <c r="GQ384" s="140"/>
      <c r="GR384" s="140"/>
      <c r="GS384" s="140"/>
      <c r="GT384" s="140"/>
      <c r="GU384" s="140"/>
      <c r="GV384" s="140"/>
      <c r="GW384" s="140"/>
      <c r="GX384" s="140"/>
      <c r="GY384" s="140"/>
      <c r="GZ384" s="140"/>
      <c r="HA384" s="140"/>
      <c r="HB384" s="140"/>
      <c r="HC384" s="140"/>
      <c r="HD384" s="140"/>
      <c r="HE384" s="140"/>
      <c r="HF384" s="140"/>
      <c r="HG384" s="140"/>
      <c r="HH384" s="140"/>
      <c r="HI384" s="140"/>
      <c r="HJ384" s="140"/>
      <c r="HK384" s="140"/>
      <c r="HL384" s="140"/>
      <c r="HM384" s="140"/>
      <c r="HN384" s="140"/>
      <c r="HO384" s="140"/>
      <c r="HP384" s="140"/>
      <c r="HQ384" s="140"/>
      <c r="HR384" s="140"/>
      <c r="HS384" s="140"/>
      <c r="HT384" s="140"/>
      <c r="HU384" s="140"/>
      <c r="HV384" s="140"/>
      <c r="HW384" s="140"/>
      <c r="HX384" s="140"/>
      <c r="HY384" s="140"/>
      <c r="HZ384" s="140"/>
      <c r="IA384" s="140"/>
      <c r="IB384" s="140"/>
      <c r="IC384" s="140"/>
      <c r="ID384" s="140"/>
      <c r="IE384" s="140"/>
      <c r="IF384" s="140"/>
      <c r="IG384" s="140"/>
      <c r="IH384" s="140"/>
      <c r="II384" s="140"/>
      <c r="IJ384" s="140"/>
      <c r="IK384" s="140"/>
      <c r="IL384" s="140"/>
      <c r="IM384" s="140"/>
      <c r="IN384" s="140"/>
      <c r="IO384" s="140"/>
      <c r="IP384" s="140"/>
      <c r="IQ384" s="140"/>
      <c r="IR384" s="140"/>
      <c r="IS384" s="140"/>
      <c r="IT384" s="140"/>
      <c r="IU384" s="140"/>
      <c r="IV384" s="140"/>
      <c r="IW384" s="140"/>
      <c r="IX384" s="140"/>
      <c r="IY384" s="140"/>
      <c r="IZ384" s="140"/>
      <c r="JA384" s="140"/>
      <c r="JB384" s="140"/>
      <c r="JC384" s="140"/>
      <c r="JD384" s="140"/>
      <c r="JE384" s="140"/>
      <c r="JF384" s="140"/>
      <c r="JG384" s="140"/>
      <c r="JH384" s="140"/>
      <c r="JI384" s="140"/>
      <c r="JJ384" s="140"/>
      <c r="JK384" s="140"/>
      <c r="JL384" s="140"/>
      <c r="JM384" s="140"/>
      <c r="JN384" s="140"/>
      <c r="JO384" s="140"/>
      <c r="JP384" s="140"/>
      <c r="JQ384" s="140"/>
      <c r="JR384" s="140"/>
      <c r="JS384" s="140"/>
      <c r="JT384" s="140"/>
      <c r="JU384" s="140"/>
      <c r="JV384" s="140"/>
      <c r="JW384" s="140"/>
      <c r="JX384" s="140"/>
      <c r="JY384" s="140"/>
      <c r="JZ384" s="140"/>
      <c r="KA384" s="140"/>
      <c r="KB384" s="140"/>
      <c r="KC384" s="140"/>
      <c r="KD384" s="140"/>
      <c r="KE384" s="140"/>
      <c r="KF384" s="140"/>
      <c r="KG384" s="140"/>
      <c r="KH384" s="140"/>
      <c r="KI384" s="140"/>
      <c r="KJ384" s="140"/>
      <c r="KK384" s="140"/>
      <c r="KL384" s="140"/>
      <c r="KM384" s="140"/>
      <c r="KN384" s="140"/>
      <c r="KO384" s="140"/>
      <c r="KP384" s="140"/>
      <c r="KQ384" s="140"/>
      <c r="KR384" s="140"/>
      <c r="KS384" s="140"/>
      <c r="KT384" s="140"/>
      <c r="KU384" s="140"/>
      <c r="KV384" s="140"/>
      <c r="KW384" s="140"/>
      <c r="KX384" s="140"/>
      <c r="KY384" s="140"/>
      <c r="KZ384" s="140"/>
      <c r="LA384" s="140"/>
      <c r="LB384" s="140"/>
      <c r="LC384" s="140"/>
      <c r="LD384" s="140"/>
      <c r="LE384" s="140"/>
      <c r="LF384" s="140"/>
      <c r="LG384" s="140"/>
      <c r="LH384" s="140"/>
      <c r="LI384" s="140"/>
      <c r="LJ384" s="140"/>
      <c r="LK384" s="140"/>
      <c r="LL384" s="140"/>
      <c r="LM384" s="140"/>
      <c r="LN384" s="140"/>
      <c r="LO384" s="140"/>
      <c r="LP384" s="140"/>
      <c r="LQ384" s="140"/>
      <c r="LR384" s="140"/>
      <c r="LS384" s="140"/>
      <c r="LT384" s="140"/>
      <c r="LU384" s="140"/>
      <c r="LV384" s="140"/>
      <c r="LW384" s="140"/>
      <c r="LX384" s="140"/>
      <c r="LY384" s="140"/>
      <c r="LZ384" s="140"/>
      <c r="MA384" s="140"/>
      <c r="MB384" s="140"/>
      <c r="MC384" s="140"/>
      <c r="MD384" s="140"/>
      <c r="ME384" s="140"/>
      <c r="MF384" s="140"/>
      <c r="MG384" s="140"/>
      <c r="MH384" s="140"/>
      <c r="MI384" s="140"/>
      <c r="MJ384" s="140"/>
      <c r="MK384" s="140"/>
      <c r="ML384" s="140"/>
    </row>
    <row r="385" spans="3:350" s="4" customFormat="1" ht="18" customHeight="1" x14ac:dyDescent="0.3">
      <c r="H385" s="140"/>
      <c r="I385" s="140"/>
      <c r="J385" s="140"/>
      <c r="K385" s="140"/>
      <c r="L385" s="140"/>
      <c r="M385" s="140"/>
      <c r="N385" s="140"/>
      <c r="O385" s="140"/>
      <c r="P385" s="140"/>
      <c r="Q385" s="140"/>
      <c r="R385" s="140"/>
      <c r="S385" s="140"/>
      <c r="T385" s="140"/>
      <c r="U385" s="140"/>
      <c r="V385" s="140"/>
      <c r="W385" s="140"/>
      <c r="X385" s="140"/>
      <c r="Y385" s="140"/>
      <c r="Z385" s="140"/>
      <c r="AA385" s="140"/>
      <c r="AB385" s="140"/>
      <c r="AC385" s="140"/>
      <c r="AD385" s="140"/>
      <c r="AE385" s="140"/>
      <c r="AF385" s="140"/>
      <c r="AG385" s="140"/>
      <c r="AH385" s="140"/>
      <c r="AI385" s="140"/>
      <c r="AJ385" s="140"/>
      <c r="AK385" s="140"/>
      <c r="AL385" s="140"/>
      <c r="AM385" s="140"/>
      <c r="AN385" s="140"/>
      <c r="AO385" s="140"/>
      <c r="AP385" s="140"/>
      <c r="AQ385" s="140"/>
      <c r="AR385" s="140"/>
      <c r="AS385" s="140"/>
      <c r="AT385" s="140"/>
      <c r="AU385" s="140"/>
      <c r="AV385" s="140"/>
      <c r="AW385" s="140"/>
      <c r="AX385" s="140"/>
      <c r="AY385" s="140"/>
      <c r="AZ385" s="140"/>
      <c r="BA385" s="140"/>
      <c r="BB385" s="140"/>
      <c r="BC385" s="140"/>
      <c r="BD385" s="140"/>
      <c r="BE385" s="140"/>
      <c r="BF385" s="140"/>
      <c r="BG385" s="140"/>
      <c r="BH385" s="140"/>
      <c r="BI385" s="140"/>
      <c r="BJ385" s="140"/>
      <c r="BK385" s="140"/>
      <c r="BL385" s="140"/>
      <c r="BM385" s="140"/>
      <c r="BN385" s="140"/>
      <c r="BO385" s="140"/>
      <c r="BP385" s="140"/>
      <c r="BQ385" s="140"/>
      <c r="BR385" s="140"/>
      <c r="BS385" s="140"/>
      <c r="BT385" s="140"/>
      <c r="BU385" s="140"/>
      <c r="BV385" s="140"/>
      <c r="BW385" s="140"/>
      <c r="BX385" s="140"/>
      <c r="BY385" s="140"/>
      <c r="BZ385" s="140"/>
      <c r="CA385" s="140"/>
      <c r="CB385" s="140"/>
      <c r="CC385" s="140"/>
      <c r="CD385" s="140"/>
      <c r="CE385" s="140"/>
      <c r="CF385" s="140"/>
      <c r="CG385" s="140"/>
      <c r="CH385" s="140"/>
      <c r="CI385" s="140"/>
      <c r="CJ385" s="140"/>
      <c r="CK385" s="140"/>
      <c r="CL385" s="140"/>
      <c r="CM385" s="140"/>
      <c r="CN385" s="140"/>
      <c r="FJ385" s="140"/>
      <c r="FK385" s="140"/>
      <c r="FL385" s="140"/>
      <c r="FM385" s="140"/>
      <c r="FN385" s="140"/>
      <c r="FO385" s="140"/>
      <c r="FP385" s="140"/>
      <c r="FQ385" s="140"/>
      <c r="FR385" s="140"/>
      <c r="FS385" s="140"/>
      <c r="FT385" s="140"/>
      <c r="FU385" s="140"/>
      <c r="FV385" s="140"/>
      <c r="FW385" s="140"/>
      <c r="FX385" s="140"/>
      <c r="FY385" s="140"/>
      <c r="FZ385" s="140"/>
      <c r="GA385" s="140"/>
      <c r="GB385" s="140"/>
      <c r="GC385" s="140"/>
      <c r="GD385" s="140"/>
      <c r="GE385" s="140"/>
      <c r="GF385" s="140"/>
      <c r="GG385" s="140"/>
      <c r="GH385" s="140"/>
      <c r="GI385" s="140"/>
      <c r="GJ385" s="140"/>
      <c r="GK385" s="140"/>
      <c r="GL385" s="140"/>
      <c r="GM385" s="140"/>
      <c r="GN385" s="140"/>
      <c r="GO385" s="140"/>
      <c r="GP385" s="140"/>
      <c r="GQ385" s="140"/>
      <c r="GR385" s="140"/>
      <c r="GS385" s="140"/>
      <c r="GT385" s="140"/>
      <c r="GU385" s="140"/>
      <c r="GV385" s="140"/>
      <c r="GW385" s="140"/>
      <c r="GX385" s="140"/>
      <c r="GY385" s="140"/>
      <c r="GZ385" s="140"/>
      <c r="HA385" s="140"/>
      <c r="HB385" s="140"/>
      <c r="HC385" s="140"/>
      <c r="HD385" s="140"/>
      <c r="HE385" s="140"/>
      <c r="HF385" s="140"/>
      <c r="HG385" s="140"/>
      <c r="HH385" s="140"/>
      <c r="HI385" s="140"/>
      <c r="HJ385" s="140"/>
      <c r="HK385" s="140"/>
      <c r="HL385" s="140"/>
      <c r="HM385" s="140"/>
      <c r="HN385" s="140"/>
      <c r="HO385" s="140"/>
      <c r="HP385" s="140"/>
      <c r="HQ385" s="140"/>
      <c r="HR385" s="140"/>
      <c r="HS385" s="140"/>
      <c r="HT385" s="140"/>
      <c r="HU385" s="140"/>
      <c r="HV385" s="140"/>
      <c r="HW385" s="140"/>
      <c r="HX385" s="140"/>
      <c r="HY385" s="140"/>
      <c r="HZ385" s="140"/>
      <c r="IA385" s="140"/>
      <c r="IB385" s="140"/>
      <c r="IC385" s="140"/>
      <c r="ID385" s="140"/>
      <c r="IE385" s="140"/>
      <c r="IF385" s="140"/>
      <c r="IG385" s="140"/>
      <c r="IH385" s="140"/>
      <c r="II385" s="140"/>
      <c r="IJ385" s="140"/>
      <c r="IK385" s="140"/>
      <c r="IL385" s="140"/>
      <c r="IM385" s="140"/>
      <c r="IN385" s="140"/>
      <c r="IO385" s="140"/>
      <c r="IP385" s="140"/>
      <c r="IQ385" s="140"/>
      <c r="IR385" s="140"/>
      <c r="IS385" s="140"/>
      <c r="IT385" s="140"/>
      <c r="IU385" s="140"/>
      <c r="IV385" s="140"/>
      <c r="IW385" s="140"/>
      <c r="IX385" s="140"/>
      <c r="IY385" s="140"/>
      <c r="IZ385" s="140"/>
      <c r="JA385" s="140"/>
      <c r="JB385" s="140"/>
      <c r="JC385" s="140"/>
      <c r="JD385" s="140"/>
      <c r="JE385" s="140"/>
      <c r="JF385" s="140"/>
      <c r="JG385" s="140"/>
      <c r="JH385" s="140"/>
      <c r="JI385" s="140"/>
      <c r="JJ385" s="140"/>
      <c r="JK385" s="140"/>
      <c r="JL385" s="140"/>
      <c r="JM385" s="140"/>
      <c r="JN385" s="140"/>
      <c r="JO385" s="140"/>
      <c r="JP385" s="140"/>
      <c r="JQ385" s="140"/>
      <c r="JR385" s="140"/>
      <c r="JS385" s="140"/>
      <c r="JT385" s="140"/>
      <c r="JU385" s="140"/>
      <c r="JV385" s="140"/>
      <c r="JW385" s="140"/>
      <c r="JX385" s="140"/>
      <c r="JY385" s="140"/>
      <c r="JZ385" s="140"/>
      <c r="KA385" s="140"/>
      <c r="KB385" s="140"/>
      <c r="KC385" s="140"/>
      <c r="KD385" s="140"/>
      <c r="KE385" s="140"/>
      <c r="KF385" s="140"/>
      <c r="KG385" s="140"/>
      <c r="KH385" s="140"/>
      <c r="KI385" s="140"/>
      <c r="KJ385" s="140"/>
      <c r="KK385" s="140"/>
      <c r="KL385" s="140"/>
      <c r="KM385" s="140"/>
      <c r="KN385" s="140"/>
      <c r="KO385" s="140"/>
      <c r="KP385" s="140"/>
      <c r="KQ385" s="140"/>
      <c r="KR385" s="140"/>
      <c r="KS385" s="140"/>
      <c r="KT385" s="140"/>
      <c r="KU385" s="140"/>
      <c r="KV385" s="140"/>
      <c r="KW385" s="140"/>
      <c r="KX385" s="140"/>
      <c r="KY385" s="140"/>
      <c r="KZ385" s="140"/>
      <c r="LA385" s="140"/>
      <c r="LB385" s="140"/>
      <c r="LC385" s="140"/>
      <c r="LD385" s="140"/>
      <c r="LE385" s="140"/>
      <c r="LF385" s="140"/>
      <c r="LG385" s="140"/>
      <c r="LH385" s="140"/>
      <c r="LI385" s="140"/>
      <c r="LJ385" s="140"/>
      <c r="LK385" s="140"/>
      <c r="LL385" s="140"/>
      <c r="LM385" s="140"/>
      <c r="LN385" s="140"/>
      <c r="LO385" s="140"/>
      <c r="LP385" s="140"/>
      <c r="LQ385" s="140"/>
      <c r="LR385" s="140"/>
      <c r="LS385" s="140"/>
      <c r="LT385" s="140"/>
      <c r="LU385" s="140"/>
      <c r="LV385" s="140"/>
      <c r="LW385" s="140"/>
      <c r="LX385" s="140"/>
      <c r="LY385" s="140"/>
      <c r="LZ385" s="140"/>
      <c r="MA385" s="140"/>
      <c r="MB385" s="140"/>
      <c r="MC385" s="140"/>
      <c r="MD385" s="140"/>
      <c r="ME385" s="140"/>
      <c r="MF385" s="140"/>
      <c r="MG385" s="140"/>
      <c r="MH385" s="140"/>
      <c r="MI385" s="140"/>
      <c r="MJ385" s="140"/>
      <c r="MK385" s="140"/>
      <c r="ML385" s="140"/>
    </row>
    <row r="386" spans="3:350" s="4" customFormat="1" ht="18" customHeight="1" x14ac:dyDescent="0.3">
      <c r="H386" s="140"/>
      <c r="I386" s="140"/>
      <c r="J386" s="140"/>
      <c r="K386" s="140"/>
      <c r="L386" s="140"/>
      <c r="M386" s="140"/>
      <c r="N386" s="140"/>
      <c r="O386" s="140"/>
      <c r="P386" s="140"/>
      <c r="Q386" s="140"/>
      <c r="R386" s="140"/>
      <c r="S386" s="140"/>
      <c r="T386" s="140"/>
      <c r="U386" s="140"/>
      <c r="V386" s="140"/>
      <c r="W386" s="140"/>
      <c r="X386" s="140"/>
      <c r="Y386" s="140"/>
      <c r="Z386" s="140"/>
      <c r="AA386" s="140"/>
      <c r="AB386" s="140"/>
      <c r="AC386" s="140"/>
      <c r="AD386" s="140"/>
      <c r="AE386" s="140"/>
      <c r="AF386" s="140"/>
      <c r="AG386" s="140"/>
      <c r="AH386" s="140"/>
      <c r="AI386" s="140"/>
      <c r="AJ386" s="140"/>
      <c r="AK386" s="140"/>
      <c r="AL386" s="140"/>
      <c r="AM386" s="140"/>
      <c r="AN386" s="140"/>
      <c r="AO386" s="140"/>
      <c r="AP386" s="140"/>
      <c r="AQ386" s="140"/>
      <c r="AR386" s="140"/>
      <c r="AS386" s="140"/>
      <c r="AT386" s="140"/>
      <c r="AU386" s="140"/>
      <c r="AV386" s="140"/>
      <c r="AW386" s="140"/>
      <c r="AX386" s="140"/>
      <c r="AY386" s="140"/>
      <c r="AZ386" s="140"/>
      <c r="BA386" s="140"/>
      <c r="BB386" s="140"/>
      <c r="BC386" s="140"/>
      <c r="BD386" s="140"/>
      <c r="BE386" s="140"/>
      <c r="BF386" s="140"/>
      <c r="BG386" s="140"/>
      <c r="BH386" s="140"/>
      <c r="BI386" s="140"/>
      <c r="BJ386" s="140"/>
      <c r="BK386" s="140"/>
      <c r="BL386" s="140"/>
      <c r="BM386" s="140"/>
      <c r="BN386" s="140"/>
      <c r="BO386" s="140"/>
      <c r="BP386" s="140"/>
      <c r="BQ386" s="140"/>
      <c r="BR386" s="140"/>
      <c r="BS386" s="140"/>
      <c r="BT386" s="140"/>
      <c r="BU386" s="140"/>
      <c r="BV386" s="140"/>
      <c r="BW386" s="140"/>
      <c r="BX386" s="140"/>
      <c r="BY386" s="140"/>
      <c r="BZ386" s="140"/>
      <c r="CA386" s="140"/>
      <c r="CB386" s="140"/>
      <c r="CC386" s="140"/>
      <c r="CD386" s="140"/>
      <c r="CE386" s="140"/>
      <c r="CF386" s="140"/>
      <c r="CG386" s="140"/>
      <c r="CH386" s="140"/>
      <c r="CI386" s="140"/>
      <c r="CJ386" s="140"/>
      <c r="CK386" s="140"/>
      <c r="CL386" s="140"/>
      <c r="CM386" s="140"/>
      <c r="CN386" s="140"/>
      <c r="FJ386" s="140"/>
      <c r="FK386" s="140"/>
      <c r="FL386" s="140"/>
      <c r="FM386" s="140"/>
      <c r="FN386" s="140"/>
      <c r="FO386" s="140"/>
      <c r="FP386" s="140"/>
      <c r="FQ386" s="140"/>
      <c r="FR386" s="140"/>
      <c r="FS386" s="140"/>
      <c r="FT386" s="140"/>
      <c r="FU386" s="140"/>
      <c r="FV386" s="140"/>
      <c r="FW386" s="140"/>
      <c r="FX386" s="140"/>
      <c r="FY386" s="140"/>
      <c r="FZ386" s="140"/>
      <c r="GA386" s="140"/>
      <c r="GB386" s="140"/>
      <c r="GC386" s="140"/>
      <c r="GD386" s="140"/>
      <c r="GE386" s="140"/>
      <c r="GF386" s="140"/>
      <c r="GG386" s="140"/>
      <c r="GH386" s="140"/>
      <c r="GI386" s="140"/>
      <c r="GJ386" s="140"/>
      <c r="GK386" s="140"/>
      <c r="GL386" s="140"/>
      <c r="GM386" s="140"/>
      <c r="GN386" s="140"/>
      <c r="GO386" s="140"/>
      <c r="GP386" s="140"/>
      <c r="GQ386" s="140"/>
      <c r="GR386" s="140"/>
      <c r="GS386" s="140"/>
      <c r="GT386" s="140"/>
      <c r="GU386" s="140"/>
      <c r="GV386" s="140"/>
      <c r="GW386" s="140"/>
      <c r="GX386" s="140"/>
      <c r="GY386" s="140"/>
      <c r="GZ386" s="140"/>
      <c r="HA386" s="140"/>
      <c r="HB386" s="140"/>
      <c r="HC386" s="140"/>
      <c r="HD386" s="140"/>
      <c r="HE386" s="140"/>
      <c r="HF386" s="140"/>
      <c r="HG386" s="140"/>
      <c r="HH386" s="140"/>
      <c r="HI386" s="140"/>
      <c r="HJ386" s="140"/>
      <c r="HK386" s="140"/>
      <c r="HL386" s="140"/>
      <c r="HM386" s="140"/>
      <c r="HN386" s="140"/>
      <c r="HO386" s="140"/>
      <c r="HP386" s="140"/>
      <c r="HQ386" s="140"/>
      <c r="HR386" s="140"/>
      <c r="HS386" s="140"/>
      <c r="HT386" s="140"/>
      <c r="HU386" s="140"/>
      <c r="HV386" s="140"/>
      <c r="HW386" s="140"/>
      <c r="HX386" s="140"/>
      <c r="HY386" s="140"/>
      <c r="HZ386" s="140"/>
      <c r="IA386" s="140"/>
      <c r="IB386" s="140"/>
      <c r="IC386" s="140"/>
      <c r="ID386" s="140"/>
      <c r="IE386" s="140"/>
      <c r="IF386" s="140"/>
      <c r="IG386" s="140"/>
      <c r="IH386" s="140"/>
      <c r="II386" s="140"/>
      <c r="IJ386" s="140"/>
      <c r="IK386" s="140"/>
      <c r="IL386" s="140"/>
      <c r="IM386" s="140"/>
      <c r="IN386" s="140"/>
      <c r="IO386" s="140"/>
      <c r="IP386" s="140"/>
      <c r="IQ386" s="140"/>
      <c r="IR386" s="140"/>
      <c r="IS386" s="140"/>
      <c r="IT386" s="140"/>
      <c r="IU386" s="140"/>
      <c r="IV386" s="140"/>
      <c r="IW386" s="140"/>
      <c r="IX386" s="140"/>
      <c r="IY386" s="140"/>
      <c r="IZ386" s="140"/>
      <c r="JA386" s="140"/>
      <c r="JB386" s="140"/>
      <c r="JC386" s="140"/>
      <c r="JD386" s="140"/>
      <c r="JE386" s="140"/>
      <c r="JF386" s="140"/>
      <c r="JG386" s="140"/>
      <c r="JH386" s="140"/>
      <c r="JI386" s="140"/>
      <c r="JJ386" s="140"/>
      <c r="JK386" s="140"/>
      <c r="JL386" s="140"/>
      <c r="JM386" s="140"/>
      <c r="JN386" s="140"/>
      <c r="JO386" s="140"/>
      <c r="JP386" s="140"/>
      <c r="JQ386" s="140"/>
      <c r="JR386" s="140"/>
      <c r="JS386" s="140"/>
      <c r="JT386" s="140"/>
      <c r="JU386" s="140"/>
      <c r="JV386" s="140"/>
      <c r="JW386" s="140"/>
      <c r="JX386" s="140"/>
      <c r="JY386" s="140"/>
      <c r="JZ386" s="140"/>
      <c r="KA386" s="140"/>
      <c r="KB386" s="140"/>
      <c r="KC386" s="140"/>
      <c r="KD386" s="140"/>
      <c r="KE386" s="140"/>
      <c r="KF386" s="140"/>
      <c r="KG386" s="140"/>
      <c r="KH386" s="140"/>
      <c r="KI386" s="140"/>
      <c r="KJ386" s="140"/>
      <c r="KK386" s="140"/>
      <c r="KL386" s="140"/>
      <c r="KM386" s="140"/>
      <c r="KN386" s="140"/>
      <c r="KO386" s="140"/>
      <c r="KP386" s="140"/>
      <c r="KQ386" s="140"/>
      <c r="KR386" s="140"/>
      <c r="KS386" s="140"/>
      <c r="KT386" s="140"/>
      <c r="KU386" s="140"/>
      <c r="KV386" s="140"/>
      <c r="KW386" s="140"/>
      <c r="KX386" s="140"/>
      <c r="KY386" s="140"/>
      <c r="KZ386" s="140"/>
      <c r="LA386" s="140"/>
      <c r="LB386" s="140"/>
      <c r="LC386" s="140"/>
      <c r="LD386" s="140"/>
      <c r="LE386" s="140"/>
      <c r="LF386" s="140"/>
      <c r="LG386" s="140"/>
      <c r="LH386" s="140"/>
      <c r="LI386" s="140"/>
      <c r="LJ386" s="140"/>
      <c r="LK386" s="140"/>
      <c r="LL386" s="140"/>
      <c r="LM386" s="140"/>
      <c r="LN386" s="140"/>
      <c r="LO386" s="140"/>
      <c r="LP386" s="140"/>
      <c r="LQ386" s="140"/>
      <c r="LR386" s="140"/>
      <c r="LS386" s="140"/>
      <c r="LT386" s="140"/>
      <c r="LU386" s="140"/>
      <c r="LV386" s="140"/>
      <c r="LW386" s="140"/>
      <c r="LX386" s="140"/>
      <c r="LY386" s="140"/>
      <c r="LZ386" s="140"/>
      <c r="MA386" s="140"/>
      <c r="MB386" s="140"/>
      <c r="MC386" s="140"/>
      <c r="MD386" s="140"/>
      <c r="ME386" s="140"/>
      <c r="MF386" s="140"/>
      <c r="MG386" s="140"/>
      <c r="MH386" s="140"/>
      <c r="MI386" s="140"/>
      <c r="MJ386" s="140"/>
      <c r="MK386" s="140"/>
      <c r="ML386" s="140"/>
    </row>
    <row r="387" spans="3:350" s="4" customFormat="1" ht="18" customHeight="1" x14ac:dyDescent="0.3">
      <c r="H387" s="140"/>
      <c r="I387" s="140"/>
      <c r="J387" s="140"/>
      <c r="K387" s="140"/>
      <c r="L387" s="140"/>
      <c r="M387" s="140"/>
      <c r="N387" s="140"/>
      <c r="O387" s="140"/>
      <c r="P387" s="140"/>
      <c r="Q387" s="140"/>
      <c r="R387" s="140"/>
      <c r="S387" s="140"/>
      <c r="T387" s="140"/>
      <c r="U387" s="140"/>
      <c r="V387" s="140"/>
      <c r="W387" s="140"/>
      <c r="X387" s="140"/>
      <c r="Y387" s="140"/>
      <c r="Z387" s="140"/>
      <c r="AA387" s="140"/>
      <c r="AB387" s="140"/>
      <c r="AC387" s="140"/>
      <c r="AD387" s="140"/>
      <c r="AE387" s="140"/>
      <c r="AF387" s="140"/>
      <c r="AG387" s="140"/>
      <c r="AH387" s="140"/>
      <c r="AI387" s="140"/>
      <c r="AJ387" s="140"/>
      <c r="AK387" s="140"/>
      <c r="AL387" s="140"/>
      <c r="AM387" s="140"/>
      <c r="AN387" s="140"/>
      <c r="AO387" s="140"/>
      <c r="AP387" s="140"/>
      <c r="AQ387" s="140"/>
      <c r="AR387" s="140"/>
      <c r="AS387" s="140"/>
      <c r="AT387" s="140"/>
      <c r="AU387" s="140"/>
      <c r="AV387" s="140"/>
      <c r="AW387" s="140"/>
      <c r="AX387" s="140"/>
      <c r="AY387" s="140"/>
      <c r="AZ387" s="140"/>
      <c r="BA387" s="140"/>
      <c r="BB387" s="140"/>
      <c r="BC387" s="140"/>
      <c r="BD387" s="140"/>
      <c r="BE387" s="140"/>
      <c r="BF387" s="140"/>
      <c r="BG387" s="140"/>
      <c r="BH387" s="140"/>
      <c r="BI387" s="140"/>
      <c r="BJ387" s="140"/>
      <c r="BK387" s="140"/>
      <c r="BL387" s="140"/>
      <c r="BM387" s="140"/>
      <c r="BN387" s="140"/>
      <c r="BO387" s="140"/>
      <c r="BP387" s="140"/>
      <c r="BQ387" s="140"/>
      <c r="BR387" s="140"/>
      <c r="BS387" s="140"/>
      <c r="BT387" s="140"/>
      <c r="BU387" s="140"/>
      <c r="BV387" s="140"/>
      <c r="BW387" s="140"/>
      <c r="BX387" s="140"/>
      <c r="BY387" s="140"/>
      <c r="BZ387" s="140"/>
      <c r="CA387" s="140"/>
      <c r="CB387" s="140"/>
      <c r="CC387" s="140"/>
      <c r="CD387" s="140"/>
      <c r="CE387" s="140"/>
      <c r="CF387" s="140"/>
      <c r="CG387" s="140"/>
      <c r="CH387" s="140"/>
      <c r="CI387" s="140"/>
      <c r="CJ387" s="140"/>
      <c r="CK387" s="140"/>
      <c r="CL387" s="140"/>
      <c r="CM387" s="140"/>
      <c r="CN387" s="140"/>
      <c r="FJ387" s="140"/>
      <c r="FK387" s="140"/>
      <c r="FL387" s="140"/>
      <c r="FM387" s="140"/>
      <c r="FN387" s="140"/>
      <c r="FO387" s="140"/>
      <c r="FP387" s="140"/>
      <c r="FQ387" s="140"/>
      <c r="FR387" s="140"/>
      <c r="FS387" s="140"/>
      <c r="FT387" s="140"/>
      <c r="FU387" s="140"/>
      <c r="FV387" s="140"/>
      <c r="FW387" s="140"/>
      <c r="FX387" s="140"/>
      <c r="FY387" s="140"/>
      <c r="FZ387" s="140"/>
      <c r="GA387" s="140"/>
      <c r="GB387" s="140"/>
      <c r="GC387" s="140"/>
      <c r="GD387" s="140"/>
      <c r="GE387" s="140"/>
      <c r="GF387" s="140"/>
      <c r="GG387" s="140"/>
      <c r="GH387" s="140"/>
      <c r="GI387" s="140"/>
      <c r="GJ387" s="140"/>
      <c r="GK387" s="140"/>
      <c r="GL387" s="140"/>
      <c r="GM387" s="140"/>
      <c r="GN387" s="140"/>
      <c r="GO387" s="140"/>
      <c r="GP387" s="140"/>
      <c r="GQ387" s="140"/>
      <c r="GR387" s="140"/>
      <c r="GS387" s="140"/>
      <c r="GT387" s="140"/>
      <c r="GU387" s="140"/>
      <c r="GV387" s="140"/>
      <c r="GW387" s="140"/>
      <c r="GX387" s="140"/>
      <c r="GY387" s="140"/>
      <c r="GZ387" s="140"/>
      <c r="HA387" s="140"/>
      <c r="HB387" s="140"/>
      <c r="HC387" s="140"/>
      <c r="HD387" s="140"/>
      <c r="HE387" s="140"/>
      <c r="HF387" s="140"/>
      <c r="HG387" s="140"/>
      <c r="HH387" s="140"/>
      <c r="HI387" s="140"/>
      <c r="HJ387" s="140"/>
      <c r="HK387" s="140"/>
      <c r="HL387" s="140"/>
      <c r="HM387" s="140"/>
      <c r="HN387" s="140"/>
      <c r="HO387" s="140"/>
      <c r="HP387" s="140"/>
      <c r="HQ387" s="140"/>
      <c r="HR387" s="140"/>
      <c r="HS387" s="140"/>
      <c r="HT387" s="140"/>
      <c r="HU387" s="140"/>
      <c r="HV387" s="140"/>
      <c r="HW387" s="140"/>
      <c r="HX387" s="140"/>
      <c r="HY387" s="140"/>
      <c r="HZ387" s="140"/>
      <c r="IA387" s="140"/>
      <c r="IB387" s="140"/>
      <c r="IC387" s="140"/>
      <c r="ID387" s="140"/>
      <c r="IE387" s="140"/>
      <c r="IF387" s="140"/>
      <c r="IG387" s="140"/>
      <c r="IH387" s="140"/>
      <c r="II387" s="140"/>
      <c r="IJ387" s="140"/>
      <c r="IK387" s="140"/>
      <c r="IL387" s="140"/>
      <c r="IM387" s="140"/>
      <c r="IN387" s="140"/>
      <c r="IO387" s="140"/>
      <c r="IP387" s="140"/>
      <c r="IQ387" s="140"/>
      <c r="IR387" s="140"/>
      <c r="IS387" s="140"/>
      <c r="IT387" s="140"/>
      <c r="IU387" s="140"/>
      <c r="IV387" s="140"/>
      <c r="IW387" s="140"/>
      <c r="IX387" s="140"/>
      <c r="IY387" s="140"/>
      <c r="IZ387" s="140"/>
      <c r="JA387" s="140"/>
      <c r="JB387" s="140"/>
      <c r="JC387" s="140"/>
      <c r="JD387" s="140"/>
      <c r="JE387" s="140"/>
      <c r="JF387" s="140"/>
      <c r="JG387" s="140"/>
      <c r="JH387" s="140"/>
      <c r="JI387" s="140"/>
      <c r="JJ387" s="140"/>
      <c r="JK387" s="140"/>
      <c r="JL387" s="140"/>
      <c r="JM387" s="140"/>
      <c r="JN387" s="140"/>
      <c r="JO387" s="140"/>
      <c r="JP387" s="140"/>
      <c r="JQ387" s="140"/>
      <c r="JR387" s="140"/>
      <c r="JS387" s="140"/>
      <c r="JT387" s="140"/>
      <c r="JU387" s="140"/>
      <c r="JV387" s="140"/>
      <c r="JW387" s="140"/>
      <c r="JX387" s="140"/>
      <c r="JY387" s="140"/>
      <c r="JZ387" s="140"/>
      <c r="KA387" s="140"/>
      <c r="KB387" s="140"/>
      <c r="KC387" s="140"/>
      <c r="KD387" s="140"/>
      <c r="KE387" s="140"/>
      <c r="KF387" s="140"/>
      <c r="KG387" s="140"/>
      <c r="KH387" s="140"/>
      <c r="KI387" s="140"/>
      <c r="KJ387" s="140"/>
      <c r="KK387" s="140"/>
      <c r="KL387" s="140"/>
      <c r="KM387" s="140"/>
      <c r="KN387" s="140"/>
      <c r="KO387" s="140"/>
      <c r="KP387" s="140"/>
      <c r="KQ387" s="140"/>
      <c r="KR387" s="140"/>
      <c r="KS387" s="140"/>
      <c r="KT387" s="140"/>
      <c r="KU387" s="140"/>
      <c r="KV387" s="140"/>
      <c r="KW387" s="140"/>
      <c r="KX387" s="140"/>
      <c r="KY387" s="140"/>
      <c r="KZ387" s="140"/>
      <c r="LA387" s="140"/>
      <c r="LB387" s="140"/>
      <c r="LC387" s="140"/>
      <c r="LD387" s="140"/>
      <c r="LE387" s="140"/>
      <c r="LF387" s="140"/>
      <c r="LG387" s="140"/>
      <c r="LH387" s="140"/>
      <c r="LI387" s="140"/>
      <c r="LJ387" s="140"/>
      <c r="LK387" s="140"/>
      <c r="LL387" s="140"/>
      <c r="LM387" s="140"/>
      <c r="LN387" s="140"/>
      <c r="LO387" s="140"/>
      <c r="LP387" s="140"/>
      <c r="LQ387" s="140"/>
      <c r="LR387" s="140"/>
      <c r="LS387" s="140"/>
      <c r="LT387" s="140"/>
      <c r="LU387" s="140"/>
      <c r="LV387" s="140"/>
      <c r="LW387" s="140"/>
      <c r="LX387" s="140"/>
      <c r="LY387" s="140"/>
      <c r="LZ387" s="140"/>
      <c r="MA387" s="140"/>
      <c r="MB387" s="140"/>
      <c r="MC387" s="140"/>
      <c r="MD387" s="140"/>
      <c r="ME387" s="140"/>
      <c r="MF387" s="140"/>
      <c r="MG387" s="140"/>
      <c r="MH387" s="140"/>
      <c r="MI387" s="140"/>
      <c r="MJ387" s="140"/>
      <c r="MK387" s="140"/>
      <c r="ML387" s="140"/>
    </row>
    <row r="388" spans="3:350" s="4" customFormat="1" ht="18" customHeight="1" x14ac:dyDescent="0.3">
      <c r="H388" s="140"/>
      <c r="I388" s="140"/>
      <c r="J388" s="140"/>
      <c r="K388" s="140"/>
      <c r="L388" s="140"/>
      <c r="M388" s="140"/>
      <c r="N388" s="140"/>
      <c r="O388" s="140"/>
      <c r="P388" s="140"/>
      <c r="Q388" s="140"/>
      <c r="R388" s="140"/>
      <c r="S388" s="140"/>
      <c r="T388" s="140"/>
      <c r="U388" s="140"/>
      <c r="V388" s="140"/>
      <c r="W388" s="140"/>
      <c r="X388" s="140"/>
      <c r="Y388" s="140"/>
      <c r="Z388" s="140"/>
      <c r="AA388" s="140"/>
      <c r="AB388" s="140"/>
      <c r="AC388" s="140"/>
      <c r="AD388" s="140"/>
      <c r="AE388" s="140"/>
      <c r="AF388" s="140"/>
      <c r="AG388" s="140"/>
      <c r="AH388" s="140"/>
      <c r="AI388" s="140"/>
      <c r="AJ388" s="140"/>
      <c r="AK388" s="140"/>
      <c r="AL388" s="140"/>
      <c r="AM388" s="140"/>
      <c r="AN388" s="140"/>
      <c r="AO388" s="140"/>
      <c r="AP388" s="140"/>
      <c r="AQ388" s="140"/>
      <c r="AR388" s="140"/>
      <c r="AS388" s="140"/>
      <c r="AT388" s="140"/>
      <c r="AU388" s="140"/>
      <c r="AV388" s="140"/>
      <c r="AW388" s="140"/>
      <c r="AX388" s="140"/>
      <c r="AY388" s="140"/>
      <c r="AZ388" s="140"/>
      <c r="BA388" s="140"/>
      <c r="BB388" s="140"/>
      <c r="BC388" s="140"/>
      <c r="BD388" s="140"/>
      <c r="BE388" s="140"/>
      <c r="BF388" s="140"/>
      <c r="BG388" s="140"/>
      <c r="BH388" s="140"/>
      <c r="BI388" s="140"/>
      <c r="BJ388" s="140"/>
      <c r="BK388" s="140"/>
      <c r="BL388" s="140"/>
      <c r="BM388" s="140"/>
      <c r="BN388" s="140"/>
      <c r="BO388" s="140"/>
      <c r="BP388" s="140"/>
      <c r="BQ388" s="140"/>
      <c r="BR388" s="140"/>
      <c r="BS388" s="140"/>
      <c r="BT388" s="140"/>
      <c r="BU388" s="140"/>
      <c r="BV388" s="140"/>
      <c r="BW388" s="140"/>
      <c r="BX388" s="140"/>
      <c r="BY388" s="140"/>
      <c r="BZ388" s="140"/>
      <c r="CA388" s="140"/>
      <c r="CB388" s="140"/>
      <c r="CC388" s="140"/>
      <c r="CD388" s="140"/>
      <c r="CE388" s="140"/>
      <c r="CF388" s="140"/>
      <c r="CG388" s="140"/>
      <c r="CH388" s="140"/>
      <c r="CI388" s="140"/>
      <c r="CJ388" s="140"/>
      <c r="CK388" s="140"/>
      <c r="CL388" s="140"/>
      <c r="CM388" s="140"/>
      <c r="CN388" s="140"/>
      <c r="FJ388" s="140"/>
      <c r="FK388" s="140"/>
      <c r="FL388" s="140"/>
      <c r="FM388" s="140"/>
      <c r="FN388" s="140"/>
      <c r="FO388" s="140"/>
      <c r="FP388" s="140"/>
      <c r="FQ388" s="140"/>
      <c r="FR388" s="140"/>
      <c r="FS388" s="140"/>
      <c r="FT388" s="140"/>
      <c r="FU388" s="140"/>
      <c r="FV388" s="140"/>
      <c r="FW388" s="140"/>
      <c r="FX388" s="140"/>
      <c r="FY388" s="140"/>
      <c r="FZ388" s="140"/>
      <c r="GA388" s="140"/>
      <c r="GB388" s="140"/>
      <c r="GC388" s="140"/>
      <c r="GD388" s="140"/>
      <c r="GE388" s="140"/>
      <c r="GF388" s="140"/>
      <c r="GG388" s="140"/>
      <c r="GH388" s="140"/>
      <c r="GI388" s="140"/>
      <c r="GJ388" s="140"/>
      <c r="GK388" s="140"/>
      <c r="GL388" s="140"/>
      <c r="GM388" s="140"/>
      <c r="GN388" s="140"/>
      <c r="GO388" s="140"/>
      <c r="GP388" s="140"/>
      <c r="GQ388" s="140"/>
      <c r="GR388" s="140"/>
      <c r="GS388" s="140"/>
      <c r="GT388" s="140"/>
      <c r="GU388" s="140"/>
      <c r="GV388" s="140"/>
      <c r="GW388" s="140"/>
      <c r="GX388" s="140"/>
      <c r="GY388" s="140"/>
      <c r="GZ388" s="140"/>
      <c r="HA388" s="140"/>
      <c r="HB388" s="140"/>
      <c r="HC388" s="140"/>
      <c r="HD388" s="140"/>
      <c r="HE388" s="140"/>
      <c r="HF388" s="140"/>
      <c r="HG388" s="140"/>
      <c r="HH388" s="140"/>
      <c r="HI388" s="140"/>
      <c r="HJ388" s="140"/>
      <c r="HK388" s="140"/>
      <c r="HL388" s="140"/>
      <c r="HM388" s="140"/>
      <c r="HN388" s="140"/>
      <c r="HO388" s="140"/>
      <c r="HP388" s="140"/>
      <c r="HQ388" s="140"/>
      <c r="HR388" s="140"/>
      <c r="HS388" s="140"/>
      <c r="HT388" s="140"/>
      <c r="HU388" s="140"/>
      <c r="HV388" s="140"/>
      <c r="HW388" s="140"/>
      <c r="HX388" s="140"/>
      <c r="HY388" s="140"/>
      <c r="HZ388" s="140"/>
      <c r="IA388" s="140"/>
      <c r="IB388" s="140"/>
      <c r="IC388" s="140"/>
      <c r="ID388" s="140"/>
      <c r="IE388" s="140"/>
      <c r="IF388" s="140"/>
      <c r="IG388" s="140"/>
      <c r="IH388" s="140"/>
      <c r="II388" s="140"/>
      <c r="IJ388" s="140"/>
      <c r="IK388" s="140"/>
      <c r="IL388" s="140"/>
      <c r="IM388" s="140"/>
      <c r="IN388" s="140"/>
      <c r="IO388" s="140"/>
      <c r="IP388" s="140"/>
      <c r="IQ388" s="140"/>
      <c r="IR388" s="140"/>
      <c r="IS388" s="140"/>
      <c r="IT388" s="140"/>
      <c r="IU388" s="140"/>
      <c r="IV388" s="140"/>
      <c r="IW388" s="140"/>
      <c r="IX388" s="140"/>
      <c r="IY388" s="140"/>
      <c r="IZ388" s="140"/>
      <c r="JA388" s="140"/>
      <c r="JB388" s="140"/>
      <c r="JC388" s="140"/>
      <c r="JD388" s="140"/>
      <c r="JE388" s="140"/>
      <c r="JF388" s="140"/>
      <c r="JG388" s="140"/>
      <c r="JH388" s="140"/>
      <c r="JI388" s="140"/>
      <c r="JJ388" s="140"/>
      <c r="JK388" s="140"/>
      <c r="JL388" s="140"/>
      <c r="JM388" s="140"/>
      <c r="JN388" s="140"/>
      <c r="JO388" s="140"/>
      <c r="JP388" s="140"/>
      <c r="JQ388" s="140"/>
      <c r="JR388" s="140"/>
      <c r="JS388" s="140"/>
      <c r="JT388" s="140"/>
      <c r="JU388" s="140"/>
      <c r="JV388" s="140"/>
      <c r="JW388" s="140"/>
      <c r="JX388" s="140"/>
      <c r="JY388" s="140"/>
      <c r="JZ388" s="140"/>
      <c r="KA388" s="140"/>
      <c r="KB388" s="140"/>
      <c r="KC388" s="140"/>
      <c r="KD388" s="140"/>
      <c r="KE388" s="140"/>
      <c r="KF388" s="140"/>
      <c r="KG388" s="140"/>
      <c r="KH388" s="140"/>
      <c r="KI388" s="140"/>
      <c r="KJ388" s="140"/>
      <c r="KK388" s="140"/>
      <c r="KL388" s="140"/>
      <c r="KM388" s="140"/>
      <c r="KN388" s="140"/>
      <c r="KO388" s="140"/>
      <c r="KP388" s="140"/>
      <c r="KQ388" s="140"/>
      <c r="KR388" s="140"/>
      <c r="KS388" s="140"/>
      <c r="KT388" s="140"/>
      <c r="KU388" s="140"/>
      <c r="KV388" s="140"/>
      <c r="KW388" s="140"/>
      <c r="KX388" s="140"/>
      <c r="KY388" s="140"/>
      <c r="KZ388" s="140"/>
      <c r="LA388" s="140"/>
      <c r="LB388" s="140"/>
      <c r="LC388" s="140"/>
      <c r="LD388" s="140"/>
      <c r="LE388" s="140"/>
      <c r="LF388" s="140"/>
      <c r="LG388" s="140"/>
      <c r="LH388" s="140"/>
      <c r="LI388" s="140"/>
      <c r="LJ388" s="140"/>
      <c r="LK388" s="140"/>
      <c r="LL388" s="140"/>
      <c r="LM388" s="140"/>
      <c r="LN388" s="140"/>
      <c r="LO388" s="140"/>
      <c r="LP388" s="140"/>
      <c r="LQ388" s="140"/>
      <c r="LR388" s="140"/>
      <c r="LS388" s="140"/>
      <c r="LT388" s="140"/>
      <c r="LU388" s="140"/>
      <c r="LV388" s="140"/>
      <c r="LW388" s="140"/>
      <c r="LX388" s="140"/>
      <c r="LY388" s="140"/>
      <c r="LZ388" s="140"/>
      <c r="MA388" s="140"/>
      <c r="MB388" s="140"/>
      <c r="MC388" s="140"/>
      <c r="MD388" s="140"/>
      <c r="ME388" s="140"/>
      <c r="MF388" s="140"/>
      <c r="MG388" s="140"/>
      <c r="MH388" s="140"/>
      <c r="MI388" s="140"/>
      <c r="MJ388" s="140"/>
      <c r="MK388" s="140"/>
      <c r="ML388" s="140"/>
    </row>
    <row r="389" spans="3:350" s="4" customFormat="1" ht="18" customHeight="1" x14ac:dyDescent="0.3">
      <c r="H389" s="140"/>
      <c r="I389" s="140"/>
      <c r="J389" s="140"/>
      <c r="K389" s="140"/>
      <c r="L389" s="140"/>
      <c r="M389" s="140"/>
      <c r="N389" s="140"/>
      <c r="O389" s="140"/>
      <c r="P389" s="140"/>
      <c r="Q389" s="140"/>
      <c r="R389" s="140"/>
      <c r="S389" s="140"/>
      <c r="T389" s="140"/>
      <c r="U389" s="140"/>
      <c r="V389" s="140"/>
      <c r="W389" s="140"/>
      <c r="X389" s="140"/>
      <c r="Y389" s="140"/>
      <c r="Z389" s="140"/>
      <c r="AA389" s="140"/>
      <c r="AB389" s="140"/>
      <c r="AC389" s="140"/>
      <c r="AD389" s="140"/>
      <c r="AE389" s="140"/>
      <c r="AF389" s="140"/>
      <c r="AG389" s="140"/>
      <c r="AH389" s="140"/>
      <c r="AI389" s="140"/>
      <c r="AJ389" s="140"/>
      <c r="AK389" s="140"/>
      <c r="AL389" s="140"/>
      <c r="AM389" s="140"/>
      <c r="AN389" s="140"/>
      <c r="AO389" s="140"/>
      <c r="AP389" s="140"/>
      <c r="AQ389" s="140"/>
      <c r="AR389" s="140"/>
      <c r="AS389" s="140"/>
      <c r="AT389" s="140"/>
      <c r="AU389" s="140"/>
      <c r="AV389" s="140"/>
      <c r="AW389" s="140"/>
      <c r="AX389" s="140"/>
      <c r="AY389" s="140"/>
      <c r="AZ389" s="140"/>
      <c r="BA389" s="140"/>
      <c r="BB389" s="140"/>
      <c r="BC389" s="140"/>
      <c r="BD389" s="140"/>
      <c r="BE389" s="140"/>
      <c r="BF389" s="140"/>
      <c r="BG389" s="140"/>
      <c r="BH389" s="140"/>
      <c r="BI389" s="140"/>
      <c r="BJ389" s="140"/>
      <c r="BK389" s="140"/>
      <c r="BL389" s="140"/>
      <c r="BM389" s="140"/>
      <c r="BN389" s="140"/>
      <c r="BO389" s="140"/>
      <c r="BP389" s="140"/>
      <c r="BQ389" s="140"/>
      <c r="BR389" s="140"/>
      <c r="BS389" s="140"/>
      <c r="BT389" s="140"/>
      <c r="BU389" s="140"/>
      <c r="BV389" s="140"/>
      <c r="BW389" s="140"/>
      <c r="BX389" s="140"/>
      <c r="BY389" s="140"/>
      <c r="BZ389" s="140"/>
      <c r="CA389" s="140"/>
      <c r="CB389" s="140"/>
      <c r="CC389" s="140"/>
      <c r="CD389" s="140"/>
      <c r="CE389" s="140"/>
      <c r="CF389" s="140"/>
      <c r="CG389" s="140"/>
      <c r="CH389" s="140"/>
      <c r="CI389" s="140"/>
      <c r="CJ389" s="140"/>
      <c r="CK389" s="140"/>
      <c r="CL389" s="140"/>
      <c r="CM389" s="140"/>
      <c r="CN389" s="140"/>
      <c r="FJ389" s="140"/>
      <c r="FK389" s="140"/>
      <c r="FL389" s="140"/>
      <c r="FM389" s="140"/>
      <c r="FN389" s="140"/>
      <c r="FO389" s="140"/>
      <c r="FP389" s="140"/>
      <c r="FQ389" s="140"/>
      <c r="FR389" s="140"/>
      <c r="FS389" s="140"/>
      <c r="FT389" s="140"/>
      <c r="FU389" s="140"/>
      <c r="FV389" s="140"/>
      <c r="FW389" s="140"/>
      <c r="FX389" s="140"/>
      <c r="FY389" s="140"/>
      <c r="FZ389" s="140"/>
      <c r="GA389" s="140"/>
      <c r="GB389" s="140"/>
      <c r="GC389" s="140"/>
      <c r="GD389" s="140"/>
      <c r="GE389" s="140"/>
      <c r="GF389" s="140"/>
      <c r="GG389" s="140"/>
      <c r="GH389" s="140"/>
      <c r="GI389" s="140"/>
      <c r="GJ389" s="140"/>
      <c r="GK389" s="140"/>
      <c r="GL389" s="140"/>
      <c r="GM389" s="140"/>
      <c r="GN389" s="140"/>
      <c r="GO389" s="140"/>
      <c r="GP389" s="140"/>
      <c r="GQ389" s="140"/>
      <c r="GR389" s="140"/>
      <c r="GS389" s="140"/>
      <c r="GT389" s="140"/>
      <c r="GU389" s="140"/>
      <c r="GV389" s="140"/>
      <c r="GW389" s="140"/>
      <c r="GX389" s="140"/>
      <c r="GY389" s="140"/>
      <c r="GZ389" s="140"/>
      <c r="HA389" s="140"/>
      <c r="HB389" s="140"/>
      <c r="HC389" s="140"/>
      <c r="HD389" s="140"/>
      <c r="HE389" s="140"/>
      <c r="HF389" s="140"/>
      <c r="HG389" s="140"/>
      <c r="HH389" s="140"/>
      <c r="HI389" s="140"/>
      <c r="HJ389" s="140"/>
      <c r="HK389" s="140"/>
      <c r="HL389" s="140"/>
      <c r="HM389" s="140"/>
      <c r="HN389" s="140"/>
      <c r="HO389" s="140"/>
      <c r="HP389" s="140"/>
      <c r="HQ389" s="140"/>
      <c r="HR389" s="140"/>
      <c r="HS389" s="140"/>
      <c r="HT389" s="140"/>
      <c r="HU389" s="140"/>
      <c r="HV389" s="140"/>
      <c r="HW389" s="140"/>
      <c r="HX389" s="140"/>
      <c r="HY389" s="140"/>
      <c r="HZ389" s="140"/>
      <c r="IA389" s="140"/>
      <c r="IB389" s="140"/>
      <c r="IC389" s="140"/>
      <c r="ID389" s="140"/>
      <c r="IE389" s="140"/>
      <c r="IF389" s="140"/>
      <c r="IG389" s="140"/>
      <c r="IH389" s="140"/>
      <c r="II389" s="140"/>
      <c r="IJ389" s="140"/>
      <c r="IK389" s="140"/>
      <c r="IL389" s="140"/>
      <c r="IM389" s="140"/>
      <c r="IN389" s="140"/>
      <c r="IO389" s="140"/>
      <c r="IP389" s="140"/>
      <c r="IQ389" s="140"/>
      <c r="IR389" s="140"/>
      <c r="IS389" s="140"/>
      <c r="IT389" s="140"/>
      <c r="IU389" s="140"/>
      <c r="IV389" s="140"/>
      <c r="IW389" s="140"/>
      <c r="IX389" s="140"/>
      <c r="IY389" s="140"/>
      <c r="IZ389" s="140"/>
      <c r="JA389" s="140"/>
      <c r="JB389" s="140"/>
      <c r="JC389" s="140"/>
      <c r="JD389" s="140"/>
      <c r="JE389" s="140"/>
      <c r="JF389" s="140"/>
      <c r="JG389" s="140"/>
      <c r="JH389" s="140"/>
      <c r="JI389" s="140"/>
      <c r="JJ389" s="140"/>
      <c r="JK389" s="140"/>
      <c r="JL389" s="140"/>
      <c r="JM389" s="140"/>
      <c r="JN389" s="140"/>
      <c r="JO389" s="140"/>
      <c r="JP389" s="140"/>
      <c r="JQ389" s="140"/>
      <c r="JR389" s="140"/>
      <c r="JS389" s="140"/>
      <c r="JT389" s="140"/>
      <c r="JU389" s="140"/>
      <c r="JV389" s="140"/>
      <c r="JW389" s="140"/>
      <c r="JX389" s="140"/>
      <c r="JY389" s="140"/>
      <c r="JZ389" s="140"/>
      <c r="KA389" s="140"/>
      <c r="KB389" s="140"/>
      <c r="KC389" s="140"/>
      <c r="KD389" s="140"/>
      <c r="KE389" s="140"/>
      <c r="KF389" s="140"/>
      <c r="KG389" s="140"/>
      <c r="KH389" s="140"/>
      <c r="KI389" s="140"/>
      <c r="KJ389" s="140"/>
      <c r="KK389" s="140"/>
      <c r="KL389" s="140"/>
      <c r="KM389" s="140"/>
      <c r="KN389" s="140"/>
      <c r="KO389" s="140"/>
      <c r="KP389" s="140"/>
      <c r="KQ389" s="140"/>
      <c r="KR389" s="140"/>
      <c r="KS389" s="140"/>
      <c r="KT389" s="140"/>
      <c r="KU389" s="140"/>
      <c r="KV389" s="140"/>
      <c r="KW389" s="140"/>
      <c r="KX389" s="140"/>
      <c r="KY389" s="140"/>
      <c r="KZ389" s="140"/>
      <c r="LA389" s="140"/>
      <c r="LB389" s="140"/>
      <c r="LC389" s="140"/>
      <c r="LD389" s="140"/>
      <c r="LE389" s="140"/>
      <c r="LF389" s="140"/>
      <c r="LG389" s="140"/>
      <c r="LH389" s="140"/>
      <c r="LI389" s="140"/>
      <c r="LJ389" s="140"/>
      <c r="LK389" s="140"/>
      <c r="LL389" s="140"/>
      <c r="LM389" s="140"/>
      <c r="LN389" s="140"/>
      <c r="LO389" s="140"/>
      <c r="LP389" s="140"/>
      <c r="LQ389" s="140"/>
      <c r="LR389" s="140"/>
      <c r="LS389" s="140"/>
      <c r="LT389" s="140"/>
      <c r="LU389" s="140"/>
      <c r="LV389" s="140"/>
      <c r="LW389" s="140"/>
      <c r="LX389" s="140"/>
      <c r="LY389" s="140"/>
      <c r="LZ389" s="140"/>
      <c r="MA389" s="140"/>
      <c r="MB389" s="140"/>
      <c r="MC389" s="140"/>
      <c r="MD389" s="140"/>
      <c r="ME389" s="140"/>
      <c r="MF389" s="140"/>
      <c r="MG389" s="140"/>
      <c r="MH389" s="140"/>
      <c r="MI389" s="140"/>
      <c r="MJ389" s="140"/>
      <c r="MK389" s="140"/>
      <c r="ML389" s="140"/>
    </row>
    <row r="390" spans="3:350" s="4" customFormat="1" ht="18" customHeight="1" x14ac:dyDescent="0.3">
      <c r="H390" s="140"/>
      <c r="I390" s="140"/>
      <c r="J390" s="140"/>
      <c r="K390" s="140"/>
      <c r="L390" s="140"/>
      <c r="M390" s="140"/>
      <c r="N390" s="140"/>
      <c r="O390" s="140"/>
      <c r="P390" s="140"/>
      <c r="Q390" s="140"/>
      <c r="R390" s="140"/>
      <c r="S390" s="140"/>
      <c r="T390" s="140"/>
      <c r="U390" s="140"/>
      <c r="V390" s="140"/>
      <c r="W390" s="140"/>
      <c r="X390" s="140"/>
      <c r="Y390" s="140"/>
      <c r="Z390" s="140"/>
      <c r="AA390" s="140"/>
      <c r="AB390" s="140"/>
      <c r="AC390" s="140"/>
      <c r="AD390" s="140"/>
      <c r="AE390" s="140"/>
      <c r="AF390" s="140"/>
      <c r="AG390" s="140"/>
      <c r="AH390" s="140"/>
      <c r="AI390" s="140"/>
      <c r="AJ390" s="140"/>
      <c r="AK390" s="140"/>
      <c r="AL390" s="140"/>
      <c r="AM390" s="140"/>
      <c r="AN390" s="140"/>
      <c r="AO390" s="140"/>
      <c r="AP390" s="140"/>
      <c r="AQ390" s="140"/>
      <c r="AR390" s="140"/>
      <c r="AS390" s="140"/>
      <c r="AT390" s="140"/>
      <c r="AU390" s="140"/>
      <c r="AV390" s="140"/>
      <c r="AW390" s="140"/>
      <c r="AX390" s="140"/>
      <c r="AY390" s="140"/>
      <c r="AZ390" s="140"/>
      <c r="BA390" s="140"/>
      <c r="BB390" s="140"/>
      <c r="BC390" s="140"/>
      <c r="BD390" s="140"/>
      <c r="BE390" s="140"/>
      <c r="BF390" s="140"/>
      <c r="BG390" s="140"/>
      <c r="BH390" s="140"/>
      <c r="BI390" s="140"/>
      <c r="BJ390" s="140"/>
      <c r="BK390" s="140"/>
      <c r="BL390" s="140"/>
      <c r="BM390" s="140"/>
      <c r="BN390" s="140"/>
      <c r="BO390" s="140"/>
      <c r="BP390" s="140"/>
      <c r="BQ390" s="140"/>
      <c r="BR390" s="140"/>
      <c r="BS390" s="140"/>
      <c r="BT390" s="140"/>
      <c r="BU390" s="140"/>
      <c r="BV390" s="140"/>
      <c r="BW390" s="140"/>
      <c r="BX390" s="140"/>
      <c r="BY390" s="140"/>
      <c r="BZ390" s="140"/>
      <c r="CA390" s="140"/>
      <c r="CB390" s="140"/>
      <c r="CC390" s="140"/>
      <c r="CD390" s="140"/>
      <c r="CE390" s="140"/>
      <c r="CF390" s="140"/>
      <c r="CG390" s="140"/>
      <c r="CH390" s="140"/>
      <c r="CI390" s="140"/>
      <c r="CJ390" s="140"/>
      <c r="CK390" s="140"/>
      <c r="CL390" s="140"/>
      <c r="CM390" s="140"/>
      <c r="CN390" s="140"/>
      <c r="FJ390" s="140"/>
      <c r="FK390" s="140"/>
      <c r="FL390" s="140"/>
      <c r="FM390" s="140"/>
      <c r="FN390" s="140"/>
      <c r="FO390" s="140"/>
      <c r="FP390" s="140"/>
      <c r="FQ390" s="140"/>
      <c r="FR390" s="140"/>
      <c r="FS390" s="140"/>
      <c r="FT390" s="140"/>
      <c r="FU390" s="140"/>
      <c r="FV390" s="140"/>
      <c r="FW390" s="140"/>
      <c r="FX390" s="140"/>
      <c r="FY390" s="140"/>
      <c r="FZ390" s="140"/>
      <c r="GA390" s="140"/>
      <c r="GB390" s="140"/>
      <c r="GC390" s="140"/>
      <c r="GD390" s="140"/>
      <c r="GE390" s="140"/>
      <c r="GF390" s="140"/>
      <c r="GG390" s="140"/>
      <c r="GH390" s="140"/>
      <c r="GI390" s="140"/>
      <c r="GJ390" s="140"/>
      <c r="GK390" s="140"/>
      <c r="GL390" s="140"/>
      <c r="GM390" s="140"/>
      <c r="GN390" s="140"/>
      <c r="GO390" s="140"/>
      <c r="GP390" s="140"/>
      <c r="GQ390" s="140"/>
      <c r="GR390" s="140"/>
      <c r="GS390" s="140"/>
      <c r="GT390" s="140"/>
      <c r="GU390" s="140"/>
      <c r="GV390" s="140"/>
      <c r="GW390" s="140"/>
      <c r="GX390" s="140"/>
      <c r="GY390" s="140"/>
      <c r="GZ390" s="140"/>
      <c r="HA390" s="140"/>
      <c r="HB390" s="140"/>
      <c r="HC390" s="140"/>
      <c r="HD390" s="140"/>
      <c r="HE390" s="140"/>
      <c r="HF390" s="140"/>
      <c r="HG390" s="140"/>
      <c r="HH390" s="140"/>
      <c r="HI390" s="140"/>
      <c r="HJ390" s="140"/>
      <c r="HK390" s="140"/>
      <c r="HL390" s="140"/>
      <c r="HM390" s="140"/>
      <c r="HN390" s="140"/>
      <c r="HO390" s="140"/>
      <c r="HP390" s="140"/>
      <c r="HQ390" s="140"/>
      <c r="HR390" s="140"/>
      <c r="HS390" s="140"/>
      <c r="HT390" s="140"/>
      <c r="HU390" s="140"/>
      <c r="HV390" s="140"/>
      <c r="HW390" s="140"/>
      <c r="HX390" s="140"/>
      <c r="HY390" s="140"/>
      <c r="HZ390" s="140"/>
      <c r="IA390" s="140"/>
      <c r="IB390" s="140"/>
      <c r="IC390" s="140"/>
      <c r="ID390" s="140"/>
      <c r="IE390" s="140"/>
      <c r="IF390" s="140"/>
      <c r="IG390" s="140"/>
      <c r="IH390" s="140"/>
      <c r="II390" s="140"/>
      <c r="IJ390" s="140"/>
      <c r="IK390" s="140"/>
      <c r="IL390" s="140"/>
      <c r="IM390" s="140"/>
      <c r="IN390" s="140"/>
      <c r="IO390" s="140"/>
      <c r="IP390" s="140"/>
      <c r="IQ390" s="140"/>
      <c r="IR390" s="140"/>
      <c r="IS390" s="140"/>
      <c r="IT390" s="140"/>
      <c r="IU390" s="140"/>
      <c r="IV390" s="140"/>
      <c r="IW390" s="140"/>
      <c r="IX390" s="140"/>
      <c r="IY390" s="140"/>
      <c r="IZ390" s="140"/>
      <c r="JA390" s="140"/>
      <c r="JB390" s="140"/>
      <c r="JC390" s="140"/>
      <c r="JD390" s="140"/>
      <c r="JE390" s="140"/>
      <c r="JF390" s="140"/>
      <c r="JG390" s="140"/>
      <c r="JH390" s="140"/>
      <c r="JI390" s="140"/>
      <c r="JJ390" s="140"/>
      <c r="JK390" s="140"/>
      <c r="JL390" s="140"/>
      <c r="JM390" s="140"/>
      <c r="JN390" s="140"/>
      <c r="JO390" s="140"/>
      <c r="JP390" s="140"/>
      <c r="JQ390" s="140"/>
      <c r="JR390" s="140"/>
      <c r="JS390" s="140"/>
      <c r="JT390" s="140"/>
      <c r="JU390" s="140"/>
      <c r="JV390" s="140"/>
      <c r="JW390" s="140"/>
      <c r="JX390" s="140"/>
      <c r="JY390" s="140"/>
      <c r="JZ390" s="140"/>
      <c r="KA390" s="140"/>
      <c r="KB390" s="140"/>
      <c r="KC390" s="140"/>
      <c r="KD390" s="140"/>
      <c r="KE390" s="140"/>
      <c r="KF390" s="140"/>
      <c r="KG390" s="140"/>
      <c r="KH390" s="140"/>
      <c r="KI390" s="140"/>
      <c r="KJ390" s="140"/>
      <c r="KK390" s="140"/>
      <c r="KL390" s="140"/>
      <c r="KM390" s="140"/>
      <c r="KN390" s="140"/>
      <c r="KO390" s="140"/>
      <c r="KP390" s="140"/>
      <c r="KQ390" s="140"/>
      <c r="KR390" s="140"/>
      <c r="KS390" s="140"/>
      <c r="KT390" s="140"/>
      <c r="KU390" s="140"/>
      <c r="KV390" s="140"/>
      <c r="KW390" s="140"/>
      <c r="KX390" s="140"/>
      <c r="KY390" s="140"/>
      <c r="KZ390" s="140"/>
      <c r="LA390" s="140"/>
      <c r="LB390" s="140"/>
      <c r="LC390" s="140"/>
      <c r="LD390" s="140"/>
      <c r="LE390" s="140"/>
      <c r="LF390" s="140"/>
      <c r="LG390" s="140"/>
      <c r="LH390" s="140"/>
      <c r="LI390" s="140"/>
      <c r="LJ390" s="140"/>
      <c r="LK390" s="140"/>
      <c r="LL390" s="140"/>
      <c r="LM390" s="140"/>
      <c r="LN390" s="140"/>
      <c r="LO390" s="140"/>
      <c r="LP390" s="140"/>
      <c r="LQ390" s="140"/>
      <c r="LR390" s="140"/>
      <c r="LS390" s="140"/>
      <c r="LT390" s="140"/>
      <c r="LU390" s="140"/>
      <c r="LV390" s="140"/>
      <c r="LW390" s="140"/>
      <c r="LX390" s="140"/>
      <c r="LY390" s="140"/>
      <c r="LZ390" s="140"/>
      <c r="MA390" s="140"/>
      <c r="MB390" s="140"/>
      <c r="MC390" s="140"/>
      <c r="MD390" s="140"/>
      <c r="ME390" s="140"/>
      <c r="MF390" s="140"/>
      <c r="MG390" s="140"/>
      <c r="MH390" s="140"/>
      <c r="MI390" s="140"/>
      <c r="MJ390" s="140"/>
      <c r="MK390" s="140"/>
      <c r="ML390" s="140"/>
    </row>
    <row r="391" spans="3:350" s="4" customFormat="1" ht="18" customHeight="1" x14ac:dyDescent="0.3">
      <c r="H391" s="140"/>
      <c r="I391" s="140"/>
      <c r="J391" s="140"/>
      <c r="K391" s="140"/>
      <c r="L391" s="140"/>
      <c r="M391" s="140"/>
      <c r="N391" s="140"/>
      <c r="O391" s="140"/>
      <c r="P391" s="140"/>
      <c r="Q391" s="140"/>
      <c r="R391" s="140"/>
      <c r="S391" s="140"/>
      <c r="T391" s="140"/>
      <c r="U391" s="140"/>
      <c r="V391" s="140"/>
      <c r="W391" s="140"/>
      <c r="X391" s="140"/>
      <c r="Y391" s="140"/>
      <c r="Z391" s="140"/>
      <c r="AA391" s="140"/>
      <c r="AB391" s="140"/>
      <c r="AC391" s="140"/>
      <c r="AD391" s="140"/>
      <c r="AE391" s="140"/>
      <c r="AF391" s="140"/>
      <c r="AG391" s="140"/>
      <c r="AH391" s="140"/>
      <c r="AI391" s="140"/>
      <c r="AJ391" s="140"/>
      <c r="AK391" s="140"/>
      <c r="AL391" s="140"/>
      <c r="AM391" s="140"/>
      <c r="AN391" s="140"/>
      <c r="AO391" s="140"/>
      <c r="AP391" s="140"/>
      <c r="AQ391" s="140"/>
      <c r="AR391" s="140"/>
      <c r="AS391" s="140"/>
      <c r="AT391" s="140"/>
      <c r="AU391" s="140"/>
      <c r="AV391" s="140"/>
      <c r="AW391" s="140"/>
      <c r="AX391" s="140"/>
      <c r="AY391" s="140"/>
      <c r="AZ391" s="140"/>
      <c r="BA391" s="140"/>
      <c r="BB391" s="140"/>
      <c r="BC391" s="140"/>
      <c r="BD391" s="140"/>
      <c r="BE391" s="140"/>
      <c r="BF391" s="140"/>
      <c r="BG391" s="140"/>
      <c r="BH391" s="140"/>
      <c r="BI391" s="140"/>
      <c r="BJ391" s="140"/>
      <c r="BK391" s="140"/>
      <c r="BL391" s="140"/>
      <c r="BM391" s="140"/>
      <c r="BN391" s="140"/>
      <c r="BO391" s="140"/>
      <c r="BP391" s="140"/>
      <c r="BQ391" s="140"/>
      <c r="BR391" s="140"/>
      <c r="BS391" s="140"/>
      <c r="BT391" s="140"/>
      <c r="BU391" s="140"/>
      <c r="BV391" s="140"/>
      <c r="BW391" s="140"/>
      <c r="BX391" s="140"/>
      <c r="BY391" s="140"/>
      <c r="BZ391" s="140"/>
      <c r="CA391" s="140"/>
      <c r="CB391" s="140"/>
      <c r="CC391" s="140"/>
      <c r="CD391" s="140"/>
      <c r="CE391" s="140"/>
      <c r="CF391" s="140"/>
      <c r="CG391" s="140"/>
      <c r="CH391" s="140"/>
      <c r="CI391" s="140"/>
      <c r="CJ391" s="140"/>
      <c r="CK391" s="140"/>
      <c r="CL391" s="140"/>
      <c r="CM391" s="140"/>
      <c r="CN391" s="140"/>
      <c r="FJ391" s="140"/>
      <c r="FK391" s="140"/>
      <c r="FL391" s="140"/>
      <c r="FM391" s="140"/>
      <c r="FN391" s="140"/>
      <c r="FO391" s="140"/>
      <c r="FP391" s="140"/>
      <c r="FQ391" s="140"/>
      <c r="FR391" s="140"/>
      <c r="FS391" s="140"/>
      <c r="FT391" s="140"/>
      <c r="FU391" s="140"/>
      <c r="FV391" s="140"/>
      <c r="FW391" s="140"/>
      <c r="FX391" s="140"/>
      <c r="FY391" s="140"/>
      <c r="FZ391" s="140"/>
      <c r="GA391" s="140"/>
      <c r="GB391" s="140"/>
      <c r="GC391" s="140"/>
      <c r="GD391" s="140"/>
      <c r="GE391" s="140"/>
      <c r="GF391" s="140"/>
      <c r="GG391" s="140"/>
      <c r="GH391" s="140"/>
      <c r="GI391" s="140"/>
      <c r="GJ391" s="140"/>
      <c r="GK391" s="140"/>
      <c r="GL391" s="140"/>
      <c r="GM391" s="140"/>
      <c r="GN391" s="140"/>
      <c r="GO391" s="140"/>
      <c r="GP391" s="140"/>
      <c r="GQ391" s="140"/>
      <c r="GR391" s="140"/>
      <c r="GS391" s="140"/>
      <c r="GT391" s="140"/>
      <c r="GU391" s="140"/>
      <c r="GV391" s="140"/>
      <c r="GW391" s="140"/>
      <c r="GX391" s="140"/>
      <c r="GY391" s="140"/>
      <c r="GZ391" s="140"/>
      <c r="HA391" s="140"/>
      <c r="HB391" s="140"/>
      <c r="HC391" s="140"/>
      <c r="HD391" s="140"/>
      <c r="HE391" s="140"/>
      <c r="HF391" s="140"/>
      <c r="HG391" s="140"/>
      <c r="HH391" s="140"/>
      <c r="HI391" s="140"/>
      <c r="HJ391" s="140"/>
      <c r="HK391" s="140"/>
      <c r="HL391" s="140"/>
      <c r="HM391" s="140"/>
      <c r="HN391" s="140"/>
      <c r="HO391" s="140"/>
      <c r="HP391" s="140"/>
      <c r="HQ391" s="140"/>
      <c r="HR391" s="140"/>
      <c r="HS391" s="140"/>
      <c r="HT391" s="140"/>
      <c r="HU391" s="140"/>
      <c r="HV391" s="140"/>
      <c r="HW391" s="140"/>
      <c r="HX391" s="140"/>
      <c r="HY391" s="140"/>
      <c r="HZ391" s="140"/>
      <c r="IA391" s="140"/>
      <c r="IB391" s="140"/>
      <c r="IC391" s="140"/>
      <c r="ID391" s="140"/>
      <c r="IE391" s="140"/>
      <c r="IF391" s="140"/>
      <c r="IG391" s="140"/>
      <c r="IH391" s="140"/>
      <c r="II391" s="140"/>
      <c r="IJ391" s="140"/>
      <c r="IK391" s="140"/>
      <c r="IL391" s="140"/>
      <c r="IM391" s="140"/>
      <c r="IN391" s="140"/>
      <c r="IO391" s="140"/>
      <c r="IP391" s="140"/>
      <c r="IQ391" s="140"/>
      <c r="IR391" s="140"/>
      <c r="IS391" s="140"/>
      <c r="IT391" s="140"/>
      <c r="IU391" s="140"/>
      <c r="IV391" s="140"/>
      <c r="IW391" s="140"/>
      <c r="IX391" s="140"/>
      <c r="IY391" s="140"/>
      <c r="IZ391" s="140"/>
      <c r="JA391" s="140"/>
      <c r="JB391" s="140"/>
      <c r="JC391" s="140"/>
      <c r="JD391" s="140"/>
      <c r="JE391" s="140"/>
      <c r="JF391" s="140"/>
      <c r="JG391" s="140"/>
      <c r="JH391" s="140"/>
      <c r="JI391" s="140"/>
      <c r="JJ391" s="140"/>
      <c r="JK391" s="140"/>
      <c r="JL391" s="140"/>
      <c r="JM391" s="140"/>
      <c r="JN391" s="140"/>
      <c r="JO391" s="140"/>
      <c r="JP391" s="140"/>
      <c r="JQ391" s="140"/>
      <c r="JR391" s="140"/>
      <c r="JS391" s="140"/>
      <c r="JT391" s="140"/>
      <c r="JU391" s="140"/>
      <c r="JV391" s="140"/>
      <c r="JW391" s="140"/>
      <c r="JX391" s="140"/>
      <c r="JY391" s="140"/>
      <c r="JZ391" s="140"/>
      <c r="KA391" s="140"/>
      <c r="KB391" s="140"/>
      <c r="KC391" s="140"/>
      <c r="KD391" s="140"/>
      <c r="KE391" s="140"/>
      <c r="KF391" s="140"/>
      <c r="KG391" s="140"/>
      <c r="KH391" s="140"/>
      <c r="KI391" s="140"/>
      <c r="KJ391" s="140"/>
      <c r="KK391" s="140"/>
      <c r="KL391" s="140"/>
      <c r="KM391" s="140"/>
      <c r="KN391" s="140"/>
      <c r="KO391" s="140"/>
      <c r="KP391" s="140"/>
      <c r="KQ391" s="140"/>
      <c r="KR391" s="140"/>
      <c r="KS391" s="140"/>
      <c r="KT391" s="140"/>
      <c r="KU391" s="140"/>
      <c r="KV391" s="140"/>
      <c r="KW391" s="140"/>
      <c r="KX391" s="140"/>
      <c r="KY391" s="140"/>
      <c r="KZ391" s="140"/>
      <c r="LA391" s="140"/>
      <c r="LB391" s="140"/>
      <c r="LC391" s="140"/>
      <c r="LD391" s="140"/>
      <c r="LE391" s="140"/>
      <c r="LF391" s="140"/>
      <c r="LG391" s="140"/>
      <c r="LH391" s="140"/>
      <c r="LI391" s="140"/>
      <c r="LJ391" s="140"/>
      <c r="LK391" s="140"/>
      <c r="LL391" s="140"/>
      <c r="LM391" s="140"/>
      <c r="LN391" s="140"/>
      <c r="LO391" s="140"/>
      <c r="LP391" s="140"/>
      <c r="LQ391" s="140"/>
      <c r="LR391" s="140"/>
      <c r="LS391" s="140"/>
      <c r="LT391" s="140"/>
      <c r="LU391" s="140"/>
      <c r="LV391" s="140"/>
      <c r="LW391" s="140"/>
      <c r="LX391" s="140"/>
      <c r="LY391" s="140"/>
      <c r="LZ391" s="140"/>
      <c r="MA391" s="140"/>
      <c r="MB391" s="140"/>
      <c r="MC391" s="140"/>
      <c r="MD391" s="140"/>
      <c r="ME391" s="140"/>
      <c r="MF391" s="140"/>
      <c r="MG391" s="140"/>
      <c r="MH391" s="140"/>
      <c r="MI391" s="140"/>
      <c r="MJ391" s="140"/>
      <c r="MK391" s="140"/>
      <c r="ML391" s="140"/>
    </row>
    <row r="392" spans="3:350" s="4" customFormat="1" ht="18" customHeight="1" x14ac:dyDescent="0.3">
      <c r="H392" s="140"/>
      <c r="I392" s="140"/>
      <c r="J392" s="140"/>
      <c r="K392" s="140"/>
      <c r="L392" s="140"/>
      <c r="M392" s="140"/>
      <c r="N392" s="140"/>
      <c r="O392" s="140"/>
      <c r="P392" s="140"/>
      <c r="Q392" s="140"/>
      <c r="R392" s="140"/>
      <c r="S392" s="140"/>
      <c r="T392" s="140"/>
      <c r="U392" s="140"/>
      <c r="V392" s="140"/>
      <c r="W392" s="140"/>
      <c r="X392" s="140"/>
      <c r="Y392" s="140"/>
      <c r="Z392" s="140"/>
      <c r="AA392" s="140"/>
      <c r="AB392" s="140"/>
      <c r="AC392" s="140"/>
      <c r="AD392" s="140"/>
      <c r="AE392" s="140"/>
      <c r="AF392" s="140"/>
      <c r="AG392" s="140"/>
      <c r="AH392" s="140"/>
      <c r="AI392" s="140"/>
      <c r="AJ392" s="140"/>
      <c r="AK392" s="140"/>
      <c r="AL392" s="140"/>
      <c r="AM392" s="140"/>
      <c r="AN392" s="140"/>
      <c r="AO392" s="140"/>
      <c r="AP392" s="140"/>
      <c r="AQ392" s="140"/>
      <c r="AR392" s="140"/>
      <c r="AS392" s="140"/>
      <c r="AT392" s="140"/>
      <c r="AU392" s="140"/>
      <c r="AV392" s="140"/>
      <c r="AW392" s="140"/>
      <c r="AX392" s="140"/>
      <c r="AY392" s="140"/>
      <c r="AZ392" s="140"/>
      <c r="BA392" s="140"/>
      <c r="BB392" s="140"/>
      <c r="BC392" s="140"/>
      <c r="BD392" s="140"/>
      <c r="BE392" s="140"/>
      <c r="BF392" s="140"/>
      <c r="BG392" s="140"/>
      <c r="BH392" s="140"/>
      <c r="BI392" s="140"/>
      <c r="BJ392" s="140"/>
      <c r="BK392" s="140"/>
      <c r="BL392" s="140"/>
      <c r="BM392" s="140"/>
      <c r="BN392" s="140"/>
      <c r="BO392" s="140"/>
      <c r="BP392" s="140"/>
      <c r="BQ392" s="140"/>
      <c r="BR392" s="140"/>
      <c r="BS392" s="140"/>
      <c r="BT392" s="140"/>
      <c r="BU392" s="140"/>
      <c r="BV392" s="140"/>
      <c r="BW392" s="140"/>
      <c r="BX392" s="140"/>
      <c r="BY392" s="140"/>
      <c r="BZ392" s="140"/>
      <c r="CA392" s="140"/>
      <c r="CB392" s="140"/>
      <c r="CC392" s="140"/>
      <c r="CD392" s="140"/>
      <c r="CE392" s="140"/>
      <c r="CF392" s="140"/>
      <c r="CG392" s="140"/>
      <c r="CH392" s="140"/>
      <c r="CI392" s="140"/>
      <c r="CJ392" s="140"/>
      <c r="CK392" s="140"/>
      <c r="CL392" s="140"/>
      <c r="CM392" s="140"/>
      <c r="CN392" s="140"/>
      <c r="FJ392" s="140"/>
      <c r="FK392" s="140"/>
      <c r="FL392" s="140"/>
      <c r="FM392" s="140"/>
      <c r="FN392" s="140"/>
      <c r="FO392" s="140"/>
      <c r="FP392" s="140"/>
      <c r="FQ392" s="140"/>
      <c r="FR392" s="140"/>
      <c r="FS392" s="140"/>
      <c r="FT392" s="140"/>
      <c r="FU392" s="140"/>
      <c r="FV392" s="140"/>
      <c r="FW392" s="140"/>
      <c r="FX392" s="140"/>
      <c r="FY392" s="140"/>
      <c r="FZ392" s="140"/>
      <c r="GA392" s="140"/>
      <c r="GB392" s="140"/>
      <c r="GC392" s="140"/>
      <c r="GD392" s="140"/>
      <c r="GE392" s="140"/>
      <c r="GF392" s="140"/>
      <c r="GG392" s="140"/>
      <c r="GH392" s="140"/>
      <c r="GI392" s="140"/>
      <c r="GJ392" s="140"/>
      <c r="GK392" s="140"/>
      <c r="GL392" s="140"/>
      <c r="GM392" s="140"/>
      <c r="GN392" s="140"/>
      <c r="GO392" s="140"/>
      <c r="GP392" s="140"/>
      <c r="GQ392" s="140"/>
      <c r="GR392" s="140"/>
      <c r="GS392" s="140"/>
      <c r="GT392" s="140"/>
      <c r="GU392" s="140"/>
      <c r="GV392" s="140"/>
      <c r="GW392" s="140"/>
      <c r="GX392" s="140"/>
      <c r="GY392" s="140"/>
      <c r="GZ392" s="140"/>
      <c r="HA392" s="140"/>
      <c r="HB392" s="140"/>
      <c r="HC392" s="140"/>
      <c r="HD392" s="140"/>
      <c r="HE392" s="140"/>
      <c r="HF392" s="140"/>
      <c r="HG392" s="140"/>
      <c r="HH392" s="140"/>
      <c r="HI392" s="140"/>
      <c r="HJ392" s="140"/>
      <c r="HK392" s="140"/>
      <c r="HL392" s="140"/>
      <c r="HM392" s="140"/>
      <c r="HN392" s="140"/>
      <c r="HO392" s="140"/>
      <c r="HP392" s="140"/>
      <c r="HQ392" s="140"/>
      <c r="HR392" s="140"/>
      <c r="HS392" s="140"/>
      <c r="HT392" s="140"/>
      <c r="HU392" s="140"/>
      <c r="HV392" s="140"/>
      <c r="HW392" s="140"/>
      <c r="HX392" s="140"/>
      <c r="HY392" s="140"/>
      <c r="HZ392" s="140"/>
      <c r="IA392" s="140"/>
      <c r="IB392" s="140"/>
      <c r="IC392" s="140"/>
      <c r="ID392" s="140"/>
      <c r="IE392" s="140"/>
      <c r="IF392" s="140"/>
      <c r="IG392" s="140"/>
      <c r="IH392" s="140"/>
      <c r="II392" s="140"/>
      <c r="IJ392" s="140"/>
      <c r="IK392" s="140"/>
      <c r="IL392" s="140"/>
      <c r="IM392" s="140"/>
      <c r="IN392" s="140"/>
      <c r="IO392" s="140"/>
      <c r="IP392" s="140"/>
      <c r="IQ392" s="140"/>
      <c r="IR392" s="140"/>
      <c r="IS392" s="140"/>
      <c r="IT392" s="140"/>
      <c r="IU392" s="140"/>
      <c r="IV392" s="140"/>
      <c r="IW392" s="140"/>
      <c r="IX392" s="140"/>
      <c r="IY392" s="140"/>
      <c r="IZ392" s="140"/>
      <c r="JA392" s="140"/>
      <c r="JB392" s="140"/>
      <c r="JC392" s="140"/>
      <c r="JD392" s="140"/>
      <c r="JE392" s="140"/>
      <c r="JF392" s="140"/>
      <c r="JG392" s="140"/>
      <c r="JH392" s="140"/>
      <c r="JI392" s="140"/>
      <c r="JJ392" s="140"/>
      <c r="JK392" s="140"/>
      <c r="JL392" s="140"/>
      <c r="JM392" s="140"/>
      <c r="JN392" s="140"/>
      <c r="JO392" s="140"/>
      <c r="JP392" s="140"/>
      <c r="JQ392" s="140"/>
      <c r="JR392" s="140"/>
      <c r="JS392" s="140"/>
      <c r="JT392" s="140"/>
      <c r="JU392" s="140"/>
      <c r="JV392" s="140"/>
      <c r="JW392" s="140"/>
      <c r="JX392" s="140"/>
      <c r="JY392" s="140"/>
      <c r="JZ392" s="140"/>
      <c r="KA392" s="140"/>
      <c r="KB392" s="140"/>
      <c r="KC392" s="140"/>
      <c r="KD392" s="140"/>
      <c r="KE392" s="140"/>
      <c r="KF392" s="140"/>
      <c r="KG392" s="140"/>
      <c r="KH392" s="140"/>
      <c r="KI392" s="140"/>
      <c r="KJ392" s="140"/>
      <c r="KK392" s="140"/>
      <c r="KL392" s="140"/>
      <c r="KM392" s="140"/>
      <c r="KN392" s="140"/>
      <c r="KO392" s="140"/>
      <c r="KP392" s="140"/>
      <c r="KQ392" s="140"/>
      <c r="KR392" s="140"/>
      <c r="KS392" s="140"/>
      <c r="KT392" s="140"/>
      <c r="KU392" s="140"/>
      <c r="KV392" s="140"/>
      <c r="KW392" s="140"/>
      <c r="KX392" s="140"/>
      <c r="KY392" s="140"/>
      <c r="KZ392" s="140"/>
      <c r="LA392" s="140"/>
      <c r="LB392" s="140"/>
      <c r="LC392" s="140"/>
      <c r="LD392" s="140"/>
      <c r="LE392" s="140"/>
      <c r="LF392" s="140"/>
      <c r="LG392" s="140"/>
      <c r="LH392" s="140"/>
      <c r="LI392" s="140"/>
      <c r="LJ392" s="140"/>
      <c r="LK392" s="140"/>
      <c r="LL392" s="140"/>
      <c r="LM392" s="140"/>
      <c r="LN392" s="140"/>
      <c r="LO392" s="140"/>
      <c r="LP392" s="140"/>
      <c r="LQ392" s="140"/>
      <c r="LR392" s="140"/>
      <c r="LS392" s="140"/>
      <c r="LT392" s="140"/>
      <c r="LU392" s="140"/>
      <c r="LV392" s="140"/>
      <c r="LW392" s="140"/>
      <c r="LX392" s="140"/>
      <c r="LY392" s="140"/>
      <c r="LZ392" s="140"/>
      <c r="MA392" s="140"/>
      <c r="MB392" s="140"/>
      <c r="MC392" s="140"/>
      <c r="MD392" s="140"/>
      <c r="ME392" s="140"/>
      <c r="MF392" s="140"/>
      <c r="MG392" s="140"/>
      <c r="MH392" s="140"/>
      <c r="MI392" s="140"/>
      <c r="MJ392" s="140"/>
      <c r="MK392" s="140"/>
      <c r="ML392" s="140"/>
    </row>
    <row r="394" spans="3:350" x14ac:dyDescent="0.3">
      <c r="C394" s="120" t="s">
        <v>206</v>
      </c>
      <c r="H394" s="121" t="s">
        <v>100</v>
      </c>
      <c r="S394" s="122" t="s">
        <v>5</v>
      </c>
      <c r="BD394" s="123" t="s">
        <v>6</v>
      </c>
      <c r="CO394" s="124" t="s">
        <v>7</v>
      </c>
      <c r="DZ394" s="125" t="s">
        <v>8</v>
      </c>
      <c r="FK394" s="126" t="s">
        <v>9</v>
      </c>
      <c r="GV394" s="127" t="s">
        <v>10</v>
      </c>
      <c r="IG394" s="128" t="s">
        <v>11</v>
      </c>
      <c r="JR394" s="129" t="str">
        <f>JR$4</f>
        <v>AMS2 2023</v>
      </c>
      <c r="LC394" s="130" t="str">
        <f>LC$4</f>
        <v>AMS3 2025</v>
      </c>
    </row>
    <row r="395" spans="3:350" s="4" customFormat="1" ht="18" customHeight="1" x14ac:dyDescent="0.3">
      <c r="C395" s="131"/>
      <c r="D395" s="132"/>
      <c r="E395" s="133" t="s">
        <v>101</v>
      </c>
      <c r="F395" s="134" t="s">
        <v>102</v>
      </c>
      <c r="H395" s="135">
        <f t="shared" ref="H395:M395" si="190">H$1</f>
        <v>2015</v>
      </c>
      <c r="I395" s="133">
        <f t="shared" si="190"/>
        <v>2016</v>
      </c>
      <c r="J395" s="133">
        <f t="shared" si="190"/>
        <v>2017</v>
      </c>
      <c r="K395" s="133">
        <f t="shared" si="190"/>
        <v>2018</v>
      </c>
      <c r="L395" s="133">
        <f t="shared" si="190"/>
        <v>2019</v>
      </c>
      <c r="M395" s="134">
        <f t="shared" si="190"/>
        <v>2020</v>
      </c>
      <c r="N395" s="1"/>
      <c r="O395" s="1"/>
      <c r="P395" s="1"/>
      <c r="Q395" s="1"/>
      <c r="S395" s="135">
        <f t="shared" ref="S395:BB395" si="191">S$1</f>
        <v>2015</v>
      </c>
      <c r="T395" s="133">
        <f t="shared" si="191"/>
        <v>2016</v>
      </c>
      <c r="U395" s="133">
        <f t="shared" si="191"/>
        <v>2017</v>
      </c>
      <c r="V395" s="133">
        <f t="shared" si="191"/>
        <v>2018</v>
      </c>
      <c r="W395" s="133">
        <f t="shared" si="191"/>
        <v>2019</v>
      </c>
      <c r="X395" s="133">
        <f t="shared" si="191"/>
        <v>2020</v>
      </c>
      <c r="Y395" s="133">
        <f t="shared" si="191"/>
        <v>2021</v>
      </c>
      <c r="Z395" s="133">
        <f t="shared" si="191"/>
        <v>2022</v>
      </c>
      <c r="AA395" s="133">
        <f t="shared" si="191"/>
        <v>2023</v>
      </c>
      <c r="AB395" s="133">
        <f t="shared" si="191"/>
        <v>2024</v>
      </c>
      <c r="AC395" s="133">
        <f t="shared" si="191"/>
        <v>2025</v>
      </c>
      <c r="AD395" s="133">
        <f t="shared" si="191"/>
        <v>2026</v>
      </c>
      <c r="AE395" s="133">
        <f t="shared" si="191"/>
        <v>2027</v>
      </c>
      <c r="AF395" s="133">
        <f t="shared" si="191"/>
        <v>2028</v>
      </c>
      <c r="AG395" s="133">
        <f t="shared" si="191"/>
        <v>2029</v>
      </c>
      <c r="AH395" s="133">
        <f t="shared" si="191"/>
        <v>2030</v>
      </c>
      <c r="AI395" s="133">
        <f t="shared" si="191"/>
        <v>2031</v>
      </c>
      <c r="AJ395" s="133">
        <f t="shared" si="191"/>
        <v>2032</v>
      </c>
      <c r="AK395" s="133">
        <f t="shared" si="191"/>
        <v>2033</v>
      </c>
      <c r="AL395" s="133">
        <f t="shared" si="191"/>
        <v>2034</v>
      </c>
      <c r="AM395" s="133">
        <f t="shared" si="191"/>
        <v>2035</v>
      </c>
      <c r="AN395" s="133">
        <f t="shared" si="191"/>
        <v>2036</v>
      </c>
      <c r="AO395" s="133">
        <f t="shared" si="191"/>
        <v>2037</v>
      </c>
      <c r="AP395" s="133">
        <f t="shared" si="191"/>
        <v>2038</v>
      </c>
      <c r="AQ395" s="133">
        <f t="shared" si="191"/>
        <v>2039</v>
      </c>
      <c r="AR395" s="133">
        <f t="shared" si="191"/>
        <v>2040</v>
      </c>
      <c r="AS395" s="133">
        <f t="shared" si="191"/>
        <v>2041</v>
      </c>
      <c r="AT395" s="133">
        <f t="shared" si="191"/>
        <v>2042</v>
      </c>
      <c r="AU395" s="133">
        <f t="shared" si="191"/>
        <v>2043</v>
      </c>
      <c r="AV395" s="133">
        <f t="shared" si="191"/>
        <v>2044</v>
      </c>
      <c r="AW395" s="133">
        <f t="shared" si="191"/>
        <v>2045</v>
      </c>
      <c r="AX395" s="133">
        <f t="shared" si="191"/>
        <v>2046</v>
      </c>
      <c r="AY395" s="133">
        <f t="shared" si="191"/>
        <v>2047</v>
      </c>
      <c r="AZ395" s="133">
        <f t="shared" si="191"/>
        <v>2048</v>
      </c>
      <c r="BA395" s="133">
        <f t="shared" si="191"/>
        <v>2049</v>
      </c>
      <c r="BB395" s="134">
        <f t="shared" si="191"/>
        <v>2050</v>
      </c>
      <c r="BD395" s="135">
        <f t="shared" ref="BD395:CM395" si="192">BD$1</f>
        <v>2015</v>
      </c>
      <c r="BE395" s="133">
        <f t="shared" si="192"/>
        <v>2016</v>
      </c>
      <c r="BF395" s="133">
        <f t="shared" si="192"/>
        <v>2017</v>
      </c>
      <c r="BG395" s="133">
        <f t="shared" si="192"/>
        <v>2018</v>
      </c>
      <c r="BH395" s="133">
        <f t="shared" si="192"/>
        <v>2019</v>
      </c>
      <c r="BI395" s="133">
        <f t="shared" si="192"/>
        <v>2020</v>
      </c>
      <c r="BJ395" s="133">
        <f t="shared" si="192"/>
        <v>2021</v>
      </c>
      <c r="BK395" s="133">
        <f t="shared" si="192"/>
        <v>2022</v>
      </c>
      <c r="BL395" s="133">
        <f t="shared" si="192"/>
        <v>2023</v>
      </c>
      <c r="BM395" s="133">
        <f t="shared" si="192"/>
        <v>2024</v>
      </c>
      <c r="BN395" s="133">
        <f t="shared" si="192"/>
        <v>2025</v>
      </c>
      <c r="BO395" s="133">
        <f t="shared" si="192"/>
        <v>2026</v>
      </c>
      <c r="BP395" s="133">
        <f t="shared" si="192"/>
        <v>2027</v>
      </c>
      <c r="BQ395" s="133">
        <f t="shared" si="192"/>
        <v>2028</v>
      </c>
      <c r="BR395" s="133">
        <f t="shared" si="192"/>
        <v>2029</v>
      </c>
      <c r="BS395" s="133">
        <f t="shared" si="192"/>
        <v>2030</v>
      </c>
      <c r="BT395" s="133">
        <f t="shared" si="192"/>
        <v>2031</v>
      </c>
      <c r="BU395" s="133">
        <f t="shared" si="192"/>
        <v>2032</v>
      </c>
      <c r="BV395" s="133">
        <f t="shared" si="192"/>
        <v>2033</v>
      </c>
      <c r="BW395" s="133">
        <f t="shared" si="192"/>
        <v>2034</v>
      </c>
      <c r="BX395" s="133">
        <f t="shared" si="192"/>
        <v>2035</v>
      </c>
      <c r="BY395" s="133">
        <f t="shared" si="192"/>
        <v>2036</v>
      </c>
      <c r="BZ395" s="133">
        <f t="shared" si="192"/>
        <v>2037</v>
      </c>
      <c r="CA395" s="133">
        <f t="shared" si="192"/>
        <v>2038</v>
      </c>
      <c r="CB395" s="133">
        <f t="shared" si="192"/>
        <v>2039</v>
      </c>
      <c r="CC395" s="133">
        <f t="shared" si="192"/>
        <v>2040</v>
      </c>
      <c r="CD395" s="133">
        <f t="shared" si="192"/>
        <v>2041</v>
      </c>
      <c r="CE395" s="133">
        <f t="shared" si="192"/>
        <v>2042</v>
      </c>
      <c r="CF395" s="133">
        <f t="shared" si="192"/>
        <v>2043</v>
      </c>
      <c r="CG395" s="133">
        <f t="shared" si="192"/>
        <v>2044</v>
      </c>
      <c r="CH395" s="133">
        <f t="shared" si="192"/>
        <v>2045</v>
      </c>
      <c r="CI395" s="133">
        <f t="shared" si="192"/>
        <v>2046</v>
      </c>
      <c r="CJ395" s="133">
        <f t="shared" si="192"/>
        <v>2047</v>
      </c>
      <c r="CK395" s="133">
        <f t="shared" si="192"/>
        <v>2048</v>
      </c>
      <c r="CL395" s="133">
        <f t="shared" si="192"/>
        <v>2049</v>
      </c>
      <c r="CM395" s="134">
        <f t="shared" si="192"/>
        <v>2050</v>
      </c>
      <c r="CO395" s="135">
        <f t="shared" ref="CO395:DX395" si="193">CO$1</f>
        <v>2015</v>
      </c>
      <c r="CP395" s="133">
        <f t="shared" si="193"/>
        <v>2016</v>
      </c>
      <c r="CQ395" s="133">
        <f t="shared" si="193"/>
        <v>2017</v>
      </c>
      <c r="CR395" s="133">
        <f t="shared" si="193"/>
        <v>2018</v>
      </c>
      <c r="CS395" s="133">
        <f t="shared" si="193"/>
        <v>2019</v>
      </c>
      <c r="CT395" s="133">
        <f t="shared" si="193"/>
        <v>2020</v>
      </c>
      <c r="CU395" s="133">
        <f t="shared" si="193"/>
        <v>2021</v>
      </c>
      <c r="CV395" s="133">
        <f t="shared" si="193"/>
        <v>2022</v>
      </c>
      <c r="CW395" s="133">
        <f t="shared" si="193"/>
        <v>2023</v>
      </c>
      <c r="CX395" s="133">
        <f t="shared" si="193"/>
        <v>2024</v>
      </c>
      <c r="CY395" s="133">
        <f t="shared" si="193"/>
        <v>2025</v>
      </c>
      <c r="CZ395" s="133">
        <f t="shared" si="193"/>
        <v>2026</v>
      </c>
      <c r="DA395" s="133">
        <f t="shared" si="193"/>
        <v>2027</v>
      </c>
      <c r="DB395" s="133">
        <f t="shared" si="193"/>
        <v>2028</v>
      </c>
      <c r="DC395" s="133">
        <f t="shared" si="193"/>
        <v>2029</v>
      </c>
      <c r="DD395" s="133">
        <f t="shared" si="193"/>
        <v>2030</v>
      </c>
      <c r="DE395" s="133">
        <f t="shared" si="193"/>
        <v>2031</v>
      </c>
      <c r="DF395" s="133">
        <f t="shared" si="193"/>
        <v>2032</v>
      </c>
      <c r="DG395" s="133">
        <f t="shared" si="193"/>
        <v>2033</v>
      </c>
      <c r="DH395" s="133">
        <f t="shared" si="193"/>
        <v>2034</v>
      </c>
      <c r="DI395" s="133">
        <f t="shared" si="193"/>
        <v>2035</v>
      </c>
      <c r="DJ395" s="133">
        <f t="shared" si="193"/>
        <v>2036</v>
      </c>
      <c r="DK395" s="133">
        <f t="shared" si="193"/>
        <v>2037</v>
      </c>
      <c r="DL395" s="133">
        <f t="shared" si="193"/>
        <v>2038</v>
      </c>
      <c r="DM395" s="133">
        <f t="shared" si="193"/>
        <v>2039</v>
      </c>
      <c r="DN395" s="133">
        <f t="shared" si="193"/>
        <v>2040</v>
      </c>
      <c r="DO395" s="133">
        <f t="shared" si="193"/>
        <v>2041</v>
      </c>
      <c r="DP395" s="133">
        <f t="shared" si="193"/>
        <v>2042</v>
      </c>
      <c r="DQ395" s="133">
        <f t="shared" si="193"/>
        <v>2043</v>
      </c>
      <c r="DR395" s="133">
        <f t="shared" si="193"/>
        <v>2044</v>
      </c>
      <c r="DS395" s="133">
        <f t="shared" si="193"/>
        <v>2045</v>
      </c>
      <c r="DT395" s="133">
        <f t="shared" si="193"/>
        <v>2046</v>
      </c>
      <c r="DU395" s="133">
        <f t="shared" si="193"/>
        <v>2047</v>
      </c>
      <c r="DV395" s="133">
        <f t="shared" si="193"/>
        <v>2048</v>
      </c>
      <c r="DW395" s="133">
        <f t="shared" si="193"/>
        <v>2049</v>
      </c>
      <c r="DX395" s="134">
        <f t="shared" si="193"/>
        <v>2050</v>
      </c>
      <c r="DZ395" s="135">
        <f t="shared" ref="DZ395:FI395" si="194">DZ$1</f>
        <v>2015</v>
      </c>
      <c r="EA395" s="133">
        <f t="shared" si="194"/>
        <v>2016</v>
      </c>
      <c r="EB395" s="133">
        <f t="shared" si="194"/>
        <v>2017</v>
      </c>
      <c r="EC395" s="133">
        <f t="shared" si="194"/>
        <v>2018</v>
      </c>
      <c r="ED395" s="133">
        <f t="shared" si="194"/>
        <v>2019</v>
      </c>
      <c r="EE395" s="133">
        <f t="shared" si="194"/>
        <v>2020</v>
      </c>
      <c r="EF395" s="133">
        <f t="shared" si="194"/>
        <v>2021</v>
      </c>
      <c r="EG395" s="133">
        <f t="shared" si="194"/>
        <v>2022</v>
      </c>
      <c r="EH395" s="133">
        <f t="shared" si="194"/>
        <v>2023</v>
      </c>
      <c r="EI395" s="133">
        <f t="shared" si="194"/>
        <v>2024</v>
      </c>
      <c r="EJ395" s="133">
        <f t="shared" si="194"/>
        <v>2025</v>
      </c>
      <c r="EK395" s="133">
        <f t="shared" si="194"/>
        <v>2026</v>
      </c>
      <c r="EL395" s="133">
        <f t="shared" si="194"/>
        <v>2027</v>
      </c>
      <c r="EM395" s="133">
        <f t="shared" si="194"/>
        <v>2028</v>
      </c>
      <c r="EN395" s="133">
        <f t="shared" si="194"/>
        <v>2029</v>
      </c>
      <c r="EO395" s="133">
        <f t="shared" si="194"/>
        <v>2030</v>
      </c>
      <c r="EP395" s="133">
        <f t="shared" si="194"/>
        <v>2031</v>
      </c>
      <c r="EQ395" s="133">
        <f t="shared" si="194"/>
        <v>2032</v>
      </c>
      <c r="ER395" s="133">
        <f t="shared" si="194"/>
        <v>2033</v>
      </c>
      <c r="ES395" s="133">
        <f t="shared" si="194"/>
        <v>2034</v>
      </c>
      <c r="ET395" s="133">
        <f t="shared" si="194"/>
        <v>2035</v>
      </c>
      <c r="EU395" s="133">
        <f t="shared" si="194"/>
        <v>2036</v>
      </c>
      <c r="EV395" s="133">
        <f t="shared" si="194"/>
        <v>2037</v>
      </c>
      <c r="EW395" s="133">
        <f t="shared" si="194"/>
        <v>2038</v>
      </c>
      <c r="EX395" s="133">
        <f t="shared" si="194"/>
        <v>2039</v>
      </c>
      <c r="EY395" s="133">
        <f t="shared" si="194"/>
        <v>2040</v>
      </c>
      <c r="EZ395" s="133">
        <f t="shared" si="194"/>
        <v>2041</v>
      </c>
      <c r="FA395" s="133">
        <f t="shared" si="194"/>
        <v>2042</v>
      </c>
      <c r="FB395" s="133">
        <f t="shared" si="194"/>
        <v>2043</v>
      </c>
      <c r="FC395" s="133">
        <f t="shared" si="194"/>
        <v>2044</v>
      </c>
      <c r="FD395" s="133">
        <f t="shared" si="194"/>
        <v>2045</v>
      </c>
      <c r="FE395" s="133">
        <f t="shared" si="194"/>
        <v>2046</v>
      </c>
      <c r="FF395" s="133">
        <f t="shared" si="194"/>
        <v>2047</v>
      </c>
      <c r="FG395" s="133">
        <f t="shared" si="194"/>
        <v>2048</v>
      </c>
      <c r="FH395" s="133">
        <f t="shared" si="194"/>
        <v>2049</v>
      </c>
      <c r="FI395" s="134">
        <f t="shared" si="194"/>
        <v>2050</v>
      </c>
      <c r="FK395" s="135">
        <f t="shared" ref="FK395:GT395" si="195">FK$1</f>
        <v>2015</v>
      </c>
      <c r="FL395" s="133">
        <f t="shared" si="195"/>
        <v>2016</v>
      </c>
      <c r="FM395" s="133">
        <f t="shared" si="195"/>
        <v>2017</v>
      </c>
      <c r="FN395" s="133">
        <f t="shared" si="195"/>
        <v>2018</v>
      </c>
      <c r="FO395" s="133">
        <f t="shared" si="195"/>
        <v>2019</v>
      </c>
      <c r="FP395" s="133">
        <f t="shared" si="195"/>
        <v>2020</v>
      </c>
      <c r="FQ395" s="133">
        <f t="shared" si="195"/>
        <v>2021</v>
      </c>
      <c r="FR395" s="133">
        <f t="shared" si="195"/>
        <v>2022</v>
      </c>
      <c r="FS395" s="133">
        <f t="shared" si="195"/>
        <v>2023</v>
      </c>
      <c r="FT395" s="133">
        <f t="shared" si="195"/>
        <v>2024</v>
      </c>
      <c r="FU395" s="133">
        <f t="shared" si="195"/>
        <v>2025</v>
      </c>
      <c r="FV395" s="133">
        <f t="shared" si="195"/>
        <v>2026</v>
      </c>
      <c r="FW395" s="133">
        <f t="shared" si="195"/>
        <v>2027</v>
      </c>
      <c r="FX395" s="133">
        <f t="shared" si="195"/>
        <v>2028</v>
      </c>
      <c r="FY395" s="133">
        <f t="shared" si="195"/>
        <v>2029</v>
      </c>
      <c r="FZ395" s="133">
        <f t="shared" si="195"/>
        <v>2030</v>
      </c>
      <c r="GA395" s="133">
        <f t="shared" si="195"/>
        <v>2031</v>
      </c>
      <c r="GB395" s="133">
        <f t="shared" si="195"/>
        <v>2032</v>
      </c>
      <c r="GC395" s="133">
        <f t="shared" si="195"/>
        <v>2033</v>
      </c>
      <c r="GD395" s="133">
        <f t="shared" si="195"/>
        <v>2034</v>
      </c>
      <c r="GE395" s="133">
        <f t="shared" si="195"/>
        <v>2035</v>
      </c>
      <c r="GF395" s="133">
        <f t="shared" si="195"/>
        <v>2036</v>
      </c>
      <c r="GG395" s="133">
        <f t="shared" si="195"/>
        <v>2037</v>
      </c>
      <c r="GH395" s="133">
        <f t="shared" si="195"/>
        <v>2038</v>
      </c>
      <c r="GI395" s="133">
        <f t="shared" si="195"/>
        <v>2039</v>
      </c>
      <c r="GJ395" s="133">
        <f t="shared" si="195"/>
        <v>2040</v>
      </c>
      <c r="GK395" s="133">
        <f t="shared" si="195"/>
        <v>2041</v>
      </c>
      <c r="GL395" s="133">
        <f t="shared" si="195"/>
        <v>2042</v>
      </c>
      <c r="GM395" s="133">
        <f t="shared" si="195"/>
        <v>2043</v>
      </c>
      <c r="GN395" s="133">
        <f t="shared" si="195"/>
        <v>2044</v>
      </c>
      <c r="GO395" s="133">
        <f t="shared" si="195"/>
        <v>2045</v>
      </c>
      <c r="GP395" s="133">
        <f t="shared" si="195"/>
        <v>2046</v>
      </c>
      <c r="GQ395" s="133">
        <f t="shared" si="195"/>
        <v>2047</v>
      </c>
      <c r="GR395" s="133">
        <f t="shared" si="195"/>
        <v>2048</v>
      </c>
      <c r="GS395" s="133">
        <f t="shared" si="195"/>
        <v>2049</v>
      </c>
      <c r="GT395" s="134">
        <f t="shared" si="195"/>
        <v>2050</v>
      </c>
      <c r="GV395" s="135">
        <f t="shared" ref="GV395:IE395" si="196">GV$1</f>
        <v>2015</v>
      </c>
      <c r="GW395" s="133">
        <f t="shared" si="196"/>
        <v>2016</v>
      </c>
      <c r="GX395" s="133">
        <f t="shared" si="196"/>
        <v>2017</v>
      </c>
      <c r="GY395" s="133">
        <f t="shared" si="196"/>
        <v>2018</v>
      </c>
      <c r="GZ395" s="133">
        <f t="shared" si="196"/>
        <v>2019</v>
      </c>
      <c r="HA395" s="133">
        <f t="shared" si="196"/>
        <v>2020</v>
      </c>
      <c r="HB395" s="133">
        <f t="shared" si="196"/>
        <v>2021</v>
      </c>
      <c r="HC395" s="133">
        <f t="shared" si="196"/>
        <v>2022</v>
      </c>
      <c r="HD395" s="133">
        <f t="shared" si="196"/>
        <v>2023</v>
      </c>
      <c r="HE395" s="133">
        <f t="shared" si="196"/>
        <v>2024</v>
      </c>
      <c r="HF395" s="133">
        <f t="shared" si="196"/>
        <v>2025</v>
      </c>
      <c r="HG395" s="133">
        <f t="shared" si="196"/>
        <v>2026</v>
      </c>
      <c r="HH395" s="133">
        <f t="shared" si="196"/>
        <v>2027</v>
      </c>
      <c r="HI395" s="133">
        <f t="shared" si="196"/>
        <v>2028</v>
      </c>
      <c r="HJ395" s="133">
        <f t="shared" si="196"/>
        <v>2029</v>
      </c>
      <c r="HK395" s="133">
        <f t="shared" si="196"/>
        <v>2030</v>
      </c>
      <c r="HL395" s="133">
        <f t="shared" si="196"/>
        <v>2031</v>
      </c>
      <c r="HM395" s="133">
        <f t="shared" si="196"/>
        <v>2032</v>
      </c>
      <c r="HN395" s="133">
        <f t="shared" si="196"/>
        <v>2033</v>
      </c>
      <c r="HO395" s="133">
        <f t="shared" si="196"/>
        <v>2034</v>
      </c>
      <c r="HP395" s="133">
        <f t="shared" si="196"/>
        <v>2035</v>
      </c>
      <c r="HQ395" s="133">
        <f t="shared" si="196"/>
        <v>2036</v>
      </c>
      <c r="HR395" s="133">
        <f t="shared" si="196"/>
        <v>2037</v>
      </c>
      <c r="HS395" s="133">
        <f t="shared" si="196"/>
        <v>2038</v>
      </c>
      <c r="HT395" s="133">
        <f t="shared" si="196"/>
        <v>2039</v>
      </c>
      <c r="HU395" s="133">
        <f t="shared" si="196"/>
        <v>2040</v>
      </c>
      <c r="HV395" s="133">
        <f t="shared" si="196"/>
        <v>2041</v>
      </c>
      <c r="HW395" s="133">
        <f t="shared" si="196"/>
        <v>2042</v>
      </c>
      <c r="HX395" s="133">
        <f t="shared" si="196"/>
        <v>2043</v>
      </c>
      <c r="HY395" s="133">
        <f t="shared" si="196"/>
        <v>2044</v>
      </c>
      <c r="HZ395" s="133">
        <f t="shared" si="196"/>
        <v>2045</v>
      </c>
      <c r="IA395" s="133">
        <f t="shared" si="196"/>
        <v>2046</v>
      </c>
      <c r="IB395" s="133">
        <f t="shared" si="196"/>
        <v>2047</v>
      </c>
      <c r="IC395" s="133">
        <f t="shared" si="196"/>
        <v>2048</v>
      </c>
      <c r="ID395" s="133">
        <f t="shared" si="196"/>
        <v>2049</v>
      </c>
      <c r="IE395" s="134">
        <f t="shared" si="196"/>
        <v>2050</v>
      </c>
      <c r="IG395" s="135">
        <f t="shared" ref="IG395:JP395" si="197">IG$1</f>
        <v>2015</v>
      </c>
      <c r="IH395" s="133">
        <f t="shared" si="197"/>
        <v>2016</v>
      </c>
      <c r="II395" s="133">
        <f t="shared" si="197"/>
        <v>2017</v>
      </c>
      <c r="IJ395" s="133">
        <f t="shared" si="197"/>
        <v>2018</v>
      </c>
      <c r="IK395" s="133">
        <f t="shared" si="197"/>
        <v>2019</v>
      </c>
      <c r="IL395" s="133">
        <f t="shared" si="197"/>
        <v>2020</v>
      </c>
      <c r="IM395" s="133">
        <f t="shared" si="197"/>
        <v>2021</v>
      </c>
      <c r="IN395" s="133">
        <f t="shared" si="197"/>
        <v>2022</v>
      </c>
      <c r="IO395" s="133">
        <f t="shared" si="197"/>
        <v>2023</v>
      </c>
      <c r="IP395" s="133">
        <f t="shared" si="197"/>
        <v>2024</v>
      </c>
      <c r="IQ395" s="133">
        <f t="shared" si="197"/>
        <v>2025</v>
      </c>
      <c r="IR395" s="133">
        <f t="shared" si="197"/>
        <v>2026</v>
      </c>
      <c r="IS395" s="133">
        <f t="shared" si="197"/>
        <v>2027</v>
      </c>
      <c r="IT395" s="133">
        <f t="shared" si="197"/>
        <v>2028</v>
      </c>
      <c r="IU395" s="133">
        <f t="shared" si="197"/>
        <v>2029</v>
      </c>
      <c r="IV395" s="133">
        <f t="shared" si="197"/>
        <v>2030</v>
      </c>
      <c r="IW395" s="133">
        <f t="shared" si="197"/>
        <v>2031</v>
      </c>
      <c r="IX395" s="133">
        <f t="shared" si="197"/>
        <v>2032</v>
      </c>
      <c r="IY395" s="133">
        <f t="shared" si="197"/>
        <v>2033</v>
      </c>
      <c r="IZ395" s="133">
        <f t="shared" si="197"/>
        <v>2034</v>
      </c>
      <c r="JA395" s="133">
        <f t="shared" si="197"/>
        <v>2035</v>
      </c>
      <c r="JB395" s="133">
        <f t="shared" si="197"/>
        <v>2036</v>
      </c>
      <c r="JC395" s="133">
        <f t="shared" si="197"/>
        <v>2037</v>
      </c>
      <c r="JD395" s="133">
        <f t="shared" si="197"/>
        <v>2038</v>
      </c>
      <c r="JE395" s="133">
        <f t="shared" si="197"/>
        <v>2039</v>
      </c>
      <c r="JF395" s="133">
        <f t="shared" si="197"/>
        <v>2040</v>
      </c>
      <c r="JG395" s="133">
        <f t="shared" si="197"/>
        <v>2041</v>
      </c>
      <c r="JH395" s="133">
        <f t="shared" si="197"/>
        <v>2042</v>
      </c>
      <c r="JI395" s="133">
        <f t="shared" si="197"/>
        <v>2043</v>
      </c>
      <c r="JJ395" s="133">
        <f t="shared" si="197"/>
        <v>2044</v>
      </c>
      <c r="JK395" s="133">
        <f t="shared" si="197"/>
        <v>2045</v>
      </c>
      <c r="JL395" s="133">
        <f t="shared" si="197"/>
        <v>2046</v>
      </c>
      <c r="JM395" s="133">
        <f t="shared" si="197"/>
        <v>2047</v>
      </c>
      <c r="JN395" s="133">
        <f t="shared" si="197"/>
        <v>2048</v>
      </c>
      <c r="JO395" s="133">
        <f t="shared" si="197"/>
        <v>2049</v>
      </c>
      <c r="JP395" s="134">
        <f t="shared" si="197"/>
        <v>2050</v>
      </c>
      <c r="JR395" s="135">
        <f t="shared" ref="JR395:MC395" si="198">JR$1</f>
        <v>2015</v>
      </c>
      <c r="JS395" s="133">
        <f t="shared" si="198"/>
        <v>2016</v>
      </c>
      <c r="JT395" s="133">
        <f t="shared" si="198"/>
        <v>2017</v>
      </c>
      <c r="JU395" s="133">
        <f t="shared" si="198"/>
        <v>2018</v>
      </c>
      <c r="JV395" s="133">
        <f t="shared" si="198"/>
        <v>2019</v>
      </c>
      <c r="JW395" s="133">
        <f t="shared" si="198"/>
        <v>2020</v>
      </c>
      <c r="JX395" s="133">
        <f t="shared" si="198"/>
        <v>2021</v>
      </c>
      <c r="JY395" s="133">
        <f t="shared" si="198"/>
        <v>2022</v>
      </c>
      <c r="JZ395" s="133">
        <f t="shared" si="198"/>
        <v>2023</v>
      </c>
      <c r="KA395" s="133">
        <f t="shared" si="198"/>
        <v>2024</v>
      </c>
      <c r="KB395" s="133">
        <f t="shared" si="198"/>
        <v>2025</v>
      </c>
      <c r="KC395" s="133">
        <f t="shared" si="198"/>
        <v>2026</v>
      </c>
      <c r="KD395" s="133">
        <f t="shared" si="198"/>
        <v>2027</v>
      </c>
      <c r="KE395" s="133">
        <f t="shared" si="198"/>
        <v>2028</v>
      </c>
      <c r="KF395" s="133">
        <f t="shared" si="198"/>
        <v>2029</v>
      </c>
      <c r="KG395" s="133">
        <f t="shared" si="198"/>
        <v>2030</v>
      </c>
      <c r="KH395" s="133">
        <f t="shared" si="198"/>
        <v>2031</v>
      </c>
      <c r="KI395" s="133">
        <f t="shared" si="198"/>
        <v>2032</v>
      </c>
      <c r="KJ395" s="133">
        <f t="shared" si="198"/>
        <v>2033</v>
      </c>
      <c r="KK395" s="133">
        <f t="shared" si="198"/>
        <v>2034</v>
      </c>
      <c r="KL395" s="133">
        <f t="shared" si="198"/>
        <v>2035</v>
      </c>
      <c r="KM395" s="133">
        <f t="shared" si="198"/>
        <v>2036</v>
      </c>
      <c r="KN395" s="133">
        <f t="shared" si="198"/>
        <v>2037</v>
      </c>
      <c r="KO395" s="133">
        <f t="shared" si="198"/>
        <v>2038</v>
      </c>
      <c r="KP395" s="133">
        <f t="shared" si="198"/>
        <v>2039</v>
      </c>
      <c r="KQ395" s="133">
        <f t="shared" si="198"/>
        <v>2040</v>
      </c>
      <c r="KR395" s="133">
        <f t="shared" si="198"/>
        <v>2041</v>
      </c>
      <c r="KS395" s="133">
        <f t="shared" si="198"/>
        <v>2042</v>
      </c>
      <c r="KT395" s="133">
        <f t="shared" si="198"/>
        <v>2043</v>
      </c>
      <c r="KU395" s="133">
        <f t="shared" si="198"/>
        <v>2044</v>
      </c>
      <c r="KV395" s="133">
        <f t="shared" si="198"/>
        <v>2045</v>
      </c>
      <c r="KW395" s="133">
        <f t="shared" si="198"/>
        <v>2046</v>
      </c>
      <c r="KX395" s="133">
        <f t="shared" si="198"/>
        <v>2047</v>
      </c>
      <c r="KY395" s="133">
        <f t="shared" si="198"/>
        <v>2048</v>
      </c>
      <c r="KZ395" s="133">
        <f t="shared" si="198"/>
        <v>2049</v>
      </c>
      <c r="LA395" s="134">
        <f t="shared" si="198"/>
        <v>2050</v>
      </c>
      <c r="LC395" s="135">
        <f t="shared" si="198"/>
        <v>2015</v>
      </c>
      <c r="LD395" s="133">
        <f t="shared" si="198"/>
        <v>2016</v>
      </c>
      <c r="LE395" s="133">
        <f t="shared" si="198"/>
        <v>2017</v>
      </c>
      <c r="LF395" s="133">
        <f t="shared" si="198"/>
        <v>2018</v>
      </c>
      <c r="LG395" s="133">
        <f t="shared" si="198"/>
        <v>2019</v>
      </c>
      <c r="LH395" s="133">
        <f t="shared" si="198"/>
        <v>2020</v>
      </c>
      <c r="LI395" s="133">
        <f t="shared" si="198"/>
        <v>2021</v>
      </c>
      <c r="LJ395" s="133">
        <f t="shared" si="198"/>
        <v>2022</v>
      </c>
      <c r="LK395" s="133">
        <f t="shared" si="198"/>
        <v>2023</v>
      </c>
      <c r="LL395" s="133">
        <f t="shared" si="198"/>
        <v>2024</v>
      </c>
      <c r="LM395" s="133">
        <f t="shared" si="198"/>
        <v>2025</v>
      </c>
      <c r="LN395" s="133">
        <f t="shared" si="198"/>
        <v>2026</v>
      </c>
      <c r="LO395" s="133">
        <f t="shared" si="198"/>
        <v>2027</v>
      </c>
      <c r="LP395" s="133">
        <f t="shared" si="198"/>
        <v>2028</v>
      </c>
      <c r="LQ395" s="133">
        <f t="shared" si="198"/>
        <v>2029</v>
      </c>
      <c r="LR395" s="133">
        <f t="shared" si="198"/>
        <v>2030</v>
      </c>
      <c r="LS395" s="133">
        <f t="shared" si="198"/>
        <v>2031</v>
      </c>
      <c r="LT395" s="133">
        <f t="shared" si="198"/>
        <v>2032</v>
      </c>
      <c r="LU395" s="133">
        <f t="shared" si="198"/>
        <v>2033</v>
      </c>
      <c r="LV395" s="133">
        <f t="shared" si="198"/>
        <v>2034</v>
      </c>
      <c r="LW395" s="133">
        <f t="shared" si="198"/>
        <v>2035</v>
      </c>
      <c r="LX395" s="133">
        <f t="shared" si="198"/>
        <v>2036</v>
      </c>
      <c r="LY395" s="133">
        <f t="shared" si="198"/>
        <v>2037</v>
      </c>
      <c r="LZ395" s="133">
        <f t="shared" si="198"/>
        <v>2038</v>
      </c>
      <c r="MA395" s="133">
        <f t="shared" si="198"/>
        <v>2039</v>
      </c>
      <c r="MB395" s="133">
        <f t="shared" si="198"/>
        <v>2040</v>
      </c>
      <c r="MC395" s="133">
        <f t="shared" si="198"/>
        <v>2041</v>
      </c>
      <c r="MD395" s="133">
        <f t="shared" ref="MD395:ML395" si="199">MD$1</f>
        <v>2042</v>
      </c>
      <c r="ME395" s="133">
        <f t="shared" si="199"/>
        <v>2043</v>
      </c>
      <c r="MF395" s="133">
        <f t="shared" si="199"/>
        <v>2044</v>
      </c>
      <c r="MG395" s="133">
        <f t="shared" si="199"/>
        <v>2045</v>
      </c>
      <c r="MH395" s="133">
        <f t="shared" si="199"/>
        <v>2046</v>
      </c>
      <c r="MI395" s="133">
        <f t="shared" si="199"/>
        <v>2047</v>
      </c>
      <c r="MJ395" s="133">
        <f t="shared" si="199"/>
        <v>2048</v>
      </c>
      <c r="MK395" s="133">
        <f t="shared" si="199"/>
        <v>2049</v>
      </c>
      <c r="ML395" s="134">
        <f t="shared" si="199"/>
        <v>2050</v>
      </c>
    </row>
    <row r="396" spans="3:350" s="4" customFormat="1" ht="18" customHeight="1" x14ac:dyDescent="0.3">
      <c r="C396" s="136" t="s">
        <v>76</v>
      </c>
      <c r="E396" s="137" t="s">
        <v>103</v>
      </c>
      <c r="F396" s="138" t="s">
        <v>104</v>
      </c>
      <c r="H396" s="139"/>
      <c r="I396" s="140"/>
      <c r="J396" s="140"/>
      <c r="K396" s="140"/>
      <c r="L396" s="140"/>
      <c r="M396" s="141"/>
      <c r="N396" s="140"/>
      <c r="O396" s="140"/>
      <c r="P396" s="140"/>
      <c r="Q396" s="140"/>
      <c r="R396" s="140"/>
      <c r="S396" s="139"/>
      <c r="T396" s="140"/>
      <c r="U396" s="140"/>
      <c r="V396" s="140"/>
      <c r="W396" s="140"/>
      <c r="X396" s="140"/>
      <c r="Y396" s="140"/>
      <c r="Z396" s="140"/>
      <c r="AA396" s="140"/>
      <c r="AB396" s="140"/>
      <c r="AC396" s="140"/>
      <c r="AD396" s="140"/>
      <c r="AE396" s="140"/>
      <c r="AF396" s="140"/>
      <c r="AG396" s="140"/>
      <c r="AH396" s="140"/>
      <c r="AI396" s="140"/>
      <c r="AJ396" s="140"/>
      <c r="AK396" s="140"/>
      <c r="AL396" s="140"/>
      <c r="AM396" s="140"/>
      <c r="AN396" s="140"/>
      <c r="AO396" s="140"/>
      <c r="AP396" s="140"/>
      <c r="AQ396" s="140"/>
      <c r="AR396" s="140"/>
      <c r="AS396" s="140"/>
      <c r="AT396" s="140"/>
      <c r="AU396" s="140"/>
      <c r="AV396" s="140"/>
      <c r="AW396" s="140"/>
      <c r="AX396" s="140"/>
      <c r="AY396" s="140"/>
      <c r="AZ396" s="140"/>
      <c r="BA396" s="140"/>
      <c r="BB396" s="141"/>
      <c r="BC396" s="140"/>
      <c r="BD396" s="139"/>
      <c r="BE396" s="140"/>
      <c r="BF396" s="140"/>
      <c r="BG396" s="140"/>
      <c r="BH396" s="140"/>
      <c r="BI396" s="219"/>
      <c r="BJ396" s="234">
        <f t="shared" ref="BJ396:BJ403" si="200">CM188*BJ339-CM188*BI339</f>
        <v>2237.7450000000003</v>
      </c>
      <c r="BK396" s="234">
        <f t="shared" ref="BK396:BK403" si="201">CM188*BK339-CM188*BJ339</f>
        <v>2237.7450000000003</v>
      </c>
      <c r="BL396" s="234">
        <f t="shared" ref="BL396:BL403" si="202">CM188*BL339-CM188*BK339</f>
        <v>2237.7449999999999</v>
      </c>
      <c r="BM396" s="234">
        <f t="shared" ref="BM396:BM403" si="203">CM188*BM339-CM188*BL339</f>
        <v>2237.7450000000008</v>
      </c>
      <c r="BN396" s="234">
        <f t="shared" ref="BN396:BN403" si="204">CM188*BN339-CM188*BM339</f>
        <v>2237.744999999999</v>
      </c>
      <c r="BO396" s="234">
        <f t="shared" ref="BO396:BO403" si="205">CM188*BO339-CM188*BN339</f>
        <v>2237.7450000000008</v>
      </c>
      <c r="BP396" s="234">
        <f t="shared" ref="BP396:BP403" si="206">CM188*BP339-CM188*BO339</f>
        <v>2237.744999999999</v>
      </c>
      <c r="BQ396" s="234">
        <f t="shared" ref="BQ396:BQ403" si="207">CM188*BQ339-CM188*BP339</f>
        <v>2237.7450000000026</v>
      </c>
      <c r="BR396" s="234">
        <f t="shared" ref="BR396:BR403" si="208">CM188*BR339-CM188*BQ339</f>
        <v>2237.7449999999953</v>
      </c>
      <c r="BS396" s="234">
        <f t="shared" ref="BS396:BS403" si="209">CM188*BS339-CM188*BR339</f>
        <v>2237.7450000000026</v>
      </c>
      <c r="BT396" s="234">
        <f t="shared" ref="BT396:BT403" si="210">CM188*BT339-CM188*BS339</f>
        <v>2237.744999999999</v>
      </c>
      <c r="BU396" s="234">
        <f t="shared" ref="BU396:BU403" si="211">CM188*BU339-CM188*BT339</f>
        <v>2237.7450000000026</v>
      </c>
      <c r="BV396" s="234">
        <f t="shared" ref="BV396:BV403" si="212">CM188*BV339-CM188*BU339</f>
        <v>2237.744999999999</v>
      </c>
      <c r="BW396" s="234">
        <f t="shared" ref="BW396:BW403" si="213">CM188*BW339-CM188*BV339</f>
        <v>2237.744999999999</v>
      </c>
      <c r="BX396" s="234">
        <f t="shared" ref="BX396:BX403" si="214">CM188*BX339-CM188*BW339</f>
        <v>2237.7450000000026</v>
      </c>
      <c r="BY396" s="234">
        <f t="shared" ref="BY396:BY403" si="215">CM188*BY339-CM188*BX339</f>
        <v>2237.7450000000026</v>
      </c>
      <c r="BZ396" s="234">
        <f t="shared" ref="BZ396:BZ403" si="216">CM188*BZ339-CM188*BY339</f>
        <v>2237.7449999999953</v>
      </c>
      <c r="CA396" s="234">
        <f t="shared" ref="CA396:CA403" si="217">CM188*CA339-CM188*BZ339</f>
        <v>2237.7449999999953</v>
      </c>
      <c r="CB396" s="234">
        <f t="shared" ref="CB396:CB403" si="218">CM188*CB339-CM188*CA339</f>
        <v>2237.7450000000099</v>
      </c>
      <c r="CC396" s="234">
        <f t="shared" ref="CC396:CC403" si="219">CM188*CC339-CM188*CB339</f>
        <v>2237.7449999999953</v>
      </c>
      <c r="CD396" s="234">
        <f t="shared" ref="CD396:CD403" si="220">CM188*CD339-CM188*CC339</f>
        <v>2237.7450000000099</v>
      </c>
      <c r="CE396" s="234">
        <f t="shared" ref="CE396:CE403" si="221">CM188*CE339-CM188*CD339</f>
        <v>2237.7449999999881</v>
      </c>
      <c r="CF396" s="234">
        <f t="shared" ref="CF396:CF403" si="222">CM188*CF339-CM188*CE339</f>
        <v>2237.7449999999953</v>
      </c>
      <c r="CG396" s="234">
        <f t="shared" ref="CG396:CG403" si="223">CM188*CG339-CM188*CF339</f>
        <v>2237.7450000000099</v>
      </c>
      <c r="CH396" s="234">
        <f t="shared" ref="CH396:CH403" si="224">CM188*CH339-CM188*CG339</f>
        <v>2237.7449999999953</v>
      </c>
      <c r="CI396" s="234">
        <f t="shared" ref="CI396:CI403" si="225">CM188*CI339-CM188*CH339</f>
        <v>2237.7450000000026</v>
      </c>
      <c r="CJ396" s="234">
        <f t="shared" ref="CJ396:CJ403" si="226">CM188*CJ339-CM188*CI339</f>
        <v>2237.7450000000026</v>
      </c>
      <c r="CK396" s="234">
        <f t="shared" ref="CK396:CK403" si="227">CM188*CK339-CM188*CJ339</f>
        <v>2237.7449999999953</v>
      </c>
      <c r="CL396" s="234">
        <f t="shared" ref="CL396:CL403" si="228">CM188*CL339-CM188*CK339</f>
        <v>2237.7450000000026</v>
      </c>
      <c r="CM396" s="189">
        <f t="shared" ref="CM396:CM403" si="229">CM188*CM339-CM188*CL339</f>
        <v>2237.7450000000026</v>
      </c>
      <c r="CN396" s="140"/>
      <c r="CO396" s="139"/>
      <c r="CP396" s="140"/>
      <c r="CQ396" s="140"/>
      <c r="CR396" s="140"/>
      <c r="CS396" s="140"/>
      <c r="CT396" s="219"/>
      <c r="CU396" s="234">
        <f t="shared" ref="CU396:CU403" si="230">DX188*CU339-DX188*CT339</f>
        <v>3279.5750000000003</v>
      </c>
      <c r="CV396" s="234">
        <f t="shared" ref="CV396:CV403" si="231">DX188*CV339-DX188*CU339</f>
        <v>3279.5750000000003</v>
      </c>
      <c r="CW396" s="234">
        <f t="shared" ref="CW396:CW403" si="232">DX188*CW339-DX188*CV339</f>
        <v>3279.5749999999998</v>
      </c>
      <c r="CX396" s="234">
        <f t="shared" ref="CX396:CX403" si="233">DX188*CX339-DX188*CW339</f>
        <v>3279.5750000000007</v>
      </c>
      <c r="CY396" s="234">
        <f t="shared" ref="CY396:CY403" si="234">DX188*CY339-DX188*CX339</f>
        <v>3279.5749999999989</v>
      </c>
      <c r="CZ396" s="234">
        <f t="shared" ref="CZ396:CZ403" si="235">DX188*CZ339-DX188*CY339</f>
        <v>3279.5750000000007</v>
      </c>
      <c r="DA396" s="234">
        <f t="shared" ref="DA396:DA403" si="236">DX188*DA339-DX188*CZ339</f>
        <v>3279.5749999999971</v>
      </c>
      <c r="DB396" s="234">
        <f t="shared" ref="DB396:DB403" si="237">DX188*DB339-DX188*DA339</f>
        <v>3279.5750000000044</v>
      </c>
      <c r="DC396" s="234">
        <f t="shared" ref="DC396:DC403" si="238">DX188*DC339-DX188*DB339</f>
        <v>3279.5749999999971</v>
      </c>
      <c r="DD396" s="234">
        <f t="shared" ref="DD396:DD403" si="239">DX188*DD339-DX188*DC339</f>
        <v>3279.5750000000007</v>
      </c>
      <c r="DE396" s="234">
        <f t="shared" ref="DE396:DE403" si="240">DX188*DE339-DX188*DD339</f>
        <v>3279.5750000000044</v>
      </c>
      <c r="DF396" s="234">
        <f t="shared" ref="DF396:DF403" si="241">DX188*DF339-DX188*DE339</f>
        <v>3279.5749999999971</v>
      </c>
      <c r="DG396" s="234">
        <f t="shared" ref="DG396:DG403" si="242">DX188*DG339-DX188*DF339</f>
        <v>3279.5749999999971</v>
      </c>
      <c r="DH396" s="234">
        <f t="shared" ref="DH396:DH403" si="243">DX188*DH339-DX188*DG339</f>
        <v>3279.5749999999971</v>
      </c>
      <c r="DI396" s="234">
        <f t="shared" ref="DI396:DI403" si="244">DX188*DI339-DX188*DH339</f>
        <v>3279.5750000000044</v>
      </c>
      <c r="DJ396" s="234">
        <f t="shared" ref="DJ396:DJ403" si="245">DX188*DJ339-DX188*DI339</f>
        <v>3279.5750000000044</v>
      </c>
      <c r="DK396" s="234">
        <f t="shared" ref="DK396:DK403" si="246">DX188*DK339-DX188*DJ339</f>
        <v>3279.5749999999971</v>
      </c>
      <c r="DL396" s="234">
        <f t="shared" ref="DL396:DL403" si="247">DX188*DL339-DX188*DK339</f>
        <v>3279.5749999999971</v>
      </c>
      <c r="DM396" s="234">
        <f t="shared" ref="DM396:DM403" si="248">DX188*DM339-DX188*DL339</f>
        <v>3279.5749999999971</v>
      </c>
      <c r="DN396" s="234">
        <f t="shared" ref="DN396:DN403" si="249">DX188*DN339-DX188*DM339</f>
        <v>3279.5750000000044</v>
      </c>
      <c r="DO396" s="234">
        <f t="shared" ref="DO396:DO403" si="250">DX188*DO339-DX188*DN339</f>
        <v>3279.5749999999971</v>
      </c>
      <c r="DP396" s="234">
        <f t="shared" ref="DP396:DP403" si="251">DX188*DP339-DX188*DO339</f>
        <v>3279.5750000000116</v>
      </c>
      <c r="DQ396" s="234">
        <f t="shared" ref="DQ396:DQ403" si="252">DX188*DQ339-DX188*DP339</f>
        <v>3279.5749999999825</v>
      </c>
      <c r="DR396" s="234">
        <f t="shared" ref="DR396:DR403" si="253">DX188*DR339-DX188*DQ339</f>
        <v>3279.5750000000116</v>
      </c>
      <c r="DS396" s="234">
        <f t="shared" ref="DS396:DS403" si="254">DX188*DS339-DX188*DR339</f>
        <v>3279.5749999999971</v>
      </c>
      <c r="DT396" s="234">
        <f t="shared" ref="DT396:DT403" si="255">DX188*DT339-DX188*DS339</f>
        <v>3279.5749999999971</v>
      </c>
      <c r="DU396" s="234">
        <f t="shared" ref="DU396:DU403" si="256">DX188*DU339-DX188*DT339</f>
        <v>3279.5750000000116</v>
      </c>
      <c r="DV396" s="234">
        <f t="shared" ref="DV396:DV403" si="257">DX188*DV339-DX188*DU339</f>
        <v>3279.5749999999825</v>
      </c>
      <c r="DW396" s="234">
        <f t="shared" ref="DW396:DW403" si="258">DX188*DW339-DX188*DV339</f>
        <v>3279.5750000000116</v>
      </c>
      <c r="DX396" s="189">
        <f t="shared" ref="DX396:DX403" si="259">DX188*DX339-DX188*DW339</f>
        <v>3279.5749999999971</v>
      </c>
      <c r="DY396" s="140"/>
      <c r="DZ396" s="139"/>
      <c r="EA396" s="140"/>
      <c r="EB396" s="140"/>
      <c r="EC396" s="140"/>
      <c r="ED396" s="140"/>
      <c r="EE396" s="219"/>
      <c r="EF396" s="234">
        <f t="shared" ref="EF396:EF403" si="260">FI188*EF339-FI188*EE339</f>
        <v>2842.2983333333336</v>
      </c>
      <c r="EG396" s="234">
        <f t="shared" ref="EG396:EG403" si="261">FI188*EG339-FI188*EF339</f>
        <v>2842.2983333333336</v>
      </c>
      <c r="EH396" s="234">
        <f t="shared" ref="EH396:EH403" si="262">FI188*EH339-FI188*EG339</f>
        <v>2842.2983333333332</v>
      </c>
      <c r="EI396" s="234">
        <f t="shared" ref="EI396:EI403" si="263">FI188*EI339-FI188*EH339</f>
        <v>2842.2983333333341</v>
      </c>
      <c r="EJ396" s="234">
        <f t="shared" ref="EJ396:EJ403" si="264">FI188*EJ339-FI188*EI339</f>
        <v>2842.2983333333323</v>
      </c>
      <c r="EK396" s="234">
        <f t="shared" ref="EK396:EK403" si="265">FI188*EK339-FI188*EJ339</f>
        <v>2842.2983333333341</v>
      </c>
      <c r="EL396" s="234">
        <f t="shared" ref="EL396:EL403" si="266">FI188*EL339-FI188*EK339</f>
        <v>2842.2983333333323</v>
      </c>
      <c r="EM396" s="234">
        <f t="shared" ref="EM396:EM403" si="267">FI188*EM339-FI188*EL339</f>
        <v>2842.2983333333359</v>
      </c>
      <c r="EN396" s="234">
        <f t="shared" ref="EN396:EN403" si="268">FI188*EN339-FI188*EM339</f>
        <v>2842.2983333333323</v>
      </c>
      <c r="EO396" s="234">
        <f t="shared" ref="EO396:EO403" si="269">FI188*EO339-FI188*EN339</f>
        <v>2842.2983333333323</v>
      </c>
      <c r="EP396" s="234">
        <f t="shared" ref="EP396:EP403" si="270">FI188*EP339-FI188*EO339</f>
        <v>2842.2983333333359</v>
      </c>
      <c r="EQ396" s="234">
        <f t="shared" ref="EQ396:EQ403" si="271">FI188*EQ339-FI188*EP339</f>
        <v>2842.2983333333323</v>
      </c>
      <c r="ER396" s="234">
        <f t="shared" ref="ER396:ER403" si="272">FI188*ER339-FI188*EQ339</f>
        <v>2842.2983333333323</v>
      </c>
      <c r="ES396" s="234">
        <f t="shared" ref="ES396:ES403" si="273">FI188*ES339-FI188*ER339</f>
        <v>2842.2983333333323</v>
      </c>
      <c r="ET396" s="234">
        <f t="shared" ref="ET396:ET403" si="274">FI188*ET339-FI188*ES339</f>
        <v>2842.2983333333323</v>
      </c>
      <c r="EU396" s="234">
        <f t="shared" ref="EU396:EU403" si="275">FI188*EU339-FI188*ET339</f>
        <v>2842.2983333333395</v>
      </c>
      <c r="EV396" s="234">
        <f t="shared" ref="EV396:EV403" si="276">FI188*EV339-FI188*EU339</f>
        <v>2842.2983333333323</v>
      </c>
      <c r="EW396" s="234">
        <f t="shared" ref="EW396:EW403" si="277">FI188*EW339-FI188*EV339</f>
        <v>2842.2983333333323</v>
      </c>
      <c r="EX396" s="234">
        <f t="shared" ref="EX396:EX403" si="278">FI188*EX339-FI188*EW339</f>
        <v>2842.2983333333323</v>
      </c>
      <c r="EY396" s="234">
        <f t="shared" ref="EY396:EY403" si="279">FI188*EY339-FI188*EX339</f>
        <v>2842.2983333333323</v>
      </c>
      <c r="EZ396" s="234">
        <f t="shared" ref="EZ396:EZ403" si="280">FI188*EZ339-FI188*EY339</f>
        <v>2842.2983333333323</v>
      </c>
      <c r="FA396" s="234">
        <f t="shared" ref="FA396:FA403" si="281">FI188*FA339-FI188*EZ339</f>
        <v>2842.2983333333395</v>
      </c>
      <c r="FB396" s="234">
        <f t="shared" ref="FB396:FB403" si="282">FI188*FB339-FI188*FA339</f>
        <v>2842.2983333333323</v>
      </c>
      <c r="FC396" s="234">
        <f t="shared" ref="FC396:FC403" si="283">FI188*FC339-FI188*FB339</f>
        <v>2842.2983333333323</v>
      </c>
      <c r="FD396" s="234">
        <f t="shared" ref="FD396:FD403" si="284">FI188*FD339-FI188*FC339</f>
        <v>2842.298333333325</v>
      </c>
      <c r="FE396" s="234">
        <f t="shared" ref="FE396:FE403" si="285">FI188*FE339-FI188*FD339</f>
        <v>2842.2983333333395</v>
      </c>
      <c r="FF396" s="234">
        <f t="shared" ref="FF396:FF403" si="286">FI188*FF339-FI188*FE339</f>
        <v>2842.2983333333395</v>
      </c>
      <c r="FG396" s="234">
        <f t="shared" ref="FG396:FG403" si="287">FI188*FG339-FI188*FF339</f>
        <v>2842.298333333325</v>
      </c>
      <c r="FH396" s="234">
        <f t="shared" ref="FH396:FH403" si="288">FI188*FH339-FI188*FG339</f>
        <v>2842.2983333333395</v>
      </c>
      <c r="FI396" s="189">
        <f t="shared" ref="FI396:FI403" si="289">FI188*FI339-FI188*FH339</f>
        <v>2842.298333333325</v>
      </c>
      <c r="FJ396" s="140"/>
      <c r="FK396" s="139"/>
      <c r="FL396" s="140"/>
      <c r="FM396" s="140"/>
      <c r="FN396" s="140"/>
      <c r="FO396" s="140"/>
      <c r="FP396" s="219"/>
      <c r="FQ396" s="234">
        <f t="shared" ref="FQ396:FQ403" si="290">GT188*FQ339-GT188*FP339</f>
        <v>3232.2983333333336</v>
      </c>
      <c r="FR396" s="234">
        <f t="shared" ref="FR396:FR403" si="291">GT188*FR339-GT188*FQ339</f>
        <v>3232.2983333333336</v>
      </c>
      <c r="FS396" s="234">
        <f t="shared" ref="FS396:FS403" si="292">GT188*FS339-GT188*FR339</f>
        <v>3232.2983333333332</v>
      </c>
      <c r="FT396" s="234">
        <f t="shared" ref="FT396:FT403" si="293">GT188*FT339-GT188*FS339</f>
        <v>3232.2983333333341</v>
      </c>
      <c r="FU396" s="234">
        <f t="shared" ref="FU396:FU403" si="294">GT188*FU339-GT188*FT339</f>
        <v>3232.2983333333323</v>
      </c>
      <c r="FV396" s="234">
        <f t="shared" ref="FV396:FV403" si="295">GT188*FV339-GT188*FU339</f>
        <v>3232.2983333333341</v>
      </c>
      <c r="FW396" s="234">
        <f t="shared" ref="FW396:FW403" si="296">GT188*FW339-GT188*FV339</f>
        <v>3232.2983333333323</v>
      </c>
      <c r="FX396" s="234">
        <f t="shared" ref="FX396:FX403" si="297">GT188*FX339-GT188*FW339</f>
        <v>3232.2983333333359</v>
      </c>
      <c r="FY396" s="234">
        <f t="shared" ref="FY396:FY403" si="298">GT188*FY339-GT188*FX339</f>
        <v>3232.2983333333323</v>
      </c>
      <c r="FZ396" s="234">
        <f t="shared" ref="FZ396:FZ403" si="299">GT188*FZ339-GT188*FY339</f>
        <v>3232.2983333333323</v>
      </c>
      <c r="GA396" s="234">
        <f t="shared" ref="GA396:GA403" si="300">GT188*GA339-GT188*FZ339</f>
        <v>3232.2983333333359</v>
      </c>
      <c r="GB396" s="234">
        <f t="shared" ref="GB396:GB403" si="301">GT188*GB339-GT188*GA339</f>
        <v>3232.2983333333323</v>
      </c>
      <c r="GC396" s="234">
        <f t="shared" ref="GC396:GC403" si="302">GT188*GC339-GT188*GB339</f>
        <v>3232.2983333333323</v>
      </c>
      <c r="GD396" s="234">
        <f t="shared" ref="GD396:GD403" si="303">GT188*GD339-GT188*GC339</f>
        <v>3232.2983333333323</v>
      </c>
      <c r="GE396" s="234">
        <f t="shared" ref="GE396:GE403" si="304">GT188*GE339-GT188*GD339</f>
        <v>3232.2983333333323</v>
      </c>
      <c r="GF396" s="234">
        <f t="shared" ref="GF396:GF403" si="305">GT188*GF339-GT188*GE339</f>
        <v>3232.2983333333395</v>
      </c>
      <c r="GG396" s="234">
        <f t="shared" ref="GG396:GG403" si="306">GT188*GG339-GT188*GF339</f>
        <v>3232.2983333333323</v>
      </c>
      <c r="GH396" s="234">
        <f t="shared" ref="GH396:GH403" si="307">GT188*GH339-GT188*GG339</f>
        <v>3232.2983333333323</v>
      </c>
      <c r="GI396" s="234">
        <f t="shared" ref="GI396:GI403" si="308">GT188*GI339-GT188*GH339</f>
        <v>3232.2983333333323</v>
      </c>
      <c r="GJ396" s="234">
        <f t="shared" ref="GJ396:GJ403" si="309">GT188*GJ339-GT188*GI339</f>
        <v>3232.2983333333323</v>
      </c>
      <c r="GK396" s="234">
        <f t="shared" ref="GK396:GK403" si="310">GT188*GK339-GT188*GJ339</f>
        <v>3232.2983333333323</v>
      </c>
      <c r="GL396" s="234">
        <f t="shared" ref="GL396:GL403" si="311">GT188*GL339-GT188*GK339</f>
        <v>3232.2983333333395</v>
      </c>
      <c r="GM396" s="234">
        <f t="shared" ref="GM396:GM403" si="312">GT188*GM339-GT188*GL339</f>
        <v>3232.298333333325</v>
      </c>
      <c r="GN396" s="234">
        <f t="shared" ref="GN396:GN403" si="313">GT188*GN339-GT188*GM339</f>
        <v>3232.2983333333395</v>
      </c>
      <c r="GO396" s="234">
        <f t="shared" ref="GO396:GO403" si="314">GT188*GO339-GT188*GN339</f>
        <v>3232.298333333325</v>
      </c>
      <c r="GP396" s="234">
        <f t="shared" ref="GP396:GP403" si="315">GT188*GP339-GT188*GO339</f>
        <v>3232.2983333333395</v>
      </c>
      <c r="GQ396" s="234">
        <f t="shared" ref="GQ396:GQ403" si="316">GT188*GQ339-GT188*GP339</f>
        <v>3232.2983333333395</v>
      </c>
      <c r="GR396" s="234">
        <f t="shared" ref="GR396:GR403" si="317">GT188*GR339-GT188*GQ339</f>
        <v>3232.298333333325</v>
      </c>
      <c r="GS396" s="234">
        <f t="shared" ref="GS396:GS403" si="318">GT188*GS339-GT188*GR339</f>
        <v>3232.2983333333395</v>
      </c>
      <c r="GT396" s="189">
        <f t="shared" ref="GT396:GT403" si="319">GT188*GT339-GT188*GS339</f>
        <v>3232.298333333325</v>
      </c>
      <c r="GU396" s="140"/>
      <c r="GV396" s="139"/>
      <c r="GW396" s="140"/>
      <c r="GX396" s="140"/>
      <c r="GY396" s="140"/>
      <c r="GZ396" s="140"/>
      <c r="HA396" s="219"/>
      <c r="HB396" s="234">
        <f t="shared" ref="HB396:HB403" si="320">IE188*HB339-IE188*HA339</f>
        <v>2735.0216666666665</v>
      </c>
      <c r="HC396" s="234">
        <f t="shared" ref="HC396:HC403" si="321">IE188*HC339-IE188*HB339</f>
        <v>2735.0216666666665</v>
      </c>
      <c r="HD396" s="234">
        <f t="shared" ref="HD396:HD403" si="322">IE188*HD339-IE188*HC339</f>
        <v>2735.0216666666674</v>
      </c>
      <c r="HE396" s="234">
        <f t="shared" ref="HE396:HE403" si="323">IE188*HE339-IE188*HD339</f>
        <v>2735.0216666666656</v>
      </c>
      <c r="HF396" s="234">
        <f t="shared" ref="HF396:HF403" si="324">IE188*HF339-IE188*HE339</f>
        <v>2735.0216666666656</v>
      </c>
      <c r="HG396" s="234">
        <f t="shared" ref="HG396:HG403" si="325">IE188*HG339-IE188*HF339</f>
        <v>2735.0216666666693</v>
      </c>
      <c r="HH396" s="234">
        <f t="shared" ref="HH396:HH403" si="326">IE188*HH339-IE188*HG339</f>
        <v>2735.0216666666674</v>
      </c>
      <c r="HI396" s="234">
        <f t="shared" ref="HI396:HI403" si="327">IE188*HI339-IE188*HH339</f>
        <v>2735.0216666666638</v>
      </c>
      <c r="HJ396" s="234">
        <f t="shared" ref="HJ396:HJ403" si="328">IE188*HJ339-IE188*HI339</f>
        <v>2735.0216666666674</v>
      </c>
      <c r="HK396" s="234">
        <f t="shared" ref="HK396:HK403" si="329">IE188*HK339-IE188*HJ339</f>
        <v>2735.0216666666638</v>
      </c>
      <c r="HL396" s="234">
        <f t="shared" ref="HL396:HL403" si="330">IE188*HL339-IE188*HK339</f>
        <v>2735.0216666666747</v>
      </c>
      <c r="HM396" s="234">
        <f t="shared" ref="HM396:HM403" si="331">IE188*HM339-IE188*HL339</f>
        <v>2735.0216666666638</v>
      </c>
      <c r="HN396" s="234">
        <f t="shared" ref="HN396:HN403" si="332">IE188*HN339-IE188*HM339</f>
        <v>2735.0216666666674</v>
      </c>
      <c r="HO396" s="234">
        <f t="shared" ref="HO396:HO403" si="333">IE188*HO339-IE188*HN339</f>
        <v>2735.0216666666674</v>
      </c>
      <c r="HP396" s="234">
        <f t="shared" ref="HP396:HP403" si="334">IE188*HP339-IE188*HO339</f>
        <v>2735.0216666666674</v>
      </c>
      <c r="HQ396" s="234">
        <f t="shared" ref="HQ396:HQ403" si="335">IE188*HQ339-IE188*HP339</f>
        <v>2735.0216666666602</v>
      </c>
      <c r="HR396" s="234">
        <f t="shared" ref="HR396:HR403" si="336">IE188*HR339-IE188*HQ339</f>
        <v>2735.0216666666747</v>
      </c>
      <c r="HS396" s="234">
        <f t="shared" ref="HS396:HS403" si="337">IE188*HS339-IE188*HR339</f>
        <v>2735.0216666666602</v>
      </c>
      <c r="HT396" s="234">
        <f t="shared" ref="HT396:HT403" si="338">IE188*HT339-IE188*HS339</f>
        <v>2735.0216666666747</v>
      </c>
      <c r="HU396" s="234">
        <f t="shared" ref="HU396:HU403" si="339">IE188*HU339-IE188*HT339</f>
        <v>2735.0216666666529</v>
      </c>
      <c r="HV396" s="234">
        <f t="shared" ref="HV396:HV403" si="340">IE188*HV339-IE188*HU339</f>
        <v>2735.0216666666747</v>
      </c>
      <c r="HW396" s="234">
        <f t="shared" ref="HW396:HW403" si="341">IE188*HW339-IE188*HV339</f>
        <v>2735.0216666666747</v>
      </c>
      <c r="HX396" s="234">
        <f t="shared" ref="HX396:HX403" si="342">IE188*HX339-IE188*HW339</f>
        <v>2735.0216666666602</v>
      </c>
      <c r="HY396" s="234">
        <f t="shared" ref="HY396:HY403" si="343">IE188*HY339-IE188*HX339</f>
        <v>2735.0216666666674</v>
      </c>
      <c r="HZ396" s="234">
        <f t="shared" ref="HZ396:HZ403" si="344">IE188*HZ339-IE188*HY339</f>
        <v>2735.0216666666674</v>
      </c>
      <c r="IA396" s="234">
        <f t="shared" ref="IA396:IA403" si="345">IE188*IA339-IE188*HZ339</f>
        <v>2735.0216666666674</v>
      </c>
      <c r="IB396" s="234">
        <f t="shared" ref="IB396:IB403" si="346">IE188*IB339-IE188*IA339</f>
        <v>2735.0216666666674</v>
      </c>
      <c r="IC396" s="234">
        <f t="shared" ref="IC396:IC403" si="347">IE188*IC339-IE188*IB339</f>
        <v>2735.0216666666674</v>
      </c>
      <c r="ID396" s="234">
        <f t="shared" ref="ID396:ID403" si="348">IE188*ID339-IE188*IC339</f>
        <v>2735.0216666666674</v>
      </c>
      <c r="IE396" s="189">
        <f t="shared" ref="IE396:IE403" si="349">IE188*IE339-IE188*ID339</f>
        <v>2735.0216666666674</v>
      </c>
      <c r="IF396" s="140"/>
      <c r="IG396" s="139"/>
      <c r="IH396" s="140"/>
      <c r="II396" s="140"/>
      <c r="IJ396" s="140"/>
      <c r="IK396" s="140"/>
      <c r="IL396" s="219"/>
      <c r="IM396" s="234">
        <f t="shared" ref="IM396:IM403" si="350">JP188*IM339-JP188*IL339</f>
        <v>0</v>
      </c>
      <c r="IN396" s="234">
        <f t="shared" ref="IN396:IN403" si="351">JP188*IN339-JP188*IM339</f>
        <v>0</v>
      </c>
      <c r="IO396" s="234">
        <f t="shared" ref="IO396:IO403" si="352">JP188*IO339-JP188*IN339</f>
        <v>0</v>
      </c>
      <c r="IP396" s="234">
        <f t="shared" ref="IP396:IP403" si="353">JP188*IP339-JP188*IO339</f>
        <v>0</v>
      </c>
      <c r="IQ396" s="234">
        <f t="shared" ref="IQ396:IQ403" si="354">JP188*IQ339-JP188*IP339</f>
        <v>0</v>
      </c>
      <c r="IR396" s="234">
        <f t="shared" ref="IR396:IR403" si="355">JP188*IR339-JP188*IQ339</f>
        <v>0</v>
      </c>
      <c r="IS396" s="234">
        <f t="shared" ref="IS396:IS403" si="356">JP188*IS339-JP188*IR339</f>
        <v>0</v>
      </c>
      <c r="IT396" s="234">
        <f t="shared" ref="IT396:IT403" si="357">JP188*IT339-JP188*IS339</f>
        <v>0</v>
      </c>
      <c r="IU396" s="234">
        <f t="shared" ref="IU396:IU403" si="358">JP188*IU339-JP188*IT339</f>
        <v>0</v>
      </c>
      <c r="IV396" s="234">
        <f t="shared" ref="IV396:IV403" si="359">JP188*IV339-JP188*IU339</f>
        <v>0</v>
      </c>
      <c r="IW396" s="234">
        <f t="shared" ref="IW396:IW403" si="360">JP188*IW339-JP188*IV339</f>
        <v>0</v>
      </c>
      <c r="IX396" s="234">
        <f t="shared" ref="IX396:IX403" si="361">JP188*IX339-JP188*IW339</f>
        <v>0</v>
      </c>
      <c r="IY396" s="234">
        <f t="shared" ref="IY396:IY403" si="362">JP188*IY339-JP188*IX339</f>
        <v>0</v>
      </c>
      <c r="IZ396" s="234">
        <f t="shared" ref="IZ396:IZ403" si="363">JP188*IZ339-JP188*IY339</f>
        <v>0</v>
      </c>
      <c r="JA396" s="234">
        <f t="shared" ref="JA396:JA403" si="364">JP188*JA339-JP188*IZ339</f>
        <v>0</v>
      </c>
      <c r="JB396" s="234">
        <f t="shared" ref="JB396:JB403" si="365">JP188*JB339-JP188*JA339</f>
        <v>0</v>
      </c>
      <c r="JC396" s="234">
        <f t="shared" ref="JC396:JC403" si="366">JP188*JC339-JP188*JB339</f>
        <v>0</v>
      </c>
      <c r="JD396" s="234">
        <f t="shared" ref="JD396:JD403" si="367">JP188*JD339-JP188*JC339</f>
        <v>0</v>
      </c>
      <c r="JE396" s="234">
        <f t="shared" ref="JE396:JE403" si="368">JP188*JE339-JP188*JD339</f>
        <v>0</v>
      </c>
      <c r="JF396" s="234">
        <f t="shared" ref="JF396:JF403" si="369">JP188*JF339-JP188*JE339</f>
        <v>0</v>
      </c>
      <c r="JG396" s="234">
        <f t="shared" ref="JG396:JG403" si="370">JP188*JG339-JP188*JF339</f>
        <v>0</v>
      </c>
      <c r="JH396" s="234">
        <f t="shared" ref="JH396:JH403" si="371">JP188*JH339-JP188*JG339</f>
        <v>0</v>
      </c>
      <c r="JI396" s="234">
        <f t="shared" ref="JI396:JI403" si="372">JP188*JI339-JP188*JH339</f>
        <v>0</v>
      </c>
      <c r="JJ396" s="234">
        <f t="shared" ref="JJ396:JJ403" si="373">JP188*JJ339-JP188*JI339</f>
        <v>0</v>
      </c>
      <c r="JK396" s="234">
        <f t="shared" ref="JK396:JK403" si="374">JP188*JK339-JP188*JJ339</f>
        <v>0</v>
      </c>
      <c r="JL396" s="234">
        <f t="shared" ref="JL396:JL403" si="375">JP188*JL339-JP188*JK339</f>
        <v>0</v>
      </c>
      <c r="JM396" s="234">
        <f t="shared" ref="JM396:JM403" si="376">JP188*JM339-JP188*JL339</f>
        <v>0</v>
      </c>
      <c r="JN396" s="234">
        <f t="shared" ref="JN396:JN403" si="377">JP188*JN339-JP188*JM339</f>
        <v>0</v>
      </c>
      <c r="JO396" s="234">
        <f t="shared" ref="JO396:JO403" si="378">JP188*JO339-JP188*JN339</f>
        <v>0</v>
      </c>
      <c r="JP396" s="189">
        <f t="shared" ref="JP396:JP403" si="379">JP188*JP339-JP188*JO339</f>
        <v>0</v>
      </c>
      <c r="JQ396" s="140"/>
      <c r="JR396" s="139"/>
      <c r="JS396" s="140"/>
      <c r="JT396" s="140"/>
      <c r="JU396" s="140"/>
      <c r="JV396" s="140"/>
      <c r="JW396" s="219"/>
      <c r="JX396" s="234">
        <f t="shared" ref="JX396:JX403" si="380">LA188*JX339-LA188*JW339</f>
        <v>0</v>
      </c>
      <c r="JY396" s="234">
        <f t="shared" ref="JY396:JY403" si="381">LA188*JY339-LA188*JX339</f>
        <v>0</v>
      </c>
      <c r="JZ396" s="234">
        <f t="shared" ref="JZ396:JZ403" si="382">LA188*JZ339-LA188*JY339</f>
        <v>0</v>
      </c>
      <c r="KA396" s="234">
        <f t="shared" ref="KA396:KA403" si="383">LA188*KA339-LA188*JZ339</f>
        <v>0</v>
      </c>
      <c r="KB396" s="234">
        <f t="shared" ref="KB396:KB403" si="384">LA188*KB339-LA188*KA339</f>
        <v>0</v>
      </c>
      <c r="KC396" s="234">
        <f t="shared" ref="KC396:KC403" si="385">LA188*KC339-LA188*KB339</f>
        <v>0</v>
      </c>
      <c r="KD396" s="234">
        <f t="shared" ref="KD396:KD403" si="386">LA188*KD339-LA188*KC339</f>
        <v>0</v>
      </c>
      <c r="KE396" s="234">
        <f t="shared" ref="KE396:KE403" si="387">LA188*KE339-LA188*KD339</f>
        <v>0</v>
      </c>
      <c r="KF396" s="234">
        <f t="shared" ref="KF396:KF403" si="388">LA188*KF339-LA188*KE339</f>
        <v>0</v>
      </c>
      <c r="KG396" s="234">
        <f t="shared" ref="KG396:KG403" si="389">LA188*KG339-LA188*KF339</f>
        <v>0</v>
      </c>
      <c r="KH396" s="234">
        <f t="shared" ref="KH396:KH403" si="390">LA188*KH339-LA188*KG339</f>
        <v>0</v>
      </c>
      <c r="KI396" s="234">
        <f t="shared" ref="KI396:KI403" si="391">LA188*KI339-LA188*KH339</f>
        <v>0</v>
      </c>
      <c r="KJ396" s="234">
        <f t="shared" ref="KJ396:KJ403" si="392">LA188*KJ339-LA188*KI339</f>
        <v>0</v>
      </c>
      <c r="KK396" s="234">
        <f t="shared" ref="KK396:KK403" si="393">LA188*KK339-LA188*KJ339</f>
        <v>0</v>
      </c>
      <c r="KL396" s="234">
        <f t="shared" ref="KL396:KL403" si="394">LA188*KL339-LA188*KK339</f>
        <v>0</v>
      </c>
      <c r="KM396" s="234">
        <f t="shared" ref="KM396:KM403" si="395">LA188*KM339-LA188*KL339</f>
        <v>0</v>
      </c>
      <c r="KN396" s="234">
        <f t="shared" ref="KN396:KN403" si="396">LA188*KN339-LA188*KM339</f>
        <v>0</v>
      </c>
      <c r="KO396" s="234">
        <f t="shared" ref="KO396:KO403" si="397">LA188*KO339-LA188*KN339</f>
        <v>0</v>
      </c>
      <c r="KP396" s="234">
        <f t="shared" ref="KP396:KP403" si="398">LA188*KP339-LA188*KO339</f>
        <v>0</v>
      </c>
      <c r="KQ396" s="234">
        <f t="shared" ref="KQ396:KQ403" si="399">LA188*KQ339-LA188*KP339</f>
        <v>0</v>
      </c>
      <c r="KR396" s="234">
        <f t="shared" ref="KR396:KR403" si="400">LA188*KR339-LA188*KQ339</f>
        <v>0</v>
      </c>
      <c r="KS396" s="234">
        <f t="shared" ref="KS396:KS403" si="401">LA188*KS339-LA188*KR339</f>
        <v>0</v>
      </c>
      <c r="KT396" s="234">
        <f t="shared" ref="KT396:KT403" si="402">LA188*KT339-LA188*KS339</f>
        <v>0</v>
      </c>
      <c r="KU396" s="234">
        <f t="shared" ref="KU396:KU403" si="403">LA188*KU339-LA188*KT339</f>
        <v>0</v>
      </c>
      <c r="KV396" s="234">
        <f t="shared" ref="KV396:KV403" si="404">LA188*KV339-LA188*KU339</f>
        <v>0</v>
      </c>
      <c r="KW396" s="234">
        <f t="shared" ref="KW396:KW403" si="405">LA188*KW339-LA188*KV339</f>
        <v>0</v>
      </c>
      <c r="KX396" s="234">
        <f t="shared" ref="KX396:KX403" si="406">LA188*KX339-LA188*KW339</f>
        <v>0</v>
      </c>
      <c r="KY396" s="234">
        <f t="shared" ref="KY396:KY403" si="407">LA188*KY339-LA188*KX339</f>
        <v>0</v>
      </c>
      <c r="KZ396" s="234">
        <f t="shared" ref="KZ396:KZ403" si="408">LA188*KZ339-LA188*KY339</f>
        <v>0</v>
      </c>
      <c r="LA396" s="189">
        <f t="shared" ref="LA396:LA403" si="409">LA188*LA339-LA188*KZ339</f>
        <v>0</v>
      </c>
      <c r="LB396" s="140"/>
      <c r="LC396" s="139"/>
      <c r="LD396" s="140"/>
      <c r="LE396" s="140"/>
      <c r="LF396" s="140"/>
      <c r="LG396" s="140"/>
      <c r="LH396" s="219"/>
      <c r="LI396" s="234">
        <f t="shared" ref="LI396:LI403" si="410">ML188*LI339-ML188*LH339</f>
        <v>0</v>
      </c>
      <c r="LJ396" s="234">
        <f t="shared" ref="LJ396:LJ403" si="411">ML188*LJ339-ML188*LI339</f>
        <v>0</v>
      </c>
      <c r="LK396" s="234">
        <f t="shared" ref="LK396:LK403" si="412">ML188*LK339-ML188*LJ339</f>
        <v>0</v>
      </c>
      <c r="LL396" s="234">
        <f t="shared" ref="LL396:LL403" si="413">ML188*LL339-ML188*LK339</f>
        <v>0</v>
      </c>
      <c r="LM396" s="234">
        <f t="shared" ref="LM396:LM403" si="414">ML188*LM339-ML188*LL339</f>
        <v>0</v>
      </c>
      <c r="LN396" s="234">
        <f t="shared" ref="LN396:LN403" si="415">ML188*LN339-ML188*LM339</f>
        <v>0</v>
      </c>
      <c r="LO396" s="234">
        <f t="shared" ref="LO396:LO403" si="416">ML188*LO339-ML188*LN339</f>
        <v>0</v>
      </c>
      <c r="LP396" s="234">
        <f t="shared" ref="LP396:LP403" si="417">ML188*LP339-ML188*LO339</f>
        <v>0</v>
      </c>
      <c r="LQ396" s="234">
        <f t="shared" ref="LQ396:LQ403" si="418">ML188*LQ339-ML188*LP339</f>
        <v>0</v>
      </c>
      <c r="LR396" s="234">
        <f t="shared" ref="LR396:LR403" si="419">ML188*LR339-ML188*LQ339</f>
        <v>0</v>
      </c>
      <c r="LS396" s="234">
        <f t="shared" ref="LS396:LS403" si="420">ML188*LS339-ML188*LR339</f>
        <v>0</v>
      </c>
      <c r="LT396" s="234">
        <f t="shared" ref="LT396:LT403" si="421">ML188*LT339-ML188*LS339</f>
        <v>0</v>
      </c>
      <c r="LU396" s="234">
        <f t="shared" ref="LU396:LU403" si="422">ML188*LU339-ML188*LT339</f>
        <v>0</v>
      </c>
      <c r="LV396" s="234">
        <f t="shared" ref="LV396:LV403" si="423">ML188*LV339-ML188*LU339</f>
        <v>0</v>
      </c>
      <c r="LW396" s="234">
        <f t="shared" ref="LW396:LW403" si="424">ML188*LW339-ML188*LV339</f>
        <v>0</v>
      </c>
      <c r="LX396" s="234">
        <f t="shared" ref="LX396:LX403" si="425">ML188*LX339-ML188*LW339</f>
        <v>0</v>
      </c>
      <c r="LY396" s="234">
        <f t="shared" ref="LY396:LY403" si="426">ML188*LY339-ML188*LX339</f>
        <v>0</v>
      </c>
      <c r="LZ396" s="234">
        <f t="shared" ref="LZ396:LZ403" si="427">ML188*LZ339-ML188*LY339</f>
        <v>0</v>
      </c>
      <c r="MA396" s="234">
        <f t="shared" ref="MA396:MA403" si="428">ML188*MA339-ML188*LZ339</f>
        <v>0</v>
      </c>
      <c r="MB396" s="234">
        <f t="shared" ref="MB396:MB403" si="429">ML188*MB339-ML188*MA339</f>
        <v>0</v>
      </c>
      <c r="MC396" s="234">
        <f t="shared" ref="MC396:MC403" si="430">ML188*MC339-ML188*MB339</f>
        <v>0</v>
      </c>
      <c r="MD396" s="234">
        <f t="shared" ref="MD396:MD403" si="431">ML188*MD339-ML188*MC339</f>
        <v>0</v>
      </c>
      <c r="ME396" s="234">
        <f t="shared" ref="ME396:ME403" si="432">ML188*ME339-ML188*MD339</f>
        <v>0</v>
      </c>
      <c r="MF396" s="234">
        <f t="shared" ref="MF396:MF403" si="433">ML188*MF339-ML188*ME339</f>
        <v>0</v>
      </c>
      <c r="MG396" s="234">
        <f t="shared" ref="MG396:MG403" si="434">ML188*MG339-ML188*MF339</f>
        <v>0</v>
      </c>
      <c r="MH396" s="234">
        <f t="shared" ref="MH396:MH403" si="435">ML188*MH339-ML188*MG339</f>
        <v>0</v>
      </c>
      <c r="MI396" s="234">
        <f t="shared" ref="MI396:MI403" si="436">ML188*MI339-ML188*MH339</f>
        <v>0</v>
      </c>
      <c r="MJ396" s="234">
        <f t="shared" ref="MJ396:MJ403" si="437">ML188*MJ339-ML188*MI339</f>
        <v>0</v>
      </c>
      <c r="MK396" s="234">
        <f t="shared" ref="MK396:MK403" si="438">ML188*MK339-ML188*MJ339</f>
        <v>0</v>
      </c>
      <c r="ML396" s="189">
        <f t="shared" ref="ML396:ML403" si="439">ML188*ML339-ML188*MK339</f>
        <v>0</v>
      </c>
    </row>
    <row r="397" spans="3:350" s="4" customFormat="1" ht="18" customHeight="1" x14ac:dyDescent="0.3">
      <c r="C397" s="136" t="s">
        <v>77</v>
      </c>
      <c r="E397" s="137" t="s">
        <v>105</v>
      </c>
      <c r="F397" s="147" t="s">
        <v>105</v>
      </c>
      <c r="H397" s="139"/>
      <c r="I397" s="140"/>
      <c r="J397" s="140"/>
      <c r="K397" s="140"/>
      <c r="L397" s="140"/>
      <c r="M397" s="141"/>
      <c r="N397" s="140"/>
      <c r="O397" s="140"/>
      <c r="P397" s="140"/>
      <c r="Q397" s="140"/>
      <c r="R397" s="140"/>
      <c r="S397" s="139"/>
      <c r="T397" s="140"/>
      <c r="U397" s="140"/>
      <c r="V397" s="140"/>
      <c r="W397" s="140"/>
      <c r="X397" s="140"/>
      <c r="Y397" s="140"/>
      <c r="Z397" s="140"/>
      <c r="AA397" s="140"/>
      <c r="AB397" s="140"/>
      <c r="AC397" s="140"/>
      <c r="AD397" s="140"/>
      <c r="AE397" s="140"/>
      <c r="AF397" s="140"/>
      <c r="AG397" s="140"/>
      <c r="AH397" s="140"/>
      <c r="AI397" s="140"/>
      <c r="AJ397" s="140"/>
      <c r="AK397" s="140"/>
      <c r="AL397" s="140"/>
      <c r="AM397" s="140"/>
      <c r="AN397" s="140"/>
      <c r="AO397" s="140"/>
      <c r="AP397" s="140"/>
      <c r="AQ397" s="140"/>
      <c r="AR397" s="140"/>
      <c r="AS397" s="140"/>
      <c r="AT397" s="140"/>
      <c r="AU397" s="140"/>
      <c r="AV397" s="140"/>
      <c r="AW397" s="140"/>
      <c r="AX397" s="140"/>
      <c r="AY397" s="140"/>
      <c r="AZ397" s="140"/>
      <c r="BA397" s="140"/>
      <c r="BB397" s="141"/>
      <c r="BC397" s="140"/>
      <c r="BD397" s="139"/>
      <c r="BE397" s="140"/>
      <c r="BF397" s="140"/>
      <c r="BG397" s="140"/>
      <c r="BH397" s="140"/>
      <c r="BI397" s="219"/>
      <c r="BJ397" s="234">
        <f t="shared" si="200"/>
        <v>978.33647624893956</v>
      </c>
      <c r="BK397" s="234">
        <f t="shared" si="201"/>
        <v>978.33647624893956</v>
      </c>
      <c r="BL397" s="234">
        <f t="shared" si="202"/>
        <v>978.33647624894002</v>
      </c>
      <c r="BM397" s="234">
        <f t="shared" si="203"/>
        <v>978.33647624893911</v>
      </c>
      <c r="BN397" s="234">
        <f t="shared" si="204"/>
        <v>978.33647624894002</v>
      </c>
      <c r="BO397" s="234">
        <f t="shared" si="205"/>
        <v>978.33647624894002</v>
      </c>
      <c r="BP397" s="234">
        <f t="shared" si="206"/>
        <v>978.33647624893911</v>
      </c>
      <c r="BQ397" s="234">
        <f t="shared" si="207"/>
        <v>978.33647624893911</v>
      </c>
      <c r="BR397" s="234">
        <f t="shared" si="208"/>
        <v>978.33647624894002</v>
      </c>
      <c r="BS397" s="234">
        <f t="shared" si="209"/>
        <v>978.33647624894002</v>
      </c>
      <c r="BT397" s="234">
        <f t="shared" si="210"/>
        <v>978.33647624894002</v>
      </c>
      <c r="BU397" s="234">
        <f t="shared" si="211"/>
        <v>978.33647624894002</v>
      </c>
      <c r="BV397" s="234">
        <f t="shared" si="212"/>
        <v>978.3364762489382</v>
      </c>
      <c r="BW397" s="234">
        <f t="shared" si="213"/>
        <v>978.33647624894002</v>
      </c>
      <c r="BX397" s="234">
        <f t="shared" si="214"/>
        <v>978.33647624894002</v>
      </c>
      <c r="BY397" s="234">
        <f t="shared" si="215"/>
        <v>978.3364762489382</v>
      </c>
      <c r="BZ397" s="234">
        <f t="shared" si="216"/>
        <v>978.33647624894002</v>
      </c>
      <c r="CA397" s="234">
        <f t="shared" si="217"/>
        <v>978.33647624894002</v>
      </c>
      <c r="CB397" s="234">
        <f t="shared" si="218"/>
        <v>978.33647624894002</v>
      </c>
      <c r="CC397" s="234">
        <f t="shared" si="219"/>
        <v>978.33647624894002</v>
      </c>
      <c r="CD397" s="234">
        <f t="shared" si="220"/>
        <v>978.33647624894002</v>
      </c>
      <c r="CE397" s="234">
        <f t="shared" si="221"/>
        <v>978.33647624894002</v>
      </c>
      <c r="CF397" s="234">
        <f t="shared" si="222"/>
        <v>978.33647624893638</v>
      </c>
      <c r="CG397" s="234">
        <f t="shared" si="223"/>
        <v>978.33647624894365</v>
      </c>
      <c r="CH397" s="234">
        <f t="shared" si="224"/>
        <v>978.33647624893638</v>
      </c>
      <c r="CI397" s="234">
        <f t="shared" si="225"/>
        <v>978.33647624894002</v>
      </c>
      <c r="CJ397" s="234">
        <f t="shared" si="226"/>
        <v>978.33647624893638</v>
      </c>
      <c r="CK397" s="234">
        <f t="shared" si="227"/>
        <v>978.33647624894365</v>
      </c>
      <c r="CL397" s="234">
        <f t="shared" si="228"/>
        <v>978.33647624893638</v>
      </c>
      <c r="CM397" s="189">
        <f t="shared" si="229"/>
        <v>978.33647624894365</v>
      </c>
      <c r="CN397" s="140"/>
      <c r="CO397" s="139"/>
      <c r="CP397" s="140"/>
      <c r="CQ397" s="140"/>
      <c r="CR397" s="140"/>
      <c r="CS397" s="140"/>
      <c r="CT397" s="219"/>
      <c r="CU397" s="234">
        <f t="shared" si="230"/>
        <v>1299.6024890858632</v>
      </c>
      <c r="CV397" s="234">
        <f t="shared" si="231"/>
        <v>1299.6024890858632</v>
      </c>
      <c r="CW397" s="234">
        <f t="shared" si="232"/>
        <v>1299.6024890858639</v>
      </c>
      <c r="CX397" s="234">
        <f t="shared" si="233"/>
        <v>1299.6024890858625</v>
      </c>
      <c r="CY397" s="234">
        <f t="shared" si="234"/>
        <v>1299.6024890858625</v>
      </c>
      <c r="CZ397" s="234">
        <f t="shared" si="235"/>
        <v>1299.6024890858653</v>
      </c>
      <c r="DA397" s="234">
        <f t="shared" si="236"/>
        <v>1299.6024890858625</v>
      </c>
      <c r="DB397" s="234">
        <f t="shared" si="237"/>
        <v>1299.6024890858625</v>
      </c>
      <c r="DC397" s="234">
        <f t="shared" si="238"/>
        <v>1299.6024890858644</v>
      </c>
      <c r="DD397" s="234">
        <f t="shared" si="239"/>
        <v>1299.6024890858607</v>
      </c>
      <c r="DE397" s="234">
        <f t="shared" si="240"/>
        <v>1299.6024890858662</v>
      </c>
      <c r="DF397" s="234">
        <f t="shared" si="241"/>
        <v>1299.6024890858644</v>
      </c>
      <c r="DG397" s="234">
        <f t="shared" si="242"/>
        <v>1299.6024890858644</v>
      </c>
      <c r="DH397" s="234">
        <f t="shared" si="243"/>
        <v>1299.6024890858607</v>
      </c>
      <c r="DI397" s="234">
        <f t="shared" si="244"/>
        <v>1299.6024890858644</v>
      </c>
      <c r="DJ397" s="234">
        <f t="shared" si="245"/>
        <v>1299.6024890858607</v>
      </c>
      <c r="DK397" s="234">
        <f t="shared" si="246"/>
        <v>1299.6024890858644</v>
      </c>
      <c r="DL397" s="234">
        <f t="shared" si="247"/>
        <v>1299.6024890858644</v>
      </c>
      <c r="DM397" s="234">
        <f t="shared" si="248"/>
        <v>1299.6024890858607</v>
      </c>
      <c r="DN397" s="234">
        <f t="shared" si="249"/>
        <v>1299.6024890858607</v>
      </c>
      <c r="DO397" s="234">
        <f t="shared" si="250"/>
        <v>1299.602489085868</v>
      </c>
      <c r="DP397" s="234">
        <f t="shared" si="251"/>
        <v>1299.6024890858644</v>
      </c>
      <c r="DQ397" s="234">
        <f t="shared" si="252"/>
        <v>1299.6024890858607</v>
      </c>
      <c r="DR397" s="234">
        <f t="shared" si="253"/>
        <v>1299.602489085868</v>
      </c>
      <c r="DS397" s="234">
        <f t="shared" si="254"/>
        <v>1299.6024890858571</v>
      </c>
      <c r="DT397" s="234">
        <f t="shared" si="255"/>
        <v>1299.6024890858716</v>
      </c>
      <c r="DU397" s="234">
        <f t="shared" si="256"/>
        <v>1299.6024890858534</v>
      </c>
      <c r="DV397" s="234">
        <f t="shared" si="257"/>
        <v>1299.602489085868</v>
      </c>
      <c r="DW397" s="234">
        <f t="shared" si="258"/>
        <v>1299.6024890858607</v>
      </c>
      <c r="DX397" s="189">
        <f t="shared" si="259"/>
        <v>1299.602489085868</v>
      </c>
      <c r="DY397" s="140"/>
      <c r="DZ397" s="139"/>
      <c r="EA397" s="140"/>
      <c r="EB397" s="140"/>
      <c r="EC397" s="140"/>
      <c r="ED397" s="140"/>
      <c r="EE397" s="219"/>
      <c r="EF397" s="234">
        <f t="shared" si="260"/>
        <v>1128.6021615745656</v>
      </c>
      <c r="EG397" s="234">
        <f t="shared" si="261"/>
        <v>1128.6021615745656</v>
      </c>
      <c r="EH397" s="234">
        <f t="shared" si="262"/>
        <v>1128.6021615745653</v>
      </c>
      <c r="EI397" s="234">
        <f t="shared" si="263"/>
        <v>1128.6021615745658</v>
      </c>
      <c r="EJ397" s="234">
        <f t="shared" si="264"/>
        <v>1128.6021615745658</v>
      </c>
      <c r="EK397" s="234">
        <f t="shared" si="265"/>
        <v>1128.6021615745649</v>
      </c>
      <c r="EL397" s="234">
        <f t="shared" si="266"/>
        <v>1128.6021615745649</v>
      </c>
      <c r="EM397" s="234">
        <f t="shared" si="267"/>
        <v>1128.6021615745667</v>
      </c>
      <c r="EN397" s="234">
        <f t="shared" si="268"/>
        <v>1128.6021615745649</v>
      </c>
      <c r="EO397" s="234">
        <f t="shared" si="269"/>
        <v>1128.6021615745667</v>
      </c>
      <c r="EP397" s="234">
        <f t="shared" si="270"/>
        <v>1128.6021615745649</v>
      </c>
      <c r="EQ397" s="234">
        <f t="shared" si="271"/>
        <v>1128.6021615745649</v>
      </c>
      <c r="ER397" s="234">
        <f t="shared" si="272"/>
        <v>1128.6021615745649</v>
      </c>
      <c r="ES397" s="234">
        <f t="shared" si="273"/>
        <v>1128.6021615745649</v>
      </c>
      <c r="ET397" s="234">
        <f t="shared" si="274"/>
        <v>1128.6021615745667</v>
      </c>
      <c r="EU397" s="234">
        <f t="shared" si="275"/>
        <v>1128.6021615745667</v>
      </c>
      <c r="EV397" s="234">
        <f t="shared" si="276"/>
        <v>1128.6021615745631</v>
      </c>
      <c r="EW397" s="234">
        <f t="shared" si="277"/>
        <v>1128.6021615745667</v>
      </c>
      <c r="EX397" s="234">
        <f t="shared" si="278"/>
        <v>1128.6021615745667</v>
      </c>
      <c r="EY397" s="234">
        <f t="shared" si="279"/>
        <v>1128.6021615745667</v>
      </c>
      <c r="EZ397" s="234">
        <f t="shared" si="280"/>
        <v>1128.6021615745631</v>
      </c>
      <c r="FA397" s="234">
        <f t="shared" si="281"/>
        <v>1128.6021615745667</v>
      </c>
      <c r="FB397" s="234">
        <f t="shared" si="282"/>
        <v>1128.6021615745631</v>
      </c>
      <c r="FC397" s="234">
        <f t="shared" si="283"/>
        <v>1128.6021615745667</v>
      </c>
      <c r="FD397" s="234">
        <f t="shared" si="284"/>
        <v>1128.6021615745667</v>
      </c>
      <c r="FE397" s="234">
        <f t="shared" si="285"/>
        <v>1128.6021615745631</v>
      </c>
      <c r="FF397" s="234">
        <f t="shared" si="286"/>
        <v>1128.6021615745667</v>
      </c>
      <c r="FG397" s="234">
        <f t="shared" si="287"/>
        <v>1128.6021615745631</v>
      </c>
      <c r="FH397" s="234">
        <f t="shared" si="288"/>
        <v>1128.6021615745667</v>
      </c>
      <c r="FI397" s="189">
        <f t="shared" si="289"/>
        <v>1128.6021615745667</v>
      </c>
      <c r="FJ397" s="140"/>
      <c r="FK397" s="139"/>
      <c r="FL397" s="140"/>
      <c r="FM397" s="140"/>
      <c r="FN397" s="140"/>
      <c r="FO397" s="140"/>
      <c r="FP397" s="219"/>
      <c r="FQ397" s="234">
        <f t="shared" si="290"/>
        <v>1403.7001615745655</v>
      </c>
      <c r="FR397" s="234">
        <f t="shared" si="291"/>
        <v>1403.7001615745655</v>
      </c>
      <c r="FS397" s="234">
        <f t="shared" si="292"/>
        <v>1403.7001615745653</v>
      </c>
      <c r="FT397" s="234">
        <f t="shared" si="293"/>
        <v>1403.7001615745658</v>
      </c>
      <c r="FU397" s="234">
        <f t="shared" si="294"/>
        <v>1403.7001615745658</v>
      </c>
      <c r="FV397" s="234">
        <f t="shared" si="295"/>
        <v>1403.7001615745648</v>
      </c>
      <c r="FW397" s="234">
        <f t="shared" si="296"/>
        <v>1403.7001615745648</v>
      </c>
      <c r="FX397" s="234">
        <f t="shared" si="297"/>
        <v>1403.7001615745667</v>
      </c>
      <c r="FY397" s="234">
        <f t="shared" si="298"/>
        <v>1403.7001615745648</v>
      </c>
      <c r="FZ397" s="234">
        <f t="shared" si="299"/>
        <v>1403.7001615745667</v>
      </c>
      <c r="GA397" s="234">
        <f t="shared" si="300"/>
        <v>1403.7001615745648</v>
      </c>
      <c r="GB397" s="234">
        <f t="shared" si="301"/>
        <v>1403.7001615745648</v>
      </c>
      <c r="GC397" s="234">
        <f t="shared" si="302"/>
        <v>1403.7001615745648</v>
      </c>
      <c r="GD397" s="234">
        <f t="shared" si="303"/>
        <v>1403.7001615745648</v>
      </c>
      <c r="GE397" s="234">
        <f t="shared" si="304"/>
        <v>1403.7001615745685</v>
      </c>
      <c r="GF397" s="234">
        <f t="shared" si="305"/>
        <v>1403.7001615745648</v>
      </c>
      <c r="GG397" s="234">
        <f t="shared" si="306"/>
        <v>1403.7001615745648</v>
      </c>
      <c r="GH397" s="234">
        <f t="shared" si="307"/>
        <v>1403.7001615745648</v>
      </c>
      <c r="GI397" s="234">
        <f t="shared" si="308"/>
        <v>1403.7001615745685</v>
      </c>
      <c r="GJ397" s="234">
        <f t="shared" si="309"/>
        <v>1403.7001615745648</v>
      </c>
      <c r="GK397" s="234">
        <f t="shared" si="310"/>
        <v>1403.7001615745648</v>
      </c>
      <c r="GL397" s="234">
        <f t="shared" si="311"/>
        <v>1403.7001615745648</v>
      </c>
      <c r="GM397" s="234">
        <f t="shared" si="312"/>
        <v>1403.7001615745648</v>
      </c>
      <c r="GN397" s="234">
        <f t="shared" si="313"/>
        <v>1403.7001615745648</v>
      </c>
      <c r="GO397" s="234">
        <f t="shared" si="314"/>
        <v>1403.7001615745685</v>
      </c>
      <c r="GP397" s="234">
        <f t="shared" si="315"/>
        <v>1403.7001615745612</v>
      </c>
      <c r="GQ397" s="234">
        <f t="shared" si="316"/>
        <v>1403.7001615745685</v>
      </c>
      <c r="GR397" s="234">
        <f t="shared" si="317"/>
        <v>1403.7001615745612</v>
      </c>
      <c r="GS397" s="234">
        <f t="shared" si="318"/>
        <v>1403.7001615745685</v>
      </c>
      <c r="GT397" s="189">
        <f t="shared" si="319"/>
        <v>1403.7001615745685</v>
      </c>
      <c r="GU397" s="140"/>
      <c r="GV397" s="139"/>
      <c r="GW397" s="140"/>
      <c r="GX397" s="140"/>
      <c r="GY397" s="140"/>
      <c r="GZ397" s="140"/>
      <c r="HA397" s="219"/>
      <c r="HB397" s="234">
        <f t="shared" si="320"/>
        <v>1169.7501346454712</v>
      </c>
      <c r="HC397" s="234">
        <f t="shared" si="321"/>
        <v>1169.7501346454712</v>
      </c>
      <c r="HD397" s="234">
        <f t="shared" si="322"/>
        <v>1169.7501346454715</v>
      </c>
      <c r="HE397" s="234">
        <f t="shared" si="323"/>
        <v>1169.750134645471</v>
      </c>
      <c r="HF397" s="234">
        <f t="shared" si="324"/>
        <v>1169.750134645471</v>
      </c>
      <c r="HG397" s="234">
        <f t="shared" si="325"/>
        <v>1169.7501346454719</v>
      </c>
      <c r="HH397" s="234">
        <f t="shared" si="326"/>
        <v>1169.7501346454719</v>
      </c>
      <c r="HI397" s="234">
        <f t="shared" si="327"/>
        <v>1169.7501346454701</v>
      </c>
      <c r="HJ397" s="234">
        <f t="shared" si="328"/>
        <v>1169.7501346454719</v>
      </c>
      <c r="HK397" s="234">
        <f t="shared" si="329"/>
        <v>1169.7501346454701</v>
      </c>
      <c r="HL397" s="234">
        <f t="shared" si="330"/>
        <v>1169.7501346454737</v>
      </c>
      <c r="HM397" s="234">
        <f t="shared" si="331"/>
        <v>1169.7501346454701</v>
      </c>
      <c r="HN397" s="234">
        <f t="shared" si="332"/>
        <v>1169.7501346454701</v>
      </c>
      <c r="HO397" s="234">
        <f t="shared" si="333"/>
        <v>1169.7501346454737</v>
      </c>
      <c r="HP397" s="234">
        <f t="shared" si="334"/>
        <v>1169.7501346454701</v>
      </c>
      <c r="HQ397" s="234">
        <f t="shared" si="335"/>
        <v>1169.7501346454701</v>
      </c>
      <c r="HR397" s="234">
        <f t="shared" si="336"/>
        <v>1169.7501346454737</v>
      </c>
      <c r="HS397" s="234">
        <f t="shared" si="337"/>
        <v>1169.7501346454701</v>
      </c>
      <c r="HT397" s="234">
        <f t="shared" si="338"/>
        <v>1169.7501346454737</v>
      </c>
      <c r="HU397" s="234">
        <f t="shared" si="339"/>
        <v>1169.7501346454665</v>
      </c>
      <c r="HV397" s="234">
        <f t="shared" si="340"/>
        <v>1169.7501346454737</v>
      </c>
      <c r="HW397" s="234">
        <f t="shared" si="341"/>
        <v>1169.7501346454737</v>
      </c>
      <c r="HX397" s="234">
        <f t="shared" si="342"/>
        <v>1169.7501346454665</v>
      </c>
      <c r="HY397" s="234">
        <f t="shared" si="343"/>
        <v>1169.7501346454737</v>
      </c>
      <c r="HZ397" s="234">
        <f t="shared" si="344"/>
        <v>1169.7501346454701</v>
      </c>
      <c r="IA397" s="234">
        <f t="shared" si="345"/>
        <v>1169.7501346454701</v>
      </c>
      <c r="IB397" s="234">
        <f t="shared" si="346"/>
        <v>1169.7501346454737</v>
      </c>
      <c r="IC397" s="234">
        <f t="shared" si="347"/>
        <v>1169.7501346454737</v>
      </c>
      <c r="ID397" s="234">
        <f t="shared" si="348"/>
        <v>1169.7501346454737</v>
      </c>
      <c r="IE397" s="189">
        <f t="shared" si="349"/>
        <v>1169.7501346454665</v>
      </c>
      <c r="IF397" s="140"/>
      <c r="IG397" s="139"/>
      <c r="IH397" s="140"/>
      <c r="II397" s="140"/>
      <c r="IJ397" s="140"/>
      <c r="IK397" s="140"/>
      <c r="IL397" s="219"/>
      <c r="IM397" s="234">
        <f t="shared" si="350"/>
        <v>0</v>
      </c>
      <c r="IN397" s="234">
        <f t="shared" si="351"/>
        <v>0</v>
      </c>
      <c r="IO397" s="234">
        <f t="shared" si="352"/>
        <v>0</v>
      </c>
      <c r="IP397" s="234">
        <f t="shared" si="353"/>
        <v>0</v>
      </c>
      <c r="IQ397" s="234">
        <f t="shared" si="354"/>
        <v>0</v>
      </c>
      <c r="IR397" s="234">
        <f t="shared" si="355"/>
        <v>0</v>
      </c>
      <c r="IS397" s="234">
        <f t="shared" si="356"/>
        <v>0</v>
      </c>
      <c r="IT397" s="234">
        <f t="shared" si="357"/>
        <v>0</v>
      </c>
      <c r="IU397" s="234">
        <f t="shared" si="358"/>
        <v>0</v>
      </c>
      <c r="IV397" s="234">
        <f t="shared" si="359"/>
        <v>0</v>
      </c>
      <c r="IW397" s="234">
        <f t="shared" si="360"/>
        <v>0</v>
      </c>
      <c r="IX397" s="234">
        <f t="shared" si="361"/>
        <v>0</v>
      </c>
      <c r="IY397" s="234">
        <f t="shared" si="362"/>
        <v>0</v>
      </c>
      <c r="IZ397" s="234">
        <f t="shared" si="363"/>
        <v>0</v>
      </c>
      <c r="JA397" s="234">
        <f t="shared" si="364"/>
        <v>0</v>
      </c>
      <c r="JB397" s="234">
        <f t="shared" si="365"/>
        <v>0</v>
      </c>
      <c r="JC397" s="234">
        <f t="shared" si="366"/>
        <v>0</v>
      </c>
      <c r="JD397" s="234">
        <f t="shared" si="367"/>
        <v>0</v>
      </c>
      <c r="JE397" s="234">
        <f t="shared" si="368"/>
        <v>0</v>
      </c>
      <c r="JF397" s="234">
        <f t="shared" si="369"/>
        <v>0</v>
      </c>
      <c r="JG397" s="234">
        <f t="shared" si="370"/>
        <v>0</v>
      </c>
      <c r="JH397" s="234">
        <f t="shared" si="371"/>
        <v>0</v>
      </c>
      <c r="JI397" s="234">
        <f t="shared" si="372"/>
        <v>0</v>
      </c>
      <c r="JJ397" s="234">
        <f t="shared" si="373"/>
        <v>0</v>
      </c>
      <c r="JK397" s="234">
        <f t="shared" si="374"/>
        <v>0</v>
      </c>
      <c r="JL397" s="234">
        <f t="shared" si="375"/>
        <v>0</v>
      </c>
      <c r="JM397" s="234">
        <f t="shared" si="376"/>
        <v>0</v>
      </c>
      <c r="JN397" s="234">
        <f t="shared" si="377"/>
        <v>0</v>
      </c>
      <c r="JO397" s="234">
        <f t="shared" si="378"/>
        <v>0</v>
      </c>
      <c r="JP397" s="189">
        <f t="shared" si="379"/>
        <v>0</v>
      </c>
      <c r="JQ397" s="140"/>
      <c r="JR397" s="139"/>
      <c r="JS397" s="140"/>
      <c r="JT397" s="140"/>
      <c r="JU397" s="140"/>
      <c r="JV397" s="140"/>
      <c r="JW397" s="219"/>
      <c r="JX397" s="234">
        <f t="shared" si="380"/>
        <v>0</v>
      </c>
      <c r="JY397" s="234">
        <f t="shared" si="381"/>
        <v>0</v>
      </c>
      <c r="JZ397" s="234">
        <f t="shared" si="382"/>
        <v>0</v>
      </c>
      <c r="KA397" s="234">
        <f t="shared" si="383"/>
        <v>0</v>
      </c>
      <c r="KB397" s="234">
        <f t="shared" si="384"/>
        <v>0</v>
      </c>
      <c r="KC397" s="234">
        <f t="shared" si="385"/>
        <v>0</v>
      </c>
      <c r="KD397" s="234">
        <f t="shared" si="386"/>
        <v>0</v>
      </c>
      <c r="KE397" s="234">
        <f t="shared" si="387"/>
        <v>0</v>
      </c>
      <c r="KF397" s="234">
        <f t="shared" si="388"/>
        <v>0</v>
      </c>
      <c r="KG397" s="234">
        <f t="shared" si="389"/>
        <v>0</v>
      </c>
      <c r="KH397" s="234">
        <f t="shared" si="390"/>
        <v>0</v>
      </c>
      <c r="KI397" s="234">
        <f t="shared" si="391"/>
        <v>0</v>
      </c>
      <c r="KJ397" s="234">
        <f t="shared" si="392"/>
        <v>0</v>
      </c>
      <c r="KK397" s="234">
        <f t="shared" si="393"/>
        <v>0</v>
      </c>
      <c r="KL397" s="234">
        <f t="shared" si="394"/>
        <v>0</v>
      </c>
      <c r="KM397" s="234">
        <f t="shared" si="395"/>
        <v>0</v>
      </c>
      <c r="KN397" s="234">
        <f t="shared" si="396"/>
        <v>0</v>
      </c>
      <c r="KO397" s="234">
        <f t="shared" si="397"/>
        <v>0</v>
      </c>
      <c r="KP397" s="234">
        <f t="shared" si="398"/>
        <v>0</v>
      </c>
      <c r="KQ397" s="234">
        <f t="shared" si="399"/>
        <v>0</v>
      </c>
      <c r="KR397" s="234">
        <f t="shared" si="400"/>
        <v>0</v>
      </c>
      <c r="KS397" s="234">
        <f t="shared" si="401"/>
        <v>0</v>
      </c>
      <c r="KT397" s="234">
        <f t="shared" si="402"/>
        <v>0</v>
      </c>
      <c r="KU397" s="234">
        <f t="shared" si="403"/>
        <v>0</v>
      </c>
      <c r="KV397" s="234">
        <f t="shared" si="404"/>
        <v>0</v>
      </c>
      <c r="KW397" s="234">
        <f t="shared" si="405"/>
        <v>0</v>
      </c>
      <c r="KX397" s="234">
        <f t="shared" si="406"/>
        <v>0</v>
      </c>
      <c r="KY397" s="234">
        <f t="shared" si="407"/>
        <v>0</v>
      </c>
      <c r="KZ397" s="234">
        <f t="shared" si="408"/>
        <v>0</v>
      </c>
      <c r="LA397" s="189">
        <f t="shared" si="409"/>
        <v>0</v>
      </c>
      <c r="LB397" s="140"/>
      <c r="LC397" s="139"/>
      <c r="LD397" s="140"/>
      <c r="LE397" s="140"/>
      <c r="LF397" s="140"/>
      <c r="LG397" s="140"/>
      <c r="LH397" s="219"/>
      <c r="LI397" s="234">
        <f t="shared" si="410"/>
        <v>0</v>
      </c>
      <c r="LJ397" s="234">
        <f t="shared" si="411"/>
        <v>0</v>
      </c>
      <c r="LK397" s="234">
        <f t="shared" si="412"/>
        <v>0</v>
      </c>
      <c r="LL397" s="234">
        <f t="shared" si="413"/>
        <v>0</v>
      </c>
      <c r="LM397" s="234">
        <f t="shared" si="414"/>
        <v>0</v>
      </c>
      <c r="LN397" s="234">
        <f t="shared" si="415"/>
        <v>0</v>
      </c>
      <c r="LO397" s="234">
        <f t="shared" si="416"/>
        <v>0</v>
      </c>
      <c r="LP397" s="234">
        <f t="shared" si="417"/>
        <v>0</v>
      </c>
      <c r="LQ397" s="234">
        <f t="shared" si="418"/>
        <v>0</v>
      </c>
      <c r="LR397" s="234">
        <f t="shared" si="419"/>
        <v>0</v>
      </c>
      <c r="LS397" s="234">
        <f t="shared" si="420"/>
        <v>0</v>
      </c>
      <c r="LT397" s="234">
        <f t="shared" si="421"/>
        <v>0</v>
      </c>
      <c r="LU397" s="234">
        <f t="shared" si="422"/>
        <v>0</v>
      </c>
      <c r="LV397" s="234">
        <f t="shared" si="423"/>
        <v>0</v>
      </c>
      <c r="LW397" s="234">
        <f t="shared" si="424"/>
        <v>0</v>
      </c>
      <c r="LX397" s="234">
        <f t="shared" si="425"/>
        <v>0</v>
      </c>
      <c r="LY397" s="234">
        <f t="shared" si="426"/>
        <v>0</v>
      </c>
      <c r="LZ397" s="234">
        <f t="shared" si="427"/>
        <v>0</v>
      </c>
      <c r="MA397" s="234">
        <f t="shared" si="428"/>
        <v>0</v>
      </c>
      <c r="MB397" s="234">
        <f t="shared" si="429"/>
        <v>0</v>
      </c>
      <c r="MC397" s="234">
        <f t="shared" si="430"/>
        <v>0</v>
      </c>
      <c r="MD397" s="234">
        <f t="shared" si="431"/>
        <v>0</v>
      </c>
      <c r="ME397" s="234">
        <f t="shared" si="432"/>
        <v>0</v>
      </c>
      <c r="MF397" s="234">
        <f t="shared" si="433"/>
        <v>0</v>
      </c>
      <c r="MG397" s="234">
        <f t="shared" si="434"/>
        <v>0</v>
      </c>
      <c r="MH397" s="234">
        <f t="shared" si="435"/>
        <v>0</v>
      </c>
      <c r="MI397" s="234">
        <f t="shared" si="436"/>
        <v>0</v>
      </c>
      <c r="MJ397" s="234">
        <f t="shared" si="437"/>
        <v>0</v>
      </c>
      <c r="MK397" s="234">
        <f t="shared" si="438"/>
        <v>0</v>
      </c>
      <c r="ML397" s="189">
        <f t="shared" si="439"/>
        <v>0</v>
      </c>
    </row>
    <row r="398" spans="3:350" s="4" customFormat="1" ht="18" customHeight="1" x14ac:dyDescent="0.3">
      <c r="C398" s="136" t="s">
        <v>78</v>
      </c>
      <c r="E398" s="137" t="s">
        <v>105</v>
      </c>
      <c r="F398" s="138" t="s">
        <v>105</v>
      </c>
      <c r="H398" s="139"/>
      <c r="I398" s="140"/>
      <c r="J398" s="140"/>
      <c r="K398" s="140"/>
      <c r="L398" s="140"/>
      <c r="M398" s="141"/>
      <c r="N398" s="140"/>
      <c r="O398" s="140"/>
      <c r="P398" s="140"/>
      <c r="Q398" s="140"/>
      <c r="R398" s="140"/>
      <c r="S398" s="139"/>
      <c r="T398" s="140"/>
      <c r="U398" s="140"/>
      <c r="V398" s="140"/>
      <c r="W398" s="140"/>
      <c r="X398" s="140"/>
      <c r="Y398" s="140"/>
      <c r="Z398" s="140"/>
      <c r="AA398" s="140"/>
      <c r="AB398" s="140"/>
      <c r="AC398" s="140"/>
      <c r="AD398" s="140"/>
      <c r="AE398" s="140"/>
      <c r="AF398" s="140"/>
      <c r="AG398" s="140"/>
      <c r="AH398" s="140"/>
      <c r="AI398" s="140"/>
      <c r="AJ398" s="140"/>
      <c r="AK398" s="140"/>
      <c r="AL398" s="140"/>
      <c r="AM398" s="140"/>
      <c r="AN398" s="140"/>
      <c r="AO398" s="140"/>
      <c r="AP398" s="140"/>
      <c r="AQ398" s="140"/>
      <c r="AR398" s="140"/>
      <c r="AS398" s="140"/>
      <c r="AT398" s="140"/>
      <c r="AU398" s="140"/>
      <c r="AV398" s="140"/>
      <c r="AW398" s="140"/>
      <c r="AX398" s="140"/>
      <c r="AY398" s="140"/>
      <c r="AZ398" s="140"/>
      <c r="BA398" s="140"/>
      <c r="BB398" s="141"/>
      <c r="BC398" s="140"/>
      <c r="BD398" s="139"/>
      <c r="BE398" s="140"/>
      <c r="BF398" s="140"/>
      <c r="BG398" s="140"/>
      <c r="BH398" s="140"/>
      <c r="BI398" s="219"/>
      <c r="BJ398" s="234">
        <f t="shared" si="200"/>
        <v>2123.6606060606064</v>
      </c>
      <c r="BK398" s="234">
        <f t="shared" si="201"/>
        <v>2123.6606060606064</v>
      </c>
      <c r="BL398" s="234">
        <f t="shared" si="202"/>
        <v>2123.6606060606064</v>
      </c>
      <c r="BM398" s="234">
        <f t="shared" si="203"/>
        <v>2123.6606060606064</v>
      </c>
      <c r="BN398" s="234">
        <f t="shared" si="204"/>
        <v>2123.6606060606082</v>
      </c>
      <c r="BO398" s="234">
        <f t="shared" si="205"/>
        <v>2123.6606060606046</v>
      </c>
      <c r="BP398" s="234">
        <f t="shared" si="206"/>
        <v>2123.6606060606082</v>
      </c>
      <c r="BQ398" s="234">
        <f t="shared" si="207"/>
        <v>2123.6606060606046</v>
      </c>
      <c r="BR398" s="234">
        <f t="shared" si="208"/>
        <v>2123.6606060606064</v>
      </c>
      <c r="BS398" s="234">
        <f t="shared" si="209"/>
        <v>2123.66060606061</v>
      </c>
      <c r="BT398" s="234">
        <f t="shared" si="210"/>
        <v>2123.6606060606027</v>
      </c>
      <c r="BU398" s="234">
        <f t="shared" si="211"/>
        <v>2123.6606060606064</v>
      </c>
      <c r="BV398" s="234">
        <f t="shared" si="212"/>
        <v>2123.6606060606064</v>
      </c>
      <c r="BW398" s="234">
        <f t="shared" si="213"/>
        <v>2123.66060606061</v>
      </c>
      <c r="BX398" s="234">
        <f t="shared" si="214"/>
        <v>2123.6606060606027</v>
      </c>
      <c r="BY398" s="234">
        <f t="shared" si="215"/>
        <v>2123.6606060606064</v>
      </c>
      <c r="BZ398" s="234">
        <f t="shared" si="216"/>
        <v>2123.6606060606064</v>
      </c>
      <c r="CA398" s="234">
        <f t="shared" si="217"/>
        <v>2123.6606060606064</v>
      </c>
      <c r="CB398" s="234">
        <f t="shared" si="218"/>
        <v>2123.6606060606064</v>
      </c>
      <c r="CC398" s="234">
        <f t="shared" si="219"/>
        <v>2123.6606060606136</v>
      </c>
      <c r="CD398" s="234">
        <f t="shared" si="220"/>
        <v>2123.6606060605991</v>
      </c>
      <c r="CE398" s="234">
        <f t="shared" si="221"/>
        <v>2123.6606060606064</v>
      </c>
      <c r="CF398" s="234">
        <f t="shared" si="222"/>
        <v>2123.6606060606136</v>
      </c>
      <c r="CG398" s="234">
        <f t="shared" si="223"/>
        <v>2123.6606060605991</v>
      </c>
      <c r="CH398" s="234">
        <f t="shared" si="224"/>
        <v>2123.6606060606064</v>
      </c>
      <c r="CI398" s="234">
        <f t="shared" si="225"/>
        <v>2123.6606060606064</v>
      </c>
      <c r="CJ398" s="234">
        <f t="shared" si="226"/>
        <v>2123.6606060606136</v>
      </c>
      <c r="CK398" s="234">
        <f t="shared" si="227"/>
        <v>2123.6606060606064</v>
      </c>
      <c r="CL398" s="234">
        <f t="shared" si="228"/>
        <v>2123.6606060605918</v>
      </c>
      <c r="CM398" s="189">
        <f t="shared" si="229"/>
        <v>2123.6606060606136</v>
      </c>
      <c r="CN398" s="140"/>
      <c r="CO398" s="139"/>
      <c r="CP398" s="140"/>
      <c r="CQ398" s="140"/>
      <c r="CR398" s="140"/>
      <c r="CS398" s="140"/>
      <c r="CT398" s="219"/>
      <c r="CU398" s="234">
        <f t="shared" si="230"/>
        <v>3765.57</v>
      </c>
      <c r="CV398" s="234">
        <f t="shared" si="231"/>
        <v>3765.57</v>
      </c>
      <c r="CW398" s="234">
        <f t="shared" si="232"/>
        <v>3765.5699999999988</v>
      </c>
      <c r="CX398" s="234">
        <f t="shared" si="233"/>
        <v>3765.5700000000015</v>
      </c>
      <c r="CY398" s="234">
        <f t="shared" si="234"/>
        <v>3765.5699999999979</v>
      </c>
      <c r="CZ398" s="234">
        <f t="shared" si="235"/>
        <v>3765.5699999999997</v>
      </c>
      <c r="DA398" s="234">
        <f t="shared" si="236"/>
        <v>3765.5700000000033</v>
      </c>
      <c r="DB398" s="234">
        <f t="shared" si="237"/>
        <v>3765.5699999999997</v>
      </c>
      <c r="DC398" s="234">
        <f t="shared" si="238"/>
        <v>3765.5699999999961</v>
      </c>
      <c r="DD398" s="234">
        <f t="shared" si="239"/>
        <v>3765.5699999999997</v>
      </c>
      <c r="DE398" s="234">
        <f t="shared" si="240"/>
        <v>3765.5699999999997</v>
      </c>
      <c r="DF398" s="234">
        <f t="shared" si="241"/>
        <v>3765.5699999999997</v>
      </c>
      <c r="DG398" s="234">
        <f t="shared" si="242"/>
        <v>3765.5699999999997</v>
      </c>
      <c r="DH398" s="234">
        <f t="shared" si="243"/>
        <v>3765.570000000007</v>
      </c>
      <c r="DI398" s="234">
        <f t="shared" si="244"/>
        <v>3765.5699999999997</v>
      </c>
      <c r="DJ398" s="234">
        <f t="shared" si="245"/>
        <v>3765.5699999999997</v>
      </c>
      <c r="DK398" s="234">
        <f t="shared" si="246"/>
        <v>3765.5699999999997</v>
      </c>
      <c r="DL398" s="234">
        <f t="shared" si="247"/>
        <v>3765.5699999999924</v>
      </c>
      <c r="DM398" s="234">
        <f t="shared" si="248"/>
        <v>3765.570000000007</v>
      </c>
      <c r="DN398" s="234">
        <f t="shared" si="249"/>
        <v>3765.5699999999924</v>
      </c>
      <c r="DO398" s="234">
        <f t="shared" si="250"/>
        <v>3765.570000000007</v>
      </c>
      <c r="DP398" s="234">
        <f t="shared" si="251"/>
        <v>3765.5699999999924</v>
      </c>
      <c r="DQ398" s="234">
        <f t="shared" si="252"/>
        <v>3765.570000000007</v>
      </c>
      <c r="DR398" s="234">
        <f t="shared" si="253"/>
        <v>3765.5699999999924</v>
      </c>
      <c r="DS398" s="234">
        <f t="shared" si="254"/>
        <v>3765.5700000000215</v>
      </c>
      <c r="DT398" s="234">
        <f t="shared" si="255"/>
        <v>3765.5699999999779</v>
      </c>
      <c r="DU398" s="234">
        <f t="shared" si="256"/>
        <v>3765.5699999999924</v>
      </c>
      <c r="DV398" s="234">
        <f t="shared" si="257"/>
        <v>3765.5700000000215</v>
      </c>
      <c r="DW398" s="234">
        <f t="shared" si="258"/>
        <v>3765.570000000007</v>
      </c>
      <c r="DX398" s="189">
        <f t="shared" si="259"/>
        <v>3765.5699999999924</v>
      </c>
      <c r="DY398" s="140"/>
      <c r="DZ398" s="139"/>
      <c r="EA398" s="140"/>
      <c r="EB398" s="140"/>
      <c r="EC398" s="140"/>
      <c r="ED398" s="140"/>
      <c r="EE398" s="219"/>
      <c r="EF398" s="234">
        <f t="shared" si="260"/>
        <v>3158.22</v>
      </c>
      <c r="EG398" s="234">
        <f t="shared" si="261"/>
        <v>3158.22</v>
      </c>
      <c r="EH398" s="234">
        <f t="shared" si="262"/>
        <v>3158.2200000000021</v>
      </c>
      <c r="EI398" s="234">
        <f t="shared" si="263"/>
        <v>3158.2199999999975</v>
      </c>
      <c r="EJ398" s="234">
        <f t="shared" si="264"/>
        <v>3158.2200000000012</v>
      </c>
      <c r="EK398" s="234">
        <f t="shared" si="265"/>
        <v>3158.220000000003</v>
      </c>
      <c r="EL398" s="234">
        <f t="shared" si="266"/>
        <v>3158.2199999999975</v>
      </c>
      <c r="EM398" s="234">
        <f t="shared" si="267"/>
        <v>3158.2199999999975</v>
      </c>
      <c r="EN398" s="234">
        <f t="shared" si="268"/>
        <v>3158.2200000000012</v>
      </c>
      <c r="EO398" s="234">
        <f t="shared" si="269"/>
        <v>3158.2200000000012</v>
      </c>
      <c r="EP398" s="234">
        <f t="shared" si="270"/>
        <v>3158.2200000000048</v>
      </c>
      <c r="EQ398" s="234">
        <f t="shared" si="271"/>
        <v>3158.2200000000012</v>
      </c>
      <c r="ER398" s="234">
        <f t="shared" si="272"/>
        <v>3158.2199999999939</v>
      </c>
      <c r="ES398" s="234">
        <f t="shared" si="273"/>
        <v>3158.2200000000012</v>
      </c>
      <c r="ET398" s="234">
        <f t="shared" si="274"/>
        <v>3158.2200000000012</v>
      </c>
      <c r="EU398" s="234">
        <f t="shared" si="275"/>
        <v>3158.2199999999939</v>
      </c>
      <c r="EV398" s="234">
        <f t="shared" si="276"/>
        <v>3158.2200000000084</v>
      </c>
      <c r="EW398" s="234">
        <f t="shared" si="277"/>
        <v>3158.2199999999939</v>
      </c>
      <c r="EX398" s="234">
        <f t="shared" si="278"/>
        <v>3158.2200000000084</v>
      </c>
      <c r="EY398" s="234">
        <f t="shared" si="279"/>
        <v>3158.2199999999939</v>
      </c>
      <c r="EZ398" s="234">
        <f t="shared" si="280"/>
        <v>3158.2199999999939</v>
      </c>
      <c r="FA398" s="234">
        <f t="shared" si="281"/>
        <v>3158.2200000000157</v>
      </c>
      <c r="FB398" s="234">
        <f t="shared" si="282"/>
        <v>3158.2199999999866</v>
      </c>
      <c r="FC398" s="234">
        <f t="shared" si="283"/>
        <v>3158.2200000000157</v>
      </c>
      <c r="FD398" s="234">
        <f t="shared" si="284"/>
        <v>3158.2199999999866</v>
      </c>
      <c r="FE398" s="234">
        <f t="shared" si="285"/>
        <v>3158.2200000000012</v>
      </c>
      <c r="FF398" s="234">
        <f t="shared" si="286"/>
        <v>3158.2200000000012</v>
      </c>
      <c r="FG398" s="234">
        <f t="shared" si="287"/>
        <v>3158.2200000000012</v>
      </c>
      <c r="FH398" s="234">
        <f t="shared" si="288"/>
        <v>3158.2200000000012</v>
      </c>
      <c r="FI398" s="189">
        <f t="shared" si="289"/>
        <v>3158.2200000000012</v>
      </c>
      <c r="FJ398" s="140"/>
      <c r="FK398" s="139"/>
      <c r="FL398" s="140"/>
      <c r="FM398" s="140"/>
      <c r="FN398" s="140"/>
      <c r="FO398" s="140"/>
      <c r="FP398" s="219"/>
      <c r="FQ398" s="234">
        <f t="shared" si="290"/>
        <v>3450.9484848484854</v>
      </c>
      <c r="FR398" s="234">
        <f t="shared" si="291"/>
        <v>3450.9484848484854</v>
      </c>
      <c r="FS398" s="234">
        <f t="shared" si="292"/>
        <v>3450.9484848484863</v>
      </c>
      <c r="FT398" s="234">
        <f t="shared" si="293"/>
        <v>3450.9484848484844</v>
      </c>
      <c r="FU398" s="234">
        <f t="shared" si="294"/>
        <v>3450.9484848484863</v>
      </c>
      <c r="FV398" s="234">
        <f t="shared" si="295"/>
        <v>3450.9484848484863</v>
      </c>
      <c r="FW398" s="234">
        <f t="shared" si="296"/>
        <v>3450.9484848484863</v>
      </c>
      <c r="FX398" s="234">
        <f t="shared" si="297"/>
        <v>3450.9484848484826</v>
      </c>
      <c r="FY398" s="234">
        <f t="shared" si="298"/>
        <v>3450.9484848484863</v>
      </c>
      <c r="FZ398" s="234">
        <f t="shared" si="299"/>
        <v>3450.9484848484863</v>
      </c>
      <c r="GA398" s="234">
        <f t="shared" si="300"/>
        <v>3450.9484848484863</v>
      </c>
      <c r="GB398" s="234">
        <f t="shared" si="301"/>
        <v>3450.9484848484863</v>
      </c>
      <c r="GC398" s="234">
        <f t="shared" si="302"/>
        <v>3450.948484848479</v>
      </c>
      <c r="GD398" s="234">
        <f t="shared" si="303"/>
        <v>3450.9484848484935</v>
      </c>
      <c r="GE398" s="234">
        <f t="shared" si="304"/>
        <v>3450.9484848484863</v>
      </c>
      <c r="GF398" s="234">
        <f t="shared" si="305"/>
        <v>3450.948484848479</v>
      </c>
      <c r="GG398" s="234">
        <f t="shared" si="306"/>
        <v>3450.9484848484935</v>
      </c>
      <c r="GH398" s="234">
        <f t="shared" si="307"/>
        <v>3450.948484848479</v>
      </c>
      <c r="GI398" s="234">
        <f t="shared" si="308"/>
        <v>3450.9484848484863</v>
      </c>
      <c r="GJ398" s="234">
        <f t="shared" si="309"/>
        <v>3450.9484848484863</v>
      </c>
      <c r="GK398" s="234">
        <f t="shared" si="310"/>
        <v>3450.9484848484863</v>
      </c>
      <c r="GL398" s="234">
        <f t="shared" si="311"/>
        <v>3450.9484848484863</v>
      </c>
      <c r="GM398" s="234">
        <f t="shared" si="312"/>
        <v>3450.9484848484863</v>
      </c>
      <c r="GN398" s="234">
        <f t="shared" si="313"/>
        <v>3450.9484848484863</v>
      </c>
      <c r="GO398" s="234">
        <f t="shared" si="314"/>
        <v>3450.9484848484863</v>
      </c>
      <c r="GP398" s="234">
        <f t="shared" si="315"/>
        <v>3450.9484848484717</v>
      </c>
      <c r="GQ398" s="234">
        <f t="shared" si="316"/>
        <v>3450.9484848485008</v>
      </c>
      <c r="GR398" s="234">
        <f t="shared" si="317"/>
        <v>3450.9484848484863</v>
      </c>
      <c r="GS398" s="234">
        <f t="shared" si="318"/>
        <v>3450.9484848484863</v>
      </c>
      <c r="GT398" s="189">
        <f t="shared" si="319"/>
        <v>3450.9484848484863</v>
      </c>
      <c r="GU398" s="140"/>
      <c r="GV398" s="139"/>
      <c r="GW398" s="140"/>
      <c r="GX398" s="140"/>
      <c r="GY398" s="140"/>
      <c r="GZ398" s="140"/>
      <c r="HA398" s="219"/>
      <c r="HB398" s="234">
        <f t="shared" si="320"/>
        <v>2787.3045454545459</v>
      </c>
      <c r="HC398" s="234">
        <f t="shared" si="321"/>
        <v>2787.3045454545459</v>
      </c>
      <c r="HD398" s="234">
        <f t="shared" si="322"/>
        <v>2787.3045454545472</v>
      </c>
      <c r="HE398" s="234">
        <f t="shared" si="323"/>
        <v>2787.3045454545445</v>
      </c>
      <c r="HF398" s="234">
        <f t="shared" si="324"/>
        <v>2787.3045454545481</v>
      </c>
      <c r="HG398" s="234">
        <f t="shared" si="325"/>
        <v>2787.3045454545463</v>
      </c>
      <c r="HH398" s="234">
        <f t="shared" si="326"/>
        <v>2787.3045454545427</v>
      </c>
      <c r="HI398" s="234">
        <f t="shared" si="327"/>
        <v>2787.3045454545463</v>
      </c>
      <c r="HJ398" s="234">
        <f t="shared" si="328"/>
        <v>2787.3045454545463</v>
      </c>
      <c r="HK398" s="234">
        <f t="shared" si="329"/>
        <v>2787.30454545455</v>
      </c>
      <c r="HL398" s="234">
        <f t="shared" si="330"/>
        <v>2787.3045454545427</v>
      </c>
      <c r="HM398" s="234">
        <f t="shared" si="331"/>
        <v>2787.30454545455</v>
      </c>
      <c r="HN398" s="234">
        <f t="shared" si="332"/>
        <v>2787.3045454545427</v>
      </c>
      <c r="HO398" s="234">
        <f t="shared" si="333"/>
        <v>2787.3045454545427</v>
      </c>
      <c r="HP398" s="234">
        <f t="shared" si="334"/>
        <v>2787.30454545455</v>
      </c>
      <c r="HQ398" s="234">
        <f t="shared" si="335"/>
        <v>2787.3045454545427</v>
      </c>
      <c r="HR398" s="234">
        <f t="shared" si="336"/>
        <v>2787.3045454545427</v>
      </c>
      <c r="HS398" s="234">
        <f t="shared" si="337"/>
        <v>2787.30454545455</v>
      </c>
      <c r="HT398" s="234">
        <f t="shared" si="338"/>
        <v>2787.3045454545354</v>
      </c>
      <c r="HU398" s="234">
        <f t="shared" si="339"/>
        <v>2787.3045454545645</v>
      </c>
      <c r="HV398" s="234">
        <f t="shared" si="340"/>
        <v>2787.3045454545354</v>
      </c>
      <c r="HW398" s="234">
        <f t="shared" si="341"/>
        <v>2787.30454545455</v>
      </c>
      <c r="HX398" s="234">
        <f t="shared" si="342"/>
        <v>2787.30454545455</v>
      </c>
      <c r="HY398" s="234">
        <f t="shared" si="343"/>
        <v>2787.30454545455</v>
      </c>
      <c r="HZ398" s="234">
        <f t="shared" si="344"/>
        <v>2787.3045454545354</v>
      </c>
      <c r="IA398" s="234">
        <f t="shared" si="345"/>
        <v>2787.30454545455</v>
      </c>
      <c r="IB398" s="234">
        <f t="shared" si="346"/>
        <v>2787.30454545455</v>
      </c>
      <c r="IC398" s="234">
        <f t="shared" si="347"/>
        <v>2787.3045454545354</v>
      </c>
      <c r="ID398" s="234">
        <f t="shared" si="348"/>
        <v>2787.30454545455</v>
      </c>
      <c r="IE398" s="189">
        <f t="shared" si="349"/>
        <v>2787.30454545455</v>
      </c>
      <c r="IF398" s="140"/>
      <c r="IG398" s="139"/>
      <c r="IH398" s="140"/>
      <c r="II398" s="140"/>
      <c r="IJ398" s="140"/>
      <c r="IK398" s="140"/>
      <c r="IL398" s="219"/>
      <c r="IM398" s="234">
        <f t="shared" si="350"/>
        <v>0</v>
      </c>
      <c r="IN398" s="234">
        <f t="shared" si="351"/>
        <v>0</v>
      </c>
      <c r="IO398" s="234">
        <f t="shared" si="352"/>
        <v>0</v>
      </c>
      <c r="IP398" s="234">
        <f t="shared" si="353"/>
        <v>0</v>
      </c>
      <c r="IQ398" s="234">
        <f t="shared" si="354"/>
        <v>0</v>
      </c>
      <c r="IR398" s="234">
        <f t="shared" si="355"/>
        <v>0</v>
      </c>
      <c r="IS398" s="234">
        <f t="shared" si="356"/>
        <v>0</v>
      </c>
      <c r="IT398" s="234">
        <f t="shared" si="357"/>
        <v>0</v>
      </c>
      <c r="IU398" s="234">
        <f t="shared" si="358"/>
        <v>0</v>
      </c>
      <c r="IV398" s="234">
        <f t="shared" si="359"/>
        <v>0</v>
      </c>
      <c r="IW398" s="234">
        <f t="shared" si="360"/>
        <v>0</v>
      </c>
      <c r="IX398" s="234">
        <f t="shared" si="361"/>
        <v>0</v>
      </c>
      <c r="IY398" s="234">
        <f t="shared" si="362"/>
        <v>0</v>
      </c>
      <c r="IZ398" s="234">
        <f t="shared" si="363"/>
        <v>0</v>
      </c>
      <c r="JA398" s="234">
        <f t="shared" si="364"/>
        <v>0</v>
      </c>
      <c r="JB398" s="234">
        <f t="shared" si="365"/>
        <v>0</v>
      </c>
      <c r="JC398" s="234">
        <f t="shared" si="366"/>
        <v>0</v>
      </c>
      <c r="JD398" s="234">
        <f t="shared" si="367"/>
        <v>0</v>
      </c>
      <c r="JE398" s="234">
        <f t="shared" si="368"/>
        <v>0</v>
      </c>
      <c r="JF398" s="234">
        <f t="shared" si="369"/>
        <v>0</v>
      </c>
      <c r="JG398" s="234">
        <f t="shared" si="370"/>
        <v>0</v>
      </c>
      <c r="JH398" s="234">
        <f t="shared" si="371"/>
        <v>0</v>
      </c>
      <c r="JI398" s="234">
        <f t="shared" si="372"/>
        <v>0</v>
      </c>
      <c r="JJ398" s="234">
        <f t="shared" si="373"/>
        <v>0</v>
      </c>
      <c r="JK398" s="234">
        <f t="shared" si="374"/>
        <v>0</v>
      </c>
      <c r="JL398" s="234">
        <f t="shared" si="375"/>
        <v>0</v>
      </c>
      <c r="JM398" s="234">
        <f t="shared" si="376"/>
        <v>0</v>
      </c>
      <c r="JN398" s="234">
        <f t="shared" si="377"/>
        <v>0</v>
      </c>
      <c r="JO398" s="234">
        <f t="shared" si="378"/>
        <v>0</v>
      </c>
      <c r="JP398" s="189">
        <f t="shared" si="379"/>
        <v>0</v>
      </c>
      <c r="JQ398" s="140"/>
      <c r="JR398" s="139"/>
      <c r="JS398" s="140"/>
      <c r="JT398" s="140"/>
      <c r="JU398" s="140"/>
      <c r="JV398" s="140"/>
      <c r="JW398" s="219"/>
      <c r="JX398" s="234">
        <f t="shared" si="380"/>
        <v>0</v>
      </c>
      <c r="JY398" s="234">
        <f t="shared" si="381"/>
        <v>0</v>
      </c>
      <c r="JZ398" s="234">
        <f t="shared" si="382"/>
        <v>0</v>
      </c>
      <c r="KA398" s="234">
        <f t="shared" si="383"/>
        <v>0</v>
      </c>
      <c r="KB398" s="234">
        <f t="shared" si="384"/>
        <v>0</v>
      </c>
      <c r="KC398" s="234">
        <f t="shared" si="385"/>
        <v>0</v>
      </c>
      <c r="KD398" s="234">
        <f t="shared" si="386"/>
        <v>0</v>
      </c>
      <c r="KE398" s="234">
        <f t="shared" si="387"/>
        <v>0</v>
      </c>
      <c r="KF398" s="234">
        <f t="shared" si="388"/>
        <v>0</v>
      </c>
      <c r="KG398" s="234">
        <f t="shared" si="389"/>
        <v>0</v>
      </c>
      <c r="KH398" s="234">
        <f t="shared" si="390"/>
        <v>0</v>
      </c>
      <c r="KI398" s="234">
        <f t="shared" si="391"/>
        <v>0</v>
      </c>
      <c r="KJ398" s="234">
        <f t="shared" si="392"/>
        <v>0</v>
      </c>
      <c r="KK398" s="234">
        <f t="shared" si="393"/>
        <v>0</v>
      </c>
      <c r="KL398" s="234">
        <f t="shared" si="394"/>
        <v>0</v>
      </c>
      <c r="KM398" s="234">
        <f t="shared" si="395"/>
        <v>0</v>
      </c>
      <c r="KN398" s="234">
        <f t="shared" si="396"/>
        <v>0</v>
      </c>
      <c r="KO398" s="234">
        <f t="shared" si="397"/>
        <v>0</v>
      </c>
      <c r="KP398" s="234">
        <f t="shared" si="398"/>
        <v>0</v>
      </c>
      <c r="KQ398" s="234">
        <f t="shared" si="399"/>
        <v>0</v>
      </c>
      <c r="KR398" s="234">
        <f t="shared" si="400"/>
        <v>0</v>
      </c>
      <c r="KS398" s="234">
        <f t="shared" si="401"/>
        <v>0</v>
      </c>
      <c r="KT398" s="234">
        <f t="shared" si="402"/>
        <v>0</v>
      </c>
      <c r="KU398" s="234">
        <f t="shared" si="403"/>
        <v>0</v>
      </c>
      <c r="KV398" s="234">
        <f t="shared" si="404"/>
        <v>0</v>
      </c>
      <c r="KW398" s="234">
        <f t="shared" si="405"/>
        <v>0</v>
      </c>
      <c r="KX398" s="234">
        <f t="shared" si="406"/>
        <v>0</v>
      </c>
      <c r="KY398" s="234">
        <f t="shared" si="407"/>
        <v>0</v>
      </c>
      <c r="KZ398" s="234">
        <f t="shared" si="408"/>
        <v>0</v>
      </c>
      <c r="LA398" s="189">
        <f t="shared" si="409"/>
        <v>0</v>
      </c>
      <c r="LB398" s="140"/>
      <c r="LC398" s="139"/>
      <c r="LD398" s="140"/>
      <c r="LE398" s="140"/>
      <c r="LF398" s="140"/>
      <c r="LG398" s="140"/>
      <c r="LH398" s="219"/>
      <c r="LI398" s="234">
        <f t="shared" si="410"/>
        <v>0</v>
      </c>
      <c r="LJ398" s="234">
        <f t="shared" si="411"/>
        <v>0</v>
      </c>
      <c r="LK398" s="234">
        <f t="shared" si="412"/>
        <v>0</v>
      </c>
      <c r="LL398" s="234">
        <f t="shared" si="413"/>
        <v>0</v>
      </c>
      <c r="LM398" s="234">
        <f t="shared" si="414"/>
        <v>0</v>
      </c>
      <c r="LN398" s="234">
        <f t="shared" si="415"/>
        <v>0</v>
      </c>
      <c r="LO398" s="234">
        <f t="shared" si="416"/>
        <v>0</v>
      </c>
      <c r="LP398" s="234">
        <f t="shared" si="417"/>
        <v>0</v>
      </c>
      <c r="LQ398" s="234">
        <f t="shared" si="418"/>
        <v>0</v>
      </c>
      <c r="LR398" s="234">
        <f t="shared" si="419"/>
        <v>0</v>
      </c>
      <c r="LS398" s="234">
        <f t="shared" si="420"/>
        <v>0</v>
      </c>
      <c r="LT398" s="234">
        <f t="shared" si="421"/>
        <v>0</v>
      </c>
      <c r="LU398" s="234">
        <f t="shared" si="422"/>
        <v>0</v>
      </c>
      <c r="LV398" s="234">
        <f t="shared" si="423"/>
        <v>0</v>
      </c>
      <c r="LW398" s="234">
        <f t="shared" si="424"/>
        <v>0</v>
      </c>
      <c r="LX398" s="234">
        <f t="shared" si="425"/>
        <v>0</v>
      </c>
      <c r="LY398" s="234">
        <f t="shared" si="426"/>
        <v>0</v>
      </c>
      <c r="LZ398" s="234">
        <f t="shared" si="427"/>
        <v>0</v>
      </c>
      <c r="MA398" s="234">
        <f t="shared" si="428"/>
        <v>0</v>
      </c>
      <c r="MB398" s="234">
        <f t="shared" si="429"/>
        <v>0</v>
      </c>
      <c r="MC398" s="234">
        <f t="shared" si="430"/>
        <v>0</v>
      </c>
      <c r="MD398" s="234">
        <f t="shared" si="431"/>
        <v>0</v>
      </c>
      <c r="ME398" s="234">
        <f t="shared" si="432"/>
        <v>0</v>
      </c>
      <c r="MF398" s="234">
        <f t="shared" si="433"/>
        <v>0</v>
      </c>
      <c r="MG398" s="234">
        <f t="shared" si="434"/>
        <v>0</v>
      </c>
      <c r="MH398" s="234">
        <f t="shared" si="435"/>
        <v>0</v>
      </c>
      <c r="MI398" s="234">
        <f t="shared" si="436"/>
        <v>0</v>
      </c>
      <c r="MJ398" s="234">
        <f t="shared" si="437"/>
        <v>0</v>
      </c>
      <c r="MK398" s="234">
        <f t="shared" si="438"/>
        <v>0</v>
      </c>
      <c r="ML398" s="189">
        <f t="shared" si="439"/>
        <v>0</v>
      </c>
    </row>
    <row r="399" spans="3:350" s="4" customFormat="1" ht="18" customHeight="1" x14ac:dyDescent="0.3">
      <c r="C399" s="136" t="s">
        <v>79</v>
      </c>
      <c r="E399" s="137" t="s">
        <v>105</v>
      </c>
      <c r="F399" s="138" t="s">
        <v>105</v>
      </c>
      <c r="H399" s="139"/>
      <c r="I399" s="140"/>
      <c r="J399" s="140"/>
      <c r="K399" s="140"/>
      <c r="L399" s="140"/>
      <c r="M399" s="141"/>
      <c r="N399" s="140"/>
      <c r="O399" s="140"/>
      <c r="P399" s="140"/>
      <c r="Q399" s="140"/>
      <c r="R399" s="140"/>
      <c r="S399" s="139"/>
      <c r="T399" s="140"/>
      <c r="U399" s="140"/>
      <c r="V399" s="140"/>
      <c r="W399" s="140"/>
      <c r="X399" s="140"/>
      <c r="Y399" s="140"/>
      <c r="Z399" s="140"/>
      <c r="AA399" s="140"/>
      <c r="AB399" s="140"/>
      <c r="AC399" s="140"/>
      <c r="AD399" s="140"/>
      <c r="AE399" s="140"/>
      <c r="AF399" s="140"/>
      <c r="AG399" s="140"/>
      <c r="AH399" s="140"/>
      <c r="AI399" s="140"/>
      <c r="AJ399" s="140"/>
      <c r="AK399" s="140"/>
      <c r="AL399" s="140"/>
      <c r="AM399" s="140"/>
      <c r="AN399" s="140"/>
      <c r="AO399" s="140"/>
      <c r="AP399" s="140"/>
      <c r="AQ399" s="140"/>
      <c r="AR399" s="140"/>
      <c r="AS399" s="140"/>
      <c r="AT399" s="140"/>
      <c r="AU399" s="140"/>
      <c r="AV399" s="140"/>
      <c r="AW399" s="140"/>
      <c r="AX399" s="140"/>
      <c r="AY399" s="140"/>
      <c r="AZ399" s="140"/>
      <c r="BA399" s="140"/>
      <c r="BB399" s="141"/>
      <c r="BC399" s="140"/>
      <c r="BD399" s="139"/>
      <c r="BE399" s="140"/>
      <c r="BF399" s="140"/>
      <c r="BG399" s="140"/>
      <c r="BH399" s="140"/>
      <c r="BI399" s="219"/>
      <c r="BJ399" s="234">
        <f t="shared" si="200"/>
        <v>4133.5154545454552</v>
      </c>
      <c r="BK399" s="234">
        <f t="shared" si="201"/>
        <v>4133.5154545454552</v>
      </c>
      <c r="BL399" s="234">
        <f t="shared" si="202"/>
        <v>4133.5154545454552</v>
      </c>
      <c r="BM399" s="234">
        <f t="shared" si="203"/>
        <v>4133.5154545454552</v>
      </c>
      <c r="BN399" s="234">
        <f t="shared" si="204"/>
        <v>4133.5154545454534</v>
      </c>
      <c r="BO399" s="234">
        <f t="shared" si="205"/>
        <v>4133.515454545457</v>
      </c>
      <c r="BP399" s="234">
        <f t="shared" si="206"/>
        <v>4133.5154545454534</v>
      </c>
      <c r="BQ399" s="234">
        <f t="shared" si="207"/>
        <v>4133.515454545457</v>
      </c>
      <c r="BR399" s="234">
        <f t="shared" si="208"/>
        <v>4133.515454545457</v>
      </c>
      <c r="BS399" s="234">
        <f t="shared" si="209"/>
        <v>4133.5154545454498</v>
      </c>
      <c r="BT399" s="234">
        <f t="shared" si="210"/>
        <v>4133.515454545457</v>
      </c>
      <c r="BU399" s="234">
        <f t="shared" si="211"/>
        <v>4133.515454545457</v>
      </c>
      <c r="BV399" s="234">
        <f t="shared" si="212"/>
        <v>4133.515454545457</v>
      </c>
      <c r="BW399" s="234">
        <f t="shared" si="213"/>
        <v>4133.5154545454498</v>
      </c>
      <c r="BX399" s="234">
        <f t="shared" si="214"/>
        <v>4133.515454545457</v>
      </c>
      <c r="BY399" s="234">
        <f t="shared" si="215"/>
        <v>4133.515454545457</v>
      </c>
      <c r="BZ399" s="234">
        <f t="shared" si="216"/>
        <v>4133.515454545457</v>
      </c>
      <c r="CA399" s="234">
        <f t="shared" si="217"/>
        <v>4133.515454545457</v>
      </c>
      <c r="CB399" s="234">
        <f t="shared" si="218"/>
        <v>4133.5154545454425</v>
      </c>
      <c r="CC399" s="234">
        <f t="shared" si="219"/>
        <v>4133.515454545457</v>
      </c>
      <c r="CD399" s="234">
        <f t="shared" si="220"/>
        <v>4133.515454545457</v>
      </c>
      <c r="CE399" s="234">
        <f t="shared" si="221"/>
        <v>4133.515454545457</v>
      </c>
      <c r="CF399" s="234">
        <f t="shared" si="222"/>
        <v>4133.515454545457</v>
      </c>
      <c r="CG399" s="234">
        <f t="shared" si="223"/>
        <v>4133.515454545457</v>
      </c>
      <c r="CH399" s="234">
        <f t="shared" si="224"/>
        <v>4133.5154545454425</v>
      </c>
      <c r="CI399" s="234">
        <f t="shared" si="225"/>
        <v>4133.5154545454716</v>
      </c>
      <c r="CJ399" s="234">
        <f t="shared" si="226"/>
        <v>4133.515454545457</v>
      </c>
      <c r="CK399" s="234">
        <f t="shared" si="227"/>
        <v>4133.5154545454425</v>
      </c>
      <c r="CL399" s="234">
        <f t="shared" si="228"/>
        <v>4133.5154545454716</v>
      </c>
      <c r="CM399" s="189">
        <f t="shared" si="229"/>
        <v>4133.5154545454425</v>
      </c>
      <c r="CN399" s="140"/>
      <c r="CO399" s="139"/>
      <c r="CP399" s="140"/>
      <c r="CQ399" s="140"/>
      <c r="CR399" s="140"/>
      <c r="CS399" s="140"/>
      <c r="CT399" s="219"/>
      <c r="CU399" s="234">
        <f t="shared" si="230"/>
        <v>3031.808</v>
      </c>
      <c r="CV399" s="234">
        <f t="shared" si="231"/>
        <v>3031.808</v>
      </c>
      <c r="CW399" s="234">
        <f t="shared" si="232"/>
        <v>3031.8080000000009</v>
      </c>
      <c r="CX399" s="234">
        <f t="shared" si="233"/>
        <v>3031.8079999999991</v>
      </c>
      <c r="CY399" s="234">
        <f t="shared" si="234"/>
        <v>3031.8080000000009</v>
      </c>
      <c r="CZ399" s="234">
        <f t="shared" si="235"/>
        <v>3031.8080000000009</v>
      </c>
      <c r="DA399" s="234">
        <f t="shared" si="236"/>
        <v>3031.8079999999973</v>
      </c>
      <c r="DB399" s="234">
        <f t="shared" si="237"/>
        <v>3031.8080000000009</v>
      </c>
      <c r="DC399" s="234">
        <f t="shared" si="238"/>
        <v>3031.8080000000045</v>
      </c>
      <c r="DD399" s="234">
        <f t="shared" si="239"/>
        <v>3031.8079999999973</v>
      </c>
      <c r="DE399" s="234">
        <f t="shared" si="240"/>
        <v>3031.8079999999973</v>
      </c>
      <c r="DF399" s="234">
        <f t="shared" si="241"/>
        <v>3031.8080000000045</v>
      </c>
      <c r="DG399" s="234">
        <f t="shared" si="242"/>
        <v>3031.8079999999973</v>
      </c>
      <c r="DH399" s="234">
        <f t="shared" si="243"/>
        <v>3031.8079999999973</v>
      </c>
      <c r="DI399" s="234">
        <f t="shared" si="244"/>
        <v>3031.8079999999973</v>
      </c>
      <c r="DJ399" s="234">
        <f t="shared" si="245"/>
        <v>3031.8080000000045</v>
      </c>
      <c r="DK399" s="234">
        <f t="shared" si="246"/>
        <v>3031.8080000000045</v>
      </c>
      <c r="DL399" s="234">
        <f t="shared" si="247"/>
        <v>3031.8080000000045</v>
      </c>
      <c r="DM399" s="234">
        <f t="shared" si="248"/>
        <v>3031.80799999999</v>
      </c>
      <c r="DN399" s="234">
        <f t="shared" si="249"/>
        <v>3031.8080000000045</v>
      </c>
      <c r="DO399" s="234">
        <f t="shared" si="250"/>
        <v>3031.8079999999973</v>
      </c>
      <c r="DP399" s="234">
        <f t="shared" si="251"/>
        <v>3031.8079999999973</v>
      </c>
      <c r="DQ399" s="234">
        <f t="shared" si="252"/>
        <v>3031.8080000000045</v>
      </c>
      <c r="DR399" s="234">
        <f t="shared" si="253"/>
        <v>3031.8080000000045</v>
      </c>
      <c r="DS399" s="234">
        <f t="shared" si="254"/>
        <v>3031.80799999999</v>
      </c>
      <c r="DT399" s="234">
        <f t="shared" si="255"/>
        <v>3031.8080000000045</v>
      </c>
      <c r="DU399" s="234">
        <f t="shared" si="256"/>
        <v>3031.8080000000045</v>
      </c>
      <c r="DV399" s="234">
        <f t="shared" si="257"/>
        <v>3031.80799999999</v>
      </c>
      <c r="DW399" s="234">
        <f t="shared" si="258"/>
        <v>3031.8080000000045</v>
      </c>
      <c r="DX399" s="189">
        <f t="shared" si="259"/>
        <v>3031.80799999999</v>
      </c>
      <c r="DY399" s="140"/>
      <c r="DZ399" s="139"/>
      <c r="EA399" s="140"/>
      <c r="EB399" s="140"/>
      <c r="EC399" s="140"/>
      <c r="ED399" s="140"/>
      <c r="EE399" s="219"/>
      <c r="EF399" s="234">
        <f t="shared" si="260"/>
        <v>2684.4133333333334</v>
      </c>
      <c r="EG399" s="234">
        <f t="shared" si="261"/>
        <v>2684.4133333333334</v>
      </c>
      <c r="EH399" s="234">
        <f t="shared" si="262"/>
        <v>2684.413333333332</v>
      </c>
      <c r="EI399" s="234">
        <f t="shared" si="263"/>
        <v>2684.4133333333348</v>
      </c>
      <c r="EJ399" s="234">
        <f t="shared" si="264"/>
        <v>2684.413333333332</v>
      </c>
      <c r="EK399" s="234">
        <f t="shared" si="265"/>
        <v>2684.413333333332</v>
      </c>
      <c r="EL399" s="234">
        <f t="shared" si="266"/>
        <v>2684.4133333333357</v>
      </c>
      <c r="EM399" s="234">
        <f t="shared" si="267"/>
        <v>2684.4133333333339</v>
      </c>
      <c r="EN399" s="234">
        <f t="shared" si="268"/>
        <v>2684.4133333333339</v>
      </c>
      <c r="EO399" s="234">
        <f t="shared" si="269"/>
        <v>2684.4133333333302</v>
      </c>
      <c r="EP399" s="234">
        <f t="shared" si="270"/>
        <v>2684.4133333333339</v>
      </c>
      <c r="EQ399" s="234">
        <f t="shared" si="271"/>
        <v>2684.4133333333302</v>
      </c>
      <c r="ER399" s="234">
        <f t="shared" si="272"/>
        <v>2684.4133333333339</v>
      </c>
      <c r="ES399" s="234">
        <f t="shared" si="273"/>
        <v>2684.4133333333375</v>
      </c>
      <c r="ET399" s="234">
        <f t="shared" si="274"/>
        <v>2684.4133333333302</v>
      </c>
      <c r="EU399" s="234">
        <f t="shared" si="275"/>
        <v>2684.4133333333375</v>
      </c>
      <c r="EV399" s="234">
        <f t="shared" si="276"/>
        <v>2684.4133333333302</v>
      </c>
      <c r="EW399" s="234">
        <f t="shared" si="277"/>
        <v>2684.4133333333375</v>
      </c>
      <c r="EX399" s="234">
        <f t="shared" si="278"/>
        <v>2684.4133333333302</v>
      </c>
      <c r="EY399" s="234">
        <f t="shared" si="279"/>
        <v>2684.4133333333302</v>
      </c>
      <c r="EZ399" s="234">
        <f t="shared" si="280"/>
        <v>2684.4133333333375</v>
      </c>
      <c r="FA399" s="234">
        <f t="shared" si="281"/>
        <v>2684.4133333333302</v>
      </c>
      <c r="FB399" s="234">
        <f t="shared" si="282"/>
        <v>2684.4133333333448</v>
      </c>
      <c r="FC399" s="234">
        <f t="shared" si="283"/>
        <v>2684.4133333333157</v>
      </c>
      <c r="FD399" s="234">
        <f t="shared" si="284"/>
        <v>2684.4133333333521</v>
      </c>
      <c r="FE399" s="234">
        <f t="shared" si="285"/>
        <v>2684.4133333333157</v>
      </c>
      <c r="FF399" s="234">
        <f t="shared" si="286"/>
        <v>2684.4133333333448</v>
      </c>
      <c r="FG399" s="234">
        <f t="shared" si="287"/>
        <v>2684.4133333333302</v>
      </c>
      <c r="FH399" s="234">
        <f t="shared" si="288"/>
        <v>2684.4133333333302</v>
      </c>
      <c r="FI399" s="189">
        <f t="shared" si="289"/>
        <v>2684.4133333333302</v>
      </c>
      <c r="FJ399" s="140"/>
      <c r="FK399" s="139"/>
      <c r="FL399" s="140"/>
      <c r="FM399" s="140"/>
      <c r="FN399" s="140"/>
      <c r="FO399" s="140"/>
      <c r="FP399" s="219"/>
      <c r="FQ399" s="234">
        <f t="shared" si="290"/>
        <v>4299.413333333333</v>
      </c>
      <c r="FR399" s="234">
        <f t="shared" si="291"/>
        <v>4299.413333333333</v>
      </c>
      <c r="FS399" s="234">
        <f t="shared" si="292"/>
        <v>4299.413333333332</v>
      </c>
      <c r="FT399" s="234">
        <f t="shared" si="293"/>
        <v>4299.4133333333339</v>
      </c>
      <c r="FU399" s="234">
        <f t="shared" si="294"/>
        <v>4299.4133333333339</v>
      </c>
      <c r="FV399" s="234">
        <f t="shared" si="295"/>
        <v>4299.4133333333302</v>
      </c>
      <c r="FW399" s="234">
        <f t="shared" si="296"/>
        <v>4299.4133333333375</v>
      </c>
      <c r="FX399" s="234">
        <f t="shared" si="297"/>
        <v>4299.4133333333302</v>
      </c>
      <c r="FY399" s="234">
        <f t="shared" si="298"/>
        <v>4299.4133333333375</v>
      </c>
      <c r="FZ399" s="234">
        <f t="shared" si="299"/>
        <v>4299.4133333333302</v>
      </c>
      <c r="GA399" s="234">
        <f t="shared" si="300"/>
        <v>4299.4133333333302</v>
      </c>
      <c r="GB399" s="234">
        <f t="shared" si="301"/>
        <v>4299.4133333333302</v>
      </c>
      <c r="GC399" s="234">
        <f t="shared" si="302"/>
        <v>4299.4133333333375</v>
      </c>
      <c r="GD399" s="234">
        <f t="shared" si="303"/>
        <v>4299.4133333333375</v>
      </c>
      <c r="GE399" s="234">
        <f t="shared" si="304"/>
        <v>4299.4133333333302</v>
      </c>
      <c r="GF399" s="234">
        <f t="shared" si="305"/>
        <v>4299.4133333333302</v>
      </c>
      <c r="GG399" s="234">
        <f t="shared" si="306"/>
        <v>4299.4133333333302</v>
      </c>
      <c r="GH399" s="234">
        <f t="shared" si="307"/>
        <v>4299.4133333333448</v>
      </c>
      <c r="GI399" s="234">
        <f t="shared" si="308"/>
        <v>4299.4133333333302</v>
      </c>
      <c r="GJ399" s="234">
        <f t="shared" si="309"/>
        <v>4299.4133333333302</v>
      </c>
      <c r="GK399" s="234">
        <f t="shared" si="310"/>
        <v>4299.4133333333302</v>
      </c>
      <c r="GL399" s="234">
        <f t="shared" si="311"/>
        <v>4299.4133333333302</v>
      </c>
      <c r="GM399" s="234">
        <f t="shared" si="312"/>
        <v>4299.4133333333593</v>
      </c>
      <c r="GN399" s="234">
        <f t="shared" si="313"/>
        <v>4299.4133333333011</v>
      </c>
      <c r="GO399" s="234">
        <f t="shared" si="314"/>
        <v>4299.4133333333593</v>
      </c>
      <c r="GP399" s="234">
        <f t="shared" si="315"/>
        <v>4299.4133333333157</v>
      </c>
      <c r="GQ399" s="234">
        <f t="shared" si="316"/>
        <v>4299.4133333333448</v>
      </c>
      <c r="GR399" s="234">
        <f t="shared" si="317"/>
        <v>4299.4133333333302</v>
      </c>
      <c r="GS399" s="234">
        <f t="shared" si="318"/>
        <v>4299.4133333333302</v>
      </c>
      <c r="GT399" s="189">
        <f t="shared" si="319"/>
        <v>4299.4133333333302</v>
      </c>
      <c r="GU399" s="140"/>
      <c r="GV399" s="139"/>
      <c r="GW399" s="140"/>
      <c r="GX399" s="140"/>
      <c r="GY399" s="140"/>
      <c r="GZ399" s="140"/>
      <c r="HA399" s="219"/>
      <c r="HB399" s="234">
        <f t="shared" si="320"/>
        <v>4769.4409090909094</v>
      </c>
      <c r="HC399" s="234">
        <f t="shared" si="321"/>
        <v>4769.4409090909094</v>
      </c>
      <c r="HD399" s="234">
        <f t="shared" si="322"/>
        <v>4769.4409090909103</v>
      </c>
      <c r="HE399" s="234">
        <f t="shared" si="323"/>
        <v>4769.4409090909085</v>
      </c>
      <c r="HF399" s="234">
        <f t="shared" si="324"/>
        <v>4769.4409090909103</v>
      </c>
      <c r="HG399" s="234">
        <f t="shared" si="325"/>
        <v>4769.4409090909103</v>
      </c>
      <c r="HH399" s="234">
        <f t="shared" si="326"/>
        <v>4769.4409090909066</v>
      </c>
      <c r="HI399" s="234">
        <f t="shared" si="327"/>
        <v>4769.4409090909103</v>
      </c>
      <c r="HJ399" s="234">
        <f t="shared" si="328"/>
        <v>4769.4409090909103</v>
      </c>
      <c r="HK399" s="234">
        <f t="shared" si="329"/>
        <v>4769.4409090909103</v>
      </c>
      <c r="HL399" s="234">
        <f t="shared" si="330"/>
        <v>4769.4409090909103</v>
      </c>
      <c r="HM399" s="234">
        <f t="shared" si="331"/>
        <v>4769.4409090909103</v>
      </c>
      <c r="HN399" s="234">
        <f t="shared" si="332"/>
        <v>4769.4409090909103</v>
      </c>
      <c r="HO399" s="234">
        <f t="shared" si="333"/>
        <v>4769.440909090903</v>
      </c>
      <c r="HP399" s="234">
        <f t="shared" si="334"/>
        <v>4769.4409090909176</v>
      </c>
      <c r="HQ399" s="234">
        <f t="shared" si="335"/>
        <v>4769.440909090903</v>
      </c>
      <c r="HR399" s="234">
        <f t="shared" si="336"/>
        <v>4769.4409090909176</v>
      </c>
      <c r="HS399" s="234">
        <f t="shared" si="337"/>
        <v>4769.440909090903</v>
      </c>
      <c r="HT399" s="234">
        <f t="shared" si="338"/>
        <v>4769.440909090903</v>
      </c>
      <c r="HU399" s="234">
        <f t="shared" si="339"/>
        <v>4769.4409090909176</v>
      </c>
      <c r="HV399" s="234">
        <f t="shared" si="340"/>
        <v>4769.4409090909176</v>
      </c>
      <c r="HW399" s="234">
        <f t="shared" si="341"/>
        <v>4769.440909090903</v>
      </c>
      <c r="HX399" s="234">
        <f t="shared" si="342"/>
        <v>4769.440909090903</v>
      </c>
      <c r="HY399" s="234">
        <f t="shared" si="343"/>
        <v>4769.4409090909176</v>
      </c>
      <c r="HZ399" s="234">
        <f t="shared" si="344"/>
        <v>4769.440909090903</v>
      </c>
      <c r="IA399" s="234">
        <f t="shared" si="345"/>
        <v>4769.4409090909176</v>
      </c>
      <c r="IB399" s="234">
        <f t="shared" si="346"/>
        <v>4769.4409090909176</v>
      </c>
      <c r="IC399" s="234">
        <f t="shared" si="347"/>
        <v>4769.4409090908885</v>
      </c>
      <c r="ID399" s="234">
        <f t="shared" si="348"/>
        <v>4769.4409090909176</v>
      </c>
      <c r="IE399" s="189">
        <f t="shared" si="349"/>
        <v>4769.4409090909176</v>
      </c>
      <c r="IF399" s="140"/>
      <c r="IG399" s="139"/>
      <c r="IH399" s="140"/>
      <c r="II399" s="140"/>
      <c r="IJ399" s="140"/>
      <c r="IK399" s="140"/>
      <c r="IL399" s="219"/>
      <c r="IM399" s="234">
        <f t="shared" si="350"/>
        <v>0</v>
      </c>
      <c r="IN399" s="234">
        <f t="shared" si="351"/>
        <v>0</v>
      </c>
      <c r="IO399" s="234">
        <f t="shared" si="352"/>
        <v>0</v>
      </c>
      <c r="IP399" s="234">
        <f t="shared" si="353"/>
        <v>0</v>
      </c>
      <c r="IQ399" s="234">
        <f t="shared" si="354"/>
        <v>0</v>
      </c>
      <c r="IR399" s="234">
        <f t="shared" si="355"/>
        <v>0</v>
      </c>
      <c r="IS399" s="234">
        <f t="shared" si="356"/>
        <v>0</v>
      </c>
      <c r="IT399" s="234">
        <f t="shared" si="357"/>
        <v>0</v>
      </c>
      <c r="IU399" s="234">
        <f t="shared" si="358"/>
        <v>0</v>
      </c>
      <c r="IV399" s="234">
        <f t="shared" si="359"/>
        <v>0</v>
      </c>
      <c r="IW399" s="234">
        <f t="shared" si="360"/>
        <v>0</v>
      </c>
      <c r="IX399" s="234">
        <f t="shared" si="361"/>
        <v>0</v>
      </c>
      <c r="IY399" s="234">
        <f t="shared" si="362"/>
        <v>0</v>
      </c>
      <c r="IZ399" s="234">
        <f t="shared" si="363"/>
        <v>0</v>
      </c>
      <c r="JA399" s="234">
        <f t="shared" si="364"/>
        <v>0</v>
      </c>
      <c r="JB399" s="234">
        <f t="shared" si="365"/>
        <v>0</v>
      </c>
      <c r="JC399" s="234">
        <f t="shared" si="366"/>
        <v>0</v>
      </c>
      <c r="JD399" s="234">
        <f t="shared" si="367"/>
        <v>0</v>
      </c>
      <c r="JE399" s="234">
        <f t="shared" si="368"/>
        <v>0</v>
      </c>
      <c r="JF399" s="234">
        <f t="shared" si="369"/>
        <v>0</v>
      </c>
      <c r="JG399" s="234">
        <f t="shared" si="370"/>
        <v>0</v>
      </c>
      <c r="JH399" s="234">
        <f t="shared" si="371"/>
        <v>0</v>
      </c>
      <c r="JI399" s="234">
        <f t="shared" si="372"/>
        <v>0</v>
      </c>
      <c r="JJ399" s="234">
        <f t="shared" si="373"/>
        <v>0</v>
      </c>
      <c r="JK399" s="234">
        <f t="shared" si="374"/>
        <v>0</v>
      </c>
      <c r="JL399" s="234">
        <f t="shared" si="375"/>
        <v>0</v>
      </c>
      <c r="JM399" s="234">
        <f t="shared" si="376"/>
        <v>0</v>
      </c>
      <c r="JN399" s="234">
        <f t="shared" si="377"/>
        <v>0</v>
      </c>
      <c r="JO399" s="234">
        <f t="shared" si="378"/>
        <v>0</v>
      </c>
      <c r="JP399" s="189">
        <f t="shared" si="379"/>
        <v>0</v>
      </c>
      <c r="JQ399" s="140"/>
      <c r="JR399" s="139"/>
      <c r="JS399" s="140"/>
      <c r="JT399" s="140"/>
      <c r="JU399" s="140"/>
      <c r="JV399" s="140"/>
      <c r="JW399" s="219"/>
      <c r="JX399" s="234">
        <f t="shared" si="380"/>
        <v>0</v>
      </c>
      <c r="JY399" s="234">
        <f t="shared" si="381"/>
        <v>0</v>
      </c>
      <c r="JZ399" s="234">
        <f t="shared" si="382"/>
        <v>0</v>
      </c>
      <c r="KA399" s="234">
        <f t="shared" si="383"/>
        <v>0</v>
      </c>
      <c r="KB399" s="234">
        <f t="shared" si="384"/>
        <v>0</v>
      </c>
      <c r="KC399" s="234">
        <f t="shared" si="385"/>
        <v>0</v>
      </c>
      <c r="KD399" s="234">
        <f t="shared" si="386"/>
        <v>0</v>
      </c>
      <c r="KE399" s="234">
        <f t="shared" si="387"/>
        <v>0</v>
      </c>
      <c r="KF399" s="234">
        <f t="shared" si="388"/>
        <v>0</v>
      </c>
      <c r="KG399" s="234">
        <f t="shared" si="389"/>
        <v>0</v>
      </c>
      <c r="KH399" s="234">
        <f t="shared" si="390"/>
        <v>0</v>
      </c>
      <c r="KI399" s="234">
        <f t="shared" si="391"/>
        <v>0</v>
      </c>
      <c r="KJ399" s="234">
        <f t="shared" si="392"/>
        <v>0</v>
      </c>
      <c r="KK399" s="234">
        <f t="shared" si="393"/>
        <v>0</v>
      </c>
      <c r="KL399" s="234">
        <f t="shared" si="394"/>
        <v>0</v>
      </c>
      <c r="KM399" s="234">
        <f t="shared" si="395"/>
        <v>0</v>
      </c>
      <c r="KN399" s="234">
        <f t="shared" si="396"/>
        <v>0</v>
      </c>
      <c r="KO399" s="234">
        <f t="shared" si="397"/>
        <v>0</v>
      </c>
      <c r="KP399" s="234">
        <f t="shared" si="398"/>
        <v>0</v>
      </c>
      <c r="KQ399" s="234">
        <f t="shared" si="399"/>
        <v>0</v>
      </c>
      <c r="KR399" s="234">
        <f t="shared" si="400"/>
        <v>0</v>
      </c>
      <c r="KS399" s="234">
        <f t="shared" si="401"/>
        <v>0</v>
      </c>
      <c r="KT399" s="234">
        <f t="shared" si="402"/>
        <v>0</v>
      </c>
      <c r="KU399" s="234">
        <f t="shared" si="403"/>
        <v>0</v>
      </c>
      <c r="KV399" s="234">
        <f t="shared" si="404"/>
        <v>0</v>
      </c>
      <c r="KW399" s="234">
        <f t="shared" si="405"/>
        <v>0</v>
      </c>
      <c r="KX399" s="234">
        <f t="shared" si="406"/>
        <v>0</v>
      </c>
      <c r="KY399" s="234">
        <f t="shared" si="407"/>
        <v>0</v>
      </c>
      <c r="KZ399" s="234">
        <f t="shared" si="408"/>
        <v>0</v>
      </c>
      <c r="LA399" s="189">
        <f t="shared" si="409"/>
        <v>0</v>
      </c>
      <c r="LB399" s="140"/>
      <c r="LC399" s="139"/>
      <c r="LD399" s="140"/>
      <c r="LE399" s="140"/>
      <c r="LF399" s="140"/>
      <c r="LG399" s="140"/>
      <c r="LH399" s="219"/>
      <c r="LI399" s="234">
        <f t="shared" si="410"/>
        <v>0</v>
      </c>
      <c r="LJ399" s="234">
        <f t="shared" si="411"/>
        <v>0</v>
      </c>
      <c r="LK399" s="234">
        <f t="shared" si="412"/>
        <v>0</v>
      </c>
      <c r="LL399" s="234">
        <f t="shared" si="413"/>
        <v>0</v>
      </c>
      <c r="LM399" s="234">
        <f t="shared" si="414"/>
        <v>0</v>
      </c>
      <c r="LN399" s="234">
        <f t="shared" si="415"/>
        <v>0</v>
      </c>
      <c r="LO399" s="234">
        <f t="shared" si="416"/>
        <v>0</v>
      </c>
      <c r="LP399" s="234">
        <f t="shared" si="417"/>
        <v>0</v>
      </c>
      <c r="LQ399" s="234">
        <f t="shared" si="418"/>
        <v>0</v>
      </c>
      <c r="LR399" s="234">
        <f t="shared" si="419"/>
        <v>0</v>
      </c>
      <c r="LS399" s="234">
        <f t="shared" si="420"/>
        <v>0</v>
      </c>
      <c r="LT399" s="234">
        <f t="shared" si="421"/>
        <v>0</v>
      </c>
      <c r="LU399" s="234">
        <f t="shared" si="422"/>
        <v>0</v>
      </c>
      <c r="LV399" s="234">
        <f t="shared" si="423"/>
        <v>0</v>
      </c>
      <c r="LW399" s="234">
        <f t="shared" si="424"/>
        <v>0</v>
      </c>
      <c r="LX399" s="234">
        <f t="shared" si="425"/>
        <v>0</v>
      </c>
      <c r="LY399" s="234">
        <f t="shared" si="426"/>
        <v>0</v>
      </c>
      <c r="LZ399" s="234">
        <f t="shared" si="427"/>
        <v>0</v>
      </c>
      <c r="MA399" s="234">
        <f t="shared" si="428"/>
        <v>0</v>
      </c>
      <c r="MB399" s="234">
        <f t="shared" si="429"/>
        <v>0</v>
      </c>
      <c r="MC399" s="234">
        <f t="shared" si="430"/>
        <v>0</v>
      </c>
      <c r="MD399" s="234">
        <f t="shared" si="431"/>
        <v>0</v>
      </c>
      <c r="ME399" s="234">
        <f t="shared" si="432"/>
        <v>0</v>
      </c>
      <c r="MF399" s="234">
        <f t="shared" si="433"/>
        <v>0</v>
      </c>
      <c r="MG399" s="234">
        <f t="shared" si="434"/>
        <v>0</v>
      </c>
      <c r="MH399" s="234">
        <f t="shared" si="435"/>
        <v>0</v>
      </c>
      <c r="MI399" s="234">
        <f t="shared" si="436"/>
        <v>0</v>
      </c>
      <c r="MJ399" s="234">
        <f t="shared" si="437"/>
        <v>0</v>
      </c>
      <c r="MK399" s="234">
        <f t="shared" si="438"/>
        <v>0</v>
      </c>
      <c r="ML399" s="189">
        <f t="shared" si="439"/>
        <v>0</v>
      </c>
    </row>
    <row r="400" spans="3:350" s="4" customFormat="1" ht="18" customHeight="1" x14ac:dyDescent="0.3">
      <c r="C400" s="136" t="s">
        <v>80</v>
      </c>
      <c r="E400" s="137" t="s">
        <v>105</v>
      </c>
      <c r="F400" s="138" t="s">
        <v>105</v>
      </c>
      <c r="H400" s="139"/>
      <c r="I400" s="140"/>
      <c r="J400" s="140"/>
      <c r="K400" s="140"/>
      <c r="L400" s="140"/>
      <c r="M400" s="141"/>
      <c r="N400" s="140"/>
      <c r="O400" s="140"/>
      <c r="P400" s="140"/>
      <c r="Q400" s="140"/>
      <c r="R400" s="140"/>
      <c r="S400" s="139"/>
      <c r="T400" s="140"/>
      <c r="U400" s="140"/>
      <c r="V400" s="140"/>
      <c r="W400" s="140"/>
      <c r="X400" s="140"/>
      <c r="Y400" s="140"/>
      <c r="Z400" s="140"/>
      <c r="AA400" s="140"/>
      <c r="AB400" s="140"/>
      <c r="AC400" s="140"/>
      <c r="AD400" s="140"/>
      <c r="AE400" s="140"/>
      <c r="AF400" s="140"/>
      <c r="AG400" s="140"/>
      <c r="AH400" s="140"/>
      <c r="AI400" s="140"/>
      <c r="AJ400" s="140"/>
      <c r="AK400" s="140"/>
      <c r="AL400" s="140"/>
      <c r="AM400" s="140"/>
      <c r="AN400" s="140"/>
      <c r="AO400" s="140"/>
      <c r="AP400" s="140"/>
      <c r="AQ400" s="140"/>
      <c r="AR400" s="140"/>
      <c r="AS400" s="140"/>
      <c r="AT400" s="140"/>
      <c r="AU400" s="140"/>
      <c r="AV400" s="140"/>
      <c r="AW400" s="140"/>
      <c r="AX400" s="140"/>
      <c r="AY400" s="140"/>
      <c r="AZ400" s="140"/>
      <c r="BA400" s="140"/>
      <c r="BB400" s="141"/>
      <c r="BC400" s="140"/>
      <c r="BD400" s="177"/>
      <c r="BE400" s="178"/>
      <c r="BF400" s="178"/>
      <c r="BG400" s="178"/>
      <c r="BH400" s="178"/>
      <c r="BI400" s="219"/>
      <c r="BJ400" s="234">
        <f t="shared" si="200"/>
        <v>1437.9289696969699</v>
      </c>
      <c r="BK400" s="234">
        <f t="shared" si="201"/>
        <v>1437.9289696969699</v>
      </c>
      <c r="BL400" s="234">
        <f t="shared" si="202"/>
        <v>1437.928969696969</v>
      </c>
      <c r="BM400" s="234">
        <f t="shared" si="203"/>
        <v>1437.9289696969709</v>
      </c>
      <c r="BN400" s="234">
        <f t="shared" si="204"/>
        <v>1437.9289696969699</v>
      </c>
      <c r="BO400" s="234">
        <f t="shared" si="205"/>
        <v>1437.9289696969681</v>
      </c>
      <c r="BP400" s="234">
        <f t="shared" si="206"/>
        <v>1437.9289696969718</v>
      </c>
      <c r="BQ400" s="234">
        <f t="shared" si="207"/>
        <v>1437.9289696969699</v>
      </c>
      <c r="BR400" s="234">
        <f t="shared" si="208"/>
        <v>1437.9289696969699</v>
      </c>
      <c r="BS400" s="234">
        <f t="shared" si="209"/>
        <v>1437.9289696969699</v>
      </c>
      <c r="BT400" s="234">
        <f t="shared" si="210"/>
        <v>1437.9289696969718</v>
      </c>
      <c r="BU400" s="234">
        <f t="shared" si="211"/>
        <v>1437.9289696969645</v>
      </c>
      <c r="BV400" s="234">
        <f t="shared" si="212"/>
        <v>1437.9289696969718</v>
      </c>
      <c r="BW400" s="234">
        <f t="shared" si="213"/>
        <v>1437.9289696969718</v>
      </c>
      <c r="BX400" s="234">
        <f t="shared" si="214"/>
        <v>1437.9289696969718</v>
      </c>
      <c r="BY400" s="234">
        <f t="shared" si="215"/>
        <v>1437.9289696969681</v>
      </c>
      <c r="BZ400" s="234">
        <f t="shared" si="216"/>
        <v>1437.9289696969718</v>
      </c>
      <c r="CA400" s="234">
        <f t="shared" si="217"/>
        <v>1437.9289696969681</v>
      </c>
      <c r="CB400" s="234">
        <f t="shared" si="218"/>
        <v>1437.9289696969718</v>
      </c>
      <c r="CC400" s="234">
        <f t="shared" si="219"/>
        <v>1437.9289696969681</v>
      </c>
      <c r="CD400" s="234">
        <f t="shared" si="220"/>
        <v>1437.9289696969718</v>
      </c>
      <c r="CE400" s="234">
        <f t="shared" si="221"/>
        <v>1437.9289696969718</v>
      </c>
      <c r="CF400" s="234">
        <f t="shared" si="222"/>
        <v>1437.9289696969645</v>
      </c>
      <c r="CG400" s="234">
        <f t="shared" si="223"/>
        <v>1437.9289696969645</v>
      </c>
      <c r="CH400" s="234">
        <f t="shared" si="224"/>
        <v>1437.928969696979</v>
      </c>
      <c r="CI400" s="234">
        <f t="shared" si="225"/>
        <v>1437.9289696969645</v>
      </c>
      <c r="CJ400" s="234">
        <f t="shared" si="226"/>
        <v>1437.9289696969718</v>
      </c>
      <c r="CK400" s="234">
        <f t="shared" si="227"/>
        <v>1437.9289696969718</v>
      </c>
      <c r="CL400" s="234">
        <f t="shared" si="228"/>
        <v>1437.9289696969718</v>
      </c>
      <c r="CM400" s="189">
        <f t="shared" si="229"/>
        <v>1437.9289696969718</v>
      </c>
      <c r="CN400" s="140"/>
      <c r="CO400" s="177"/>
      <c r="CP400" s="178"/>
      <c r="CQ400" s="178"/>
      <c r="CR400" s="178"/>
      <c r="CS400" s="178"/>
      <c r="CT400" s="219"/>
      <c r="CU400" s="234">
        <f t="shared" si="230"/>
        <v>2206.4772121212127</v>
      </c>
      <c r="CV400" s="234">
        <f t="shared" si="231"/>
        <v>2206.4772121212127</v>
      </c>
      <c r="CW400" s="234">
        <f t="shared" si="232"/>
        <v>2206.4772121212127</v>
      </c>
      <c r="CX400" s="234">
        <f t="shared" si="233"/>
        <v>2206.4772121212127</v>
      </c>
      <c r="CY400" s="234">
        <f t="shared" si="234"/>
        <v>2206.4772121212136</v>
      </c>
      <c r="CZ400" s="234">
        <f t="shared" si="235"/>
        <v>2206.4772121212118</v>
      </c>
      <c r="DA400" s="234">
        <f t="shared" si="236"/>
        <v>2206.4772121212154</v>
      </c>
      <c r="DB400" s="234">
        <f t="shared" si="237"/>
        <v>2206.47721212121</v>
      </c>
      <c r="DC400" s="234">
        <f t="shared" si="238"/>
        <v>2206.4772121212154</v>
      </c>
      <c r="DD400" s="234">
        <f t="shared" si="239"/>
        <v>2206.4772121212118</v>
      </c>
      <c r="DE400" s="234">
        <f t="shared" si="240"/>
        <v>2206.4772121212118</v>
      </c>
      <c r="DF400" s="234">
        <f t="shared" si="241"/>
        <v>2206.4772121212118</v>
      </c>
      <c r="DG400" s="234">
        <f t="shared" si="242"/>
        <v>2206.4772121212118</v>
      </c>
      <c r="DH400" s="234">
        <f t="shared" si="243"/>
        <v>2206.4772121212191</v>
      </c>
      <c r="DI400" s="234">
        <f t="shared" si="244"/>
        <v>2206.4772121212045</v>
      </c>
      <c r="DJ400" s="234">
        <f t="shared" si="245"/>
        <v>2206.4772121212154</v>
      </c>
      <c r="DK400" s="234">
        <f t="shared" si="246"/>
        <v>2206.4772121212154</v>
      </c>
      <c r="DL400" s="234">
        <f t="shared" si="247"/>
        <v>2206.4772121212154</v>
      </c>
      <c r="DM400" s="234">
        <f t="shared" si="248"/>
        <v>2206.4772121212081</v>
      </c>
      <c r="DN400" s="234">
        <f t="shared" si="249"/>
        <v>2206.4772121212154</v>
      </c>
      <c r="DO400" s="234">
        <f t="shared" si="250"/>
        <v>2206.4772121212081</v>
      </c>
      <c r="DP400" s="234">
        <f t="shared" si="251"/>
        <v>2206.4772121212154</v>
      </c>
      <c r="DQ400" s="234">
        <f t="shared" si="252"/>
        <v>2206.4772121212081</v>
      </c>
      <c r="DR400" s="234">
        <f t="shared" si="253"/>
        <v>2206.4772121212154</v>
      </c>
      <c r="DS400" s="234">
        <f t="shared" si="254"/>
        <v>2206.4772121212154</v>
      </c>
      <c r="DT400" s="234">
        <f t="shared" si="255"/>
        <v>2206.4772121212081</v>
      </c>
      <c r="DU400" s="234">
        <f t="shared" si="256"/>
        <v>2206.4772121212154</v>
      </c>
      <c r="DV400" s="234">
        <f t="shared" si="257"/>
        <v>2206.4772121212227</v>
      </c>
      <c r="DW400" s="234">
        <f t="shared" si="258"/>
        <v>2206.4772121212009</v>
      </c>
      <c r="DX400" s="189">
        <f t="shared" si="259"/>
        <v>2206.4772121212081</v>
      </c>
      <c r="DY400" s="140"/>
      <c r="DZ400" s="177"/>
      <c r="EA400" s="178"/>
      <c r="EB400" s="178"/>
      <c r="EC400" s="178"/>
      <c r="ED400" s="178"/>
      <c r="EE400" s="219"/>
      <c r="EF400" s="234">
        <f t="shared" si="260"/>
        <v>1933.7665454545461</v>
      </c>
      <c r="EG400" s="234">
        <f t="shared" si="261"/>
        <v>1933.7665454545461</v>
      </c>
      <c r="EH400" s="234">
        <f t="shared" si="262"/>
        <v>1933.7665454545454</v>
      </c>
      <c r="EI400" s="234">
        <f t="shared" si="263"/>
        <v>1933.7665454545468</v>
      </c>
      <c r="EJ400" s="234">
        <f t="shared" si="264"/>
        <v>1933.7665454545449</v>
      </c>
      <c r="EK400" s="234">
        <f t="shared" si="265"/>
        <v>1933.7665454545458</v>
      </c>
      <c r="EL400" s="234">
        <f t="shared" si="266"/>
        <v>1933.7665454545458</v>
      </c>
      <c r="EM400" s="234">
        <f t="shared" si="267"/>
        <v>1933.7665454545477</v>
      </c>
      <c r="EN400" s="234">
        <f t="shared" si="268"/>
        <v>1933.766545454544</v>
      </c>
      <c r="EO400" s="234">
        <f t="shared" si="269"/>
        <v>1933.7665454545458</v>
      </c>
      <c r="EP400" s="234">
        <f t="shared" si="270"/>
        <v>1933.7665454545458</v>
      </c>
      <c r="EQ400" s="234">
        <f t="shared" si="271"/>
        <v>1933.7665454545458</v>
      </c>
      <c r="ER400" s="234">
        <f t="shared" si="272"/>
        <v>1933.7665454545495</v>
      </c>
      <c r="ES400" s="234">
        <f t="shared" si="273"/>
        <v>1933.7665454545422</v>
      </c>
      <c r="ET400" s="234">
        <f t="shared" si="274"/>
        <v>1933.7665454545495</v>
      </c>
      <c r="EU400" s="234">
        <f t="shared" si="275"/>
        <v>1933.7665454545458</v>
      </c>
      <c r="EV400" s="234">
        <f t="shared" si="276"/>
        <v>1933.7665454545458</v>
      </c>
      <c r="EW400" s="234">
        <f t="shared" si="277"/>
        <v>1933.7665454545422</v>
      </c>
      <c r="EX400" s="234">
        <f t="shared" si="278"/>
        <v>1933.7665454545495</v>
      </c>
      <c r="EY400" s="234">
        <f t="shared" si="279"/>
        <v>1933.7665454545422</v>
      </c>
      <c r="EZ400" s="234">
        <f t="shared" si="280"/>
        <v>1933.7665454545422</v>
      </c>
      <c r="FA400" s="234">
        <f t="shared" si="281"/>
        <v>1933.7665454545495</v>
      </c>
      <c r="FB400" s="234">
        <f t="shared" si="282"/>
        <v>1933.7665454545568</v>
      </c>
      <c r="FC400" s="234">
        <f t="shared" si="283"/>
        <v>1933.7665454545349</v>
      </c>
      <c r="FD400" s="234">
        <f t="shared" si="284"/>
        <v>1933.7665454545495</v>
      </c>
      <c r="FE400" s="234">
        <f t="shared" si="285"/>
        <v>1933.7665454545495</v>
      </c>
      <c r="FF400" s="234">
        <f t="shared" si="286"/>
        <v>1933.7665454545495</v>
      </c>
      <c r="FG400" s="234">
        <f t="shared" si="287"/>
        <v>1933.7665454545349</v>
      </c>
      <c r="FH400" s="234">
        <f t="shared" si="288"/>
        <v>1933.7665454545495</v>
      </c>
      <c r="FI400" s="189">
        <f t="shared" si="289"/>
        <v>1933.7665454545495</v>
      </c>
      <c r="FJ400" s="140"/>
      <c r="FK400" s="177"/>
      <c r="FL400" s="178"/>
      <c r="FM400" s="178"/>
      <c r="FN400" s="178"/>
      <c r="FO400" s="178"/>
      <c r="FP400" s="219"/>
      <c r="FQ400" s="234">
        <f t="shared" si="290"/>
        <v>1933.7665454545461</v>
      </c>
      <c r="FR400" s="234">
        <f t="shared" si="291"/>
        <v>1933.7665454545461</v>
      </c>
      <c r="FS400" s="234">
        <f t="shared" si="292"/>
        <v>1933.7665454545454</v>
      </c>
      <c r="FT400" s="234">
        <f t="shared" si="293"/>
        <v>1933.7665454545468</v>
      </c>
      <c r="FU400" s="234">
        <f t="shared" si="294"/>
        <v>1933.7665454545449</v>
      </c>
      <c r="FV400" s="234">
        <f t="shared" si="295"/>
        <v>1933.7665454545458</v>
      </c>
      <c r="FW400" s="234">
        <f t="shared" si="296"/>
        <v>1933.7665454545458</v>
      </c>
      <c r="FX400" s="234">
        <f t="shared" si="297"/>
        <v>1933.7665454545477</v>
      </c>
      <c r="FY400" s="234">
        <f t="shared" si="298"/>
        <v>1933.766545454544</v>
      </c>
      <c r="FZ400" s="234">
        <f t="shared" si="299"/>
        <v>1933.7665454545458</v>
      </c>
      <c r="GA400" s="234">
        <f t="shared" si="300"/>
        <v>1933.7665454545458</v>
      </c>
      <c r="GB400" s="234">
        <f t="shared" si="301"/>
        <v>1933.7665454545458</v>
      </c>
      <c r="GC400" s="234">
        <f t="shared" si="302"/>
        <v>1933.7665454545495</v>
      </c>
      <c r="GD400" s="234">
        <f t="shared" si="303"/>
        <v>1933.7665454545422</v>
      </c>
      <c r="GE400" s="234">
        <f t="shared" si="304"/>
        <v>1933.7665454545495</v>
      </c>
      <c r="GF400" s="234">
        <f t="shared" si="305"/>
        <v>1933.7665454545458</v>
      </c>
      <c r="GG400" s="234">
        <f t="shared" si="306"/>
        <v>1933.7665454545458</v>
      </c>
      <c r="GH400" s="234">
        <f t="shared" si="307"/>
        <v>1933.7665454545422</v>
      </c>
      <c r="GI400" s="234">
        <f t="shared" si="308"/>
        <v>1933.7665454545495</v>
      </c>
      <c r="GJ400" s="234">
        <f t="shared" si="309"/>
        <v>1933.7665454545422</v>
      </c>
      <c r="GK400" s="234">
        <f t="shared" si="310"/>
        <v>1933.7665454545422</v>
      </c>
      <c r="GL400" s="234">
        <f t="shared" si="311"/>
        <v>1933.7665454545495</v>
      </c>
      <c r="GM400" s="234">
        <f t="shared" si="312"/>
        <v>1933.7665454545568</v>
      </c>
      <c r="GN400" s="234">
        <f t="shared" si="313"/>
        <v>1933.7665454545349</v>
      </c>
      <c r="GO400" s="234">
        <f t="shared" si="314"/>
        <v>1933.7665454545495</v>
      </c>
      <c r="GP400" s="234">
        <f t="shared" si="315"/>
        <v>1933.7665454545495</v>
      </c>
      <c r="GQ400" s="234">
        <f t="shared" si="316"/>
        <v>1933.7665454545495</v>
      </c>
      <c r="GR400" s="234">
        <f t="shared" si="317"/>
        <v>1933.7665454545349</v>
      </c>
      <c r="GS400" s="234">
        <f t="shared" si="318"/>
        <v>1933.7665454545495</v>
      </c>
      <c r="GT400" s="189">
        <f t="shared" si="319"/>
        <v>1933.7665454545495</v>
      </c>
      <c r="GU400" s="140"/>
      <c r="GV400" s="177"/>
      <c r="GW400" s="178"/>
      <c r="GX400" s="178"/>
      <c r="GY400" s="178"/>
      <c r="GZ400" s="178"/>
      <c r="HA400" s="219"/>
      <c r="HB400" s="234">
        <f t="shared" si="320"/>
        <v>1685.8477575757581</v>
      </c>
      <c r="HC400" s="234">
        <f t="shared" si="321"/>
        <v>1685.8477575757581</v>
      </c>
      <c r="HD400" s="234">
        <f t="shared" si="322"/>
        <v>1685.8477575757584</v>
      </c>
      <c r="HE400" s="234">
        <f t="shared" si="323"/>
        <v>1685.8477575757579</v>
      </c>
      <c r="HF400" s="234">
        <f t="shared" si="324"/>
        <v>1685.8477575757579</v>
      </c>
      <c r="HG400" s="234">
        <f t="shared" si="325"/>
        <v>1685.8477575757588</v>
      </c>
      <c r="HH400" s="234">
        <f t="shared" si="326"/>
        <v>1685.847757575757</v>
      </c>
      <c r="HI400" s="234">
        <f t="shared" si="327"/>
        <v>1685.8477575757588</v>
      </c>
      <c r="HJ400" s="234">
        <f t="shared" si="328"/>
        <v>1685.8477575757588</v>
      </c>
      <c r="HK400" s="234">
        <f t="shared" si="329"/>
        <v>1685.847757575757</v>
      </c>
      <c r="HL400" s="234">
        <f t="shared" si="330"/>
        <v>1685.847757575757</v>
      </c>
      <c r="HM400" s="234">
        <f t="shared" si="331"/>
        <v>1685.8477575757606</v>
      </c>
      <c r="HN400" s="234">
        <f t="shared" si="332"/>
        <v>1685.847757575757</v>
      </c>
      <c r="HO400" s="234">
        <f t="shared" si="333"/>
        <v>1685.847757575757</v>
      </c>
      <c r="HP400" s="234">
        <f t="shared" si="334"/>
        <v>1685.8477575757606</v>
      </c>
      <c r="HQ400" s="234">
        <f t="shared" si="335"/>
        <v>1685.847757575757</v>
      </c>
      <c r="HR400" s="234">
        <f t="shared" si="336"/>
        <v>1685.847757575757</v>
      </c>
      <c r="HS400" s="234">
        <f t="shared" si="337"/>
        <v>1685.8477575757606</v>
      </c>
      <c r="HT400" s="234">
        <f t="shared" si="338"/>
        <v>1685.847757575757</v>
      </c>
      <c r="HU400" s="234">
        <f t="shared" si="339"/>
        <v>1685.847757575757</v>
      </c>
      <c r="HV400" s="234">
        <f t="shared" si="340"/>
        <v>1685.847757575757</v>
      </c>
      <c r="HW400" s="234">
        <f t="shared" si="341"/>
        <v>1685.847757575757</v>
      </c>
      <c r="HX400" s="234">
        <f t="shared" si="342"/>
        <v>1685.847757575757</v>
      </c>
      <c r="HY400" s="234">
        <f t="shared" si="343"/>
        <v>1685.8477575757643</v>
      </c>
      <c r="HZ400" s="234">
        <f t="shared" si="344"/>
        <v>1685.8477575757497</v>
      </c>
      <c r="IA400" s="234">
        <f t="shared" si="345"/>
        <v>1685.8477575757643</v>
      </c>
      <c r="IB400" s="234">
        <f t="shared" si="346"/>
        <v>1685.8477575757643</v>
      </c>
      <c r="IC400" s="234">
        <f t="shared" si="347"/>
        <v>1685.8477575757497</v>
      </c>
      <c r="ID400" s="234">
        <f t="shared" si="348"/>
        <v>1685.8477575757643</v>
      </c>
      <c r="IE400" s="189">
        <f t="shared" si="349"/>
        <v>1685.847757575757</v>
      </c>
      <c r="IF400" s="140"/>
      <c r="IG400" s="177"/>
      <c r="IH400" s="178"/>
      <c r="II400" s="178"/>
      <c r="IJ400" s="178"/>
      <c r="IK400" s="178"/>
      <c r="IL400" s="219"/>
      <c r="IM400" s="234">
        <f t="shared" si="350"/>
        <v>0</v>
      </c>
      <c r="IN400" s="234">
        <f t="shared" si="351"/>
        <v>0</v>
      </c>
      <c r="IO400" s="234">
        <f t="shared" si="352"/>
        <v>0</v>
      </c>
      <c r="IP400" s="234">
        <f t="shared" si="353"/>
        <v>0</v>
      </c>
      <c r="IQ400" s="234">
        <f t="shared" si="354"/>
        <v>0</v>
      </c>
      <c r="IR400" s="234">
        <f t="shared" si="355"/>
        <v>0</v>
      </c>
      <c r="IS400" s="234">
        <f t="shared" si="356"/>
        <v>0</v>
      </c>
      <c r="IT400" s="234">
        <f t="shared" si="357"/>
        <v>0</v>
      </c>
      <c r="IU400" s="234">
        <f t="shared" si="358"/>
        <v>0</v>
      </c>
      <c r="IV400" s="234">
        <f t="shared" si="359"/>
        <v>0</v>
      </c>
      <c r="IW400" s="234">
        <f t="shared" si="360"/>
        <v>0</v>
      </c>
      <c r="IX400" s="234">
        <f t="shared" si="361"/>
        <v>0</v>
      </c>
      <c r="IY400" s="234">
        <f t="shared" si="362"/>
        <v>0</v>
      </c>
      <c r="IZ400" s="234">
        <f t="shared" si="363"/>
        <v>0</v>
      </c>
      <c r="JA400" s="234">
        <f t="shared" si="364"/>
        <v>0</v>
      </c>
      <c r="JB400" s="234">
        <f t="shared" si="365"/>
        <v>0</v>
      </c>
      <c r="JC400" s="234">
        <f t="shared" si="366"/>
        <v>0</v>
      </c>
      <c r="JD400" s="234">
        <f t="shared" si="367"/>
        <v>0</v>
      </c>
      <c r="JE400" s="234">
        <f t="shared" si="368"/>
        <v>0</v>
      </c>
      <c r="JF400" s="234">
        <f t="shared" si="369"/>
        <v>0</v>
      </c>
      <c r="JG400" s="234">
        <f t="shared" si="370"/>
        <v>0</v>
      </c>
      <c r="JH400" s="234">
        <f t="shared" si="371"/>
        <v>0</v>
      </c>
      <c r="JI400" s="234">
        <f t="shared" si="372"/>
        <v>0</v>
      </c>
      <c r="JJ400" s="234">
        <f t="shared" si="373"/>
        <v>0</v>
      </c>
      <c r="JK400" s="234">
        <f t="shared" si="374"/>
        <v>0</v>
      </c>
      <c r="JL400" s="234">
        <f t="shared" si="375"/>
        <v>0</v>
      </c>
      <c r="JM400" s="234">
        <f t="shared" si="376"/>
        <v>0</v>
      </c>
      <c r="JN400" s="234">
        <f t="shared" si="377"/>
        <v>0</v>
      </c>
      <c r="JO400" s="234">
        <f t="shared" si="378"/>
        <v>0</v>
      </c>
      <c r="JP400" s="189">
        <f t="shared" si="379"/>
        <v>0</v>
      </c>
      <c r="JQ400" s="140"/>
      <c r="JR400" s="177"/>
      <c r="JS400" s="178"/>
      <c r="JT400" s="178"/>
      <c r="JU400" s="178"/>
      <c r="JV400" s="178"/>
      <c r="JW400" s="219"/>
      <c r="JX400" s="234">
        <f t="shared" si="380"/>
        <v>0</v>
      </c>
      <c r="JY400" s="234">
        <f t="shared" si="381"/>
        <v>0</v>
      </c>
      <c r="JZ400" s="234">
        <f t="shared" si="382"/>
        <v>0</v>
      </c>
      <c r="KA400" s="234">
        <f t="shared" si="383"/>
        <v>0</v>
      </c>
      <c r="KB400" s="234">
        <f t="shared" si="384"/>
        <v>0</v>
      </c>
      <c r="KC400" s="234">
        <f t="shared" si="385"/>
        <v>0</v>
      </c>
      <c r="KD400" s="234">
        <f t="shared" si="386"/>
        <v>0</v>
      </c>
      <c r="KE400" s="234">
        <f t="shared" si="387"/>
        <v>0</v>
      </c>
      <c r="KF400" s="234">
        <f t="shared" si="388"/>
        <v>0</v>
      </c>
      <c r="KG400" s="234">
        <f t="shared" si="389"/>
        <v>0</v>
      </c>
      <c r="KH400" s="234">
        <f t="shared" si="390"/>
        <v>0</v>
      </c>
      <c r="KI400" s="234">
        <f t="shared" si="391"/>
        <v>0</v>
      </c>
      <c r="KJ400" s="234">
        <f t="shared" si="392"/>
        <v>0</v>
      </c>
      <c r="KK400" s="234">
        <f t="shared" si="393"/>
        <v>0</v>
      </c>
      <c r="KL400" s="234">
        <f t="shared" si="394"/>
        <v>0</v>
      </c>
      <c r="KM400" s="234">
        <f t="shared" si="395"/>
        <v>0</v>
      </c>
      <c r="KN400" s="234">
        <f t="shared" si="396"/>
        <v>0</v>
      </c>
      <c r="KO400" s="234">
        <f t="shared" si="397"/>
        <v>0</v>
      </c>
      <c r="KP400" s="234">
        <f t="shared" si="398"/>
        <v>0</v>
      </c>
      <c r="KQ400" s="234">
        <f t="shared" si="399"/>
        <v>0</v>
      </c>
      <c r="KR400" s="234">
        <f t="shared" si="400"/>
        <v>0</v>
      </c>
      <c r="KS400" s="234">
        <f t="shared" si="401"/>
        <v>0</v>
      </c>
      <c r="KT400" s="234">
        <f t="shared" si="402"/>
        <v>0</v>
      </c>
      <c r="KU400" s="234">
        <f t="shared" si="403"/>
        <v>0</v>
      </c>
      <c r="KV400" s="234">
        <f t="shared" si="404"/>
        <v>0</v>
      </c>
      <c r="KW400" s="234">
        <f t="shared" si="405"/>
        <v>0</v>
      </c>
      <c r="KX400" s="234">
        <f t="shared" si="406"/>
        <v>0</v>
      </c>
      <c r="KY400" s="234">
        <f t="shared" si="407"/>
        <v>0</v>
      </c>
      <c r="KZ400" s="234">
        <f t="shared" si="408"/>
        <v>0</v>
      </c>
      <c r="LA400" s="189">
        <f t="shared" si="409"/>
        <v>0</v>
      </c>
      <c r="LB400" s="140"/>
      <c r="LC400" s="177"/>
      <c r="LD400" s="178"/>
      <c r="LE400" s="178"/>
      <c r="LF400" s="178"/>
      <c r="LG400" s="178"/>
      <c r="LH400" s="219"/>
      <c r="LI400" s="234">
        <f t="shared" si="410"/>
        <v>0</v>
      </c>
      <c r="LJ400" s="234">
        <f t="shared" si="411"/>
        <v>0</v>
      </c>
      <c r="LK400" s="234">
        <f t="shared" si="412"/>
        <v>0</v>
      </c>
      <c r="LL400" s="234">
        <f t="shared" si="413"/>
        <v>0</v>
      </c>
      <c r="LM400" s="234">
        <f t="shared" si="414"/>
        <v>0</v>
      </c>
      <c r="LN400" s="234">
        <f t="shared" si="415"/>
        <v>0</v>
      </c>
      <c r="LO400" s="234">
        <f t="shared" si="416"/>
        <v>0</v>
      </c>
      <c r="LP400" s="234">
        <f t="shared" si="417"/>
        <v>0</v>
      </c>
      <c r="LQ400" s="234">
        <f t="shared" si="418"/>
        <v>0</v>
      </c>
      <c r="LR400" s="234">
        <f t="shared" si="419"/>
        <v>0</v>
      </c>
      <c r="LS400" s="234">
        <f t="shared" si="420"/>
        <v>0</v>
      </c>
      <c r="LT400" s="234">
        <f t="shared" si="421"/>
        <v>0</v>
      </c>
      <c r="LU400" s="234">
        <f t="shared" si="422"/>
        <v>0</v>
      </c>
      <c r="LV400" s="234">
        <f t="shared" si="423"/>
        <v>0</v>
      </c>
      <c r="LW400" s="234">
        <f t="shared" si="424"/>
        <v>0</v>
      </c>
      <c r="LX400" s="234">
        <f t="shared" si="425"/>
        <v>0</v>
      </c>
      <c r="LY400" s="234">
        <f t="shared" si="426"/>
        <v>0</v>
      </c>
      <c r="LZ400" s="234">
        <f t="shared" si="427"/>
        <v>0</v>
      </c>
      <c r="MA400" s="234">
        <f t="shared" si="428"/>
        <v>0</v>
      </c>
      <c r="MB400" s="234">
        <f t="shared" si="429"/>
        <v>0</v>
      </c>
      <c r="MC400" s="234">
        <f t="shared" si="430"/>
        <v>0</v>
      </c>
      <c r="MD400" s="234">
        <f t="shared" si="431"/>
        <v>0</v>
      </c>
      <c r="ME400" s="234">
        <f t="shared" si="432"/>
        <v>0</v>
      </c>
      <c r="MF400" s="234">
        <f t="shared" si="433"/>
        <v>0</v>
      </c>
      <c r="MG400" s="234">
        <f t="shared" si="434"/>
        <v>0</v>
      </c>
      <c r="MH400" s="234">
        <f t="shared" si="435"/>
        <v>0</v>
      </c>
      <c r="MI400" s="234">
        <f t="shared" si="436"/>
        <v>0</v>
      </c>
      <c r="MJ400" s="234">
        <f t="shared" si="437"/>
        <v>0</v>
      </c>
      <c r="MK400" s="234">
        <f t="shared" si="438"/>
        <v>0</v>
      </c>
      <c r="ML400" s="189">
        <f t="shared" si="439"/>
        <v>0</v>
      </c>
    </row>
    <row r="401" spans="2:350" s="4" customFormat="1" ht="18" customHeight="1" x14ac:dyDescent="0.3">
      <c r="C401" s="136" t="s">
        <v>81</v>
      </c>
      <c r="E401" s="137" t="s">
        <v>105</v>
      </c>
      <c r="F401" s="138" t="s">
        <v>105</v>
      </c>
      <c r="H401" s="139"/>
      <c r="I401" s="140"/>
      <c r="J401" s="140"/>
      <c r="K401" s="140"/>
      <c r="L401" s="140"/>
      <c r="M401" s="141"/>
      <c r="N401" s="140"/>
      <c r="O401" s="140"/>
      <c r="P401" s="140"/>
      <c r="Q401" s="140"/>
      <c r="R401" s="140"/>
      <c r="S401" s="139"/>
      <c r="T401" s="140"/>
      <c r="U401" s="140"/>
      <c r="V401" s="140"/>
      <c r="W401" s="140"/>
      <c r="X401" s="140"/>
      <c r="Y401" s="140"/>
      <c r="Z401" s="140"/>
      <c r="AA401" s="140"/>
      <c r="AB401" s="140"/>
      <c r="AC401" s="140"/>
      <c r="AD401" s="140"/>
      <c r="AE401" s="140"/>
      <c r="AF401" s="140"/>
      <c r="AG401" s="140"/>
      <c r="AH401" s="140"/>
      <c r="AI401" s="140"/>
      <c r="AJ401" s="140"/>
      <c r="AK401" s="140"/>
      <c r="AL401" s="140"/>
      <c r="AM401" s="140"/>
      <c r="AN401" s="140"/>
      <c r="AO401" s="140"/>
      <c r="AP401" s="140"/>
      <c r="AQ401" s="140"/>
      <c r="AR401" s="140"/>
      <c r="AS401" s="140"/>
      <c r="AT401" s="140"/>
      <c r="AU401" s="140"/>
      <c r="AV401" s="140"/>
      <c r="AW401" s="140"/>
      <c r="AX401" s="140"/>
      <c r="AY401" s="140"/>
      <c r="AZ401" s="140"/>
      <c r="BA401" s="140"/>
      <c r="BB401" s="141"/>
      <c r="BC401" s="140"/>
      <c r="BD401" s="177"/>
      <c r="BE401" s="178"/>
      <c r="BF401" s="178"/>
      <c r="BG401" s="178"/>
      <c r="BH401" s="178"/>
      <c r="BI401" s="219"/>
      <c r="BJ401" s="234">
        <f t="shared" si="200"/>
        <v>2769.374254390998</v>
      </c>
      <c r="BK401" s="234">
        <f t="shared" si="201"/>
        <v>2769.374254390998</v>
      </c>
      <c r="BL401" s="234">
        <f t="shared" si="202"/>
        <v>2769.3742543909966</v>
      </c>
      <c r="BM401" s="234">
        <f t="shared" si="203"/>
        <v>2769.3742543909993</v>
      </c>
      <c r="BN401" s="234">
        <f t="shared" si="204"/>
        <v>2769.3742543909975</v>
      </c>
      <c r="BO401" s="234">
        <f t="shared" si="205"/>
        <v>2769.3742543909957</v>
      </c>
      <c r="BP401" s="234">
        <f t="shared" si="206"/>
        <v>2769.3742543910012</v>
      </c>
      <c r="BQ401" s="234">
        <f t="shared" si="207"/>
        <v>2769.3742543909975</v>
      </c>
      <c r="BR401" s="234">
        <f t="shared" si="208"/>
        <v>2769.3742543909975</v>
      </c>
      <c r="BS401" s="234">
        <f t="shared" si="209"/>
        <v>2769.3742543909975</v>
      </c>
      <c r="BT401" s="234">
        <f t="shared" si="210"/>
        <v>2769.3742543909975</v>
      </c>
      <c r="BU401" s="234">
        <f t="shared" si="211"/>
        <v>2769.3742543909939</v>
      </c>
      <c r="BV401" s="234">
        <f t="shared" si="212"/>
        <v>2769.3742543909975</v>
      </c>
      <c r="BW401" s="234">
        <f t="shared" si="213"/>
        <v>2769.3742543910048</v>
      </c>
      <c r="BX401" s="234">
        <f t="shared" si="214"/>
        <v>2769.3742543910048</v>
      </c>
      <c r="BY401" s="234">
        <f t="shared" si="215"/>
        <v>2769.3742543909902</v>
      </c>
      <c r="BZ401" s="234">
        <f t="shared" si="216"/>
        <v>2769.3742543909902</v>
      </c>
      <c r="CA401" s="234">
        <f t="shared" si="217"/>
        <v>2769.3742543910048</v>
      </c>
      <c r="CB401" s="234">
        <f t="shared" si="218"/>
        <v>2769.3742543910048</v>
      </c>
      <c r="CC401" s="234">
        <f t="shared" si="219"/>
        <v>2769.3742543909902</v>
      </c>
      <c r="CD401" s="234">
        <f t="shared" si="220"/>
        <v>2769.3742543909975</v>
      </c>
      <c r="CE401" s="234">
        <f t="shared" si="221"/>
        <v>2769.3742543909975</v>
      </c>
      <c r="CF401" s="234">
        <f t="shared" si="222"/>
        <v>2769.3742543909975</v>
      </c>
      <c r="CG401" s="234">
        <f t="shared" si="223"/>
        <v>2769.3742543909902</v>
      </c>
      <c r="CH401" s="234">
        <f t="shared" si="224"/>
        <v>2769.3742543910048</v>
      </c>
      <c r="CI401" s="234">
        <f t="shared" si="225"/>
        <v>2769.3742543909902</v>
      </c>
      <c r="CJ401" s="234">
        <f t="shared" si="226"/>
        <v>2769.3742543910048</v>
      </c>
      <c r="CK401" s="234">
        <f t="shared" si="227"/>
        <v>2769.3742543910048</v>
      </c>
      <c r="CL401" s="234">
        <f t="shared" si="228"/>
        <v>2769.3742543909902</v>
      </c>
      <c r="CM401" s="189">
        <f t="shared" si="229"/>
        <v>2769.3742543910048</v>
      </c>
      <c r="CN401" s="140"/>
      <c r="CO401" s="177"/>
      <c r="CP401" s="178"/>
      <c r="CQ401" s="178"/>
      <c r="CR401" s="178"/>
      <c r="CS401" s="178"/>
      <c r="CT401" s="219"/>
      <c r="CU401" s="234">
        <f t="shared" si="230"/>
        <v>3025.600410565934</v>
      </c>
      <c r="CV401" s="234">
        <f t="shared" si="231"/>
        <v>3025.600410565934</v>
      </c>
      <c r="CW401" s="234">
        <f t="shared" si="232"/>
        <v>3025.6004105659322</v>
      </c>
      <c r="CX401" s="234">
        <f t="shared" si="233"/>
        <v>3025.6004105659358</v>
      </c>
      <c r="CY401" s="234">
        <f t="shared" si="234"/>
        <v>3025.600410565934</v>
      </c>
      <c r="CZ401" s="234">
        <f t="shared" si="235"/>
        <v>3025.6004105659304</v>
      </c>
      <c r="DA401" s="234">
        <f t="shared" si="236"/>
        <v>3025.600410565934</v>
      </c>
      <c r="DB401" s="234">
        <f t="shared" si="237"/>
        <v>3025.6004105659376</v>
      </c>
      <c r="DC401" s="234">
        <f t="shared" si="238"/>
        <v>3025.6004105659304</v>
      </c>
      <c r="DD401" s="234">
        <f t="shared" si="239"/>
        <v>3025.6004105659376</v>
      </c>
      <c r="DE401" s="234">
        <f t="shared" si="240"/>
        <v>3025.6004105659376</v>
      </c>
      <c r="DF401" s="234">
        <f t="shared" si="241"/>
        <v>3025.6004105659231</v>
      </c>
      <c r="DG401" s="234">
        <f t="shared" si="242"/>
        <v>3025.6004105659376</v>
      </c>
      <c r="DH401" s="234">
        <f t="shared" si="243"/>
        <v>3025.6004105659304</v>
      </c>
      <c r="DI401" s="234">
        <f t="shared" si="244"/>
        <v>3025.6004105659376</v>
      </c>
      <c r="DJ401" s="234">
        <f t="shared" si="245"/>
        <v>3025.6004105659376</v>
      </c>
      <c r="DK401" s="234">
        <f t="shared" si="246"/>
        <v>3025.6004105659304</v>
      </c>
      <c r="DL401" s="234">
        <f t="shared" si="247"/>
        <v>3025.6004105659304</v>
      </c>
      <c r="DM401" s="234">
        <f t="shared" si="248"/>
        <v>3025.6004105659376</v>
      </c>
      <c r="DN401" s="234">
        <f t="shared" si="249"/>
        <v>3025.6004105659376</v>
      </c>
      <c r="DO401" s="234">
        <f t="shared" si="250"/>
        <v>3025.6004105659304</v>
      </c>
      <c r="DP401" s="234">
        <f t="shared" si="251"/>
        <v>3025.6004105659449</v>
      </c>
      <c r="DQ401" s="234">
        <f t="shared" si="252"/>
        <v>3025.6004105659231</v>
      </c>
      <c r="DR401" s="234">
        <f t="shared" si="253"/>
        <v>3025.6004105659231</v>
      </c>
      <c r="DS401" s="234">
        <f t="shared" si="254"/>
        <v>3025.6004105659376</v>
      </c>
      <c r="DT401" s="234">
        <f t="shared" si="255"/>
        <v>3025.6004105659376</v>
      </c>
      <c r="DU401" s="234">
        <f t="shared" si="256"/>
        <v>3025.6004105659376</v>
      </c>
      <c r="DV401" s="234">
        <f t="shared" si="257"/>
        <v>3025.6004105659231</v>
      </c>
      <c r="DW401" s="234">
        <f t="shared" si="258"/>
        <v>3025.6004105659522</v>
      </c>
      <c r="DX401" s="189">
        <f t="shared" si="259"/>
        <v>3025.6004105659231</v>
      </c>
      <c r="DY401" s="140"/>
      <c r="DZ401" s="177"/>
      <c r="EA401" s="178"/>
      <c r="EB401" s="178"/>
      <c r="EC401" s="178"/>
      <c r="ED401" s="178"/>
      <c r="EE401" s="219"/>
      <c r="EF401" s="234">
        <f t="shared" si="260"/>
        <v>3025.600410565934</v>
      </c>
      <c r="EG401" s="234">
        <f t="shared" si="261"/>
        <v>3025.600410565934</v>
      </c>
      <c r="EH401" s="234">
        <f t="shared" si="262"/>
        <v>3025.6004105659322</v>
      </c>
      <c r="EI401" s="234">
        <f t="shared" si="263"/>
        <v>3025.6004105659358</v>
      </c>
      <c r="EJ401" s="234">
        <f t="shared" si="264"/>
        <v>3025.600410565934</v>
      </c>
      <c r="EK401" s="234">
        <f t="shared" si="265"/>
        <v>3025.6004105659304</v>
      </c>
      <c r="EL401" s="234">
        <f t="shared" si="266"/>
        <v>3025.600410565934</v>
      </c>
      <c r="EM401" s="234">
        <f t="shared" si="267"/>
        <v>3025.6004105659376</v>
      </c>
      <c r="EN401" s="234">
        <f t="shared" si="268"/>
        <v>3025.6004105659304</v>
      </c>
      <c r="EO401" s="234">
        <f t="shared" si="269"/>
        <v>3025.6004105659376</v>
      </c>
      <c r="EP401" s="234">
        <f t="shared" si="270"/>
        <v>3025.6004105659376</v>
      </c>
      <c r="EQ401" s="234">
        <f t="shared" si="271"/>
        <v>3025.6004105659231</v>
      </c>
      <c r="ER401" s="234">
        <f t="shared" si="272"/>
        <v>3025.6004105659376</v>
      </c>
      <c r="ES401" s="234">
        <f t="shared" si="273"/>
        <v>3025.6004105659304</v>
      </c>
      <c r="ET401" s="234">
        <f t="shared" si="274"/>
        <v>3025.6004105659376</v>
      </c>
      <c r="EU401" s="234">
        <f t="shared" si="275"/>
        <v>3025.6004105659376</v>
      </c>
      <c r="EV401" s="234">
        <f t="shared" si="276"/>
        <v>3025.6004105659304</v>
      </c>
      <c r="EW401" s="234">
        <f t="shared" si="277"/>
        <v>3025.6004105659304</v>
      </c>
      <c r="EX401" s="234">
        <f t="shared" si="278"/>
        <v>3025.6004105659376</v>
      </c>
      <c r="EY401" s="234">
        <f t="shared" si="279"/>
        <v>3025.6004105659376</v>
      </c>
      <c r="EZ401" s="234">
        <f t="shared" si="280"/>
        <v>3025.6004105659304</v>
      </c>
      <c r="FA401" s="234">
        <f t="shared" si="281"/>
        <v>3025.6004105659449</v>
      </c>
      <c r="FB401" s="234">
        <f t="shared" si="282"/>
        <v>3025.6004105659231</v>
      </c>
      <c r="FC401" s="234">
        <f t="shared" si="283"/>
        <v>3025.6004105659231</v>
      </c>
      <c r="FD401" s="234">
        <f t="shared" si="284"/>
        <v>3025.6004105659376</v>
      </c>
      <c r="FE401" s="234">
        <f t="shared" si="285"/>
        <v>3025.6004105659376</v>
      </c>
      <c r="FF401" s="234">
        <f t="shared" si="286"/>
        <v>3025.6004105659376</v>
      </c>
      <c r="FG401" s="234">
        <f t="shared" si="287"/>
        <v>3025.6004105659231</v>
      </c>
      <c r="FH401" s="234">
        <f t="shared" si="288"/>
        <v>3025.6004105659522</v>
      </c>
      <c r="FI401" s="189">
        <f t="shared" si="289"/>
        <v>3025.6004105659231</v>
      </c>
      <c r="FJ401" s="140"/>
      <c r="FK401" s="177"/>
      <c r="FL401" s="178"/>
      <c r="FM401" s="178"/>
      <c r="FN401" s="178"/>
      <c r="FO401" s="178"/>
      <c r="FP401" s="219"/>
      <c r="FQ401" s="234">
        <f t="shared" si="290"/>
        <v>3470.4816605659339</v>
      </c>
      <c r="FR401" s="234">
        <f t="shared" si="291"/>
        <v>3470.4816605659339</v>
      </c>
      <c r="FS401" s="234">
        <f t="shared" si="292"/>
        <v>3470.4816605659335</v>
      </c>
      <c r="FT401" s="234">
        <f t="shared" si="293"/>
        <v>3470.4816605659344</v>
      </c>
      <c r="FU401" s="234">
        <f t="shared" si="294"/>
        <v>3470.4816605659344</v>
      </c>
      <c r="FV401" s="234">
        <f t="shared" si="295"/>
        <v>3470.4816605659325</v>
      </c>
      <c r="FW401" s="234">
        <f t="shared" si="296"/>
        <v>3470.4816605659325</v>
      </c>
      <c r="FX401" s="234">
        <f t="shared" si="297"/>
        <v>3470.4816605659362</v>
      </c>
      <c r="FY401" s="234">
        <f t="shared" si="298"/>
        <v>3470.4816605659325</v>
      </c>
      <c r="FZ401" s="234">
        <f t="shared" si="299"/>
        <v>3470.4816605659362</v>
      </c>
      <c r="GA401" s="234">
        <f t="shared" si="300"/>
        <v>3470.4816605659362</v>
      </c>
      <c r="GB401" s="234">
        <f t="shared" si="301"/>
        <v>3470.4816605659289</v>
      </c>
      <c r="GC401" s="234">
        <f t="shared" si="302"/>
        <v>3470.4816605659362</v>
      </c>
      <c r="GD401" s="234">
        <f t="shared" si="303"/>
        <v>3470.4816605659289</v>
      </c>
      <c r="GE401" s="234">
        <f t="shared" si="304"/>
        <v>3470.4816605659362</v>
      </c>
      <c r="GF401" s="234">
        <f t="shared" si="305"/>
        <v>3470.4816605659362</v>
      </c>
      <c r="GG401" s="234">
        <f t="shared" si="306"/>
        <v>3470.4816605659289</v>
      </c>
      <c r="GH401" s="234">
        <f t="shared" si="307"/>
        <v>3470.4816605659362</v>
      </c>
      <c r="GI401" s="234">
        <f t="shared" si="308"/>
        <v>3470.4816605659435</v>
      </c>
      <c r="GJ401" s="234">
        <f t="shared" si="309"/>
        <v>3470.4816605659289</v>
      </c>
      <c r="GK401" s="234">
        <f t="shared" si="310"/>
        <v>3470.4816605659289</v>
      </c>
      <c r="GL401" s="234">
        <f t="shared" si="311"/>
        <v>3470.4816605659435</v>
      </c>
      <c r="GM401" s="234">
        <f t="shared" si="312"/>
        <v>3470.4816605659289</v>
      </c>
      <c r="GN401" s="234">
        <f t="shared" si="313"/>
        <v>3470.4816605659289</v>
      </c>
      <c r="GO401" s="234">
        <f t="shared" si="314"/>
        <v>3470.4816605659289</v>
      </c>
      <c r="GP401" s="234">
        <f t="shared" si="315"/>
        <v>3470.4816605659435</v>
      </c>
      <c r="GQ401" s="234">
        <f t="shared" si="316"/>
        <v>3470.4816605659289</v>
      </c>
      <c r="GR401" s="234">
        <f t="shared" si="317"/>
        <v>3470.4816605659289</v>
      </c>
      <c r="GS401" s="234">
        <f t="shared" si="318"/>
        <v>3470.4816605659435</v>
      </c>
      <c r="GT401" s="189">
        <f t="shared" si="319"/>
        <v>3470.4816605659289</v>
      </c>
      <c r="GU401" s="140"/>
      <c r="GV401" s="177"/>
      <c r="GW401" s="178"/>
      <c r="GX401" s="178"/>
      <c r="GY401" s="178"/>
      <c r="GZ401" s="178"/>
      <c r="HA401" s="219"/>
      <c r="HB401" s="234">
        <f t="shared" si="320"/>
        <v>3119.9279574784659</v>
      </c>
      <c r="HC401" s="234">
        <f t="shared" si="321"/>
        <v>3119.9279574784659</v>
      </c>
      <c r="HD401" s="234">
        <f t="shared" si="322"/>
        <v>3119.927957478465</v>
      </c>
      <c r="HE401" s="234">
        <f t="shared" si="323"/>
        <v>3119.9279574784669</v>
      </c>
      <c r="HF401" s="234">
        <f t="shared" si="324"/>
        <v>3119.9279574784669</v>
      </c>
      <c r="HG401" s="234">
        <f t="shared" si="325"/>
        <v>3119.9279574784632</v>
      </c>
      <c r="HH401" s="234">
        <f t="shared" si="326"/>
        <v>3119.9279574784705</v>
      </c>
      <c r="HI401" s="234">
        <f t="shared" si="327"/>
        <v>3119.9279574784632</v>
      </c>
      <c r="HJ401" s="234">
        <f t="shared" si="328"/>
        <v>3119.9279574784669</v>
      </c>
      <c r="HK401" s="234">
        <f t="shared" si="329"/>
        <v>3119.9279574784669</v>
      </c>
      <c r="HL401" s="234">
        <f t="shared" si="330"/>
        <v>3119.9279574784669</v>
      </c>
      <c r="HM401" s="234">
        <f t="shared" si="331"/>
        <v>3119.9279574784596</v>
      </c>
      <c r="HN401" s="234">
        <f t="shared" si="332"/>
        <v>3119.9279574784669</v>
      </c>
      <c r="HO401" s="234">
        <f t="shared" si="333"/>
        <v>3119.9279574784741</v>
      </c>
      <c r="HP401" s="234">
        <f t="shared" si="334"/>
        <v>3119.9279574784596</v>
      </c>
      <c r="HQ401" s="234">
        <f t="shared" si="335"/>
        <v>3119.9279574784669</v>
      </c>
      <c r="HR401" s="234">
        <f t="shared" si="336"/>
        <v>3119.9279574784741</v>
      </c>
      <c r="HS401" s="234">
        <f t="shared" si="337"/>
        <v>3119.9279574784596</v>
      </c>
      <c r="HT401" s="234">
        <f t="shared" si="338"/>
        <v>3119.9279574784596</v>
      </c>
      <c r="HU401" s="234">
        <f t="shared" si="339"/>
        <v>3119.9279574784741</v>
      </c>
      <c r="HV401" s="234">
        <f t="shared" si="340"/>
        <v>3119.9279574784596</v>
      </c>
      <c r="HW401" s="234">
        <f t="shared" si="341"/>
        <v>3119.9279574784741</v>
      </c>
      <c r="HX401" s="234">
        <f t="shared" si="342"/>
        <v>3119.9279574784596</v>
      </c>
      <c r="HY401" s="234">
        <f t="shared" si="343"/>
        <v>3119.9279574784596</v>
      </c>
      <c r="HZ401" s="234">
        <f t="shared" si="344"/>
        <v>3119.9279574784741</v>
      </c>
      <c r="IA401" s="234">
        <f t="shared" si="345"/>
        <v>3119.9279574784596</v>
      </c>
      <c r="IB401" s="234">
        <f t="shared" si="346"/>
        <v>3119.9279574784741</v>
      </c>
      <c r="IC401" s="234">
        <f t="shared" si="347"/>
        <v>3119.9279574784741</v>
      </c>
      <c r="ID401" s="234">
        <f t="shared" si="348"/>
        <v>3119.927957478445</v>
      </c>
      <c r="IE401" s="189">
        <f t="shared" si="349"/>
        <v>3119.9279574784741</v>
      </c>
      <c r="IF401" s="140"/>
      <c r="IG401" s="177"/>
      <c r="IH401" s="178"/>
      <c r="II401" s="178"/>
      <c r="IJ401" s="178"/>
      <c r="IK401" s="178"/>
      <c r="IL401" s="219"/>
      <c r="IM401" s="234">
        <f t="shared" si="350"/>
        <v>0</v>
      </c>
      <c r="IN401" s="234">
        <f t="shared" si="351"/>
        <v>0</v>
      </c>
      <c r="IO401" s="234">
        <f t="shared" si="352"/>
        <v>0</v>
      </c>
      <c r="IP401" s="234">
        <f t="shared" si="353"/>
        <v>0</v>
      </c>
      <c r="IQ401" s="234">
        <f t="shared" si="354"/>
        <v>0</v>
      </c>
      <c r="IR401" s="234">
        <f t="shared" si="355"/>
        <v>0</v>
      </c>
      <c r="IS401" s="234">
        <f t="shared" si="356"/>
        <v>0</v>
      </c>
      <c r="IT401" s="234">
        <f t="shared" si="357"/>
        <v>0</v>
      </c>
      <c r="IU401" s="234">
        <f t="shared" si="358"/>
        <v>0</v>
      </c>
      <c r="IV401" s="234">
        <f t="shared" si="359"/>
        <v>0</v>
      </c>
      <c r="IW401" s="234">
        <f t="shared" si="360"/>
        <v>0</v>
      </c>
      <c r="IX401" s="234">
        <f t="shared" si="361"/>
        <v>0</v>
      </c>
      <c r="IY401" s="234">
        <f t="shared" si="362"/>
        <v>0</v>
      </c>
      <c r="IZ401" s="234">
        <f t="shared" si="363"/>
        <v>0</v>
      </c>
      <c r="JA401" s="234">
        <f t="shared" si="364"/>
        <v>0</v>
      </c>
      <c r="JB401" s="234">
        <f t="shared" si="365"/>
        <v>0</v>
      </c>
      <c r="JC401" s="234">
        <f t="shared" si="366"/>
        <v>0</v>
      </c>
      <c r="JD401" s="234">
        <f t="shared" si="367"/>
        <v>0</v>
      </c>
      <c r="JE401" s="234">
        <f t="shared" si="368"/>
        <v>0</v>
      </c>
      <c r="JF401" s="234">
        <f t="shared" si="369"/>
        <v>0</v>
      </c>
      <c r="JG401" s="234">
        <f t="shared" si="370"/>
        <v>0</v>
      </c>
      <c r="JH401" s="234">
        <f t="shared" si="371"/>
        <v>0</v>
      </c>
      <c r="JI401" s="234">
        <f t="shared" si="372"/>
        <v>0</v>
      </c>
      <c r="JJ401" s="234">
        <f t="shared" si="373"/>
        <v>0</v>
      </c>
      <c r="JK401" s="234">
        <f t="shared" si="374"/>
        <v>0</v>
      </c>
      <c r="JL401" s="234">
        <f t="shared" si="375"/>
        <v>0</v>
      </c>
      <c r="JM401" s="234">
        <f t="shared" si="376"/>
        <v>0</v>
      </c>
      <c r="JN401" s="234">
        <f t="shared" si="377"/>
        <v>0</v>
      </c>
      <c r="JO401" s="234">
        <f t="shared" si="378"/>
        <v>0</v>
      </c>
      <c r="JP401" s="189">
        <f t="shared" si="379"/>
        <v>0</v>
      </c>
      <c r="JQ401" s="140"/>
      <c r="JR401" s="177"/>
      <c r="JS401" s="178"/>
      <c r="JT401" s="178"/>
      <c r="JU401" s="178"/>
      <c r="JV401" s="178"/>
      <c r="JW401" s="219"/>
      <c r="JX401" s="234">
        <f t="shared" si="380"/>
        <v>0</v>
      </c>
      <c r="JY401" s="234">
        <f t="shared" si="381"/>
        <v>0</v>
      </c>
      <c r="JZ401" s="234">
        <f t="shared" si="382"/>
        <v>0</v>
      </c>
      <c r="KA401" s="234">
        <f t="shared" si="383"/>
        <v>0</v>
      </c>
      <c r="KB401" s="234">
        <f t="shared" si="384"/>
        <v>0</v>
      </c>
      <c r="KC401" s="234">
        <f t="shared" si="385"/>
        <v>0</v>
      </c>
      <c r="KD401" s="234">
        <f t="shared" si="386"/>
        <v>0</v>
      </c>
      <c r="KE401" s="234">
        <f t="shared" si="387"/>
        <v>0</v>
      </c>
      <c r="KF401" s="234">
        <f t="shared" si="388"/>
        <v>0</v>
      </c>
      <c r="KG401" s="234">
        <f t="shared" si="389"/>
        <v>0</v>
      </c>
      <c r="KH401" s="234">
        <f t="shared" si="390"/>
        <v>0</v>
      </c>
      <c r="KI401" s="234">
        <f t="shared" si="391"/>
        <v>0</v>
      </c>
      <c r="KJ401" s="234">
        <f t="shared" si="392"/>
        <v>0</v>
      </c>
      <c r="KK401" s="234">
        <f t="shared" si="393"/>
        <v>0</v>
      </c>
      <c r="KL401" s="234">
        <f t="shared" si="394"/>
        <v>0</v>
      </c>
      <c r="KM401" s="234">
        <f t="shared" si="395"/>
        <v>0</v>
      </c>
      <c r="KN401" s="234">
        <f t="shared" si="396"/>
        <v>0</v>
      </c>
      <c r="KO401" s="234">
        <f t="shared" si="397"/>
        <v>0</v>
      </c>
      <c r="KP401" s="234">
        <f t="shared" si="398"/>
        <v>0</v>
      </c>
      <c r="KQ401" s="234">
        <f t="shared" si="399"/>
        <v>0</v>
      </c>
      <c r="KR401" s="234">
        <f t="shared" si="400"/>
        <v>0</v>
      </c>
      <c r="KS401" s="234">
        <f t="shared" si="401"/>
        <v>0</v>
      </c>
      <c r="KT401" s="234">
        <f t="shared" si="402"/>
        <v>0</v>
      </c>
      <c r="KU401" s="234">
        <f t="shared" si="403"/>
        <v>0</v>
      </c>
      <c r="KV401" s="234">
        <f t="shared" si="404"/>
        <v>0</v>
      </c>
      <c r="KW401" s="234">
        <f t="shared" si="405"/>
        <v>0</v>
      </c>
      <c r="KX401" s="234">
        <f t="shared" si="406"/>
        <v>0</v>
      </c>
      <c r="KY401" s="234">
        <f t="shared" si="407"/>
        <v>0</v>
      </c>
      <c r="KZ401" s="234">
        <f t="shared" si="408"/>
        <v>0</v>
      </c>
      <c r="LA401" s="189">
        <f t="shared" si="409"/>
        <v>0</v>
      </c>
      <c r="LB401" s="140"/>
      <c r="LC401" s="177"/>
      <c r="LD401" s="178"/>
      <c r="LE401" s="178"/>
      <c r="LF401" s="178"/>
      <c r="LG401" s="178"/>
      <c r="LH401" s="219"/>
      <c r="LI401" s="234">
        <f t="shared" si="410"/>
        <v>0</v>
      </c>
      <c r="LJ401" s="234">
        <f t="shared" si="411"/>
        <v>0</v>
      </c>
      <c r="LK401" s="234">
        <f t="shared" si="412"/>
        <v>0</v>
      </c>
      <c r="LL401" s="234">
        <f t="shared" si="413"/>
        <v>0</v>
      </c>
      <c r="LM401" s="234">
        <f t="shared" si="414"/>
        <v>0</v>
      </c>
      <c r="LN401" s="234">
        <f t="shared" si="415"/>
        <v>0</v>
      </c>
      <c r="LO401" s="234">
        <f t="shared" si="416"/>
        <v>0</v>
      </c>
      <c r="LP401" s="234">
        <f t="shared" si="417"/>
        <v>0</v>
      </c>
      <c r="LQ401" s="234">
        <f t="shared" si="418"/>
        <v>0</v>
      </c>
      <c r="LR401" s="234">
        <f t="shared" si="419"/>
        <v>0</v>
      </c>
      <c r="LS401" s="234">
        <f t="shared" si="420"/>
        <v>0</v>
      </c>
      <c r="LT401" s="234">
        <f t="shared" si="421"/>
        <v>0</v>
      </c>
      <c r="LU401" s="234">
        <f t="shared" si="422"/>
        <v>0</v>
      </c>
      <c r="LV401" s="234">
        <f t="shared" si="423"/>
        <v>0</v>
      </c>
      <c r="LW401" s="234">
        <f t="shared" si="424"/>
        <v>0</v>
      </c>
      <c r="LX401" s="234">
        <f t="shared" si="425"/>
        <v>0</v>
      </c>
      <c r="LY401" s="234">
        <f t="shared" si="426"/>
        <v>0</v>
      </c>
      <c r="LZ401" s="234">
        <f t="shared" si="427"/>
        <v>0</v>
      </c>
      <c r="MA401" s="234">
        <f t="shared" si="428"/>
        <v>0</v>
      </c>
      <c r="MB401" s="234">
        <f t="shared" si="429"/>
        <v>0</v>
      </c>
      <c r="MC401" s="234">
        <f t="shared" si="430"/>
        <v>0</v>
      </c>
      <c r="MD401" s="234">
        <f t="shared" si="431"/>
        <v>0</v>
      </c>
      <c r="ME401" s="234">
        <f t="shared" si="432"/>
        <v>0</v>
      </c>
      <c r="MF401" s="234">
        <f t="shared" si="433"/>
        <v>0</v>
      </c>
      <c r="MG401" s="234">
        <f t="shared" si="434"/>
        <v>0</v>
      </c>
      <c r="MH401" s="234">
        <f t="shared" si="435"/>
        <v>0</v>
      </c>
      <c r="MI401" s="234">
        <f t="shared" si="436"/>
        <v>0</v>
      </c>
      <c r="MJ401" s="234">
        <f t="shared" si="437"/>
        <v>0</v>
      </c>
      <c r="MK401" s="234">
        <f t="shared" si="438"/>
        <v>0</v>
      </c>
      <c r="ML401" s="189">
        <f t="shared" si="439"/>
        <v>0</v>
      </c>
    </row>
    <row r="402" spans="2:350" s="4" customFormat="1" ht="18" customHeight="1" x14ac:dyDescent="0.3">
      <c r="C402" s="136" t="s">
        <v>82</v>
      </c>
      <c r="E402" s="137" t="s">
        <v>105</v>
      </c>
      <c r="F402" s="138" t="s">
        <v>105</v>
      </c>
      <c r="H402" s="139"/>
      <c r="I402" s="140"/>
      <c r="J402" s="140"/>
      <c r="K402" s="140"/>
      <c r="L402" s="140"/>
      <c r="M402" s="141"/>
      <c r="N402" s="140"/>
      <c r="O402" s="140"/>
      <c r="P402" s="140"/>
      <c r="Q402" s="140"/>
      <c r="R402" s="140"/>
      <c r="S402" s="139"/>
      <c r="T402" s="140"/>
      <c r="U402" s="140"/>
      <c r="V402" s="140"/>
      <c r="W402" s="140"/>
      <c r="X402" s="140"/>
      <c r="Y402" s="140"/>
      <c r="Z402" s="140"/>
      <c r="AA402" s="140"/>
      <c r="AB402" s="140"/>
      <c r="AC402" s="140"/>
      <c r="AD402" s="140"/>
      <c r="AE402" s="140"/>
      <c r="AF402" s="140"/>
      <c r="AG402" s="140"/>
      <c r="AH402" s="140"/>
      <c r="AI402" s="140"/>
      <c r="AJ402" s="140"/>
      <c r="AK402" s="140"/>
      <c r="AL402" s="140"/>
      <c r="AM402" s="140"/>
      <c r="AN402" s="140"/>
      <c r="AO402" s="140"/>
      <c r="AP402" s="140"/>
      <c r="AQ402" s="140"/>
      <c r="AR402" s="140"/>
      <c r="AS402" s="140"/>
      <c r="AT402" s="140"/>
      <c r="AU402" s="140"/>
      <c r="AV402" s="140"/>
      <c r="AW402" s="140"/>
      <c r="AX402" s="140"/>
      <c r="AY402" s="140"/>
      <c r="AZ402" s="140"/>
      <c r="BA402" s="140"/>
      <c r="BB402" s="141"/>
      <c r="BC402" s="140"/>
      <c r="BD402" s="177"/>
      <c r="BE402" s="178"/>
      <c r="BF402" s="178"/>
      <c r="BG402" s="178"/>
      <c r="BH402" s="178"/>
      <c r="BI402" s="219"/>
      <c r="BJ402" s="234">
        <f t="shared" si="200"/>
        <v>821.50781818181804</v>
      </c>
      <c r="BK402" s="234">
        <f t="shared" si="201"/>
        <v>821.50781818181804</v>
      </c>
      <c r="BL402" s="234">
        <f t="shared" si="202"/>
        <v>821.50781818181758</v>
      </c>
      <c r="BM402" s="234">
        <f t="shared" si="203"/>
        <v>821.50781818181849</v>
      </c>
      <c r="BN402" s="234">
        <f t="shared" si="204"/>
        <v>821.50781818181804</v>
      </c>
      <c r="BO402" s="234">
        <f t="shared" si="205"/>
        <v>821.50781818181713</v>
      </c>
      <c r="BP402" s="234">
        <f t="shared" si="206"/>
        <v>821.50781818181804</v>
      </c>
      <c r="BQ402" s="234">
        <f t="shared" si="207"/>
        <v>821.50781818181895</v>
      </c>
      <c r="BR402" s="234">
        <f t="shared" si="208"/>
        <v>821.50781818181804</v>
      </c>
      <c r="BS402" s="234">
        <f t="shared" si="209"/>
        <v>821.50781818181804</v>
      </c>
      <c r="BT402" s="234">
        <f t="shared" si="210"/>
        <v>821.50781818181713</v>
      </c>
      <c r="BU402" s="234">
        <f t="shared" si="211"/>
        <v>821.50781818181713</v>
      </c>
      <c r="BV402" s="234">
        <f t="shared" si="212"/>
        <v>821.50781818181895</v>
      </c>
      <c r="BW402" s="234">
        <f t="shared" si="213"/>
        <v>821.50781818181713</v>
      </c>
      <c r="BX402" s="234">
        <f t="shared" si="214"/>
        <v>821.50781818181895</v>
      </c>
      <c r="BY402" s="234">
        <f t="shared" si="215"/>
        <v>821.50781818181895</v>
      </c>
      <c r="BZ402" s="234">
        <f t="shared" si="216"/>
        <v>821.50781818181713</v>
      </c>
      <c r="CA402" s="234">
        <f t="shared" si="217"/>
        <v>821.50781818181895</v>
      </c>
      <c r="CB402" s="234">
        <f t="shared" si="218"/>
        <v>821.50781818181713</v>
      </c>
      <c r="CC402" s="234">
        <f t="shared" si="219"/>
        <v>821.50781818181895</v>
      </c>
      <c r="CD402" s="234">
        <f t="shared" si="220"/>
        <v>821.50781818181349</v>
      </c>
      <c r="CE402" s="234">
        <f t="shared" si="221"/>
        <v>821.50781818182077</v>
      </c>
      <c r="CF402" s="234">
        <f t="shared" si="222"/>
        <v>821.50781818182077</v>
      </c>
      <c r="CG402" s="234">
        <f t="shared" si="223"/>
        <v>821.50781818181349</v>
      </c>
      <c r="CH402" s="234">
        <f t="shared" si="224"/>
        <v>821.50781818182077</v>
      </c>
      <c r="CI402" s="234">
        <f t="shared" si="225"/>
        <v>821.50781818181713</v>
      </c>
      <c r="CJ402" s="234">
        <f t="shared" si="226"/>
        <v>821.50781818182077</v>
      </c>
      <c r="CK402" s="234">
        <f t="shared" si="227"/>
        <v>821.50781818181349</v>
      </c>
      <c r="CL402" s="234">
        <f t="shared" si="228"/>
        <v>821.50781818182077</v>
      </c>
      <c r="CM402" s="189">
        <f t="shared" si="229"/>
        <v>821.50781818181713</v>
      </c>
      <c r="CN402" s="140"/>
      <c r="CO402" s="177"/>
      <c r="CP402" s="178"/>
      <c r="CQ402" s="178"/>
      <c r="CR402" s="178"/>
      <c r="CS402" s="178"/>
      <c r="CT402" s="219"/>
      <c r="CU402" s="234">
        <f t="shared" si="230"/>
        <v>1170.999</v>
      </c>
      <c r="CV402" s="234">
        <f t="shared" si="231"/>
        <v>1170.999</v>
      </c>
      <c r="CW402" s="234">
        <f t="shared" si="232"/>
        <v>1170.9989999999993</v>
      </c>
      <c r="CX402" s="234">
        <f t="shared" si="233"/>
        <v>1170.9990000000007</v>
      </c>
      <c r="CY402" s="234">
        <f t="shared" si="234"/>
        <v>1170.9989999999998</v>
      </c>
      <c r="CZ402" s="234">
        <f t="shared" si="235"/>
        <v>1170.9989999999989</v>
      </c>
      <c r="DA402" s="234">
        <f t="shared" si="236"/>
        <v>1170.9990000000016</v>
      </c>
      <c r="DB402" s="234">
        <f t="shared" si="237"/>
        <v>1170.9989999999998</v>
      </c>
      <c r="DC402" s="234">
        <f t="shared" si="238"/>
        <v>1170.998999999998</v>
      </c>
      <c r="DD402" s="234">
        <f t="shared" si="239"/>
        <v>1170.9990000000016</v>
      </c>
      <c r="DE402" s="234">
        <f t="shared" si="240"/>
        <v>1170.9989999999998</v>
      </c>
      <c r="DF402" s="234">
        <f t="shared" si="241"/>
        <v>1170.998999999998</v>
      </c>
      <c r="DG402" s="234">
        <f t="shared" si="242"/>
        <v>1170.9990000000016</v>
      </c>
      <c r="DH402" s="234">
        <f t="shared" si="243"/>
        <v>1170.9990000000016</v>
      </c>
      <c r="DI402" s="234">
        <f t="shared" si="244"/>
        <v>1170.9989999999962</v>
      </c>
      <c r="DJ402" s="234">
        <f t="shared" si="245"/>
        <v>1170.9990000000034</v>
      </c>
      <c r="DK402" s="234">
        <f t="shared" si="246"/>
        <v>1170.9989999999962</v>
      </c>
      <c r="DL402" s="234">
        <f t="shared" si="247"/>
        <v>1170.9989999999998</v>
      </c>
      <c r="DM402" s="234">
        <f t="shared" si="248"/>
        <v>1170.9990000000034</v>
      </c>
      <c r="DN402" s="234">
        <f t="shared" si="249"/>
        <v>1170.9989999999998</v>
      </c>
      <c r="DO402" s="234">
        <f t="shared" si="250"/>
        <v>1170.9989999999962</v>
      </c>
      <c r="DP402" s="234">
        <f t="shared" si="251"/>
        <v>1170.9990000000034</v>
      </c>
      <c r="DQ402" s="234">
        <f t="shared" si="252"/>
        <v>1170.9990000000034</v>
      </c>
      <c r="DR402" s="234">
        <f t="shared" si="253"/>
        <v>1170.9989999999925</v>
      </c>
      <c r="DS402" s="234">
        <f t="shared" si="254"/>
        <v>1170.9990000000034</v>
      </c>
      <c r="DT402" s="234">
        <f t="shared" si="255"/>
        <v>1170.9989999999998</v>
      </c>
      <c r="DU402" s="234">
        <f t="shared" si="256"/>
        <v>1170.9989999999998</v>
      </c>
      <c r="DV402" s="234">
        <f t="shared" si="257"/>
        <v>1170.9990000000034</v>
      </c>
      <c r="DW402" s="234">
        <f t="shared" si="258"/>
        <v>1170.9989999999962</v>
      </c>
      <c r="DX402" s="189">
        <f t="shared" si="259"/>
        <v>1170.9989999999962</v>
      </c>
      <c r="DY402" s="140"/>
      <c r="DZ402" s="177"/>
      <c r="EA402" s="178"/>
      <c r="EB402" s="178"/>
      <c r="EC402" s="178"/>
      <c r="ED402" s="178"/>
      <c r="EE402" s="219"/>
      <c r="EF402" s="234">
        <f t="shared" si="260"/>
        <v>1001.289</v>
      </c>
      <c r="EG402" s="234">
        <f t="shared" si="261"/>
        <v>1001.289</v>
      </c>
      <c r="EH402" s="234">
        <f t="shared" si="262"/>
        <v>1001.2890000000002</v>
      </c>
      <c r="EI402" s="234">
        <f t="shared" si="263"/>
        <v>1001.2889999999998</v>
      </c>
      <c r="EJ402" s="234">
        <f t="shared" si="264"/>
        <v>1001.2889999999998</v>
      </c>
      <c r="EK402" s="234">
        <f t="shared" si="265"/>
        <v>1001.2890000000007</v>
      </c>
      <c r="EL402" s="234">
        <f t="shared" si="266"/>
        <v>1001.2889999999989</v>
      </c>
      <c r="EM402" s="234">
        <f t="shared" si="267"/>
        <v>1001.2890000000007</v>
      </c>
      <c r="EN402" s="234">
        <f t="shared" si="268"/>
        <v>1001.2889999999989</v>
      </c>
      <c r="EO402" s="234">
        <f t="shared" si="269"/>
        <v>1001.2890000000007</v>
      </c>
      <c r="EP402" s="234">
        <f t="shared" si="270"/>
        <v>1001.2890000000007</v>
      </c>
      <c r="EQ402" s="234">
        <f t="shared" si="271"/>
        <v>1001.2890000000007</v>
      </c>
      <c r="ER402" s="234">
        <f t="shared" si="272"/>
        <v>1001.2889999999989</v>
      </c>
      <c r="ES402" s="234">
        <f t="shared" si="273"/>
        <v>1001.2889999999989</v>
      </c>
      <c r="ET402" s="234">
        <f t="shared" si="274"/>
        <v>1001.2890000000007</v>
      </c>
      <c r="EU402" s="234">
        <f t="shared" si="275"/>
        <v>1001.2890000000007</v>
      </c>
      <c r="EV402" s="234">
        <f t="shared" si="276"/>
        <v>1001.2890000000007</v>
      </c>
      <c r="EW402" s="234">
        <f t="shared" si="277"/>
        <v>1001.288999999997</v>
      </c>
      <c r="EX402" s="234">
        <f t="shared" si="278"/>
        <v>1001.2890000000007</v>
      </c>
      <c r="EY402" s="234">
        <f t="shared" si="279"/>
        <v>1001.2890000000007</v>
      </c>
      <c r="EZ402" s="234">
        <f t="shared" si="280"/>
        <v>1001.2890000000007</v>
      </c>
      <c r="FA402" s="234">
        <f t="shared" si="281"/>
        <v>1001.2890000000007</v>
      </c>
      <c r="FB402" s="234">
        <f t="shared" si="282"/>
        <v>1001.288999999997</v>
      </c>
      <c r="FC402" s="234">
        <f t="shared" si="283"/>
        <v>1001.2890000000043</v>
      </c>
      <c r="FD402" s="234">
        <f t="shared" si="284"/>
        <v>1001.288999999997</v>
      </c>
      <c r="FE402" s="234">
        <f t="shared" si="285"/>
        <v>1001.2890000000007</v>
      </c>
      <c r="FF402" s="234">
        <f t="shared" si="286"/>
        <v>1001.2890000000007</v>
      </c>
      <c r="FG402" s="234">
        <f t="shared" si="287"/>
        <v>1001.288999999997</v>
      </c>
      <c r="FH402" s="234">
        <f t="shared" si="288"/>
        <v>1001.2890000000043</v>
      </c>
      <c r="FI402" s="189">
        <f t="shared" si="289"/>
        <v>1001.288999999997</v>
      </c>
      <c r="FJ402" s="140"/>
      <c r="FK402" s="177"/>
      <c r="FL402" s="178"/>
      <c r="FM402" s="178"/>
      <c r="FN402" s="178"/>
      <c r="FO402" s="178"/>
      <c r="FP402" s="219"/>
      <c r="FQ402" s="234">
        <f t="shared" si="290"/>
        <v>1242.7938787878784</v>
      </c>
      <c r="FR402" s="234">
        <f t="shared" si="291"/>
        <v>1242.7938787878784</v>
      </c>
      <c r="FS402" s="234">
        <f t="shared" si="292"/>
        <v>1242.7938787878788</v>
      </c>
      <c r="FT402" s="234">
        <f t="shared" si="293"/>
        <v>1242.7938787878779</v>
      </c>
      <c r="FU402" s="234">
        <f t="shared" si="294"/>
        <v>1242.7938787878784</v>
      </c>
      <c r="FV402" s="234">
        <f t="shared" si="295"/>
        <v>1242.7938787878793</v>
      </c>
      <c r="FW402" s="234">
        <f t="shared" si="296"/>
        <v>1242.7938787878784</v>
      </c>
      <c r="FX402" s="234">
        <f t="shared" si="297"/>
        <v>1242.7938787878775</v>
      </c>
      <c r="FY402" s="234">
        <f t="shared" si="298"/>
        <v>1242.7938787878775</v>
      </c>
      <c r="FZ402" s="234">
        <f t="shared" si="299"/>
        <v>1242.7938787878793</v>
      </c>
      <c r="GA402" s="234">
        <f t="shared" si="300"/>
        <v>1242.7938787878793</v>
      </c>
      <c r="GB402" s="234">
        <f t="shared" si="301"/>
        <v>1242.7938787878793</v>
      </c>
      <c r="GC402" s="234">
        <f t="shared" si="302"/>
        <v>1242.7938787878757</v>
      </c>
      <c r="GD402" s="234">
        <f t="shared" si="303"/>
        <v>1242.7938787878811</v>
      </c>
      <c r="GE402" s="234">
        <f t="shared" si="304"/>
        <v>1242.7938787878775</v>
      </c>
      <c r="GF402" s="234">
        <f t="shared" si="305"/>
        <v>1242.7938787878775</v>
      </c>
      <c r="GG402" s="234">
        <f t="shared" si="306"/>
        <v>1242.7938787878775</v>
      </c>
      <c r="GH402" s="234">
        <f t="shared" si="307"/>
        <v>1242.7938787878775</v>
      </c>
      <c r="GI402" s="234">
        <f t="shared" si="308"/>
        <v>1242.7938787878811</v>
      </c>
      <c r="GJ402" s="234">
        <f t="shared" si="309"/>
        <v>1242.7938787878775</v>
      </c>
      <c r="GK402" s="234">
        <f t="shared" si="310"/>
        <v>1242.7938787878775</v>
      </c>
      <c r="GL402" s="234">
        <f t="shared" si="311"/>
        <v>1242.7938787878811</v>
      </c>
      <c r="GM402" s="234">
        <f t="shared" si="312"/>
        <v>1242.7938787878775</v>
      </c>
      <c r="GN402" s="234">
        <f t="shared" si="313"/>
        <v>1242.7938787878811</v>
      </c>
      <c r="GO402" s="234">
        <f t="shared" si="314"/>
        <v>1242.7938787878738</v>
      </c>
      <c r="GP402" s="234">
        <f t="shared" si="315"/>
        <v>1242.7938787878775</v>
      </c>
      <c r="GQ402" s="234">
        <f t="shared" si="316"/>
        <v>1242.7938787878811</v>
      </c>
      <c r="GR402" s="234">
        <f t="shared" si="317"/>
        <v>1242.7938787878811</v>
      </c>
      <c r="GS402" s="234">
        <f t="shared" si="318"/>
        <v>1242.7938787878811</v>
      </c>
      <c r="GT402" s="189">
        <f t="shared" si="319"/>
        <v>1242.7938787878738</v>
      </c>
      <c r="GU402" s="140"/>
      <c r="GV402" s="177"/>
      <c r="GW402" s="178"/>
      <c r="GX402" s="178"/>
      <c r="GY402" s="178"/>
      <c r="GZ402" s="178"/>
      <c r="HA402" s="219"/>
      <c r="HB402" s="234">
        <f t="shared" si="320"/>
        <v>1032.1508484848482</v>
      </c>
      <c r="HC402" s="234">
        <f t="shared" si="321"/>
        <v>1032.1508484848482</v>
      </c>
      <c r="HD402" s="234">
        <f t="shared" si="322"/>
        <v>1032.1508484848482</v>
      </c>
      <c r="HE402" s="234">
        <f t="shared" si="323"/>
        <v>1032.1508484848482</v>
      </c>
      <c r="HF402" s="234">
        <f t="shared" si="324"/>
        <v>1032.1508484848491</v>
      </c>
      <c r="HG402" s="234">
        <f t="shared" si="325"/>
        <v>1032.1508484848473</v>
      </c>
      <c r="HH402" s="234">
        <f t="shared" si="326"/>
        <v>1032.1508484848482</v>
      </c>
      <c r="HI402" s="234">
        <f t="shared" si="327"/>
        <v>1032.1508484848482</v>
      </c>
      <c r="HJ402" s="234">
        <f t="shared" si="328"/>
        <v>1032.1508484848473</v>
      </c>
      <c r="HK402" s="234">
        <f t="shared" si="329"/>
        <v>1032.1508484848509</v>
      </c>
      <c r="HL402" s="234">
        <f t="shared" si="330"/>
        <v>1032.1508484848473</v>
      </c>
      <c r="HM402" s="234">
        <f t="shared" si="331"/>
        <v>1032.1508484848473</v>
      </c>
      <c r="HN402" s="234">
        <f t="shared" si="332"/>
        <v>1032.1508484848491</v>
      </c>
      <c r="HO402" s="234">
        <f t="shared" si="333"/>
        <v>1032.1508484848473</v>
      </c>
      <c r="HP402" s="234">
        <f t="shared" si="334"/>
        <v>1032.1508484848473</v>
      </c>
      <c r="HQ402" s="234">
        <f t="shared" si="335"/>
        <v>1032.1508484848491</v>
      </c>
      <c r="HR402" s="234">
        <f t="shared" si="336"/>
        <v>1032.1508484848491</v>
      </c>
      <c r="HS402" s="234">
        <f t="shared" si="337"/>
        <v>1032.1508484848455</v>
      </c>
      <c r="HT402" s="234">
        <f t="shared" si="338"/>
        <v>1032.1508484848491</v>
      </c>
      <c r="HU402" s="234">
        <f t="shared" si="339"/>
        <v>1032.1508484848528</v>
      </c>
      <c r="HV402" s="234">
        <f t="shared" si="340"/>
        <v>1032.1508484848418</v>
      </c>
      <c r="HW402" s="234">
        <f t="shared" si="341"/>
        <v>1032.1508484848528</v>
      </c>
      <c r="HX402" s="234">
        <f t="shared" si="342"/>
        <v>1032.1508484848455</v>
      </c>
      <c r="HY402" s="234">
        <f t="shared" si="343"/>
        <v>1032.1508484848491</v>
      </c>
      <c r="HZ402" s="234">
        <f t="shared" si="344"/>
        <v>1032.1508484848491</v>
      </c>
      <c r="IA402" s="234">
        <f t="shared" si="345"/>
        <v>1032.1508484848491</v>
      </c>
      <c r="IB402" s="234">
        <f t="shared" si="346"/>
        <v>1032.1508484848455</v>
      </c>
      <c r="IC402" s="234">
        <f t="shared" si="347"/>
        <v>1032.1508484848491</v>
      </c>
      <c r="ID402" s="234">
        <f t="shared" si="348"/>
        <v>1032.1508484848455</v>
      </c>
      <c r="IE402" s="189">
        <f t="shared" si="349"/>
        <v>1032.1508484848491</v>
      </c>
      <c r="IF402" s="140"/>
      <c r="IG402" s="177"/>
      <c r="IH402" s="178"/>
      <c r="II402" s="178"/>
      <c r="IJ402" s="178"/>
      <c r="IK402" s="178"/>
      <c r="IL402" s="219"/>
      <c r="IM402" s="234">
        <f t="shared" si="350"/>
        <v>0</v>
      </c>
      <c r="IN402" s="234">
        <f t="shared" si="351"/>
        <v>0</v>
      </c>
      <c r="IO402" s="234">
        <f t="shared" si="352"/>
        <v>0</v>
      </c>
      <c r="IP402" s="234">
        <f t="shared" si="353"/>
        <v>0</v>
      </c>
      <c r="IQ402" s="234">
        <f t="shared" si="354"/>
        <v>0</v>
      </c>
      <c r="IR402" s="234">
        <f t="shared" si="355"/>
        <v>0</v>
      </c>
      <c r="IS402" s="234">
        <f t="shared" si="356"/>
        <v>0</v>
      </c>
      <c r="IT402" s="234">
        <f t="shared" si="357"/>
        <v>0</v>
      </c>
      <c r="IU402" s="234">
        <f t="shared" si="358"/>
        <v>0</v>
      </c>
      <c r="IV402" s="234">
        <f t="shared" si="359"/>
        <v>0</v>
      </c>
      <c r="IW402" s="234">
        <f t="shared" si="360"/>
        <v>0</v>
      </c>
      <c r="IX402" s="234">
        <f t="shared" si="361"/>
        <v>0</v>
      </c>
      <c r="IY402" s="234">
        <f t="shared" si="362"/>
        <v>0</v>
      </c>
      <c r="IZ402" s="234">
        <f t="shared" si="363"/>
        <v>0</v>
      </c>
      <c r="JA402" s="234">
        <f t="shared" si="364"/>
        <v>0</v>
      </c>
      <c r="JB402" s="234">
        <f t="shared" si="365"/>
        <v>0</v>
      </c>
      <c r="JC402" s="234">
        <f t="shared" si="366"/>
        <v>0</v>
      </c>
      <c r="JD402" s="234">
        <f t="shared" si="367"/>
        <v>0</v>
      </c>
      <c r="JE402" s="234">
        <f t="shared" si="368"/>
        <v>0</v>
      </c>
      <c r="JF402" s="234">
        <f t="shared" si="369"/>
        <v>0</v>
      </c>
      <c r="JG402" s="234">
        <f t="shared" si="370"/>
        <v>0</v>
      </c>
      <c r="JH402" s="234">
        <f t="shared" si="371"/>
        <v>0</v>
      </c>
      <c r="JI402" s="234">
        <f t="shared" si="372"/>
        <v>0</v>
      </c>
      <c r="JJ402" s="234">
        <f t="shared" si="373"/>
        <v>0</v>
      </c>
      <c r="JK402" s="234">
        <f t="shared" si="374"/>
        <v>0</v>
      </c>
      <c r="JL402" s="234">
        <f t="shared" si="375"/>
        <v>0</v>
      </c>
      <c r="JM402" s="234">
        <f t="shared" si="376"/>
        <v>0</v>
      </c>
      <c r="JN402" s="234">
        <f t="shared" si="377"/>
        <v>0</v>
      </c>
      <c r="JO402" s="234">
        <f t="shared" si="378"/>
        <v>0</v>
      </c>
      <c r="JP402" s="189">
        <f t="shared" si="379"/>
        <v>0</v>
      </c>
      <c r="JQ402" s="140"/>
      <c r="JR402" s="177"/>
      <c r="JS402" s="178"/>
      <c r="JT402" s="178"/>
      <c r="JU402" s="178"/>
      <c r="JV402" s="178"/>
      <c r="JW402" s="219"/>
      <c r="JX402" s="234">
        <f t="shared" si="380"/>
        <v>0</v>
      </c>
      <c r="JY402" s="234">
        <f t="shared" si="381"/>
        <v>0</v>
      </c>
      <c r="JZ402" s="234">
        <f t="shared" si="382"/>
        <v>0</v>
      </c>
      <c r="KA402" s="234">
        <f t="shared" si="383"/>
        <v>0</v>
      </c>
      <c r="KB402" s="234">
        <f t="shared" si="384"/>
        <v>0</v>
      </c>
      <c r="KC402" s="234">
        <f t="shared" si="385"/>
        <v>0</v>
      </c>
      <c r="KD402" s="234">
        <f t="shared" si="386"/>
        <v>0</v>
      </c>
      <c r="KE402" s="234">
        <f t="shared" si="387"/>
        <v>0</v>
      </c>
      <c r="KF402" s="234">
        <f t="shared" si="388"/>
        <v>0</v>
      </c>
      <c r="KG402" s="234">
        <f t="shared" si="389"/>
        <v>0</v>
      </c>
      <c r="KH402" s="234">
        <f t="shared" si="390"/>
        <v>0</v>
      </c>
      <c r="KI402" s="234">
        <f t="shared" si="391"/>
        <v>0</v>
      </c>
      <c r="KJ402" s="234">
        <f t="shared" si="392"/>
        <v>0</v>
      </c>
      <c r="KK402" s="234">
        <f t="shared" si="393"/>
        <v>0</v>
      </c>
      <c r="KL402" s="234">
        <f t="shared" si="394"/>
        <v>0</v>
      </c>
      <c r="KM402" s="234">
        <f t="shared" si="395"/>
        <v>0</v>
      </c>
      <c r="KN402" s="234">
        <f t="shared" si="396"/>
        <v>0</v>
      </c>
      <c r="KO402" s="234">
        <f t="shared" si="397"/>
        <v>0</v>
      </c>
      <c r="KP402" s="234">
        <f t="shared" si="398"/>
        <v>0</v>
      </c>
      <c r="KQ402" s="234">
        <f t="shared" si="399"/>
        <v>0</v>
      </c>
      <c r="KR402" s="234">
        <f t="shared" si="400"/>
        <v>0</v>
      </c>
      <c r="KS402" s="234">
        <f t="shared" si="401"/>
        <v>0</v>
      </c>
      <c r="KT402" s="234">
        <f t="shared" si="402"/>
        <v>0</v>
      </c>
      <c r="KU402" s="234">
        <f t="shared" si="403"/>
        <v>0</v>
      </c>
      <c r="KV402" s="234">
        <f t="shared" si="404"/>
        <v>0</v>
      </c>
      <c r="KW402" s="234">
        <f t="shared" si="405"/>
        <v>0</v>
      </c>
      <c r="KX402" s="234">
        <f t="shared" si="406"/>
        <v>0</v>
      </c>
      <c r="KY402" s="234">
        <f t="shared" si="407"/>
        <v>0</v>
      </c>
      <c r="KZ402" s="234">
        <f t="shared" si="408"/>
        <v>0</v>
      </c>
      <c r="LA402" s="189">
        <f t="shared" si="409"/>
        <v>0</v>
      </c>
      <c r="LB402" s="140"/>
      <c r="LC402" s="177"/>
      <c r="LD402" s="178"/>
      <c r="LE402" s="178"/>
      <c r="LF402" s="178"/>
      <c r="LG402" s="178"/>
      <c r="LH402" s="219"/>
      <c r="LI402" s="234">
        <f t="shared" si="410"/>
        <v>0</v>
      </c>
      <c r="LJ402" s="234">
        <f t="shared" si="411"/>
        <v>0</v>
      </c>
      <c r="LK402" s="234">
        <f t="shared" si="412"/>
        <v>0</v>
      </c>
      <c r="LL402" s="234">
        <f t="shared" si="413"/>
        <v>0</v>
      </c>
      <c r="LM402" s="234">
        <f t="shared" si="414"/>
        <v>0</v>
      </c>
      <c r="LN402" s="234">
        <f t="shared" si="415"/>
        <v>0</v>
      </c>
      <c r="LO402" s="234">
        <f t="shared" si="416"/>
        <v>0</v>
      </c>
      <c r="LP402" s="234">
        <f t="shared" si="417"/>
        <v>0</v>
      </c>
      <c r="LQ402" s="234">
        <f t="shared" si="418"/>
        <v>0</v>
      </c>
      <c r="LR402" s="234">
        <f t="shared" si="419"/>
        <v>0</v>
      </c>
      <c r="LS402" s="234">
        <f t="shared" si="420"/>
        <v>0</v>
      </c>
      <c r="LT402" s="234">
        <f t="shared" si="421"/>
        <v>0</v>
      </c>
      <c r="LU402" s="234">
        <f t="shared" si="422"/>
        <v>0</v>
      </c>
      <c r="LV402" s="234">
        <f t="shared" si="423"/>
        <v>0</v>
      </c>
      <c r="LW402" s="234">
        <f t="shared" si="424"/>
        <v>0</v>
      </c>
      <c r="LX402" s="234">
        <f t="shared" si="425"/>
        <v>0</v>
      </c>
      <c r="LY402" s="234">
        <f t="shared" si="426"/>
        <v>0</v>
      </c>
      <c r="LZ402" s="234">
        <f t="shared" si="427"/>
        <v>0</v>
      </c>
      <c r="MA402" s="234">
        <f t="shared" si="428"/>
        <v>0</v>
      </c>
      <c r="MB402" s="234">
        <f t="shared" si="429"/>
        <v>0</v>
      </c>
      <c r="MC402" s="234">
        <f t="shared" si="430"/>
        <v>0</v>
      </c>
      <c r="MD402" s="234">
        <f t="shared" si="431"/>
        <v>0</v>
      </c>
      <c r="ME402" s="234">
        <f t="shared" si="432"/>
        <v>0</v>
      </c>
      <c r="MF402" s="234">
        <f t="shared" si="433"/>
        <v>0</v>
      </c>
      <c r="MG402" s="234">
        <f t="shared" si="434"/>
        <v>0</v>
      </c>
      <c r="MH402" s="234">
        <f t="shared" si="435"/>
        <v>0</v>
      </c>
      <c r="MI402" s="234">
        <f t="shared" si="436"/>
        <v>0</v>
      </c>
      <c r="MJ402" s="234">
        <f t="shared" si="437"/>
        <v>0</v>
      </c>
      <c r="MK402" s="234">
        <f t="shared" si="438"/>
        <v>0</v>
      </c>
      <c r="ML402" s="189">
        <f t="shared" si="439"/>
        <v>0</v>
      </c>
    </row>
    <row r="403" spans="2:350" s="4" customFormat="1" ht="18" customHeight="1" x14ac:dyDescent="0.3">
      <c r="C403" s="136" t="s">
        <v>83</v>
      </c>
      <c r="E403" s="137" t="s">
        <v>105</v>
      </c>
      <c r="F403" s="138" t="s">
        <v>105</v>
      </c>
      <c r="H403" s="139"/>
      <c r="I403" s="140"/>
      <c r="J403" s="140"/>
      <c r="K403" s="140"/>
      <c r="L403" s="140"/>
      <c r="M403" s="141"/>
      <c r="N403" s="140"/>
      <c r="O403" s="140"/>
      <c r="P403" s="140"/>
      <c r="Q403" s="140"/>
      <c r="R403" s="140"/>
      <c r="S403" s="139"/>
      <c r="T403" s="140"/>
      <c r="U403" s="140"/>
      <c r="V403" s="140"/>
      <c r="W403" s="140"/>
      <c r="X403" s="140"/>
      <c r="Y403" s="140"/>
      <c r="Z403" s="140"/>
      <c r="AA403" s="140"/>
      <c r="AB403" s="140"/>
      <c r="AC403" s="140"/>
      <c r="AD403" s="140"/>
      <c r="AE403" s="140"/>
      <c r="AF403" s="140"/>
      <c r="AG403" s="140"/>
      <c r="AH403" s="140"/>
      <c r="AI403" s="140"/>
      <c r="AJ403" s="140"/>
      <c r="AK403" s="140"/>
      <c r="AL403" s="140"/>
      <c r="AM403" s="140"/>
      <c r="AN403" s="140"/>
      <c r="AO403" s="140"/>
      <c r="AP403" s="140"/>
      <c r="AQ403" s="140"/>
      <c r="AR403" s="140"/>
      <c r="AS403" s="140"/>
      <c r="AT403" s="140"/>
      <c r="AU403" s="140"/>
      <c r="AV403" s="140"/>
      <c r="AW403" s="140"/>
      <c r="AX403" s="140"/>
      <c r="AY403" s="140"/>
      <c r="AZ403" s="140"/>
      <c r="BA403" s="140"/>
      <c r="BB403" s="141"/>
      <c r="BC403" s="140"/>
      <c r="BD403" s="177"/>
      <c r="BE403" s="178"/>
      <c r="BF403" s="178"/>
      <c r="BG403" s="178"/>
      <c r="BH403" s="178"/>
      <c r="BI403" s="219"/>
      <c r="BJ403" s="234">
        <f t="shared" si="200"/>
        <v>494.10199999999992</v>
      </c>
      <c r="BK403" s="234">
        <f t="shared" si="201"/>
        <v>494.10199999999992</v>
      </c>
      <c r="BL403" s="234">
        <f t="shared" si="202"/>
        <v>494.10199999999998</v>
      </c>
      <c r="BM403" s="234">
        <f t="shared" si="203"/>
        <v>494.10199999999986</v>
      </c>
      <c r="BN403" s="234">
        <f t="shared" si="204"/>
        <v>494.10200000000009</v>
      </c>
      <c r="BO403" s="234">
        <f t="shared" si="205"/>
        <v>494.10199999999986</v>
      </c>
      <c r="BP403" s="234">
        <f t="shared" si="206"/>
        <v>494.10200000000032</v>
      </c>
      <c r="BQ403" s="234">
        <f t="shared" si="207"/>
        <v>494.10199999999941</v>
      </c>
      <c r="BR403" s="234">
        <f t="shared" si="208"/>
        <v>494.10200000000032</v>
      </c>
      <c r="BS403" s="234">
        <f t="shared" si="209"/>
        <v>494.10199999999986</v>
      </c>
      <c r="BT403" s="234">
        <f t="shared" si="210"/>
        <v>494.10200000000077</v>
      </c>
      <c r="BU403" s="234">
        <f t="shared" si="211"/>
        <v>494.10199999999895</v>
      </c>
      <c r="BV403" s="234">
        <f t="shared" si="212"/>
        <v>494.10199999999986</v>
      </c>
      <c r="BW403" s="234">
        <f t="shared" si="213"/>
        <v>494.10200000000077</v>
      </c>
      <c r="BX403" s="234">
        <f t="shared" si="214"/>
        <v>494.10199999999986</v>
      </c>
      <c r="BY403" s="234">
        <f t="shared" si="215"/>
        <v>494.10199999999895</v>
      </c>
      <c r="BZ403" s="234">
        <f t="shared" si="216"/>
        <v>494.10200000000168</v>
      </c>
      <c r="CA403" s="234">
        <f t="shared" si="217"/>
        <v>494.10199999999895</v>
      </c>
      <c r="CB403" s="234">
        <f t="shared" si="218"/>
        <v>494.10200000000077</v>
      </c>
      <c r="CC403" s="234">
        <f t="shared" si="219"/>
        <v>494.10199999999895</v>
      </c>
      <c r="CD403" s="234">
        <f t="shared" si="220"/>
        <v>494.10200000000077</v>
      </c>
      <c r="CE403" s="234">
        <f t="shared" si="221"/>
        <v>494.10200000000077</v>
      </c>
      <c r="CF403" s="234">
        <f t="shared" si="222"/>
        <v>494.10199999999895</v>
      </c>
      <c r="CG403" s="234">
        <f t="shared" si="223"/>
        <v>494.10199999999895</v>
      </c>
      <c r="CH403" s="234">
        <f t="shared" si="224"/>
        <v>494.10200000000077</v>
      </c>
      <c r="CI403" s="234">
        <f t="shared" si="225"/>
        <v>494.10199999999895</v>
      </c>
      <c r="CJ403" s="234">
        <f t="shared" si="226"/>
        <v>494.10199999999895</v>
      </c>
      <c r="CK403" s="234">
        <f t="shared" si="227"/>
        <v>494.10200000000259</v>
      </c>
      <c r="CL403" s="234">
        <f t="shared" si="228"/>
        <v>494.10199999999895</v>
      </c>
      <c r="CM403" s="189">
        <f t="shared" si="229"/>
        <v>494.10200000000077</v>
      </c>
      <c r="CN403" s="140"/>
      <c r="CO403" s="177"/>
      <c r="CP403" s="178"/>
      <c r="CQ403" s="178"/>
      <c r="CR403" s="178"/>
      <c r="CS403" s="178"/>
      <c r="CT403" s="219"/>
      <c r="CU403" s="234">
        <f t="shared" si="230"/>
        <v>749.67200000000003</v>
      </c>
      <c r="CV403" s="234">
        <f t="shared" si="231"/>
        <v>749.67200000000003</v>
      </c>
      <c r="CW403" s="234">
        <f t="shared" si="232"/>
        <v>749.67200000000003</v>
      </c>
      <c r="CX403" s="234">
        <f t="shared" si="233"/>
        <v>749.67200000000003</v>
      </c>
      <c r="CY403" s="234">
        <f t="shared" si="234"/>
        <v>749.67200000000003</v>
      </c>
      <c r="CZ403" s="234">
        <f t="shared" si="235"/>
        <v>749.67200000000003</v>
      </c>
      <c r="DA403" s="234">
        <f t="shared" si="236"/>
        <v>749.67199999999957</v>
      </c>
      <c r="DB403" s="234">
        <f t="shared" si="237"/>
        <v>749.67200000000048</v>
      </c>
      <c r="DC403" s="234">
        <f t="shared" si="238"/>
        <v>749.67200000000048</v>
      </c>
      <c r="DD403" s="234">
        <f t="shared" si="239"/>
        <v>749.67199999999957</v>
      </c>
      <c r="DE403" s="234">
        <f t="shared" si="240"/>
        <v>749.67199999999957</v>
      </c>
      <c r="DF403" s="234">
        <f t="shared" si="241"/>
        <v>749.67200000000048</v>
      </c>
      <c r="DG403" s="234">
        <f t="shared" si="242"/>
        <v>749.67199999999866</v>
      </c>
      <c r="DH403" s="234">
        <f t="shared" si="243"/>
        <v>749.67200000000048</v>
      </c>
      <c r="DI403" s="234">
        <f t="shared" si="244"/>
        <v>749.67200000000048</v>
      </c>
      <c r="DJ403" s="234">
        <f t="shared" si="245"/>
        <v>749.67200000000048</v>
      </c>
      <c r="DK403" s="234">
        <f t="shared" si="246"/>
        <v>749.67200000000048</v>
      </c>
      <c r="DL403" s="234">
        <f t="shared" si="247"/>
        <v>749.67200000000048</v>
      </c>
      <c r="DM403" s="234">
        <f t="shared" si="248"/>
        <v>749.67199999999866</v>
      </c>
      <c r="DN403" s="234">
        <f t="shared" si="249"/>
        <v>749.67200000000048</v>
      </c>
      <c r="DO403" s="234">
        <f t="shared" si="250"/>
        <v>749.67199999999866</v>
      </c>
      <c r="DP403" s="234">
        <f t="shared" si="251"/>
        <v>749.67200000000048</v>
      </c>
      <c r="DQ403" s="234">
        <f t="shared" si="252"/>
        <v>749.67199999999866</v>
      </c>
      <c r="DR403" s="234">
        <f t="shared" si="253"/>
        <v>749.6720000000023</v>
      </c>
      <c r="DS403" s="234">
        <f t="shared" si="254"/>
        <v>749.67199999999866</v>
      </c>
      <c r="DT403" s="234">
        <f t="shared" si="255"/>
        <v>749.67199999999866</v>
      </c>
      <c r="DU403" s="234">
        <f t="shared" si="256"/>
        <v>749.6720000000023</v>
      </c>
      <c r="DV403" s="234">
        <f t="shared" si="257"/>
        <v>749.67199999999866</v>
      </c>
      <c r="DW403" s="234">
        <f t="shared" si="258"/>
        <v>749.6720000000023</v>
      </c>
      <c r="DX403" s="189">
        <f t="shared" si="259"/>
        <v>749.67199999999866</v>
      </c>
      <c r="DY403" s="140"/>
      <c r="DZ403" s="177"/>
      <c r="EA403" s="178"/>
      <c r="EB403" s="178"/>
      <c r="EC403" s="178"/>
      <c r="ED403" s="178"/>
      <c r="EE403" s="219"/>
      <c r="EF403" s="234">
        <f t="shared" si="260"/>
        <v>664.48200000000008</v>
      </c>
      <c r="EG403" s="234">
        <f t="shared" si="261"/>
        <v>664.48200000000008</v>
      </c>
      <c r="EH403" s="234">
        <f t="shared" si="262"/>
        <v>664.48199999999974</v>
      </c>
      <c r="EI403" s="234">
        <f t="shared" si="263"/>
        <v>664.48200000000043</v>
      </c>
      <c r="EJ403" s="234">
        <f t="shared" si="264"/>
        <v>664.48199999999997</v>
      </c>
      <c r="EK403" s="234">
        <f t="shared" si="265"/>
        <v>664.48199999999952</v>
      </c>
      <c r="EL403" s="234">
        <f t="shared" si="266"/>
        <v>664.48199999999997</v>
      </c>
      <c r="EM403" s="234">
        <f t="shared" si="267"/>
        <v>664.48200000000088</v>
      </c>
      <c r="EN403" s="234">
        <f t="shared" si="268"/>
        <v>664.48199999999997</v>
      </c>
      <c r="EO403" s="234">
        <f t="shared" si="269"/>
        <v>664.48199999999997</v>
      </c>
      <c r="EP403" s="234">
        <f t="shared" si="270"/>
        <v>664.48199999999906</v>
      </c>
      <c r="EQ403" s="234">
        <f t="shared" si="271"/>
        <v>664.48199999999997</v>
      </c>
      <c r="ER403" s="234">
        <f t="shared" si="272"/>
        <v>664.48200000000179</v>
      </c>
      <c r="ES403" s="234">
        <f t="shared" si="273"/>
        <v>664.48199999999815</v>
      </c>
      <c r="ET403" s="234">
        <f t="shared" si="274"/>
        <v>664.48199999999997</v>
      </c>
      <c r="EU403" s="234">
        <f t="shared" si="275"/>
        <v>664.48200000000179</v>
      </c>
      <c r="EV403" s="234">
        <f t="shared" si="276"/>
        <v>664.48199999999815</v>
      </c>
      <c r="EW403" s="234">
        <f t="shared" si="277"/>
        <v>664.48200000000179</v>
      </c>
      <c r="EX403" s="234">
        <f t="shared" si="278"/>
        <v>664.48199999999815</v>
      </c>
      <c r="EY403" s="234">
        <f t="shared" si="279"/>
        <v>664.48200000000179</v>
      </c>
      <c r="EZ403" s="234">
        <f t="shared" si="280"/>
        <v>664.48199999999633</v>
      </c>
      <c r="FA403" s="234">
        <f t="shared" si="281"/>
        <v>664.48200000000179</v>
      </c>
      <c r="FB403" s="234">
        <f t="shared" si="282"/>
        <v>664.48200000000361</v>
      </c>
      <c r="FC403" s="234">
        <f t="shared" si="283"/>
        <v>664.48199999999633</v>
      </c>
      <c r="FD403" s="234">
        <f t="shared" si="284"/>
        <v>664.48199999999997</v>
      </c>
      <c r="FE403" s="234">
        <f t="shared" si="285"/>
        <v>664.48200000000361</v>
      </c>
      <c r="FF403" s="234">
        <f t="shared" si="286"/>
        <v>664.48199999999997</v>
      </c>
      <c r="FG403" s="234">
        <f t="shared" si="287"/>
        <v>664.48199999999633</v>
      </c>
      <c r="FH403" s="234">
        <f t="shared" si="288"/>
        <v>664.48199999999997</v>
      </c>
      <c r="FI403" s="189">
        <f t="shared" si="289"/>
        <v>664.48199999999997</v>
      </c>
      <c r="FJ403" s="140"/>
      <c r="FK403" s="177"/>
      <c r="FL403" s="178"/>
      <c r="FM403" s="178"/>
      <c r="FN403" s="178"/>
      <c r="FO403" s="178"/>
      <c r="FP403" s="219"/>
      <c r="FQ403" s="234">
        <f t="shared" si="290"/>
        <v>494.10199999999992</v>
      </c>
      <c r="FR403" s="234">
        <f t="shared" si="291"/>
        <v>494.10199999999992</v>
      </c>
      <c r="FS403" s="234">
        <f t="shared" si="292"/>
        <v>494.10199999999998</v>
      </c>
      <c r="FT403" s="234">
        <f t="shared" si="293"/>
        <v>494.10199999999986</v>
      </c>
      <c r="FU403" s="234">
        <f t="shared" si="294"/>
        <v>494.10200000000009</v>
      </c>
      <c r="FV403" s="234">
        <f t="shared" si="295"/>
        <v>494.10199999999986</v>
      </c>
      <c r="FW403" s="234">
        <f t="shared" si="296"/>
        <v>494.10200000000032</v>
      </c>
      <c r="FX403" s="234">
        <f t="shared" si="297"/>
        <v>494.10199999999941</v>
      </c>
      <c r="FY403" s="234">
        <f t="shared" si="298"/>
        <v>494.10200000000032</v>
      </c>
      <c r="FZ403" s="234">
        <f t="shared" si="299"/>
        <v>494.10199999999986</v>
      </c>
      <c r="GA403" s="234">
        <f t="shared" si="300"/>
        <v>494.10200000000077</v>
      </c>
      <c r="GB403" s="234">
        <f t="shared" si="301"/>
        <v>494.10199999999895</v>
      </c>
      <c r="GC403" s="234">
        <f t="shared" si="302"/>
        <v>494.10199999999986</v>
      </c>
      <c r="GD403" s="234">
        <f t="shared" si="303"/>
        <v>494.10200000000077</v>
      </c>
      <c r="GE403" s="234">
        <f t="shared" si="304"/>
        <v>494.10199999999986</v>
      </c>
      <c r="GF403" s="234">
        <f t="shared" si="305"/>
        <v>494.10199999999895</v>
      </c>
      <c r="GG403" s="234">
        <f t="shared" si="306"/>
        <v>494.10200000000168</v>
      </c>
      <c r="GH403" s="234">
        <f t="shared" si="307"/>
        <v>494.10199999999895</v>
      </c>
      <c r="GI403" s="234">
        <f t="shared" si="308"/>
        <v>494.10200000000077</v>
      </c>
      <c r="GJ403" s="234">
        <f t="shared" si="309"/>
        <v>494.10199999999895</v>
      </c>
      <c r="GK403" s="234">
        <f t="shared" si="310"/>
        <v>494.10200000000077</v>
      </c>
      <c r="GL403" s="234">
        <f t="shared" si="311"/>
        <v>494.10200000000077</v>
      </c>
      <c r="GM403" s="234">
        <f t="shared" si="312"/>
        <v>494.10199999999895</v>
      </c>
      <c r="GN403" s="234">
        <f t="shared" si="313"/>
        <v>494.10199999999895</v>
      </c>
      <c r="GO403" s="234">
        <f t="shared" si="314"/>
        <v>494.10200000000077</v>
      </c>
      <c r="GP403" s="234">
        <f t="shared" si="315"/>
        <v>494.10199999999895</v>
      </c>
      <c r="GQ403" s="234">
        <f t="shared" si="316"/>
        <v>494.10199999999895</v>
      </c>
      <c r="GR403" s="234">
        <f t="shared" si="317"/>
        <v>494.10200000000259</v>
      </c>
      <c r="GS403" s="234">
        <f t="shared" si="318"/>
        <v>494.10199999999895</v>
      </c>
      <c r="GT403" s="189">
        <f t="shared" si="319"/>
        <v>494.10200000000077</v>
      </c>
      <c r="GU403" s="140"/>
      <c r="GV403" s="177"/>
      <c r="GW403" s="178"/>
      <c r="GX403" s="178"/>
      <c r="GY403" s="178"/>
      <c r="GZ403" s="178"/>
      <c r="HA403" s="219"/>
      <c r="HB403" s="234">
        <f t="shared" si="320"/>
        <v>494.10199999999992</v>
      </c>
      <c r="HC403" s="234">
        <f t="shared" si="321"/>
        <v>494.10199999999992</v>
      </c>
      <c r="HD403" s="234">
        <f t="shared" si="322"/>
        <v>494.10199999999998</v>
      </c>
      <c r="HE403" s="234">
        <f t="shared" si="323"/>
        <v>494.10199999999986</v>
      </c>
      <c r="HF403" s="234">
        <f t="shared" si="324"/>
        <v>494.10200000000009</v>
      </c>
      <c r="HG403" s="234">
        <f t="shared" si="325"/>
        <v>494.10199999999986</v>
      </c>
      <c r="HH403" s="234">
        <f t="shared" si="326"/>
        <v>494.10200000000032</v>
      </c>
      <c r="HI403" s="234">
        <f t="shared" si="327"/>
        <v>494.10199999999941</v>
      </c>
      <c r="HJ403" s="234">
        <f t="shared" si="328"/>
        <v>494.10200000000032</v>
      </c>
      <c r="HK403" s="234">
        <f t="shared" si="329"/>
        <v>494.10199999999986</v>
      </c>
      <c r="HL403" s="234">
        <f t="shared" si="330"/>
        <v>494.10200000000077</v>
      </c>
      <c r="HM403" s="234">
        <f t="shared" si="331"/>
        <v>494.10199999999895</v>
      </c>
      <c r="HN403" s="234">
        <f t="shared" si="332"/>
        <v>494.10199999999986</v>
      </c>
      <c r="HO403" s="234">
        <f t="shared" si="333"/>
        <v>494.10200000000077</v>
      </c>
      <c r="HP403" s="234">
        <f t="shared" si="334"/>
        <v>494.10199999999986</v>
      </c>
      <c r="HQ403" s="234">
        <f t="shared" si="335"/>
        <v>494.10199999999895</v>
      </c>
      <c r="HR403" s="234">
        <f t="shared" si="336"/>
        <v>494.10200000000168</v>
      </c>
      <c r="HS403" s="234">
        <f t="shared" si="337"/>
        <v>494.10199999999895</v>
      </c>
      <c r="HT403" s="234">
        <f t="shared" si="338"/>
        <v>494.10200000000077</v>
      </c>
      <c r="HU403" s="234">
        <f t="shared" si="339"/>
        <v>494.10199999999895</v>
      </c>
      <c r="HV403" s="234">
        <f t="shared" si="340"/>
        <v>494.10200000000077</v>
      </c>
      <c r="HW403" s="234">
        <f t="shared" si="341"/>
        <v>494.10200000000077</v>
      </c>
      <c r="HX403" s="234">
        <f t="shared" si="342"/>
        <v>494.10199999999895</v>
      </c>
      <c r="HY403" s="234">
        <f t="shared" si="343"/>
        <v>494.10199999999895</v>
      </c>
      <c r="HZ403" s="234">
        <f t="shared" si="344"/>
        <v>494.10200000000077</v>
      </c>
      <c r="IA403" s="234">
        <f t="shared" si="345"/>
        <v>494.10199999999895</v>
      </c>
      <c r="IB403" s="234">
        <f t="shared" si="346"/>
        <v>494.10199999999895</v>
      </c>
      <c r="IC403" s="234">
        <f t="shared" si="347"/>
        <v>494.10200000000259</v>
      </c>
      <c r="ID403" s="234">
        <f t="shared" si="348"/>
        <v>494.10199999999895</v>
      </c>
      <c r="IE403" s="189">
        <f t="shared" si="349"/>
        <v>494.10200000000077</v>
      </c>
      <c r="IF403" s="140"/>
      <c r="IG403" s="177"/>
      <c r="IH403" s="178"/>
      <c r="II403" s="178"/>
      <c r="IJ403" s="178"/>
      <c r="IK403" s="178"/>
      <c r="IL403" s="219"/>
      <c r="IM403" s="234">
        <f t="shared" si="350"/>
        <v>0</v>
      </c>
      <c r="IN403" s="234">
        <f t="shared" si="351"/>
        <v>0</v>
      </c>
      <c r="IO403" s="234">
        <f t="shared" si="352"/>
        <v>0</v>
      </c>
      <c r="IP403" s="234">
        <f t="shared" si="353"/>
        <v>0</v>
      </c>
      <c r="IQ403" s="234">
        <f t="shared" si="354"/>
        <v>0</v>
      </c>
      <c r="IR403" s="234">
        <f t="shared" si="355"/>
        <v>0</v>
      </c>
      <c r="IS403" s="234">
        <f t="shared" si="356"/>
        <v>0</v>
      </c>
      <c r="IT403" s="234">
        <f t="shared" si="357"/>
        <v>0</v>
      </c>
      <c r="IU403" s="234">
        <f t="shared" si="358"/>
        <v>0</v>
      </c>
      <c r="IV403" s="234">
        <f t="shared" si="359"/>
        <v>0</v>
      </c>
      <c r="IW403" s="234">
        <f t="shared" si="360"/>
        <v>0</v>
      </c>
      <c r="IX403" s="234">
        <f t="shared" si="361"/>
        <v>0</v>
      </c>
      <c r="IY403" s="234">
        <f t="shared" si="362"/>
        <v>0</v>
      </c>
      <c r="IZ403" s="234">
        <f t="shared" si="363"/>
        <v>0</v>
      </c>
      <c r="JA403" s="234">
        <f t="shared" si="364"/>
        <v>0</v>
      </c>
      <c r="JB403" s="234">
        <f t="shared" si="365"/>
        <v>0</v>
      </c>
      <c r="JC403" s="234">
        <f t="shared" si="366"/>
        <v>0</v>
      </c>
      <c r="JD403" s="234">
        <f t="shared" si="367"/>
        <v>0</v>
      </c>
      <c r="JE403" s="234">
        <f t="shared" si="368"/>
        <v>0</v>
      </c>
      <c r="JF403" s="234">
        <f t="shared" si="369"/>
        <v>0</v>
      </c>
      <c r="JG403" s="234">
        <f t="shared" si="370"/>
        <v>0</v>
      </c>
      <c r="JH403" s="234">
        <f t="shared" si="371"/>
        <v>0</v>
      </c>
      <c r="JI403" s="234">
        <f t="shared" si="372"/>
        <v>0</v>
      </c>
      <c r="JJ403" s="234">
        <f t="shared" si="373"/>
        <v>0</v>
      </c>
      <c r="JK403" s="234">
        <f t="shared" si="374"/>
        <v>0</v>
      </c>
      <c r="JL403" s="234">
        <f t="shared" si="375"/>
        <v>0</v>
      </c>
      <c r="JM403" s="234">
        <f t="shared" si="376"/>
        <v>0</v>
      </c>
      <c r="JN403" s="234">
        <f t="shared" si="377"/>
        <v>0</v>
      </c>
      <c r="JO403" s="234">
        <f t="shared" si="378"/>
        <v>0</v>
      </c>
      <c r="JP403" s="189">
        <f t="shared" si="379"/>
        <v>0</v>
      </c>
      <c r="JQ403" s="140"/>
      <c r="JR403" s="177"/>
      <c r="JS403" s="178"/>
      <c r="JT403" s="178"/>
      <c r="JU403" s="178"/>
      <c r="JV403" s="178"/>
      <c r="JW403" s="219"/>
      <c r="JX403" s="234">
        <f t="shared" si="380"/>
        <v>0</v>
      </c>
      <c r="JY403" s="234">
        <f t="shared" si="381"/>
        <v>0</v>
      </c>
      <c r="JZ403" s="234">
        <f t="shared" si="382"/>
        <v>0</v>
      </c>
      <c r="KA403" s="234">
        <f t="shared" si="383"/>
        <v>0</v>
      </c>
      <c r="KB403" s="234">
        <f t="shared" si="384"/>
        <v>0</v>
      </c>
      <c r="KC403" s="234">
        <f t="shared" si="385"/>
        <v>0</v>
      </c>
      <c r="KD403" s="234">
        <f t="shared" si="386"/>
        <v>0</v>
      </c>
      <c r="KE403" s="234">
        <f t="shared" si="387"/>
        <v>0</v>
      </c>
      <c r="KF403" s="234">
        <f t="shared" si="388"/>
        <v>0</v>
      </c>
      <c r="KG403" s="234">
        <f t="shared" si="389"/>
        <v>0</v>
      </c>
      <c r="KH403" s="234">
        <f t="shared" si="390"/>
        <v>0</v>
      </c>
      <c r="KI403" s="234">
        <f t="shared" si="391"/>
        <v>0</v>
      </c>
      <c r="KJ403" s="234">
        <f t="shared" si="392"/>
        <v>0</v>
      </c>
      <c r="KK403" s="234">
        <f t="shared" si="393"/>
        <v>0</v>
      </c>
      <c r="KL403" s="234">
        <f t="shared" si="394"/>
        <v>0</v>
      </c>
      <c r="KM403" s="234">
        <f t="shared" si="395"/>
        <v>0</v>
      </c>
      <c r="KN403" s="234">
        <f t="shared" si="396"/>
        <v>0</v>
      </c>
      <c r="KO403" s="234">
        <f t="shared" si="397"/>
        <v>0</v>
      </c>
      <c r="KP403" s="234">
        <f t="shared" si="398"/>
        <v>0</v>
      </c>
      <c r="KQ403" s="234">
        <f t="shared" si="399"/>
        <v>0</v>
      </c>
      <c r="KR403" s="234">
        <f t="shared" si="400"/>
        <v>0</v>
      </c>
      <c r="KS403" s="234">
        <f t="shared" si="401"/>
        <v>0</v>
      </c>
      <c r="KT403" s="234">
        <f t="shared" si="402"/>
        <v>0</v>
      </c>
      <c r="KU403" s="234">
        <f t="shared" si="403"/>
        <v>0</v>
      </c>
      <c r="KV403" s="234">
        <f t="shared" si="404"/>
        <v>0</v>
      </c>
      <c r="KW403" s="234">
        <f t="shared" si="405"/>
        <v>0</v>
      </c>
      <c r="KX403" s="234">
        <f t="shared" si="406"/>
        <v>0</v>
      </c>
      <c r="KY403" s="234">
        <f t="shared" si="407"/>
        <v>0</v>
      </c>
      <c r="KZ403" s="234">
        <f t="shared" si="408"/>
        <v>0</v>
      </c>
      <c r="LA403" s="189">
        <f t="shared" si="409"/>
        <v>0</v>
      </c>
      <c r="LB403" s="140"/>
      <c r="LC403" s="177"/>
      <c r="LD403" s="178"/>
      <c r="LE403" s="178"/>
      <c r="LF403" s="178"/>
      <c r="LG403" s="178"/>
      <c r="LH403" s="219"/>
      <c r="LI403" s="234">
        <f t="shared" si="410"/>
        <v>0</v>
      </c>
      <c r="LJ403" s="234">
        <f t="shared" si="411"/>
        <v>0</v>
      </c>
      <c r="LK403" s="234">
        <f t="shared" si="412"/>
        <v>0</v>
      </c>
      <c r="LL403" s="234">
        <f t="shared" si="413"/>
        <v>0</v>
      </c>
      <c r="LM403" s="234">
        <f t="shared" si="414"/>
        <v>0</v>
      </c>
      <c r="LN403" s="234">
        <f t="shared" si="415"/>
        <v>0</v>
      </c>
      <c r="LO403" s="234">
        <f t="shared" si="416"/>
        <v>0</v>
      </c>
      <c r="LP403" s="234">
        <f t="shared" si="417"/>
        <v>0</v>
      </c>
      <c r="LQ403" s="234">
        <f t="shared" si="418"/>
        <v>0</v>
      </c>
      <c r="LR403" s="234">
        <f t="shared" si="419"/>
        <v>0</v>
      </c>
      <c r="LS403" s="234">
        <f t="shared" si="420"/>
        <v>0</v>
      </c>
      <c r="LT403" s="234">
        <f t="shared" si="421"/>
        <v>0</v>
      </c>
      <c r="LU403" s="234">
        <f t="shared" si="422"/>
        <v>0</v>
      </c>
      <c r="LV403" s="234">
        <f t="shared" si="423"/>
        <v>0</v>
      </c>
      <c r="LW403" s="234">
        <f t="shared" si="424"/>
        <v>0</v>
      </c>
      <c r="LX403" s="234">
        <f t="shared" si="425"/>
        <v>0</v>
      </c>
      <c r="LY403" s="234">
        <f t="shared" si="426"/>
        <v>0</v>
      </c>
      <c r="LZ403" s="234">
        <f t="shared" si="427"/>
        <v>0</v>
      </c>
      <c r="MA403" s="234">
        <f t="shared" si="428"/>
        <v>0</v>
      </c>
      <c r="MB403" s="234">
        <f t="shared" si="429"/>
        <v>0</v>
      </c>
      <c r="MC403" s="234">
        <f t="shared" si="430"/>
        <v>0</v>
      </c>
      <c r="MD403" s="234">
        <f t="shared" si="431"/>
        <v>0</v>
      </c>
      <c r="ME403" s="234">
        <f t="shared" si="432"/>
        <v>0</v>
      </c>
      <c r="MF403" s="234">
        <f t="shared" si="433"/>
        <v>0</v>
      </c>
      <c r="MG403" s="234">
        <f t="shared" si="434"/>
        <v>0</v>
      </c>
      <c r="MH403" s="234">
        <f t="shared" si="435"/>
        <v>0</v>
      </c>
      <c r="MI403" s="234">
        <f t="shared" si="436"/>
        <v>0</v>
      </c>
      <c r="MJ403" s="234">
        <f t="shared" si="437"/>
        <v>0</v>
      </c>
      <c r="MK403" s="234">
        <f t="shared" si="438"/>
        <v>0</v>
      </c>
      <c r="ML403" s="189">
        <f t="shared" si="439"/>
        <v>0</v>
      </c>
    </row>
    <row r="404" spans="2:350" s="4" customFormat="1" ht="18" customHeight="1" x14ac:dyDescent="0.3">
      <c r="C404" s="148" t="s">
        <v>106</v>
      </c>
      <c r="D404" s="132"/>
      <c r="E404" s="149" t="s">
        <v>103</v>
      </c>
      <c r="F404" s="179"/>
      <c r="H404" s="150">
        <v>736.81200000000001</v>
      </c>
      <c r="I404" s="151">
        <v>421.024</v>
      </c>
      <c r="J404" s="151">
        <v>280.97300000000001</v>
      </c>
      <c r="K404" s="151">
        <v>159.851</v>
      </c>
      <c r="L404" s="151">
        <v>173.48500000000001</v>
      </c>
      <c r="M404" s="152">
        <v>203.852</v>
      </c>
      <c r="N404" s="140"/>
      <c r="O404" s="140"/>
      <c r="P404" s="140"/>
      <c r="Q404" s="140"/>
      <c r="R404" s="140"/>
      <c r="S404" s="180"/>
      <c r="T404" s="181"/>
      <c r="U404" s="181"/>
      <c r="V404" s="181"/>
      <c r="W404" s="181"/>
      <c r="X404" s="181">
        <f t="shared" ref="X404:BB404" si="440">$BB196*X347-$BB196*W347</f>
        <v>26161.838957061002</v>
      </c>
      <c r="Y404" s="181">
        <f t="shared" si="440"/>
        <v>26743.213156106802</v>
      </c>
      <c r="Z404" s="181">
        <f t="shared" si="440"/>
        <v>26743.213156106802</v>
      </c>
      <c r="AA404" s="181">
        <f t="shared" si="440"/>
        <v>26743.213156106809</v>
      </c>
      <c r="AB404" s="181">
        <f t="shared" si="440"/>
        <v>26743.213156106794</v>
      </c>
      <c r="AC404" s="181">
        <f t="shared" si="440"/>
        <v>26743.213156106794</v>
      </c>
      <c r="AD404" s="181">
        <f t="shared" si="440"/>
        <v>26743.213156106824</v>
      </c>
      <c r="AE404" s="181">
        <f t="shared" si="440"/>
        <v>26743.213156106765</v>
      </c>
      <c r="AF404" s="181">
        <f t="shared" si="440"/>
        <v>26743.213156106824</v>
      </c>
      <c r="AG404" s="181">
        <f t="shared" si="440"/>
        <v>26743.213156106765</v>
      </c>
      <c r="AH404" s="181">
        <f t="shared" si="440"/>
        <v>26743.213156106824</v>
      </c>
      <c r="AI404" s="181">
        <f t="shared" si="440"/>
        <v>26743.213156106765</v>
      </c>
      <c r="AJ404" s="181">
        <f t="shared" si="440"/>
        <v>26743.213156106882</v>
      </c>
      <c r="AK404" s="181">
        <f t="shared" si="440"/>
        <v>26743.213156106765</v>
      </c>
      <c r="AL404" s="181">
        <f t="shared" si="440"/>
        <v>26743.213156106765</v>
      </c>
      <c r="AM404" s="181">
        <f t="shared" si="440"/>
        <v>26743.213156106882</v>
      </c>
      <c r="AN404" s="181">
        <f t="shared" si="440"/>
        <v>26743.213156106707</v>
      </c>
      <c r="AO404" s="181">
        <f t="shared" si="440"/>
        <v>26743.213156106882</v>
      </c>
      <c r="AP404" s="181">
        <f t="shared" si="440"/>
        <v>26743.213156106765</v>
      </c>
      <c r="AQ404" s="181">
        <f t="shared" si="440"/>
        <v>26743.213156106765</v>
      </c>
      <c r="AR404" s="181">
        <f t="shared" si="440"/>
        <v>26743.213156106882</v>
      </c>
      <c r="AS404" s="181">
        <f t="shared" si="440"/>
        <v>26743.213156106882</v>
      </c>
      <c r="AT404" s="181">
        <f t="shared" si="440"/>
        <v>26743.213156106765</v>
      </c>
      <c r="AU404" s="181">
        <f t="shared" si="440"/>
        <v>26743.213156106765</v>
      </c>
      <c r="AV404" s="181">
        <f t="shared" si="440"/>
        <v>26743.213156106765</v>
      </c>
      <c r="AW404" s="181">
        <f t="shared" si="440"/>
        <v>26743.213156106882</v>
      </c>
      <c r="AX404" s="181">
        <f t="shared" si="440"/>
        <v>26743.213156106649</v>
      </c>
      <c r="AY404" s="181">
        <f t="shared" si="440"/>
        <v>26743.213156106765</v>
      </c>
      <c r="AZ404" s="181">
        <f t="shared" si="440"/>
        <v>26743.213156106882</v>
      </c>
      <c r="BA404" s="181">
        <f t="shared" si="440"/>
        <v>26743.213156106882</v>
      </c>
      <c r="BB404" s="182">
        <f t="shared" si="440"/>
        <v>26743.213156106765</v>
      </c>
      <c r="BC404" s="140"/>
      <c r="BD404" s="153"/>
      <c r="BE404" s="154"/>
      <c r="BF404" s="154"/>
      <c r="BG404" s="154"/>
      <c r="BH404" s="154"/>
      <c r="BI404" s="226"/>
      <c r="BJ404" s="154">
        <f>SUM(BJ396:BJ403)</f>
        <v>14996.17057912479</v>
      </c>
      <c r="BK404" s="154">
        <f t="shared" ref="BK404:CM404" si="441">SUM(BK396:BK403)</f>
        <v>14996.17057912479</v>
      </c>
      <c r="BL404" s="154">
        <f t="shared" si="441"/>
        <v>14996.170579124786</v>
      </c>
      <c r="BM404" s="154">
        <f t="shared" si="441"/>
        <v>14996.170579124791</v>
      </c>
      <c r="BN404" s="154">
        <f t="shared" si="441"/>
        <v>14996.170579124786</v>
      </c>
      <c r="BO404" s="154">
        <f t="shared" si="441"/>
        <v>14996.170579124784</v>
      </c>
      <c r="BP404" s="154">
        <f t="shared" si="441"/>
        <v>14996.17057912479</v>
      </c>
      <c r="BQ404" s="154">
        <f t="shared" si="441"/>
        <v>14996.170579124788</v>
      </c>
      <c r="BR404" s="154">
        <f t="shared" si="441"/>
        <v>14996.170579124786</v>
      </c>
      <c r="BS404" s="154">
        <f t="shared" si="441"/>
        <v>14996.170579124788</v>
      </c>
      <c r="BT404" s="154">
        <f t="shared" si="441"/>
        <v>14996.170579124786</v>
      </c>
      <c r="BU404" s="154">
        <f t="shared" si="441"/>
        <v>14996.17057912478</v>
      </c>
      <c r="BV404" s="154">
        <f t="shared" si="441"/>
        <v>14996.170579124788</v>
      </c>
      <c r="BW404" s="154">
        <f t="shared" si="441"/>
        <v>14996.170579124793</v>
      </c>
      <c r="BX404" s="154">
        <f t="shared" si="441"/>
        <v>14996.170579124799</v>
      </c>
      <c r="BY404" s="154">
        <f t="shared" si="441"/>
        <v>14996.17057912478</v>
      </c>
      <c r="BZ404" s="154">
        <f t="shared" si="441"/>
        <v>14996.17057912478</v>
      </c>
      <c r="CA404" s="154">
        <f t="shared" si="441"/>
        <v>14996.17057912479</v>
      </c>
      <c r="CB404" s="154">
        <f t="shared" si="441"/>
        <v>14996.170579124793</v>
      </c>
      <c r="CC404" s="154">
        <f t="shared" si="441"/>
        <v>14996.170579124782</v>
      </c>
      <c r="CD404" s="154">
        <f t="shared" si="441"/>
        <v>14996.17057912479</v>
      </c>
      <c r="CE404" s="154">
        <f t="shared" si="441"/>
        <v>14996.170579124782</v>
      </c>
      <c r="CF404" s="154">
        <f t="shared" si="441"/>
        <v>14996.170579124784</v>
      </c>
      <c r="CG404" s="154">
        <f t="shared" si="441"/>
        <v>14996.170579124777</v>
      </c>
      <c r="CH404" s="154">
        <f t="shared" si="441"/>
        <v>14996.170579124786</v>
      </c>
      <c r="CI404" s="154">
        <f t="shared" si="441"/>
        <v>14996.170579124791</v>
      </c>
      <c r="CJ404" s="154">
        <f t="shared" si="441"/>
        <v>14996.170579124806</v>
      </c>
      <c r="CK404" s="154">
        <f t="shared" si="441"/>
        <v>14996.17057912478</v>
      </c>
      <c r="CL404" s="154">
        <f t="shared" si="441"/>
        <v>14996.170579124784</v>
      </c>
      <c r="CM404" s="155">
        <f t="shared" si="441"/>
        <v>14996.170579124797</v>
      </c>
      <c r="CN404" s="140"/>
      <c r="CO404" s="153"/>
      <c r="CP404" s="154"/>
      <c r="CQ404" s="154"/>
      <c r="CR404" s="154"/>
      <c r="CS404" s="154"/>
      <c r="CT404" s="226"/>
      <c r="CU404" s="154">
        <f>SUM(CU396:CU403)</f>
        <v>18529.304111773006</v>
      </c>
      <c r="CV404" s="154">
        <f t="shared" ref="CV404:DX404" si="442">SUM(CV396:CV403)</f>
        <v>18529.304111773006</v>
      </c>
      <c r="CW404" s="154">
        <f t="shared" si="442"/>
        <v>18529.304111773006</v>
      </c>
      <c r="CX404" s="154">
        <f t="shared" si="442"/>
        <v>18529.304111773014</v>
      </c>
      <c r="CY404" s="154">
        <f t="shared" si="442"/>
        <v>18529.304111773006</v>
      </c>
      <c r="CZ404" s="154">
        <f t="shared" si="442"/>
        <v>18529.304111773006</v>
      </c>
      <c r="DA404" s="154">
        <f t="shared" si="442"/>
        <v>18529.30411177301</v>
      </c>
      <c r="DB404" s="154">
        <f t="shared" si="442"/>
        <v>18529.304111773017</v>
      </c>
      <c r="DC404" s="154">
        <f t="shared" si="442"/>
        <v>18529.304111773003</v>
      </c>
      <c r="DD404" s="154">
        <f t="shared" si="442"/>
        <v>18529.30411177301</v>
      </c>
      <c r="DE404" s="154">
        <f t="shared" si="442"/>
        <v>18529.304111773014</v>
      </c>
      <c r="DF404" s="154">
        <f t="shared" si="442"/>
        <v>18529.304111772995</v>
      </c>
      <c r="DG404" s="154">
        <f t="shared" si="442"/>
        <v>18529.30411177301</v>
      </c>
      <c r="DH404" s="154">
        <f t="shared" si="442"/>
        <v>18529.30411177301</v>
      </c>
      <c r="DI404" s="154">
        <f t="shared" si="442"/>
        <v>18529.304111773003</v>
      </c>
      <c r="DJ404" s="154">
        <f t="shared" si="442"/>
        <v>18529.304111773024</v>
      </c>
      <c r="DK404" s="154">
        <f t="shared" si="442"/>
        <v>18529.30411177301</v>
      </c>
      <c r="DL404" s="154">
        <f t="shared" si="442"/>
        <v>18529.304111773003</v>
      </c>
      <c r="DM404" s="154">
        <f t="shared" si="442"/>
        <v>18529.304111773003</v>
      </c>
      <c r="DN404" s="154">
        <f t="shared" si="442"/>
        <v>18529.304111773017</v>
      </c>
      <c r="DO404" s="154">
        <f t="shared" si="442"/>
        <v>18529.304111773003</v>
      </c>
      <c r="DP404" s="154">
        <f t="shared" si="442"/>
        <v>18529.304111773032</v>
      </c>
      <c r="DQ404" s="154">
        <f t="shared" si="442"/>
        <v>18529.304111772988</v>
      </c>
      <c r="DR404" s="154">
        <f t="shared" si="442"/>
        <v>18529.30411177301</v>
      </c>
      <c r="DS404" s="154">
        <f t="shared" si="442"/>
        <v>18529.304111773021</v>
      </c>
      <c r="DT404" s="154">
        <f t="shared" si="442"/>
        <v>18529.304111772995</v>
      </c>
      <c r="DU404" s="154">
        <f t="shared" si="442"/>
        <v>18529.304111773017</v>
      </c>
      <c r="DV404" s="154">
        <f t="shared" si="442"/>
        <v>18529.30411177301</v>
      </c>
      <c r="DW404" s="154">
        <f t="shared" si="442"/>
        <v>18529.304111773035</v>
      </c>
      <c r="DX404" s="155">
        <f t="shared" si="442"/>
        <v>18529.304111772974</v>
      </c>
      <c r="DY404" s="140"/>
      <c r="DZ404" s="153"/>
      <c r="EA404" s="154"/>
      <c r="EB404" s="154"/>
      <c r="EC404" s="154"/>
      <c r="ED404" s="154"/>
      <c r="EE404" s="226"/>
      <c r="EF404" s="154">
        <f>SUM(EF396:EF403)</f>
        <v>16438.671784261714</v>
      </c>
      <c r="EG404" s="154">
        <f t="shared" ref="EG404:FI404" si="443">SUM(EG396:EG403)</f>
        <v>16438.671784261714</v>
      </c>
      <c r="EH404" s="154">
        <f t="shared" si="443"/>
        <v>16438.671784261711</v>
      </c>
      <c r="EI404" s="154">
        <f t="shared" si="443"/>
        <v>16438.671784261714</v>
      </c>
      <c r="EJ404" s="154">
        <f t="shared" si="443"/>
        <v>16438.671784261711</v>
      </c>
      <c r="EK404" s="154">
        <f t="shared" si="443"/>
        <v>16438.671784261711</v>
      </c>
      <c r="EL404" s="154">
        <f t="shared" si="443"/>
        <v>16438.671784261707</v>
      </c>
      <c r="EM404" s="154">
        <f t="shared" si="443"/>
        <v>16438.671784261722</v>
      </c>
      <c r="EN404" s="154">
        <f t="shared" si="443"/>
        <v>16438.671784261707</v>
      </c>
      <c r="EO404" s="154">
        <f t="shared" si="443"/>
        <v>16438.671784261714</v>
      </c>
      <c r="EP404" s="154">
        <f t="shared" si="443"/>
        <v>16438.671784261722</v>
      </c>
      <c r="EQ404" s="154">
        <f t="shared" si="443"/>
        <v>16438.6717842617</v>
      </c>
      <c r="ER404" s="154">
        <f t="shared" si="443"/>
        <v>16438.671784261714</v>
      </c>
      <c r="ES404" s="154">
        <f t="shared" si="443"/>
        <v>16438.671784261707</v>
      </c>
      <c r="ET404" s="154">
        <f t="shared" si="443"/>
        <v>16438.671784261718</v>
      </c>
      <c r="EU404" s="154">
        <f t="shared" si="443"/>
        <v>16438.671784261722</v>
      </c>
      <c r="EV404" s="154">
        <f t="shared" si="443"/>
        <v>16438.671784261707</v>
      </c>
      <c r="EW404" s="154">
        <f t="shared" si="443"/>
        <v>16438.6717842617</v>
      </c>
      <c r="EX404" s="154">
        <f t="shared" si="443"/>
        <v>16438.671784261722</v>
      </c>
      <c r="EY404" s="154">
        <f t="shared" si="443"/>
        <v>16438.671784261707</v>
      </c>
      <c r="EZ404" s="154">
        <f t="shared" si="443"/>
        <v>16438.671784261696</v>
      </c>
      <c r="FA404" s="154">
        <f t="shared" si="443"/>
        <v>16438.671784261751</v>
      </c>
      <c r="FB404" s="154">
        <f t="shared" si="443"/>
        <v>16438.671784261707</v>
      </c>
      <c r="FC404" s="154">
        <f t="shared" si="443"/>
        <v>16438.671784261689</v>
      </c>
      <c r="FD404" s="154">
        <f t="shared" si="443"/>
        <v>16438.671784261714</v>
      </c>
      <c r="FE404" s="154">
        <f t="shared" si="443"/>
        <v>16438.671784261711</v>
      </c>
      <c r="FF404" s="154">
        <f t="shared" si="443"/>
        <v>16438.67178426174</v>
      </c>
      <c r="FG404" s="154">
        <f t="shared" si="443"/>
        <v>16438.671784261671</v>
      </c>
      <c r="FH404" s="154">
        <f t="shared" si="443"/>
        <v>16438.671784261744</v>
      </c>
      <c r="FI404" s="155">
        <f t="shared" si="443"/>
        <v>16438.671784261693</v>
      </c>
      <c r="FJ404" s="140"/>
      <c r="FK404" s="153"/>
      <c r="FL404" s="154"/>
      <c r="FM404" s="154"/>
      <c r="FN404" s="154"/>
      <c r="FO404" s="154"/>
      <c r="FP404" s="226"/>
      <c r="FQ404" s="154">
        <f>SUM(FQ396:FQ403)</f>
        <v>19527.504397898072</v>
      </c>
      <c r="FR404" s="154">
        <f t="shared" ref="FR404:GT404" si="444">SUM(FR396:FR403)</f>
        <v>19527.504397898072</v>
      </c>
      <c r="FS404" s="154">
        <f t="shared" si="444"/>
        <v>19527.504397898072</v>
      </c>
      <c r="FT404" s="154">
        <f t="shared" si="444"/>
        <v>19527.504397898072</v>
      </c>
      <c r="FU404" s="154">
        <f t="shared" si="444"/>
        <v>19527.504397898072</v>
      </c>
      <c r="FV404" s="154">
        <f t="shared" si="444"/>
        <v>19527.504397898076</v>
      </c>
      <c r="FW404" s="154">
        <f t="shared" si="444"/>
        <v>19527.504397898076</v>
      </c>
      <c r="FX404" s="154">
        <f t="shared" si="444"/>
        <v>19527.504397898076</v>
      </c>
      <c r="FY404" s="154">
        <f t="shared" si="444"/>
        <v>19527.504397898072</v>
      </c>
      <c r="FZ404" s="154">
        <f t="shared" si="444"/>
        <v>19527.504397898076</v>
      </c>
      <c r="GA404" s="154">
        <f t="shared" si="444"/>
        <v>19527.504397898076</v>
      </c>
      <c r="GB404" s="154">
        <f t="shared" si="444"/>
        <v>19527.504397898068</v>
      </c>
      <c r="GC404" s="154">
        <f t="shared" si="444"/>
        <v>19527.504397898076</v>
      </c>
      <c r="GD404" s="154">
        <f t="shared" si="444"/>
        <v>19527.504397898083</v>
      </c>
      <c r="GE404" s="154">
        <f t="shared" si="444"/>
        <v>19527.504397898079</v>
      </c>
      <c r="GF404" s="154">
        <f t="shared" si="444"/>
        <v>19527.504397898072</v>
      </c>
      <c r="GG404" s="154">
        <f t="shared" si="444"/>
        <v>19527.504397898076</v>
      </c>
      <c r="GH404" s="154">
        <f t="shared" si="444"/>
        <v>19527.504397898076</v>
      </c>
      <c r="GI404" s="154">
        <f t="shared" si="444"/>
        <v>19527.50439789809</v>
      </c>
      <c r="GJ404" s="154">
        <f t="shared" si="444"/>
        <v>19527.504397898061</v>
      </c>
      <c r="GK404" s="154">
        <f t="shared" si="444"/>
        <v>19527.504397898061</v>
      </c>
      <c r="GL404" s="154">
        <f t="shared" si="444"/>
        <v>19527.504397898098</v>
      </c>
      <c r="GM404" s="154">
        <f t="shared" si="444"/>
        <v>19527.504397898098</v>
      </c>
      <c r="GN404" s="154">
        <f t="shared" si="444"/>
        <v>19527.504397898036</v>
      </c>
      <c r="GO404" s="154">
        <f t="shared" si="444"/>
        <v>19527.50439789809</v>
      </c>
      <c r="GP404" s="154">
        <f t="shared" si="444"/>
        <v>19527.504397898058</v>
      </c>
      <c r="GQ404" s="154">
        <f t="shared" si="444"/>
        <v>19527.504397898112</v>
      </c>
      <c r="GR404" s="154">
        <f t="shared" si="444"/>
        <v>19527.50439789805</v>
      </c>
      <c r="GS404" s="154">
        <f t="shared" si="444"/>
        <v>19527.504397898098</v>
      </c>
      <c r="GT404" s="155">
        <f t="shared" si="444"/>
        <v>19527.504397898061</v>
      </c>
      <c r="GU404" s="140"/>
      <c r="GV404" s="153"/>
      <c r="GW404" s="154"/>
      <c r="GX404" s="154"/>
      <c r="GY404" s="154"/>
      <c r="GZ404" s="154"/>
      <c r="HA404" s="226"/>
      <c r="HB404" s="154">
        <f>SUM(HB396:HB403)</f>
        <v>17793.545819396666</v>
      </c>
      <c r="HC404" s="154">
        <f t="shared" ref="HC404:IE404" si="445">SUM(HC396:HC403)</f>
        <v>17793.545819396666</v>
      </c>
      <c r="HD404" s="154">
        <f t="shared" si="445"/>
        <v>17793.545819396666</v>
      </c>
      <c r="HE404" s="154">
        <f t="shared" si="445"/>
        <v>17793.545819396662</v>
      </c>
      <c r="HF404" s="154">
        <f t="shared" si="445"/>
        <v>17793.545819396666</v>
      </c>
      <c r="HG404" s="154">
        <f t="shared" si="445"/>
        <v>17793.545819396666</v>
      </c>
      <c r="HH404" s="154">
        <f t="shared" si="445"/>
        <v>17793.545819396662</v>
      </c>
      <c r="HI404" s="154">
        <f t="shared" si="445"/>
        <v>17793.545819396659</v>
      </c>
      <c r="HJ404" s="154">
        <f t="shared" si="445"/>
        <v>17793.54581939667</v>
      </c>
      <c r="HK404" s="154">
        <f t="shared" si="445"/>
        <v>17793.54581939667</v>
      </c>
      <c r="HL404" s="154">
        <f t="shared" si="445"/>
        <v>17793.54581939667</v>
      </c>
      <c r="HM404" s="154">
        <f t="shared" si="445"/>
        <v>17793.545819396662</v>
      </c>
      <c r="HN404" s="154">
        <f t="shared" si="445"/>
        <v>17793.545819396662</v>
      </c>
      <c r="HO404" s="154">
        <f t="shared" si="445"/>
        <v>17793.545819396662</v>
      </c>
      <c r="HP404" s="154">
        <f t="shared" si="445"/>
        <v>17793.54581939667</v>
      </c>
      <c r="HQ404" s="154">
        <f t="shared" si="445"/>
        <v>17793.545819396648</v>
      </c>
      <c r="HR404" s="154">
        <f t="shared" si="445"/>
        <v>17793.545819396692</v>
      </c>
      <c r="HS404" s="154">
        <f t="shared" si="445"/>
        <v>17793.545819396648</v>
      </c>
      <c r="HT404" s="154">
        <f t="shared" si="445"/>
        <v>17793.545819396655</v>
      </c>
      <c r="HU404" s="154">
        <f t="shared" si="445"/>
        <v>17793.545819396684</v>
      </c>
      <c r="HV404" s="154">
        <f t="shared" si="445"/>
        <v>17793.545819396662</v>
      </c>
      <c r="HW404" s="154">
        <f t="shared" si="445"/>
        <v>17793.545819396684</v>
      </c>
      <c r="HX404" s="154">
        <f t="shared" si="445"/>
        <v>17793.545819396641</v>
      </c>
      <c r="HY404" s="154">
        <f t="shared" si="445"/>
        <v>17793.545819396681</v>
      </c>
      <c r="HZ404" s="154">
        <f t="shared" si="445"/>
        <v>17793.545819396648</v>
      </c>
      <c r="IA404" s="154">
        <f t="shared" si="445"/>
        <v>17793.545819396677</v>
      </c>
      <c r="IB404" s="154">
        <f t="shared" si="445"/>
        <v>17793.545819396692</v>
      </c>
      <c r="IC404" s="154">
        <f t="shared" si="445"/>
        <v>17793.545819396641</v>
      </c>
      <c r="ID404" s="154">
        <f t="shared" si="445"/>
        <v>17793.545819396662</v>
      </c>
      <c r="IE404" s="155">
        <f t="shared" si="445"/>
        <v>17793.545819396684</v>
      </c>
      <c r="IF404" s="140"/>
      <c r="IG404" s="153"/>
      <c r="IH404" s="154"/>
      <c r="II404" s="154"/>
      <c r="IJ404" s="154"/>
      <c r="IK404" s="154"/>
      <c r="IL404" s="226"/>
      <c r="IM404" s="154">
        <f>SUM(IM396:IM403)</f>
        <v>0</v>
      </c>
      <c r="IN404" s="154">
        <f t="shared" ref="IN404:JP404" si="446">SUM(IN396:IN403)</f>
        <v>0</v>
      </c>
      <c r="IO404" s="154">
        <f t="shared" si="446"/>
        <v>0</v>
      </c>
      <c r="IP404" s="154">
        <f t="shared" si="446"/>
        <v>0</v>
      </c>
      <c r="IQ404" s="154">
        <f t="shared" si="446"/>
        <v>0</v>
      </c>
      <c r="IR404" s="154">
        <f t="shared" si="446"/>
        <v>0</v>
      </c>
      <c r="IS404" s="154">
        <f t="shared" si="446"/>
        <v>0</v>
      </c>
      <c r="IT404" s="154">
        <f t="shared" si="446"/>
        <v>0</v>
      </c>
      <c r="IU404" s="154">
        <f t="shared" si="446"/>
        <v>0</v>
      </c>
      <c r="IV404" s="154">
        <f t="shared" si="446"/>
        <v>0</v>
      </c>
      <c r="IW404" s="154">
        <f t="shared" si="446"/>
        <v>0</v>
      </c>
      <c r="IX404" s="154">
        <f t="shared" si="446"/>
        <v>0</v>
      </c>
      <c r="IY404" s="154">
        <f t="shared" si="446"/>
        <v>0</v>
      </c>
      <c r="IZ404" s="154">
        <f t="shared" si="446"/>
        <v>0</v>
      </c>
      <c r="JA404" s="154">
        <f t="shared" si="446"/>
        <v>0</v>
      </c>
      <c r="JB404" s="154">
        <f t="shared" si="446"/>
        <v>0</v>
      </c>
      <c r="JC404" s="154">
        <f t="shared" si="446"/>
        <v>0</v>
      </c>
      <c r="JD404" s="154">
        <f t="shared" si="446"/>
        <v>0</v>
      </c>
      <c r="JE404" s="154">
        <f t="shared" si="446"/>
        <v>0</v>
      </c>
      <c r="JF404" s="154">
        <f t="shared" si="446"/>
        <v>0</v>
      </c>
      <c r="JG404" s="154">
        <f t="shared" si="446"/>
        <v>0</v>
      </c>
      <c r="JH404" s="154">
        <f t="shared" si="446"/>
        <v>0</v>
      </c>
      <c r="JI404" s="154">
        <f t="shared" si="446"/>
        <v>0</v>
      </c>
      <c r="JJ404" s="154">
        <f t="shared" si="446"/>
        <v>0</v>
      </c>
      <c r="JK404" s="154">
        <f t="shared" si="446"/>
        <v>0</v>
      </c>
      <c r="JL404" s="154">
        <f t="shared" si="446"/>
        <v>0</v>
      </c>
      <c r="JM404" s="154">
        <f t="shared" si="446"/>
        <v>0</v>
      </c>
      <c r="JN404" s="154">
        <f t="shared" si="446"/>
        <v>0</v>
      </c>
      <c r="JO404" s="154">
        <f t="shared" si="446"/>
        <v>0</v>
      </c>
      <c r="JP404" s="155">
        <f t="shared" si="446"/>
        <v>0</v>
      </c>
      <c r="JQ404" s="140"/>
      <c r="JR404" s="153"/>
      <c r="JS404" s="154"/>
      <c r="JT404" s="154"/>
      <c r="JU404" s="154"/>
      <c r="JV404" s="154"/>
      <c r="JW404" s="226"/>
      <c r="JX404" s="154">
        <f>SUM(JX396:JX403)</f>
        <v>0</v>
      </c>
      <c r="JY404" s="154">
        <f t="shared" ref="JY404:LA404" si="447">SUM(JY396:JY403)</f>
        <v>0</v>
      </c>
      <c r="JZ404" s="154">
        <f t="shared" si="447"/>
        <v>0</v>
      </c>
      <c r="KA404" s="154">
        <f t="shared" si="447"/>
        <v>0</v>
      </c>
      <c r="KB404" s="154">
        <f t="shared" si="447"/>
        <v>0</v>
      </c>
      <c r="KC404" s="154">
        <f t="shared" si="447"/>
        <v>0</v>
      </c>
      <c r="KD404" s="154">
        <f t="shared" si="447"/>
        <v>0</v>
      </c>
      <c r="KE404" s="154">
        <f t="shared" si="447"/>
        <v>0</v>
      </c>
      <c r="KF404" s="154">
        <f t="shared" si="447"/>
        <v>0</v>
      </c>
      <c r="KG404" s="154">
        <f t="shared" si="447"/>
        <v>0</v>
      </c>
      <c r="KH404" s="154">
        <f t="shared" si="447"/>
        <v>0</v>
      </c>
      <c r="KI404" s="154">
        <f t="shared" si="447"/>
        <v>0</v>
      </c>
      <c r="KJ404" s="154">
        <f t="shared" si="447"/>
        <v>0</v>
      </c>
      <c r="KK404" s="154">
        <f t="shared" si="447"/>
        <v>0</v>
      </c>
      <c r="KL404" s="154">
        <f t="shared" si="447"/>
        <v>0</v>
      </c>
      <c r="KM404" s="154">
        <f t="shared" si="447"/>
        <v>0</v>
      </c>
      <c r="KN404" s="154">
        <f t="shared" si="447"/>
        <v>0</v>
      </c>
      <c r="KO404" s="154">
        <f t="shared" si="447"/>
        <v>0</v>
      </c>
      <c r="KP404" s="154">
        <f t="shared" si="447"/>
        <v>0</v>
      </c>
      <c r="KQ404" s="154">
        <f t="shared" si="447"/>
        <v>0</v>
      </c>
      <c r="KR404" s="154">
        <f t="shared" si="447"/>
        <v>0</v>
      </c>
      <c r="KS404" s="154">
        <f t="shared" si="447"/>
        <v>0</v>
      </c>
      <c r="KT404" s="154">
        <f t="shared" si="447"/>
        <v>0</v>
      </c>
      <c r="KU404" s="154">
        <f t="shared" si="447"/>
        <v>0</v>
      </c>
      <c r="KV404" s="154">
        <f t="shared" si="447"/>
        <v>0</v>
      </c>
      <c r="KW404" s="154">
        <f t="shared" si="447"/>
        <v>0</v>
      </c>
      <c r="KX404" s="154">
        <f t="shared" si="447"/>
        <v>0</v>
      </c>
      <c r="KY404" s="154">
        <f t="shared" si="447"/>
        <v>0</v>
      </c>
      <c r="KZ404" s="154">
        <f t="shared" si="447"/>
        <v>0</v>
      </c>
      <c r="LA404" s="155">
        <f t="shared" si="447"/>
        <v>0</v>
      </c>
      <c r="LB404" s="140"/>
      <c r="LC404" s="153"/>
      <c r="LD404" s="154"/>
      <c r="LE404" s="154"/>
      <c r="LF404" s="154"/>
      <c r="LG404" s="154"/>
      <c r="LH404" s="226"/>
      <c r="LI404" s="154">
        <f>SUM(LI396:LI403)</f>
        <v>0</v>
      </c>
      <c r="LJ404" s="154">
        <f t="shared" ref="LJ404:ML404" si="448">SUM(LJ396:LJ403)</f>
        <v>0</v>
      </c>
      <c r="LK404" s="154">
        <f t="shared" si="448"/>
        <v>0</v>
      </c>
      <c r="LL404" s="154">
        <f t="shared" si="448"/>
        <v>0</v>
      </c>
      <c r="LM404" s="154">
        <f t="shared" si="448"/>
        <v>0</v>
      </c>
      <c r="LN404" s="154">
        <f t="shared" si="448"/>
        <v>0</v>
      </c>
      <c r="LO404" s="154">
        <f t="shared" si="448"/>
        <v>0</v>
      </c>
      <c r="LP404" s="154">
        <f t="shared" si="448"/>
        <v>0</v>
      </c>
      <c r="LQ404" s="154">
        <f t="shared" si="448"/>
        <v>0</v>
      </c>
      <c r="LR404" s="154">
        <f t="shared" si="448"/>
        <v>0</v>
      </c>
      <c r="LS404" s="154">
        <f t="shared" si="448"/>
        <v>0</v>
      </c>
      <c r="LT404" s="154">
        <f t="shared" si="448"/>
        <v>0</v>
      </c>
      <c r="LU404" s="154">
        <f t="shared" si="448"/>
        <v>0</v>
      </c>
      <c r="LV404" s="154">
        <f t="shared" si="448"/>
        <v>0</v>
      </c>
      <c r="LW404" s="154">
        <f t="shared" si="448"/>
        <v>0</v>
      </c>
      <c r="LX404" s="154">
        <f t="shared" si="448"/>
        <v>0</v>
      </c>
      <c r="LY404" s="154">
        <f t="shared" si="448"/>
        <v>0</v>
      </c>
      <c r="LZ404" s="154">
        <f t="shared" si="448"/>
        <v>0</v>
      </c>
      <c r="MA404" s="154">
        <f t="shared" si="448"/>
        <v>0</v>
      </c>
      <c r="MB404" s="154">
        <f t="shared" si="448"/>
        <v>0</v>
      </c>
      <c r="MC404" s="154">
        <f t="shared" si="448"/>
        <v>0</v>
      </c>
      <c r="MD404" s="154">
        <f t="shared" si="448"/>
        <v>0</v>
      </c>
      <c r="ME404" s="154">
        <f t="shared" si="448"/>
        <v>0</v>
      </c>
      <c r="MF404" s="154">
        <f t="shared" si="448"/>
        <v>0</v>
      </c>
      <c r="MG404" s="154">
        <f t="shared" si="448"/>
        <v>0</v>
      </c>
      <c r="MH404" s="154">
        <f t="shared" si="448"/>
        <v>0</v>
      </c>
      <c r="MI404" s="154">
        <f t="shared" si="448"/>
        <v>0</v>
      </c>
      <c r="MJ404" s="154">
        <f t="shared" si="448"/>
        <v>0</v>
      </c>
      <c r="MK404" s="154">
        <f t="shared" si="448"/>
        <v>0</v>
      </c>
      <c r="ML404" s="155">
        <f t="shared" si="448"/>
        <v>0</v>
      </c>
    </row>
    <row r="406" spans="2:350" x14ac:dyDescent="0.3">
      <c r="C406" s="69" t="s">
        <v>107</v>
      </c>
      <c r="D406" s="69" t="s">
        <v>207</v>
      </c>
    </row>
    <row r="407" spans="2:350" x14ac:dyDescent="0.3">
      <c r="C407" s="69" t="s">
        <v>208</v>
      </c>
      <c r="D407" s="69" t="s">
        <v>209</v>
      </c>
    </row>
    <row r="408" spans="2:350" x14ac:dyDescent="0.3">
      <c r="C408" s="69"/>
      <c r="D408" s="69"/>
    </row>
    <row r="409" spans="2:350" ht="18" x14ac:dyDescent="0.4">
      <c r="B409" s="73" t="s">
        <v>25</v>
      </c>
      <c r="C409" s="213" t="s">
        <v>210</v>
      </c>
      <c r="D409" s="69"/>
    </row>
    <row r="411" spans="2:350" x14ac:dyDescent="0.3">
      <c r="C411" s="120" t="s">
        <v>211</v>
      </c>
      <c r="H411" s="121" t="s">
        <v>100</v>
      </c>
      <c r="S411" s="122" t="s">
        <v>5</v>
      </c>
      <c r="BD411" s="123" t="s">
        <v>6</v>
      </c>
      <c r="CO411" s="124" t="s">
        <v>7</v>
      </c>
      <c r="DZ411" s="125" t="s">
        <v>8</v>
      </c>
      <c r="FK411" s="126" t="s">
        <v>9</v>
      </c>
      <c r="GV411" s="127" t="s">
        <v>10</v>
      </c>
      <c r="IG411" s="128" t="s">
        <v>11</v>
      </c>
      <c r="JR411" s="129" t="str">
        <f>JR$4</f>
        <v>AMS2 2023</v>
      </c>
      <c r="LC411" s="130" t="str">
        <f>LC$4</f>
        <v>AMS3 2025</v>
      </c>
    </row>
    <row r="412" spans="2:350" s="4" customFormat="1" ht="18" customHeight="1" x14ac:dyDescent="0.3">
      <c r="C412" s="131"/>
      <c r="D412" s="132"/>
      <c r="E412" s="133" t="s">
        <v>101</v>
      </c>
      <c r="F412" s="134" t="s">
        <v>102</v>
      </c>
      <c r="H412" s="135">
        <f t="shared" ref="H412:M412" si="449">H$1</f>
        <v>2015</v>
      </c>
      <c r="I412" s="133">
        <f t="shared" si="449"/>
        <v>2016</v>
      </c>
      <c r="J412" s="133">
        <f t="shared" si="449"/>
        <v>2017</v>
      </c>
      <c r="K412" s="133">
        <f t="shared" si="449"/>
        <v>2018</v>
      </c>
      <c r="L412" s="133">
        <f t="shared" si="449"/>
        <v>2019</v>
      </c>
      <c r="M412" s="134">
        <f t="shared" si="449"/>
        <v>2020</v>
      </c>
      <c r="N412" s="1"/>
      <c r="O412" s="1"/>
      <c r="P412" s="1"/>
      <c r="Q412" s="1"/>
      <c r="S412" s="135">
        <f t="shared" ref="S412:BB412" si="450">S$1</f>
        <v>2015</v>
      </c>
      <c r="T412" s="133">
        <f t="shared" si="450"/>
        <v>2016</v>
      </c>
      <c r="U412" s="133">
        <f t="shared" si="450"/>
        <v>2017</v>
      </c>
      <c r="V412" s="133">
        <f t="shared" si="450"/>
        <v>2018</v>
      </c>
      <c r="W412" s="133">
        <f t="shared" si="450"/>
        <v>2019</v>
      </c>
      <c r="X412" s="133">
        <f t="shared" si="450"/>
        <v>2020</v>
      </c>
      <c r="Y412" s="133">
        <f t="shared" si="450"/>
        <v>2021</v>
      </c>
      <c r="Z412" s="133">
        <f t="shared" si="450"/>
        <v>2022</v>
      </c>
      <c r="AA412" s="133">
        <f t="shared" si="450"/>
        <v>2023</v>
      </c>
      <c r="AB412" s="133">
        <f t="shared" si="450"/>
        <v>2024</v>
      </c>
      <c r="AC412" s="133">
        <f t="shared" si="450"/>
        <v>2025</v>
      </c>
      <c r="AD412" s="133">
        <f t="shared" si="450"/>
        <v>2026</v>
      </c>
      <c r="AE412" s="133">
        <f t="shared" si="450"/>
        <v>2027</v>
      </c>
      <c r="AF412" s="133">
        <f t="shared" si="450"/>
        <v>2028</v>
      </c>
      <c r="AG412" s="133">
        <f t="shared" si="450"/>
        <v>2029</v>
      </c>
      <c r="AH412" s="133">
        <f t="shared" si="450"/>
        <v>2030</v>
      </c>
      <c r="AI412" s="133">
        <f t="shared" si="450"/>
        <v>2031</v>
      </c>
      <c r="AJ412" s="133">
        <f t="shared" si="450"/>
        <v>2032</v>
      </c>
      <c r="AK412" s="133">
        <f t="shared" si="450"/>
        <v>2033</v>
      </c>
      <c r="AL412" s="133">
        <f t="shared" si="450"/>
        <v>2034</v>
      </c>
      <c r="AM412" s="133">
        <f t="shared" si="450"/>
        <v>2035</v>
      </c>
      <c r="AN412" s="133">
        <f t="shared" si="450"/>
        <v>2036</v>
      </c>
      <c r="AO412" s="133">
        <f t="shared" si="450"/>
        <v>2037</v>
      </c>
      <c r="AP412" s="133">
        <f t="shared" si="450"/>
        <v>2038</v>
      </c>
      <c r="AQ412" s="133">
        <f t="shared" si="450"/>
        <v>2039</v>
      </c>
      <c r="AR412" s="133">
        <f t="shared" si="450"/>
        <v>2040</v>
      </c>
      <c r="AS412" s="133">
        <f t="shared" si="450"/>
        <v>2041</v>
      </c>
      <c r="AT412" s="133">
        <f t="shared" si="450"/>
        <v>2042</v>
      </c>
      <c r="AU412" s="133">
        <f t="shared" si="450"/>
        <v>2043</v>
      </c>
      <c r="AV412" s="133">
        <f t="shared" si="450"/>
        <v>2044</v>
      </c>
      <c r="AW412" s="133">
        <f t="shared" si="450"/>
        <v>2045</v>
      </c>
      <c r="AX412" s="133">
        <f t="shared" si="450"/>
        <v>2046</v>
      </c>
      <c r="AY412" s="133">
        <f t="shared" si="450"/>
        <v>2047</v>
      </c>
      <c r="AZ412" s="133">
        <f t="shared" si="450"/>
        <v>2048</v>
      </c>
      <c r="BA412" s="133">
        <f t="shared" si="450"/>
        <v>2049</v>
      </c>
      <c r="BB412" s="134">
        <f t="shared" si="450"/>
        <v>2050</v>
      </c>
      <c r="BD412" s="135">
        <f t="shared" ref="BD412:CM412" si="451">BD$1</f>
        <v>2015</v>
      </c>
      <c r="BE412" s="133">
        <f t="shared" si="451"/>
        <v>2016</v>
      </c>
      <c r="BF412" s="133">
        <f t="shared" si="451"/>
        <v>2017</v>
      </c>
      <c r="BG412" s="133">
        <f t="shared" si="451"/>
        <v>2018</v>
      </c>
      <c r="BH412" s="133">
        <f t="shared" si="451"/>
        <v>2019</v>
      </c>
      <c r="BI412" s="133">
        <f t="shared" si="451"/>
        <v>2020</v>
      </c>
      <c r="BJ412" s="133">
        <f t="shared" si="451"/>
        <v>2021</v>
      </c>
      <c r="BK412" s="133">
        <f t="shared" si="451"/>
        <v>2022</v>
      </c>
      <c r="BL412" s="133">
        <f t="shared" si="451"/>
        <v>2023</v>
      </c>
      <c r="BM412" s="133">
        <f t="shared" si="451"/>
        <v>2024</v>
      </c>
      <c r="BN412" s="133">
        <f t="shared" si="451"/>
        <v>2025</v>
      </c>
      <c r="BO412" s="133">
        <f t="shared" si="451"/>
        <v>2026</v>
      </c>
      <c r="BP412" s="133">
        <f t="shared" si="451"/>
        <v>2027</v>
      </c>
      <c r="BQ412" s="133">
        <f t="shared" si="451"/>
        <v>2028</v>
      </c>
      <c r="BR412" s="133">
        <f t="shared" si="451"/>
        <v>2029</v>
      </c>
      <c r="BS412" s="133">
        <f t="shared" si="451"/>
        <v>2030</v>
      </c>
      <c r="BT412" s="133">
        <f t="shared" si="451"/>
        <v>2031</v>
      </c>
      <c r="BU412" s="133">
        <f t="shared" si="451"/>
        <v>2032</v>
      </c>
      <c r="BV412" s="133">
        <f t="shared" si="451"/>
        <v>2033</v>
      </c>
      <c r="BW412" s="133">
        <f t="shared" si="451"/>
        <v>2034</v>
      </c>
      <c r="BX412" s="133">
        <f t="shared" si="451"/>
        <v>2035</v>
      </c>
      <c r="BY412" s="133">
        <f t="shared" si="451"/>
        <v>2036</v>
      </c>
      <c r="BZ412" s="133">
        <f t="shared" si="451"/>
        <v>2037</v>
      </c>
      <c r="CA412" s="133">
        <f t="shared" si="451"/>
        <v>2038</v>
      </c>
      <c r="CB412" s="133">
        <f t="shared" si="451"/>
        <v>2039</v>
      </c>
      <c r="CC412" s="133">
        <f t="shared" si="451"/>
        <v>2040</v>
      </c>
      <c r="CD412" s="133">
        <f t="shared" si="451"/>
        <v>2041</v>
      </c>
      <c r="CE412" s="133">
        <f t="shared" si="451"/>
        <v>2042</v>
      </c>
      <c r="CF412" s="133">
        <f t="shared" si="451"/>
        <v>2043</v>
      </c>
      <c r="CG412" s="133">
        <f t="shared" si="451"/>
        <v>2044</v>
      </c>
      <c r="CH412" s="133">
        <f t="shared" si="451"/>
        <v>2045</v>
      </c>
      <c r="CI412" s="133">
        <f t="shared" si="451"/>
        <v>2046</v>
      </c>
      <c r="CJ412" s="133">
        <f t="shared" si="451"/>
        <v>2047</v>
      </c>
      <c r="CK412" s="133">
        <f t="shared" si="451"/>
        <v>2048</v>
      </c>
      <c r="CL412" s="133">
        <f t="shared" si="451"/>
        <v>2049</v>
      </c>
      <c r="CM412" s="134">
        <f t="shared" si="451"/>
        <v>2050</v>
      </c>
      <c r="CO412" s="135">
        <f t="shared" ref="CO412:DX412" si="452">CO$1</f>
        <v>2015</v>
      </c>
      <c r="CP412" s="133">
        <f t="shared" si="452"/>
        <v>2016</v>
      </c>
      <c r="CQ412" s="133">
        <f t="shared" si="452"/>
        <v>2017</v>
      </c>
      <c r="CR412" s="133">
        <f t="shared" si="452"/>
        <v>2018</v>
      </c>
      <c r="CS412" s="133">
        <f t="shared" si="452"/>
        <v>2019</v>
      </c>
      <c r="CT412" s="133">
        <f t="shared" si="452"/>
        <v>2020</v>
      </c>
      <c r="CU412" s="133">
        <f t="shared" si="452"/>
        <v>2021</v>
      </c>
      <c r="CV412" s="133">
        <f t="shared" si="452"/>
        <v>2022</v>
      </c>
      <c r="CW412" s="133">
        <f t="shared" si="452"/>
        <v>2023</v>
      </c>
      <c r="CX412" s="133">
        <f t="shared" si="452"/>
        <v>2024</v>
      </c>
      <c r="CY412" s="133">
        <f t="shared" si="452"/>
        <v>2025</v>
      </c>
      <c r="CZ412" s="133">
        <f t="shared" si="452"/>
        <v>2026</v>
      </c>
      <c r="DA412" s="133">
        <f t="shared" si="452"/>
        <v>2027</v>
      </c>
      <c r="DB412" s="133">
        <f t="shared" si="452"/>
        <v>2028</v>
      </c>
      <c r="DC412" s="133">
        <f t="shared" si="452"/>
        <v>2029</v>
      </c>
      <c r="DD412" s="133">
        <f t="shared" si="452"/>
        <v>2030</v>
      </c>
      <c r="DE412" s="133">
        <f t="shared" si="452"/>
        <v>2031</v>
      </c>
      <c r="DF412" s="133">
        <f t="shared" si="452"/>
        <v>2032</v>
      </c>
      <c r="DG412" s="133">
        <f t="shared" si="452"/>
        <v>2033</v>
      </c>
      <c r="DH412" s="133">
        <f t="shared" si="452"/>
        <v>2034</v>
      </c>
      <c r="DI412" s="133">
        <f t="shared" si="452"/>
        <v>2035</v>
      </c>
      <c r="DJ412" s="133">
        <f t="shared" si="452"/>
        <v>2036</v>
      </c>
      <c r="DK412" s="133">
        <f t="shared" si="452"/>
        <v>2037</v>
      </c>
      <c r="DL412" s="133">
        <f t="shared" si="452"/>
        <v>2038</v>
      </c>
      <c r="DM412" s="133">
        <f t="shared" si="452"/>
        <v>2039</v>
      </c>
      <c r="DN412" s="133">
        <f t="shared" si="452"/>
        <v>2040</v>
      </c>
      <c r="DO412" s="133">
        <f t="shared" si="452"/>
        <v>2041</v>
      </c>
      <c r="DP412" s="133">
        <f t="shared" si="452"/>
        <v>2042</v>
      </c>
      <c r="DQ412" s="133">
        <f t="shared" si="452"/>
        <v>2043</v>
      </c>
      <c r="DR412" s="133">
        <f t="shared" si="452"/>
        <v>2044</v>
      </c>
      <c r="DS412" s="133">
        <f t="shared" si="452"/>
        <v>2045</v>
      </c>
      <c r="DT412" s="133">
        <f t="shared" si="452"/>
        <v>2046</v>
      </c>
      <c r="DU412" s="133">
        <f t="shared" si="452"/>
        <v>2047</v>
      </c>
      <c r="DV412" s="133">
        <f t="shared" si="452"/>
        <v>2048</v>
      </c>
      <c r="DW412" s="133">
        <f t="shared" si="452"/>
        <v>2049</v>
      </c>
      <c r="DX412" s="134">
        <f t="shared" si="452"/>
        <v>2050</v>
      </c>
      <c r="DZ412" s="135">
        <f t="shared" ref="DZ412:FI412" si="453">DZ$1</f>
        <v>2015</v>
      </c>
      <c r="EA412" s="133">
        <f t="shared" si="453"/>
        <v>2016</v>
      </c>
      <c r="EB412" s="133">
        <f t="shared" si="453"/>
        <v>2017</v>
      </c>
      <c r="EC412" s="133">
        <f t="shared" si="453"/>
        <v>2018</v>
      </c>
      <c r="ED412" s="133">
        <f t="shared" si="453"/>
        <v>2019</v>
      </c>
      <c r="EE412" s="133">
        <f t="shared" si="453"/>
        <v>2020</v>
      </c>
      <c r="EF412" s="133">
        <f t="shared" si="453"/>
        <v>2021</v>
      </c>
      <c r="EG412" s="133">
        <f t="shared" si="453"/>
        <v>2022</v>
      </c>
      <c r="EH412" s="133">
        <f t="shared" si="453"/>
        <v>2023</v>
      </c>
      <c r="EI412" s="133">
        <f t="shared" si="453"/>
        <v>2024</v>
      </c>
      <c r="EJ412" s="133">
        <f t="shared" si="453"/>
        <v>2025</v>
      </c>
      <c r="EK412" s="133">
        <f t="shared" si="453"/>
        <v>2026</v>
      </c>
      <c r="EL412" s="133">
        <f t="shared" si="453"/>
        <v>2027</v>
      </c>
      <c r="EM412" s="133">
        <f t="shared" si="453"/>
        <v>2028</v>
      </c>
      <c r="EN412" s="133">
        <f t="shared" si="453"/>
        <v>2029</v>
      </c>
      <c r="EO412" s="133">
        <f t="shared" si="453"/>
        <v>2030</v>
      </c>
      <c r="EP412" s="133">
        <f t="shared" si="453"/>
        <v>2031</v>
      </c>
      <c r="EQ412" s="133">
        <f t="shared" si="453"/>
        <v>2032</v>
      </c>
      <c r="ER412" s="133">
        <f t="shared" si="453"/>
        <v>2033</v>
      </c>
      <c r="ES412" s="133">
        <f t="shared" si="453"/>
        <v>2034</v>
      </c>
      <c r="ET412" s="133">
        <f t="shared" si="453"/>
        <v>2035</v>
      </c>
      <c r="EU412" s="133">
        <f t="shared" si="453"/>
        <v>2036</v>
      </c>
      <c r="EV412" s="133">
        <f t="shared" si="453"/>
        <v>2037</v>
      </c>
      <c r="EW412" s="133">
        <f t="shared" si="453"/>
        <v>2038</v>
      </c>
      <c r="EX412" s="133">
        <f t="shared" si="453"/>
        <v>2039</v>
      </c>
      <c r="EY412" s="133">
        <f t="shared" si="453"/>
        <v>2040</v>
      </c>
      <c r="EZ412" s="133">
        <f t="shared" si="453"/>
        <v>2041</v>
      </c>
      <c r="FA412" s="133">
        <f t="shared" si="453"/>
        <v>2042</v>
      </c>
      <c r="FB412" s="133">
        <f t="shared" si="453"/>
        <v>2043</v>
      </c>
      <c r="FC412" s="133">
        <f t="shared" si="453"/>
        <v>2044</v>
      </c>
      <c r="FD412" s="133">
        <f t="shared" si="453"/>
        <v>2045</v>
      </c>
      <c r="FE412" s="133">
        <f t="shared" si="453"/>
        <v>2046</v>
      </c>
      <c r="FF412" s="133">
        <f t="shared" si="453"/>
        <v>2047</v>
      </c>
      <c r="FG412" s="133">
        <f t="shared" si="453"/>
        <v>2048</v>
      </c>
      <c r="FH412" s="133">
        <f t="shared" si="453"/>
        <v>2049</v>
      </c>
      <c r="FI412" s="134">
        <f t="shared" si="453"/>
        <v>2050</v>
      </c>
      <c r="FK412" s="135">
        <f t="shared" ref="FK412:GT412" si="454">FK$1</f>
        <v>2015</v>
      </c>
      <c r="FL412" s="133">
        <f t="shared" si="454"/>
        <v>2016</v>
      </c>
      <c r="FM412" s="133">
        <f t="shared" si="454"/>
        <v>2017</v>
      </c>
      <c r="FN412" s="133">
        <f t="shared" si="454"/>
        <v>2018</v>
      </c>
      <c r="FO412" s="133">
        <f t="shared" si="454"/>
        <v>2019</v>
      </c>
      <c r="FP412" s="133">
        <f t="shared" si="454"/>
        <v>2020</v>
      </c>
      <c r="FQ412" s="133">
        <f t="shared" si="454"/>
        <v>2021</v>
      </c>
      <c r="FR412" s="133">
        <f t="shared" si="454"/>
        <v>2022</v>
      </c>
      <c r="FS412" s="133">
        <f t="shared" si="454"/>
        <v>2023</v>
      </c>
      <c r="FT412" s="133">
        <f t="shared" si="454"/>
        <v>2024</v>
      </c>
      <c r="FU412" s="133">
        <f t="shared" si="454"/>
        <v>2025</v>
      </c>
      <c r="FV412" s="133">
        <f t="shared" si="454"/>
        <v>2026</v>
      </c>
      <c r="FW412" s="133">
        <f t="shared" si="454"/>
        <v>2027</v>
      </c>
      <c r="FX412" s="133">
        <f t="shared" si="454"/>
        <v>2028</v>
      </c>
      <c r="FY412" s="133">
        <f t="shared" si="454"/>
        <v>2029</v>
      </c>
      <c r="FZ412" s="133">
        <f t="shared" si="454"/>
        <v>2030</v>
      </c>
      <c r="GA412" s="133">
        <f t="shared" si="454"/>
        <v>2031</v>
      </c>
      <c r="GB412" s="133">
        <f t="shared" si="454"/>
        <v>2032</v>
      </c>
      <c r="GC412" s="133">
        <f t="shared" si="454"/>
        <v>2033</v>
      </c>
      <c r="GD412" s="133">
        <f t="shared" si="454"/>
        <v>2034</v>
      </c>
      <c r="GE412" s="133">
        <f t="shared" si="454"/>
        <v>2035</v>
      </c>
      <c r="GF412" s="133">
        <f t="shared" si="454"/>
        <v>2036</v>
      </c>
      <c r="GG412" s="133">
        <f t="shared" si="454"/>
        <v>2037</v>
      </c>
      <c r="GH412" s="133">
        <f t="shared" si="454"/>
        <v>2038</v>
      </c>
      <c r="GI412" s="133">
        <f t="shared" si="454"/>
        <v>2039</v>
      </c>
      <c r="GJ412" s="133">
        <f t="shared" si="454"/>
        <v>2040</v>
      </c>
      <c r="GK412" s="133">
        <f t="shared" si="454"/>
        <v>2041</v>
      </c>
      <c r="GL412" s="133">
        <f t="shared" si="454"/>
        <v>2042</v>
      </c>
      <c r="GM412" s="133">
        <f t="shared" si="454"/>
        <v>2043</v>
      </c>
      <c r="GN412" s="133">
        <f t="shared" si="454"/>
        <v>2044</v>
      </c>
      <c r="GO412" s="133">
        <f t="shared" si="454"/>
        <v>2045</v>
      </c>
      <c r="GP412" s="133">
        <f t="shared" si="454"/>
        <v>2046</v>
      </c>
      <c r="GQ412" s="133">
        <f t="shared" si="454"/>
        <v>2047</v>
      </c>
      <c r="GR412" s="133">
        <f t="shared" si="454"/>
        <v>2048</v>
      </c>
      <c r="GS412" s="133">
        <f t="shared" si="454"/>
        <v>2049</v>
      </c>
      <c r="GT412" s="134">
        <f t="shared" si="454"/>
        <v>2050</v>
      </c>
      <c r="GV412" s="135">
        <f t="shared" ref="GV412:IE412" si="455">GV$1</f>
        <v>2015</v>
      </c>
      <c r="GW412" s="133">
        <f t="shared" si="455"/>
        <v>2016</v>
      </c>
      <c r="GX412" s="133">
        <f t="shared" si="455"/>
        <v>2017</v>
      </c>
      <c r="GY412" s="133">
        <f t="shared" si="455"/>
        <v>2018</v>
      </c>
      <c r="GZ412" s="133">
        <f t="shared" si="455"/>
        <v>2019</v>
      </c>
      <c r="HA412" s="133">
        <f t="shared" si="455"/>
        <v>2020</v>
      </c>
      <c r="HB412" s="133">
        <f t="shared" si="455"/>
        <v>2021</v>
      </c>
      <c r="HC412" s="133">
        <f t="shared" si="455"/>
        <v>2022</v>
      </c>
      <c r="HD412" s="133">
        <f t="shared" si="455"/>
        <v>2023</v>
      </c>
      <c r="HE412" s="133">
        <f t="shared" si="455"/>
        <v>2024</v>
      </c>
      <c r="HF412" s="133">
        <f t="shared" si="455"/>
        <v>2025</v>
      </c>
      <c r="HG412" s="133">
        <f t="shared" si="455"/>
        <v>2026</v>
      </c>
      <c r="HH412" s="133">
        <f t="shared" si="455"/>
        <v>2027</v>
      </c>
      <c r="HI412" s="133">
        <f t="shared" si="455"/>
        <v>2028</v>
      </c>
      <c r="HJ412" s="133">
        <f t="shared" si="455"/>
        <v>2029</v>
      </c>
      <c r="HK412" s="133">
        <f t="shared" si="455"/>
        <v>2030</v>
      </c>
      <c r="HL412" s="133">
        <f t="shared" si="455"/>
        <v>2031</v>
      </c>
      <c r="HM412" s="133">
        <f t="shared" si="455"/>
        <v>2032</v>
      </c>
      <c r="HN412" s="133">
        <f t="shared" si="455"/>
        <v>2033</v>
      </c>
      <c r="HO412" s="133">
        <f t="shared" si="455"/>
        <v>2034</v>
      </c>
      <c r="HP412" s="133">
        <f t="shared" si="455"/>
        <v>2035</v>
      </c>
      <c r="HQ412" s="133">
        <f t="shared" si="455"/>
        <v>2036</v>
      </c>
      <c r="HR412" s="133">
        <f t="shared" si="455"/>
        <v>2037</v>
      </c>
      <c r="HS412" s="133">
        <f t="shared" si="455"/>
        <v>2038</v>
      </c>
      <c r="HT412" s="133">
        <f t="shared" si="455"/>
        <v>2039</v>
      </c>
      <c r="HU412" s="133">
        <f t="shared" si="455"/>
        <v>2040</v>
      </c>
      <c r="HV412" s="133">
        <f t="shared" si="455"/>
        <v>2041</v>
      </c>
      <c r="HW412" s="133">
        <f t="shared" si="455"/>
        <v>2042</v>
      </c>
      <c r="HX412" s="133">
        <f t="shared" si="455"/>
        <v>2043</v>
      </c>
      <c r="HY412" s="133">
        <f t="shared" si="455"/>
        <v>2044</v>
      </c>
      <c r="HZ412" s="133">
        <f t="shared" si="455"/>
        <v>2045</v>
      </c>
      <c r="IA412" s="133">
        <f t="shared" si="455"/>
        <v>2046</v>
      </c>
      <c r="IB412" s="133">
        <f t="shared" si="455"/>
        <v>2047</v>
      </c>
      <c r="IC412" s="133">
        <f t="shared" si="455"/>
        <v>2048</v>
      </c>
      <c r="ID412" s="133">
        <f t="shared" si="455"/>
        <v>2049</v>
      </c>
      <c r="IE412" s="134">
        <f t="shared" si="455"/>
        <v>2050</v>
      </c>
      <c r="IG412" s="135">
        <f t="shared" ref="IG412:JP412" si="456">IG$1</f>
        <v>2015</v>
      </c>
      <c r="IH412" s="133">
        <f t="shared" si="456"/>
        <v>2016</v>
      </c>
      <c r="II412" s="133">
        <f t="shared" si="456"/>
        <v>2017</v>
      </c>
      <c r="IJ412" s="133">
        <f t="shared" si="456"/>
        <v>2018</v>
      </c>
      <c r="IK412" s="133">
        <f t="shared" si="456"/>
        <v>2019</v>
      </c>
      <c r="IL412" s="133">
        <f t="shared" si="456"/>
        <v>2020</v>
      </c>
      <c r="IM412" s="133">
        <f t="shared" si="456"/>
        <v>2021</v>
      </c>
      <c r="IN412" s="133">
        <f t="shared" si="456"/>
        <v>2022</v>
      </c>
      <c r="IO412" s="133">
        <f t="shared" si="456"/>
        <v>2023</v>
      </c>
      <c r="IP412" s="133">
        <f t="shared" si="456"/>
        <v>2024</v>
      </c>
      <c r="IQ412" s="133">
        <f t="shared" si="456"/>
        <v>2025</v>
      </c>
      <c r="IR412" s="133">
        <f t="shared" si="456"/>
        <v>2026</v>
      </c>
      <c r="IS412" s="133">
        <f t="shared" si="456"/>
        <v>2027</v>
      </c>
      <c r="IT412" s="133">
        <f t="shared" si="456"/>
        <v>2028</v>
      </c>
      <c r="IU412" s="133">
        <f t="shared" si="456"/>
        <v>2029</v>
      </c>
      <c r="IV412" s="133">
        <f t="shared" si="456"/>
        <v>2030</v>
      </c>
      <c r="IW412" s="133">
        <f t="shared" si="456"/>
        <v>2031</v>
      </c>
      <c r="IX412" s="133">
        <f t="shared" si="456"/>
        <v>2032</v>
      </c>
      <c r="IY412" s="133">
        <f t="shared" si="456"/>
        <v>2033</v>
      </c>
      <c r="IZ412" s="133">
        <f t="shared" si="456"/>
        <v>2034</v>
      </c>
      <c r="JA412" s="133">
        <f t="shared" si="456"/>
        <v>2035</v>
      </c>
      <c r="JB412" s="133">
        <f t="shared" si="456"/>
        <v>2036</v>
      </c>
      <c r="JC412" s="133">
        <f t="shared" si="456"/>
        <v>2037</v>
      </c>
      <c r="JD412" s="133">
        <f t="shared" si="456"/>
        <v>2038</v>
      </c>
      <c r="JE412" s="133">
        <f t="shared" si="456"/>
        <v>2039</v>
      </c>
      <c r="JF412" s="133">
        <f t="shared" si="456"/>
        <v>2040</v>
      </c>
      <c r="JG412" s="133">
        <f t="shared" si="456"/>
        <v>2041</v>
      </c>
      <c r="JH412" s="133">
        <f t="shared" si="456"/>
        <v>2042</v>
      </c>
      <c r="JI412" s="133">
        <f t="shared" si="456"/>
        <v>2043</v>
      </c>
      <c r="JJ412" s="133">
        <f t="shared" si="456"/>
        <v>2044</v>
      </c>
      <c r="JK412" s="133">
        <f t="shared" si="456"/>
        <v>2045</v>
      </c>
      <c r="JL412" s="133">
        <f t="shared" si="456"/>
        <v>2046</v>
      </c>
      <c r="JM412" s="133">
        <f t="shared" si="456"/>
        <v>2047</v>
      </c>
      <c r="JN412" s="133">
        <f t="shared" si="456"/>
        <v>2048</v>
      </c>
      <c r="JO412" s="133">
        <f t="shared" si="456"/>
        <v>2049</v>
      </c>
      <c r="JP412" s="134">
        <f t="shared" si="456"/>
        <v>2050</v>
      </c>
      <c r="JR412" s="135">
        <f t="shared" ref="JR412:MC412" si="457">JR$1</f>
        <v>2015</v>
      </c>
      <c r="JS412" s="133">
        <f t="shared" si="457"/>
        <v>2016</v>
      </c>
      <c r="JT412" s="133">
        <f t="shared" si="457"/>
        <v>2017</v>
      </c>
      <c r="JU412" s="133">
        <f t="shared" si="457"/>
        <v>2018</v>
      </c>
      <c r="JV412" s="133">
        <f t="shared" si="457"/>
        <v>2019</v>
      </c>
      <c r="JW412" s="133">
        <f t="shared" si="457"/>
        <v>2020</v>
      </c>
      <c r="JX412" s="133">
        <f t="shared" si="457"/>
        <v>2021</v>
      </c>
      <c r="JY412" s="133">
        <f t="shared" si="457"/>
        <v>2022</v>
      </c>
      <c r="JZ412" s="133">
        <f t="shared" si="457"/>
        <v>2023</v>
      </c>
      <c r="KA412" s="133">
        <f t="shared" si="457"/>
        <v>2024</v>
      </c>
      <c r="KB412" s="133">
        <f t="shared" si="457"/>
        <v>2025</v>
      </c>
      <c r="KC412" s="133">
        <f t="shared" si="457"/>
        <v>2026</v>
      </c>
      <c r="KD412" s="133">
        <f t="shared" si="457"/>
        <v>2027</v>
      </c>
      <c r="KE412" s="133">
        <f t="shared" si="457"/>
        <v>2028</v>
      </c>
      <c r="KF412" s="133">
        <f t="shared" si="457"/>
        <v>2029</v>
      </c>
      <c r="KG412" s="133">
        <f t="shared" si="457"/>
        <v>2030</v>
      </c>
      <c r="KH412" s="133">
        <f t="shared" si="457"/>
        <v>2031</v>
      </c>
      <c r="KI412" s="133">
        <f t="shared" si="457"/>
        <v>2032</v>
      </c>
      <c r="KJ412" s="133">
        <f t="shared" si="457"/>
        <v>2033</v>
      </c>
      <c r="KK412" s="133">
        <f t="shared" si="457"/>
        <v>2034</v>
      </c>
      <c r="KL412" s="133">
        <f t="shared" si="457"/>
        <v>2035</v>
      </c>
      <c r="KM412" s="133">
        <f t="shared" si="457"/>
        <v>2036</v>
      </c>
      <c r="KN412" s="133">
        <f t="shared" si="457"/>
        <v>2037</v>
      </c>
      <c r="KO412" s="133">
        <f t="shared" si="457"/>
        <v>2038</v>
      </c>
      <c r="KP412" s="133">
        <f t="shared" si="457"/>
        <v>2039</v>
      </c>
      <c r="KQ412" s="133">
        <f t="shared" si="457"/>
        <v>2040</v>
      </c>
      <c r="KR412" s="133">
        <f t="shared" si="457"/>
        <v>2041</v>
      </c>
      <c r="KS412" s="133">
        <f t="shared" si="457"/>
        <v>2042</v>
      </c>
      <c r="KT412" s="133">
        <f t="shared" si="457"/>
        <v>2043</v>
      </c>
      <c r="KU412" s="133">
        <f t="shared" si="457"/>
        <v>2044</v>
      </c>
      <c r="KV412" s="133">
        <f t="shared" si="457"/>
        <v>2045</v>
      </c>
      <c r="KW412" s="133">
        <f t="shared" si="457"/>
        <v>2046</v>
      </c>
      <c r="KX412" s="133">
        <f t="shared" si="457"/>
        <v>2047</v>
      </c>
      <c r="KY412" s="133">
        <f t="shared" si="457"/>
        <v>2048</v>
      </c>
      <c r="KZ412" s="133">
        <f t="shared" si="457"/>
        <v>2049</v>
      </c>
      <c r="LA412" s="134">
        <f t="shared" si="457"/>
        <v>2050</v>
      </c>
      <c r="LC412" s="135">
        <f t="shared" si="457"/>
        <v>2015</v>
      </c>
      <c r="LD412" s="133">
        <f t="shared" si="457"/>
        <v>2016</v>
      </c>
      <c r="LE412" s="133">
        <f t="shared" si="457"/>
        <v>2017</v>
      </c>
      <c r="LF412" s="133">
        <f t="shared" si="457"/>
        <v>2018</v>
      </c>
      <c r="LG412" s="133">
        <f t="shared" si="457"/>
        <v>2019</v>
      </c>
      <c r="LH412" s="133">
        <f t="shared" si="457"/>
        <v>2020</v>
      </c>
      <c r="LI412" s="133">
        <f t="shared" si="457"/>
        <v>2021</v>
      </c>
      <c r="LJ412" s="133">
        <f t="shared" si="457"/>
        <v>2022</v>
      </c>
      <c r="LK412" s="133">
        <f t="shared" si="457"/>
        <v>2023</v>
      </c>
      <c r="LL412" s="133">
        <f t="shared" si="457"/>
        <v>2024</v>
      </c>
      <c r="LM412" s="133">
        <f t="shared" si="457"/>
        <v>2025</v>
      </c>
      <c r="LN412" s="133">
        <f t="shared" si="457"/>
        <v>2026</v>
      </c>
      <c r="LO412" s="133">
        <f t="shared" si="457"/>
        <v>2027</v>
      </c>
      <c r="LP412" s="133">
        <f t="shared" si="457"/>
        <v>2028</v>
      </c>
      <c r="LQ412" s="133">
        <f t="shared" si="457"/>
        <v>2029</v>
      </c>
      <c r="LR412" s="133">
        <f t="shared" si="457"/>
        <v>2030</v>
      </c>
      <c r="LS412" s="133">
        <f t="shared" si="457"/>
        <v>2031</v>
      </c>
      <c r="LT412" s="133">
        <f t="shared" si="457"/>
        <v>2032</v>
      </c>
      <c r="LU412" s="133">
        <f t="shared" si="457"/>
        <v>2033</v>
      </c>
      <c r="LV412" s="133">
        <f t="shared" si="457"/>
        <v>2034</v>
      </c>
      <c r="LW412" s="133">
        <f t="shared" si="457"/>
        <v>2035</v>
      </c>
      <c r="LX412" s="133">
        <f t="shared" si="457"/>
        <v>2036</v>
      </c>
      <c r="LY412" s="133">
        <f t="shared" si="457"/>
        <v>2037</v>
      </c>
      <c r="LZ412" s="133">
        <f t="shared" si="457"/>
        <v>2038</v>
      </c>
      <c r="MA412" s="133">
        <f t="shared" si="457"/>
        <v>2039</v>
      </c>
      <c r="MB412" s="133">
        <f t="shared" si="457"/>
        <v>2040</v>
      </c>
      <c r="MC412" s="133">
        <f t="shared" si="457"/>
        <v>2041</v>
      </c>
      <c r="MD412" s="133">
        <f t="shared" ref="MD412:ML412" si="458">MD$1</f>
        <v>2042</v>
      </c>
      <c r="ME412" s="133">
        <f t="shared" si="458"/>
        <v>2043</v>
      </c>
      <c r="MF412" s="133">
        <f t="shared" si="458"/>
        <v>2044</v>
      </c>
      <c r="MG412" s="133">
        <f t="shared" si="458"/>
        <v>2045</v>
      </c>
      <c r="MH412" s="133">
        <f t="shared" si="458"/>
        <v>2046</v>
      </c>
      <c r="MI412" s="133">
        <f t="shared" si="458"/>
        <v>2047</v>
      </c>
      <c r="MJ412" s="133">
        <f t="shared" si="458"/>
        <v>2048</v>
      </c>
      <c r="MK412" s="133">
        <f t="shared" si="458"/>
        <v>2049</v>
      </c>
      <c r="ML412" s="134">
        <f t="shared" si="458"/>
        <v>2050</v>
      </c>
    </row>
    <row r="413" spans="2:350" s="4" customFormat="1" ht="18" customHeight="1" x14ac:dyDescent="0.3">
      <c r="C413" s="136" t="s">
        <v>76</v>
      </c>
      <c r="E413" s="137" t="s">
        <v>103</v>
      </c>
      <c r="F413" s="186"/>
      <c r="H413" s="235"/>
      <c r="I413" s="218"/>
      <c r="J413" s="218"/>
      <c r="K413" s="218"/>
      <c r="L413" s="218"/>
      <c r="M413" s="236"/>
      <c r="N413" s="237"/>
      <c r="O413" s="237"/>
      <c r="P413" s="237"/>
      <c r="Q413" s="237"/>
      <c r="R413" s="140"/>
      <c r="S413" s="139"/>
      <c r="T413" s="140"/>
      <c r="U413" s="140"/>
      <c r="V413" s="140"/>
      <c r="W413" s="140"/>
      <c r="X413" s="140"/>
      <c r="Y413" s="140"/>
      <c r="Z413" s="140"/>
      <c r="AA413" s="140"/>
      <c r="AB413" s="140"/>
      <c r="AC413" s="140"/>
      <c r="AD413" s="140"/>
      <c r="AE413" s="140"/>
      <c r="AF413" s="140"/>
      <c r="AG413" s="140"/>
      <c r="AH413" s="140"/>
      <c r="AI413" s="140"/>
      <c r="AJ413" s="140"/>
      <c r="AK413" s="140"/>
      <c r="AL413" s="140"/>
      <c r="AM413" s="140"/>
      <c r="AN413" s="140"/>
      <c r="AO413" s="140"/>
      <c r="AP413" s="140"/>
      <c r="AQ413" s="140"/>
      <c r="AR413" s="140"/>
      <c r="AS413" s="140"/>
      <c r="AT413" s="140"/>
      <c r="AU413" s="140"/>
      <c r="AV413" s="140"/>
      <c r="AW413" s="140"/>
      <c r="AX413" s="140"/>
      <c r="AY413" s="140"/>
      <c r="AZ413" s="140"/>
      <c r="BA413" s="140"/>
      <c r="BB413" s="141"/>
      <c r="BC413" s="140"/>
      <c r="BD413" s="139"/>
      <c r="BE413" s="140"/>
      <c r="BF413" s="140"/>
      <c r="BG413" s="140"/>
      <c r="BH413" s="140"/>
      <c r="BI413" s="219"/>
      <c r="BJ413" s="234">
        <f t="shared" ref="BJ413:BJ420" si="459">CM188*(1-CM339)/30</f>
        <v>2735.021666666667</v>
      </c>
      <c r="BK413" s="234">
        <f t="shared" ref="BK413:BK420" si="460">CM188*(1-CM339)/30</f>
        <v>2735.021666666667</v>
      </c>
      <c r="BL413" s="234">
        <f t="shared" ref="BL413:BL420" si="461">CM188*(1-CM339)/30</f>
        <v>2735.021666666667</v>
      </c>
      <c r="BM413" s="234">
        <f t="shared" ref="BM413:BM420" si="462">CM188*(1-CM339)/30</f>
        <v>2735.021666666667</v>
      </c>
      <c r="BN413" s="234">
        <f t="shared" ref="BN413:BN420" si="463">CM188*(1-CM339)/30</f>
        <v>2735.021666666667</v>
      </c>
      <c r="BO413" s="234">
        <f t="shared" ref="BO413:BO420" si="464">CM188*(1-CM339)/30</f>
        <v>2735.021666666667</v>
      </c>
      <c r="BP413" s="234">
        <f t="shared" ref="BP413:BP420" si="465">CM188*(1-CM339)/30</f>
        <v>2735.021666666667</v>
      </c>
      <c r="BQ413" s="234">
        <f t="shared" ref="BQ413:BQ420" si="466">CM188*(1-CM339)/30</f>
        <v>2735.021666666667</v>
      </c>
      <c r="BR413" s="234">
        <f t="shared" ref="BR413:BR420" si="467">CM188*(1-CM339)/30</f>
        <v>2735.021666666667</v>
      </c>
      <c r="BS413" s="234">
        <f t="shared" ref="BS413:BS420" si="468">CM188*(1-CM339)/30</f>
        <v>2735.021666666667</v>
      </c>
      <c r="BT413" s="234">
        <f t="shared" ref="BT413:BT420" si="469">CM188*(1-CM339)/30</f>
        <v>2735.021666666667</v>
      </c>
      <c r="BU413" s="234">
        <f t="shared" ref="BU413:BU420" si="470">CM188*(1-CM339)/30</f>
        <v>2735.021666666667</v>
      </c>
      <c r="BV413" s="234">
        <f t="shared" ref="BV413:BV420" si="471">CM188*(1-CM339)/30</f>
        <v>2735.021666666667</v>
      </c>
      <c r="BW413" s="234">
        <f t="shared" ref="BW413:BW420" si="472">CM188*(1-CM339)/30</f>
        <v>2735.021666666667</v>
      </c>
      <c r="BX413" s="234">
        <f t="shared" ref="BX413:BX420" si="473">CM188*(1-CM339)/30</f>
        <v>2735.021666666667</v>
      </c>
      <c r="BY413" s="234">
        <f t="shared" ref="BY413:BY420" si="474">CM188*(1-CM339)/30</f>
        <v>2735.021666666667</v>
      </c>
      <c r="BZ413" s="234">
        <f t="shared" ref="BZ413:BZ420" si="475">CM188*(1-CM339)/30</f>
        <v>2735.021666666667</v>
      </c>
      <c r="CA413" s="234">
        <f t="shared" ref="CA413:CA420" si="476">CM188*(1-CM339)/30</f>
        <v>2735.021666666667</v>
      </c>
      <c r="CB413" s="234">
        <f t="shared" ref="CB413:CB420" si="477">CM188*(1-CM339)/30</f>
        <v>2735.021666666667</v>
      </c>
      <c r="CC413" s="234">
        <f t="shared" ref="CC413:CC420" si="478">CM188*(1-CM339)/30</f>
        <v>2735.021666666667</v>
      </c>
      <c r="CD413" s="234">
        <f t="shared" ref="CD413:CD420" si="479">CM188*(1-CM339)/30</f>
        <v>2735.021666666667</v>
      </c>
      <c r="CE413" s="234">
        <f t="shared" ref="CE413:CE420" si="480">CM188*(1-CM339)/30</f>
        <v>2735.021666666667</v>
      </c>
      <c r="CF413" s="234">
        <f t="shared" ref="CF413:CF420" si="481">CM188*(1-CM339)/30</f>
        <v>2735.021666666667</v>
      </c>
      <c r="CG413" s="234">
        <f t="shared" ref="CG413:CG420" si="482">CM188*(1-CM339)/30</f>
        <v>2735.021666666667</v>
      </c>
      <c r="CH413" s="234">
        <f t="shared" ref="CH413:CH420" si="483">CM188*(1-CM339)/30</f>
        <v>2735.021666666667</v>
      </c>
      <c r="CI413" s="234">
        <f t="shared" ref="CI413:CI420" si="484">CM188*(1-CM339)/30</f>
        <v>2735.021666666667</v>
      </c>
      <c r="CJ413" s="234">
        <f t="shared" ref="CJ413:CJ420" si="485">CM188*(1-CM339)/30</f>
        <v>2735.021666666667</v>
      </c>
      <c r="CK413" s="234">
        <f t="shared" ref="CK413:CK420" si="486">CM188*(1-CM339)/30</f>
        <v>2735.021666666667</v>
      </c>
      <c r="CL413" s="234">
        <f t="shared" ref="CL413:CL420" si="487">CM188*(1-CM339)/30</f>
        <v>2735.021666666667</v>
      </c>
      <c r="CM413" s="189">
        <f t="shared" ref="CM413:CM420" si="488">CM188*(1-CM339)/30</f>
        <v>2735.021666666667</v>
      </c>
      <c r="CN413" s="140"/>
      <c r="CO413" s="139"/>
      <c r="CP413" s="140"/>
      <c r="CQ413" s="140"/>
      <c r="CR413" s="140"/>
      <c r="CS413" s="140"/>
      <c r="CT413" s="219"/>
      <c r="CU413" s="234">
        <f t="shared" ref="CU413:CU420" si="489">DX188*(1-DX339)/30</f>
        <v>1093.1916666666666</v>
      </c>
      <c r="CV413" s="234">
        <f t="shared" ref="CV413:CV420" si="490">DX188*(1-DX339)/30</f>
        <v>1093.1916666666666</v>
      </c>
      <c r="CW413" s="234">
        <f t="shared" ref="CW413:CW420" si="491">DX188*(1-DX339)/30</f>
        <v>1093.1916666666666</v>
      </c>
      <c r="CX413" s="234">
        <f t="shared" ref="CX413:CX420" si="492">DX188*(1-DX339)/30</f>
        <v>1093.1916666666666</v>
      </c>
      <c r="CY413" s="234">
        <f t="shared" ref="CY413:CY420" si="493">DX188*(1-DX339)/30</f>
        <v>1093.1916666666666</v>
      </c>
      <c r="CZ413" s="234">
        <f t="shared" ref="CZ413:CZ420" si="494">DX188*(1-DX339)/30</f>
        <v>1093.1916666666666</v>
      </c>
      <c r="DA413" s="234">
        <f t="shared" ref="DA413:DA420" si="495">DX188*(1-DX339)/30</f>
        <v>1093.1916666666666</v>
      </c>
      <c r="DB413" s="234">
        <f t="shared" ref="DB413:DB420" si="496">DX188*(1-DX339)/30</f>
        <v>1093.1916666666666</v>
      </c>
      <c r="DC413" s="234">
        <f t="shared" ref="DC413:DC420" si="497">DX188*(1-DX339)/30</f>
        <v>1093.1916666666666</v>
      </c>
      <c r="DD413" s="234">
        <f t="shared" ref="DD413:DD420" si="498">DX188*(1-DX339)/30</f>
        <v>1093.1916666666666</v>
      </c>
      <c r="DE413" s="234">
        <f t="shared" ref="DE413:DE420" si="499">DX188*(1-DX339)/30</f>
        <v>1093.1916666666666</v>
      </c>
      <c r="DF413" s="234">
        <f t="shared" ref="DF413:DF420" si="500">DX188*(1-DX339)/30</f>
        <v>1093.1916666666666</v>
      </c>
      <c r="DG413" s="234">
        <f t="shared" ref="DG413:DG420" si="501">DX188*(1-DX339)/30</f>
        <v>1093.1916666666666</v>
      </c>
      <c r="DH413" s="234">
        <f t="shared" ref="DH413:DH420" si="502">DX188*(1-DX339)/30</f>
        <v>1093.1916666666666</v>
      </c>
      <c r="DI413" s="234">
        <f t="shared" ref="DI413:DI420" si="503">DX188*(1-DX339)/30</f>
        <v>1093.1916666666666</v>
      </c>
      <c r="DJ413" s="234">
        <f t="shared" ref="DJ413:DJ420" si="504">DX188*(1-DX339)/30</f>
        <v>1093.1916666666666</v>
      </c>
      <c r="DK413" s="234">
        <f t="shared" ref="DK413:DK420" si="505">DX188*(1-DX339)/30</f>
        <v>1093.1916666666666</v>
      </c>
      <c r="DL413" s="234">
        <f t="shared" ref="DL413:DL420" si="506">DX188*(1-DX339)/30</f>
        <v>1093.1916666666666</v>
      </c>
      <c r="DM413" s="234">
        <f t="shared" ref="DM413:DM420" si="507">DX188*(1-DX339)/30</f>
        <v>1093.1916666666666</v>
      </c>
      <c r="DN413" s="234">
        <f t="shared" ref="DN413:DN420" si="508">DX188*(1-DX339)/30</f>
        <v>1093.1916666666666</v>
      </c>
      <c r="DO413" s="234">
        <f t="shared" ref="DO413:DO420" si="509">DX188*(1-DX339)/30</f>
        <v>1093.1916666666666</v>
      </c>
      <c r="DP413" s="234">
        <f t="shared" ref="DP413:DP420" si="510">DX188*(1-DX339)/30</f>
        <v>1093.1916666666666</v>
      </c>
      <c r="DQ413" s="234">
        <f t="shared" ref="DQ413:DQ420" si="511">DX188*(1-DX339)/30</f>
        <v>1093.1916666666666</v>
      </c>
      <c r="DR413" s="234">
        <f t="shared" ref="DR413:DR420" si="512">DX188*(1-DX339)/30</f>
        <v>1093.1916666666666</v>
      </c>
      <c r="DS413" s="234">
        <f t="shared" ref="DS413:DS420" si="513">DX188*(1-DX339)/30</f>
        <v>1093.1916666666666</v>
      </c>
      <c r="DT413" s="234">
        <f t="shared" ref="DT413:DT420" si="514">DX188*(1-DX339)/30</f>
        <v>1093.1916666666666</v>
      </c>
      <c r="DU413" s="234">
        <f t="shared" ref="DU413:DU420" si="515">DX188*(1-DX339)/30</f>
        <v>1093.1916666666666</v>
      </c>
      <c r="DV413" s="234">
        <f t="shared" ref="DV413:DV420" si="516">DX188*(1-DX339)/30</f>
        <v>1093.1916666666666</v>
      </c>
      <c r="DW413" s="234">
        <f t="shared" ref="DW413:DW420" si="517">DX188*(1-DX339)/30</f>
        <v>1093.1916666666666</v>
      </c>
      <c r="DX413" s="189">
        <f t="shared" ref="DX413:DX420" si="518">DX188*(1-DX339)/30</f>
        <v>1093.1916666666666</v>
      </c>
      <c r="DY413" s="140"/>
      <c r="DZ413" s="139"/>
      <c r="EA413" s="140"/>
      <c r="EB413" s="140"/>
      <c r="EC413" s="140"/>
      <c r="ED413" s="140"/>
      <c r="EE413" s="219"/>
      <c r="EF413" s="234">
        <f t="shared" ref="EF413:EF420" si="519">FI188*(1-FI339)/30</f>
        <v>1530.4683333333332</v>
      </c>
      <c r="EG413" s="234">
        <f t="shared" ref="EG413:EG420" si="520">FI188*(1-FI339)/30</f>
        <v>1530.4683333333332</v>
      </c>
      <c r="EH413" s="234">
        <f t="shared" ref="EH413:EH420" si="521">FI188*(1-FI339)/30</f>
        <v>1530.4683333333332</v>
      </c>
      <c r="EI413" s="234">
        <f t="shared" ref="EI413:EI420" si="522">FI188*(1-FI339)/30</f>
        <v>1530.4683333333332</v>
      </c>
      <c r="EJ413" s="234">
        <f t="shared" ref="EJ413:EJ420" si="523">FI188*(1-FI339)/30</f>
        <v>1530.4683333333332</v>
      </c>
      <c r="EK413" s="234">
        <f t="shared" ref="EK413:EK420" si="524">FI188*(1-FI339)/30</f>
        <v>1530.4683333333332</v>
      </c>
      <c r="EL413" s="234">
        <f t="shared" ref="EL413:EL420" si="525">FI188*(1-FI339)/30</f>
        <v>1530.4683333333332</v>
      </c>
      <c r="EM413" s="234">
        <f t="shared" ref="EM413:EM420" si="526">FI188*(1-FI339)/30</f>
        <v>1530.4683333333332</v>
      </c>
      <c r="EN413" s="234">
        <f t="shared" ref="EN413:EN420" si="527">FI188*(1-FI339)/30</f>
        <v>1530.4683333333332</v>
      </c>
      <c r="EO413" s="234">
        <f t="shared" ref="EO413:EO420" si="528">FI188*(1-FI339)/30</f>
        <v>1530.4683333333332</v>
      </c>
      <c r="EP413" s="234">
        <f t="shared" ref="EP413:EP420" si="529">FI188*(1-FI339)/30</f>
        <v>1530.4683333333332</v>
      </c>
      <c r="EQ413" s="234">
        <f t="shared" ref="EQ413:EQ420" si="530">FI188*(1-FI339)/30</f>
        <v>1530.4683333333332</v>
      </c>
      <c r="ER413" s="234">
        <f t="shared" ref="ER413:ER420" si="531">FI188*(1-FI339)/30</f>
        <v>1530.4683333333332</v>
      </c>
      <c r="ES413" s="234">
        <f t="shared" ref="ES413:ES420" si="532">FI188*(1-FI339)/30</f>
        <v>1530.4683333333332</v>
      </c>
      <c r="ET413" s="234">
        <f t="shared" ref="ET413:ET420" si="533">FI188*(1-FI339)/30</f>
        <v>1530.4683333333332</v>
      </c>
      <c r="EU413" s="234">
        <f t="shared" ref="EU413:EU420" si="534">FI188*(1-FI339)/30</f>
        <v>1530.4683333333332</v>
      </c>
      <c r="EV413" s="234">
        <f t="shared" ref="EV413:EV420" si="535">FI188*(1-FI339)/30</f>
        <v>1530.4683333333332</v>
      </c>
      <c r="EW413" s="234">
        <f t="shared" ref="EW413:EW420" si="536">FI188*(1-FI339)/30</f>
        <v>1530.4683333333332</v>
      </c>
      <c r="EX413" s="234">
        <f t="shared" ref="EX413:EX420" si="537">FI188*(1-FI339)/30</f>
        <v>1530.4683333333332</v>
      </c>
      <c r="EY413" s="234">
        <f t="shared" ref="EY413:EY420" si="538">FI188*(1-FI339)/30</f>
        <v>1530.4683333333332</v>
      </c>
      <c r="EZ413" s="234">
        <f t="shared" ref="EZ413:EZ420" si="539">FI188*(1-FI339)/30</f>
        <v>1530.4683333333332</v>
      </c>
      <c r="FA413" s="234">
        <f t="shared" ref="FA413:FA420" si="540">FI188*(1-FI339)/30</f>
        <v>1530.4683333333332</v>
      </c>
      <c r="FB413" s="234">
        <f t="shared" ref="FB413:FB420" si="541">FI188*(1-FI339)/30</f>
        <v>1530.4683333333332</v>
      </c>
      <c r="FC413" s="234">
        <f t="shared" ref="FC413:FC420" si="542">FI188*(1-FI339)/30</f>
        <v>1530.4683333333332</v>
      </c>
      <c r="FD413" s="234">
        <f t="shared" ref="FD413:FD420" si="543">FI188*(1-FI339)/30</f>
        <v>1530.4683333333332</v>
      </c>
      <c r="FE413" s="234">
        <f t="shared" ref="FE413:FE420" si="544">FI188*(1-FI339)/30</f>
        <v>1530.4683333333332</v>
      </c>
      <c r="FF413" s="234">
        <f t="shared" ref="FF413:FF420" si="545">FI188*(1-FI339)/30</f>
        <v>1530.4683333333332</v>
      </c>
      <c r="FG413" s="234">
        <f t="shared" ref="FG413:FG420" si="546">FI188*(1-FI339)/30</f>
        <v>1530.4683333333332</v>
      </c>
      <c r="FH413" s="234">
        <f t="shared" ref="FH413:FH420" si="547">FI188*(1-FI339)/30</f>
        <v>1530.4683333333332</v>
      </c>
      <c r="FI413" s="189">
        <f t="shared" ref="FI413:FI420" si="548">FI188*(1-FI339)/30</f>
        <v>1530.4683333333332</v>
      </c>
      <c r="FJ413" s="140"/>
      <c r="FK413" s="139"/>
      <c r="FL413" s="140"/>
      <c r="FM413" s="140"/>
      <c r="FN413" s="140"/>
      <c r="FO413" s="140"/>
      <c r="FP413" s="219"/>
      <c r="FQ413" s="234">
        <f t="shared" ref="FQ413:FQ420" si="549">GT188*(1-GT339)/30</f>
        <v>1740.4683333333332</v>
      </c>
      <c r="FR413" s="234">
        <f t="shared" ref="FR413:FR420" si="550">GT188*(1-GT339)/30</f>
        <v>1740.4683333333332</v>
      </c>
      <c r="FS413" s="234">
        <f t="shared" ref="FS413:FS420" si="551">GT188*(1-GT339)/30</f>
        <v>1740.4683333333332</v>
      </c>
      <c r="FT413" s="234">
        <f t="shared" ref="FT413:FT420" si="552">GT188*(1-GT339)/30</f>
        <v>1740.4683333333332</v>
      </c>
      <c r="FU413" s="234">
        <f t="shared" ref="FU413:FU420" si="553">GT188*(1-GT339)/30</f>
        <v>1740.4683333333332</v>
      </c>
      <c r="FV413" s="234">
        <f t="shared" ref="FV413:FV420" si="554">GT188*(1-GT339)/30</f>
        <v>1740.4683333333332</v>
      </c>
      <c r="FW413" s="234">
        <f t="shared" ref="FW413:FW420" si="555">GT188*(1-GT339)/30</f>
        <v>1740.4683333333332</v>
      </c>
      <c r="FX413" s="234">
        <f t="shared" ref="FX413:FX420" si="556">GT188*(1-GT339)/30</f>
        <v>1740.4683333333332</v>
      </c>
      <c r="FY413" s="234">
        <f t="shared" ref="FY413:FY420" si="557">GT188*(1-GT339)/30</f>
        <v>1740.4683333333332</v>
      </c>
      <c r="FZ413" s="234">
        <f t="shared" ref="FZ413:FZ420" si="558">GT188*(1-GT339)/30</f>
        <v>1740.4683333333332</v>
      </c>
      <c r="GA413" s="234">
        <f t="shared" ref="GA413:GA420" si="559">GT188*(1-GT339)/30</f>
        <v>1740.4683333333332</v>
      </c>
      <c r="GB413" s="234">
        <f t="shared" ref="GB413:GB420" si="560">GT188*(1-GT339)/30</f>
        <v>1740.4683333333332</v>
      </c>
      <c r="GC413" s="234">
        <f t="shared" ref="GC413:GC420" si="561">GT188*(1-GT339)/30</f>
        <v>1740.4683333333332</v>
      </c>
      <c r="GD413" s="234">
        <f t="shared" ref="GD413:GD420" si="562">GT188*(1-GT339)/30</f>
        <v>1740.4683333333332</v>
      </c>
      <c r="GE413" s="234">
        <f t="shared" ref="GE413:GE420" si="563">GT188*(1-GT339)/30</f>
        <v>1740.4683333333332</v>
      </c>
      <c r="GF413" s="234">
        <f t="shared" ref="GF413:GF420" si="564">GT188*(1-GT339)/30</f>
        <v>1740.4683333333332</v>
      </c>
      <c r="GG413" s="234">
        <f t="shared" ref="GG413:GG420" si="565">GT188*(1-GT339)/30</f>
        <v>1740.4683333333332</v>
      </c>
      <c r="GH413" s="234">
        <f t="shared" ref="GH413:GH420" si="566">GT188*(1-GT339)/30</f>
        <v>1740.4683333333332</v>
      </c>
      <c r="GI413" s="234">
        <f t="shared" ref="GI413:GI420" si="567">GT188*(1-GT339)/30</f>
        <v>1740.4683333333332</v>
      </c>
      <c r="GJ413" s="234">
        <f t="shared" ref="GJ413:GJ420" si="568">GT188*(1-GT339)/30</f>
        <v>1740.4683333333332</v>
      </c>
      <c r="GK413" s="234">
        <f t="shared" ref="GK413:GK420" si="569">GT188*(1-GT339)/30</f>
        <v>1740.4683333333332</v>
      </c>
      <c r="GL413" s="234">
        <f t="shared" ref="GL413:GL420" si="570">GT188*(1-GT339)/30</f>
        <v>1740.4683333333332</v>
      </c>
      <c r="GM413" s="234">
        <f t="shared" ref="GM413:GM420" si="571">GT188*(1-GT339)/30</f>
        <v>1740.4683333333332</v>
      </c>
      <c r="GN413" s="234">
        <f t="shared" ref="GN413:GN420" si="572">GT188*(1-GT339)/30</f>
        <v>1740.4683333333332</v>
      </c>
      <c r="GO413" s="234">
        <f t="shared" ref="GO413:GO420" si="573">GT188*(1-GT339)/30</f>
        <v>1740.4683333333332</v>
      </c>
      <c r="GP413" s="234">
        <f t="shared" ref="GP413:GP420" si="574">GT188*(1-GT339)/30</f>
        <v>1740.4683333333332</v>
      </c>
      <c r="GQ413" s="234">
        <f t="shared" ref="GQ413:GQ420" si="575">GT188*(1-GT339)/30</f>
        <v>1740.4683333333332</v>
      </c>
      <c r="GR413" s="234">
        <f t="shared" ref="GR413:GR420" si="576">GT188*(1-GT339)/30</f>
        <v>1740.4683333333332</v>
      </c>
      <c r="GS413" s="234">
        <f t="shared" ref="GS413:GS420" si="577">GT188*(1-GT339)/30</f>
        <v>1740.4683333333332</v>
      </c>
      <c r="GT413" s="189">
        <f t="shared" ref="GT413:GT420" si="578">GT188*(1-GT339)/30</f>
        <v>1740.4683333333332</v>
      </c>
      <c r="GU413" s="140"/>
      <c r="GV413" s="139"/>
      <c r="GW413" s="140"/>
      <c r="GX413" s="140"/>
      <c r="GY413" s="140"/>
      <c r="GZ413" s="140"/>
      <c r="HA413" s="219"/>
      <c r="HB413" s="234">
        <f t="shared" ref="HB413:HB420" si="579">IE188*(1-IE339)/30</f>
        <v>2237.7449999999999</v>
      </c>
      <c r="HC413" s="234">
        <f t="shared" ref="HC413:HC420" si="580">IE188*(1-IE339)/30</f>
        <v>2237.7449999999999</v>
      </c>
      <c r="HD413" s="234">
        <f t="shared" ref="HD413:HD420" si="581">IE188*(1-IE339)/30</f>
        <v>2237.7449999999999</v>
      </c>
      <c r="HE413" s="234">
        <f t="shared" ref="HE413:HE420" si="582">IE188*(1-IE339)/30</f>
        <v>2237.7449999999999</v>
      </c>
      <c r="HF413" s="234">
        <f t="shared" ref="HF413:HF420" si="583">IE188*(1-IE339)/30</f>
        <v>2237.7449999999999</v>
      </c>
      <c r="HG413" s="234">
        <f t="shared" ref="HG413:HG420" si="584">IE188*(1-IE339)/30</f>
        <v>2237.7449999999999</v>
      </c>
      <c r="HH413" s="234">
        <f t="shared" ref="HH413:HH420" si="585">IE188*(1-IE339)/30</f>
        <v>2237.7449999999999</v>
      </c>
      <c r="HI413" s="234">
        <f t="shared" ref="HI413:HI420" si="586">IE188*(1-IE339)/30</f>
        <v>2237.7449999999999</v>
      </c>
      <c r="HJ413" s="234">
        <f t="shared" ref="HJ413:HJ420" si="587">IE188*(1-IE339)/30</f>
        <v>2237.7449999999999</v>
      </c>
      <c r="HK413" s="234">
        <f t="shared" ref="HK413:HK420" si="588">IE188*(1-IE339)/30</f>
        <v>2237.7449999999999</v>
      </c>
      <c r="HL413" s="234">
        <f t="shared" ref="HL413:HL420" si="589">IE188*(1-IE339)/30</f>
        <v>2237.7449999999999</v>
      </c>
      <c r="HM413" s="234">
        <f t="shared" ref="HM413:HM420" si="590">IE188*(1-IE339)/30</f>
        <v>2237.7449999999999</v>
      </c>
      <c r="HN413" s="234">
        <f t="shared" ref="HN413:HN420" si="591">IE188*(1-IE339)/30</f>
        <v>2237.7449999999999</v>
      </c>
      <c r="HO413" s="234">
        <f t="shared" ref="HO413:HO420" si="592">IE188*(1-IE339)/30</f>
        <v>2237.7449999999999</v>
      </c>
      <c r="HP413" s="234">
        <f t="shared" ref="HP413:HP420" si="593">IE188*(1-IE339)/30</f>
        <v>2237.7449999999999</v>
      </c>
      <c r="HQ413" s="234">
        <f t="shared" ref="HQ413:HQ420" si="594">IE188*(1-IE339)/30</f>
        <v>2237.7449999999999</v>
      </c>
      <c r="HR413" s="234">
        <f t="shared" ref="HR413:HR420" si="595">IE188*(1-IE339)/30</f>
        <v>2237.7449999999999</v>
      </c>
      <c r="HS413" s="234">
        <f t="shared" ref="HS413:HS420" si="596">IE188*(1-IE339)/30</f>
        <v>2237.7449999999999</v>
      </c>
      <c r="HT413" s="234">
        <f t="shared" ref="HT413:HT420" si="597">IE188*(1-IE339)/30</f>
        <v>2237.7449999999999</v>
      </c>
      <c r="HU413" s="234">
        <f t="shared" ref="HU413:HU420" si="598">IE188*(1-IE339)/30</f>
        <v>2237.7449999999999</v>
      </c>
      <c r="HV413" s="234">
        <f t="shared" ref="HV413:HV420" si="599">IE188*(1-IE339)/30</f>
        <v>2237.7449999999999</v>
      </c>
      <c r="HW413" s="234">
        <f t="shared" ref="HW413:HW420" si="600">IE188*(1-IE339)/30</f>
        <v>2237.7449999999999</v>
      </c>
      <c r="HX413" s="234">
        <f t="shared" ref="HX413:HX420" si="601">IE188*(1-IE339)/30</f>
        <v>2237.7449999999999</v>
      </c>
      <c r="HY413" s="234">
        <f t="shared" ref="HY413:HY420" si="602">IE188*(1-IE339)/30</f>
        <v>2237.7449999999999</v>
      </c>
      <c r="HZ413" s="234">
        <f t="shared" ref="HZ413:HZ420" si="603">IE188*(1-IE339)/30</f>
        <v>2237.7449999999999</v>
      </c>
      <c r="IA413" s="234">
        <f t="shared" ref="IA413:IA420" si="604">IE188*(1-IE339)/30</f>
        <v>2237.7449999999999</v>
      </c>
      <c r="IB413" s="234">
        <f t="shared" ref="IB413:IB420" si="605">IE188*(1-IE339)/30</f>
        <v>2237.7449999999999</v>
      </c>
      <c r="IC413" s="234">
        <f t="shared" ref="IC413:IC420" si="606">IE188*(1-IE339)/30</f>
        <v>2237.7449999999999</v>
      </c>
      <c r="ID413" s="234">
        <f t="shared" ref="ID413:ID420" si="607">IE188*(1-IE339)/30</f>
        <v>2237.7449999999999</v>
      </c>
      <c r="IE413" s="189">
        <f t="shared" ref="IE413:IE420" si="608">IE188*(1-IE339)/30</f>
        <v>2237.7449999999999</v>
      </c>
      <c r="IF413" s="140"/>
      <c r="IG413" s="139"/>
      <c r="IH413" s="140"/>
      <c r="II413" s="140"/>
      <c r="IJ413" s="140"/>
      <c r="IK413" s="140"/>
      <c r="IL413" s="219"/>
      <c r="IM413" s="234">
        <f t="shared" ref="IM413:IM420" si="609">JP188*(1-JP339)/30</f>
        <v>7347.0265101033137</v>
      </c>
      <c r="IN413" s="234">
        <f t="shared" ref="IN413:IN420" si="610">JP188*(1-JP339)/30</f>
        <v>7347.0265101033137</v>
      </c>
      <c r="IO413" s="234">
        <f t="shared" ref="IO413:IO420" si="611">JP188*(1-JP339)/30</f>
        <v>7347.0265101033137</v>
      </c>
      <c r="IP413" s="234">
        <f t="shared" ref="IP413:IP420" si="612">JP188*(1-JP339)/30</f>
        <v>7347.0265101033137</v>
      </c>
      <c r="IQ413" s="234">
        <f t="shared" ref="IQ413:IQ420" si="613">JP188*(1-JP339)/30</f>
        <v>7347.0265101033137</v>
      </c>
      <c r="IR413" s="234">
        <f t="shared" ref="IR413:IR420" si="614">JP188*(1-JP339)/30</f>
        <v>7347.0265101033137</v>
      </c>
      <c r="IS413" s="234">
        <f t="shared" ref="IS413:IS420" si="615">JP188*(1-JP339)/30</f>
        <v>7347.0265101033137</v>
      </c>
      <c r="IT413" s="234">
        <f t="shared" ref="IT413:IT420" si="616">JP188*(1-JP339)/30</f>
        <v>7347.0265101033137</v>
      </c>
      <c r="IU413" s="234">
        <f t="shared" ref="IU413:IU420" si="617">JP188*(1-JP339)/30</f>
        <v>7347.0265101033137</v>
      </c>
      <c r="IV413" s="234">
        <f t="shared" ref="IV413:IV420" si="618">JP188*(1-JP339)/30</f>
        <v>7347.0265101033137</v>
      </c>
      <c r="IW413" s="234">
        <f t="shared" ref="IW413:IW420" si="619">JP188*(1-JP339)/30</f>
        <v>7347.0265101033137</v>
      </c>
      <c r="IX413" s="234">
        <f t="shared" ref="IX413:IX420" si="620">JP188*(1-JP339)/30</f>
        <v>7347.0265101033137</v>
      </c>
      <c r="IY413" s="234">
        <f t="shared" ref="IY413:IY420" si="621">JP188*(1-JP339)/30</f>
        <v>7347.0265101033137</v>
      </c>
      <c r="IZ413" s="234">
        <f t="shared" ref="IZ413:IZ420" si="622">JP188*(1-JP339)/30</f>
        <v>7347.0265101033137</v>
      </c>
      <c r="JA413" s="234">
        <f t="shared" ref="JA413:JA420" si="623">JP188*(1-JP339)/30</f>
        <v>7347.0265101033137</v>
      </c>
      <c r="JB413" s="234">
        <f t="shared" ref="JB413:JB420" si="624">JP188*(1-JP339)/30</f>
        <v>7347.0265101033137</v>
      </c>
      <c r="JC413" s="234">
        <f t="shared" ref="JC413:JC420" si="625">JP188*(1-JP339)/30</f>
        <v>7347.0265101033137</v>
      </c>
      <c r="JD413" s="234">
        <f t="shared" ref="JD413:JD420" si="626">JP188*(1-JP339)/30</f>
        <v>7347.0265101033137</v>
      </c>
      <c r="JE413" s="234">
        <f t="shared" ref="JE413:JE420" si="627">JP188*(1-JP339)/30</f>
        <v>7347.0265101033137</v>
      </c>
      <c r="JF413" s="234">
        <f t="shared" ref="JF413:JF420" si="628">JP188*(1-JP339)/30</f>
        <v>7347.0265101033137</v>
      </c>
      <c r="JG413" s="234">
        <f t="shared" ref="JG413:JG420" si="629">JP188*(1-JP339)/30</f>
        <v>7347.0265101033137</v>
      </c>
      <c r="JH413" s="234">
        <f t="shared" ref="JH413:JH420" si="630">JP188*(1-JP339)/30</f>
        <v>7347.0265101033137</v>
      </c>
      <c r="JI413" s="234">
        <f t="shared" ref="JI413:JI420" si="631">JP188*(1-JP339)/30</f>
        <v>7347.0265101033137</v>
      </c>
      <c r="JJ413" s="234">
        <f t="shared" ref="JJ413:JJ420" si="632">JP188*(1-JP339)/30</f>
        <v>7347.0265101033137</v>
      </c>
      <c r="JK413" s="234">
        <f t="shared" ref="JK413:JK420" si="633">JP188*(1-JP339)/30</f>
        <v>7347.0265101033137</v>
      </c>
      <c r="JL413" s="234">
        <f t="shared" ref="JL413:JL420" si="634">JP188*(1-JP339)/30</f>
        <v>7347.0265101033137</v>
      </c>
      <c r="JM413" s="234">
        <f t="shared" ref="JM413:JM420" si="635">JP188*(1-JP339)/30</f>
        <v>7347.0265101033137</v>
      </c>
      <c r="JN413" s="234">
        <f t="shared" ref="JN413:JN420" si="636">JP188*(1-JP339)/30</f>
        <v>7347.0265101033137</v>
      </c>
      <c r="JO413" s="234">
        <f t="shared" ref="JO413:JO420" si="637">JP188*(1-JP339)/30</f>
        <v>7347.0265101033137</v>
      </c>
      <c r="JP413" s="189">
        <f t="shared" ref="JP413:JP420" si="638">JP188*(1-JP339)/30</f>
        <v>7347.0265101033137</v>
      </c>
      <c r="JQ413" s="140"/>
      <c r="JR413" s="139"/>
      <c r="JS413" s="140"/>
      <c r="JT413" s="140"/>
      <c r="JU413" s="140"/>
      <c r="JV413" s="140"/>
      <c r="JW413" s="219"/>
      <c r="JX413" s="234">
        <f t="shared" ref="JX413:JX420" si="639">LA188*(1-LA339)/30</f>
        <v>2943.7836932464065</v>
      </c>
      <c r="JY413" s="234">
        <f t="shared" ref="JY413:JY420" si="640">LA188*(1-LA339)/30</f>
        <v>2943.7836932464065</v>
      </c>
      <c r="JZ413" s="234">
        <f t="shared" ref="JZ413:JZ420" si="641">LA188*(1-LA339)/30</f>
        <v>2943.7836932464065</v>
      </c>
      <c r="KA413" s="234">
        <f t="shared" ref="KA413:KA420" si="642">LA188*(1-LA339)/30</f>
        <v>2943.7836932464065</v>
      </c>
      <c r="KB413" s="234">
        <f t="shared" ref="KB413:KB420" si="643">LA188*(1-LA339)/30</f>
        <v>2943.7836932464065</v>
      </c>
      <c r="KC413" s="234">
        <f t="shared" ref="KC413:KC420" si="644">LA188*(1-LA339)/30</f>
        <v>2943.7836932464065</v>
      </c>
      <c r="KD413" s="234">
        <f t="shared" ref="KD413:KD420" si="645">LA188*(1-LA339)/30</f>
        <v>2943.7836932464065</v>
      </c>
      <c r="KE413" s="234">
        <f t="shared" ref="KE413:KE420" si="646">LA188*(1-LA339)/30</f>
        <v>2943.7836932464065</v>
      </c>
      <c r="KF413" s="234">
        <f t="shared" ref="KF413:KF420" si="647">LA188*(1-LA339)/30</f>
        <v>2943.7836932464065</v>
      </c>
      <c r="KG413" s="234">
        <f t="shared" ref="KG413:KG420" si="648">LA188*(1-LA339)/30</f>
        <v>2943.7836932464065</v>
      </c>
      <c r="KH413" s="234">
        <f t="shared" ref="KH413:KH420" si="649">LA188*(1-LA339)/30</f>
        <v>2943.7836932464065</v>
      </c>
      <c r="KI413" s="234">
        <f t="shared" ref="KI413:KI420" si="650">LA188*(1-LA339)/30</f>
        <v>2943.7836932464065</v>
      </c>
      <c r="KJ413" s="234">
        <f t="shared" ref="KJ413:KJ420" si="651">LA188*(1-LA339)/30</f>
        <v>2943.7836932464065</v>
      </c>
      <c r="KK413" s="234">
        <f t="shared" ref="KK413:KK420" si="652">LA188*(1-LA339)/30</f>
        <v>2943.7836932464065</v>
      </c>
      <c r="KL413" s="234">
        <f t="shared" ref="KL413:KL420" si="653">LA188*(1-LA339)/30</f>
        <v>2943.7836932464065</v>
      </c>
      <c r="KM413" s="234">
        <f t="shared" ref="KM413:KM420" si="654">LA188*(1-LA339)/30</f>
        <v>2943.7836932464065</v>
      </c>
      <c r="KN413" s="234">
        <f t="shared" ref="KN413:KN420" si="655">LA188*(1-LA339)/30</f>
        <v>2943.7836932464065</v>
      </c>
      <c r="KO413" s="234">
        <f t="shared" ref="KO413:KO420" si="656">LA188*(1-LA339)/30</f>
        <v>2943.7836932464065</v>
      </c>
      <c r="KP413" s="234">
        <f t="shared" ref="KP413:KP420" si="657">LA188*(1-LA339)/30</f>
        <v>2943.7836932464065</v>
      </c>
      <c r="KQ413" s="234">
        <f t="shared" ref="KQ413:KQ420" si="658">LA188*(1-LA339)/30</f>
        <v>2943.7836932464065</v>
      </c>
      <c r="KR413" s="234">
        <f t="shared" ref="KR413:KR420" si="659">LA188*(1-LA339)/30</f>
        <v>2943.7836932464065</v>
      </c>
      <c r="KS413" s="234">
        <f t="shared" ref="KS413:KS420" si="660">LA188*(1-LA339)/30</f>
        <v>2943.7836932464065</v>
      </c>
      <c r="KT413" s="234">
        <f t="shared" ref="KT413:KT420" si="661">LA188*(1-LA339)/30</f>
        <v>2943.7836932464065</v>
      </c>
      <c r="KU413" s="234">
        <f t="shared" ref="KU413:KU420" si="662">LA188*(1-LA339)/30</f>
        <v>2943.7836932464065</v>
      </c>
      <c r="KV413" s="234">
        <f t="shared" ref="KV413:KV420" si="663">LA188*(1-LA339)/30</f>
        <v>2943.7836932464065</v>
      </c>
      <c r="KW413" s="234">
        <f t="shared" ref="KW413:KW420" si="664">LA188*(1-LA339)/30</f>
        <v>2943.7836932464065</v>
      </c>
      <c r="KX413" s="234">
        <f t="shared" ref="KX413:KX420" si="665">LA188*(1-LA339)/30</f>
        <v>2943.7836932464065</v>
      </c>
      <c r="KY413" s="234">
        <f t="shared" ref="KY413:KY420" si="666">LA188*(1-LA339)/30</f>
        <v>2943.7836932464065</v>
      </c>
      <c r="KZ413" s="234">
        <f t="shared" ref="KZ413:KZ420" si="667">LA188*(1-LA339)/30</f>
        <v>2943.7836932464065</v>
      </c>
      <c r="LA413" s="189">
        <f t="shared" ref="LA413:LA420" si="668">LA188*(1-LA339)/30</f>
        <v>2943.7836932464065</v>
      </c>
      <c r="LB413" s="140"/>
      <c r="LC413" s="139"/>
      <c r="LD413" s="140"/>
      <c r="LE413" s="140"/>
      <c r="LF413" s="140"/>
      <c r="LG413" s="140"/>
      <c r="LH413" s="219"/>
      <c r="LI413" s="234">
        <f t="shared" ref="LI413:LI420" si="669">ML188*(1-ML339)/30</f>
        <v>2943.7836932464065</v>
      </c>
      <c r="LJ413" s="234">
        <f t="shared" ref="LJ413:LJ420" si="670">ML188*(1-ML339)/30</f>
        <v>2943.7836932464065</v>
      </c>
      <c r="LK413" s="234">
        <f t="shared" ref="LK413:LK420" si="671">ML188*(1-ML339)/30</f>
        <v>2943.7836932464065</v>
      </c>
      <c r="LL413" s="234">
        <f t="shared" ref="LL413:LL420" si="672">ML188*(1-ML339)/30</f>
        <v>2943.7836932464065</v>
      </c>
      <c r="LM413" s="234">
        <f t="shared" ref="LM413:LM420" si="673">ML188*(1-ML339)/30</f>
        <v>2943.7836932464065</v>
      </c>
      <c r="LN413" s="234">
        <f t="shared" ref="LN413:LN420" si="674">ML188*(1-ML339)/30</f>
        <v>2943.7836932464065</v>
      </c>
      <c r="LO413" s="234">
        <f t="shared" ref="LO413:LO420" si="675">ML188*(1-ML339)/30</f>
        <v>2943.7836932464065</v>
      </c>
      <c r="LP413" s="234">
        <f t="shared" ref="LP413:LP420" si="676">ML188*(1-ML339)/30</f>
        <v>2943.7836932464065</v>
      </c>
      <c r="LQ413" s="234">
        <f t="shared" ref="LQ413:LQ420" si="677">ML188*(1-ML339)/30</f>
        <v>2943.7836932464065</v>
      </c>
      <c r="LR413" s="234">
        <f t="shared" ref="LR413:LR420" si="678">ML188*(1-ML339)/30</f>
        <v>2943.7836932464065</v>
      </c>
      <c r="LS413" s="234">
        <f t="shared" ref="LS413:LS420" si="679">ML188*(1-ML339)/30</f>
        <v>2943.7836932464065</v>
      </c>
      <c r="LT413" s="234">
        <f t="shared" ref="LT413:LT420" si="680">ML188*(1-ML339)/30</f>
        <v>2943.7836932464065</v>
      </c>
      <c r="LU413" s="234">
        <f t="shared" ref="LU413:LU420" si="681">ML188*(1-ML339)/30</f>
        <v>2943.7836932464065</v>
      </c>
      <c r="LV413" s="234">
        <f t="shared" ref="LV413:LV420" si="682">ML188*(1-ML339)/30</f>
        <v>2943.7836932464065</v>
      </c>
      <c r="LW413" s="234">
        <f t="shared" ref="LW413:LW420" si="683">ML188*(1-ML339)/30</f>
        <v>2943.7836932464065</v>
      </c>
      <c r="LX413" s="234">
        <f t="shared" ref="LX413:LX420" si="684">ML188*(1-ML339)/30</f>
        <v>2943.7836932464065</v>
      </c>
      <c r="LY413" s="234">
        <f t="shared" ref="LY413:LY420" si="685">ML188*(1-ML339)/30</f>
        <v>2943.7836932464065</v>
      </c>
      <c r="LZ413" s="234">
        <f t="shared" ref="LZ413:LZ420" si="686">ML188*(1-ML339)/30</f>
        <v>2943.7836932464065</v>
      </c>
      <c r="MA413" s="234">
        <f t="shared" ref="MA413:MA420" si="687">ML188*(1-ML339)/30</f>
        <v>2943.7836932464065</v>
      </c>
      <c r="MB413" s="234">
        <f t="shared" ref="MB413:MB420" si="688">ML188*(1-ML339)/30</f>
        <v>2943.7836932464065</v>
      </c>
      <c r="MC413" s="234">
        <f t="shared" ref="MC413:MC420" si="689">ML188*(1-ML339)/30</f>
        <v>2943.7836932464065</v>
      </c>
      <c r="MD413" s="234">
        <f t="shared" ref="MD413:MD420" si="690">ML188*(1-ML339)/30</f>
        <v>2943.7836932464065</v>
      </c>
      <c r="ME413" s="234">
        <f t="shared" ref="ME413:ME420" si="691">ML188*(1-ML339)/30</f>
        <v>2943.7836932464065</v>
      </c>
      <c r="MF413" s="234">
        <f t="shared" ref="MF413:MF420" si="692">ML188*(1-ML339)/30</f>
        <v>2943.7836932464065</v>
      </c>
      <c r="MG413" s="234">
        <f t="shared" ref="MG413:MG420" si="693">ML188*(1-ML339)/30</f>
        <v>2943.7836932464065</v>
      </c>
      <c r="MH413" s="234">
        <f t="shared" ref="MH413:MH420" si="694">ML188*(1-ML339)/30</f>
        <v>2943.7836932464065</v>
      </c>
      <c r="MI413" s="234">
        <f t="shared" ref="MI413:MI420" si="695">ML188*(1-ML339)/30</f>
        <v>2943.7836932464065</v>
      </c>
      <c r="MJ413" s="234">
        <f t="shared" ref="MJ413:MJ420" si="696">ML188*(1-ML339)/30</f>
        <v>2943.7836932464065</v>
      </c>
      <c r="MK413" s="234">
        <f t="shared" ref="MK413:MK420" si="697">ML188*(1-ML339)/30</f>
        <v>2943.7836932464065</v>
      </c>
      <c r="ML413" s="189">
        <f t="shared" ref="ML413:ML420" si="698">ML188*(1-ML339)/30</f>
        <v>2943.7836932464065</v>
      </c>
    </row>
    <row r="414" spans="2:350" s="4" customFormat="1" ht="18" customHeight="1" x14ac:dyDescent="0.3">
      <c r="C414" s="136" t="s">
        <v>77</v>
      </c>
      <c r="E414" s="137" t="s">
        <v>105</v>
      </c>
      <c r="F414" s="186"/>
      <c r="H414" s="235"/>
      <c r="I414" s="218"/>
      <c r="J414" s="218"/>
      <c r="K414" s="218"/>
      <c r="L414" s="218"/>
      <c r="M414" s="236"/>
      <c r="N414" s="237"/>
      <c r="O414" s="237"/>
      <c r="P414" s="237"/>
      <c r="Q414" s="237"/>
      <c r="R414" s="140"/>
      <c r="S414" s="139"/>
      <c r="T414" s="140"/>
      <c r="U414" s="140"/>
      <c r="V414" s="140"/>
      <c r="W414" s="140"/>
      <c r="X414" s="140"/>
      <c r="Y414" s="140"/>
      <c r="Z414" s="140"/>
      <c r="AA414" s="140"/>
      <c r="AB414" s="140"/>
      <c r="AC414" s="140"/>
      <c r="AD414" s="140"/>
      <c r="AE414" s="140"/>
      <c r="AF414" s="140"/>
      <c r="AG414" s="140"/>
      <c r="AH414" s="140"/>
      <c r="AI414" s="140"/>
      <c r="AJ414" s="140"/>
      <c r="AK414" s="140"/>
      <c r="AL414" s="140"/>
      <c r="AM414" s="140"/>
      <c r="AN414" s="140"/>
      <c r="AO414" s="140"/>
      <c r="AP414" s="140"/>
      <c r="AQ414" s="140"/>
      <c r="AR414" s="140"/>
      <c r="AS414" s="140"/>
      <c r="AT414" s="140"/>
      <c r="AU414" s="140"/>
      <c r="AV414" s="140"/>
      <c r="AW414" s="140"/>
      <c r="AX414" s="140"/>
      <c r="AY414" s="140"/>
      <c r="AZ414" s="140"/>
      <c r="BA414" s="140"/>
      <c r="BB414" s="141"/>
      <c r="BC414" s="140"/>
      <c r="BD414" s="139"/>
      <c r="BE414" s="140"/>
      <c r="BF414" s="140"/>
      <c r="BG414" s="140"/>
      <c r="BH414" s="140"/>
      <c r="BI414" s="219"/>
      <c r="BJ414" s="234">
        <f t="shared" si="459"/>
        <v>1148.48195037919</v>
      </c>
      <c r="BK414" s="234">
        <f t="shared" si="460"/>
        <v>1148.48195037919</v>
      </c>
      <c r="BL414" s="234">
        <f t="shared" si="461"/>
        <v>1148.48195037919</v>
      </c>
      <c r="BM414" s="234">
        <f t="shared" si="462"/>
        <v>1148.48195037919</v>
      </c>
      <c r="BN414" s="234">
        <f t="shared" si="463"/>
        <v>1148.48195037919</v>
      </c>
      <c r="BO414" s="234">
        <f t="shared" si="464"/>
        <v>1148.48195037919</v>
      </c>
      <c r="BP414" s="234">
        <f t="shared" si="465"/>
        <v>1148.48195037919</v>
      </c>
      <c r="BQ414" s="234">
        <f t="shared" si="466"/>
        <v>1148.48195037919</v>
      </c>
      <c r="BR414" s="234">
        <f t="shared" si="467"/>
        <v>1148.48195037919</v>
      </c>
      <c r="BS414" s="234">
        <f t="shared" si="468"/>
        <v>1148.48195037919</v>
      </c>
      <c r="BT414" s="234">
        <f t="shared" si="469"/>
        <v>1148.48195037919</v>
      </c>
      <c r="BU414" s="234">
        <f t="shared" si="470"/>
        <v>1148.48195037919</v>
      </c>
      <c r="BV414" s="234">
        <f t="shared" si="471"/>
        <v>1148.48195037919</v>
      </c>
      <c r="BW414" s="234">
        <f t="shared" si="472"/>
        <v>1148.48195037919</v>
      </c>
      <c r="BX414" s="234">
        <f t="shared" si="473"/>
        <v>1148.48195037919</v>
      </c>
      <c r="BY414" s="234">
        <f t="shared" si="474"/>
        <v>1148.48195037919</v>
      </c>
      <c r="BZ414" s="234">
        <f t="shared" si="475"/>
        <v>1148.48195037919</v>
      </c>
      <c r="CA414" s="234">
        <f t="shared" si="476"/>
        <v>1148.48195037919</v>
      </c>
      <c r="CB414" s="234">
        <f t="shared" si="477"/>
        <v>1148.48195037919</v>
      </c>
      <c r="CC414" s="234">
        <f t="shared" si="478"/>
        <v>1148.48195037919</v>
      </c>
      <c r="CD414" s="234">
        <f t="shared" si="479"/>
        <v>1148.48195037919</v>
      </c>
      <c r="CE414" s="234">
        <f t="shared" si="480"/>
        <v>1148.48195037919</v>
      </c>
      <c r="CF414" s="234">
        <f t="shared" si="481"/>
        <v>1148.48195037919</v>
      </c>
      <c r="CG414" s="234">
        <f t="shared" si="482"/>
        <v>1148.48195037919</v>
      </c>
      <c r="CH414" s="234">
        <f t="shared" si="483"/>
        <v>1148.48195037919</v>
      </c>
      <c r="CI414" s="234">
        <f t="shared" si="484"/>
        <v>1148.48195037919</v>
      </c>
      <c r="CJ414" s="234">
        <f t="shared" si="485"/>
        <v>1148.48195037919</v>
      </c>
      <c r="CK414" s="234">
        <f t="shared" si="486"/>
        <v>1148.48195037919</v>
      </c>
      <c r="CL414" s="234">
        <f t="shared" si="487"/>
        <v>1148.48195037919</v>
      </c>
      <c r="CM414" s="189">
        <f t="shared" si="488"/>
        <v>1148.48195037919</v>
      </c>
      <c r="CN414" s="140"/>
      <c r="CO414" s="139"/>
      <c r="CP414" s="140"/>
      <c r="CQ414" s="140"/>
      <c r="CR414" s="140"/>
      <c r="CS414" s="140"/>
      <c r="CT414" s="219"/>
      <c r="CU414" s="234">
        <f t="shared" si="489"/>
        <v>410.40078602711475</v>
      </c>
      <c r="CV414" s="234">
        <f t="shared" si="490"/>
        <v>410.40078602711475</v>
      </c>
      <c r="CW414" s="234">
        <f t="shared" si="491"/>
        <v>410.40078602711475</v>
      </c>
      <c r="CX414" s="234">
        <f t="shared" si="492"/>
        <v>410.40078602711475</v>
      </c>
      <c r="CY414" s="234">
        <f t="shared" si="493"/>
        <v>410.40078602711475</v>
      </c>
      <c r="CZ414" s="234">
        <f t="shared" si="494"/>
        <v>410.40078602711475</v>
      </c>
      <c r="DA414" s="234">
        <f t="shared" si="495"/>
        <v>410.40078602711475</v>
      </c>
      <c r="DB414" s="234">
        <f t="shared" si="496"/>
        <v>410.40078602711475</v>
      </c>
      <c r="DC414" s="234">
        <f t="shared" si="497"/>
        <v>410.40078602711475</v>
      </c>
      <c r="DD414" s="234">
        <f t="shared" si="498"/>
        <v>410.40078602711475</v>
      </c>
      <c r="DE414" s="234">
        <f t="shared" si="499"/>
        <v>410.40078602711475</v>
      </c>
      <c r="DF414" s="234">
        <f t="shared" si="500"/>
        <v>410.40078602711475</v>
      </c>
      <c r="DG414" s="234">
        <f t="shared" si="501"/>
        <v>410.40078602711475</v>
      </c>
      <c r="DH414" s="234">
        <f t="shared" si="502"/>
        <v>410.40078602711475</v>
      </c>
      <c r="DI414" s="234">
        <f t="shared" si="503"/>
        <v>410.40078602711475</v>
      </c>
      <c r="DJ414" s="234">
        <f t="shared" si="504"/>
        <v>410.40078602711475</v>
      </c>
      <c r="DK414" s="234">
        <f t="shared" si="505"/>
        <v>410.40078602711475</v>
      </c>
      <c r="DL414" s="234">
        <f t="shared" si="506"/>
        <v>410.40078602711475</v>
      </c>
      <c r="DM414" s="234">
        <f t="shared" si="507"/>
        <v>410.40078602711475</v>
      </c>
      <c r="DN414" s="234">
        <f t="shared" si="508"/>
        <v>410.40078602711475</v>
      </c>
      <c r="DO414" s="234">
        <f t="shared" si="509"/>
        <v>410.40078602711475</v>
      </c>
      <c r="DP414" s="234">
        <f t="shared" si="510"/>
        <v>410.40078602711475</v>
      </c>
      <c r="DQ414" s="234">
        <f t="shared" si="511"/>
        <v>410.40078602711475</v>
      </c>
      <c r="DR414" s="234">
        <f t="shared" si="512"/>
        <v>410.40078602711475</v>
      </c>
      <c r="DS414" s="234">
        <f t="shared" si="513"/>
        <v>410.40078602711475</v>
      </c>
      <c r="DT414" s="234">
        <f t="shared" si="514"/>
        <v>410.40078602711475</v>
      </c>
      <c r="DU414" s="234">
        <f t="shared" si="515"/>
        <v>410.40078602711475</v>
      </c>
      <c r="DV414" s="234">
        <f t="shared" si="516"/>
        <v>410.40078602711475</v>
      </c>
      <c r="DW414" s="234">
        <f t="shared" si="517"/>
        <v>410.40078602711475</v>
      </c>
      <c r="DX414" s="189">
        <f t="shared" si="518"/>
        <v>410.40078602711475</v>
      </c>
      <c r="DY414" s="140"/>
      <c r="DZ414" s="139"/>
      <c r="EA414" s="140"/>
      <c r="EB414" s="140"/>
      <c r="EC414" s="140"/>
      <c r="ED414" s="140"/>
      <c r="EE414" s="219"/>
      <c r="EF414" s="234">
        <f t="shared" si="519"/>
        <v>581.40111353841246</v>
      </c>
      <c r="EG414" s="234">
        <f t="shared" si="520"/>
        <v>581.40111353841246</v>
      </c>
      <c r="EH414" s="234">
        <f t="shared" si="521"/>
        <v>581.40111353841246</v>
      </c>
      <c r="EI414" s="234">
        <f t="shared" si="522"/>
        <v>581.40111353841246</v>
      </c>
      <c r="EJ414" s="234">
        <f t="shared" si="523"/>
        <v>581.40111353841246</v>
      </c>
      <c r="EK414" s="234">
        <f t="shared" si="524"/>
        <v>581.40111353841246</v>
      </c>
      <c r="EL414" s="234">
        <f t="shared" si="525"/>
        <v>581.40111353841246</v>
      </c>
      <c r="EM414" s="234">
        <f t="shared" si="526"/>
        <v>581.40111353841246</v>
      </c>
      <c r="EN414" s="234">
        <f t="shared" si="527"/>
        <v>581.40111353841246</v>
      </c>
      <c r="EO414" s="234">
        <f t="shared" si="528"/>
        <v>581.40111353841246</v>
      </c>
      <c r="EP414" s="234">
        <f t="shared" si="529"/>
        <v>581.40111353841246</v>
      </c>
      <c r="EQ414" s="234">
        <f t="shared" si="530"/>
        <v>581.40111353841246</v>
      </c>
      <c r="ER414" s="234">
        <f t="shared" si="531"/>
        <v>581.40111353841246</v>
      </c>
      <c r="ES414" s="234">
        <f t="shared" si="532"/>
        <v>581.40111353841246</v>
      </c>
      <c r="ET414" s="234">
        <f t="shared" si="533"/>
        <v>581.40111353841246</v>
      </c>
      <c r="EU414" s="234">
        <f t="shared" si="534"/>
        <v>581.40111353841246</v>
      </c>
      <c r="EV414" s="234">
        <f t="shared" si="535"/>
        <v>581.40111353841246</v>
      </c>
      <c r="EW414" s="234">
        <f t="shared" si="536"/>
        <v>581.40111353841246</v>
      </c>
      <c r="EX414" s="234">
        <f t="shared" si="537"/>
        <v>581.40111353841246</v>
      </c>
      <c r="EY414" s="234">
        <f t="shared" si="538"/>
        <v>581.40111353841246</v>
      </c>
      <c r="EZ414" s="234">
        <f t="shared" si="539"/>
        <v>581.40111353841246</v>
      </c>
      <c r="FA414" s="234">
        <f t="shared" si="540"/>
        <v>581.40111353841246</v>
      </c>
      <c r="FB414" s="234">
        <f t="shared" si="541"/>
        <v>581.40111353841246</v>
      </c>
      <c r="FC414" s="234">
        <f t="shared" si="542"/>
        <v>581.40111353841246</v>
      </c>
      <c r="FD414" s="234">
        <f t="shared" si="543"/>
        <v>581.40111353841246</v>
      </c>
      <c r="FE414" s="234">
        <f t="shared" si="544"/>
        <v>581.40111353841246</v>
      </c>
      <c r="FF414" s="234">
        <f t="shared" si="545"/>
        <v>581.40111353841246</v>
      </c>
      <c r="FG414" s="234">
        <f t="shared" si="546"/>
        <v>581.40111353841246</v>
      </c>
      <c r="FH414" s="234">
        <f t="shared" si="547"/>
        <v>581.40111353841246</v>
      </c>
      <c r="FI414" s="189">
        <f t="shared" si="548"/>
        <v>581.40111353841246</v>
      </c>
      <c r="FJ414" s="140"/>
      <c r="FK414" s="139"/>
      <c r="FL414" s="140"/>
      <c r="FM414" s="140"/>
      <c r="FN414" s="140"/>
      <c r="FO414" s="140"/>
      <c r="FP414" s="219"/>
      <c r="FQ414" s="234">
        <f t="shared" si="549"/>
        <v>723.11826505356396</v>
      </c>
      <c r="FR414" s="234">
        <f t="shared" si="550"/>
        <v>723.11826505356396</v>
      </c>
      <c r="FS414" s="234">
        <f t="shared" si="551"/>
        <v>723.11826505356396</v>
      </c>
      <c r="FT414" s="234">
        <f t="shared" si="552"/>
        <v>723.11826505356396</v>
      </c>
      <c r="FU414" s="234">
        <f t="shared" si="553"/>
        <v>723.11826505356396</v>
      </c>
      <c r="FV414" s="234">
        <f t="shared" si="554"/>
        <v>723.11826505356396</v>
      </c>
      <c r="FW414" s="234">
        <f t="shared" si="555"/>
        <v>723.11826505356396</v>
      </c>
      <c r="FX414" s="234">
        <f t="shared" si="556"/>
        <v>723.11826505356396</v>
      </c>
      <c r="FY414" s="234">
        <f t="shared" si="557"/>
        <v>723.11826505356396</v>
      </c>
      <c r="FZ414" s="234">
        <f t="shared" si="558"/>
        <v>723.11826505356396</v>
      </c>
      <c r="GA414" s="234">
        <f t="shared" si="559"/>
        <v>723.11826505356396</v>
      </c>
      <c r="GB414" s="234">
        <f t="shared" si="560"/>
        <v>723.11826505356396</v>
      </c>
      <c r="GC414" s="234">
        <f t="shared" si="561"/>
        <v>723.11826505356396</v>
      </c>
      <c r="GD414" s="234">
        <f t="shared" si="562"/>
        <v>723.11826505356396</v>
      </c>
      <c r="GE414" s="234">
        <f t="shared" si="563"/>
        <v>723.11826505356396</v>
      </c>
      <c r="GF414" s="234">
        <f t="shared" si="564"/>
        <v>723.11826505356396</v>
      </c>
      <c r="GG414" s="234">
        <f t="shared" si="565"/>
        <v>723.11826505356396</v>
      </c>
      <c r="GH414" s="234">
        <f t="shared" si="566"/>
        <v>723.11826505356396</v>
      </c>
      <c r="GI414" s="234">
        <f t="shared" si="567"/>
        <v>723.11826505356396</v>
      </c>
      <c r="GJ414" s="234">
        <f t="shared" si="568"/>
        <v>723.11826505356396</v>
      </c>
      <c r="GK414" s="234">
        <f t="shared" si="569"/>
        <v>723.11826505356396</v>
      </c>
      <c r="GL414" s="234">
        <f t="shared" si="570"/>
        <v>723.11826505356396</v>
      </c>
      <c r="GM414" s="234">
        <f t="shared" si="571"/>
        <v>723.11826505356396</v>
      </c>
      <c r="GN414" s="234">
        <f t="shared" si="572"/>
        <v>723.11826505356396</v>
      </c>
      <c r="GO414" s="234">
        <f t="shared" si="573"/>
        <v>723.11826505356396</v>
      </c>
      <c r="GP414" s="234">
        <f t="shared" si="574"/>
        <v>723.11826505356396</v>
      </c>
      <c r="GQ414" s="234">
        <f t="shared" si="575"/>
        <v>723.11826505356396</v>
      </c>
      <c r="GR414" s="234">
        <f t="shared" si="576"/>
        <v>723.11826505356396</v>
      </c>
      <c r="GS414" s="234">
        <f t="shared" si="577"/>
        <v>723.11826505356396</v>
      </c>
      <c r="GT414" s="189">
        <f t="shared" si="578"/>
        <v>723.11826505356396</v>
      </c>
      <c r="GU414" s="140"/>
      <c r="GV414" s="139"/>
      <c r="GW414" s="140"/>
      <c r="GX414" s="140"/>
      <c r="GY414" s="140"/>
      <c r="GZ414" s="140"/>
      <c r="HA414" s="219"/>
      <c r="HB414" s="234">
        <f t="shared" si="579"/>
        <v>957.06829198265814</v>
      </c>
      <c r="HC414" s="234">
        <f t="shared" si="580"/>
        <v>957.06829198265814</v>
      </c>
      <c r="HD414" s="234">
        <f t="shared" si="581"/>
        <v>957.06829198265814</v>
      </c>
      <c r="HE414" s="234">
        <f t="shared" si="582"/>
        <v>957.06829198265814</v>
      </c>
      <c r="HF414" s="234">
        <f t="shared" si="583"/>
        <v>957.06829198265814</v>
      </c>
      <c r="HG414" s="234">
        <f t="shared" si="584"/>
        <v>957.06829198265814</v>
      </c>
      <c r="HH414" s="234">
        <f t="shared" si="585"/>
        <v>957.06829198265814</v>
      </c>
      <c r="HI414" s="234">
        <f t="shared" si="586"/>
        <v>957.06829198265814</v>
      </c>
      <c r="HJ414" s="234">
        <f t="shared" si="587"/>
        <v>957.06829198265814</v>
      </c>
      <c r="HK414" s="234">
        <f t="shared" si="588"/>
        <v>957.06829198265814</v>
      </c>
      <c r="HL414" s="234">
        <f t="shared" si="589"/>
        <v>957.06829198265814</v>
      </c>
      <c r="HM414" s="234">
        <f t="shared" si="590"/>
        <v>957.06829198265814</v>
      </c>
      <c r="HN414" s="234">
        <f t="shared" si="591"/>
        <v>957.06829198265814</v>
      </c>
      <c r="HO414" s="234">
        <f t="shared" si="592"/>
        <v>957.06829198265814</v>
      </c>
      <c r="HP414" s="234">
        <f t="shared" si="593"/>
        <v>957.06829198265814</v>
      </c>
      <c r="HQ414" s="234">
        <f t="shared" si="594"/>
        <v>957.06829198265814</v>
      </c>
      <c r="HR414" s="234">
        <f t="shared" si="595"/>
        <v>957.06829198265814</v>
      </c>
      <c r="HS414" s="234">
        <f t="shared" si="596"/>
        <v>957.06829198265814</v>
      </c>
      <c r="HT414" s="234">
        <f t="shared" si="597"/>
        <v>957.06829198265814</v>
      </c>
      <c r="HU414" s="234">
        <f t="shared" si="598"/>
        <v>957.06829198265814</v>
      </c>
      <c r="HV414" s="234">
        <f t="shared" si="599"/>
        <v>957.06829198265814</v>
      </c>
      <c r="HW414" s="234">
        <f t="shared" si="600"/>
        <v>957.06829198265814</v>
      </c>
      <c r="HX414" s="234">
        <f t="shared" si="601"/>
        <v>957.06829198265814</v>
      </c>
      <c r="HY414" s="234">
        <f t="shared" si="602"/>
        <v>957.06829198265814</v>
      </c>
      <c r="HZ414" s="234">
        <f t="shared" si="603"/>
        <v>957.06829198265814</v>
      </c>
      <c r="IA414" s="234">
        <f t="shared" si="604"/>
        <v>957.06829198265814</v>
      </c>
      <c r="IB414" s="234">
        <f t="shared" si="605"/>
        <v>957.06829198265814</v>
      </c>
      <c r="IC414" s="234">
        <f t="shared" si="606"/>
        <v>957.06829198265814</v>
      </c>
      <c r="ID414" s="234">
        <f t="shared" si="607"/>
        <v>957.06829198265814</v>
      </c>
      <c r="IE414" s="189">
        <f t="shared" si="608"/>
        <v>957.06829198265814</v>
      </c>
      <c r="IF414" s="140"/>
      <c r="IG414" s="139"/>
      <c r="IH414" s="140"/>
      <c r="II414" s="140"/>
      <c r="IJ414" s="140"/>
      <c r="IK414" s="140"/>
      <c r="IL414" s="219"/>
      <c r="IM414" s="234">
        <f t="shared" si="609"/>
        <v>1783.6583475406551</v>
      </c>
      <c r="IN414" s="234">
        <f t="shared" si="610"/>
        <v>1783.6583475406551</v>
      </c>
      <c r="IO414" s="234">
        <f t="shared" si="611"/>
        <v>1783.6583475406551</v>
      </c>
      <c r="IP414" s="234">
        <f t="shared" si="612"/>
        <v>1783.6583475406551</v>
      </c>
      <c r="IQ414" s="234">
        <f t="shared" si="613"/>
        <v>1783.6583475406551</v>
      </c>
      <c r="IR414" s="234">
        <f t="shared" si="614"/>
        <v>1783.6583475406551</v>
      </c>
      <c r="IS414" s="234">
        <f t="shared" si="615"/>
        <v>1783.6583475406551</v>
      </c>
      <c r="IT414" s="234">
        <f t="shared" si="616"/>
        <v>1783.6583475406551</v>
      </c>
      <c r="IU414" s="234">
        <f t="shared" si="617"/>
        <v>1783.6583475406551</v>
      </c>
      <c r="IV414" s="234">
        <f t="shared" si="618"/>
        <v>1783.6583475406551</v>
      </c>
      <c r="IW414" s="234">
        <f t="shared" si="619"/>
        <v>1783.6583475406551</v>
      </c>
      <c r="IX414" s="234">
        <f t="shared" si="620"/>
        <v>1783.6583475406551</v>
      </c>
      <c r="IY414" s="234">
        <f t="shared" si="621"/>
        <v>1783.6583475406551</v>
      </c>
      <c r="IZ414" s="234">
        <f t="shared" si="622"/>
        <v>1783.6583475406551</v>
      </c>
      <c r="JA414" s="234">
        <f t="shared" si="623"/>
        <v>1783.6583475406551</v>
      </c>
      <c r="JB414" s="234">
        <f t="shared" si="624"/>
        <v>1783.6583475406551</v>
      </c>
      <c r="JC414" s="234">
        <f t="shared" si="625"/>
        <v>1783.6583475406551</v>
      </c>
      <c r="JD414" s="234">
        <f t="shared" si="626"/>
        <v>1783.6583475406551</v>
      </c>
      <c r="JE414" s="234">
        <f t="shared" si="627"/>
        <v>1783.6583475406551</v>
      </c>
      <c r="JF414" s="234">
        <f t="shared" si="628"/>
        <v>1783.6583475406551</v>
      </c>
      <c r="JG414" s="234">
        <f t="shared" si="629"/>
        <v>1783.6583475406551</v>
      </c>
      <c r="JH414" s="234">
        <f t="shared" si="630"/>
        <v>1783.6583475406551</v>
      </c>
      <c r="JI414" s="234">
        <f t="shared" si="631"/>
        <v>1783.6583475406551</v>
      </c>
      <c r="JJ414" s="234">
        <f t="shared" si="632"/>
        <v>1783.6583475406551</v>
      </c>
      <c r="JK414" s="234">
        <f t="shared" si="633"/>
        <v>1783.6583475406551</v>
      </c>
      <c r="JL414" s="234">
        <f t="shared" si="634"/>
        <v>1783.6583475406551</v>
      </c>
      <c r="JM414" s="234">
        <f t="shared" si="635"/>
        <v>1783.6583475406551</v>
      </c>
      <c r="JN414" s="234">
        <f t="shared" si="636"/>
        <v>1783.6583475406551</v>
      </c>
      <c r="JO414" s="234">
        <f t="shared" si="637"/>
        <v>1783.6583475406551</v>
      </c>
      <c r="JP414" s="189">
        <f t="shared" si="638"/>
        <v>1783.6583475406551</v>
      </c>
      <c r="JQ414" s="140"/>
      <c r="JR414" s="139"/>
      <c r="JS414" s="140"/>
      <c r="JT414" s="140"/>
      <c r="JU414" s="140"/>
      <c r="JV414" s="140"/>
      <c r="JW414" s="219"/>
      <c r="JX414" s="234">
        <f t="shared" si="639"/>
        <v>1783.6583475406551</v>
      </c>
      <c r="JY414" s="234">
        <f t="shared" si="640"/>
        <v>1783.6583475406551</v>
      </c>
      <c r="JZ414" s="234">
        <f t="shared" si="641"/>
        <v>1783.6583475406551</v>
      </c>
      <c r="KA414" s="234">
        <f t="shared" si="642"/>
        <v>1783.6583475406551</v>
      </c>
      <c r="KB414" s="234">
        <f t="shared" si="643"/>
        <v>1783.6583475406551</v>
      </c>
      <c r="KC414" s="234">
        <f t="shared" si="644"/>
        <v>1783.6583475406551</v>
      </c>
      <c r="KD414" s="234">
        <f t="shared" si="645"/>
        <v>1783.6583475406551</v>
      </c>
      <c r="KE414" s="234">
        <f t="shared" si="646"/>
        <v>1783.6583475406551</v>
      </c>
      <c r="KF414" s="234">
        <f t="shared" si="647"/>
        <v>1783.6583475406551</v>
      </c>
      <c r="KG414" s="234">
        <f t="shared" si="648"/>
        <v>1783.6583475406551</v>
      </c>
      <c r="KH414" s="234">
        <f t="shared" si="649"/>
        <v>1783.6583475406551</v>
      </c>
      <c r="KI414" s="234">
        <f t="shared" si="650"/>
        <v>1783.6583475406551</v>
      </c>
      <c r="KJ414" s="234">
        <f t="shared" si="651"/>
        <v>1783.6583475406551</v>
      </c>
      <c r="KK414" s="234">
        <f t="shared" si="652"/>
        <v>1783.6583475406551</v>
      </c>
      <c r="KL414" s="234">
        <f t="shared" si="653"/>
        <v>1783.6583475406551</v>
      </c>
      <c r="KM414" s="234">
        <f t="shared" si="654"/>
        <v>1783.6583475406551</v>
      </c>
      <c r="KN414" s="234">
        <f t="shared" si="655"/>
        <v>1783.6583475406551</v>
      </c>
      <c r="KO414" s="234">
        <f t="shared" si="656"/>
        <v>1783.6583475406551</v>
      </c>
      <c r="KP414" s="234">
        <f t="shared" si="657"/>
        <v>1783.6583475406551</v>
      </c>
      <c r="KQ414" s="234">
        <f t="shared" si="658"/>
        <v>1783.6583475406551</v>
      </c>
      <c r="KR414" s="234">
        <f t="shared" si="659"/>
        <v>1783.6583475406551</v>
      </c>
      <c r="KS414" s="234">
        <f t="shared" si="660"/>
        <v>1783.6583475406551</v>
      </c>
      <c r="KT414" s="234">
        <f t="shared" si="661"/>
        <v>1783.6583475406551</v>
      </c>
      <c r="KU414" s="234">
        <f t="shared" si="662"/>
        <v>1783.6583475406551</v>
      </c>
      <c r="KV414" s="234">
        <f t="shared" si="663"/>
        <v>1783.6583475406551</v>
      </c>
      <c r="KW414" s="234">
        <f t="shared" si="664"/>
        <v>1783.6583475406551</v>
      </c>
      <c r="KX414" s="234">
        <f t="shared" si="665"/>
        <v>1783.6583475406551</v>
      </c>
      <c r="KY414" s="234">
        <f t="shared" si="666"/>
        <v>1783.6583475406551</v>
      </c>
      <c r="KZ414" s="234">
        <f t="shared" si="667"/>
        <v>1783.6583475406551</v>
      </c>
      <c r="LA414" s="189">
        <f t="shared" si="668"/>
        <v>1783.6583475406551</v>
      </c>
      <c r="LB414" s="140"/>
      <c r="LC414" s="139"/>
      <c r="LD414" s="140"/>
      <c r="LE414" s="140"/>
      <c r="LF414" s="140"/>
      <c r="LG414" s="140"/>
      <c r="LH414" s="219"/>
      <c r="LI414" s="234">
        <f t="shared" si="669"/>
        <v>1783.6583475406551</v>
      </c>
      <c r="LJ414" s="234">
        <f t="shared" si="670"/>
        <v>1783.6583475406551</v>
      </c>
      <c r="LK414" s="234">
        <f t="shared" si="671"/>
        <v>1783.6583475406551</v>
      </c>
      <c r="LL414" s="234">
        <f t="shared" si="672"/>
        <v>1783.6583475406551</v>
      </c>
      <c r="LM414" s="234">
        <f t="shared" si="673"/>
        <v>1783.6583475406551</v>
      </c>
      <c r="LN414" s="234">
        <f t="shared" si="674"/>
        <v>1783.6583475406551</v>
      </c>
      <c r="LO414" s="234">
        <f t="shared" si="675"/>
        <v>1783.6583475406551</v>
      </c>
      <c r="LP414" s="234">
        <f t="shared" si="676"/>
        <v>1783.6583475406551</v>
      </c>
      <c r="LQ414" s="234">
        <f t="shared" si="677"/>
        <v>1783.6583475406551</v>
      </c>
      <c r="LR414" s="234">
        <f t="shared" si="678"/>
        <v>1783.6583475406551</v>
      </c>
      <c r="LS414" s="234">
        <f t="shared" si="679"/>
        <v>1783.6583475406551</v>
      </c>
      <c r="LT414" s="234">
        <f t="shared" si="680"/>
        <v>1783.6583475406551</v>
      </c>
      <c r="LU414" s="234">
        <f t="shared" si="681"/>
        <v>1783.6583475406551</v>
      </c>
      <c r="LV414" s="234">
        <f t="shared" si="682"/>
        <v>1783.6583475406551</v>
      </c>
      <c r="LW414" s="234">
        <f t="shared" si="683"/>
        <v>1783.6583475406551</v>
      </c>
      <c r="LX414" s="234">
        <f t="shared" si="684"/>
        <v>1783.6583475406551</v>
      </c>
      <c r="LY414" s="234">
        <f t="shared" si="685"/>
        <v>1783.6583475406551</v>
      </c>
      <c r="LZ414" s="234">
        <f t="shared" si="686"/>
        <v>1783.6583475406551</v>
      </c>
      <c r="MA414" s="234">
        <f t="shared" si="687"/>
        <v>1783.6583475406551</v>
      </c>
      <c r="MB414" s="234">
        <f t="shared" si="688"/>
        <v>1783.6583475406551</v>
      </c>
      <c r="MC414" s="234">
        <f t="shared" si="689"/>
        <v>1783.6583475406551</v>
      </c>
      <c r="MD414" s="234">
        <f t="shared" si="690"/>
        <v>1783.6583475406551</v>
      </c>
      <c r="ME414" s="234">
        <f t="shared" si="691"/>
        <v>1783.6583475406551</v>
      </c>
      <c r="MF414" s="234">
        <f t="shared" si="692"/>
        <v>1783.6583475406551</v>
      </c>
      <c r="MG414" s="234">
        <f t="shared" si="693"/>
        <v>1783.6583475406551</v>
      </c>
      <c r="MH414" s="234">
        <f t="shared" si="694"/>
        <v>1783.6583475406551</v>
      </c>
      <c r="MI414" s="234">
        <f t="shared" si="695"/>
        <v>1783.6583475406551</v>
      </c>
      <c r="MJ414" s="234">
        <f t="shared" si="696"/>
        <v>1783.6583475406551</v>
      </c>
      <c r="MK414" s="234">
        <f t="shared" si="697"/>
        <v>1783.6583475406551</v>
      </c>
      <c r="ML414" s="189">
        <f t="shared" si="698"/>
        <v>1783.6583475406551</v>
      </c>
    </row>
    <row r="415" spans="2:350" s="4" customFormat="1" ht="18" customHeight="1" x14ac:dyDescent="0.3">
      <c r="C415" s="136" t="s">
        <v>78</v>
      </c>
      <c r="E415" s="137" t="s">
        <v>105</v>
      </c>
      <c r="F415" s="186"/>
      <c r="H415" s="235"/>
      <c r="I415" s="218"/>
      <c r="J415" s="218"/>
      <c r="K415" s="218"/>
      <c r="L415" s="218"/>
      <c r="M415" s="236"/>
      <c r="N415" s="237"/>
      <c r="O415" s="237"/>
      <c r="P415" s="237"/>
      <c r="Q415" s="237"/>
      <c r="R415" s="140"/>
      <c r="S415" s="139"/>
      <c r="T415" s="140"/>
      <c r="U415" s="140"/>
      <c r="V415" s="140"/>
      <c r="W415" s="140"/>
      <c r="X415" s="140"/>
      <c r="Y415" s="140"/>
      <c r="Z415" s="140"/>
      <c r="AA415" s="140"/>
      <c r="AB415" s="140"/>
      <c r="AC415" s="140"/>
      <c r="AD415" s="140"/>
      <c r="AE415" s="140"/>
      <c r="AF415" s="140"/>
      <c r="AG415" s="140"/>
      <c r="AH415" s="140"/>
      <c r="AI415" s="140"/>
      <c r="AJ415" s="140"/>
      <c r="AK415" s="140"/>
      <c r="AL415" s="140"/>
      <c r="AM415" s="140"/>
      <c r="AN415" s="140"/>
      <c r="AO415" s="140"/>
      <c r="AP415" s="140"/>
      <c r="AQ415" s="140"/>
      <c r="AR415" s="140"/>
      <c r="AS415" s="140"/>
      <c r="AT415" s="140"/>
      <c r="AU415" s="140"/>
      <c r="AV415" s="140"/>
      <c r="AW415" s="140"/>
      <c r="AX415" s="140"/>
      <c r="AY415" s="140"/>
      <c r="AZ415" s="140"/>
      <c r="BA415" s="140"/>
      <c r="BB415" s="141"/>
      <c r="BC415" s="140"/>
      <c r="BD415" s="139"/>
      <c r="BE415" s="140"/>
      <c r="BF415" s="140"/>
      <c r="BG415" s="140"/>
      <c r="BH415" s="140"/>
      <c r="BI415" s="219"/>
      <c r="BJ415" s="234">
        <f t="shared" si="459"/>
        <v>4512.7787878787885</v>
      </c>
      <c r="BK415" s="234">
        <f t="shared" si="460"/>
        <v>4512.7787878787885</v>
      </c>
      <c r="BL415" s="234">
        <f t="shared" si="461"/>
        <v>4512.7787878787885</v>
      </c>
      <c r="BM415" s="234">
        <f t="shared" si="462"/>
        <v>4512.7787878787885</v>
      </c>
      <c r="BN415" s="234">
        <f t="shared" si="463"/>
        <v>4512.7787878787885</v>
      </c>
      <c r="BO415" s="234">
        <f t="shared" si="464"/>
        <v>4512.7787878787885</v>
      </c>
      <c r="BP415" s="234">
        <f t="shared" si="465"/>
        <v>4512.7787878787885</v>
      </c>
      <c r="BQ415" s="234">
        <f t="shared" si="466"/>
        <v>4512.7787878787885</v>
      </c>
      <c r="BR415" s="234">
        <f t="shared" si="467"/>
        <v>4512.7787878787885</v>
      </c>
      <c r="BS415" s="234">
        <f t="shared" si="468"/>
        <v>4512.7787878787885</v>
      </c>
      <c r="BT415" s="234">
        <f t="shared" si="469"/>
        <v>4512.7787878787885</v>
      </c>
      <c r="BU415" s="234">
        <f t="shared" si="470"/>
        <v>4512.7787878787885</v>
      </c>
      <c r="BV415" s="234">
        <f t="shared" si="471"/>
        <v>4512.7787878787885</v>
      </c>
      <c r="BW415" s="234">
        <f t="shared" si="472"/>
        <v>4512.7787878787885</v>
      </c>
      <c r="BX415" s="234">
        <f t="shared" si="473"/>
        <v>4512.7787878787885</v>
      </c>
      <c r="BY415" s="234">
        <f t="shared" si="474"/>
        <v>4512.7787878787885</v>
      </c>
      <c r="BZ415" s="234">
        <f t="shared" si="475"/>
        <v>4512.7787878787885</v>
      </c>
      <c r="CA415" s="234">
        <f t="shared" si="476"/>
        <v>4512.7787878787885</v>
      </c>
      <c r="CB415" s="234">
        <f t="shared" si="477"/>
        <v>4512.7787878787885</v>
      </c>
      <c r="CC415" s="234">
        <f t="shared" si="478"/>
        <v>4512.7787878787885</v>
      </c>
      <c r="CD415" s="234">
        <f t="shared" si="479"/>
        <v>4512.7787878787885</v>
      </c>
      <c r="CE415" s="234">
        <f t="shared" si="480"/>
        <v>4512.7787878787885</v>
      </c>
      <c r="CF415" s="234">
        <f t="shared" si="481"/>
        <v>4512.7787878787885</v>
      </c>
      <c r="CG415" s="234">
        <f t="shared" si="482"/>
        <v>4512.7787878787885</v>
      </c>
      <c r="CH415" s="234">
        <f t="shared" si="483"/>
        <v>4512.7787878787885</v>
      </c>
      <c r="CI415" s="234">
        <f t="shared" si="484"/>
        <v>4512.7787878787885</v>
      </c>
      <c r="CJ415" s="234">
        <f t="shared" si="485"/>
        <v>4512.7787878787885</v>
      </c>
      <c r="CK415" s="234">
        <f t="shared" si="486"/>
        <v>4512.7787878787885</v>
      </c>
      <c r="CL415" s="234">
        <f t="shared" si="487"/>
        <v>4512.7787878787885</v>
      </c>
      <c r="CM415" s="189">
        <f t="shared" si="488"/>
        <v>4512.7787878787885</v>
      </c>
      <c r="CN415" s="140"/>
      <c r="CO415" s="139"/>
      <c r="CP415" s="140"/>
      <c r="CQ415" s="140"/>
      <c r="CR415" s="140"/>
      <c r="CS415" s="140"/>
      <c r="CT415" s="219"/>
      <c r="CU415" s="234">
        <f t="shared" si="489"/>
        <v>2307.9299999999998</v>
      </c>
      <c r="CV415" s="234">
        <f t="shared" si="490"/>
        <v>2307.9299999999998</v>
      </c>
      <c r="CW415" s="234">
        <f t="shared" si="491"/>
        <v>2307.9299999999998</v>
      </c>
      <c r="CX415" s="234">
        <f t="shared" si="492"/>
        <v>2307.9299999999998</v>
      </c>
      <c r="CY415" s="234">
        <f t="shared" si="493"/>
        <v>2307.9299999999998</v>
      </c>
      <c r="CZ415" s="234">
        <f t="shared" si="494"/>
        <v>2307.9299999999998</v>
      </c>
      <c r="DA415" s="234">
        <f t="shared" si="495"/>
        <v>2307.9299999999998</v>
      </c>
      <c r="DB415" s="234">
        <f t="shared" si="496"/>
        <v>2307.9299999999998</v>
      </c>
      <c r="DC415" s="234">
        <f t="shared" si="497"/>
        <v>2307.9299999999998</v>
      </c>
      <c r="DD415" s="234">
        <f t="shared" si="498"/>
        <v>2307.9299999999998</v>
      </c>
      <c r="DE415" s="234">
        <f t="shared" si="499"/>
        <v>2307.9299999999998</v>
      </c>
      <c r="DF415" s="234">
        <f t="shared" si="500"/>
        <v>2307.9299999999998</v>
      </c>
      <c r="DG415" s="234">
        <f t="shared" si="501"/>
        <v>2307.9299999999998</v>
      </c>
      <c r="DH415" s="234">
        <f t="shared" si="502"/>
        <v>2307.9299999999998</v>
      </c>
      <c r="DI415" s="234">
        <f t="shared" si="503"/>
        <v>2307.9299999999998</v>
      </c>
      <c r="DJ415" s="234">
        <f t="shared" si="504"/>
        <v>2307.9299999999998</v>
      </c>
      <c r="DK415" s="234">
        <f t="shared" si="505"/>
        <v>2307.9299999999998</v>
      </c>
      <c r="DL415" s="234">
        <f t="shared" si="506"/>
        <v>2307.9299999999998</v>
      </c>
      <c r="DM415" s="234">
        <f t="shared" si="507"/>
        <v>2307.9299999999998</v>
      </c>
      <c r="DN415" s="234">
        <f t="shared" si="508"/>
        <v>2307.9299999999998</v>
      </c>
      <c r="DO415" s="234">
        <f t="shared" si="509"/>
        <v>2307.9299999999998</v>
      </c>
      <c r="DP415" s="234">
        <f t="shared" si="510"/>
        <v>2307.9299999999998</v>
      </c>
      <c r="DQ415" s="234">
        <f t="shared" si="511"/>
        <v>2307.9299999999998</v>
      </c>
      <c r="DR415" s="234">
        <f t="shared" si="512"/>
        <v>2307.9299999999998</v>
      </c>
      <c r="DS415" s="234">
        <f t="shared" si="513"/>
        <v>2307.9299999999998</v>
      </c>
      <c r="DT415" s="234">
        <f t="shared" si="514"/>
        <v>2307.9299999999998</v>
      </c>
      <c r="DU415" s="234">
        <f t="shared" si="515"/>
        <v>2307.9299999999998</v>
      </c>
      <c r="DV415" s="234">
        <f t="shared" si="516"/>
        <v>2307.9299999999998</v>
      </c>
      <c r="DW415" s="234">
        <f t="shared" si="517"/>
        <v>2307.9299999999998</v>
      </c>
      <c r="DX415" s="189">
        <f t="shared" si="518"/>
        <v>2307.9299999999998</v>
      </c>
      <c r="DY415" s="140"/>
      <c r="DZ415" s="139"/>
      <c r="EA415" s="140"/>
      <c r="EB415" s="140"/>
      <c r="EC415" s="140"/>
      <c r="ED415" s="140"/>
      <c r="EE415" s="219"/>
      <c r="EF415" s="234">
        <f t="shared" si="519"/>
        <v>2915.2799999999997</v>
      </c>
      <c r="EG415" s="234">
        <f t="shared" si="520"/>
        <v>2915.2799999999997</v>
      </c>
      <c r="EH415" s="234">
        <f t="shared" si="521"/>
        <v>2915.2799999999997</v>
      </c>
      <c r="EI415" s="234">
        <f t="shared" si="522"/>
        <v>2915.2799999999997</v>
      </c>
      <c r="EJ415" s="234">
        <f t="shared" si="523"/>
        <v>2915.2799999999997</v>
      </c>
      <c r="EK415" s="234">
        <f t="shared" si="524"/>
        <v>2915.2799999999997</v>
      </c>
      <c r="EL415" s="234">
        <f t="shared" si="525"/>
        <v>2915.2799999999997</v>
      </c>
      <c r="EM415" s="234">
        <f t="shared" si="526"/>
        <v>2915.2799999999997</v>
      </c>
      <c r="EN415" s="234">
        <f t="shared" si="527"/>
        <v>2915.2799999999997</v>
      </c>
      <c r="EO415" s="234">
        <f t="shared" si="528"/>
        <v>2915.2799999999997</v>
      </c>
      <c r="EP415" s="234">
        <f t="shared" si="529"/>
        <v>2915.2799999999997</v>
      </c>
      <c r="EQ415" s="234">
        <f t="shared" si="530"/>
        <v>2915.2799999999997</v>
      </c>
      <c r="ER415" s="234">
        <f t="shared" si="531"/>
        <v>2915.2799999999997</v>
      </c>
      <c r="ES415" s="234">
        <f t="shared" si="532"/>
        <v>2915.2799999999997</v>
      </c>
      <c r="ET415" s="234">
        <f t="shared" si="533"/>
        <v>2915.2799999999997</v>
      </c>
      <c r="EU415" s="234">
        <f t="shared" si="534"/>
        <v>2915.2799999999997</v>
      </c>
      <c r="EV415" s="234">
        <f t="shared" si="535"/>
        <v>2915.2799999999997</v>
      </c>
      <c r="EW415" s="234">
        <f t="shared" si="536"/>
        <v>2915.2799999999997</v>
      </c>
      <c r="EX415" s="234">
        <f t="shared" si="537"/>
        <v>2915.2799999999997</v>
      </c>
      <c r="EY415" s="234">
        <f t="shared" si="538"/>
        <v>2915.2799999999997</v>
      </c>
      <c r="EZ415" s="234">
        <f t="shared" si="539"/>
        <v>2915.2799999999997</v>
      </c>
      <c r="FA415" s="234">
        <f t="shared" si="540"/>
        <v>2915.2799999999997</v>
      </c>
      <c r="FB415" s="234">
        <f t="shared" si="541"/>
        <v>2915.2799999999997</v>
      </c>
      <c r="FC415" s="234">
        <f t="shared" si="542"/>
        <v>2915.2799999999997</v>
      </c>
      <c r="FD415" s="234">
        <f t="shared" si="543"/>
        <v>2915.2799999999997</v>
      </c>
      <c r="FE415" s="234">
        <f t="shared" si="544"/>
        <v>2915.2799999999997</v>
      </c>
      <c r="FF415" s="234">
        <f t="shared" si="545"/>
        <v>2915.2799999999997</v>
      </c>
      <c r="FG415" s="234">
        <f t="shared" si="546"/>
        <v>2915.2799999999997</v>
      </c>
      <c r="FH415" s="234">
        <f t="shared" si="547"/>
        <v>2915.2799999999997</v>
      </c>
      <c r="FI415" s="189">
        <f t="shared" si="548"/>
        <v>2915.2799999999997</v>
      </c>
      <c r="FJ415" s="140"/>
      <c r="FK415" s="139"/>
      <c r="FL415" s="140"/>
      <c r="FM415" s="140"/>
      <c r="FN415" s="140"/>
      <c r="FO415" s="140"/>
      <c r="FP415" s="219"/>
      <c r="FQ415" s="234">
        <f t="shared" si="549"/>
        <v>3185.4909090909091</v>
      </c>
      <c r="FR415" s="234">
        <f t="shared" si="550"/>
        <v>3185.4909090909091</v>
      </c>
      <c r="FS415" s="234">
        <f t="shared" si="551"/>
        <v>3185.4909090909091</v>
      </c>
      <c r="FT415" s="234">
        <f t="shared" si="552"/>
        <v>3185.4909090909091</v>
      </c>
      <c r="FU415" s="234">
        <f t="shared" si="553"/>
        <v>3185.4909090909091</v>
      </c>
      <c r="FV415" s="234">
        <f t="shared" si="554"/>
        <v>3185.4909090909091</v>
      </c>
      <c r="FW415" s="234">
        <f t="shared" si="555"/>
        <v>3185.4909090909091</v>
      </c>
      <c r="FX415" s="234">
        <f t="shared" si="556"/>
        <v>3185.4909090909091</v>
      </c>
      <c r="FY415" s="234">
        <f t="shared" si="557"/>
        <v>3185.4909090909091</v>
      </c>
      <c r="FZ415" s="234">
        <f t="shared" si="558"/>
        <v>3185.4909090909091</v>
      </c>
      <c r="GA415" s="234">
        <f t="shared" si="559"/>
        <v>3185.4909090909091</v>
      </c>
      <c r="GB415" s="234">
        <f t="shared" si="560"/>
        <v>3185.4909090909091</v>
      </c>
      <c r="GC415" s="234">
        <f t="shared" si="561"/>
        <v>3185.4909090909091</v>
      </c>
      <c r="GD415" s="234">
        <f t="shared" si="562"/>
        <v>3185.4909090909091</v>
      </c>
      <c r="GE415" s="234">
        <f t="shared" si="563"/>
        <v>3185.4909090909091</v>
      </c>
      <c r="GF415" s="234">
        <f t="shared" si="564"/>
        <v>3185.4909090909091</v>
      </c>
      <c r="GG415" s="234">
        <f t="shared" si="565"/>
        <v>3185.4909090909091</v>
      </c>
      <c r="GH415" s="234">
        <f t="shared" si="566"/>
        <v>3185.4909090909091</v>
      </c>
      <c r="GI415" s="234">
        <f t="shared" si="567"/>
        <v>3185.4909090909091</v>
      </c>
      <c r="GJ415" s="234">
        <f t="shared" si="568"/>
        <v>3185.4909090909091</v>
      </c>
      <c r="GK415" s="234">
        <f t="shared" si="569"/>
        <v>3185.4909090909091</v>
      </c>
      <c r="GL415" s="234">
        <f t="shared" si="570"/>
        <v>3185.4909090909091</v>
      </c>
      <c r="GM415" s="234">
        <f t="shared" si="571"/>
        <v>3185.4909090909091</v>
      </c>
      <c r="GN415" s="234">
        <f t="shared" si="572"/>
        <v>3185.4909090909091</v>
      </c>
      <c r="GO415" s="234">
        <f t="shared" si="573"/>
        <v>3185.4909090909091</v>
      </c>
      <c r="GP415" s="234">
        <f t="shared" si="574"/>
        <v>3185.4909090909091</v>
      </c>
      <c r="GQ415" s="234">
        <f t="shared" si="575"/>
        <v>3185.4909090909091</v>
      </c>
      <c r="GR415" s="234">
        <f t="shared" si="576"/>
        <v>3185.4909090909091</v>
      </c>
      <c r="GS415" s="234">
        <f t="shared" si="577"/>
        <v>3185.4909090909091</v>
      </c>
      <c r="GT415" s="189">
        <f t="shared" si="578"/>
        <v>3185.4909090909091</v>
      </c>
      <c r="GU415" s="140"/>
      <c r="GV415" s="139"/>
      <c r="GW415" s="140"/>
      <c r="GX415" s="140"/>
      <c r="GY415" s="140"/>
      <c r="GZ415" s="140"/>
      <c r="HA415" s="219"/>
      <c r="HB415" s="234">
        <f t="shared" si="579"/>
        <v>3849.1348484848495</v>
      </c>
      <c r="HC415" s="234">
        <f t="shared" si="580"/>
        <v>3849.1348484848495</v>
      </c>
      <c r="HD415" s="234">
        <f t="shared" si="581"/>
        <v>3849.1348484848495</v>
      </c>
      <c r="HE415" s="234">
        <f t="shared" si="582"/>
        <v>3849.1348484848495</v>
      </c>
      <c r="HF415" s="234">
        <f t="shared" si="583"/>
        <v>3849.1348484848495</v>
      </c>
      <c r="HG415" s="234">
        <f t="shared" si="584"/>
        <v>3849.1348484848495</v>
      </c>
      <c r="HH415" s="234">
        <f t="shared" si="585"/>
        <v>3849.1348484848495</v>
      </c>
      <c r="HI415" s="234">
        <f t="shared" si="586"/>
        <v>3849.1348484848495</v>
      </c>
      <c r="HJ415" s="234">
        <f t="shared" si="587"/>
        <v>3849.1348484848495</v>
      </c>
      <c r="HK415" s="234">
        <f t="shared" si="588"/>
        <v>3849.1348484848495</v>
      </c>
      <c r="HL415" s="234">
        <f t="shared" si="589"/>
        <v>3849.1348484848495</v>
      </c>
      <c r="HM415" s="234">
        <f t="shared" si="590"/>
        <v>3849.1348484848495</v>
      </c>
      <c r="HN415" s="234">
        <f t="shared" si="591"/>
        <v>3849.1348484848495</v>
      </c>
      <c r="HO415" s="234">
        <f t="shared" si="592"/>
        <v>3849.1348484848495</v>
      </c>
      <c r="HP415" s="234">
        <f t="shared" si="593"/>
        <v>3849.1348484848495</v>
      </c>
      <c r="HQ415" s="234">
        <f t="shared" si="594"/>
        <v>3849.1348484848495</v>
      </c>
      <c r="HR415" s="234">
        <f t="shared" si="595"/>
        <v>3849.1348484848495</v>
      </c>
      <c r="HS415" s="234">
        <f t="shared" si="596"/>
        <v>3849.1348484848495</v>
      </c>
      <c r="HT415" s="234">
        <f t="shared" si="597"/>
        <v>3849.1348484848495</v>
      </c>
      <c r="HU415" s="234">
        <f t="shared" si="598"/>
        <v>3849.1348484848495</v>
      </c>
      <c r="HV415" s="234">
        <f t="shared" si="599"/>
        <v>3849.1348484848495</v>
      </c>
      <c r="HW415" s="234">
        <f t="shared" si="600"/>
        <v>3849.1348484848495</v>
      </c>
      <c r="HX415" s="234">
        <f t="shared" si="601"/>
        <v>3849.1348484848495</v>
      </c>
      <c r="HY415" s="234">
        <f t="shared" si="602"/>
        <v>3849.1348484848495</v>
      </c>
      <c r="HZ415" s="234">
        <f t="shared" si="603"/>
        <v>3849.1348484848495</v>
      </c>
      <c r="IA415" s="234">
        <f t="shared" si="604"/>
        <v>3849.1348484848495</v>
      </c>
      <c r="IB415" s="234">
        <f t="shared" si="605"/>
        <v>3849.1348484848495</v>
      </c>
      <c r="IC415" s="234">
        <f t="shared" si="606"/>
        <v>3849.1348484848495</v>
      </c>
      <c r="ID415" s="234">
        <f t="shared" si="607"/>
        <v>3849.1348484848495</v>
      </c>
      <c r="IE415" s="189">
        <f t="shared" si="608"/>
        <v>3849.1348484848495</v>
      </c>
      <c r="IF415" s="140"/>
      <c r="IG415" s="139"/>
      <c r="IH415" s="140"/>
      <c r="II415" s="140"/>
      <c r="IJ415" s="140"/>
      <c r="IK415" s="140"/>
      <c r="IL415" s="219"/>
      <c r="IM415" s="234">
        <f t="shared" si="609"/>
        <v>5739.1728509986397</v>
      </c>
      <c r="IN415" s="234">
        <f t="shared" si="610"/>
        <v>5739.1728509986397</v>
      </c>
      <c r="IO415" s="234">
        <f t="shared" si="611"/>
        <v>5739.1728509986397</v>
      </c>
      <c r="IP415" s="234">
        <f t="shared" si="612"/>
        <v>5739.1728509986397</v>
      </c>
      <c r="IQ415" s="234">
        <f t="shared" si="613"/>
        <v>5739.1728509986397</v>
      </c>
      <c r="IR415" s="234">
        <f t="shared" si="614"/>
        <v>5739.1728509986397</v>
      </c>
      <c r="IS415" s="234">
        <f t="shared" si="615"/>
        <v>5739.1728509986397</v>
      </c>
      <c r="IT415" s="234">
        <f t="shared" si="616"/>
        <v>5739.1728509986397</v>
      </c>
      <c r="IU415" s="234">
        <f t="shared" si="617"/>
        <v>5739.1728509986397</v>
      </c>
      <c r="IV415" s="234">
        <f t="shared" si="618"/>
        <v>5739.1728509986397</v>
      </c>
      <c r="IW415" s="234">
        <f t="shared" si="619"/>
        <v>5739.1728509986397</v>
      </c>
      <c r="IX415" s="234">
        <f t="shared" si="620"/>
        <v>5739.1728509986397</v>
      </c>
      <c r="IY415" s="234">
        <f t="shared" si="621"/>
        <v>5739.1728509986397</v>
      </c>
      <c r="IZ415" s="234">
        <f t="shared" si="622"/>
        <v>5739.1728509986397</v>
      </c>
      <c r="JA415" s="234">
        <f t="shared" si="623"/>
        <v>5739.1728509986397</v>
      </c>
      <c r="JB415" s="234">
        <f t="shared" si="624"/>
        <v>5739.1728509986397</v>
      </c>
      <c r="JC415" s="234">
        <f t="shared" si="625"/>
        <v>5739.1728509986397</v>
      </c>
      <c r="JD415" s="234">
        <f t="shared" si="626"/>
        <v>5739.1728509986397</v>
      </c>
      <c r="JE415" s="234">
        <f t="shared" si="627"/>
        <v>5739.1728509986397</v>
      </c>
      <c r="JF415" s="234">
        <f t="shared" si="628"/>
        <v>5739.1728509986397</v>
      </c>
      <c r="JG415" s="234">
        <f t="shared" si="629"/>
        <v>5739.1728509986397</v>
      </c>
      <c r="JH415" s="234">
        <f t="shared" si="630"/>
        <v>5739.1728509986397</v>
      </c>
      <c r="JI415" s="234">
        <f t="shared" si="631"/>
        <v>5739.1728509986397</v>
      </c>
      <c r="JJ415" s="234">
        <f t="shared" si="632"/>
        <v>5739.1728509986397</v>
      </c>
      <c r="JK415" s="234">
        <f t="shared" si="633"/>
        <v>5739.1728509986397</v>
      </c>
      <c r="JL415" s="234">
        <f t="shared" si="634"/>
        <v>5739.1728509986397</v>
      </c>
      <c r="JM415" s="234">
        <f t="shared" si="635"/>
        <v>5739.1728509986397</v>
      </c>
      <c r="JN415" s="234">
        <f t="shared" si="636"/>
        <v>5739.1728509986397</v>
      </c>
      <c r="JO415" s="234">
        <f t="shared" si="637"/>
        <v>5739.1728509986397</v>
      </c>
      <c r="JP415" s="189">
        <f t="shared" si="638"/>
        <v>5739.1728509986397</v>
      </c>
      <c r="JQ415" s="140"/>
      <c r="JR415" s="139"/>
      <c r="JS415" s="140"/>
      <c r="JT415" s="140"/>
      <c r="JU415" s="140"/>
      <c r="JV415" s="140"/>
      <c r="JW415" s="219"/>
      <c r="JX415" s="234">
        <f t="shared" si="639"/>
        <v>5739.1728509986397</v>
      </c>
      <c r="JY415" s="234">
        <f t="shared" si="640"/>
        <v>5739.1728509986397</v>
      </c>
      <c r="JZ415" s="234">
        <f t="shared" si="641"/>
        <v>5739.1728509986397</v>
      </c>
      <c r="KA415" s="234">
        <f t="shared" si="642"/>
        <v>5739.1728509986397</v>
      </c>
      <c r="KB415" s="234">
        <f t="shared" si="643"/>
        <v>5739.1728509986397</v>
      </c>
      <c r="KC415" s="234">
        <f t="shared" si="644"/>
        <v>5739.1728509986397</v>
      </c>
      <c r="KD415" s="234">
        <f t="shared" si="645"/>
        <v>5739.1728509986397</v>
      </c>
      <c r="KE415" s="234">
        <f t="shared" si="646"/>
        <v>5739.1728509986397</v>
      </c>
      <c r="KF415" s="234">
        <f t="shared" si="647"/>
        <v>5739.1728509986397</v>
      </c>
      <c r="KG415" s="234">
        <f t="shared" si="648"/>
        <v>5739.1728509986397</v>
      </c>
      <c r="KH415" s="234">
        <f t="shared" si="649"/>
        <v>5739.1728509986397</v>
      </c>
      <c r="KI415" s="234">
        <f t="shared" si="650"/>
        <v>5739.1728509986397</v>
      </c>
      <c r="KJ415" s="234">
        <f t="shared" si="651"/>
        <v>5739.1728509986397</v>
      </c>
      <c r="KK415" s="234">
        <f t="shared" si="652"/>
        <v>5739.1728509986397</v>
      </c>
      <c r="KL415" s="234">
        <f t="shared" si="653"/>
        <v>5739.1728509986397</v>
      </c>
      <c r="KM415" s="234">
        <f t="shared" si="654"/>
        <v>5739.1728509986397</v>
      </c>
      <c r="KN415" s="234">
        <f t="shared" si="655"/>
        <v>5739.1728509986397</v>
      </c>
      <c r="KO415" s="234">
        <f t="shared" si="656"/>
        <v>5739.1728509986397</v>
      </c>
      <c r="KP415" s="234">
        <f t="shared" si="657"/>
        <v>5739.1728509986397</v>
      </c>
      <c r="KQ415" s="234">
        <f t="shared" si="658"/>
        <v>5739.1728509986397</v>
      </c>
      <c r="KR415" s="234">
        <f t="shared" si="659"/>
        <v>5739.1728509986397</v>
      </c>
      <c r="KS415" s="234">
        <f t="shared" si="660"/>
        <v>5739.1728509986397</v>
      </c>
      <c r="KT415" s="234">
        <f t="shared" si="661"/>
        <v>5739.1728509986397</v>
      </c>
      <c r="KU415" s="234">
        <f t="shared" si="662"/>
        <v>5739.1728509986397</v>
      </c>
      <c r="KV415" s="234">
        <f t="shared" si="663"/>
        <v>5739.1728509986397</v>
      </c>
      <c r="KW415" s="234">
        <f t="shared" si="664"/>
        <v>5739.1728509986397</v>
      </c>
      <c r="KX415" s="234">
        <f t="shared" si="665"/>
        <v>5739.1728509986397</v>
      </c>
      <c r="KY415" s="234">
        <f t="shared" si="666"/>
        <v>5739.1728509986397</v>
      </c>
      <c r="KZ415" s="234">
        <f t="shared" si="667"/>
        <v>5739.1728509986397</v>
      </c>
      <c r="LA415" s="189">
        <f t="shared" si="668"/>
        <v>5739.1728509986397</v>
      </c>
      <c r="LB415" s="140"/>
      <c r="LC415" s="139"/>
      <c r="LD415" s="140"/>
      <c r="LE415" s="140"/>
      <c r="LF415" s="140"/>
      <c r="LG415" s="140"/>
      <c r="LH415" s="219"/>
      <c r="LI415" s="234">
        <f t="shared" si="669"/>
        <v>5739.1728509986397</v>
      </c>
      <c r="LJ415" s="234">
        <f t="shared" si="670"/>
        <v>5739.1728509986397</v>
      </c>
      <c r="LK415" s="234">
        <f t="shared" si="671"/>
        <v>5739.1728509986397</v>
      </c>
      <c r="LL415" s="234">
        <f t="shared" si="672"/>
        <v>5739.1728509986397</v>
      </c>
      <c r="LM415" s="234">
        <f t="shared" si="673"/>
        <v>5739.1728509986397</v>
      </c>
      <c r="LN415" s="234">
        <f t="shared" si="674"/>
        <v>5739.1728509986397</v>
      </c>
      <c r="LO415" s="234">
        <f t="shared" si="675"/>
        <v>5739.1728509986397</v>
      </c>
      <c r="LP415" s="234">
        <f t="shared" si="676"/>
        <v>5739.1728509986397</v>
      </c>
      <c r="LQ415" s="234">
        <f t="shared" si="677"/>
        <v>5739.1728509986397</v>
      </c>
      <c r="LR415" s="234">
        <f t="shared" si="678"/>
        <v>5739.1728509986397</v>
      </c>
      <c r="LS415" s="234">
        <f t="shared" si="679"/>
        <v>5739.1728509986397</v>
      </c>
      <c r="LT415" s="234">
        <f t="shared" si="680"/>
        <v>5739.1728509986397</v>
      </c>
      <c r="LU415" s="234">
        <f t="shared" si="681"/>
        <v>5739.1728509986397</v>
      </c>
      <c r="LV415" s="234">
        <f t="shared" si="682"/>
        <v>5739.1728509986397</v>
      </c>
      <c r="LW415" s="234">
        <f t="shared" si="683"/>
        <v>5739.1728509986397</v>
      </c>
      <c r="LX415" s="234">
        <f t="shared" si="684"/>
        <v>5739.1728509986397</v>
      </c>
      <c r="LY415" s="234">
        <f t="shared" si="685"/>
        <v>5739.1728509986397</v>
      </c>
      <c r="LZ415" s="234">
        <f t="shared" si="686"/>
        <v>5739.1728509986397</v>
      </c>
      <c r="MA415" s="234">
        <f t="shared" si="687"/>
        <v>5739.1728509986397</v>
      </c>
      <c r="MB415" s="234">
        <f t="shared" si="688"/>
        <v>5739.1728509986397</v>
      </c>
      <c r="MC415" s="234">
        <f t="shared" si="689"/>
        <v>5739.1728509986397</v>
      </c>
      <c r="MD415" s="234">
        <f t="shared" si="690"/>
        <v>5739.1728509986397</v>
      </c>
      <c r="ME415" s="234">
        <f t="shared" si="691"/>
        <v>5739.1728509986397</v>
      </c>
      <c r="MF415" s="234">
        <f t="shared" si="692"/>
        <v>5739.1728509986397</v>
      </c>
      <c r="MG415" s="234">
        <f t="shared" si="693"/>
        <v>5739.1728509986397</v>
      </c>
      <c r="MH415" s="234">
        <f t="shared" si="694"/>
        <v>5739.1728509986397</v>
      </c>
      <c r="MI415" s="234">
        <f t="shared" si="695"/>
        <v>5739.1728509986397</v>
      </c>
      <c r="MJ415" s="234">
        <f t="shared" si="696"/>
        <v>5739.1728509986397</v>
      </c>
      <c r="MK415" s="234">
        <f t="shared" si="697"/>
        <v>5739.1728509986397</v>
      </c>
      <c r="ML415" s="189">
        <f t="shared" si="698"/>
        <v>5739.1728509986397</v>
      </c>
    </row>
    <row r="416" spans="2:350" s="4" customFormat="1" ht="18" customHeight="1" x14ac:dyDescent="0.3">
      <c r="C416" s="136" t="s">
        <v>79</v>
      </c>
      <c r="E416" s="137" t="s">
        <v>105</v>
      </c>
      <c r="F416" s="186"/>
      <c r="H416" s="235"/>
      <c r="I416" s="218"/>
      <c r="J416" s="218"/>
      <c r="K416" s="218"/>
      <c r="L416" s="218"/>
      <c r="M416" s="236"/>
      <c r="N416" s="237"/>
      <c r="O416" s="237"/>
      <c r="P416" s="237"/>
      <c r="Q416" s="237"/>
      <c r="R416" s="140"/>
      <c r="S416" s="139"/>
      <c r="T416" s="140"/>
      <c r="U416" s="140"/>
      <c r="V416" s="140"/>
      <c r="W416" s="140"/>
      <c r="X416" s="140"/>
      <c r="Y416" s="140"/>
      <c r="Z416" s="140"/>
      <c r="AA416" s="140"/>
      <c r="AB416" s="140"/>
      <c r="AC416" s="140"/>
      <c r="AD416" s="140"/>
      <c r="AE416" s="140"/>
      <c r="AF416" s="140"/>
      <c r="AG416" s="140"/>
      <c r="AH416" s="140"/>
      <c r="AI416" s="140"/>
      <c r="AJ416" s="140"/>
      <c r="AK416" s="140"/>
      <c r="AL416" s="140"/>
      <c r="AM416" s="140"/>
      <c r="AN416" s="140"/>
      <c r="AO416" s="140"/>
      <c r="AP416" s="140"/>
      <c r="AQ416" s="140"/>
      <c r="AR416" s="140"/>
      <c r="AS416" s="140"/>
      <c r="AT416" s="140"/>
      <c r="AU416" s="140"/>
      <c r="AV416" s="140"/>
      <c r="AW416" s="140"/>
      <c r="AX416" s="140"/>
      <c r="AY416" s="140"/>
      <c r="AZ416" s="140"/>
      <c r="BA416" s="140"/>
      <c r="BB416" s="141"/>
      <c r="BC416" s="140"/>
      <c r="BD416" s="139"/>
      <c r="BE416" s="140"/>
      <c r="BF416" s="140"/>
      <c r="BG416" s="140"/>
      <c r="BH416" s="140"/>
      <c r="BI416" s="219"/>
      <c r="BJ416" s="234">
        <f t="shared" si="459"/>
        <v>2225.7390909090909</v>
      </c>
      <c r="BK416" s="234">
        <f t="shared" si="460"/>
        <v>2225.7390909090909</v>
      </c>
      <c r="BL416" s="234">
        <f t="shared" si="461"/>
        <v>2225.7390909090909</v>
      </c>
      <c r="BM416" s="234">
        <f t="shared" si="462"/>
        <v>2225.7390909090909</v>
      </c>
      <c r="BN416" s="234">
        <f t="shared" si="463"/>
        <v>2225.7390909090909</v>
      </c>
      <c r="BO416" s="234">
        <f t="shared" si="464"/>
        <v>2225.7390909090909</v>
      </c>
      <c r="BP416" s="234">
        <f t="shared" si="465"/>
        <v>2225.7390909090909</v>
      </c>
      <c r="BQ416" s="234">
        <f t="shared" si="466"/>
        <v>2225.7390909090909</v>
      </c>
      <c r="BR416" s="234">
        <f t="shared" si="467"/>
        <v>2225.7390909090909</v>
      </c>
      <c r="BS416" s="234">
        <f t="shared" si="468"/>
        <v>2225.7390909090909</v>
      </c>
      <c r="BT416" s="234">
        <f t="shared" si="469"/>
        <v>2225.7390909090909</v>
      </c>
      <c r="BU416" s="234">
        <f t="shared" si="470"/>
        <v>2225.7390909090909</v>
      </c>
      <c r="BV416" s="234">
        <f t="shared" si="471"/>
        <v>2225.7390909090909</v>
      </c>
      <c r="BW416" s="234">
        <f t="shared" si="472"/>
        <v>2225.7390909090909</v>
      </c>
      <c r="BX416" s="234">
        <f t="shared" si="473"/>
        <v>2225.7390909090909</v>
      </c>
      <c r="BY416" s="234">
        <f t="shared" si="474"/>
        <v>2225.7390909090909</v>
      </c>
      <c r="BZ416" s="234">
        <f t="shared" si="475"/>
        <v>2225.7390909090909</v>
      </c>
      <c r="CA416" s="234">
        <f t="shared" si="476"/>
        <v>2225.7390909090909</v>
      </c>
      <c r="CB416" s="234">
        <f t="shared" si="477"/>
        <v>2225.7390909090909</v>
      </c>
      <c r="CC416" s="234">
        <f t="shared" si="478"/>
        <v>2225.7390909090909</v>
      </c>
      <c r="CD416" s="234">
        <f t="shared" si="479"/>
        <v>2225.7390909090909</v>
      </c>
      <c r="CE416" s="234">
        <f t="shared" si="480"/>
        <v>2225.7390909090909</v>
      </c>
      <c r="CF416" s="234">
        <f t="shared" si="481"/>
        <v>2225.7390909090909</v>
      </c>
      <c r="CG416" s="234">
        <f t="shared" si="482"/>
        <v>2225.7390909090909</v>
      </c>
      <c r="CH416" s="234">
        <f t="shared" si="483"/>
        <v>2225.7390909090909</v>
      </c>
      <c r="CI416" s="234">
        <f t="shared" si="484"/>
        <v>2225.7390909090909</v>
      </c>
      <c r="CJ416" s="234">
        <f t="shared" si="485"/>
        <v>2225.7390909090909</v>
      </c>
      <c r="CK416" s="234">
        <f t="shared" si="486"/>
        <v>2225.7390909090909</v>
      </c>
      <c r="CL416" s="234">
        <f t="shared" si="487"/>
        <v>2225.7390909090909</v>
      </c>
      <c r="CM416" s="189">
        <f t="shared" si="488"/>
        <v>2225.7390909090909</v>
      </c>
      <c r="CN416" s="140"/>
      <c r="CO416" s="139"/>
      <c r="CP416" s="140"/>
      <c r="CQ416" s="140"/>
      <c r="CR416" s="140"/>
      <c r="CS416" s="140"/>
      <c r="CT416" s="219"/>
      <c r="CU416" s="234">
        <f t="shared" si="489"/>
        <v>126.32533333333345</v>
      </c>
      <c r="CV416" s="234">
        <f t="shared" si="490"/>
        <v>126.32533333333345</v>
      </c>
      <c r="CW416" s="234">
        <f t="shared" si="491"/>
        <v>126.32533333333345</v>
      </c>
      <c r="CX416" s="234">
        <f t="shared" si="492"/>
        <v>126.32533333333345</v>
      </c>
      <c r="CY416" s="234">
        <f t="shared" si="493"/>
        <v>126.32533333333345</v>
      </c>
      <c r="CZ416" s="234">
        <f t="shared" si="494"/>
        <v>126.32533333333345</v>
      </c>
      <c r="DA416" s="234">
        <f t="shared" si="495"/>
        <v>126.32533333333345</v>
      </c>
      <c r="DB416" s="234">
        <f t="shared" si="496"/>
        <v>126.32533333333345</v>
      </c>
      <c r="DC416" s="234">
        <f t="shared" si="497"/>
        <v>126.32533333333345</v>
      </c>
      <c r="DD416" s="234">
        <f t="shared" si="498"/>
        <v>126.32533333333345</v>
      </c>
      <c r="DE416" s="234">
        <f t="shared" si="499"/>
        <v>126.32533333333345</v>
      </c>
      <c r="DF416" s="234">
        <f t="shared" si="500"/>
        <v>126.32533333333345</v>
      </c>
      <c r="DG416" s="234">
        <f t="shared" si="501"/>
        <v>126.32533333333345</v>
      </c>
      <c r="DH416" s="234">
        <f t="shared" si="502"/>
        <v>126.32533333333345</v>
      </c>
      <c r="DI416" s="234">
        <f t="shared" si="503"/>
        <v>126.32533333333345</v>
      </c>
      <c r="DJ416" s="234">
        <f t="shared" si="504"/>
        <v>126.32533333333345</v>
      </c>
      <c r="DK416" s="234">
        <f t="shared" si="505"/>
        <v>126.32533333333345</v>
      </c>
      <c r="DL416" s="234">
        <f t="shared" si="506"/>
        <v>126.32533333333345</v>
      </c>
      <c r="DM416" s="234">
        <f t="shared" si="507"/>
        <v>126.32533333333345</v>
      </c>
      <c r="DN416" s="234">
        <f t="shared" si="508"/>
        <v>126.32533333333345</v>
      </c>
      <c r="DO416" s="234">
        <f t="shared" si="509"/>
        <v>126.32533333333345</v>
      </c>
      <c r="DP416" s="234">
        <f t="shared" si="510"/>
        <v>126.32533333333345</v>
      </c>
      <c r="DQ416" s="234">
        <f t="shared" si="511"/>
        <v>126.32533333333345</v>
      </c>
      <c r="DR416" s="234">
        <f t="shared" si="512"/>
        <v>126.32533333333345</v>
      </c>
      <c r="DS416" s="234">
        <f t="shared" si="513"/>
        <v>126.32533333333345</v>
      </c>
      <c r="DT416" s="234">
        <f t="shared" si="514"/>
        <v>126.32533333333345</v>
      </c>
      <c r="DU416" s="234">
        <f t="shared" si="515"/>
        <v>126.32533333333345</v>
      </c>
      <c r="DV416" s="234">
        <f t="shared" si="516"/>
        <v>126.32533333333345</v>
      </c>
      <c r="DW416" s="234">
        <f t="shared" si="517"/>
        <v>126.32533333333345</v>
      </c>
      <c r="DX416" s="189">
        <f t="shared" si="518"/>
        <v>126.32533333333345</v>
      </c>
      <c r="DY416" s="140"/>
      <c r="DZ416" s="139"/>
      <c r="EA416" s="140"/>
      <c r="EB416" s="140"/>
      <c r="EC416" s="140"/>
      <c r="ED416" s="140"/>
      <c r="EE416" s="219"/>
      <c r="EF416" s="234">
        <f t="shared" si="519"/>
        <v>473.72000000000008</v>
      </c>
      <c r="EG416" s="234">
        <f t="shared" si="520"/>
        <v>473.72000000000008</v>
      </c>
      <c r="EH416" s="234">
        <f t="shared" si="521"/>
        <v>473.72000000000008</v>
      </c>
      <c r="EI416" s="234">
        <f t="shared" si="522"/>
        <v>473.72000000000008</v>
      </c>
      <c r="EJ416" s="234">
        <f t="shared" si="523"/>
        <v>473.72000000000008</v>
      </c>
      <c r="EK416" s="234">
        <f t="shared" si="524"/>
        <v>473.72000000000008</v>
      </c>
      <c r="EL416" s="234">
        <f t="shared" si="525"/>
        <v>473.72000000000008</v>
      </c>
      <c r="EM416" s="234">
        <f t="shared" si="526"/>
        <v>473.72000000000008</v>
      </c>
      <c r="EN416" s="234">
        <f t="shared" si="527"/>
        <v>473.72000000000008</v>
      </c>
      <c r="EO416" s="234">
        <f t="shared" si="528"/>
        <v>473.72000000000008</v>
      </c>
      <c r="EP416" s="234">
        <f t="shared" si="529"/>
        <v>473.72000000000008</v>
      </c>
      <c r="EQ416" s="234">
        <f t="shared" si="530"/>
        <v>473.72000000000008</v>
      </c>
      <c r="ER416" s="234">
        <f t="shared" si="531"/>
        <v>473.72000000000008</v>
      </c>
      <c r="ES416" s="234">
        <f t="shared" si="532"/>
        <v>473.72000000000008</v>
      </c>
      <c r="ET416" s="234">
        <f t="shared" si="533"/>
        <v>473.72000000000008</v>
      </c>
      <c r="EU416" s="234">
        <f t="shared" si="534"/>
        <v>473.72000000000008</v>
      </c>
      <c r="EV416" s="234">
        <f t="shared" si="535"/>
        <v>473.72000000000008</v>
      </c>
      <c r="EW416" s="234">
        <f t="shared" si="536"/>
        <v>473.72000000000008</v>
      </c>
      <c r="EX416" s="234">
        <f t="shared" si="537"/>
        <v>473.72000000000008</v>
      </c>
      <c r="EY416" s="234">
        <f t="shared" si="538"/>
        <v>473.72000000000008</v>
      </c>
      <c r="EZ416" s="234">
        <f t="shared" si="539"/>
        <v>473.72000000000008</v>
      </c>
      <c r="FA416" s="234">
        <f t="shared" si="540"/>
        <v>473.72000000000008</v>
      </c>
      <c r="FB416" s="234">
        <f t="shared" si="541"/>
        <v>473.72000000000008</v>
      </c>
      <c r="FC416" s="234">
        <f t="shared" si="542"/>
        <v>473.72000000000008</v>
      </c>
      <c r="FD416" s="234">
        <f t="shared" si="543"/>
        <v>473.72000000000008</v>
      </c>
      <c r="FE416" s="234">
        <f t="shared" si="544"/>
        <v>473.72000000000008</v>
      </c>
      <c r="FF416" s="234">
        <f t="shared" si="545"/>
        <v>473.72000000000008</v>
      </c>
      <c r="FG416" s="234">
        <f t="shared" si="546"/>
        <v>473.72000000000008</v>
      </c>
      <c r="FH416" s="234">
        <f t="shared" si="547"/>
        <v>473.72000000000008</v>
      </c>
      <c r="FI416" s="189">
        <f t="shared" si="548"/>
        <v>473.72000000000008</v>
      </c>
      <c r="FJ416" s="140"/>
      <c r="FK416" s="139"/>
      <c r="FL416" s="140"/>
      <c r="FM416" s="140"/>
      <c r="FN416" s="140"/>
      <c r="FO416" s="140"/>
      <c r="FP416" s="219"/>
      <c r="FQ416" s="234">
        <f t="shared" si="549"/>
        <v>758.72</v>
      </c>
      <c r="FR416" s="234">
        <f t="shared" si="550"/>
        <v>758.72</v>
      </c>
      <c r="FS416" s="234">
        <f t="shared" si="551"/>
        <v>758.72</v>
      </c>
      <c r="FT416" s="234">
        <f t="shared" si="552"/>
        <v>758.72</v>
      </c>
      <c r="FU416" s="234">
        <f t="shared" si="553"/>
        <v>758.72</v>
      </c>
      <c r="FV416" s="234">
        <f t="shared" si="554"/>
        <v>758.72</v>
      </c>
      <c r="FW416" s="234">
        <f t="shared" si="555"/>
        <v>758.72</v>
      </c>
      <c r="FX416" s="234">
        <f t="shared" si="556"/>
        <v>758.72</v>
      </c>
      <c r="FY416" s="234">
        <f t="shared" si="557"/>
        <v>758.72</v>
      </c>
      <c r="FZ416" s="234">
        <f t="shared" si="558"/>
        <v>758.72</v>
      </c>
      <c r="GA416" s="234">
        <f t="shared" si="559"/>
        <v>758.72</v>
      </c>
      <c r="GB416" s="234">
        <f t="shared" si="560"/>
        <v>758.72</v>
      </c>
      <c r="GC416" s="234">
        <f t="shared" si="561"/>
        <v>758.72</v>
      </c>
      <c r="GD416" s="234">
        <f t="shared" si="562"/>
        <v>758.72</v>
      </c>
      <c r="GE416" s="234">
        <f t="shared" si="563"/>
        <v>758.72</v>
      </c>
      <c r="GF416" s="234">
        <f t="shared" si="564"/>
        <v>758.72</v>
      </c>
      <c r="GG416" s="234">
        <f t="shared" si="565"/>
        <v>758.72</v>
      </c>
      <c r="GH416" s="234">
        <f t="shared" si="566"/>
        <v>758.72</v>
      </c>
      <c r="GI416" s="234">
        <f t="shared" si="567"/>
        <v>758.72</v>
      </c>
      <c r="GJ416" s="234">
        <f t="shared" si="568"/>
        <v>758.72</v>
      </c>
      <c r="GK416" s="234">
        <f t="shared" si="569"/>
        <v>758.72</v>
      </c>
      <c r="GL416" s="234">
        <f t="shared" si="570"/>
        <v>758.72</v>
      </c>
      <c r="GM416" s="234">
        <f t="shared" si="571"/>
        <v>758.72</v>
      </c>
      <c r="GN416" s="234">
        <f t="shared" si="572"/>
        <v>758.72</v>
      </c>
      <c r="GO416" s="234">
        <f t="shared" si="573"/>
        <v>758.72</v>
      </c>
      <c r="GP416" s="234">
        <f t="shared" si="574"/>
        <v>758.72</v>
      </c>
      <c r="GQ416" s="234">
        <f t="shared" si="575"/>
        <v>758.72</v>
      </c>
      <c r="GR416" s="234">
        <f t="shared" si="576"/>
        <v>758.72</v>
      </c>
      <c r="GS416" s="234">
        <f t="shared" si="577"/>
        <v>758.72</v>
      </c>
      <c r="GT416" s="189">
        <f t="shared" si="578"/>
        <v>758.72</v>
      </c>
      <c r="GU416" s="140"/>
      <c r="GV416" s="139"/>
      <c r="GW416" s="140"/>
      <c r="GX416" s="140"/>
      <c r="GY416" s="140"/>
      <c r="GZ416" s="140"/>
      <c r="HA416" s="219"/>
      <c r="HB416" s="234">
        <f t="shared" si="579"/>
        <v>1589.8136363636365</v>
      </c>
      <c r="HC416" s="234">
        <f t="shared" si="580"/>
        <v>1589.8136363636365</v>
      </c>
      <c r="HD416" s="234">
        <f t="shared" si="581"/>
        <v>1589.8136363636365</v>
      </c>
      <c r="HE416" s="234">
        <f t="shared" si="582"/>
        <v>1589.8136363636365</v>
      </c>
      <c r="HF416" s="234">
        <f t="shared" si="583"/>
        <v>1589.8136363636365</v>
      </c>
      <c r="HG416" s="234">
        <f t="shared" si="584"/>
        <v>1589.8136363636365</v>
      </c>
      <c r="HH416" s="234">
        <f t="shared" si="585"/>
        <v>1589.8136363636365</v>
      </c>
      <c r="HI416" s="234">
        <f t="shared" si="586"/>
        <v>1589.8136363636365</v>
      </c>
      <c r="HJ416" s="234">
        <f t="shared" si="587"/>
        <v>1589.8136363636365</v>
      </c>
      <c r="HK416" s="234">
        <f t="shared" si="588"/>
        <v>1589.8136363636365</v>
      </c>
      <c r="HL416" s="234">
        <f t="shared" si="589"/>
        <v>1589.8136363636365</v>
      </c>
      <c r="HM416" s="234">
        <f t="shared" si="590"/>
        <v>1589.8136363636365</v>
      </c>
      <c r="HN416" s="234">
        <f t="shared" si="591"/>
        <v>1589.8136363636365</v>
      </c>
      <c r="HO416" s="234">
        <f t="shared" si="592"/>
        <v>1589.8136363636365</v>
      </c>
      <c r="HP416" s="234">
        <f t="shared" si="593"/>
        <v>1589.8136363636365</v>
      </c>
      <c r="HQ416" s="234">
        <f t="shared" si="594"/>
        <v>1589.8136363636365</v>
      </c>
      <c r="HR416" s="234">
        <f t="shared" si="595"/>
        <v>1589.8136363636365</v>
      </c>
      <c r="HS416" s="234">
        <f t="shared" si="596"/>
        <v>1589.8136363636365</v>
      </c>
      <c r="HT416" s="234">
        <f t="shared" si="597"/>
        <v>1589.8136363636365</v>
      </c>
      <c r="HU416" s="234">
        <f t="shared" si="598"/>
        <v>1589.8136363636365</v>
      </c>
      <c r="HV416" s="234">
        <f t="shared" si="599"/>
        <v>1589.8136363636365</v>
      </c>
      <c r="HW416" s="234">
        <f t="shared" si="600"/>
        <v>1589.8136363636365</v>
      </c>
      <c r="HX416" s="234">
        <f t="shared" si="601"/>
        <v>1589.8136363636365</v>
      </c>
      <c r="HY416" s="234">
        <f t="shared" si="602"/>
        <v>1589.8136363636365</v>
      </c>
      <c r="HZ416" s="234">
        <f t="shared" si="603"/>
        <v>1589.8136363636365</v>
      </c>
      <c r="IA416" s="234">
        <f t="shared" si="604"/>
        <v>1589.8136363636365</v>
      </c>
      <c r="IB416" s="234">
        <f t="shared" si="605"/>
        <v>1589.8136363636365</v>
      </c>
      <c r="IC416" s="234">
        <f t="shared" si="606"/>
        <v>1589.8136363636365</v>
      </c>
      <c r="ID416" s="234">
        <f t="shared" si="607"/>
        <v>1589.8136363636365</v>
      </c>
      <c r="IE416" s="189">
        <f t="shared" si="608"/>
        <v>1589.8136363636365</v>
      </c>
      <c r="IF416" s="140"/>
      <c r="IG416" s="139"/>
      <c r="IH416" s="140"/>
      <c r="II416" s="140"/>
      <c r="IJ416" s="140"/>
      <c r="IK416" s="140"/>
      <c r="IL416" s="219"/>
      <c r="IM416" s="234">
        <f t="shared" si="609"/>
        <v>7384.9526084755698</v>
      </c>
      <c r="IN416" s="234">
        <f t="shared" si="610"/>
        <v>7384.9526084755698</v>
      </c>
      <c r="IO416" s="234">
        <f t="shared" si="611"/>
        <v>7384.9526084755698</v>
      </c>
      <c r="IP416" s="234">
        <f t="shared" si="612"/>
        <v>7384.9526084755698</v>
      </c>
      <c r="IQ416" s="234">
        <f t="shared" si="613"/>
        <v>7384.9526084755698</v>
      </c>
      <c r="IR416" s="234">
        <f t="shared" si="614"/>
        <v>7384.9526084755698</v>
      </c>
      <c r="IS416" s="234">
        <f t="shared" si="615"/>
        <v>7384.9526084755698</v>
      </c>
      <c r="IT416" s="234">
        <f t="shared" si="616"/>
        <v>7384.9526084755698</v>
      </c>
      <c r="IU416" s="234">
        <f t="shared" si="617"/>
        <v>7384.9526084755698</v>
      </c>
      <c r="IV416" s="234">
        <f t="shared" si="618"/>
        <v>7384.9526084755698</v>
      </c>
      <c r="IW416" s="234">
        <f t="shared" si="619"/>
        <v>7384.9526084755698</v>
      </c>
      <c r="IX416" s="234">
        <f t="shared" si="620"/>
        <v>7384.9526084755698</v>
      </c>
      <c r="IY416" s="234">
        <f t="shared" si="621"/>
        <v>7384.9526084755698</v>
      </c>
      <c r="IZ416" s="234">
        <f t="shared" si="622"/>
        <v>7384.9526084755698</v>
      </c>
      <c r="JA416" s="234">
        <f t="shared" si="623"/>
        <v>7384.9526084755698</v>
      </c>
      <c r="JB416" s="234">
        <f t="shared" si="624"/>
        <v>7384.9526084755698</v>
      </c>
      <c r="JC416" s="234">
        <f t="shared" si="625"/>
        <v>7384.9526084755698</v>
      </c>
      <c r="JD416" s="234">
        <f t="shared" si="626"/>
        <v>7384.9526084755698</v>
      </c>
      <c r="JE416" s="234">
        <f t="shared" si="627"/>
        <v>7384.9526084755698</v>
      </c>
      <c r="JF416" s="234">
        <f t="shared" si="628"/>
        <v>7384.9526084755698</v>
      </c>
      <c r="JG416" s="234">
        <f t="shared" si="629"/>
        <v>7384.9526084755698</v>
      </c>
      <c r="JH416" s="234">
        <f t="shared" si="630"/>
        <v>7384.9526084755698</v>
      </c>
      <c r="JI416" s="234">
        <f t="shared" si="631"/>
        <v>7384.9526084755698</v>
      </c>
      <c r="JJ416" s="234">
        <f t="shared" si="632"/>
        <v>7384.9526084755698</v>
      </c>
      <c r="JK416" s="234">
        <f t="shared" si="633"/>
        <v>7384.9526084755698</v>
      </c>
      <c r="JL416" s="234">
        <f t="shared" si="634"/>
        <v>7384.9526084755698</v>
      </c>
      <c r="JM416" s="234">
        <f t="shared" si="635"/>
        <v>7384.9526084755698</v>
      </c>
      <c r="JN416" s="234">
        <f t="shared" si="636"/>
        <v>7384.9526084755698</v>
      </c>
      <c r="JO416" s="234">
        <f t="shared" si="637"/>
        <v>7384.9526084755698</v>
      </c>
      <c r="JP416" s="189">
        <f t="shared" si="638"/>
        <v>7384.9526084755698</v>
      </c>
      <c r="JQ416" s="140"/>
      <c r="JR416" s="139"/>
      <c r="JS416" s="140"/>
      <c r="JT416" s="140"/>
      <c r="JU416" s="140"/>
      <c r="JV416" s="140"/>
      <c r="JW416" s="219"/>
      <c r="JX416" s="234">
        <f t="shared" si="639"/>
        <v>7384.9526084755698</v>
      </c>
      <c r="JY416" s="234">
        <f t="shared" si="640"/>
        <v>7384.9526084755698</v>
      </c>
      <c r="JZ416" s="234">
        <f t="shared" si="641"/>
        <v>7384.9526084755698</v>
      </c>
      <c r="KA416" s="234">
        <f t="shared" si="642"/>
        <v>7384.9526084755698</v>
      </c>
      <c r="KB416" s="234">
        <f t="shared" si="643"/>
        <v>7384.9526084755698</v>
      </c>
      <c r="KC416" s="234">
        <f t="shared" si="644"/>
        <v>7384.9526084755698</v>
      </c>
      <c r="KD416" s="234">
        <f t="shared" si="645"/>
        <v>7384.9526084755698</v>
      </c>
      <c r="KE416" s="234">
        <f t="shared" si="646"/>
        <v>7384.9526084755698</v>
      </c>
      <c r="KF416" s="234">
        <f t="shared" si="647"/>
        <v>7384.9526084755698</v>
      </c>
      <c r="KG416" s="234">
        <f t="shared" si="648"/>
        <v>7384.9526084755698</v>
      </c>
      <c r="KH416" s="234">
        <f t="shared" si="649"/>
        <v>7384.9526084755698</v>
      </c>
      <c r="KI416" s="234">
        <f t="shared" si="650"/>
        <v>7384.9526084755698</v>
      </c>
      <c r="KJ416" s="234">
        <f t="shared" si="651"/>
        <v>7384.9526084755698</v>
      </c>
      <c r="KK416" s="234">
        <f t="shared" si="652"/>
        <v>7384.9526084755698</v>
      </c>
      <c r="KL416" s="234">
        <f t="shared" si="653"/>
        <v>7384.9526084755698</v>
      </c>
      <c r="KM416" s="234">
        <f t="shared" si="654"/>
        <v>7384.9526084755698</v>
      </c>
      <c r="KN416" s="234">
        <f t="shared" si="655"/>
        <v>7384.9526084755698</v>
      </c>
      <c r="KO416" s="234">
        <f t="shared" si="656"/>
        <v>7384.9526084755698</v>
      </c>
      <c r="KP416" s="234">
        <f t="shared" si="657"/>
        <v>7384.9526084755698</v>
      </c>
      <c r="KQ416" s="234">
        <f t="shared" si="658"/>
        <v>7384.9526084755698</v>
      </c>
      <c r="KR416" s="234">
        <f t="shared" si="659"/>
        <v>7384.9526084755698</v>
      </c>
      <c r="KS416" s="234">
        <f t="shared" si="660"/>
        <v>7384.9526084755698</v>
      </c>
      <c r="KT416" s="234">
        <f t="shared" si="661"/>
        <v>7384.9526084755698</v>
      </c>
      <c r="KU416" s="234">
        <f t="shared" si="662"/>
        <v>7384.9526084755698</v>
      </c>
      <c r="KV416" s="234">
        <f t="shared" si="663"/>
        <v>7384.9526084755698</v>
      </c>
      <c r="KW416" s="234">
        <f t="shared" si="664"/>
        <v>7384.9526084755698</v>
      </c>
      <c r="KX416" s="234">
        <f t="shared" si="665"/>
        <v>7384.9526084755698</v>
      </c>
      <c r="KY416" s="234">
        <f t="shared" si="666"/>
        <v>7384.9526084755698</v>
      </c>
      <c r="KZ416" s="234">
        <f t="shared" si="667"/>
        <v>7384.9526084755698</v>
      </c>
      <c r="LA416" s="189">
        <f t="shared" si="668"/>
        <v>7384.9526084755698</v>
      </c>
      <c r="LB416" s="140"/>
      <c r="LC416" s="139"/>
      <c r="LD416" s="140"/>
      <c r="LE416" s="140"/>
      <c r="LF416" s="140"/>
      <c r="LG416" s="140"/>
      <c r="LH416" s="219"/>
      <c r="LI416" s="234">
        <f t="shared" si="669"/>
        <v>7384.9526084755698</v>
      </c>
      <c r="LJ416" s="234">
        <f t="shared" si="670"/>
        <v>7384.9526084755698</v>
      </c>
      <c r="LK416" s="234">
        <f t="shared" si="671"/>
        <v>7384.9526084755698</v>
      </c>
      <c r="LL416" s="234">
        <f t="shared" si="672"/>
        <v>7384.9526084755698</v>
      </c>
      <c r="LM416" s="234">
        <f t="shared" si="673"/>
        <v>7384.9526084755698</v>
      </c>
      <c r="LN416" s="234">
        <f t="shared" si="674"/>
        <v>7384.9526084755698</v>
      </c>
      <c r="LO416" s="234">
        <f t="shared" si="675"/>
        <v>7384.9526084755698</v>
      </c>
      <c r="LP416" s="234">
        <f t="shared" si="676"/>
        <v>7384.9526084755698</v>
      </c>
      <c r="LQ416" s="234">
        <f t="shared" si="677"/>
        <v>7384.9526084755698</v>
      </c>
      <c r="LR416" s="234">
        <f t="shared" si="678"/>
        <v>7384.9526084755698</v>
      </c>
      <c r="LS416" s="234">
        <f t="shared" si="679"/>
        <v>7384.9526084755698</v>
      </c>
      <c r="LT416" s="234">
        <f t="shared" si="680"/>
        <v>7384.9526084755698</v>
      </c>
      <c r="LU416" s="234">
        <f t="shared" si="681"/>
        <v>7384.9526084755698</v>
      </c>
      <c r="LV416" s="234">
        <f t="shared" si="682"/>
        <v>7384.9526084755698</v>
      </c>
      <c r="LW416" s="234">
        <f t="shared" si="683"/>
        <v>7384.9526084755698</v>
      </c>
      <c r="LX416" s="234">
        <f t="shared" si="684"/>
        <v>7384.9526084755698</v>
      </c>
      <c r="LY416" s="234">
        <f t="shared" si="685"/>
        <v>7384.9526084755698</v>
      </c>
      <c r="LZ416" s="234">
        <f t="shared" si="686"/>
        <v>7384.9526084755698</v>
      </c>
      <c r="MA416" s="234">
        <f t="shared" si="687"/>
        <v>7384.9526084755698</v>
      </c>
      <c r="MB416" s="234">
        <f t="shared" si="688"/>
        <v>7384.9526084755698</v>
      </c>
      <c r="MC416" s="234">
        <f t="shared" si="689"/>
        <v>7384.9526084755698</v>
      </c>
      <c r="MD416" s="234">
        <f t="shared" si="690"/>
        <v>7384.9526084755698</v>
      </c>
      <c r="ME416" s="234">
        <f t="shared" si="691"/>
        <v>7384.9526084755698</v>
      </c>
      <c r="MF416" s="234">
        <f t="shared" si="692"/>
        <v>7384.9526084755698</v>
      </c>
      <c r="MG416" s="234">
        <f t="shared" si="693"/>
        <v>7384.9526084755698</v>
      </c>
      <c r="MH416" s="234">
        <f t="shared" si="694"/>
        <v>7384.9526084755698</v>
      </c>
      <c r="MI416" s="234">
        <f t="shared" si="695"/>
        <v>7384.9526084755698</v>
      </c>
      <c r="MJ416" s="234">
        <f t="shared" si="696"/>
        <v>7384.9526084755698</v>
      </c>
      <c r="MK416" s="234">
        <f t="shared" si="697"/>
        <v>7384.9526084755698</v>
      </c>
      <c r="ML416" s="189">
        <f t="shared" si="698"/>
        <v>7384.9526084755698</v>
      </c>
    </row>
    <row r="417" spans="3:350" s="4" customFormat="1" ht="18" customHeight="1" x14ac:dyDescent="0.3">
      <c r="C417" s="136" t="s">
        <v>80</v>
      </c>
      <c r="E417" s="137" t="s">
        <v>105</v>
      </c>
      <c r="F417" s="186"/>
      <c r="H417" s="235"/>
      <c r="I417" s="218"/>
      <c r="J417" s="218"/>
      <c r="K417" s="218"/>
      <c r="L417" s="218"/>
      <c r="M417" s="236"/>
      <c r="N417" s="237"/>
      <c r="O417" s="237"/>
      <c r="P417" s="237"/>
      <c r="Q417" s="237"/>
      <c r="R417" s="140"/>
      <c r="S417" s="139"/>
      <c r="T417" s="140"/>
      <c r="U417" s="140"/>
      <c r="V417" s="140"/>
      <c r="W417" s="140"/>
      <c r="X417" s="140"/>
      <c r="Y417" s="140"/>
      <c r="Z417" s="140"/>
      <c r="AA417" s="140"/>
      <c r="AB417" s="140"/>
      <c r="AC417" s="140"/>
      <c r="AD417" s="140"/>
      <c r="AE417" s="140"/>
      <c r="AF417" s="140"/>
      <c r="AG417" s="140"/>
      <c r="AH417" s="140"/>
      <c r="AI417" s="140"/>
      <c r="AJ417" s="140"/>
      <c r="AK417" s="140"/>
      <c r="AL417" s="140"/>
      <c r="AM417" s="140"/>
      <c r="AN417" s="140"/>
      <c r="AO417" s="140"/>
      <c r="AP417" s="140"/>
      <c r="AQ417" s="140"/>
      <c r="AR417" s="140"/>
      <c r="AS417" s="140"/>
      <c r="AT417" s="140"/>
      <c r="AU417" s="140"/>
      <c r="AV417" s="140"/>
      <c r="AW417" s="140"/>
      <c r="AX417" s="140"/>
      <c r="AY417" s="140"/>
      <c r="AZ417" s="140"/>
      <c r="BA417" s="140"/>
      <c r="BB417" s="141"/>
      <c r="BC417" s="140"/>
      <c r="BD417" s="177"/>
      <c r="BE417" s="178"/>
      <c r="BF417" s="178"/>
      <c r="BG417" s="178"/>
      <c r="BH417" s="178"/>
      <c r="BI417" s="219"/>
      <c r="BJ417" s="234">
        <f t="shared" si="459"/>
        <v>1041.2589090909094</v>
      </c>
      <c r="BK417" s="234">
        <f t="shared" si="460"/>
        <v>1041.2589090909094</v>
      </c>
      <c r="BL417" s="234">
        <f t="shared" si="461"/>
        <v>1041.2589090909094</v>
      </c>
      <c r="BM417" s="234">
        <f t="shared" si="462"/>
        <v>1041.2589090909094</v>
      </c>
      <c r="BN417" s="234">
        <f t="shared" si="463"/>
        <v>1041.2589090909094</v>
      </c>
      <c r="BO417" s="234">
        <f t="shared" si="464"/>
        <v>1041.2589090909094</v>
      </c>
      <c r="BP417" s="234">
        <f t="shared" si="465"/>
        <v>1041.2589090909094</v>
      </c>
      <c r="BQ417" s="234">
        <f t="shared" si="466"/>
        <v>1041.2589090909094</v>
      </c>
      <c r="BR417" s="234">
        <f t="shared" si="467"/>
        <v>1041.2589090909094</v>
      </c>
      <c r="BS417" s="234">
        <f t="shared" si="468"/>
        <v>1041.2589090909094</v>
      </c>
      <c r="BT417" s="234">
        <f t="shared" si="469"/>
        <v>1041.2589090909094</v>
      </c>
      <c r="BU417" s="234">
        <f t="shared" si="470"/>
        <v>1041.2589090909094</v>
      </c>
      <c r="BV417" s="234">
        <f t="shared" si="471"/>
        <v>1041.2589090909094</v>
      </c>
      <c r="BW417" s="234">
        <f t="shared" si="472"/>
        <v>1041.2589090909094</v>
      </c>
      <c r="BX417" s="234">
        <f t="shared" si="473"/>
        <v>1041.2589090909094</v>
      </c>
      <c r="BY417" s="234">
        <f t="shared" si="474"/>
        <v>1041.2589090909094</v>
      </c>
      <c r="BZ417" s="234">
        <f t="shared" si="475"/>
        <v>1041.2589090909094</v>
      </c>
      <c r="CA417" s="234">
        <f t="shared" si="476"/>
        <v>1041.2589090909094</v>
      </c>
      <c r="CB417" s="234">
        <f t="shared" si="477"/>
        <v>1041.2589090909094</v>
      </c>
      <c r="CC417" s="234">
        <f t="shared" si="478"/>
        <v>1041.2589090909094</v>
      </c>
      <c r="CD417" s="234">
        <f t="shared" si="479"/>
        <v>1041.2589090909094</v>
      </c>
      <c r="CE417" s="234">
        <f t="shared" si="480"/>
        <v>1041.2589090909094</v>
      </c>
      <c r="CF417" s="234">
        <f t="shared" si="481"/>
        <v>1041.2589090909094</v>
      </c>
      <c r="CG417" s="234">
        <f t="shared" si="482"/>
        <v>1041.2589090909094</v>
      </c>
      <c r="CH417" s="234">
        <f t="shared" si="483"/>
        <v>1041.2589090909094</v>
      </c>
      <c r="CI417" s="234">
        <f t="shared" si="484"/>
        <v>1041.2589090909094</v>
      </c>
      <c r="CJ417" s="234">
        <f t="shared" si="485"/>
        <v>1041.2589090909094</v>
      </c>
      <c r="CK417" s="234">
        <f t="shared" si="486"/>
        <v>1041.2589090909094</v>
      </c>
      <c r="CL417" s="234">
        <f t="shared" si="487"/>
        <v>1041.2589090909094</v>
      </c>
      <c r="CM417" s="189">
        <f t="shared" si="488"/>
        <v>1041.2589090909094</v>
      </c>
      <c r="CN417" s="140"/>
      <c r="CO417" s="177"/>
      <c r="CP417" s="178"/>
      <c r="CQ417" s="178"/>
      <c r="CR417" s="178"/>
      <c r="CS417" s="178"/>
      <c r="CT417" s="219"/>
      <c r="CU417" s="234">
        <f t="shared" si="489"/>
        <v>272.71066666666667</v>
      </c>
      <c r="CV417" s="234">
        <f t="shared" si="490"/>
        <v>272.71066666666667</v>
      </c>
      <c r="CW417" s="234">
        <f t="shared" si="491"/>
        <v>272.71066666666667</v>
      </c>
      <c r="CX417" s="234">
        <f t="shared" si="492"/>
        <v>272.71066666666667</v>
      </c>
      <c r="CY417" s="234">
        <f t="shared" si="493"/>
        <v>272.71066666666667</v>
      </c>
      <c r="CZ417" s="234">
        <f t="shared" si="494"/>
        <v>272.71066666666667</v>
      </c>
      <c r="DA417" s="234">
        <f t="shared" si="495"/>
        <v>272.71066666666667</v>
      </c>
      <c r="DB417" s="234">
        <f t="shared" si="496"/>
        <v>272.71066666666667</v>
      </c>
      <c r="DC417" s="234">
        <f t="shared" si="497"/>
        <v>272.71066666666667</v>
      </c>
      <c r="DD417" s="234">
        <f t="shared" si="498"/>
        <v>272.71066666666667</v>
      </c>
      <c r="DE417" s="234">
        <f t="shared" si="499"/>
        <v>272.71066666666667</v>
      </c>
      <c r="DF417" s="234">
        <f t="shared" si="500"/>
        <v>272.71066666666667</v>
      </c>
      <c r="DG417" s="234">
        <f t="shared" si="501"/>
        <v>272.71066666666667</v>
      </c>
      <c r="DH417" s="234">
        <f t="shared" si="502"/>
        <v>272.71066666666667</v>
      </c>
      <c r="DI417" s="234">
        <f t="shared" si="503"/>
        <v>272.71066666666667</v>
      </c>
      <c r="DJ417" s="234">
        <f t="shared" si="504"/>
        <v>272.71066666666667</v>
      </c>
      <c r="DK417" s="234">
        <f t="shared" si="505"/>
        <v>272.71066666666667</v>
      </c>
      <c r="DL417" s="234">
        <f t="shared" si="506"/>
        <v>272.71066666666667</v>
      </c>
      <c r="DM417" s="234">
        <f t="shared" si="507"/>
        <v>272.71066666666667</v>
      </c>
      <c r="DN417" s="234">
        <f t="shared" si="508"/>
        <v>272.71066666666667</v>
      </c>
      <c r="DO417" s="234">
        <f t="shared" si="509"/>
        <v>272.71066666666667</v>
      </c>
      <c r="DP417" s="234">
        <f t="shared" si="510"/>
        <v>272.71066666666667</v>
      </c>
      <c r="DQ417" s="234">
        <f t="shared" si="511"/>
        <v>272.71066666666667</v>
      </c>
      <c r="DR417" s="234">
        <f t="shared" si="512"/>
        <v>272.71066666666667</v>
      </c>
      <c r="DS417" s="234">
        <f t="shared" si="513"/>
        <v>272.71066666666667</v>
      </c>
      <c r="DT417" s="234">
        <f t="shared" si="514"/>
        <v>272.71066666666667</v>
      </c>
      <c r="DU417" s="234">
        <f t="shared" si="515"/>
        <v>272.71066666666667</v>
      </c>
      <c r="DV417" s="234">
        <f t="shared" si="516"/>
        <v>272.71066666666667</v>
      </c>
      <c r="DW417" s="234">
        <f t="shared" si="517"/>
        <v>272.71066666666667</v>
      </c>
      <c r="DX417" s="189">
        <f t="shared" si="518"/>
        <v>272.71066666666667</v>
      </c>
      <c r="DY417" s="140"/>
      <c r="DZ417" s="177"/>
      <c r="EA417" s="178"/>
      <c r="EB417" s="178"/>
      <c r="EC417" s="178"/>
      <c r="ED417" s="178"/>
      <c r="EE417" s="219"/>
      <c r="EF417" s="234">
        <f t="shared" si="519"/>
        <v>545.42133333333334</v>
      </c>
      <c r="EG417" s="234">
        <f t="shared" si="520"/>
        <v>545.42133333333334</v>
      </c>
      <c r="EH417" s="234">
        <f t="shared" si="521"/>
        <v>545.42133333333334</v>
      </c>
      <c r="EI417" s="234">
        <f t="shared" si="522"/>
        <v>545.42133333333334</v>
      </c>
      <c r="EJ417" s="234">
        <f t="shared" si="523"/>
        <v>545.42133333333334</v>
      </c>
      <c r="EK417" s="234">
        <f t="shared" si="524"/>
        <v>545.42133333333334</v>
      </c>
      <c r="EL417" s="234">
        <f t="shared" si="525"/>
        <v>545.42133333333334</v>
      </c>
      <c r="EM417" s="234">
        <f t="shared" si="526"/>
        <v>545.42133333333334</v>
      </c>
      <c r="EN417" s="234">
        <f t="shared" si="527"/>
        <v>545.42133333333334</v>
      </c>
      <c r="EO417" s="234">
        <f t="shared" si="528"/>
        <v>545.42133333333334</v>
      </c>
      <c r="EP417" s="234">
        <f t="shared" si="529"/>
        <v>545.42133333333334</v>
      </c>
      <c r="EQ417" s="234">
        <f t="shared" si="530"/>
        <v>545.42133333333334</v>
      </c>
      <c r="ER417" s="234">
        <f t="shared" si="531"/>
        <v>545.42133333333334</v>
      </c>
      <c r="ES417" s="234">
        <f t="shared" si="532"/>
        <v>545.42133333333334</v>
      </c>
      <c r="ET417" s="234">
        <f t="shared" si="533"/>
        <v>545.42133333333334</v>
      </c>
      <c r="EU417" s="234">
        <f t="shared" si="534"/>
        <v>545.42133333333334</v>
      </c>
      <c r="EV417" s="234">
        <f t="shared" si="535"/>
        <v>545.42133333333334</v>
      </c>
      <c r="EW417" s="234">
        <f t="shared" si="536"/>
        <v>545.42133333333334</v>
      </c>
      <c r="EX417" s="234">
        <f t="shared" si="537"/>
        <v>545.42133333333334</v>
      </c>
      <c r="EY417" s="234">
        <f t="shared" si="538"/>
        <v>545.42133333333334</v>
      </c>
      <c r="EZ417" s="234">
        <f t="shared" si="539"/>
        <v>545.42133333333334</v>
      </c>
      <c r="FA417" s="234">
        <f t="shared" si="540"/>
        <v>545.42133333333334</v>
      </c>
      <c r="FB417" s="234">
        <f t="shared" si="541"/>
        <v>545.42133333333334</v>
      </c>
      <c r="FC417" s="234">
        <f t="shared" si="542"/>
        <v>545.42133333333334</v>
      </c>
      <c r="FD417" s="234">
        <f t="shared" si="543"/>
        <v>545.42133333333334</v>
      </c>
      <c r="FE417" s="234">
        <f t="shared" si="544"/>
        <v>545.42133333333334</v>
      </c>
      <c r="FF417" s="234">
        <f t="shared" si="545"/>
        <v>545.42133333333334</v>
      </c>
      <c r="FG417" s="234">
        <f t="shared" si="546"/>
        <v>545.42133333333334</v>
      </c>
      <c r="FH417" s="234">
        <f t="shared" si="547"/>
        <v>545.42133333333334</v>
      </c>
      <c r="FI417" s="189">
        <f t="shared" si="548"/>
        <v>545.42133333333334</v>
      </c>
      <c r="FJ417" s="140"/>
      <c r="FK417" s="177"/>
      <c r="FL417" s="178"/>
      <c r="FM417" s="178"/>
      <c r="FN417" s="178"/>
      <c r="FO417" s="178"/>
      <c r="FP417" s="219"/>
      <c r="FQ417" s="234">
        <f t="shared" si="549"/>
        <v>545.42133333333334</v>
      </c>
      <c r="FR417" s="234">
        <f t="shared" si="550"/>
        <v>545.42133333333334</v>
      </c>
      <c r="FS417" s="234">
        <f t="shared" si="551"/>
        <v>545.42133333333334</v>
      </c>
      <c r="FT417" s="234">
        <f t="shared" si="552"/>
        <v>545.42133333333334</v>
      </c>
      <c r="FU417" s="234">
        <f t="shared" si="553"/>
        <v>545.42133333333334</v>
      </c>
      <c r="FV417" s="234">
        <f t="shared" si="554"/>
        <v>545.42133333333334</v>
      </c>
      <c r="FW417" s="234">
        <f t="shared" si="555"/>
        <v>545.42133333333334</v>
      </c>
      <c r="FX417" s="234">
        <f t="shared" si="556"/>
        <v>545.42133333333334</v>
      </c>
      <c r="FY417" s="234">
        <f t="shared" si="557"/>
        <v>545.42133333333334</v>
      </c>
      <c r="FZ417" s="234">
        <f t="shared" si="558"/>
        <v>545.42133333333334</v>
      </c>
      <c r="GA417" s="234">
        <f t="shared" si="559"/>
        <v>545.42133333333334</v>
      </c>
      <c r="GB417" s="234">
        <f t="shared" si="560"/>
        <v>545.42133333333334</v>
      </c>
      <c r="GC417" s="234">
        <f t="shared" si="561"/>
        <v>545.42133333333334</v>
      </c>
      <c r="GD417" s="234">
        <f t="shared" si="562"/>
        <v>545.42133333333334</v>
      </c>
      <c r="GE417" s="234">
        <f t="shared" si="563"/>
        <v>545.42133333333334</v>
      </c>
      <c r="GF417" s="234">
        <f t="shared" si="564"/>
        <v>545.42133333333334</v>
      </c>
      <c r="GG417" s="234">
        <f t="shared" si="565"/>
        <v>545.42133333333334</v>
      </c>
      <c r="GH417" s="234">
        <f t="shared" si="566"/>
        <v>545.42133333333334</v>
      </c>
      <c r="GI417" s="234">
        <f t="shared" si="567"/>
        <v>545.42133333333334</v>
      </c>
      <c r="GJ417" s="234">
        <f t="shared" si="568"/>
        <v>545.42133333333334</v>
      </c>
      <c r="GK417" s="234">
        <f t="shared" si="569"/>
        <v>545.42133333333334</v>
      </c>
      <c r="GL417" s="234">
        <f t="shared" si="570"/>
        <v>545.42133333333334</v>
      </c>
      <c r="GM417" s="234">
        <f t="shared" si="571"/>
        <v>545.42133333333334</v>
      </c>
      <c r="GN417" s="234">
        <f t="shared" si="572"/>
        <v>545.42133333333334</v>
      </c>
      <c r="GO417" s="234">
        <f t="shared" si="573"/>
        <v>545.42133333333334</v>
      </c>
      <c r="GP417" s="234">
        <f t="shared" si="574"/>
        <v>545.42133333333334</v>
      </c>
      <c r="GQ417" s="234">
        <f t="shared" si="575"/>
        <v>545.42133333333334</v>
      </c>
      <c r="GR417" s="234">
        <f t="shared" si="576"/>
        <v>545.42133333333334</v>
      </c>
      <c r="GS417" s="234">
        <f t="shared" si="577"/>
        <v>545.42133333333334</v>
      </c>
      <c r="GT417" s="189">
        <f t="shared" si="578"/>
        <v>545.42133333333334</v>
      </c>
      <c r="GU417" s="140"/>
      <c r="GV417" s="177"/>
      <c r="GW417" s="178"/>
      <c r="GX417" s="178"/>
      <c r="GY417" s="178"/>
      <c r="GZ417" s="178"/>
      <c r="HA417" s="219"/>
      <c r="HB417" s="234">
        <f t="shared" si="579"/>
        <v>793.34012121212129</v>
      </c>
      <c r="HC417" s="234">
        <f t="shared" si="580"/>
        <v>793.34012121212129</v>
      </c>
      <c r="HD417" s="234">
        <f t="shared" si="581"/>
        <v>793.34012121212129</v>
      </c>
      <c r="HE417" s="234">
        <f t="shared" si="582"/>
        <v>793.34012121212129</v>
      </c>
      <c r="HF417" s="234">
        <f t="shared" si="583"/>
        <v>793.34012121212129</v>
      </c>
      <c r="HG417" s="234">
        <f t="shared" si="584"/>
        <v>793.34012121212129</v>
      </c>
      <c r="HH417" s="234">
        <f t="shared" si="585"/>
        <v>793.34012121212129</v>
      </c>
      <c r="HI417" s="234">
        <f t="shared" si="586"/>
        <v>793.34012121212129</v>
      </c>
      <c r="HJ417" s="234">
        <f t="shared" si="587"/>
        <v>793.34012121212129</v>
      </c>
      <c r="HK417" s="234">
        <f t="shared" si="588"/>
        <v>793.34012121212129</v>
      </c>
      <c r="HL417" s="234">
        <f t="shared" si="589"/>
        <v>793.34012121212129</v>
      </c>
      <c r="HM417" s="234">
        <f t="shared" si="590"/>
        <v>793.34012121212129</v>
      </c>
      <c r="HN417" s="234">
        <f t="shared" si="591"/>
        <v>793.34012121212129</v>
      </c>
      <c r="HO417" s="234">
        <f t="shared" si="592"/>
        <v>793.34012121212129</v>
      </c>
      <c r="HP417" s="234">
        <f t="shared" si="593"/>
        <v>793.34012121212129</v>
      </c>
      <c r="HQ417" s="234">
        <f t="shared" si="594"/>
        <v>793.34012121212129</v>
      </c>
      <c r="HR417" s="234">
        <f t="shared" si="595"/>
        <v>793.34012121212129</v>
      </c>
      <c r="HS417" s="234">
        <f t="shared" si="596"/>
        <v>793.34012121212129</v>
      </c>
      <c r="HT417" s="234">
        <f t="shared" si="597"/>
        <v>793.34012121212129</v>
      </c>
      <c r="HU417" s="234">
        <f t="shared" si="598"/>
        <v>793.34012121212129</v>
      </c>
      <c r="HV417" s="234">
        <f t="shared" si="599"/>
        <v>793.34012121212129</v>
      </c>
      <c r="HW417" s="234">
        <f t="shared" si="600"/>
        <v>793.34012121212129</v>
      </c>
      <c r="HX417" s="234">
        <f t="shared" si="601"/>
        <v>793.34012121212129</v>
      </c>
      <c r="HY417" s="234">
        <f t="shared" si="602"/>
        <v>793.34012121212129</v>
      </c>
      <c r="HZ417" s="234">
        <f t="shared" si="603"/>
        <v>793.34012121212129</v>
      </c>
      <c r="IA417" s="234">
        <f t="shared" si="604"/>
        <v>793.34012121212129</v>
      </c>
      <c r="IB417" s="234">
        <f t="shared" si="605"/>
        <v>793.34012121212129</v>
      </c>
      <c r="IC417" s="234">
        <f t="shared" si="606"/>
        <v>793.34012121212129</v>
      </c>
      <c r="ID417" s="234">
        <f t="shared" si="607"/>
        <v>793.34012121212129</v>
      </c>
      <c r="IE417" s="189">
        <f t="shared" si="608"/>
        <v>793.34012121212129</v>
      </c>
      <c r="IF417" s="140"/>
      <c r="IG417" s="177"/>
      <c r="IH417" s="178"/>
      <c r="II417" s="178"/>
      <c r="IJ417" s="178"/>
      <c r="IK417" s="178"/>
      <c r="IL417" s="219"/>
      <c r="IM417" s="234">
        <f t="shared" si="609"/>
        <v>2209.1345962837117</v>
      </c>
      <c r="IN417" s="234">
        <f t="shared" si="610"/>
        <v>2209.1345962837117</v>
      </c>
      <c r="IO417" s="234">
        <f t="shared" si="611"/>
        <v>2209.1345962837117</v>
      </c>
      <c r="IP417" s="234">
        <f t="shared" si="612"/>
        <v>2209.1345962837117</v>
      </c>
      <c r="IQ417" s="234">
        <f t="shared" si="613"/>
        <v>2209.1345962837117</v>
      </c>
      <c r="IR417" s="234">
        <f t="shared" si="614"/>
        <v>2209.1345962837117</v>
      </c>
      <c r="IS417" s="234">
        <f t="shared" si="615"/>
        <v>2209.1345962837117</v>
      </c>
      <c r="IT417" s="234">
        <f t="shared" si="616"/>
        <v>2209.1345962837117</v>
      </c>
      <c r="IU417" s="234">
        <f t="shared" si="617"/>
        <v>2209.1345962837117</v>
      </c>
      <c r="IV417" s="234">
        <f t="shared" si="618"/>
        <v>2209.1345962837117</v>
      </c>
      <c r="IW417" s="234">
        <f t="shared" si="619"/>
        <v>2209.1345962837117</v>
      </c>
      <c r="IX417" s="234">
        <f t="shared" si="620"/>
        <v>2209.1345962837117</v>
      </c>
      <c r="IY417" s="234">
        <f t="shared" si="621"/>
        <v>2209.1345962837117</v>
      </c>
      <c r="IZ417" s="234">
        <f t="shared" si="622"/>
        <v>2209.1345962837117</v>
      </c>
      <c r="JA417" s="234">
        <f t="shared" si="623"/>
        <v>2209.1345962837117</v>
      </c>
      <c r="JB417" s="234">
        <f t="shared" si="624"/>
        <v>2209.1345962837117</v>
      </c>
      <c r="JC417" s="234">
        <f t="shared" si="625"/>
        <v>2209.1345962837117</v>
      </c>
      <c r="JD417" s="234">
        <f t="shared" si="626"/>
        <v>2209.1345962837117</v>
      </c>
      <c r="JE417" s="234">
        <f t="shared" si="627"/>
        <v>2209.1345962837117</v>
      </c>
      <c r="JF417" s="234">
        <f t="shared" si="628"/>
        <v>2209.1345962837117</v>
      </c>
      <c r="JG417" s="234">
        <f t="shared" si="629"/>
        <v>2209.1345962837117</v>
      </c>
      <c r="JH417" s="234">
        <f t="shared" si="630"/>
        <v>2209.1345962837117</v>
      </c>
      <c r="JI417" s="234">
        <f t="shared" si="631"/>
        <v>2209.1345962837117</v>
      </c>
      <c r="JJ417" s="234">
        <f t="shared" si="632"/>
        <v>2209.1345962837117</v>
      </c>
      <c r="JK417" s="234">
        <f t="shared" si="633"/>
        <v>2209.1345962837117</v>
      </c>
      <c r="JL417" s="234">
        <f t="shared" si="634"/>
        <v>2209.1345962837117</v>
      </c>
      <c r="JM417" s="234">
        <f t="shared" si="635"/>
        <v>2209.1345962837117</v>
      </c>
      <c r="JN417" s="234">
        <f t="shared" si="636"/>
        <v>2209.1345962837117</v>
      </c>
      <c r="JO417" s="234">
        <f t="shared" si="637"/>
        <v>2209.1345962837117</v>
      </c>
      <c r="JP417" s="189">
        <f t="shared" si="638"/>
        <v>2209.1345962837117</v>
      </c>
      <c r="JQ417" s="140"/>
      <c r="JR417" s="177"/>
      <c r="JS417" s="178"/>
      <c r="JT417" s="178"/>
      <c r="JU417" s="178"/>
      <c r="JV417" s="178"/>
      <c r="JW417" s="219"/>
      <c r="JX417" s="234">
        <f t="shared" si="639"/>
        <v>2209.1345962837117</v>
      </c>
      <c r="JY417" s="234">
        <f t="shared" si="640"/>
        <v>2209.1345962837117</v>
      </c>
      <c r="JZ417" s="234">
        <f t="shared" si="641"/>
        <v>2209.1345962837117</v>
      </c>
      <c r="KA417" s="234">
        <f t="shared" si="642"/>
        <v>2209.1345962837117</v>
      </c>
      <c r="KB417" s="234">
        <f t="shared" si="643"/>
        <v>2209.1345962837117</v>
      </c>
      <c r="KC417" s="234">
        <f t="shared" si="644"/>
        <v>2209.1345962837117</v>
      </c>
      <c r="KD417" s="234">
        <f t="shared" si="645"/>
        <v>2209.1345962837117</v>
      </c>
      <c r="KE417" s="234">
        <f t="shared" si="646"/>
        <v>2209.1345962837117</v>
      </c>
      <c r="KF417" s="234">
        <f t="shared" si="647"/>
        <v>2209.1345962837117</v>
      </c>
      <c r="KG417" s="234">
        <f t="shared" si="648"/>
        <v>2209.1345962837117</v>
      </c>
      <c r="KH417" s="234">
        <f t="shared" si="649"/>
        <v>2209.1345962837117</v>
      </c>
      <c r="KI417" s="234">
        <f t="shared" si="650"/>
        <v>2209.1345962837117</v>
      </c>
      <c r="KJ417" s="234">
        <f t="shared" si="651"/>
        <v>2209.1345962837117</v>
      </c>
      <c r="KK417" s="234">
        <f t="shared" si="652"/>
        <v>2209.1345962837117</v>
      </c>
      <c r="KL417" s="234">
        <f t="shared" si="653"/>
        <v>2209.1345962837117</v>
      </c>
      <c r="KM417" s="234">
        <f t="shared" si="654"/>
        <v>2209.1345962837117</v>
      </c>
      <c r="KN417" s="234">
        <f t="shared" si="655"/>
        <v>2209.1345962837117</v>
      </c>
      <c r="KO417" s="234">
        <f t="shared" si="656"/>
        <v>2209.1345962837117</v>
      </c>
      <c r="KP417" s="234">
        <f t="shared" si="657"/>
        <v>2209.1345962837117</v>
      </c>
      <c r="KQ417" s="234">
        <f t="shared" si="658"/>
        <v>2209.1345962837117</v>
      </c>
      <c r="KR417" s="234">
        <f t="shared" si="659"/>
        <v>2209.1345962837117</v>
      </c>
      <c r="KS417" s="234">
        <f t="shared" si="660"/>
        <v>2209.1345962837117</v>
      </c>
      <c r="KT417" s="234">
        <f t="shared" si="661"/>
        <v>2209.1345962837117</v>
      </c>
      <c r="KU417" s="234">
        <f t="shared" si="662"/>
        <v>2209.1345962837117</v>
      </c>
      <c r="KV417" s="234">
        <f t="shared" si="663"/>
        <v>2209.1345962837117</v>
      </c>
      <c r="KW417" s="234">
        <f t="shared" si="664"/>
        <v>2209.1345962837117</v>
      </c>
      <c r="KX417" s="234">
        <f t="shared" si="665"/>
        <v>2209.1345962837117</v>
      </c>
      <c r="KY417" s="234">
        <f t="shared" si="666"/>
        <v>2209.1345962837117</v>
      </c>
      <c r="KZ417" s="234">
        <f t="shared" si="667"/>
        <v>2209.1345962837117</v>
      </c>
      <c r="LA417" s="189">
        <f t="shared" si="668"/>
        <v>2209.1345962837117</v>
      </c>
      <c r="LB417" s="140"/>
      <c r="LC417" s="177"/>
      <c r="LD417" s="178"/>
      <c r="LE417" s="178"/>
      <c r="LF417" s="178"/>
      <c r="LG417" s="178"/>
      <c r="LH417" s="219"/>
      <c r="LI417" s="234">
        <f t="shared" si="669"/>
        <v>2209.1345962837117</v>
      </c>
      <c r="LJ417" s="234">
        <f t="shared" si="670"/>
        <v>2209.1345962837117</v>
      </c>
      <c r="LK417" s="234">
        <f t="shared" si="671"/>
        <v>2209.1345962837117</v>
      </c>
      <c r="LL417" s="234">
        <f t="shared" si="672"/>
        <v>2209.1345962837117</v>
      </c>
      <c r="LM417" s="234">
        <f t="shared" si="673"/>
        <v>2209.1345962837117</v>
      </c>
      <c r="LN417" s="234">
        <f t="shared" si="674"/>
        <v>2209.1345962837117</v>
      </c>
      <c r="LO417" s="234">
        <f t="shared" si="675"/>
        <v>2209.1345962837117</v>
      </c>
      <c r="LP417" s="234">
        <f t="shared" si="676"/>
        <v>2209.1345962837117</v>
      </c>
      <c r="LQ417" s="234">
        <f t="shared" si="677"/>
        <v>2209.1345962837117</v>
      </c>
      <c r="LR417" s="234">
        <f t="shared" si="678"/>
        <v>2209.1345962837117</v>
      </c>
      <c r="LS417" s="234">
        <f t="shared" si="679"/>
        <v>2209.1345962837117</v>
      </c>
      <c r="LT417" s="234">
        <f t="shared" si="680"/>
        <v>2209.1345962837117</v>
      </c>
      <c r="LU417" s="234">
        <f t="shared" si="681"/>
        <v>2209.1345962837117</v>
      </c>
      <c r="LV417" s="234">
        <f t="shared" si="682"/>
        <v>2209.1345962837117</v>
      </c>
      <c r="LW417" s="234">
        <f t="shared" si="683"/>
        <v>2209.1345962837117</v>
      </c>
      <c r="LX417" s="234">
        <f t="shared" si="684"/>
        <v>2209.1345962837117</v>
      </c>
      <c r="LY417" s="234">
        <f t="shared" si="685"/>
        <v>2209.1345962837117</v>
      </c>
      <c r="LZ417" s="234">
        <f t="shared" si="686"/>
        <v>2209.1345962837117</v>
      </c>
      <c r="MA417" s="234">
        <f t="shared" si="687"/>
        <v>2209.1345962837117</v>
      </c>
      <c r="MB417" s="234">
        <f t="shared" si="688"/>
        <v>2209.1345962837117</v>
      </c>
      <c r="MC417" s="234">
        <f t="shared" si="689"/>
        <v>2209.1345962837117</v>
      </c>
      <c r="MD417" s="234">
        <f t="shared" si="690"/>
        <v>2209.1345962837117</v>
      </c>
      <c r="ME417" s="234">
        <f t="shared" si="691"/>
        <v>2209.1345962837117</v>
      </c>
      <c r="MF417" s="234">
        <f t="shared" si="692"/>
        <v>2209.1345962837117</v>
      </c>
      <c r="MG417" s="234">
        <f t="shared" si="693"/>
        <v>2209.1345962837117</v>
      </c>
      <c r="MH417" s="234">
        <f t="shared" si="694"/>
        <v>2209.1345962837117</v>
      </c>
      <c r="MI417" s="234">
        <f t="shared" si="695"/>
        <v>2209.1345962837117</v>
      </c>
      <c r="MJ417" s="234">
        <f t="shared" si="696"/>
        <v>2209.1345962837117</v>
      </c>
      <c r="MK417" s="234">
        <f t="shared" si="697"/>
        <v>2209.1345962837117</v>
      </c>
      <c r="ML417" s="189">
        <f t="shared" si="698"/>
        <v>2209.1345962837117</v>
      </c>
    </row>
    <row r="418" spans="3:350" s="4" customFormat="1" ht="18" customHeight="1" x14ac:dyDescent="0.3">
      <c r="C418" s="136" t="s">
        <v>81</v>
      </c>
      <c r="E418" s="137" t="s">
        <v>105</v>
      </c>
      <c r="F418" s="186"/>
      <c r="H418" s="235"/>
      <c r="I418" s="218"/>
      <c r="J418" s="218"/>
      <c r="K418" s="218"/>
      <c r="L418" s="218"/>
      <c r="M418" s="236"/>
      <c r="N418" s="237"/>
      <c r="O418" s="237"/>
      <c r="P418" s="237"/>
      <c r="Q418" s="237"/>
      <c r="R418" s="140"/>
      <c r="S418" s="139"/>
      <c r="T418" s="140"/>
      <c r="U418" s="140"/>
      <c r="V418" s="140"/>
      <c r="W418" s="140"/>
      <c r="X418" s="140"/>
      <c r="Y418" s="140"/>
      <c r="Z418" s="140"/>
      <c r="AA418" s="140"/>
      <c r="AB418" s="140"/>
      <c r="AC418" s="140"/>
      <c r="AD418" s="140"/>
      <c r="AE418" s="140"/>
      <c r="AF418" s="140"/>
      <c r="AG418" s="140"/>
      <c r="AH418" s="140"/>
      <c r="AI418" s="140"/>
      <c r="AJ418" s="140"/>
      <c r="AK418" s="140"/>
      <c r="AL418" s="140"/>
      <c r="AM418" s="140"/>
      <c r="AN418" s="140"/>
      <c r="AO418" s="140"/>
      <c r="AP418" s="140"/>
      <c r="AQ418" s="140"/>
      <c r="AR418" s="140"/>
      <c r="AS418" s="140"/>
      <c r="AT418" s="140"/>
      <c r="AU418" s="140"/>
      <c r="AV418" s="140"/>
      <c r="AW418" s="140"/>
      <c r="AX418" s="140"/>
      <c r="AY418" s="140"/>
      <c r="AZ418" s="140"/>
      <c r="BA418" s="140"/>
      <c r="BB418" s="141"/>
      <c r="BC418" s="140"/>
      <c r="BD418" s="177"/>
      <c r="BE418" s="178"/>
      <c r="BF418" s="178"/>
      <c r="BG418" s="178"/>
      <c r="BH418" s="178"/>
      <c r="BI418" s="219"/>
      <c r="BJ418" s="234">
        <f t="shared" si="459"/>
        <v>736.16277648368282</v>
      </c>
      <c r="BK418" s="234">
        <f t="shared" si="460"/>
        <v>736.16277648368282</v>
      </c>
      <c r="BL418" s="234">
        <f t="shared" si="461"/>
        <v>736.16277648368282</v>
      </c>
      <c r="BM418" s="234">
        <f t="shared" si="462"/>
        <v>736.16277648368282</v>
      </c>
      <c r="BN418" s="234">
        <f t="shared" si="463"/>
        <v>736.16277648368282</v>
      </c>
      <c r="BO418" s="234">
        <f t="shared" si="464"/>
        <v>736.16277648368282</v>
      </c>
      <c r="BP418" s="234">
        <f t="shared" si="465"/>
        <v>736.16277648368282</v>
      </c>
      <c r="BQ418" s="234">
        <f t="shared" si="466"/>
        <v>736.16277648368282</v>
      </c>
      <c r="BR418" s="234">
        <f t="shared" si="467"/>
        <v>736.16277648368282</v>
      </c>
      <c r="BS418" s="234">
        <f t="shared" si="468"/>
        <v>736.16277648368282</v>
      </c>
      <c r="BT418" s="234">
        <f t="shared" si="469"/>
        <v>736.16277648368282</v>
      </c>
      <c r="BU418" s="234">
        <f t="shared" si="470"/>
        <v>736.16277648368282</v>
      </c>
      <c r="BV418" s="234">
        <f t="shared" si="471"/>
        <v>736.16277648368282</v>
      </c>
      <c r="BW418" s="234">
        <f t="shared" si="472"/>
        <v>736.16277648368282</v>
      </c>
      <c r="BX418" s="234">
        <f t="shared" si="473"/>
        <v>736.16277648368282</v>
      </c>
      <c r="BY418" s="234">
        <f t="shared" si="474"/>
        <v>736.16277648368282</v>
      </c>
      <c r="BZ418" s="234">
        <f t="shared" si="475"/>
        <v>736.16277648368282</v>
      </c>
      <c r="CA418" s="234">
        <f t="shared" si="476"/>
        <v>736.16277648368282</v>
      </c>
      <c r="CB418" s="234">
        <f t="shared" si="477"/>
        <v>736.16277648368282</v>
      </c>
      <c r="CC418" s="234">
        <f t="shared" si="478"/>
        <v>736.16277648368282</v>
      </c>
      <c r="CD418" s="234">
        <f t="shared" si="479"/>
        <v>736.16277648368282</v>
      </c>
      <c r="CE418" s="234">
        <f t="shared" si="480"/>
        <v>736.16277648368282</v>
      </c>
      <c r="CF418" s="234">
        <f t="shared" si="481"/>
        <v>736.16277648368282</v>
      </c>
      <c r="CG418" s="234">
        <f t="shared" si="482"/>
        <v>736.16277648368282</v>
      </c>
      <c r="CH418" s="234">
        <f t="shared" si="483"/>
        <v>736.16277648368282</v>
      </c>
      <c r="CI418" s="234">
        <f t="shared" si="484"/>
        <v>736.16277648368282</v>
      </c>
      <c r="CJ418" s="234">
        <f t="shared" si="485"/>
        <v>736.16277648368282</v>
      </c>
      <c r="CK418" s="234">
        <f t="shared" si="486"/>
        <v>736.16277648368282</v>
      </c>
      <c r="CL418" s="234">
        <f t="shared" si="487"/>
        <v>736.16277648368282</v>
      </c>
      <c r="CM418" s="189">
        <f t="shared" si="488"/>
        <v>736.16277648368282</v>
      </c>
      <c r="CN418" s="140"/>
      <c r="CO418" s="177"/>
      <c r="CP418" s="178"/>
      <c r="CQ418" s="178"/>
      <c r="CR418" s="178"/>
      <c r="CS418" s="178"/>
      <c r="CT418" s="219"/>
      <c r="CU418" s="234">
        <f t="shared" si="489"/>
        <v>30.561620308746836</v>
      </c>
      <c r="CV418" s="234">
        <f t="shared" si="490"/>
        <v>30.561620308746836</v>
      </c>
      <c r="CW418" s="234">
        <f t="shared" si="491"/>
        <v>30.561620308746836</v>
      </c>
      <c r="CX418" s="234">
        <f t="shared" si="492"/>
        <v>30.561620308746836</v>
      </c>
      <c r="CY418" s="234">
        <f t="shared" si="493"/>
        <v>30.561620308746836</v>
      </c>
      <c r="CZ418" s="234">
        <f t="shared" si="494"/>
        <v>30.561620308746836</v>
      </c>
      <c r="DA418" s="234">
        <f t="shared" si="495"/>
        <v>30.561620308746836</v>
      </c>
      <c r="DB418" s="234">
        <f t="shared" si="496"/>
        <v>30.561620308746836</v>
      </c>
      <c r="DC418" s="234">
        <f t="shared" si="497"/>
        <v>30.561620308746836</v>
      </c>
      <c r="DD418" s="234">
        <f t="shared" si="498"/>
        <v>30.561620308746836</v>
      </c>
      <c r="DE418" s="234">
        <f t="shared" si="499"/>
        <v>30.561620308746836</v>
      </c>
      <c r="DF418" s="234">
        <f t="shared" si="500"/>
        <v>30.561620308746836</v>
      </c>
      <c r="DG418" s="234">
        <f t="shared" si="501"/>
        <v>30.561620308746836</v>
      </c>
      <c r="DH418" s="234">
        <f t="shared" si="502"/>
        <v>30.561620308746836</v>
      </c>
      <c r="DI418" s="234">
        <f t="shared" si="503"/>
        <v>30.561620308746836</v>
      </c>
      <c r="DJ418" s="234">
        <f t="shared" si="504"/>
        <v>30.561620308746836</v>
      </c>
      <c r="DK418" s="234">
        <f t="shared" si="505"/>
        <v>30.561620308746836</v>
      </c>
      <c r="DL418" s="234">
        <f t="shared" si="506"/>
        <v>30.561620308746836</v>
      </c>
      <c r="DM418" s="234">
        <f t="shared" si="507"/>
        <v>30.561620308746836</v>
      </c>
      <c r="DN418" s="234">
        <f t="shared" si="508"/>
        <v>30.561620308746836</v>
      </c>
      <c r="DO418" s="234">
        <f t="shared" si="509"/>
        <v>30.561620308746836</v>
      </c>
      <c r="DP418" s="234">
        <f t="shared" si="510"/>
        <v>30.561620308746836</v>
      </c>
      <c r="DQ418" s="234">
        <f t="shared" si="511"/>
        <v>30.561620308746836</v>
      </c>
      <c r="DR418" s="234">
        <f t="shared" si="512"/>
        <v>30.561620308746836</v>
      </c>
      <c r="DS418" s="234">
        <f t="shared" si="513"/>
        <v>30.561620308746836</v>
      </c>
      <c r="DT418" s="234">
        <f t="shared" si="514"/>
        <v>30.561620308746836</v>
      </c>
      <c r="DU418" s="234">
        <f t="shared" si="515"/>
        <v>30.561620308746836</v>
      </c>
      <c r="DV418" s="234">
        <f t="shared" si="516"/>
        <v>30.561620308746836</v>
      </c>
      <c r="DW418" s="234">
        <f t="shared" si="517"/>
        <v>30.561620308746836</v>
      </c>
      <c r="DX418" s="189">
        <f t="shared" si="518"/>
        <v>30.561620308746836</v>
      </c>
      <c r="DY418" s="140"/>
      <c r="DZ418" s="177"/>
      <c r="EA418" s="178"/>
      <c r="EB418" s="178"/>
      <c r="EC418" s="178"/>
      <c r="ED418" s="178"/>
      <c r="EE418" s="219"/>
      <c r="EF418" s="234">
        <f t="shared" si="519"/>
        <v>30.561620308746836</v>
      </c>
      <c r="EG418" s="234">
        <f t="shared" si="520"/>
        <v>30.561620308746836</v>
      </c>
      <c r="EH418" s="234">
        <f t="shared" si="521"/>
        <v>30.561620308746836</v>
      </c>
      <c r="EI418" s="234">
        <f t="shared" si="522"/>
        <v>30.561620308746836</v>
      </c>
      <c r="EJ418" s="234">
        <f t="shared" si="523"/>
        <v>30.561620308746836</v>
      </c>
      <c r="EK418" s="234">
        <f t="shared" si="524"/>
        <v>30.561620308746836</v>
      </c>
      <c r="EL418" s="234">
        <f t="shared" si="525"/>
        <v>30.561620308746836</v>
      </c>
      <c r="EM418" s="234">
        <f t="shared" si="526"/>
        <v>30.561620308746836</v>
      </c>
      <c r="EN418" s="234">
        <f t="shared" si="527"/>
        <v>30.561620308746836</v>
      </c>
      <c r="EO418" s="234">
        <f t="shared" si="528"/>
        <v>30.561620308746836</v>
      </c>
      <c r="EP418" s="234">
        <f t="shared" si="529"/>
        <v>30.561620308746836</v>
      </c>
      <c r="EQ418" s="234">
        <f t="shared" si="530"/>
        <v>30.561620308746836</v>
      </c>
      <c r="ER418" s="234">
        <f t="shared" si="531"/>
        <v>30.561620308746836</v>
      </c>
      <c r="ES418" s="234">
        <f t="shared" si="532"/>
        <v>30.561620308746836</v>
      </c>
      <c r="ET418" s="234">
        <f t="shared" si="533"/>
        <v>30.561620308746836</v>
      </c>
      <c r="EU418" s="234">
        <f t="shared" si="534"/>
        <v>30.561620308746836</v>
      </c>
      <c r="EV418" s="234">
        <f t="shared" si="535"/>
        <v>30.561620308746836</v>
      </c>
      <c r="EW418" s="234">
        <f t="shared" si="536"/>
        <v>30.561620308746836</v>
      </c>
      <c r="EX418" s="234">
        <f t="shared" si="537"/>
        <v>30.561620308746836</v>
      </c>
      <c r="EY418" s="234">
        <f t="shared" si="538"/>
        <v>30.561620308746836</v>
      </c>
      <c r="EZ418" s="234">
        <f t="shared" si="539"/>
        <v>30.561620308746836</v>
      </c>
      <c r="FA418" s="234">
        <f t="shared" si="540"/>
        <v>30.561620308746836</v>
      </c>
      <c r="FB418" s="234">
        <f t="shared" si="541"/>
        <v>30.561620308746836</v>
      </c>
      <c r="FC418" s="234">
        <f t="shared" si="542"/>
        <v>30.561620308746836</v>
      </c>
      <c r="FD418" s="234">
        <f t="shared" si="543"/>
        <v>30.561620308746836</v>
      </c>
      <c r="FE418" s="234">
        <f t="shared" si="544"/>
        <v>30.561620308746836</v>
      </c>
      <c r="FF418" s="234">
        <f t="shared" si="545"/>
        <v>30.561620308746836</v>
      </c>
      <c r="FG418" s="234">
        <f t="shared" si="546"/>
        <v>30.561620308746836</v>
      </c>
      <c r="FH418" s="234">
        <f t="shared" si="547"/>
        <v>30.561620308746836</v>
      </c>
      <c r="FI418" s="189">
        <f t="shared" si="548"/>
        <v>30.561620308746836</v>
      </c>
      <c r="FJ418" s="140"/>
      <c r="FK418" s="177"/>
      <c r="FL418" s="178"/>
      <c r="FM418" s="178"/>
      <c r="FN418" s="178"/>
      <c r="FO418" s="178"/>
      <c r="FP418" s="219"/>
      <c r="FQ418" s="234">
        <f t="shared" si="549"/>
        <v>35.055370308746838</v>
      </c>
      <c r="FR418" s="234">
        <f t="shared" si="550"/>
        <v>35.055370308746838</v>
      </c>
      <c r="FS418" s="234">
        <f t="shared" si="551"/>
        <v>35.055370308746838</v>
      </c>
      <c r="FT418" s="234">
        <f t="shared" si="552"/>
        <v>35.055370308746838</v>
      </c>
      <c r="FU418" s="234">
        <f t="shared" si="553"/>
        <v>35.055370308746838</v>
      </c>
      <c r="FV418" s="234">
        <f t="shared" si="554"/>
        <v>35.055370308746838</v>
      </c>
      <c r="FW418" s="234">
        <f t="shared" si="555"/>
        <v>35.055370308746838</v>
      </c>
      <c r="FX418" s="234">
        <f t="shared" si="556"/>
        <v>35.055370308746838</v>
      </c>
      <c r="FY418" s="234">
        <f t="shared" si="557"/>
        <v>35.055370308746838</v>
      </c>
      <c r="FZ418" s="234">
        <f t="shared" si="558"/>
        <v>35.055370308746838</v>
      </c>
      <c r="GA418" s="234">
        <f t="shared" si="559"/>
        <v>35.055370308746838</v>
      </c>
      <c r="GB418" s="234">
        <f t="shared" si="560"/>
        <v>35.055370308746838</v>
      </c>
      <c r="GC418" s="234">
        <f t="shared" si="561"/>
        <v>35.055370308746838</v>
      </c>
      <c r="GD418" s="234">
        <f t="shared" si="562"/>
        <v>35.055370308746838</v>
      </c>
      <c r="GE418" s="234">
        <f t="shared" si="563"/>
        <v>35.055370308746838</v>
      </c>
      <c r="GF418" s="234">
        <f t="shared" si="564"/>
        <v>35.055370308746838</v>
      </c>
      <c r="GG418" s="234">
        <f t="shared" si="565"/>
        <v>35.055370308746838</v>
      </c>
      <c r="GH418" s="234">
        <f t="shared" si="566"/>
        <v>35.055370308746838</v>
      </c>
      <c r="GI418" s="234">
        <f t="shared" si="567"/>
        <v>35.055370308746838</v>
      </c>
      <c r="GJ418" s="234">
        <f t="shared" si="568"/>
        <v>35.055370308746838</v>
      </c>
      <c r="GK418" s="234">
        <f t="shared" si="569"/>
        <v>35.055370308746838</v>
      </c>
      <c r="GL418" s="234">
        <f t="shared" si="570"/>
        <v>35.055370308746838</v>
      </c>
      <c r="GM418" s="234">
        <f t="shared" si="571"/>
        <v>35.055370308746838</v>
      </c>
      <c r="GN418" s="234">
        <f t="shared" si="572"/>
        <v>35.055370308746838</v>
      </c>
      <c r="GO418" s="234">
        <f t="shared" si="573"/>
        <v>35.055370308746838</v>
      </c>
      <c r="GP418" s="234">
        <f t="shared" si="574"/>
        <v>35.055370308746838</v>
      </c>
      <c r="GQ418" s="234">
        <f t="shared" si="575"/>
        <v>35.055370308746838</v>
      </c>
      <c r="GR418" s="234">
        <f t="shared" si="576"/>
        <v>35.055370308746838</v>
      </c>
      <c r="GS418" s="234">
        <f t="shared" si="577"/>
        <v>35.055370308746838</v>
      </c>
      <c r="GT418" s="189">
        <f t="shared" si="578"/>
        <v>35.055370308746838</v>
      </c>
      <c r="GU418" s="140"/>
      <c r="GV418" s="177"/>
      <c r="GW418" s="178"/>
      <c r="GX418" s="178"/>
      <c r="GY418" s="178"/>
      <c r="GZ418" s="178"/>
      <c r="HA418" s="219"/>
      <c r="HB418" s="234">
        <f t="shared" si="579"/>
        <v>385.6090733962148</v>
      </c>
      <c r="HC418" s="234">
        <f t="shared" si="580"/>
        <v>385.6090733962148</v>
      </c>
      <c r="HD418" s="234">
        <f t="shared" si="581"/>
        <v>385.6090733962148</v>
      </c>
      <c r="HE418" s="234">
        <f t="shared" si="582"/>
        <v>385.6090733962148</v>
      </c>
      <c r="HF418" s="234">
        <f t="shared" si="583"/>
        <v>385.6090733962148</v>
      </c>
      <c r="HG418" s="234">
        <f t="shared" si="584"/>
        <v>385.6090733962148</v>
      </c>
      <c r="HH418" s="234">
        <f t="shared" si="585"/>
        <v>385.6090733962148</v>
      </c>
      <c r="HI418" s="234">
        <f t="shared" si="586"/>
        <v>385.6090733962148</v>
      </c>
      <c r="HJ418" s="234">
        <f t="shared" si="587"/>
        <v>385.6090733962148</v>
      </c>
      <c r="HK418" s="234">
        <f t="shared" si="588"/>
        <v>385.6090733962148</v>
      </c>
      <c r="HL418" s="234">
        <f t="shared" si="589"/>
        <v>385.6090733962148</v>
      </c>
      <c r="HM418" s="234">
        <f t="shared" si="590"/>
        <v>385.6090733962148</v>
      </c>
      <c r="HN418" s="234">
        <f t="shared" si="591"/>
        <v>385.6090733962148</v>
      </c>
      <c r="HO418" s="234">
        <f t="shared" si="592"/>
        <v>385.6090733962148</v>
      </c>
      <c r="HP418" s="234">
        <f t="shared" si="593"/>
        <v>385.6090733962148</v>
      </c>
      <c r="HQ418" s="234">
        <f t="shared" si="594"/>
        <v>385.6090733962148</v>
      </c>
      <c r="HR418" s="234">
        <f t="shared" si="595"/>
        <v>385.6090733962148</v>
      </c>
      <c r="HS418" s="234">
        <f t="shared" si="596"/>
        <v>385.6090733962148</v>
      </c>
      <c r="HT418" s="234">
        <f t="shared" si="597"/>
        <v>385.6090733962148</v>
      </c>
      <c r="HU418" s="234">
        <f t="shared" si="598"/>
        <v>385.6090733962148</v>
      </c>
      <c r="HV418" s="234">
        <f t="shared" si="599"/>
        <v>385.6090733962148</v>
      </c>
      <c r="HW418" s="234">
        <f t="shared" si="600"/>
        <v>385.6090733962148</v>
      </c>
      <c r="HX418" s="234">
        <f t="shared" si="601"/>
        <v>385.6090733962148</v>
      </c>
      <c r="HY418" s="234">
        <f t="shared" si="602"/>
        <v>385.6090733962148</v>
      </c>
      <c r="HZ418" s="234">
        <f t="shared" si="603"/>
        <v>385.6090733962148</v>
      </c>
      <c r="IA418" s="234">
        <f t="shared" si="604"/>
        <v>385.6090733962148</v>
      </c>
      <c r="IB418" s="234">
        <f t="shared" si="605"/>
        <v>385.6090733962148</v>
      </c>
      <c r="IC418" s="234">
        <f t="shared" si="606"/>
        <v>385.6090733962148</v>
      </c>
      <c r="ID418" s="234">
        <f t="shared" si="607"/>
        <v>385.6090733962148</v>
      </c>
      <c r="IE418" s="189">
        <f t="shared" si="608"/>
        <v>385.6090733962148</v>
      </c>
      <c r="IF418" s="140"/>
      <c r="IG418" s="177"/>
      <c r="IH418" s="178"/>
      <c r="II418" s="178"/>
      <c r="IJ418" s="178"/>
      <c r="IK418" s="178"/>
      <c r="IL418" s="219"/>
      <c r="IM418" s="234">
        <f t="shared" si="609"/>
        <v>3522.2535876240499</v>
      </c>
      <c r="IN418" s="234">
        <f t="shared" si="610"/>
        <v>3522.2535876240499</v>
      </c>
      <c r="IO418" s="234">
        <f t="shared" si="611"/>
        <v>3522.2535876240499</v>
      </c>
      <c r="IP418" s="234">
        <f t="shared" si="612"/>
        <v>3522.2535876240499</v>
      </c>
      <c r="IQ418" s="234">
        <f t="shared" si="613"/>
        <v>3522.2535876240499</v>
      </c>
      <c r="IR418" s="234">
        <f t="shared" si="614"/>
        <v>3522.2535876240499</v>
      </c>
      <c r="IS418" s="234">
        <f t="shared" si="615"/>
        <v>3522.2535876240499</v>
      </c>
      <c r="IT418" s="234">
        <f t="shared" si="616"/>
        <v>3522.2535876240499</v>
      </c>
      <c r="IU418" s="234">
        <f t="shared" si="617"/>
        <v>3522.2535876240499</v>
      </c>
      <c r="IV418" s="234">
        <f t="shared" si="618"/>
        <v>3522.2535876240499</v>
      </c>
      <c r="IW418" s="234">
        <f t="shared" si="619"/>
        <v>3522.2535876240499</v>
      </c>
      <c r="IX418" s="234">
        <f t="shared" si="620"/>
        <v>3522.2535876240499</v>
      </c>
      <c r="IY418" s="234">
        <f t="shared" si="621"/>
        <v>3522.2535876240499</v>
      </c>
      <c r="IZ418" s="234">
        <f t="shared" si="622"/>
        <v>3522.2535876240499</v>
      </c>
      <c r="JA418" s="234">
        <f t="shared" si="623"/>
        <v>3522.2535876240499</v>
      </c>
      <c r="JB418" s="234">
        <f t="shared" si="624"/>
        <v>3522.2535876240499</v>
      </c>
      <c r="JC418" s="234">
        <f t="shared" si="625"/>
        <v>3522.2535876240499</v>
      </c>
      <c r="JD418" s="234">
        <f t="shared" si="626"/>
        <v>3522.2535876240499</v>
      </c>
      <c r="JE418" s="234">
        <f t="shared" si="627"/>
        <v>3522.2535876240499</v>
      </c>
      <c r="JF418" s="234">
        <f t="shared" si="628"/>
        <v>3522.2535876240499</v>
      </c>
      <c r="JG418" s="234">
        <f t="shared" si="629"/>
        <v>3522.2535876240499</v>
      </c>
      <c r="JH418" s="234">
        <f t="shared" si="630"/>
        <v>3522.2535876240499</v>
      </c>
      <c r="JI418" s="234">
        <f t="shared" si="631"/>
        <v>3522.2535876240499</v>
      </c>
      <c r="JJ418" s="234">
        <f t="shared" si="632"/>
        <v>3522.2535876240499</v>
      </c>
      <c r="JK418" s="234">
        <f t="shared" si="633"/>
        <v>3522.2535876240499</v>
      </c>
      <c r="JL418" s="234">
        <f t="shared" si="634"/>
        <v>3522.2535876240499</v>
      </c>
      <c r="JM418" s="234">
        <f t="shared" si="635"/>
        <v>3522.2535876240499</v>
      </c>
      <c r="JN418" s="234">
        <f t="shared" si="636"/>
        <v>3522.2535876240499</v>
      </c>
      <c r="JO418" s="234">
        <f t="shared" si="637"/>
        <v>3522.2535876240499</v>
      </c>
      <c r="JP418" s="189">
        <f t="shared" si="638"/>
        <v>3522.2535876240499</v>
      </c>
      <c r="JQ418" s="140"/>
      <c r="JR418" s="177"/>
      <c r="JS418" s="178"/>
      <c r="JT418" s="178"/>
      <c r="JU418" s="178"/>
      <c r="JV418" s="178"/>
      <c r="JW418" s="219"/>
      <c r="JX418" s="234">
        <f t="shared" si="639"/>
        <v>3522.2535876240499</v>
      </c>
      <c r="JY418" s="234">
        <f t="shared" si="640"/>
        <v>3522.2535876240499</v>
      </c>
      <c r="JZ418" s="234">
        <f t="shared" si="641"/>
        <v>3522.2535876240499</v>
      </c>
      <c r="KA418" s="234">
        <f t="shared" si="642"/>
        <v>3522.2535876240499</v>
      </c>
      <c r="KB418" s="234">
        <f t="shared" si="643"/>
        <v>3522.2535876240499</v>
      </c>
      <c r="KC418" s="234">
        <f t="shared" si="644"/>
        <v>3522.2535876240499</v>
      </c>
      <c r="KD418" s="234">
        <f t="shared" si="645"/>
        <v>3522.2535876240499</v>
      </c>
      <c r="KE418" s="234">
        <f t="shared" si="646"/>
        <v>3522.2535876240499</v>
      </c>
      <c r="KF418" s="234">
        <f t="shared" si="647"/>
        <v>3522.2535876240499</v>
      </c>
      <c r="KG418" s="234">
        <f t="shared" si="648"/>
        <v>3522.2535876240499</v>
      </c>
      <c r="KH418" s="234">
        <f t="shared" si="649"/>
        <v>3522.2535876240499</v>
      </c>
      <c r="KI418" s="234">
        <f t="shared" si="650"/>
        <v>3522.2535876240499</v>
      </c>
      <c r="KJ418" s="234">
        <f t="shared" si="651"/>
        <v>3522.2535876240499</v>
      </c>
      <c r="KK418" s="234">
        <f t="shared" si="652"/>
        <v>3522.2535876240499</v>
      </c>
      <c r="KL418" s="234">
        <f t="shared" si="653"/>
        <v>3522.2535876240499</v>
      </c>
      <c r="KM418" s="234">
        <f t="shared" si="654"/>
        <v>3522.2535876240499</v>
      </c>
      <c r="KN418" s="234">
        <f t="shared" si="655"/>
        <v>3522.2535876240499</v>
      </c>
      <c r="KO418" s="234">
        <f t="shared" si="656"/>
        <v>3522.2535876240499</v>
      </c>
      <c r="KP418" s="234">
        <f t="shared" si="657"/>
        <v>3522.2535876240499</v>
      </c>
      <c r="KQ418" s="234">
        <f t="shared" si="658"/>
        <v>3522.2535876240499</v>
      </c>
      <c r="KR418" s="234">
        <f t="shared" si="659"/>
        <v>3522.2535876240499</v>
      </c>
      <c r="KS418" s="234">
        <f t="shared" si="660"/>
        <v>3522.2535876240499</v>
      </c>
      <c r="KT418" s="234">
        <f t="shared" si="661"/>
        <v>3522.2535876240499</v>
      </c>
      <c r="KU418" s="234">
        <f t="shared" si="662"/>
        <v>3522.2535876240499</v>
      </c>
      <c r="KV418" s="234">
        <f t="shared" si="663"/>
        <v>3522.2535876240499</v>
      </c>
      <c r="KW418" s="234">
        <f t="shared" si="664"/>
        <v>3522.2535876240499</v>
      </c>
      <c r="KX418" s="234">
        <f t="shared" si="665"/>
        <v>3522.2535876240499</v>
      </c>
      <c r="KY418" s="234">
        <f t="shared" si="666"/>
        <v>3522.2535876240499</v>
      </c>
      <c r="KZ418" s="234">
        <f t="shared" si="667"/>
        <v>3522.2535876240499</v>
      </c>
      <c r="LA418" s="189">
        <f t="shared" si="668"/>
        <v>3522.2535876240499</v>
      </c>
      <c r="LB418" s="140"/>
      <c r="LC418" s="177"/>
      <c r="LD418" s="178"/>
      <c r="LE418" s="178"/>
      <c r="LF418" s="178"/>
      <c r="LG418" s="178"/>
      <c r="LH418" s="219"/>
      <c r="LI418" s="234">
        <f t="shared" si="669"/>
        <v>3522.2535876240499</v>
      </c>
      <c r="LJ418" s="234">
        <f t="shared" si="670"/>
        <v>3522.2535876240499</v>
      </c>
      <c r="LK418" s="234">
        <f t="shared" si="671"/>
        <v>3522.2535876240499</v>
      </c>
      <c r="LL418" s="234">
        <f t="shared" si="672"/>
        <v>3522.2535876240499</v>
      </c>
      <c r="LM418" s="234">
        <f t="shared" si="673"/>
        <v>3522.2535876240499</v>
      </c>
      <c r="LN418" s="234">
        <f t="shared" si="674"/>
        <v>3522.2535876240499</v>
      </c>
      <c r="LO418" s="234">
        <f t="shared" si="675"/>
        <v>3522.2535876240499</v>
      </c>
      <c r="LP418" s="234">
        <f t="shared" si="676"/>
        <v>3522.2535876240499</v>
      </c>
      <c r="LQ418" s="234">
        <f t="shared" si="677"/>
        <v>3522.2535876240499</v>
      </c>
      <c r="LR418" s="234">
        <f t="shared" si="678"/>
        <v>3522.2535876240499</v>
      </c>
      <c r="LS418" s="234">
        <f t="shared" si="679"/>
        <v>3522.2535876240499</v>
      </c>
      <c r="LT418" s="234">
        <f t="shared" si="680"/>
        <v>3522.2535876240499</v>
      </c>
      <c r="LU418" s="234">
        <f t="shared" si="681"/>
        <v>3522.2535876240499</v>
      </c>
      <c r="LV418" s="234">
        <f t="shared" si="682"/>
        <v>3522.2535876240499</v>
      </c>
      <c r="LW418" s="234">
        <f t="shared" si="683"/>
        <v>3522.2535876240499</v>
      </c>
      <c r="LX418" s="234">
        <f t="shared" si="684"/>
        <v>3522.2535876240499</v>
      </c>
      <c r="LY418" s="234">
        <f t="shared" si="685"/>
        <v>3522.2535876240499</v>
      </c>
      <c r="LZ418" s="234">
        <f t="shared" si="686"/>
        <v>3522.2535876240499</v>
      </c>
      <c r="MA418" s="234">
        <f t="shared" si="687"/>
        <v>3522.2535876240499</v>
      </c>
      <c r="MB418" s="234">
        <f t="shared" si="688"/>
        <v>3522.2535876240499</v>
      </c>
      <c r="MC418" s="234">
        <f t="shared" si="689"/>
        <v>3522.2535876240499</v>
      </c>
      <c r="MD418" s="234">
        <f t="shared" si="690"/>
        <v>3522.2535876240499</v>
      </c>
      <c r="ME418" s="234">
        <f t="shared" si="691"/>
        <v>3522.2535876240499</v>
      </c>
      <c r="MF418" s="234">
        <f t="shared" si="692"/>
        <v>3522.2535876240499</v>
      </c>
      <c r="MG418" s="234">
        <f t="shared" si="693"/>
        <v>3522.2535876240499</v>
      </c>
      <c r="MH418" s="234">
        <f t="shared" si="694"/>
        <v>3522.2535876240499</v>
      </c>
      <c r="MI418" s="234">
        <f t="shared" si="695"/>
        <v>3522.2535876240499</v>
      </c>
      <c r="MJ418" s="234">
        <f t="shared" si="696"/>
        <v>3522.2535876240499</v>
      </c>
      <c r="MK418" s="234">
        <f t="shared" si="697"/>
        <v>3522.2535876240499</v>
      </c>
      <c r="ML418" s="189">
        <f t="shared" si="698"/>
        <v>3522.2535876240499</v>
      </c>
    </row>
    <row r="419" spans="3:350" s="4" customFormat="1" ht="18" customHeight="1" x14ac:dyDescent="0.3">
      <c r="C419" s="136" t="s">
        <v>82</v>
      </c>
      <c r="E419" s="137" t="s">
        <v>105</v>
      </c>
      <c r="F419" s="186"/>
      <c r="H419" s="235"/>
      <c r="I419" s="218"/>
      <c r="J419" s="218"/>
      <c r="K419" s="218"/>
      <c r="L419" s="218"/>
      <c r="M419" s="236"/>
      <c r="N419" s="237"/>
      <c r="O419" s="237"/>
      <c r="P419" s="237"/>
      <c r="Q419" s="237"/>
      <c r="R419" s="140"/>
      <c r="S419" s="139"/>
      <c r="T419" s="140"/>
      <c r="U419" s="140"/>
      <c r="V419" s="140"/>
      <c r="W419" s="140"/>
      <c r="X419" s="140"/>
      <c r="Y419" s="140"/>
      <c r="Z419" s="140"/>
      <c r="AA419" s="140"/>
      <c r="AB419" s="140"/>
      <c r="AC419" s="140"/>
      <c r="AD419" s="140"/>
      <c r="AE419" s="140"/>
      <c r="AF419" s="140"/>
      <c r="AG419" s="140"/>
      <c r="AH419" s="140"/>
      <c r="AI419" s="140"/>
      <c r="AJ419" s="140"/>
      <c r="AK419" s="140"/>
      <c r="AL419" s="140"/>
      <c r="AM419" s="140"/>
      <c r="AN419" s="140"/>
      <c r="AO419" s="140"/>
      <c r="AP419" s="140"/>
      <c r="AQ419" s="140"/>
      <c r="AR419" s="140"/>
      <c r="AS419" s="140"/>
      <c r="AT419" s="140"/>
      <c r="AU419" s="140"/>
      <c r="AV419" s="140"/>
      <c r="AW419" s="140"/>
      <c r="AX419" s="140"/>
      <c r="AY419" s="140"/>
      <c r="AZ419" s="140"/>
      <c r="BA419" s="140"/>
      <c r="BB419" s="141"/>
      <c r="BC419" s="140"/>
      <c r="BD419" s="177"/>
      <c r="BE419" s="178"/>
      <c r="BF419" s="178"/>
      <c r="BG419" s="178"/>
      <c r="BH419" s="178"/>
      <c r="BI419" s="219"/>
      <c r="BJ419" s="234">
        <f t="shared" si="459"/>
        <v>1284.9224848484844</v>
      </c>
      <c r="BK419" s="234">
        <f t="shared" si="460"/>
        <v>1284.9224848484844</v>
      </c>
      <c r="BL419" s="234">
        <f t="shared" si="461"/>
        <v>1284.9224848484844</v>
      </c>
      <c r="BM419" s="234">
        <f t="shared" si="462"/>
        <v>1284.9224848484844</v>
      </c>
      <c r="BN419" s="234">
        <f t="shared" si="463"/>
        <v>1284.9224848484844</v>
      </c>
      <c r="BO419" s="234">
        <f t="shared" si="464"/>
        <v>1284.9224848484844</v>
      </c>
      <c r="BP419" s="234">
        <f t="shared" si="465"/>
        <v>1284.9224848484844</v>
      </c>
      <c r="BQ419" s="234">
        <f t="shared" si="466"/>
        <v>1284.9224848484844</v>
      </c>
      <c r="BR419" s="234">
        <f t="shared" si="467"/>
        <v>1284.9224848484844</v>
      </c>
      <c r="BS419" s="234">
        <f t="shared" si="468"/>
        <v>1284.9224848484844</v>
      </c>
      <c r="BT419" s="234">
        <f t="shared" si="469"/>
        <v>1284.9224848484844</v>
      </c>
      <c r="BU419" s="234">
        <f t="shared" si="470"/>
        <v>1284.9224848484844</v>
      </c>
      <c r="BV419" s="234">
        <f t="shared" si="471"/>
        <v>1284.9224848484844</v>
      </c>
      <c r="BW419" s="234">
        <f t="shared" si="472"/>
        <v>1284.9224848484844</v>
      </c>
      <c r="BX419" s="234">
        <f t="shared" si="473"/>
        <v>1284.9224848484844</v>
      </c>
      <c r="BY419" s="234">
        <f t="shared" si="474"/>
        <v>1284.9224848484844</v>
      </c>
      <c r="BZ419" s="234">
        <f t="shared" si="475"/>
        <v>1284.9224848484844</v>
      </c>
      <c r="CA419" s="234">
        <f t="shared" si="476"/>
        <v>1284.9224848484844</v>
      </c>
      <c r="CB419" s="234">
        <f t="shared" si="477"/>
        <v>1284.9224848484844</v>
      </c>
      <c r="CC419" s="234">
        <f t="shared" si="478"/>
        <v>1284.9224848484844</v>
      </c>
      <c r="CD419" s="234">
        <f t="shared" si="479"/>
        <v>1284.9224848484844</v>
      </c>
      <c r="CE419" s="234">
        <f t="shared" si="480"/>
        <v>1284.9224848484844</v>
      </c>
      <c r="CF419" s="234">
        <f t="shared" si="481"/>
        <v>1284.9224848484844</v>
      </c>
      <c r="CG419" s="234">
        <f t="shared" si="482"/>
        <v>1284.9224848484844</v>
      </c>
      <c r="CH419" s="234">
        <f t="shared" si="483"/>
        <v>1284.9224848484844</v>
      </c>
      <c r="CI419" s="234">
        <f t="shared" si="484"/>
        <v>1284.9224848484844</v>
      </c>
      <c r="CJ419" s="234">
        <f t="shared" si="485"/>
        <v>1284.9224848484844</v>
      </c>
      <c r="CK419" s="234">
        <f t="shared" si="486"/>
        <v>1284.9224848484844</v>
      </c>
      <c r="CL419" s="234">
        <f t="shared" si="487"/>
        <v>1284.9224848484844</v>
      </c>
      <c r="CM419" s="189">
        <f t="shared" si="488"/>
        <v>1284.9224848484844</v>
      </c>
      <c r="CN419" s="140"/>
      <c r="CO419" s="177"/>
      <c r="CP419" s="178"/>
      <c r="CQ419" s="178"/>
      <c r="CR419" s="178"/>
      <c r="CS419" s="178"/>
      <c r="CT419" s="219"/>
      <c r="CU419" s="234">
        <f t="shared" si="489"/>
        <v>526.10100000000011</v>
      </c>
      <c r="CV419" s="234">
        <f t="shared" si="490"/>
        <v>526.10100000000011</v>
      </c>
      <c r="CW419" s="234">
        <f t="shared" si="491"/>
        <v>526.10100000000011</v>
      </c>
      <c r="CX419" s="234">
        <f t="shared" si="492"/>
        <v>526.10100000000011</v>
      </c>
      <c r="CY419" s="234">
        <f t="shared" si="493"/>
        <v>526.10100000000011</v>
      </c>
      <c r="CZ419" s="234">
        <f t="shared" si="494"/>
        <v>526.10100000000011</v>
      </c>
      <c r="DA419" s="234">
        <f t="shared" si="495"/>
        <v>526.10100000000011</v>
      </c>
      <c r="DB419" s="234">
        <f t="shared" si="496"/>
        <v>526.10100000000011</v>
      </c>
      <c r="DC419" s="234">
        <f t="shared" si="497"/>
        <v>526.10100000000011</v>
      </c>
      <c r="DD419" s="234">
        <f t="shared" si="498"/>
        <v>526.10100000000011</v>
      </c>
      <c r="DE419" s="234">
        <f t="shared" si="499"/>
        <v>526.10100000000011</v>
      </c>
      <c r="DF419" s="234">
        <f t="shared" si="500"/>
        <v>526.10100000000011</v>
      </c>
      <c r="DG419" s="234">
        <f t="shared" si="501"/>
        <v>526.10100000000011</v>
      </c>
      <c r="DH419" s="234">
        <f t="shared" si="502"/>
        <v>526.10100000000011</v>
      </c>
      <c r="DI419" s="234">
        <f t="shared" si="503"/>
        <v>526.10100000000011</v>
      </c>
      <c r="DJ419" s="234">
        <f t="shared" si="504"/>
        <v>526.10100000000011</v>
      </c>
      <c r="DK419" s="234">
        <f t="shared" si="505"/>
        <v>526.10100000000011</v>
      </c>
      <c r="DL419" s="234">
        <f t="shared" si="506"/>
        <v>526.10100000000011</v>
      </c>
      <c r="DM419" s="234">
        <f t="shared" si="507"/>
        <v>526.10100000000011</v>
      </c>
      <c r="DN419" s="234">
        <f t="shared" si="508"/>
        <v>526.10100000000011</v>
      </c>
      <c r="DO419" s="234">
        <f t="shared" si="509"/>
        <v>526.10100000000011</v>
      </c>
      <c r="DP419" s="234">
        <f t="shared" si="510"/>
        <v>526.10100000000011</v>
      </c>
      <c r="DQ419" s="234">
        <f t="shared" si="511"/>
        <v>526.10100000000011</v>
      </c>
      <c r="DR419" s="234">
        <f t="shared" si="512"/>
        <v>526.10100000000011</v>
      </c>
      <c r="DS419" s="234">
        <f t="shared" si="513"/>
        <v>526.10100000000011</v>
      </c>
      <c r="DT419" s="234">
        <f t="shared" si="514"/>
        <v>526.10100000000011</v>
      </c>
      <c r="DU419" s="234">
        <f t="shared" si="515"/>
        <v>526.10100000000011</v>
      </c>
      <c r="DV419" s="234">
        <f t="shared" si="516"/>
        <v>526.10100000000011</v>
      </c>
      <c r="DW419" s="234">
        <f t="shared" si="517"/>
        <v>526.10100000000011</v>
      </c>
      <c r="DX419" s="189">
        <f t="shared" si="518"/>
        <v>526.10100000000011</v>
      </c>
      <c r="DY419" s="140"/>
      <c r="DZ419" s="177"/>
      <c r="EA419" s="178"/>
      <c r="EB419" s="178"/>
      <c r="EC419" s="178"/>
      <c r="ED419" s="178"/>
      <c r="EE419" s="219"/>
      <c r="EF419" s="234">
        <f t="shared" si="519"/>
        <v>695.81100000000004</v>
      </c>
      <c r="EG419" s="234">
        <f t="shared" si="520"/>
        <v>695.81100000000004</v>
      </c>
      <c r="EH419" s="234">
        <f t="shared" si="521"/>
        <v>695.81100000000004</v>
      </c>
      <c r="EI419" s="234">
        <f t="shared" si="522"/>
        <v>695.81100000000004</v>
      </c>
      <c r="EJ419" s="234">
        <f t="shared" si="523"/>
        <v>695.81100000000004</v>
      </c>
      <c r="EK419" s="234">
        <f t="shared" si="524"/>
        <v>695.81100000000004</v>
      </c>
      <c r="EL419" s="234">
        <f t="shared" si="525"/>
        <v>695.81100000000004</v>
      </c>
      <c r="EM419" s="234">
        <f t="shared" si="526"/>
        <v>695.81100000000004</v>
      </c>
      <c r="EN419" s="234">
        <f t="shared" si="527"/>
        <v>695.81100000000004</v>
      </c>
      <c r="EO419" s="234">
        <f t="shared" si="528"/>
        <v>695.81100000000004</v>
      </c>
      <c r="EP419" s="234">
        <f t="shared" si="529"/>
        <v>695.81100000000004</v>
      </c>
      <c r="EQ419" s="234">
        <f t="shared" si="530"/>
        <v>695.81100000000004</v>
      </c>
      <c r="ER419" s="234">
        <f t="shared" si="531"/>
        <v>695.81100000000004</v>
      </c>
      <c r="ES419" s="234">
        <f t="shared" si="532"/>
        <v>695.81100000000004</v>
      </c>
      <c r="ET419" s="234">
        <f t="shared" si="533"/>
        <v>695.81100000000004</v>
      </c>
      <c r="EU419" s="234">
        <f t="shared" si="534"/>
        <v>695.81100000000004</v>
      </c>
      <c r="EV419" s="234">
        <f t="shared" si="535"/>
        <v>695.81100000000004</v>
      </c>
      <c r="EW419" s="234">
        <f t="shared" si="536"/>
        <v>695.81100000000004</v>
      </c>
      <c r="EX419" s="234">
        <f t="shared" si="537"/>
        <v>695.81100000000004</v>
      </c>
      <c r="EY419" s="234">
        <f t="shared" si="538"/>
        <v>695.81100000000004</v>
      </c>
      <c r="EZ419" s="234">
        <f t="shared" si="539"/>
        <v>695.81100000000004</v>
      </c>
      <c r="FA419" s="234">
        <f t="shared" si="540"/>
        <v>695.81100000000004</v>
      </c>
      <c r="FB419" s="234">
        <f t="shared" si="541"/>
        <v>695.81100000000004</v>
      </c>
      <c r="FC419" s="234">
        <f t="shared" si="542"/>
        <v>695.81100000000004</v>
      </c>
      <c r="FD419" s="234">
        <f t="shared" si="543"/>
        <v>695.81100000000004</v>
      </c>
      <c r="FE419" s="234">
        <f t="shared" si="544"/>
        <v>695.81100000000004</v>
      </c>
      <c r="FF419" s="234">
        <f t="shared" si="545"/>
        <v>695.81100000000004</v>
      </c>
      <c r="FG419" s="234">
        <f t="shared" si="546"/>
        <v>695.81100000000004</v>
      </c>
      <c r="FH419" s="234">
        <f t="shared" si="547"/>
        <v>695.81100000000004</v>
      </c>
      <c r="FI419" s="189">
        <f t="shared" si="548"/>
        <v>695.81100000000004</v>
      </c>
      <c r="FJ419" s="140"/>
      <c r="FK419" s="177"/>
      <c r="FL419" s="178"/>
      <c r="FM419" s="178"/>
      <c r="FN419" s="178"/>
      <c r="FO419" s="178"/>
      <c r="FP419" s="219"/>
      <c r="FQ419" s="234">
        <f t="shared" si="549"/>
        <v>863.63642424242403</v>
      </c>
      <c r="FR419" s="234">
        <f t="shared" si="550"/>
        <v>863.63642424242403</v>
      </c>
      <c r="FS419" s="234">
        <f t="shared" si="551"/>
        <v>863.63642424242403</v>
      </c>
      <c r="FT419" s="234">
        <f t="shared" si="552"/>
        <v>863.63642424242403</v>
      </c>
      <c r="FU419" s="234">
        <f t="shared" si="553"/>
        <v>863.63642424242403</v>
      </c>
      <c r="FV419" s="234">
        <f t="shared" si="554"/>
        <v>863.63642424242403</v>
      </c>
      <c r="FW419" s="234">
        <f t="shared" si="555"/>
        <v>863.63642424242403</v>
      </c>
      <c r="FX419" s="234">
        <f t="shared" si="556"/>
        <v>863.63642424242403</v>
      </c>
      <c r="FY419" s="234">
        <f t="shared" si="557"/>
        <v>863.63642424242403</v>
      </c>
      <c r="FZ419" s="234">
        <f t="shared" si="558"/>
        <v>863.63642424242403</v>
      </c>
      <c r="GA419" s="234">
        <f t="shared" si="559"/>
        <v>863.63642424242403</v>
      </c>
      <c r="GB419" s="234">
        <f t="shared" si="560"/>
        <v>863.63642424242403</v>
      </c>
      <c r="GC419" s="234">
        <f t="shared" si="561"/>
        <v>863.63642424242403</v>
      </c>
      <c r="GD419" s="234">
        <f t="shared" si="562"/>
        <v>863.63642424242403</v>
      </c>
      <c r="GE419" s="234">
        <f t="shared" si="563"/>
        <v>863.63642424242403</v>
      </c>
      <c r="GF419" s="234">
        <f t="shared" si="564"/>
        <v>863.63642424242403</v>
      </c>
      <c r="GG419" s="234">
        <f t="shared" si="565"/>
        <v>863.63642424242403</v>
      </c>
      <c r="GH419" s="234">
        <f t="shared" si="566"/>
        <v>863.63642424242403</v>
      </c>
      <c r="GI419" s="234">
        <f t="shared" si="567"/>
        <v>863.63642424242403</v>
      </c>
      <c r="GJ419" s="234">
        <f t="shared" si="568"/>
        <v>863.63642424242403</v>
      </c>
      <c r="GK419" s="234">
        <f t="shared" si="569"/>
        <v>863.63642424242403</v>
      </c>
      <c r="GL419" s="234">
        <f t="shared" si="570"/>
        <v>863.63642424242403</v>
      </c>
      <c r="GM419" s="234">
        <f t="shared" si="571"/>
        <v>863.63642424242403</v>
      </c>
      <c r="GN419" s="234">
        <f t="shared" si="572"/>
        <v>863.63642424242403</v>
      </c>
      <c r="GO419" s="234">
        <f t="shared" si="573"/>
        <v>863.63642424242403</v>
      </c>
      <c r="GP419" s="234">
        <f t="shared" si="574"/>
        <v>863.63642424242403</v>
      </c>
      <c r="GQ419" s="234">
        <f t="shared" si="575"/>
        <v>863.63642424242403</v>
      </c>
      <c r="GR419" s="234">
        <f t="shared" si="576"/>
        <v>863.63642424242403</v>
      </c>
      <c r="GS419" s="234">
        <f t="shared" si="577"/>
        <v>863.63642424242403</v>
      </c>
      <c r="GT419" s="189">
        <f t="shared" si="578"/>
        <v>863.63642424242403</v>
      </c>
      <c r="GU419" s="140"/>
      <c r="GV419" s="177"/>
      <c r="GW419" s="178"/>
      <c r="GX419" s="178"/>
      <c r="GY419" s="178"/>
      <c r="GZ419" s="178"/>
      <c r="HA419" s="219"/>
      <c r="HB419" s="234">
        <f t="shared" si="579"/>
        <v>1074.2794545454542</v>
      </c>
      <c r="HC419" s="234">
        <f t="shared" si="580"/>
        <v>1074.2794545454542</v>
      </c>
      <c r="HD419" s="234">
        <f t="shared" si="581"/>
        <v>1074.2794545454542</v>
      </c>
      <c r="HE419" s="234">
        <f t="shared" si="582"/>
        <v>1074.2794545454542</v>
      </c>
      <c r="HF419" s="234">
        <f t="shared" si="583"/>
        <v>1074.2794545454542</v>
      </c>
      <c r="HG419" s="234">
        <f t="shared" si="584"/>
        <v>1074.2794545454542</v>
      </c>
      <c r="HH419" s="234">
        <f t="shared" si="585"/>
        <v>1074.2794545454542</v>
      </c>
      <c r="HI419" s="234">
        <f t="shared" si="586"/>
        <v>1074.2794545454542</v>
      </c>
      <c r="HJ419" s="234">
        <f t="shared" si="587"/>
        <v>1074.2794545454542</v>
      </c>
      <c r="HK419" s="234">
        <f t="shared" si="588"/>
        <v>1074.2794545454542</v>
      </c>
      <c r="HL419" s="234">
        <f t="shared" si="589"/>
        <v>1074.2794545454542</v>
      </c>
      <c r="HM419" s="234">
        <f t="shared" si="590"/>
        <v>1074.2794545454542</v>
      </c>
      <c r="HN419" s="234">
        <f t="shared" si="591"/>
        <v>1074.2794545454542</v>
      </c>
      <c r="HO419" s="234">
        <f t="shared" si="592"/>
        <v>1074.2794545454542</v>
      </c>
      <c r="HP419" s="234">
        <f t="shared" si="593"/>
        <v>1074.2794545454542</v>
      </c>
      <c r="HQ419" s="234">
        <f t="shared" si="594"/>
        <v>1074.2794545454542</v>
      </c>
      <c r="HR419" s="234">
        <f t="shared" si="595"/>
        <v>1074.2794545454542</v>
      </c>
      <c r="HS419" s="234">
        <f t="shared" si="596"/>
        <v>1074.2794545454542</v>
      </c>
      <c r="HT419" s="234">
        <f t="shared" si="597"/>
        <v>1074.2794545454542</v>
      </c>
      <c r="HU419" s="234">
        <f t="shared" si="598"/>
        <v>1074.2794545454542</v>
      </c>
      <c r="HV419" s="234">
        <f t="shared" si="599"/>
        <v>1074.2794545454542</v>
      </c>
      <c r="HW419" s="234">
        <f t="shared" si="600"/>
        <v>1074.2794545454542</v>
      </c>
      <c r="HX419" s="234">
        <f t="shared" si="601"/>
        <v>1074.2794545454542</v>
      </c>
      <c r="HY419" s="234">
        <f t="shared" si="602"/>
        <v>1074.2794545454542</v>
      </c>
      <c r="HZ419" s="234">
        <f t="shared" si="603"/>
        <v>1074.2794545454542</v>
      </c>
      <c r="IA419" s="234">
        <f t="shared" si="604"/>
        <v>1074.2794545454542</v>
      </c>
      <c r="IB419" s="234">
        <f t="shared" si="605"/>
        <v>1074.2794545454542</v>
      </c>
      <c r="IC419" s="234">
        <f t="shared" si="606"/>
        <v>1074.2794545454542</v>
      </c>
      <c r="ID419" s="234">
        <f t="shared" si="607"/>
        <v>1074.2794545454542</v>
      </c>
      <c r="IE419" s="189">
        <f t="shared" si="608"/>
        <v>1074.2794545454542</v>
      </c>
      <c r="IF419" s="140"/>
      <c r="IG419" s="177"/>
      <c r="IH419" s="178"/>
      <c r="II419" s="178"/>
      <c r="IJ419" s="178"/>
      <c r="IK419" s="178"/>
      <c r="IL419" s="219"/>
      <c r="IM419" s="234">
        <f t="shared" si="609"/>
        <v>2498.77762454088</v>
      </c>
      <c r="IN419" s="234">
        <f t="shared" si="610"/>
        <v>2498.77762454088</v>
      </c>
      <c r="IO419" s="234">
        <f t="shared" si="611"/>
        <v>2498.77762454088</v>
      </c>
      <c r="IP419" s="234">
        <f t="shared" si="612"/>
        <v>2498.77762454088</v>
      </c>
      <c r="IQ419" s="234">
        <f t="shared" si="613"/>
        <v>2498.77762454088</v>
      </c>
      <c r="IR419" s="234">
        <f t="shared" si="614"/>
        <v>2498.77762454088</v>
      </c>
      <c r="IS419" s="234">
        <f t="shared" si="615"/>
        <v>2498.77762454088</v>
      </c>
      <c r="IT419" s="234">
        <f t="shared" si="616"/>
        <v>2498.77762454088</v>
      </c>
      <c r="IU419" s="234">
        <f t="shared" si="617"/>
        <v>2498.77762454088</v>
      </c>
      <c r="IV419" s="234">
        <f t="shared" si="618"/>
        <v>2498.77762454088</v>
      </c>
      <c r="IW419" s="234">
        <f t="shared" si="619"/>
        <v>2498.77762454088</v>
      </c>
      <c r="IX419" s="234">
        <f t="shared" si="620"/>
        <v>2498.77762454088</v>
      </c>
      <c r="IY419" s="234">
        <f t="shared" si="621"/>
        <v>2498.77762454088</v>
      </c>
      <c r="IZ419" s="234">
        <f t="shared" si="622"/>
        <v>2498.77762454088</v>
      </c>
      <c r="JA419" s="234">
        <f t="shared" si="623"/>
        <v>2498.77762454088</v>
      </c>
      <c r="JB419" s="234">
        <f t="shared" si="624"/>
        <v>2498.77762454088</v>
      </c>
      <c r="JC419" s="234">
        <f t="shared" si="625"/>
        <v>2498.77762454088</v>
      </c>
      <c r="JD419" s="234">
        <f t="shared" si="626"/>
        <v>2498.77762454088</v>
      </c>
      <c r="JE419" s="234">
        <f t="shared" si="627"/>
        <v>2498.77762454088</v>
      </c>
      <c r="JF419" s="234">
        <f t="shared" si="628"/>
        <v>2498.77762454088</v>
      </c>
      <c r="JG419" s="234">
        <f t="shared" si="629"/>
        <v>2498.77762454088</v>
      </c>
      <c r="JH419" s="234">
        <f t="shared" si="630"/>
        <v>2498.77762454088</v>
      </c>
      <c r="JI419" s="234">
        <f t="shared" si="631"/>
        <v>2498.77762454088</v>
      </c>
      <c r="JJ419" s="234">
        <f t="shared" si="632"/>
        <v>2498.77762454088</v>
      </c>
      <c r="JK419" s="234">
        <f t="shared" si="633"/>
        <v>2498.77762454088</v>
      </c>
      <c r="JL419" s="234">
        <f t="shared" si="634"/>
        <v>2498.77762454088</v>
      </c>
      <c r="JM419" s="234">
        <f t="shared" si="635"/>
        <v>2498.77762454088</v>
      </c>
      <c r="JN419" s="234">
        <f t="shared" si="636"/>
        <v>2498.77762454088</v>
      </c>
      <c r="JO419" s="234">
        <f t="shared" si="637"/>
        <v>2498.77762454088</v>
      </c>
      <c r="JP419" s="189">
        <f t="shared" si="638"/>
        <v>2498.77762454088</v>
      </c>
      <c r="JQ419" s="140"/>
      <c r="JR419" s="177"/>
      <c r="JS419" s="178"/>
      <c r="JT419" s="178"/>
      <c r="JU419" s="178"/>
      <c r="JV419" s="178"/>
      <c r="JW419" s="219"/>
      <c r="JX419" s="234">
        <f t="shared" si="639"/>
        <v>2498.77762454088</v>
      </c>
      <c r="JY419" s="234">
        <f t="shared" si="640"/>
        <v>2498.77762454088</v>
      </c>
      <c r="JZ419" s="234">
        <f t="shared" si="641"/>
        <v>2498.77762454088</v>
      </c>
      <c r="KA419" s="234">
        <f t="shared" si="642"/>
        <v>2498.77762454088</v>
      </c>
      <c r="KB419" s="234">
        <f t="shared" si="643"/>
        <v>2498.77762454088</v>
      </c>
      <c r="KC419" s="234">
        <f t="shared" si="644"/>
        <v>2498.77762454088</v>
      </c>
      <c r="KD419" s="234">
        <f t="shared" si="645"/>
        <v>2498.77762454088</v>
      </c>
      <c r="KE419" s="234">
        <f t="shared" si="646"/>
        <v>2498.77762454088</v>
      </c>
      <c r="KF419" s="234">
        <f t="shared" si="647"/>
        <v>2498.77762454088</v>
      </c>
      <c r="KG419" s="234">
        <f t="shared" si="648"/>
        <v>2498.77762454088</v>
      </c>
      <c r="KH419" s="234">
        <f t="shared" si="649"/>
        <v>2498.77762454088</v>
      </c>
      <c r="KI419" s="234">
        <f t="shared" si="650"/>
        <v>2498.77762454088</v>
      </c>
      <c r="KJ419" s="234">
        <f t="shared" si="651"/>
        <v>2498.77762454088</v>
      </c>
      <c r="KK419" s="234">
        <f t="shared" si="652"/>
        <v>2498.77762454088</v>
      </c>
      <c r="KL419" s="234">
        <f t="shared" si="653"/>
        <v>2498.77762454088</v>
      </c>
      <c r="KM419" s="234">
        <f t="shared" si="654"/>
        <v>2498.77762454088</v>
      </c>
      <c r="KN419" s="234">
        <f t="shared" si="655"/>
        <v>2498.77762454088</v>
      </c>
      <c r="KO419" s="234">
        <f t="shared" si="656"/>
        <v>2498.77762454088</v>
      </c>
      <c r="KP419" s="234">
        <f t="shared" si="657"/>
        <v>2498.77762454088</v>
      </c>
      <c r="KQ419" s="234">
        <f t="shared" si="658"/>
        <v>2498.77762454088</v>
      </c>
      <c r="KR419" s="234">
        <f t="shared" si="659"/>
        <v>2498.77762454088</v>
      </c>
      <c r="KS419" s="234">
        <f t="shared" si="660"/>
        <v>2498.77762454088</v>
      </c>
      <c r="KT419" s="234">
        <f t="shared" si="661"/>
        <v>2498.77762454088</v>
      </c>
      <c r="KU419" s="234">
        <f t="shared" si="662"/>
        <v>2498.77762454088</v>
      </c>
      <c r="KV419" s="234">
        <f t="shared" si="663"/>
        <v>2498.77762454088</v>
      </c>
      <c r="KW419" s="234">
        <f t="shared" si="664"/>
        <v>2498.77762454088</v>
      </c>
      <c r="KX419" s="234">
        <f t="shared" si="665"/>
        <v>2498.77762454088</v>
      </c>
      <c r="KY419" s="234">
        <f t="shared" si="666"/>
        <v>2498.77762454088</v>
      </c>
      <c r="KZ419" s="234">
        <f t="shared" si="667"/>
        <v>2498.77762454088</v>
      </c>
      <c r="LA419" s="189">
        <f t="shared" si="668"/>
        <v>2498.77762454088</v>
      </c>
      <c r="LB419" s="140"/>
      <c r="LC419" s="177"/>
      <c r="LD419" s="178"/>
      <c r="LE419" s="178"/>
      <c r="LF419" s="178"/>
      <c r="LG419" s="178"/>
      <c r="LH419" s="219"/>
      <c r="LI419" s="234">
        <f t="shared" si="669"/>
        <v>2498.77762454088</v>
      </c>
      <c r="LJ419" s="234">
        <f t="shared" si="670"/>
        <v>2498.77762454088</v>
      </c>
      <c r="LK419" s="234">
        <f t="shared" si="671"/>
        <v>2498.77762454088</v>
      </c>
      <c r="LL419" s="234">
        <f t="shared" si="672"/>
        <v>2498.77762454088</v>
      </c>
      <c r="LM419" s="234">
        <f t="shared" si="673"/>
        <v>2498.77762454088</v>
      </c>
      <c r="LN419" s="234">
        <f t="shared" si="674"/>
        <v>2498.77762454088</v>
      </c>
      <c r="LO419" s="234">
        <f t="shared" si="675"/>
        <v>2498.77762454088</v>
      </c>
      <c r="LP419" s="234">
        <f t="shared" si="676"/>
        <v>2498.77762454088</v>
      </c>
      <c r="LQ419" s="234">
        <f t="shared" si="677"/>
        <v>2498.77762454088</v>
      </c>
      <c r="LR419" s="234">
        <f t="shared" si="678"/>
        <v>2498.77762454088</v>
      </c>
      <c r="LS419" s="234">
        <f t="shared" si="679"/>
        <v>2498.77762454088</v>
      </c>
      <c r="LT419" s="234">
        <f t="shared" si="680"/>
        <v>2498.77762454088</v>
      </c>
      <c r="LU419" s="234">
        <f t="shared" si="681"/>
        <v>2498.77762454088</v>
      </c>
      <c r="LV419" s="234">
        <f t="shared" si="682"/>
        <v>2498.77762454088</v>
      </c>
      <c r="LW419" s="234">
        <f t="shared" si="683"/>
        <v>2498.77762454088</v>
      </c>
      <c r="LX419" s="234">
        <f t="shared" si="684"/>
        <v>2498.77762454088</v>
      </c>
      <c r="LY419" s="234">
        <f t="shared" si="685"/>
        <v>2498.77762454088</v>
      </c>
      <c r="LZ419" s="234">
        <f t="shared" si="686"/>
        <v>2498.77762454088</v>
      </c>
      <c r="MA419" s="234">
        <f t="shared" si="687"/>
        <v>2498.77762454088</v>
      </c>
      <c r="MB419" s="234">
        <f t="shared" si="688"/>
        <v>2498.77762454088</v>
      </c>
      <c r="MC419" s="234">
        <f t="shared" si="689"/>
        <v>2498.77762454088</v>
      </c>
      <c r="MD419" s="234">
        <f t="shared" si="690"/>
        <v>2498.77762454088</v>
      </c>
      <c r="ME419" s="234">
        <f t="shared" si="691"/>
        <v>2498.77762454088</v>
      </c>
      <c r="MF419" s="234">
        <f t="shared" si="692"/>
        <v>2498.77762454088</v>
      </c>
      <c r="MG419" s="234">
        <f t="shared" si="693"/>
        <v>2498.77762454088</v>
      </c>
      <c r="MH419" s="234">
        <f t="shared" si="694"/>
        <v>2498.77762454088</v>
      </c>
      <c r="MI419" s="234">
        <f t="shared" si="695"/>
        <v>2498.77762454088</v>
      </c>
      <c r="MJ419" s="234">
        <f t="shared" si="696"/>
        <v>2498.77762454088</v>
      </c>
      <c r="MK419" s="234">
        <f t="shared" si="697"/>
        <v>2498.77762454088</v>
      </c>
      <c r="ML419" s="189">
        <f t="shared" si="698"/>
        <v>2498.77762454088</v>
      </c>
    </row>
    <row r="420" spans="3:350" s="4" customFormat="1" ht="18" customHeight="1" x14ac:dyDescent="0.3">
      <c r="C420" s="136" t="s">
        <v>83</v>
      </c>
      <c r="E420" s="137" t="s">
        <v>105</v>
      </c>
      <c r="F420" s="186"/>
      <c r="H420" s="235"/>
      <c r="I420" s="218"/>
      <c r="J420" s="218"/>
      <c r="K420" s="218"/>
      <c r="L420" s="218"/>
      <c r="M420" s="236"/>
      <c r="N420" s="237"/>
      <c r="O420" s="237"/>
      <c r="P420" s="237"/>
      <c r="Q420" s="237"/>
      <c r="R420" s="140"/>
      <c r="S420" s="139"/>
      <c r="T420" s="140"/>
      <c r="U420" s="140"/>
      <c r="V420" s="140"/>
      <c r="W420" s="140"/>
      <c r="X420" s="140"/>
      <c r="Y420" s="140"/>
      <c r="Z420" s="140"/>
      <c r="AA420" s="140"/>
      <c r="AB420" s="140"/>
      <c r="AC420" s="140"/>
      <c r="AD420" s="140"/>
      <c r="AE420" s="140"/>
      <c r="AF420" s="140"/>
      <c r="AG420" s="140"/>
      <c r="AH420" s="140"/>
      <c r="AI420" s="140"/>
      <c r="AJ420" s="140"/>
      <c r="AK420" s="140"/>
      <c r="AL420" s="140"/>
      <c r="AM420" s="140"/>
      <c r="AN420" s="140"/>
      <c r="AO420" s="140"/>
      <c r="AP420" s="140"/>
      <c r="AQ420" s="140"/>
      <c r="AR420" s="140"/>
      <c r="AS420" s="140"/>
      <c r="AT420" s="140"/>
      <c r="AU420" s="140"/>
      <c r="AV420" s="140"/>
      <c r="AW420" s="140"/>
      <c r="AX420" s="140"/>
      <c r="AY420" s="140"/>
      <c r="AZ420" s="140"/>
      <c r="BA420" s="140"/>
      <c r="BB420" s="141"/>
      <c r="BC420" s="140"/>
      <c r="BD420" s="177"/>
      <c r="BE420" s="178"/>
      <c r="BF420" s="178"/>
      <c r="BG420" s="178"/>
      <c r="BH420" s="178"/>
      <c r="BI420" s="219"/>
      <c r="BJ420" s="234">
        <f t="shared" si="459"/>
        <v>357.798</v>
      </c>
      <c r="BK420" s="234">
        <f t="shared" si="460"/>
        <v>357.798</v>
      </c>
      <c r="BL420" s="234">
        <f t="shared" si="461"/>
        <v>357.798</v>
      </c>
      <c r="BM420" s="234">
        <f t="shared" si="462"/>
        <v>357.798</v>
      </c>
      <c r="BN420" s="234">
        <f t="shared" si="463"/>
        <v>357.798</v>
      </c>
      <c r="BO420" s="234">
        <f t="shared" si="464"/>
        <v>357.798</v>
      </c>
      <c r="BP420" s="234">
        <f t="shared" si="465"/>
        <v>357.798</v>
      </c>
      <c r="BQ420" s="234">
        <f t="shared" si="466"/>
        <v>357.798</v>
      </c>
      <c r="BR420" s="234">
        <f t="shared" si="467"/>
        <v>357.798</v>
      </c>
      <c r="BS420" s="234">
        <f t="shared" si="468"/>
        <v>357.798</v>
      </c>
      <c r="BT420" s="234">
        <f t="shared" si="469"/>
        <v>357.798</v>
      </c>
      <c r="BU420" s="234">
        <f t="shared" si="470"/>
        <v>357.798</v>
      </c>
      <c r="BV420" s="234">
        <f t="shared" si="471"/>
        <v>357.798</v>
      </c>
      <c r="BW420" s="234">
        <f t="shared" si="472"/>
        <v>357.798</v>
      </c>
      <c r="BX420" s="234">
        <f t="shared" si="473"/>
        <v>357.798</v>
      </c>
      <c r="BY420" s="234">
        <f t="shared" si="474"/>
        <v>357.798</v>
      </c>
      <c r="BZ420" s="234">
        <f t="shared" si="475"/>
        <v>357.798</v>
      </c>
      <c r="CA420" s="234">
        <f t="shared" si="476"/>
        <v>357.798</v>
      </c>
      <c r="CB420" s="234">
        <f t="shared" si="477"/>
        <v>357.798</v>
      </c>
      <c r="CC420" s="234">
        <f t="shared" si="478"/>
        <v>357.798</v>
      </c>
      <c r="CD420" s="234">
        <f t="shared" si="479"/>
        <v>357.798</v>
      </c>
      <c r="CE420" s="234">
        <f t="shared" si="480"/>
        <v>357.798</v>
      </c>
      <c r="CF420" s="234">
        <f t="shared" si="481"/>
        <v>357.798</v>
      </c>
      <c r="CG420" s="234">
        <f t="shared" si="482"/>
        <v>357.798</v>
      </c>
      <c r="CH420" s="234">
        <f t="shared" si="483"/>
        <v>357.798</v>
      </c>
      <c r="CI420" s="234">
        <f t="shared" si="484"/>
        <v>357.798</v>
      </c>
      <c r="CJ420" s="234">
        <f t="shared" si="485"/>
        <v>357.798</v>
      </c>
      <c r="CK420" s="234">
        <f t="shared" si="486"/>
        <v>357.798</v>
      </c>
      <c r="CL420" s="234">
        <f t="shared" si="487"/>
        <v>357.798</v>
      </c>
      <c r="CM420" s="189">
        <f t="shared" si="488"/>
        <v>357.798</v>
      </c>
      <c r="CN420" s="140"/>
      <c r="CO420" s="177"/>
      <c r="CP420" s="178"/>
      <c r="CQ420" s="178"/>
      <c r="CR420" s="178"/>
      <c r="CS420" s="178"/>
      <c r="CT420" s="219"/>
      <c r="CU420" s="234">
        <f t="shared" si="489"/>
        <v>102.22799999999999</v>
      </c>
      <c r="CV420" s="234">
        <f t="shared" si="490"/>
        <v>102.22799999999999</v>
      </c>
      <c r="CW420" s="234">
        <f t="shared" si="491"/>
        <v>102.22799999999999</v>
      </c>
      <c r="CX420" s="234">
        <f t="shared" si="492"/>
        <v>102.22799999999999</v>
      </c>
      <c r="CY420" s="234">
        <f t="shared" si="493"/>
        <v>102.22799999999999</v>
      </c>
      <c r="CZ420" s="234">
        <f t="shared" si="494"/>
        <v>102.22799999999999</v>
      </c>
      <c r="DA420" s="234">
        <f t="shared" si="495"/>
        <v>102.22799999999999</v>
      </c>
      <c r="DB420" s="234">
        <f t="shared" si="496"/>
        <v>102.22799999999999</v>
      </c>
      <c r="DC420" s="234">
        <f t="shared" si="497"/>
        <v>102.22799999999999</v>
      </c>
      <c r="DD420" s="234">
        <f t="shared" si="498"/>
        <v>102.22799999999999</v>
      </c>
      <c r="DE420" s="234">
        <f t="shared" si="499"/>
        <v>102.22799999999999</v>
      </c>
      <c r="DF420" s="234">
        <f t="shared" si="500"/>
        <v>102.22799999999999</v>
      </c>
      <c r="DG420" s="234">
        <f t="shared" si="501"/>
        <v>102.22799999999999</v>
      </c>
      <c r="DH420" s="234">
        <f t="shared" si="502"/>
        <v>102.22799999999999</v>
      </c>
      <c r="DI420" s="234">
        <f t="shared" si="503"/>
        <v>102.22799999999999</v>
      </c>
      <c r="DJ420" s="234">
        <f t="shared" si="504"/>
        <v>102.22799999999999</v>
      </c>
      <c r="DK420" s="234">
        <f t="shared" si="505"/>
        <v>102.22799999999999</v>
      </c>
      <c r="DL420" s="234">
        <f t="shared" si="506"/>
        <v>102.22799999999999</v>
      </c>
      <c r="DM420" s="234">
        <f t="shared" si="507"/>
        <v>102.22799999999999</v>
      </c>
      <c r="DN420" s="234">
        <f t="shared" si="508"/>
        <v>102.22799999999999</v>
      </c>
      <c r="DO420" s="234">
        <f t="shared" si="509"/>
        <v>102.22799999999999</v>
      </c>
      <c r="DP420" s="234">
        <f t="shared" si="510"/>
        <v>102.22799999999999</v>
      </c>
      <c r="DQ420" s="234">
        <f t="shared" si="511"/>
        <v>102.22799999999999</v>
      </c>
      <c r="DR420" s="234">
        <f t="shared" si="512"/>
        <v>102.22799999999999</v>
      </c>
      <c r="DS420" s="234">
        <f t="shared" si="513"/>
        <v>102.22799999999999</v>
      </c>
      <c r="DT420" s="234">
        <f t="shared" si="514"/>
        <v>102.22799999999999</v>
      </c>
      <c r="DU420" s="234">
        <f t="shared" si="515"/>
        <v>102.22799999999999</v>
      </c>
      <c r="DV420" s="234">
        <f t="shared" si="516"/>
        <v>102.22799999999999</v>
      </c>
      <c r="DW420" s="234">
        <f t="shared" si="517"/>
        <v>102.22799999999999</v>
      </c>
      <c r="DX420" s="189">
        <f t="shared" si="518"/>
        <v>102.22799999999999</v>
      </c>
      <c r="DY420" s="140"/>
      <c r="DZ420" s="177"/>
      <c r="EA420" s="178"/>
      <c r="EB420" s="178"/>
      <c r="EC420" s="178"/>
      <c r="ED420" s="178"/>
      <c r="EE420" s="219"/>
      <c r="EF420" s="234">
        <f t="shared" si="519"/>
        <v>187.41799999999998</v>
      </c>
      <c r="EG420" s="234">
        <f t="shared" si="520"/>
        <v>187.41799999999998</v>
      </c>
      <c r="EH420" s="234">
        <f t="shared" si="521"/>
        <v>187.41799999999998</v>
      </c>
      <c r="EI420" s="234">
        <f t="shared" si="522"/>
        <v>187.41799999999998</v>
      </c>
      <c r="EJ420" s="234">
        <f t="shared" si="523"/>
        <v>187.41799999999998</v>
      </c>
      <c r="EK420" s="234">
        <f t="shared" si="524"/>
        <v>187.41799999999998</v>
      </c>
      <c r="EL420" s="234">
        <f t="shared" si="525"/>
        <v>187.41799999999998</v>
      </c>
      <c r="EM420" s="234">
        <f t="shared" si="526"/>
        <v>187.41799999999998</v>
      </c>
      <c r="EN420" s="234">
        <f t="shared" si="527"/>
        <v>187.41799999999998</v>
      </c>
      <c r="EO420" s="234">
        <f t="shared" si="528"/>
        <v>187.41799999999998</v>
      </c>
      <c r="EP420" s="234">
        <f t="shared" si="529"/>
        <v>187.41799999999998</v>
      </c>
      <c r="EQ420" s="234">
        <f t="shared" si="530"/>
        <v>187.41799999999998</v>
      </c>
      <c r="ER420" s="234">
        <f t="shared" si="531"/>
        <v>187.41799999999998</v>
      </c>
      <c r="ES420" s="234">
        <f t="shared" si="532"/>
        <v>187.41799999999998</v>
      </c>
      <c r="ET420" s="234">
        <f t="shared" si="533"/>
        <v>187.41799999999998</v>
      </c>
      <c r="EU420" s="234">
        <f t="shared" si="534"/>
        <v>187.41799999999998</v>
      </c>
      <c r="EV420" s="234">
        <f t="shared" si="535"/>
        <v>187.41799999999998</v>
      </c>
      <c r="EW420" s="234">
        <f t="shared" si="536"/>
        <v>187.41799999999998</v>
      </c>
      <c r="EX420" s="234">
        <f t="shared" si="537"/>
        <v>187.41799999999998</v>
      </c>
      <c r="EY420" s="234">
        <f t="shared" si="538"/>
        <v>187.41799999999998</v>
      </c>
      <c r="EZ420" s="234">
        <f t="shared" si="539"/>
        <v>187.41799999999998</v>
      </c>
      <c r="FA420" s="234">
        <f t="shared" si="540"/>
        <v>187.41799999999998</v>
      </c>
      <c r="FB420" s="234">
        <f t="shared" si="541"/>
        <v>187.41799999999998</v>
      </c>
      <c r="FC420" s="234">
        <f t="shared" si="542"/>
        <v>187.41799999999998</v>
      </c>
      <c r="FD420" s="234">
        <f t="shared" si="543"/>
        <v>187.41799999999998</v>
      </c>
      <c r="FE420" s="234">
        <f t="shared" si="544"/>
        <v>187.41799999999998</v>
      </c>
      <c r="FF420" s="234">
        <f t="shared" si="545"/>
        <v>187.41799999999998</v>
      </c>
      <c r="FG420" s="234">
        <f t="shared" si="546"/>
        <v>187.41799999999998</v>
      </c>
      <c r="FH420" s="234">
        <f t="shared" si="547"/>
        <v>187.41799999999998</v>
      </c>
      <c r="FI420" s="189">
        <f t="shared" si="548"/>
        <v>187.41799999999998</v>
      </c>
      <c r="FJ420" s="140"/>
      <c r="FK420" s="177"/>
      <c r="FL420" s="178"/>
      <c r="FM420" s="178"/>
      <c r="FN420" s="178"/>
      <c r="FO420" s="178"/>
      <c r="FP420" s="219"/>
      <c r="FQ420" s="234">
        <f t="shared" si="549"/>
        <v>357.798</v>
      </c>
      <c r="FR420" s="234">
        <f t="shared" si="550"/>
        <v>357.798</v>
      </c>
      <c r="FS420" s="234">
        <f t="shared" si="551"/>
        <v>357.798</v>
      </c>
      <c r="FT420" s="234">
        <f t="shared" si="552"/>
        <v>357.798</v>
      </c>
      <c r="FU420" s="234">
        <f t="shared" si="553"/>
        <v>357.798</v>
      </c>
      <c r="FV420" s="234">
        <f t="shared" si="554"/>
        <v>357.798</v>
      </c>
      <c r="FW420" s="234">
        <f t="shared" si="555"/>
        <v>357.798</v>
      </c>
      <c r="FX420" s="234">
        <f t="shared" si="556"/>
        <v>357.798</v>
      </c>
      <c r="FY420" s="234">
        <f t="shared" si="557"/>
        <v>357.798</v>
      </c>
      <c r="FZ420" s="234">
        <f t="shared" si="558"/>
        <v>357.798</v>
      </c>
      <c r="GA420" s="234">
        <f t="shared" si="559"/>
        <v>357.798</v>
      </c>
      <c r="GB420" s="234">
        <f t="shared" si="560"/>
        <v>357.798</v>
      </c>
      <c r="GC420" s="234">
        <f t="shared" si="561"/>
        <v>357.798</v>
      </c>
      <c r="GD420" s="234">
        <f t="shared" si="562"/>
        <v>357.798</v>
      </c>
      <c r="GE420" s="234">
        <f t="shared" si="563"/>
        <v>357.798</v>
      </c>
      <c r="GF420" s="234">
        <f t="shared" si="564"/>
        <v>357.798</v>
      </c>
      <c r="GG420" s="234">
        <f t="shared" si="565"/>
        <v>357.798</v>
      </c>
      <c r="GH420" s="234">
        <f t="shared" si="566"/>
        <v>357.798</v>
      </c>
      <c r="GI420" s="234">
        <f t="shared" si="567"/>
        <v>357.798</v>
      </c>
      <c r="GJ420" s="234">
        <f t="shared" si="568"/>
        <v>357.798</v>
      </c>
      <c r="GK420" s="234">
        <f t="shared" si="569"/>
        <v>357.798</v>
      </c>
      <c r="GL420" s="234">
        <f t="shared" si="570"/>
        <v>357.798</v>
      </c>
      <c r="GM420" s="234">
        <f t="shared" si="571"/>
        <v>357.798</v>
      </c>
      <c r="GN420" s="234">
        <f t="shared" si="572"/>
        <v>357.798</v>
      </c>
      <c r="GO420" s="234">
        <f t="shared" si="573"/>
        <v>357.798</v>
      </c>
      <c r="GP420" s="234">
        <f t="shared" si="574"/>
        <v>357.798</v>
      </c>
      <c r="GQ420" s="234">
        <f t="shared" si="575"/>
        <v>357.798</v>
      </c>
      <c r="GR420" s="234">
        <f t="shared" si="576"/>
        <v>357.798</v>
      </c>
      <c r="GS420" s="234">
        <f t="shared" si="577"/>
        <v>357.798</v>
      </c>
      <c r="GT420" s="189">
        <f t="shared" si="578"/>
        <v>357.798</v>
      </c>
      <c r="GU420" s="140"/>
      <c r="GV420" s="177"/>
      <c r="GW420" s="178"/>
      <c r="GX420" s="178"/>
      <c r="GY420" s="178"/>
      <c r="GZ420" s="178"/>
      <c r="HA420" s="219"/>
      <c r="HB420" s="234">
        <f t="shared" si="579"/>
        <v>357.798</v>
      </c>
      <c r="HC420" s="234">
        <f t="shared" si="580"/>
        <v>357.798</v>
      </c>
      <c r="HD420" s="234">
        <f t="shared" si="581"/>
        <v>357.798</v>
      </c>
      <c r="HE420" s="234">
        <f t="shared" si="582"/>
        <v>357.798</v>
      </c>
      <c r="HF420" s="234">
        <f t="shared" si="583"/>
        <v>357.798</v>
      </c>
      <c r="HG420" s="234">
        <f t="shared" si="584"/>
        <v>357.798</v>
      </c>
      <c r="HH420" s="234">
        <f t="shared" si="585"/>
        <v>357.798</v>
      </c>
      <c r="HI420" s="234">
        <f t="shared" si="586"/>
        <v>357.798</v>
      </c>
      <c r="HJ420" s="234">
        <f t="shared" si="587"/>
        <v>357.798</v>
      </c>
      <c r="HK420" s="234">
        <f t="shared" si="588"/>
        <v>357.798</v>
      </c>
      <c r="HL420" s="234">
        <f t="shared" si="589"/>
        <v>357.798</v>
      </c>
      <c r="HM420" s="234">
        <f t="shared" si="590"/>
        <v>357.798</v>
      </c>
      <c r="HN420" s="234">
        <f t="shared" si="591"/>
        <v>357.798</v>
      </c>
      <c r="HO420" s="234">
        <f t="shared" si="592"/>
        <v>357.798</v>
      </c>
      <c r="HP420" s="234">
        <f t="shared" si="593"/>
        <v>357.798</v>
      </c>
      <c r="HQ420" s="234">
        <f t="shared" si="594"/>
        <v>357.798</v>
      </c>
      <c r="HR420" s="234">
        <f t="shared" si="595"/>
        <v>357.798</v>
      </c>
      <c r="HS420" s="234">
        <f t="shared" si="596"/>
        <v>357.798</v>
      </c>
      <c r="HT420" s="234">
        <f t="shared" si="597"/>
        <v>357.798</v>
      </c>
      <c r="HU420" s="234">
        <f t="shared" si="598"/>
        <v>357.798</v>
      </c>
      <c r="HV420" s="234">
        <f t="shared" si="599"/>
        <v>357.798</v>
      </c>
      <c r="HW420" s="234">
        <f t="shared" si="600"/>
        <v>357.798</v>
      </c>
      <c r="HX420" s="234">
        <f t="shared" si="601"/>
        <v>357.798</v>
      </c>
      <c r="HY420" s="234">
        <f t="shared" si="602"/>
        <v>357.798</v>
      </c>
      <c r="HZ420" s="234">
        <f t="shared" si="603"/>
        <v>357.798</v>
      </c>
      <c r="IA420" s="234">
        <f t="shared" si="604"/>
        <v>357.798</v>
      </c>
      <c r="IB420" s="234">
        <f t="shared" si="605"/>
        <v>357.798</v>
      </c>
      <c r="IC420" s="234">
        <f t="shared" si="606"/>
        <v>357.798</v>
      </c>
      <c r="ID420" s="234">
        <f t="shared" si="607"/>
        <v>357.798</v>
      </c>
      <c r="IE420" s="189">
        <f t="shared" si="608"/>
        <v>357.798</v>
      </c>
      <c r="IF420" s="140"/>
      <c r="IG420" s="177"/>
      <c r="IH420" s="178"/>
      <c r="II420" s="178"/>
      <c r="IJ420" s="178"/>
      <c r="IK420" s="178"/>
      <c r="IL420" s="219"/>
      <c r="IM420" s="234">
        <f t="shared" si="609"/>
        <v>588.96174732986765</v>
      </c>
      <c r="IN420" s="234">
        <f t="shared" si="610"/>
        <v>588.96174732986765</v>
      </c>
      <c r="IO420" s="234">
        <f t="shared" si="611"/>
        <v>588.96174732986765</v>
      </c>
      <c r="IP420" s="234">
        <f t="shared" si="612"/>
        <v>588.96174732986765</v>
      </c>
      <c r="IQ420" s="234">
        <f t="shared" si="613"/>
        <v>588.96174732986765</v>
      </c>
      <c r="IR420" s="234">
        <f t="shared" si="614"/>
        <v>588.96174732986765</v>
      </c>
      <c r="IS420" s="234">
        <f t="shared" si="615"/>
        <v>588.96174732986765</v>
      </c>
      <c r="IT420" s="234">
        <f t="shared" si="616"/>
        <v>588.96174732986765</v>
      </c>
      <c r="IU420" s="234">
        <f t="shared" si="617"/>
        <v>588.96174732986765</v>
      </c>
      <c r="IV420" s="234">
        <f t="shared" si="618"/>
        <v>588.96174732986765</v>
      </c>
      <c r="IW420" s="234">
        <f t="shared" si="619"/>
        <v>588.96174732986765</v>
      </c>
      <c r="IX420" s="234">
        <f t="shared" si="620"/>
        <v>588.96174732986765</v>
      </c>
      <c r="IY420" s="234">
        <f t="shared" si="621"/>
        <v>588.96174732986765</v>
      </c>
      <c r="IZ420" s="234">
        <f t="shared" si="622"/>
        <v>588.96174732986765</v>
      </c>
      <c r="JA420" s="234">
        <f t="shared" si="623"/>
        <v>588.96174732986765</v>
      </c>
      <c r="JB420" s="234">
        <f t="shared" si="624"/>
        <v>588.96174732986765</v>
      </c>
      <c r="JC420" s="234">
        <f t="shared" si="625"/>
        <v>588.96174732986765</v>
      </c>
      <c r="JD420" s="234">
        <f t="shared" si="626"/>
        <v>588.96174732986765</v>
      </c>
      <c r="JE420" s="234">
        <f t="shared" si="627"/>
        <v>588.96174732986765</v>
      </c>
      <c r="JF420" s="234">
        <f t="shared" si="628"/>
        <v>588.96174732986765</v>
      </c>
      <c r="JG420" s="234">
        <f t="shared" si="629"/>
        <v>588.96174732986765</v>
      </c>
      <c r="JH420" s="234">
        <f t="shared" si="630"/>
        <v>588.96174732986765</v>
      </c>
      <c r="JI420" s="234">
        <f t="shared" si="631"/>
        <v>588.96174732986765</v>
      </c>
      <c r="JJ420" s="234">
        <f t="shared" si="632"/>
        <v>588.96174732986765</v>
      </c>
      <c r="JK420" s="234">
        <f t="shared" si="633"/>
        <v>588.96174732986765</v>
      </c>
      <c r="JL420" s="234">
        <f t="shared" si="634"/>
        <v>588.96174732986765</v>
      </c>
      <c r="JM420" s="234">
        <f t="shared" si="635"/>
        <v>588.96174732986765</v>
      </c>
      <c r="JN420" s="234">
        <f t="shared" si="636"/>
        <v>588.96174732986765</v>
      </c>
      <c r="JO420" s="234">
        <f t="shared" si="637"/>
        <v>588.96174732986765</v>
      </c>
      <c r="JP420" s="189">
        <f t="shared" si="638"/>
        <v>588.96174732986765</v>
      </c>
      <c r="JQ420" s="140"/>
      <c r="JR420" s="177"/>
      <c r="JS420" s="178"/>
      <c r="JT420" s="178"/>
      <c r="JU420" s="178"/>
      <c r="JV420" s="178"/>
      <c r="JW420" s="219"/>
      <c r="JX420" s="234">
        <f t="shared" si="639"/>
        <v>588.96174732986765</v>
      </c>
      <c r="JY420" s="234">
        <f t="shared" si="640"/>
        <v>588.96174732986765</v>
      </c>
      <c r="JZ420" s="234">
        <f t="shared" si="641"/>
        <v>588.96174732986765</v>
      </c>
      <c r="KA420" s="234">
        <f t="shared" si="642"/>
        <v>588.96174732986765</v>
      </c>
      <c r="KB420" s="234">
        <f t="shared" si="643"/>
        <v>588.96174732986765</v>
      </c>
      <c r="KC420" s="234">
        <f t="shared" si="644"/>
        <v>588.96174732986765</v>
      </c>
      <c r="KD420" s="234">
        <f t="shared" si="645"/>
        <v>588.96174732986765</v>
      </c>
      <c r="KE420" s="234">
        <f t="shared" si="646"/>
        <v>588.96174732986765</v>
      </c>
      <c r="KF420" s="234">
        <f t="shared" si="647"/>
        <v>588.96174732986765</v>
      </c>
      <c r="KG420" s="234">
        <f t="shared" si="648"/>
        <v>588.96174732986765</v>
      </c>
      <c r="KH420" s="234">
        <f t="shared" si="649"/>
        <v>588.96174732986765</v>
      </c>
      <c r="KI420" s="234">
        <f t="shared" si="650"/>
        <v>588.96174732986765</v>
      </c>
      <c r="KJ420" s="234">
        <f t="shared" si="651"/>
        <v>588.96174732986765</v>
      </c>
      <c r="KK420" s="234">
        <f t="shared" si="652"/>
        <v>588.96174732986765</v>
      </c>
      <c r="KL420" s="234">
        <f t="shared" si="653"/>
        <v>588.96174732986765</v>
      </c>
      <c r="KM420" s="234">
        <f t="shared" si="654"/>
        <v>588.96174732986765</v>
      </c>
      <c r="KN420" s="234">
        <f t="shared" si="655"/>
        <v>588.96174732986765</v>
      </c>
      <c r="KO420" s="234">
        <f t="shared" si="656"/>
        <v>588.96174732986765</v>
      </c>
      <c r="KP420" s="234">
        <f t="shared" si="657"/>
        <v>588.96174732986765</v>
      </c>
      <c r="KQ420" s="234">
        <f t="shared" si="658"/>
        <v>588.96174732986765</v>
      </c>
      <c r="KR420" s="234">
        <f t="shared" si="659"/>
        <v>588.96174732986765</v>
      </c>
      <c r="KS420" s="234">
        <f t="shared" si="660"/>
        <v>588.96174732986765</v>
      </c>
      <c r="KT420" s="234">
        <f t="shared" si="661"/>
        <v>588.96174732986765</v>
      </c>
      <c r="KU420" s="234">
        <f t="shared" si="662"/>
        <v>588.96174732986765</v>
      </c>
      <c r="KV420" s="234">
        <f t="shared" si="663"/>
        <v>588.96174732986765</v>
      </c>
      <c r="KW420" s="234">
        <f t="shared" si="664"/>
        <v>588.96174732986765</v>
      </c>
      <c r="KX420" s="234">
        <f t="shared" si="665"/>
        <v>588.96174732986765</v>
      </c>
      <c r="KY420" s="234">
        <f t="shared" si="666"/>
        <v>588.96174732986765</v>
      </c>
      <c r="KZ420" s="234">
        <f t="shared" si="667"/>
        <v>588.96174732986765</v>
      </c>
      <c r="LA420" s="189">
        <f t="shared" si="668"/>
        <v>588.96174732986765</v>
      </c>
      <c r="LB420" s="140"/>
      <c r="LC420" s="177"/>
      <c r="LD420" s="178"/>
      <c r="LE420" s="178"/>
      <c r="LF420" s="178"/>
      <c r="LG420" s="178"/>
      <c r="LH420" s="219"/>
      <c r="LI420" s="234">
        <f t="shared" si="669"/>
        <v>588.96174732986765</v>
      </c>
      <c r="LJ420" s="234">
        <f t="shared" si="670"/>
        <v>588.96174732986765</v>
      </c>
      <c r="LK420" s="234">
        <f t="shared" si="671"/>
        <v>588.96174732986765</v>
      </c>
      <c r="LL420" s="234">
        <f t="shared" si="672"/>
        <v>588.96174732986765</v>
      </c>
      <c r="LM420" s="234">
        <f t="shared" si="673"/>
        <v>588.96174732986765</v>
      </c>
      <c r="LN420" s="234">
        <f t="shared" si="674"/>
        <v>588.96174732986765</v>
      </c>
      <c r="LO420" s="234">
        <f t="shared" si="675"/>
        <v>588.96174732986765</v>
      </c>
      <c r="LP420" s="234">
        <f t="shared" si="676"/>
        <v>588.96174732986765</v>
      </c>
      <c r="LQ420" s="234">
        <f t="shared" si="677"/>
        <v>588.96174732986765</v>
      </c>
      <c r="LR420" s="234">
        <f t="shared" si="678"/>
        <v>588.96174732986765</v>
      </c>
      <c r="LS420" s="234">
        <f t="shared" si="679"/>
        <v>588.96174732986765</v>
      </c>
      <c r="LT420" s="234">
        <f t="shared" si="680"/>
        <v>588.96174732986765</v>
      </c>
      <c r="LU420" s="234">
        <f t="shared" si="681"/>
        <v>588.96174732986765</v>
      </c>
      <c r="LV420" s="234">
        <f t="shared" si="682"/>
        <v>588.96174732986765</v>
      </c>
      <c r="LW420" s="234">
        <f t="shared" si="683"/>
        <v>588.96174732986765</v>
      </c>
      <c r="LX420" s="234">
        <f t="shared" si="684"/>
        <v>588.96174732986765</v>
      </c>
      <c r="LY420" s="234">
        <f t="shared" si="685"/>
        <v>588.96174732986765</v>
      </c>
      <c r="LZ420" s="234">
        <f t="shared" si="686"/>
        <v>588.96174732986765</v>
      </c>
      <c r="MA420" s="234">
        <f t="shared" si="687"/>
        <v>588.96174732986765</v>
      </c>
      <c r="MB420" s="234">
        <f t="shared" si="688"/>
        <v>588.96174732986765</v>
      </c>
      <c r="MC420" s="234">
        <f t="shared" si="689"/>
        <v>588.96174732986765</v>
      </c>
      <c r="MD420" s="234">
        <f t="shared" si="690"/>
        <v>588.96174732986765</v>
      </c>
      <c r="ME420" s="234">
        <f t="shared" si="691"/>
        <v>588.96174732986765</v>
      </c>
      <c r="MF420" s="234">
        <f t="shared" si="692"/>
        <v>588.96174732986765</v>
      </c>
      <c r="MG420" s="234">
        <f t="shared" si="693"/>
        <v>588.96174732986765</v>
      </c>
      <c r="MH420" s="234">
        <f t="shared" si="694"/>
        <v>588.96174732986765</v>
      </c>
      <c r="MI420" s="234">
        <f t="shared" si="695"/>
        <v>588.96174732986765</v>
      </c>
      <c r="MJ420" s="234">
        <f t="shared" si="696"/>
        <v>588.96174732986765</v>
      </c>
      <c r="MK420" s="234">
        <f t="shared" si="697"/>
        <v>588.96174732986765</v>
      </c>
      <c r="ML420" s="189">
        <f t="shared" si="698"/>
        <v>588.96174732986765</v>
      </c>
    </row>
    <row r="421" spans="3:350" s="4" customFormat="1" ht="18" customHeight="1" x14ac:dyDescent="0.3">
      <c r="C421" s="148" t="s">
        <v>106</v>
      </c>
      <c r="D421" s="132"/>
      <c r="E421" s="149" t="s">
        <v>103</v>
      </c>
      <c r="F421" s="179"/>
      <c r="H421" s="180">
        <f t="shared" ref="H421:M421" si="699">H196*3%</f>
        <v>28910.25</v>
      </c>
      <c r="I421" s="181">
        <f t="shared" si="699"/>
        <v>29156.220102160634</v>
      </c>
      <c r="J421" s="181">
        <f t="shared" si="699"/>
        <v>29402.190204321265</v>
      </c>
      <c r="K421" s="181">
        <f t="shared" si="699"/>
        <v>29648.160306481903</v>
      </c>
      <c r="L421" s="181">
        <f t="shared" si="699"/>
        <v>29894.130408642537</v>
      </c>
      <c r="M421" s="182">
        <f t="shared" si="699"/>
        <v>30140.100510803171</v>
      </c>
      <c r="N421" s="140"/>
      <c r="O421" s="140"/>
      <c r="P421" s="140"/>
      <c r="Q421" s="140"/>
      <c r="R421" s="140"/>
      <c r="S421" s="180"/>
      <c r="T421" s="181"/>
      <c r="U421" s="181"/>
      <c r="V421" s="181"/>
      <c r="W421" s="181"/>
      <c r="X421" s="181">
        <f t="shared" ref="X421:BB421" si="700">$BB$196*(1-$BB$347)/30</f>
        <v>1453.4354976145014</v>
      </c>
      <c r="Y421" s="154">
        <f t="shared" si="700"/>
        <v>1453.4354976145014</v>
      </c>
      <c r="Z421" s="181">
        <f t="shared" si="700"/>
        <v>1453.4354976145014</v>
      </c>
      <c r="AA421" s="181">
        <f t="shared" si="700"/>
        <v>1453.4354976145014</v>
      </c>
      <c r="AB421" s="181">
        <f t="shared" si="700"/>
        <v>1453.4354976145014</v>
      </c>
      <c r="AC421" s="181">
        <f t="shared" si="700"/>
        <v>1453.4354976145014</v>
      </c>
      <c r="AD421" s="181">
        <f t="shared" si="700"/>
        <v>1453.4354976145014</v>
      </c>
      <c r="AE421" s="181">
        <f t="shared" si="700"/>
        <v>1453.4354976145014</v>
      </c>
      <c r="AF421" s="181">
        <f t="shared" si="700"/>
        <v>1453.4354976145014</v>
      </c>
      <c r="AG421" s="181">
        <f t="shared" si="700"/>
        <v>1453.4354976145014</v>
      </c>
      <c r="AH421" s="181">
        <f t="shared" si="700"/>
        <v>1453.4354976145014</v>
      </c>
      <c r="AI421" s="181">
        <f t="shared" si="700"/>
        <v>1453.4354976145014</v>
      </c>
      <c r="AJ421" s="181">
        <f t="shared" si="700"/>
        <v>1453.4354976145014</v>
      </c>
      <c r="AK421" s="181">
        <f t="shared" si="700"/>
        <v>1453.4354976145014</v>
      </c>
      <c r="AL421" s="181">
        <f t="shared" si="700"/>
        <v>1453.4354976145014</v>
      </c>
      <c r="AM421" s="181">
        <f t="shared" si="700"/>
        <v>1453.4354976145014</v>
      </c>
      <c r="AN421" s="181">
        <f t="shared" si="700"/>
        <v>1453.4354976145014</v>
      </c>
      <c r="AO421" s="181">
        <f t="shared" si="700"/>
        <v>1453.4354976145014</v>
      </c>
      <c r="AP421" s="181">
        <f t="shared" si="700"/>
        <v>1453.4354976145014</v>
      </c>
      <c r="AQ421" s="181">
        <f t="shared" si="700"/>
        <v>1453.4354976145014</v>
      </c>
      <c r="AR421" s="181">
        <f t="shared" si="700"/>
        <v>1453.4354976145014</v>
      </c>
      <c r="AS421" s="181">
        <f t="shared" si="700"/>
        <v>1453.4354976145014</v>
      </c>
      <c r="AT421" s="181">
        <f t="shared" si="700"/>
        <v>1453.4354976145014</v>
      </c>
      <c r="AU421" s="181">
        <f t="shared" si="700"/>
        <v>1453.4354976145014</v>
      </c>
      <c r="AV421" s="181">
        <f t="shared" si="700"/>
        <v>1453.4354976145014</v>
      </c>
      <c r="AW421" s="181">
        <f t="shared" si="700"/>
        <v>1453.4354976145014</v>
      </c>
      <c r="AX421" s="181">
        <f t="shared" si="700"/>
        <v>1453.4354976145014</v>
      </c>
      <c r="AY421" s="181">
        <f t="shared" si="700"/>
        <v>1453.4354976145014</v>
      </c>
      <c r="AZ421" s="181">
        <f t="shared" si="700"/>
        <v>1453.4354976145014</v>
      </c>
      <c r="BA421" s="181">
        <f t="shared" si="700"/>
        <v>1453.4354976145014</v>
      </c>
      <c r="BB421" s="182">
        <f t="shared" si="700"/>
        <v>1453.4354976145014</v>
      </c>
      <c r="BC421" s="140"/>
      <c r="BD421" s="153"/>
      <c r="BE421" s="154"/>
      <c r="BF421" s="154"/>
      <c r="BG421" s="154"/>
      <c r="BH421" s="154"/>
      <c r="BI421" s="226"/>
      <c r="BJ421" s="154">
        <f>SUM(BJ413:BJ420)</f>
        <v>14042.163666256813</v>
      </c>
      <c r="BK421" s="154">
        <f t="shared" ref="BK421:CM421" si="701">SUM(BK413:BK420)</f>
        <v>14042.163666256813</v>
      </c>
      <c r="BL421" s="154">
        <f t="shared" si="701"/>
        <v>14042.163666256813</v>
      </c>
      <c r="BM421" s="154">
        <f t="shared" si="701"/>
        <v>14042.163666256813</v>
      </c>
      <c r="BN421" s="154">
        <f t="shared" si="701"/>
        <v>14042.163666256813</v>
      </c>
      <c r="BO421" s="154">
        <f t="shared" si="701"/>
        <v>14042.163666256813</v>
      </c>
      <c r="BP421" s="154">
        <f t="shared" si="701"/>
        <v>14042.163666256813</v>
      </c>
      <c r="BQ421" s="154">
        <f t="shared" si="701"/>
        <v>14042.163666256813</v>
      </c>
      <c r="BR421" s="154">
        <f t="shared" si="701"/>
        <v>14042.163666256813</v>
      </c>
      <c r="BS421" s="154">
        <f t="shared" si="701"/>
        <v>14042.163666256813</v>
      </c>
      <c r="BT421" s="154">
        <f t="shared" si="701"/>
        <v>14042.163666256813</v>
      </c>
      <c r="BU421" s="154">
        <f t="shared" si="701"/>
        <v>14042.163666256813</v>
      </c>
      <c r="BV421" s="154">
        <f t="shared" si="701"/>
        <v>14042.163666256813</v>
      </c>
      <c r="BW421" s="154">
        <f t="shared" si="701"/>
        <v>14042.163666256813</v>
      </c>
      <c r="BX421" s="154">
        <f t="shared" si="701"/>
        <v>14042.163666256813</v>
      </c>
      <c r="BY421" s="154">
        <f t="shared" si="701"/>
        <v>14042.163666256813</v>
      </c>
      <c r="BZ421" s="154">
        <f t="shared" si="701"/>
        <v>14042.163666256813</v>
      </c>
      <c r="CA421" s="154">
        <f t="shared" si="701"/>
        <v>14042.163666256813</v>
      </c>
      <c r="CB421" s="154">
        <f t="shared" si="701"/>
        <v>14042.163666256813</v>
      </c>
      <c r="CC421" s="154">
        <f t="shared" si="701"/>
        <v>14042.163666256813</v>
      </c>
      <c r="CD421" s="154">
        <f t="shared" si="701"/>
        <v>14042.163666256813</v>
      </c>
      <c r="CE421" s="154">
        <f t="shared" si="701"/>
        <v>14042.163666256813</v>
      </c>
      <c r="CF421" s="154">
        <f t="shared" si="701"/>
        <v>14042.163666256813</v>
      </c>
      <c r="CG421" s="154">
        <f t="shared" si="701"/>
        <v>14042.163666256813</v>
      </c>
      <c r="CH421" s="154">
        <f t="shared" si="701"/>
        <v>14042.163666256813</v>
      </c>
      <c r="CI421" s="154">
        <f t="shared" si="701"/>
        <v>14042.163666256813</v>
      </c>
      <c r="CJ421" s="154">
        <f t="shared" si="701"/>
        <v>14042.163666256813</v>
      </c>
      <c r="CK421" s="154">
        <f t="shared" si="701"/>
        <v>14042.163666256813</v>
      </c>
      <c r="CL421" s="154">
        <f t="shared" si="701"/>
        <v>14042.163666256813</v>
      </c>
      <c r="CM421" s="155">
        <f t="shared" si="701"/>
        <v>14042.163666256813</v>
      </c>
      <c r="CN421" s="140"/>
      <c r="CO421" s="153"/>
      <c r="CP421" s="154"/>
      <c r="CQ421" s="154"/>
      <c r="CR421" s="154"/>
      <c r="CS421" s="154"/>
      <c r="CT421" s="226"/>
      <c r="CU421" s="154">
        <f>SUM(CU413:CU420)</f>
        <v>4869.4490730025273</v>
      </c>
      <c r="CV421" s="154">
        <f t="shared" ref="CV421:DX421" si="702">SUM(CV413:CV420)</f>
        <v>4869.4490730025273</v>
      </c>
      <c r="CW421" s="154">
        <f t="shared" si="702"/>
        <v>4869.4490730025273</v>
      </c>
      <c r="CX421" s="154">
        <f t="shared" si="702"/>
        <v>4869.4490730025273</v>
      </c>
      <c r="CY421" s="154">
        <f t="shared" si="702"/>
        <v>4869.4490730025273</v>
      </c>
      <c r="CZ421" s="154">
        <f t="shared" si="702"/>
        <v>4869.4490730025273</v>
      </c>
      <c r="DA421" s="154">
        <f t="shared" si="702"/>
        <v>4869.4490730025273</v>
      </c>
      <c r="DB421" s="154">
        <f t="shared" si="702"/>
        <v>4869.4490730025273</v>
      </c>
      <c r="DC421" s="154">
        <f t="shared" si="702"/>
        <v>4869.4490730025273</v>
      </c>
      <c r="DD421" s="154">
        <f t="shared" si="702"/>
        <v>4869.4490730025273</v>
      </c>
      <c r="DE421" s="154">
        <f t="shared" si="702"/>
        <v>4869.4490730025273</v>
      </c>
      <c r="DF421" s="154">
        <f t="shared" si="702"/>
        <v>4869.4490730025273</v>
      </c>
      <c r="DG421" s="154">
        <f t="shared" si="702"/>
        <v>4869.4490730025273</v>
      </c>
      <c r="DH421" s="154">
        <f t="shared" si="702"/>
        <v>4869.4490730025273</v>
      </c>
      <c r="DI421" s="154">
        <f t="shared" si="702"/>
        <v>4869.4490730025273</v>
      </c>
      <c r="DJ421" s="154">
        <f t="shared" si="702"/>
        <v>4869.4490730025273</v>
      </c>
      <c r="DK421" s="154">
        <f t="shared" si="702"/>
        <v>4869.4490730025273</v>
      </c>
      <c r="DL421" s="154">
        <f t="shared" si="702"/>
        <v>4869.4490730025273</v>
      </c>
      <c r="DM421" s="154">
        <f t="shared" si="702"/>
        <v>4869.4490730025273</v>
      </c>
      <c r="DN421" s="154">
        <f t="shared" si="702"/>
        <v>4869.4490730025273</v>
      </c>
      <c r="DO421" s="154">
        <f t="shared" si="702"/>
        <v>4869.4490730025273</v>
      </c>
      <c r="DP421" s="154">
        <f t="shared" si="702"/>
        <v>4869.4490730025273</v>
      </c>
      <c r="DQ421" s="154">
        <f t="shared" si="702"/>
        <v>4869.4490730025273</v>
      </c>
      <c r="DR421" s="154">
        <f t="shared" si="702"/>
        <v>4869.4490730025273</v>
      </c>
      <c r="DS421" s="154">
        <f t="shared" si="702"/>
        <v>4869.4490730025273</v>
      </c>
      <c r="DT421" s="154">
        <f t="shared" si="702"/>
        <v>4869.4490730025273</v>
      </c>
      <c r="DU421" s="154">
        <f t="shared" si="702"/>
        <v>4869.4490730025273</v>
      </c>
      <c r="DV421" s="154">
        <f t="shared" si="702"/>
        <v>4869.4490730025273</v>
      </c>
      <c r="DW421" s="154">
        <f t="shared" si="702"/>
        <v>4869.4490730025273</v>
      </c>
      <c r="DX421" s="155">
        <f t="shared" si="702"/>
        <v>4869.4490730025273</v>
      </c>
      <c r="DY421" s="140"/>
      <c r="DZ421" s="153"/>
      <c r="EA421" s="154"/>
      <c r="EB421" s="154"/>
      <c r="EC421" s="154"/>
      <c r="ED421" s="154"/>
      <c r="EE421" s="226"/>
      <c r="EF421" s="154">
        <f>SUM(EF413:EF420)</f>
        <v>6960.0814005138254</v>
      </c>
      <c r="EG421" s="154">
        <f t="shared" ref="EG421:FI421" si="703">SUM(EG413:EG420)</f>
        <v>6960.0814005138254</v>
      </c>
      <c r="EH421" s="154">
        <f t="shared" si="703"/>
        <v>6960.0814005138254</v>
      </c>
      <c r="EI421" s="154">
        <f t="shared" si="703"/>
        <v>6960.0814005138254</v>
      </c>
      <c r="EJ421" s="154">
        <f t="shared" si="703"/>
        <v>6960.0814005138254</v>
      </c>
      <c r="EK421" s="154">
        <f t="shared" si="703"/>
        <v>6960.0814005138254</v>
      </c>
      <c r="EL421" s="154">
        <f t="shared" si="703"/>
        <v>6960.0814005138254</v>
      </c>
      <c r="EM421" s="154">
        <f t="shared" si="703"/>
        <v>6960.0814005138254</v>
      </c>
      <c r="EN421" s="154">
        <f t="shared" si="703"/>
        <v>6960.0814005138254</v>
      </c>
      <c r="EO421" s="154">
        <f t="shared" si="703"/>
        <v>6960.0814005138254</v>
      </c>
      <c r="EP421" s="154">
        <f t="shared" si="703"/>
        <v>6960.0814005138254</v>
      </c>
      <c r="EQ421" s="154">
        <f t="shared" si="703"/>
        <v>6960.0814005138254</v>
      </c>
      <c r="ER421" s="154">
        <f t="shared" si="703"/>
        <v>6960.0814005138254</v>
      </c>
      <c r="ES421" s="154">
        <f t="shared" si="703"/>
        <v>6960.0814005138254</v>
      </c>
      <c r="ET421" s="154">
        <f t="shared" si="703"/>
        <v>6960.0814005138254</v>
      </c>
      <c r="EU421" s="154">
        <f t="shared" si="703"/>
        <v>6960.0814005138254</v>
      </c>
      <c r="EV421" s="154">
        <f t="shared" si="703"/>
        <v>6960.0814005138254</v>
      </c>
      <c r="EW421" s="154">
        <f t="shared" si="703"/>
        <v>6960.0814005138254</v>
      </c>
      <c r="EX421" s="154">
        <f t="shared" si="703"/>
        <v>6960.0814005138254</v>
      </c>
      <c r="EY421" s="154">
        <f t="shared" si="703"/>
        <v>6960.0814005138254</v>
      </c>
      <c r="EZ421" s="154">
        <f t="shared" si="703"/>
        <v>6960.0814005138254</v>
      </c>
      <c r="FA421" s="154">
        <f t="shared" si="703"/>
        <v>6960.0814005138254</v>
      </c>
      <c r="FB421" s="154">
        <f t="shared" si="703"/>
        <v>6960.0814005138254</v>
      </c>
      <c r="FC421" s="154">
        <f t="shared" si="703"/>
        <v>6960.0814005138254</v>
      </c>
      <c r="FD421" s="154">
        <f t="shared" si="703"/>
        <v>6960.0814005138254</v>
      </c>
      <c r="FE421" s="154">
        <f t="shared" si="703"/>
        <v>6960.0814005138254</v>
      </c>
      <c r="FF421" s="154">
        <f t="shared" si="703"/>
        <v>6960.0814005138254</v>
      </c>
      <c r="FG421" s="154">
        <f t="shared" si="703"/>
        <v>6960.0814005138254</v>
      </c>
      <c r="FH421" s="154">
        <f t="shared" si="703"/>
        <v>6960.0814005138254</v>
      </c>
      <c r="FI421" s="155">
        <f t="shared" si="703"/>
        <v>6960.0814005138254</v>
      </c>
      <c r="FJ421" s="140"/>
      <c r="FK421" s="153"/>
      <c r="FL421" s="154"/>
      <c r="FM421" s="154"/>
      <c r="FN421" s="154"/>
      <c r="FO421" s="154"/>
      <c r="FP421" s="226"/>
      <c r="FQ421" s="154">
        <f>SUM(FQ413:FQ420)</f>
        <v>8209.7086353623126</v>
      </c>
      <c r="FR421" s="154">
        <f t="shared" ref="FR421:GT421" si="704">SUM(FR413:FR420)</f>
        <v>8209.7086353623126</v>
      </c>
      <c r="FS421" s="154">
        <f t="shared" si="704"/>
        <v>8209.7086353623126</v>
      </c>
      <c r="FT421" s="154">
        <f t="shared" si="704"/>
        <v>8209.7086353623126</v>
      </c>
      <c r="FU421" s="154">
        <f t="shared" si="704"/>
        <v>8209.7086353623126</v>
      </c>
      <c r="FV421" s="154">
        <f t="shared" si="704"/>
        <v>8209.7086353623126</v>
      </c>
      <c r="FW421" s="154">
        <f t="shared" si="704"/>
        <v>8209.7086353623126</v>
      </c>
      <c r="FX421" s="154">
        <f t="shared" si="704"/>
        <v>8209.7086353623126</v>
      </c>
      <c r="FY421" s="154">
        <f t="shared" si="704"/>
        <v>8209.7086353623126</v>
      </c>
      <c r="FZ421" s="154">
        <f t="shared" si="704"/>
        <v>8209.7086353623126</v>
      </c>
      <c r="GA421" s="154">
        <f t="shared" si="704"/>
        <v>8209.7086353623126</v>
      </c>
      <c r="GB421" s="154">
        <f t="shared" si="704"/>
        <v>8209.7086353623126</v>
      </c>
      <c r="GC421" s="154">
        <f t="shared" si="704"/>
        <v>8209.7086353623126</v>
      </c>
      <c r="GD421" s="154">
        <f t="shared" si="704"/>
        <v>8209.7086353623126</v>
      </c>
      <c r="GE421" s="154">
        <f t="shared" si="704"/>
        <v>8209.7086353623126</v>
      </c>
      <c r="GF421" s="154">
        <f t="shared" si="704"/>
        <v>8209.7086353623126</v>
      </c>
      <c r="GG421" s="154">
        <f t="shared" si="704"/>
        <v>8209.7086353623126</v>
      </c>
      <c r="GH421" s="154">
        <f t="shared" si="704"/>
        <v>8209.7086353623126</v>
      </c>
      <c r="GI421" s="154">
        <f t="shared" si="704"/>
        <v>8209.7086353623126</v>
      </c>
      <c r="GJ421" s="154">
        <f t="shared" si="704"/>
        <v>8209.7086353623126</v>
      </c>
      <c r="GK421" s="154">
        <f t="shared" si="704"/>
        <v>8209.7086353623126</v>
      </c>
      <c r="GL421" s="154">
        <f t="shared" si="704"/>
        <v>8209.7086353623126</v>
      </c>
      <c r="GM421" s="154">
        <f t="shared" si="704"/>
        <v>8209.7086353623126</v>
      </c>
      <c r="GN421" s="154">
        <f t="shared" si="704"/>
        <v>8209.7086353623126</v>
      </c>
      <c r="GO421" s="154">
        <f t="shared" si="704"/>
        <v>8209.7086353623126</v>
      </c>
      <c r="GP421" s="154">
        <f t="shared" si="704"/>
        <v>8209.7086353623126</v>
      </c>
      <c r="GQ421" s="154">
        <f t="shared" si="704"/>
        <v>8209.7086353623126</v>
      </c>
      <c r="GR421" s="154">
        <f t="shared" si="704"/>
        <v>8209.7086353623126</v>
      </c>
      <c r="GS421" s="154">
        <f t="shared" si="704"/>
        <v>8209.7086353623126</v>
      </c>
      <c r="GT421" s="155">
        <f t="shared" si="704"/>
        <v>8209.7086353623126</v>
      </c>
      <c r="GU421" s="140"/>
      <c r="GV421" s="153"/>
      <c r="GW421" s="154"/>
      <c r="GX421" s="154"/>
      <c r="GY421" s="154"/>
      <c r="GZ421" s="154"/>
      <c r="HA421" s="226"/>
      <c r="HB421" s="154">
        <f>SUM(HB413:HB420)</f>
        <v>11244.788425984936</v>
      </c>
      <c r="HC421" s="154">
        <f t="shared" ref="HC421:IE421" si="705">SUM(HC413:HC420)</f>
        <v>11244.788425984936</v>
      </c>
      <c r="HD421" s="154">
        <f t="shared" si="705"/>
        <v>11244.788425984936</v>
      </c>
      <c r="HE421" s="154">
        <f t="shared" si="705"/>
        <v>11244.788425984936</v>
      </c>
      <c r="HF421" s="154">
        <f t="shared" si="705"/>
        <v>11244.788425984936</v>
      </c>
      <c r="HG421" s="154">
        <f t="shared" si="705"/>
        <v>11244.788425984936</v>
      </c>
      <c r="HH421" s="154">
        <f t="shared" si="705"/>
        <v>11244.788425984936</v>
      </c>
      <c r="HI421" s="154">
        <f t="shared" si="705"/>
        <v>11244.788425984936</v>
      </c>
      <c r="HJ421" s="154">
        <f t="shared" si="705"/>
        <v>11244.788425984936</v>
      </c>
      <c r="HK421" s="154">
        <f t="shared" si="705"/>
        <v>11244.788425984936</v>
      </c>
      <c r="HL421" s="154">
        <f t="shared" si="705"/>
        <v>11244.788425984936</v>
      </c>
      <c r="HM421" s="154">
        <f t="shared" si="705"/>
        <v>11244.788425984936</v>
      </c>
      <c r="HN421" s="154">
        <f t="shared" si="705"/>
        <v>11244.788425984936</v>
      </c>
      <c r="HO421" s="154">
        <f t="shared" si="705"/>
        <v>11244.788425984936</v>
      </c>
      <c r="HP421" s="154">
        <f t="shared" si="705"/>
        <v>11244.788425984936</v>
      </c>
      <c r="HQ421" s="154">
        <f t="shared" si="705"/>
        <v>11244.788425984936</v>
      </c>
      <c r="HR421" s="154">
        <f t="shared" si="705"/>
        <v>11244.788425984936</v>
      </c>
      <c r="HS421" s="154">
        <f t="shared" si="705"/>
        <v>11244.788425984936</v>
      </c>
      <c r="HT421" s="154">
        <f t="shared" si="705"/>
        <v>11244.788425984936</v>
      </c>
      <c r="HU421" s="154">
        <f t="shared" si="705"/>
        <v>11244.788425984936</v>
      </c>
      <c r="HV421" s="154">
        <f t="shared" si="705"/>
        <v>11244.788425984936</v>
      </c>
      <c r="HW421" s="154">
        <f t="shared" si="705"/>
        <v>11244.788425984936</v>
      </c>
      <c r="HX421" s="154">
        <f t="shared" si="705"/>
        <v>11244.788425984936</v>
      </c>
      <c r="HY421" s="154">
        <f t="shared" si="705"/>
        <v>11244.788425984936</v>
      </c>
      <c r="HZ421" s="154">
        <f t="shared" si="705"/>
        <v>11244.788425984936</v>
      </c>
      <c r="IA421" s="154">
        <f t="shared" si="705"/>
        <v>11244.788425984936</v>
      </c>
      <c r="IB421" s="154">
        <f t="shared" si="705"/>
        <v>11244.788425984936</v>
      </c>
      <c r="IC421" s="154">
        <f t="shared" si="705"/>
        <v>11244.788425984936</v>
      </c>
      <c r="ID421" s="154">
        <f t="shared" si="705"/>
        <v>11244.788425984936</v>
      </c>
      <c r="IE421" s="155">
        <f t="shared" si="705"/>
        <v>11244.788425984936</v>
      </c>
      <c r="IF421" s="140"/>
      <c r="IG421" s="153"/>
      <c r="IH421" s="154"/>
      <c r="II421" s="154"/>
      <c r="IJ421" s="154"/>
      <c r="IK421" s="154"/>
      <c r="IL421" s="226"/>
      <c r="IM421" s="154">
        <f>SUM(IM413:IM420)</f>
        <v>31073.937872896688</v>
      </c>
      <c r="IN421" s="154">
        <f t="shared" ref="IN421:JP421" si="706">SUM(IN413:IN420)</f>
        <v>31073.937872896688</v>
      </c>
      <c r="IO421" s="154">
        <f t="shared" si="706"/>
        <v>31073.937872896688</v>
      </c>
      <c r="IP421" s="154">
        <f t="shared" si="706"/>
        <v>31073.937872896688</v>
      </c>
      <c r="IQ421" s="154">
        <f t="shared" si="706"/>
        <v>31073.937872896688</v>
      </c>
      <c r="IR421" s="154">
        <f t="shared" si="706"/>
        <v>31073.937872896688</v>
      </c>
      <c r="IS421" s="154">
        <f t="shared" si="706"/>
        <v>31073.937872896688</v>
      </c>
      <c r="IT421" s="154">
        <f t="shared" si="706"/>
        <v>31073.937872896688</v>
      </c>
      <c r="IU421" s="154">
        <f t="shared" si="706"/>
        <v>31073.937872896688</v>
      </c>
      <c r="IV421" s="154">
        <f t="shared" si="706"/>
        <v>31073.937872896688</v>
      </c>
      <c r="IW421" s="154">
        <f t="shared" si="706"/>
        <v>31073.937872896688</v>
      </c>
      <c r="IX421" s="154">
        <f t="shared" si="706"/>
        <v>31073.937872896688</v>
      </c>
      <c r="IY421" s="154">
        <f t="shared" si="706"/>
        <v>31073.937872896688</v>
      </c>
      <c r="IZ421" s="154">
        <f t="shared" si="706"/>
        <v>31073.937872896688</v>
      </c>
      <c r="JA421" s="154">
        <f t="shared" si="706"/>
        <v>31073.937872896688</v>
      </c>
      <c r="JB421" s="154">
        <f t="shared" si="706"/>
        <v>31073.937872896688</v>
      </c>
      <c r="JC421" s="154">
        <f t="shared" si="706"/>
        <v>31073.937872896688</v>
      </c>
      <c r="JD421" s="154">
        <f t="shared" si="706"/>
        <v>31073.937872896688</v>
      </c>
      <c r="JE421" s="154">
        <f t="shared" si="706"/>
        <v>31073.937872896688</v>
      </c>
      <c r="JF421" s="154">
        <f t="shared" si="706"/>
        <v>31073.937872896688</v>
      </c>
      <c r="JG421" s="154">
        <f t="shared" si="706"/>
        <v>31073.937872896688</v>
      </c>
      <c r="JH421" s="154">
        <f t="shared" si="706"/>
        <v>31073.937872896688</v>
      </c>
      <c r="JI421" s="154">
        <f t="shared" si="706"/>
        <v>31073.937872896688</v>
      </c>
      <c r="JJ421" s="154">
        <f t="shared" si="706"/>
        <v>31073.937872896688</v>
      </c>
      <c r="JK421" s="154">
        <f t="shared" si="706"/>
        <v>31073.937872896688</v>
      </c>
      <c r="JL421" s="154">
        <f t="shared" si="706"/>
        <v>31073.937872896688</v>
      </c>
      <c r="JM421" s="154">
        <f t="shared" si="706"/>
        <v>31073.937872896688</v>
      </c>
      <c r="JN421" s="154">
        <f t="shared" si="706"/>
        <v>31073.937872896688</v>
      </c>
      <c r="JO421" s="154">
        <f t="shared" si="706"/>
        <v>31073.937872896688</v>
      </c>
      <c r="JP421" s="155">
        <f t="shared" si="706"/>
        <v>31073.937872896688</v>
      </c>
      <c r="JQ421" s="140"/>
      <c r="JR421" s="153"/>
      <c r="JS421" s="154"/>
      <c r="JT421" s="154"/>
      <c r="JU421" s="154"/>
      <c r="JV421" s="154"/>
      <c r="JW421" s="226"/>
      <c r="JX421" s="154">
        <f>SUM(JX413:JX420)</f>
        <v>26670.695056039782</v>
      </c>
      <c r="JY421" s="154">
        <f t="shared" ref="JY421:LA421" si="707">SUM(JY413:JY420)</f>
        <v>26670.695056039782</v>
      </c>
      <c r="JZ421" s="154">
        <f t="shared" si="707"/>
        <v>26670.695056039782</v>
      </c>
      <c r="KA421" s="154">
        <f t="shared" si="707"/>
        <v>26670.695056039782</v>
      </c>
      <c r="KB421" s="154">
        <f t="shared" si="707"/>
        <v>26670.695056039782</v>
      </c>
      <c r="KC421" s="154">
        <f t="shared" si="707"/>
        <v>26670.695056039782</v>
      </c>
      <c r="KD421" s="154">
        <f t="shared" si="707"/>
        <v>26670.695056039782</v>
      </c>
      <c r="KE421" s="154">
        <f t="shared" si="707"/>
        <v>26670.695056039782</v>
      </c>
      <c r="KF421" s="154">
        <f t="shared" si="707"/>
        <v>26670.695056039782</v>
      </c>
      <c r="KG421" s="154">
        <f t="shared" si="707"/>
        <v>26670.695056039782</v>
      </c>
      <c r="KH421" s="154">
        <f t="shared" si="707"/>
        <v>26670.695056039782</v>
      </c>
      <c r="KI421" s="154">
        <f t="shared" si="707"/>
        <v>26670.695056039782</v>
      </c>
      <c r="KJ421" s="154">
        <f t="shared" si="707"/>
        <v>26670.695056039782</v>
      </c>
      <c r="KK421" s="154">
        <f t="shared" si="707"/>
        <v>26670.695056039782</v>
      </c>
      <c r="KL421" s="154">
        <f t="shared" si="707"/>
        <v>26670.695056039782</v>
      </c>
      <c r="KM421" s="154">
        <f t="shared" si="707"/>
        <v>26670.695056039782</v>
      </c>
      <c r="KN421" s="154">
        <f t="shared" si="707"/>
        <v>26670.695056039782</v>
      </c>
      <c r="KO421" s="154">
        <f t="shared" si="707"/>
        <v>26670.695056039782</v>
      </c>
      <c r="KP421" s="154">
        <f t="shared" si="707"/>
        <v>26670.695056039782</v>
      </c>
      <c r="KQ421" s="154">
        <f t="shared" si="707"/>
        <v>26670.695056039782</v>
      </c>
      <c r="KR421" s="154">
        <f t="shared" si="707"/>
        <v>26670.695056039782</v>
      </c>
      <c r="KS421" s="154">
        <f t="shared" si="707"/>
        <v>26670.695056039782</v>
      </c>
      <c r="KT421" s="154">
        <f t="shared" si="707"/>
        <v>26670.695056039782</v>
      </c>
      <c r="KU421" s="154">
        <f t="shared" si="707"/>
        <v>26670.695056039782</v>
      </c>
      <c r="KV421" s="154">
        <f t="shared" si="707"/>
        <v>26670.695056039782</v>
      </c>
      <c r="KW421" s="154">
        <f t="shared" si="707"/>
        <v>26670.695056039782</v>
      </c>
      <c r="KX421" s="154">
        <f t="shared" si="707"/>
        <v>26670.695056039782</v>
      </c>
      <c r="KY421" s="154">
        <f t="shared" si="707"/>
        <v>26670.695056039782</v>
      </c>
      <c r="KZ421" s="154">
        <f t="shared" si="707"/>
        <v>26670.695056039782</v>
      </c>
      <c r="LA421" s="155">
        <f t="shared" si="707"/>
        <v>26670.695056039782</v>
      </c>
      <c r="LB421" s="140"/>
      <c r="LC421" s="153"/>
      <c r="LD421" s="154"/>
      <c r="LE421" s="154"/>
      <c r="LF421" s="154"/>
      <c r="LG421" s="154"/>
      <c r="LH421" s="226"/>
      <c r="LI421" s="154">
        <f>SUM(LI413:LI420)</f>
        <v>26670.695056039782</v>
      </c>
      <c r="LJ421" s="154">
        <f t="shared" ref="LJ421:ML421" si="708">SUM(LJ413:LJ420)</f>
        <v>26670.695056039782</v>
      </c>
      <c r="LK421" s="154">
        <f t="shared" si="708"/>
        <v>26670.695056039782</v>
      </c>
      <c r="LL421" s="154">
        <f t="shared" si="708"/>
        <v>26670.695056039782</v>
      </c>
      <c r="LM421" s="154">
        <f t="shared" si="708"/>
        <v>26670.695056039782</v>
      </c>
      <c r="LN421" s="154">
        <f t="shared" si="708"/>
        <v>26670.695056039782</v>
      </c>
      <c r="LO421" s="154">
        <f t="shared" si="708"/>
        <v>26670.695056039782</v>
      </c>
      <c r="LP421" s="154">
        <f t="shared" si="708"/>
        <v>26670.695056039782</v>
      </c>
      <c r="LQ421" s="154">
        <f t="shared" si="708"/>
        <v>26670.695056039782</v>
      </c>
      <c r="LR421" s="154">
        <f t="shared" si="708"/>
        <v>26670.695056039782</v>
      </c>
      <c r="LS421" s="154">
        <f t="shared" si="708"/>
        <v>26670.695056039782</v>
      </c>
      <c r="LT421" s="154">
        <f t="shared" si="708"/>
        <v>26670.695056039782</v>
      </c>
      <c r="LU421" s="154">
        <f t="shared" si="708"/>
        <v>26670.695056039782</v>
      </c>
      <c r="LV421" s="154">
        <f t="shared" si="708"/>
        <v>26670.695056039782</v>
      </c>
      <c r="LW421" s="154">
        <f t="shared" si="708"/>
        <v>26670.695056039782</v>
      </c>
      <c r="LX421" s="154">
        <f t="shared" si="708"/>
        <v>26670.695056039782</v>
      </c>
      <c r="LY421" s="154">
        <f t="shared" si="708"/>
        <v>26670.695056039782</v>
      </c>
      <c r="LZ421" s="154">
        <f t="shared" si="708"/>
        <v>26670.695056039782</v>
      </c>
      <c r="MA421" s="154">
        <f t="shared" si="708"/>
        <v>26670.695056039782</v>
      </c>
      <c r="MB421" s="154">
        <f t="shared" si="708"/>
        <v>26670.695056039782</v>
      </c>
      <c r="MC421" s="154">
        <f t="shared" si="708"/>
        <v>26670.695056039782</v>
      </c>
      <c r="MD421" s="154">
        <f t="shared" si="708"/>
        <v>26670.695056039782</v>
      </c>
      <c r="ME421" s="154">
        <f t="shared" si="708"/>
        <v>26670.695056039782</v>
      </c>
      <c r="MF421" s="154">
        <f t="shared" si="708"/>
        <v>26670.695056039782</v>
      </c>
      <c r="MG421" s="154">
        <f t="shared" si="708"/>
        <v>26670.695056039782</v>
      </c>
      <c r="MH421" s="154">
        <f t="shared" si="708"/>
        <v>26670.695056039782</v>
      </c>
      <c r="MI421" s="154">
        <f t="shared" si="708"/>
        <v>26670.695056039782</v>
      </c>
      <c r="MJ421" s="154">
        <f t="shared" si="708"/>
        <v>26670.695056039782</v>
      </c>
      <c r="MK421" s="154">
        <f t="shared" si="708"/>
        <v>26670.695056039782</v>
      </c>
      <c r="ML421" s="155">
        <f t="shared" si="708"/>
        <v>26670.695056039782</v>
      </c>
    </row>
    <row r="423" spans="3:350" x14ac:dyDescent="0.3">
      <c r="C423" s="197" t="s">
        <v>107</v>
      </c>
      <c r="D423" s="69" t="s">
        <v>212</v>
      </c>
    </row>
    <row r="424" spans="3:350" x14ac:dyDescent="0.3">
      <c r="C424" s="69"/>
      <c r="D424" s="69"/>
    </row>
    <row r="425" spans="3:350" x14ac:dyDescent="0.3">
      <c r="C425" s="69" t="s">
        <v>213</v>
      </c>
      <c r="D425" s="69" t="s">
        <v>214</v>
      </c>
    </row>
    <row r="427" spans="3:350" x14ac:dyDescent="0.3">
      <c r="C427" s="120" t="s">
        <v>215</v>
      </c>
      <c r="H427" s="121" t="s">
        <v>100</v>
      </c>
      <c r="S427" s="122" t="s">
        <v>5</v>
      </c>
      <c r="BD427" s="123" t="s">
        <v>6</v>
      </c>
      <c r="CO427" s="124" t="s">
        <v>7</v>
      </c>
      <c r="DZ427" s="125" t="s">
        <v>8</v>
      </c>
      <c r="FK427" s="126" t="s">
        <v>9</v>
      </c>
      <c r="GV427" s="127" t="s">
        <v>10</v>
      </c>
      <c r="IG427" s="128" t="s">
        <v>11</v>
      </c>
      <c r="JR427" s="129" t="str">
        <f>JR$4</f>
        <v>AMS2 2023</v>
      </c>
      <c r="LC427" s="130" t="str">
        <f>LC$4</f>
        <v>AMS3 2025</v>
      </c>
    </row>
    <row r="428" spans="3:350" s="4" customFormat="1" ht="18" customHeight="1" x14ac:dyDescent="0.3">
      <c r="C428" s="131"/>
      <c r="D428" s="132"/>
      <c r="E428" s="133" t="s">
        <v>101</v>
      </c>
      <c r="F428" s="134" t="s">
        <v>102</v>
      </c>
      <c r="H428" s="135">
        <f t="shared" ref="H428:M428" si="709">H$1</f>
        <v>2015</v>
      </c>
      <c r="I428" s="133">
        <f t="shared" si="709"/>
        <v>2016</v>
      </c>
      <c r="J428" s="133">
        <f t="shared" si="709"/>
        <v>2017</v>
      </c>
      <c r="K428" s="133">
        <f t="shared" si="709"/>
        <v>2018</v>
      </c>
      <c r="L428" s="133">
        <f t="shared" si="709"/>
        <v>2019</v>
      </c>
      <c r="M428" s="134">
        <f t="shared" si="709"/>
        <v>2020</v>
      </c>
      <c r="N428" s="1"/>
      <c r="O428" s="1"/>
      <c r="P428" s="1"/>
      <c r="Q428" s="1"/>
      <c r="S428" s="135">
        <f t="shared" ref="S428:BB428" si="710">S$1</f>
        <v>2015</v>
      </c>
      <c r="T428" s="133">
        <f t="shared" si="710"/>
        <v>2016</v>
      </c>
      <c r="U428" s="133">
        <f t="shared" si="710"/>
        <v>2017</v>
      </c>
      <c r="V428" s="133">
        <f t="shared" si="710"/>
        <v>2018</v>
      </c>
      <c r="W428" s="133">
        <f t="shared" si="710"/>
        <v>2019</v>
      </c>
      <c r="X428" s="133">
        <f t="shared" si="710"/>
        <v>2020</v>
      </c>
      <c r="Y428" s="133">
        <f t="shared" si="710"/>
        <v>2021</v>
      </c>
      <c r="Z428" s="133">
        <f t="shared" si="710"/>
        <v>2022</v>
      </c>
      <c r="AA428" s="133">
        <f t="shared" si="710"/>
        <v>2023</v>
      </c>
      <c r="AB428" s="133">
        <f t="shared" si="710"/>
        <v>2024</v>
      </c>
      <c r="AC428" s="133">
        <f t="shared" si="710"/>
        <v>2025</v>
      </c>
      <c r="AD428" s="133">
        <f t="shared" si="710"/>
        <v>2026</v>
      </c>
      <c r="AE428" s="133">
        <f t="shared" si="710"/>
        <v>2027</v>
      </c>
      <c r="AF428" s="133">
        <f t="shared" si="710"/>
        <v>2028</v>
      </c>
      <c r="AG428" s="133">
        <f t="shared" si="710"/>
        <v>2029</v>
      </c>
      <c r="AH428" s="133">
        <f t="shared" si="710"/>
        <v>2030</v>
      </c>
      <c r="AI428" s="133">
        <f t="shared" si="710"/>
        <v>2031</v>
      </c>
      <c r="AJ428" s="133">
        <f t="shared" si="710"/>
        <v>2032</v>
      </c>
      <c r="AK428" s="133">
        <f t="shared" si="710"/>
        <v>2033</v>
      </c>
      <c r="AL428" s="133">
        <f t="shared" si="710"/>
        <v>2034</v>
      </c>
      <c r="AM428" s="133">
        <f t="shared" si="710"/>
        <v>2035</v>
      </c>
      <c r="AN428" s="133">
        <f t="shared" si="710"/>
        <v>2036</v>
      </c>
      <c r="AO428" s="133">
        <f t="shared" si="710"/>
        <v>2037</v>
      </c>
      <c r="AP428" s="133">
        <f t="shared" si="710"/>
        <v>2038</v>
      </c>
      <c r="AQ428" s="133">
        <f t="shared" si="710"/>
        <v>2039</v>
      </c>
      <c r="AR428" s="133">
        <f t="shared" si="710"/>
        <v>2040</v>
      </c>
      <c r="AS428" s="133">
        <f t="shared" si="710"/>
        <v>2041</v>
      </c>
      <c r="AT428" s="133">
        <f t="shared" si="710"/>
        <v>2042</v>
      </c>
      <c r="AU428" s="133">
        <f t="shared" si="710"/>
        <v>2043</v>
      </c>
      <c r="AV428" s="133">
        <f t="shared" si="710"/>
        <v>2044</v>
      </c>
      <c r="AW428" s="133">
        <f t="shared" si="710"/>
        <v>2045</v>
      </c>
      <c r="AX428" s="133">
        <f t="shared" si="710"/>
        <v>2046</v>
      </c>
      <c r="AY428" s="133">
        <f t="shared" si="710"/>
        <v>2047</v>
      </c>
      <c r="AZ428" s="133">
        <f t="shared" si="710"/>
        <v>2048</v>
      </c>
      <c r="BA428" s="133">
        <f t="shared" si="710"/>
        <v>2049</v>
      </c>
      <c r="BB428" s="134">
        <f t="shared" si="710"/>
        <v>2050</v>
      </c>
      <c r="BD428" s="135">
        <f t="shared" ref="BD428:CM428" si="711">BD$1</f>
        <v>2015</v>
      </c>
      <c r="BE428" s="133">
        <f t="shared" si="711"/>
        <v>2016</v>
      </c>
      <c r="BF428" s="133">
        <f t="shared" si="711"/>
        <v>2017</v>
      </c>
      <c r="BG428" s="133">
        <f t="shared" si="711"/>
        <v>2018</v>
      </c>
      <c r="BH428" s="133">
        <f t="shared" si="711"/>
        <v>2019</v>
      </c>
      <c r="BI428" s="133">
        <f t="shared" si="711"/>
        <v>2020</v>
      </c>
      <c r="BJ428" s="133">
        <f t="shared" si="711"/>
        <v>2021</v>
      </c>
      <c r="BK428" s="133">
        <f t="shared" si="711"/>
        <v>2022</v>
      </c>
      <c r="BL428" s="133">
        <f t="shared" si="711"/>
        <v>2023</v>
      </c>
      <c r="BM428" s="133">
        <f t="shared" si="711"/>
        <v>2024</v>
      </c>
      <c r="BN428" s="133">
        <f t="shared" si="711"/>
        <v>2025</v>
      </c>
      <c r="BO428" s="133">
        <f t="shared" si="711"/>
        <v>2026</v>
      </c>
      <c r="BP428" s="133">
        <f t="shared" si="711"/>
        <v>2027</v>
      </c>
      <c r="BQ428" s="133">
        <f t="shared" si="711"/>
        <v>2028</v>
      </c>
      <c r="BR428" s="133">
        <f t="shared" si="711"/>
        <v>2029</v>
      </c>
      <c r="BS428" s="133">
        <f t="shared" si="711"/>
        <v>2030</v>
      </c>
      <c r="BT428" s="133">
        <f t="shared" si="711"/>
        <v>2031</v>
      </c>
      <c r="BU428" s="133">
        <f t="shared" si="711"/>
        <v>2032</v>
      </c>
      <c r="BV428" s="133">
        <f t="shared" si="711"/>
        <v>2033</v>
      </c>
      <c r="BW428" s="133">
        <f t="shared" si="711"/>
        <v>2034</v>
      </c>
      <c r="BX428" s="133">
        <f t="shared" si="711"/>
        <v>2035</v>
      </c>
      <c r="BY428" s="133">
        <f t="shared" si="711"/>
        <v>2036</v>
      </c>
      <c r="BZ428" s="133">
        <f t="shared" si="711"/>
        <v>2037</v>
      </c>
      <c r="CA428" s="133">
        <f t="shared" si="711"/>
        <v>2038</v>
      </c>
      <c r="CB428" s="133">
        <f t="shared" si="711"/>
        <v>2039</v>
      </c>
      <c r="CC428" s="133">
        <f t="shared" si="711"/>
        <v>2040</v>
      </c>
      <c r="CD428" s="133">
        <f t="shared" si="711"/>
        <v>2041</v>
      </c>
      <c r="CE428" s="133">
        <f t="shared" si="711"/>
        <v>2042</v>
      </c>
      <c r="CF428" s="133">
        <f t="shared" si="711"/>
        <v>2043</v>
      </c>
      <c r="CG428" s="133">
        <f t="shared" si="711"/>
        <v>2044</v>
      </c>
      <c r="CH428" s="133">
        <f t="shared" si="711"/>
        <v>2045</v>
      </c>
      <c r="CI428" s="133">
        <f t="shared" si="711"/>
        <v>2046</v>
      </c>
      <c r="CJ428" s="133">
        <f t="shared" si="711"/>
        <v>2047</v>
      </c>
      <c r="CK428" s="133">
        <f t="shared" si="711"/>
        <v>2048</v>
      </c>
      <c r="CL428" s="133">
        <f t="shared" si="711"/>
        <v>2049</v>
      </c>
      <c r="CM428" s="134">
        <f t="shared" si="711"/>
        <v>2050</v>
      </c>
      <c r="CO428" s="135">
        <f t="shared" ref="CO428:DX428" si="712">CO$1</f>
        <v>2015</v>
      </c>
      <c r="CP428" s="133">
        <f t="shared" si="712"/>
        <v>2016</v>
      </c>
      <c r="CQ428" s="133">
        <f t="shared" si="712"/>
        <v>2017</v>
      </c>
      <c r="CR428" s="133">
        <f t="shared" si="712"/>
        <v>2018</v>
      </c>
      <c r="CS428" s="133">
        <f t="shared" si="712"/>
        <v>2019</v>
      </c>
      <c r="CT428" s="133">
        <f t="shared" si="712"/>
        <v>2020</v>
      </c>
      <c r="CU428" s="133">
        <f t="shared" si="712"/>
        <v>2021</v>
      </c>
      <c r="CV428" s="133">
        <f t="shared" si="712"/>
        <v>2022</v>
      </c>
      <c r="CW428" s="133">
        <f t="shared" si="712"/>
        <v>2023</v>
      </c>
      <c r="CX428" s="133">
        <f t="shared" si="712"/>
        <v>2024</v>
      </c>
      <c r="CY428" s="133">
        <f t="shared" si="712"/>
        <v>2025</v>
      </c>
      <c r="CZ428" s="133">
        <f t="shared" si="712"/>
        <v>2026</v>
      </c>
      <c r="DA428" s="133">
        <f t="shared" si="712"/>
        <v>2027</v>
      </c>
      <c r="DB428" s="133">
        <f t="shared" si="712"/>
        <v>2028</v>
      </c>
      <c r="DC428" s="133">
        <f t="shared" si="712"/>
        <v>2029</v>
      </c>
      <c r="DD428" s="133">
        <f t="shared" si="712"/>
        <v>2030</v>
      </c>
      <c r="DE428" s="133">
        <f t="shared" si="712"/>
        <v>2031</v>
      </c>
      <c r="DF428" s="133">
        <f t="shared" si="712"/>
        <v>2032</v>
      </c>
      <c r="DG428" s="133">
        <f t="shared" si="712"/>
        <v>2033</v>
      </c>
      <c r="DH428" s="133">
        <f t="shared" si="712"/>
        <v>2034</v>
      </c>
      <c r="DI428" s="133">
        <f t="shared" si="712"/>
        <v>2035</v>
      </c>
      <c r="DJ428" s="133">
        <f t="shared" si="712"/>
        <v>2036</v>
      </c>
      <c r="DK428" s="133">
        <f t="shared" si="712"/>
        <v>2037</v>
      </c>
      <c r="DL428" s="133">
        <f t="shared" si="712"/>
        <v>2038</v>
      </c>
      <c r="DM428" s="133">
        <f t="shared" si="712"/>
        <v>2039</v>
      </c>
      <c r="DN428" s="133">
        <f t="shared" si="712"/>
        <v>2040</v>
      </c>
      <c r="DO428" s="133">
        <f t="shared" si="712"/>
        <v>2041</v>
      </c>
      <c r="DP428" s="133">
        <f t="shared" si="712"/>
        <v>2042</v>
      </c>
      <c r="DQ428" s="133">
        <f t="shared" si="712"/>
        <v>2043</v>
      </c>
      <c r="DR428" s="133">
        <f t="shared" si="712"/>
        <v>2044</v>
      </c>
      <c r="DS428" s="133">
        <f t="shared" si="712"/>
        <v>2045</v>
      </c>
      <c r="DT428" s="133">
        <f t="shared" si="712"/>
        <v>2046</v>
      </c>
      <c r="DU428" s="133">
        <f t="shared" si="712"/>
        <v>2047</v>
      </c>
      <c r="DV428" s="133">
        <f t="shared" si="712"/>
        <v>2048</v>
      </c>
      <c r="DW428" s="133">
        <f t="shared" si="712"/>
        <v>2049</v>
      </c>
      <c r="DX428" s="134">
        <f t="shared" si="712"/>
        <v>2050</v>
      </c>
      <c r="DZ428" s="135">
        <f t="shared" ref="DZ428:FI428" si="713">DZ$1</f>
        <v>2015</v>
      </c>
      <c r="EA428" s="133">
        <f t="shared" si="713"/>
        <v>2016</v>
      </c>
      <c r="EB428" s="133">
        <f t="shared" si="713"/>
        <v>2017</v>
      </c>
      <c r="EC428" s="133">
        <f t="shared" si="713"/>
        <v>2018</v>
      </c>
      <c r="ED428" s="133">
        <f t="shared" si="713"/>
        <v>2019</v>
      </c>
      <c r="EE428" s="133">
        <f t="shared" si="713"/>
        <v>2020</v>
      </c>
      <c r="EF428" s="133">
        <f t="shared" si="713"/>
        <v>2021</v>
      </c>
      <c r="EG428" s="133">
        <f t="shared" si="713"/>
        <v>2022</v>
      </c>
      <c r="EH428" s="133">
        <f t="shared" si="713"/>
        <v>2023</v>
      </c>
      <c r="EI428" s="133">
        <f t="shared" si="713"/>
        <v>2024</v>
      </c>
      <c r="EJ428" s="133">
        <f t="shared" si="713"/>
        <v>2025</v>
      </c>
      <c r="EK428" s="133">
        <f t="shared" si="713"/>
        <v>2026</v>
      </c>
      <c r="EL428" s="133">
        <f t="shared" si="713"/>
        <v>2027</v>
      </c>
      <c r="EM428" s="133">
        <f t="shared" si="713"/>
        <v>2028</v>
      </c>
      <c r="EN428" s="133">
        <f t="shared" si="713"/>
        <v>2029</v>
      </c>
      <c r="EO428" s="133">
        <f t="shared" si="713"/>
        <v>2030</v>
      </c>
      <c r="EP428" s="133">
        <f t="shared" si="713"/>
        <v>2031</v>
      </c>
      <c r="EQ428" s="133">
        <f t="shared" si="713"/>
        <v>2032</v>
      </c>
      <c r="ER428" s="133">
        <f t="shared" si="713"/>
        <v>2033</v>
      </c>
      <c r="ES428" s="133">
        <f t="shared" si="713"/>
        <v>2034</v>
      </c>
      <c r="ET428" s="133">
        <f t="shared" si="713"/>
        <v>2035</v>
      </c>
      <c r="EU428" s="133">
        <f t="shared" si="713"/>
        <v>2036</v>
      </c>
      <c r="EV428" s="133">
        <f t="shared" si="713"/>
        <v>2037</v>
      </c>
      <c r="EW428" s="133">
        <f t="shared" si="713"/>
        <v>2038</v>
      </c>
      <c r="EX428" s="133">
        <f t="shared" si="713"/>
        <v>2039</v>
      </c>
      <c r="EY428" s="133">
        <f t="shared" si="713"/>
        <v>2040</v>
      </c>
      <c r="EZ428" s="133">
        <f t="shared" si="713"/>
        <v>2041</v>
      </c>
      <c r="FA428" s="133">
        <f t="shared" si="713"/>
        <v>2042</v>
      </c>
      <c r="FB428" s="133">
        <f t="shared" si="713"/>
        <v>2043</v>
      </c>
      <c r="FC428" s="133">
        <f t="shared" si="713"/>
        <v>2044</v>
      </c>
      <c r="FD428" s="133">
        <f t="shared" si="713"/>
        <v>2045</v>
      </c>
      <c r="FE428" s="133">
        <f t="shared" si="713"/>
        <v>2046</v>
      </c>
      <c r="FF428" s="133">
        <f t="shared" si="713"/>
        <v>2047</v>
      </c>
      <c r="FG428" s="133">
        <f t="shared" si="713"/>
        <v>2048</v>
      </c>
      <c r="FH428" s="133">
        <f t="shared" si="713"/>
        <v>2049</v>
      </c>
      <c r="FI428" s="134">
        <f t="shared" si="713"/>
        <v>2050</v>
      </c>
      <c r="FK428" s="135">
        <f t="shared" ref="FK428:GT428" si="714">FK$1</f>
        <v>2015</v>
      </c>
      <c r="FL428" s="133">
        <f t="shared" si="714"/>
        <v>2016</v>
      </c>
      <c r="FM428" s="133">
        <f t="shared" si="714"/>
        <v>2017</v>
      </c>
      <c r="FN428" s="133">
        <f t="shared" si="714"/>
        <v>2018</v>
      </c>
      <c r="FO428" s="133">
        <f t="shared" si="714"/>
        <v>2019</v>
      </c>
      <c r="FP428" s="133">
        <f t="shared" si="714"/>
        <v>2020</v>
      </c>
      <c r="FQ428" s="133">
        <f t="shared" si="714"/>
        <v>2021</v>
      </c>
      <c r="FR428" s="133">
        <f t="shared" si="714"/>
        <v>2022</v>
      </c>
      <c r="FS428" s="133">
        <f t="shared" si="714"/>
        <v>2023</v>
      </c>
      <c r="FT428" s="133">
        <f t="shared" si="714"/>
        <v>2024</v>
      </c>
      <c r="FU428" s="133">
        <f t="shared" si="714"/>
        <v>2025</v>
      </c>
      <c r="FV428" s="133">
        <f t="shared" si="714"/>
        <v>2026</v>
      </c>
      <c r="FW428" s="133">
        <f t="shared" si="714"/>
        <v>2027</v>
      </c>
      <c r="FX428" s="133">
        <f t="shared" si="714"/>
        <v>2028</v>
      </c>
      <c r="FY428" s="133">
        <f t="shared" si="714"/>
        <v>2029</v>
      </c>
      <c r="FZ428" s="133">
        <f t="shared" si="714"/>
        <v>2030</v>
      </c>
      <c r="GA428" s="133">
        <f t="shared" si="714"/>
        <v>2031</v>
      </c>
      <c r="GB428" s="133">
        <f t="shared" si="714"/>
        <v>2032</v>
      </c>
      <c r="GC428" s="133">
        <f t="shared" si="714"/>
        <v>2033</v>
      </c>
      <c r="GD428" s="133">
        <f t="shared" si="714"/>
        <v>2034</v>
      </c>
      <c r="GE428" s="133">
        <f t="shared" si="714"/>
        <v>2035</v>
      </c>
      <c r="GF428" s="133">
        <f t="shared" si="714"/>
        <v>2036</v>
      </c>
      <c r="GG428" s="133">
        <f t="shared" si="714"/>
        <v>2037</v>
      </c>
      <c r="GH428" s="133">
        <f t="shared" si="714"/>
        <v>2038</v>
      </c>
      <c r="GI428" s="133">
        <f t="shared" si="714"/>
        <v>2039</v>
      </c>
      <c r="GJ428" s="133">
        <f t="shared" si="714"/>
        <v>2040</v>
      </c>
      <c r="GK428" s="133">
        <f t="shared" si="714"/>
        <v>2041</v>
      </c>
      <c r="GL428" s="133">
        <f t="shared" si="714"/>
        <v>2042</v>
      </c>
      <c r="GM428" s="133">
        <f t="shared" si="714"/>
        <v>2043</v>
      </c>
      <c r="GN428" s="133">
        <f t="shared" si="714"/>
        <v>2044</v>
      </c>
      <c r="GO428" s="133">
        <f t="shared" si="714"/>
        <v>2045</v>
      </c>
      <c r="GP428" s="133">
        <f t="shared" si="714"/>
        <v>2046</v>
      </c>
      <c r="GQ428" s="133">
        <f t="shared" si="714"/>
        <v>2047</v>
      </c>
      <c r="GR428" s="133">
        <f t="shared" si="714"/>
        <v>2048</v>
      </c>
      <c r="GS428" s="133">
        <f t="shared" si="714"/>
        <v>2049</v>
      </c>
      <c r="GT428" s="134">
        <f t="shared" si="714"/>
        <v>2050</v>
      </c>
      <c r="GV428" s="135">
        <f t="shared" ref="GV428:IE428" si="715">GV$1</f>
        <v>2015</v>
      </c>
      <c r="GW428" s="133">
        <f t="shared" si="715"/>
        <v>2016</v>
      </c>
      <c r="GX428" s="133">
        <f t="shared" si="715"/>
        <v>2017</v>
      </c>
      <c r="GY428" s="133">
        <f t="shared" si="715"/>
        <v>2018</v>
      </c>
      <c r="GZ428" s="133">
        <f t="shared" si="715"/>
        <v>2019</v>
      </c>
      <c r="HA428" s="133">
        <f t="shared" si="715"/>
        <v>2020</v>
      </c>
      <c r="HB428" s="133">
        <f t="shared" si="715"/>
        <v>2021</v>
      </c>
      <c r="HC428" s="133">
        <f t="shared" si="715"/>
        <v>2022</v>
      </c>
      <c r="HD428" s="133">
        <f t="shared" si="715"/>
        <v>2023</v>
      </c>
      <c r="HE428" s="133">
        <f t="shared" si="715"/>
        <v>2024</v>
      </c>
      <c r="HF428" s="133">
        <f t="shared" si="715"/>
        <v>2025</v>
      </c>
      <c r="HG428" s="133">
        <f t="shared" si="715"/>
        <v>2026</v>
      </c>
      <c r="HH428" s="133">
        <f t="shared" si="715"/>
        <v>2027</v>
      </c>
      <c r="HI428" s="133">
        <f t="shared" si="715"/>
        <v>2028</v>
      </c>
      <c r="HJ428" s="133">
        <f t="shared" si="715"/>
        <v>2029</v>
      </c>
      <c r="HK428" s="133">
        <f t="shared" si="715"/>
        <v>2030</v>
      </c>
      <c r="HL428" s="133">
        <f t="shared" si="715"/>
        <v>2031</v>
      </c>
      <c r="HM428" s="133">
        <f t="shared" si="715"/>
        <v>2032</v>
      </c>
      <c r="HN428" s="133">
        <f t="shared" si="715"/>
        <v>2033</v>
      </c>
      <c r="HO428" s="133">
        <f t="shared" si="715"/>
        <v>2034</v>
      </c>
      <c r="HP428" s="133">
        <f t="shared" si="715"/>
        <v>2035</v>
      </c>
      <c r="HQ428" s="133">
        <f t="shared" si="715"/>
        <v>2036</v>
      </c>
      <c r="HR428" s="133">
        <f t="shared" si="715"/>
        <v>2037</v>
      </c>
      <c r="HS428" s="133">
        <f t="shared" si="715"/>
        <v>2038</v>
      </c>
      <c r="HT428" s="133">
        <f t="shared" si="715"/>
        <v>2039</v>
      </c>
      <c r="HU428" s="133">
        <f t="shared" si="715"/>
        <v>2040</v>
      </c>
      <c r="HV428" s="133">
        <f t="shared" si="715"/>
        <v>2041</v>
      </c>
      <c r="HW428" s="133">
        <f t="shared" si="715"/>
        <v>2042</v>
      </c>
      <c r="HX428" s="133">
        <f t="shared" si="715"/>
        <v>2043</v>
      </c>
      <c r="HY428" s="133">
        <f t="shared" si="715"/>
        <v>2044</v>
      </c>
      <c r="HZ428" s="133">
        <f t="shared" si="715"/>
        <v>2045</v>
      </c>
      <c r="IA428" s="133">
        <f t="shared" si="715"/>
        <v>2046</v>
      </c>
      <c r="IB428" s="133">
        <f t="shared" si="715"/>
        <v>2047</v>
      </c>
      <c r="IC428" s="133">
        <f t="shared" si="715"/>
        <v>2048</v>
      </c>
      <c r="ID428" s="133">
        <f t="shared" si="715"/>
        <v>2049</v>
      </c>
      <c r="IE428" s="134">
        <f t="shared" si="715"/>
        <v>2050</v>
      </c>
      <c r="IG428" s="135">
        <f t="shared" ref="IG428:JP428" si="716">IG$1</f>
        <v>2015</v>
      </c>
      <c r="IH428" s="133">
        <f t="shared" si="716"/>
        <v>2016</v>
      </c>
      <c r="II428" s="133">
        <f t="shared" si="716"/>
        <v>2017</v>
      </c>
      <c r="IJ428" s="133">
        <f t="shared" si="716"/>
        <v>2018</v>
      </c>
      <c r="IK428" s="133">
        <f t="shared" si="716"/>
        <v>2019</v>
      </c>
      <c r="IL428" s="133">
        <f t="shared" si="716"/>
        <v>2020</v>
      </c>
      <c r="IM428" s="133">
        <f t="shared" si="716"/>
        <v>2021</v>
      </c>
      <c r="IN428" s="133">
        <f t="shared" si="716"/>
        <v>2022</v>
      </c>
      <c r="IO428" s="133">
        <f t="shared" si="716"/>
        <v>2023</v>
      </c>
      <c r="IP428" s="133">
        <f t="shared" si="716"/>
        <v>2024</v>
      </c>
      <c r="IQ428" s="133">
        <f t="shared" si="716"/>
        <v>2025</v>
      </c>
      <c r="IR428" s="133">
        <f t="shared" si="716"/>
        <v>2026</v>
      </c>
      <c r="IS428" s="133">
        <f t="shared" si="716"/>
        <v>2027</v>
      </c>
      <c r="IT428" s="133">
        <f t="shared" si="716"/>
        <v>2028</v>
      </c>
      <c r="IU428" s="133">
        <f t="shared" si="716"/>
        <v>2029</v>
      </c>
      <c r="IV428" s="133">
        <f t="shared" si="716"/>
        <v>2030</v>
      </c>
      <c r="IW428" s="133">
        <f t="shared" si="716"/>
        <v>2031</v>
      </c>
      <c r="IX428" s="133">
        <f t="shared" si="716"/>
        <v>2032</v>
      </c>
      <c r="IY428" s="133">
        <f t="shared" si="716"/>
        <v>2033</v>
      </c>
      <c r="IZ428" s="133">
        <f t="shared" si="716"/>
        <v>2034</v>
      </c>
      <c r="JA428" s="133">
        <f t="shared" si="716"/>
        <v>2035</v>
      </c>
      <c r="JB428" s="133">
        <f t="shared" si="716"/>
        <v>2036</v>
      </c>
      <c r="JC428" s="133">
        <f t="shared" si="716"/>
        <v>2037</v>
      </c>
      <c r="JD428" s="133">
        <f t="shared" si="716"/>
        <v>2038</v>
      </c>
      <c r="JE428" s="133">
        <f t="shared" si="716"/>
        <v>2039</v>
      </c>
      <c r="JF428" s="133">
        <f t="shared" si="716"/>
        <v>2040</v>
      </c>
      <c r="JG428" s="133">
        <f t="shared" si="716"/>
        <v>2041</v>
      </c>
      <c r="JH428" s="133">
        <f t="shared" si="716"/>
        <v>2042</v>
      </c>
      <c r="JI428" s="133">
        <f t="shared" si="716"/>
        <v>2043</v>
      </c>
      <c r="JJ428" s="133">
        <f t="shared" si="716"/>
        <v>2044</v>
      </c>
      <c r="JK428" s="133">
        <f t="shared" si="716"/>
        <v>2045</v>
      </c>
      <c r="JL428" s="133">
        <f t="shared" si="716"/>
        <v>2046</v>
      </c>
      <c r="JM428" s="133">
        <f t="shared" si="716"/>
        <v>2047</v>
      </c>
      <c r="JN428" s="133">
        <f t="shared" si="716"/>
        <v>2048</v>
      </c>
      <c r="JO428" s="133">
        <f t="shared" si="716"/>
        <v>2049</v>
      </c>
      <c r="JP428" s="134">
        <f t="shared" si="716"/>
        <v>2050</v>
      </c>
      <c r="JR428" s="135">
        <f t="shared" ref="JR428:MC428" si="717">JR$1</f>
        <v>2015</v>
      </c>
      <c r="JS428" s="133">
        <f t="shared" si="717"/>
        <v>2016</v>
      </c>
      <c r="JT428" s="133">
        <f t="shared" si="717"/>
        <v>2017</v>
      </c>
      <c r="JU428" s="133">
        <f t="shared" si="717"/>
        <v>2018</v>
      </c>
      <c r="JV428" s="133">
        <f t="shared" si="717"/>
        <v>2019</v>
      </c>
      <c r="JW428" s="133">
        <f t="shared" si="717"/>
        <v>2020</v>
      </c>
      <c r="JX428" s="133">
        <f t="shared" si="717"/>
        <v>2021</v>
      </c>
      <c r="JY428" s="133">
        <f t="shared" si="717"/>
        <v>2022</v>
      </c>
      <c r="JZ428" s="133">
        <f t="shared" si="717"/>
        <v>2023</v>
      </c>
      <c r="KA428" s="133">
        <f t="shared" si="717"/>
        <v>2024</v>
      </c>
      <c r="KB428" s="133">
        <f t="shared" si="717"/>
        <v>2025</v>
      </c>
      <c r="KC428" s="133">
        <f t="shared" si="717"/>
        <v>2026</v>
      </c>
      <c r="KD428" s="133">
        <f t="shared" si="717"/>
        <v>2027</v>
      </c>
      <c r="KE428" s="133">
        <f t="shared" si="717"/>
        <v>2028</v>
      </c>
      <c r="KF428" s="133">
        <f t="shared" si="717"/>
        <v>2029</v>
      </c>
      <c r="KG428" s="133">
        <f t="shared" si="717"/>
        <v>2030</v>
      </c>
      <c r="KH428" s="133">
        <f t="shared" si="717"/>
        <v>2031</v>
      </c>
      <c r="KI428" s="133">
        <f t="shared" si="717"/>
        <v>2032</v>
      </c>
      <c r="KJ428" s="133">
        <f t="shared" si="717"/>
        <v>2033</v>
      </c>
      <c r="KK428" s="133">
        <f t="shared" si="717"/>
        <v>2034</v>
      </c>
      <c r="KL428" s="133">
        <f t="shared" si="717"/>
        <v>2035</v>
      </c>
      <c r="KM428" s="133">
        <f t="shared" si="717"/>
        <v>2036</v>
      </c>
      <c r="KN428" s="133">
        <f t="shared" si="717"/>
        <v>2037</v>
      </c>
      <c r="KO428" s="133">
        <f t="shared" si="717"/>
        <v>2038</v>
      </c>
      <c r="KP428" s="133">
        <f t="shared" si="717"/>
        <v>2039</v>
      </c>
      <c r="KQ428" s="133">
        <f t="shared" si="717"/>
        <v>2040</v>
      </c>
      <c r="KR428" s="133">
        <f t="shared" si="717"/>
        <v>2041</v>
      </c>
      <c r="KS428" s="133">
        <f t="shared" si="717"/>
        <v>2042</v>
      </c>
      <c r="KT428" s="133">
        <f t="shared" si="717"/>
        <v>2043</v>
      </c>
      <c r="KU428" s="133">
        <f t="shared" si="717"/>
        <v>2044</v>
      </c>
      <c r="KV428" s="133">
        <f t="shared" si="717"/>
        <v>2045</v>
      </c>
      <c r="KW428" s="133">
        <f t="shared" si="717"/>
        <v>2046</v>
      </c>
      <c r="KX428" s="133">
        <f t="shared" si="717"/>
        <v>2047</v>
      </c>
      <c r="KY428" s="133">
        <f t="shared" si="717"/>
        <v>2048</v>
      </c>
      <c r="KZ428" s="133">
        <f t="shared" si="717"/>
        <v>2049</v>
      </c>
      <c r="LA428" s="134">
        <f t="shared" si="717"/>
        <v>2050</v>
      </c>
      <c r="LC428" s="135">
        <f t="shared" si="717"/>
        <v>2015</v>
      </c>
      <c r="LD428" s="133">
        <f t="shared" si="717"/>
        <v>2016</v>
      </c>
      <c r="LE428" s="133">
        <f t="shared" si="717"/>
        <v>2017</v>
      </c>
      <c r="LF428" s="133">
        <f t="shared" si="717"/>
        <v>2018</v>
      </c>
      <c r="LG428" s="133">
        <f t="shared" si="717"/>
        <v>2019</v>
      </c>
      <c r="LH428" s="133">
        <f t="shared" si="717"/>
        <v>2020</v>
      </c>
      <c r="LI428" s="133">
        <f t="shared" si="717"/>
        <v>2021</v>
      </c>
      <c r="LJ428" s="133">
        <f t="shared" si="717"/>
        <v>2022</v>
      </c>
      <c r="LK428" s="133">
        <f t="shared" si="717"/>
        <v>2023</v>
      </c>
      <c r="LL428" s="133">
        <f t="shared" si="717"/>
        <v>2024</v>
      </c>
      <c r="LM428" s="133">
        <f t="shared" si="717"/>
        <v>2025</v>
      </c>
      <c r="LN428" s="133">
        <f t="shared" si="717"/>
        <v>2026</v>
      </c>
      <c r="LO428" s="133">
        <f t="shared" si="717"/>
        <v>2027</v>
      </c>
      <c r="LP428" s="133">
        <f t="shared" si="717"/>
        <v>2028</v>
      </c>
      <c r="LQ428" s="133">
        <f t="shared" si="717"/>
        <v>2029</v>
      </c>
      <c r="LR428" s="133">
        <f t="shared" si="717"/>
        <v>2030</v>
      </c>
      <c r="LS428" s="133">
        <f t="shared" si="717"/>
        <v>2031</v>
      </c>
      <c r="LT428" s="133">
        <f t="shared" si="717"/>
        <v>2032</v>
      </c>
      <c r="LU428" s="133">
        <f t="shared" si="717"/>
        <v>2033</v>
      </c>
      <c r="LV428" s="133">
        <f t="shared" si="717"/>
        <v>2034</v>
      </c>
      <c r="LW428" s="133">
        <f t="shared" si="717"/>
        <v>2035</v>
      </c>
      <c r="LX428" s="133">
        <f t="shared" si="717"/>
        <v>2036</v>
      </c>
      <c r="LY428" s="133">
        <f t="shared" si="717"/>
        <v>2037</v>
      </c>
      <c r="LZ428" s="133">
        <f t="shared" si="717"/>
        <v>2038</v>
      </c>
      <c r="MA428" s="133">
        <f t="shared" si="717"/>
        <v>2039</v>
      </c>
      <c r="MB428" s="133">
        <f t="shared" si="717"/>
        <v>2040</v>
      </c>
      <c r="MC428" s="133">
        <f t="shared" si="717"/>
        <v>2041</v>
      </c>
      <c r="MD428" s="133">
        <f t="shared" ref="MD428:ML428" si="718">MD$1</f>
        <v>2042</v>
      </c>
      <c r="ME428" s="133">
        <f t="shared" si="718"/>
        <v>2043</v>
      </c>
      <c r="MF428" s="133">
        <f t="shared" si="718"/>
        <v>2044</v>
      </c>
      <c r="MG428" s="133">
        <f t="shared" si="718"/>
        <v>2045</v>
      </c>
      <c r="MH428" s="133">
        <f t="shared" si="718"/>
        <v>2046</v>
      </c>
      <c r="MI428" s="133">
        <f t="shared" si="718"/>
        <v>2047</v>
      </c>
      <c r="MJ428" s="133">
        <f t="shared" si="718"/>
        <v>2048</v>
      </c>
      <c r="MK428" s="133">
        <f t="shared" si="718"/>
        <v>2049</v>
      </c>
      <c r="ML428" s="134">
        <f t="shared" si="718"/>
        <v>2050</v>
      </c>
    </row>
    <row r="429" spans="3:350" s="4" customFormat="1" ht="18" customHeight="1" x14ac:dyDescent="0.3">
      <c r="C429" s="136" t="s">
        <v>76</v>
      </c>
      <c r="E429" s="137" t="s">
        <v>103</v>
      </c>
      <c r="F429" s="186"/>
      <c r="H429" s="235"/>
      <c r="I429" s="218"/>
      <c r="J429" s="218"/>
      <c r="K429" s="218"/>
      <c r="L429" s="218"/>
      <c r="M429" s="236"/>
      <c r="N429" s="237"/>
      <c r="O429" s="237"/>
      <c r="P429" s="237"/>
      <c r="Q429" s="237"/>
      <c r="R429" s="140"/>
      <c r="S429" s="139"/>
      <c r="T429" s="140"/>
      <c r="U429" s="140"/>
      <c r="V429" s="140"/>
      <c r="W429" s="140"/>
      <c r="X429" s="140"/>
      <c r="Y429" s="140"/>
      <c r="Z429" s="140"/>
      <c r="AA429" s="140"/>
      <c r="AB429" s="140"/>
      <c r="AC429" s="140"/>
      <c r="AD429" s="140"/>
      <c r="AE429" s="140"/>
      <c r="AF429" s="140"/>
      <c r="AG429" s="140"/>
      <c r="AH429" s="140"/>
      <c r="AI429" s="140"/>
      <c r="AJ429" s="140"/>
      <c r="AK429" s="140"/>
      <c r="AL429" s="140"/>
      <c r="AM429" s="140"/>
      <c r="AN429" s="140"/>
      <c r="AO429" s="140"/>
      <c r="AP429" s="140"/>
      <c r="AQ429" s="140"/>
      <c r="AR429" s="140"/>
      <c r="AS429" s="140"/>
      <c r="AT429" s="140"/>
      <c r="AU429" s="140"/>
      <c r="AV429" s="140"/>
      <c r="AW429" s="140"/>
      <c r="AX429" s="140"/>
      <c r="AY429" s="140"/>
      <c r="AZ429" s="140"/>
      <c r="BA429" s="140"/>
      <c r="BB429" s="141"/>
      <c r="BC429" s="140"/>
      <c r="BD429" s="139"/>
      <c r="BE429" s="140"/>
      <c r="BF429" s="140"/>
      <c r="BG429" s="140"/>
      <c r="BH429" s="140"/>
      <c r="BI429" s="219"/>
      <c r="BJ429" s="234">
        <f t="shared" ref="BJ429:BJ436" si="719">CM188*(1-CM339)*1/3/30</f>
        <v>911.673888888889</v>
      </c>
      <c r="BK429" s="234">
        <f t="shared" ref="BK429:BK436" si="720">CM188*(1-CM339)*1/3/30</f>
        <v>911.673888888889</v>
      </c>
      <c r="BL429" s="234">
        <f t="shared" ref="BL429:BL436" si="721">CM188*(1-CM339)*1/3/30</f>
        <v>911.673888888889</v>
      </c>
      <c r="BM429" s="234">
        <f t="shared" ref="BM429:BM436" si="722">CM188*(1-CM339)*1/3/30</f>
        <v>911.673888888889</v>
      </c>
      <c r="BN429" s="234">
        <f t="shared" ref="BN429:BN436" si="723">CM188*(1-CM339)*1/3/30</f>
        <v>911.673888888889</v>
      </c>
      <c r="BO429" s="234">
        <f t="shared" ref="BO429:BO436" si="724">CM188*(1-CM339)*1/3/30</f>
        <v>911.673888888889</v>
      </c>
      <c r="BP429" s="234">
        <f t="shared" ref="BP429:BP436" si="725">CM188*(1-CM339)*1/3/30</f>
        <v>911.673888888889</v>
      </c>
      <c r="BQ429" s="234">
        <f t="shared" ref="BQ429:BQ436" si="726">CM188*(1-CM339)*1/3/30</f>
        <v>911.673888888889</v>
      </c>
      <c r="BR429" s="234">
        <f t="shared" ref="BR429:BR436" si="727">CM188*(1-CM339)*1/3/30</f>
        <v>911.673888888889</v>
      </c>
      <c r="BS429" s="234">
        <f t="shared" ref="BS429:BS436" si="728">CM188*(1-CM339)*1/3/30</f>
        <v>911.673888888889</v>
      </c>
      <c r="BT429" s="234">
        <f t="shared" ref="BT429:BT436" si="729">CM188*(1-CM339)*1/3/30</f>
        <v>911.673888888889</v>
      </c>
      <c r="BU429" s="234">
        <f t="shared" ref="BU429:BU436" si="730">CM188*(1-CM339)*1/3/30</f>
        <v>911.673888888889</v>
      </c>
      <c r="BV429" s="234">
        <f t="shared" ref="BV429:BV436" si="731">CM188*(1-CM339)*1/3/30</f>
        <v>911.673888888889</v>
      </c>
      <c r="BW429" s="234">
        <f t="shared" ref="BW429:BW436" si="732">CM188*(1-CM339)*1/3/30</f>
        <v>911.673888888889</v>
      </c>
      <c r="BX429" s="234">
        <f t="shared" ref="BX429:BX436" si="733">CM188*(1-CM339)*1/3/30</f>
        <v>911.673888888889</v>
      </c>
      <c r="BY429" s="234">
        <f t="shared" ref="BY429:BY436" si="734">CM188*(1-CM339)*1/3/30</f>
        <v>911.673888888889</v>
      </c>
      <c r="BZ429" s="234">
        <f t="shared" ref="BZ429:BZ436" si="735">CM188*(1-CM339)*1/3/30</f>
        <v>911.673888888889</v>
      </c>
      <c r="CA429" s="234">
        <f t="shared" ref="CA429:CA436" si="736">CM188*(1-CM339)*1/3/30</f>
        <v>911.673888888889</v>
      </c>
      <c r="CB429" s="234">
        <f t="shared" ref="CB429:CB436" si="737">CM188*(1-CM339)*1/3/30</f>
        <v>911.673888888889</v>
      </c>
      <c r="CC429" s="234">
        <f t="shared" ref="CC429:CC436" si="738">CM188*(1-CM339)*1/3/30</f>
        <v>911.673888888889</v>
      </c>
      <c r="CD429" s="234">
        <f t="shared" ref="CD429:CD436" si="739">CM188*(1-CM339)*1/3/30</f>
        <v>911.673888888889</v>
      </c>
      <c r="CE429" s="234">
        <f t="shared" ref="CE429:CE436" si="740">CM188*(1-CM339)*1/3/30</f>
        <v>911.673888888889</v>
      </c>
      <c r="CF429" s="234">
        <f t="shared" ref="CF429:CF436" si="741">CM188*(1-CM339)*1/3/30</f>
        <v>911.673888888889</v>
      </c>
      <c r="CG429" s="234">
        <f t="shared" ref="CG429:CG436" si="742">CM188*(1-CM339)*1/3/30</f>
        <v>911.673888888889</v>
      </c>
      <c r="CH429" s="234">
        <f t="shared" ref="CH429:CH436" si="743">CM188*(1-CM339)*1/3/30</f>
        <v>911.673888888889</v>
      </c>
      <c r="CI429" s="234">
        <f t="shared" ref="CI429:CI436" si="744">CM188*(1-CM339)*1/3/30</f>
        <v>911.673888888889</v>
      </c>
      <c r="CJ429" s="234">
        <f t="shared" ref="CJ429:CJ436" si="745">CM188*(1-CM339)*1/3/30</f>
        <v>911.673888888889</v>
      </c>
      <c r="CK429" s="234">
        <f t="shared" ref="CK429:CK436" si="746">CM188*(1-CM339)*1/3/30</f>
        <v>911.673888888889</v>
      </c>
      <c r="CL429" s="234">
        <f t="shared" ref="CL429:CL436" si="747">CM188*(1-CM339)*1/3/30</f>
        <v>911.673888888889</v>
      </c>
      <c r="CM429" s="189">
        <f t="shared" ref="CM429:CM436" si="748">CM188*(1-CM339)*1/3/30</f>
        <v>911.673888888889</v>
      </c>
      <c r="CN429" s="140"/>
      <c r="CO429" s="139"/>
      <c r="CP429" s="140"/>
      <c r="CQ429" s="140"/>
      <c r="CR429" s="140"/>
      <c r="CS429" s="140"/>
      <c r="CT429" s="219"/>
      <c r="CU429" s="234">
        <f t="shared" ref="CU429:CU436" si="749">DX188*(1-DX339)*1/3/30</f>
        <v>364.39722222222218</v>
      </c>
      <c r="CV429" s="234">
        <f t="shared" ref="CV429:CV436" si="750">DX188*(1-DX339)*1/3/30</f>
        <v>364.39722222222218</v>
      </c>
      <c r="CW429" s="234">
        <f t="shared" ref="CW429:CW436" si="751">DX188*(1-DX339)*1/3/30</f>
        <v>364.39722222222218</v>
      </c>
      <c r="CX429" s="234">
        <f t="shared" ref="CX429:CX436" si="752">DX188*(1-DX339)*1/3/30</f>
        <v>364.39722222222218</v>
      </c>
      <c r="CY429" s="234">
        <f t="shared" ref="CY429:CY436" si="753">DX188*(1-DX339)*1/3/30</f>
        <v>364.39722222222218</v>
      </c>
      <c r="CZ429" s="234">
        <f t="shared" ref="CZ429:CZ436" si="754">DX188*(1-DX339)*1/3/30</f>
        <v>364.39722222222218</v>
      </c>
      <c r="DA429" s="234">
        <f t="shared" ref="DA429:DA436" si="755">DX188*(1-DX339)*1/3/30</f>
        <v>364.39722222222218</v>
      </c>
      <c r="DB429" s="234">
        <f t="shared" ref="DB429:DB436" si="756">DX188*(1-DX339)*1/3/30</f>
        <v>364.39722222222218</v>
      </c>
      <c r="DC429" s="234">
        <f t="shared" ref="DC429:DC436" si="757">DX188*(1-DX339)*1/3/30</f>
        <v>364.39722222222218</v>
      </c>
      <c r="DD429" s="234">
        <f t="shared" ref="DD429:DD436" si="758">DX188*(1-DX339)*1/3/30</f>
        <v>364.39722222222218</v>
      </c>
      <c r="DE429" s="234">
        <f t="shared" ref="DE429:DE436" si="759">DX188*(1-DX339)*1/3/30</f>
        <v>364.39722222222218</v>
      </c>
      <c r="DF429" s="234">
        <f t="shared" ref="DF429:DF436" si="760">DX188*(1-DX339)*1/3/30</f>
        <v>364.39722222222218</v>
      </c>
      <c r="DG429" s="234">
        <f t="shared" ref="DG429:DG436" si="761">DX188*(1-DX339)*1/3/30</f>
        <v>364.39722222222218</v>
      </c>
      <c r="DH429" s="234">
        <f t="shared" ref="DH429:DH436" si="762">DX188*(1-DX339)*1/3/30</f>
        <v>364.39722222222218</v>
      </c>
      <c r="DI429" s="234">
        <f t="shared" ref="DI429:DI436" si="763">DX188*(1-DX339)*1/3/30</f>
        <v>364.39722222222218</v>
      </c>
      <c r="DJ429" s="234">
        <f t="shared" ref="DJ429:DJ436" si="764">DX188*(1-DX339)*1/3/30</f>
        <v>364.39722222222218</v>
      </c>
      <c r="DK429" s="234">
        <f t="shared" ref="DK429:DK436" si="765">DX188*(1-DX339)*1/3/30</f>
        <v>364.39722222222218</v>
      </c>
      <c r="DL429" s="234">
        <f t="shared" ref="DL429:DL436" si="766">DX188*(1-DX339)*1/3/30</f>
        <v>364.39722222222218</v>
      </c>
      <c r="DM429" s="234">
        <f t="shared" ref="DM429:DM436" si="767">DX188*(1-DX339)*1/3/30</f>
        <v>364.39722222222218</v>
      </c>
      <c r="DN429" s="234">
        <f t="shared" ref="DN429:DN436" si="768">DX188*(1-DX339)*1/3/30</f>
        <v>364.39722222222218</v>
      </c>
      <c r="DO429" s="234">
        <f t="shared" ref="DO429:DO436" si="769">DX188*(1-DX339)*1/3/30</f>
        <v>364.39722222222218</v>
      </c>
      <c r="DP429" s="234">
        <f t="shared" ref="DP429:DP436" si="770">DX188*(1-DX339)*1/3/30</f>
        <v>364.39722222222218</v>
      </c>
      <c r="DQ429" s="234">
        <f t="shared" ref="DQ429:DQ436" si="771">DX188*(1-DX339)*1/3/30</f>
        <v>364.39722222222218</v>
      </c>
      <c r="DR429" s="234">
        <f t="shared" ref="DR429:DR436" si="772">DX188*(1-DX339)*1/3/30</f>
        <v>364.39722222222218</v>
      </c>
      <c r="DS429" s="234">
        <f t="shared" ref="DS429:DS436" si="773">DX188*(1-DX339)*1/3/30</f>
        <v>364.39722222222218</v>
      </c>
      <c r="DT429" s="234">
        <f t="shared" ref="DT429:DT436" si="774">DX188*(1-DX339)*1/3/30</f>
        <v>364.39722222222218</v>
      </c>
      <c r="DU429" s="234">
        <f t="shared" ref="DU429:DU436" si="775">DX188*(1-DX339)*1/3/30</f>
        <v>364.39722222222218</v>
      </c>
      <c r="DV429" s="234">
        <f t="shared" ref="DV429:DV436" si="776">DX188*(1-DX339)*1/3/30</f>
        <v>364.39722222222218</v>
      </c>
      <c r="DW429" s="234">
        <f t="shared" ref="DW429:DW436" si="777">DX188*(1-DX339)*1/3/30</f>
        <v>364.39722222222218</v>
      </c>
      <c r="DX429" s="189">
        <f t="shared" ref="DX429:DX436" si="778">DX188*(1-DX339)*1/3/30</f>
        <v>364.39722222222218</v>
      </c>
      <c r="DY429" s="140"/>
      <c r="DZ429" s="139"/>
      <c r="EA429" s="140"/>
      <c r="EB429" s="140"/>
      <c r="EC429" s="140"/>
      <c r="ED429" s="140"/>
      <c r="EE429" s="219"/>
      <c r="EF429" s="234">
        <f t="shared" ref="EF429:EF436" si="779">FI188*(1-FI339)*1/3/30</f>
        <v>510.1561111111111</v>
      </c>
      <c r="EG429" s="234">
        <f t="shared" ref="EG429:EG436" si="780">FI188*(1-FI339)*1/3/30</f>
        <v>510.1561111111111</v>
      </c>
      <c r="EH429" s="234">
        <f t="shared" ref="EH429:EH436" si="781">FI188*(1-FI339)*1/3/30</f>
        <v>510.1561111111111</v>
      </c>
      <c r="EI429" s="234">
        <f t="shared" ref="EI429:EI436" si="782">FI188*(1-FI339)*1/3/30</f>
        <v>510.1561111111111</v>
      </c>
      <c r="EJ429" s="234">
        <f t="shared" ref="EJ429:EJ436" si="783">FI188*(1-FI339)*1/3/30</f>
        <v>510.1561111111111</v>
      </c>
      <c r="EK429" s="234">
        <f t="shared" ref="EK429:EK436" si="784">FI188*(1-FI339)*1/3/30</f>
        <v>510.1561111111111</v>
      </c>
      <c r="EL429" s="234">
        <f t="shared" ref="EL429:EL436" si="785">FI188*(1-FI339)*1/3/30</f>
        <v>510.1561111111111</v>
      </c>
      <c r="EM429" s="234">
        <f t="shared" ref="EM429:EM436" si="786">FI188*(1-FI339)*1/3/30</f>
        <v>510.1561111111111</v>
      </c>
      <c r="EN429" s="234">
        <f t="shared" ref="EN429:EN436" si="787">FI188*(1-FI339)*1/3/30</f>
        <v>510.1561111111111</v>
      </c>
      <c r="EO429" s="234">
        <f t="shared" ref="EO429:EO436" si="788">FI188*(1-FI339)*1/3/30</f>
        <v>510.1561111111111</v>
      </c>
      <c r="EP429" s="234">
        <f t="shared" ref="EP429:EP436" si="789">FI188*(1-FI339)*1/3/30</f>
        <v>510.1561111111111</v>
      </c>
      <c r="EQ429" s="234">
        <f t="shared" ref="EQ429:EQ436" si="790">FI188*(1-FI339)*1/3/30</f>
        <v>510.1561111111111</v>
      </c>
      <c r="ER429" s="234">
        <f t="shared" ref="ER429:ER436" si="791">FI188*(1-FI339)*1/3/30</f>
        <v>510.1561111111111</v>
      </c>
      <c r="ES429" s="234">
        <f t="shared" ref="ES429:ES436" si="792">FI188*(1-FI339)*1/3/30</f>
        <v>510.1561111111111</v>
      </c>
      <c r="ET429" s="234">
        <f t="shared" ref="ET429:ET436" si="793">FI188*(1-FI339)*1/3/30</f>
        <v>510.1561111111111</v>
      </c>
      <c r="EU429" s="234">
        <f t="shared" ref="EU429:EU436" si="794">FI188*(1-FI339)*1/3/30</f>
        <v>510.1561111111111</v>
      </c>
      <c r="EV429" s="234">
        <f t="shared" ref="EV429:EV436" si="795">FI188*(1-FI339)*1/3/30</f>
        <v>510.1561111111111</v>
      </c>
      <c r="EW429" s="234">
        <f t="shared" ref="EW429:EW436" si="796">FI188*(1-FI339)*1/3/30</f>
        <v>510.1561111111111</v>
      </c>
      <c r="EX429" s="234">
        <f t="shared" ref="EX429:EX436" si="797">FI188*(1-FI339)*1/3/30</f>
        <v>510.1561111111111</v>
      </c>
      <c r="EY429" s="234">
        <f t="shared" ref="EY429:EY436" si="798">FI188*(1-FI339)*1/3/30</f>
        <v>510.1561111111111</v>
      </c>
      <c r="EZ429" s="234">
        <f t="shared" ref="EZ429:EZ436" si="799">FI188*(1-FI339)*1/3/30</f>
        <v>510.1561111111111</v>
      </c>
      <c r="FA429" s="234">
        <f t="shared" ref="FA429:FA436" si="800">FI188*(1-FI339)*1/3/30</f>
        <v>510.1561111111111</v>
      </c>
      <c r="FB429" s="234">
        <f t="shared" ref="FB429:FB436" si="801">FI188*(1-FI339)*1/3/30</f>
        <v>510.1561111111111</v>
      </c>
      <c r="FC429" s="234">
        <f t="shared" ref="FC429:FC436" si="802">FI188*(1-FI339)*1/3/30</f>
        <v>510.1561111111111</v>
      </c>
      <c r="FD429" s="234">
        <f t="shared" ref="FD429:FD436" si="803">FI188*(1-FI339)*1/3/30</f>
        <v>510.1561111111111</v>
      </c>
      <c r="FE429" s="234">
        <f t="shared" ref="FE429:FE436" si="804">FI188*(1-FI339)*1/3/30</f>
        <v>510.1561111111111</v>
      </c>
      <c r="FF429" s="234">
        <f t="shared" ref="FF429:FF436" si="805">FI188*(1-FI339)*1/3/30</f>
        <v>510.1561111111111</v>
      </c>
      <c r="FG429" s="234">
        <f t="shared" ref="FG429:FG436" si="806">FI188*(1-FI339)*1/3/30</f>
        <v>510.1561111111111</v>
      </c>
      <c r="FH429" s="234">
        <f t="shared" ref="FH429:FH436" si="807">FI188*(1-FI339)*1/3/30</f>
        <v>510.1561111111111</v>
      </c>
      <c r="FI429" s="189">
        <f t="shared" ref="FI429:FI436" si="808">FI188*(1-FI339)*1/3/30</f>
        <v>510.1561111111111</v>
      </c>
      <c r="FJ429" s="140"/>
      <c r="FK429" s="139"/>
      <c r="FL429" s="140"/>
      <c r="FM429" s="140"/>
      <c r="FN429" s="140"/>
      <c r="FO429" s="140"/>
      <c r="FP429" s="219"/>
      <c r="FQ429" s="234">
        <f t="shared" ref="FQ429:FQ436" si="809">GT188*(1-GT339)*1/3/30</f>
        <v>580.15611111111104</v>
      </c>
      <c r="FR429" s="234">
        <f t="shared" ref="FR429:FR436" si="810">GT188*(1-GT339)*1/3/30</f>
        <v>580.15611111111104</v>
      </c>
      <c r="FS429" s="234">
        <f t="shared" ref="FS429:FS436" si="811">GT188*(1-GT339)*1/3/30</f>
        <v>580.15611111111104</v>
      </c>
      <c r="FT429" s="234">
        <f t="shared" ref="FT429:FT436" si="812">GT188*(1-GT339)*1/3/30</f>
        <v>580.15611111111104</v>
      </c>
      <c r="FU429" s="234">
        <f t="shared" ref="FU429:FU436" si="813">GT188*(1-GT339)*1/3/30</f>
        <v>580.15611111111104</v>
      </c>
      <c r="FV429" s="234">
        <f t="shared" ref="FV429:FV436" si="814">GT188*(1-GT339)*1/3/30</f>
        <v>580.15611111111104</v>
      </c>
      <c r="FW429" s="234">
        <f t="shared" ref="FW429:FW436" si="815">GT188*(1-GT339)*1/3/30</f>
        <v>580.15611111111104</v>
      </c>
      <c r="FX429" s="234">
        <f t="shared" ref="FX429:FX436" si="816">GT188*(1-GT339)*1/3/30</f>
        <v>580.15611111111104</v>
      </c>
      <c r="FY429" s="234">
        <f t="shared" ref="FY429:FY436" si="817">GT188*(1-GT339)*1/3/30</f>
        <v>580.15611111111104</v>
      </c>
      <c r="FZ429" s="234">
        <f t="shared" ref="FZ429:FZ436" si="818">GT188*(1-GT339)*1/3/30</f>
        <v>580.15611111111104</v>
      </c>
      <c r="GA429" s="234">
        <f t="shared" ref="GA429:GA436" si="819">GT188*(1-GT339)*1/3/30</f>
        <v>580.15611111111104</v>
      </c>
      <c r="GB429" s="234">
        <f t="shared" ref="GB429:GB436" si="820">GT188*(1-GT339)*1/3/30</f>
        <v>580.15611111111104</v>
      </c>
      <c r="GC429" s="234">
        <f t="shared" ref="GC429:GC436" si="821">GT188*(1-GT339)*1/3/30</f>
        <v>580.15611111111104</v>
      </c>
      <c r="GD429" s="234">
        <f t="shared" ref="GD429:GD436" si="822">GT188*(1-GT339)*1/3/30</f>
        <v>580.15611111111104</v>
      </c>
      <c r="GE429" s="234">
        <f t="shared" ref="GE429:GE436" si="823">GT188*(1-GT339)*1/3/30</f>
        <v>580.15611111111104</v>
      </c>
      <c r="GF429" s="234">
        <f t="shared" ref="GF429:GF436" si="824">GT188*(1-GT339)*1/3/30</f>
        <v>580.15611111111104</v>
      </c>
      <c r="GG429" s="234">
        <f t="shared" ref="GG429:GG436" si="825">GT188*(1-GT339)*1/3/30</f>
        <v>580.15611111111104</v>
      </c>
      <c r="GH429" s="234">
        <f t="shared" ref="GH429:GH436" si="826">GT188*(1-GT339)*1/3/30</f>
        <v>580.15611111111104</v>
      </c>
      <c r="GI429" s="234">
        <f t="shared" ref="GI429:GI436" si="827">GT188*(1-GT339)*1/3/30</f>
        <v>580.15611111111104</v>
      </c>
      <c r="GJ429" s="234">
        <f t="shared" ref="GJ429:GJ436" si="828">GT188*(1-GT339)*1/3/30</f>
        <v>580.15611111111104</v>
      </c>
      <c r="GK429" s="234">
        <f t="shared" ref="GK429:GK436" si="829">GT188*(1-GT339)*1/3/30</f>
        <v>580.15611111111104</v>
      </c>
      <c r="GL429" s="234">
        <f t="shared" ref="GL429:GL436" si="830">GT188*(1-GT339)*1/3/30</f>
        <v>580.15611111111104</v>
      </c>
      <c r="GM429" s="234">
        <f t="shared" ref="GM429:GM436" si="831">GT188*(1-GT339)*1/3/30</f>
        <v>580.15611111111104</v>
      </c>
      <c r="GN429" s="234">
        <f t="shared" ref="GN429:GN436" si="832">GT188*(1-GT339)*1/3/30</f>
        <v>580.15611111111104</v>
      </c>
      <c r="GO429" s="234">
        <f t="shared" ref="GO429:GO436" si="833">GT188*(1-GT339)*1/3/30</f>
        <v>580.15611111111104</v>
      </c>
      <c r="GP429" s="234">
        <f t="shared" ref="GP429:GP436" si="834">GT188*(1-GT339)*1/3/30</f>
        <v>580.15611111111104</v>
      </c>
      <c r="GQ429" s="234">
        <f t="shared" ref="GQ429:GQ436" si="835">GT188*(1-GT339)*1/3/30</f>
        <v>580.15611111111104</v>
      </c>
      <c r="GR429" s="234">
        <f t="shared" ref="GR429:GR436" si="836">GT188*(1-GT339)*1/3/30</f>
        <v>580.15611111111104</v>
      </c>
      <c r="GS429" s="234">
        <f t="shared" ref="GS429:GS436" si="837">GT188*(1-GT339)*1/3/30</f>
        <v>580.15611111111104</v>
      </c>
      <c r="GT429" s="189">
        <f t="shared" ref="GT429:GT436" si="838">GT188*(1-GT339)*1/3/30</f>
        <v>580.15611111111104</v>
      </c>
      <c r="GU429" s="140"/>
      <c r="GV429" s="139"/>
      <c r="GW429" s="140"/>
      <c r="GX429" s="140"/>
      <c r="GY429" s="140"/>
      <c r="GZ429" s="140"/>
      <c r="HA429" s="219"/>
      <c r="HB429" s="234">
        <f t="shared" ref="HB429:HB436" si="839">IE188*(1-IE339)*1/3/30</f>
        <v>745.91499999999985</v>
      </c>
      <c r="HC429" s="234">
        <f t="shared" ref="HC429:HC436" si="840">IE188*(1-IE339)*1/3/30</f>
        <v>745.91499999999985</v>
      </c>
      <c r="HD429" s="234">
        <f t="shared" ref="HD429:HD436" si="841">IE188*(1-IE339)*1/3/30</f>
        <v>745.91499999999985</v>
      </c>
      <c r="HE429" s="234">
        <f t="shared" ref="HE429:HE436" si="842">IE188*(1-IE339)*1/3/30</f>
        <v>745.91499999999985</v>
      </c>
      <c r="HF429" s="234">
        <f t="shared" ref="HF429:HF436" si="843">IE188*(1-IE339)*1/3/30</f>
        <v>745.91499999999985</v>
      </c>
      <c r="HG429" s="234">
        <f t="shared" ref="HG429:HG436" si="844">IE188*(1-IE339)*1/3/30</f>
        <v>745.91499999999985</v>
      </c>
      <c r="HH429" s="234">
        <f t="shared" ref="HH429:HH436" si="845">IE188*(1-IE339)*1/3/30</f>
        <v>745.91499999999985</v>
      </c>
      <c r="HI429" s="234">
        <f t="shared" ref="HI429:HI436" si="846">IE188*(1-IE339)*1/3/30</f>
        <v>745.91499999999985</v>
      </c>
      <c r="HJ429" s="234">
        <f t="shared" ref="HJ429:HJ436" si="847">IE188*(1-IE339)*1/3/30</f>
        <v>745.91499999999985</v>
      </c>
      <c r="HK429" s="234">
        <f t="shared" ref="HK429:HK436" si="848">IE188*(1-IE339)*1/3/30</f>
        <v>745.91499999999985</v>
      </c>
      <c r="HL429" s="234">
        <f t="shared" ref="HL429:HL436" si="849">IE188*(1-IE339)*1/3/30</f>
        <v>745.91499999999985</v>
      </c>
      <c r="HM429" s="234">
        <f t="shared" ref="HM429:HM436" si="850">IE188*(1-IE339)*1/3/30</f>
        <v>745.91499999999985</v>
      </c>
      <c r="HN429" s="234">
        <f t="shared" ref="HN429:HN436" si="851">IE188*(1-IE339)*1/3/30</f>
        <v>745.91499999999985</v>
      </c>
      <c r="HO429" s="234">
        <f t="shared" ref="HO429:HO436" si="852">IE188*(1-IE339)*1/3/30</f>
        <v>745.91499999999985</v>
      </c>
      <c r="HP429" s="234">
        <f t="shared" ref="HP429:HP436" si="853">IE188*(1-IE339)*1/3/30</f>
        <v>745.91499999999985</v>
      </c>
      <c r="HQ429" s="234">
        <f t="shared" ref="HQ429:HQ436" si="854">IE188*(1-IE339)*1/3/30</f>
        <v>745.91499999999985</v>
      </c>
      <c r="HR429" s="234">
        <f t="shared" ref="HR429:HR436" si="855">IE188*(1-IE339)*1/3/30</f>
        <v>745.91499999999985</v>
      </c>
      <c r="HS429" s="234">
        <f t="shared" ref="HS429:HS436" si="856">IE188*(1-IE339)*1/3/30</f>
        <v>745.91499999999985</v>
      </c>
      <c r="HT429" s="234">
        <f t="shared" ref="HT429:HT436" si="857">IE188*(1-IE339)*1/3/30</f>
        <v>745.91499999999985</v>
      </c>
      <c r="HU429" s="234">
        <f t="shared" ref="HU429:HU436" si="858">IE188*(1-IE339)*1/3/30</f>
        <v>745.91499999999985</v>
      </c>
      <c r="HV429" s="234">
        <f t="shared" ref="HV429:HV436" si="859">IE188*(1-IE339)*1/3/30</f>
        <v>745.91499999999985</v>
      </c>
      <c r="HW429" s="234">
        <f t="shared" ref="HW429:HW436" si="860">IE188*(1-IE339)*1/3/30</f>
        <v>745.91499999999985</v>
      </c>
      <c r="HX429" s="234">
        <f t="shared" ref="HX429:HX436" si="861">IE188*(1-IE339)*1/3/30</f>
        <v>745.91499999999985</v>
      </c>
      <c r="HY429" s="234">
        <f t="shared" ref="HY429:HY436" si="862">IE188*(1-IE339)*1/3/30</f>
        <v>745.91499999999985</v>
      </c>
      <c r="HZ429" s="234">
        <f t="shared" ref="HZ429:HZ436" si="863">IE188*(1-IE339)*1/3/30</f>
        <v>745.91499999999985</v>
      </c>
      <c r="IA429" s="234">
        <f t="shared" ref="IA429:IA436" si="864">IE188*(1-IE339)*1/3/30</f>
        <v>745.91499999999985</v>
      </c>
      <c r="IB429" s="234">
        <f t="shared" ref="IB429:IB436" si="865">IE188*(1-IE339)*1/3/30</f>
        <v>745.91499999999985</v>
      </c>
      <c r="IC429" s="234">
        <f t="shared" ref="IC429:IC436" si="866">IE188*(1-IE339)*1/3/30</f>
        <v>745.91499999999985</v>
      </c>
      <c r="ID429" s="234">
        <f t="shared" ref="ID429:ID436" si="867">IE188*(1-IE339)*1/3/30</f>
        <v>745.91499999999985</v>
      </c>
      <c r="IE429" s="189">
        <f t="shared" ref="IE429:IE436" si="868">IE188*(1-IE339)*1/3/30</f>
        <v>745.91499999999985</v>
      </c>
      <c r="IF429" s="140"/>
      <c r="IG429" s="139"/>
      <c r="IH429" s="140"/>
      <c r="II429" s="140"/>
      <c r="IJ429" s="140"/>
      <c r="IK429" s="140"/>
      <c r="IL429" s="219"/>
      <c r="IM429" s="234">
        <f t="shared" ref="IM429:IM436" si="869">JP188*(1-JP339)*1/3/30</f>
        <v>2449.0088367011044</v>
      </c>
      <c r="IN429" s="234">
        <f t="shared" ref="IN429:IN436" si="870">JP188*(1-JP339)*1/3/30</f>
        <v>2449.0088367011044</v>
      </c>
      <c r="IO429" s="234">
        <f t="shared" ref="IO429:IO436" si="871">JP188*(1-JP339)*1/3/30</f>
        <v>2449.0088367011044</v>
      </c>
      <c r="IP429" s="234">
        <f t="shared" ref="IP429:IP436" si="872">JP188*(1-JP339)*1/3/30</f>
        <v>2449.0088367011044</v>
      </c>
      <c r="IQ429" s="234">
        <f t="shared" ref="IQ429:IQ436" si="873">JP188*(1-JP339)*1/3/30</f>
        <v>2449.0088367011044</v>
      </c>
      <c r="IR429" s="234">
        <f t="shared" ref="IR429:IR436" si="874">JP188*(1-JP339)*1/3/30</f>
        <v>2449.0088367011044</v>
      </c>
      <c r="IS429" s="234">
        <f t="shared" ref="IS429:IS436" si="875">JP188*(1-JP339)*1/3/30</f>
        <v>2449.0088367011044</v>
      </c>
      <c r="IT429" s="234">
        <f t="shared" ref="IT429:IT436" si="876">JP188*(1-JP339)*1/3/30</f>
        <v>2449.0088367011044</v>
      </c>
      <c r="IU429" s="234">
        <f t="shared" ref="IU429:IU436" si="877">JP188*(1-JP339)*1/3/30</f>
        <v>2449.0088367011044</v>
      </c>
      <c r="IV429" s="234">
        <f t="shared" ref="IV429:IV436" si="878">JP188*(1-JP339)*1/3/30</f>
        <v>2449.0088367011044</v>
      </c>
      <c r="IW429" s="234">
        <f t="shared" ref="IW429:IW436" si="879">JP188*(1-JP339)*1/3/30</f>
        <v>2449.0088367011044</v>
      </c>
      <c r="IX429" s="234">
        <f t="shared" ref="IX429:IX436" si="880">JP188*(1-JP339)*1/3/30</f>
        <v>2449.0088367011044</v>
      </c>
      <c r="IY429" s="234">
        <f t="shared" ref="IY429:IY436" si="881">JP188*(1-JP339)*1/3/30</f>
        <v>2449.0088367011044</v>
      </c>
      <c r="IZ429" s="234">
        <f t="shared" ref="IZ429:IZ436" si="882">JP188*(1-JP339)*1/3/30</f>
        <v>2449.0088367011044</v>
      </c>
      <c r="JA429" s="234">
        <f t="shared" ref="JA429:JA436" si="883">JP188*(1-JP339)*1/3/30</f>
        <v>2449.0088367011044</v>
      </c>
      <c r="JB429" s="234">
        <f t="shared" ref="JB429:JB436" si="884">JP188*(1-JP339)*1/3/30</f>
        <v>2449.0088367011044</v>
      </c>
      <c r="JC429" s="234">
        <f t="shared" ref="JC429:JC436" si="885">JP188*(1-JP339)*1/3/30</f>
        <v>2449.0088367011044</v>
      </c>
      <c r="JD429" s="234">
        <f t="shared" ref="JD429:JD436" si="886">JP188*(1-JP339)*1/3/30</f>
        <v>2449.0088367011044</v>
      </c>
      <c r="JE429" s="234">
        <f t="shared" ref="JE429:JE436" si="887">JP188*(1-JP339)*1/3/30</f>
        <v>2449.0088367011044</v>
      </c>
      <c r="JF429" s="234">
        <f t="shared" ref="JF429:JF436" si="888">JP188*(1-JP339)*1/3/30</f>
        <v>2449.0088367011044</v>
      </c>
      <c r="JG429" s="234">
        <f t="shared" ref="JG429:JG436" si="889">JP188*(1-JP339)*1/3/30</f>
        <v>2449.0088367011044</v>
      </c>
      <c r="JH429" s="234">
        <f t="shared" ref="JH429:JH436" si="890">JP188*(1-JP339)*1/3/30</f>
        <v>2449.0088367011044</v>
      </c>
      <c r="JI429" s="234">
        <f t="shared" ref="JI429:JI436" si="891">JP188*(1-JP339)*1/3/30</f>
        <v>2449.0088367011044</v>
      </c>
      <c r="JJ429" s="234">
        <f t="shared" ref="JJ429:JJ436" si="892">JP188*(1-JP339)*1/3/30</f>
        <v>2449.0088367011044</v>
      </c>
      <c r="JK429" s="234">
        <f t="shared" ref="JK429:JK436" si="893">JP188*(1-JP339)*1/3/30</f>
        <v>2449.0088367011044</v>
      </c>
      <c r="JL429" s="234">
        <f t="shared" ref="JL429:JL436" si="894">JP188*(1-JP339)*1/3/30</f>
        <v>2449.0088367011044</v>
      </c>
      <c r="JM429" s="234">
        <f t="shared" ref="JM429:JM436" si="895">JP188*(1-JP339)*1/3/30</f>
        <v>2449.0088367011044</v>
      </c>
      <c r="JN429" s="234">
        <f t="shared" ref="JN429:JN436" si="896">JP188*(1-JP339)*1/3/30</f>
        <v>2449.0088367011044</v>
      </c>
      <c r="JO429" s="234">
        <f t="shared" ref="JO429:JO436" si="897">JP188*(1-JP339)*1/3/30</f>
        <v>2449.0088367011044</v>
      </c>
      <c r="JP429" s="189">
        <f t="shared" ref="JP429:JP436" si="898">JP188*(1-JP339)*1/3/30</f>
        <v>2449.0088367011044</v>
      </c>
      <c r="JQ429" s="140"/>
      <c r="JR429" s="139"/>
      <c r="JS429" s="140"/>
      <c r="JT429" s="140"/>
      <c r="JU429" s="140"/>
      <c r="JV429" s="140"/>
      <c r="JW429" s="219"/>
      <c r="JX429" s="234">
        <f t="shared" ref="JX429:JX436" si="899">LA188*(1-LA339)*1/3/30</f>
        <v>981.26123108213551</v>
      </c>
      <c r="JY429" s="234">
        <f t="shared" ref="JY429:JY436" si="900">LA188*(1-LA339)*1/3/30</f>
        <v>981.26123108213551</v>
      </c>
      <c r="JZ429" s="234">
        <f t="shared" ref="JZ429:JZ436" si="901">LA188*(1-LA339)*1/3/30</f>
        <v>981.26123108213551</v>
      </c>
      <c r="KA429" s="234">
        <f t="shared" ref="KA429:KA436" si="902">LA188*(1-LA339)*1/3/30</f>
        <v>981.26123108213551</v>
      </c>
      <c r="KB429" s="234">
        <f t="shared" ref="KB429:KB436" si="903">LA188*(1-LA339)*1/3/30</f>
        <v>981.26123108213551</v>
      </c>
      <c r="KC429" s="234">
        <f t="shared" ref="KC429:KC436" si="904">LA188*(1-LA339)*1/3/30</f>
        <v>981.26123108213551</v>
      </c>
      <c r="KD429" s="234">
        <f t="shared" ref="KD429:KD436" si="905">LA188*(1-LA339)*1/3/30</f>
        <v>981.26123108213551</v>
      </c>
      <c r="KE429" s="234">
        <f t="shared" ref="KE429:KE436" si="906">LA188*(1-LA339)*1/3/30</f>
        <v>981.26123108213551</v>
      </c>
      <c r="KF429" s="234">
        <f t="shared" ref="KF429:KF436" si="907">LA188*(1-LA339)*1/3/30</f>
        <v>981.26123108213551</v>
      </c>
      <c r="KG429" s="234">
        <f t="shared" ref="KG429:KG436" si="908">LA188*(1-LA339)*1/3/30</f>
        <v>981.26123108213551</v>
      </c>
      <c r="KH429" s="234">
        <f t="shared" ref="KH429:KH436" si="909">LA188*(1-LA339)*1/3/30</f>
        <v>981.26123108213551</v>
      </c>
      <c r="KI429" s="234">
        <f t="shared" ref="KI429:KI436" si="910">LA188*(1-LA339)*1/3/30</f>
        <v>981.26123108213551</v>
      </c>
      <c r="KJ429" s="234">
        <f t="shared" ref="KJ429:KJ436" si="911">LA188*(1-LA339)*1/3/30</f>
        <v>981.26123108213551</v>
      </c>
      <c r="KK429" s="234">
        <f t="shared" ref="KK429:KK436" si="912">LA188*(1-LA339)*1/3/30</f>
        <v>981.26123108213551</v>
      </c>
      <c r="KL429" s="234">
        <f t="shared" ref="KL429:KL436" si="913">LA188*(1-LA339)*1/3/30</f>
        <v>981.26123108213551</v>
      </c>
      <c r="KM429" s="234">
        <f t="shared" ref="KM429:KM436" si="914">LA188*(1-LA339)*1/3/30</f>
        <v>981.26123108213551</v>
      </c>
      <c r="KN429" s="234">
        <f t="shared" ref="KN429:KN436" si="915">LA188*(1-LA339)*1/3/30</f>
        <v>981.26123108213551</v>
      </c>
      <c r="KO429" s="234">
        <f t="shared" ref="KO429:KO436" si="916">LA188*(1-LA339)*1/3/30</f>
        <v>981.26123108213551</v>
      </c>
      <c r="KP429" s="234">
        <f t="shared" ref="KP429:KP436" si="917">LA188*(1-LA339)*1/3/30</f>
        <v>981.26123108213551</v>
      </c>
      <c r="KQ429" s="234">
        <f t="shared" ref="KQ429:KQ436" si="918">LA188*(1-LA339)*1/3/30</f>
        <v>981.26123108213551</v>
      </c>
      <c r="KR429" s="234">
        <f t="shared" ref="KR429:KR436" si="919">LA188*(1-LA339)*1/3/30</f>
        <v>981.26123108213551</v>
      </c>
      <c r="KS429" s="234">
        <f t="shared" ref="KS429:KS436" si="920">LA188*(1-LA339)*1/3/30</f>
        <v>981.26123108213551</v>
      </c>
      <c r="KT429" s="234">
        <f t="shared" ref="KT429:KT436" si="921">LA188*(1-LA339)*1/3/30</f>
        <v>981.26123108213551</v>
      </c>
      <c r="KU429" s="234">
        <f t="shared" ref="KU429:KU436" si="922">LA188*(1-LA339)*1/3/30</f>
        <v>981.26123108213551</v>
      </c>
      <c r="KV429" s="234">
        <f t="shared" ref="KV429:KV436" si="923">LA188*(1-LA339)*1/3/30</f>
        <v>981.26123108213551</v>
      </c>
      <c r="KW429" s="234">
        <f t="shared" ref="KW429:KW436" si="924">LA188*(1-LA339)*1/3/30</f>
        <v>981.26123108213551</v>
      </c>
      <c r="KX429" s="234">
        <f t="shared" ref="KX429:KX436" si="925">LA188*(1-LA339)*1/3/30</f>
        <v>981.26123108213551</v>
      </c>
      <c r="KY429" s="234">
        <f t="shared" ref="KY429:KY436" si="926">LA188*(1-LA339)*1/3/30</f>
        <v>981.26123108213551</v>
      </c>
      <c r="KZ429" s="234">
        <f t="shared" ref="KZ429:KZ436" si="927">LA188*(1-LA339)*1/3/30</f>
        <v>981.26123108213551</v>
      </c>
      <c r="LA429" s="189">
        <f t="shared" ref="LA429:LA436" si="928">LA188*(1-LA339)*1/3/30</f>
        <v>981.26123108213551</v>
      </c>
      <c r="LB429" s="140"/>
      <c r="LC429" s="139"/>
      <c r="LD429" s="140"/>
      <c r="LE429" s="140"/>
      <c r="LF429" s="140"/>
      <c r="LG429" s="140"/>
      <c r="LH429" s="219"/>
      <c r="LI429" s="234">
        <f t="shared" ref="LI429:LI436" si="929">ML188*(1-ML339)*1/3/30</f>
        <v>981.26123108213551</v>
      </c>
      <c r="LJ429" s="234">
        <f t="shared" ref="LJ429:LJ436" si="930">ML188*(1-ML339)*1/3/30</f>
        <v>981.26123108213551</v>
      </c>
      <c r="LK429" s="234">
        <f t="shared" ref="LK429:LK436" si="931">ML188*(1-ML339)*1/3/30</f>
        <v>981.26123108213551</v>
      </c>
      <c r="LL429" s="234">
        <f t="shared" ref="LL429:LL436" si="932">ML188*(1-ML339)*1/3/30</f>
        <v>981.26123108213551</v>
      </c>
      <c r="LM429" s="234">
        <f t="shared" ref="LM429:LM436" si="933">ML188*(1-ML339)*1/3/30</f>
        <v>981.26123108213551</v>
      </c>
      <c r="LN429" s="234">
        <f t="shared" ref="LN429:LN436" si="934">ML188*(1-ML339)*1/3/30</f>
        <v>981.26123108213551</v>
      </c>
      <c r="LO429" s="234">
        <f t="shared" ref="LO429:LO436" si="935">ML188*(1-ML339)*1/3/30</f>
        <v>981.26123108213551</v>
      </c>
      <c r="LP429" s="234">
        <f t="shared" ref="LP429:LP436" si="936">ML188*(1-ML339)*1/3/30</f>
        <v>981.26123108213551</v>
      </c>
      <c r="LQ429" s="234">
        <f t="shared" ref="LQ429:LQ436" si="937">ML188*(1-ML339)*1/3/30</f>
        <v>981.26123108213551</v>
      </c>
      <c r="LR429" s="234">
        <f t="shared" ref="LR429:LR436" si="938">ML188*(1-ML339)*1/3/30</f>
        <v>981.26123108213551</v>
      </c>
      <c r="LS429" s="234">
        <f t="shared" ref="LS429:LS436" si="939">ML188*(1-ML339)*1/3/30</f>
        <v>981.26123108213551</v>
      </c>
      <c r="LT429" s="234">
        <f t="shared" ref="LT429:LT436" si="940">ML188*(1-ML339)*1/3/30</f>
        <v>981.26123108213551</v>
      </c>
      <c r="LU429" s="234">
        <f t="shared" ref="LU429:LU436" si="941">ML188*(1-ML339)*1/3/30</f>
        <v>981.26123108213551</v>
      </c>
      <c r="LV429" s="234">
        <f t="shared" ref="LV429:LV436" si="942">ML188*(1-ML339)*1/3/30</f>
        <v>981.26123108213551</v>
      </c>
      <c r="LW429" s="234">
        <f t="shared" ref="LW429:LW436" si="943">ML188*(1-ML339)*1/3/30</f>
        <v>981.26123108213551</v>
      </c>
      <c r="LX429" s="234">
        <f t="shared" ref="LX429:LX436" si="944">ML188*(1-ML339)*1/3/30</f>
        <v>981.26123108213551</v>
      </c>
      <c r="LY429" s="234">
        <f t="shared" ref="LY429:LY436" si="945">ML188*(1-ML339)*1/3/30</f>
        <v>981.26123108213551</v>
      </c>
      <c r="LZ429" s="234">
        <f t="shared" ref="LZ429:LZ436" si="946">ML188*(1-ML339)*1/3/30</f>
        <v>981.26123108213551</v>
      </c>
      <c r="MA429" s="234">
        <f t="shared" ref="MA429:MA436" si="947">ML188*(1-ML339)*1/3/30</f>
        <v>981.26123108213551</v>
      </c>
      <c r="MB429" s="234">
        <f t="shared" ref="MB429:MB436" si="948">ML188*(1-ML339)*1/3/30</f>
        <v>981.26123108213551</v>
      </c>
      <c r="MC429" s="234">
        <f t="shared" ref="MC429:MC436" si="949">ML188*(1-ML339)*1/3/30</f>
        <v>981.26123108213551</v>
      </c>
      <c r="MD429" s="234">
        <f t="shared" ref="MD429:MD436" si="950">ML188*(1-ML339)*1/3/30</f>
        <v>981.26123108213551</v>
      </c>
      <c r="ME429" s="234">
        <f t="shared" ref="ME429:ME436" si="951">ML188*(1-ML339)*1/3/30</f>
        <v>981.26123108213551</v>
      </c>
      <c r="MF429" s="234">
        <f t="shared" ref="MF429:MF436" si="952">ML188*(1-ML339)*1/3/30</f>
        <v>981.26123108213551</v>
      </c>
      <c r="MG429" s="234">
        <f t="shared" ref="MG429:MG436" si="953">ML188*(1-ML339)*1/3/30</f>
        <v>981.26123108213551</v>
      </c>
      <c r="MH429" s="234">
        <f t="shared" ref="MH429:MH436" si="954">ML188*(1-ML339)*1/3/30</f>
        <v>981.26123108213551</v>
      </c>
      <c r="MI429" s="234">
        <f t="shared" ref="MI429:MI436" si="955">ML188*(1-ML339)*1/3/30</f>
        <v>981.26123108213551</v>
      </c>
      <c r="MJ429" s="234">
        <f t="shared" ref="MJ429:MJ436" si="956">ML188*(1-ML339)*1/3/30</f>
        <v>981.26123108213551</v>
      </c>
      <c r="MK429" s="234">
        <f t="shared" ref="MK429:MK436" si="957">ML188*(1-ML339)*1/3/30</f>
        <v>981.26123108213551</v>
      </c>
      <c r="ML429" s="189">
        <f t="shared" ref="ML429:ML436" si="958">ML188*(1-ML339)*1/3/30</f>
        <v>981.26123108213551</v>
      </c>
    </row>
    <row r="430" spans="3:350" s="4" customFormat="1" ht="18" customHeight="1" x14ac:dyDescent="0.3">
      <c r="C430" s="136" t="s">
        <v>77</v>
      </c>
      <c r="E430" s="137" t="s">
        <v>105</v>
      </c>
      <c r="F430" s="186"/>
      <c r="H430" s="235"/>
      <c r="I430" s="218"/>
      <c r="J430" s="218"/>
      <c r="K430" s="218"/>
      <c r="L430" s="218"/>
      <c r="M430" s="236"/>
      <c r="N430" s="237"/>
      <c r="O430" s="237"/>
      <c r="P430" s="237"/>
      <c r="Q430" s="237"/>
      <c r="R430" s="140"/>
      <c r="S430" s="139"/>
      <c r="T430" s="140"/>
      <c r="U430" s="140"/>
      <c r="V430" s="140"/>
      <c r="W430" s="140"/>
      <c r="X430" s="140"/>
      <c r="Y430" s="140"/>
      <c r="Z430" s="140"/>
      <c r="AA430" s="140"/>
      <c r="AB430" s="140"/>
      <c r="AC430" s="140"/>
      <c r="AD430" s="140"/>
      <c r="AE430" s="140"/>
      <c r="AF430" s="140"/>
      <c r="AG430" s="140"/>
      <c r="AH430" s="140"/>
      <c r="AI430" s="140"/>
      <c r="AJ430" s="140"/>
      <c r="AK430" s="140"/>
      <c r="AL430" s="140"/>
      <c r="AM430" s="140"/>
      <c r="AN430" s="140"/>
      <c r="AO430" s="140"/>
      <c r="AP430" s="140"/>
      <c r="AQ430" s="140"/>
      <c r="AR430" s="140"/>
      <c r="AS430" s="140"/>
      <c r="AT430" s="140"/>
      <c r="AU430" s="140"/>
      <c r="AV430" s="140"/>
      <c r="AW430" s="140"/>
      <c r="AX430" s="140"/>
      <c r="AY430" s="140"/>
      <c r="AZ430" s="140"/>
      <c r="BA430" s="140"/>
      <c r="BB430" s="141"/>
      <c r="BC430" s="140"/>
      <c r="BD430" s="139"/>
      <c r="BE430" s="140"/>
      <c r="BF430" s="140"/>
      <c r="BG430" s="140"/>
      <c r="BH430" s="140"/>
      <c r="BI430" s="219"/>
      <c r="BJ430" s="234">
        <f t="shared" si="719"/>
        <v>382.82731679306329</v>
      </c>
      <c r="BK430" s="234">
        <f t="shared" si="720"/>
        <v>382.82731679306329</v>
      </c>
      <c r="BL430" s="234">
        <f t="shared" si="721"/>
        <v>382.82731679306329</v>
      </c>
      <c r="BM430" s="234">
        <f t="shared" si="722"/>
        <v>382.82731679306329</v>
      </c>
      <c r="BN430" s="234">
        <f t="shared" si="723"/>
        <v>382.82731679306329</v>
      </c>
      <c r="BO430" s="234">
        <f t="shared" si="724"/>
        <v>382.82731679306329</v>
      </c>
      <c r="BP430" s="234">
        <f t="shared" si="725"/>
        <v>382.82731679306329</v>
      </c>
      <c r="BQ430" s="234">
        <f t="shared" si="726"/>
        <v>382.82731679306329</v>
      </c>
      <c r="BR430" s="234">
        <f t="shared" si="727"/>
        <v>382.82731679306329</v>
      </c>
      <c r="BS430" s="234">
        <f t="shared" si="728"/>
        <v>382.82731679306329</v>
      </c>
      <c r="BT430" s="234">
        <f t="shared" si="729"/>
        <v>382.82731679306329</v>
      </c>
      <c r="BU430" s="234">
        <f t="shared" si="730"/>
        <v>382.82731679306329</v>
      </c>
      <c r="BV430" s="234">
        <f t="shared" si="731"/>
        <v>382.82731679306329</v>
      </c>
      <c r="BW430" s="234">
        <f t="shared" si="732"/>
        <v>382.82731679306329</v>
      </c>
      <c r="BX430" s="234">
        <f t="shared" si="733"/>
        <v>382.82731679306329</v>
      </c>
      <c r="BY430" s="234">
        <f t="shared" si="734"/>
        <v>382.82731679306329</v>
      </c>
      <c r="BZ430" s="234">
        <f t="shared" si="735"/>
        <v>382.82731679306329</v>
      </c>
      <c r="CA430" s="234">
        <f t="shared" si="736"/>
        <v>382.82731679306329</v>
      </c>
      <c r="CB430" s="234">
        <f t="shared" si="737"/>
        <v>382.82731679306329</v>
      </c>
      <c r="CC430" s="234">
        <f t="shared" si="738"/>
        <v>382.82731679306329</v>
      </c>
      <c r="CD430" s="234">
        <f t="shared" si="739"/>
        <v>382.82731679306329</v>
      </c>
      <c r="CE430" s="234">
        <f t="shared" si="740"/>
        <v>382.82731679306329</v>
      </c>
      <c r="CF430" s="234">
        <f t="shared" si="741"/>
        <v>382.82731679306329</v>
      </c>
      <c r="CG430" s="234">
        <f t="shared" si="742"/>
        <v>382.82731679306329</v>
      </c>
      <c r="CH430" s="234">
        <f t="shared" si="743"/>
        <v>382.82731679306329</v>
      </c>
      <c r="CI430" s="234">
        <f t="shared" si="744"/>
        <v>382.82731679306329</v>
      </c>
      <c r="CJ430" s="234">
        <f t="shared" si="745"/>
        <v>382.82731679306329</v>
      </c>
      <c r="CK430" s="234">
        <f t="shared" si="746"/>
        <v>382.82731679306329</v>
      </c>
      <c r="CL430" s="234">
        <f t="shared" si="747"/>
        <v>382.82731679306329</v>
      </c>
      <c r="CM430" s="189">
        <f t="shared" si="748"/>
        <v>382.82731679306329</v>
      </c>
      <c r="CN430" s="140"/>
      <c r="CO430" s="139"/>
      <c r="CP430" s="140"/>
      <c r="CQ430" s="140"/>
      <c r="CR430" s="140"/>
      <c r="CS430" s="140"/>
      <c r="CT430" s="219"/>
      <c r="CU430" s="234">
        <f t="shared" si="749"/>
        <v>136.80026200903825</v>
      </c>
      <c r="CV430" s="234">
        <f t="shared" si="750"/>
        <v>136.80026200903825</v>
      </c>
      <c r="CW430" s="234">
        <f t="shared" si="751"/>
        <v>136.80026200903825</v>
      </c>
      <c r="CX430" s="234">
        <f t="shared" si="752"/>
        <v>136.80026200903825</v>
      </c>
      <c r="CY430" s="234">
        <f t="shared" si="753"/>
        <v>136.80026200903825</v>
      </c>
      <c r="CZ430" s="234">
        <f t="shared" si="754"/>
        <v>136.80026200903825</v>
      </c>
      <c r="DA430" s="234">
        <f t="shared" si="755"/>
        <v>136.80026200903825</v>
      </c>
      <c r="DB430" s="234">
        <f t="shared" si="756"/>
        <v>136.80026200903825</v>
      </c>
      <c r="DC430" s="234">
        <f t="shared" si="757"/>
        <v>136.80026200903825</v>
      </c>
      <c r="DD430" s="234">
        <f t="shared" si="758"/>
        <v>136.80026200903825</v>
      </c>
      <c r="DE430" s="234">
        <f t="shared" si="759"/>
        <v>136.80026200903825</v>
      </c>
      <c r="DF430" s="234">
        <f t="shared" si="760"/>
        <v>136.80026200903825</v>
      </c>
      <c r="DG430" s="234">
        <f t="shared" si="761"/>
        <v>136.80026200903825</v>
      </c>
      <c r="DH430" s="234">
        <f t="shared" si="762"/>
        <v>136.80026200903825</v>
      </c>
      <c r="DI430" s="234">
        <f t="shared" si="763"/>
        <v>136.80026200903825</v>
      </c>
      <c r="DJ430" s="234">
        <f t="shared" si="764"/>
        <v>136.80026200903825</v>
      </c>
      <c r="DK430" s="234">
        <f t="shared" si="765"/>
        <v>136.80026200903825</v>
      </c>
      <c r="DL430" s="234">
        <f t="shared" si="766"/>
        <v>136.80026200903825</v>
      </c>
      <c r="DM430" s="234">
        <f t="shared" si="767"/>
        <v>136.80026200903825</v>
      </c>
      <c r="DN430" s="234">
        <f t="shared" si="768"/>
        <v>136.80026200903825</v>
      </c>
      <c r="DO430" s="234">
        <f t="shared" si="769"/>
        <v>136.80026200903825</v>
      </c>
      <c r="DP430" s="234">
        <f t="shared" si="770"/>
        <v>136.80026200903825</v>
      </c>
      <c r="DQ430" s="234">
        <f t="shared" si="771"/>
        <v>136.80026200903825</v>
      </c>
      <c r="DR430" s="234">
        <f t="shared" si="772"/>
        <v>136.80026200903825</v>
      </c>
      <c r="DS430" s="234">
        <f t="shared" si="773"/>
        <v>136.80026200903825</v>
      </c>
      <c r="DT430" s="234">
        <f t="shared" si="774"/>
        <v>136.80026200903825</v>
      </c>
      <c r="DU430" s="234">
        <f t="shared" si="775"/>
        <v>136.80026200903825</v>
      </c>
      <c r="DV430" s="234">
        <f t="shared" si="776"/>
        <v>136.80026200903825</v>
      </c>
      <c r="DW430" s="234">
        <f t="shared" si="777"/>
        <v>136.80026200903825</v>
      </c>
      <c r="DX430" s="189">
        <f t="shared" si="778"/>
        <v>136.80026200903825</v>
      </c>
      <c r="DY430" s="140"/>
      <c r="DZ430" s="139"/>
      <c r="EA430" s="140"/>
      <c r="EB430" s="140"/>
      <c r="EC430" s="140"/>
      <c r="ED430" s="140"/>
      <c r="EE430" s="219"/>
      <c r="EF430" s="234">
        <f t="shared" si="779"/>
        <v>193.80037117947083</v>
      </c>
      <c r="EG430" s="234">
        <f t="shared" si="780"/>
        <v>193.80037117947083</v>
      </c>
      <c r="EH430" s="234">
        <f t="shared" si="781"/>
        <v>193.80037117947083</v>
      </c>
      <c r="EI430" s="234">
        <f t="shared" si="782"/>
        <v>193.80037117947083</v>
      </c>
      <c r="EJ430" s="234">
        <f t="shared" si="783"/>
        <v>193.80037117947083</v>
      </c>
      <c r="EK430" s="234">
        <f t="shared" si="784"/>
        <v>193.80037117947083</v>
      </c>
      <c r="EL430" s="234">
        <f t="shared" si="785"/>
        <v>193.80037117947083</v>
      </c>
      <c r="EM430" s="234">
        <f t="shared" si="786"/>
        <v>193.80037117947083</v>
      </c>
      <c r="EN430" s="234">
        <f t="shared" si="787"/>
        <v>193.80037117947083</v>
      </c>
      <c r="EO430" s="234">
        <f t="shared" si="788"/>
        <v>193.80037117947083</v>
      </c>
      <c r="EP430" s="234">
        <f t="shared" si="789"/>
        <v>193.80037117947083</v>
      </c>
      <c r="EQ430" s="234">
        <f t="shared" si="790"/>
        <v>193.80037117947083</v>
      </c>
      <c r="ER430" s="234">
        <f t="shared" si="791"/>
        <v>193.80037117947083</v>
      </c>
      <c r="ES430" s="234">
        <f t="shared" si="792"/>
        <v>193.80037117947083</v>
      </c>
      <c r="ET430" s="234">
        <f t="shared" si="793"/>
        <v>193.80037117947083</v>
      </c>
      <c r="EU430" s="234">
        <f t="shared" si="794"/>
        <v>193.80037117947083</v>
      </c>
      <c r="EV430" s="234">
        <f t="shared" si="795"/>
        <v>193.80037117947083</v>
      </c>
      <c r="EW430" s="234">
        <f t="shared" si="796"/>
        <v>193.80037117947083</v>
      </c>
      <c r="EX430" s="234">
        <f t="shared" si="797"/>
        <v>193.80037117947083</v>
      </c>
      <c r="EY430" s="234">
        <f t="shared" si="798"/>
        <v>193.80037117947083</v>
      </c>
      <c r="EZ430" s="234">
        <f t="shared" si="799"/>
        <v>193.80037117947083</v>
      </c>
      <c r="FA430" s="234">
        <f t="shared" si="800"/>
        <v>193.80037117947083</v>
      </c>
      <c r="FB430" s="234">
        <f t="shared" si="801"/>
        <v>193.80037117947083</v>
      </c>
      <c r="FC430" s="234">
        <f t="shared" si="802"/>
        <v>193.80037117947083</v>
      </c>
      <c r="FD430" s="234">
        <f t="shared" si="803"/>
        <v>193.80037117947083</v>
      </c>
      <c r="FE430" s="234">
        <f t="shared" si="804"/>
        <v>193.80037117947083</v>
      </c>
      <c r="FF430" s="234">
        <f t="shared" si="805"/>
        <v>193.80037117947083</v>
      </c>
      <c r="FG430" s="234">
        <f t="shared" si="806"/>
        <v>193.80037117947083</v>
      </c>
      <c r="FH430" s="234">
        <f t="shared" si="807"/>
        <v>193.80037117947083</v>
      </c>
      <c r="FI430" s="189">
        <f t="shared" si="808"/>
        <v>193.80037117947083</v>
      </c>
      <c r="FJ430" s="140"/>
      <c r="FK430" s="139"/>
      <c r="FL430" s="140"/>
      <c r="FM430" s="140"/>
      <c r="FN430" s="140"/>
      <c r="FO430" s="140"/>
      <c r="FP430" s="219"/>
      <c r="FQ430" s="234">
        <f t="shared" si="809"/>
        <v>241.0394216845213</v>
      </c>
      <c r="FR430" s="234">
        <f t="shared" si="810"/>
        <v>241.0394216845213</v>
      </c>
      <c r="FS430" s="234">
        <f t="shared" si="811"/>
        <v>241.0394216845213</v>
      </c>
      <c r="FT430" s="234">
        <f t="shared" si="812"/>
        <v>241.0394216845213</v>
      </c>
      <c r="FU430" s="234">
        <f t="shared" si="813"/>
        <v>241.0394216845213</v>
      </c>
      <c r="FV430" s="234">
        <f t="shared" si="814"/>
        <v>241.0394216845213</v>
      </c>
      <c r="FW430" s="234">
        <f t="shared" si="815"/>
        <v>241.0394216845213</v>
      </c>
      <c r="FX430" s="234">
        <f t="shared" si="816"/>
        <v>241.0394216845213</v>
      </c>
      <c r="FY430" s="234">
        <f t="shared" si="817"/>
        <v>241.0394216845213</v>
      </c>
      <c r="FZ430" s="234">
        <f t="shared" si="818"/>
        <v>241.0394216845213</v>
      </c>
      <c r="GA430" s="234">
        <f t="shared" si="819"/>
        <v>241.0394216845213</v>
      </c>
      <c r="GB430" s="234">
        <f t="shared" si="820"/>
        <v>241.0394216845213</v>
      </c>
      <c r="GC430" s="234">
        <f t="shared" si="821"/>
        <v>241.0394216845213</v>
      </c>
      <c r="GD430" s="234">
        <f t="shared" si="822"/>
        <v>241.0394216845213</v>
      </c>
      <c r="GE430" s="234">
        <f t="shared" si="823"/>
        <v>241.0394216845213</v>
      </c>
      <c r="GF430" s="234">
        <f t="shared" si="824"/>
        <v>241.0394216845213</v>
      </c>
      <c r="GG430" s="234">
        <f t="shared" si="825"/>
        <v>241.0394216845213</v>
      </c>
      <c r="GH430" s="234">
        <f t="shared" si="826"/>
        <v>241.0394216845213</v>
      </c>
      <c r="GI430" s="234">
        <f t="shared" si="827"/>
        <v>241.0394216845213</v>
      </c>
      <c r="GJ430" s="234">
        <f t="shared" si="828"/>
        <v>241.0394216845213</v>
      </c>
      <c r="GK430" s="234">
        <f t="shared" si="829"/>
        <v>241.0394216845213</v>
      </c>
      <c r="GL430" s="234">
        <f t="shared" si="830"/>
        <v>241.0394216845213</v>
      </c>
      <c r="GM430" s="234">
        <f t="shared" si="831"/>
        <v>241.0394216845213</v>
      </c>
      <c r="GN430" s="234">
        <f t="shared" si="832"/>
        <v>241.0394216845213</v>
      </c>
      <c r="GO430" s="234">
        <f t="shared" si="833"/>
        <v>241.0394216845213</v>
      </c>
      <c r="GP430" s="234">
        <f t="shared" si="834"/>
        <v>241.0394216845213</v>
      </c>
      <c r="GQ430" s="234">
        <f t="shared" si="835"/>
        <v>241.0394216845213</v>
      </c>
      <c r="GR430" s="234">
        <f t="shared" si="836"/>
        <v>241.0394216845213</v>
      </c>
      <c r="GS430" s="234">
        <f t="shared" si="837"/>
        <v>241.0394216845213</v>
      </c>
      <c r="GT430" s="189">
        <f t="shared" si="838"/>
        <v>241.0394216845213</v>
      </c>
      <c r="GU430" s="140"/>
      <c r="GV430" s="139"/>
      <c r="GW430" s="140"/>
      <c r="GX430" s="140"/>
      <c r="GY430" s="140"/>
      <c r="GZ430" s="140"/>
      <c r="HA430" s="219"/>
      <c r="HB430" s="234">
        <f t="shared" si="839"/>
        <v>319.02276399421942</v>
      </c>
      <c r="HC430" s="234">
        <f t="shared" si="840"/>
        <v>319.02276399421942</v>
      </c>
      <c r="HD430" s="234">
        <f t="shared" si="841"/>
        <v>319.02276399421942</v>
      </c>
      <c r="HE430" s="234">
        <f t="shared" si="842"/>
        <v>319.02276399421942</v>
      </c>
      <c r="HF430" s="234">
        <f t="shared" si="843"/>
        <v>319.02276399421942</v>
      </c>
      <c r="HG430" s="234">
        <f t="shared" si="844"/>
        <v>319.02276399421942</v>
      </c>
      <c r="HH430" s="234">
        <f t="shared" si="845"/>
        <v>319.02276399421942</v>
      </c>
      <c r="HI430" s="234">
        <f t="shared" si="846"/>
        <v>319.02276399421942</v>
      </c>
      <c r="HJ430" s="234">
        <f t="shared" si="847"/>
        <v>319.02276399421942</v>
      </c>
      <c r="HK430" s="234">
        <f t="shared" si="848"/>
        <v>319.02276399421942</v>
      </c>
      <c r="HL430" s="234">
        <f t="shared" si="849"/>
        <v>319.02276399421942</v>
      </c>
      <c r="HM430" s="234">
        <f t="shared" si="850"/>
        <v>319.02276399421942</v>
      </c>
      <c r="HN430" s="234">
        <f t="shared" si="851"/>
        <v>319.02276399421942</v>
      </c>
      <c r="HO430" s="234">
        <f t="shared" si="852"/>
        <v>319.02276399421942</v>
      </c>
      <c r="HP430" s="234">
        <f t="shared" si="853"/>
        <v>319.02276399421942</v>
      </c>
      <c r="HQ430" s="234">
        <f t="shared" si="854"/>
        <v>319.02276399421942</v>
      </c>
      <c r="HR430" s="234">
        <f t="shared" si="855"/>
        <v>319.02276399421942</v>
      </c>
      <c r="HS430" s="234">
        <f t="shared" si="856"/>
        <v>319.02276399421942</v>
      </c>
      <c r="HT430" s="234">
        <f t="shared" si="857"/>
        <v>319.02276399421942</v>
      </c>
      <c r="HU430" s="234">
        <f t="shared" si="858"/>
        <v>319.02276399421942</v>
      </c>
      <c r="HV430" s="234">
        <f t="shared" si="859"/>
        <v>319.02276399421942</v>
      </c>
      <c r="HW430" s="234">
        <f t="shared" si="860"/>
        <v>319.02276399421942</v>
      </c>
      <c r="HX430" s="234">
        <f t="shared" si="861"/>
        <v>319.02276399421942</v>
      </c>
      <c r="HY430" s="234">
        <f t="shared" si="862"/>
        <v>319.02276399421942</v>
      </c>
      <c r="HZ430" s="234">
        <f t="shared" si="863"/>
        <v>319.02276399421942</v>
      </c>
      <c r="IA430" s="234">
        <f t="shared" si="864"/>
        <v>319.02276399421942</v>
      </c>
      <c r="IB430" s="234">
        <f t="shared" si="865"/>
        <v>319.02276399421942</v>
      </c>
      <c r="IC430" s="234">
        <f t="shared" si="866"/>
        <v>319.02276399421942</v>
      </c>
      <c r="ID430" s="234">
        <f t="shared" si="867"/>
        <v>319.02276399421942</v>
      </c>
      <c r="IE430" s="189">
        <f t="shared" si="868"/>
        <v>319.02276399421942</v>
      </c>
      <c r="IF430" s="140"/>
      <c r="IG430" s="139"/>
      <c r="IH430" s="140"/>
      <c r="II430" s="140"/>
      <c r="IJ430" s="140"/>
      <c r="IK430" s="140"/>
      <c r="IL430" s="219"/>
      <c r="IM430" s="234">
        <f t="shared" si="869"/>
        <v>594.55278251355173</v>
      </c>
      <c r="IN430" s="234">
        <f t="shared" si="870"/>
        <v>594.55278251355173</v>
      </c>
      <c r="IO430" s="234">
        <f t="shared" si="871"/>
        <v>594.55278251355173</v>
      </c>
      <c r="IP430" s="234">
        <f t="shared" si="872"/>
        <v>594.55278251355173</v>
      </c>
      <c r="IQ430" s="234">
        <f t="shared" si="873"/>
        <v>594.55278251355173</v>
      </c>
      <c r="IR430" s="234">
        <f t="shared" si="874"/>
        <v>594.55278251355173</v>
      </c>
      <c r="IS430" s="234">
        <f t="shared" si="875"/>
        <v>594.55278251355173</v>
      </c>
      <c r="IT430" s="234">
        <f t="shared" si="876"/>
        <v>594.55278251355173</v>
      </c>
      <c r="IU430" s="234">
        <f t="shared" si="877"/>
        <v>594.55278251355173</v>
      </c>
      <c r="IV430" s="234">
        <f t="shared" si="878"/>
        <v>594.55278251355173</v>
      </c>
      <c r="IW430" s="234">
        <f t="shared" si="879"/>
        <v>594.55278251355173</v>
      </c>
      <c r="IX430" s="234">
        <f t="shared" si="880"/>
        <v>594.55278251355173</v>
      </c>
      <c r="IY430" s="234">
        <f t="shared" si="881"/>
        <v>594.55278251355173</v>
      </c>
      <c r="IZ430" s="234">
        <f t="shared" si="882"/>
        <v>594.55278251355173</v>
      </c>
      <c r="JA430" s="234">
        <f t="shared" si="883"/>
        <v>594.55278251355173</v>
      </c>
      <c r="JB430" s="234">
        <f t="shared" si="884"/>
        <v>594.55278251355173</v>
      </c>
      <c r="JC430" s="234">
        <f t="shared" si="885"/>
        <v>594.55278251355173</v>
      </c>
      <c r="JD430" s="234">
        <f t="shared" si="886"/>
        <v>594.55278251355173</v>
      </c>
      <c r="JE430" s="234">
        <f t="shared" si="887"/>
        <v>594.55278251355173</v>
      </c>
      <c r="JF430" s="234">
        <f t="shared" si="888"/>
        <v>594.55278251355173</v>
      </c>
      <c r="JG430" s="234">
        <f t="shared" si="889"/>
        <v>594.55278251355173</v>
      </c>
      <c r="JH430" s="234">
        <f t="shared" si="890"/>
        <v>594.55278251355173</v>
      </c>
      <c r="JI430" s="234">
        <f t="shared" si="891"/>
        <v>594.55278251355173</v>
      </c>
      <c r="JJ430" s="234">
        <f t="shared" si="892"/>
        <v>594.55278251355173</v>
      </c>
      <c r="JK430" s="234">
        <f t="shared" si="893"/>
        <v>594.55278251355173</v>
      </c>
      <c r="JL430" s="234">
        <f t="shared" si="894"/>
        <v>594.55278251355173</v>
      </c>
      <c r="JM430" s="234">
        <f t="shared" si="895"/>
        <v>594.55278251355173</v>
      </c>
      <c r="JN430" s="234">
        <f t="shared" si="896"/>
        <v>594.55278251355173</v>
      </c>
      <c r="JO430" s="234">
        <f t="shared" si="897"/>
        <v>594.55278251355173</v>
      </c>
      <c r="JP430" s="189">
        <f t="shared" si="898"/>
        <v>594.55278251355173</v>
      </c>
      <c r="JQ430" s="140"/>
      <c r="JR430" s="139"/>
      <c r="JS430" s="140"/>
      <c r="JT430" s="140"/>
      <c r="JU430" s="140"/>
      <c r="JV430" s="140"/>
      <c r="JW430" s="219"/>
      <c r="JX430" s="234">
        <f t="shared" si="899"/>
        <v>594.55278251355173</v>
      </c>
      <c r="JY430" s="234">
        <f t="shared" si="900"/>
        <v>594.55278251355173</v>
      </c>
      <c r="JZ430" s="234">
        <f t="shared" si="901"/>
        <v>594.55278251355173</v>
      </c>
      <c r="KA430" s="234">
        <f t="shared" si="902"/>
        <v>594.55278251355173</v>
      </c>
      <c r="KB430" s="234">
        <f t="shared" si="903"/>
        <v>594.55278251355173</v>
      </c>
      <c r="KC430" s="234">
        <f t="shared" si="904"/>
        <v>594.55278251355173</v>
      </c>
      <c r="KD430" s="234">
        <f t="shared" si="905"/>
        <v>594.55278251355173</v>
      </c>
      <c r="KE430" s="234">
        <f t="shared" si="906"/>
        <v>594.55278251355173</v>
      </c>
      <c r="KF430" s="234">
        <f t="shared" si="907"/>
        <v>594.55278251355173</v>
      </c>
      <c r="KG430" s="234">
        <f t="shared" si="908"/>
        <v>594.55278251355173</v>
      </c>
      <c r="KH430" s="234">
        <f t="shared" si="909"/>
        <v>594.55278251355173</v>
      </c>
      <c r="KI430" s="234">
        <f t="shared" si="910"/>
        <v>594.55278251355173</v>
      </c>
      <c r="KJ430" s="234">
        <f t="shared" si="911"/>
        <v>594.55278251355173</v>
      </c>
      <c r="KK430" s="234">
        <f t="shared" si="912"/>
        <v>594.55278251355173</v>
      </c>
      <c r="KL430" s="234">
        <f t="shared" si="913"/>
        <v>594.55278251355173</v>
      </c>
      <c r="KM430" s="234">
        <f t="shared" si="914"/>
        <v>594.55278251355173</v>
      </c>
      <c r="KN430" s="234">
        <f t="shared" si="915"/>
        <v>594.55278251355173</v>
      </c>
      <c r="KO430" s="234">
        <f t="shared" si="916"/>
        <v>594.55278251355173</v>
      </c>
      <c r="KP430" s="234">
        <f t="shared" si="917"/>
        <v>594.55278251355173</v>
      </c>
      <c r="KQ430" s="234">
        <f t="shared" si="918"/>
        <v>594.55278251355173</v>
      </c>
      <c r="KR430" s="234">
        <f t="shared" si="919"/>
        <v>594.55278251355173</v>
      </c>
      <c r="KS430" s="234">
        <f t="shared" si="920"/>
        <v>594.55278251355173</v>
      </c>
      <c r="KT430" s="234">
        <f t="shared" si="921"/>
        <v>594.55278251355173</v>
      </c>
      <c r="KU430" s="234">
        <f t="shared" si="922"/>
        <v>594.55278251355173</v>
      </c>
      <c r="KV430" s="234">
        <f t="shared" si="923"/>
        <v>594.55278251355173</v>
      </c>
      <c r="KW430" s="234">
        <f t="shared" si="924"/>
        <v>594.55278251355173</v>
      </c>
      <c r="KX430" s="234">
        <f t="shared" si="925"/>
        <v>594.55278251355173</v>
      </c>
      <c r="KY430" s="234">
        <f t="shared" si="926"/>
        <v>594.55278251355173</v>
      </c>
      <c r="KZ430" s="234">
        <f t="shared" si="927"/>
        <v>594.55278251355173</v>
      </c>
      <c r="LA430" s="189">
        <f t="shared" si="928"/>
        <v>594.55278251355173</v>
      </c>
      <c r="LB430" s="140"/>
      <c r="LC430" s="139"/>
      <c r="LD430" s="140"/>
      <c r="LE430" s="140"/>
      <c r="LF430" s="140"/>
      <c r="LG430" s="140"/>
      <c r="LH430" s="219"/>
      <c r="LI430" s="234">
        <f t="shared" si="929"/>
        <v>594.55278251355173</v>
      </c>
      <c r="LJ430" s="234">
        <f t="shared" si="930"/>
        <v>594.55278251355173</v>
      </c>
      <c r="LK430" s="234">
        <f t="shared" si="931"/>
        <v>594.55278251355173</v>
      </c>
      <c r="LL430" s="234">
        <f t="shared" si="932"/>
        <v>594.55278251355173</v>
      </c>
      <c r="LM430" s="234">
        <f t="shared" si="933"/>
        <v>594.55278251355173</v>
      </c>
      <c r="LN430" s="234">
        <f t="shared" si="934"/>
        <v>594.55278251355173</v>
      </c>
      <c r="LO430" s="234">
        <f t="shared" si="935"/>
        <v>594.55278251355173</v>
      </c>
      <c r="LP430" s="234">
        <f t="shared" si="936"/>
        <v>594.55278251355173</v>
      </c>
      <c r="LQ430" s="234">
        <f t="shared" si="937"/>
        <v>594.55278251355173</v>
      </c>
      <c r="LR430" s="234">
        <f t="shared" si="938"/>
        <v>594.55278251355173</v>
      </c>
      <c r="LS430" s="234">
        <f t="shared" si="939"/>
        <v>594.55278251355173</v>
      </c>
      <c r="LT430" s="234">
        <f t="shared" si="940"/>
        <v>594.55278251355173</v>
      </c>
      <c r="LU430" s="234">
        <f t="shared" si="941"/>
        <v>594.55278251355173</v>
      </c>
      <c r="LV430" s="234">
        <f t="shared" si="942"/>
        <v>594.55278251355173</v>
      </c>
      <c r="LW430" s="234">
        <f t="shared" si="943"/>
        <v>594.55278251355173</v>
      </c>
      <c r="LX430" s="234">
        <f t="shared" si="944"/>
        <v>594.55278251355173</v>
      </c>
      <c r="LY430" s="234">
        <f t="shared" si="945"/>
        <v>594.55278251355173</v>
      </c>
      <c r="LZ430" s="234">
        <f t="shared" si="946"/>
        <v>594.55278251355173</v>
      </c>
      <c r="MA430" s="234">
        <f t="shared" si="947"/>
        <v>594.55278251355173</v>
      </c>
      <c r="MB430" s="234">
        <f t="shared" si="948"/>
        <v>594.55278251355173</v>
      </c>
      <c r="MC430" s="234">
        <f t="shared" si="949"/>
        <v>594.55278251355173</v>
      </c>
      <c r="MD430" s="234">
        <f t="shared" si="950"/>
        <v>594.55278251355173</v>
      </c>
      <c r="ME430" s="234">
        <f t="shared" si="951"/>
        <v>594.55278251355173</v>
      </c>
      <c r="MF430" s="234">
        <f t="shared" si="952"/>
        <v>594.55278251355173</v>
      </c>
      <c r="MG430" s="234">
        <f t="shared" si="953"/>
        <v>594.55278251355173</v>
      </c>
      <c r="MH430" s="234">
        <f t="shared" si="954"/>
        <v>594.55278251355173</v>
      </c>
      <c r="MI430" s="234">
        <f t="shared" si="955"/>
        <v>594.55278251355173</v>
      </c>
      <c r="MJ430" s="234">
        <f t="shared" si="956"/>
        <v>594.55278251355173</v>
      </c>
      <c r="MK430" s="234">
        <f t="shared" si="957"/>
        <v>594.55278251355173</v>
      </c>
      <c r="ML430" s="189">
        <f t="shared" si="958"/>
        <v>594.55278251355173</v>
      </c>
    </row>
    <row r="431" spans="3:350" s="4" customFormat="1" ht="18" customHeight="1" x14ac:dyDescent="0.3">
      <c r="C431" s="136" t="s">
        <v>78</v>
      </c>
      <c r="E431" s="137" t="s">
        <v>105</v>
      </c>
      <c r="F431" s="186"/>
      <c r="H431" s="235"/>
      <c r="I431" s="218"/>
      <c r="J431" s="218"/>
      <c r="K431" s="218"/>
      <c r="L431" s="218"/>
      <c r="M431" s="236"/>
      <c r="N431" s="237"/>
      <c r="O431" s="237"/>
      <c r="P431" s="237"/>
      <c r="Q431" s="237"/>
      <c r="R431" s="140"/>
      <c r="S431" s="139"/>
      <c r="T431" s="140"/>
      <c r="U431" s="140"/>
      <c r="V431" s="140"/>
      <c r="W431" s="140"/>
      <c r="X431" s="140"/>
      <c r="Y431" s="140"/>
      <c r="Z431" s="140"/>
      <c r="AA431" s="140"/>
      <c r="AB431" s="140"/>
      <c r="AC431" s="140"/>
      <c r="AD431" s="140"/>
      <c r="AE431" s="140"/>
      <c r="AF431" s="140"/>
      <c r="AG431" s="140"/>
      <c r="AH431" s="140"/>
      <c r="AI431" s="140"/>
      <c r="AJ431" s="140"/>
      <c r="AK431" s="140"/>
      <c r="AL431" s="140"/>
      <c r="AM431" s="140"/>
      <c r="AN431" s="140"/>
      <c r="AO431" s="140"/>
      <c r="AP431" s="140"/>
      <c r="AQ431" s="140"/>
      <c r="AR431" s="140"/>
      <c r="AS431" s="140"/>
      <c r="AT431" s="140"/>
      <c r="AU431" s="140"/>
      <c r="AV431" s="140"/>
      <c r="AW431" s="140"/>
      <c r="AX431" s="140"/>
      <c r="AY431" s="140"/>
      <c r="AZ431" s="140"/>
      <c r="BA431" s="140"/>
      <c r="BB431" s="141"/>
      <c r="BC431" s="140"/>
      <c r="BD431" s="139"/>
      <c r="BE431" s="140"/>
      <c r="BF431" s="140"/>
      <c r="BG431" s="140"/>
      <c r="BH431" s="140"/>
      <c r="BI431" s="219"/>
      <c r="BJ431" s="234">
        <f t="shared" si="719"/>
        <v>1504.259595959596</v>
      </c>
      <c r="BK431" s="234">
        <f t="shared" si="720"/>
        <v>1504.259595959596</v>
      </c>
      <c r="BL431" s="234">
        <f t="shared" si="721"/>
        <v>1504.259595959596</v>
      </c>
      <c r="BM431" s="234">
        <f t="shared" si="722"/>
        <v>1504.259595959596</v>
      </c>
      <c r="BN431" s="234">
        <f t="shared" si="723"/>
        <v>1504.259595959596</v>
      </c>
      <c r="BO431" s="234">
        <f t="shared" si="724"/>
        <v>1504.259595959596</v>
      </c>
      <c r="BP431" s="234">
        <f t="shared" si="725"/>
        <v>1504.259595959596</v>
      </c>
      <c r="BQ431" s="234">
        <f t="shared" si="726"/>
        <v>1504.259595959596</v>
      </c>
      <c r="BR431" s="234">
        <f t="shared" si="727"/>
        <v>1504.259595959596</v>
      </c>
      <c r="BS431" s="234">
        <f t="shared" si="728"/>
        <v>1504.259595959596</v>
      </c>
      <c r="BT431" s="234">
        <f t="shared" si="729"/>
        <v>1504.259595959596</v>
      </c>
      <c r="BU431" s="234">
        <f t="shared" si="730"/>
        <v>1504.259595959596</v>
      </c>
      <c r="BV431" s="234">
        <f t="shared" si="731"/>
        <v>1504.259595959596</v>
      </c>
      <c r="BW431" s="234">
        <f t="shared" si="732"/>
        <v>1504.259595959596</v>
      </c>
      <c r="BX431" s="234">
        <f t="shared" si="733"/>
        <v>1504.259595959596</v>
      </c>
      <c r="BY431" s="234">
        <f t="shared" si="734"/>
        <v>1504.259595959596</v>
      </c>
      <c r="BZ431" s="234">
        <f t="shared" si="735"/>
        <v>1504.259595959596</v>
      </c>
      <c r="CA431" s="234">
        <f t="shared" si="736"/>
        <v>1504.259595959596</v>
      </c>
      <c r="CB431" s="234">
        <f t="shared" si="737"/>
        <v>1504.259595959596</v>
      </c>
      <c r="CC431" s="234">
        <f t="shared" si="738"/>
        <v>1504.259595959596</v>
      </c>
      <c r="CD431" s="234">
        <f t="shared" si="739"/>
        <v>1504.259595959596</v>
      </c>
      <c r="CE431" s="234">
        <f t="shared" si="740"/>
        <v>1504.259595959596</v>
      </c>
      <c r="CF431" s="234">
        <f t="shared" si="741"/>
        <v>1504.259595959596</v>
      </c>
      <c r="CG431" s="234">
        <f t="shared" si="742"/>
        <v>1504.259595959596</v>
      </c>
      <c r="CH431" s="234">
        <f t="shared" si="743"/>
        <v>1504.259595959596</v>
      </c>
      <c r="CI431" s="234">
        <f t="shared" si="744"/>
        <v>1504.259595959596</v>
      </c>
      <c r="CJ431" s="234">
        <f t="shared" si="745"/>
        <v>1504.259595959596</v>
      </c>
      <c r="CK431" s="234">
        <f t="shared" si="746"/>
        <v>1504.259595959596</v>
      </c>
      <c r="CL431" s="234">
        <f t="shared" si="747"/>
        <v>1504.259595959596</v>
      </c>
      <c r="CM431" s="189">
        <f t="shared" si="748"/>
        <v>1504.259595959596</v>
      </c>
      <c r="CN431" s="140"/>
      <c r="CO431" s="139"/>
      <c r="CP431" s="140"/>
      <c r="CQ431" s="140"/>
      <c r="CR431" s="140"/>
      <c r="CS431" s="140"/>
      <c r="CT431" s="219"/>
      <c r="CU431" s="234">
        <f t="shared" si="749"/>
        <v>769.31</v>
      </c>
      <c r="CV431" s="234">
        <f t="shared" si="750"/>
        <v>769.31</v>
      </c>
      <c r="CW431" s="234">
        <f t="shared" si="751"/>
        <v>769.31</v>
      </c>
      <c r="CX431" s="234">
        <f t="shared" si="752"/>
        <v>769.31</v>
      </c>
      <c r="CY431" s="234">
        <f t="shared" si="753"/>
        <v>769.31</v>
      </c>
      <c r="CZ431" s="234">
        <f t="shared" si="754"/>
        <v>769.31</v>
      </c>
      <c r="DA431" s="234">
        <f t="shared" si="755"/>
        <v>769.31</v>
      </c>
      <c r="DB431" s="234">
        <f t="shared" si="756"/>
        <v>769.31</v>
      </c>
      <c r="DC431" s="234">
        <f t="shared" si="757"/>
        <v>769.31</v>
      </c>
      <c r="DD431" s="234">
        <f t="shared" si="758"/>
        <v>769.31</v>
      </c>
      <c r="DE431" s="234">
        <f t="shared" si="759"/>
        <v>769.31</v>
      </c>
      <c r="DF431" s="234">
        <f t="shared" si="760"/>
        <v>769.31</v>
      </c>
      <c r="DG431" s="234">
        <f t="shared" si="761"/>
        <v>769.31</v>
      </c>
      <c r="DH431" s="234">
        <f t="shared" si="762"/>
        <v>769.31</v>
      </c>
      <c r="DI431" s="234">
        <f t="shared" si="763"/>
        <v>769.31</v>
      </c>
      <c r="DJ431" s="234">
        <f t="shared" si="764"/>
        <v>769.31</v>
      </c>
      <c r="DK431" s="234">
        <f t="shared" si="765"/>
        <v>769.31</v>
      </c>
      <c r="DL431" s="234">
        <f t="shared" si="766"/>
        <v>769.31</v>
      </c>
      <c r="DM431" s="234">
        <f t="shared" si="767"/>
        <v>769.31</v>
      </c>
      <c r="DN431" s="234">
        <f t="shared" si="768"/>
        <v>769.31</v>
      </c>
      <c r="DO431" s="234">
        <f t="shared" si="769"/>
        <v>769.31</v>
      </c>
      <c r="DP431" s="234">
        <f t="shared" si="770"/>
        <v>769.31</v>
      </c>
      <c r="DQ431" s="234">
        <f t="shared" si="771"/>
        <v>769.31</v>
      </c>
      <c r="DR431" s="234">
        <f t="shared" si="772"/>
        <v>769.31</v>
      </c>
      <c r="DS431" s="234">
        <f t="shared" si="773"/>
        <v>769.31</v>
      </c>
      <c r="DT431" s="234">
        <f t="shared" si="774"/>
        <v>769.31</v>
      </c>
      <c r="DU431" s="234">
        <f t="shared" si="775"/>
        <v>769.31</v>
      </c>
      <c r="DV431" s="234">
        <f t="shared" si="776"/>
        <v>769.31</v>
      </c>
      <c r="DW431" s="234">
        <f t="shared" si="777"/>
        <v>769.31</v>
      </c>
      <c r="DX431" s="189">
        <f t="shared" si="778"/>
        <v>769.31</v>
      </c>
      <c r="DY431" s="140"/>
      <c r="DZ431" s="139"/>
      <c r="EA431" s="140"/>
      <c r="EB431" s="140"/>
      <c r="EC431" s="140"/>
      <c r="ED431" s="140"/>
      <c r="EE431" s="219"/>
      <c r="EF431" s="234">
        <f t="shared" si="779"/>
        <v>971.76</v>
      </c>
      <c r="EG431" s="234">
        <f t="shared" si="780"/>
        <v>971.76</v>
      </c>
      <c r="EH431" s="234">
        <f t="shared" si="781"/>
        <v>971.76</v>
      </c>
      <c r="EI431" s="234">
        <f t="shared" si="782"/>
        <v>971.76</v>
      </c>
      <c r="EJ431" s="234">
        <f t="shared" si="783"/>
        <v>971.76</v>
      </c>
      <c r="EK431" s="234">
        <f t="shared" si="784"/>
        <v>971.76</v>
      </c>
      <c r="EL431" s="234">
        <f t="shared" si="785"/>
        <v>971.76</v>
      </c>
      <c r="EM431" s="234">
        <f t="shared" si="786"/>
        <v>971.76</v>
      </c>
      <c r="EN431" s="234">
        <f t="shared" si="787"/>
        <v>971.76</v>
      </c>
      <c r="EO431" s="234">
        <f t="shared" si="788"/>
        <v>971.76</v>
      </c>
      <c r="EP431" s="234">
        <f t="shared" si="789"/>
        <v>971.76</v>
      </c>
      <c r="EQ431" s="234">
        <f t="shared" si="790"/>
        <v>971.76</v>
      </c>
      <c r="ER431" s="234">
        <f t="shared" si="791"/>
        <v>971.76</v>
      </c>
      <c r="ES431" s="234">
        <f t="shared" si="792"/>
        <v>971.76</v>
      </c>
      <c r="ET431" s="234">
        <f t="shared" si="793"/>
        <v>971.76</v>
      </c>
      <c r="EU431" s="234">
        <f t="shared" si="794"/>
        <v>971.76</v>
      </c>
      <c r="EV431" s="234">
        <f t="shared" si="795"/>
        <v>971.76</v>
      </c>
      <c r="EW431" s="234">
        <f t="shared" si="796"/>
        <v>971.76</v>
      </c>
      <c r="EX431" s="234">
        <f t="shared" si="797"/>
        <v>971.76</v>
      </c>
      <c r="EY431" s="234">
        <f t="shared" si="798"/>
        <v>971.76</v>
      </c>
      <c r="EZ431" s="234">
        <f t="shared" si="799"/>
        <v>971.76</v>
      </c>
      <c r="FA431" s="234">
        <f t="shared" si="800"/>
        <v>971.76</v>
      </c>
      <c r="FB431" s="234">
        <f t="shared" si="801"/>
        <v>971.76</v>
      </c>
      <c r="FC431" s="234">
        <f t="shared" si="802"/>
        <v>971.76</v>
      </c>
      <c r="FD431" s="234">
        <f t="shared" si="803"/>
        <v>971.76</v>
      </c>
      <c r="FE431" s="234">
        <f t="shared" si="804"/>
        <v>971.76</v>
      </c>
      <c r="FF431" s="234">
        <f t="shared" si="805"/>
        <v>971.76</v>
      </c>
      <c r="FG431" s="234">
        <f t="shared" si="806"/>
        <v>971.76</v>
      </c>
      <c r="FH431" s="234">
        <f t="shared" si="807"/>
        <v>971.76</v>
      </c>
      <c r="FI431" s="189">
        <f t="shared" si="808"/>
        <v>971.76</v>
      </c>
      <c r="FJ431" s="140"/>
      <c r="FK431" s="139"/>
      <c r="FL431" s="140"/>
      <c r="FM431" s="140"/>
      <c r="FN431" s="140"/>
      <c r="FO431" s="140"/>
      <c r="FP431" s="219"/>
      <c r="FQ431" s="234">
        <f t="shared" si="809"/>
        <v>1061.830303030303</v>
      </c>
      <c r="FR431" s="234">
        <f t="shared" si="810"/>
        <v>1061.830303030303</v>
      </c>
      <c r="FS431" s="234">
        <f t="shared" si="811"/>
        <v>1061.830303030303</v>
      </c>
      <c r="FT431" s="234">
        <f t="shared" si="812"/>
        <v>1061.830303030303</v>
      </c>
      <c r="FU431" s="234">
        <f t="shared" si="813"/>
        <v>1061.830303030303</v>
      </c>
      <c r="FV431" s="234">
        <f t="shared" si="814"/>
        <v>1061.830303030303</v>
      </c>
      <c r="FW431" s="234">
        <f t="shared" si="815"/>
        <v>1061.830303030303</v>
      </c>
      <c r="FX431" s="234">
        <f t="shared" si="816"/>
        <v>1061.830303030303</v>
      </c>
      <c r="FY431" s="234">
        <f t="shared" si="817"/>
        <v>1061.830303030303</v>
      </c>
      <c r="FZ431" s="234">
        <f t="shared" si="818"/>
        <v>1061.830303030303</v>
      </c>
      <c r="GA431" s="234">
        <f t="shared" si="819"/>
        <v>1061.830303030303</v>
      </c>
      <c r="GB431" s="234">
        <f t="shared" si="820"/>
        <v>1061.830303030303</v>
      </c>
      <c r="GC431" s="234">
        <f t="shared" si="821"/>
        <v>1061.830303030303</v>
      </c>
      <c r="GD431" s="234">
        <f t="shared" si="822"/>
        <v>1061.830303030303</v>
      </c>
      <c r="GE431" s="234">
        <f t="shared" si="823"/>
        <v>1061.830303030303</v>
      </c>
      <c r="GF431" s="234">
        <f t="shared" si="824"/>
        <v>1061.830303030303</v>
      </c>
      <c r="GG431" s="234">
        <f t="shared" si="825"/>
        <v>1061.830303030303</v>
      </c>
      <c r="GH431" s="234">
        <f t="shared" si="826"/>
        <v>1061.830303030303</v>
      </c>
      <c r="GI431" s="234">
        <f t="shared" si="827"/>
        <v>1061.830303030303</v>
      </c>
      <c r="GJ431" s="234">
        <f t="shared" si="828"/>
        <v>1061.830303030303</v>
      </c>
      <c r="GK431" s="234">
        <f t="shared" si="829"/>
        <v>1061.830303030303</v>
      </c>
      <c r="GL431" s="234">
        <f t="shared" si="830"/>
        <v>1061.830303030303</v>
      </c>
      <c r="GM431" s="234">
        <f t="shared" si="831"/>
        <v>1061.830303030303</v>
      </c>
      <c r="GN431" s="234">
        <f t="shared" si="832"/>
        <v>1061.830303030303</v>
      </c>
      <c r="GO431" s="234">
        <f t="shared" si="833"/>
        <v>1061.830303030303</v>
      </c>
      <c r="GP431" s="234">
        <f t="shared" si="834"/>
        <v>1061.830303030303</v>
      </c>
      <c r="GQ431" s="234">
        <f t="shared" si="835"/>
        <v>1061.830303030303</v>
      </c>
      <c r="GR431" s="234">
        <f t="shared" si="836"/>
        <v>1061.830303030303</v>
      </c>
      <c r="GS431" s="234">
        <f t="shared" si="837"/>
        <v>1061.830303030303</v>
      </c>
      <c r="GT431" s="189">
        <f t="shared" si="838"/>
        <v>1061.830303030303</v>
      </c>
      <c r="GU431" s="140"/>
      <c r="GV431" s="139"/>
      <c r="GW431" s="140"/>
      <c r="GX431" s="140"/>
      <c r="GY431" s="140"/>
      <c r="GZ431" s="140"/>
      <c r="HA431" s="219"/>
      <c r="HB431" s="234">
        <f t="shared" si="839"/>
        <v>1283.0449494949498</v>
      </c>
      <c r="HC431" s="234">
        <f t="shared" si="840"/>
        <v>1283.0449494949498</v>
      </c>
      <c r="HD431" s="234">
        <f t="shared" si="841"/>
        <v>1283.0449494949498</v>
      </c>
      <c r="HE431" s="234">
        <f t="shared" si="842"/>
        <v>1283.0449494949498</v>
      </c>
      <c r="HF431" s="234">
        <f t="shared" si="843"/>
        <v>1283.0449494949498</v>
      </c>
      <c r="HG431" s="234">
        <f t="shared" si="844"/>
        <v>1283.0449494949498</v>
      </c>
      <c r="HH431" s="234">
        <f t="shared" si="845"/>
        <v>1283.0449494949498</v>
      </c>
      <c r="HI431" s="234">
        <f t="shared" si="846"/>
        <v>1283.0449494949498</v>
      </c>
      <c r="HJ431" s="234">
        <f t="shared" si="847"/>
        <v>1283.0449494949498</v>
      </c>
      <c r="HK431" s="234">
        <f t="shared" si="848"/>
        <v>1283.0449494949498</v>
      </c>
      <c r="HL431" s="234">
        <f t="shared" si="849"/>
        <v>1283.0449494949498</v>
      </c>
      <c r="HM431" s="234">
        <f t="shared" si="850"/>
        <v>1283.0449494949498</v>
      </c>
      <c r="HN431" s="234">
        <f t="shared" si="851"/>
        <v>1283.0449494949498</v>
      </c>
      <c r="HO431" s="234">
        <f t="shared" si="852"/>
        <v>1283.0449494949498</v>
      </c>
      <c r="HP431" s="234">
        <f t="shared" si="853"/>
        <v>1283.0449494949498</v>
      </c>
      <c r="HQ431" s="234">
        <f t="shared" si="854"/>
        <v>1283.0449494949498</v>
      </c>
      <c r="HR431" s="234">
        <f t="shared" si="855"/>
        <v>1283.0449494949498</v>
      </c>
      <c r="HS431" s="234">
        <f t="shared" si="856"/>
        <v>1283.0449494949498</v>
      </c>
      <c r="HT431" s="234">
        <f t="shared" si="857"/>
        <v>1283.0449494949498</v>
      </c>
      <c r="HU431" s="234">
        <f t="shared" si="858"/>
        <v>1283.0449494949498</v>
      </c>
      <c r="HV431" s="234">
        <f t="shared" si="859"/>
        <v>1283.0449494949498</v>
      </c>
      <c r="HW431" s="234">
        <f t="shared" si="860"/>
        <v>1283.0449494949498</v>
      </c>
      <c r="HX431" s="234">
        <f t="shared" si="861"/>
        <v>1283.0449494949498</v>
      </c>
      <c r="HY431" s="234">
        <f t="shared" si="862"/>
        <v>1283.0449494949498</v>
      </c>
      <c r="HZ431" s="234">
        <f t="shared" si="863"/>
        <v>1283.0449494949498</v>
      </c>
      <c r="IA431" s="234">
        <f t="shared" si="864"/>
        <v>1283.0449494949498</v>
      </c>
      <c r="IB431" s="234">
        <f t="shared" si="865"/>
        <v>1283.0449494949498</v>
      </c>
      <c r="IC431" s="234">
        <f t="shared" si="866"/>
        <v>1283.0449494949498</v>
      </c>
      <c r="ID431" s="234">
        <f t="shared" si="867"/>
        <v>1283.0449494949498</v>
      </c>
      <c r="IE431" s="189">
        <f t="shared" si="868"/>
        <v>1283.0449494949498</v>
      </c>
      <c r="IF431" s="140"/>
      <c r="IG431" s="139"/>
      <c r="IH431" s="140"/>
      <c r="II431" s="140"/>
      <c r="IJ431" s="140"/>
      <c r="IK431" s="140"/>
      <c r="IL431" s="219"/>
      <c r="IM431" s="234">
        <f t="shared" si="869"/>
        <v>1913.0576169995466</v>
      </c>
      <c r="IN431" s="234">
        <f t="shared" si="870"/>
        <v>1913.0576169995466</v>
      </c>
      <c r="IO431" s="234">
        <f t="shared" si="871"/>
        <v>1913.0576169995466</v>
      </c>
      <c r="IP431" s="234">
        <f t="shared" si="872"/>
        <v>1913.0576169995466</v>
      </c>
      <c r="IQ431" s="234">
        <f t="shared" si="873"/>
        <v>1913.0576169995466</v>
      </c>
      <c r="IR431" s="234">
        <f t="shared" si="874"/>
        <v>1913.0576169995466</v>
      </c>
      <c r="IS431" s="234">
        <f t="shared" si="875"/>
        <v>1913.0576169995466</v>
      </c>
      <c r="IT431" s="234">
        <f t="shared" si="876"/>
        <v>1913.0576169995466</v>
      </c>
      <c r="IU431" s="234">
        <f t="shared" si="877"/>
        <v>1913.0576169995466</v>
      </c>
      <c r="IV431" s="234">
        <f t="shared" si="878"/>
        <v>1913.0576169995466</v>
      </c>
      <c r="IW431" s="234">
        <f t="shared" si="879"/>
        <v>1913.0576169995466</v>
      </c>
      <c r="IX431" s="234">
        <f t="shared" si="880"/>
        <v>1913.0576169995466</v>
      </c>
      <c r="IY431" s="234">
        <f t="shared" si="881"/>
        <v>1913.0576169995466</v>
      </c>
      <c r="IZ431" s="234">
        <f t="shared" si="882"/>
        <v>1913.0576169995466</v>
      </c>
      <c r="JA431" s="234">
        <f t="shared" si="883"/>
        <v>1913.0576169995466</v>
      </c>
      <c r="JB431" s="234">
        <f t="shared" si="884"/>
        <v>1913.0576169995466</v>
      </c>
      <c r="JC431" s="234">
        <f t="shared" si="885"/>
        <v>1913.0576169995466</v>
      </c>
      <c r="JD431" s="234">
        <f t="shared" si="886"/>
        <v>1913.0576169995466</v>
      </c>
      <c r="JE431" s="234">
        <f t="shared" si="887"/>
        <v>1913.0576169995466</v>
      </c>
      <c r="JF431" s="234">
        <f t="shared" si="888"/>
        <v>1913.0576169995466</v>
      </c>
      <c r="JG431" s="234">
        <f t="shared" si="889"/>
        <v>1913.0576169995466</v>
      </c>
      <c r="JH431" s="234">
        <f t="shared" si="890"/>
        <v>1913.0576169995466</v>
      </c>
      <c r="JI431" s="234">
        <f t="shared" si="891"/>
        <v>1913.0576169995466</v>
      </c>
      <c r="JJ431" s="234">
        <f t="shared" si="892"/>
        <v>1913.0576169995466</v>
      </c>
      <c r="JK431" s="234">
        <f t="shared" si="893"/>
        <v>1913.0576169995466</v>
      </c>
      <c r="JL431" s="234">
        <f t="shared" si="894"/>
        <v>1913.0576169995466</v>
      </c>
      <c r="JM431" s="234">
        <f t="shared" si="895"/>
        <v>1913.0576169995466</v>
      </c>
      <c r="JN431" s="234">
        <f t="shared" si="896"/>
        <v>1913.0576169995466</v>
      </c>
      <c r="JO431" s="234">
        <f t="shared" si="897"/>
        <v>1913.0576169995466</v>
      </c>
      <c r="JP431" s="189">
        <f t="shared" si="898"/>
        <v>1913.0576169995466</v>
      </c>
      <c r="JQ431" s="140"/>
      <c r="JR431" s="139"/>
      <c r="JS431" s="140"/>
      <c r="JT431" s="140"/>
      <c r="JU431" s="140"/>
      <c r="JV431" s="140"/>
      <c r="JW431" s="219"/>
      <c r="JX431" s="234">
        <f t="shared" si="899"/>
        <v>1913.0576169995466</v>
      </c>
      <c r="JY431" s="234">
        <f t="shared" si="900"/>
        <v>1913.0576169995466</v>
      </c>
      <c r="JZ431" s="234">
        <f t="shared" si="901"/>
        <v>1913.0576169995466</v>
      </c>
      <c r="KA431" s="234">
        <f t="shared" si="902"/>
        <v>1913.0576169995466</v>
      </c>
      <c r="KB431" s="234">
        <f t="shared" si="903"/>
        <v>1913.0576169995466</v>
      </c>
      <c r="KC431" s="234">
        <f t="shared" si="904"/>
        <v>1913.0576169995466</v>
      </c>
      <c r="KD431" s="234">
        <f t="shared" si="905"/>
        <v>1913.0576169995466</v>
      </c>
      <c r="KE431" s="234">
        <f t="shared" si="906"/>
        <v>1913.0576169995466</v>
      </c>
      <c r="KF431" s="234">
        <f t="shared" si="907"/>
        <v>1913.0576169995466</v>
      </c>
      <c r="KG431" s="234">
        <f t="shared" si="908"/>
        <v>1913.0576169995466</v>
      </c>
      <c r="KH431" s="234">
        <f t="shared" si="909"/>
        <v>1913.0576169995466</v>
      </c>
      <c r="KI431" s="234">
        <f t="shared" si="910"/>
        <v>1913.0576169995466</v>
      </c>
      <c r="KJ431" s="234">
        <f t="shared" si="911"/>
        <v>1913.0576169995466</v>
      </c>
      <c r="KK431" s="234">
        <f t="shared" si="912"/>
        <v>1913.0576169995466</v>
      </c>
      <c r="KL431" s="234">
        <f t="shared" si="913"/>
        <v>1913.0576169995466</v>
      </c>
      <c r="KM431" s="234">
        <f t="shared" si="914"/>
        <v>1913.0576169995466</v>
      </c>
      <c r="KN431" s="234">
        <f t="shared" si="915"/>
        <v>1913.0576169995466</v>
      </c>
      <c r="KO431" s="234">
        <f t="shared" si="916"/>
        <v>1913.0576169995466</v>
      </c>
      <c r="KP431" s="234">
        <f t="shared" si="917"/>
        <v>1913.0576169995466</v>
      </c>
      <c r="KQ431" s="234">
        <f t="shared" si="918"/>
        <v>1913.0576169995466</v>
      </c>
      <c r="KR431" s="234">
        <f t="shared" si="919"/>
        <v>1913.0576169995466</v>
      </c>
      <c r="KS431" s="234">
        <f t="shared" si="920"/>
        <v>1913.0576169995466</v>
      </c>
      <c r="KT431" s="234">
        <f t="shared" si="921"/>
        <v>1913.0576169995466</v>
      </c>
      <c r="KU431" s="234">
        <f t="shared" si="922"/>
        <v>1913.0576169995466</v>
      </c>
      <c r="KV431" s="234">
        <f t="shared" si="923"/>
        <v>1913.0576169995466</v>
      </c>
      <c r="KW431" s="234">
        <f t="shared" si="924"/>
        <v>1913.0576169995466</v>
      </c>
      <c r="KX431" s="234">
        <f t="shared" si="925"/>
        <v>1913.0576169995466</v>
      </c>
      <c r="KY431" s="234">
        <f t="shared" si="926"/>
        <v>1913.0576169995466</v>
      </c>
      <c r="KZ431" s="234">
        <f t="shared" si="927"/>
        <v>1913.0576169995466</v>
      </c>
      <c r="LA431" s="189">
        <f t="shared" si="928"/>
        <v>1913.0576169995466</v>
      </c>
      <c r="LB431" s="140"/>
      <c r="LC431" s="139"/>
      <c r="LD431" s="140"/>
      <c r="LE431" s="140"/>
      <c r="LF431" s="140"/>
      <c r="LG431" s="140"/>
      <c r="LH431" s="219"/>
      <c r="LI431" s="234">
        <f t="shared" si="929"/>
        <v>1913.0576169995466</v>
      </c>
      <c r="LJ431" s="234">
        <f t="shared" si="930"/>
        <v>1913.0576169995466</v>
      </c>
      <c r="LK431" s="234">
        <f t="shared" si="931"/>
        <v>1913.0576169995466</v>
      </c>
      <c r="LL431" s="234">
        <f t="shared" si="932"/>
        <v>1913.0576169995466</v>
      </c>
      <c r="LM431" s="234">
        <f t="shared" si="933"/>
        <v>1913.0576169995466</v>
      </c>
      <c r="LN431" s="234">
        <f t="shared" si="934"/>
        <v>1913.0576169995466</v>
      </c>
      <c r="LO431" s="234">
        <f t="shared" si="935"/>
        <v>1913.0576169995466</v>
      </c>
      <c r="LP431" s="234">
        <f t="shared" si="936"/>
        <v>1913.0576169995466</v>
      </c>
      <c r="LQ431" s="234">
        <f t="shared" si="937"/>
        <v>1913.0576169995466</v>
      </c>
      <c r="LR431" s="234">
        <f t="shared" si="938"/>
        <v>1913.0576169995466</v>
      </c>
      <c r="LS431" s="234">
        <f t="shared" si="939"/>
        <v>1913.0576169995466</v>
      </c>
      <c r="LT431" s="234">
        <f t="shared" si="940"/>
        <v>1913.0576169995466</v>
      </c>
      <c r="LU431" s="234">
        <f t="shared" si="941"/>
        <v>1913.0576169995466</v>
      </c>
      <c r="LV431" s="234">
        <f t="shared" si="942"/>
        <v>1913.0576169995466</v>
      </c>
      <c r="LW431" s="234">
        <f t="shared" si="943"/>
        <v>1913.0576169995466</v>
      </c>
      <c r="LX431" s="234">
        <f t="shared" si="944"/>
        <v>1913.0576169995466</v>
      </c>
      <c r="LY431" s="234">
        <f t="shared" si="945"/>
        <v>1913.0576169995466</v>
      </c>
      <c r="LZ431" s="234">
        <f t="shared" si="946"/>
        <v>1913.0576169995466</v>
      </c>
      <c r="MA431" s="234">
        <f t="shared" si="947"/>
        <v>1913.0576169995466</v>
      </c>
      <c r="MB431" s="234">
        <f t="shared" si="948"/>
        <v>1913.0576169995466</v>
      </c>
      <c r="MC431" s="234">
        <f t="shared" si="949"/>
        <v>1913.0576169995466</v>
      </c>
      <c r="MD431" s="234">
        <f t="shared" si="950"/>
        <v>1913.0576169995466</v>
      </c>
      <c r="ME431" s="234">
        <f t="shared" si="951"/>
        <v>1913.0576169995466</v>
      </c>
      <c r="MF431" s="234">
        <f t="shared" si="952"/>
        <v>1913.0576169995466</v>
      </c>
      <c r="MG431" s="234">
        <f t="shared" si="953"/>
        <v>1913.0576169995466</v>
      </c>
      <c r="MH431" s="234">
        <f t="shared" si="954"/>
        <v>1913.0576169995466</v>
      </c>
      <c r="MI431" s="234">
        <f t="shared" si="955"/>
        <v>1913.0576169995466</v>
      </c>
      <c r="MJ431" s="234">
        <f t="shared" si="956"/>
        <v>1913.0576169995466</v>
      </c>
      <c r="MK431" s="234">
        <f t="shared" si="957"/>
        <v>1913.0576169995466</v>
      </c>
      <c r="ML431" s="189">
        <f t="shared" si="958"/>
        <v>1913.0576169995466</v>
      </c>
    </row>
    <row r="432" spans="3:350" s="4" customFormat="1" ht="18" customHeight="1" x14ac:dyDescent="0.3">
      <c r="C432" s="136" t="s">
        <v>79</v>
      </c>
      <c r="E432" s="137" t="s">
        <v>105</v>
      </c>
      <c r="F432" s="186"/>
      <c r="H432" s="235"/>
      <c r="I432" s="218"/>
      <c r="J432" s="218"/>
      <c r="K432" s="218"/>
      <c r="L432" s="218"/>
      <c r="M432" s="236"/>
      <c r="N432" s="237"/>
      <c r="O432" s="237"/>
      <c r="P432" s="237"/>
      <c r="Q432" s="237"/>
      <c r="R432" s="140"/>
      <c r="S432" s="139"/>
      <c r="T432" s="140"/>
      <c r="U432" s="140"/>
      <c r="V432" s="140"/>
      <c r="W432" s="140"/>
      <c r="X432" s="140"/>
      <c r="Y432" s="140"/>
      <c r="Z432" s="140"/>
      <c r="AA432" s="140"/>
      <c r="AB432" s="140"/>
      <c r="AC432" s="140"/>
      <c r="AD432" s="140"/>
      <c r="AE432" s="140"/>
      <c r="AF432" s="140"/>
      <c r="AG432" s="140"/>
      <c r="AH432" s="140"/>
      <c r="AI432" s="140"/>
      <c r="AJ432" s="140"/>
      <c r="AK432" s="140"/>
      <c r="AL432" s="140"/>
      <c r="AM432" s="140"/>
      <c r="AN432" s="140"/>
      <c r="AO432" s="140"/>
      <c r="AP432" s="140"/>
      <c r="AQ432" s="140"/>
      <c r="AR432" s="140"/>
      <c r="AS432" s="140"/>
      <c r="AT432" s="140"/>
      <c r="AU432" s="140"/>
      <c r="AV432" s="140"/>
      <c r="AW432" s="140"/>
      <c r="AX432" s="140"/>
      <c r="AY432" s="140"/>
      <c r="AZ432" s="140"/>
      <c r="BA432" s="140"/>
      <c r="BB432" s="141"/>
      <c r="BC432" s="140"/>
      <c r="BD432" s="139"/>
      <c r="BE432" s="140"/>
      <c r="BF432" s="140"/>
      <c r="BG432" s="140"/>
      <c r="BH432" s="140"/>
      <c r="BI432" s="219"/>
      <c r="BJ432" s="234">
        <f t="shared" si="719"/>
        <v>741.91303030303038</v>
      </c>
      <c r="BK432" s="234">
        <f t="shared" si="720"/>
        <v>741.91303030303038</v>
      </c>
      <c r="BL432" s="234">
        <f t="shared" si="721"/>
        <v>741.91303030303038</v>
      </c>
      <c r="BM432" s="234">
        <f t="shared" si="722"/>
        <v>741.91303030303038</v>
      </c>
      <c r="BN432" s="234">
        <f t="shared" si="723"/>
        <v>741.91303030303038</v>
      </c>
      <c r="BO432" s="234">
        <f t="shared" si="724"/>
        <v>741.91303030303038</v>
      </c>
      <c r="BP432" s="234">
        <f t="shared" si="725"/>
        <v>741.91303030303038</v>
      </c>
      <c r="BQ432" s="234">
        <f t="shared" si="726"/>
        <v>741.91303030303038</v>
      </c>
      <c r="BR432" s="234">
        <f t="shared" si="727"/>
        <v>741.91303030303038</v>
      </c>
      <c r="BS432" s="234">
        <f t="shared" si="728"/>
        <v>741.91303030303038</v>
      </c>
      <c r="BT432" s="234">
        <f t="shared" si="729"/>
        <v>741.91303030303038</v>
      </c>
      <c r="BU432" s="234">
        <f t="shared" si="730"/>
        <v>741.91303030303038</v>
      </c>
      <c r="BV432" s="234">
        <f t="shared" si="731"/>
        <v>741.91303030303038</v>
      </c>
      <c r="BW432" s="234">
        <f t="shared" si="732"/>
        <v>741.91303030303038</v>
      </c>
      <c r="BX432" s="234">
        <f t="shared" si="733"/>
        <v>741.91303030303038</v>
      </c>
      <c r="BY432" s="234">
        <f t="shared" si="734"/>
        <v>741.91303030303038</v>
      </c>
      <c r="BZ432" s="234">
        <f t="shared" si="735"/>
        <v>741.91303030303038</v>
      </c>
      <c r="CA432" s="234">
        <f t="shared" si="736"/>
        <v>741.91303030303038</v>
      </c>
      <c r="CB432" s="234">
        <f t="shared" si="737"/>
        <v>741.91303030303038</v>
      </c>
      <c r="CC432" s="234">
        <f t="shared" si="738"/>
        <v>741.91303030303038</v>
      </c>
      <c r="CD432" s="234">
        <f t="shared" si="739"/>
        <v>741.91303030303038</v>
      </c>
      <c r="CE432" s="234">
        <f t="shared" si="740"/>
        <v>741.91303030303038</v>
      </c>
      <c r="CF432" s="234">
        <f t="shared" si="741"/>
        <v>741.91303030303038</v>
      </c>
      <c r="CG432" s="234">
        <f t="shared" si="742"/>
        <v>741.91303030303038</v>
      </c>
      <c r="CH432" s="234">
        <f t="shared" si="743"/>
        <v>741.91303030303038</v>
      </c>
      <c r="CI432" s="234">
        <f t="shared" si="744"/>
        <v>741.91303030303038</v>
      </c>
      <c r="CJ432" s="234">
        <f t="shared" si="745"/>
        <v>741.91303030303038</v>
      </c>
      <c r="CK432" s="234">
        <f t="shared" si="746"/>
        <v>741.91303030303038</v>
      </c>
      <c r="CL432" s="234">
        <f t="shared" si="747"/>
        <v>741.91303030303038</v>
      </c>
      <c r="CM432" s="189">
        <f t="shared" si="748"/>
        <v>741.91303030303038</v>
      </c>
      <c r="CN432" s="140"/>
      <c r="CO432" s="139"/>
      <c r="CP432" s="140"/>
      <c r="CQ432" s="140"/>
      <c r="CR432" s="140"/>
      <c r="CS432" s="140"/>
      <c r="CT432" s="219"/>
      <c r="CU432" s="234">
        <f t="shared" si="749"/>
        <v>42.10844444444448</v>
      </c>
      <c r="CV432" s="234">
        <f t="shared" si="750"/>
        <v>42.10844444444448</v>
      </c>
      <c r="CW432" s="234">
        <f t="shared" si="751"/>
        <v>42.10844444444448</v>
      </c>
      <c r="CX432" s="234">
        <f t="shared" si="752"/>
        <v>42.10844444444448</v>
      </c>
      <c r="CY432" s="234">
        <f t="shared" si="753"/>
        <v>42.10844444444448</v>
      </c>
      <c r="CZ432" s="234">
        <f t="shared" si="754"/>
        <v>42.10844444444448</v>
      </c>
      <c r="DA432" s="234">
        <f t="shared" si="755"/>
        <v>42.10844444444448</v>
      </c>
      <c r="DB432" s="234">
        <f t="shared" si="756"/>
        <v>42.10844444444448</v>
      </c>
      <c r="DC432" s="234">
        <f t="shared" si="757"/>
        <v>42.10844444444448</v>
      </c>
      <c r="DD432" s="234">
        <f t="shared" si="758"/>
        <v>42.10844444444448</v>
      </c>
      <c r="DE432" s="234">
        <f t="shared" si="759"/>
        <v>42.10844444444448</v>
      </c>
      <c r="DF432" s="234">
        <f t="shared" si="760"/>
        <v>42.10844444444448</v>
      </c>
      <c r="DG432" s="234">
        <f t="shared" si="761"/>
        <v>42.10844444444448</v>
      </c>
      <c r="DH432" s="234">
        <f t="shared" si="762"/>
        <v>42.10844444444448</v>
      </c>
      <c r="DI432" s="234">
        <f t="shared" si="763"/>
        <v>42.10844444444448</v>
      </c>
      <c r="DJ432" s="234">
        <f t="shared" si="764"/>
        <v>42.10844444444448</v>
      </c>
      <c r="DK432" s="234">
        <f t="shared" si="765"/>
        <v>42.10844444444448</v>
      </c>
      <c r="DL432" s="234">
        <f t="shared" si="766"/>
        <v>42.10844444444448</v>
      </c>
      <c r="DM432" s="234">
        <f t="shared" si="767"/>
        <v>42.10844444444448</v>
      </c>
      <c r="DN432" s="234">
        <f t="shared" si="768"/>
        <v>42.10844444444448</v>
      </c>
      <c r="DO432" s="234">
        <f t="shared" si="769"/>
        <v>42.10844444444448</v>
      </c>
      <c r="DP432" s="234">
        <f t="shared" si="770"/>
        <v>42.10844444444448</v>
      </c>
      <c r="DQ432" s="234">
        <f t="shared" si="771"/>
        <v>42.10844444444448</v>
      </c>
      <c r="DR432" s="234">
        <f t="shared" si="772"/>
        <v>42.10844444444448</v>
      </c>
      <c r="DS432" s="234">
        <f t="shared" si="773"/>
        <v>42.10844444444448</v>
      </c>
      <c r="DT432" s="234">
        <f t="shared" si="774"/>
        <v>42.10844444444448</v>
      </c>
      <c r="DU432" s="234">
        <f t="shared" si="775"/>
        <v>42.10844444444448</v>
      </c>
      <c r="DV432" s="234">
        <f t="shared" si="776"/>
        <v>42.10844444444448</v>
      </c>
      <c r="DW432" s="234">
        <f t="shared" si="777"/>
        <v>42.10844444444448</v>
      </c>
      <c r="DX432" s="189">
        <f t="shared" si="778"/>
        <v>42.10844444444448</v>
      </c>
      <c r="DY432" s="140"/>
      <c r="DZ432" s="139"/>
      <c r="EA432" s="140"/>
      <c r="EB432" s="140"/>
      <c r="EC432" s="140"/>
      <c r="ED432" s="140"/>
      <c r="EE432" s="219"/>
      <c r="EF432" s="234">
        <f t="shared" si="779"/>
        <v>157.90666666666669</v>
      </c>
      <c r="EG432" s="234">
        <f t="shared" si="780"/>
        <v>157.90666666666669</v>
      </c>
      <c r="EH432" s="234">
        <f t="shared" si="781"/>
        <v>157.90666666666669</v>
      </c>
      <c r="EI432" s="234">
        <f t="shared" si="782"/>
        <v>157.90666666666669</v>
      </c>
      <c r="EJ432" s="234">
        <f t="shared" si="783"/>
        <v>157.90666666666669</v>
      </c>
      <c r="EK432" s="234">
        <f t="shared" si="784"/>
        <v>157.90666666666669</v>
      </c>
      <c r="EL432" s="234">
        <f t="shared" si="785"/>
        <v>157.90666666666669</v>
      </c>
      <c r="EM432" s="234">
        <f t="shared" si="786"/>
        <v>157.90666666666669</v>
      </c>
      <c r="EN432" s="234">
        <f t="shared" si="787"/>
        <v>157.90666666666669</v>
      </c>
      <c r="EO432" s="234">
        <f t="shared" si="788"/>
        <v>157.90666666666669</v>
      </c>
      <c r="EP432" s="234">
        <f t="shared" si="789"/>
        <v>157.90666666666669</v>
      </c>
      <c r="EQ432" s="234">
        <f t="shared" si="790"/>
        <v>157.90666666666669</v>
      </c>
      <c r="ER432" s="234">
        <f t="shared" si="791"/>
        <v>157.90666666666669</v>
      </c>
      <c r="ES432" s="234">
        <f t="shared" si="792"/>
        <v>157.90666666666669</v>
      </c>
      <c r="ET432" s="234">
        <f t="shared" si="793"/>
        <v>157.90666666666669</v>
      </c>
      <c r="EU432" s="234">
        <f t="shared" si="794"/>
        <v>157.90666666666669</v>
      </c>
      <c r="EV432" s="234">
        <f t="shared" si="795"/>
        <v>157.90666666666669</v>
      </c>
      <c r="EW432" s="234">
        <f t="shared" si="796"/>
        <v>157.90666666666669</v>
      </c>
      <c r="EX432" s="234">
        <f t="shared" si="797"/>
        <v>157.90666666666669</v>
      </c>
      <c r="EY432" s="234">
        <f t="shared" si="798"/>
        <v>157.90666666666669</v>
      </c>
      <c r="EZ432" s="234">
        <f t="shared" si="799"/>
        <v>157.90666666666669</v>
      </c>
      <c r="FA432" s="234">
        <f t="shared" si="800"/>
        <v>157.90666666666669</v>
      </c>
      <c r="FB432" s="234">
        <f t="shared" si="801"/>
        <v>157.90666666666669</v>
      </c>
      <c r="FC432" s="234">
        <f t="shared" si="802"/>
        <v>157.90666666666669</v>
      </c>
      <c r="FD432" s="234">
        <f t="shared" si="803"/>
        <v>157.90666666666669</v>
      </c>
      <c r="FE432" s="234">
        <f t="shared" si="804"/>
        <v>157.90666666666669</v>
      </c>
      <c r="FF432" s="234">
        <f t="shared" si="805"/>
        <v>157.90666666666669</v>
      </c>
      <c r="FG432" s="234">
        <f t="shared" si="806"/>
        <v>157.90666666666669</v>
      </c>
      <c r="FH432" s="234">
        <f t="shared" si="807"/>
        <v>157.90666666666669</v>
      </c>
      <c r="FI432" s="189">
        <f t="shared" si="808"/>
        <v>157.90666666666669</v>
      </c>
      <c r="FJ432" s="140"/>
      <c r="FK432" s="139"/>
      <c r="FL432" s="140"/>
      <c r="FM432" s="140"/>
      <c r="FN432" s="140"/>
      <c r="FO432" s="140"/>
      <c r="FP432" s="219"/>
      <c r="FQ432" s="234">
        <f t="shared" si="809"/>
        <v>252.90666666666669</v>
      </c>
      <c r="FR432" s="234">
        <f t="shared" si="810"/>
        <v>252.90666666666669</v>
      </c>
      <c r="FS432" s="234">
        <f t="shared" si="811"/>
        <v>252.90666666666669</v>
      </c>
      <c r="FT432" s="234">
        <f t="shared" si="812"/>
        <v>252.90666666666669</v>
      </c>
      <c r="FU432" s="234">
        <f t="shared" si="813"/>
        <v>252.90666666666669</v>
      </c>
      <c r="FV432" s="234">
        <f t="shared" si="814"/>
        <v>252.90666666666669</v>
      </c>
      <c r="FW432" s="234">
        <f t="shared" si="815"/>
        <v>252.90666666666669</v>
      </c>
      <c r="FX432" s="234">
        <f t="shared" si="816"/>
        <v>252.90666666666669</v>
      </c>
      <c r="FY432" s="234">
        <f t="shared" si="817"/>
        <v>252.90666666666669</v>
      </c>
      <c r="FZ432" s="234">
        <f t="shared" si="818"/>
        <v>252.90666666666669</v>
      </c>
      <c r="GA432" s="234">
        <f t="shared" si="819"/>
        <v>252.90666666666669</v>
      </c>
      <c r="GB432" s="234">
        <f t="shared" si="820"/>
        <v>252.90666666666669</v>
      </c>
      <c r="GC432" s="234">
        <f t="shared" si="821"/>
        <v>252.90666666666669</v>
      </c>
      <c r="GD432" s="234">
        <f t="shared" si="822"/>
        <v>252.90666666666669</v>
      </c>
      <c r="GE432" s="234">
        <f t="shared" si="823"/>
        <v>252.90666666666669</v>
      </c>
      <c r="GF432" s="234">
        <f t="shared" si="824"/>
        <v>252.90666666666669</v>
      </c>
      <c r="GG432" s="234">
        <f t="shared" si="825"/>
        <v>252.90666666666669</v>
      </c>
      <c r="GH432" s="234">
        <f t="shared" si="826"/>
        <v>252.90666666666669</v>
      </c>
      <c r="GI432" s="234">
        <f t="shared" si="827"/>
        <v>252.90666666666669</v>
      </c>
      <c r="GJ432" s="234">
        <f t="shared" si="828"/>
        <v>252.90666666666669</v>
      </c>
      <c r="GK432" s="234">
        <f t="shared" si="829"/>
        <v>252.90666666666669</v>
      </c>
      <c r="GL432" s="234">
        <f t="shared" si="830"/>
        <v>252.90666666666669</v>
      </c>
      <c r="GM432" s="234">
        <f t="shared" si="831"/>
        <v>252.90666666666669</v>
      </c>
      <c r="GN432" s="234">
        <f t="shared" si="832"/>
        <v>252.90666666666669</v>
      </c>
      <c r="GO432" s="234">
        <f t="shared" si="833"/>
        <v>252.90666666666669</v>
      </c>
      <c r="GP432" s="234">
        <f t="shared" si="834"/>
        <v>252.90666666666669</v>
      </c>
      <c r="GQ432" s="234">
        <f t="shared" si="835"/>
        <v>252.90666666666669</v>
      </c>
      <c r="GR432" s="234">
        <f t="shared" si="836"/>
        <v>252.90666666666669</v>
      </c>
      <c r="GS432" s="234">
        <f t="shared" si="837"/>
        <v>252.90666666666669</v>
      </c>
      <c r="GT432" s="189">
        <f t="shared" si="838"/>
        <v>252.90666666666669</v>
      </c>
      <c r="GU432" s="140"/>
      <c r="GV432" s="139"/>
      <c r="GW432" s="140"/>
      <c r="GX432" s="140"/>
      <c r="GY432" s="140"/>
      <c r="GZ432" s="140"/>
      <c r="HA432" s="219"/>
      <c r="HB432" s="234">
        <f t="shared" si="839"/>
        <v>529.93787878787884</v>
      </c>
      <c r="HC432" s="234">
        <f t="shared" si="840"/>
        <v>529.93787878787884</v>
      </c>
      <c r="HD432" s="234">
        <f t="shared" si="841"/>
        <v>529.93787878787884</v>
      </c>
      <c r="HE432" s="234">
        <f t="shared" si="842"/>
        <v>529.93787878787884</v>
      </c>
      <c r="HF432" s="234">
        <f t="shared" si="843"/>
        <v>529.93787878787884</v>
      </c>
      <c r="HG432" s="234">
        <f t="shared" si="844"/>
        <v>529.93787878787884</v>
      </c>
      <c r="HH432" s="234">
        <f t="shared" si="845"/>
        <v>529.93787878787884</v>
      </c>
      <c r="HI432" s="234">
        <f t="shared" si="846"/>
        <v>529.93787878787884</v>
      </c>
      <c r="HJ432" s="234">
        <f t="shared" si="847"/>
        <v>529.93787878787884</v>
      </c>
      <c r="HK432" s="234">
        <f t="shared" si="848"/>
        <v>529.93787878787884</v>
      </c>
      <c r="HL432" s="234">
        <f t="shared" si="849"/>
        <v>529.93787878787884</v>
      </c>
      <c r="HM432" s="234">
        <f t="shared" si="850"/>
        <v>529.93787878787884</v>
      </c>
      <c r="HN432" s="234">
        <f t="shared" si="851"/>
        <v>529.93787878787884</v>
      </c>
      <c r="HO432" s="234">
        <f t="shared" si="852"/>
        <v>529.93787878787884</v>
      </c>
      <c r="HP432" s="234">
        <f t="shared" si="853"/>
        <v>529.93787878787884</v>
      </c>
      <c r="HQ432" s="234">
        <f t="shared" si="854"/>
        <v>529.93787878787884</v>
      </c>
      <c r="HR432" s="234">
        <f t="shared" si="855"/>
        <v>529.93787878787884</v>
      </c>
      <c r="HS432" s="234">
        <f t="shared" si="856"/>
        <v>529.93787878787884</v>
      </c>
      <c r="HT432" s="234">
        <f t="shared" si="857"/>
        <v>529.93787878787884</v>
      </c>
      <c r="HU432" s="234">
        <f t="shared" si="858"/>
        <v>529.93787878787884</v>
      </c>
      <c r="HV432" s="234">
        <f t="shared" si="859"/>
        <v>529.93787878787884</v>
      </c>
      <c r="HW432" s="234">
        <f t="shared" si="860"/>
        <v>529.93787878787884</v>
      </c>
      <c r="HX432" s="234">
        <f t="shared" si="861"/>
        <v>529.93787878787884</v>
      </c>
      <c r="HY432" s="234">
        <f t="shared" si="862"/>
        <v>529.93787878787884</v>
      </c>
      <c r="HZ432" s="234">
        <f t="shared" si="863"/>
        <v>529.93787878787884</v>
      </c>
      <c r="IA432" s="234">
        <f t="shared" si="864"/>
        <v>529.93787878787884</v>
      </c>
      <c r="IB432" s="234">
        <f t="shared" si="865"/>
        <v>529.93787878787884</v>
      </c>
      <c r="IC432" s="234">
        <f t="shared" si="866"/>
        <v>529.93787878787884</v>
      </c>
      <c r="ID432" s="234">
        <f t="shared" si="867"/>
        <v>529.93787878787884</v>
      </c>
      <c r="IE432" s="189">
        <f t="shared" si="868"/>
        <v>529.93787878787884</v>
      </c>
      <c r="IF432" s="140"/>
      <c r="IG432" s="139"/>
      <c r="IH432" s="140"/>
      <c r="II432" s="140"/>
      <c r="IJ432" s="140"/>
      <c r="IK432" s="140"/>
      <c r="IL432" s="219"/>
      <c r="IM432" s="234">
        <f t="shared" si="869"/>
        <v>2461.6508694918571</v>
      </c>
      <c r="IN432" s="234">
        <f t="shared" si="870"/>
        <v>2461.6508694918571</v>
      </c>
      <c r="IO432" s="234">
        <f t="shared" si="871"/>
        <v>2461.6508694918571</v>
      </c>
      <c r="IP432" s="234">
        <f t="shared" si="872"/>
        <v>2461.6508694918571</v>
      </c>
      <c r="IQ432" s="234">
        <f t="shared" si="873"/>
        <v>2461.6508694918571</v>
      </c>
      <c r="IR432" s="234">
        <f t="shared" si="874"/>
        <v>2461.6508694918571</v>
      </c>
      <c r="IS432" s="234">
        <f t="shared" si="875"/>
        <v>2461.6508694918571</v>
      </c>
      <c r="IT432" s="234">
        <f t="shared" si="876"/>
        <v>2461.6508694918571</v>
      </c>
      <c r="IU432" s="234">
        <f t="shared" si="877"/>
        <v>2461.6508694918571</v>
      </c>
      <c r="IV432" s="234">
        <f t="shared" si="878"/>
        <v>2461.6508694918571</v>
      </c>
      <c r="IW432" s="234">
        <f t="shared" si="879"/>
        <v>2461.6508694918571</v>
      </c>
      <c r="IX432" s="234">
        <f t="shared" si="880"/>
        <v>2461.6508694918571</v>
      </c>
      <c r="IY432" s="234">
        <f t="shared" si="881"/>
        <v>2461.6508694918571</v>
      </c>
      <c r="IZ432" s="234">
        <f t="shared" si="882"/>
        <v>2461.6508694918571</v>
      </c>
      <c r="JA432" s="234">
        <f t="shared" si="883"/>
        <v>2461.6508694918571</v>
      </c>
      <c r="JB432" s="234">
        <f t="shared" si="884"/>
        <v>2461.6508694918571</v>
      </c>
      <c r="JC432" s="234">
        <f t="shared" si="885"/>
        <v>2461.6508694918571</v>
      </c>
      <c r="JD432" s="234">
        <f t="shared" si="886"/>
        <v>2461.6508694918571</v>
      </c>
      <c r="JE432" s="234">
        <f t="shared" si="887"/>
        <v>2461.6508694918571</v>
      </c>
      <c r="JF432" s="234">
        <f t="shared" si="888"/>
        <v>2461.6508694918571</v>
      </c>
      <c r="JG432" s="234">
        <f t="shared" si="889"/>
        <v>2461.6508694918571</v>
      </c>
      <c r="JH432" s="234">
        <f t="shared" si="890"/>
        <v>2461.6508694918571</v>
      </c>
      <c r="JI432" s="234">
        <f t="shared" si="891"/>
        <v>2461.6508694918571</v>
      </c>
      <c r="JJ432" s="234">
        <f t="shared" si="892"/>
        <v>2461.6508694918571</v>
      </c>
      <c r="JK432" s="234">
        <f t="shared" si="893"/>
        <v>2461.6508694918571</v>
      </c>
      <c r="JL432" s="234">
        <f t="shared" si="894"/>
        <v>2461.6508694918571</v>
      </c>
      <c r="JM432" s="234">
        <f t="shared" si="895"/>
        <v>2461.6508694918571</v>
      </c>
      <c r="JN432" s="234">
        <f t="shared" si="896"/>
        <v>2461.6508694918571</v>
      </c>
      <c r="JO432" s="234">
        <f t="shared" si="897"/>
        <v>2461.6508694918571</v>
      </c>
      <c r="JP432" s="189">
        <f t="shared" si="898"/>
        <v>2461.6508694918571</v>
      </c>
      <c r="JQ432" s="140"/>
      <c r="JR432" s="139"/>
      <c r="JS432" s="140"/>
      <c r="JT432" s="140"/>
      <c r="JU432" s="140"/>
      <c r="JV432" s="140"/>
      <c r="JW432" s="219"/>
      <c r="JX432" s="234">
        <f t="shared" si="899"/>
        <v>2461.6508694918571</v>
      </c>
      <c r="JY432" s="234">
        <f t="shared" si="900"/>
        <v>2461.6508694918571</v>
      </c>
      <c r="JZ432" s="234">
        <f t="shared" si="901"/>
        <v>2461.6508694918571</v>
      </c>
      <c r="KA432" s="234">
        <f t="shared" si="902"/>
        <v>2461.6508694918571</v>
      </c>
      <c r="KB432" s="234">
        <f t="shared" si="903"/>
        <v>2461.6508694918571</v>
      </c>
      <c r="KC432" s="234">
        <f t="shared" si="904"/>
        <v>2461.6508694918571</v>
      </c>
      <c r="KD432" s="234">
        <f t="shared" si="905"/>
        <v>2461.6508694918571</v>
      </c>
      <c r="KE432" s="234">
        <f t="shared" si="906"/>
        <v>2461.6508694918571</v>
      </c>
      <c r="KF432" s="234">
        <f t="shared" si="907"/>
        <v>2461.6508694918571</v>
      </c>
      <c r="KG432" s="234">
        <f t="shared" si="908"/>
        <v>2461.6508694918571</v>
      </c>
      <c r="KH432" s="234">
        <f t="shared" si="909"/>
        <v>2461.6508694918571</v>
      </c>
      <c r="KI432" s="234">
        <f t="shared" si="910"/>
        <v>2461.6508694918571</v>
      </c>
      <c r="KJ432" s="234">
        <f t="shared" si="911"/>
        <v>2461.6508694918571</v>
      </c>
      <c r="KK432" s="234">
        <f t="shared" si="912"/>
        <v>2461.6508694918571</v>
      </c>
      <c r="KL432" s="234">
        <f t="shared" si="913"/>
        <v>2461.6508694918571</v>
      </c>
      <c r="KM432" s="234">
        <f t="shared" si="914"/>
        <v>2461.6508694918571</v>
      </c>
      <c r="KN432" s="234">
        <f t="shared" si="915"/>
        <v>2461.6508694918571</v>
      </c>
      <c r="KO432" s="234">
        <f t="shared" si="916"/>
        <v>2461.6508694918571</v>
      </c>
      <c r="KP432" s="234">
        <f t="shared" si="917"/>
        <v>2461.6508694918571</v>
      </c>
      <c r="KQ432" s="234">
        <f t="shared" si="918"/>
        <v>2461.6508694918571</v>
      </c>
      <c r="KR432" s="234">
        <f t="shared" si="919"/>
        <v>2461.6508694918571</v>
      </c>
      <c r="KS432" s="234">
        <f t="shared" si="920"/>
        <v>2461.6508694918571</v>
      </c>
      <c r="KT432" s="234">
        <f t="shared" si="921"/>
        <v>2461.6508694918571</v>
      </c>
      <c r="KU432" s="234">
        <f t="shared" si="922"/>
        <v>2461.6508694918571</v>
      </c>
      <c r="KV432" s="234">
        <f t="shared" si="923"/>
        <v>2461.6508694918571</v>
      </c>
      <c r="KW432" s="234">
        <f t="shared" si="924"/>
        <v>2461.6508694918571</v>
      </c>
      <c r="KX432" s="234">
        <f t="shared" si="925"/>
        <v>2461.6508694918571</v>
      </c>
      <c r="KY432" s="234">
        <f t="shared" si="926"/>
        <v>2461.6508694918571</v>
      </c>
      <c r="KZ432" s="234">
        <f t="shared" si="927"/>
        <v>2461.6508694918571</v>
      </c>
      <c r="LA432" s="189">
        <f t="shared" si="928"/>
        <v>2461.6508694918571</v>
      </c>
      <c r="LB432" s="140"/>
      <c r="LC432" s="139"/>
      <c r="LD432" s="140"/>
      <c r="LE432" s="140"/>
      <c r="LF432" s="140"/>
      <c r="LG432" s="140"/>
      <c r="LH432" s="219"/>
      <c r="LI432" s="234">
        <f t="shared" si="929"/>
        <v>2461.6508694918571</v>
      </c>
      <c r="LJ432" s="234">
        <f t="shared" si="930"/>
        <v>2461.6508694918571</v>
      </c>
      <c r="LK432" s="234">
        <f t="shared" si="931"/>
        <v>2461.6508694918571</v>
      </c>
      <c r="LL432" s="234">
        <f t="shared" si="932"/>
        <v>2461.6508694918571</v>
      </c>
      <c r="LM432" s="234">
        <f t="shared" si="933"/>
        <v>2461.6508694918571</v>
      </c>
      <c r="LN432" s="234">
        <f t="shared" si="934"/>
        <v>2461.6508694918571</v>
      </c>
      <c r="LO432" s="234">
        <f t="shared" si="935"/>
        <v>2461.6508694918571</v>
      </c>
      <c r="LP432" s="234">
        <f t="shared" si="936"/>
        <v>2461.6508694918571</v>
      </c>
      <c r="LQ432" s="234">
        <f t="shared" si="937"/>
        <v>2461.6508694918571</v>
      </c>
      <c r="LR432" s="234">
        <f t="shared" si="938"/>
        <v>2461.6508694918571</v>
      </c>
      <c r="LS432" s="234">
        <f t="shared" si="939"/>
        <v>2461.6508694918571</v>
      </c>
      <c r="LT432" s="234">
        <f t="shared" si="940"/>
        <v>2461.6508694918571</v>
      </c>
      <c r="LU432" s="234">
        <f t="shared" si="941"/>
        <v>2461.6508694918571</v>
      </c>
      <c r="LV432" s="234">
        <f t="shared" si="942"/>
        <v>2461.6508694918571</v>
      </c>
      <c r="LW432" s="234">
        <f t="shared" si="943"/>
        <v>2461.6508694918571</v>
      </c>
      <c r="LX432" s="234">
        <f t="shared" si="944"/>
        <v>2461.6508694918571</v>
      </c>
      <c r="LY432" s="234">
        <f t="shared" si="945"/>
        <v>2461.6508694918571</v>
      </c>
      <c r="LZ432" s="234">
        <f t="shared" si="946"/>
        <v>2461.6508694918571</v>
      </c>
      <c r="MA432" s="234">
        <f t="shared" si="947"/>
        <v>2461.6508694918571</v>
      </c>
      <c r="MB432" s="234">
        <f t="shared" si="948"/>
        <v>2461.6508694918571</v>
      </c>
      <c r="MC432" s="234">
        <f t="shared" si="949"/>
        <v>2461.6508694918571</v>
      </c>
      <c r="MD432" s="234">
        <f t="shared" si="950"/>
        <v>2461.6508694918571</v>
      </c>
      <c r="ME432" s="234">
        <f t="shared" si="951"/>
        <v>2461.6508694918571</v>
      </c>
      <c r="MF432" s="234">
        <f t="shared" si="952"/>
        <v>2461.6508694918571</v>
      </c>
      <c r="MG432" s="234">
        <f t="shared" si="953"/>
        <v>2461.6508694918571</v>
      </c>
      <c r="MH432" s="234">
        <f t="shared" si="954"/>
        <v>2461.6508694918571</v>
      </c>
      <c r="MI432" s="234">
        <f t="shared" si="955"/>
        <v>2461.6508694918571</v>
      </c>
      <c r="MJ432" s="234">
        <f t="shared" si="956"/>
        <v>2461.6508694918571</v>
      </c>
      <c r="MK432" s="234">
        <f t="shared" si="957"/>
        <v>2461.6508694918571</v>
      </c>
      <c r="ML432" s="189">
        <f t="shared" si="958"/>
        <v>2461.6508694918571</v>
      </c>
    </row>
    <row r="433" spans="2:350" s="4" customFormat="1" ht="18" customHeight="1" x14ac:dyDescent="0.3">
      <c r="C433" s="136" t="s">
        <v>80</v>
      </c>
      <c r="E433" s="137" t="s">
        <v>105</v>
      </c>
      <c r="F433" s="186"/>
      <c r="H433" s="235"/>
      <c r="I433" s="218"/>
      <c r="J433" s="218"/>
      <c r="K433" s="218"/>
      <c r="L433" s="218"/>
      <c r="M433" s="236"/>
      <c r="N433" s="237"/>
      <c r="O433" s="237"/>
      <c r="P433" s="237"/>
      <c r="Q433" s="237"/>
      <c r="R433" s="140"/>
      <c r="S433" s="139"/>
      <c r="T433" s="140"/>
      <c r="U433" s="140"/>
      <c r="V433" s="140"/>
      <c r="W433" s="140"/>
      <c r="X433" s="140"/>
      <c r="Y433" s="140"/>
      <c r="Z433" s="140"/>
      <c r="AA433" s="140"/>
      <c r="AB433" s="140"/>
      <c r="AC433" s="140"/>
      <c r="AD433" s="140"/>
      <c r="AE433" s="140"/>
      <c r="AF433" s="140"/>
      <c r="AG433" s="140"/>
      <c r="AH433" s="140"/>
      <c r="AI433" s="140"/>
      <c r="AJ433" s="140"/>
      <c r="AK433" s="140"/>
      <c r="AL433" s="140"/>
      <c r="AM433" s="140"/>
      <c r="AN433" s="140"/>
      <c r="AO433" s="140"/>
      <c r="AP433" s="140"/>
      <c r="AQ433" s="140"/>
      <c r="AR433" s="140"/>
      <c r="AS433" s="140"/>
      <c r="AT433" s="140"/>
      <c r="AU433" s="140"/>
      <c r="AV433" s="140"/>
      <c r="AW433" s="140"/>
      <c r="AX433" s="140"/>
      <c r="AY433" s="140"/>
      <c r="AZ433" s="140"/>
      <c r="BA433" s="140"/>
      <c r="BB433" s="141"/>
      <c r="BC433" s="140"/>
      <c r="BD433" s="177"/>
      <c r="BE433" s="178"/>
      <c r="BF433" s="178"/>
      <c r="BG433" s="178"/>
      <c r="BH433" s="178"/>
      <c r="BI433" s="219"/>
      <c r="BJ433" s="234">
        <f t="shared" si="719"/>
        <v>347.08630303030316</v>
      </c>
      <c r="BK433" s="234">
        <f t="shared" si="720"/>
        <v>347.08630303030316</v>
      </c>
      <c r="BL433" s="234">
        <f t="shared" si="721"/>
        <v>347.08630303030316</v>
      </c>
      <c r="BM433" s="234">
        <f t="shared" si="722"/>
        <v>347.08630303030316</v>
      </c>
      <c r="BN433" s="234">
        <f t="shared" si="723"/>
        <v>347.08630303030316</v>
      </c>
      <c r="BO433" s="234">
        <f t="shared" si="724"/>
        <v>347.08630303030316</v>
      </c>
      <c r="BP433" s="234">
        <f t="shared" si="725"/>
        <v>347.08630303030316</v>
      </c>
      <c r="BQ433" s="234">
        <f t="shared" si="726"/>
        <v>347.08630303030316</v>
      </c>
      <c r="BR433" s="234">
        <f t="shared" si="727"/>
        <v>347.08630303030316</v>
      </c>
      <c r="BS433" s="234">
        <f t="shared" si="728"/>
        <v>347.08630303030316</v>
      </c>
      <c r="BT433" s="234">
        <f t="shared" si="729"/>
        <v>347.08630303030316</v>
      </c>
      <c r="BU433" s="234">
        <f t="shared" si="730"/>
        <v>347.08630303030316</v>
      </c>
      <c r="BV433" s="234">
        <f t="shared" si="731"/>
        <v>347.08630303030316</v>
      </c>
      <c r="BW433" s="234">
        <f t="shared" si="732"/>
        <v>347.08630303030316</v>
      </c>
      <c r="BX433" s="234">
        <f t="shared" si="733"/>
        <v>347.08630303030316</v>
      </c>
      <c r="BY433" s="234">
        <f t="shared" si="734"/>
        <v>347.08630303030316</v>
      </c>
      <c r="BZ433" s="234">
        <f t="shared" si="735"/>
        <v>347.08630303030316</v>
      </c>
      <c r="CA433" s="234">
        <f t="shared" si="736"/>
        <v>347.08630303030316</v>
      </c>
      <c r="CB433" s="234">
        <f t="shared" si="737"/>
        <v>347.08630303030316</v>
      </c>
      <c r="CC433" s="234">
        <f t="shared" si="738"/>
        <v>347.08630303030316</v>
      </c>
      <c r="CD433" s="234">
        <f t="shared" si="739"/>
        <v>347.08630303030316</v>
      </c>
      <c r="CE433" s="234">
        <f t="shared" si="740"/>
        <v>347.08630303030316</v>
      </c>
      <c r="CF433" s="234">
        <f t="shared" si="741"/>
        <v>347.08630303030316</v>
      </c>
      <c r="CG433" s="234">
        <f t="shared" si="742"/>
        <v>347.08630303030316</v>
      </c>
      <c r="CH433" s="234">
        <f t="shared" si="743"/>
        <v>347.08630303030316</v>
      </c>
      <c r="CI433" s="234">
        <f t="shared" si="744"/>
        <v>347.08630303030316</v>
      </c>
      <c r="CJ433" s="234">
        <f t="shared" si="745"/>
        <v>347.08630303030316</v>
      </c>
      <c r="CK433" s="234">
        <f t="shared" si="746"/>
        <v>347.08630303030316</v>
      </c>
      <c r="CL433" s="234">
        <f t="shared" si="747"/>
        <v>347.08630303030316</v>
      </c>
      <c r="CM433" s="189">
        <f t="shared" si="748"/>
        <v>347.08630303030316</v>
      </c>
      <c r="CN433" s="140"/>
      <c r="CO433" s="177"/>
      <c r="CP433" s="178"/>
      <c r="CQ433" s="178"/>
      <c r="CR433" s="178"/>
      <c r="CS433" s="178"/>
      <c r="CT433" s="219"/>
      <c r="CU433" s="234">
        <f t="shared" si="749"/>
        <v>90.90355555555557</v>
      </c>
      <c r="CV433" s="234">
        <f t="shared" si="750"/>
        <v>90.90355555555557</v>
      </c>
      <c r="CW433" s="234">
        <f t="shared" si="751"/>
        <v>90.90355555555557</v>
      </c>
      <c r="CX433" s="234">
        <f t="shared" si="752"/>
        <v>90.90355555555557</v>
      </c>
      <c r="CY433" s="234">
        <f t="shared" si="753"/>
        <v>90.90355555555557</v>
      </c>
      <c r="CZ433" s="234">
        <f t="shared" si="754"/>
        <v>90.90355555555557</v>
      </c>
      <c r="DA433" s="234">
        <f t="shared" si="755"/>
        <v>90.90355555555557</v>
      </c>
      <c r="DB433" s="234">
        <f t="shared" si="756"/>
        <v>90.90355555555557</v>
      </c>
      <c r="DC433" s="234">
        <f t="shared" si="757"/>
        <v>90.90355555555557</v>
      </c>
      <c r="DD433" s="234">
        <f t="shared" si="758"/>
        <v>90.90355555555557</v>
      </c>
      <c r="DE433" s="234">
        <f t="shared" si="759"/>
        <v>90.90355555555557</v>
      </c>
      <c r="DF433" s="234">
        <f t="shared" si="760"/>
        <v>90.90355555555557</v>
      </c>
      <c r="DG433" s="234">
        <f t="shared" si="761"/>
        <v>90.90355555555557</v>
      </c>
      <c r="DH433" s="234">
        <f t="shared" si="762"/>
        <v>90.90355555555557</v>
      </c>
      <c r="DI433" s="234">
        <f t="shared" si="763"/>
        <v>90.90355555555557</v>
      </c>
      <c r="DJ433" s="234">
        <f t="shared" si="764"/>
        <v>90.90355555555557</v>
      </c>
      <c r="DK433" s="234">
        <f t="shared" si="765"/>
        <v>90.90355555555557</v>
      </c>
      <c r="DL433" s="234">
        <f t="shared" si="766"/>
        <v>90.90355555555557</v>
      </c>
      <c r="DM433" s="234">
        <f t="shared" si="767"/>
        <v>90.90355555555557</v>
      </c>
      <c r="DN433" s="234">
        <f t="shared" si="768"/>
        <v>90.90355555555557</v>
      </c>
      <c r="DO433" s="234">
        <f t="shared" si="769"/>
        <v>90.90355555555557</v>
      </c>
      <c r="DP433" s="234">
        <f t="shared" si="770"/>
        <v>90.90355555555557</v>
      </c>
      <c r="DQ433" s="234">
        <f t="shared" si="771"/>
        <v>90.90355555555557</v>
      </c>
      <c r="DR433" s="234">
        <f t="shared" si="772"/>
        <v>90.90355555555557</v>
      </c>
      <c r="DS433" s="234">
        <f t="shared" si="773"/>
        <v>90.90355555555557</v>
      </c>
      <c r="DT433" s="234">
        <f t="shared" si="774"/>
        <v>90.90355555555557</v>
      </c>
      <c r="DU433" s="234">
        <f t="shared" si="775"/>
        <v>90.90355555555557</v>
      </c>
      <c r="DV433" s="234">
        <f t="shared" si="776"/>
        <v>90.90355555555557</v>
      </c>
      <c r="DW433" s="234">
        <f t="shared" si="777"/>
        <v>90.90355555555557</v>
      </c>
      <c r="DX433" s="189">
        <f t="shared" si="778"/>
        <v>90.90355555555557</v>
      </c>
      <c r="DY433" s="140"/>
      <c r="DZ433" s="177"/>
      <c r="EA433" s="178"/>
      <c r="EB433" s="178"/>
      <c r="EC433" s="178"/>
      <c r="ED433" s="178"/>
      <c r="EE433" s="219"/>
      <c r="EF433" s="234">
        <f t="shared" si="779"/>
        <v>181.80711111111114</v>
      </c>
      <c r="EG433" s="234">
        <f t="shared" si="780"/>
        <v>181.80711111111114</v>
      </c>
      <c r="EH433" s="234">
        <f t="shared" si="781"/>
        <v>181.80711111111114</v>
      </c>
      <c r="EI433" s="234">
        <f t="shared" si="782"/>
        <v>181.80711111111114</v>
      </c>
      <c r="EJ433" s="234">
        <f t="shared" si="783"/>
        <v>181.80711111111114</v>
      </c>
      <c r="EK433" s="234">
        <f t="shared" si="784"/>
        <v>181.80711111111114</v>
      </c>
      <c r="EL433" s="234">
        <f t="shared" si="785"/>
        <v>181.80711111111114</v>
      </c>
      <c r="EM433" s="234">
        <f t="shared" si="786"/>
        <v>181.80711111111114</v>
      </c>
      <c r="EN433" s="234">
        <f t="shared" si="787"/>
        <v>181.80711111111114</v>
      </c>
      <c r="EO433" s="234">
        <f t="shared" si="788"/>
        <v>181.80711111111114</v>
      </c>
      <c r="EP433" s="234">
        <f t="shared" si="789"/>
        <v>181.80711111111114</v>
      </c>
      <c r="EQ433" s="234">
        <f t="shared" si="790"/>
        <v>181.80711111111114</v>
      </c>
      <c r="ER433" s="234">
        <f t="shared" si="791"/>
        <v>181.80711111111114</v>
      </c>
      <c r="ES433" s="234">
        <f t="shared" si="792"/>
        <v>181.80711111111114</v>
      </c>
      <c r="ET433" s="234">
        <f t="shared" si="793"/>
        <v>181.80711111111114</v>
      </c>
      <c r="EU433" s="234">
        <f t="shared" si="794"/>
        <v>181.80711111111114</v>
      </c>
      <c r="EV433" s="234">
        <f t="shared" si="795"/>
        <v>181.80711111111114</v>
      </c>
      <c r="EW433" s="234">
        <f t="shared" si="796"/>
        <v>181.80711111111114</v>
      </c>
      <c r="EX433" s="234">
        <f t="shared" si="797"/>
        <v>181.80711111111114</v>
      </c>
      <c r="EY433" s="234">
        <f t="shared" si="798"/>
        <v>181.80711111111114</v>
      </c>
      <c r="EZ433" s="234">
        <f t="shared" si="799"/>
        <v>181.80711111111114</v>
      </c>
      <c r="FA433" s="234">
        <f t="shared" si="800"/>
        <v>181.80711111111114</v>
      </c>
      <c r="FB433" s="234">
        <f t="shared" si="801"/>
        <v>181.80711111111114</v>
      </c>
      <c r="FC433" s="234">
        <f t="shared" si="802"/>
        <v>181.80711111111114</v>
      </c>
      <c r="FD433" s="234">
        <f t="shared" si="803"/>
        <v>181.80711111111114</v>
      </c>
      <c r="FE433" s="234">
        <f t="shared" si="804"/>
        <v>181.80711111111114</v>
      </c>
      <c r="FF433" s="234">
        <f t="shared" si="805"/>
        <v>181.80711111111114</v>
      </c>
      <c r="FG433" s="234">
        <f t="shared" si="806"/>
        <v>181.80711111111114</v>
      </c>
      <c r="FH433" s="234">
        <f t="shared" si="807"/>
        <v>181.80711111111114</v>
      </c>
      <c r="FI433" s="189">
        <f t="shared" si="808"/>
        <v>181.80711111111114</v>
      </c>
      <c r="FJ433" s="140"/>
      <c r="FK433" s="177"/>
      <c r="FL433" s="178"/>
      <c r="FM433" s="178"/>
      <c r="FN433" s="178"/>
      <c r="FO433" s="178"/>
      <c r="FP433" s="219"/>
      <c r="FQ433" s="234">
        <f t="shared" si="809"/>
        <v>181.80711111111114</v>
      </c>
      <c r="FR433" s="234">
        <f t="shared" si="810"/>
        <v>181.80711111111114</v>
      </c>
      <c r="FS433" s="234">
        <f t="shared" si="811"/>
        <v>181.80711111111114</v>
      </c>
      <c r="FT433" s="234">
        <f t="shared" si="812"/>
        <v>181.80711111111114</v>
      </c>
      <c r="FU433" s="234">
        <f t="shared" si="813"/>
        <v>181.80711111111114</v>
      </c>
      <c r="FV433" s="234">
        <f t="shared" si="814"/>
        <v>181.80711111111114</v>
      </c>
      <c r="FW433" s="234">
        <f t="shared" si="815"/>
        <v>181.80711111111114</v>
      </c>
      <c r="FX433" s="234">
        <f t="shared" si="816"/>
        <v>181.80711111111114</v>
      </c>
      <c r="FY433" s="234">
        <f t="shared" si="817"/>
        <v>181.80711111111114</v>
      </c>
      <c r="FZ433" s="234">
        <f t="shared" si="818"/>
        <v>181.80711111111114</v>
      </c>
      <c r="GA433" s="234">
        <f t="shared" si="819"/>
        <v>181.80711111111114</v>
      </c>
      <c r="GB433" s="234">
        <f t="shared" si="820"/>
        <v>181.80711111111114</v>
      </c>
      <c r="GC433" s="234">
        <f t="shared" si="821"/>
        <v>181.80711111111114</v>
      </c>
      <c r="GD433" s="234">
        <f t="shared" si="822"/>
        <v>181.80711111111114</v>
      </c>
      <c r="GE433" s="234">
        <f t="shared" si="823"/>
        <v>181.80711111111114</v>
      </c>
      <c r="GF433" s="234">
        <f t="shared" si="824"/>
        <v>181.80711111111114</v>
      </c>
      <c r="GG433" s="234">
        <f t="shared" si="825"/>
        <v>181.80711111111114</v>
      </c>
      <c r="GH433" s="234">
        <f t="shared" si="826"/>
        <v>181.80711111111114</v>
      </c>
      <c r="GI433" s="234">
        <f t="shared" si="827"/>
        <v>181.80711111111114</v>
      </c>
      <c r="GJ433" s="234">
        <f t="shared" si="828"/>
        <v>181.80711111111114</v>
      </c>
      <c r="GK433" s="234">
        <f t="shared" si="829"/>
        <v>181.80711111111114</v>
      </c>
      <c r="GL433" s="234">
        <f t="shared" si="830"/>
        <v>181.80711111111114</v>
      </c>
      <c r="GM433" s="234">
        <f t="shared" si="831"/>
        <v>181.80711111111114</v>
      </c>
      <c r="GN433" s="234">
        <f t="shared" si="832"/>
        <v>181.80711111111114</v>
      </c>
      <c r="GO433" s="234">
        <f t="shared" si="833"/>
        <v>181.80711111111114</v>
      </c>
      <c r="GP433" s="234">
        <f t="shared" si="834"/>
        <v>181.80711111111114</v>
      </c>
      <c r="GQ433" s="234">
        <f t="shared" si="835"/>
        <v>181.80711111111114</v>
      </c>
      <c r="GR433" s="234">
        <f t="shared" si="836"/>
        <v>181.80711111111114</v>
      </c>
      <c r="GS433" s="234">
        <f t="shared" si="837"/>
        <v>181.80711111111114</v>
      </c>
      <c r="GT433" s="189">
        <f t="shared" si="838"/>
        <v>181.80711111111114</v>
      </c>
      <c r="GU433" s="140"/>
      <c r="GV433" s="177"/>
      <c r="GW433" s="178"/>
      <c r="GX433" s="178"/>
      <c r="GY433" s="178"/>
      <c r="GZ433" s="178"/>
      <c r="HA433" s="219"/>
      <c r="HB433" s="234">
        <f t="shared" si="839"/>
        <v>264.44670707070713</v>
      </c>
      <c r="HC433" s="234">
        <f t="shared" si="840"/>
        <v>264.44670707070713</v>
      </c>
      <c r="HD433" s="234">
        <f t="shared" si="841"/>
        <v>264.44670707070713</v>
      </c>
      <c r="HE433" s="234">
        <f t="shared" si="842"/>
        <v>264.44670707070713</v>
      </c>
      <c r="HF433" s="234">
        <f t="shared" si="843"/>
        <v>264.44670707070713</v>
      </c>
      <c r="HG433" s="234">
        <f t="shared" si="844"/>
        <v>264.44670707070713</v>
      </c>
      <c r="HH433" s="234">
        <f t="shared" si="845"/>
        <v>264.44670707070713</v>
      </c>
      <c r="HI433" s="234">
        <f t="shared" si="846"/>
        <v>264.44670707070713</v>
      </c>
      <c r="HJ433" s="234">
        <f t="shared" si="847"/>
        <v>264.44670707070713</v>
      </c>
      <c r="HK433" s="234">
        <f t="shared" si="848"/>
        <v>264.44670707070713</v>
      </c>
      <c r="HL433" s="234">
        <f t="shared" si="849"/>
        <v>264.44670707070713</v>
      </c>
      <c r="HM433" s="234">
        <f t="shared" si="850"/>
        <v>264.44670707070713</v>
      </c>
      <c r="HN433" s="234">
        <f t="shared" si="851"/>
        <v>264.44670707070713</v>
      </c>
      <c r="HO433" s="234">
        <f t="shared" si="852"/>
        <v>264.44670707070713</v>
      </c>
      <c r="HP433" s="234">
        <f t="shared" si="853"/>
        <v>264.44670707070713</v>
      </c>
      <c r="HQ433" s="234">
        <f t="shared" si="854"/>
        <v>264.44670707070713</v>
      </c>
      <c r="HR433" s="234">
        <f t="shared" si="855"/>
        <v>264.44670707070713</v>
      </c>
      <c r="HS433" s="234">
        <f t="shared" si="856"/>
        <v>264.44670707070713</v>
      </c>
      <c r="HT433" s="234">
        <f t="shared" si="857"/>
        <v>264.44670707070713</v>
      </c>
      <c r="HU433" s="234">
        <f t="shared" si="858"/>
        <v>264.44670707070713</v>
      </c>
      <c r="HV433" s="234">
        <f t="shared" si="859"/>
        <v>264.44670707070713</v>
      </c>
      <c r="HW433" s="234">
        <f t="shared" si="860"/>
        <v>264.44670707070713</v>
      </c>
      <c r="HX433" s="234">
        <f t="shared" si="861"/>
        <v>264.44670707070713</v>
      </c>
      <c r="HY433" s="234">
        <f t="shared" si="862"/>
        <v>264.44670707070713</v>
      </c>
      <c r="HZ433" s="234">
        <f t="shared" si="863"/>
        <v>264.44670707070713</v>
      </c>
      <c r="IA433" s="234">
        <f t="shared" si="864"/>
        <v>264.44670707070713</v>
      </c>
      <c r="IB433" s="234">
        <f t="shared" si="865"/>
        <v>264.44670707070713</v>
      </c>
      <c r="IC433" s="234">
        <f t="shared" si="866"/>
        <v>264.44670707070713</v>
      </c>
      <c r="ID433" s="234">
        <f t="shared" si="867"/>
        <v>264.44670707070713</v>
      </c>
      <c r="IE433" s="189">
        <f t="shared" si="868"/>
        <v>264.44670707070713</v>
      </c>
      <c r="IF433" s="140"/>
      <c r="IG433" s="177"/>
      <c r="IH433" s="178"/>
      <c r="II433" s="178"/>
      <c r="IJ433" s="178"/>
      <c r="IK433" s="178"/>
      <c r="IL433" s="219"/>
      <c r="IM433" s="234">
        <f t="shared" si="869"/>
        <v>736.37819876123717</v>
      </c>
      <c r="IN433" s="234">
        <f t="shared" si="870"/>
        <v>736.37819876123717</v>
      </c>
      <c r="IO433" s="234">
        <f t="shared" si="871"/>
        <v>736.37819876123717</v>
      </c>
      <c r="IP433" s="234">
        <f t="shared" si="872"/>
        <v>736.37819876123717</v>
      </c>
      <c r="IQ433" s="234">
        <f t="shared" si="873"/>
        <v>736.37819876123717</v>
      </c>
      <c r="IR433" s="234">
        <f t="shared" si="874"/>
        <v>736.37819876123717</v>
      </c>
      <c r="IS433" s="234">
        <f t="shared" si="875"/>
        <v>736.37819876123717</v>
      </c>
      <c r="IT433" s="234">
        <f t="shared" si="876"/>
        <v>736.37819876123717</v>
      </c>
      <c r="IU433" s="234">
        <f t="shared" si="877"/>
        <v>736.37819876123717</v>
      </c>
      <c r="IV433" s="234">
        <f t="shared" si="878"/>
        <v>736.37819876123717</v>
      </c>
      <c r="IW433" s="234">
        <f t="shared" si="879"/>
        <v>736.37819876123717</v>
      </c>
      <c r="IX433" s="234">
        <f t="shared" si="880"/>
        <v>736.37819876123717</v>
      </c>
      <c r="IY433" s="234">
        <f t="shared" si="881"/>
        <v>736.37819876123717</v>
      </c>
      <c r="IZ433" s="234">
        <f t="shared" si="882"/>
        <v>736.37819876123717</v>
      </c>
      <c r="JA433" s="234">
        <f t="shared" si="883"/>
        <v>736.37819876123717</v>
      </c>
      <c r="JB433" s="234">
        <f t="shared" si="884"/>
        <v>736.37819876123717</v>
      </c>
      <c r="JC433" s="234">
        <f t="shared" si="885"/>
        <v>736.37819876123717</v>
      </c>
      <c r="JD433" s="234">
        <f t="shared" si="886"/>
        <v>736.37819876123717</v>
      </c>
      <c r="JE433" s="234">
        <f t="shared" si="887"/>
        <v>736.37819876123717</v>
      </c>
      <c r="JF433" s="234">
        <f t="shared" si="888"/>
        <v>736.37819876123717</v>
      </c>
      <c r="JG433" s="234">
        <f t="shared" si="889"/>
        <v>736.37819876123717</v>
      </c>
      <c r="JH433" s="234">
        <f t="shared" si="890"/>
        <v>736.37819876123717</v>
      </c>
      <c r="JI433" s="234">
        <f t="shared" si="891"/>
        <v>736.37819876123717</v>
      </c>
      <c r="JJ433" s="234">
        <f t="shared" si="892"/>
        <v>736.37819876123717</v>
      </c>
      <c r="JK433" s="234">
        <f t="shared" si="893"/>
        <v>736.37819876123717</v>
      </c>
      <c r="JL433" s="234">
        <f t="shared" si="894"/>
        <v>736.37819876123717</v>
      </c>
      <c r="JM433" s="234">
        <f t="shared" si="895"/>
        <v>736.37819876123717</v>
      </c>
      <c r="JN433" s="234">
        <f t="shared" si="896"/>
        <v>736.37819876123717</v>
      </c>
      <c r="JO433" s="234">
        <f t="shared" si="897"/>
        <v>736.37819876123717</v>
      </c>
      <c r="JP433" s="189">
        <f t="shared" si="898"/>
        <v>736.37819876123717</v>
      </c>
      <c r="JQ433" s="140"/>
      <c r="JR433" s="177"/>
      <c r="JS433" s="178"/>
      <c r="JT433" s="178"/>
      <c r="JU433" s="178"/>
      <c r="JV433" s="178"/>
      <c r="JW433" s="219"/>
      <c r="JX433" s="234">
        <f t="shared" si="899"/>
        <v>736.37819876123717</v>
      </c>
      <c r="JY433" s="234">
        <f t="shared" si="900"/>
        <v>736.37819876123717</v>
      </c>
      <c r="JZ433" s="234">
        <f t="shared" si="901"/>
        <v>736.37819876123717</v>
      </c>
      <c r="KA433" s="234">
        <f t="shared" si="902"/>
        <v>736.37819876123717</v>
      </c>
      <c r="KB433" s="234">
        <f t="shared" si="903"/>
        <v>736.37819876123717</v>
      </c>
      <c r="KC433" s="234">
        <f t="shared" si="904"/>
        <v>736.37819876123717</v>
      </c>
      <c r="KD433" s="234">
        <f t="shared" si="905"/>
        <v>736.37819876123717</v>
      </c>
      <c r="KE433" s="234">
        <f t="shared" si="906"/>
        <v>736.37819876123717</v>
      </c>
      <c r="KF433" s="234">
        <f t="shared" si="907"/>
        <v>736.37819876123717</v>
      </c>
      <c r="KG433" s="234">
        <f t="shared" si="908"/>
        <v>736.37819876123717</v>
      </c>
      <c r="KH433" s="234">
        <f t="shared" si="909"/>
        <v>736.37819876123717</v>
      </c>
      <c r="KI433" s="234">
        <f t="shared" si="910"/>
        <v>736.37819876123717</v>
      </c>
      <c r="KJ433" s="234">
        <f t="shared" si="911"/>
        <v>736.37819876123717</v>
      </c>
      <c r="KK433" s="234">
        <f t="shared" si="912"/>
        <v>736.37819876123717</v>
      </c>
      <c r="KL433" s="234">
        <f t="shared" si="913"/>
        <v>736.37819876123717</v>
      </c>
      <c r="KM433" s="234">
        <f t="shared" si="914"/>
        <v>736.37819876123717</v>
      </c>
      <c r="KN433" s="234">
        <f t="shared" si="915"/>
        <v>736.37819876123717</v>
      </c>
      <c r="KO433" s="234">
        <f t="shared" si="916"/>
        <v>736.37819876123717</v>
      </c>
      <c r="KP433" s="234">
        <f t="shared" si="917"/>
        <v>736.37819876123717</v>
      </c>
      <c r="KQ433" s="234">
        <f t="shared" si="918"/>
        <v>736.37819876123717</v>
      </c>
      <c r="KR433" s="234">
        <f t="shared" si="919"/>
        <v>736.37819876123717</v>
      </c>
      <c r="KS433" s="234">
        <f t="shared" si="920"/>
        <v>736.37819876123717</v>
      </c>
      <c r="KT433" s="234">
        <f t="shared" si="921"/>
        <v>736.37819876123717</v>
      </c>
      <c r="KU433" s="234">
        <f t="shared" si="922"/>
        <v>736.37819876123717</v>
      </c>
      <c r="KV433" s="234">
        <f t="shared" si="923"/>
        <v>736.37819876123717</v>
      </c>
      <c r="KW433" s="234">
        <f t="shared" si="924"/>
        <v>736.37819876123717</v>
      </c>
      <c r="KX433" s="234">
        <f t="shared" si="925"/>
        <v>736.37819876123717</v>
      </c>
      <c r="KY433" s="234">
        <f t="shared" si="926"/>
        <v>736.37819876123717</v>
      </c>
      <c r="KZ433" s="234">
        <f t="shared" si="927"/>
        <v>736.37819876123717</v>
      </c>
      <c r="LA433" s="189">
        <f t="shared" si="928"/>
        <v>736.37819876123717</v>
      </c>
      <c r="LB433" s="140"/>
      <c r="LC433" s="177"/>
      <c r="LD433" s="178"/>
      <c r="LE433" s="178"/>
      <c r="LF433" s="178"/>
      <c r="LG433" s="178"/>
      <c r="LH433" s="219"/>
      <c r="LI433" s="234">
        <f t="shared" si="929"/>
        <v>736.37819876123717</v>
      </c>
      <c r="LJ433" s="234">
        <f t="shared" si="930"/>
        <v>736.37819876123717</v>
      </c>
      <c r="LK433" s="234">
        <f t="shared" si="931"/>
        <v>736.37819876123717</v>
      </c>
      <c r="LL433" s="234">
        <f t="shared" si="932"/>
        <v>736.37819876123717</v>
      </c>
      <c r="LM433" s="234">
        <f t="shared" si="933"/>
        <v>736.37819876123717</v>
      </c>
      <c r="LN433" s="234">
        <f t="shared" si="934"/>
        <v>736.37819876123717</v>
      </c>
      <c r="LO433" s="234">
        <f t="shared" si="935"/>
        <v>736.37819876123717</v>
      </c>
      <c r="LP433" s="234">
        <f t="shared" si="936"/>
        <v>736.37819876123717</v>
      </c>
      <c r="LQ433" s="234">
        <f t="shared" si="937"/>
        <v>736.37819876123717</v>
      </c>
      <c r="LR433" s="234">
        <f t="shared" si="938"/>
        <v>736.37819876123717</v>
      </c>
      <c r="LS433" s="234">
        <f t="shared" si="939"/>
        <v>736.37819876123717</v>
      </c>
      <c r="LT433" s="234">
        <f t="shared" si="940"/>
        <v>736.37819876123717</v>
      </c>
      <c r="LU433" s="234">
        <f t="shared" si="941"/>
        <v>736.37819876123717</v>
      </c>
      <c r="LV433" s="234">
        <f t="shared" si="942"/>
        <v>736.37819876123717</v>
      </c>
      <c r="LW433" s="234">
        <f t="shared" si="943"/>
        <v>736.37819876123717</v>
      </c>
      <c r="LX433" s="234">
        <f t="shared" si="944"/>
        <v>736.37819876123717</v>
      </c>
      <c r="LY433" s="234">
        <f t="shared" si="945"/>
        <v>736.37819876123717</v>
      </c>
      <c r="LZ433" s="234">
        <f t="shared" si="946"/>
        <v>736.37819876123717</v>
      </c>
      <c r="MA433" s="234">
        <f t="shared" si="947"/>
        <v>736.37819876123717</v>
      </c>
      <c r="MB433" s="234">
        <f t="shared" si="948"/>
        <v>736.37819876123717</v>
      </c>
      <c r="MC433" s="234">
        <f t="shared" si="949"/>
        <v>736.37819876123717</v>
      </c>
      <c r="MD433" s="234">
        <f t="shared" si="950"/>
        <v>736.37819876123717</v>
      </c>
      <c r="ME433" s="234">
        <f t="shared" si="951"/>
        <v>736.37819876123717</v>
      </c>
      <c r="MF433" s="234">
        <f t="shared" si="952"/>
        <v>736.37819876123717</v>
      </c>
      <c r="MG433" s="234">
        <f t="shared" si="953"/>
        <v>736.37819876123717</v>
      </c>
      <c r="MH433" s="234">
        <f t="shared" si="954"/>
        <v>736.37819876123717</v>
      </c>
      <c r="MI433" s="234">
        <f t="shared" si="955"/>
        <v>736.37819876123717</v>
      </c>
      <c r="MJ433" s="234">
        <f t="shared" si="956"/>
        <v>736.37819876123717</v>
      </c>
      <c r="MK433" s="234">
        <f t="shared" si="957"/>
        <v>736.37819876123717</v>
      </c>
      <c r="ML433" s="189">
        <f t="shared" si="958"/>
        <v>736.37819876123717</v>
      </c>
    </row>
    <row r="434" spans="2:350" s="4" customFormat="1" ht="18" customHeight="1" x14ac:dyDescent="0.3">
      <c r="C434" s="136" t="s">
        <v>81</v>
      </c>
      <c r="E434" s="137" t="s">
        <v>105</v>
      </c>
      <c r="F434" s="186"/>
      <c r="H434" s="235"/>
      <c r="I434" s="218"/>
      <c r="J434" s="218"/>
      <c r="K434" s="218"/>
      <c r="L434" s="218"/>
      <c r="M434" s="236"/>
      <c r="N434" s="237"/>
      <c r="O434" s="237"/>
      <c r="P434" s="237"/>
      <c r="Q434" s="237"/>
      <c r="R434" s="140"/>
      <c r="S434" s="139"/>
      <c r="T434" s="140"/>
      <c r="U434" s="140"/>
      <c r="V434" s="140"/>
      <c r="W434" s="140"/>
      <c r="X434" s="140"/>
      <c r="Y434" s="140"/>
      <c r="Z434" s="140"/>
      <c r="AA434" s="140"/>
      <c r="AB434" s="140"/>
      <c r="AC434" s="140"/>
      <c r="AD434" s="140"/>
      <c r="AE434" s="140"/>
      <c r="AF434" s="140"/>
      <c r="AG434" s="140"/>
      <c r="AH434" s="140"/>
      <c r="AI434" s="140"/>
      <c r="AJ434" s="140"/>
      <c r="AK434" s="140"/>
      <c r="AL434" s="140"/>
      <c r="AM434" s="140"/>
      <c r="AN434" s="140"/>
      <c r="AO434" s="140"/>
      <c r="AP434" s="140"/>
      <c r="AQ434" s="140"/>
      <c r="AR434" s="140"/>
      <c r="AS434" s="140"/>
      <c r="AT434" s="140"/>
      <c r="AU434" s="140"/>
      <c r="AV434" s="140"/>
      <c r="AW434" s="140"/>
      <c r="AX434" s="140"/>
      <c r="AY434" s="140"/>
      <c r="AZ434" s="140"/>
      <c r="BA434" s="140"/>
      <c r="BB434" s="141"/>
      <c r="BC434" s="140"/>
      <c r="BD434" s="177"/>
      <c r="BE434" s="178"/>
      <c r="BF434" s="178"/>
      <c r="BG434" s="178"/>
      <c r="BH434" s="178"/>
      <c r="BI434" s="219"/>
      <c r="BJ434" s="234">
        <f t="shared" si="719"/>
        <v>245.38759216122759</v>
      </c>
      <c r="BK434" s="234">
        <f t="shared" si="720"/>
        <v>245.38759216122759</v>
      </c>
      <c r="BL434" s="234">
        <f t="shared" si="721"/>
        <v>245.38759216122759</v>
      </c>
      <c r="BM434" s="234">
        <f t="shared" si="722"/>
        <v>245.38759216122759</v>
      </c>
      <c r="BN434" s="234">
        <f t="shared" si="723"/>
        <v>245.38759216122759</v>
      </c>
      <c r="BO434" s="234">
        <f t="shared" si="724"/>
        <v>245.38759216122759</v>
      </c>
      <c r="BP434" s="234">
        <f t="shared" si="725"/>
        <v>245.38759216122759</v>
      </c>
      <c r="BQ434" s="234">
        <f t="shared" si="726"/>
        <v>245.38759216122759</v>
      </c>
      <c r="BR434" s="234">
        <f t="shared" si="727"/>
        <v>245.38759216122759</v>
      </c>
      <c r="BS434" s="234">
        <f t="shared" si="728"/>
        <v>245.38759216122759</v>
      </c>
      <c r="BT434" s="234">
        <f t="shared" si="729"/>
        <v>245.38759216122759</v>
      </c>
      <c r="BU434" s="234">
        <f t="shared" si="730"/>
        <v>245.38759216122759</v>
      </c>
      <c r="BV434" s="234">
        <f t="shared" si="731"/>
        <v>245.38759216122759</v>
      </c>
      <c r="BW434" s="234">
        <f t="shared" si="732"/>
        <v>245.38759216122759</v>
      </c>
      <c r="BX434" s="234">
        <f t="shared" si="733"/>
        <v>245.38759216122759</v>
      </c>
      <c r="BY434" s="234">
        <f t="shared" si="734"/>
        <v>245.38759216122759</v>
      </c>
      <c r="BZ434" s="234">
        <f t="shared" si="735"/>
        <v>245.38759216122759</v>
      </c>
      <c r="CA434" s="234">
        <f t="shared" si="736"/>
        <v>245.38759216122759</v>
      </c>
      <c r="CB434" s="234">
        <f t="shared" si="737"/>
        <v>245.38759216122759</v>
      </c>
      <c r="CC434" s="234">
        <f t="shared" si="738"/>
        <v>245.38759216122759</v>
      </c>
      <c r="CD434" s="234">
        <f t="shared" si="739"/>
        <v>245.38759216122759</v>
      </c>
      <c r="CE434" s="234">
        <f t="shared" si="740"/>
        <v>245.38759216122759</v>
      </c>
      <c r="CF434" s="234">
        <f t="shared" si="741"/>
        <v>245.38759216122759</v>
      </c>
      <c r="CG434" s="234">
        <f t="shared" si="742"/>
        <v>245.38759216122759</v>
      </c>
      <c r="CH434" s="234">
        <f t="shared" si="743"/>
        <v>245.38759216122759</v>
      </c>
      <c r="CI434" s="234">
        <f t="shared" si="744"/>
        <v>245.38759216122759</v>
      </c>
      <c r="CJ434" s="234">
        <f t="shared" si="745"/>
        <v>245.38759216122759</v>
      </c>
      <c r="CK434" s="234">
        <f t="shared" si="746"/>
        <v>245.38759216122759</v>
      </c>
      <c r="CL434" s="234">
        <f t="shared" si="747"/>
        <v>245.38759216122759</v>
      </c>
      <c r="CM434" s="189">
        <f t="shared" si="748"/>
        <v>245.38759216122759</v>
      </c>
      <c r="CN434" s="140"/>
      <c r="CO434" s="177"/>
      <c r="CP434" s="178"/>
      <c r="CQ434" s="178"/>
      <c r="CR434" s="178"/>
      <c r="CS434" s="178"/>
      <c r="CT434" s="219"/>
      <c r="CU434" s="234">
        <f t="shared" si="749"/>
        <v>10.187206769582279</v>
      </c>
      <c r="CV434" s="234">
        <f t="shared" si="750"/>
        <v>10.187206769582279</v>
      </c>
      <c r="CW434" s="234">
        <f t="shared" si="751"/>
        <v>10.187206769582279</v>
      </c>
      <c r="CX434" s="234">
        <f t="shared" si="752"/>
        <v>10.187206769582279</v>
      </c>
      <c r="CY434" s="234">
        <f t="shared" si="753"/>
        <v>10.187206769582279</v>
      </c>
      <c r="CZ434" s="234">
        <f t="shared" si="754"/>
        <v>10.187206769582279</v>
      </c>
      <c r="DA434" s="234">
        <f t="shared" si="755"/>
        <v>10.187206769582279</v>
      </c>
      <c r="DB434" s="234">
        <f t="shared" si="756"/>
        <v>10.187206769582279</v>
      </c>
      <c r="DC434" s="234">
        <f t="shared" si="757"/>
        <v>10.187206769582279</v>
      </c>
      <c r="DD434" s="234">
        <f t="shared" si="758"/>
        <v>10.187206769582279</v>
      </c>
      <c r="DE434" s="234">
        <f t="shared" si="759"/>
        <v>10.187206769582279</v>
      </c>
      <c r="DF434" s="234">
        <f t="shared" si="760"/>
        <v>10.187206769582279</v>
      </c>
      <c r="DG434" s="234">
        <f t="shared" si="761"/>
        <v>10.187206769582279</v>
      </c>
      <c r="DH434" s="234">
        <f t="shared" si="762"/>
        <v>10.187206769582279</v>
      </c>
      <c r="DI434" s="234">
        <f t="shared" si="763"/>
        <v>10.187206769582279</v>
      </c>
      <c r="DJ434" s="234">
        <f t="shared" si="764"/>
        <v>10.187206769582279</v>
      </c>
      <c r="DK434" s="234">
        <f t="shared" si="765"/>
        <v>10.187206769582279</v>
      </c>
      <c r="DL434" s="234">
        <f t="shared" si="766"/>
        <v>10.187206769582279</v>
      </c>
      <c r="DM434" s="234">
        <f t="shared" si="767"/>
        <v>10.187206769582279</v>
      </c>
      <c r="DN434" s="234">
        <f t="shared" si="768"/>
        <v>10.187206769582279</v>
      </c>
      <c r="DO434" s="234">
        <f t="shared" si="769"/>
        <v>10.187206769582279</v>
      </c>
      <c r="DP434" s="234">
        <f t="shared" si="770"/>
        <v>10.187206769582279</v>
      </c>
      <c r="DQ434" s="234">
        <f t="shared" si="771"/>
        <v>10.187206769582279</v>
      </c>
      <c r="DR434" s="234">
        <f t="shared" si="772"/>
        <v>10.187206769582279</v>
      </c>
      <c r="DS434" s="234">
        <f t="shared" si="773"/>
        <v>10.187206769582279</v>
      </c>
      <c r="DT434" s="234">
        <f t="shared" si="774"/>
        <v>10.187206769582279</v>
      </c>
      <c r="DU434" s="234">
        <f t="shared" si="775"/>
        <v>10.187206769582279</v>
      </c>
      <c r="DV434" s="234">
        <f t="shared" si="776"/>
        <v>10.187206769582279</v>
      </c>
      <c r="DW434" s="234">
        <f t="shared" si="777"/>
        <v>10.187206769582279</v>
      </c>
      <c r="DX434" s="189">
        <f t="shared" si="778"/>
        <v>10.187206769582279</v>
      </c>
      <c r="DY434" s="140"/>
      <c r="DZ434" s="177"/>
      <c r="EA434" s="178"/>
      <c r="EB434" s="178"/>
      <c r="EC434" s="178"/>
      <c r="ED434" s="178"/>
      <c r="EE434" s="219"/>
      <c r="EF434" s="234">
        <f t="shared" si="779"/>
        <v>10.187206769582279</v>
      </c>
      <c r="EG434" s="234">
        <f t="shared" si="780"/>
        <v>10.187206769582279</v>
      </c>
      <c r="EH434" s="234">
        <f t="shared" si="781"/>
        <v>10.187206769582279</v>
      </c>
      <c r="EI434" s="234">
        <f t="shared" si="782"/>
        <v>10.187206769582279</v>
      </c>
      <c r="EJ434" s="234">
        <f t="shared" si="783"/>
        <v>10.187206769582279</v>
      </c>
      <c r="EK434" s="234">
        <f t="shared" si="784"/>
        <v>10.187206769582279</v>
      </c>
      <c r="EL434" s="234">
        <f t="shared" si="785"/>
        <v>10.187206769582279</v>
      </c>
      <c r="EM434" s="234">
        <f t="shared" si="786"/>
        <v>10.187206769582279</v>
      </c>
      <c r="EN434" s="234">
        <f t="shared" si="787"/>
        <v>10.187206769582279</v>
      </c>
      <c r="EO434" s="234">
        <f t="shared" si="788"/>
        <v>10.187206769582279</v>
      </c>
      <c r="EP434" s="234">
        <f t="shared" si="789"/>
        <v>10.187206769582279</v>
      </c>
      <c r="EQ434" s="234">
        <f t="shared" si="790"/>
        <v>10.187206769582279</v>
      </c>
      <c r="ER434" s="234">
        <f t="shared" si="791"/>
        <v>10.187206769582279</v>
      </c>
      <c r="ES434" s="234">
        <f t="shared" si="792"/>
        <v>10.187206769582279</v>
      </c>
      <c r="ET434" s="234">
        <f t="shared" si="793"/>
        <v>10.187206769582279</v>
      </c>
      <c r="EU434" s="234">
        <f t="shared" si="794"/>
        <v>10.187206769582279</v>
      </c>
      <c r="EV434" s="234">
        <f t="shared" si="795"/>
        <v>10.187206769582279</v>
      </c>
      <c r="EW434" s="234">
        <f t="shared" si="796"/>
        <v>10.187206769582279</v>
      </c>
      <c r="EX434" s="234">
        <f t="shared" si="797"/>
        <v>10.187206769582279</v>
      </c>
      <c r="EY434" s="234">
        <f t="shared" si="798"/>
        <v>10.187206769582279</v>
      </c>
      <c r="EZ434" s="234">
        <f t="shared" si="799"/>
        <v>10.187206769582279</v>
      </c>
      <c r="FA434" s="234">
        <f t="shared" si="800"/>
        <v>10.187206769582279</v>
      </c>
      <c r="FB434" s="234">
        <f t="shared" si="801"/>
        <v>10.187206769582279</v>
      </c>
      <c r="FC434" s="234">
        <f t="shared" si="802"/>
        <v>10.187206769582279</v>
      </c>
      <c r="FD434" s="234">
        <f t="shared" si="803"/>
        <v>10.187206769582279</v>
      </c>
      <c r="FE434" s="234">
        <f t="shared" si="804"/>
        <v>10.187206769582279</v>
      </c>
      <c r="FF434" s="234">
        <f t="shared" si="805"/>
        <v>10.187206769582279</v>
      </c>
      <c r="FG434" s="234">
        <f t="shared" si="806"/>
        <v>10.187206769582279</v>
      </c>
      <c r="FH434" s="234">
        <f t="shared" si="807"/>
        <v>10.187206769582279</v>
      </c>
      <c r="FI434" s="189">
        <f t="shared" si="808"/>
        <v>10.187206769582279</v>
      </c>
      <c r="FJ434" s="140"/>
      <c r="FK434" s="177"/>
      <c r="FL434" s="178"/>
      <c r="FM434" s="178"/>
      <c r="FN434" s="178"/>
      <c r="FO434" s="178"/>
      <c r="FP434" s="219"/>
      <c r="FQ434" s="234">
        <f t="shared" si="809"/>
        <v>11.685123436248945</v>
      </c>
      <c r="FR434" s="234">
        <f t="shared" si="810"/>
        <v>11.685123436248945</v>
      </c>
      <c r="FS434" s="234">
        <f t="shared" si="811"/>
        <v>11.685123436248945</v>
      </c>
      <c r="FT434" s="234">
        <f t="shared" si="812"/>
        <v>11.685123436248945</v>
      </c>
      <c r="FU434" s="234">
        <f t="shared" si="813"/>
        <v>11.685123436248945</v>
      </c>
      <c r="FV434" s="234">
        <f t="shared" si="814"/>
        <v>11.685123436248945</v>
      </c>
      <c r="FW434" s="234">
        <f t="shared" si="815"/>
        <v>11.685123436248945</v>
      </c>
      <c r="FX434" s="234">
        <f t="shared" si="816"/>
        <v>11.685123436248945</v>
      </c>
      <c r="FY434" s="234">
        <f t="shared" si="817"/>
        <v>11.685123436248945</v>
      </c>
      <c r="FZ434" s="234">
        <f t="shared" si="818"/>
        <v>11.685123436248945</v>
      </c>
      <c r="GA434" s="234">
        <f t="shared" si="819"/>
        <v>11.685123436248945</v>
      </c>
      <c r="GB434" s="234">
        <f t="shared" si="820"/>
        <v>11.685123436248945</v>
      </c>
      <c r="GC434" s="234">
        <f t="shared" si="821"/>
        <v>11.685123436248945</v>
      </c>
      <c r="GD434" s="234">
        <f t="shared" si="822"/>
        <v>11.685123436248945</v>
      </c>
      <c r="GE434" s="234">
        <f t="shared" si="823"/>
        <v>11.685123436248945</v>
      </c>
      <c r="GF434" s="234">
        <f t="shared" si="824"/>
        <v>11.685123436248945</v>
      </c>
      <c r="GG434" s="234">
        <f t="shared" si="825"/>
        <v>11.685123436248945</v>
      </c>
      <c r="GH434" s="234">
        <f t="shared" si="826"/>
        <v>11.685123436248945</v>
      </c>
      <c r="GI434" s="234">
        <f t="shared" si="827"/>
        <v>11.685123436248945</v>
      </c>
      <c r="GJ434" s="234">
        <f t="shared" si="828"/>
        <v>11.685123436248945</v>
      </c>
      <c r="GK434" s="234">
        <f t="shared" si="829"/>
        <v>11.685123436248945</v>
      </c>
      <c r="GL434" s="234">
        <f t="shared" si="830"/>
        <v>11.685123436248945</v>
      </c>
      <c r="GM434" s="234">
        <f t="shared" si="831"/>
        <v>11.685123436248945</v>
      </c>
      <c r="GN434" s="234">
        <f t="shared" si="832"/>
        <v>11.685123436248945</v>
      </c>
      <c r="GO434" s="234">
        <f t="shared" si="833"/>
        <v>11.685123436248945</v>
      </c>
      <c r="GP434" s="234">
        <f t="shared" si="834"/>
        <v>11.685123436248945</v>
      </c>
      <c r="GQ434" s="234">
        <f t="shared" si="835"/>
        <v>11.685123436248945</v>
      </c>
      <c r="GR434" s="234">
        <f t="shared" si="836"/>
        <v>11.685123436248945</v>
      </c>
      <c r="GS434" s="234">
        <f t="shared" si="837"/>
        <v>11.685123436248945</v>
      </c>
      <c r="GT434" s="189">
        <f t="shared" si="838"/>
        <v>11.685123436248945</v>
      </c>
      <c r="GU434" s="140"/>
      <c r="GV434" s="177"/>
      <c r="GW434" s="178"/>
      <c r="GX434" s="178"/>
      <c r="GY434" s="178"/>
      <c r="GZ434" s="178"/>
      <c r="HA434" s="219"/>
      <c r="HB434" s="234">
        <f t="shared" si="839"/>
        <v>128.53635779873827</v>
      </c>
      <c r="HC434" s="234">
        <f t="shared" si="840"/>
        <v>128.53635779873827</v>
      </c>
      <c r="HD434" s="234">
        <f t="shared" si="841"/>
        <v>128.53635779873827</v>
      </c>
      <c r="HE434" s="234">
        <f t="shared" si="842"/>
        <v>128.53635779873827</v>
      </c>
      <c r="HF434" s="234">
        <f t="shared" si="843"/>
        <v>128.53635779873827</v>
      </c>
      <c r="HG434" s="234">
        <f t="shared" si="844"/>
        <v>128.53635779873827</v>
      </c>
      <c r="HH434" s="234">
        <f t="shared" si="845"/>
        <v>128.53635779873827</v>
      </c>
      <c r="HI434" s="234">
        <f t="shared" si="846"/>
        <v>128.53635779873827</v>
      </c>
      <c r="HJ434" s="234">
        <f t="shared" si="847"/>
        <v>128.53635779873827</v>
      </c>
      <c r="HK434" s="234">
        <f t="shared" si="848"/>
        <v>128.53635779873827</v>
      </c>
      <c r="HL434" s="234">
        <f t="shared" si="849"/>
        <v>128.53635779873827</v>
      </c>
      <c r="HM434" s="234">
        <f t="shared" si="850"/>
        <v>128.53635779873827</v>
      </c>
      <c r="HN434" s="234">
        <f t="shared" si="851"/>
        <v>128.53635779873827</v>
      </c>
      <c r="HO434" s="234">
        <f t="shared" si="852"/>
        <v>128.53635779873827</v>
      </c>
      <c r="HP434" s="234">
        <f t="shared" si="853"/>
        <v>128.53635779873827</v>
      </c>
      <c r="HQ434" s="234">
        <f t="shared" si="854"/>
        <v>128.53635779873827</v>
      </c>
      <c r="HR434" s="234">
        <f t="shared" si="855"/>
        <v>128.53635779873827</v>
      </c>
      <c r="HS434" s="234">
        <f t="shared" si="856"/>
        <v>128.53635779873827</v>
      </c>
      <c r="HT434" s="234">
        <f t="shared" si="857"/>
        <v>128.53635779873827</v>
      </c>
      <c r="HU434" s="234">
        <f t="shared" si="858"/>
        <v>128.53635779873827</v>
      </c>
      <c r="HV434" s="234">
        <f t="shared" si="859"/>
        <v>128.53635779873827</v>
      </c>
      <c r="HW434" s="234">
        <f t="shared" si="860"/>
        <v>128.53635779873827</v>
      </c>
      <c r="HX434" s="234">
        <f t="shared" si="861"/>
        <v>128.53635779873827</v>
      </c>
      <c r="HY434" s="234">
        <f t="shared" si="862"/>
        <v>128.53635779873827</v>
      </c>
      <c r="HZ434" s="234">
        <f t="shared" si="863"/>
        <v>128.53635779873827</v>
      </c>
      <c r="IA434" s="234">
        <f t="shared" si="864"/>
        <v>128.53635779873827</v>
      </c>
      <c r="IB434" s="234">
        <f t="shared" si="865"/>
        <v>128.53635779873827</v>
      </c>
      <c r="IC434" s="234">
        <f t="shared" si="866"/>
        <v>128.53635779873827</v>
      </c>
      <c r="ID434" s="234">
        <f t="shared" si="867"/>
        <v>128.53635779873827</v>
      </c>
      <c r="IE434" s="189">
        <f t="shared" si="868"/>
        <v>128.53635779873827</v>
      </c>
      <c r="IF434" s="140"/>
      <c r="IG434" s="177"/>
      <c r="IH434" s="178"/>
      <c r="II434" s="178"/>
      <c r="IJ434" s="178"/>
      <c r="IK434" s="178"/>
      <c r="IL434" s="219"/>
      <c r="IM434" s="234">
        <f t="shared" si="869"/>
        <v>1174.0845292080166</v>
      </c>
      <c r="IN434" s="234">
        <f t="shared" si="870"/>
        <v>1174.0845292080166</v>
      </c>
      <c r="IO434" s="234">
        <f t="shared" si="871"/>
        <v>1174.0845292080166</v>
      </c>
      <c r="IP434" s="234">
        <f t="shared" si="872"/>
        <v>1174.0845292080166</v>
      </c>
      <c r="IQ434" s="234">
        <f t="shared" si="873"/>
        <v>1174.0845292080166</v>
      </c>
      <c r="IR434" s="234">
        <f t="shared" si="874"/>
        <v>1174.0845292080166</v>
      </c>
      <c r="IS434" s="234">
        <f t="shared" si="875"/>
        <v>1174.0845292080166</v>
      </c>
      <c r="IT434" s="234">
        <f t="shared" si="876"/>
        <v>1174.0845292080166</v>
      </c>
      <c r="IU434" s="234">
        <f t="shared" si="877"/>
        <v>1174.0845292080166</v>
      </c>
      <c r="IV434" s="234">
        <f t="shared" si="878"/>
        <v>1174.0845292080166</v>
      </c>
      <c r="IW434" s="234">
        <f t="shared" si="879"/>
        <v>1174.0845292080166</v>
      </c>
      <c r="IX434" s="234">
        <f t="shared" si="880"/>
        <v>1174.0845292080166</v>
      </c>
      <c r="IY434" s="234">
        <f t="shared" si="881"/>
        <v>1174.0845292080166</v>
      </c>
      <c r="IZ434" s="234">
        <f t="shared" si="882"/>
        <v>1174.0845292080166</v>
      </c>
      <c r="JA434" s="234">
        <f t="shared" si="883"/>
        <v>1174.0845292080166</v>
      </c>
      <c r="JB434" s="234">
        <f t="shared" si="884"/>
        <v>1174.0845292080166</v>
      </c>
      <c r="JC434" s="234">
        <f t="shared" si="885"/>
        <v>1174.0845292080166</v>
      </c>
      <c r="JD434" s="234">
        <f t="shared" si="886"/>
        <v>1174.0845292080166</v>
      </c>
      <c r="JE434" s="234">
        <f t="shared" si="887"/>
        <v>1174.0845292080166</v>
      </c>
      <c r="JF434" s="234">
        <f t="shared" si="888"/>
        <v>1174.0845292080166</v>
      </c>
      <c r="JG434" s="234">
        <f t="shared" si="889"/>
        <v>1174.0845292080166</v>
      </c>
      <c r="JH434" s="234">
        <f t="shared" si="890"/>
        <v>1174.0845292080166</v>
      </c>
      <c r="JI434" s="234">
        <f t="shared" si="891"/>
        <v>1174.0845292080166</v>
      </c>
      <c r="JJ434" s="234">
        <f t="shared" si="892"/>
        <v>1174.0845292080166</v>
      </c>
      <c r="JK434" s="234">
        <f t="shared" si="893"/>
        <v>1174.0845292080166</v>
      </c>
      <c r="JL434" s="234">
        <f t="shared" si="894"/>
        <v>1174.0845292080166</v>
      </c>
      <c r="JM434" s="234">
        <f t="shared" si="895"/>
        <v>1174.0845292080166</v>
      </c>
      <c r="JN434" s="234">
        <f t="shared" si="896"/>
        <v>1174.0845292080166</v>
      </c>
      <c r="JO434" s="234">
        <f t="shared" si="897"/>
        <v>1174.0845292080166</v>
      </c>
      <c r="JP434" s="189">
        <f t="shared" si="898"/>
        <v>1174.0845292080166</v>
      </c>
      <c r="JQ434" s="140"/>
      <c r="JR434" s="177"/>
      <c r="JS434" s="178"/>
      <c r="JT434" s="178"/>
      <c r="JU434" s="178"/>
      <c r="JV434" s="178"/>
      <c r="JW434" s="219"/>
      <c r="JX434" s="234">
        <f t="shared" si="899"/>
        <v>1174.0845292080166</v>
      </c>
      <c r="JY434" s="234">
        <f t="shared" si="900"/>
        <v>1174.0845292080166</v>
      </c>
      <c r="JZ434" s="234">
        <f t="shared" si="901"/>
        <v>1174.0845292080166</v>
      </c>
      <c r="KA434" s="234">
        <f t="shared" si="902"/>
        <v>1174.0845292080166</v>
      </c>
      <c r="KB434" s="234">
        <f t="shared" si="903"/>
        <v>1174.0845292080166</v>
      </c>
      <c r="KC434" s="234">
        <f t="shared" si="904"/>
        <v>1174.0845292080166</v>
      </c>
      <c r="KD434" s="234">
        <f t="shared" si="905"/>
        <v>1174.0845292080166</v>
      </c>
      <c r="KE434" s="234">
        <f t="shared" si="906"/>
        <v>1174.0845292080166</v>
      </c>
      <c r="KF434" s="234">
        <f t="shared" si="907"/>
        <v>1174.0845292080166</v>
      </c>
      <c r="KG434" s="234">
        <f t="shared" si="908"/>
        <v>1174.0845292080166</v>
      </c>
      <c r="KH434" s="234">
        <f t="shared" si="909"/>
        <v>1174.0845292080166</v>
      </c>
      <c r="KI434" s="234">
        <f t="shared" si="910"/>
        <v>1174.0845292080166</v>
      </c>
      <c r="KJ434" s="234">
        <f t="shared" si="911"/>
        <v>1174.0845292080166</v>
      </c>
      <c r="KK434" s="234">
        <f t="shared" si="912"/>
        <v>1174.0845292080166</v>
      </c>
      <c r="KL434" s="234">
        <f t="shared" si="913"/>
        <v>1174.0845292080166</v>
      </c>
      <c r="KM434" s="234">
        <f t="shared" si="914"/>
        <v>1174.0845292080166</v>
      </c>
      <c r="KN434" s="234">
        <f t="shared" si="915"/>
        <v>1174.0845292080166</v>
      </c>
      <c r="KO434" s="234">
        <f t="shared" si="916"/>
        <v>1174.0845292080166</v>
      </c>
      <c r="KP434" s="234">
        <f t="shared" si="917"/>
        <v>1174.0845292080166</v>
      </c>
      <c r="KQ434" s="234">
        <f t="shared" si="918"/>
        <v>1174.0845292080166</v>
      </c>
      <c r="KR434" s="234">
        <f t="shared" si="919"/>
        <v>1174.0845292080166</v>
      </c>
      <c r="KS434" s="234">
        <f t="shared" si="920"/>
        <v>1174.0845292080166</v>
      </c>
      <c r="KT434" s="234">
        <f t="shared" si="921"/>
        <v>1174.0845292080166</v>
      </c>
      <c r="KU434" s="234">
        <f t="shared" si="922"/>
        <v>1174.0845292080166</v>
      </c>
      <c r="KV434" s="234">
        <f t="shared" si="923"/>
        <v>1174.0845292080166</v>
      </c>
      <c r="KW434" s="234">
        <f t="shared" si="924"/>
        <v>1174.0845292080166</v>
      </c>
      <c r="KX434" s="234">
        <f t="shared" si="925"/>
        <v>1174.0845292080166</v>
      </c>
      <c r="KY434" s="234">
        <f t="shared" si="926"/>
        <v>1174.0845292080166</v>
      </c>
      <c r="KZ434" s="234">
        <f t="shared" si="927"/>
        <v>1174.0845292080166</v>
      </c>
      <c r="LA434" s="189">
        <f t="shared" si="928"/>
        <v>1174.0845292080166</v>
      </c>
      <c r="LB434" s="140"/>
      <c r="LC434" s="177"/>
      <c r="LD434" s="178"/>
      <c r="LE434" s="178"/>
      <c r="LF434" s="178"/>
      <c r="LG434" s="178"/>
      <c r="LH434" s="219"/>
      <c r="LI434" s="234">
        <f t="shared" si="929"/>
        <v>1174.0845292080166</v>
      </c>
      <c r="LJ434" s="234">
        <f t="shared" si="930"/>
        <v>1174.0845292080166</v>
      </c>
      <c r="LK434" s="234">
        <f t="shared" si="931"/>
        <v>1174.0845292080166</v>
      </c>
      <c r="LL434" s="234">
        <f t="shared" si="932"/>
        <v>1174.0845292080166</v>
      </c>
      <c r="LM434" s="234">
        <f t="shared" si="933"/>
        <v>1174.0845292080166</v>
      </c>
      <c r="LN434" s="234">
        <f t="shared" si="934"/>
        <v>1174.0845292080166</v>
      </c>
      <c r="LO434" s="234">
        <f t="shared" si="935"/>
        <v>1174.0845292080166</v>
      </c>
      <c r="LP434" s="234">
        <f t="shared" si="936"/>
        <v>1174.0845292080166</v>
      </c>
      <c r="LQ434" s="234">
        <f t="shared" si="937"/>
        <v>1174.0845292080166</v>
      </c>
      <c r="LR434" s="234">
        <f t="shared" si="938"/>
        <v>1174.0845292080166</v>
      </c>
      <c r="LS434" s="234">
        <f t="shared" si="939"/>
        <v>1174.0845292080166</v>
      </c>
      <c r="LT434" s="234">
        <f t="shared" si="940"/>
        <v>1174.0845292080166</v>
      </c>
      <c r="LU434" s="234">
        <f t="shared" si="941"/>
        <v>1174.0845292080166</v>
      </c>
      <c r="LV434" s="234">
        <f t="shared" si="942"/>
        <v>1174.0845292080166</v>
      </c>
      <c r="LW434" s="234">
        <f t="shared" si="943"/>
        <v>1174.0845292080166</v>
      </c>
      <c r="LX434" s="234">
        <f t="shared" si="944"/>
        <v>1174.0845292080166</v>
      </c>
      <c r="LY434" s="234">
        <f t="shared" si="945"/>
        <v>1174.0845292080166</v>
      </c>
      <c r="LZ434" s="234">
        <f t="shared" si="946"/>
        <v>1174.0845292080166</v>
      </c>
      <c r="MA434" s="234">
        <f t="shared" si="947"/>
        <v>1174.0845292080166</v>
      </c>
      <c r="MB434" s="234">
        <f t="shared" si="948"/>
        <v>1174.0845292080166</v>
      </c>
      <c r="MC434" s="234">
        <f t="shared" si="949"/>
        <v>1174.0845292080166</v>
      </c>
      <c r="MD434" s="234">
        <f t="shared" si="950"/>
        <v>1174.0845292080166</v>
      </c>
      <c r="ME434" s="234">
        <f t="shared" si="951"/>
        <v>1174.0845292080166</v>
      </c>
      <c r="MF434" s="234">
        <f t="shared" si="952"/>
        <v>1174.0845292080166</v>
      </c>
      <c r="MG434" s="234">
        <f t="shared" si="953"/>
        <v>1174.0845292080166</v>
      </c>
      <c r="MH434" s="234">
        <f t="shared" si="954"/>
        <v>1174.0845292080166</v>
      </c>
      <c r="MI434" s="234">
        <f t="shared" si="955"/>
        <v>1174.0845292080166</v>
      </c>
      <c r="MJ434" s="234">
        <f t="shared" si="956"/>
        <v>1174.0845292080166</v>
      </c>
      <c r="MK434" s="234">
        <f t="shared" si="957"/>
        <v>1174.0845292080166</v>
      </c>
      <c r="ML434" s="189">
        <f t="shared" si="958"/>
        <v>1174.0845292080166</v>
      </c>
    </row>
    <row r="435" spans="2:350" s="4" customFormat="1" ht="18" customHeight="1" x14ac:dyDescent="0.3">
      <c r="C435" s="136" t="s">
        <v>82</v>
      </c>
      <c r="E435" s="137" t="s">
        <v>105</v>
      </c>
      <c r="F435" s="186"/>
      <c r="H435" s="235"/>
      <c r="I435" s="218"/>
      <c r="J435" s="218"/>
      <c r="K435" s="218"/>
      <c r="L435" s="218"/>
      <c r="M435" s="236"/>
      <c r="N435" s="237"/>
      <c r="O435" s="237"/>
      <c r="P435" s="237"/>
      <c r="Q435" s="237"/>
      <c r="R435" s="140"/>
      <c r="S435" s="139"/>
      <c r="T435" s="140"/>
      <c r="U435" s="140"/>
      <c r="V435" s="140"/>
      <c r="W435" s="140"/>
      <c r="X435" s="140"/>
      <c r="Y435" s="140"/>
      <c r="Z435" s="140"/>
      <c r="AA435" s="140"/>
      <c r="AB435" s="140"/>
      <c r="AC435" s="140"/>
      <c r="AD435" s="140"/>
      <c r="AE435" s="140"/>
      <c r="AF435" s="140"/>
      <c r="AG435" s="140"/>
      <c r="AH435" s="140"/>
      <c r="AI435" s="140"/>
      <c r="AJ435" s="140"/>
      <c r="AK435" s="140"/>
      <c r="AL435" s="140"/>
      <c r="AM435" s="140"/>
      <c r="AN435" s="140"/>
      <c r="AO435" s="140"/>
      <c r="AP435" s="140"/>
      <c r="AQ435" s="140"/>
      <c r="AR435" s="140"/>
      <c r="AS435" s="140"/>
      <c r="AT435" s="140"/>
      <c r="AU435" s="140"/>
      <c r="AV435" s="140"/>
      <c r="AW435" s="140"/>
      <c r="AX435" s="140"/>
      <c r="AY435" s="140"/>
      <c r="AZ435" s="140"/>
      <c r="BA435" s="140"/>
      <c r="BB435" s="141"/>
      <c r="BC435" s="140"/>
      <c r="BD435" s="177"/>
      <c r="BE435" s="178"/>
      <c r="BF435" s="178"/>
      <c r="BG435" s="178"/>
      <c r="BH435" s="178"/>
      <c r="BI435" s="219"/>
      <c r="BJ435" s="234">
        <f t="shared" si="719"/>
        <v>428.30749494949481</v>
      </c>
      <c r="BK435" s="234">
        <f t="shared" si="720"/>
        <v>428.30749494949481</v>
      </c>
      <c r="BL435" s="234">
        <f t="shared" si="721"/>
        <v>428.30749494949481</v>
      </c>
      <c r="BM435" s="234">
        <f t="shared" si="722"/>
        <v>428.30749494949481</v>
      </c>
      <c r="BN435" s="234">
        <f t="shared" si="723"/>
        <v>428.30749494949481</v>
      </c>
      <c r="BO435" s="234">
        <f t="shared" si="724"/>
        <v>428.30749494949481</v>
      </c>
      <c r="BP435" s="234">
        <f t="shared" si="725"/>
        <v>428.30749494949481</v>
      </c>
      <c r="BQ435" s="234">
        <f t="shared" si="726"/>
        <v>428.30749494949481</v>
      </c>
      <c r="BR435" s="234">
        <f t="shared" si="727"/>
        <v>428.30749494949481</v>
      </c>
      <c r="BS435" s="234">
        <f t="shared" si="728"/>
        <v>428.30749494949481</v>
      </c>
      <c r="BT435" s="234">
        <f t="shared" si="729"/>
        <v>428.30749494949481</v>
      </c>
      <c r="BU435" s="234">
        <f t="shared" si="730"/>
        <v>428.30749494949481</v>
      </c>
      <c r="BV435" s="234">
        <f t="shared" si="731"/>
        <v>428.30749494949481</v>
      </c>
      <c r="BW435" s="234">
        <f t="shared" si="732"/>
        <v>428.30749494949481</v>
      </c>
      <c r="BX435" s="234">
        <f t="shared" si="733"/>
        <v>428.30749494949481</v>
      </c>
      <c r="BY435" s="234">
        <f t="shared" si="734"/>
        <v>428.30749494949481</v>
      </c>
      <c r="BZ435" s="234">
        <f t="shared" si="735"/>
        <v>428.30749494949481</v>
      </c>
      <c r="CA435" s="234">
        <f t="shared" si="736"/>
        <v>428.30749494949481</v>
      </c>
      <c r="CB435" s="234">
        <f t="shared" si="737"/>
        <v>428.30749494949481</v>
      </c>
      <c r="CC435" s="234">
        <f t="shared" si="738"/>
        <v>428.30749494949481</v>
      </c>
      <c r="CD435" s="234">
        <f t="shared" si="739"/>
        <v>428.30749494949481</v>
      </c>
      <c r="CE435" s="234">
        <f t="shared" si="740"/>
        <v>428.30749494949481</v>
      </c>
      <c r="CF435" s="234">
        <f t="shared" si="741"/>
        <v>428.30749494949481</v>
      </c>
      <c r="CG435" s="234">
        <f t="shared" si="742"/>
        <v>428.30749494949481</v>
      </c>
      <c r="CH435" s="234">
        <f t="shared" si="743"/>
        <v>428.30749494949481</v>
      </c>
      <c r="CI435" s="234">
        <f t="shared" si="744"/>
        <v>428.30749494949481</v>
      </c>
      <c r="CJ435" s="234">
        <f t="shared" si="745"/>
        <v>428.30749494949481</v>
      </c>
      <c r="CK435" s="234">
        <f t="shared" si="746"/>
        <v>428.30749494949481</v>
      </c>
      <c r="CL435" s="234">
        <f t="shared" si="747"/>
        <v>428.30749494949481</v>
      </c>
      <c r="CM435" s="189">
        <f t="shared" si="748"/>
        <v>428.30749494949481</v>
      </c>
      <c r="CN435" s="140"/>
      <c r="CO435" s="177"/>
      <c r="CP435" s="178"/>
      <c r="CQ435" s="178"/>
      <c r="CR435" s="178"/>
      <c r="CS435" s="178"/>
      <c r="CT435" s="219"/>
      <c r="CU435" s="234">
        <f t="shared" si="749"/>
        <v>175.36700000000005</v>
      </c>
      <c r="CV435" s="234">
        <f t="shared" si="750"/>
        <v>175.36700000000005</v>
      </c>
      <c r="CW435" s="234">
        <f t="shared" si="751"/>
        <v>175.36700000000005</v>
      </c>
      <c r="CX435" s="234">
        <f t="shared" si="752"/>
        <v>175.36700000000005</v>
      </c>
      <c r="CY435" s="234">
        <f t="shared" si="753"/>
        <v>175.36700000000005</v>
      </c>
      <c r="CZ435" s="234">
        <f t="shared" si="754"/>
        <v>175.36700000000005</v>
      </c>
      <c r="DA435" s="234">
        <f t="shared" si="755"/>
        <v>175.36700000000005</v>
      </c>
      <c r="DB435" s="234">
        <f t="shared" si="756"/>
        <v>175.36700000000005</v>
      </c>
      <c r="DC435" s="234">
        <f t="shared" si="757"/>
        <v>175.36700000000005</v>
      </c>
      <c r="DD435" s="234">
        <f t="shared" si="758"/>
        <v>175.36700000000005</v>
      </c>
      <c r="DE435" s="234">
        <f t="shared" si="759"/>
        <v>175.36700000000005</v>
      </c>
      <c r="DF435" s="234">
        <f t="shared" si="760"/>
        <v>175.36700000000005</v>
      </c>
      <c r="DG435" s="234">
        <f t="shared" si="761"/>
        <v>175.36700000000005</v>
      </c>
      <c r="DH435" s="234">
        <f t="shared" si="762"/>
        <v>175.36700000000005</v>
      </c>
      <c r="DI435" s="234">
        <f t="shared" si="763"/>
        <v>175.36700000000005</v>
      </c>
      <c r="DJ435" s="234">
        <f t="shared" si="764"/>
        <v>175.36700000000005</v>
      </c>
      <c r="DK435" s="234">
        <f t="shared" si="765"/>
        <v>175.36700000000005</v>
      </c>
      <c r="DL435" s="234">
        <f t="shared" si="766"/>
        <v>175.36700000000005</v>
      </c>
      <c r="DM435" s="234">
        <f t="shared" si="767"/>
        <v>175.36700000000005</v>
      </c>
      <c r="DN435" s="234">
        <f t="shared" si="768"/>
        <v>175.36700000000005</v>
      </c>
      <c r="DO435" s="234">
        <f t="shared" si="769"/>
        <v>175.36700000000005</v>
      </c>
      <c r="DP435" s="234">
        <f t="shared" si="770"/>
        <v>175.36700000000005</v>
      </c>
      <c r="DQ435" s="234">
        <f t="shared" si="771"/>
        <v>175.36700000000005</v>
      </c>
      <c r="DR435" s="234">
        <f t="shared" si="772"/>
        <v>175.36700000000005</v>
      </c>
      <c r="DS435" s="234">
        <f t="shared" si="773"/>
        <v>175.36700000000005</v>
      </c>
      <c r="DT435" s="234">
        <f t="shared" si="774"/>
        <v>175.36700000000005</v>
      </c>
      <c r="DU435" s="234">
        <f t="shared" si="775"/>
        <v>175.36700000000005</v>
      </c>
      <c r="DV435" s="234">
        <f t="shared" si="776"/>
        <v>175.36700000000005</v>
      </c>
      <c r="DW435" s="234">
        <f t="shared" si="777"/>
        <v>175.36700000000005</v>
      </c>
      <c r="DX435" s="189">
        <f t="shared" si="778"/>
        <v>175.36700000000005</v>
      </c>
      <c r="DY435" s="140"/>
      <c r="DZ435" s="177"/>
      <c r="EA435" s="178"/>
      <c r="EB435" s="178"/>
      <c r="EC435" s="178"/>
      <c r="ED435" s="178"/>
      <c r="EE435" s="219"/>
      <c r="EF435" s="234">
        <f t="shared" si="779"/>
        <v>231.93700000000001</v>
      </c>
      <c r="EG435" s="234">
        <f t="shared" si="780"/>
        <v>231.93700000000001</v>
      </c>
      <c r="EH435" s="234">
        <f t="shared" si="781"/>
        <v>231.93700000000001</v>
      </c>
      <c r="EI435" s="234">
        <f t="shared" si="782"/>
        <v>231.93700000000001</v>
      </c>
      <c r="EJ435" s="234">
        <f t="shared" si="783"/>
        <v>231.93700000000001</v>
      </c>
      <c r="EK435" s="234">
        <f t="shared" si="784"/>
        <v>231.93700000000001</v>
      </c>
      <c r="EL435" s="234">
        <f t="shared" si="785"/>
        <v>231.93700000000001</v>
      </c>
      <c r="EM435" s="234">
        <f t="shared" si="786"/>
        <v>231.93700000000001</v>
      </c>
      <c r="EN435" s="234">
        <f t="shared" si="787"/>
        <v>231.93700000000001</v>
      </c>
      <c r="EO435" s="234">
        <f t="shared" si="788"/>
        <v>231.93700000000001</v>
      </c>
      <c r="EP435" s="234">
        <f t="shared" si="789"/>
        <v>231.93700000000001</v>
      </c>
      <c r="EQ435" s="234">
        <f t="shared" si="790"/>
        <v>231.93700000000001</v>
      </c>
      <c r="ER435" s="234">
        <f t="shared" si="791"/>
        <v>231.93700000000001</v>
      </c>
      <c r="ES435" s="234">
        <f t="shared" si="792"/>
        <v>231.93700000000001</v>
      </c>
      <c r="ET435" s="234">
        <f t="shared" si="793"/>
        <v>231.93700000000001</v>
      </c>
      <c r="EU435" s="234">
        <f t="shared" si="794"/>
        <v>231.93700000000001</v>
      </c>
      <c r="EV435" s="234">
        <f t="shared" si="795"/>
        <v>231.93700000000001</v>
      </c>
      <c r="EW435" s="234">
        <f t="shared" si="796"/>
        <v>231.93700000000001</v>
      </c>
      <c r="EX435" s="234">
        <f t="shared" si="797"/>
        <v>231.93700000000001</v>
      </c>
      <c r="EY435" s="234">
        <f t="shared" si="798"/>
        <v>231.93700000000001</v>
      </c>
      <c r="EZ435" s="234">
        <f t="shared" si="799"/>
        <v>231.93700000000001</v>
      </c>
      <c r="FA435" s="234">
        <f t="shared" si="800"/>
        <v>231.93700000000001</v>
      </c>
      <c r="FB435" s="234">
        <f t="shared" si="801"/>
        <v>231.93700000000001</v>
      </c>
      <c r="FC435" s="234">
        <f t="shared" si="802"/>
        <v>231.93700000000001</v>
      </c>
      <c r="FD435" s="234">
        <f t="shared" si="803"/>
        <v>231.93700000000001</v>
      </c>
      <c r="FE435" s="234">
        <f t="shared" si="804"/>
        <v>231.93700000000001</v>
      </c>
      <c r="FF435" s="234">
        <f t="shared" si="805"/>
        <v>231.93700000000001</v>
      </c>
      <c r="FG435" s="234">
        <f t="shared" si="806"/>
        <v>231.93700000000001</v>
      </c>
      <c r="FH435" s="234">
        <f t="shared" si="807"/>
        <v>231.93700000000001</v>
      </c>
      <c r="FI435" s="189">
        <f t="shared" si="808"/>
        <v>231.93700000000001</v>
      </c>
      <c r="FJ435" s="140"/>
      <c r="FK435" s="177"/>
      <c r="FL435" s="178"/>
      <c r="FM435" s="178"/>
      <c r="FN435" s="178"/>
      <c r="FO435" s="178"/>
      <c r="FP435" s="219"/>
      <c r="FQ435" s="234">
        <f t="shared" si="809"/>
        <v>287.87880808080803</v>
      </c>
      <c r="FR435" s="234">
        <f t="shared" si="810"/>
        <v>287.87880808080803</v>
      </c>
      <c r="FS435" s="234">
        <f t="shared" si="811"/>
        <v>287.87880808080803</v>
      </c>
      <c r="FT435" s="234">
        <f t="shared" si="812"/>
        <v>287.87880808080803</v>
      </c>
      <c r="FU435" s="234">
        <f t="shared" si="813"/>
        <v>287.87880808080803</v>
      </c>
      <c r="FV435" s="234">
        <f t="shared" si="814"/>
        <v>287.87880808080803</v>
      </c>
      <c r="FW435" s="234">
        <f t="shared" si="815"/>
        <v>287.87880808080803</v>
      </c>
      <c r="FX435" s="234">
        <f t="shared" si="816"/>
        <v>287.87880808080803</v>
      </c>
      <c r="FY435" s="234">
        <f t="shared" si="817"/>
        <v>287.87880808080803</v>
      </c>
      <c r="FZ435" s="234">
        <f t="shared" si="818"/>
        <v>287.87880808080803</v>
      </c>
      <c r="GA435" s="234">
        <f t="shared" si="819"/>
        <v>287.87880808080803</v>
      </c>
      <c r="GB435" s="234">
        <f t="shared" si="820"/>
        <v>287.87880808080803</v>
      </c>
      <c r="GC435" s="234">
        <f t="shared" si="821"/>
        <v>287.87880808080803</v>
      </c>
      <c r="GD435" s="234">
        <f t="shared" si="822"/>
        <v>287.87880808080803</v>
      </c>
      <c r="GE435" s="234">
        <f t="shared" si="823"/>
        <v>287.87880808080803</v>
      </c>
      <c r="GF435" s="234">
        <f t="shared" si="824"/>
        <v>287.87880808080803</v>
      </c>
      <c r="GG435" s="234">
        <f t="shared" si="825"/>
        <v>287.87880808080803</v>
      </c>
      <c r="GH435" s="234">
        <f t="shared" si="826"/>
        <v>287.87880808080803</v>
      </c>
      <c r="GI435" s="234">
        <f t="shared" si="827"/>
        <v>287.87880808080803</v>
      </c>
      <c r="GJ435" s="234">
        <f t="shared" si="828"/>
        <v>287.87880808080803</v>
      </c>
      <c r="GK435" s="234">
        <f t="shared" si="829"/>
        <v>287.87880808080803</v>
      </c>
      <c r="GL435" s="234">
        <f t="shared" si="830"/>
        <v>287.87880808080803</v>
      </c>
      <c r="GM435" s="234">
        <f t="shared" si="831"/>
        <v>287.87880808080803</v>
      </c>
      <c r="GN435" s="234">
        <f t="shared" si="832"/>
        <v>287.87880808080803</v>
      </c>
      <c r="GO435" s="234">
        <f t="shared" si="833"/>
        <v>287.87880808080803</v>
      </c>
      <c r="GP435" s="234">
        <f t="shared" si="834"/>
        <v>287.87880808080803</v>
      </c>
      <c r="GQ435" s="234">
        <f t="shared" si="835"/>
        <v>287.87880808080803</v>
      </c>
      <c r="GR435" s="234">
        <f t="shared" si="836"/>
        <v>287.87880808080803</v>
      </c>
      <c r="GS435" s="234">
        <f t="shared" si="837"/>
        <v>287.87880808080803</v>
      </c>
      <c r="GT435" s="189">
        <f t="shared" si="838"/>
        <v>287.87880808080803</v>
      </c>
      <c r="GU435" s="140"/>
      <c r="GV435" s="177"/>
      <c r="GW435" s="178"/>
      <c r="GX435" s="178"/>
      <c r="GY435" s="178"/>
      <c r="GZ435" s="178"/>
      <c r="HA435" s="219"/>
      <c r="HB435" s="234">
        <f t="shared" si="839"/>
        <v>358.09315151515142</v>
      </c>
      <c r="HC435" s="234">
        <f t="shared" si="840"/>
        <v>358.09315151515142</v>
      </c>
      <c r="HD435" s="234">
        <f t="shared" si="841"/>
        <v>358.09315151515142</v>
      </c>
      <c r="HE435" s="234">
        <f t="shared" si="842"/>
        <v>358.09315151515142</v>
      </c>
      <c r="HF435" s="234">
        <f t="shared" si="843"/>
        <v>358.09315151515142</v>
      </c>
      <c r="HG435" s="234">
        <f t="shared" si="844"/>
        <v>358.09315151515142</v>
      </c>
      <c r="HH435" s="234">
        <f t="shared" si="845"/>
        <v>358.09315151515142</v>
      </c>
      <c r="HI435" s="234">
        <f t="shared" si="846"/>
        <v>358.09315151515142</v>
      </c>
      <c r="HJ435" s="234">
        <f t="shared" si="847"/>
        <v>358.09315151515142</v>
      </c>
      <c r="HK435" s="234">
        <f t="shared" si="848"/>
        <v>358.09315151515142</v>
      </c>
      <c r="HL435" s="234">
        <f t="shared" si="849"/>
        <v>358.09315151515142</v>
      </c>
      <c r="HM435" s="234">
        <f t="shared" si="850"/>
        <v>358.09315151515142</v>
      </c>
      <c r="HN435" s="234">
        <f t="shared" si="851"/>
        <v>358.09315151515142</v>
      </c>
      <c r="HO435" s="234">
        <f t="shared" si="852"/>
        <v>358.09315151515142</v>
      </c>
      <c r="HP435" s="234">
        <f t="shared" si="853"/>
        <v>358.09315151515142</v>
      </c>
      <c r="HQ435" s="234">
        <f t="shared" si="854"/>
        <v>358.09315151515142</v>
      </c>
      <c r="HR435" s="234">
        <f t="shared" si="855"/>
        <v>358.09315151515142</v>
      </c>
      <c r="HS435" s="234">
        <f t="shared" si="856"/>
        <v>358.09315151515142</v>
      </c>
      <c r="HT435" s="234">
        <f t="shared" si="857"/>
        <v>358.09315151515142</v>
      </c>
      <c r="HU435" s="234">
        <f t="shared" si="858"/>
        <v>358.09315151515142</v>
      </c>
      <c r="HV435" s="234">
        <f t="shared" si="859"/>
        <v>358.09315151515142</v>
      </c>
      <c r="HW435" s="234">
        <f t="shared" si="860"/>
        <v>358.09315151515142</v>
      </c>
      <c r="HX435" s="234">
        <f t="shared" si="861"/>
        <v>358.09315151515142</v>
      </c>
      <c r="HY435" s="234">
        <f t="shared" si="862"/>
        <v>358.09315151515142</v>
      </c>
      <c r="HZ435" s="234">
        <f t="shared" si="863"/>
        <v>358.09315151515142</v>
      </c>
      <c r="IA435" s="234">
        <f t="shared" si="864"/>
        <v>358.09315151515142</v>
      </c>
      <c r="IB435" s="234">
        <f t="shared" si="865"/>
        <v>358.09315151515142</v>
      </c>
      <c r="IC435" s="234">
        <f t="shared" si="866"/>
        <v>358.09315151515142</v>
      </c>
      <c r="ID435" s="234">
        <f t="shared" si="867"/>
        <v>358.09315151515142</v>
      </c>
      <c r="IE435" s="189">
        <f t="shared" si="868"/>
        <v>358.09315151515142</v>
      </c>
      <c r="IF435" s="140"/>
      <c r="IG435" s="177"/>
      <c r="IH435" s="178"/>
      <c r="II435" s="178"/>
      <c r="IJ435" s="178"/>
      <c r="IK435" s="178"/>
      <c r="IL435" s="219"/>
      <c r="IM435" s="234">
        <f t="shared" si="869"/>
        <v>832.92587484695991</v>
      </c>
      <c r="IN435" s="234">
        <f t="shared" si="870"/>
        <v>832.92587484695991</v>
      </c>
      <c r="IO435" s="234">
        <f t="shared" si="871"/>
        <v>832.92587484695991</v>
      </c>
      <c r="IP435" s="234">
        <f t="shared" si="872"/>
        <v>832.92587484695991</v>
      </c>
      <c r="IQ435" s="234">
        <f t="shared" si="873"/>
        <v>832.92587484695991</v>
      </c>
      <c r="IR435" s="234">
        <f t="shared" si="874"/>
        <v>832.92587484695991</v>
      </c>
      <c r="IS435" s="234">
        <f t="shared" si="875"/>
        <v>832.92587484695991</v>
      </c>
      <c r="IT435" s="234">
        <f t="shared" si="876"/>
        <v>832.92587484695991</v>
      </c>
      <c r="IU435" s="234">
        <f t="shared" si="877"/>
        <v>832.92587484695991</v>
      </c>
      <c r="IV435" s="234">
        <f t="shared" si="878"/>
        <v>832.92587484695991</v>
      </c>
      <c r="IW435" s="234">
        <f t="shared" si="879"/>
        <v>832.92587484695991</v>
      </c>
      <c r="IX435" s="234">
        <f t="shared" si="880"/>
        <v>832.92587484695991</v>
      </c>
      <c r="IY435" s="234">
        <f t="shared" si="881"/>
        <v>832.92587484695991</v>
      </c>
      <c r="IZ435" s="234">
        <f t="shared" si="882"/>
        <v>832.92587484695991</v>
      </c>
      <c r="JA435" s="234">
        <f t="shared" si="883"/>
        <v>832.92587484695991</v>
      </c>
      <c r="JB435" s="234">
        <f t="shared" si="884"/>
        <v>832.92587484695991</v>
      </c>
      <c r="JC435" s="234">
        <f t="shared" si="885"/>
        <v>832.92587484695991</v>
      </c>
      <c r="JD435" s="234">
        <f t="shared" si="886"/>
        <v>832.92587484695991</v>
      </c>
      <c r="JE435" s="234">
        <f t="shared" si="887"/>
        <v>832.92587484695991</v>
      </c>
      <c r="JF435" s="234">
        <f t="shared" si="888"/>
        <v>832.92587484695991</v>
      </c>
      <c r="JG435" s="234">
        <f t="shared" si="889"/>
        <v>832.92587484695991</v>
      </c>
      <c r="JH435" s="234">
        <f t="shared" si="890"/>
        <v>832.92587484695991</v>
      </c>
      <c r="JI435" s="234">
        <f t="shared" si="891"/>
        <v>832.92587484695991</v>
      </c>
      <c r="JJ435" s="234">
        <f t="shared" si="892"/>
        <v>832.92587484695991</v>
      </c>
      <c r="JK435" s="234">
        <f t="shared" si="893"/>
        <v>832.92587484695991</v>
      </c>
      <c r="JL435" s="234">
        <f t="shared" si="894"/>
        <v>832.92587484695991</v>
      </c>
      <c r="JM435" s="234">
        <f t="shared" si="895"/>
        <v>832.92587484695991</v>
      </c>
      <c r="JN435" s="234">
        <f t="shared" si="896"/>
        <v>832.92587484695991</v>
      </c>
      <c r="JO435" s="234">
        <f t="shared" si="897"/>
        <v>832.92587484695991</v>
      </c>
      <c r="JP435" s="189">
        <f t="shared" si="898"/>
        <v>832.92587484695991</v>
      </c>
      <c r="JQ435" s="140"/>
      <c r="JR435" s="177"/>
      <c r="JS435" s="178"/>
      <c r="JT435" s="178"/>
      <c r="JU435" s="178"/>
      <c r="JV435" s="178"/>
      <c r="JW435" s="219"/>
      <c r="JX435" s="234">
        <f t="shared" si="899"/>
        <v>832.92587484695991</v>
      </c>
      <c r="JY435" s="234">
        <f t="shared" si="900"/>
        <v>832.92587484695991</v>
      </c>
      <c r="JZ435" s="234">
        <f t="shared" si="901"/>
        <v>832.92587484695991</v>
      </c>
      <c r="KA435" s="234">
        <f t="shared" si="902"/>
        <v>832.92587484695991</v>
      </c>
      <c r="KB435" s="234">
        <f t="shared" si="903"/>
        <v>832.92587484695991</v>
      </c>
      <c r="KC435" s="234">
        <f t="shared" si="904"/>
        <v>832.92587484695991</v>
      </c>
      <c r="KD435" s="234">
        <f t="shared" si="905"/>
        <v>832.92587484695991</v>
      </c>
      <c r="KE435" s="234">
        <f t="shared" si="906"/>
        <v>832.92587484695991</v>
      </c>
      <c r="KF435" s="234">
        <f t="shared" si="907"/>
        <v>832.92587484695991</v>
      </c>
      <c r="KG435" s="234">
        <f t="shared" si="908"/>
        <v>832.92587484695991</v>
      </c>
      <c r="KH435" s="234">
        <f t="shared" si="909"/>
        <v>832.92587484695991</v>
      </c>
      <c r="KI435" s="234">
        <f t="shared" si="910"/>
        <v>832.92587484695991</v>
      </c>
      <c r="KJ435" s="234">
        <f t="shared" si="911"/>
        <v>832.92587484695991</v>
      </c>
      <c r="KK435" s="234">
        <f t="shared" si="912"/>
        <v>832.92587484695991</v>
      </c>
      <c r="KL435" s="234">
        <f t="shared" si="913"/>
        <v>832.92587484695991</v>
      </c>
      <c r="KM435" s="234">
        <f t="shared" si="914"/>
        <v>832.92587484695991</v>
      </c>
      <c r="KN435" s="234">
        <f t="shared" si="915"/>
        <v>832.92587484695991</v>
      </c>
      <c r="KO435" s="234">
        <f t="shared" si="916"/>
        <v>832.92587484695991</v>
      </c>
      <c r="KP435" s="234">
        <f t="shared" si="917"/>
        <v>832.92587484695991</v>
      </c>
      <c r="KQ435" s="234">
        <f t="shared" si="918"/>
        <v>832.92587484695991</v>
      </c>
      <c r="KR435" s="234">
        <f t="shared" si="919"/>
        <v>832.92587484695991</v>
      </c>
      <c r="KS435" s="234">
        <f t="shared" si="920"/>
        <v>832.92587484695991</v>
      </c>
      <c r="KT435" s="234">
        <f t="shared" si="921"/>
        <v>832.92587484695991</v>
      </c>
      <c r="KU435" s="234">
        <f t="shared" si="922"/>
        <v>832.92587484695991</v>
      </c>
      <c r="KV435" s="234">
        <f t="shared" si="923"/>
        <v>832.92587484695991</v>
      </c>
      <c r="KW435" s="234">
        <f t="shared" si="924"/>
        <v>832.92587484695991</v>
      </c>
      <c r="KX435" s="234">
        <f t="shared" si="925"/>
        <v>832.92587484695991</v>
      </c>
      <c r="KY435" s="234">
        <f t="shared" si="926"/>
        <v>832.92587484695991</v>
      </c>
      <c r="KZ435" s="234">
        <f t="shared" si="927"/>
        <v>832.92587484695991</v>
      </c>
      <c r="LA435" s="189">
        <f t="shared" si="928"/>
        <v>832.92587484695991</v>
      </c>
      <c r="LB435" s="140"/>
      <c r="LC435" s="177"/>
      <c r="LD435" s="178"/>
      <c r="LE435" s="178"/>
      <c r="LF435" s="178"/>
      <c r="LG435" s="178"/>
      <c r="LH435" s="219"/>
      <c r="LI435" s="234">
        <f t="shared" si="929"/>
        <v>832.92587484695991</v>
      </c>
      <c r="LJ435" s="234">
        <f t="shared" si="930"/>
        <v>832.92587484695991</v>
      </c>
      <c r="LK435" s="234">
        <f t="shared" si="931"/>
        <v>832.92587484695991</v>
      </c>
      <c r="LL435" s="234">
        <f t="shared" si="932"/>
        <v>832.92587484695991</v>
      </c>
      <c r="LM435" s="234">
        <f t="shared" si="933"/>
        <v>832.92587484695991</v>
      </c>
      <c r="LN435" s="234">
        <f t="shared" si="934"/>
        <v>832.92587484695991</v>
      </c>
      <c r="LO435" s="234">
        <f t="shared" si="935"/>
        <v>832.92587484695991</v>
      </c>
      <c r="LP435" s="234">
        <f t="shared" si="936"/>
        <v>832.92587484695991</v>
      </c>
      <c r="LQ435" s="234">
        <f t="shared" si="937"/>
        <v>832.92587484695991</v>
      </c>
      <c r="LR435" s="234">
        <f t="shared" si="938"/>
        <v>832.92587484695991</v>
      </c>
      <c r="LS435" s="234">
        <f t="shared" si="939"/>
        <v>832.92587484695991</v>
      </c>
      <c r="LT435" s="234">
        <f t="shared" si="940"/>
        <v>832.92587484695991</v>
      </c>
      <c r="LU435" s="234">
        <f t="shared" si="941"/>
        <v>832.92587484695991</v>
      </c>
      <c r="LV435" s="234">
        <f t="shared" si="942"/>
        <v>832.92587484695991</v>
      </c>
      <c r="LW435" s="234">
        <f t="shared" si="943"/>
        <v>832.92587484695991</v>
      </c>
      <c r="LX435" s="234">
        <f t="shared" si="944"/>
        <v>832.92587484695991</v>
      </c>
      <c r="LY435" s="234">
        <f t="shared" si="945"/>
        <v>832.92587484695991</v>
      </c>
      <c r="LZ435" s="234">
        <f t="shared" si="946"/>
        <v>832.92587484695991</v>
      </c>
      <c r="MA435" s="234">
        <f t="shared" si="947"/>
        <v>832.92587484695991</v>
      </c>
      <c r="MB435" s="234">
        <f t="shared" si="948"/>
        <v>832.92587484695991</v>
      </c>
      <c r="MC435" s="234">
        <f t="shared" si="949"/>
        <v>832.92587484695991</v>
      </c>
      <c r="MD435" s="234">
        <f t="shared" si="950"/>
        <v>832.92587484695991</v>
      </c>
      <c r="ME435" s="234">
        <f t="shared" si="951"/>
        <v>832.92587484695991</v>
      </c>
      <c r="MF435" s="234">
        <f t="shared" si="952"/>
        <v>832.92587484695991</v>
      </c>
      <c r="MG435" s="234">
        <f t="shared" si="953"/>
        <v>832.92587484695991</v>
      </c>
      <c r="MH435" s="234">
        <f t="shared" si="954"/>
        <v>832.92587484695991</v>
      </c>
      <c r="MI435" s="234">
        <f t="shared" si="955"/>
        <v>832.92587484695991</v>
      </c>
      <c r="MJ435" s="234">
        <f t="shared" si="956"/>
        <v>832.92587484695991</v>
      </c>
      <c r="MK435" s="234">
        <f t="shared" si="957"/>
        <v>832.92587484695991</v>
      </c>
      <c r="ML435" s="189">
        <f t="shared" si="958"/>
        <v>832.92587484695991</v>
      </c>
    </row>
    <row r="436" spans="2:350" s="4" customFormat="1" ht="18" customHeight="1" x14ac:dyDescent="0.3">
      <c r="C436" s="136" t="s">
        <v>83</v>
      </c>
      <c r="E436" s="137" t="s">
        <v>105</v>
      </c>
      <c r="F436" s="186"/>
      <c r="H436" s="235"/>
      <c r="I436" s="218"/>
      <c r="J436" s="218"/>
      <c r="K436" s="218"/>
      <c r="L436" s="218"/>
      <c r="M436" s="236"/>
      <c r="N436" s="237"/>
      <c r="O436" s="237"/>
      <c r="P436" s="237"/>
      <c r="Q436" s="237"/>
      <c r="R436" s="140"/>
      <c r="S436" s="139"/>
      <c r="T436" s="140"/>
      <c r="U436" s="140"/>
      <c r="V436" s="140"/>
      <c r="W436" s="140"/>
      <c r="X436" s="140"/>
      <c r="Y436" s="140"/>
      <c r="Z436" s="140"/>
      <c r="AA436" s="140"/>
      <c r="AB436" s="140"/>
      <c r="AC436" s="140"/>
      <c r="AD436" s="140"/>
      <c r="AE436" s="140"/>
      <c r="AF436" s="140"/>
      <c r="AG436" s="140"/>
      <c r="AH436" s="140"/>
      <c r="AI436" s="140"/>
      <c r="AJ436" s="140"/>
      <c r="AK436" s="140"/>
      <c r="AL436" s="140"/>
      <c r="AM436" s="140"/>
      <c r="AN436" s="140"/>
      <c r="AO436" s="140"/>
      <c r="AP436" s="140"/>
      <c r="AQ436" s="140"/>
      <c r="AR436" s="140"/>
      <c r="AS436" s="140"/>
      <c r="AT436" s="140"/>
      <c r="AU436" s="140"/>
      <c r="AV436" s="140"/>
      <c r="AW436" s="140"/>
      <c r="AX436" s="140"/>
      <c r="AY436" s="140"/>
      <c r="AZ436" s="140"/>
      <c r="BA436" s="140"/>
      <c r="BB436" s="141"/>
      <c r="BC436" s="140"/>
      <c r="BD436" s="177"/>
      <c r="BE436" s="178"/>
      <c r="BF436" s="178"/>
      <c r="BG436" s="178"/>
      <c r="BH436" s="178"/>
      <c r="BI436" s="219"/>
      <c r="BJ436" s="234">
        <f t="shared" si="719"/>
        <v>119.26600000000001</v>
      </c>
      <c r="BK436" s="234">
        <f t="shared" si="720"/>
        <v>119.26600000000001</v>
      </c>
      <c r="BL436" s="234">
        <f t="shared" si="721"/>
        <v>119.26600000000001</v>
      </c>
      <c r="BM436" s="234">
        <f t="shared" si="722"/>
        <v>119.26600000000001</v>
      </c>
      <c r="BN436" s="234">
        <f t="shared" si="723"/>
        <v>119.26600000000001</v>
      </c>
      <c r="BO436" s="234">
        <f t="shared" si="724"/>
        <v>119.26600000000001</v>
      </c>
      <c r="BP436" s="234">
        <f t="shared" si="725"/>
        <v>119.26600000000001</v>
      </c>
      <c r="BQ436" s="234">
        <f t="shared" si="726"/>
        <v>119.26600000000001</v>
      </c>
      <c r="BR436" s="234">
        <f t="shared" si="727"/>
        <v>119.26600000000001</v>
      </c>
      <c r="BS436" s="234">
        <f t="shared" si="728"/>
        <v>119.26600000000001</v>
      </c>
      <c r="BT436" s="234">
        <f t="shared" si="729"/>
        <v>119.26600000000001</v>
      </c>
      <c r="BU436" s="234">
        <f t="shared" si="730"/>
        <v>119.26600000000001</v>
      </c>
      <c r="BV436" s="234">
        <f t="shared" si="731"/>
        <v>119.26600000000001</v>
      </c>
      <c r="BW436" s="234">
        <f t="shared" si="732"/>
        <v>119.26600000000001</v>
      </c>
      <c r="BX436" s="234">
        <f t="shared" si="733"/>
        <v>119.26600000000001</v>
      </c>
      <c r="BY436" s="234">
        <f t="shared" si="734"/>
        <v>119.26600000000001</v>
      </c>
      <c r="BZ436" s="234">
        <f t="shared" si="735"/>
        <v>119.26600000000001</v>
      </c>
      <c r="CA436" s="234">
        <f t="shared" si="736"/>
        <v>119.26600000000001</v>
      </c>
      <c r="CB436" s="234">
        <f t="shared" si="737"/>
        <v>119.26600000000001</v>
      </c>
      <c r="CC436" s="234">
        <f t="shared" si="738"/>
        <v>119.26600000000001</v>
      </c>
      <c r="CD436" s="234">
        <f t="shared" si="739"/>
        <v>119.26600000000001</v>
      </c>
      <c r="CE436" s="234">
        <f t="shared" si="740"/>
        <v>119.26600000000001</v>
      </c>
      <c r="CF436" s="234">
        <f t="shared" si="741"/>
        <v>119.26600000000001</v>
      </c>
      <c r="CG436" s="234">
        <f t="shared" si="742"/>
        <v>119.26600000000001</v>
      </c>
      <c r="CH436" s="234">
        <f t="shared" si="743"/>
        <v>119.26600000000001</v>
      </c>
      <c r="CI436" s="234">
        <f t="shared" si="744"/>
        <v>119.26600000000001</v>
      </c>
      <c r="CJ436" s="234">
        <f t="shared" si="745"/>
        <v>119.26600000000001</v>
      </c>
      <c r="CK436" s="234">
        <f t="shared" si="746"/>
        <v>119.26600000000001</v>
      </c>
      <c r="CL436" s="234">
        <f t="shared" si="747"/>
        <v>119.26600000000001</v>
      </c>
      <c r="CM436" s="189">
        <f t="shared" si="748"/>
        <v>119.26600000000001</v>
      </c>
      <c r="CN436" s="140"/>
      <c r="CO436" s="177"/>
      <c r="CP436" s="178"/>
      <c r="CQ436" s="178"/>
      <c r="CR436" s="178"/>
      <c r="CS436" s="178"/>
      <c r="CT436" s="219"/>
      <c r="CU436" s="234">
        <f t="shared" si="749"/>
        <v>34.075999999999993</v>
      </c>
      <c r="CV436" s="234">
        <f t="shared" si="750"/>
        <v>34.075999999999993</v>
      </c>
      <c r="CW436" s="234">
        <f t="shared" si="751"/>
        <v>34.075999999999993</v>
      </c>
      <c r="CX436" s="234">
        <f t="shared" si="752"/>
        <v>34.075999999999993</v>
      </c>
      <c r="CY436" s="234">
        <f t="shared" si="753"/>
        <v>34.075999999999993</v>
      </c>
      <c r="CZ436" s="234">
        <f t="shared" si="754"/>
        <v>34.075999999999993</v>
      </c>
      <c r="DA436" s="234">
        <f t="shared" si="755"/>
        <v>34.075999999999993</v>
      </c>
      <c r="DB436" s="234">
        <f t="shared" si="756"/>
        <v>34.075999999999993</v>
      </c>
      <c r="DC436" s="234">
        <f t="shared" si="757"/>
        <v>34.075999999999993</v>
      </c>
      <c r="DD436" s="234">
        <f t="shared" si="758"/>
        <v>34.075999999999993</v>
      </c>
      <c r="DE436" s="234">
        <f t="shared" si="759"/>
        <v>34.075999999999993</v>
      </c>
      <c r="DF436" s="234">
        <f t="shared" si="760"/>
        <v>34.075999999999993</v>
      </c>
      <c r="DG436" s="234">
        <f t="shared" si="761"/>
        <v>34.075999999999993</v>
      </c>
      <c r="DH436" s="234">
        <f t="shared" si="762"/>
        <v>34.075999999999993</v>
      </c>
      <c r="DI436" s="234">
        <f t="shared" si="763"/>
        <v>34.075999999999993</v>
      </c>
      <c r="DJ436" s="234">
        <f t="shared" si="764"/>
        <v>34.075999999999993</v>
      </c>
      <c r="DK436" s="234">
        <f t="shared" si="765"/>
        <v>34.075999999999993</v>
      </c>
      <c r="DL436" s="234">
        <f t="shared" si="766"/>
        <v>34.075999999999993</v>
      </c>
      <c r="DM436" s="234">
        <f t="shared" si="767"/>
        <v>34.075999999999993</v>
      </c>
      <c r="DN436" s="234">
        <f t="shared" si="768"/>
        <v>34.075999999999993</v>
      </c>
      <c r="DO436" s="234">
        <f t="shared" si="769"/>
        <v>34.075999999999993</v>
      </c>
      <c r="DP436" s="234">
        <f t="shared" si="770"/>
        <v>34.075999999999993</v>
      </c>
      <c r="DQ436" s="234">
        <f t="shared" si="771"/>
        <v>34.075999999999993</v>
      </c>
      <c r="DR436" s="234">
        <f t="shared" si="772"/>
        <v>34.075999999999993</v>
      </c>
      <c r="DS436" s="234">
        <f t="shared" si="773"/>
        <v>34.075999999999993</v>
      </c>
      <c r="DT436" s="234">
        <f t="shared" si="774"/>
        <v>34.075999999999993</v>
      </c>
      <c r="DU436" s="234">
        <f t="shared" si="775"/>
        <v>34.075999999999993</v>
      </c>
      <c r="DV436" s="234">
        <f t="shared" si="776"/>
        <v>34.075999999999993</v>
      </c>
      <c r="DW436" s="234">
        <f t="shared" si="777"/>
        <v>34.075999999999993</v>
      </c>
      <c r="DX436" s="189">
        <f t="shared" si="778"/>
        <v>34.075999999999993</v>
      </c>
      <c r="DY436" s="140"/>
      <c r="DZ436" s="177"/>
      <c r="EA436" s="178"/>
      <c r="EB436" s="178"/>
      <c r="EC436" s="178"/>
      <c r="ED436" s="178"/>
      <c r="EE436" s="219"/>
      <c r="EF436" s="234">
        <f t="shared" si="779"/>
        <v>62.472666666666655</v>
      </c>
      <c r="EG436" s="234">
        <f t="shared" si="780"/>
        <v>62.472666666666655</v>
      </c>
      <c r="EH436" s="234">
        <f t="shared" si="781"/>
        <v>62.472666666666655</v>
      </c>
      <c r="EI436" s="234">
        <f t="shared" si="782"/>
        <v>62.472666666666655</v>
      </c>
      <c r="EJ436" s="234">
        <f t="shared" si="783"/>
        <v>62.472666666666655</v>
      </c>
      <c r="EK436" s="234">
        <f t="shared" si="784"/>
        <v>62.472666666666655</v>
      </c>
      <c r="EL436" s="234">
        <f t="shared" si="785"/>
        <v>62.472666666666655</v>
      </c>
      <c r="EM436" s="234">
        <f t="shared" si="786"/>
        <v>62.472666666666655</v>
      </c>
      <c r="EN436" s="234">
        <f t="shared" si="787"/>
        <v>62.472666666666655</v>
      </c>
      <c r="EO436" s="234">
        <f t="shared" si="788"/>
        <v>62.472666666666655</v>
      </c>
      <c r="EP436" s="234">
        <f t="shared" si="789"/>
        <v>62.472666666666655</v>
      </c>
      <c r="EQ436" s="234">
        <f t="shared" si="790"/>
        <v>62.472666666666655</v>
      </c>
      <c r="ER436" s="234">
        <f t="shared" si="791"/>
        <v>62.472666666666655</v>
      </c>
      <c r="ES436" s="234">
        <f t="shared" si="792"/>
        <v>62.472666666666655</v>
      </c>
      <c r="ET436" s="234">
        <f t="shared" si="793"/>
        <v>62.472666666666655</v>
      </c>
      <c r="EU436" s="234">
        <f t="shared" si="794"/>
        <v>62.472666666666655</v>
      </c>
      <c r="EV436" s="234">
        <f t="shared" si="795"/>
        <v>62.472666666666655</v>
      </c>
      <c r="EW436" s="234">
        <f t="shared" si="796"/>
        <v>62.472666666666655</v>
      </c>
      <c r="EX436" s="234">
        <f t="shared" si="797"/>
        <v>62.472666666666655</v>
      </c>
      <c r="EY436" s="234">
        <f t="shared" si="798"/>
        <v>62.472666666666655</v>
      </c>
      <c r="EZ436" s="234">
        <f t="shared" si="799"/>
        <v>62.472666666666655</v>
      </c>
      <c r="FA436" s="234">
        <f t="shared" si="800"/>
        <v>62.472666666666655</v>
      </c>
      <c r="FB436" s="234">
        <f t="shared" si="801"/>
        <v>62.472666666666655</v>
      </c>
      <c r="FC436" s="234">
        <f t="shared" si="802"/>
        <v>62.472666666666655</v>
      </c>
      <c r="FD436" s="234">
        <f t="shared" si="803"/>
        <v>62.472666666666655</v>
      </c>
      <c r="FE436" s="234">
        <f t="shared" si="804"/>
        <v>62.472666666666655</v>
      </c>
      <c r="FF436" s="234">
        <f t="shared" si="805"/>
        <v>62.472666666666655</v>
      </c>
      <c r="FG436" s="234">
        <f t="shared" si="806"/>
        <v>62.472666666666655</v>
      </c>
      <c r="FH436" s="234">
        <f t="shared" si="807"/>
        <v>62.472666666666655</v>
      </c>
      <c r="FI436" s="189">
        <f t="shared" si="808"/>
        <v>62.472666666666655</v>
      </c>
      <c r="FJ436" s="140"/>
      <c r="FK436" s="177"/>
      <c r="FL436" s="178"/>
      <c r="FM436" s="178"/>
      <c r="FN436" s="178"/>
      <c r="FO436" s="178"/>
      <c r="FP436" s="219"/>
      <c r="FQ436" s="234">
        <f t="shared" si="809"/>
        <v>119.26600000000001</v>
      </c>
      <c r="FR436" s="234">
        <f t="shared" si="810"/>
        <v>119.26600000000001</v>
      </c>
      <c r="FS436" s="234">
        <f t="shared" si="811"/>
        <v>119.26600000000001</v>
      </c>
      <c r="FT436" s="234">
        <f t="shared" si="812"/>
        <v>119.26600000000001</v>
      </c>
      <c r="FU436" s="234">
        <f t="shared" si="813"/>
        <v>119.26600000000001</v>
      </c>
      <c r="FV436" s="234">
        <f t="shared" si="814"/>
        <v>119.26600000000001</v>
      </c>
      <c r="FW436" s="234">
        <f t="shared" si="815"/>
        <v>119.26600000000001</v>
      </c>
      <c r="FX436" s="234">
        <f t="shared" si="816"/>
        <v>119.26600000000001</v>
      </c>
      <c r="FY436" s="234">
        <f t="shared" si="817"/>
        <v>119.26600000000001</v>
      </c>
      <c r="FZ436" s="234">
        <f t="shared" si="818"/>
        <v>119.26600000000001</v>
      </c>
      <c r="GA436" s="234">
        <f t="shared" si="819"/>
        <v>119.26600000000001</v>
      </c>
      <c r="GB436" s="234">
        <f t="shared" si="820"/>
        <v>119.26600000000001</v>
      </c>
      <c r="GC436" s="234">
        <f t="shared" si="821"/>
        <v>119.26600000000001</v>
      </c>
      <c r="GD436" s="234">
        <f t="shared" si="822"/>
        <v>119.26600000000001</v>
      </c>
      <c r="GE436" s="234">
        <f t="shared" si="823"/>
        <v>119.26600000000001</v>
      </c>
      <c r="GF436" s="234">
        <f t="shared" si="824"/>
        <v>119.26600000000001</v>
      </c>
      <c r="GG436" s="234">
        <f t="shared" si="825"/>
        <v>119.26600000000001</v>
      </c>
      <c r="GH436" s="234">
        <f t="shared" si="826"/>
        <v>119.26600000000001</v>
      </c>
      <c r="GI436" s="234">
        <f t="shared" si="827"/>
        <v>119.26600000000001</v>
      </c>
      <c r="GJ436" s="234">
        <f t="shared" si="828"/>
        <v>119.26600000000001</v>
      </c>
      <c r="GK436" s="234">
        <f t="shared" si="829"/>
        <v>119.26600000000001</v>
      </c>
      <c r="GL436" s="234">
        <f t="shared" si="830"/>
        <v>119.26600000000001</v>
      </c>
      <c r="GM436" s="234">
        <f t="shared" si="831"/>
        <v>119.26600000000001</v>
      </c>
      <c r="GN436" s="234">
        <f t="shared" si="832"/>
        <v>119.26600000000001</v>
      </c>
      <c r="GO436" s="234">
        <f t="shared" si="833"/>
        <v>119.26600000000001</v>
      </c>
      <c r="GP436" s="234">
        <f t="shared" si="834"/>
        <v>119.26600000000001</v>
      </c>
      <c r="GQ436" s="234">
        <f t="shared" si="835"/>
        <v>119.26600000000001</v>
      </c>
      <c r="GR436" s="234">
        <f t="shared" si="836"/>
        <v>119.26600000000001</v>
      </c>
      <c r="GS436" s="234">
        <f t="shared" si="837"/>
        <v>119.26600000000001</v>
      </c>
      <c r="GT436" s="189">
        <f t="shared" si="838"/>
        <v>119.26600000000001</v>
      </c>
      <c r="GU436" s="140"/>
      <c r="GV436" s="177"/>
      <c r="GW436" s="178"/>
      <c r="GX436" s="178"/>
      <c r="GY436" s="178"/>
      <c r="GZ436" s="178"/>
      <c r="HA436" s="219"/>
      <c r="HB436" s="234">
        <f t="shared" si="839"/>
        <v>119.26600000000001</v>
      </c>
      <c r="HC436" s="234">
        <f t="shared" si="840"/>
        <v>119.26600000000001</v>
      </c>
      <c r="HD436" s="234">
        <f t="shared" si="841"/>
        <v>119.26600000000001</v>
      </c>
      <c r="HE436" s="234">
        <f t="shared" si="842"/>
        <v>119.26600000000001</v>
      </c>
      <c r="HF436" s="234">
        <f t="shared" si="843"/>
        <v>119.26600000000001</v>
      </c>
      <c r="HG436" s="234">
        <f t="shared" si="844"/>
        <v>119.26600000000001</v>
      </c>
      <c r="HH436" s="234">
        <f t="shared" si="845"/>
        <v>119.26600000000001</v>
      </c>
      <c r="HI436" s="234">
        <f t="shared" si="846"/>
        <v>119.26600000000001</v>
      </c>
      <c r="HJ436" s="234">
        <f t="shared" si="847"/>
        <v>119.26600000000001</v>
      </c>
      <c r="HK436" s="234">
        <f t="shared" si="848"/>
        <v>119.26600000000001</v>
      </c>
      <c r="HL436" s="234">
        <f t="shared" si="849"/>
        <v>119.26600000000001</v>
      </c>
      <c r="HM436" s="234">
        <f t="shared" si="850"/>
        <v>119.26600000000001</v>
      </c>
      <c r="HN436" s="234">
        <f t="shared" si="851"/>
        <v>119.26600000000001</v>
      </c>
      <c r="HO436" s="234">
        <f t="shared" si="852"/>
        <v>119.26600000000001</v>
      </c>
      <c r="HP436" s="234">
        <f t="shared" si="853"/>
        <v>119.26600000000001</v>
      </c>
      <c r="HQ436" s="234">
        <f t="shared" si="854"/>
        <v>119.26600000000001</v>
      </c>
      <c r="HR436" s="234">
        <f t="shared" si="855"/>
        <v>119.26600000000001</v>
      </c>
      <c r="HS436" s="234">
        <f t="shared" si="856"/>
        <v>119.26600000000001</v>
      </c>
      <c r="HT436" s="234">
        <f t="shared" si="857"/>
        <v>119.26600000000001</v>
      </c>
      <c r="HU436" s="234">
        <f t="shared" si="858"/>
        <v>119.26600000000001</v>
      </c>
      <c r="HV436" s="234">
        <f t="shared" si="859"/>
        <v>119.26600000000001</v>
      </c>
      <c r="HW436" s="234">
        <f t="shared" si="860"/>
        <v>119.26600000000001</v>
      </c>
      <c r="HX436" s="234">
        <f t="shared" si="861"/>
        <v>119.26600000000001</v>
      </c>
      <c r="HY436" s="234">
        <f t="shared" si="862"/>
        <v>119.26600000000001</v>
      </c>
      <c r="HZ436" s="234">
        <f t="shared" si="863"/>
        <v>119.26600000000001</v>
      </c>
      <c r="IA436" s="234">
        <f t="shared" si="864"/>
        <v>119.26600000000001</v>
      </c>
      <c r="IB436" s="234">
        <f t="shared" si="865"/>
        <v>119.26600000000001</v>
      </c>
      <c r="IC436" s="234">
        <f t="shared" si="866"/>
        <v>119.26600000000001</v>
      </c>
      <c r="ID436" s="234">
        <f t="shared" si="867"/>
        <v>119.26600000000001</v>
      </c>
      <c r="IE436" s="189">
        <f t="shared" si="868"/>
        <v>119.26600000000001</v>
      </c>
      <c r="IF436" s="140"/>
      <c r="IG436" s="177"/>
      <c r="IH436" s="178"/>
      <c r="II436" s="178"/>
      <c r="IJ436" s="178"/>
      <c r="IK436" s="178"/>
      <c r="IL436" s="219"/>
      <c r="IM436" s="234">
        <f t="shared" si="869"/>
        <v>196.32058244328923</v>
      </c>
      <c r="IN436" s="234">
        <f t="shared" si="870"/>
        <v>196.32058244328923</v>
      </c>
      <c r="IO436" s="234">
        <f t="shared" si="871"/>
        <v>196.32058244328923</v>
      </c>
      <c r="IP436" s="234">
        <f t="shared" si="872"/>
        <v>196.32058244328923</v>
      </c>
      <c r="IQ436" s="234">
        <f t="shared" si="873"/>
        <v>196.32058244328923</v>
      </c>
      <c r="IR436" s="234">
        <f t="shared" si="874"/>
        <v>196.32058244328923</v>
      </c>
      <c r="IS436" s="234">
        <f t="shared" si="875"/>
        <v>196.32058244328923</v>
      </c>
      <c r="IT436" s="234">
        <f t="shared" si="876"/>
        <v>196.32058244328923</v>
      </c>
      <c r="IU436" s="234">
        <f t="shared" si="877"/>
        <v>196.32058244328923</v>
      </c>
      <c r="IV436" s="234">
        <f t="shared" si="878"/>
        <v>196.32058244328923</v>
      </c>
      <c r="IW436" s="234">
        <f t="shared" si="879"/>
        <v>196.32058244328923</v>
      </c>
      <c r="IX436" s="234">
        <f t="shared" si="880"/>
        <v>196.32058244328923</v>
      </c>
      <c r="IY436" s="234">
        <f t="shared" si="881"/>
        <v>196.32058244328923</v>
      </c>
      <c r="IZ436" s="234">
        <f t="shared" si="882"/>
        <v>196.32058244328923</v>
      </c>
      <c r="JA436" s="234">
        <f t="shared" si="883"/>
        <v>196.32058244328923</v>
      </c>
      <c r="JB436" s="234">
        <f t="shared" si="884"/>
        <v>196.32058244328923</v>
      </c>
      <c r="JC436" s="234">
        <f t="shared" si="885"/>
        <v>196.32058244328923</v>
      </c>
      <c r="JD436" s="234">
        <f t="shared" si="886"/>
        <v>196.32058244328923</v>
      </c>
      <c r="JE436" s="234">
        <f t="shared" si="887"/>
        <v>196.32058244328923</v>
      </c>
      <c r="JF436" s="234">
        <f t="shared" si="888"/>
        <v>196.32058244328923</v>
      </c>
      <c r="JG436" s="234">
        <f t="shared" si="889"/>
        <v>196.32058244328923</v>
      </c>
      <c r="JH436" s="234">
        <f t="shared" si="890"/>
        <v>196.32058244328923</v>
      </c>
      <c r="JI436" s="234">
        <f t="shared" si="891"/>
        <v>196.32058244328923</v>
      </c>
      <c r="JJ436" s="234">
        <f t="shared" si="892"/>
        <v>196.32058244328923</v>
      </c>
      <c r="JK436" s="234">
        <f t="shared" si="893"/>
        <v>196.32058244328923</v>
      </c>
      <c r="JL436" s="234">
        <f t="shared" si="894"/>
        <v>196.32058244328923</v>
      </c>
      <c r="JM436" s="234">
        <f t="shared" si="895"/>
        <v>196.32058244328923</v>
      </c>
      <c r="JN436" s="234">
        <f t="shared" si="896"/>
        <v>196.32058244328923</v>
      </c>
      <c r="JO436" s="234">
        <f t="shared" si="897"/>
        <v>196.32058244328923</v>
      </c>
      <c r="JP436" s="189">
        <f t="shared" si="898"/>
        <v>196.32058244328923</v>
      </c>
      <c r="JQ436" s="140"/>
      <c r="JR436" s="177"/>
      <c r="JS436" s="178"/>
      <c r="JT436" s="178"/>
      <c r="JU436" s="178"/>
      <c r="JV436" s="178"/>
      <c r="JW436" s="219"/>
      <c r="JX436" s="234">
        <f t="shared" si="899"/>
        <v>196.32058244328923</v>
      </c>
      <c r="JY436" s="234">
        <f t="shared" si="900"/>
        <v>196.32058244328923</v>
      </c>
      <c r="JZ436" s="234">
        <f t="shared" si="901"/>
        <v>196.32058244328923</v>
      </c>
      <c r="KA436" s="234">
        <f t="shared" si="902"/>
        <v>196.32058244328923</v>
      </c>
      <c r="KB436" s="234">
        <f t="shared" si="903"/>
        <v>196.32058244328923</v>
      </c>
      <c r="KC436" s="234">
        <f t="shared" si="904"/>
        <v>196.32058244328923</v>
      </c>
      <c r="KD436" s="234">
        <f t="shared" si="905"/>
        <v>196.32058244328923</v>
      </c>
      <c r="KE436" s="234">
        <f t="shared" si="906"/>
        <v>196.32058244328923</v>
      </c>
      <c r="KF436" s="234">
        <f t="shared" si="907"/>
        <v>196.32058244328923</v>
      </c>
      <c r="KG436" s="234">
        <f t="shared" si="908"/>
        <v>196.32058244328923</v>
      </c>
      <c r="KH436" s="234">
        <f t="shared" si="909"/>
        <v>196.32058244328923</v>
      </c>
      <c r="KI436" s="234">
        <f t="shared" si="910"/>
        <v>196.32058244328923</v>
      </c>
      <c r="KJ436" s="234">
        <f t="shared" si="911"/>
        <v>196.32058244328923</v>
      </c>
      <c r="KK436" s="234">
        <f t="shared" si="912"/>
        <v>196.32058244328923</v>
      </c>
      <c r="KL436" s="234">
        <f t="shared" si="913"/>
        <v>196.32058244328923</v>
      </c>
      <c r="KM436" s="234">
        <f t="shared" si="914"/>
        <v>196.32058244328923</v>
      </c>
      <c r="KN436" s="234">
        <f t="shared" si="915"/>
        <v>196.32058244328923</v>
      </c>
      <c r="KO436" s="234">
        <f t="shared" si="916"/>
        <v>196.32058244328923</v>
      </c>
      <c r="KP436" s="234">
        <f t="shared" si="917"/>
        <v>196.32058244328923</v>
      </c>
      <c r="KQ436" s="234">
        <f t="shared" si="918"/>
        <v>196.32058244328923</v>
      </c>
      <c r="KR436" s="234">
        <f t="shared" si="919"/>
        <v>196.32058244328923</v>
      </c>
      <c r="KS436" s="234">
        <f t="shared" si="920"/>
        <v>196.32058244328923</v>
      </c>
      <c r="KT436" s="234">
        <f t="shared" si="921"/>
        <v>196.32058244328923</v>
      </c>
      <c r="KU436" s="234">
        <f t="shared" si="922"/>
        <v>196.32058244328923</v>
      </c>
      <c r="KV436" s="234">
        <f t="shared" si="923"/>
        <v>196.32058244328923</v>
      </c>
      <c r="KW436" s="234">
        <f t="shared" si="924"/>
        <v>196.32058244328923</v>
      </c>
      <c r="KX436" s="234">
        <f t="shared" si="925"/>
        <v>196.32058244328923</v>
      </c>
      <c r="KY436" s="234">
        <f t="shared" si="926"/>
        <v>196.32058244328923</v>
      </c>
      <c r="KZ436" s="234">
        <f t="shared" si="927"/>
        <v>196.32058244328923</v>
      </c>
      <c r="LA436" s="189">
        <f t="shared" si="928"/>
        <v>196.32058244328923</v>
      </c>
      <c r="LB436" s="140"/>
      <c r="LC436" s="177"/>
      <c r="LD436" s="178"/>
      <c r="LE436" s="178"/>
      <c r="LF436" s="178"/>
      <c r="LG436" s="178"/>
      <c r="LH436" s="219"/>
      <c r="LI436" s="234">
        <f t="shared" si="929"/>
        <v>196.32058244328923</v>
      </c>
      <c r="LJ436" s="234">
        <f t="shared" si="930"/>
        <v>196.32058244328923</v>
      </c>
      <c r="LK436" s="234">
        <f t="shared" si="931"/>
        <v>196.32058244328923</v>
      </c>
      <c r="LL436" s="234">
        <f t="shared" si="932"/>
        <v>196.32058244328923</v>
      </c>
      <c r="LM436" s="234">
        <f t="shared" si="933"/>
        <v>196.32058244328923</v>
      </c>
      <c r="LN436" s="234">
        <f t="shared" si="934"/>
        <v>196.32058244328923</v>
      </c>
      <c r="LO436" s="234">
        <f t="shared" si="935"/>
        <v>196.32058244328923</v>
      </c>
      <c r="LP436" s="234">
        <f t="shared" si="936"/>
        <v>196.32058244328923</v>
      </c>
      <c r="LQ436" s="234">
        <f t="shared" si="937"/>
        <v>196.32058244328923</v>
      </c>
      <c r="LR436" s="234">
        <f t="shared" si="938"/>
        <v>196.32058244328923</v>
      </c>
      <c r="LS436" s="234">
        <f t="shared" si="939"/>
        <v>196.32058244328923</v>
      </c>
      <c r="LT436" s="234">
        <f t="shared" si="940"/>
        <v>196.32058244328923</v>
      </c>
      <c r="LU436" s="234">
        <f t="shared" si="941"/>
        <v>196.32058244328923</v>
      </c>
      <c r="LV436" s="234">
        <f t="shared" si="942"/>
        <v>196.32058244328923</v>
      </c>
      <c r="LW436" s="234">
        <f t="shared" si="943"/>
        <v>196.32058244328923</v>
      </c>
      <c r="LX436" s="234">
        <f t="shared" si="944"/>
        <v>196.32058244328923</v>
      </c>
      <c r="LY436" s="234">
        <f t="shared" si="945"/>
        <v>196.32058244328923</v>
      </c>
      <c r="LZ436" s="234">
        <f t="shared" si="946"/>
        <v>196.32058244328923</v>
      </c>
      <c r="MA436" s="234">
        <f t="shared" si="947"/>
        <v>196.32058244328923</v>
      </c>
      <c r="MB436" s="234">
        <f t="shared" si="948"/>
        <v>196.32058244328923</v>
      </c>
      <c r="MC436" s="234">
        <f t="shared" si="949"/>
        <v>196.32058244328923</v>
      </c>
      <c r="MD436" s="234">
        <f t="shared" si="950"/>
        <v>196.32058244328923</v>
      </c>
      <c r="ME436" s="234">
        <f t="shared" si="951"/>
        <v>196.32058244328923</v>
      </c>
      <c r="MF436" s="234">
        <f t="shared" si="952"/>
        <v>196.32058244328923</v>
      </c>
      <c r="MG436" s="234">
        <f t="shared" si="953"/>
        <v>196.32058244328923</v>
      </c>
      <c r="MH436" s="234">
        <f t="shared" si="954"/>
        <v>196.32058244328923</v>
      </c>
      <c r="MI436" s="234">
        <f t="shared" si="955"/>
        <v>196.32058244328923</v>
      </c>
      <c r="MJ436" s="234">
        <f t="shared" si="956"/>
        <v>196.32058244328923</v>
      </c>
      <c r="MK436" s="234">
        <f t="shared" si="957"/>
        <v>196.32058244328923</v>
      </c>
      <c r="ML436" s="189">
        <f t="shared" si="958"/>
        <v>196.32058244328923</v>
      </c>
    </row>
    <row r="437" spans="2:350" s="4" customFormat="1" ht="18" customHeight="1" x14ac:dyDescent="0.3">
      <c r="C437" s="148" t="s">
        <v>106</v>
      </c>
      <c r="D437" s="132"/>
      <c r="E437" s="149" t="s">
        <v>103</v>
      </c>
      <c r="F437" s="179"/>
      <c r="H437" s="238">
        <f>H$196*1%</f>
        <v>9636.75</v>
      </c>
      <c r="I437" s="239">
        <f t="shared" ref="I437:M437" si="959">I$196*1%</f>
        <v>9718.7400340535442</v>
      </c>
      <c r="J437" s="239">
        <f t="shared" si="959"/>
        <v>9800.7300681070901</v>
      </c>
      <c r="K437" s="239">
        <f t="shared" si="959"/>
        <v>9882.7201021606343</v>
      </c>
      <c r="L437" s="239">
        <f t="shared" si="959"/>
        <v>9964.7101362141802</v>
      </c>
      <c r="M437" s="240">
        <f t="shared" si="959"/>
        <v>10046.700170267724</v>
      </c>
      <c r="N437" s="143"/>
      <c r="O437" s="143"/>
      <c r="P437" s="143"/>
      <c r="Q437" s="237"/>
      <c r="R437" s="140"/>
      <c r="S437" s="180"/>
      <c r="T437" s="181"/>
      <c r="U437" s="181"/>
      <c r="V437" s="181"/>
      <c r="W437" s="181"/>
      <c r="X437" s="151">
        <f t="shared" ref="X437:BB437" si="960">$BB$196*(1-$BB$347)*1/3/30</f>
        <v>484.47849920483378</v>
      </c>
      <c r="Y437" s="151">
        <f t="shared" si="960"/>
        <v>484.47849920483378</v>
      </c>
      <c r="Z437" s="151">
        <f t="shared" si="960"/>
        <v>484.47849920483378</v>
      </c>
      <c r="AA437" s="151">
        <f t="shared" si="960"/>
        <v>484.47849920483378</v>
      </c>
      <c r="AB437" s="151">
        <f t="shared" si="960"/>
        <v>484.47849920483378</v>
      </c>
      <c r="AC437" s="151">
        <f t="shared" si="960"/>
        <v>484.47849920483378</v>
      </c>
      <c r="AD437" s="151">
        <f t="shared" si="960"/>
        <v>484.47849920483378</v>
      </c>
      <c r="AE437" s="151">
        <f t="shared" si="960"/>
        <v>484.47849920483378</v>
      </c>
      <c r="AF437" s="151">
        <f t="shared" si="960"/>
        <v>484.47849920483378</v>
      </c>
      <c r="AG437" s="151">
        <f t="shared" si="960"/>
        <v>484.47849920483378</v>
      </c>
      <c r="AH437" s="151">
        <f t="shared" si="960"/>
        <v>484.47849920483378</v>
      </c>
      <c r="AI437" s="151">
        <f t="shared" si="960"/>
        <v>484.47849920483378</v>
      </c>
      <c r="AJ437" s="151">
        <f t="shared" si="960"/>
        <v>484.47849920483378</v>
      </c>
      <c r="AK437" s="151">
        <f t="shared" si="960"/>
        <v>484.47849920483378</v>
      </c>
      <c r="AL437" s="151">
        <f t="shared" si="960"/>
        <v>484.47849920483378</v>
      </c>
      <c r="AM437" s="151">
        <f t="shared" si="960"/>
        <v>484.47849920483378</v>
      </c>
      <c r="AN437" s="151">
        <f t="shared" si="960"/>
        <v>484.47849920483378</v>
      </c>
      <c r="AO437" s="151">
        <f t="shared" si="960"/>
        <v>484.47849920483378</v>
      </c>
      <c r="AP437" s="151">
        <f t="shared" si="960"/>
        <v>484.47849920483378</v>
      </c>
      <c r="AQ437" s="151">
        <f t="shared" si="960"/>
        <v>484.47849920483378</v>
      </c>
      <c r="AR437" s="151">
        <f t="shared" si="960"/>
        <v>484.47849920483378</v>
      </c>
      <c r="AS437" s="151">
        <f t="shared" si="960"/>
        <v>484.47849920483378</v>
      </c>
      <c r="AT437" s="151">
        <f t="shared" si="960"/>
        <v>484.47849920483378</v>
      </c>
      <c r="AU437" s="151">
        <f t="shared" si="960"/>
        <v>484.47849920483378</v>
      </c>
      <c r="AV437" s="151">
        <f t="shared" si="960"/>
        <v>484.47849920483378</v>
      </c>
      <c r="AW437" s="151">
        <f t="shared" si="960"/>
        <v>484.47849920483378</v>
      </c>
      <c r="AX437" s="151">
        <f t="shared" si="960"/>
        <v>484.47849920483378</v>
      </c>
      <c r="AY437" s="151">
        <f t="shared" si="960"/>
        <v>484.47849920483378</v>
      </c>
      <c r="AZ437" s="151">
        <f t="shared" si="960"/>
        <v>484.47849920483378</v>
      </c>
      <c r="BA437" s="151">
        <f t="shared" si="960"/>
        <v>484.47849920483378</v>
      </c>
      <c r="BB437" s="152">
        <f t="shared" si="960"/>
        <v>484.47849920483378</v>
      </c>
      <c r="BC437" s="140"/>
      <c r="BD437" s="153"/>
      <c r="BE437" s="154"/>
      <c r="BF437" s="154"/>
      <c r="BG437" s="154"/>
      <c r="BH437" s="154"/>
      <c r="BI437" s="226"/>
      <c r="BJ437" s="154">
        <f t="shared" ref="BJ437:CM437" si="961">SUM(BJ430:BJ436)</f>
        <v>3769.0473331967155</v>
      </c>
      <c r="BK437" s="154">
        <f t="shared" si="961"/>
        <v>3769.0473331967155</v>
      </c>
      <c r="BL437" s="154">
        <f t="shared" si="961"/>
        <v>3769.0473331967155</v>
      </c>
      <c r="BM437" s="154">
        <f t="shared" si="961"/>
        <v>3769.0473331967155</v>
      </c>
      <c r="BN437" s="154">
        <f t="shared" si="961"/>
        <v>3769.0473331967155</v>
      </c>
      <c r="BO437" s="154">
        <f t="shared" si="961"/>
        <v>3769.0473331967155</v>
      </c>
      <c r="BP437" s="154">
        <f t="shared" si="961"/>
        <v>3769.0473331967155</v>
      </c>
      <c r="BQ437" s="154">
        <f t="shared" si="961"/>
        <v>3769.0473331967155</v>
      </c>
      <c r="BR437" s="154">
        <f t="shared" si="961"/>
        <v>3769.0473331967155</v>
      </c>
      <c r="BS437" s="154">
        <f t="shared" si="961"/>
        <v>3769.0473331967155</v>
      </c>
      <c r="BT437" s="154">
        <f t="shared" si="961"/>
        <v>3769.0473331967155</v>
      </c>
      <c r="BU437" s="154">
        <f t="shared" si="961"/>
        <v>3769.0473331967155</v>
      </c>
      <c r="BV437" s="154">
        <f t="shared" si="961"/>
        <v>3769.0473331967155</v>
      </c>
      <c r="BW437" s="154">
        <f t="shared" si="961"/>
        <v>3769.0473331967155</v>
      </c>
      <c r="BX437" s="154">
        <f t="shared" si="961"/>
        <v>3769.0473331967155</v>
      </c>
      <c r="BY437" s="154">
        <f t="shared" si="961"/>
        <v>3769.0473331967155</v>
      </c>
      <c r="BZ437" s="154">
        <f t="shared" si="961"/>
        <v>3769.0473331967155</v>
      </c>
      <c r="CA437" s="154">
        <f t="shared" si="961"/>
        <v>3769.0473331967155</v>
      </c>
      <c r="CB437" s="154">
        <f t="shared" si="961"/>
        <v>3769.0473331967155</v>
      </c>
      <c r="CC437" s="154">
        <f t="shared" si="961"/>
        <v>3769.0473331967155</v>
      </c>
      <c r="CD437" s="154">
        <f t="shared" si="961"/>
        <v>3769.0473331967155</v>
      </c>
      <c r="CE437" s="154">
        <f t="shared" si="961"/>
        <v>3769.0473331967155</v>
      </c>
      <c r="CF437" s="154">
        <f t="shared" si="961"/>
        <v>3769.0473331967155</v>
      </c>
      <c r="CG437" s="154">
        <f t="shared" si="961"/>
        <v>3769.0473331967155</v>
      </c>
      <c r="CH437" s="154">
        <f t="shared" si="961"/>
        <v>3769.0473331967155</v>
      </c>
      <c r="CI437" s="154">
        <f t="shared" si="961"/>
        <v>3769.0473331967155</v>
      </c>
      <c r="CJ437" s="154">
        <f t="shared" si="961"/>
        <v>3769.0473331967155</v>
      </c>
      <c r="CK437" s="154">
        <f t="shared" si="961"/>
        <v>3769.0473331967155</v>
      </c>
      <c r="CL437" s="154">
        <f t="shared" si="961"/>
        <v>3769.0473331967155</v>
      </c>
      <c r="CM437" s="155">
        <f t="shared" si="961"/>
        <v>3769.0473331967155</v>
      </c>
      <c r="CN437" s="140"/>
      <c r="CO437" s="153"/>
      <c r="CP437" s="154"/>
      <c r="CQ437" s="154"/>
      <c r="CR437" s="154"/>
      <c r="CS437" s="154"/>
      <c r="CT437" s="226"/>
      <c r="CU437" s="154">
        <f t="shared" ref="CU437:DX437" si="962">SUM(CU430:CU436)</f>
        <v>1258.7524687786204</v>
      </c>
      <c r="CV437" s="154">
        <f t="shared" si="962"/>
        <v>1258.7524687786204</v>
      </c>
      <c r="CW437" s="154">
        <f t="shared" si="962"/>
        <v>1258.7524687786204</v>
      </c>
      <c r="CX437" s="154">
        <f t="shared" si="962"/>
        <v>1258.7524687786204</v>
      </c>
      <c r="CY437" s="154">
        <f t="shared" si="962"/>
        <v>1258.7524687786204</v>
      </c>
      <c r="CZ437" s="154">
        <f t="shared" si="962"/>
        <v>1258.7524687786204</v>
      </c>
      <c r="DA437" s="154">
        <f t="shared" si="962"/>
        <v>1258.7524687786204</v>
      </c>
      <c r="DB437" s="154">
        <f t="shared" si="962"/>
        <v>1258.7524687786204</v>
      </c>
      <c r="DC437" s="154">
        <f t="shared" si="962"/>
        <v>1258.7524687786204</v>
      </c>
      <c r="DD437" s="154">
        <f t="shared" si="962"/>
        <v>1258.7524687786204</v>
      </c>
      <c r="DE437" s="154">
        <f t="shared" si="962"/>
        <v>1258.7524687786204</v>
      </c>
      <c r="DF437" s="154">
        <f t="shared" si="962"/>
        <v>1258.7524687786204</v>
      </c>
      <c r="DG437" s="154">
        <f t="shared" si="962"/>
        <v>1258.7524687786204</v>
      </c>
      <c r="DH437" s="154">
        <f t="shared" si="962"/>
        <v>1258.7524687786204</v>
      </c>
      <c r="DI437" s="154">
        <f t="shared" si="962"/>
        <v>1258.7524687786204</v>
      </c>
      <c r="DJ437" s="154">
        <f t="shared" si="962"/>
        <v>1258.7524687786204</v>
      </c>
      <c r="DK437" s="154">
        <f t="shared" si="962"/>
        <v>1258.7524687786204</v>
      </c>
      <c r="DL437" s="154">
        <f t="shared" si="962"/>
        <v>1258.7524687786204</v>
      </c>
      <c r="DM437" s="154">
        <f t="shared" si="962"/>
        <v>1258.7524687786204</v>
      </c>
      <c r="DN437" s="154">
        <f t="shared" si="962"/>
        <v>1258.7524687786204</v>
      </c>
      <c r="DO437" s="154">
        <f t="shared" si="962"/>
        <v>1258.7524687786204</v>
      </c>
      <c r="DP437" s="154">
        <f t="shared" si="962"/>
        <v>1258.7524687786204</v>
      </c>
      <c r="DQ437" s="154">
        <f t="shared" si="962"/>
        <v>1258.7524687786204</v>
      </c>
      <c r="DR437" s="154">
        <f t="shared" si="962"/>
        <v>1258.7524687786204</v>
      </c>
      <c r="DS437" s="154">
        <f t="shared" si="962"/>
        <v>1258.7524687786204</v>
      </c>
      <c r="DT437" s="154">
        <f t="shared" si="962"/>
        <v>1258.7524687786204</v>
      </c>
      <c r="DU437" s="154">
        <f t="shared" si="962"/>
        <v>1258.7524687786204</v>
      </c>
      <c r="DV437" s="154">
        <f t="shared" si="962"/>
        <v>1258.7524687786204</v>
      </c>
      <c r="DW437" s="154">
        <f t="shared" si="962"/>
        <v>1258.7524687786204</v>
      </c>
      <c r="DX437" s="155">
        <f t="shared" si="962"/>
        <v>1258.7524687786204</v>
      </c>
      <c r="DY437" s="140"/>
      <c r="DZ437" s="153"/>
      <c r="EA437" s="154"/>
      <c r="EB437" s="154"/>
      <c r="EC437" s="154"/>
      <c r="ED437" s="154"/>
      <c r="EE437" s="226"/>
      <c r="EF437" s="154">
        <f t="shared" ref="EF437:FI437" si="963">SUM(EF430:EF436)</f>
        <v>1809.8710223934977</v>
      </c>
      <c r="EG437" s="154">
        <f t="shared" si="963"/>
        <v>1809.8710223934977</v>
      </c>
      <c r="EH437" s="154">
        <f t="shared" si="963"/>
        <v>1809.8710223934977</v>
      </c>
      <c r="EI437" s="154">
        <f t="shared" si="963"/>
        <v>1809.8710223934977</v>
      </c>
      <c r="EJ437" s="154">
        <f t="shared" si="963"/>
        <v>1809.8710223934977</v>
      </c>
      <c r="EK437" s="154">
        <f t="shared" si="963"/>
        <v>1809.8710223934977</v>
      </c>
      <c r="EL437" s="154">
        <f t="shared" si="963"/>
        <v>1809.8710223934977</v>
      </c>
      <c r="EM437" s="154">
        <f t="shared" si="963"/>
        <v>1809.8710223934977</v>
      </c>
      <c r="EN437" s="154">
        <f t="shared" si="963"/>
        <v>1809.8710223934977</v>
      </c>
      <c r="EO437" s="154">
        <f t="shared" si="963"/>
        <v>1809.8710223934977</v>
      </c>
      <c r="EP437" s="154">
        <f t="shared" si="963"/>
        <v>1809.8710223934977</v>
      </c>
      <c r="EQ437" s="154">
        <f t="shared" si="963"/>
        <v>1809.8710223934977</v>
      </c>
      <c r="ER437" s="154">
        <f t="shared" si="963"/>
        <v>1809.8710223934977</v>
      </c>
      <c r="ES437" s="154">
        <f t="shared" si="963"/>
        <v>1809.8710223934977</v>
      </c>
      <c r="ET437" s="154">
        <f t="shared" si="963"/>
        <v>1809.8710223934977</v>
      </c>
      <c r="EU437" s="154">
        <f t="shared" si="963"/>
        <v>1809.8710223934977</v>
      </c>
      <c r="EV437" s="154">
        <f t="shared" si="963"/>
        <v>1809.8710223934977</v>
      </c>
      <c r="EW437" s="154">
        <f t="shared" si="963"/>
        <v>1809.8710223934977</v>
      </c>
      <c r="EX437" s="154">
        <f t="shared" si="963"/>
        <v>1809.8710223934977</v>
      </c>
      <c r="EY437" s="154">
        <f t="shared" si="963"/>
        <v>1809.8710223934977</v>
      </c>
      <c r="EZ437" s="154">
        <f t="shared" si="963"/>
        <v>1809.8710223934977</v>
      </c>
      <c r="FA437" s="154">
        <f t="shared" si="963"/>
        <v>1809.8710223934977</v>
      </c>
      <c r="FB437" s="154">
        <f t="shared" si="963"/>
        <v>1809.8710223934977</v>
      </c>
      <c r="FC437" s="154">
        <f t="shared" si="963"/>
        <v>1809.8710223934977</v>
      </c>
      <c r="FD437" s="154">
        <f t="shared" si="963"/>
        <v>1809.8710223934977</v>
      </c>
      <c r="FE437" s="154">
        <f t="shared" si="963"/>
        <v>1809.8710223934977</v>
      </c>
      <c r="FF437" s="154">
        <f t="shared" si="963"/>
        <v>1809.8710223934977</v>
      </c>
      <c r="FG437" s="154">
        <f t="shared" si="963"/>
        <v>1809.8710223934977</v>
      </c>
      <c r="FH437" s="154">
        <f t="shared" si="963"/>
        <v>1809.8710223934977</v>
      </c>
      <c r="FI437" s="155">
        <f t="shared" si="963"/>
        <v>1809.8710223934977</v>
      </c>
      <c r="FJ437" s="140"/>
      <c r="FK437" s="153"/>
      <c r="FL437" s="154"/>
      <c r="FM437" s="154"/>
      <c r="FN437" s="154"/>
      <c r="FO437" s="154"/>
      <c r="FP437" s="226"/>
      <c r="FQ437" s="154">
        <f t="shared" ref="FQ437:GT437" si="964">SUM(FQ430:FQ436)</f>
        <v>2156.4134340096593</v>
      </c>
      <c r="FR437" s="154">
        <f t="shared" si="964"/>
        <v>2156.4134340096593</v>
      </c>
      <c r="FS437" s="154">
        <f t="shared" si="964"/>
        <v>2156.4134340096593</v>
      </c>
      <c r="FT437" s="154">
        <f t="shared" si="964"/>
        <v>2156.4134340096593</v>
      </c>
      <c r="FU437" s="154">
        <f t="shared" si="964"/>
        <v>2156.4134340096593</v>
      </c>
      <c r="FV437" s="154">
        <f t="shared" si="964"/>
        <v>2156.4134340096593</v>
      </c>
      <c r="FW437" s="154">
        <f t="shared" si="964"/>
        <v>2156.4134340096593</v>
      </c>
      <c r="FX437" s="154">
        <f t="shared" si="964"/>
        <v>2156.4134340096593</v>
      </c>
      <c r="FY437" s="154">
        <f t="shared" si="964"/>
        <v>2156.4134340096593</v>
      </c>
      <c r="FZ437" s="154">
        <f t="shared" si="964"/>
        <v>2156.4134340096593</v>
      </c>
      <c r="GA437" s="154">
        <f t="shared" si="964"/>
        <v>2156.4134340096593</v>
      </c>
      <c r="GB437" s="154">
        <f t="shared" si="964"/>
        <v>2156.4134340096593</v>
      </c>
      <c r="GC437" s="154">
        <f t="shared" si="964"/>
        <v>2156.4134340096593</v>
      </c>
      <c r="GD437" s="154">
        <f t="shared" si="964"/>
        <v>2156.4134340096593</v>
      </c>
      <c r="GE437" s="154">
        <f t="shared" si="964"/>
        <v>2156.4134340096593</v>
      </c>
      <c r="GF437" s="154">
        <f t="shared" si="964"/>
        <v>2156.4134340096593</v>
      </c>
      <c r="GG437" s="154">
        <f t="shared" si="964"/>
        <v>2156.4134340096593</v>
      </c>
      <c r="GH437" s="154">
        <f t="shared" si="964"/>
        <v>2156.4134340096593</v>
      </c>
      <c r="GI437" s="154">
        <f t="shared" si="964"/>
        <v>2156.4134340096593</v>
      </c>
      <c r="GJ437" s="154">
        <f t="shared" si="964"/>
        <v>2156.4134340096593</v>
      </c>
      <c r="GK437" s="154">
        <f t="shared" si="964"/>
        <v>2156.4134340096593</v>
      </c>
      <c r="GL437" s="154">
        <f t="shared" si="964"/>
        <v>2156.4134340096593</v>
      </c>
      <c r="GM437" s="154">
        <f t="shared" si="964"/>
        <v>2156.4134340096593</v>
      </c>
      <c r="GN437" s="154">
        <f t="shared" si="964"/>
        <v>2156.4134340096593</v>
      </c>
      <c r="GO437" s="154">
        <f t="shared" si="964"/>
        <v>2156.4134340096593</v>
      </c>
      <c r="GP437" s="154">
        <f t="shared" si="964"/>
        <v>2156.4134340096593</v>
      </c>
      <c r="GQ437" s="154">
        <f t="shared" si="964"/>
        <v>2156.4134340096593</v>
      </c>
      <c r="GR437" s="154">
        <f t="shared" si="964"/>
        <v>2156.4134340096593</v>
      </c>
      <c r="GS437" s="154">
        <f t="shared" si="964"/>
        <v>2156.4134340096593</v>
      </c>
      <c r="GT437" s="155">
        <f t="shared" si="964"/>
        <v>2156.4134340096593</v>
      </c>
      <c r="GU437" s="140"/>
      <c r="GV437" s="153"/>
      <c r="GW437" s="154"/>
      <c r="GX437" s="154"/>
      <c r="GY437" s="154"/>
      <c r="GZ437" s="154"/>
      <c r="HA437" s="226"/>
      <c r="HB437" s="154">
        <f t="shared" ref="HB437:IE437" si="965">SUM(HB430:HB436)</f>
        <v>3002.3478086616446</v>
      </c>
      <c r="HC437" s="154">
        <f t="shared" si="965"/>
        <v>3002.3478086616446</v>
      </c>
      <c r="HD437" s="154">
        <f t="shared" si="965"/>
        <v>3002.3478086616446</v>
      </c>
      <c r="HE437" s="154">
        <f t="shared" si="965"/>
        <v>3002.3478086616446</v>
      </c>
      <c r="HF437" s="154">
        <f t="shared" si="965"/>
        <v>3002.3478086616446</v>
      </c>
      <c r="HG437" s="154">
        <f t="shared" si="965"/>
        <v>3002.3478086616446</v>
      </c>
      <c r="HH437" s="154">
        <f t="shared" si="965"/>
        <v>3002.3478086616446</v>
      </c>
      <c r="HI437" s="154">
        <f t="shared" si="965"/>
        <v>3002.3478086616446</v>
      </c>
      <c r="HJ437" s="154">
        <f t="shared" si="965"/>
        <v>3002.3478086616446</v>
      </c>
      <c r="HK437" s="154">
        <f t="shared" si="965"/>
        <v>3002.3478086616446</v>
      </c>
      <c r="HL437" s="154">
        <f t="shared" si="965"/>
        <v>3002.3478086616446</v>
      </c>
      <c r="HM437" s="154">
        <f t="shared" si="965"/>
        <v>3002.3478086616446</v>
      </c>
      <c r="HN437" s="154">
        <f t="shared" si="965"/>
        <v>3002.3478086616446</v>
      </c>
      <c r="HO437" s="154">
        <f t="shared" si="965"/>
        <v>3002.3478086616446</v>
      </c>
      <c r="HP437" s="154">
        <f t="shared" si="965"/>
        <v>3002.3478086616446</v>
      </c>
      <c r="HQ437" s="154">
        <f t="shared" si="965"/>
        <v>3002.3478086616446</v>
      </c>
      <c r="HR437" s="154">
        <f t="shared" si="965"/>
        <v>3002.3478086616446</v>
      </c>
      <c r="HS437" s="154">
        <f t="shared" si="965"/>
        <v>3002.3478086616446</v>
      </c>
      <c r="HT437" s="154">
        <f t="shared" si="965"/>
        <v>3002.3478086616446</v>
      </c>
      <c r="HU437" s="154">
        <f t="shared" si="965"/>
        <v>3002.3478086616446</v>
      </c>
      <c r="HV437" s="154">
        <f t="shared" si="965"/>
        <v>3002.3478086616446</v>
      </c>
      <c r="HW437" s="154">
        <f t="shared" si="965"/>
        <v>3002.3478086616446</v>
      </c>
      <c r="HX437" s="154">
        <f t="shared" si="965"/>
        <v>3002.3478086616446</v>
      </c>
      <c r="HY437" s="154">
        <f t="shared" si="965"/>
        <v>3002.3478086616446</v>
      </c>
      <c r="HZ437" s="154">
        <f t="shared" si="965"/>
        <v>3002.3478086616446</v>
      </c>
      <c r="IA437" s="154">
        <f t="shared" si="965"/>
        <v>3002.3478086616446</v>
      </c>
      <c r="IB437" s="154">
        <f t="shared" si="965"/>
        <v>3002.3478086616446</v>
      </c>
      <c r="IC437" s="154">
        <f t="shared" si="965"/>
        <v>3002.3478086616446</v>
      </c>
      <c r="ID437" s="154">
        <f t="shared" si="965"/>
        <v>3002.3478086616446</v>
      </c>
      <c r="IE437" s="155">
        <f t="shared" si="965"/>
        <v>3002.3478086616446</v>
      </c>
      <c r="IF437" s="140"/>
      <c r="IG437" s="153"/>
      <c r="IH437" s="154"/>
      <c r="II437" s="154"/>
      <c r="IJ437" s="154"/>
      <c r="IK437" s="154"/>
      <c r="IL437" s="226"/>
      <c r="IM437" s="154">
        <f t="shared" ref="IM437:JP437" si="966">SUM(IM430:IM436)</f>
        <v>7908.9704542644586</v>
      </c>
      <c r="IN437" s="154">
        <f t="shared" si="966"/>
        <v>7908.9704542644586</v>
      </c>
      <c r="IO437" s="154">
        <f t="shared" si="966"/>
        <v>7908.9704542644586</v>
      </c>
      <c r="IP437" s="154">
        <f t="shared" si="966"/>
        <v>7908.9704542644586</v>
      </c>
      <c r="IQ437" s="154">
        <f t="shared" si="966"/>
        <v>7908.9704542644586</v>
      </c>
      <c r="IR437" s="154">
        <f t="shared" si="966"/>
        <v>7908.9704542644586</v>
      </c>
      <c r="IS437" s="154">
        <f t="shared" si="966"/>
        <v>7908.9704542644586</v>
      </c>
      <c r="IT437" s="154">
        <f t="shared" si="966"/>
        <v>7908.9704542644586</v>
      </c>
      <c r="IU437" s="154">
        <f t="shared" si="966"/>
        <v>7908.9704542644586</v>
      </c>
      <c r="IV437" s="154">
        <f t="shared" si="966"/>
        <v>7908.9704542644586</v>
      </c>
      <c r="IW437" s="154">
        <f t="shared" si="966"/>
        <v>7908.9704542644586</v>
      </c>
      <c r="IX437" s="154">
        <f t="shared" si="966"/>
        <v>7908.9704542644586</v>
      </c>
      <c r="IY437" s="154">
        <f t="shared" si="966"/>
        <v>7908.9704542644586</v>
      </c>
      <c r="IZ437" s="154">
        <f t="shared" si="966"/>
        <v>7908.9704542644586</v>
      </c>
      <c r="JA437" s="154">
        <f t="shared" si="966"/>
        <v>7908.9704542644586</v>
      </c>
      <c r="JB437" s="154">
        <f t="shared" si="966"/>
        <v>7908.9704542644586</v>
      </c>
      <c r="JC437" s="154">
        <f t="shared" si="966"/>
        <v>7908.9704542644586</v>
      </c>
      <c r="JD437" s="154">
        <f t="shared" si="966"/>
        <v>7908.9704542644586</v>
      </c>
      <c r="JE437" s="154">
        <f t="shared" si="966"/>
        <v>7908.9704542644586</v>
      </c>
      <c r="JF437" s="154">
        <f t="shared" si="966"/>
        <v>7908.9704542644586</v>
      </c>
      <c r="JG437" s="154">
        <f t="shared" si="966"/>
        <v>7908.9704542644586</v>
      </c>
      <c r="JH437" s="154">
        <f t="shared" si="966"/>
        <v>7908.9704542644586</v>
      </c>
      <c r="JI437" s="154">
        <f t="shared" si="966"/>
        <v>7908.9704542644586</v>
      </c>
      <c r="JJ437" s="154">
        <f t="shared" si="966"/>
        <v>7908.9704542644586</v>
      </c>
      <c r="JK437" s="154">
        <f t="shared" si="966"/>
        <v>7908.9704542644586</v>
      </c>
      <c r="JL437" s="154">
        <f t="shared" si="966"/>
        <v>7908.9704542644586</v>
      </c>
      <c r="JM437" s="154">
        <f t="shared" si="966"/>
        <v>7908.9704542644586</v>
      </c>
      <c r="JN437" s="154">
        <f t="shared" si="966"/>
        <v>7908.9704542644586</v>
      </c>
      <c r="JO437" s="154">
        <f t="shared" si="966"/>
        <v>7908.9704542644586</v>
      </c>
      <c r="JP437" s="155">
        <f t="shared" si="966"/>
        <v>7908.9704542644586</v>
      </c>
      <c r="JQ437" s="140"/>
      <c r="JR437" s="153"/>
      <c r="JS437" s="154"/>
      <c r="JT437" s="154"/>
      <c r="JU437" s="154"/>
      <c r="JV437" s="154"/>
      <c r="JW437" s="226"/>
      <c r="JX437" s="154">
        <f t="shared" ref="JX437:LA437" si="967">SUM(JX430:JX436)</f>
        <v>7908.9704542644586</v>
      </c>
      <c r="JY437" s="154">
        <f t="shared" si="967"/>
        <v>7908.9704542644586</v>
      </c>
      <c r="JZ437" s="154">
        <f t="shared" si="967"/>
        <v>7908.9704542644586</v>
      </c>
      <c r="KA437" s="154">
        <f t="shared" si="967"/>
        <v>7908.9704542644586</v>
      </c>
      <c r="KB437" s="154">
        <f t="shared" si="967"/>
        <v>7908.9704542644586</v>
      </c>
      <c r="KC437" s="154">
        <f t="shared" si="967"/>
        <v>7908.9704542644586</v>
      </c>
      <c r="KD437" s="154">
        <f t="shared" si="967"/>
        <v>7908.9704542644586</v>
      </c>
      <c r="KE437" s="154">
        <f t="shared" si="967"/>
        <v>7908.9704542644586</v>
      </c>
      <c r="KF437" s="154">
        <f t="shared" si="967"/>
        <v>7908.9704542644586</v>
      </c>
      <c r="KG437" s="154">
        <f t="shared" si="967"/>
        <v>7908.9704542644586</v>
      </c>
      <c r="KH437" s="154">
        <f t="shared" si="967"/>
        <v>7908.9704542644586</v>
      </c>
      <c r="KI437" s="154">
        <f t="shared" si="967"/>
        <v>7908.9704542644586</v>
      </c>
      <c r="KJ437" s="154">
        <f t="shared" si="967"/>
        <v>7908.9704542644586</v>
      </c>
      <c r="KK437" s="154">
        <f t="shared" si="967"/>
        <v>7908.9704542644586</v>
      </c>
      <c r="KL437" s="154">
        <f t="shared" si="967"/>
        <v>7908.9704542644586</v>
      </c>
      <c r="KM437" s="154">
        <f t="shared" si="967"/>
        <v>7908.9704542644586</v>
      </c>
      <c r="KN437" s="154">
        <f t="shared" si="967"/>
        <v>7908.9704542644586</v>
      </c>
      <c r="KO437" s="154">
        <f t="shared" si="967"/>
        <v>7908.9704542644586</v>
      </c>
      <c r="KP437" s="154">
        <f t="shared" si="967"/>
        <v>7908.9704542644586</v>
      </c>
      <c r="KQ437" s="154">
        <f t="shared" si="967"/>
        <v>7908.9704542644586</v>
      </c>
      <c r="KR437" s="154">
        <f t="shared" si="967"/>
        <v>7908.9704542644586</v>
      </c>
      <c r="KS437" s="154">
        <f t="shared" si="967"/>
        <v>7908.9704542644586</v>
      </c>
      <c r="KT437" s="154">
        <f t="shared" si="967"/>
        <v>7908.9704542644586</v>
      </c>
      <c r="KU437" s="154">
        <f t="shared" si="967"/>
        <v>7908.9704542644586</v>
      </c>
      <c r="KV437" s="154">
        <f t="shared" si="967"/>
        <v>7908.9704542644586</v>
      </c>
      <c r="KW437" s="154">
        <f t="shared" si="967"/>
        <v>7908.9704542644586</v>
      </c>
      <c r="KX437" s="154">
        <f t="shared" si="967"/>
        <v>7908.9704542644586</v>
      </c>
      <c r="KY437" s="154">
        <f t="shared" si="967"/>
        <v>7908.9704542644586</v>
      </c>
      <c r="KZ437" s="154">
        <f t="shared" si="967"/>
        <v>7908.9704542644586</v>
      </c>
      <c r="LA437" s="155">
        <f t="shared" si="967"/>
        <v>7908.9704542644586</v>
      </c>
      <c r="LB437" s="140"/>
      <c r="LC437" s="153"/>
      <c r="LD437" s="154"/>
      <c r="LE437" s="154"/>
      <c r="LF437" s="154"/>
      <c r="LG437" s="154"/>
      <c r="LH437" s="226"/>
      <c r="LI437" s="154">
        <f t="shared" ref="LI437:ML437" si="968">SUM(LI430:LI436)</f>
        <v>7908.9704542644586</v>
      </c>
      <c r="LJ437" s="154">
        <f t="shared" si="968"/>
        <v>7908.9704542644586</v>
      </c>
      <c r="LK437" s="154">
        <f t="shared" si="968"/>
        <v>7908.9704542644586</v>
      </c>
      <c r="LL437" s="154">
        <f t="shared" si="968"/>
        <v>7908.9704542644586</v>
      </c>
      <c r="LM437" s="154">
        <f t="shared" si="968"/>
        <v>7908.9704542644586</v>
      </c>
      <c r="LN437" s="154">
        <f t="shared" si="968"/>
        <v>7908.9704542644586</v>
      </c>
      <c r="LO437" s="154">
        <f t="shared" si="968"/>
        <v>7908.9704542644586</v>
      </c>
      <c r="LP437" s="154">
        <f t="shared" si="968"/>
        <v>7908.9704542644586</v>
      </c>
      <c r="LQ437" s="154">
        <f t="shared" si="968"/>
        <v>7908.9704542644586</v>
      </c>
      <c r="LR437" s="154">
        <f t="shared" si="968"/>
        <v>7908.9704542644586</v>
      </c>
      <c r="LS437" s="154">
        <f t="shared" si="968"/>
        <v>7908.9704542644586</v>
      </c>
      <c r="LT437" s="154">
        <f t="shared" si="968"/>
        <v>7908.9704542644586</v>
      </c>
      <c r="LU437" s="154">
        <f t="shared" si="968"/>
        <v>7908.9704542644586</v>
      </c>
      <c r="LV437" s="154">
        <f t="shared" si="968"/>
        <v>7908.9704542644586</v>
      </c>
      <c r="LW437" s="154">
        <f t="shared" si="968"/>
        <v>7908.9704542644586</v>
      </c>
      <c r="LX437" s="154">
        <f t="shared" si="968"/>
        <v>7908.9704542644586</v>
      </c>
      <c r="LY437" s="154">
        <f t="shared" si="968"/>
        <v>7908.9704542644586</v>
      </c>
      <c r="LZ437" s="154">
        <f t="shared" si="968"/>
        <v>7908.9704542644586</v>
      </c>
      <c r="MA437" s="154">
        <f t="shared" si="968"/>
        <v>7908.9704542644586</v>
      </c>
      <c r="MB437" s="154">
        <f t="shared" si="968"/>
        <v>7908.9704542644586</v>
      </c>
      <c r="MC437" s="154">
        <f t="shared" si="968"/>
        <v>7908.9704542644586</v>
      </c>
      <c r="MD437" s="154">
        <f t="shared" si="968"/>
        <v>7908.9704542644586</v>
      </c>
      <c r="ME437" s="154">
        <f t="shared" si="968"/>
        <v>7908.9704542644586</v>
      </c>
      <c r="MF437" s="154">
        <f t="shared" si="968"/>
        <v>7908.9704542644586</v>
      </c>
      <c r="MG437" s="154">
        <f t="shared" si="968"/>
        <v>7908.9704542644586</v>
      </c>
      <c r="MH437" s="154">
        <f t="shared" si="968"/>
        <v>7908.9704542644586</v>
      </c>
      <c r="MI437" s="154">
        <f t="shared" si="968"/>
        <v>7908.9704542644586</v>
      </c>
      <c r="MJ437" s="154">
        <f t="shared" si="968"/>
        <v>7908.9704542644586</v>
      </c>
      <c r="MK437" s="154">
        <f t="shared" si="968"/>
        <v>7908.9704542644586</v>
      </c>
      <c r="ML437" s="155">
        <f t="shared" si="968"/>
        <v>7908.9704542644586</v>
      </c>
    </row>
    <row r="439" spans="2:350" x14ac:dyDescent="0.3">
      <c r="C439" s="197" t="s">
        <v>107</v>
      </c>
      <c r="D439" s="69" t="s">
        <v>216</v>
      </c>
      <c r="H439" s="241"/>
      <c r="I439" s="241"/>
      <c r="J439" s="241"/>
      <c r="K439" s="241"/>
      <c r="L439" s="241"/>
      <c r="M439" s="241"/>
      <c r="N439" s="241"/>
      <c r="O439" s="241"/>
      <c r="P439" s="241"/>
      <c r="Q439" s="241"/>
      <c r="X439" s="241"/>
      <c r="Y439" s="241"/>
      <c r="Z439" s="241"/>
      <c r="AA439" s="241"/>
      <c r="AB439" s="241"/>
      <c r="AC439" s="241"/>
      <c r="AD439" s="241"/>
      <c r="AE439" s="241"/>
      <c r="AF439" s="241"/>
      <c r="AG439" s="241"/>
      <c r="AH439" s="241"/>
      <c r="AI439" s="241"/>
      <c r="AJ439" s="241"/>
      <c r="AK439" s="241"/>
      <c r="AL439" s="241"/>
      <c r="AM439" s="241"/>
      <c r="AN439" s="241"/>
      <c r="AO439" s="241"/>
      <c r="AP439" s="241"/>
      <c r="AQ439" s="241"/>
      <c r="AR439" s="241"/>
      <c r="AS439" s="241"/>
      <c r="AT439" s="241"/>
      <c r="AU439" s="241"/>
      <c r="AV439" s="241"/>
      <c r="AW439" s="241"/>
      <c r="AX439" s="241"/>
      <c r="AY439" s="241"/>
      <c r="AZ439" s="241"/>
      <c r="BA439" s="241"/>
      <c r="BB439" s="241"/>
    </row>
    <row r="440" spans="2:350" x14ac:dyDescent="0.3">
      <c r="C440" s="69"/>
      <c r="D440" s="69"/>
    </row>
    <row r="441" spans="2:350" x14ac:dyDescent="0.3">
      <c r="C441" s="69" t="s">
        <v>213</v>
      </c>
      <c r="D441" s="69" t="s">
        <v>217</v>
      </c>
    </row>
    <row r="442" spans="2:350" x14ac:dyDescent="0.3">
      <c r="C442" s="69"/>
      <c r="D442" s="69"/>
    </row>
    <row r="443" spans="2:350" ht="20" x14ac:dyDescent="0.4">
      <c r="B443" s="73" t="s">
        <v>25</v>
      </c>
      <c r="C443" s="74" t="s">
        <v>23</v>
      </c>
    </row>
    <row r="445" spans="2:350" x14ac:dyDescent="0.3">
      <c r="C445" s="120" t="s">
        <v>218</v>
      </c>
      <c r="H445" s="121" t="s">
        <v>100</v>
      </c>
      <c r="S445" s="122" t="s">
        <v>5</v>
      </c>
      <c r="BD445" s="123" t="s">
        <v>6</v>
      </c>
      <c r="CO445" s="124" t="s">
        <v>7</v>
      </c>
      <c r="DZ445" s="125" t="s">
        <v>8</v>
      </c>
      <c r="FK445" s="126" t="s">
        <v>9</v>
      </c>
      <c r="GV445" s="127" t="s">
        <v>10</v>
      </c>
      <c r="IG445" s="128" t="s">
        <v>11</v>
      </c>
      <c r="JR445" s="129" t="str">
        <f>JR$4</f>
        <v>AMS2 2023</v>
      </c>
      <c r="LC445" s="130" t="str">
        <f>LC$4</f>
        <v>AMS3 2025</v>
      </c>
    </row>
    <row r="446" spans="2:350" s="4" customFormat="1" ht="18" customHeight="1" x14ac:dyDescent="0.3">
      <c r="C446" s="131"/>
      <c r="D446" s="132"/>
      <c r="E446" s="133" t="s">
        <v>101</v>
      </c>
      <c r="F446" s="134" t="s">
        <v>102</v>
      </c>
      <c r="H446" s="135">
        <f t="shared" ref="H446:M446" si="969">H$1</f>
        <v>2015</v>
      </c>
      <c r="I446" s="133">
        <f t="shared" si="969"/>
        <v>2016</v>
      </c>
      <c r="J446" s="133">
        <f t="shared" si="969"/>
        <v>2017</v>
      </c>
      <c r="K446" s="133">
        <f t="shared" si="969"/>
        <v>2018</v>
      </c>
      <c r="L446" s="133">
        <f t="shared" si="969"/>
        <v>2019</v>
      </c>
      <c r="M446" s="134">
        <f t="shared" si="969"/>
        <v>2020</v>
      </c>
      <c r="N446" s="1"/>
      <c r="O446" s="1"/>
      <c r="P446" s="1"/>
      <c r="Q446" s="1"/>
      <c r="S446" s="135">
        <f t="shared" ref="S446:BB446" si="970">S$1</f>
        <v>2015</v>
      </c>
      <c r="T446" s="133">
        <f t="shared" si="970"/>
        <v>2016</v>
      </c>
      <c r="U446" s="133">
        <f t="shared" si="970"/>
        <v>2017</v>
      </c>
      <c r="V446" s="133">
        <f t="shared" si="970"/>
        <v>2018</v>
      </c>
      <c r="W446" s="133">
        <f t="shared" si="970"/>
        <v>2019</v>
      </c>
      <c r="X446" s="133">
        <f t="shared" si="970"/>
        <v>2020</v>
      </c>
      <c r="Y446" s="133">
        <f t="shared" si="970"/>
        <v>2021</v>
      </c>
      <c r="Z446" s="133">
        <f t="shared" si="970"/>
        <v>2022</v>
      </c>
      <c r="AA446" s="133">
        <f t="shared" si="970"/>
        <v>2023</v>
      </c>
      <c r="AB446" s="133">
        <f t="shared" si="970"/>
        <v>2024</v>
      </c>
      <c r="AC446" s="133">
        <f t="shared" si="970"/>
        <v>2025</v>
      </c>
      <c r="AD446" s="133">
        <f t="shared" si="970"/>
        <v>2026</v>
      </c>
      <c r="AE446" s="133">
        <f t="shared" si="970"/>
        <v>2027</v>
      </c>
      <c r="AF446" s="133">
        <f t="shared" si="970"/>
        <v>2028</v>
      </c>
      <c r="AG446" s="133">
        <f t="shared" si="970"/>
        <v>2029</v>
      </c>
      <c r="AH446" s="133">
        <f t="shared" si="970"/>
        <v>2030</v>
      </c>
      <c r="AI446" s="133">
        <f t="shared" si="970"/>
        <v>2031</v>
      </c>
      <c r="AJ446" s="133">
        <f t="shared" si="970"/>
        <v>2032</v>
      </c>
      <c r="AK446" s="133">
        <f t="shared" si="970"/>
        <v>2033</v>
      </c>
      <c r="AL446" s="133">
        <f t="shared" si="970"/>
        <v>2034</v>
      </c>
      <c r="AM446" s="133">
        <f t="shared" si="970"/>
        <v>2035</v>
      </c>
      <c r="AN446" s="133">
        <f t="shared" si="970"/>
        <v>2036</v>
      </c>
      <c r="AO446" s="133">
        <f t="shared" si="970"/>
        <v>2037</v>
      </c>
      <c r="AP446" s="133">
        <f t="shared" si="970"/>
        <v>2038</v>
      </c>
      <c r="AQ446" s="133">
        <f t="shared" si="970"/>
        <v>2039</v>
      </c>
      <c r="AR446" s="133">
        <f t="shared" si="970"/>
        <v>2040</v>
      </c>
      <c r="AS446" s="133">
        <f t="shared" si="970"/>
        <v>2041</v>
      </c>
      <c r="AT446" s="133">
        <f t="shared" si="970"/>
        <v>2042</v>
      </c>
      <c r="AU446" s="133">
        <f t="shared" si="970"/>
        <v>2043</v>
      </c>
      <c r="AV446" s="133">
        <f t="shared" si="970"/>
        <v>2044</v>
      </c>
      <c r="AW446" s="133">
        <f t="shared" si="970"/>
        <v>2045</v>
      </c>
      <c r="AX446" s="133">
        <f t="shared" si="970"/>
        <v>2046</v>
      </c>
      <c r="AY446" s="133">
        <f t="shared" si="970"/>
        <v>2047</v>
      </c>
      <c r="AZ446" s="133">
        <f t="shared" si="970"/>
        <v>2048</v>
      </c>
      <c r="BA446" s="133">
        <f t="shared" si="970"/>
        <v>2049</v>
      </c>
      <c r="BB446" s="134">
        <f t="shared" si="970"/>
        <v>2050</v>
      </c>
      <c r="BD446" s="135">
        <f t="shared" ref="BD446:CM446" si="971">BD$1</f>
        <v>2015</v>
      </c>
      <c r="BE446" s="133">
        <f t="shared" si="971"/>
        <v>2016</v>
      </c>
      <c r="BF446" s="133">
        <f t="shared" si="971"/>
        <v>2017</v>
      </c>
      <c r="BG446" s="133">
        <f t="shared" si="971"/>
        <v>2018</v>
      </c>
      <c r="BH446" s="133">
        <f t="shared" si="971"/>
        <v>2019</v>
      </c>
      <c r="BI446" s="133">
        <f t="shared" si="971"/>
        <v>2020</v>
      </c>
      <c r="BJ446" s="133">
        <f t="shared" si="971"/>
        <v>2021</v>
      </c>
      <c r="BK446" s="133">
        <f t="shared" si="971"/>
        <v>2022</v>
      </c>
      <c r="BL446" s="133">
        <f t="shared" si="971"/>
        <v>2023</v>
      </c>
      <c r="BM446" s="133">
        <f t="shared" si="971"/>
        <v>2024</v>
      </c>
      <c r="BN446" s="133">
        <f t="shared" si="971"/>
        <v>2025</v>
      </c>
      <c r="BO446" s="133">
        <f t="shared" si="971"/>
        <v>2026</v>
      </c>
      <c r="BP446" s="133">
        <f t="shared" si="971"/>
        <v>2027</v>
      </c>
      <c r="BQ446" s="133">
        <f t="shared" si="971"/>
        <v>2028</v>
      </c>
      <c r="BR446" s="133">
        <f t="shared" si="971"/>
        <v>2029</v>
      </c>
      <c r="BS446" s="133">
        <f t="shared" si="971"/>
        <v>2030</v>
      </c>
      <c r="BT446" s="133">
        <f t="shared" si="971"/>
        <v>2031</v>
      </c>
      <c r="BU446" s="133">
        <f t="shared" si="971"/>
        <v>2032</v>
      </c>
      <c r="BV446" s="133">
        <f t="shared" si="971"/>
        <v>2033</v>
      </c>
      <c r="BW446" s="133">
        <f t="shared" si="971"/>
        <v>2034</v>
      </c>
      <c r="BX446" s="133">
        <f t="shared" si="971"/>
        <v>2035</v>
      </c>
      <c r="BY446" s="133">
        <f t="shared" si="971"/>
        <v>2036</v>
      </c>
      <c r="BZ446" s="133">
        <f t="shared" si="971"/>
        <v>2037</v>
      </c>
      <c r="CA446" s="133">
        <f t="shared" si="971"/>
        <v>2038</v>
      </c>
      <c r="CB446" s="133">
        <f t="shared" si="971"/>
        <v>2039</v>
      </c>
      <c r="CC446" s="133">
        <f t="shared" si="971"/>
        <v>2040</v>
      </c>
      <c r="CD446" s="133">
        <f t="shared" si="971"/>
        <v>2041</v>
      </c>
      <c r="CE446" s="133">
        <f t="shared" si="971"/>
        <v>2042</v>
      </c>
      <c r="CF446" s="133">
        <f t="shared" si="971"/>
        <v>2043</v>
      </c>
      <c r="CG446" s="133">
        <f t="shared" si="971"/>
        <v>2044</v>
      </c>
      <c r="CH446" s="133">
        <f t="shared" si="971"/>
        <v>2045</v>
      </c>
      <c r="CI446" s="133">
        <f t="shared" si="971"/>
        <v>2046</v>
      </c>
      <c r="CJ446" s="133">
        <f t="shared" si="971"/>
        <v>2047</v>
      </c>
      <c r="CK446" s="133">
        <f t="shared" si="971"/>
        <v>2048</v>
      </c>
      <c r="CL446" s="133">
        <f t="shared" si="971"/>
        <v>2049</v>
      </c>
      <c r="CM446" s="134">
        <f t="shared" si="971"/>
        <v>2050</v>
      </c>
      <c r="CO446" s="135">
        <f t="shared" ref="CO446:DX446" si="972">CO$1</f>
        <v>2015</v>
      </c>
      <c r="CP446" s="133">
        <f t="shared" si="972"/>
        <v>2016</v>
      </c>
      <c r="CQ446" s="133">
        <f t="shared" si="972"/>
        <v>2017</v>
      </c>
      <c r="CR446" s="133">
        <f t="shared" si="972"/>
        <v>2018</v>
      </c>
      <c r="CS446" s="133">
        <f t="shared" si="972"/>
        <v>2019</v>
      </c>
      <c r="CT446" s="133">
        <f t="shared" si="972"/>
        <v>2020</v>
      </c>
      <c r="CU446" s="133">
        <f t="shared" si="972"/>
        <v>2021</v>
      </c>
      <c r="CV446" s="133">
        <f t="shared" si="972"/>
        <v>2022</v>
      </c>
      <c r="CW446" s="133">
        <f t="shared" si="972"/>
        <v>2023</v>
      </c>
      <c r="CX446" s="133">
        <f t="shared" si="972"/>
        <v>2024</v>
      </c>
      <c r="CY446" s="133">
        <f t="shared" si="972"/>
        <v>2025</v>
      </c>
      <c r="CZ446" s="133">
        <f t="shared" si="972"/>
        <v>2026</v>
      </c>
      <c r="DA446" s="133">
        <f t="shared" si="972"/>
        <v>2027</v>
      </c>
      <c r="DB446" s="133">
        <f t="shared" si="972"/>
        <v>2028</v>
      </c>
      <c r="DC446" s="133">
        <f t="shared" si="972"/>
        <v>2029</v>
      </c>
      <c r="DD446" s="133">
        <f t="shared" si="972"/>
        <v>2030</v>
      </c>
      <c r="DE446" s="133">
        <f t="shared" si="972"/>
        <v>2031</v>
      </c>
      <c r="DF446" s="133">
        <f t="shared" si="972"/>
        <v>2032</v>
      </c>
      <c r="DG446" s="133">
        <f t="shared" si="972"/>
        <v>2033</v>
      </c>
      <c r="DH446" s="133">
        <f t="shared" si="972"/>
        <v>2034</v>
      </c>
      <c r="DI446" s="133">
        <f t="shared" si="972"/>
        <v>2035</v>
      </c>
      <c r="DJ446" s="133">
        <f t="shared" si="972"/>
        <v>2036</v>
      </c>
      <c r="DK446" s="133">
        <f t="shared" si="972"/>
        <v>2037</v>
      </c>
      <c r="DL446" s="133">
        <f t="shared" si="972"/>
        <v>2038</v>
      </c>
      <c r="DM446" s="133">
        <f t="shared" si="972"/>
        <v>2039</v>
      </c>
      <c r="DN446" s="133">
        <f t="shared" si="972"/>
        <v>2040</v>
      </c>
      <c r="DO446" s="133">
        <f t="shared" si="972"/>
        <v>2041</v>
      </c>
      <c r="DP446" s="133">
        <f t="shared" si="972"/>
        <v>2042</v>
      </c>
      <c r="DQ446" s="133">
        <f t="shared" si="972"/>
        <v>2043</v>
      </c>
      <c r="DR446" s="133">
        <f t="shared" si="972"/>
        <v>2044</v>
      </c>
      <c r="DS446" s="133">
        <f t="shared" si="972"/>
        <v>2045</v>
      </c>
      <c r="DT446" s="133">
        <f t="shared" si="972"/>
        <v>2046</v>
      </c>
      <c r="DU446" s="133">
        <f t="shared" si="972"/>
        <v>2047</v>
      </c>
      <c r="DV446" s="133">
        <f t="shared" si="972"/>
        <v>2048</v>
      </c>
      <c r="DW446" s="133">
        <f t="shared" si="972"/>
        <v>2049</v>
      </c>
      <c r="DX446" s="134">
        <f t="shared" si="972"/>
        <v>2050</v>
      </c>
      <c r="DZ446" s="135">
        <f t="shared" ref="DZ446:FI446" si="973">DZ$1</f>
        <v>2015</v>
      </c>
      <c r="EA446" s="133">
        <f t="shared" si="973"/>
        <v>2016</v>
      </c>
      <c r="EB446" s="133">
        <f t="shared" si="973"/>
        <v>2017</v>
      </c>
      <c r="EC446" s="133">
        <f t="shared" si="973"/>
        <v>2018</v>
      </c>
      <c r="ED446" s="133">
        <f t="shared" si="973"/>
        <v>2019</v>
      </c>
      <c r="EE446" s="133">
        <f t="shared" si="973"/>
        <v>2020</v>
      </c>
      <c r="EF446" s="133">
        <f t="shared" si="973"/>
        <v>2021</v>
      </c>
      <c r="EG446" s="133">
        <f t="shared" si="973"/>
        <v>2022</v>
      </c>
      <c r="EH446" s="133">
        <f t="shared" si="973"/>
        <v>2023</v>
      </c>
      <c r="EI446" s="133">
        <f t="shared" si="973"/>
        <v>2024</v>
      </c>
      <c r="EJ446" s="133">
        <f t="shared" si="973"/>
        <v>2025</v>
      </c>
      <c r="EK446" s="133">
        <f t="shared" si="973"/>
        <v>2026</v>
      </c>
      <c r="EL446" s="133">
        <f t="shared" si="973"/>
        <v>2027</v>
      </c>
      <c r="EM446" s="133">
        <f t="shared" si="973"/>
        <v>2028</v>
      </c>
      <c r="EN446" s="133">
        <f t="shared" si="973"/>
        <v>2029</v>
      </c>
      <c r="EO446" s="133">
        <f t="shared" si="973"/>
        <v>2030</v>
      </c>
      <c r="EP446" s="133">
        <f t="shared" si="973"/>
        <v>2031</v>
      </c>
      <c r="EQ446" s="133">
        <f t="shared" si="973"/>
        <v>2032</v>
      </c>
      <c r="ER446" s="133">
        <f t="shared" si="973"/>
        <v>2033</v>
      </c>
      <c r="ES446" s="133">
        <f t="shared" si="973"/>
        <v>2034</v>
      </c>
      <c r="ET446" s="133">
        <f t="shared" si="973"/>
        <v>2035</v>
      </c>
      <c r="EU446" s="133">
        <f t="shared" si="973"/>
        <v>2036</v>
      </c>
      <c r="EV446" s="133">
        <f t="shared" si="973"/>
        <v>2037</v>
      </c>
      <c r="EW446" s="133">
        <f t="shared" si="973"/>
        <v>2038</v>
      </c>
      <c r="EX446" s="133">
        <f t="shared" si="973"/>
        <v>2039</v>
      </c>
      <c r="EY446" s="133">
        <f t="shared" si="973"/>
        <v>2040</v>
      </c>
      <c r="EZ446" s="133">
        <f t="shared" si="973"/>
        <v>2041</v>
      </c>
      <c r="FA446" s="133">
        <f t="shared" si="973"/>
        <v>2042</v>
      </c>
      <c r="FB446" s="133">
        <f t="shared" si="973"/>
        <v>2043</v>
      </c>
      <c r="FC446" s="133">
        <f t="shared" si="973"/>
        <v>2044</v>
      </c>
      <c r="FD446" s="133">
        <f t="shared" si="973"/>
        <v>2045</v>
      </c>
      <c r="FE446" s="133">
        <f t="shared" si="973"/>
        <v>2046</v>
      </c>
      <c r="FF446" s="133">
        <f t="shared" si="973"/>
        <v>2047</v>
      </c>
      <c r="FG446" s="133">
        <f t="shared" si="973"/>
        <v>2048</v>
      </c>
      <c r="FH446" s="133">
        <f t="shared" si="973"/>
        <v>2049</v>
      </c>
      <c r="FI446" s="134">
        <f t="shared" si="973"/>
        <v>2050</v>
      </c>
      <c r="FK446" s="135">
        <f t="shared" ref="FK446:GT446" si="974">FK$1</f>
        <v>2015</v>
      </c>
      <c r="FL446" s="133">
        <f t="shared" si="974"/>
        <v>2016</v>
      </c>
      <c r="FM446" s="133">
        <f t="shared" si="974"/>
        <v>2017</v>
      </c>
      <c r="FN446" s="133">
        <f t="shared" si="974"/>
        <v>2018</v>
      </c>
      <c r="FO446" s="133">
        <f t="shared" si="974"/>
        <v>2019</v>
      </c>
      <c r="FP446" s="133">
        <f t="shared" si="974"/>
        <v>2020</v>
      </c>
      <c r="FQ446" s="133">
        <f t="shared" si="974"/>
        <v>2021</v>
      </c>
      <c r="FR446" s="133">
        <f t="shared" si="974"/>
        <v>2022</v>
      </c>
      <c r="FS446" s="133">
        <f t="shared" si="974"/>
        <v>2023</v>
      </c>
      <c r="FT446" s="133">
        <f t="shared" si="974"/>
        <v>2024</v>
      </c>
      <c r="FU446" s="133">
        <f t="shared" si="974"/>
        <v>2025</v>
      </c>
      <c r="FV446" s="133">
        <f t="shared" si="974"/>
        <v>2026</v>
      </c>
      <c r="FW446" s="133">
        <f t="shared" si="974"/>
        <v>2027</v>
      </c>
      <c r="FX446" s="133">
        <f t="shared" si="974"/>
        <v>2028</v>
      </c>
      <c r="FY446" s="133">
        <f t="shared" si="974"/>
        <v>2029</v>
      </c>
      <c r="FZ446" s="133">
        <f t="shared" si="974"/>
        <v>2030</v>
      </c>
      <c r="GA446" s="133">
        <f t="shared" si="974"/>
        <v>2031</v>
      </c>
      <c r="GB446" s="133">
        <f t="shared" si="974"/>
        <v>2032</v>
      </c>
      <c r="GC446" s="133">
        <f t="shared" si="974"/>
        <v>2033</v>
      </c>
      <c r="GD446" s="133">
        <f t="shared" si="974"/>
        <v>2034</v>
      </c>
      <c r="GE446" s="133">
        <f t="shared" si="974"/>
        <v>2035</v>
      </c>
      <c r="GF446" s="133">
        <f t="shared" si="974"/>
        <v>2036</v>
      </c>
      <c r="GG446" s="133">
        <f t="shared" si="974"/>
        <v>2037</v>
      </c>
      <c r="GH446" s="133">
        <f t="shared" si="974"/>
        <v>2038</v>
      </c>
      <c r="GI446" s="133">
        <f t="shared" si="974"/>
        <v>2039</v>
      </c>
      <c r="GJ446" s="133">
        <f t="shared" si="974"/>
        <v>2040</v>
      </c>
      <c r="GK446" s="133">
        <f t="shared" si="974"/>
        <v>2041</v>
      </c>
      <c r="GL446" s="133">
        <f t="shared" si="974"/>
        <v>2042</v>
      </c>
      <c r="GM446" s="133">
        <f t="shared" si="974"/>
        <v>2043</v>
      </c>
      <c r="GN446" s="133">
        <f t="shared" si="974"/>
        <v>2044</v>
      </c>
      <c r="GO446" s="133">
        <f t="shared" si="974"/>
        <v>2045</v>
      </c>
      <c r="GP446" s="133">
        <f t="shared" si="974"/>
        <v>2046</v>
      </c>
      <c r="GQ446" s="133">
        <f t="shared" si="974"/>
        <v>2047</v>
      </c>
      <c r="GR446" s="133">
        <f t="shared" si="974"/>
        <v>2048</v>
      </c>
      <c r="GS446" s="133">
        <f t="shared" si="974"/>
        <v>2049</v>
      </c>
      <c r="GT446" s="134">
        <f t="shared" si="974"/>
        <v>2050</v>
      </c>
      <c r="GV446" s="135">
        <f t="shared" ref="GV446:IE446" si="975">GV$1</f>
        <v>2015</v>
      </c>
      <c r="GW446" s="133">
        <f t="shared" si="975"/>
        <v>2016</v>
      </c>
      <c r="GX446" s="133">
        <f t="shared" si="975"/>
        <v>2017</v>
      </c>
      <c r="GY446" s="133">
        <f t="shared" si="975"/>
        <v>2018</v>
      </c>
      <c r="GZ446" s="133">
        <f t="shared" si="975"/>
        <v>2019</v>
      </c>
      <c r="HA446" s="133">
        <f t="shared" si="975"/>
        <v>2020</v>
      </c>
      <c r="HB446" s="133">
        <f t="shared" si="975"/>
        <v>2021</v>
      </c>
      <c r="HC446" s="133">
        <f t="shared" si="975"/>
        <v>2022</v>
      </c>
      <c r="HD446" s="133">
        <f t="shared" si="975"/>
        <v>2023</v>
      </c>
      <c r="HE446" s="133">
        <f t="shared" si="975"/>
        <v>2024</v>
      </c>
      <c r="HF446" s="133">
        <f t="shared" si="975"/>
        <v>2025</v>
      </c>
      <c r="HG446" s="133">
        <f t="shared" si="975"/>
        <v>2026</v>
      </c>
      <c r="HH446" s="133">
        <f t="shared" si="975"/>
        <v>2027</v>
      </c>
      <c r="HI446" s="133">
        <f t="shared" si="975"/>
        <v>2028</v>
      </c>
      <c r="HJ446" s="133">
        <f t="shared" si="975"/>
        <v>2029</v>
      </c>
      <c r="HK446" s="133">
        <f t="shared" si="975"/>
        <v>2030</v>
      </c>
      <c r="HL446" s="133">
        <f t="shared" si="975"/>
        <v>2031</v>
      </c>
      <c r="HM446" s="133">
        <f t="shared" si="975"/>
        <v>2032</v>
      </c>
      <c r="HN446" s="133">
        <f t="shared" si="975"/>
        <v>2033</v>
      </c>
      <c r="HO446" s="133">
        <f t="shared" si="975"/>
        <v>2034</v>
      </c>
      <c r="HP446" s="133">
        <f t="shared" si="975"/>
        <v>2035</v>
      </c>
      <c r="HQ446" s="133">
        <f t="shared" si="975"/>
        <v>2036</v>
      </c>
      <c r="HR446" s="133">
        <f t="shared" si="975"/>
        <v>2037</v>
      </c>
      <c r="HS446" s="133">
        <f t="shared" si="975"/>
        <v>2038</v>
      </c>
      <c r="HT446" s="133">
        <f t="shared" si="975"/>
        <v>2039</v>
      </c>
      <c r="HU446" s="133">
        <f t="shared" si="975"/>
        <v>2040</v>
      </c>
      <c r="HV446" s="133">
        <f t="shared" si="975"/>
        <v>2041</v>
      </c>
      <c r="HW446" s="133">
        <f t="shared" si="975"/>
        <v>2042</v>
      </c>
      <c r="HX446" s="133">
        <f t="shared" si="975"/>
        <v>2043</v>
      </c>
      <c r="HY446" s="133">
        <f t="shared" si="975"/>
        <v>2044</v>
      </c>
      <c r="HZ446" s="133">
        <f t="shared" si="975"/>
        <v>2045</v>
      </c>
      <c r="IA446" s="133">
        <f t="shared" si="975"/>
        <v>2046</v>
      </c>
      <c r="IB446" s="133">
        <f t="shared" si="975"/>
        <v>2047</v>
      </c>
      <c r="IC446" s="133">
        <f t="shared" si="975"/>
        <v>2048</v>
      </c>
      <c r="ID446" s="133">
        <f t="shared" si="975"/>
        <v>2049</v>
      </c>
      <c r="IE446" s="134">
        <f t="shared" si="975"/>
        <v>2050</v>
      </c>
      <c r="IG446" s="135">
        <f t="shared" ref="IG446:JP446" si="976">IG$1</f>
        <v>2015</v>
      </c>
      <c r="IH446" s="133">
        <f t="shared" si="976"/>
        <v>2016</v>
      </c>
      <c r="II446" s="133">
        <f t="shared" si="976"/>
        <v>2017</v>
      </c>
      <c r="IJ446" s="133">
        <f t="shared" si="976"/>
        <v>2018</v>
      </c>
      <c r="IK446" s="133">
        <f t="shared" si="976"/>
        <v>2019</v>
      </c>
      <c r="IL446" s="133">
        <f t="shared" si="976"/>
        <v>2020</v>
      </c>
      <c r="IM446" s="133">
        <f t="shared" si="976"/>
        <v>2021</v>
      </c>
      <c r="IN446" s="133">
        <f t="shared" si="976"/>
        <v>2022</v>
      </c>
      <c r="IO446" s="133">
        <f t="shared" si="976"/>
        <v>2023</v>
      </c>
      <c r="IP446" s="133">
        <f t="shared" si="976"/>
        <v>2024</v>
      </c>
      <c r="IQ446" s="133">
        <f t="shared" si="976"/>
        <v>2025</v>
      </c>
      <c r="IR446" s="133">
        <f t="shared" si="976"/>
        <v>2026</v>
      </c>
      <c r="IS446" s="133">
        <f t="shared" si="976"/>
        <v>2027</v>
      </c>
      <c r="IT446" s="133">
        <f t="shared" si="976"/>
        <v>2028</v>
      </c>
      <c r="IU446" s="133">
        <f t="shared" si="976"/>
        <v>2029</v>
      </c>
      <c r="IV446" s="133">
        <f t="shared" si="976"/>
        <v>2030</v>
      </c>
      <c r="IW446" s="133">
        <f t="shared" si="976"/>
        <v>2031</v>
      </c>
      <c r="IX446" s="133">
        <f t="shared" si="976"/>
        <v>2032</v>
      </c>
      <c r="IY446" s="133">
        <f t="shared" si="976"/>
        <v>2033</v>
      </c>
      <c r="IZ446" s="133">
        <f t="shared" si="976"/>
        <v>2034</v>
      </c>
      <c r="JA446" s="133">
        <f t="shared" si="976"/>
        <v>2035</v>
      </c>
      <c r="JB446" s="133">
        <f t="shared" si="976"/>
        <v>2036</v>
      </c>
      <c r="JC446" s="133">
        <f t="shared" si="976"/>
        <v>2037</v>
      </c>
      <c r="JD446" s="133">
        <f t="shared" si="976"/>
        <v>2038</v>
      </c>
      <c r="JE446" s="133">
        <f t="shared" si="976"/>
        <v>2039</v>
      </c>
      <c r="JF446" s="133">
        <f t="shared" si="976"/>
        <v>2040</v>
      </c>
      <c r="JG446" s="133">
        <f t="shared" si="976"/>
        <v>2041</v>
      </c>
      <c r="JH446" s="133">
        <f t="shared" si="976"/>
        <v>2042</v>
      </c>
      <c r="JI446" s="133">
        <f t="shared" si="976"/>
        <v>2043</v>
      </c>
      <c r="JJ446" s="133">
        <f t="shared" si="976"/>
        <v>2044</v>
      </c>
      <c r="JK446" s="133">
        <f t="shared" si="976"/>
        <v>2045</v>
      </c>
      <c r="JL446" s="133">
        <f t="shared" si="976"/>
        <v>2046</v>
      </c>
      <c r="JM446" s="133">
        <f t="shared" si="976"/>
        <v>2047</v>
      </c>
      <c r="JN446" s="133">
        <f t="shared" si="976"/>
        <v>2048</v>
      </c>
      <c r="JO446" s="133">
        <f t="shared" si="976"/>
        <v>2049</v>
      </c>
      <c r="JP446" s="134">
        <f t="shared" si="976"/>
        <v>2050</v>
      </c>
      <c r="JR446" s="135">
        <f t="shared" ref="JR446:MC446" si="977">JR$1</f>
        <v>2015</v>
      </c>
      <c r="JS446" s="133">
        <f t="shared" si="977"/>
        <v>2016</v>
      </c>
      <c r="JT446" s="133">
        <f t="shared" si="977"/>
        <v>2017</v>
      </c>
      <c r="JU446" s="133">
        <f t="shared" si="977"/>
        <v>2018</v>
      </c>
      <c r="JV446" s="133">
        <f t="shared" si="977"/>
        <v>2019</v>
      </c>
      <c r="JW446" s="133">
        <f t="shared" si="977"/>
        <v>2020</v>
      </c>
      <c r="JX446" s="133">
        <f t="shared" si="977"/>
        <v>2021</v>
      </c>
      <c r="JY446" s="133">
        <f t="shared" si="977"/>
        <v>2022</v>
      </c>
      <c r="JZ446" s="133">
        <f t="shared" si="977"/>
        <v>2023</v>
      </c>
      <c r="KA446" s="133">
        <f t="shared" si="977"/>
        <v>2024</v>
      </c>
      <c r="KB446" s="133">
        <f t="shared" si="977"/>
        <v>2025</v>
      </c>
      <c r="KC446" s="133">
        <f t="shared" si="977"/>
        <v>2026</v>
      </c>
      <c r="KD446" s="133">
        <f t="shared" si="977"/>
        <v>2027</v>
      </c>
      <c r="KE446" s="133">
        <f t="shared" si="977"/>
        <v>2028</v>
      </c>
      <c r="KF446" s="133">
        <f t="shared" si="977"/>
        <v>2029</v>
      </c>
      <c r="KG446" s="133">
        <f t="shared" si="977"/>
        <v>2030</v>
      </c>
      <c r="KH446" s="133">
        <f t="shared" si="977"/>
        <v>2031</v>
      </c>
      <c r="KI446" s="133">
        <f t="shared" si="977"/>
        <v>2032</v>
      </c>
      <c r="KJ446" s="133">
        <f t="shared" si="977"/>
        <v>2033</v>
      </c>
      <c r="KK446" s="133">
        <f t="shared" si="977"/>
        <v>2034</v>
      </c>
      <c r="KL446" s="133">
        <f t="shared" si="977"/>
        <v>2035</v>
      </c>
      <c r="KM446" s="133">
        <f t="shared" si="977"/>
        <v>2036</v>
      </c>
      <c r="KN446" s="133">
        <f t="shared" si="977"/>
        <v>2037</v>
      </c>
      <c r="KO446" s="133">
        <f t="shared" si="977"/>
        <v>2038</v>
      </c>
      <c r="KP446" s="133">
        <f t="shared" si="977"/>
        <v>2039</v>
      </c>
      <c r="KQ446" s="133">
        <f t="shared" si="977"/>
        <v>2040</v>
      </c>
      <c r="KR446" s="133">
        <f t="shared" si="977"/>
        <v>2041</v>
      </c>
      <c r="KS446" s="133">
        <f t="shared" si="977"/>
        <v>2042</v>
      </c>
      <c r="KT446" s="133">
        <f t="shared" si="977"/>
        <v>2043</v>
      </c>
      <c r="KU446" s="133">
        <f t="shared" si="977"/>
        <v>2044</v>
      </c>
      <c r="KV446" s="133">
        <f t="shared" si="977"/>
        <v>2045</v>
      </c>
      <c r="KW446" s="133">
        <f t="shared" si="977"/>
        <v>2046</v>
      </c>
      <c r="KX446" s="133">
        <f t="shared" si="977"/>
        <v>2047</v>
      </c>
      <c r="KY446" s="133">
        <f t="shared" si="977"/>
        <v>2048</v>
      </c>
      <c r="KZ446" s="133">
        <f t="shared" si="977"/>
        <v>2049</v>
      </c>
      <c r="LA446" s="134">
        <f t="shared" si="977"/>
        <v>2050</v>
      </c>
      <c r="LC446" s="135">
        <f t="shared" si="977"/>
        <v>2015</v>
      </c>
      <c r="LD446" s="133">
        <f t="shared" si="977"/>
        <v>2016</v>
      </c>
      <c r="LE446" s="133">
        <f t="shared" si="977"/>
        <v>2017</v>
      </c>
      <c r="LF446" s="133">
        <f t="shared" si="977"/>
        <v>2018</v>
      </c>
      <c r="LG446" s="133">
        <f t="shared" si="977"/>
        <v>2019</v>
      </c>
      <c r="LH446" s="133">
        <f t="shared" si="977"/>
        <v>2020</v>
      </c>
      <c r="LI446" s="133">
        <f t="shared" si="977"/>
        <v>2021</v>
      </c>
      <c r="LJ446" s="133">
        <f t="shared" si="977"/>
        <v>2022</v>
      </c>
      <c r="LK446" s="133">
        <f t="shared" si="977"/>
        <v>2023</v>
      </c>
      <c r="LL446" s="133">
        <f t="shared" si="977"/>
        <v>2024</v>
      </c>
      <c r="LM446" s="133">
        <f t="shared" si="977"/>
        <v>2025</v>
      </c>
      <c r="LN446" s="133">
        <f t="shared" si="977"/>
        <v>2026</v>
      </c>
      <c r="LO446" s="133">
        <f t="shared" si="977"/>
        <v>2027</v>
      </c>
      <c r="LP446" s="133">
        <f t="shared" si="977"/>
        <v>2028</v>
      </c>
      <c r="LQ446" s="133">
        <f t="shared" si="977"/>
        <v>2029</v>
      </c>
      <c r="LR446" s="133">
        <f t="shared" si="977"/>
        <v>2030</v>
      </c>
      <c r="LS446" s="133">
        <f t="shared" si="977"/>
        <v>2031</v>
      </c>
      <c r="LT446" s="133">
        <f t="shared" si="977"/>
        <v>2032</v>
      </c>
      <c r="LU446" s="133">
        <f t="shared" si="977"/>
        <v>2033</v>
      </c>
      <c r="LV446" s="133">
        <f t="shared" si="977"/>
        <v>2034</v>
      </c>
      <c r="LW446" s="133">
        <f t="shared" si="977"/>
        <v>2035</v>
      </c>
      <c r="LX446" s="133">
        <f t="shared" si="977"/>
        <v>2036</v>
      </c>
      <c r="LY446" s="133">
        <f t="shared" si="977"/>
        <v>2037</v>
      </c>
      <c r="LZ446" s="133">
        <f t="shared" si="977"/>
        <v>2038</v>
      </c>
      <c r="MA446" s="133">
        <f t="shared" si="977"/>
        <v>2039</v>
      </c>
      <c r="MB446" s="133">
        <f t="shared" si="977"/>
        <v>2040</v>
      </c>
      <c r="MC446" s="133">
        <f t="shared" si="977"/>
        <v>2041</v>
      </c>
      <c r="MD446" s="133">
        <f t="shared" ref="MD446:ML446" si="978">MD$1</f>
        <v>2042</v>
      </c>
      <c r="ME446" s="133">
        <f t="shared" si="978"/>
        <v>2043</v>
      </c>
      <c r="MF446" s="133">
        <f t="shared" si="978"/>
        <v>2044</v>
      </c>
      <c r="MG446" s="133">
        <f t="shared" si="978"/>
        <v>2045</v>
      </c>
      <c r="MH446" s="133">
        <f t="shared" si="978"/>
        <v>2046</v>
      </c>
      <c r="MI446" s="133">
        <f t="shared" si="978"/>
        <v>2047</v>
      </c>
      <c r="MJ446" s="133">
        <f t="shared" si="978"/>
        <v>2048</v>
      </c>
      <c r="MK446" s="133">
        <f t="shared" si="978"/>
        <v>2049</v>
      </c>
      <c r="ML446" s="134">
        <f t="shared" si="978"/>
        <v>2050</v>
      </c>
    </row>
    <row r="447" spans="2:350" s="4" customFormat="1" ht="18" customHeight="1" x14ac:dyDescent="0.3">
      <c r="C447" s="136" t="s">
        <v>76</v>
      </c>
      <c r="E447" s="137" t="s">
        <v>219</v>
      </c>
      <c r="F447" s="138" t="s">
        <v>104</v>
      </c>
      <c r="H447" s="174">
        <v>430</v>
      </c>
      <c r="I447" s="175">
        <v>430</v>
      </c>
      <c r="J447" s="175">
        <v>430</v>
      </c>
      <c r="K447" s="175">
        <v>430</v>
      </c>
      <c r="L447" s="175">
        <v>430</v>
      </c>
      <c r="M447" s="176">
        <v>430</v>
      </c>
      <c r="N447" s="140"/>
      <c r="O447" s="140"/>
      <c r="P447" s="140"/>
      <c r="Q447" s="140"/>
      <c r="R447" s="140"/>
      <c r="S447" s="139"/>
      <c r="T447" s="140"/>
      <c r="U447" s="140"/>
      <c r="V447" s="140"/>
      <c r="W447" s="140"/>
      <c r="X447" s="175">
        <v>430</v>
      </c>
      <c r="Y447" s="175">
        <v>430</v>
      </c>
      <c r="Z447" s="175">
        <v>430</v>
      </c>
      <c r="AA447" s="175">
        <v>430</v>
      </c>
      <c r="AB447" s="175">
        <v>430</v>
      </c>
      <c r="AC447" s="175">
        <v>430</v>
      </c>
      <c r="AD447" s="175">
        <v>430</v>
      </c>
      <c r="AE447" s="175">
        <v>430</v>
      </c>
      <c r="AF447" s="175">
        <v>430</v>
      </c>
      <c r="AG447" s="175">
        <v>430</v>
      </c>
      <c r="AH447" s="175">
        <v>430</v>
      </c>
      <c r="AI447" s="175">
        <v>430</v>
      </c>
      <c r="AJ447" s="175">
        <v>430</v>
      </c>
      <c r="AK447" s="175">
        <v>430</v>
      </c>
      <c r="AL447" s="175">
        <v>430</v>
      </c>
      <c r="AM447" s="175">
        <v>430</v>
      </c>
      <c r="AN447" s="175">
        <v>430</v>
      </c>
      <c r="AO447" s="175">
        <v>430</v>
      </c>
      <c r="AP447" s="175">
        <v>430</v>
      </c>
      <c r="AQ447" s="175">
        <v>430</v>
      </c>
      <c r="AR447" s="175">
        <v>430</v>
      </c>
      <c r="AS447" s="175">
        <v>430</v>
      </c>
      <c r="AT447" s="175">
        <v>430</v>
      </c>
      <c r="AU447" s="175">
        <v>430</v>
      </c>
      <c r="AV447" s="175">
        <v>430</v>
      </c>
      <c r="AW447" s="175">
        <v>430</v>
      </c>
      <c r="AX447" s="175">
        <v>430</v>
      </c>
      <c r="AY447" s="175">
        <v>430</v>
      </c>
      <c r="AZ447" s="175">
        <v>430</v>
      </c>
      <c r="BA447" s="175">
        <v>430</v>
      </c>
      <c r="BB447" s="176">
        <v>430</v>
      </c>
      <c r="BC447" s="140"/>
      <c r="BD447" s="139"/>
      <c r="BE447" s="140"/>
      <c r="BF447" s="140"/>
      <c r="BG447" s="140"/>
      <c r="BH447" s="140"/>
      <c r="BI447" s="242">
        <v>430</v>
      </c>
      <c r="BJ447" s="242">
        <v>430</v>
      </c>
      <c r="BK447" s="242">
        <v>430</v>
      </c>
      <c r="BL447" s="242">
        <v>430</v>
      </c>
      <c r="BM447" s="242">
        <v>430</v>
      </c>
      <c r="BN447" s="242">
        <v>430</v>
      </c>
      <c r="BO447" s="242">
        <v>430</v>
      </c>
      <c r="BP447" s="242">
        <v>430</v>
      </c>
      <c r="BQ447" s="242">
        <v>430</v>
      </c>
      <c r="BR447" s="242">
        <v>430</v>
      </c>
      <c r="BS447" s="242">
        <v>430</v>
      </c>
      <c r="BT447" s="242">
        <v>430</v>
      </c>
      <c r="BU447" s="242">
        <v>430</v>
      </c>
      <c r="BV447" s="242">
        <v>430</v>
      </c>
      <c r="BW447" s="242">
        <v>430</v>
      </c>
      <c r="BX447" s="242">
        <v>430</v>
      </c>
      <c r="BY447" s="242">
        <v>430</v>
      </c>
      <c r="BZ447" s="242">
        <v>430</v>
      </c>
      <c r="CA447" s="242">
        <v>430</v>
      </c>
      <c r="CB447" s="242">
        <v>430</v>
      </c>
      <c r="CC447" s="242">
        <v>430</v>
      </c>
      <c r="CD447" s="242">
        <v>430</v>
      </c>
      <c r="CE447" s="242">
        <v>430</v>
      </c>
      <c r="CF447" s="242">
        <v>430</v>
      </c>
      <c r="CG447" s="242">
        <v>430</v>
      </c>
      <c r="CH447" s="242">
        <v>430</v>
      </c>
      <c r="CI447" s="242">
        <v>430</v>
      </c>
      <c r="CJ447" s="242">
        <v>430</v>
      </c>
      <c r="CK447" s="242">
        <v>430</v>
      </c>
      <c r="CL447" s="242">
        <v>430</v>
      </c>
      <c r="CM447" s="243">
        <v>430</v>
      </c>
      <c r="CN447" s="140"/>
      <c r="CO447" s="139"/>
      <c r="CP447" s="140"/>
      <c r="CQ447" s="140"/>
      <c r="CR447" s="140"/>
      <c r="CS447" s="140"/>
      <c r="CT447" s="242">
        <v>430</v>
      </c>
      <c r="CU447" s="242">
        <v>430</v>
      </c>
      <c r="CV447" s="242">
        <v>430</v>
      </c>
      <c r="CW447" s="242">
        <v>430</v>
      </c>
      <c r="CX447" s="242">
        <v>430</v>
      </c>
      <c r="CY447" s="242">
        <v>430</v>
      </c>
      <c r="CZ447" s="242">
        <v>430</v>
      </c>
      <c r="DA447" s="242">
        <v>430</v>
      </c>
      <c r="DB447" s="242">
        <v>430</v>
      </c>
      <c r="DC447" s="242">
        <v>430</v>
      </c>
      <c r="DD447" s="242">
        <v>430</v>
      </c>
      <c r="DE447" s="242">
        <v>430</v>
      </c>
      <c r="DF447" s="242">
        <v>430</v>
      </c>
      <c r="DG447" s="242">
        <v>430</v>
      </c>
      <c r="DH447" s="242">
        <v>430</v>
      </c>
      <c r="DI447" s="242">
        <v>430</v>
      </c>
      <c r="DJ447" s="242">
        <v>430</v>
      </c>
      <c r="DK447" s="242">
        <v>430</v>
      </c>
      <c r="DL447" s="242">
        <v>430</v>
      </c>
      <c r="DM447" s="242">
        <v>430</v>
      </c>
      <c r="DN447" s="242">
        <v>430</v>
      </c>
      <c r="DO447" s="242">
        <v>430</v>
      </c>
      <c r="DP447" s="242">
        <v>430</v>
      </c>
      <c r="DQ447" s="242">
        <v>430</v>
      </c>
      <c r="DR447" s="242">
        <v>430</v>
      </c>
      <c r="DS447" s="242">
        <v>430</v>
      </c>
      <c r="DT447" s="242">
        <v>430</v>
      </c>
      <c r="DU447" s="242">
        <v>430</v>
      </c>
      <c r="DV447" s="242">
        <v>430</v>
      </c>
      <c r="DW447" s="242">
        <v>430</v>
      </c>
      <c r="DX447" s="243">
        <v>430</v>
      </c>
      <c r="DY447" s="140"/>
      <c r="DZ447" s="139"/>
      <c r="EA447" s="140"/>
      <c r="EB447" s="140"/>
      <c r="EC447" s="140"/>
      <c r="ED447" s="140"/>
      <c r="EE447" s="242">
        <v>430</v>
      </c>
      <c r="EF447" s="242">
        <v>430</v>
      </c>
      <c r="EG447" s="242">
        <v>430</v>
      </c>
      <c r="EH447" s="242">
        <v>430</v>
      </c>
      <c r="EI447" s="242">
        <v>430</v>
      </c>
      <c r="EJ447" s="242">
        <v>430</v>
      </c>
      <c r="EK447" s="242">
        <v>430</v>
      </c>
      <c r="EL447" s="242">
        <v>430</v>
      </c>
      <c r="EM447" s="242">
        <v>430</v>
      </c>
      <c r="EN447" s="242">
        <v>430</v>
      </c>
      <c r="EO447" s="242">
        <v>430</v>
      </c>
      <c r="EP447" s="242">
        <v>430</v>
      </c>
      <c r="EQ447" s="242">
        <v>430</v>
      </c>
      <c r="ER447" s="242">
        <v>430</v>
      </c>
      <c r="ES447" s="242">
        <v>430</v>
      </c>
      <c r="ET447" s="242">
        <v>430</v>
      </c>
      <c r="EU447" s="242">
        <v>430</v>
      </c>
      <c r="EV447" s="242">
        <v>430</v>
      </c>
      <c r="EW447" s="242">
        <v>430</v>
      </c>
      <c r="EX447" s="242">
        <v>430</v>
      </c>
      <c r="EY447" s="242">
        <v>430</v>
      </c>
      <c r="EZ447" s="242">
        <v>430</v>
      </c>
      <c r="FA447" s="242">
        <v>430</v>
      </c>
      <c r="FB447" s="242">
        <v>430</v>
      </c>
      <c r="FC447" s="242">
        <v>430</v>
      </c>
      <c r="FD447" s="242">
        <v>430</v>
      </c>
      <c r="FE447" s="242">
        <v>430</v>
      </c>
      <c r="FF447" s="242">
        <v>430</v>
      </c>
      <c r="FG447" s="242">
        <v>430</v>
      </c>
      <c r="FH447" s="242">
        <v>430</v>
      </c>
      <c r="FI447" s="243">
        <v>430</v>
      </c>
      <c r="FJ447" s="140"/>
      <c r="FK447" s="139"/>
      <c r="FL447" s="140"/>
      <c r="FM447" s="140"/>
      <c r="FN447" s="140"/>
      <c r="FO447" s="140"/>
      <c r="FP447" s="242">
        <v>430</v>
      </c>
      <c r="FQ447" s="242">
        <v>430</v>
      </c>
      <c r="FR447" s="242">
        <v>430</v>
      </c>
      <c r="FS447" s="242">
        <v>430</v>
      </c>
      <c r="FT447" s="242">
        <v>430</v>
      </c>
      <c r="FU447" s="242">
        <v>430</v>
      </c>
      <c r="FV447" s="242">
        <v>430</v>
      </c>
      <c r="FW447" s="242">
        <v>430</v>
      </c>
      <c r="FX447" s="242">
        <v>430</v>
      </c>
      <c r="FY447" s="242">
        <v>430</v>
      </c>
      <c r="FZ447" s="242">
        <v>430</v>
      </c>
      <c r="GA447" s="242">
        <v>430</v>
      </c>
      <c r="GB447" s="242">
        <v>430</v>
      </c>
      <c r="GC447" s="242">
        <v>430</v>
      </c>
      <c r="GD447" s="242">
        <v>430</v>
      </c>
      <c r="GE447" s="242">
        <v>430</v>
      </c>
      <c r="GF447" s="242">
        <v>430</v>
      </c>
      <c r="GG447" s="242">
        <v>430</v>
      </c>
      <c r="GH447" s="242">
        <v>430</v>
      </c>
      <c r="GI447" s="242">
        <v>430</v>
      </c>
      <c r="GJ447" s="242">
        <v>430</v>
      </c>
      <c r="GK447" s="242">
        <v>430</v>
      </c>
      <c r="GL447" s="242">
        <v>430</v>
      </c>
      <c r="GM447" s="242">
        <v>430</v>
      </c>
      <c r="GN447" s="242">
        <v>430</v>
      </c>
      <c r="GO447" s="242">
        <v>430</v>
      </c>
      <c r="GP447" s="242">
        <v>430</v>
      </c>
      <c r="GQ447" s="242">
        <v>430</v>
      </c>
      <c r="GR447" s="242">
        <v>430</v>
      </c>
      <c r="GS447" s="242">
        <v>430</v>
      </c>
      <c r="GT447" s="243">
        <v>430</v>
      </c>
      <c r="GU447" s="140"/>
      <c r="GV447" s="139"/>
      <c r="GW447" s="140"/>
      <c r="GX447" s="140"/>
      <c r="GY447" s="140"/>
      <c r="GZ447" s="140"/>
      <c r="HA447" s="242">
        <v>430</v>
      </c>
      <c r="HB447" s="242">
        <v>430</v>
      </c>
      <c r="HC447" s="242">
        <v>430</v>
      </c>
      <c r="HD447" s="242">
        <v>430</v>
      </c>
      <c r="HE447" s="242">
        <v>430</v>
      </c>
      <c r="HF447" s="242">
        <v>430</v>
      </c>
      <c r="HG447" s="242">
        <v>430</v>
      </c>
      <c r="HH447" s="242">
        <v>430</v>
      </c>
      <c r="HI447" s="242">
        <v>430</v>
      </c>
      <c r="HJ447" s="242">
        <v>430</v>
      </c>
      <c r="HK447" s="242">
        <v>430</v>
      </c>
      <c r="HL447" s="242">
        <v>430</v>
      </c>
      <c r="HM447" s="242">
        <v>430</v>
      </c>
      <c r="HN447" s="242">
        <v>430</v>
      </c>
      <c r="HO447" s="242">
        <v>430</v>
      </c>
      <c r="HP447" s="242">
        <v>430</v>
      </c>
      <c r="HQ447" s="242">
        <v>430</v>
      </c>
      <c r="HR447" s="242">
        <v>430</v>
      </c>
      <c r="HS447" s="242">
        <v>430</v>
      </c>
      <c r="HT447" s="242">
        <v>430</v>
      </c>
      <c r="HU447" s="242">
        <v>430</v>
      </c>
      <c r="HV447" s="242">
        <v>430</v>
      </c>
      <c r="HW447" s="242">
        <v>430</v>
      </c>
      <c r="HX447" s="242">
        <v>430</v>
      </c>
      <c r="HY447" s="242">
        <v>430</v>
      </c>
      <c r="HZ447" s="242">
        <v>430</v>
      </c>
      <c r="IA447" s="242">
        <v>430</v>
      </c>
      <c r="IB447" s="242">
        <v>430</v>
      </c>
      <c r="IC447" s="242">
        <v>430</v>
      </c>
      <c r="ID447" s="242">
        <v>430</v>
      </c>
      <c r="IE447" s="243">
        <v>430</v>
      </c>
      <c r="IF447" s="140"/>
      <c r="IG447" s="139"/>
      <c r="IH447" s="140"/>
      <c r="II447" s="140"/>
      <c r="IJ447" s="140"/>
      <c r="IK447" s="140"/>
      <c r="IL447" s="242">
        <v>430</v>
      </c>
      <c r="IM447" s="242">
        <v>430</v>
      </c>
      <c r="IN447" s="242">
        <v>430</v>
      </c>
      <c r="IO447" s="242">
        <v>430</v>
      </c>
      <c r="IP447" s="242">
        <v>430</v>
      </c>
      <c r="IQ447" s="242">
        <v>430</v>
      </c>
      <c r="IR447" s="242">
        <v>430</v>
      </c>
      <c r="IS447" s="242">
        <v>430</v>
      </c>
      <c r="IT447" s="242">
        <v>430</v>
      </c>
      <c r="IU447" s="242">
        <v>430</v>
      </c>
      <c r="IV447" s="242">
        <v>430</v>
      </c>
      <c r="IW447" s="242">
        <v>430</v>
      </c>
      <c r="IX447" s="242">
        <v>430</v>
      </c>
      <c r="IY447" s="242">
        <v>430</v>
      </c>
      <c r="IZ447" s="242">
        <v>430</v>
      </c>
      <c r="JA447" s="242">
        <v>430</v>
      </c>
      <c r="JB447" s="242">
        <v>430</v>
      </c>
      <c r="JC447" s="242">
        <v>430</v>
      </c>
      <c r="JD447" s="242">
        <v>430</v>
      </c>
      <c r="JE447" s="242">
        <v>430</v>
      </c>
      <c r="JF447" s="242">
        <v>430</v>
      </c>
      <c r="JG447" s="242">
        <v>430</v>
      </c>
      <c r="JH447" s="242">
        <v>430</v>
      </c>
      <c r="JI447" s="242">
        <v>430</v>
      </c>
      <c r="JJ447" s="242">
        <v>430</v>
      </c>
      <c r="JK447" s="242">
        <v>430</v>
      </c>
      <c r="JL447" s="242">
        <v>430</v>
      </c>
      <c r="JM447" s="242">
        <v>430</v>
      </c>
      <c r="JN447" s="242">
        <v>430</v>
      </c>
      <c r="JO447" s="242">
        <v>430</v>
      </c>
      <c r="JP447" s="243">
        <v>430</v>
      </c>
      <c r="JQ447" s="140"/>
      <c r="JR447" s="139"/>
      <c r="JS447" s="140"/>
      <c r="JT447" s="140"/>
      <c r="JU447" s="140"/>
      <c r="JV447" s="140"/>
      <c r="JW447" s="242">
        <v>430</v>
      </c>
      <c r="JX447" s="242">
        <v>430</v>
      </c>
      <c r="JY447" s="242">
        <v>430</v>
      </c>
      <c r="JZ447" s="242">
        <v>430</v>
      </c>
      <c r="KA447" s="242">
        <v>430</v>
      </c>
      <c r="KB447" s="242">
        <v>430</v>
      </c>
      <c r="KC447" s="242">
        <v>430</v>
      </c>
      <c r="KD447" s="242">
        <v>430</v>
      </c>
      <c r="KE447" s="242">
        <v>430</v>
      </c>
      <c r="KF447" s="242">
        <v>430</v>
      </c>
      <c r="KG447" s="242">
        <v>430</v>
      </c>
      <c r="KH447" s="242">
        <v>430</v>
      </c>
      <c r="KI447" s="242">
        <v>430</v>
      </c>
      <c r="KJ447" s="242">
        <v>430</v>
      </c>
      <c r="KK447" s="242">
        <v>430</v>
      </c>
      <c r="KL447" s="242">
        <v>430</v>
      </c>
      <c r="KM447" s="242">
        <v>430</v>
      </c>
      <c r="KN447" s="242">
        <v>430</v>
      </c>
      <c r="KO447" s="242">
        <v>430</v>
      </c>
      <c r="KP447" s="242">
        <v>430</v>
      </c>
      <c r="KQ447" s="242">
        <v>430</v>
      </c>
      <c r="KR447" s="242">
        <v>430</v>
      </c>
      <c r="KS447" s="242">
        <v>430</v>
      </c>
      <c r="KT447" s="242">
        <v>430</v>
      </c>
      <c r="KU447" s="242">
        <v>430</v>
      </c>
      <c r="KV447" s="242">
        <v>430</v>
      </c>
      <c r="KW447" s="242">
        <v>430</v>
      </c>
      <c r="KX447" s="242">
        <v>430</v>
      </c>
      <c r="KY447" s="242">
        <v>430</v>
      </c>
      <c r="KZ447" s="242">
        <v>430</v>
      </c>
      <c r="LA447" s="243">
        <v>430</v>
      </c>
      <c r="LB447" s="140"/>
      <c r="LC447" s="139"/>
      <c r="LD447" s="140"/>
      <c r="LE447" s="140"/>
      <c r="LF447" s="140"/>
      <c r="LG447" s="140"/>
      <c r="LH447" s="242">
        <v>430</v>
      </c>
      <c r="LI447" s="242">
        <v>430</v>
      </c>
      <c r="LJ447" s="242">
        <v>430</v>
      </c>
      <c r="LK447" s="242">
        <v>430</v>
      </c>
      <c r="LL447" s="242">
        <v>430</v>
      </c>
      <c r="LM447" s="242">
        <v>430</v>
      </c>
      <c r="LN447" s="242">
        <v>430</v>
      </c>
      <c r="LO447" s="242">
        <v>430</v>
      </c>
      <c r="LP447" s="242">
        <v>430</v>
      </c>
      <c r="LQ447" s="242">
        <v>430</v>
      </c>
      <c r="LR447" s="242">
        <v>430</v>
      </c>
      <c r="LS447" s="242">
        <v>430</v>
      </c>
      <c r="LT447" s="242">
        <v>430</v>
      </c>
      <c r="LU447" s="242">
        <v>430</v>
      </c>
      <c r="LV447" s="242">
        <v>430</v>
      </c>
      <c r="LW447" s="242">
        <v>430</v>
      </c>
      <c r="LX447" s="242">
        <v>430</v>
      </c>
      <c r="LY447" s="242">
        <v>430</v>
      </c>
      <c r="LZ447" s="242">
        <v>430</v>
      </c>
      <c r="MA447" s="242">
        <v>430</v>
      </c>
      <c r="MB447" s="242">
        <v>430</v>
      </c>
      <c r="MC447" s="242">
        <v>430</v>
      </c>
      <c r="MD447" s="242">
        <v>430</v>
      </c>
      <c r="ME447" s="242">
        <v>430</v>
      </c>
      <c r="MF447" s="242">
        <v>430</v>
      </c>
      <c r="MG447" s="242">
        <v>430</v>
      </c>
      <c r="MH447" s="242">
        <v>430</v>
      </c>
      <c r="MI447" s="242">
        <v>430</v>
      </c>
      <c r="MJ447" s="242">
        <v>430</v>
      </c>
      <c r="MK447" s="242">
        <v>430</v>
      </c>
      <c r="ML447" s="243">
        <v>430</v>
      </c>
    </row>
    <row r="448" spans="2:350" s="4" customFormat="1" ht="18" customHeight="1" x14ac:dyDescent="0.3">
      <c r="C448" s="136" t="s">
        <v>77</v>
      </c>
      <c r="E448" s="137" t="s">
        <v>105</v>
      </c>
      <c r="F448" s="147" t="s">
        <v>105</v>
      </c>
      <c r="H448" s="174">
        <v>1193</v>
      </c>
      <c r="I448" s="175">
        <v>1193</v>
      </c>
      <c r="J448" s="175">
        <v>1193</v>
      </c>
      <c r="K448" s="175">
        <v>1193</v>
      </c>
      <c r="L448" s="175">
        <v>1193</v>
      </c>
      <c r="M448" s="176">
        <v>1193</v>
      </c>
      <c r="N448" s="140"/>
      <c r="O448" s="140"/>
      <c r="P448" s="140"/>
      <c r="Q448" s="140"/>
      <c r="R448" s="140"/>
      <c r="S448" s="139"/>
      <c r="T448" s="140"/>
      <c r="U448" s="140"/>
      <c r="V448" s="140"/>
      <c r="W448" s="140"/>
      <c r="X448" s="175">
        <v>1193</v>
      </c>
      <c r="Y448" s="175">
        <v>1193</v>
      </c>
      <c r="Z448" s="175">
        <v>1193</v>
      </c>
      <c r="AA448" s="175">
        <v>1193</v>
      </c>
      <c r="AB448" s="175">
        <v>1193</v>
      </c>
      <c r="AC448" s="175">
        <v>1193</v>
      </c>
      <c r="AD448" s="175">
        <v>1193</v>
      </c>
      <c r="AE448" s="175">
        <v>1193</v>
      </c>
      <c r="AF448" s="175">
        <v>1193</v>
      </c>
      <c r="AG448" s="175">
        <v>1193</v>
      </c>
      <c r="AH448" s="175">
        <v>1193</v>
      </c>
      <c r="AI448" s="175">
        <v>1193</v>
      </c>
      <c r="AJ448" s="175">
        <v>1193</v>
      </c>
      <c r="AK448" s="175">
        <v>1193</v>
      </c>
      <c r="AL448" s="175">
        <v>1193</v>
      </c>
      <c r="AM448" s="175">
        <v>1193</v>
      </c>
      <c r="AN448" s="175">
        <v>1193</v>
      </c>
      <c r="AO448" s="175">
        <v>1193</v>
      </c>
      <c r="AP448" s="175">
        <v>1193</v>
      </c>
      <c r="AQ448" s="175">
        <v>1193</v>
      </c>
      <c r="AR448" s="175">
        <v>1193</v>
      </c>
      <c r="AS448" s="175">
        <v>1193</v>
      </c>
      <c r="AT448" s="175">
        <v>1193</v>
      </c>
      <c r="AU448" s="175">
        <v>1193</v>
      </c>
      <c r="AV448" s="175">
        <v>1193</v>
      </c>
      <c r="AW448" s="175">
        <v>1193</v>
      </c>
      <c r="AX448" s="175">
        <v>1193</v>
      </c>
      <c r="AY448" s="175">
        <v>1193</v>
      </c>
      <c r="AZ448" s="175">
        <v>1193</v>
      </c>
      <c r="BA448" s="175">
        <v>1193</v>
      </c>
      <c r="BB448" s="176">
        <v>1193</v>
      </c>
      <c r="BC448" s="140"/>
      <c r="BD448" s="139"/>
      <c r="BE448" s="140"/>
      <c r="BF448" s="140"/>
      <c r="BG448" s="140"/>
      <c r="BH448" s="140"/>
      <c r="BI448" s="242">
        <v>1193</v>
      </c>
      <c r="BJ448" s="242">
        <v>1193</v>
      </c>
      <c r="BK448" s="242">
        <v>1193</v>
      </c>
      <c r="BL448" s="242">
        <v>1193</v>
      </c>
      <c r="BM448" s="242">
        <v>1193</v>
      </c>
      <c r="BN448" s="242">
        <v>1193</v>
      </c>
      <c r="BO448" s="242">
        <v>1193</v>
      </c>
      <c r="BP448" s="242">
        <v>1193</v>
      </c>
      <c r="BQ448" s="242">
        <v>1193</v>
      </c>
      <c r="BR448" s="242">
        <v>1193</v>
      </c>
      <c r="BS448" s="242">
        <v>1193</v>
      </c>
      <c r="BT448" s="242">
        <v>1193</v>
      </c>
      <c r="BU448" s="242">
        <v>1193</v>
      </c>
      <c r="BV448" s="242">
        <v>1193</v>
      </c>
      <c r="BW448" s="242">
        <v>1193</v>
      </c>
      <c r="BX448" s="242">
        <v>1193</v>
      </c>
      <c r="BY448" s="242">
        <v>1193</v>
      </c>
      <c r="BZ448" s="242">
        <v>1193</v>
      </c>
      <c r="CA448" s="242">
        <v>1193</v>
      </c>
      <c r="CB448" s="242">
        <v>1193</v>
      </c>
      <c r="CC448" s="242">
        <v>1193</v>
      </c>
      <c r="CD448" s="242">
        <v>1193</v>
      </c>
      <c r="CE448" s="242">
        <v>1193</v>
      </c>
      <c r="CF448" s="242">
        <v>1193</v>
      </c>
      <c r="CG448" s="242">
        <v>1193</v>
      </c>
      <c r="CH448" s="242">
        <v>1193</v>
      </c>
      <c r="CI448" s="242">
        <v>1193</v>
      </c>
      <c r="CJ448" s="242">
        <v>1193</v>
      </c>
      <c r="CK448" s="242">
        <v>1193</v>
      </c>
      <c r="CL448" s="242">
        <v>1193</v>
      </c>
      <c r="CM448" s="145">
        <v>1193</v>
      </c>
      <c r="CN448" s="140"/>
      <c r="CO448" s="139"/>
      <c r="CP448" s="140"/>
      <c r="CQ448" s="140"/>
      <c r="CR448" s="140"/>
      <c r="CS448" s="140"/>
      <c r="CT448" s="242">
        <v>1193</v>
      </c>
      <c r="CU448" s="242">
        <v>1193</v>
      </c>
      <c r="CV448" s="242">
        <v>1193</v>
      </c>
      <c r="CW448" s="242">
        <v>1193</v>
      </c>
      <c r="CX448" s="242">
        <v>1193</v>
      </c>
      <c r="CY448" s="242">
        <v>1193</v>
      </c>
      <c r="CZ448" s="242">
        <v>1193</v>
      </c>
      <c r="DA448" s="242">
        <v>1193</v>
      </c>
      <c r="DB448" s="242">
        <v>1193</v>
      </c>
      <c r="DC448" s="242">
        <v>1193</v>
      </c>
      <c r="DD448" s="242">
        <v>1193</v>
      </c>
      <c r="DE448" s="242">
        <v>1193</v>
      </c>
      <c r="DF448" s="242">
        <v>1193</v>
      </c>
      <c r="DG448" s="242">
        <v>1193</v>
      </c>
      <c r="DH448" s="242">
        <v>1193</v>
      </c>
      <c r="DI448" s="242">
        <v>1193</v>
      </c>
      <c r="DJ448" s="242">
        <v>1193</v>
      </c>
      <c r="DK448" s="242">
        <v>1193</v>
      </c>
      <c r="DL448" s="242">
        <v>1193</v>
      </c>
      <c r="DM448" s="242">
        <v>1193</v>
      </c>
      <c r="DN448" s="242">
        <v>1193</v>
      </c>
      <c r="DO448" s="242">
        <v>1193</v>
      </c>
      <c r="DP448" s="242">
        <v>1193</v>
      </c>
      <c r="DQ448" s="242">
        <v>1193</v>
      </c>
      <c r="DR448" s="242">
        <v>1193</v>
      </c>
      <c r="DS448" s="242">
        <v>1193</v>
      </c>
      <c r="DT448" s="242">
        <v>1193</v>
      </c>
      <c r="DU448" s="242">
        <v>1193</v>
      </c>
      <c r="DV448" s="242">
        <v>1193</v>
      </c>
      <c r="DW448" s="242">
        <v>1193</v>
      </c>
      <c r="DX448" s="145">
        <v>1193</v>
      </c>
      <c r="DY448" s="140"/>
      <c r="DZ448" s="139"/>
      <c r="EA448" s="140"/>
      <c r="EB448" s="140"/>
      <c r="EC448" s="140"/>
      <c r="ED448" s="140"/>
      <c r="EE448" s="242">
        <v>1193</v>
      </c>
      <c r="EF448" s="242">
        <v>1193</v>
      </c>
      <c r="EG448" s="242">
        <v>1193</v>
      </c>
      <c r="EH448" s="242">
        <v>1193</v>
      </c>
      <c r="EI448" s="242">
        <v>1193</v>
      </c>
      <c r="EJ448" s="242">
        <v>1193</v>
      </c>
      <c r="EK448" s="242">
        <v>1193</v>
      </c>
      <c r="EL448" s="242">
        <v>1193</v>
      </c>
      <c r="EM448" s="242">
        <v>1193</v>
      </c>
      <c r="EN448" s="242">
        <v>1193</v>
      </c>
      <c r="EO448" s="242">
        <v>1193</v>
      </c>
      <c r="EP448" s="242">
        <v>1193</v>
      </c>
      <c r="EQ448" s="242">
        <v>1193</v>
      </c>
      <c r="ER448" s="242">
        <v>1193</v>
      </c>
      <c r="ES448" s="242">
        <v>1193</v>
      </c>
      <c r="ET448" s="242">
        <v>1193</v>
      </c>
      <c r="EU448" s="242">
        <v>1193</v>
      </c>
      <c r="EV448" s="242">
        <v>1193</v>
      </c>
      <c r="EW448" s="242">
        <v>1193</v>
      </c>
      <c r="EX448" s="242">
        <v>1193</v>
      </c>
      <c r="EY448" s="242">
        <v>1193</v>
      </c>
      <c r="EZ448" s="242">
        <v>1193</v>
      </c>
      <c r="FA448" s="242">
        <v>1193</v>
      </c>
      <c r="FB448" s="242">
        <v>1193</v>
      </c>
      <c r="FC448" s="242">
        <v>1193</v>
      </c>
      <c r="FD448" s="242">
        <v>1193</v>
      </c>
      <c r="FE448" s="242">
        <v>1193</v>
      </c>
      <c r="FF448" s="242">
        <v>1193</v>
      </c>
      <c r="FG448" s="242">
        <v>1193</v>
      </c>
      <c r="FH448" s="242">
        <v>1193</v>
      </c>
      <c r="FI448" s="145">
        <v>1193</v>
      </c>
      <c r="FJ448" s="140"/>
      <c r="FK448" s="139"/>
      <c r="FL448" s="140"/>
      <c r="FM448" s="140"/>
      <c r="FN448" s="140"/>
      <c r="FO448" s="140"/>
      <c r="FP448" s="242">
        <v>1193</v>
      </c>
      <c r="FQ448" s="242">
        <v>1193</v>
      </c>
      <c r="FR448" s="242">
        <v>1193</v>
      </c>
      <c r="FS448" s="242">
        <v>1193</v>
      </c>
      <c r="FT448" s="242">
        <v>1193</v>
      </c>
      <c r="FU448" s="242">
        <v>1193</v>
      </c>
      <c r="FV448" s="242">
        <v>1193</v>
      </c>
      <c r="FW448" s="242">
        <v>1193</v>
      </c>
      <c r="FX448" s="242">
        <v>1193</v>
      </c>
      <c r="FY448" s="242">
        <v>1193</v>
      </c>
      <c r="FZ448" s="242">
        <v>1193</v>
      </c>
      <c r="GA448" s="242">
        <v>1193</v>
      </c>
      <c r="GB448" s="242">
        <v>1193</v>
      </c>
      <c r="GC448" s="242">
        <v>1193</v>
      </c>
      <c r="GD448" s="242">
        <v>1193</v>
      </c>
      <c r="GE448" s="242">
        <v>1193</v>
      </c>
      <c r="GF448" s="242">
        <v>1193</v>
      </c>
      <c r="GG448" s="242">
        <v>1193</v>
      </c>
      <c r="GH448" s="242">
        <v>1193</v>
      </c>
      <c r="GI448" s="242">
        <v>1193</v>
      </c>
      <c r="GJ448" s="242">
        <v>1193</v>
      </c>
      <c r="GK448" s="242">
        <v>1193</v>
      </c>
      <c r="GL448" s="242">
        <v>1193</v>
      </c>
      <c r="GM448" s="242">
        <v>1193</v>
      </c>
      <c r="GN448" s="242">
        <v>1193</v>
      </c>
      <c r="GO448" s="242">
        <v>1193</v>
      </c>
      <c r="GP448" s="242">
        <v>1193</v>
      </c>
      <c r="GQ448" s="242">
        <v>1193</v>
      </c>
      <c r="GR448" s="242">
        <v>1193</v>
      </c>
      <c r="GS448" s="242">
        <v>1193</v>
      </c>
      <c r="GT448" s="145">
        <v>1193</v>
      </c>
      <c r="GU448" s="140"/>
      <c r="GV448" s="139"/>
      <c r="GW448" s="140"/>
      <c r="GX448" s="140"/>
      <c r="GY448" s="140"/>
      <c r="GZ448" s="140"/>
      <c r="HA448" s="242">
        <v>1193</v>
      </c>
      <c r="HB448" s="242">
        <v>1193</v>
      </c>
      <c r="HC448" s="242">
        <v>1193</v>
      </c>
      <c r="HD448" s="242">
        <v>1193</v>
      </c>
      <c r="HE448" s="242">
        <v>1193</v>
      </c>
      <c r="HF448" s="242">
        <v>1193</v>
      </c>
      <c r="HG448" s="242">
        <v>1193</v>
      </c>
      <c r="HH448" s="242">
        <v>1193</v>
      </c>
      <c r="HI448" s="242">
        <v>1193</v>
      </c>
      <c r="HJ448" s="242">
        <v>1193</v>
      </c>
      <c r="HK448" s="242">
        <v>1193</v>
      </c>
      <c r="HL448" s="242">
        <v>1193</v>
      </c>
      <c r="HM448" s="242">
        <v>1193</v>
      </c>
      <c r="HN448" s="242">
        <v>1193</v>
      </c>
      <c r="HO448" s="242">
        <v>1193</v>
      </c>
      <c r="HP448" s="242">
        <v>1193</v>
      </c>
      <c r="HQ448" s="242">
        <v>1193</v>
      </c>
      <c r="HR448" s="242">
        <v>1193</v>
      </c>
      <c r="HS448" s="242">
        <v>1193</v>
      </c>
      <c r="HT448" s="242">
        <v>1193</v>
      </c>
      <c r="HU448" s="242">
        <v>1193</v>
      </c>
      <c r="HV448" s="242">
        <v>1193</v>
      </c>
      <c r="HW448" s="242">
        <v>1193</v>
      </c>
      <c r="HX448" s="242">
        <v>1193</v>
      </c>
      <c r="HY448" s="242">
        <v>1193</v>
      </c>
      <c r="HZ448" s="242">
        <v>1193</v>
      </c>
      <c r="IA448" s="242">
        <v>1193</v>
      </c>
      <c r="IB448" s="242">
        <v>1193</v>
      </c>
      <c r="IC448" s="242">
        <v>1193</v>
      </c>
      <c r="ID448" s="242">
        <v>1193</v>
      </c>
      <c r="IE448" s="145">
        <v>1193</v>
      </c>
      <c r="IF448" s="140"/>
      <c r="IG448" s="139"/>
      <c r="IH448" s="140"/>
      <c r="II448" s="140"/>
      <c r="IJ448" s="140"/>
      <c r="IK448" s="140"/>
      <c r="IL448" s="242">
        <v>1193</v>
      </c>
      <c r="IM448" s="242">
        <v>1193</v>
      </c>
      <c r="IN448" s="242">
        <v>1193</v>
      </c>
      <c r="IO448" s="242">
        <v>1193</v>
      </c>
      <c r="IP448" s="242">
        <v>1193</v>
      </c>
      <c r="IQ448" s="242">
        <v>1193</v>
      </c>
      <c r="IR448" s="242">
        <v>1193</v>
      </c>
      <c r="IS448" s="242">
        <v>1193</v>
      </c>
      <c r="IT448" s="242">
        <v>1193</v>
      </c>
      <c r="IU448" s="242">
        <v>1193</v>
      </c>
      <c r="IV448" s="242">
        <v>1193</v>
      </c>
      <c r="IW448" s="242">
        <v>1193</v>
      </c>
      <c r="IX448" s="242">
        <v>1193</v>
      </c>
      <c r="IY448" s="242">
        <v>1193</v>
      </c>
      <c r="IZ448" s="242">
        <v>1193</v>
      </c>
      <c r="JA448" s="242">
        <v>1193</v>
      </c>
      <c r="JB448" s="242">
        <v>1193</v>
      </c>
      <c r="JC448" s="242">
        <v>1193</v>
      </c>
      <c r="JD448" s="242">
        <v>1193</v>
      </c>
      <c r="JE448" s="242">
        <v>1193</v>
      </c>
      <c r="JF448" s="242">
        <v>1193</v>
      </c>
      <c r="JG448" s="242">
        <v>1193</v>
      </c>
      <c r="JH448" s="242">
        <v>1193</v>
      </c>
      <c r="JI448" s="242">
        <v>1193</v>
      </c>
      <c r="JJ448" s="242">
        <v>1193</v>
      </c>
      <c r="JK448" s="242">
        <v>1193</v>
      </c>
      <c r="JL448" s="242">
        <v>1193</v>
      </c>
      <c r="JM448" s="242">
        <v>1193</v>
      </c>
      <c r="JN448" s="242">
        <v>1193</v>
      </c>
      <c r="JO448" s="242">
        <v>1193</v>
      </c>
      <c r="JP448" s="145">
        <v>1193</v>
      </c>
      <c r="JQ448" s="140"/>
      <c r="JR448" s="139"/>
      <c r="JS448" s="140"/>
      <c r="JT448" s="140"/>
      <c r="JU448" s="140"/>
      <c r="JV448" s="140"/>
      <c r="JW448" s="242">
        <v>1193</v>
      </c>
      <c r="JX448" s="242">
        <v>1193</v>
      </c>
      <c r="JY448" s="242">
        <v>1193</v>
      </c>
      <c r="JZ448" s="242">
        <v>1193</v>
      </c>
      <c r="KA448" s="242">
        <v>1193</v>
      </c>
      <c r="KB448" s="242">
        <v>1193</v>
      </c>
      <c r="KC448" s="242">
        <v>1193</v>
      </c>
      <c r="KD448" s="242">
        <v>1193</v>
      </c>
      <c r="KE448" s="242">
        <v>1193</v>
      </c>
      <c r="KF448" s="242">
        <v>1193</v>
      </c>
      <c r="KG448" s="242">
        <v>1193</v>
      </c>
      <c r="KH448" s="242">
        <v>1193</v>
      </c>
      <c r="KI448" s="242">
        <v>1193</v>
      </c>
      <c r="KJ448" s="242">
        <v>1193</v>
      </c>
      <c r="KK448" s="242">
        <v>1193</v>
      </c>
      <c r="KL448" s="242">
        <v>1193</v>
      </c>
      <c r="KM448" s="242">
        <v>1193</v>
      </c>
      <c r="KN448" s="242">
        <v>1193</v>
      </c>
      <c r="KO448" s="242">
        <v>1193</v>
      </c>
      <c r="KP448" s="242">
        <v>1193</v>
      </c>
      <c r="KQ448" s="242">
        <v>1193</v>
      </c>
      <c r="KR448" s="242">
        <v>1193</v>
      </c>
      <c r="KS448" s="242">
        <v>1193</v>
      </c>
      <c r="KT448" s="242">
        <v>1193</v>
      </c>
      <c r="KU448" s="242">
        <v>1193</v>
      </c>
      <c r="KV448" s="242">
        <v>1193</v>
      </c>
      <c r="KW448" s="242">
        <v>1193</v>
      </c>
      <c r="KX448" s="242">
        <v>1193</v>
      </c>
      <c r="KY448" s="242">
        <v>1193</v>
      </c>
      <c r="KZ448" s="242">
        <v>1193</v>
      </c>
      <c r="LA448" s="145">
        <v>1193</v>
      </c>
      <c r="LB448" s="140"/>
      <c r="LC448" s="139"/>
      <c r="LD448" s="140"/>
      <c r="LE448" s="140"/>
      <c r="LF448" s="140"/>
      <c r="LG448" s="140"/>
      <c r="LH448" s="242">
        <v>1193</v>
      </c>
      <c r="LI448" s="242">
        <v>1193</v>
      </c>
      <c r="LJ448" s="242">
        <v>1193</v>
      </c>
      <c r="LK448" s="242">
        <v>1193</v>
      </c>
      <c r="LL448" s="242">
        <v>1193</v>
      </c>
      <c r="LM448" s="242">
        <v>1193</v>
      </c>
      <c r="LN448" s="242">
        <v>1193</v>
      </c>
      <c r="LO448" s="242">
        <v>1193</v>
      </c>
      <c r="LP448" s="242">
        <v>1193</v>
      </c>
      <c r="LQ448" s="242">
        <v>1193</v>
      </c>
      <c r="LR448" s="242">
        <v>1193</v>
      </c>
      <c r="LS448" s="242">
        <v>1193</v>
      </c>
      <c r="LT448" s="242">
        <v>1193</v>
      </c>
      <c r="LU448" s="242">
        <v>1193</v>
      </c>
      <c r="LV448" s="242">
        <v>1193</v>
      </c>
      <c r="LW448" s="242">
        <v>1193</v>
      </c>
      <c r="LX448" s="242">
        <v>1193</v>
      </c>
      <c r="LY448" s="242">
        <v>1193</v>
      </c>
      <c r="LZ448" s="242">
        <v>1193</v>
      </c>
      <c r="MA448" s="242">
        <v>1193</v>
      </c>
      <c r="MB448" s="242">
        <v>1193</v>
      </c>
      <c r="MC448" s="242">
        <v>1193</v>
      </c>
      <c r="MD448" s="242">
        <v>1193</v>
      </c>
      <c r="ME448" s="242">
        <v>1193</v>
      </c>
      <c r="MF448" s="242">
        <v>1193</v>
      </c>
      <c r="MG448" s="242">
        <v>1193</v>
      </c>
      <c r="MH448" s="242">
        <v>1193</v>
      </c>
      <c r="MI448" s="242">
        <v>1193</v>
      </c>
      <c r="MJ448" s="242">
        <v>1193</v>
      </c>
      <c r="MK448" s="242">
        <v>1193</v>
      </c>
      <c r="ML448" s="145">
        <v>1193</v>
      </c>
    </row>
    <row r="449" spans="2:350" s="4" customFormat="1" ht="18" customHeight="1" x14ac:dyDescent="0.3">
      <c r="C449" s="136" t="s">
        <v>78</v>
      </c>
      <c r="E449" s="137" t="s">
        <v>105</v>
      </c>
      <c r="F449" s="138" t="s">
        <v>105</v>
      </c>
      <c r="H449" s="174">
        <v>388</v>
      </c>
      <c r="I449" s="175">
        <v>388</v>
      </c>
      <c r="J449" s="175">
        <v>388</v>
      </c>
      <c r="K449" s="175">
        <v>388</v>
      </c>
      <c r="L449" s="175">
        <v>388</v>
      </c>
      <c r="M449" s="176">
        <v>388</v>
      </c>
      <c r="N449" s="140"/>
      <c r="O449" s="140"/>
      <c r="P449" s="140"/>
      <c r="Q449" s="140"/>
      <c r="R449" s="140"/>
      <c r="S449" s="139"/>
      <c r="T449" s="140"/>
      <c r="U449" s="140"/>
      <c r="V449" s="140"/>
      <c r="W449" s="140"/>
      <c r="X449" s="175">
        <v>388</v>
      </c>
      <c r="Y449" s="175">
        <v>388</v>
      </c>
      <c r="Z449" s="175">
        <v>388</v>
      </c>
      <c r="AA449" s="175">
        <v>388</v>
      </c>
      <c r="AB449" s="175">
        <v>388</v>
      </c>
      <c r="AC449" s="175">
        <v>388</v>
      </c>
      <c r="AD449" s="175">
        <v>388</v>
      </c>
      <c r="AE449" s="175">
        <v>388</v>
      </c>
      <c r="AF449" s="175">
        <v>388</v>
      </c>
      <c r="AG449" s="175">
        <v>388</v>
      </c>
      <c r="AH449" s="175">
        <v>388</v>
      </c>
      <c r="AI449" s="175">
        <v>388</v>
      </c>
      <c r="AJ449" s="175">
        <v>388</v>
      </c>
      <c r="AK449" s="175">
        <v>388</v>
      </c>
      <c r="AL449" s="175">
        <v>388</v>
      </c>
      <c r="AM449" s="175">
        <v>388</v>
      </c>
      <c r="AN449" s="175">
        <v>388</v>
      </c>
      <c r="AO449" s="175">
        <v>388</v>
      </c>
      <c r="AP449" s="175">
        <v>388</v>
      </c>
      <c r="AQ449" s="175">
        <v>388</v>
      </c>
      <c r="AR449" s="175">
        <v>388</v>
      </c>
      <c r="AS449" s="175">
        <v>388</v>
      </c>
      <c r="AT449" s="175">
        <v>388</v>
      </c>
      <c r="AU449" s="175">
        <v>388</v>
      </c>
      <c r="AV449" s="175">
        <v>388</v>
      </c>
      <c r="AW449" s="175">
        <v>388</v>
      </c>
      <c r="AX449" s="175">
        <v>388</v>
      </c>
      <c r="AY449" s="175">
        <v>388</v>
      </c>
      <c r="AZ449" s="175">
        <v>388</v>
      </c>
      <c r="BA449" s="175">
        <v>388</v>
      </c>
      <c r="BB449" s="176">
        <v>388</v>
      </c>
      <c r="BC449" s="140"/>
      <c r="BD449" s="139"/>
      <c r="BE449" s="140"/>
      <c r="BF449" s="140"/>
      <c r="BG449" s="140"/>
      <c r="BH449" s="140"/>
      <c r="BI449" s="242">
        <v>388</v>
      </c>
      <c r="BJ449" s="242">
        <v>388</v>
      </c>
      <c r="BK449" s="242">
        <v>388</v>
      </c>
      <c r="BL449" s="242">
        <v>388</v>
      </c>
      <c r="BM449" s="242">
        <v>388</v>
      </c>
      <c r="BN449" s="242">
        <v>388</v>
      </c>
      <c r="BO449" s="242">
        <v>388</v>
      </c>
      <c r="BP449" s="242">
        <v>388</v>
      </c>
      <c r="BQ449" s="242">
        <v>388</v>
      </c>
      <c r="BR449" s="242">
        <v>388</v>
      </c>
      <c r="BS449" s="242">
        <v>388</v>
      </c>
      <c r="BT449" s="242">
        <v>388</v>
      </c>
      <c r="BU449" s="242">
        <v>388</v>
      </c>
      <c r="BV449" s="242">
        <v>388</v>
      </c>
      <c r="BW449" s="242">
        <v>388</v>
      </c>
      <c r="BX449" s="242">
        <v>388</v>
      </c>
      <c r="BY449" s="242">
        <v>388</v>
      </c>
      <c r="BZ449" s="242">
        <v>388</v>
      </c>
      <c r="CA449" s="242">
        <v>388</v>
      </c>
      <c r="CB449" s="242">
        <v>388</v>
      </c>
      <c r="CC449" s="242">
        <v>388</v>
      </c>
      <c r="CD449" s="242">
        <v>388</v>
      </c>
      <c r="CE449" s="242">
        <v>388</v>
      </c>
      <c r="CF449" s="242">
        <v>388</v>
      </c>
      <c r="CG449" s="242">
        <v>388</v>
      </c>
      <c r="CH449" s="242">
        <v>388</v>
      </c>
      <c r="CI449" s="242">
        <v>388</v>
      </c>
      <c r="CJ449" s="242">
        <v>388</v>
      </c>
      <c r="CK449" s="242">
        <v>388</v>
      </c>
      <c r="CL449" s="242">
        <v>388</v>
      </c>
      <c r="CM449" s="145">
        <v>388</v>
      </c>
      <c r="CN449" s="140"/>
      <c r="CO449" s="139"/>
      <c r="CP449" s="140"/>
      <c r="CQ449" s="140"/>
      <c r="CR449" s="140"/>
      <c r="CS449" s="140"/>
      <c r="CT449" s="242">
        <v>388</v>
      </c>
      <c r="CU449" s="242">
        <v>388</v>
      </c>
      <c r="CV449" s="242">
        <v>388</v>
      </c>
      <c r="CW449" s="242">
        <v>388</v>
      </c>
      <c r="CX449" s="242">
        <v>388</v>
      </c>
      <c r="CY449" s="242">
        <v>388</v>
      </c>
      <c r="CZ449" s="242">
        <v>388</v>
      </c>
      <c r="DA449" s="242">
        <v>388</v>
      </c>
      <c r="DB449" s="242">
        <v>388</v>
      </c>
      <c r="DC449" s="242">
        <v>388</v>
      </c>
      <c r="DD449" s="242">
        <v>388</v>
      </c>
      <c r="DE449" s="242">
        <v>388</v>
      </c>
      <c r="DF449" s="242">
        <v>388</v>
      </c>
      <c r="DG449" s="242">
        <v>388</v>
      </c>
      <c r="DH449" s="242">
        <v>388</v>
      </c>
      <c r="DI449" s="242">
        <v>388</v>
      </c>
      <c r="DJ449" s="242">
        <v>388</v>
      </c>
      <c r="DK449" s="242">
        <v>388</v>
      </c>
      <c r="DL449" s="242">
        <v>388</v>
      </c>
      <c r="DM449" s="242">
        <v>388</v>
      </c>
      <c r="DN449" s="242">
        <v>388</v>
      </c>
      <c r="DO449" s="242">
        <v>388</v>
      </c>
      <c r="DP449" s="242">
        <v>388</v>
      </c>
      <c r="DQ449" s="242">
        <v>388</v>
      </c>
      <c r="DR449" s="242">
        <v>388</v>
      </c>
      <c r="DS449" s="242">
        <v>388</v>
      </c>
      <c r="DT449" s="242">
        <v>388</v>
      </c>
      <c r="DU449" s="242">
        <v>388</v>
      </c>
      <c r="DV449" s="242">
        <v>388</v>
      </c>
      <c r="DW449" s="242">
        <v>388</v>
      </c>
      <c r="DX449" s="145">
        <v>388</v>
      </c>
      <c r="DY449" s="140"/>
      <c r="DZ449" s="139"/>
      <c r="EA449" s="140"/>
      <c r="EB449" s="140"/>
      <c r="EC449" s="140"/>
      <c r="ED449" s="140"/>
      <c r="EE449" s="242">
        <v>388</v>
      </c>
      <c r="EF449" s="242">
        <v>388</v>
      </c>
      <c r="EG449" s="242">
        <v>388</v>
      </c>
      <c r="EH449" s="242">
        <v>388</v>
      </c>
      <c r="EI449" s="242">
        <v>388</v>
      </c>
      <c r="EJ449" s="242">
        <v>388</v>
      </c>
      <c r="EK449" s="242">
        <v>388</v>
      </c>
      <c r="EL449" s="242">
        <v>388</v>
      </c>
      <c r="EM449" s="242">
        <v>388</v>
      </c>
      <c r="EN449" s="242">
        <v>388</v>
      </c>
      <c r="EO449" s="242">
        <v>388</v>
      </c>
      <c r="EP449" s="242">
        <v>388</v>
      </c>
      <c r="EQ449" s="242">
        <v>388</v>
      </c>
      <c r="ER449" s="242">
        <v>388</v>
      </c>
      <c r="ES449" s="242">
        <v>388</v>
      </c>
      <c r="ET449" s="242">
        <v>388</v>
      </c>
      <c r="EU449" s="242">
        <v>388</v>
      </c>
      <c r="EV449" s="242">
        <v>388</v>
      </c>
      <c r="EW449" s="242">
        <v>388</v>
      </c>
      <c r="EX449" s="242">
        <v>388</v>
      </c>
      <c r="EY449" s="242">
        <v>388</v>
      </c>
      <c r="EZ449" s="242">
        <v>388</v>
      </c>
      <c r="FA449" s="242">
        <v>388</v>
      </c>
      <c r="FB449" s="242">
        <v>388</v>
      </c>
      <c r="FC449" s="242">
        <v>388</v>
      </c>
      <c r="FD449" s="242">
        <v>388</v>
      </c>
      <c r="FE449" s="242">
        <v>388</v>
      </c>
      <c r="FF449" s="242">
        <v>388</v>
      </c>
      <c r="FG449" s="242">
        <v>388</v>
      </c>
      <c r="FH449" s="242">
        <v>388</v>
      </c>
      <c r="FI449" s="145">
        <v>388</v>
      </c>
      <c r="FJ449" s="140"/>
      <c r="FK449" s="139"/>
      <c r="FL449" s="140"/>
      <c r="FM449" s="140"/>
      <c r="FN449" s="140"/>
      <c r="FO449" s="140"/>
      <c r="FP449" s="242">
        <v>388</v>
      </c>
      <c r="FQ449" s="242">
        <v>388</v>
      </c>
      <c r="FR449" s="242">
        <v>388</v>
      </c>
      <c r="FS449" s="242">
        <v>388</v>
      </c>
      <c r="FT449" s="242">
        <v>388</v>
      </c>
      <c r="FU449" s="242">
        <v>388</v>
      </c>
      <c r="FV449" s="242">
        <v>388</v>
      </c>
      <c r="FW449" s="242">
        <v>388</v>
      </c>
      <c r="FX449" s="242">
        <v>388</v>
      </c>
      <c r="FY449" s="242">
        <v>388</v>
      </c>
      <c r="FZ449" s="242">
        <v>388</v>
      </c>
      <c r="GA449" s="242">
        <v>388</v>
      </c>
      <c r="GB449" s="242">
        <v>388</v>
      </c>
      <c r="GC449" s="242">
        <v>388</v>
      </c>
      <c r="GD449" s="242">
        <v>388</v>
      </c>
      <c r="GE449" s="242">
        <v>388</v>
      </c>
      <c r="GF449" s="242">
        <v>388</v>
      </c>
      <c r="GG449" s="242">
        <v>388</v>
      </c>
      <c r="GH449" s="242">
        <v>388</v>
      </c>
      <c r="GI449" s="242">
        <v>388</v>
      </c>
      <c r="GJ449" s="242">
        <v>388</v>
      </c>
      <c r="GK449" s="242">
        <v>388</v>
      </c>
      <c r="GL449" s="242">
        <v>388</v>
      </c>
      <c r="GM449" s="242">
        <v>388</v>
      </c>
      <c r="GN449" s="242">
        <v>388</v>
      </c>
      <c r="GO449" s="242">
        <v>388</v>
      </c>
      <c r="GP449" s="242">
        <v>388</v>
      </c>
      <c r="GQ449" s="242">
        <v>388</v>
      </c>
      <c r="GR449" s="242">
        <v>388</v>
      </c>
      <c r="GS449" s="242">
        <v>388</v>
      </c>
      <c r="GT449" s="145">
        <v>388</v>
      </c>
      <c r="GU449" s="140"/>
      <c r="GV449" s="139"/>
      <c r="GW449" s="140"/>
      <c r="GX449" s="140"/>
      <c r="GY449" s="140"/>
      <c r="GZ449" s="140"/>
      <c r="HA449" s="242">
        <v>388</v>
      </c>
      <c r="HB449" s="242">
        <v>388</v>
      </c>
      <c r="HC449" s="242">
        <v>388</v>
      </c>
      <c r="HD449" s="242">
        <v>388</v>
      </c>
      <c r="HE449" s="242">
        <v>388</v>
      </c>
      <c r="HF449" s="242">
        <v>388</v>
      </c>
      <c r="HG449" s="242">
        <v>388</v>
      </c>
      <c r="HH449" s="242">
        <v>388</v>
      </c>
      <c r="HI449" s="242">
        <v>388</v>
      </c>
      <c r="HJ449" s="242">
        <v>388</v>
      </c>
      <c r="HK449" s="242">
        <v>388</v>
      </c>
      <c r="HL449" s="242">
        <v>388</v>
      </c>
      <c r="HM449" s="242">
        <v>388</v>
      </c>
      <c r="HN449" s="242">
        <v>388</v>
      </c>
      <c r="HO449" s="242">
        <v>388</v>
      </c>
      <c r="HP449" s="242">
        <v>388</v>
      </c>
      <c r="HQ449" s="242">
        <v>388</v>
      </c>
      <c r="HR449" s="242">
        <v>388</v>
      </c>
      <c r="HS449" s="242">
        <v>388</v>
      </c>
      <c r="HT449" s="242">
        <v>388</v>
      </c>
      <c r="HU449" s="242">
        <v>388</v>
      </c>
      <c r="HV449" s="242">
        <v>388</v>
      </c>
      <c r="HW449" s="242">
        <v>388</v>
      </c>
      <c r="HX449" s="242">
        <v>388</v>
      </c>
      <c r="HY449" s="242">
        <v>388</v>
      </c>
      <c r="HZ449" s="242">
        <v>388</v>
      </c>
      <c r="IA449" s="242">
        <v>388</v>
      </c>
      <c r="IB449" s="242">
        <v>388</v>
      </c>
      <c r="IC449" s="242">
        <v>388</v>
      </c>
      <c r="ID449" s="242">
        <v>388</v>
      </c>
      <c r="IE449" s="145">
        <v>388</v>
      </c>
      <c r="IF449" s="140"/>
      <c r="IG449" s="139"/>
      <c r="IH449" s="140"/>
      <c r="II449" s="140"/>
      <c r="IJ449" s="140"/>
      <c r="IK449" s="140"/>
      <c r="IL449" s="242">
        <v>388</v>
      </c>
      <c r="IM449" s="242">
        <v>388</v>
      </c>
      <c r="IN449" s="242">
        <v>388</v>
      </c>
      <c r="IO449" s="242">
        <v>388</v>
      </c>
      <c r="IP449" s="242">
        <v>388</v>
      </c>
      <c r="IQ449" s="242">
        <v>388</v>
      </c>
      <c r="IR449" s="242">
        <v>388</v>
      </c>
      <c r="IS449" s="242">
        <v>388</v>
      </c>
      <c r="IT449" s="242">
        <v>388</v>
      </c>
      <c r="IU449" s="242">
        <v>388</v>
      </c>
      <c r="IV449" s="242">
        <v>388</v>
      </c>
      <c r="IW449" s="242">
        <v>388</v>
      </c>
      <c r="IX449" s="242">
        <v>388</v>
      </c>
      <c r="IY449" s="242">
        <v>388</v>
      </c>
      <c r="IZ449" s="242">
        <v>388</v>
      </c>
      <c r="JA449" s="242">
        <v>388</v>
      </c>
      <c r="JB449" s="242">
        <v>388</v>
      </c>
      <c r="JC449" s="242">
        <v>388</v>
      </c>
      <c r="JD449" s="242">
        <v>388</v>
      </c>
      <c r="JE449" s="242">
        <v>388</v>
      </c>
      <c r="JF449" s="242">
        <v>388</v>
      </c>
      <c r="JG449" s="242">
        <v>388</v>
      </c>
      <c r="JH449" s="242">
        <v>388</v>
      </c>
      <c r="JI449" s="242">
        <v>388</v>
      </c>
      <c r="JJ449" s="242">
        <v>388</v>
      </c>
      <c r="JK449" s="242">
        <v>388</v>
      </c>
      <c r="JL449" s="242">
        <v>388</v>
      </c>
      <c r="JM449" s="242">
        <v>388</v>
      </c>
      <c r="JN449" s="242">
        <v>388</v>
      </c>
      <c r="JO449" s="242">
        <v>388</v>
      </c>
      <c r="JP449" s="145">
        <v>388</v>
      </c>
      <c r="JQ449" s="140"/>
      <c r="JR449" s="139"/>
      <c r="JS449" s="140"/>
      <c r="JT449" s="140"/>
      <c r="JU449" s="140"/>
      <c r="JV449" s="140"/>
      <c r="JW449" s="242">
        <v>388</v>
      </c>
      <c r="JX449" s="242">
        <v>388</v>
      </c>
      <c r="JY449" s="242">
        <v>388</v>
      </c>
      <c r="JZ449" s="242">
        <v>388</v>
      </c>
      <c r="KA449" s="242">
        <v>388</v>
      </c>
      <c r="KB449" s="242">
        <v>388</v>
      </c>
      <c r="KC449" s="242">
        <v>388</v>
      </c>
      <c r="KD449" s="242">
        <v>388</v>
      </c>
      <c r="KE449" s="242">
        <v>388</v>
      </c>
      <c r="KF449" s="242">
        <v>388</v>
      </c>
      <c r="KG449" s="242">
        <v>388</v>
      </c>
      <c r="KH449" s="242">
        <v>388</v>
      </c>
      <c r="KI449" s="242">
        <v>388</v>
      </c>
      <c r="KJ449" s="242">
        <v>388</v>
      </c>
      <c r="KK449" s="242">
        <v>388</v>
      </c>
      <c r="KL449" s="242">
        <v>388</v>
      </c>
      <c r="KM449" s="242">
        <v>388</v>
      </c>
      <c r="KN449" s="242">
        <v>388</v>
      </c>
      <c r="KO449" s="242">
        <v>388</v>
      </c>
      <c r="KP449" s="242">
        <v>388</v>
      </c>
      <c r="KQ449" s="242">
        <v>388</v>
      </c>
      <c r="KR449" s="242">
        <v>388</v>
      </c>
      <c r="KS449" s="242">
        <v>388</v>
      </c>
      <c r="KT449" s="242">
        <v>388</v>
      </c>
      <c r="KU449" s="242">
        <v>388</v>
      </c>
      <c r="KV449" s="242">
        <v>388</v>
      </c>
      <c r="KW449" s="242">
        <v>388</v>
      </c>
      <c r="KX449" s="242">
        <v>388</v>
      </c>
      <c r="KY449" s="242">
        <v>388</v>
      </c>
      <c r="KZ449" s="242">
        <v>388</v>
      </c>
      <c r="LA449" s="145">
        <v>388</v>
      </c>
      <c r="LB449" s="140"/>
      <c r="LC449" s="139"/>
      <c r="LD449" s="140"/>
      <c r="LE449" s="140"/>
      <c r="LF449" s="140"/>
      <c r="LG449" s="140"/>
      <c r="LH449" s="242">
        <v>388</v>
      </c>
      <c r="LI449" s="242">
        <v>388</v>
      </c>
      <c r="LJ449" s="242">
        <v>388</v>
      </c>
      <c r="LK449" s="242">
        <v>388</v>
      </c>
      <c r="LL449" s="242">
        <v>388</v>
      </c>
      <c r="LM449" s="242">
        <v>388</v>
      </c>
      <c r="LN449" s="242">
        <v>388</v>
      </c>
      <c r="LO449" s="242">
        <v>388</v>
      </c>
      <c r="LP449" s="242">
        <v>388</v>
      </c>
      <c r="LQ449" s="242">
        <v>388</v>
      </c>
      <c r="LR449" s="242">
        <v>388</v>
      </c>
      <c r="LS449" s="242">
        <v>388</v>
      </c>
      <c r="LT449" s="242">
        <v>388</v>
      </c>
      <c r="LU449" s="242">
        <v>388</v>
      </c>
      <c r="LV449" s="242">
        <v>388</v>
      </c>
      <c r="LW449" s="242">
        <v>388</v>
      </c>
      <c r="LX449" s="242">
        <v>388</v>
      </c>
      <c r="LY449" s="242">
        <v>388</v>
      </c>
      <c r="LZ449" s="242">
        <v>388</v>
      </c>
      <c r="MA449" s="242">
        <v>388</v>
      </c>
      <c r="MB449" s="242">
        <v>388</v>
      </c>
      <c r="MC449" s="242">
        <v>388</v>
      </c>
      <c r="MD449" s="242">
        <v>388</v>
      </c>
      <c r="ME449" s="242">
        <v>388</v>
      </c>
      <c r="MF449" s="242">
        <v>388</v>
      </c>
      <c r="MG449" s="242">
        <v>388</v>
      </c>
      <c r="MH449" s="242">
        <v>388</v>
      </c>
      <c r="MI449" s="242">
        <v>388</v>
      </c>
      <c r="MJ449" s="242">
        <v>388</v>
      </c>
      <c r="MK449" s="242">
        <v>388</v>
      </c>
      <c r="ML449" s="145">
        <v>388</v>
      </c>
    </row>
    <row r="450" spans="2:350" s="4" customFormat="1" ht="18" customHeight="1" x14ac:dyDescent="0.3">
      <c r="C450" s="136" t="s">
        <v>79</v>
      </c>
      <c r="E450" s="137" t="s">
        <v>105</v>
      </c>
      <c r="F450" s="138" t="s">
        <v>105</v>
      </c>
      <c r="H450" s="174">
        <v>383</v>
      </c>
      <c r="I450" s="175">
        <v>383</v>
      </c>
      <c r="J450" s="175">
        <v>383</v>
      </c>
      <c r="K450" s="175">
        <v>383</v>
      </c>
      <c r="L450" s="175">
        <v>383</v>
      </c>
      <c r="M450" s="176">
        <v>383</v>
      </c>
      <c r="N450" s="140"/>
      <c r="O450" s="140"/>
      <c r="P450" s="140"/>
      <c r="Q450" s="140"/>
      <c r="R450" s="140"/>
      <c r="S450" s="139"/>
      <c r="T450" s="140"/>
      <c r="U450" s="140"/>
      <c r="V450" s="140"/>
      <c r="W450" s="140"/>
      <c r="X450" s="175">
        <v>383</v>
      </c>
      <c r="Y450" s="175">
        <v>383</v>
      </c>
      <c r="Z450" s="175">
        <v>383</v>
      </c>
      <c r="AA450" s="175">
        <v>383</v>
      </c>
      <c r="AB450" s="175">
        <v>383</v>
      </c>
      <c r="AC450" s="175">
        <v>383</v>
      </c>
      <c r="AD450" s="175">
        <v>383</v>
      </c>
      <c r="AE450" s="175">
        <v>383</v>
      </c>
      <c r="AF450" s="175">
        <v>383</v>
      </c>
      <c r="AG450" s="175">
        <v>383</v>
      </c>
      <c r="AH450" s="175">
        <v>383</v>
      </c>
      <c r="AI450" s="175">
        <v>383</v>
      </c>
      <c r="AJ450" s="175">
        <v>383</v>
      </c>
      <c r="AK450" s="175">
        <v>383</v>
      </c>
      <c r="AL450" s="175">
        <v>383</v>
      </c>
      <c r="AM450" s="175">
        <v>383</v>
      </c>
      <c r="AN450" s="175">
        <v>383</v>
      </c>
      <c r="AO450" s="175">
        <v>383</v>
      </c>
      <c r="AP450" s="175">
        <v>383</v>
      </c>
      <c r="AQ450" s="175">
        <v>383</v>
      </c>
      <c r="AR450" s="175">
        <v>383</v>
      </c>
      <c r="AS450" s="175">
        <v>383</v>
      </c>
      <c r="AT450" s="175">
        <v>383</v>
      </c>
      <c r="AU450" s="175">
        <v>383</v>
      </c>
      <c r="AV450" s="175">
        <v>383</v>
      </c>
      <c r="AW450" s="175">
        <v>383</v>
      </c>
      <c r="AX450" s="175">
        <v>383</v>
      </c>
      <c r="AY450" s="175">
        <v>383</v>
      </c>
      <c r="AZ450" s="175">
        <v>383</v>
      </c>
      <c r="BA450" s="175">
        <v>383</v>
      </c>
      <c r="BB450" s="176">
        <v>383</v>
      </c>
      <c r="BC450" s="140"/>
      <c r="BD450" s="139"/>
      <c r="BE450" s="140"/>
      <c r="BF450" s="140"/>
      <c r="BG450" s="140"/>
      <c r="BH450" s="140"/>
      <c r="BI450" s="242">
        <v>383</v>
      </c>
      <c r="BJ450" s="242">
        <v>383</v>
      </c>
      <c r="BK450" s="242">
        <v>383</v>
      </c>
      <c r="BL450" s="242">
        <v>383</v>
      </c>
      <c r="BM450" s="242">
        <v>383</v>
      </c>
      <c r="BN450" s="242">
        <v>383</v>
      </c>
      <c r="BO450" s="242">
        <v>383</v>
      </c>
      <c r="BP450" s="242">
        <v>383</v>
      </c>
      <c r="BQ450" s="242">
        <v>383</v>
      </c>
      <c r="BR450" s="242">
        <v>383</v>
      </c>
      <c r="BS450" s="242">
        <v>383</v>
      </c>
      <c r="BT450" s="242">
        <v>383</v>
      </c>
      <c r="BU450" s="242">
        <v>383</v>
      </c>
      <c r="BV450" s="242">
        <v>383</v>
      </c>
      <c r="BW450" s="242">
        <v>383</v>
      </c>
      <c r="BX450" s="242">
        <v>383</v>
      </c>
      <c r="BY450" s="242">
        <v>383</v>
      </c>
      <c r="BZ450" s="242">
        <v>383</v>
      </c>
      <c r="CA450" s="242">
        <v>383</v>
      </c>
      <c r="CB450" s="242">
        <v>383</v>
      </c>
      <c r="CC450" s="242">
        <v>383</v>
      </c>
      <c r="CD450" s="242">
        <v>383</v>
      </c>
      <c r="CE450" s="242">
        <v>383</v>
      </c>
      <c r="CF450" s="242">
        <v>383</v>
      </c>
      <c r="CG450" s="242">
        <v>383</v>
      </c>
      <c r="CH450" s="242">
        <v>383</v>
      </c>
      <c r="CI450" s="242">
        <v>383</v>
      </c>
      <c r="CJ450" s="242">
        <v>383</v>
      </c>
      <c r="CK450" s="242">
        <v>383</v>
      </c>
      <c r="CL450" s="242">
        <v>383</v>
      </c>
      <c r="CM450" s="145">
        <v>383</v>
      </c>
      <c r="CN450" s="140"/>
      <c r="CO450" s="139"/>
      <c r="CP450" s="140"/>
      <c r="CQ450" s="140"/>
      <c r="CR450" s="140"/>
      <c r="CS450" s="140"/>
      <c r="CT450" s="242">
        <v>383</v>
      </c>
      <c r="CU450" s="242">
        <v>383</v>
      </c>
      <c r="CV450" s="242">
        <v>383</v>
      </c>
      <c r="CW450" s="242">
        <v>383</v>
      </c>
      <c r="CX450" s="242">
        <v>383</v>
      </c>
      <c r="CY450" s="242">
        <v>383</v>
      </c>
      <c r="CZ450" s="242">
        <v>383</v>
      </c>
      <c r="DA450" s="242">
        <v>383</v>
      </c>
      <c r="DB450" s="242">
        <v>383</v>
      </c>
      <c r="DC450" s="242">
        <v>383</v>
      </c>
      <c r="DD450" s="242">
        <v>383</v>
      </c>
      <c r="DE450" s="242">
        <v>383</v>
      </c>
      <c r="DF450" s="242">
        <v>383</v>
      </c>
      <c r="DG450" s="242">
        <v>383</v>
      </c>
      <c r="DH450" s="242">
        <v>383</v>
      </c>
      <c r="DI450" s="242">
        <v>383</v>
      </c>
      <c r="DJ450" s="242">
        <v>383</v>
      </c>
      <c r="DK450" s="242">
        <v>383</v>
      </c>
      <c r="DL450" s="242">
        <v>383</v>
      </c>
      <c r="DM450" s="242">
        <v>383</v>
      </c>
      <c r="DN450" s="242">
        <v>383</v>
      </c>
      <c r="DO450" s="242">
        <v>383</v>
      </c>
      <c r="DP450" s="242">
        <v>383</v>
      </c>
      <c r="DQ450" s="242">
        <v>383</v>
      </c>
      <c r="DR450" s="242">
        <v>383</v>
      </c>
      <c r="DS450" s="242">
        <v>383</v>
      </c>
      <c r="DT450" s="242">
        <v>383</v>
      </c>
      <c r="DU450" s="242">
        <v>383</v>
      </c>
      <c r="DV450" s="242">
        <v>383</v>
      </c>
      <c r="DW450" s="242">
        <v>383</v>
      </c>
      <c r="DX450" s="145">
        <v>383</v>
      </c>
      <c r="DY450" s="140"/>
      <c r="DZ450" s="139"/>
      <c r="EA450" s="140"/>
      <c r="EB450" s="140"/>
      <c r="EC450" s="140"/>
      <c r="ED450" s="140"/>
      <c r="EE450" s="242">
        <v>383</v>
      </c>
      <c r="EF450" s="242">
        <v>383</v>
      </c>
      <c r="EG450" s="242">
        <v>383</v>
      </c>
      <c r="EH450" s="242">
        <v>383</v>
      </c>
      <c r="EI450" s="242">
        <v>383</v>
      </c>
      <c r="EJ450" s="242">
        <v>383</v>
      </c>
      <c r="EK450" s="242">
        <v>383</v>
      </c>
      <c r="EL450" s="242">
        <v>383</v>
      </c>
      <c r="EM450" s="242">
        <v>383</v>
      </c>
      <c r="EN450" s="242">
        <v>383</v>
      </c>
      <c r="EO450" s="242">
        <v>383</v>
      </c>
      <c r="EP450" s="242">
        <v>383</v>
      </c>
      <c r="EQ450" s="242">
        <v>383</v>
      </c>
      <c r="ER450" s="242">
        <v>383</v>
      </c>
      <c r="ES450" s="242">
        <v>383</v>
      </c>
      <c r="ET450" s="242">
        <v>383</v>
      </c>
      <c r="EU450" s="242">
        <v>383</v>
      </c>
      <c r="EV450" s="242">
        <v>383</v>
      </c>
      <c r="EW450" s="242">
        <v>383</v>
      </c>
      <c r="EX450" s="242">
        <v>383</v>
      </c>
      <c r="EY450" s="242">
        <v>383</v>
      </c>
      <c r="EZ450" s="242">
        <v>383</v>
      </c>
      <c r="FA450" s="242">
        <v>383</v>
      </c>
      <c r="FB450" s="242">
        <v>383</v>
      </c>
      <c r="FC450" s="242">
        <v>383</v>
      </c>
      <c r="FD450" s="242">
        <v>383</v>
      </c>
      <c r="FE450" s="242">
        <v>383</v>
      </c>
      <c r="FF450" s="242">
        <v>383</v>
      </c>
      <c r="FG450" s="242">
        <v>383</v>
      </c>
      <c r="FH450" s="242">
        <v>383</v>
      </c>
      <c r="FI450" s="145">
        <v>383</v>
      </c>
      <c r="FJ450" s="140"/>
      <c r="FK450" s="139"/>
      <c r="FL450" s="140"/>
      <c r="FM450" s="140"/>
      <c r="FN450" s="140"/>
      <c r="FO450" s="140"/>
      <c r="FP450" s="242">
        <v>383</v>
      </c>
      <c r="FQ450" s="242">
        <v>383</v>
      </c>
      <c r="FR450" s="242">
        <v>383</v>
      </c>
      <c r="FS450" s="242">
        <v>383</v>
      </c>
      <c r="FT450" s="242">
        <v>383</v>
      </c>
      <c r="FU450" s="242">
        <v>383</v>
      </c>
      <c r="FV450" s="242">
        <v>383</v>
      </c>
      <c r="FW450" s="242">
        <v>383</v>
      </c>
      <c r="FX450" s="242">
        <v>383</v>
      </c>
      <c r="FY450" s="242">
        <v>383</v>
      </c>
      <c r="FZ450" s="242">
        <v>383</v>
      </c>
      <c r="GA450" s="242">
        <v>383</v>
      </c>
      <c r="GB450" s="242">
        <v>383</v>
      </c>
      <c r="GC450" s="242">
        <v>383</v>
      </c>
      <c r="GD450" s="242">
        <v>383</v>
      </c>
      <c r="GE450" s="242">
        <v>383</v>
      </c>
      <c r="GF450" s="242">
        <v>383</v>
      </c>
      <c r="GG450" s="242">
        <v>383</v>
      </c>
      <c r="GH450" s="242">
        <v>383</v>
      </c>
      <c r="GI450" s="242">
        <v>383</v>
      </c>
      <c r="GJ450" s="242">
        <v>383</v>
      </c>
      <c r="GK450" s="242">
        <v>383</v>
      </c>
      <c r="GL450" s="242">
        <v>383</v>
      </c>
      <c r="GM450" s="242">
        <v>383</v>
      </c>
      <c r="GN450" s="242">
        <v>383</v>
      </c>
      <c r="GO450" s="242">
        <v>383</v>
      </c>
      <c r="GP450" s="242">
        <v>383</v>
      </c>
      <c r="GQ450" s="242">
        <v>383</v>
      </c>
      <c r="GR450" s="242">
        <v>383</v>
      </c>
      <c r="GS450" s="242">
        <v>383</v>
      </c>
      <c r="GT450" s="145">
        <v>383</v>
      </c>
      <c r="GU450" s="140"/>
      <c r="GV450" s="139"/>
      <c r="GW450" s="140"/>
      <c r="GX450" s="140"/>
      <c r="GY450" s="140"/>
      <c r="GZ450" s="140"/>
      <c r="HA450" s="242">
        <v>383</v>
      </c>
      <c r="HB450" s="242">
        <v>383</v>
      </c>
      <c r="HC450" s="242">
        <v>383</v>
      </c>
      <c r="HD450" s="242">
        <v>383</v>
      </c>
      <c r="HE450" s="242">
        <v>383</v>
      </c>
      <c r="HF450" s="242">
        <v>383</v>
      </c>
      <c r="HG450" s="242">
        <v>383</v>
      </c>
      <c r="HH450" s="242">
        <v>383</v>
      </c>
      <c r="HI450" s="242">
        <v>383</v>
      </c>
      <c r="HJ450" s="242">
        <v>383</v>
      </c>
      <c r="HK450" s="242">
        <v>383</v>
      </c>
      <c r="HL450" s="242">
        <v>383</v>
      </c>
      <c r="HM450" s="242">
        <v>383</v>
      </c>
      <c r="HN450" s="242">
        <v>383</v>
      </c>
      <c r="HO450" s="242">
        <v>383</v>
      </c>
      <c r="HP450" s="242">
        <v>383</v>
      </c>
      <c r="HQ450" s="242">
        <v>383</v>
      </c>
      <c r="HR450" s="242">
        <v>383</v>
      </c>
      <c r="HS450" s="242">
        <v>383</v>
      </c>
      <c r="HT450" s="242">
        <v>383</v>
      </c>
      <c r="HU450" s="242">
        <v>383</v>
      </c>
      <c r="HV450" s="242">
        <v>383</v>
      </c>
      <c r="HW450" s="242">
        <v>383</v>
      </c>
      <c r="HX450" s="242">
        <v>383</v>
      </c>
      <c r="HY450" s="242">
        <v>383</v>
      </c>
      <c r="HZ450" s="242">
        <v>383</v>
      </c>
      <c r="IA450" s="242">
        <v>383</v>
      </c>
      <c r="IB450" s="242">
        <v>383</v>
      </c>
      <c r="IC450" s="242">
        <v>383</v>
      </c>
      <c r="ID450" s="242">
        <v>383</v>
      </c>
      <c r="IE450" s="145">
        <v>383</v>
      </c>
      <c r="IF450" s="140"/>
      <c r="IG450" s="139"/>
      <c r="IH450" s="140"/>
      <c r="II450" s="140"/>
      <c r="IJ450" s="140"/>
      <c r="IK450" s="140"/>
      <c r="IL450" s="242">
        <v>383</v>
      </c>
      <c r="IM450" s="242">
        <v>383</v>
      </c>
      <c r="IN450" s="242">
        <v>383</v>
      </c>
      <c r="IO450" s="242">
        <v>383</v>
      </c>
      <c r="IP450" s="242">
        <v>383</v>
      </c>
      <c r="IQ450" s="242">
        <v>383</v>
      </c>
      <c r="IR450" s="242">
        <v>383</v>
      </c>
      <c r="IS450" s="242">
        <v>383</v>
      </c>
      <c r="IT450" s="242">
        <v>383</v>
      </c>
      <c r="IU450" s="242">
        <v>383</v>
      </c>
      <c r="IV450" s="242">
        <v>383</v>
      </c>
      <c r="IW450" s="242">
        <v>383</v>
      </c>
      <c r="IX450" s="242">
        <v>383</v>
      </c>
      <c r="IY450" s="242">
        <v>383</v>
      </c>
      <c r="IZ450" s="242">
        <v>383</v>
      </c>
      <c r="JA450" s="242">
        <v>383</v>
      </c>
      <c r="JB450" s="242">
        <v>383</v>
      </c>
      <c r="JC450" s="242">
        <v>383</v>
      </c>
      <c r="JD450" s="242">
        <v>383</v>
      </c>
      <c r="JE450" s="242">
        <v>383</v>
      </c>
      <c r="JF450" s="242">
        <v>383</v>
      </c>
      <c r="JG450" s="242">
        <v>383</v>
      </c>
      <c r="JH450" s="242">
        <v>383</v>
      </c>
      <c r="JI450" s="242">
        <v>383</v>
      </c>
      <c r="JJ450" s="242">
        <v>383</v>
      </c>
      <c r="JK450" s="242">
        <v>383</v>
      </c>
      <c r="JL450" s="242">
        <v>383</v>
      </c>
      <c r="JM450" s="242">
        <v>383</v>
      </c>
      <c r="JN450" s="242">
        <v>383</v>
      </c>
      <c r="JO450" s="242">
        <v>383</v>
      </c>
      <c r="JP450" s="145">
        <v>383</v>
      </c>
      <c r="JQ450" s="140"/>
      <c r="JR450" s="139"/>
      <c r="JS450" s="140"/>
      <c r="JT450" s="140"/>
      <c r="JU450" s="140"/>
      <c r="JV450" s="140"/>
      <c r="JW450" s="242">
        <v>383</v>
      </c>
      <c r="JX450" s="242">
        <v>383</v>
      </c>
      <c r="JY450" s="242">
        <v>383</v>
      </c>
      <c r="JZ450" s="242">
        <v>383</v>
      </c>
      <c r="KA450" s="242">
        <v>383</v>
      </c>
      <c r="KB450" s="242">
        <v>383</v>
      </c>
      <c r="KC450" s="242">
        <v>383</v>
      </c>
      <c r="KD450" s="242">
        <v>383</v>
      </c>
      <c r="KE450" s="242">
        <v>383</v>
      </c>
      <c r="KF450" s="242">
        <v>383</v>
      </c>
      <c r="KG450" s="242">
        <v>383</v>
      </c>
      <c r="KH450" s="242">
        <v>383</v>
      </c>
      <c r="KI450" s="242">
        <v>383</v>
      </c>
      <c r="KJ450" s="242">
        <v>383</v>
      </c>
      <c r="KK450" s="242">
        <v>383</v>
      </c>
      <c r="KL450" s="242">
        <v>383</v>
      </c>
      <c r="KM450" s="242">
        <v>383</v>
      </c>
      <c r="KN450" s="242">
        <v>383</v>
      </c>
      <c r="KO450" s="242">
        <v>383</v>
      </c>
      <c r="KP450" s="242">
        <v>383</v>
      </c>
      <c r="KQ450" s="242">
        <v>383</v>
      </c>
      <c r="KR450" s="242">
        <v>383</v>
      </c>
      <c r="KS450" s="242">
        <v>383</v>
      </c>
      <c r="KT450" s="242">
        <v>383</v>
      </c>
      <c r="KU450" s="242">
        <v>383</v>
      </c>
      <c r="KV450" s="242">
        <v>383</v>
      </c>
      <c r="KW450" s="242">
        <v>383</v>
      </c>
      <c r="KX450" s="242">
        <v>383</v>
      </c>
      <c r="KY450" s="242">
        <v>383</v>
      </c>
      <c r="KZ450" s="242">
        <v>383</v>
      </c>
      <c r="LA450" s="145">
        <v>383</v>
      </c>
      <c r="LB450" s="140"/>
      <c r="LC450" s="139"/>
      <c r="LD450" s="140"/>
      <c r="LE450" s="140"/>
      <c r="LF450" s="140"/>
      <c r="LG450" s="140"/>
      <c r="LH450" s="242">
        <v>383</v>
      </c>
      <c r="LI450" s="242">
        <v>383</v>
      </c>
      <c r="LJ450" s="242">
        <v>383</v>
      </c>
      <c r="LK450" s="242">
        <v>383</v>
      </c>
      <c r="LL450" s="242">
        <v>383</v>
      </c>
      <c r="LM450" s="242">
        <v>383</v>
      </c>
      <c r="LN450" s="242">
        <v>383</v>
      </c>
      <c r="LO450" s="242">
        <v>383</v>
      </c>
      <c r="LP450" s="242">
        <v>383</v>
      </c>
      <c r="LQ450" s="242">
        <v>383</v>
      </c>
      <c r="LR450" s="242">
        <v>383</v>
      </c>
      <c r="LS450" s="242">
        <v>383</v>
      </c>
      <c r="LT450" s="242">
        <v>383</v>
      </c>
      <c r="LU450" s="242">
        <v>383</v>
      </c>
      <c r="LV450" s="242">
        <v>383</v>
      </c>
      <c r="LW450" s="242">
        <v>383</v>
      </c>
      <c r="LX450" s="242">
        <v>383</v>
      </c>
      <c r="LY450" s="242">
        <v>383</v>
      </c>
      <c r="LZ450" s="242">
        <v>383</v>
      </c>
      <c r="MA450" s="242">
        <v>383</v>
      </c>
      <c r="MB450" s="242">
        <v>383</v>
      </c>
      <c r="MC450" s="242">
        <v>383</v>
      </c>
      <c r="MD450" s="242">
        <v>383</v>
      </c>
      <c r="ME450" s="242">
        <v>383</v>
      </c>
      <c r="MF450" s="242">
        <v>383</v>
      </c>
      <c r="MG450" s="242">
        <v>383</v>
      </c>
      <c r="MH450" s="242">
        <v>383</v>
      </c>
      <c r="MI450" s="242">
        <v>383</v>
      </c>
      <c r="MJ450" s="242">
        <v>383</v>
      </c>
      <c r="MK450" s="242">
        <v>383</v>
      </c>
      <c r="ML450" s="145">
        <v>383</v>
      </c>
    </row>
    <row r="451" spans="2:350" s="4" customFormat="1" ht="18" customHeight="1" x14ac:dyDescent="0.3">
      <c r="C451" s="136" t="s">
        <v>80</v>
      </c>
      <c r="E451" s="137" t="s">
        <v>105</v>
      </c>
      <c r="F451" s="138" t="s">
        <v>105</v>
      </c>
      <c r="H451" s="174">
        <v>407</v>
      </c>
      <c r="I451" s="175">
        <v>407</v>
      </c>
      <c r="J451" s="175">
        <v>407</v>
      </c>
      <c r="K451" s="175">
        <v>407</v>
      </c>
      <c r="L451" s="175">
        <v>407</v>
      </c>
      <c r="M451" s="176">
        <v>407</v>
      </c>
      <c r="N451" s="140"/>
      <c r="O451" s="140"/>
      <c r="P451" s="140"/>
      <c r="Q451" s="140"/>
      <c r="R451" s="140"/>
      <c r="S451" s="139"/>
      <c r="T451" s="140"/>
      <c r="U451" s="140"/>
      <c r="V451" s="140"/>
      <c r="W451" s="140"/>
      <c r="X451" s="175">
        <v>407</v>
      </c>
      <c r="Y451" s="175">
        <v>407</v>
      </c>
      <c r="Z451" s="175">
        <v>407</v>
      </c>
      <c r="AA451" s="175">
        <v>407</v>
      </c>
      <c r="AB451" s="175">
        <v>407</v>
      </c>
      <c r="AC451" s="175">
        <v>407</v>
      </c>
      <c r="AD451" s="175">
        <v>407</v>
      </c>
      <c r="AE451" s="175">
        <v>407</v>
      </c>
      <c r="AF451" s="175">
        <v>407</v>
      </c>
      <c r="AG451" s="175">
        <v>407</v>
      </c>
      <c r="AH451" s="175">
        <v>407</v>
      </c>
      <c r="AI451" s="175">
        <v>407</v>
      </c>
      <c r="AJ451" s="175">
        <v>407</v>
      </c>
      <c r="AK451" s="175">
        <v>407</v>
      </c>
      <c r="AL451" s="175">
        <v>407</v>
      </c>
      <c r="AM451" s="175">
        <v>407</v>
      </c>
      <c r="AN451" s="175">
        <v>407</v>
      </c>
      <c r="AO451" s="175">
        <v>407</v>
      </c>
      <c r="AP451" s="175">
        <v>407</v>
      </c>
      <c r="AQ451" s="175">
        <v>407</v>
      </c>
      <c r="AR451" s="175">
        <v>407</v>
      </c>
      <c r="AS451" s="175">
        <v>407</v>
      </c>
      <c r="AT451" s="175">
        <v>407</v>
      </c>
      <c r="AU451" s="175">
        <v>407</v>
      </c>
      <c r="AV451" s="175">
        <v>407</v>
      </c>
      <c r="AW451" s="175">
        <v>407</v>
      </c>
      <c r="AX451" s="175">
        <v>407</v>
      </c>
      <c r="AY451" s="175">
        <v>407</v>
      </c>
      <c r="AZ451" s="175">
        <v>407</v>
      </c>
      <c r="BA451" s="175">
        <v>407</v>
      </c>
      <c r="BB451" s="176">
        <v>407</v>
      </c>
      <c r="BC451" s="140"/>
      <c r="BD451" s="177"/>
      <c r="BE451" s="178"/>
      <c r="BF451" s="178"/>
      <c r="BG451" s="178"/>
      <c r="BH451" s="178"/>
      <c r="BI451" s="242">
        <v>407</v>
      </c>
      <c r="BJ451" s="242">
        <v>407</v>
      </c>
      <c r="BK451" s="242">
        <v>407</v>
      </c>
      <c r="BL451" s="242">
        <v>407</v>
      </c>
      <c r="BM451" s="242">
        <v>407</v>
      </c>
      <c r="BN451" s="242">
        <v>407</v>
      </c>
      <c r="BO451" s="242">
        <v>407</v>
      </c>
      <c r="BP451" s="242">
        <v>407</v>
      </c>
      <c r="BQ451" s="242">
        <v>407</v>
      </c>
      <c r="BR451" s="242">
        <v>407</v>
      </c>
      <c r="BS451" s="242">
        <v>407</v>
      </c>
      <c r="BT451" s="242">
        <v>407</v>
      </c>
      <c r="BU451" s="242">
        <v>407</v>
      </c>
      <c r="BV451" s="242">
        <v>407</v>
      </c>
      <c r="BW451" s="242">
        <v>407</v>
      </c>
      <c r="BX451" s="242">
        <v>407</v>
      </c>
      <c r="BY451" s="242">
        <v>407</v>
      </c>
      <c r="BZ451" s="242">
        <v>407</v>
      </c>
      <c r="CA451" s="242">
        <v>407</v>
      </c>
      <c r="CB451" s="242">
        <v>407</v>
      </c>
      <c r="CC451" s="242">
        <v>407</v>
      </c>
      <c r="CD451" s="242">
        <v>407</v>
      </c>
      <c r="CE451" s="242">
        <v>407</v>
      </c>
      <c r="CF451" s="242">
        <v>407</v>
      </c>
      <c r="CG451" s="242">
        <v>407</v>
      </c>
      <c r="CH451" s="242">
        <v>407</v>
      </c>
      <c r="CI451" s="242">
        <v>407</v>
      </c>
      <c r="CJ451" s="242">
        <v>407</v>
      </c>
      <c r="CK451" s="242">
        <v>407</v>
      </c>
      <c r="CL451" s="242">
        <v>407</v>
      </c>
      <c r="CM451" s="145">
        <v>407</v>
      </c>
      <c r="CN451" s="140"/>
      <c r="CO451" s="177"/>
      <c r="CP451" s="178"/>
      <c r="CQ451" s="178"/>
      <c r="CR451" s="178"/>
      <c r="CS451" s="178"/>
      <c r="CT451" s="242">
        <v>407</v>
      </c>
      <c r="CU451" s="242">
        <v>407</v>
      </c>
      <c r="CV451" s="242">
        <v>407</v>
      </c>
      <c r="CW451" s="242">
        <v>407</v>
      </c>
      <c r="CX451" s="242">
        <v>407</v>
      </c>
      <c r="CY451" s="242">
        <v>407</v>
      </c>
      <c r="CZ451" s="242">
        <v>407</v>
      </c>
      <c r="DA451" s="242">
        <v>407</v>
      </c>
      <c r="DB451" s="242">
        <v>407</v>
      </c>
      <c r="DC451" s="242">
        <v>407</v>
      </c>
      <c r="DD451" s="242">
        <v>407</v>
      </c>
      <c r="DE451" s="242">
        <v>407</v>
      </c>
      <c r="DF451" s="242">
        <v>407</v>
      </c>
      <c r="DG451" s="242">
        <v>407</v>
      </c>
      <c r="DH451" s="242">
        <v>407</v>
      </c>
      <c r="DI451" s="242">
        <v>407</v>
      </c>
      <c r="DJ451" s="242">
        <v>407</v>
      </c>
      <c r="DK451" s="242">
        <v>407</v>
      </c>
      <c r="DL451" s="242">
        <v>407</v>
      </c>
      <c r="DM451" s="242">
        <v>407</v>
      </c>
      <c r="DN451" s="242">
        <v>407</v>
      </c>
      <c r="DO451" s="242">
        <v>407</v>
      </c>
      <c r="DP451" s="242">
        <v>407</v>
      </c>
      <c r="DQ451" s="242">
        <v>407</v>
      </c>
      <c r="DR451" s="242">
        <v>407</v>
      </c>
      <c r="DS451" s="242">
        <v>407</v>
      </c>
      <c r="DT451" s="242">
        <v>407</v>
      </c>
      <c r="DU451" s="242">
        <v>407</v>
      </c>
      <c r="DV451" s="242">
        <v>407</v>
      </c>
      <c r="DW451" s="242">
        <v>407</v>
      </c>
      <c r="DX451" s="145">
        <v>407</v>
      </c>
      <c r="DY451" s="140"/>
      <c r="DZ451" s="177"/>
      <c r="EA451" s="178"/>
      <c r="EB451" s="178"/>
      <c r="EC451" s="178"/>
      <c r="ED451" s="178"/>
      <c r="EE451" s="242">
        <v>407</v>
      </c>
      <c r="EF451" s="242">
        <v>407</v>
      </c>
      <c r="EG451" s="242">
        <v>407</v>
      </c>
      <c r="EH451" s="242">
        <v>407</v>
      </c>
      <c r="EI451" s="242">
        <v>407</v>
      </c>
      <c r="EJ451" s="242">
        <v>407</v>
      </c>
      <c r="EK451" s="242">
        <v>407</v>
      </c>
      <c r="EL451" s="242">
        <v>407</v>
      </c>
      <c r="EM451" s="242">
        <v>407</v>
      </c>
      <c r="EN451" s="242">
        <v>407</v>
      </c>
      <c r="EO451" s="242">
        <v>407</v>
      </c>
      <c r="EP451" s="242">
        <v>407</v>
      </c>
      <c r="EQ451" s="242">
        <v>407</v>
      </c>
      <c r="ER451" s="242">
        <v>407</v>
      </c>
      <c r="ES451" s="242">
        <v>407</v>
      </c>
      <c r="ET451" s="242">
        <v>407</v>
      </c>
      <c r="EU451" s="242">
        <v>407</v>
      </c>
      <c r="EV451" s="242">
        <v>407</v>
      </c>
      <c r="EW451" s="242">
        <v>407</v>
      </c>
      <c r="EX451" s="242">
        <v>407</v>
      </c>
      <c r="EY451" s="242">
        <v>407</v>
      </c>
      <c r="EZ451" s="242">
        <v>407</v>
      </c>
      <c r="FA451" s="242">
        <v>407</v>
      </c>
      <c r="FB451" s="242">
        <v>407</v>
      </c>
      <c r="FC451" s="242">
        <v>407</v>
      </c>
      <c r="FD451" s="242">
        <v>407</v>
      </c>
      <c r="FE451" s="242">
        <v>407</v>
      </c>
      <c r="FF451" s="242">
        <v>407</v>
      </c>
      <c r="FG451" s="242">
        <v>407</v>
      </c>
      <c r="FH451" s="242">
        <v>407</v>
      </c>
      <c r="FI451" s="145">
        <v>407</v>
      </c>
      <c r="FJ451" s="140"/>
      <c r="FK451" s="177"/>
      <c r="FL451" s="178"/>
      <c r="FM451" s="178"/>
      <c r="FN451" s="178"/>
      <c r="FO451" s="178"/>
      <c r="FP451" s="242">
        <v>407</v>
      </c>
      <c r="FQ451" s="242">
        <v>407</v>
      </c>
      <c r="FR451" s="242">
        <v>407</v>
      </c>
      <c r="FS451" s="242">
        <v>407</v>
      </c>
      <c r="FT451" s="242">
        <v>407</v>
      </c>
      <c r="FU451" s="242">
        <v>407</v>
      </c>
      <c r="FV451" s="242">
        <v>407</v>
      </c>
      <c r="FW451" s="242">
        <v>407</v>
      </c>
      <c r="FX451" s="242">
        <v>407</v>
      </c>
      <c r="FY451" s="242">
        <v>407</v>
      </c>
      <c r="FZ451" s="242">
        <v>407</v>
      </c>
      <c r="GA451" s="242">
        <v>407</v>
      </c>
      <c r="GB451" s="242">
        <v>407</v>
      </c>
      <c r="GC451" s="242">
        <v>407</v>
      </c>
      <c r="GD451" s="242">
        <v>407</v>
      </c>
      <c r="GE451" s="242">
        <v>407</v>
      </c>
      <c r="GF451" s="242">
        <v>407</v>
      </c>
      <c r="GG451" s="242">
        <v>407</v>
      </c>
      <c r="GH451" s="242">
        <v>407</v>
      </c>
      <c r="GI451" s="242">
        <v>407</v>
      </c>
      <c r="GJ451" s="242">
        <v>407</v>
      </c>
      <c r="GK451" s="242">
        <v>407</v>
      </c>
      <c r="GL451" s="242">
        <v>407</v>
      </c>
      <c r="GM451" s="242">
        <v>407</v>
      </c>
      <c r="GN451" s="242">
        <v>407</v>
      </c>
      <c r="GO451" s="242">
        <v>407</v>
      </c>
      <c r="GP451" s="242">
        <v>407</v>
      </c>
      <c r="GQ451" s="242">
        <v>407</v>
      </c>
      <c r="GR451" s="242">
        <v>407</v>
      </c>
      <c r="GS451" s="242">
        <v>407</v>
      </c>
      <c r="GT451" s="145">
        <v>407</v>
      </c>
      <c r="GU451" s="140"/>
      <c r="GV451" s="177"/>
      <c r="GW451" s="178"/>
      <c r="GX451" s="178"/>
      <c r="GY451" s="178"/>
      <c r="GZ451" s="178"/>
      <c r="HA451" s="242">
        <v>407</v>
      </c>
      <c r="HB451" s="242">
        <v>407</v>
      </c>
      <c r="HC451" s="242">
        <v>407</v>
      </c>
      <c r="HD451" s="242">
        <v>407</v>
      </c>
      <c r="HE451" s="242">
        <v>407</v>
      </c>
      <c r="HF451" s="242">
        <v>407</v>
      </c>
      <c r="HG451" s="242">
        <v>407</v>
      </c>
      <c r="HH451" s="242">
        <v>407</v>
      </c>
      <c r="HI451" s="242">
        <v>407</v>
      </c>
      <c r="HJ451" s="242">
        <v>407</v>
      </c>
      <c r="HK451" s="242">
        <v>407</v>
      </c>
      <c r="HL451" s="242">
        <v>407</v>
      </c>
      <c r="HM451" s="242">
        <v>407</v>
      </c>
      <c r="HN451" s="242">
        <v>407</v>
      </c>
      <c r="HO451" s="242">
        <v>407</v>
      </c>
      <c r="HP451" s="242">
        <v>407</v>
      </c>
      <c r="HQ451" s="242">
        <v>407</v>
      </c>
      <c r="HR451" s="242">
        <v>407</v>
      </c>
      <c r="HS451" s="242">
        <v>407</v>
      </c>
      <c r="HT451" s="242">
        <v>407</v>
      </c>
      <c r="HU451" s="242">
        <v>407</v>
      </c>
      <c r="HV451" s="242">
        <v>407</v>
      </c>
      <c r="HW451" s="242">
        <v>407</v>
      </c>
      <c r="HX451" s="242">
        <v>407</v>
      </c>
      <c r="HY451" s="242">
        <v>407</v>
      </c>
      <c r="HZ451" s="242">
        <v>407</v>
      </c>
      <c r="IA451" s="242">
        <v>407</v>
      </c>
      <c r="IB451" s="242">
        <v>407</v>
      </c>
      <c r="IC451" s="242">
        <v>407</v>
      </c>
      <c r="ID451" s="242">
        <v>407</v>
      </c>
      <c r="IE451" s="145">
        <v>407</v>
      </c>
      <c r="IF451" s="140"/>
      <c r="IG451" s="177"/>
      <c r="IH451" s="178"/>
      <c r="II451" s="178"/>
      <c r="IJ451" s="178"/>
      <c r="IK451" s="178"/>
      <c r="IL451" s="242">
        <v>407</v>
      </c>
      <c r="IM451" s="242">
        <v>407</v>
      </c>
      <c r="IN451" s="242">
        <v>407</v>
      </c>
      <c r="IO451" s="242">
        <v>407</v>
      </c>
      <c r="IP451" s="242">
        <v>407</v>
      </c>
      <c r="IQ451" s="242">
        <v>407</v>
      </c>
      <c r="IR451" s="242">
        <v>407</v>
      </c>
      <c r="IS451" s="242">
        <v>407</v>
      </c>
      <c r="IT451" s="242">
        <v>407</v>
      </c>
      <c r="IU451" s="242">
        <v>407</v>
      </c>
      <c r="IV451" s="242">
        <v>407</v>
      </c>
      <c r="IW451" s="242">
        <v>407</v>
      </c>
      <c r="IX451" s="242">
        <v>407</v>
      </c>
      <c r="IY451" s="242">
        <v>407</v>
      </c>
      <c r="IZ451" s="242">
        <v>407</v>
      </c>
      <c r="JA451" s="242">
        <v>407</v>
      </c>
      <c r="JB451" s="242">
        <v>407</v>
      </c>
      <c r="JC451" s="242">
        <v>407</v>
      </c>
      <c r="JD451" s="242">
        <v>407</v>
      </c>
      <c r="JE451" s="242">
        <v>407</v>
      </c>
      <c r="JF451" s="242">
        <v>407</v>
      </c>
      <c r="JG451" s="242">
        <v>407</v>
      </c>
      <c r="JH451" s="242">
        <v>407</v>
      </c>
      <c r="JI451" s="242">
        <v>407</v>
      </c>
      <c r="JJ451" s="242">
        <v>407</v>
      </c>
      <c r="JK451" s="242">
        <v>407</v>
      </c>
      <c r="JL451" s="242">
        <v>407</v>
      </c>
      <c r="JM451" s="242">
        <v>407</v>
      </c>
      <c r="JN451" s="242">
        <v>407</v>
      </c>
      <c r="JO451" s="242">
        <v>407</v>
      </c>
      <c r="JP451" s="145">
        <v>407</v>
      </c>
      <c r="JQ451" s="140"/>
      <c r="JR451" s="177"/>
      <c r="JS451" s="178"/>
      <c r="JT451" s="178"/>
      <c r="JU451" s="178"/>
      <c r="JV451" s="178"/>
      <c r="JW451" s="242">
        <v>407</v>
      </c>
      <c r="JX451" s="242">
        <v>407</v>
      </c>
      <c r="JY451" s="242">
        <v>407</v>
      </c>
      <c r="JZ451" s="242">
        <v>407</v>
      </c>
      <c r="KA451" s="242">
        <v>407</v>
      </c>
      <c r="KB451" s="242">
        <v>407</v>
      </c>
      <c r="KC451" s="242">
        <v>407</v>
      </c>
      <c r="KD451" s="242">
        <v>407</v>
      </c>
      <c r="KE451" s="242">
        <v>407</v>
      </c>
      <c r="KF451" s="242">
        <v>407</v>
      </c>
      <c r="KG451" s="242">
        <v>407</v>
      </c>
      <c r="KH451" s="242">
        <v>407</v>
      </c>
      <c r="KI451" s="242">
        <v>407</v>
      </c>
      <c r="KJ451" s="242">
        <v>407</v>
      </c>
      <c r="KK451" s="242">
        <v>407</v>
      </c>
      <c r="KL451" s="242">
        <v>407</v>
      </c>
      <c r="KM451" s="242">
        <v>407</v>
      </c>
      <c r="KN451" s="242">
        <v>407</v>
      </c>
      <c r="KO451" s="242">
        <v>407</v>
      </c>
      <c r="KP451" s="242">
        <v>407</v>
      </c>
      <c r="KQ451" s="242">
        <v>407</v>
      </c>
      <c r="KR451" s="242">
        <v>407</v>
      </c>
      <c r="KS451" s="242">
        <v>407</v>
      </c>
      <c r="KT451" s="242">
        <v>407</v>
      </c>
      <c r="KU451" s="242">
        <v>407</v>
      </c>
      <c r="KV451" s="242">
        <v>407</v>
      </c>
      <c r="KW451" s="242">
        <v>407</v>
      </c>
      <c r="KX451" s="242">
        <v>407</v>
      </c>
      <c r="KY451" s="242">
        <v>407</v>
      </c>
      <c r="KZ451" s="242">
        <v>407</v>
      </c>
      <c r="LA451" s="145">
        <v>407</v>
      </c>
      <c r="LB451" s="140"/>
      <c r="LC451" s="177"/>
      <c r="LD451" s="178"/>
      <c r="LE451" s="178"/>
      <c r="LF451" s="178"/>
      <c r="LG451" s="178"/>
      <c r="LH451" s="242">
        <v>407</v>
      </c>
      <c r="LI451" s="242">
        <v>407</v>
      </c>
      <c r="LJ451" s="242">
        <v>407</v>
      </c>
      <c r="LK451" s="242">
        <v>407</v>
      </c>
      <c r="LL451" s="242">
        <v>407</v>
      </c>
      <c r="LM451" s="242">
        <v>407</v>
      </c>
      <c r="LN451" s="242">
        <v>407</v>
      </c>
      <c r="LO451" s="242">
        <v>407</v>
      </c>
      <c r="LP451" s="242">
        <v>407</v>
      </c>
      <c r="LQ451" s="242">
        <v>407</v>
      </c>
      <c r="LR451" s="242">
        <v>407</v>
      </c>
      <c r="LS451" s="242">
        <v>407</v>
      </c>
      <c r="LT451" s="242">
        <v>407</v>
      </c>
      <c r="LU451" s="242">
        <v>407</v>
      </c>
      <c r="LV451" s="242">
        <v>407</v>
      </c>
      <c r="LW451" s="242">
        <v>407</v>
      </c>
      <c r="LX451" s="242">
        <v>407</v>
      </c>
      <c r="LY451" s="242">
        <v>407</v>
      </c>
      <c r="LZ451" s="242">
        <v>407</v>
      </c>
      <c r="MA451" s="242">
        <v>407</v>
      </c>
      <c r="MB451" s="242">
        <v>407</v>
      </c>
      <c r="MC451" s="242">
        <v>407</v>
      </c>
      <c r="MD451" s="242">
        <v>407</v>
      </c>
      <c r="ME451" s="242">
        <v>407</v>
      </c>
      <c r="MF451" s="242">
        <v>407</v>
      </c>
      <c r="MG451" s="242">
        <v>407</v>
      </c>
      <c r="MH451" s="242">
        <v>407</v>
      </c>
      <c r="MI451" s="242">
        <v>407</v>
      </c>
      <c r="MJ451" s="242">
        <v>407</v>
      </c>
      <c r="MK451" s="242">
        <v>407</v>
      </c>
      <c r="ML451" s="145">
        <v>407</v>
      </c>
    </row>
    <row r="452" spans="2:350" s="4" customFormat="1" ht="18" customHeight="1" x14ac:dyDescent="0.3">
      <c r="C452" s="136" t="s">
        <v>81</v>
      </c>
      <c r="E452" s="137" t="s">
        <v>105</v>
      </c>
      <c r="F452" s="138" t="s">
        <v>105</v>
      </c>
      <c r="H452" s="174">
        <v>237</v>
      </c>
      <c r="I452" s="175">
        <v>237</v>
      </c>
      <c r="J452" s="175">
        <v>237</v>
      </c>
      <c r="K452" s="175">
        <v>237</v>
      </c>
      <c r="L452" s="175">
        <v>237</v>
      </c>
      <c r="M452" s="176">
        <v>237</v>
      </c>
      <c r="N452" s="140"/>
      <c r="O452" s="140"/>
      <c r="P452" s="140"/>
      <c r="Q452" s="140"/>
      <c r="R452" s="140"/>
      <c r="S452" s="139"/>
      <c r="T452" s="140"/>
      <c r="U452" s="140"/>
      <c r="V452" s="140"/>
      <c r="W452" s="140"/>
      <c r="X452" s="175">
        <v>237</v>
      </c>
      <c r="Y452" s="175">
        <v>237</v>
      </c>
      <c r="Z452" s="175">
        <v>237</v>
      </c>
      <c r="AA452" s="175">
        <v>237</v>
      </c>
      <c r="AB452" s="175">
        <v>237</v>
      </c>
      <c r="AC452" s="175">
        <v>237</v>
      </c>
      <c r="AD452" s="175">
        <v>237</v>
      </c>
      <c r="AE452" s="175">
        <v>237</v>
      </c>
      <c r="AF452" s="175">
        <v>237</v>
      </c>
      <c r="AG452" s="175">
        <v>237</v>
      </c>
      <c r="AH452" s="175">
        <v>237</v>
      </c>
      <c r="AI452" s="175">
        <v>237</v>
      </c>
      <c r="AJ452" s="175">
        <v>237</v>
      </c>
      <c r="AK452" s="175">
        <v>237</v>
      </c>
      <c r="AL452" s="175">
        <v>237</v>
      </c>
      <c r="AM452" s="175">
        <v>237</v>
      </c>
      <c r="AN452" s="175">
        <v>237</v>
      </c>
      <c r="AO452" s="175">
        <v>237</v>
      </c>
      <c r="AP452" s="175">
        <v>237</v>
      </c>
      <c r="AQ452" s="175">
        <v>237</v>
      </c>
      <c r="AR452" s="175">
        <v>237</v>
      </c>
      <c r="AS452" s="175">
        <v>237</v>
      </c>
      <c r="AT452" s="175">
        <v>237</v>
      </c>
      <c r="AU452" s="175">
        <v>237</v>
      </c>
      <c r="AV452" s="175">
        <v>237</v>
      </c>
      <c r="AW452" s="175">
        <v>237</v>
      </c>
      <c r="AX452" s="175">
        <v>237</v>
      </c>
      <c r="AY452" s="175">
        <v>237</v>
      </c>
      <c r="AZ452" s="175">
        <v>237</v>
      </c>
      <c r="BA452" s="175">
        <v>237</v>
      </c>
      <c r="BB452" s="176">
        <v>237</v>
      </c>
      <c r="BC452" s="140"/>
      <c r="BD452" s="177"/>
      <c r="BE452" s="178"/>
      <c r="BF452" s="178"/>
      <c r="BG452" s="178"/>
      <c r="BH452" s="178"/>
      <c r="BI452" s="242">
        <v>237</v>
      </c>
      <c r="BJ452" s="242">
        <v>237</v>
      </c>
      <c r="BK452" s="242">
        <v>237</v>
      </c>
      <c r="BL452" s="242">
        <v>237</v>
      </c>
      <c r="BM452" s="242">
        <v>237</v>
      </c>
      <c r="BN452" s="242">
        <v>237</v>
      </c>
      <c r="BO452" s="242">
        <v>237</v>
      </c>
      <c r="BP452" s="242">
        <v>237</v>
      </c>
      <c r="BQ452" s="242">
        <v>237</v>
      </c>
      <c r="BR452" s="242">
        <v>237</v>
      </c>
      <c r="BS452" s="242">
        <v>237</v>
      </c>
      <c r="BT452" s="242">
        <v>237</v>
      </c>
      <c r="BU452" s="242">
        <v>237</v>
      </c>
      <c r="BV452" s="242">
        <v>237</v>
      </c>
      <c r="BW452" s="242">
        <v>237</v>
      </c>
      <c r="BX452" s="242">
        <v>237</v>
      </c>
      <c r="BY452" s="242">
        <v>237</v>
      </c>
      <c r="BZ452" s="242">
        <v>237</v>
      </c>
      <c r="CA452" s="242">
        <v>237</v>
      </c>
      <c r="CB452" s="242">
        <v>237</v>
      </c>
      <c r="CC452" s="242">
        <v>237</v>
      </c>
      <c r="CD452" s="242">
        <v>237</v>
      </c>
      <c r="CE452" s="242">
        <v>237</v>
      </c>
      <c r="CF452" s="242">
        <v>237</v>
      </c>
      <c r="CG452" s="242">
        <v>237</v>
      </c>
      <c r="CH452" s="242">
        <v>237</v>
      </c>
      <c r="CI452" s="242">
        <v>237</v>
      </c>
      <c r="CJ452" s="242">
        <v>237</v>
      </c>
      <c r="CK452" s="242">
        <v>237</v>
      </c>
      <c r="CL452" s="242">
        <v>237</v>
      </c>
      <c r="CM452" s="145">
        <v>237</v>
      </c>
      <c r="CN452" s="140"/>
      <c r="CO452" s="177"/>
      <c r="CP452" s="178"/>
      <c r="CQ452" s="178"/>
      <c r="CR452" s="178"/>
      <c r="CS452" s="178"/>
      <c r="CT452" s="242">
        <v>237</v>
      </c>
      <c r="CU452" s="242">
        <v>237</v>
      </c>
      <c r="CV452" s="242">
        <v>237</v>
      </c>
      <c r="CW452" s="242">
        <v>237</v>
      </c>
      <c r="CX452" s="242">
        <v>237</v>
      </c>
      <c r="CY452" s="242">
        <v>237</v>
      </c>
      <c r="CZ452" s="242">
        <v>237</v>
      </c>
      <c r="DA452" s="242">
        <v>237</v>
      </c>
      <c r="DB452" s="242">
        <v>237</v>
      </c>
      <c r="DC452" s="242">
        <v>237</v>
      </c>
      <c r="DD452" s="242">
        <v>237</v>
      </c>
      <c r="DE452" s="242">
        <v>237</v>
      </c>
      <c r="DF452" s="242">
        <v>237</v>
      </c>
      <c r="DG452" s="242">
        <v>237</v>
      </c>
      <c r="DH452" s="242">
        <v>237</v>
      </c>
      <c r="DI452" s="242">
        <v>237</v>
      </c>
      <c r="DJ452" s="242">
        <v>237</v>
      </c>
      <c r="DK452" s="242">
        <v>237</v>
      </c>
      <c r="DL452" s="242">
        <v>237</v>
      </c>
      <c r="DM452" s="242">
        <v>237</v>
      </c>
      <c r="DN452" s="242">
        <v>237</v>
      </c>
      <c r="DO452" s="242">
        <v>237</v>
      </c>
      <c r="DP452" s="242">
        <v>237</v>
      </c>
      <c r="DQ452" s="242">
        <v>237</v>
      </c>
      <c r="DR452" s="242">
        <v>237</v>
      </c>
      <c r="DS452" s="242">
        <v>237</v>
      </c>
      <c r="DT452" s="242">
        <v>237</v>
      </c>
      <c r="DU452" s="242">
        <v>237</v>
      </c>
      <c r="DV452" s="242">
        <v>237</v>
      </c>
      <c r="DW452" s="242">
        <v>237</v>
      </c>
      <c r="DX452" s="145">
        <v>237</v>
      </c>
      <c r="DY452" s="140"/>
      <c r="DZ452" s="177"/>
      <c r="EA452" s="178"/>
      <c r="EB452" s="178"/>
      <c r="EC452" s="178"/>
      <c r="ED452" s="178"/>
      <c r="EE452" s="242">
        <v>237</v>
      </c>
      <c r="EF452" s="242">
        <v>237</v>
      </c>
      <c r="EG452" s="242">
        <v>237</v>
      </c>
      <c r="EH452" s="242">
        <v>237</v>
      </c>
      <c r="EI452" s="242">
        <v>237</v>
      </c>
      <c r="EJ452" s="242">
        <v>237</v>
      </c>
      <c r="EK452" s="242">
        <v>237</v>
      </c>
      <c r="EL452" s="242">
        <v>237</v>
      </c>
      <c r="EM452" s="242">
        <v>237</v>
      </c>
      <c r="EN452" s="242">
        <v>237</v>
      </c>
      <c r="EO452" s="242">
        <v>237</v>
      </c>
      <c r="EP452" s="242">
        <v>237</v>
      </c>
      <c r="EQ452" s="242">
        <v>237</v>
      </c>
      <c r="ER452" s="242">
        <v>237</v>
      </c>
      <c r="ES452" s="242">
        <v>237</v>
      </c>
      <c r="ET452" s="242">
        <v>237</v>
      </c>
      <c r="EU452" s="242">
        <v>237</v>
      </c>
      <c r="EV452" s="242">
        <v>237</v>
      </c>
      <c r="EW452" s="242">
        <v>237</v>
      </c>
      <c r="EX452" s="242">
        <v>237</v>
      </c>
      <c r="EY452" s="242">
        <v>237</v>
      </c>
      <c r="EZ452" s="242">
        <v>237</v>
      </c>
      <c r="FA452" s="242">
        <v>237</v>
      </c>
      <c r="FB452" s="242">
        <v>237</v>
      </c>
      <c r="FC452" s="242">
        <v>237</v>
      </c>
      <c r="FD452" s="242">
        <v>237</v>
      </c>
      <c r="FE452" s="242">
        <v>237</v>
      </c>
      <c r="FF452" s="242">
        <v>237</v>
      </c>
      <c r="FG452" s="242">
        <v>237</v>
      </c>
      <c r="FH452" s="242">
        <v>237</v>
      </c>
      <c r="FI452" s="145">
        <v>237</v>
      </c>
      <c r="FJ452" s="140"/>
      <c r="FK452" s="177"/>
      <c r="FL452" s="178"/>
      <c r="FM452" s="178"/>
      <c r="FN452" s="178"/>
      <c r="FO452" s="178"/>
      <c r="FP452" s="242">
        <v>237</v>
      </c>
      <c r="FQ452" s="242">
        <v>237</v>
      </c>
      <c r="FR452" s="242">
        <v>237</v>
      </c>
      <c r="FS452" s="242">
        <v>237</v>
      </c>
      <c r="FT452" s="242">
        <v>237</v>
      </c>
      <c r="FU452" s="242">
        <v>237</v>
      </c>
      <c r="FV452" s="242">
        <v>237</v>
      </c>
      <c r="FW452" s="242">
        <v>237</v>
      </c>
      <c r="FX452" s="242">
        <v>237</v>
      </c>
      <c r="FY452" s="242">
        <v>237</v>
      </c>
      <c r="FZ452" s="242">
        <v>237</v>
      </c>
      <c r="GA452" s="242">
        <v>237</v>
      </c>
      <c r="GB452" s="242">
        <v>237</v>
      </c>
      <c r="GC452" s="242">
        <v>237</v>
      </c>
      <c r="GD452" s="242">
        <v>237</v>
      </c>
      <c r="GE452" s="242">
        <v>237</v>
      </c>
      <c r="GF452" s="242">
        <v>237</v>
      </c>
      <c r="GG452" s="242">
        <v>237</v>
      </c>
      <c r="GH452" s="242">
        <v>237</v>
      </c>
      <c r="GI452" s="242">
        <v>237</v>
      </c>
      <c r="GJ452" s="242">
        <v>237</v>
      </c>
      <c r="GK452" s="242">
        <v>237</v>
      </c>
      <c r="GL452" s="242">
        <v>237</v>
      </c>
      <c r="GM452" s="242">
        <v>237</v>
      </c>
      <c r="GN452" s="242">
        <v>237</v>
      </c>
      <c r="GO452" s="242">
        <v>237</v>
      </c>
      <c r="GP452" s="242">
        <v>237</v>
      </c>
      <c r="GQ452" s="242">
        <v>237</v>
      </c>
      <c r="GR452" s="242">
        <v>237</v>
      </c>
      <c r="GS452" s="242">
        <v>237</v>
      </c>
      <c r="GT452" s="145">
        <v>237</v>
      </c>
      <c r="GU452" s="140"/>
      <c r="GV452" s="177"/>
      <c r="GW452" s="178"/>
      <c r="GX452" s="178"/>
      <c r="GY452" s="178"/>
      <c r="GZ452" s="178"/>
      <c r="HA452" s="242">
        <v>237</v>
      </c>
      <c r="HB452" s="242">
        <v>237</v>
      </c>
      <c r="HC452" s="242">
        <v>237</v>
      </c>
      <c r="HD452" s="242">
        <v>237</v>
      </c>
      <c r="HE452" s="242">
        <v>237</v>
      </c>
      <c r="HF452" s="242">
        <v>237</v>
      </c>
      <c r="HG452" s="242">
        <v>237</v>
      </c>
      <c r="HH452" s="242">
        <v>237</v>
      </c>
      <c r="HI452" s="242">
        <v>237</v>
      </c>
      <c r="HJ452" s="242">
        <v>237</v>
      </c>
      <c r="HK452" s="242">
        <v>237</v>
      </c>
      <c r="HL452" s="242">
        <v>237</v>
      </c>
      <c r="HM452" s="242">
        <v>237</v>
      </c>
      <c r="HN452" s="242">
        <v>237</v>
      </c>
      <c r="HO452" s="242">
        <v>237</v>
      </c>
      <c r="HP452" s="242">
        <v>237</v>
      </c>
      <c r="HQ452" s="242">
        <v>237</v>
      </c>
      <c r="HR452" s="242">
        <v>237</v>
      </c>
      <c r="HS452" s="242">
        <v>237</v>
      </c>
      <c r="HT452" s="242">
        <v>237</v>
      </c>
      <c r="HU452" s="242">
        <v>237</v>
      </c>
      <c r="HV452" s="242">
        <v>237</v>
      </c>
      <c r="HW452" s="242">
        <v>237</v>
      </c>
      <c r="HX452" s="242">
        <v>237</v>
      </c>
      <c r="HY452" s="242">
        <v>237</v>
      </c>
      <c r="HZ452" s="242">
        <v>237</v>
      </c>
      <c r="IA452" s="242">
        <v>237</v>
      </c>
      <c r="IB452" s="242">
        <v>237</v>
      </c>
      <c r="IC452" s="242">
        <v>237</v>
      </c>
      <c r="ID452" s="242">
        <v>237</v>
      </c>
      <c r="IE452" s="145">
        <v>237</v>
      </c>
      <c r="IF452" s="140"/>
      <c r="IG452" s="177"/>
      <c r="IH452" s="178"/>
      <c r="II452" s="178"/>
      <c r="IJ452" s="178"/>
      <c r="IK452" s="178"/>
      <c r="IL452" s="242">
        <v>237</v>
      </c>
      <c r="IM452" s="242">
        <v>237</v>
      </c>
      <c r="IN452" s="242">
        <v>237</v>
      </c>
      <c r="IO452" s="242">
        <v>237</v>
      </c>
      <c r="IP452" s="242">
        <v>237</v>
      </c>
      <c r="IQ452" s="242">
        <v>237</v>
      </c>
      <c r="IR452" s="242">
        <v>237</v>
      </c>
      <c r="IS452" s="242">
        <v>237</v>
      </c>
      <c r="IT452" s="242">
        <v>237</v>
      </c>
      <c r="IU452" s="242">
        <v>237</v>
      </c>
      <c r="IV452" s="242">
        <v>237</v>
      </c>
      <c r="IW452" s="242">
        <v>237</v>
      </c>
      <c r="IX452" s="242">
        <v>237</v>
      </c>
      <c r="IY452" s="242">
        <v>237</v>
      </c>
      <c r="IZ452" s="242">
        <v>237</v>
      </c>
      <c r="JA452" s="242">
        <v>237</v>
      </c>
      <c r="JB452" s="242">
        <v>237</v>
      </c>
      <c r="JC452" s="242">
        <v>237</v>
      </c>
      <c r="JD452" s="242">
        <v>237</v>
      </c>
      <c r="JE452" s="242">
        <v>237</v>
      </c>
      <c r="JF452" s="242">
        <v>237</v>
      </c>
      <c r="JG452" s="242">
        <v>237</v>
      </c>
      <c r="JH452" s="242">
        <v>237</v>
      </c>
      <c r="JI452" s="242">
        <v>237</v>
      </c>
      <c r="JJ452" s="242">
        <v>237</v>
      </c>
      <c r="JK452" s="242">
        <v>237</v>
      </c>
      <c r="JL452" s="242">
        <v>237</v>
      </c>
      <c r="JM452" s="242">
        <v>237</v>
      </c>
      <c r="JN452" s="242">
        <v>237</v>
      </c>
      <c r="JO452" s="242">
        <v>237</v>
      </c>
      <c r="JP452" s="145">
        <v>237</v>
      </c>
      <c r="JQ452" s="140"/>
      <c r="JR452" s="177"/>
      <c r="JS452" s="178"/>
      <c r="JT452" s="178"/>
      <c r="JU452" s="178"/>
      <c r="JV452" s="178"/>
      <c r="JW452" s="242">
        <v>237</v>
      </c>
      <c r="JX452" s="242">
        <v>237</v>
      </c>
      <c r="JY452" s="242">
        <v>237</v>
      </c>
      <c r="JZ452" s="242">
        <v>237</v>
      </c>
      <c r="KA452" s="242">
        <v>237</v>
      </c>
      <c r="KB452" s="242">
        <v>237</v>
      </c>
      <c r="KC452" s="242">
        <v>237</v>
      </c>
      <c r="KD452" s="242">
        <v>237</v>
      </c>
      <c r="KE452" s="242">
        <v>237</v>
      </c>
      <c r="KF452" s="242">
        <v>237</v>
      </c>
      <c r="KG452" s="242">
        <v>237</v>
      </c>
      <c r="KH452" s="242">
        <v>237</v>
      </c>
      <c r="KI452" s="242">
        <v>237</v>
      </c>
      <c r="KJ452" s="242">
        <v>237</v>
      </c>
      <c r="KK452" s="242">
        <v>237</v>
      </c>
      <c r="KL452" s="242">
        <v>237</v>
      </c>
      <c r="KM452" s="242">
        <v>237</v>
      </c>
      <c r="KN452" s="242">
        <v>237</v>
      </c>
      <c r="KO452" s="242">
        <v>237</v>
      </c>
      <c r="KP452" s="242">
        <v>237</v>
      </c>
      <c r="KQ452" s="242">
        <v>237</v>
      </c>
      <c r="KR452" s="242">
        <v>237</v>
      </c>
      <c r="KS452" s="242">
        <v>237</v>
      </c>
      <c r="KT452" s="242">
        <v>237</v>
      </c>
      <c r="KU452" s="242">
        <v>237</v>
      </c>
      <c r="KV452" s="242">
        <v>237</v>
      </c>
      <c r="KW452" s="242">
        <v>237</v>
      </c>
      <c r="KX452" s="242">
        <v>237</v>
      </c>
      <c r="KY452" s="242">
        <v>237</v>
      </c>
      <c r="KZ452" s="242">
        <v>237</v>
      </c>
      <c r="LA452" s="145">
        <v>237</v>
      </c>
      <c r="LB452" s="140"/>
      <c r="LC452" s="177"/>
      <c r="LD452" s="178"/>
      <c r="LE452" s="178"/>
      <c r="LF452" s="178"/>
      <c r="LG452" s="178"/>
      <c r="LH452" s="242">
        <v>237</v>
      </c>
      <c r="LI452" s="242">
        <v>237</v>
      </c>
      <c r="LJ452" s="242">
        <v>237</v>
      </c>
      <c r="LK452" s="242">
        <v>237</v>
      </c>
      <c r="LL452" s="242">
        <v>237</v>
      </c>
      <c r="LM452" s="242">
        <v>237</v>
      </c>
      <c r="LN452" s="242">
        <v>237</v>
      </c>
      <c r="LO452" s="242">
        <v>237</v>
      </c>
      <c r="LP452" s="242">
        <v>237</v>
      </c>
      <c r="LQ452" s="242">
        <v>237</v>
      </c>
      <c r="LR452" s="242">
        <v>237</v>
      </c>
      <c r="LS452" s="242">
        <v>237</v>
      </c>
      <c r="LT452" s="242">
        <v>237</v>
      </c>
      <c r="LU452" s="242">
        <v>237</v>
      </c>
      <c r="LV452" s="242">
        <v>237</v>
      </c>
      <c r="LW452" s="242">
        <v>237</v>
      </c>
      <c r="LX452" s="242">
        <v>237</v>
      </c>
      <c r="LY452" s="242">
        <v>237</v>
      </c>
      <c r="LZ452" s="242">
        <v>237</v>
      </c>
      <c r="MA452" s="242">
        <v>237</v>
      </c>
      <c r="MB452" s="242">
        <v>237</v>
      </c>
      <c r="MC452" s="242">
        <v>237</v>
      </c>
      <c r="MD452" s="242">
        <v>237</v>
      </c>
      <c r="ME452" s="242">
        <v>237</v>
      </c>
      <c r="MF452" s="242">
        <v>237</v>
      </c>
      <c r="MG452" s="242">
        <v>237</v>
      </c>
      <c r="MH452" s="242">
        <v>237</v>
      </c>
      <c r="MI452" s="242">
        <v>237</v>
      </c>
      <c r="MJ452" s="242">
        <v>237</v>
      </c>
      <c r="MK452" s="242">
        <v>237</v>
      </c>
      <c r="ML452" s="145">
        <v>237</v>
      </c>
    </row>
    <row r="453" spans="2:350" s="4" customFormat="1" ht="18" customHeight="1" x14ac:dyDescent="0.3">
      <c r="C453" s="136" t="s">
        <v>82</v>
      </c>
      <c r="E453" s="137" t="s">
        <v>105</v>
      </c>
      <c r="F453" s="138" t="s">
        <v>105</v>
      </c>
      <c r="H453" s="174">
        <v>384</v>
      </c>
      <c r="I453" s="175">
        <v>384</v>
      </c>
      <c r="J453" s="175">
        <v>384</v>
      </c>
      <c r="K453" s="175">
        <v>384</v>
      </c>
      <c r="L453" s="175">
        <v>384</v>
      </c>
      <c r="M453" s="176">
        <v>384</v>
      </c>
      <c r="N453" s="140"/>
      <c r="O453" s="140"/>
      <c r="P453" s="140"/>
      <c r="Q453" s="140"/>
      <c r="R453" s="140"/>
      <c r="S453" s="139"/>
      <c r="T453" s="140"/>
      <c r="U453" s="140"/>
      <c r="V453" s="140"/>
      <c r="W453" s="140"/>
      <c r="X453" s="175">
        <v>384</v>
      </c>
      <c r="Y453" s="175">
        <v>384</v>
      </c>
      <c r="Z453" s="175">
        <v>384</v>
      </c>
      <c r="AA453" s="175">
        <v>384</v>
      </c>
      <c r="AB453" s="175">
        <v>384</v>
      </c>
      <c r="AC453" s="175">
        <v>384</v>
      </c>
      <c r="AD453" s="175">
        <v>384</v>
      </c>
      <c r="AE453" s="175">
        <v>384</v>
      </c>
      <c r="AF453" s="175">
        <v>384</v>
      </c>
      <c r="AG453" s="175">
        <v>384</v>
      </c>
      <c r="AH453" s="175">
        <v>384</v>
      </c>
      <c r="AI453" s="175">
        <v>384</v>
      </c>
      <c r="AJ453" s="175">
        <v>384</v>
      </c>
      <c r="AK453" s="175">
        <v>384</v>
      </c>
      <c r="AL453" s="175">
        <v>384</v>
      </c>
      <c r="AM453" s="175">
        <v>384</v>
      </c>
      <c r="AN453" s="175">
        <v>384</v>
      </c>
      <c r="AO453" s="175">
        <v>384</v>
      </c>
      <c r="AP453" s="175">
        <v>384</v>
      </c>
      <c r="AQ453" s="175">
        <v>384</v>
      </c>
      <c r="AR453" s="175">
        <v>384</v>
      </c>
      <c r="AS453" s="175">
        <v>384</v>
      </c>
      <c r="AT453" s="175">
        <v>384</v>
      </c>
      <c r="AU453" s="175">
        <v>384</v>
      </c>
      <c r="AV453" s="175">
        <v>384</v>
      </c>
      <c r="AW453" s="175">
        <v>384</v>
      </c>
      <c r="AX453" s="175">
        <v>384</v>
      </c>
      <c r="AY453" s="175">
        <v>384</v>
      </c>
      <c r="AZ453" s="175">
        <v>384</v>
      </c>
      <c r="BA453" s="175">
        <v>384</v>
      </c>
      <c r="BB453" s="176">
        <v>384</v>
      </c>
      <c r="BC453" s="140"/>
      <c r="BD453" s="177"/>
      <c r="BE453" s="178"/>
      <c r="BF453" s="178"/>
      <c r="BG453" s="178"/>
      <c r="BH453" s="178"/>
      <c r="BI453" s="242">
        <v>384</v>
      </c>
      <c r="BJ453" s="242">
        <v>384</v>
      </c>
      <c r="BK453" s="242">
        <v>384</v>
      </c>
      <c r="BL453" s="242">
        <v>384</v>
      </c>
      <c r="BM453" s="242">
        <v>384</v>
      </c>
      <c r="BN453" s="242">
        <v>384</v>
      </c>
      <c r="BO453" s="242">
        <v>384</v>
      </c>
      <c r="BP453" s="242">
        <v>384</v>
      </c>
      <c r="BQ453" s="242">
        <v>384</v>
      </c>
      <c r="BR453" s="242">
        <v>384</v>
      </c>
      <c r="BS453" s="242">
        <v>384</v>
      </c>
      <c r="BT453" s="242">
        <v>384</v>
      </c>
      <c r="BU453" s="242">
        <v>384</v>
      </c>
      <c r="BV453" s="242">
        <v>384</v>
      </c>
      <c r="BW453" s="242">
        <v>384</v>
      </c>
      <c r="BX453" s="242">
        <v>384</v>
      </c>
      <c r="BY453" s="242">
        <v>384</v>
      </c>
      <c r="BZ453" s="242">
        <v>384</v>
      </c>
      <c r="CA453" s="242">
        <v>384</v>
      </c>
      <c r="CB453" s="242">
        <v>384</v>
      </c>
      <c r="CC453" s="242">
        <v>384</v>
      </c>
      <c r="CD453" s="242">
        <v>384</v>
      </c>
      <c r="CE453" s="242">
        <v>384</v>
      </c>
      <c r="CF453" s="242">
        <v>384</v>
      </c>
      <c r="CG453" s="242">
        <v>384</v>
      </c>
      <c r="CH453" s="242">
        <v>384</v>
      </c>
      <c r="CI453" s="242">
        <v>384</v>
      </c>
      <c r="CJ453" s="242">
        <v>384</v>
      </c>
      <c r="CK453" s="242">
        <v>384</v>
      </c>
      <c r="CL453" s="242">
        <v>384</v>
      </c>
      <c r="CM453" s="145">
        <v>384</v>
      </c>
      <c r="CN453" s="140"/>
      <c r="CO453" s="177"/>
      <c r="CP453" s="178"/>
      <c r="CQ453" s="178"/>
      <c r="CR453" s="178"/>
      <c r="CS453" s="178"/>
      <c r="CT453" s="242">
        <v>384</v>
      </c>
      <c r="CU453" s="242">
        <v>384</v>
      </c>
      <c r="CV453" s="242">
        <v>384</v>
      </c>
      <c r="CW453" s="242">
        <v>384</v>
      </c>
      <c r="CX453" s="242">
        <v>384</v>
      </c>
      <c r="CY453" s="242">
        <v>384</v>
      </c>
      <c r="CZ453" s="242">
        <v>384</v>
      </c>
      <c r="DA453" s="242">
        <v>384</v>
      </c>
      <c r="DB453" s="242">
        <v>384</v>
      </c>
      <c r="DC453" s="242">
        <v>384</v>
      </c>
      <c r="DD453" s="242">
        <v>384</v>
      </c>
      <c r="DE453" s="242">
        <v>384</v>
      </c>
      <c r="DF453" s="242">
        <v>384</v>
      </c>
      <c r="DG453" s="242">
        <v>384</v>
      </c>
      <c r="DH453" s="242">
        <v>384</v>
      </c>
      <c r="DI453" s="242">
        <v>384</v>
      </c>
      <c r="DJ453" s="242">
        <v>384</v>
      </c>
      <c r="DK453" s="242">
        <v>384</v>
      </c>
      <c r="DL453" s="242">
        <v>384</v>
      </c>
      <c r="DM453" s="242">
        <v>384</v>
      </c>
      <c r="DN453" s="242">
        <v>384</v>
      </c>
      <c r="DO453" s="242">
        <v>384</v>
      </c>
      <c r="DP453" s="242">
        <v>384</v>
      </c>
      <c r="DQ453" s="242">
        <v>384</v>
      </c>
      <c r="DR453" s="242">
        <v>384</v>
      </c>
      <c r="DS453" s="242">
        <v>384</v>
      </c>
      <c r="DT453" s="242">
        <v>384</v>
      </c>
      <c r="DU453" s="242">
        <v>384</v>
      </c>
      <c r="DV453" s="242">
        <v>384</v>
      </c>
      <c r="DW453" s="242">
        <v>384</v>
      </c>
      <c r="DX453" s="145">
        <v>384</v>
      </c>
      <c r="DY453" s="140"/>
      <c r="DZ453" s="177"/>
      <c r="EA453" s="178"/>
      <c r="EB453" s="178"/>
      <c r="EC453" s="178"/>
      <c r="ED453" s="178"/>
      <c r="EE453" s="242">
        <v>384</v>
      </c>
      <c r="EF453" s="242">
        <v>384</v>
      </c>
      <c r="EG453" s="242">
        <v>384</v>
      </c>
      <c r="EH453" s="242">
        <v>384</v>
      </c>
      <c r="EI453" s="242">
        <v>384</v>
      </c>
      <c r="EJ453" s="242">
        <v>384</v>
      </c>
      <c r="EK453" s="242">
        <v>384</v>
      </c>
      <c r="EL453" s="242">
        <v>384</v>
      </c>
      <c r="EM453" s="242">
        <v>384</v>
      </c>
      <c r="EN453" s="242">
        <v>384</v>
      </c>
      <c r="EO453" s="242">
        <v>384</v>
      </c>
      <c r="EP453" s="242">
        <v>384</v>
      </c>
      <c r="EQ453" s="242">
        <v>384</v>
      </c>
      <c r="ER453" s="242">
        <v>384</v>
      </c>
      <c r="ES453" s="242">
        <v>384</v>
      </c>
      <c r="ET453" s="242">
        <v>384</v>
      </c>
      <c r="EU453" s="242">
        <v>384</v>
      </c>
      <c r="EV453" s="242">
        <v>384</v>
      </c>
      <c r="EW453" s="242">
        <v>384</v>
      </c>
      <c r="EX453" s="242">
        <v>384</v>
      </c>
      <c r="EY453" s="242">
        <v>384</v>
      </c>
      <c r="EZ453" s="242">
        <v>384</v>
      </c>
      <c r="FA453" s="242">
        <v>384</v>
      </c>
      <c r="FB453" s="242">
        <v>384</v>
      </c>
      <c r="FC453" s="242">
        <v>384</v>
      </c>
      <c r="FD453" s="242">
        <v>384</v>
      </c>
      <c r="FE453" s="242">
        <v>384</v>
      </c>
      <c r="FF453" s="242">
        <v>384</v>
      </c>
      <c r="FG453" s="242">
        <v>384</v>
      </c>
      <c r="FH453" s="242">
        <v>384</v>
      </c>
      <c r="FI453" s="145">
        <v>384</v>
      </c>
      <c r="FJ453" s="140"/>
      <c r="FK453" s="177"/>
      <c r="FL453" s="178"/>
      <c r="FM453" s="178"/>
      <c r="FN453" s="178"/>
      <c r="FO453" s="178"/>
      <c r="FP453" s="242">
        <v>384</v>
      </c>
      <c r="FQ453" s="242">
        <v>384</v>
      </c>
      <c r="FR453" s="242">
        <v>384</v>
      </c>
      <c r="FS453" s="242">
        <v>384</v>
      </c>
      <c r="FT453" s="242">
        <v>384</v>
      </c>
      <c r="FU453" s="242">
        <v>384</v>
      </c>
      <c r="FV453" s="242">
        <v>384</v>
      </c>
      <c r="FW453" s="242">
        <v>384</v>
      </c>
      <c r="FX453" s="242">
        <v>384</v>
      </c>
      <c r="FY453" s="242">
        <v>384</v>
      </c>
      <c r="FZ453" s="242">
        <v>384</v>
      </c>
      <c r="GA453" s="242">
        <v>384</v>
      </c>
      <c r="GB453" s="242">
        <v>384</v>
      </c>
      <c r="GC453" s="242">
        <v>384</v>
      </c>
      <c r="GD453" s="242">
        <v>384</v>
      </c>
      <c r="GE453" s="242">
        <v>384</v>
      </c>
      <c r="GF453" s="242">
        <v>384</v>
      </c>
      <c r="GG453" s="242">
        <v>384</v>
      </c>
      <c r="GH453" s="242">
        <v>384</v>
      </c>
      <c r="GI453" s="242">
        <v>384</v>
      </c>
      <c r="GJ453" s="242">
        <v>384</v>
      </c>
      <c r="GK453" s="242">
        <v>384</v>
      </c>
      <c r="GL453" s="242">
        <v>384</v>
      </c>
      <c r="GM453" s="242">
        <v>384</v>
      </c>
      <c r="GN453" s="242">
        <v>384</v>
      </c>
      <c r="GO453" s="242">
        <v>384</v>
      </c>
      <c r="GP453" s="242">
        <v>384</v>
      </c>
      <c r="GQ453" s="242">
        <v>384</v>
      </c>
      <c r="GR453" s="242">
        <v>384</v>
      </c>
      <c r="GS453" s="242">
        <v>384</v>
      </c>
      <c r="GT453" s="145">
        <v>384</v>
      </c>
      <c r="GU453" s="140"/>
      <c r="GV453" s="177"/>
      <c r="GW453" s="178"/>
      <c r="GX453" s="178"/>
      <c r="GY453" s="178"/>
      <c r="GZ453" s="178"/>
      <c r="HA453" s="242">
        <v>384</v>
      </c>
      <c r="HB453" s="242">
        <v>384</v>
      </c>
      <c r="HC453" s="242">
        <v>384</v>
      </c>
      <c r="HD453" s="242">
        <v>384</v>
      </c>
      <c r="HE453" s="242">
        <v>384</v>
      </c>
      <c r="HF453" s="242">
        <v>384</v>
      </c>
      <c r="HG453" s="242">
        <v>384</v>
      </c>
      <c r="HH453" s="242">
        <v>384</v>
      </c>
      <c r="HI453" s="242">
        <v>384</v>
      </c>
      <c r="HJ453" s="242">
        <v>384</v>
      </c>
      <c r="HK453" s="242">
        <v>384</v>
      </c>
      <c r="HL453" s="242">
        <v>384</v>
      </c>
      <c r="HM453" s="242">
        <v>384</v>
      </c>
      <c r="HN453" s="242">
        <v>384</v>
      </c>
      <c r="HO453" s="242">
        <v>384</v>
      </c>
      <c r="HP453" s="242">
        <v>384</v>
      </c>
      <c r="HQ453" s="242">
        <v>384</v>
      </c>
      <c r="HR453" s="242">
        <v>384</v>
      </c>
      <c r="HS453" s="242">
        <v>384</v>
      </c>
      <c r="HT453" s="242">
        <v>384</v>
      </c>
      <c r="HU453" s="242">
        <v>384</v>
      </c>
      <c r="HV453" s="242">
        <v>384</v>
      </c>
      <c r="HW453" s="242">
        <v>384</v>
      </c>
      <c r="HX453" s="242">
        <v>384</v>
      </c>
      <c r="HY453" s="242">
        <v>384</v>
      </c>
      <c r="HZ453" s="242">
        <v>384</v>
      </c>
      <c r="IA453" s="242">
        <v>384</v>
      </c>
      <c r="IB453" s="242">
        <v>384</v>
      </c>
      <c r="IC453" s="242">
        <v>384</v>
      </c>
      <c r="ID453" s="242">
        <v>384</v>
      </c>
      <c r="IE453" s="145">
        <v>384</v>
      </c>
      <c r="IF453" s="140"/>
      <c r="IG453" s="177"/>
      <c r="IH453" s="178"/>
      <c r="II453" s="178"/>
      <c r="IJ453" s="178"/>
      <c r="IK453" s="178"/>
      <c r="IL453" s="242">
        <v>384</v>
      </c>
      <c r="IM453" s="242">
        <v>384</v>
      </c>
      <c r="IN453" s="242">
        <v>384</v>
      </c>
      <c r="IO453" s="242">
        <v>384</v>
      </c>
      <c r="IP453" s="242">
        <v>384</v>
      </c>
      <c r="IQ453" s="242">
        <v>384</v>
      </c>
      <c r="IR453" s="242">
        <v>384</v>
      </c>
      <c r="IS453" s="242">
        <v>384</v>
      </c>
      <c r="IT453" s="242">
        <v>384</v>
      </c>
      <c r="IU453" s="242">
        <v>384</v>
      </c>
      <c r="IV453" s="242">
        <v>384</v>
      </c>
      <c r="IW453" s="242">
        <v>384</v>
      </c>
      <c r="IX453" s="242">
        <v>384</v>
      </c>
      <c r="IY453" s="242">
        <v>384</v>
      </c>
      <c r="IZ453" s="242">
        <v>384</v>
      </c>
      <c r="JA453" s="242">
        <v>384</v>
      </c>
      <c r="JB453" s="242">
        <v>384</v>
      </c>
      <c r="JC453" s="242">
        <v>384</v>
      </c>
      <c r="JD453" s="242">
        <v>384</v>
      </c>
      <c r="JE453" s="242">
        <v>384</v>
      </c>
      <c r="JF453" s="242">
        <v>384</v>
      </c>
      <c r="JG453" s="242">
        <v>384</v>
      </c>
      <c r="JH453" s="242">
        <v>384</v>
      </c>
      <c r="JI453" s="242">
        <v>384</v>
      </c>
      <c r="JJ453" s="242">
        <v>384</v>
      </c>
      <c r="JK453" s="242">
        <v>384</v>
      </c>
      <c r="JL453" s="242">
        <v>384</v>
      </c>
      <c r="JM453" s="242">
        <v>384</v>
      </c>
      <c r="JN453" s="242">
        <v>384</v>
      </c>
      <c r="JO453" s="242">
        <v>384</v>
      </c>
      <c r="JP453" s="145">
        <v>384</v>
      </c>
      <c r="JQ453" s="140"/>
      <c r="JR453" s="177"/>
      <c r="JS453" s="178"/>
      <c r="JT453" s="178"/>
      <c r="JU453" s="178"/>
      <c r="JV453" s="178"/>
      <c r="JW453" s="242">
        <v>384</v>
      </c>
      <c r="JX453" s="242">
        <v>384</v>
      </c>
      <c r="JY453" s="242">
        <v>384</v>
      </c>
      <c r="JZ453" s="242">
        <v>384</v>
      </c>
      <c r="KA453" s="242">
        <v>384</v>
      </c>
      <c r="KB453" s="242">
        <v>384</v>
      </c>
      <c r="KC453" s="242">
        <v>384</v>
      </c>
      <c r="KD453" s="242">
        <v>384</v>
      </c>
      <c r="KE453" s="242">
        <v>384</v>
      </c>
      <c r="KF453" s="242">
        <v>384</v>
      </c>
      <c r="KG453" s="242">
        <v>384</v>
      </c>
      <c r="KH453" s="242">
        <v>384</v>
      </c>
      <c r="KI453" s="242">
        <v>384</v>
      </c>
      <c r="KJ453" s="242">
        <v>384</v>
      </c>
      <c r="KK453" s="242">
        <v>384</v>
      </c>
      <c r="KL453" s="242">
        <v>384</v>
      </c>
      <c r="KM453" s="242">
        <v>384</v>
      </c>
      <c r="KN453" s="242">
        <v>384</v>
      </c>
      <c r="KO453" s="242">
        <v>384</v>
      </c>
      <c r="KP453" s="242">
        <v>384</v>
      </c>
      <c r="KQ453" s="242">
        <v>384</v>
      </c>
      <c r="KR453" s="242">
        <v>384</v>
      </c>
      <c r="KS453" s="242">
        <v>384</v>
      </c>
      <c r="KT453" s="242">
        <v>384</v>
      </c>
      <c r="KU453" s="242">
        <v>384</v>
      </c>
      <c r="KV453" s="242">
        <v>384</v>
      </c>
      <c r="KW453" s="242">
        <v>384</v>
      </c>
      <c r="KX453" s="242">
        <v>384</v>
      </c>
      <c r="KY453" s="242">
        <v>384</v>
      </c>
      <c r="KZ453" s="242">
        <v>384</v>
      </c>
      <c r="LA453" s="145">
        <v>384</v>
      </c>
      <c r="LB453" s="140"/>
      <c r="LC453" s="177"/>
      <c r="LD453" s="178"/>
      <c r="LE453" s="178"/>
      <c r="LF453" s="178"/>
      <c r="LG453" s="178"/>
      <c r="LH453" s="242">
        <v>384</v>
      </c>
      <c r="LI453" s="242">
        <v>384</v>
      </c>
      <c r="LJ453" s="242">
        <v>384</v>
      </c>
      <c r="LK453" s="242">
        <v>384</v>
      </c>
      <c r="LL453" s="242">
        <v>384</v>
      </c>
      <c r="LM453" s="242">
        <v>384</v>
      </c>
      <c r="LN453" s="242">
        <v>384</v>
      </c>
      <c r="LO453" s="242">
        <v>384</v>
      </c>
      <c r="LP453" s="242">
        <v>384</v>
      </c>
      <c r="LQ453" s="242">
        <v>384</v>
      </c>
      <c r="LR453" s="242">
        <v>384</v>
      </c>
      <c r="LS453" s="242">
        <v>384</v>
      </c>
      <c r="LT453" s="242">
        <v>384</v>
      </c>
      <c r="LU453" s="242">
        <v>384</v>
      </c>
      <c r="LV453" s="242">
        <v>384</v>
      </c>
      <c r="LW453" s="242">
        <v>384</v>
      </c>
      <c r="LX453" s="242">
        <v>384</v>
      </c>
      <c r="LY453" s="242">
        <v>384</v>
      </c>
      <c r="LZ453" s="242">
        <v>384</v>
      </c>
      <c r="MA453" s="242">
        <v>384</v>
      </c>
      <c r="MB453" s="242">
        <v>384</v>
      </c>
      <c r="MC453" s="242">
        <v>384</v>
      </c>
      <c r="MD453" s="242">
        <v>384</v>
      </c>
      <c r="ME453" s="242">
        <v>384</v>
      </c>
      <c r="MF453" s="242">
        <v>384</v>
      </c>
      <c r="MG453" s="242">
        <v>384</v>
      </c>
      <c r="MH453" s="242">
        <v>384</v>
      </c>
      <c r="MI453" s="242">
        <v>384</v>
      </c>
      <c r="MJ453" s="242">
        <v>384</v>
      </c>
      <c r="MK453" s="242">
        <v>384</v>
      </c>
      <c r="ML453" s="145">
        <v>384</v>
      </c>
    </row>
    <row r="454" spans="2:350" s="4" customFormat="1" ht="18" customHeight="1" x14ac:dyDescent="0.3">
      <c r="C454" s="136" t="s">
        <v>83</v>
      </c>
      <c r="E454" s="137" t="s">
        <v>105</v>
      </c>
      <c r="F454" s="138" t="s">
        <v>105</v>
      </c>
      <c r="H454" s="174">
        <v>400</v>
      </c>
      <c r="I454" s="175">
        <v>400</v>
      </c>
      <c r="J454" s="175">
        <v>400</v>
      </c>
      <c r="K454" s="175">
        <v>400</v>
      </c>
      <c r="L454" s="175">
        <v>400</v>
      </c>
      <c r="M454" s="176">
        <v>400</v>
      </c>
      <c r="N454" s="140"/>
      <c r="O454" s="140"/>
      <c r="P454" s="140"/>
      <c r="Q454" s="140"/>
      <c r="R454" s="140"/>
      <c r="S454" s="139"/>
      <c r="T454" s="140"/>
      <c r="U454" s="140"/>
      <c r="V454" s="140"/>
      <c r="W454" s="140"/>
      <c r="X454" s="175">
        <v>400</v>
      </c>
      <c r="Y454" s="175">
        <v>400</v>
      </c>
      <c r="Z454" s="175">
        <v>400</v>
      </c>
      <c r="AA454" s="175">
        <v>400</v>
      </c>
      <c r="AB454" s="175">
        <v>400</v>
      </c>
      <c r="AC454" s="175">
        <v>400</v>
      </c>
      <c r="AD454" s="175">
        <v>400</v>
      </c>
      <c r="AE454" s="175">
        <v>400</v>
      </c>
      <c r="AF454" s="175">
        <v>400</v>
      </c>
      <c r="AG454" s="175">
        <v>400</v>
      </c>
      <c r="AH454" s="175">
        <v>400</v>
      </c>
      <c r="AI454" s="175">
        <v>400</v>
      </c>
      <c r="AJ454" s="175">
        <v>400</v>
      </c>
      <c r="AK454" s="175">
        <v>400</v>
      </c>
      <c r="AL454" s="175">
        <v>400</v>
      </c>
      <c r="AM454" s="175">
        <v>400</v>
      </c>
      <c r="AN454" s="175">
        <v>400</v>
      </c>
      <c r="AO454" s="175">
        <v>400</v>
      </c>
      <c r="AP454" s="175">
        <v>400</v>
      </c>
      <c r="AQ454" s="175">
        <v>400</v>
      </c>
      <c r="AR454" s="175">
        <v>400</v>
      </c>
      <c r="AS454" s="175">
        <v>400</v>
      </c>
      <c r="AT454" s="175">
        <v>400</v>
      </c>
      <c r="AU454" s="175">
        <v>400</v>
      </c>
      <c r="AV454" s="175">
        <v>400</v>
      </c>
      <c r="AW454" s="175">
        <v>400</v>
      </c>
      <c r="AX454" s="175">
        <v>400</v>
      </c>
      <c r="AY454" s="175">
        <v>400</v>
      </c>
      <c r="AZ454" s="175">
        <v>400</v>
      </c>
      <c r="BA454" s="175">
        <v>400</v>
      </c>
      <c r="BB454" s="176">
        <v>400</v>
      </c>
      <c r="BC454" s="140"/>
      <c r="BD454" s="177"/>
      <c r="BE454" s="178"/>
      <c r="BF454" s="178"/>
      <c r="BG454" s="178"/>
      <c r="BH454" s="178"/>
      <c r="BI454" s="242">
        <v>400</v>
      </c>
      <c r="BJ454" s="242">
        <v>400</v>
      </c>
      <c r="BK454" s="242">
        <v>400</v>
      </c>
      <c r="BL454" s="242">
        <v>400</v>
      </c>
      <c r="BM454" s="242">
        <v>400</v>
      </c>
      <c r="BN454" s="242">
        <v>400</v>
      </c>
      <c r="BO454" s="242">
        <v>400</v>
      </c>
      <c r="BP454" s="242">
        <v>400</v>
      </c>
      <c r="BQ454" s="242">
        <v>400</v>
      </c>
      <c r="BR454" s="242">
        <v>400</v>
      </c>
      <c r="BS454" s="242">
        <v>400</v>
      </c>
      <c r="BT454" s="242">
        <v>400</v>
      </c>
      <c r="BU454" s="242">
        <v>400</v>
      </c>
      <c r="BV454" s="242">
        <v>400</v>
      </c>
      <c r="BW454" s="242">
        <v>400</v>
      </c>
      <c r="BX454" s="242">
        <v>400</v>
      </c>
      <c r="BY454" s="242">
        <v>400</v>
      </c>
      <c r="BZ454" s="242">
        <v>400</v>
      </c>
      <c r="CA454" s="242">
        <v>400</v>
      </c>
      <c r="CB454" s="242">
        <v>400</v>
      </c>
      <c r="CC454" s="242">
        <v>400</v>
      </c>
      <c r="CD454" s="242">
        <v>400</v>
      </c>
      <c r="CE454" s="242">
        <v>400</v>
      </c>
      <c r="CF454" s="242">
        <v>400</v>
      </c>
      <c r="CG454" s="242">
        <v>400</v>
      </c>
      <c r="CH454" s="242">
        <v>400</v>
      </c>
      <c r="CI454" s="242">
        <v>400</v>
      </c>
      <c r="CJ454" s="242">
        <v>400</v>
      </c>
      <c r="CK454" s="242">
        <v>400</v>
      </c>
      <c r="CL454" s="242">
        <v>400</v>
      </c>
      <c r="CM454" s="244">
        <v>400</v>
      </c>
      <c r="CN454" s="140"/>
      <c r="CO454" s="177"/>
      <c r="CP454" s="178"/>
      <c r="CQ454" s="178"/>
      <c r="CR454" s="178"/>
      <c r="CS454" s="178"/>
      <c r="CT454" s="242">
        <v>400</v>
      </c>
      <c r="CU454" s="242">
        <v>400</v>
      </c>
      <c r="CV454" s="242">
        <v>400</v>
      </c>
      <c r="CW454" s="242">
        <v>400</v>
      </c>
      <c r="CX454" s="242">
        <v>400</v>
      </c>
      <c r="CY454" s="242">
        <v>400</v>
      </c>
      <c r="CZ454" s="242">
        <v>400</v>
      </c>
      <c r="DA454" s="242">
        <v>400</v>
      </c>
      <c r="DB454" s="242">
        <v>400</v>
      </c>
      <c r="DC454" s="242">
        <v>400</v>
      </c>
      <c r="DD454" s="242">
        <v>400</v>
      </c>
      <c r="DE454" s="242">
        <v>400</v>
      </c>
      <c r="DF454" s="242">
        <v>400</v>
      </c>
      <c r="DG454" s="242">
        <v>400</v>
      </c>
      <c r="DH454" s="242">
        <v>400</v>
      </c>
      <c r="DI454" s="242">
        <v>400</v>
      </c>
      <c r="DJ454" s="242">
        <v>400</v>
      </c>
      <c r="DK454" s="242">
        <v>400</v>
      </c>
      <c r="DL454" s="242">
        <v>400</v>
      </c>
      <c r="DM454" s="242">
        <v>400</v>
      </c>
      <c r="DN454" s="242">
        <v>400</v>
      </c>
      <c r="DO454" s="242">
        <v>400</v>
      </c>
      <c r="DP454" s="242">
        <v>400</v>
      </c>
      <c r="DQ454" s="242">
        <v>400</v>
      </c>
      <c r="DR454" s="242">
        <v>400</v>
      </c>
      <c r="DS454" s="242">
        <v>400</v>
      </c>
      <c r="DT454" s="242">
        <v>400</v>
      </c>
      <c r="DU454" s="242">
        <v>400</v>
      </c>
      <c r="DV454" s="242">
        <v>400</v>
      </c>
      <c r="DW454" s="242">
        <v>400</v>
      </c>
      <c r="DX454" s="244">
        <v>400</v>
      </c>
      <c r="DY454" s="140"/>
      <c r="DZ454" s="177"/>
      <c r="EA454" s="178"/>
      <c r="EB454" s="178"/>
      <c r="EC454" s="178"/>
      <c r="ED454" s="178"/>
      <c r="EE454" s="242">
        <v>400</v>
      </c>
      <c r="EF454" s="242">
        <v>400</v>
      </c>
      <c r="EG454" s="242">
        <v>400</v>
      </c>
      <c r="EH454" s="242">
        <v>400</v>
      </c>
      <c r="EI454" s="242">
        <v>400</v>
      </c>
      <c r="EJ454" s="242">
        <v>400</v>
      </c>
      <c r="EK454" s="242">
        <v>400</v>
      </c>
      <c r="EL454" s="242">
        <v>400</v>
      </c>
      <c r="EM454" s="242">
        <v>400</v>
      </c>
      <c r="EN454" s="242">
        <v>400</v>
      </c>
      <c r="EO454" s="242">
        <v>400</v>
      </c>
      <c r="EP454" s="242">
        <v>400</v>
      </c>
      <c r="EQ454" s="242">
        <v>400</v>
      </c>
      <c r="ER454" s="242">
        <v>400</v>
      </c>
      <c r="ES454" s="242">
        <v>400</v>
      </c>
      <c r="ET454" s="242">
        <v>400</v>
      </c>
      <c r="EU454" s="242">
        <v>400</v>
      </c>
      <c r="EV454" s="242">
        <v>400</v>
      </c>
      <c r="EW454" s="242">
        <v>400</v>
      </c>
      <c r="EX454" s="242">
        <v>400</v>
      </c>
      <c r="EY454" s="242">
        <v>400</v>
      </c>
      <c r="EZ454" s="242">
        <v>400</v>
      </c>
      <c r="FA454" s="242">
        <v>400</v>
      </c>
      <c r="FB454" s="242">
        <v>400</v>
      </c>
      <c r="FC454" s="242">
        <v>400</v>
      </c>
      <c r="FD454" s="242">
        <v>400</v>
      </c>
      <c r="FE454" s="242">
        <v>400</v>
      </c>
      <c r="FF454" s="242">
        <v>400</v>
      </c>
      <c r="FG454" s="242">
        <v>400</v>
      </c>
      <c r="FH454" s="242">
        <v>400</v>
      </c>
      <c r="FI454" s="244">
        <v>400</v>
      </c>
      <c r="FJ454" s="140"/>
      <c r="FK454" s="177"/>
      <c r="FL454" s="178"/>
      <c r="FM454" s="178"/>
      <c r="FN454" s="178"/>
      <c r="FO454" s="178"/>
      <c r="FP454" s="242">
        <v>400</v>
      </c>
      <c r="FQ454" s="242">
        <v>400</v>
      </c>
      <c r="FR454" s="242">
        <v>400</v>
      </c>
      <c r="FS454" s="242">
        <v>400</v>
      </c>
      <c r="FT454" s="242">
        <v>400</v>
      </c>
      <c r="FU454" s="242">
        <v>400</v>
      </c>
      <c r="FV454" s="242">
        <v>400</v>
      </c>
      <c r="FW454" s="242">
        <v>400</v>
      </c>
      <c r="FX454" s="242">
        <v>400</v>
      </c>
      <c r="FY454" s="242">
        <v>400</v>
      </c>
      <c r="FZ454" s="242">
        <v>400</v>
      </c>
      <c r="GA454" s="242">
        <v>400</v>
      </c>
      <c r="GB454" s="242">
        <v>400</v>
      </c>
      <c r="GC454" s="242">
        <v>400</v>
      </c>
      <c r="GD454" s="242">
        <v>400</v>
      </c>
      <c r="GE454" s="242">
        <v>400</v>
      </c>
      <c r="GF454" s="242">
        <v>400</v>
      </c>
      <c r="GG454" s="242">
        <v>400</v>
      </c>
      <c r="GH454" s="242">
        <v>400</v>
      </c>
      <c r="GI454" s="242">
        <v>400</v>
      </c>
      <c r="GJ454" s="242">
        <v>400</v>
      </c>
      <c r="GK454" s="242">
        <v>400</v>
      </c>
      <c r="GL454" s="242">
        <v>400</v>
      </c>
      <c r="GM454" s="242">
        <v>400</v>
      </c>
      <c r="GN454" s="242">
        <v>400</v>
      </c>
      <c r="GO454" s="242">
        <v>400</v>
      </c>
      <c r="GP454" s="242">
        <v>400</v>
      </c>
      <c r="GQ454" s="242">
        <v>400</v>
      </c>
      <c r="GR454" s="242">
        <v>400</v>
      </c>
      <c r="GS454" s="242">
        <v>400</v>
      </c>
      <c r="GT454" s="244">
        <v>400</v>
      </c>
      <c r="GU454" s="140"/>
      <c r="GV454" s="177"/>
      <c r="GW454" s="178"/>
      <c r="GX454" s="178"/>
      <c r="GY454" s="178"/>
      <c r="GZ454" s="178"/>
      <c r="HA454" s="242">
        <v>400</v>
      </c>
      <c r="HB454" s="242">
        <v>400</v>
      </c>
      <c r="HC454" s="242">
        <v>400</v>
      </c>
      <c r="HD454" s="242">
        <v>400</v>
      </c>
      <c r="HE454" s="242">
        <v>400</v>
      </c>
      <c r="HF454" s="242">
        <v>400</v>
      </c>
      <c r="HG454" s="242">
        <v>400</v>
      </c>
      <c r="HH454" s="242">
        <v>400</v>
      </c>
      <c r="HI454" s="242">
        <v>400</v>
      </c>
      <c r="HJ454" s="242">
        <v>400</v>
      </c>
      <c r="HK454" s="242">
        <v>400</v>
      </c>
      <c r="HL454" s="242">
        <v>400</v>
      </c>
      <c r="HM454" s="242">
        <v>400</v>
      </c>
      <c r="HN454" s="242">
        <v>400</v>
      </c>
      <c r="HO454" s="242">
        <v>400</v>
      </c>
      <c r="HP454" s="242">
        <v>400</v>
      </c>
      <c r="HQ454" s="242">
        <v>400</v>
      </c>
      <c r="HR454" s="242">
        <v>400</v>
      </c>
      <c r="HS454" s="242">
        <v>400</v>
      </c>
      <c r="HT454" s="242">
        <v>400</v>
      </c>
      <c r="HU454" s="242">
        <v>400</v>
      </c>
      <c r="HV454" s="242">
        <v>400</v>
      </c>
      <c r="HW454" s="242">
        <v>400</v>
      </c>
      <c r="HX454" s="242">
        <v>400</v>
      </c>
      <c r="HY454" s="242">
        <v>400</v>
      </c>
      <c r="HZ454" s="242">
        <v>400</v>
      </c>
      <c r="IA454" s="242">
        <v>400</v>
      </c>
      <c r="IB454" s="242">
        <v>400</v>
      </c>
      <c r="IC454" s="242">
        <v>400</v>
      </c>
      <c r="ID454" s="242">
        <v>400</v>
      </c>
      <c r="IE454" s="244">
        <v>400</v>
      </c>
      <c r="IF454" s="140"/>
      <c r="IG454" s="177"/>
      <c r="IH454" s="178"/>
      <c r="II454" s="178"/>
      <c r="IJ454" s="178"/>
      <c r="IK454" s="178"/>
      <c r="IL454" s="242">
        <v>400</v>
      </c>
      <c r="IM454" s="242">
        <v>400</v>
      </c>
      <c r="IN454" s="242">
        <v>400</v>
      </c>
      <c r="IO454" s="242">
        <v>400</v>
      </c>
      <c r="IP454" s="242">
        <v>400</v>
      </c>
      <c r="IQ454" s="242">
        <v>400</v>
      </c>
      <c r="IR454" s="242">
        <v>400</v>
      </c>
      <c r="IS454" s="242">
        <v>400</v>
      </c>
      <c r="IT454" s="242">
        <v>400</v>
      </c>
      <c r="IU454" s="242">
        <v>400</v>
      </c>
      <c r="IV454" s="242">
        <v>400</v>
      </c>
      <c r="IW454" s="242">
        <v>400</v>
      </c>
      <c r="IX454" s="242">
        <v>400</v>
      </c>
      <c r="IY454" s="242">
        <v>400</v>
      </c>
      <c r="IZ454" s="242">
        <v>400</v>
      </c>
      <c r="JA454" s="242">
        <v>400</v>
      </c>
      <c r="JB454" s="242">
        <v>400</v>
      </c>
      <c r="JC454" s="242">
        <v>400</v>
      </c>
      <c r="JD454" s="242">
        <v>400</v>
      </c>
      <c r="JE454" s="242">
        <v>400</v>
      </c>
      <c r="JF454" s="242">
        <v>400</v>
      </c>
      <c r="JG454" s="242">
        <v>400</v>
      </c>
      <c r="JH454" s="242">
        <v>400</v>
      </c>
      <c r="JI454" s="242">
        <v>400</v>
      </c>
      <c r="JJ454" s="242">
        <v>400</v>
      </c>
      <c r="JK454" s="242">
        <v>400</v>
      </c>
      <c r="JL454" s="242">
        <v>400</v>
      </c>
      <c r="JM454" s="242">
        <v>400</v>
      </c>
      <c r="JN454" s="242">
        <v>400</v>
      </c>
      <c r="JO454" s="242">
        <v>400</v>
      </c>
      <c r="JP454" s="244">
        <v>400</v>
      </c>
      <c r="JQ454" s="140"/>
      <c r="JR454" s="177"/>
      <c r="JS454" s="178"/>
      <c r="JT454" s="178"/>
      <c r="JU454" s="178"/>
      <c r="JV454" s="178"/>
      <c r="JW454" s="242">
        <v>400</v>
      </c>
      <c r="JX454" s="242">
        <v>400</v>
      </c>
      <c r="JY454" s="242">
        <v>400</v>
      </c>
      <c r="JZ454" s="242">
        <v>400</v>
      </c>
      <c r="KA454" s="242">
        <v>400</v>
      </c>
      <c r="KB454" s="242">
        <v>400</v>
      </c>
      <c r="KC454" s="242">
        <v>400</v>
      </c>
      <c r="KD454" s="242">
        <v>400</v>
      </c>
      <c r="KE454" s="242">
        <v>400</v>
      </c>
      <c r="KF454" s="242">
        <v>400</v>
      </c>
      <c r="KG454" s="242">
        <v>400</v>
      </c>
      <c r="KH454" s="242">
        <v>400</v>
      </c>
      <c r="KI454" s="242">
        <v>400</v>
      </c>
      <c r="KJ454" s="242">
        <v>400</v>
      </c>
      <c r="KK454" s="242">
        <v>400</v>
      </c>
      <c r="KL454" s="242">
        <v>400</v>
      </c>
      <c r="KM454" s="242">
        <v>400</v>
      </c>
      <c r="KN454" s="242">
        <v>400</v>
      </c>
      <c r="KO454" s="242">
        <v>400</v>
      </c>
      <c r="KP454" s="242">
        <v>400</v>
      </c>
      <c r="KQ454" s="242">
        <v>400</v>
      </c>
      <c r="KR454" s="242">
        <v>400</v>
      </c>
      <c r="KS454" s="242">
        <v>400</v>
      </c>
      <c r="KT454" s="242">
        <v>400</v>
      </c>
      <c r="KU454" s="242">
        <v>400</v>
      </c>
      <c r="KV454" s="242">
        <v>400</v>
      </c>
      <c r="KW454" s="242">
        <v>400</v>
      </c>
      <c r="KX454" s="242">
        <v>400</v>
      </c>
      <c r="KY454" s="242">
        <v>400</v>
      </c>
      <c r="KZ454" s="242">
        <v>400</v>
      </c>
      <c r="LA454" s="244">
        <v>400</v>
      </c>
      <c r="LB454" s="140"/>
      <c r="LC454" s="177"/>
      <c r="LD454" s="178"/>
      <c r="LE454" s="178"/>
      <c r="LF454" s="178"/>
      <c r="LG454" s="178"/>
      <c r="LH454" s="242">
        <v>400</v>
      </c>
      <c r="LI454" s="242">
        <v>400</v>
      </c>
      <c r="LJ454" s="242">
        <v>400</v>
      </c>
      <c r="LK454" s="242">
        <v>400</v>
      </c>
      <c r="LL454" s="242">
        <v>400</v>
      </c>
      <c r="LM454" s="242">
        <v>400</v>
      </c>
      <c r="LN454" s="242">
        <v>400</v>
      </c>
      <c r="LO454" s="242">
        <v>400</v>
      </c>
      <c r="LP454" s="242">
        <v>400</v>
      </c>
      <c r="LQ454" s="242">
        <v>400</v>
      </c>
      <c r="LR454" s="242">
        <v>400</v>
      </c>
      <c r="LS454" s="242">
        <v>400</v>
      </c>
      <c r="LT454" s="242">
        <v>400</v>
      </c>
      <c r="LU454" s="242">
        <v>400</v>
      </c>
      <c r="LV454" s="242">
        <v>400</v>
      </c>
      <c r="LW454" s="242">
        <v>400</v>
      </c>
      <c r="LX454" s="242">
        <v>400</v>
      </c>
      <c r="LY454" s="242">
        <v>400</v>
      </c>
      <c r="LZ454" s="242">
        <v>400</v>
      </c>
      <c r="MA454" s="242">
        <v>400</v>
      </c>
      <c r="MB454" s="242">
        <v>400</v>
      </c>
      <c r="MC454" s="242">
        <v>400</v>
      </c>
      <c r="MD454" s="242">
        <v>400</v>
      </c>
      <c r="ME454" s="242">
        <v>400</v>
      </c>
      <c r="MF454" s="242">
        <v>400</v>
      </c>
      <c r="MG454" s="242">
        <v>400</v>
      </c>
      <c r="MH454" s="242">
        <v>400</v>
      </c>
      <c r="MI454" s="242">
        <v>400</v>
      </c>
      <c r="MJ454" s="242">
        <v>400</v>
      </c>
      <c r="MK454" s="242">
        <v>400</v>
      </c>
      <c r="ML454" s="244">
        <v>400</v>
      </c>
    </row>
    <row r="455" spans="2:350" s="4" customFormat="1" ht="18" customHeight="1" x14ac:dyDescent="0.3">
      <c r="C455" s="148" t="s">
        <v>106</v>
      </c>
      <c r="D455" s="132"/>
      <c r="E455" s="149" t="s">
        <v>219</v>
      </c>
      <c r="F455" s="134"/>
      <c r="H455" s="150">
        <v>418.28463928712597</v>
      </c>
      <c r="I455" s="151">
        <v>418.28463928712597</v>
      </c>
      <c r="J455" s="151">
        <v>418.28463928712597</v>
      </c>
      <c r="K455" s="151">
        <v>418.28463928712597</v>
      </c>
      <c r="L455" s="151">
        <v>418.28463928712597</v>
      </c>
      <c r="M455" s="152">
        <v>418.28463928712597</v>
      </c>
      <c r="N455" s="140"/>
      <c r="O455" s="140"/>
      <c r="P455" s="140"/>
      <c r="Q455" s="140"/>
      <c r="R455" s="140"/>
      <c r="S455" s="180"/>
      <c r="T455" s="181"/>
      <c r="U455" s="181"/>
      <c r="V455" s="181"/>
      <c r="W455" s="181"/>
      <c r="X455" s="151">
        <v>418.28463928712597</v>
      </c>
      <c r="Y455" s="151">
        <v>418.28463928712597</v>
      </c>
      <c r="Z455" s="151">
        <v>418.28463928712597</v>
      </c>
      <c r="AA455" s="151">
        <v>418.28463928712597</v>
      </c>
      <c r="AB455" s="151">
        <v>418.28463928712597</v>
      </c>
      <c r="AC455" s="151">
        <v>418.28463928712597</v>
      </c>
      <c r="AD455" s="151">
        <v>418.28463928712597</v>
      </c>
      <c r="AE455" s="151">
        <v>418.28463928712597</v>
      </c>
      <c r="AF455" s="151">
        <v>418.28463928712597</v>
      </c>
      <c r="AG455" s="151">
        <v>418.28463928712597</v>
      </c>
      <c r="AH455" s="151">
        <v>418.28463928712597</v>
      </c>
      <c r="AI455" s="151">
        <v>418.28463928712597</v>
      </c>
      <c r="AJ455" s="151">
        <v>418.28463928712597</v>
      </c>
      <c r="AK455" s="151">
        <v>418.28463928712597</v>
      </c>
      <c r="AL455" s="151">
        <v>418.28463928712597</v>
      </c>
      <c r="AM455" s="151">
        <v>418.28463928712597</v>
      </c>
      <c r="AN455" s="151">
        <v>418.28463928712597</v>
      </c>
      <c r="AO455" s="151">
        <v>418.28463928712597</v>
      </c>
      <c r="AP455" s="151">
        <v>418.28463928712597</v>
      </c>
      <c r="AQ455" s="151">
        <v>418.28463928712597</v>
      </c>
      <c r="AR455" s="151">
        <v>418.28463928712597</v>
      </c>
      <c r="AS455" s="151">
        <v>418.28463928712597</v>
      </c>
      <c r="AT455" s="151">
        <v>418.28463928712597</v>
      </c>
      <c r="AU455" s="151">
        <v>418.28463928712597</v>
      </c>
      <c r="AV455" s="151">
        <v>418.28463928712597</v>
      </c>
      <c r="AW455" s="151">
        <v>418.28463928712597</v>
      </c>
      <c r="AX455" s="151">
        <v>418.28463928712597</v>
      </c>
      <c r="AY455" s="151">
        <v>418.28463928712597</v>
      </c>
      <c r="AZ455" s="151">
        <v>418.28463928712597</v>
      </c>
      <c r="BA455" s="151">
        <v>418.28463928712597</v>
      </c>
      <c r="BB455" s="152">
        <v>418.28463928712597</v>
      </c>
      <c r="BC455" s="140"/>
      <c r="BD455" s="153"/>
      <c r="BE455" s="154"/>
      <c r="BF455" s="154"/>
      <c r="BG455" s="154"/>
      <c r="BH455" s="154"/>
      <c r="BI455" s="226"/>
      <c r="BJ455" s="154">
        <f t="shared" ref="BJ455:CM455" si="979">SUMPRODUCT(BJ447:BJ454,BJ396:BJ403)/BJ404</f>
        <v>419.51917380188456</v>
      </c>
      <c r="BK455" s="154">
        <f t="shared" si="979"/>
        <v>419.51917380188456</v>
      </c>
      <c r="BL455" s="154">
        <f t="shared" si="979"/>
        <v>419.51917380188473</v>
      </c>
      <c r="BM455" s="154">
        <f t="shared" si="979"/>
        <v>419.51917380188451</v>
      </c>
      <c r="BN455" s="154">
        <f t="shared" si="979"/>
        <v>419.51917380188468</v>
      </c>
      <c r="BO455" s="154">
        <f t="shared" si="979"/>
        <v>419.51917380188462</v>
      </c>
      <c r="BP455" s="154">
        <f t="shared" si="979"/>
        <v>419.51917380188462</v>
      </c>
      <c r="BQ455" s="154">
        <f t="shared" si="979"/>
        <v>419.51917380188468</v>
      </c>
      <c r="BR455" s="154">
        <f t="shared" si="979"/>
        <v>419.51917380188462</v>
      </c>
      <c r="BS455" s="154">
        <f>SUMPRODUCT(BS447:BS454,BS396:BS403)/BS404</f>
        <v>419.51917380188468</v>
      </c>
      <c r="BT455" s="154">
        <f t="shared" si="979"/>
        <v>419.51917380188473</v>
      </c>
      <c r="BU455" s="154">
        <f t="shared" si="979"/>
        <v>419.51917380188479</v>
      </c>
      <c r="BV455" s="154">
        <f t="shared" si="979"/>
        <v>419.51917380188462</v>
      </c>
      <c r="BW455" s="154">
        <f t="shared" si="979"/>
        <v>419.51917380188468</v>
      </c>
      <c r="BX455" s="154">
        <f t="shared" si="979"/>
        <v>419.51917380188462</v>
      </c>
      <c r="BY455" s="154">
        <f t="shared" si="979"/>
        <v>419.51917380188468</v>
      </c>
      <c r="BZ455" s="154">
        <f t="shared" si="979"/>
        <v>419.51917380188479</v>
      </c>
      <c r="CA455" s="154">
        <f t="shared" si="979"/>
        <v>419.51917380188462</v>
      </c>
      <c r="CB455" s="154">
        <f t="shared" si="979"/>
        <v>419.51917380188473</v>
      </c>
      <c r="CC455" s="154">
        <f t="shared" si="979"/>
        <v>419.51917380188479</v>
      </c>
      <c r="CD455" s="154">
        <f t="shared" si="979"/>
        <v>419.51917380188473</v>
      </c>
      <c r="CE455" s="154">
        <f t="shared" si="979"/>
        <v>419.51917380188473</v>
      </c>
      <c r="CF455" s="154">
        <f t="shared" si="979"/>
        <v>419.51917380188451</v>
      </c>
      <c r="CG455" s="154">
        <f t="shared" si="979"/>
        <v>419.51917380188507</v>
      </c>
      <c r="CH455" s="154">
        <f t="shared" si="979"/>
        <v>419.51917380188451</v>
      </c>
      <c r="CI455" s="154">
        <f t="shared" si="979"/>
        <v>419.51917380188479</v>
      </c>
      <c r="CJ455" s="154">
        <f t="shared" si="979"/>
        <v>419.51917380188451</v>
      </c>
      <c r="CK455" s="154">
        <f t="shared" si="979"/>
        <v>419.5191738018849</v>
      </c>
      <c r="CL455" s="154">
        <f t="shared" si="979"/>
        <v>419.51917380188462</v>
      </c>
      <c r="CM455" s="155">
        <f t="shared" si="979"/>
        <v>419.51917380188485</v>
      </c>
      <c r="CN455" s="140"/>
      <c r="CO455" s="153"/>
      <c r="CP455" s="154"/>
      <c r="CQ455" s="154"/>
      <c r="CR455" s="154"/>
      <c r="CS455" s="154"/>
      <c r="CT455" s="226"/>
      <c r="CU455" s="154">
        <f t="shared" ref="CU455:DX455" si="980">SUMPRODUCT(CU447:CU454,CU396:CU403)/CU404</f>
        <v>428.9153296948304</v>
      </c>
      <c r="CV455" s="154">
        <f t="shared" si="980"/>
        <v>428.9153296948304</v>
      </c>
      <c r="CW455" s="154">
        <f t="shared" si="980"/>
        <v>428.91532969483035</v>
      </c>
      <c r="CX455" s="154">
        <f t="shared" si="980"/>
        <v>428.91532969483023</v>
      </c>
      <c r="CY455" s="154">
        <f t="shared" si="980"/>
        <v>428.91532969483029</v>
      </c>
      <c r="CZ455" s="154">
        <f t="shared" si="980"/>
        <v>428.91532969483046</v>
      </c>
      <c r="DA455" s="154">
        <f t="shared" si="980"/>
        <v>428.91532969483023</v>
      </c>
      <c r="DB455" s="154">
        <f t="shared" si="980"/>
        <v>428.91532969483012</v>
      </c>
      <c r="DC455" s="154">
        <f t="shared" si="980"/>
        <v>428.9153296948304</v>
      </c>
      <c r="DD455" s="154">
        <f t="shared" si="980"/>
        <v>428.91532969483012</v>
      </c>
      <c r="DE455" s="154">
        <f t="shared" si="980"/>
        <v>428.9153296948304</v>
      </c>
      <c r="DF455" s="154">
        <f t="shared" si="980"/>
        <v>428.91532969483052</v>
      </c>
      <c r="DG455" s="154">
        <f t="shared" si="980"/>
        <v>428.91532969483023</v>
      </c>
      <c r="DH455" s="154">
        <f t="shared" si="980"/>
        <v>428.91532969483018</v>
      </c>
      <c r="DI455" s="154">
        <f t="shared" si="980"/>
        <v>428.91532969483035</v>
      </c>
      <c r="DJ455" s="154">
        <f t="shared" si="980"/>
        <v>428.91532969483018</v>
      </c>
      <c r="DK455" s="154">
        <f t="shared" si="980"/>
        <v>428.91532969483029</v>
      </c>
      <c r="DL455" s="154">
        <f t="shared" si="980"/>
        <v>428.91532969483035</v>
      </c>
      <c r="DM455" s="154">
        <f t="shared" si="980"/>
        <v>428.91532969483018</v>
      </c>
      <c r="DN455" s="154">
        <f>SUMPRODUCT(DN447:DN454,DN396:DN403)/DN404</f>
        <v>428.91532969483012</v>
      </c>
      <c r="DO455" s="154">
        <f t="shared" si="980"/>
        <v>428.91532969483058</v>
      </c>
      <c r="DP455" s="154">
        <f t="shared" si="980"/>
        <v>428.91532969483018</v>
      </c>
      <c r="DQ455" s="154">
        <f t="shared" si="980"/>
        <v>428.91532969483029</v>
      </c>
      <c r="DR455" s="154">
        <f t="shared" si="980"/>
        <v>428.91532969483058</v>
      </c>
      <c r="DS455" s="154">
        <f t="shared" si="980"/>
        <v>428.91532969483001</v>
      </c>
      <c r="DT455" s="154">
        <f t="shared" si="980"/>
        <v>428.91532969483063</v>
      </c>
      <c r="DU455" s="154">
        <f t="shared" si="980"/>
        <v>428.91532969482989</v>
      </c>
      <c r="DV455" s="154">
        <f t="shared" si="980"/>
        <v>428.91532969483058</v>
      </c>
      <c r="DW455" s="154">
        <f t="shared" si="980"/>
        <v>428.91532969482995</v>
      </c>
      <c r="DX455" s="155">
        <f t="shared" si="980"/>
        <v>428.91532969483069</v>
      </c>
      <c r="DY455" s="140"/>
      <c r="DZ455" s="153"/>
      <c r="EA455" s="154"/>
      <c r="EB455" s="154"/>
      <c r="EC455" s="154"/>
      <c r="ED455" s="154"/>
      <c r="EE455" s="226"/>
      <c r="EF455" s="154">
        <f t="shared" ref="EF455:FI455" si="981">SUMPRODUCT(EF447:EF454,EF396:EF403)/EF404</f>
        <v>424.3973283012968</v>
      </c>
      <c r="EG455" s="154">
        <f t="shared" si="981"/>
        <v>424.3973283012968</v>
      </c>
      <c r="EH455" s="154">
        <f t="shared" si="981"/>
        <v>424.3973283012968</v>
      </c>
      <c r="EI455" s="154">
        <f t="shared" si="981"/>
        <v>424.3973283012968</v>
      </c>
      <c r="EJ455" s="154">
        <f t="shared" si="981"/>
        <v>424.3973283012968</v>
      </c>
      <c r="EK455" s="154">
        <f t="shared" si="981"/>
        <v>424.39732830129691</v>
      </c>
      <c r="EL455" s="154">
        <f t="shared" si="981"/>
        <v>424.39732830129691</v>
      </c>
      <c r="EM455" s="154">
        <f t="shared" si="981"/>
        <v>424.39732830129691</v>
      </c>
      <c r="EN455" s="154">
        <f t="shared" si="981"/>
        <v>424.3973283012968</v>
      </c>
      <c r="EO455" s="154">
        <f t="shared" si="981"/>
        <v>424.39732830129685</v>
      </c>
      <c r="EP455" s="154">
        <f t="shared" si="981"/>
        <v>424.39732830129674</v>
      </c>
      <c r="EQ455" s="154">
        <f t="shared" si="981"/>
        <v>424.39732830129685</v>
      </c>
      <c r="ER455" s="154">
        <f t="shared" si="981"/>
        <v>424.3973283012968</v>
      </c>
      <c r="ES455" s="154">
        <f t="shared" si="981"/>
        <v>424.3973283012968</v>
      </c>
      <c r="ET455" s="154">
        <f t="shared" si="981"/>
        <v>424.39732830129685</v>
      </c>
      <c r="EU455" s="154">
        <f t="shared" si="981"/>
        <v>424.39732830129691</v>
      </c>
      <c r="EV455" s="154">
        <f t="shared" si="981"/>
        <v>424.39732830129685</v>
      </c>
      <c r="EW455" s="154">
        <f t="shared" si="981"/>
        <v>424.39732830129697</v>
      </c>
      <c r="EX455" s="154">
        <f t="shared" si="981"/>
        <v>424.39732830129691</v>
      </c>
      <c r="EY455" s="154">
        <f t="shared" si="981"/>
        <v>424.39732830129685</v>
      </c>
      <c r="EZ455" s="154">
        <f t="shared" si="981"/>
        <v>424.3973283012968</v>
      </c>
      <c r="FA455" s="154">
        <f t="shared" si="981"/>
        <v>424.39732830129674</v>
      </c>
      <c r="FB455" s="154">
        <f t="shared" si="981"/>
        <v>424.39732830129691</v>
      </c>
      <c r="FC455" s="154">
        <f t="shared" si="981"/>
        <v>424.39732830129708</v>
      </c>
      <c r="FD455" s="154">
        <f t="shared" si="981"/>
        <v>424.39732830129691</v>
      </c>
      <c r="FE455" s="154">
        <f t="shared" si="981"/>
        <v>424.3973283012968</v>
      </c>
      <c r="FF455" s="154">
        <f t="shared" si="981"/>
        <v>424.39732830129685</v>
      </c>
      <c r="FG455" s="154">
        <f t="shared" si="981"/>
        <v>424.39732830129691</v>
      </c>
      <c r="FH455" s="154">
        <f t="shared" si="981"/>
        <v>424.39732830129674</v>
      </c>
      <c r="FI455" s="155">
        <f t="shared" si="981"/>
        <v>424.39732830129708</v>
      </c>
      <c r="FJ455" s="140"/>
      <c r="FK455" s="153"/>
      <c r="FL455" s="154"/>
      <c r="FM455" s="154"/>
      <c r="FN455" s="154"/>
      <c r="FO455" s="154"/>
      <c r="FP455" s="226"/>
      <c r="FQ455" s="154">
        <f t="shared" ref="FQ455:GT455" si="982">SUMPRODUCT(FQ447:FQ454,FQ396:FQ403)/FQ404</f>
        <v>426.81166584632638</v>
      </c>
      <c r="FR455" s="154">
        <f t="shared" si="982"/>
        <v>426.81166584632638</v>
      </c>
      <c r="FS455" s="154">
        <f t="shared" si="982"/>
        <v>426.81166584632638</v>
      </c>
      <c r="FT455" s="154">
        <f t="shared" si="982"/>
        <v>426.81166584632638</v>
      </c>
      <c r="FU455" s="154">
        <f t="shared" si="982"/>
        <v>426.81166584632638</v>
      </c>
      <c r="FV455" s="154">
        <f t="shared" si="982"/>
        <v>426.81166584632621</v>
      </c>
      <c r="FW455" s="154">
        <f t="shared" si="982"/>
        <v>426.81166584632632</v>
      </c>
      <c r="FX455" s="154">
        <f t="shared" si="982"/>
        <v>426.81166584632643</v>
      </c>
      <c r="FY455" s="154">
        <f t="shared" si="982"/>
        <v>426.81166584632632</v>
      </c>
      <c r="FZ455" s="154">
        <f t="shared" si="982"/>
        <v>426.81166584632638</v>
      </c>
      <c r="GA455" s="154">
        <f t="shared" si="982"/>
        <v>426.81166584632638</v>
      </c>
      <c r="GB455" s="154">
        <f t="shared" si="982"/>
        <v>426.81166584632626</v>
      </c>
      <c r="GC455" s="154">
        <f t="shared" si="982"/>
        <v>426.81166584632626</v>
      </c>
      <c r="GD455" s="154">
        <f t="shared" si="982"/>
        <v>426.81166584632626</v>
      </c>
      <c r="GE455" s="154">
        <f t="shared" si="982"/>
        <v>426.81166584632643</v>
      </c>
      <c r="GF455" s="154">
        <f t="shared" si="982"/>
        <v>426.81166584632632</v>
      </c>
      <c r="GG455" s="154">
        <f t="shared" si="982"/>
        <v>426.81166584632626</v>
      </c>
      <c r="GH455" s="154">
        <f t="shared" si="982"/>
        <v>426.81166584632621</v>
      </c>
      <c r="GI455" s="154">
        <f t="shared" si="982"/>
        <v>426.81166584632643</v>
      </c>
      <c r="GJ455" s="154">
        <f t="shared" si="982"/>
        <v>426.81166584632632</v>
      </c>
      <c r="GK455" s="154">
        <f t="shared" si="982"/>
        <v>426.81166584632638</v>
      </c>
      <c r="GL455" s="154">
        <f t="shared" si="982"/>
        <v>426.81166584632615</v>
      </c>
      <c r="GM455" s="154">
        <f t="shared" si="982"/>
        <v>426.81166584632632</v>
      </c>
      <c r="GN455" s="154">
        <f t="shared" si="982"/>
        <v>426.81166584632638</v>
      </c>
      <c r="GO455" s="154">
        <f t="shared" si="982"/>
        <v>426.81166584632649</v>
      </c>
      <c r="GP455" s="154">
        <f t="shared" si="982"/>
        <v>426.81166584632615</v>
      </c>
      <c r="GQ455" s="154">
        <f t="shared" si="982"/>
        <v>426.81166584632643</v>
      </c>
      <c r="GR455" s="154">
        <f t="shared" si="982"/>
        <v>426.81166584632615</v>
      </c>
      <c r="GS455" s="154">
        <f t="shared" si="982"/>
        <v>426.81166584632638</v>
      </c>
      <c r="GT455" s="155">
        <f t="shared" si="982"/>
        <v>426.81166584632655</v>
      </c>
      <c r="GU455" s="140"/>
      <c r="GV455" s="153"/>
      <c r="GW455" s="154"/>
      <c r="GX455" s="154"/>
      <c r="GY455" s="154"/>
      <c r="GZ455" s="154"/>
      <c r="HA455" s="226"/>
      <c r="HB455" s="154">
        <f t="shared" ref="HB455:IE455" si="983">SUMPRODUCT(HB447:HB454,HB396:HB403)/HB404</f>
        <v>421.4612997492531</v>
      </c>
      <c r="HC455" s="154">
        <f t="shared" si="983"/>
        <v>421.4612997492531</v>
      </c>
      <c r="HD455" s="154">
        <f t="shared" si="983"/>
        <v>421.46129974925321</v>
      </c>
      <c r="HE455" s="154">
        <f t="shared" si="983"/>
        <v>421.4612997492531</v>
      </c>
      <c r="HF455" s="154">
        <f t="shared" si="983"/>
        <v>421.46129974925321</v>
      </c>
      <c r="HG455" s="154">
        <f t="shared" si="983"/>
        <v>421.46129974925321</v>
      </c>
      <c r="HH455" s="154">
        <f t="shared" si="983"/>
        <v>421.46129974925316</v>
      </c>
      <c r="HI455" s="154">
        <f t="shared" si="983"/>
        <v>421.4612997492531</v>
      </c>
      <c r="HJ455" s="154">
        <f t="shared" si="983"/>
        <v>421.4612997492531</v>
      </c>
      <c r="HK455" s="154">
        <f t="shared" si="983"/>
        <v>421.46129974925299</v>
      </c>
      <c r="HL455" s="154">
        <f t="shared" si="983"/>
        <v>421.46129974925333</v>
      </c>
      <c r="HM455" s="154">
        <f t="shared" si="983"/>
        <v>421.4612997492531</v>
      </c>
      <c r="HN455" s="154">
        <f t="shared" si="983"/>
        <v>421.46129974925304</v>
      </c>
      <c r="HO455" s="154">
        <f t="shared" si="983"/>
        <v>421.46129974925327</v>
      </c>
      <c r="HP455" s="154">
        <f t="shared" si="983"/>
        <v>421.46129974925316</v>
      </c>
      <c r="HQ455" s="154">
        <f t="shared" si="983"/>
        <v>421.4612997492531</v>
      </c>
      <c r="HR455" s="154">
        <f t="shared" si="983"/>
        <v>421.46129974925316</v>
      </c>
      <c r="HS455" s="154">
        <f t="shared" si="983"/>
        <v>421.46129974925316</v>
      </c>
      <c r="HT455" s="154">
        <f t="shared" si="983"/>
        <v>421.46129974925327</v>
      </c>
      <c r="HU455" s="154">
        <f t="shared" si="983"/>
        <v>421.46129974925276</v>
      </c>
      <c r="HV455" s="154">
        <f t="shared" si="983"/>
        <v>421.46129974925321</v>
      </c>
      <c r="HW455" s="154">
        <f t="shared" si="983"/>
        <v>421.46129974925316</v>
      </c>
      <c r="HX455" s="154">
        <f t="shared" si="983"/>
        <v>421.46129974925293</v>
      </c>
      <c r="HY455" s="154">
        <f t="shared" si="983"/>
        <v>421.46129974925327</v>
      </c>
      <c r="HZ455" s="154">
        <f t="shared" si="983"/>
        <v>421.46129974925304</v>
      </c>
      <c r="IA455" s="154">
        <f t="shared" si="983"/>
        <v>421.46129974925304</v>
      </c>
      <c r="IB455" s="154">
        <f t="shared" si="983"/>
        <v>421.4612997492531</v>
      </c>
      <c r="IC455" s="154">
        <f t="shared" si="983"/>
        <v>421.46129974925321</v>
      </c>
      <c r="ID455" s="154">
        <f t="shared" si="983"/>
        <v>421.46129974925339</v>
      </c>
      <c r="IE455" s="155">
        <f t="shared" si="983"/>
        <v>421.46129974925282</v>
      </c>
      <c r="IF455" s="140"/>
      <c r="IG455" s="153"/>
      <c r="IH455" s="154"/>
      <c r="II455" s="154"/>
      <c r="IJ455" s="154"/>
      <c r="IK455" s="154"/>
      <c r="IL455" s="226"/>
      <c r="IM455" s="154" t="e">
        <f t="shared" ref="IM455:JP455" si="984">SUMPRODUCT(IM447:IM454,IM396:IM403)/IM404</f>
        <v>#DIV/0!</v>
      </c>
      <c r="IN455" s="154" t="e">
        <f t="shared" si="984"/>
        <v>#DIV/0!</v>
      </c>
      <c r="IO455" s="154" t="e">
        <f t="shared" si="984"/>
        <v>#DIV/0!</v>
      </c>
      <c r="IP455" s="154" t="e">
        <f t="shared" si="984"/>
        <v>#DIV/0!</v>
      </c>
      <c r="IQ455" s="154" t="e">
        <f t="shared" si="984"/>
        <v>#DIV/0!</v>
      </c>
      <c r="IR455" s="154" t="e">
        <f t="shared" si="984"/>
        <v>#DIV/0!</v>
      </c>
      <c r="IS455" s="154" t="e">
        <f t="shared" si="984"/>
        <v>#DIV/0!</v>
      </c>
      <c r="IT455" s="154" t="e">
        <f t="shared" si="984"/>
        <v>#DIV/0!</v>
      </c>
      <c r="IU455" s="154" t="e">
        <f t="shared" si="984"/>
        <v>#DIV/0!</v>
      </c>
      <c r="IV455" s="154" t="e">
        <f t="shared" si="984"/>
        <v>#DIV/0!</v>
      </c>
      <c r="IW455" s="154" t="e">
        <f t="shared" si="984"/>
        <v>#DIV/0!</v>
      </c>
      <c r="IX455" s="154" t="e">
        <f t="shared" si="984"/>
        <v>#DIV/0!</v>
      </c>
      <c r="IY455" s="154" t="e">
        <f t="shared" si="984"/>
        <v>#DIV/0!</v>
      </c>
      <c r="IZ455" s="154" t="e">
        <f t="shared" si="984"/>
        <v>#DIV/0!</v>
      </c>
      <c r="JA455" s="154" t="e">
        <f t="shared" si="984"/>
        <v>#DIV/0!</v>
      </c>
      <c r="JB455" s="154" t="e">
        <f t="shared" si="984"/>
        <v>#DIV/0!</v>
      </c>
      <c r="JC455" s="154" t="e">
        <f t="shared" si="984"/>
        <v>#DIV/0!</v>
      </c>
      <c r="JD455" s="154" t="e">
        <f t="shared" si="984"/>
        <v>#DIV/0!</v>
      </c>
      <c r="JE455" s="154" t="e">
        <f t="shared" si="984"/>
        <v>#DIV/0!</v>
      </c>
      <c r="JF455" s="154" t="e">
        <f t="shared" si="984"/>
        <v>#DIV/0!</v>
      </c>
      <c r="JG455" s="154" t="e">
        <f t="shared" si="984"/>
        <v>#DIV/0!</v>
      </c>
      <c r="JH455" s="154" t="e">
        <f t="shared" si="984"/>
        <v>#DIV/0!</v>
      </c>
      <c r="JI455" s="154" t="e">
        <f t="shared" si="984"/>
        <v>#DIV/0!</v>
      </c>
      <c r="JJ455" s="154" t="e">
        <f t="shared" si="984"/>
        <v>#DIV/0!</v>
      </c>
      <c r="JK455" s="154" t="e">
        <f t="shared" si="984"/>
        <v>#DIV/0!</v>
      </c>
      <c r="JL455" s="154" t="e">
        <f t="shared" si="984"/>
        <v>#DIV/0!</v>
      </c>
      <c r="JM455" s="154" t="e">
        <f t="shared" si="984"/>
        <v>#DIV/0!</v>
      </c>
      <c r="JN455" s="154" t="e">
        <f t="shared" si="984"/>
        <v>#DIV/0!</v>
      </c>
      <c r="JO455" s="154" t="e">
        <f t="shared" si="984"/>
        <v>#DIV/0!</v>
      </c>
      <c r="JP455" s="155" t="e">
        <f t="shared" si="984"/>
        <v>#DIV/0!</v>
      </c>
      <c r="JQ455" s="140"/>
      <c r="JR455" s="153"/>
      <c r="JS455" s="154"/>
      <c r="JT455" s="154"/>
      <c r="JU455" s="154"/>
      <c r="JV455" s="154"/>
      <c r="JW455" s="226"/>
      <c r="JX455" s="154" t="e">
        <f t="shared" ref="JX455:LA455" si="985">SUMPRODUCT(JX447:JX454,JX396:JX403)/JX404</f>
        <v>#DIV/0!</v>
      </c>
      <c r="JY455" s="154" t="e">
        <f t="shared" si="985"/>
        <v>#DIV/0!</v>
      </c>
      <c r="JZ455" s="154" t="e">
        <f t="shared" si="985"/>
        <v>#DIV/0!</v>
      </c>
      <c r="KA455" s="154" t="e">
        <f t="shared" si="985"/>
        <v>#DIV/0!</v>
      </c>
      <c r="KB455" s="154" t="e">
        <f>SUMPRODUCT(KB447:KB454,KB396:KB403)/KB404</f>
        <v>#DIV/0!</v>
      </c>
      <c r="KC455" s="154" t="e">
        <f t="shared" si="985"/>
        <v>#DIV/0!</v>
      </c>
      <c r="KD455" s="154" t="e">
        <f t="shared" si="985"/>
        <v>#DIV/0!</v>
      </c>
      <c r="KE455" s="154" t="e">
        <f t="shared" si="985"/>
        <v>#DIV/0!</v>
      </c>
      <c r="KF455" s="154" t="e">
        <f t="shared" si="985"/>
        <v>#DIV/0!</v>
      </c>
      <c r="KG455" s="154" t="e">
        <f t="shared" si="985"/>
        <v>#DIV/0!</v>
      </c>
      <c r="KH455" s="154" t="e">
        <f t="shared" si="985"/>
        <v>#DIV/0!</v>
      </c>
      <c r="KI455" s="154" t="e">
        <f t="shared" si="985"/>
        <v>#DIV/0!</v>
      </c>
      <c r="KJ455" s="154" t="e">
        <f t="shared" si="985"/>
        <v>#DIV/0!</v>
      </c>
      <c r="KK455" s="154" t="e">
        <f t="shared" si="985"/>
        <v>#DIV/0!</v>
      </c>
      <c r="KL455" s="154" t="e">
        <f t="shared" si="985"/>
        <v>#DIV/0!</v>
      </c>
      <c r="KM455" s="154" t="e">
        <f t="shared" si="985"/>
        <v>#DIV/0!</v>
      </c>
      <c r="KN455" s="154" t="e">
        <f t="shared" si="985"/>
        <v>#DIV/0!</v>
      </c>
      <c r="KO455" s="154" t="e">
        <f t="shared" si="985"/>
        <v>#DIV/0!</v>
      </c>
      <c r="KP455" s="154" t="e">
        <f t="shared" si="985"/>
        <v>#DIV/0!</v>
      </c>
      <c r="KQ455" s="154" t="e">
        <f t="shared" si="985"/>
        <v>#DIV/0!</v>
      </c>
      <c r="KR455" s="154" t="e">
        <f t="shared" si="985"/>
        <v>#DIV/0!</v>
      </c>
      <c r="KS455" s="154" t="e">
        <f t="shared" si="985"/>
        <v>#DIV/0!</v>
      </c>
      <c r="KT455" s="154" t="e">
        <f t="shared" si="985"/>
        <v>#DIV/0!</v>
      </c>
      <c r="KU455" s="154" t="e">
        <f t="shared" si="985"/>
        <v>#DIV/0!</v>
      </c>
      <c r="KV455" s="154" t="e">
        <f t="shared" si="985"/>
        <v>#DIV/0!</v>
      </c>
      <c r="KW455" s="154" t="e">
        <f t="shared" si="985"/>
        <v>#DIV/0!</v>
      </c>
      <c r="KX455" s="154" t="e">
        <f t="shared" si="985"/>
        <v>#DIV/0!</v>
      </c>
      <c r="KY455" s="154" t="e">
        <f t="shared" si="985"/>
        <v>#DIV/0!</v>
      </c>
      <c r="KZ455" s="154" t="e">
        <f t="shared" si="985"/>
        <v>#DIV/0!</v>
      </c>
      <c r="LA455" s="155" t="e">
        <f t="shared" si="985"/>
        <v>#DIV/0!</v>
      </c>
      <c r="LB455" s="140"/>
      <c r="LC455" s="153"/>
      <c r="LD455" s="154"/>
      <c r="LE455" s="154"/>
      <c r="LF455" s="154"/>
      <c r="LG455" s="154"/>
      <c r="LH455" s="226"/>
      <c r="LI455" s="154" t="e">
        <f t="shared" ref="LI455:ML455" si="986">SUMPRODUCT(LI447:LI454,LI396:LI403)/LI404</f>
        <v>#DIV/0!</v>
      </c>
      <c r="LJ455" s="154" t="e">
        <f t="shared" si="986"/>
        <v>#DIV/0!</v>
      </c>
      <c r="LK455" s="154" t="e">
        <f t="shared" si="986"/>
        <v>#DIV/0!</v>
      </c>
      <c r="LL455" s="154" t="e">
        <f t="shared" si="986"/>
        <v>#DIV/0!</v>
      </c>
      <c r="LM455" s="154" t="e">
        <f t="shared" si="986"/>
        <v>#DIV/0!</v>
      </c>
      <c r="LN455" s="154" t="e">
        <f t="shared" si="986"/>
        <v>#DIV/0!</v>
      </c>
      <c r="LO455" s="154" t="e">
        <f t="shared" si="986"/>
        <v>#DIV/0!</v>
      </c>
      <c r="LP455" s="154" t="e">
        <f t="shared" si="986"/>
        <v>#DIV/0!</v>
      </c>
      <c r="LQ455" s="154" t="e">
        <f t="shared" si="986"/>
        <v>#DIV/0!</v>
      </c>
      <c r="LR455" s="154" t="e">
        <f t="shared" si="986"/>
        <v>#DIV/0!</v>
      </c>
      <c r="LS455" s="154" t="e">
        <f t="shared" si="986"/>
        <v>#DIV/0!</v>
      </c>
      <c r="LT455" s="154" t="e">
        <f t="shared" si="986"/>
        <v>#DIV/0!</v>
      </c>
      <c r="LU455" s="154" t="e">
        <f t="shared" si="986"/>
        <v>#DIV/0!</v>
      </c>
      <c r="LV455" s="154" t="e">
        <f t="shared" si="986"/>
        <v>#DIV/0!</v>
      </c>
      <c r="LW455" s="154" t="e">
        <f t="shared" si="986"/>
        <v>#DIV/0!</v>
      </c>
      <c r="LX455" s="154" t="e">
        <f t="shared" si="986"/>
        <v>#DIV/0!</v>
      </c>
      <c r="LY455" s="154" t="e">
        <f t="shared" si="986"/>
        <v>#DIV/0!</v>
      </c>
      <c r="LZ455" s="154" t="e">
        <f t="shared" si="986"/>
        <v>#DIV/0!</v>
      </c>
      <c r="MA455" s="154" t="e">
        <f t="shared" si="986"/>
        <v>#DIV/0!</v>
      </c>
      <c r="MB455" s="154" t="e">
        <f t="shared" si="986"/>
        <v>#DIV/0!</v>
      </c>
      <c r="MC455" s="154" t="e">
        <f t="shared" si="986"/>
        <v>#DIV/0!</v>
      </c>
      <c r="MD455" s="154" t="e">
        <f t="shared" si="986"/>
        <v>#DIV/0!</v>
      </c>
      <c r="ME455" s="154" t="e">
        <f t="shared" si="986"/>
        <v>#DIV/0!</v>
      </c>
      <c r="MF455" s="154" t="e">
        <f t="shared" si="986"/>
        <v>#DIV/0!</v>
      </c>
      <c r="MG455" s="154" t="e">
        <f t="shared" si="986"/>
        <v>#DIV/0!</v>
      </c>
      <c r="MH455" s="154" t="e">
        <f t="shared" si="986"/>
        <v>#DIV/0!</v>
      </c>
      <c r="MI455" s="154" t="e">
        <f t="shared" si="986"/>
        <v>#DIV/0!</v>
      </c>
      <c r="MJ455" s="154" t="e">
        <f t="shared" si="986"/>
        <v>#DIV/0!</v>
      </c>
      <c r="MK455" s="154" t="e">
        <f t="shared" si="986"/>
        <v>#DIV/0!</v>
      </c>
      <c r="ML455" s="155" t="e">
        <f t="shared" si="986"/>
        <v>#DIV/0!</v>
      </c>
    </row>
    <row r="457" spans="2:350" x14ac:dyDescent="0.3">
      <c r="B457" s="215" t="s">
        <v>60</v>
      </c>
      <c r="C457" s="197" t="s">
        <v>104</v>
      </c>
      <c r="D457" s="69" t="s">
        <v>220</v>
      </c>
    </row>
    <row r="458" spans="2:350" x14ac:dyDescent="0.3">
      <c r="C458" s="197"/>
      <c r="D458" s="69" t="s">
        <v>221</v>
      </c>
    </row>
    <row r="460" spans="2:350" x14ac:dyDescent="0.3">
      <c r="B460" s="215" t="s">
        <v>60</v>
      </c>
      <c r="D460" s="69" t="s">
        <v>222</v>
      </c>
    </row>
    <row r="461" spans="2:350" x14ac:dyDescent="0.3">
      <c r="D461" s="69" t="s">
        <v>223</v>
      </c>
    </row>
    <row r="462" spans="2:350" x14ac:dyDescent="0.3">
      <c r="D462" s="69" t="s">
        <v>224</v>
      </c>
    </row>
    <row r="463" spans="2:350" x14ac:dyDescent="0.3">
      <c r="D463" s="69" t="s">
        <v>225</v>
      </c>
    </row>
    <row r="464" spans="2:350" x14ac:dyDescent="0.3">
      <c r="D464" s="69"/>
    </row>
    <row r="466" spans="3:350" hidden="1" outlineLevel="1" x14ac:dyDescent="0.3">
      <c r="C466" s="120" t="s">
        <v>226</v>
      </c>
    </row>
    <row r="467" spans="3:350" ht="18" hidden="1" customHeight="1" outlineLevel="1" x14ac:dyDescent="0.3">
      <c r="C467" s="131"/>
      <c r="D467" s="132"/>
      <c r="E467" s="133" t="s">
        <v>101</v>
      </c>
      <c r="F467" s="134" t="s">
        <v>102</v>
      </c>
      <c r="H467" s="135">
        <v>2015</v>
      </c>
      <c r="I467" s="133">
        <v>2020</v>
      </c>
      <c r="J467" s="133">
        <v>2025</v>
      </c>
      <c r="K467" s="133">
        <v>2030</v>
      </c>
      <c r="L467" s="133">
        <v>2040</v>
      </c>
      <c r="M467" s="134">
        <v>2050</v>
      </c>
      <c r="N467" s="1"/>
      <c r="O467" s="1"/>
      <c r="P467" s="1"/>
      <c r="Q467" s="1"/>
      <c r="S467" s="135">
        <f>S$1</f>
        <v>2015</v>
      </c>
      <c r="T467" s="133">
        <f t="shared" ref="T467:BB467" si="987">T$1</f>
        <v>2016</v>
      </c>
      <c r="U467" s="133">
        <f t="shared" si="987"/>
        <v>2017</v>
      </c>
      <c r="V467" s="133">
        <f t="shared" si="987"/>
        <v>2018</v>
      </c>
      <c r="W467" s="133">
        <f t="shared" si="987"/>
        <v>2019</v>
      </c>
      <c r="X467" s="133">
        <f t="shared" si="987"/>
        <v>2020</v>
      </c>
      <c r="Y467" s="133">
        <f t="shared" si="987"/>
        <v>2021</v>
      </c>
      <c r="Z467" s="133">
        <f t="shared" si="987"/>
        <v>2022</v>
      </c>
      <c r="AA467" s="133">
        <f t="shared" si="987"/>
        <v>2023</v>
      </c>
      <c r="AB467" s="133">
        <f t="shared" si="987"/>
        <v>2024</v>
      </c>
      <c r="AC467" s="133">
        <f t="shared" si="987"/>
        <v>2025</v>
      </c>
      <c r="AD467" s="133">
        <f t="shared" si="987"/>
        <v>2026</v>
      </c>
      <c r="AE467" s="133">
        <f t="shared" si="987"/>
        <v>2027</v>
      </c>
      <c r="AF467" s="133">
        <f t="shared" si="987"/>
        <v>2028</v>
      </c>
      <c r="AG467" s="133">
        <f t="shared" si="987"/>
        <v>2029</v>
      </c>
      <c r="AH467" s="133">
        <f t="shared" si="987"/>
        <v>2030</v>
      </c>
      <c r="AI467" s="133">
        <f t="shared" si="987"/>
        <v>2031</v>
      </c>
      <c r="AJ467" s="133">
        <f t="shared" si="987"/>
        <v>2032</v>
      </c>
      <c r="AK467" s="133">
        <f t="shared" si="987"/>
        <v>2033</v>
      </c>
      <c r="AL467" s="133">
        <f t="shared" si="987"/>
        <v>2034</v>
      </c>
      <c r="AM467" s="133">
        <f t="shared" si="987"/>
        <v>2035</v>
      </c>
      <c r="AN467" s="133">
        <f t="shared" si="987"/>
        <v>2036</v>
      </c>
      <c r="AO467" s="133">
        <f t="shared" si="987"/>
        <v>2037</v>
      </c>
      <c r="AP467" s="133">
        <f t="shared" si="987"/>
        <v>2038</v>
      </c>
      <c r="AQ467" s="133">
        <f t="shared" si="987"/>
        <v>2039</v>
      </c>
      <c r="AR467" s="133">
        <f t="shared" si="987"/>
        <v>2040</v>
      </c>
      <c r="AS467" s="133">
        <f t="shared" si="987"/>
        <v>2041</v>
      </c>
      <c r="AT467" s="133">
        <f t="shared" si="987"/>
        <v>2042</v>
      </c>
      <c r="AU467" s="133">
        <f t="shared" si="987"/>
        <v>2043</v>
      </c>
      <c r="AV467" s="133">
        <f t="shared" si="987"/>
        <v>2044</v>
      </c>
      <c r="AW467" s="133">
        <f t="shared" si="987"/>
        <v>2045</v>
      </c>
      <c r="AX467" s="133">
        <f t="shared" si="987"/>
        <v>2046</v>
      </c>
      <c r="AY467" s="133">
        <f t="shared" si="987"/>
        <v>2047</v>
      </c>
      <c r="AZ467" s="133">
        <f t="shared" si="987"/>
        <v>2048</v>
      </c>
      <c r="BA467" s="133">
        <f t="shared" si="987"/>
        <v>2049</v>
      </c>
      <c r="BB467" s="134">
        <f t="shared" si="987"/>
        <v>2050</v>
      </c>
    </row>
    <row r="468" spans="3:350" ht="18" hidden="1" customHeight="1" outlineLevel="1" x14ac:dyDescent="0.3">
      <c r="C468" s="204" t="str">
        <f>$H$2</f>
        <v>Historique</v>
      </c>
      <c r="D468" s="4"/>
      <c r="E468" s="1" t="str">
        <f>E447</f>
        <v>(€ HT / m²)</v>
      </c>
      <c r="F468" s="138"/>
      <c r="H468" s="205">
        <f>H$455</f>
        <v>418.28463928712597</v>
      </c>
      <c r="I468" s="206">
        <f>M$455</f>
        <v>418.28463928712597</v>
      </c>
      <c r="J468" s="206"/>
      <c r="K468" s="206"/>
      <c r="L468" s="206"/>
      <c r="M468" s="207"/>
      <c r="N468" s="206"/>
      <c r="O468" s="206"/>
      <c r="P468" s="206"/>
      <c r="Q468" s="206"/>
      <c r="S468" s="205">
        <f t="shared" ref="S468:X468" si="988">H$455</f>
        <v>418.28463928712597</v>
      </c>
      <c r="T468" s="206">
        <f t="shared" si="988"/>
        <v>418.28463928712597</v>
      </c>
      <c r="U468" s="206">
        <f t="shared" si="988"/>
        <v>418.28463928712597</v>
      </c>
      <c r="V468" s="206">
        <f t="shared" si="988"/>
        <v>418.28463928712597</v>
      </c>
      <c r="W468" s="206">
        <f t="shared" si="988"/>
        <v>418.28463928712597</v>
      </c>
      <c r="X468" s="206">
        <f t="shared" si="988"/>
        <v>418.28463928712597</v>
      </c>
      <c r="Y468" s="206"/>
      <c r="Z468" s="206"/>
      <c r="AA468" s="206"/>
      <c r="AB468" s="206"/>
      <c r="AC468" s="206"/>
      <c r="AD468" s="206"/>
      <c r="AE468" s="206"/>
      <c r="AF468" s="206"/>
      <c r="AG468" s="206"/>
      <c r="AH468" s="206"/>
      <c r="AI468" s="206"/>
      <c r="AJ468" s="206"/>
      <c r="AK468" s="206"/>
      <c r="AL468" s="206"/>
      <c r="AM468" s="206"/>
      <c r="AN468" s="206"/>
      <c r="AO468" s="206"/>
      <c r="AP468" s="206"/>
      <c r="AQ468" s="206"/>
      <c r="AR468" s="206"/>
      <c r="AS468" s="206"/>
      <c r="AT468" s="206"/>
      <c r="AU468" s="206"/>
      <c r="AV468" s="206"/>
      <c r="AW468" s="206"/>
      <c r="AX468" s="206"/>
      <c r="AY468" s="206"/>
      <c r="AZ468" s="206"/>
      <c r="BA468" s="206"/>
      <c r="BB468" s="207"/>
    </row>
    <row r="469" spans="3:350" ht="18" hidden="1" customHeight="1" outlineLevel="1" x14ac:dyDescent="0.3">
      <c r="C469" s="204" t="str">
        <f>$S$2</f>
        <v>AMS 2018</v>
      </c>
      <c r="D469" s="4"/>
      <c r="E469" s="137" t="s">
        <v>105</v>
      </c>
      <c r="F469" s="138"/>
      <c r="H469" s="205">
        <f>S$455</f>
        <v>0</v>
      </c>
      <c r="I469" s="206">
        <f>X$455</f>
        <v>418.28463928712597</v>
      </c>
      <c r="J469" s="206">
        <f>AC$455</f>
        <v>418.28463928712597</v>
      </c>
      <c r="K469" s="206">
        <f>AH$455</f>
        <v>418.28463928712597</v>
      </c>
      <c r="L469" s="206">
        <f>AR$455</f>
        <v>418.28463928712597</v>
      </c>
      <c r="M469" s="207">
        <f>BB$455</f>
        <v>418.28463928712597</v>
      </c>
      <c r="N469" s="206"/>
      <c r="O469" s="206"/>
      <c r="P469" s="206"/>
      <c r="Q469" s="206"/>
      <c r="S469" s="205"/>
      <c r="T469" s="206"/>
      <c r="U469" s="206"/>
      <c r="V469" s="206"/>
      <c r="W469" s="206"/>
      <c r="X469" s="206"/>
      <c r="Y469" s="206">
        <f t="shared" ref="Y469:BB469" si="989">Y$455</f>
        <v>418.28463928712597</v>
      </c>
      <c r="Z469" s="206">
        <f t="shared" si="989"/>
        <v>418.28463928712597</v>
      </c>
      <c r="AA469" s="206">
        <f t="shared" si="989"/>
        <v>418.28463928712597</v>
      </c>
      <c r="AB469" s="206">
        <f t="shared" si="989"/>
        <v>418.28463928712597</v>
      </c>
      <c r="AC469" s="206">
        <f t="shared" si="989"/>
        <v>418.28463928712597</v>
      </c>
      <c r="AD469" s="206">
        <f t="shared" si="989"/>
        <v>418.28463928712597</v>
      </c>
      <c r="AE469" s="206">
        <f t="shared" si="989"/>
        <v>418.28463928712597</v>
      </c>
      <c r="AF469" s="206">
        <f t="shared" si="989"/>
        <v>418.28463928712597</v>
      </c>
      <c r="AG469" s="206">
        <f t="shared" si="989"/>
        <v>418.28463928712597</v>
      </c>
      <c r="AH469" s="206">
        <f t="shared" si="989"/>
        <v>418.28463928712597</v>
      </c>
      <c r="AI469" s="206">
        <f t="shared" si="989"/>
        <v>418.28463928712597</v>
      </c>
      <c r="AJ469" s="206">
        <f t="shared" si="989"/>
        <v>418.28463928712597</v>
      </c>
      <c r="AK469" s="206">
        <f t="shared" si="989"/>
        <v>418.28463928712597</v>
      </c>
      <c r="AL469" s="206">
        <f t="shared" si="989"/>
        <v>418.28463928712597</v>
      </c>
      <c r="AM469" s="206">
        <f t="shared" si="989"/>
        <v>418.28463928712597</v>
      </c>
      <c r="AN469" s="206">
        <f t="shared" si="989"/>
        <v>418.28463928712597</v>
      </c>
      <c r="AO469" s="206">
        <f t="shared" si="989"/>
        <v>418.28463928712597</v>
      </c>
      <c r="AP469" s="206">
        <f t="shared" si="989"/>
        <v>418.28463928712597</v>
      </c>
      <c r="AQ469" s="206">
        <f t="shared" si="989"/>
        <v>418.28463928712597</v>
      </c>
      <c r="AR469" s="206">
        <f t="shared" si="989"/>
        <v>418.28463928712597</v>
      </c>
      <c r="AS469" s="206">
        <f t="shared" si="989"/>
        <v>418.28463928712597</v>
      </c>
      <c r="AT469" s="206">
        <f t="shared" si="989"/>
        <v>418.28463928712597</v>
      </c>
      <c r="AU469" s="206">
        <f t="shared" si="989"/>
        <v>418.28463928712597</v>
      </c>
      <c r="AV469" s="206">
        <f t="shared" si="989"/>
        <v>418.28463928712597</v>
      </c>
      <c r="AW469" s="206">
        <f t="shared" si="989"/>
        <v>418.28463928712597</v>
      </c>
      <c r="AX469" s="206">
        <f t="shared" si="989"/>
        <v>418.28463928712597</v>
      </c>
      <c r="AY469" s="206">
        <f t="shared" si="989"/>
        <v>418.28463928712597</v>
      </c>
      <c r="AZ469" s="206">
        <f t="shared" si="989"/>
        <v>418.28463928712597</v>
      </c>
      <c r="BA469" s="206">
        <f t="shared" si="989"/>
        <v>418.28463928712597</v>
      </c>
      <c r="BB469" s="207">
        <f t="shared" si="989"/>
        <v>418.28463928712597</v>
      </c>
    </row>
    <row r="470" spans="3:350" ht="18" hidden="1" customHeight="1" outlineLevel="1" x14ac:dyDescent="0.3">
      <c r="C470" s="204" t="str">
        <f>$BD$2</f>
        <v>ADEME Tend.</v>
      </c>
      <c r="D470" s="4"/>
      <c r="E470" s="137" t="s">
        <v>105</v>
      </c>
      <c r="F470" s="138"/>
      <c r="H470" s="205">
        <f>BD$455</f>
        <v>0</v>
      </c>
      <c r="I470" s="206">
        <f>BI$455</f>
        <v>0</v>
      </c>
      <c r="J470" s="206">
        <f>BN$455</f>
        <v>419.51917380188468</v>
      </c>
      <c r="K470" s="206">
        <f>BS$455</f>
        <v>419.51917380188468</v>
      </c>
      <c r="L470" s="206">
        <f>CC$455</f>
        <v>419.51917380188479</v>
      </c>
      <c r="M470" s="207">
        <f>CM$455</f>
        <v>419.51917380188485</v>
      </c>
      <c r="N470" s="206"/>
      <c r="O470" s="206"/>
      <c r="P470" s="206"/>
      <c r="Q470" s="206"/>
      <c r="S470" s="205"/>
      <c r="T470" s="206"/>
      <c r="U470" s="206"/>
      <c r="V470" s="206"/>
      <c r="W470" s="206"/>
      <c r="X470" s="206"/>
      <c r="Y470" s="206">
        <f t="shared" ref="Y470:BB470" si="990">BJ$455</f>
        <v>419.51917380188456</v>
      </c>
      <c r="Z470" s="206">
        <f t="shared" si="990"/>
        <v>419.51917380188456</v>
      </c>
      <c r="AA470" s="206">
        <f t="shared" si="990"/>
        <v>419.51917380188473</v>
      </c>
      <c r="AB470" s="206">
        <f t="shared" si="990"/>
        <v>419.51917380188451</v>
      </c>
      <c r="AC470" s="206">
        <f t="shared" si="990"/>
        <v>419.51917380188468</v>
      </c>
      <c r="AD470" s="206">
        <f t="shared" si="990"/>
        <v>419.51917380188462</v>
      </c>
      <c r="AE470" s="206">
        <f t="shared" si="990"/>
        <v>419.51917380188462</v>
      </c>
      <c r="AF470" s="206">
        <f t="shared" si="990"/>
        <v>419.51917380188468</v>
      </c>
      <c r="AG470" s="206">
        <f t="shared" si="990"/>
        <v>419.51917380188462</v>
      </c>
      <c r="AH470" s="206">
        <f t="shared" si="990"/>
        <v>419.51917380188468</v>
      </c>
      <c r="AI470" s="206">
        <f t="shared" si="990"/>
        <v>419.51917380188473</v>
      </c>
      <c r="AJ470" s="206">
        <f t="shared" si="990"/>
        <v>419.51917380188479</v>
      </c>
      <c r="AK470" s="206">
        <f t="shared" si="990"/>
        <v>419.51917380188462</v>
      </c>
      <c r="AL470" s="206">
        <f t="shared" si="990"/>
        <v>419.51917380188468</v>
      </c>
      <c r="AM470" s="206">
        <f t="shared" si="990"/>
        <v>419.51917380188462</v>
      </c>
      <c r="AN470" s="206">
        <f t="shared" si="990"/>
        <v>419.51917380188468</v>
      </c>
      <c r="AO470" s="206">
        <f t="shared" si="990"/>
        <v>419.51917380188479</v>
      </c>
      <c r="AP470" s="206">
        <f t="shared" si="990"/>
        <v>419.51917380188462</v>
      </c>
      <c r="AQ470" s="206">
        <f t="shared" si="990"/>
        <v>419.51917380188473</v>
      </c>
      <c r="AR470" s="206">
        <f t="shared" si="990"/>
        <v>419.51917380188479</v>
      </c>
      <c r="AS470" s="206">
        <f t="shared" si="990"/>
        <v>419.51917380188473</v>
      </c>
      <c r="AT470" s="206">
        <f t="shared" si="990"/>
        <v>419.51917380188473</v>
      </c>
      <c r="AU470" s="206">
        <f t="shared" si="990"/>
        <v>419.51917380188451</v>
      </c>
      <c r="AV470" s="206">
        <f t="shared" si="990"/>
        <v>419.51917380188507</v>
      </c>
      <c r="AW470" s="206">
        <f t="shared" si="990"/>
        <v>419.51917380188451</v>
      </c>
      <c r="AX470" s="206">
        <f t="shared" si="990"/>
        <v>419.51917380188479</v>
      </c>
      <c r="AY470" s="206">
        <f t="shared" si="990"/>
        <v>419.51917380188451</v>
      </c>
      <c r="AZ470" s="206">
        <f t="shared" si="990"/>
        <v>419.5191738018849</v>
      </c>
      <c r="BA470" s="206">
        <f t="shared" si="990"/>
        <v>419.51917380188462</v>
      </c>
      <c r="BB470" s="207">
        <f t="shared" si="990"/>
        <v>419.51917380188485</v>
      </c>
    </row>
    <row r="471" spans="3:350" ht="18" hidden="1" customHeight="1" outlineLevel="1" x14ac:dyDescent="0.3">
      <c r="C471" s="204" t="str">
        <f>$CO$2</f>
        <v>ADEME S1</v>
      </c>
      <c r="D471" s="4"/>
      <c r="E471" s="137" t="s">
        <v>105</v>
      </c>
      <c r="F471" s="138"/>
      <c r="H471" s="205">
        <f>CO$455</f>
        <v>0</v>
      </c>
      <c r="I471" s="206">
        <f>CT$455</f>
        <v>0</v>
      </c>
      <c r="J471" s="206">
        <f>CY$455</f>
        <v>428.91532969483029</v>
      </c>
      <c r="K471" s="206">
        <f>DD$455</f>
        <v>428.91532969483012</v>
      </c>
      <c r="L471" s="206">
        <f>DN$455</f>
        <v>428.91532969483012</v>
      </c>
      <c r="M471" s="207">
        <f>DX$455</f>
        <v>428.91532969483069</v>
      </c>
      <c r="N471" s="206"/>
      <c r="O471" s="206"/>
      <c r="P471" s="206"/>
      <c r="Q471" s="206"/>
      <c r="S471" s="205"/>
      <c r="T471" s="206"/>
      <c r="U471" s="206"/>
      <c r="V471" s="206"/>
      <c r="W471" s="206"/>
      <c r="X471" s="206"/>
      <c r="Y471" s="206">
        <f t="shared" ref="Y471:BB471" si="991">CU$455</f>
        <v>428.9153296948304</v>
      </c>
      <c r="Z471" s="206">
        <f t="shared" si="991"/>
        <v>428.9153296948304</v>
      </c>
      <c r="AA471" s="206">
        <f t="shared" si="991"/>
        <v>428.91532969483035</v>
      </c>
      <c r="AB471" s="206">
        <f t="shared" si="991"/>
        <v>428.91532969483023</v>
      </c>
      <c r="AC471" s="206">
        <f t="shared" si="991"/>
        <v>428.91532969483029</v>
      </c>
      <c r="AD471" s="206">
        <f t="shared" si="991"/>
        <v>428.91532969483046</v>
      </c>
      <c r="AE471" s="206">
        <f t="shared" si="991"/>
        <v>428.91532969483023</v>
      </c>
      <c r="AF471" s="206">
        <f t="shared" si="991"/>
        <v>428.91532969483012</v>
      </c>
      <c r="AG471" s="206">
        <f t="shared" si="991"/>
        <v>428.9153296948304</v>
      </c>
      <c r="AH471" s="206">
        <f t="shared" si="991"/>
        <v>428.91532969483012</v>
      </c>
      <c r="AI471" s="206">
        <f t="shared" si="991"/>
        <v>428.9153296948304</v>
      </c>
      <c r="AJ471" s="206">
        <f t="shared" si="991"/>
        <v>428.91532969483052</v>
      </c>
      <c r="AK471" s="206">
        <f t="shared" si="991"/>
        <v>428.91532969483023</v>
      </c>
      <c r="AL471" s="206">
        <f t="shared" si="991"/>
        <v>428.91532969483018</v>
      </c>
      <c r="AM471" s="206">
        <f t="shared" si="991"/>
        <v>428.91532969483035</v>
      </c>
      <c r="AN471" s="206">
        <f t="shared" si="991"/>
        <v>428.91532969483018</v>
      </c>
      <c r="AO471" s="206">
        <f t="shared" si="991"/>
        <v>428.91532969483029</v>
      </c>
      <c r="AP471" s="206">
        <f t="shared" si="991"/>
        <v>428.91532969483035</v>
      </c>
      <c r="AQ471" s="206">
        <f t="shared" si="991"/>
        <v>428.91532969483018</v>
      </c>
      <c r="AR471" s="206">
        <f t="shared" si="991"/>
        <v>428.91532969483012</v>
      </c>
      <c r="AS471" s="206">
        <f t="shared" si="991"/>
        <v>428.91532969483058</v>
      </c>
      <c r="AT471" s="206">
        <f t="shared" si="991"/>
        <v>428.91532969483018</v>
      </c>
      <c r="AU471" s="206">
        <f t="shared" si="991"/>
        <v>428.91532969483029</v>
      </c>
      <c r="AV471" s="206">
        <f t="shared" si="991"/>
        <v>428.91532969483058</v>
      </c>
      <c r="AW471" s="206">
        <f t="shared" si="991"/>
        <v>428.91532969483001</v>
      </c>
      <c r="AX471" s="206">
        <f t="shared" si="991"/>
        <v>428.91532969483063</v>
      </c>
      <c r="AY471" s="206">
        <f t="shared" si="991"/>
        <v>428.91532969482989</v>
      </c>
      <c r="AZ471" s="206">
        <f t="shared" si="991"/>
        <v>428.91532969483058</v>
      </c>
      <c r="BA471" s="206">
        <f t="shared" si="991"/>
        <v>428.91532969482995</v>
      </c>
      <c r="BB471" s="207">
        <f t="shared" si="991"/>
        <v>428.91532969483069</v>
      </c>
    </row>
    <row r="472" spans="3:350" ht="18" hidden="1" customHeight="1" outlineLevel="1" x14ac:dyDescent="0.3">
      <c r="C472" s="204" t="str">
        <f>$DZ$2</f>
        <v>ADEME S2</v>
      </c>
      <c r="D472" s="4"/>
      <c r="E472" s="137" t="s">
        <v>105</v>
      </c>
      <c r="F472" s="138"/>
      <c r="H472" s="205">
        <f>DZ$455</f>
        <v>0</v>
      </c>
      <c r="I472" s="206">
        <f>EE$455</f>
        <v>0</v>
      </c>
      <c r="J472" s="206">
        <f>EJ$455</f>
        <v>424.3973283012968</v>
      </c>
      <c r="K472" s="206">
        <f>EO$455</f>
        <v>424.39732830129685</v>
      </c>
      <c r="L472" s="206">
        <f>EY$455</f>
        <v>424.39732830129685</v>
      </c>
      <c r="M472" s="207">
        <f>FI$455</f>
        <v>424.39732830129708</v>
      </c>
      <c r="N472" s="206"/>
      <c r="O472" s="206"/>
      <c r="P472" s="206"/>
      <c r="Q472" s="206"/>
      <c r="S472" s="205"/>
      <c r="T472" s="206"/>
      <c r="U472" s="206"/>
      <c r="V472" s="206"/>
      <c r="W472" s="206"/>
      <c r="X472" s="206"/>
      <c r="Y472" s="206">
        <f t="shared" ref="Y472:BB472" si="992">EF$455</f>
        <v>424.3973283012968</v>
      </c>
      <c r="Z472" s="206">
        <f t="shared" si="992"/>
        <v>424.3973283012968</v>
      </c>
      <c r="AA472" s="206">
        <f t="shared" si="992"/>
        <v>424.3973283012968</v>
      </c>
      <c r="AB472" s="206">
        <f t="shared" si="992"/>
        <v>424.3973283012968</v>
      </c>
      <c r="AC472" s="206">
        <f t="shared" si="992"/>
        <v>424.3973283012968</v>
      </c>
      <c r="AD472" s="206">
        <f t="shared" si="992"/>
        <v>424.39732830129691</v>
      </c>
      <c r="AE472" s="206">
        <f t="shared" si="992"/>
        <v>424.39732830129691</v>
      </c>
      <c r="AF472" s="206">
        <f t="shared" si="992"/>
        <v>424.39732830129691</v>
      </c>
      <c r="AG472" s="206">
        <f t="shared" si="992"/>
        <v>424.3973283012968</v>
      </c>
      <c r="AH472" s="206">
        <f t="shared" si="992"/>
        <v>424.39732830129685</v>
      </c>
      <c r="AI472" s="206">
        <f t="shared" si="992"/>
        <v>424.39732830129674</v>
      </c>
      <c r="AJ472" s="206">
        <f t="shared" si="992"/>
        <v>424.39732830129685</v>
      </c>
      <c r="AK472" s="206">
        <f t="shared" si="992"/>
        <v>424.3973283012968</v>
      </c>
      <c r="AL472" s="206">
        <f t="shared" si="992"/>
        <v>424.3973283012968</v>
      </c>
      <c r="AM472" s="206">
        <f t="shared" si="992"/>
        <v>424.39732830129685</v>
      </c>
      <c r="AN472" s="206">
        <f t="shared" si="992"/>
        <v>424.39732830129691</v>
      </c>
      <c r="AO472" s="206">
        <f t="shared" si="992"/>
        <v>424.39732830129685</v>
      </c>
      <c r="AP472" s="206">
        <f t="shared" si="992"/>
        <v>424.39732830129697</v>
      </c>
      <c r="AQ472" s="206">
        <f t="shared" si="992"/>
        <v>424.39732830129691</v>
      </c>
      <c r="AR472" s="206">
        <f t="shared" si="992"/>
        <v>424.39732830129685</v>
      </c>
      <c r="AS472" s="206">
        <f t="shared" si="992"/>
        <v>424.3973283012968</v>
      </c>
      <c r="AT472" s="206">
        <f t="shared" si="992"/>
        <v>424.39732830129674</v>
      </c>
      <c r="AU472" s="206">
        <f t="shared" si="992"/>
        <v>424.39732830129691</v>
      </c>
      <c r="AV472" s="206">
        <f t="shared" si="992"/>
        <v>424.39732830129708</v>
      </c>
      <c r="AW472" s="206">
        <f t="shared" si="992"/>
        <v>424.39732830129691</v>
      </c>
      <c r="AX472" s="206">
        <f t="shared" si="992"/>
        <v>424.3973283012968</v>
      </c>
      <c r="AY472" s="206">
        <f t="shared" si="992"/>
        <v>424.39732830129685</v>
      </c>
      <c r="AZ472" s="206">
        <f t="shared" si="992"/>
        <v>424.39732830129691</v>
      </c>
      <c r="BA472" s="206">
        <f t="shared" si="992"/>
        <v>424.39732830129674</v>
      </c>
      <c r="BB472" s="207">
        <f t="shared" si="992"/>
        <v>424.39732830129708</v>
      </c>
    </row>
    <row r="473" spans="3:350" ht="18" hidden="1" customHeight="1" outlineLevel="1" x14ac:dyDescent="0.3">
      <c r="C473" s="204" t="str">
        <f>$FK$2</f>
        <v>ADEME S3</v>
      </c>
      <c r="D473" s="4"/>
      <c r="E473" s="137" t="s">
        <v>105</v>
      </c>
      <c r="F473" s="138"/>
      <c r="H473" s="205">
        <f>FK$455</f>
        <v>0</v>
      </c>
      <c r="I473" s="206">
        <f>FP$455</f>
        <v>0</v>
      </c>
      <c r="J473" s="206">
        <f>FU$455</f>
        <v>426.81166584632638</v>
      </c>
      <c r="K473" s="206">
        <f>FZ$455</f>
        <v>426.81166584632638</v>
      </c>
      <c r="L473" s="206">
        <f>GJ$455</f>
        <v>426.81166584632632</v>
      </c>
      <c r="M473" s="207">
        <f>GT$455</f>
        <v>426.81166584632655</v>
      </c>
      <c r="N473" s="206"/>
      <c r="O473" s="206"/>
      <c r="P473" s="206"/>
      <c r="Q473" s="206"/>
      <c r="S473" s="205"/>
      <c r="T473" s="206"/>
      <c r="U473" s="206"/>
      <c r="V473" s="206"/>
      <c r="W473" s="206"/>
      <c r="X473" s="206"/>
      <c r="Y473" s="206">
        <f t="shared" ref="Y473:BB473" si="993">FQ$455</f>
        <v>426.81166584632638</v>
      </c>
      <c r="Z473" s="206">
        <f t="shared" si="993"/>
        <v>426.81166584632638</v>
      </c>
      <c r="AA473" s="206">
        <f t="shared" si="993"/>
        <v>426.81166584632638</v>
      </c>
      <c r="AB473" s="206">
        <f t="shared" si="993"/>
        <v>426.81166584632638</v>
      </c>
      <c r="AC473" s="206">
        <f t="shared" si="993"/>
        <v>426.81166584632638</v>
      </c>
      <c r="AD473" s="206">
        <f t="shared" si="993"/>
        <v>426.81166584632621</v>
      </c>
      <c r="AE473" s="206">
        <f t="shared" si="993"/>
        <v>426.81166584632632</v>
      </c>
      <c r="AF473" s="206">
        <f t="shared" si="993"/>
        <v>426.81166584632643</v>
      </c>
      <c r="AG473" s="206">
        <f t="shared" si="993"/>
        <v>426.81166584632632</v>
      </c>
      <c r="AH473" s="206">
        <f t="shared" si="993"/>
        <v>426.81166584632638</v>
      </c>
      <c r="AI473" s="206">
        <f t="shared" si="993"/>
        <v>426.81166584632638</v>
      </c>
      <c r="AJ473" s="206">
        <f t="shared" si="993"/>
        <v>426.81166584632626</v>
      </c>
      <c r="AK473" s="206">
        <f t="shared" si="993"/>
        <v>426.81166584632626</v>
      </c>
      <c r="AL473" s="206">
        <f t="shared" si="993"/>
        <v>426.81166584632626</v>
      </c>
      <c r="AM473" s="206">
        <f t="shared" si="993"/>
        <v>426.81166584632643</v>
      </c>
      <c r="AN473" s="206">
        <f t="shared" si="993"/>
        <v>426.81166584632632</v>
      </c>
      <c r="AO473" s="206">
        <f t="shared" si="993"/>
        <v>426.81166584632626</v>
      </c>
      <c r="AP473" s="206">
        <f t="shared" si="993"/>
        <v>426.81166584632621</v>
      </c>
      <c r="AQ473" s="206">
        <f t="shared" si="993"/>
        <v>426.81166584632643</v>
      </c>
      <c r="AR473" s="206">
        <f t="shared" si="993"/>
        <v>426.81166584632632</v>
      </c>
      <c r="AS473" s="206">
        <f t="shared" si="993"/>
        <v>426.81166584632638</v>
      </c>
      <c r="AT473" s="206">
        <f t="shared" si="993"/>
        <v>426.81166584632615</v>
      </c>
      <c r="AU473" s="206">
        <f t="shared" si="993"/>
        <v>426.81166584632632</v>
      </c>
      <c r="AV473" s="206">
        <f t="shared" si="993"/>
        <v>426.81166584632638</v>
      </c>
      <c r="AW473" s="206">
        <f t="shared" si="993"/>
        <v>426.81166584632649</v>
      </c>
      <c r="AX473" s="206">
        <f t="shared" si="993"/>
        <v>426.81166584632615</v>
      </c>
      <c r="AY473" s="206">
        <f t="shared" si="993"/>
        <v>426.81166584632643</v>
      </c>
      <c r="AZ473" s="206">
        <f t="shared" si="993"/>
        <v>426.81166584632615</v>
      </c>
      <c r="BA473" s="206">
        <f t="shared" si="993"/>
        <v>426.81166584632638</v>
      </c>
      <c r="BB473" s="207">
        <f t="shared" si="993"/>
        <v>426.81166584632655</v>
      </c>
    </row>
    <row r="474" spans="3:350" ht="18" hidden="1" customHeight="1" outlineLevel="1" x14ac:dyDescent="0.3">
      <c r="C474" s="204" t="str">
        <f>$GV$2</f>
        <v>ADEME S4</v>
      </c>
      <c r="D474" s="4"/>
      <c r="E474" s="137" t="s">
        <v>105</v>
      </c>
      <c r="F474" s="138"/>
      <c r="H474" s="205">
        <f>GV$455</f>
        <v>0</v>
      </c>
      <c r="I474" s="206">
        <f>HA$455</f>
        <v>0</v>
      </c>
      <c r="J474" s="206">
        <f>HF$455</f>
        <v>421.46129974925321</v>
      </c>
      <c r="K474" s="206">
        <f>HK$455</f>
        <v>421.46129974925299</v>
      </c>
      <c r="L474" s="206">
        <f>HU$455</f>
        <v>421.46129974925276</v>
      </c>
      <c r="M474" s="207">
        <f>IE$455</f>
        <v>421.46129974925282</v>
      </c>
      <c r="N474" s="206"/>
      <c r="O474" s="206"/>
      <c r="P474" s="206"/>
      <c r="Q474" s="206"/>
      <c r="S474" s="205"/>
      <c r="T474" s="206"/>
      <c r="U474" s="206"/>
      <c r="V474" s="206"/>
      <c r="W474" s="206"/>
      <c r="X474" s="206"/>
      <c r="Y474" s="206">
        <f t="shared" ref="Y474:BB474" si="994">HB$455</f>
        <v>421.4612997492531</v>
      </c>
      <c r="Z474" s="206">
        <f t="shared" si="994"/>
        <v>421.4612997492531</v>
      </c>
      <c r="AA474" s="206">
        <f t="shared" si="994"/>
        <v>421.46129974925321</v>
      </c>
      <c r="AB474" s="206">
        <f t="shared" si="994"/>
        <v>421.4612997492531</v>
      </c>
      <c r="AC474" s="206">
        <f t="shared" si="994"/>
        <v>421.46129974925321</v>
      </c>
      <c r="AD474" s="206">
        <f t="shared" si="994"/>
        <v>421.46129974925321</v>
      </c>
      <c r="AE474" s="206">
        <f t="shared" si="994"/>
        <v>421.46129974925316</v>
      </c>
      <c r="AF474" s="206">
        <f t="shared" si="994"/>
        <v>421.4612997492531</v>
      </c>
      <c r="AG474" s="206">
        <f t="shared" si="994"/>
        <v>421.4612997492531</v>
      </c>
      <c r="AH474" s="206">
        <f t="shared" si="994"/>
        <v>421.46129974925299</v>
      </c>
      <c r="AI474" s="206">
        <f t="shared" si="994"/>
        <v>421.46129974925333</v>
      </c>
      <c r="AJ474" s="206">
        <f t="shared" si="994"/>
        <v>421.4612997492531</v>
      </c>
      <c r="AK474" s="206">
        <f t="shared" si="994"/>
        <v>421.46129974925304</v>
      </c>
      <c r="AL474" s="206">
        <f t="shared" si="994"/>
        <v>421.46129974925327</v>
      </c>
      <c r="AM474" s="206">
        <f t="shared" si="994"/>
        <v>421.46129974925316</v>
      </c>
      <c r="AN474" s="206">
        <f t="shared" si="994"/>
        <v>421.4612997492531</v>
      </c>
      <c r="AO474" s="206">
        <f t="shared" si="994"/>
        <v>421.46129974925316</v>
      </c>
      <c r="AP474" s="206">
        <f t="shared" si="994"/>
        <v>421.46129974925316</v>
      </c>
      <c r="AQ474" s="206">
        <f t="shared" si="994"/>
        <v>421.46129974925327</v>
      </c>
      <c r="AR474" s="206">
        <f t="shared" si="994"/>
        <v>421.46129974925276</v>
      </c>
      <c r="AS474" s="206">
        <f t="shared" si="994"/>
        <v>421.46129974925321</v>
      </c>
      <c r="AT474" s="206">
        <f t="shared" si="994"/>
        <v>421.46129974925316</v>
      </c>
      <c r="AU474" s="206">
        <f t="shared" si="994"/>
        <v>421.46129974925293</v>
      </c>
      <c r="AV474" s="206">
        <f t="shared" si="994"/>
        <v>421.46129974925327</v>
      </c>
      <c r="AW474" s="206">
        <f t="shared" si="994"/>
        <v>421.46129974925304</v>
      </c>
      <c r="AX474" s="206">
        <f t="shared" si="994"/>
        <v>421.46129974925304</v>
      </c>
      <c r="AY474" s="206">
        <f t="shared" si="994"/>
        <v>421.4612997492531</v>
      </c>
      <c r="AZ474" s="206">
        <f t="shared" si="994"/>
        <v>421.46129974925321</v>
      </c>
      <c r="BA474" s="206">
        <f t="shared" si="994"/>
        <v>421.46129974925339</v>
      </c>
      <c r="BB474" s="207">
        <f t="shared" si="994"/>
        <v>421.46129974925282</v>
      </c>
    </row>
    <row r="475" spans="3:350" ht="18" hidden="1" customHeight="1" outlineLevel="1" x14ac:dyDescent="0.3">
      <c r="C475" s="208"/>
      <c r="D475" s="39"/>
      <c r="E475" s="209"/>
      <c r="F475" s="210"/>
      <c r="H475" s="211"/>
      <c r="I475" s="166"/>
      <c r="J475" s="166"/>
      <c r="K475" s="166"/>
      <c r="L475" s="166"/>
      <c r="M475" s="212"/>
      <c r="S475" s="211"/>
      <c r="T475" s="166"/>
      <c r="U475" s="166"/>
      <c r="V475" s="166"/>
      <c r="W475" s="166"/>
      <c r="X475" s="166"/>
      <c r="Y475" s="166"/>
      <c r="Z475" s="166"/>
      <c r="AA475" s="166"/>
      <c r="AB475" s="166"/>
      <c r="AC475" s="166"/>
      <c r="AD475" s="166"/>
      <c r="AE475" s="166"/>
      <c r="AF475" s="166"/>
      <c r="AG475" s="166"/>
      <c r="AH475" s="166"/>
      <c r="AI475" s="166"/>
      <c r="AJ475" s="166"/>
      <c r="AK475" s="166"/>
      <c r="AL475" s="166"/>
      <c r="AM475" s="166"/>
      <c r="AN475" s="166"/>
      <c r="AO475" s="166"/>
      <c r="AP475" s="166"/>
      <c r="AQ475" s="166"/>
      <c r="AR475" s="166"/>
      <c r="AS475" s="166"/>
      <c r="AT475" s="166"/>
      <c r="AU475" s="166"/>
      <c r="AV475" s="166"/>
      <c r="AW475" s="166"/>
      <c r="AX475" s="166"/>
      <c r="AY475" s="166"/>
      <c r="AZ475" s="166"/>
      <c r="BA475" s="166"/>
      <c r="BB475" s="212"/>
    </row>
    <row r="476" spans="3:350" s="4" customFormat="1" ht="18" hidden="1" customHeight="1" outlineLevel="1" x14ac:dyDescent="0.3">
      <c r="H476" s="140"/>
      <c r="I476" s="140"/>
      <c r="J476" s="140"/>
      <c r="K476" s="140"/>
      <c r="L476" s="140"/>
      <c r="M476" s="140"/>
      <c r="N476" s="140"/>
      <c r="O476" s="140"/>
      <c r="P476" s="140"/>
      <c r="Q476" s="140"/>
      <c r="R476" s="140"/>
      <c r="S476" s="140"/>
      <c r="T476" s="140"/>
      <c r="U476" s="140"/>
      <c r="V476" s="140"/>
      <c r="W476" s="140"/>
      <c r="X476" s="140"/>
      <c r="Y476" s="140"/>
      <c r="Z476" s="140"/>
      <c r="AA476" s="140"/>
      <c r="AB476" s="140"/>
      <c r="AC476" s="140"/>
      <c r="AD476" s="140"/>
      <c r="AE476" s="140"/>
      <c r="AF476" s="140"/>
      <c r="AG476" s="140"/>
      <c r="AH476" s="140"/>
      <c r="AI476" s="140"/>
      <c r="AJ476" s="140"/>
      <c r="AK476" s="140"/>
      <c r="AL476" s="140"/>
      <c r="AM476" s="140"/>
      <c r="AN476" s="140"/>
      <c r="AO476" s="140"/>
      <c r="AP476" s="140"/>
      <c r="AQ476" s="140"/>
      <c r="AR476" s="140"/>
      <c r="AS476" s="140"/>
      <c r="AT476" s="140"/>
      <c r="AU476" s="140"/>
      <c r="AV476" s="140"/>
      <c r="AW476" s="140"/>
      <c r="AX476" s="140"/>
      <c r="AY476" s="140"/>
      <c r="AZ476" s="140"/>
      <c r="BA476" s="140"/>
      <c r="BB476" s="140"/>
      <c r="BC476" s="140"/>
      <c r="BD476" s="140"/>
      <c r="BE476" s="140"/>
      <c r="BF476" s="140"/>
      <c r="BG476" s="140"/>
      <c r="BH476" s="140"/>
      <c r="BI476" s="140"/>
      <c r="BJ476" s="140"/>
      <c r="BK476" s="140"/>
      <c r="BL476" s="140"/>
      <c r="BM476" s="140"/>
      <c r="BN476" s="140"/>
      <c r="BO476" s="140"/>
      <c r="BP476" s="140"/>
      <c r="BQ476" s="140"/>
      <c r="BR476" s="140"/>
      <c r="BS476" s="140"/>
      <c r="BT476" s="140"/>
      <c r="BU476" s="140"/>
      <c r="BV476" s="140"/>
      <c r="BW476" s="140"/>
      <c r="BX476" s="140"/>
      <c r="BY476" s="140"/>
      <c r="BZ476" s="140"/>
      <c r="CA476" s="140"/>
      <c r="CB476" s="140"/>
      <c r="CC476" s="140"/>
      <c r="CD476" s="140"/>
      <c r="CE476" s="140"/>
      <c r="CF476" s="140"/>
      <c r="CG476" s="140"/>
      <c r="CH476" s="140"/>
      <c r="CI476" s="140"/>
      <c r="CJ476" s="140"/>
      <c r="CK476" s="140"/>
      <c r="CL476" s="140"/>
      <c r="CM476" s="140"/>
      <c r="CN476" s="140"/>
      <c r="FJ476" s="140"/>
      <c r="FK476" s="140"/>
      <c r="FL476" s="140"/>
      <c r="FM476" s="140"/>
      <c r="FN476" s="140"/>
      <c r="FO476" s="140"/>
      <c r="FP476" s="140"/>
      <c r="FQ476" s="140"/>
      <c r="FR476" s="140"/>
      <c r="FS476" s="140"/>
      <c r="FT476" s="140"/>
      <c r="FU476" s="140"/>
      <c r="FV476" s="140"/>
      <c r="FW476" s="140"/>
      <c r="FX476" s="140"/>
      <c r="FY476" s="140"/>
      <c r="FZ476" s="140"/>
      <c r="GA476" s="140"/>
      <c r="GB476" s="140"/>
      <c r="GC476" s="140"/>
      <c r="GD476" s="140"/>
      <c r="GE476" s="140"/>
      <c r="GF476" s="140"/>
      <c r="GG476" s="140"/>
      <c r="GH476" s="140"/>
      <c r="GI476" s="140"/>
      <c r="GJ476" s="140"/>
      <c r="GK476" s="140"/>
      <c r="GL476" s="140"/>
      <c r="GM476" s="140"/>
      <c r="GN476" s="140"/>
      <c r="GO476" s="140"/>
      <c r="GP476" s="140"/>
      <c r="GQ476" s="140"/>
      <c r="GR476" s="140"/>
      <c r="GS476" s="140"/>
      <c r="GT476" s="140"/>
      <c r="GU476" s="140"/>
      <c r="GV476" s="140"/>
      <c r="GW476" s="140"/>
      <c r="GX476" s="140"/>
      <c r="GY476" s="140"/>
      <c r="GZ476" s="140"/>
      <c r="HA476" s="140"/>
      <c r="HB476" s="140"/>
      <c r="HC476" s="140"/>
      <c r="HD476" s="140"/>
      <c r="HE476" s="140"/>
      <c r="HF476" s="140"/>
      <c r="HG476" s="140"/>
      <c r="HH476" s="140"/>
      <c r="HI476" s="140"/>
      <c r="HJ476" s="140"/>
      <c r="HK476" s="140"/>
      <c r="HL476" s="140"/>
      <c r="HM476" s="140"/>
      <c r="HN476" s="140"/>
      <c r="HO476" s="140"/>
      <c r="HP476" s="140"/>
      <c r="HQ476" s="140"/>
      <c r="HR476" s="140"/>
      <c r="HS476" s="140"/>
      <c r="HT476" s="140"/>
      <c r="HU476" s="140"/>
      <c r="HV476" s="140"/>
      <c r="HW476" s="140"/>
      <c r="HX476" s="140"/>
      <c r="HY476" s="140"/>
      <c r="HZ476" s="140"/>
      <c r="IA476" s="140"/>
      <c r="IB476" s="140"/>
      <c r="IC476" s="140"/>
      <c r="ID476" s="140"/>
      <c r="IE476" s="140"/>
      <c r="IF476" s="140"/>
      <c r="IG476" s="140"/>
      <c r="IH476" s="140"/>
      <c r="II476" s="140"/>
      <c r="IJ476" s="140"/>
      <c r="IK476" s="140"/>
      <c r="IL476" s="140"/>
      <c r="IM476" s="140"/>
      <c r="IN476" s="140"/>
      <c r="IO476" s="140"/>
      <c r="IP476" s="140"/>
      <c r="IQ476" s="140"/>
      <c r="IR476" s="140"/>
      <c r="IS476" s="140"/>
      <c r="IT476" s="140"/>
      <c r="IU476" s="140"/>
      <c r="IV476" s="140"/>
      <c r="IW476" s="140"/>
      <c r="IX476" s="140"/>
      <c r="IY476" s="140"/>
      <c r="IZ476" s="140"/>
      <c r="JA476" s="140"/>
      <c r="JB476" s="140"/>
      <c r="JC476" s="140"/>
      <c r="JD476" s="140"/>
      <c r="JE476" s="140"/>
      <c r="JF476" s="140"/>
      <c r="JG476" s="140"/>
      <c r="JH476" s="140"/>
      <c r="JI476" s="140"/>
      <c r="JJ476" s="140"/>
      <c r="JK476" s="140"/>
      <c r="JL476" s="140"/>
      <c r="JM476" s="140"/>
      <c r="JN476" s="140"/>
      <c r="JO476" s="140"/>
      <c r="JP476" s="140"/>
      <c r="JQ476" s="140"/>
      <c r="JR476" s="140"/>
      <c r="JS476" s="140"/>
      <c r="JT476" s="140"/>
      <c r="JU476" s="140"/>
      <c r="JV476" s="140"/>
      <c r="JW476" s="140"/>
      <c r="JX476" s="140"/>
      <c r="JY476" s="140"/>
      <c r="JZ476" s="140"/>
      <c r="KA476" s="140"/>
      <c r="KB476" s="140"/>
      <c r="KC476" s="140"/>
      <c r="KD476" s="140"/>
      <c r="KE476" s="140"/>
      <c r="KF476" s="140"/>
      <c r="KG476" s="140"/>
      <c r="KH476" s="140"/>
      <c r="KI476" s="140"/>
      <c r="KJ476" s="140"/>
      <c r="KK476" s="140"/>
      <c r="KL476" s="140"/>
      <c r="KM476" s="140"/>
      <c r="KN476" s="140"/>
      <c r="KO476" s="140"/>
      <c r="KP476" s="140"/>
      <c r="KQ476" s="140"/>
      <c r="KR476" s="140"/>
      <c r="KS476" s="140"/>
      <c r="KT476" s="140"/>
      <c r="KU476" s="140"/>
      <c r="KV476" s="140"/>
      <c r="KW476" s="140"/>
      <c r="KX476" s="140"/>
      <c r="KY476" s="140"/>
      <c r="KZ476" s="140"/>
      <c r="LA476" s="140"/>
      <c r="LB476" s="140"/>
      <c r="LC476" s="140"/>
      <c r="LD476" s="140"/>
      <c r="LE476" s="140"/>
      <c r="LF476" s="140"/>
      <c r="LG476" s="140"/>
      <c r="LH476" s="140"/>
      <c r="LI476" s="140"/>
      <c r="LJ476" s="140"/>
      <c r="LK476" s="140"/>
      <c r="LL476" s="140"/>
      <c r="LM476" s="140"/>
      <c r="LN476" s="140"/>
      <c r="LO476" s="140"/>
      <c r="LP476" s="140"/>
      <c r="LQ476" s="140"/>
      <c r="LR476" s="140"/>
      <c r="LS476" s="140"/>
      <c r="LT476" s="140"/>
      <c r="LU476" s="140"/>
      <c r="LV476" s="140"/>
      <c r="LW476" s="140"/>
      <c r="LX476" s="140"/>
      <c r="LY476" s="140"/>
      <c r="LZ476" s="140"/>
      <c r="MA476" s="140"/>
      <c r="MB476" s="140"/>
      <c r="MC476" s="140"/>
      <c r="MD476" s="140"/>
      <c r="ME476" s="140"/>
      <c r="MF476" s="140"/>
      <c r="MG476" s="140"/>
      <c r="MH476" s="140"/>
      <c r="MI476" s="140"/>
      <c r="MJ476" s="140"/>
      <c r="MK476" s="140"/>
      <c r="ML476" s="140"/>
    </row>
    <row r="477" spans="3:350" s="4" customFormat="1" ht="18" customHeight="1" collapsed="1" x14ac:dyDescent="0.3">
      <c r="H477" s="140"/>
      <c r="I477" s="140"/>
      <c r="J477" s="140"/>
      <c r="K477" s="140"/>
      <c r="L477" s="140"/>
      <c r="M477" s="140"/>
      <c r="N477" s="140"/>
      <c r="O477" s="140"/>
      <c r="P477" s="140"/>
      <c r="Q477" s="140"/>
      <c r="R477" s="140"/>
      <c r="S477" s="140"/>
      <c r="T477" s="140"/>
      <c r="U477" s="140"/>
      <c r="V477" s="140"/>
      <c r="W477" s="140"/>
      <c r="X477" s="140"/>
      <c r="Y477" s="140"/>
      <c r="Z477" s="140"/>
      <c r="AA477" s="140"/>
      <c r="AB477" s="140"/>
      <c r="AC477" s="140"/>
      <c r="AD477" s="140"/>
      <c r="AE477" s="140"/>
      <c r="AF477" s="140"/>
      <c r="AG477" s="140"/>
      <c r="AH477" s="140"/>
      <c r="AI477" s="140"/>
      <c r="AJ477" s="140"/>
      <c r="AK477" s="140"/>
      <c r="AL477" s="140"/>
      <c r="AM477" s="140"/>
      <c r="AN477" s="140"/>
      <c r="AO477" s="140"/>
      <c r="AP477" s="140"/>
      <c r="AQ477" s="140"/>
      <c r="AR477" s="140"/>
      <c r="AS477" s="140"/>
      <c r="AT477" s="140"/>
      <c r="AU477" s="140"/>
      <c r="AV477" s="140"/>
      <c r="AW477" s="140"/>
      <c r="AX477" s="140"/>
      <c r="AY477" s="140"/>
      <c r="AZ477" s="140"/>
      <c r="BA477" s="140"/>
      <c r="BB477" s="140"/>
      <c r="BC477" s="140"/>
      <c r="BD477" s="140"/>
      <c r="BE477" s="140"/>
      <c r="BF477" s="140"/>
      <c r="BG477" s="140"/>
      <c r="BH477" s="140"/>
      <c r="BI477" s="140"/>
      <c r="BJ477" s="140"/>
      <c r="BK477" s="140"/>
      <c r="BL477" s="140"/>
      <c r="BM477" s="140"/>
      <c r="BN477" s="140"/>
      <c r="BO477" s="140"/>
      <c r="BP477" s="140"/>
      <c r="BQ477" s="140"/>
      <c r="BR477" s="140"/>
      <c r="BS477" s="140"/>
      <c r="BT477" s="140"/>
      <c r="BU477" s="140"/>
      <c r="BV477" s="140"/>
      <c r="BW477" s="140"/>
      <c r="BX477" s="140"/>
      <c r="BY477" s="140"/>
      <c r="BZ477" s="140"/>
      <c r="CA477" s="140"/>
      <c r="CB477" s="140"/>
      <c r="CC477" s="140"/>
      <c r="CD477" s="140"/>
      <c r="CE477" s="140"/>
      <c r="CF477" s="140"/>
      <c r="CG477" s="140"/>
      <c r="CH477" s="140"/>
      <c r="CI477" s="140"/>
      <c r="CJ477" s="140"/>
      <c r="CK477" s="140"/>
      <c r="CL477" s="140"/>
      <c r="CM477" s="140"/>
      <c r="CN477" s="140"/>
      <c r="FJ477" s="140"/>
      <c r="FK477" s="140"/>
      <c r="FL477" s="140"/>
      <c r="FM477" s="140"/>
      <c r="FN477" s="140"/>
      <c r="FO477" s="140"/>
      <c r="FP477" s="140"/>
      <c r="FQ477" s="140"/>
      <c r="FR477" s="140"/>
      <c r="FS477" s="140"/>
      <c r="FT477" s="140"/>
      <c r="FU477" s="140"/>
      <c r="FV477" s="140"/>
      <c r="FW477" s="140"/>
      <c r="FX477" s="140"/>
      <c r="FY477" s="140"/>
      <c r="FZ477" s="140"/>
      <c r="GA477" s="140"/>
      <c r="GB477" s="140"/>
      <c r="GC477" s="140"/>
      <c r="GD477" s="140"/>
      <c r="GE477" s="140"/>
      <c r="GF477" s="140"/>
      <c r="GG477" s="140"/>
      <c r="GH477" s="140"/>
      <c r="GI477" s="140"/>
      <c r="GJ477" s="140"/>
      <c r="GK477" s="140"/>
      <c r="GL477" s="140"/>
      <c r="GM477" s="140"/>
      <c r="GN477" s="140"/>
      <c r="GO477" s="140"/>
      <c r="GP477" s="140"/>
      <c r="GQ477" s="140"/>
      <c r="GR477" s="140"/>
      <c r="GS477" s="140"/>
      <c r="GT477" s="140"/>
      <c r="GU477" s="140"/>
      <c r="GV477" s="140"/>
      <c r="GW477" s="140"/>
      <c r="GX477" s="140"/>
      <c r="GY477" s="140"/>
      <c r="GZ477" s="140"/>
      <c r="HA477" s="140"/>
      <c r="HB477" s="140"/>
      <c r="HC477" s="140"/>
      <c r="HD477" s="140"/>
      <c r="HE477" s="140"/>
      <c r="HF477" s="140"/>
      <c r="HG477" s="140"/>
      <c r="HH477" s="140"/>
      <c r="HI477" s="140"/>
      <c r="HJ477" s="140"/>
      <c r="HK477" s="140"/>
      <c r="HL477" s="140"/>
      <c r="HM477" s="140"/>
      <c r="HN477" s="140"/>
      <c r="HO477" s="140"/>
      <c r="HP477" s="140"/>
      <c r="HQ477" s="140"/>
      <c r="HR477" s="140"/>
      <c r="HS477" s="140"/>
      <c r="HT477" s="140"/>
      <c r="HU477" s="140"/>
      <c r="HV477" s="140"/>
      <c r="HW477" s="140"/>
      <c r="HX477" s="140"/>
      <c r="HY477" s="140"/>
      <c r="HZ477" s="140"/>
      <c r="IA477" s="140"/>
      <c r="IB477" s="140"/>
      <c r="IC477" s="140"/>
      <c r="ID477" s="140"/>
      <c r="IE477" s="140"/>
      <c r="IF477" s="140"/>
      <c r="IG477" s="140"/>
      <c r="IH477" s="140"/>
      <c r="II477" s="140"/>
      <c r="IJ477" s="140"/>
      <c r="IK477" s="140"/>
      <c r="IL477" s="140"/>
      <c r="IM477" s="140"/>
      <c r="IN477" s="140"/>
      <c r="IO477" s="140"/>
      <c r="IP477" s="140"/>
      <c r="IQ477" s="140"/>
      <c r="IR477" s="140"/>
      <c r="IS477" s="140"/>
      <c r="IT477" s="140"/>
      <c r="IU477" s="140"/>
      <c r="IV477" s="140"/>
      <c r="IW477" s="140"/>
      <c r="IX477" s="140"/>
      <c r="IY477" s="140"/>
      <c r="IZ477" s="140"/>
      <c r="JA477" s="140"/>
      <c r="JB477" s="140"/>
      <c r="JC477" s="140"/>
      <c r="JD477" s="140"/>
      <c r="JE477" s="140"/>
      <c r="JF477" s="140"/>
      <c r="JG477" s="140"/>
      <c r="JH477" s="140"/>
      <c r="JI477" s="140"/>
      <c r="JJ477" s="140"/>
      <c r="JK477" s="140"/>
      <c r="JL477" s="140"/>
      <c r="JM477" s="140"/>
      <c r="JN477" s="140"/>
      <c r="JO477" s="140"/>
      <c r="JP477" s="140"/>
      <c r="JQ477" s="140"/>
      <c r="JR477" s="140"/>
      <c r="JS477" s="140"/>
      <c r="JT477" s="140"/>
      <c r="JU477" s="140"/>
      <c r="JV477" s="140"/>
      <c r="JW477" s="140"/>
      <c r="JX477" s="140"/>
      <c r="JY477" s="140"/>
      <c r="JZ477" s="140"/>
      <c r="KA477" s="140"/>
      <c r="KB477" s="140"/>
      <c r="KC477" s="140"/>
      <c r="KD477" s="140"/>
      <c r="KE477" s="140"/>
      <c r="KF477" s="140"/>
      <c r="KG477" s="140"/>
      <c r="KH477" s="140"/>
      <c r="KI477" s="140"/>
      <c r="KJ477" s="140"/>
      <c r="KK477" s="140"/>
      <c r="KL477" s="140"/>
      <c r="KM477" s="140"/>
      <c r="KN477" s="140"/>
      <c r="KO477" s="140"/>
      <c r="KP477" s="140"/>
      <c r="KQ477" s="140"/>
      <c r="KR477" s="140"/>
      <c r="KS477" s="140"/>
      <c r="KT477" s="140"/>
      <c r="KU477" s="140"/>
      <c r="KV477" s="140"/>
      <c r="KW477" s="140"/>
      <c r="KX477" s="140"/>
      <c r="KY477" s="140"/>
      <c r="KZ477" s="140"/>
      <c r="LA477" s="140"/>
      <c r="LB477" s="140"/>
      <c r="LC477" s="140"/>
      <c r="LD477" s="140"/>
      <c r="LE477" s="140"/>
      <c r="LF477" s="140"/>
      <c r="LG477" s="140"/>
      <c r="LH477" s="140"/>
      <c r="LI477" s="140"/>
      <c r="LJ477" s="140"/>
      <c r="LK477" s="140"/>
      <c r="LL477" s="140"/>
      <c r="LM477" s="140"/>
      <c r="LN477" s="140"/>
      <c r="LO477" s="140"/>
      <c r="LP477" s="140"/>
      <c r="LQ477" s="140"/>
      <c r="LR477" s="140"/>
      <c r="LS477" s="140"/>
      <c r="LT477" s="140"/>
      <c r="LU477" s="140"/>
      <c r="LV477" s="140"/>
      <c r="LW477" s="140"/>
      <c r="LX477" s="140"/>
      <c r="LY477" s="140"/>
      <c r="LZ477" s="140"/>
      <c r="MA477" s="140"/>
      <c r="MB477" s="140"/>
      <c r="MC477" s="140"/>
      <c r="MD477" s="140"/>
      <c r="ME477" s="140"/>
      <c r="MF477" s="140"/>
      <c r="MG477" s="140"/>
      <c r="MH477" s="140"/>
      <c r="MI477" s="140"/>
      <c r="MJ477" s="140"/>
      <c r="MK477" s="140"/>
      <c r="ML477" s="140"/>
    </row>
    <row r="478" spans="3:350" s="4" customFormat="1" ht="18" customHeight="1" x14ac:dyDescent="0.3">
      <c r="H478" s="140"/>
      <c r="I478" s="140"/>
      <c r="J478" s="140"/>
      <c r="K478" s="140"/>
      <c r="L478" s="140"/>
      <c r="M478" s="140"/>
      <c r="N478" s="140"/>
      <c r="O478" s="140"/>
      <c r="P478" s="140"/>
      <c r="Q478" s="140"/>
      <c r="R478" s="140"/>
      <c r="S478" s="140"/>
      <c r="T478" s="140"/>
      <c r="U478" s="140"/>
      <c r="V478" s="140"/>
      <c r="W478" s="140"/>
      <c r="X478" s="140"/>
      <c r="Y478" s="140"/>
      <c r="Z478" s="140"/>
      <c r="AA478" s="140"/>
      <c r="AB478" s="140"/>
      <c r="AC478" s="140"/>
      <c r="AD478" s="140"/>
      <c r="AE478" s="140"/>
      <c r="AF478" s="140"/>
      <c r="AG478" s="140"/>
      <c r="AH478" s="140"/>
      <c r="AI478" s="140"/>
      <c r="AJ478" s="140"/>
      <c r="AK478" s="140"/>
      <c r="AL478" s="140"/>
      <c r="AM478" s="140"/>
      <c r="AN478" s="140"/>
      <c r="AO478" s="140"/>
      <c r="AP478" s="140"/>
      <c r="AQ478" s="140"/>
      <c r="AR478" s="140"/>
      <c r="AS478" s="140"/>
      <c r="AT478" s="140"/>
      <c r="AU478" s="140"/>
      <c r="AV478" s="140"/>
      <c r="AW478" s="140"/>
      <c r="AX478" s="140"/>
      <c r="AY478" s="140"/>
      <c r="AZ478" s="140"/>
      <c r="BA478" s="140"/>
      <c r="BB478" s="140"/>
      <c r="BC478" s="140"/>
      <c r="BD478" s="140"/>
      <c r="BE478" s="140"/>
      <c r="BF478" s="140"/>
      <c r="BG478" s="140"/>
      <c r="BH478" s="140"/>
      <c r="BI478" s="140"/>
      <c r="BJ478" s="140"/>
      <c r="BK478" s="140"/>
      <c r="BL478" s="140"/>
      <c r="BM478" s="140"/>
      <c r="BN478" s="140"/>
      <c r="BO478" s="140"/>
      <c r="BP478" s="140"/>
      <c r="BQ478" s="140"/>
      <c r="BR478" s="140"/>
      <c r="BS478" s="140"/>
      <c r="BT478" s="140"/>
      <c r="BU478" s="140"/>
      <c r="BV478" s="140"/>
      <c r="BW478" s="140"/>
      <c r="BX478" s="140"/>
      <c r="BY478" s="140"/>
      <c r="BZ478" s="140"/>
      <c r="CA478" s="140"/>
      <c r="CB478" s="140"/>
      <c r="CC478" s="140"/>
      <c r="CD478" s="140"/>
      <c r="CE478" s="140"/>
      <c r="CF478" s="140"/>
      <c r="CG478" s="140"/>
      <c r="CH478" s="140"/>
      <c r="CI478" s="140"/>
      <c r="CJ478" s="140"/>
      <c r="CK478" s="140"/>
      <c r="CL478" s="140"/>
      <c r="CM478" s="140"/>
      <c r="CN478" s="140"/>
      <c r="FJ478" s="140"/>
      <c r="FK478" s="140"/>
      <c r="FL478" s="140"/>
      <c r="FM478" s="140"/>
      <c r="FN478" s="140"/>
      <c r="FO478" s="140"/>
      <c r="FP478" s="140"/>
      <c r="FQ478" s="140"/>
      <c r="FR478" s="140"/>
      <c r="FS478" s="140"/>
      <c r="FT478" s="140"/>
      <c r="FU478" s="140"/>
      <c r="FV478" s="140"/>
      <c r="FW478" s="140"/>
      <c r="FX478" s="140"/>
      <c r="FY478" s="140"/>
      <c r="FZ478" s="140"/>
      <c r="GA478" s="140"/>
      <c r="GB478" s="140"/>
      <c r="GC478" s="140"/>
      <c r="GD478" s="140"/>
      <c r="GE478" s="140"/>
      <c r="GF478" s="140"/>
      <c r="GG478" s="140"/>
      <c r="GH478" s="140"/>
      <c r="GI478" s="140"/>
      <c r="GJ478" s="140"/>
      <c r="GK478" s="140"/>
      <c r="GL478" s="140"/>
      <c r="GM478" s="140"/>
      <c r="GN478" s="140"/>
      <c r="GO478" s="140"/>
      <c r="GP478" s="140"/>
      <c r="GQ478" s="140"/>
      <c r="GR478" s="140"/>
      <c r="GS478" s="140"/>
      <c r="GT478" s="140"/>
      <c r="GU478" s="140"/>
      <c r="GV478" s="140"/>
      <c r="GW478" s="140"/>
      <c r="GX478" s="140"/>
      <c r="GY478" s="140"/>
      <c r="GZ478" s="140"/>
      <c r="HA478" s="140"/>
      <c r="HB478" s="140"/>
      <c r="HC478" s="140"/>
      <c r="HD478" s="140"/>
      <c r="HE478" s="140"/>
      <c r="HF478" s="140"/>
      <c r="HG478" s="140"/>
      <c r="HH478" s="140"/>
      <c r="HI478" s="140"/>
      <c r="HJ478" s="140"/>
      <c r="HK478" s="140"/>
      <c r="HL478" s="140"/>
      <c r="HM478" s="140"/>
      <c r="HN478" s="140"/>
      <c r="HO478" s="140"/>
      <c r="HP478" s="140"/>
      <c r="HQ478" s="140"/>
      <c r="HR478" s="140"/>
      <c r="HS478" s="140"/>
      <c r="HT478" s="140"/>
      <c r="HU478" s="140"/>
      <c r="HV478" s="140"/>
      <c r="HW478" s="140"/>
      <c r="HX478" s="140"/>
      <c r="HY478" s="140"/>
      <c r="HZ478" s="140"/>
      <c r="IA478" s="140"/>
      <c r="IB478" s="140"/>
      <c r="IC478" s="140"/>
      <c r="ID478" s="140"/>
      <c r="IE478" s="140"/>
      <c r="IF478" s="140"/>
      <c r="IG478" s="140"/>
      <c r="IH478" s="140"/>
      <c r="II478" s="140"/>
      <c r="IJ478" s="140"/>
      <c r="IK478" s="140"/>
      <c r="IL478" s="140"/>
      <c r="IM478" s="140"/>
      <c r="IN478" s="140"/>
      <c r="IO478" s="140"/>
      <c r="IP478" s="140"/>
      <c r="IQ478" s="140"/>
      <c r="IR478" s="140"/>
      <c r="IS478" s="140"/>
      <c r="IT478" s="140"/>
      <c r="IU478" s="140"/>
      <c r="IV478" s="140"/>
      <c r="IW478" s="140"/>
      <c r="IX478" s="140"/>
      <c r="IY478" s="140"/>
      <c r="IZ478" s="140"/>
      <c r="JA478" s="140"/>
      <c r="JB478" s="140"/>
      <c r="JC478" s="140"/>
      <c r="JD478" s="140"/>
      <c r="JE478" s="140"/>
      <c r="JF478" s="140"/>
      <c r="JG478" s="140"/>
      <c r="JH478" s="140"/>
      <c r="JI478" s="140"/>
      <c r="JJ478" s="140"/>
      <c r="JK478" s="140"/>
      <c r="JL478" s="140"/>
      <c r="JM478" s="140"/>
      <c r="JN478" s="140"/>
      <c r="JO478" s="140"/>
      <c r="JP478" s="140"/>
      <c r="JQ478" s="140"/>
      <c r="JR478" s="140"/>
      <c r="JS478" s="140"/>
      <c r="JT478" s="140"/>
      <c r="JU478" s="140"/>
      <c r="JV478" s="140"/>
      <c r="JW478" s="140"/>
      <c r="JX478" s="140"/>
      <c r="JY478" s="140"/>
      <c r="JZ478" s="140"/>
      <c r="KA478" s="140"/>
      <c r="KB478" s="140"/>
      <c r="KC478" s="140"/>
      <c r="KD478" s="140"/>
      <c r="KE478" s="140"/>
      <c r="KF478" s="140"/>
      <c r="KG478" s="140"/>
      <c r="KH478" s="140"/>
      <c r="KI478" s="140"/>
      <c r="KJ478" s="140"/>
      <c r="KK478" s="140"/>
      <c r="KL478" s="140"/>
      <c r="KM478" s="140"/>
      <c r="KN478" s="140"/>
      <c r="KO478" s="140"/>
      <c r="KP478" s="140"/>
      <c r="KQ478" s="140"/>
      <c r="KR478" s="140"/>
      <c r="KS478" s="140"/>
      <c r="KT478" s="140"/>
      <c r="KU478" s="140"/>
      <c r="KV478" s="140"/>
      <c r="KW478" s="140"/>
      <c r="KX478" s="140"/>
      <c r="KY478" s="140"/>
      <c r="KZ478" s="140"/>
      <c r="LA478" s="140"/>
      <c r="LB478" s="140"/>
      <c r="LC478" s="140"/>
      <c r="LD478" s="140"/>
      <c r="LE478" s="140"/>
      <c r="LF478" s="140"/>
      <c r="LG478" s="140"/>
      <c r="LH478" s="140"/>
      <c r="LI478" s="140"/>
      <c r="LJ478" s="140"/>
      <c r="LK478" s="140"/>
      <c r="LL478" s="140"/>
      <c r="LM478" s="140"/>
      <c r="LN478" s="140"/>
      <c r="LO478" s="140"/>
      <c r="LP478" s="140"/>
      <c r="LQ478" s="140"/>
      <c r="LR478" s="140"/>
      <c r="LS478" s="140"/>
      <c r="LT478" s="140"/>
      <c r="LU478" s="140"/>
      <c r="LV478" s="140"/>
      <c r="LW478" s="140"/>
      <c r="LX478" s="140"/>
      <c r="LY478" s="140"/>
      <c r="LZ478" s="140"/>
      <c r="MA478" s="140"/>
      <c r="MB478" s="140"/>
      <c r="MC478" s="140"/>
      <c r="MD478" s="140"/>
      <c r="ME478" s="140"/>
      <c r="MF478" s="140"/>
      <c r="MG478" s="140"/>
      <c r="MH478" s="140"/>
      <c r="MI478" s="140"/>
      <c r="MJ478" s="140"/>
      <c r="MK478" s="140"/>
      <c r="ML478" s="140"/>
    </row>
    <row r="479" spans="3:350" s="4" customFormat="1" ht="18" customHeight="1" x14ac:dyDescent="0.3">
      <c r="H479" s="140"/>
      <c r="I479" s="140"/>
      <c r="J479" s="140"/>
      <c r="K479" s="140"/>
      <c r="L479" s="140"/>
      <c r="M479" s="140"/>
      <c r="N479" s="140"/>
      <c r="O479" s="140"/>
      <c r="P479" s="140"/>
      <c r="Q479" s="140"/>
      <c r="R479" s="140"/>
      <c r="S479" s="140"/>
      <c r="T479" s="140"/>
      <c r="U479" s="140"/>
      <c r="V479" s="140"/>
      <c r="W479" s="140"/>
      <c r="X479" s="140"/>
      <c r="Y479" s="140"/>
      <c r="Z479" s="140"/>
      <c r="AA479" s="140"/>
      <c r="AB479" s="140"/>
      <c r="AC479" s="140"/>
      <c r="AD479" s="140"/>
      <c r="AE479" s="140"/>
      <c r="AF479" s="140"/>
      <c r="AG479" s="140"/>
      <c r="AH479" s="140"/>
      <c r="AI479" s="140"/>
      <c r="AJ479" s="140"/>
      <c r="AK479" s="140"/>
      <c r="AL479" s="140"/>
      <c r="AM479" s="140"/>
      <c r="AN479" s="140"/>
      <c r="AO479" s="140"/>
      <c r="AP479" s="140"/>
      <c r="AQ479" s="140"/>
      <c r="AR479" s="140"/>
      <c r="AS479" s="140"/>
      <c r="AT479" s="140"/>
      <c r="AU479" s="140"/>
      <c r="AV479" s="140"/>
      <c r="AW479" s="140"/>
      <c r="AX479" s="140"/>
      <c r="AY479" s="140"/>
      <c r="AZ479" s="140"/>
      <c r="BA479" s="140"/>
      <c r="BB479" s="140"/>
      <c r="BC479" s="140"/>
      <c r="BD479" s="140"/>
      <c r="BE479" s="140"/>
      <c r="BF479" s="140"/>
      <c r="BG479" s="140"/>
      <c r="BH479" s="140"/>
      <c r="BI479" s="140"/>
      <c r="BJ479" s="140"/>
      <c r="BK479" s="140"/>
      <c r="BL479" s="140"/>
      <c r="BM479" s="140"/>
      <c r="BN479" s="140"/>
      <c r="BO479" s="140"/>
      <c r="BP479" s="140"/>
      <c r="BQ479" s="140"/>
      <c r="BR479" s="140"/>
      <c r="BS479" s="140"/>
      <c r="BT479" s="140"/>
      <c r="BU479" s="140"/>
      <c r="BV479" s="140"/>
      <c r="BW479" s="140"/>
      <c r="BX479" s="140"/>
      <c r="BY479" s="140"/>
      <c r="BZ479" s="140"/>
      <c r="CA479" s="140"/>
      <c r="CB479" s="140"/>
      <c r="CC479" s="140"/>
      <c r="CD479" s="140"/>
      <c r="CE479" s="140"/>
      <c r="CF479" s="140"/>
      <c r="CG479" s="140"/>
      <c r="CH479" s="140"/>
      <c r="CI479" s="140"/>
      <c r="CJ479" s="140"/>
      <c r="CK479" s="140"/>
      <c r="CL479" s="140"/>
      <c r="CM479" s="140"/>
      <c r="CN479" s="140"/>
      <c r="FJ479" s="140"/>
      <c r="FK479" s="140"/>
      <c r="FL479" s="140"/>
      <c r="FM479" s="140"/>
      <c r="FN479" s="140"/>
      <c r="FO479" s="140"/>
      <c r="FP479" s="140"/>
      <c r="FQ479" s="140"/>
      <c r="FR479" s="140"/>
      <c r="FS479" s="140"/>
      <c r="FT479" s="140"/>
      <c r="FU479" s="140"/>
      <c r="FV479" s="140"/>
      <c r="FW479" s="140"/>
      <c r="FX479" s="140"/>
      <c r="FY479" s="140"/>
      <c r="FZ479" s="140"/>
      <c r="GA479" s="140"/>
      <c r="GB479" s="140"/>
      <c r="GC479" s="140"/>
      <c r="GD479" s="140"/>
      <c r="GE479" s="140"/>
      <c r="GF479" s="140"/>
      <c r="GG479" s="140"/>
      <c r="GH479" s="140"/>
      <c r="GI479" s="140"/>
      <c r="GJ479" s="140"/>
      <c r="GK479" s="140"/>
      <c r="GL479" s="140"/>
      <c r="GM479" s="140"/>
      <c r="GN479" s="140"/>
      <c r="GO479" s="140"/>
      <c r="GP479" s="140"/>
      <c r="GQ479" s="140"/>
      <c r="GR479" s="140"/>
      <c r="GS479" s="140"/>
      <c r="GT479" s="140"/>
      <c r="GU479" s="140"/>
      <c r="GV479" s="140"/>
      <c r="GW479" s="140"/>
      <c r="GX479" s="140"/>
      <c r="GY479" s="140"/>
      <c r="GZ479" s="140"/>
      <c r="HA479" s="140"/>
      <c r="HB479" s="140"/>
      <c r="HC479" s="140"/>
      <c r="HD479" s="140"/>
      <c r="HE479" s="140"/>
      <c r="HF479" s="140"/>
      <c r="HG479" s="140"/>
      <c r="HH479" s="140"/>
      <c r="HI479" s="140"/>
      <c r="HJ479" s="140"/>
      <c r="HK479" s="140"/>
      <c r="HL479" s="140"/>
      <c r="HM479" s="140"/>
      <c r="HN479" s="140"/>
      <c r="HO479" s="140"/>
      <c r="HP479" s="140"/>
      <c r="HQ479" s="140"/>
      <c r="HR479" s="140"/>
      <c r="HS479" s="140"/>
      <c r="HT479" s="140"/>
      <c r="HU479" s="140"/>
      <c r="HV479" s="140"/>
      <c r="HW479" s="140"/>
      <c r="HX479" s="140"/>
      <c r="HY479" s="140"/>
      <c r="HZ479" s="140"/>
      <c r="IA479" s="140"/>
      <c r="IB479" s="140"/>
      <c r="IC479" s="140"/>
      <c r="ID479" s="140"/>
      <c r="IE479" s="140"/>
      <c r="IF479" s="140"/>
      <c r="IG479" s="140"/>
      <c r="IH479" s="140"/>
      <c r="II479" s="140"/>
      <c r="IJ479" s="140"/>
      <c r="IK479" s="140"/>
      <c r="IL479" s="140"/>
      <c r="IM479" s="140"/>
      <c r="IN479" s="140"/>
      <c r="IO479" s="140"/>
      <c r="IP479" s="140"/>
      <c r="IQ479" s="140"/>
      <c r="IR479" s="140"/>
      <c r="IS479" s="140"/>
      <c r="IT479" s="140"/>
      <c r="IU479" s="140"/>
      <c r="IV479" s="140"/>
      <c r="IW479" s="140"/>
      <c r="IX479" s="140"/>
      <c r="IY479" s="140"/>
      <c r="IZ479" s="140"/>
      <c r="JA479" s="140"/>
      <c r="JB479" s="140"/>
      <c r="JC479" s="140"/>
      <c r="JD479" s="140"/>
      <c r="JE479" s="140"/>
      <c r="JF479" s="140"/>
      <c r="JG479" s="140"/>
      <c r="JH479" s="140"/>
      <c r="JI479" s="140"/>
      <c r="JJ479" s="140"/>
      <c r="JK479" s="140"/>
      <c r="JL479" s="140"/>
      <c r="JM479" s="140"/>
      <c r="JN479" s="140"/>
      <c r="JO479" s="140"/>
      <c r="JP479" s="140"/>
      <c r="JQ479" s="140"/>
      <c r="JR479" s="140"/>
      <c r="JS479" s="140"/>
      <c r="JT479" s="140"/>
      <c r="JU479" s="140"/>
      <c r="JV479" s="140"/>
      <c r="JW479" s="140"/>
      <c r="JX479" s="140"/>
      <c r="JY479" s="140"/>
      <c r="JZ479" s="140"/>
      <c r="KA479" s="140"/>
      <c r="KB479" s="140"/>
      <c r="KC479" s="140"/>
      <c r="KD479" s="140"/>
      <c r="KE479" s="140"/>
      <c r="KF479" s="140"/>
      <c r="KG479" s="140"/>
      <c r="KH479" s="140"/>
      <c r="KI479" s="140"/>
      <c r="KJ479" s="140"/>
      <c r="KK479" s="140"/>
      <c r="KL479" s="140"/>
      <c r="KM479" s="140"/>
      <c r="KN479" s="140"/>
      <c r="KO479" s="140"/>
      <c r="KP479" s="140"/>
      <c r="KQ479" s="140"/>
      <c r="KR479" s="140"/>
      <c r="KS479" s="140"/>
      <c r="KT479" s="140"/>
      <c r="KU479" s="140"/>
      <c r="KV479" s="140"/>
      <c r="KW479" s="140"/>
      <c r="KX479" s="140"/>
      <c r="KY479" s="140"/>
      <c r="KZ479" s="140"/>
      <c r="LA479" s="140"/>
      <c r="LB479" s="140"/>
      <c r="LC479" s="140"/>
      <c r="LD479" s="140"/>
      <c r="LE479" s="140"/>
      <c r="LF479" s="140"/>
      <c r="LG479" s="140"/>
      <c r="LH479" s="140"/>
      <c r="LI479" s="140"/>
      <c r="LJ479" s="140"/>
      <c r="LK479" s="140"/>
      <c r="LL479" s="140"/>
      <c r="LM479" s="140"/>
      <c r="LN479" s="140"/>
      <c r="LO479" s="140"/>
      <c r="LP479" s="140"/>
      <c r="LQ479" s="140"/>
      <c r="LR479" s="140"/>
      <c r="LS479" s="140"/>
      <c r="LT479" s="140"/>
      <c r="LU479" s="140"/>
      <c r="LV479" s="140"/>
      <c r="LW479" s="140"/>
      <c r="LX479" s="140"/>
      <c r="LY479" s="140"/>
      <c r="LZ479" s="140"/>
      <c r="MA479" s="140"/>
      <c r="MB479" s="140"/>
      <c r="MC479" s="140"/>
      <c r="MD479" s="140"/>
      <c r="ME479" s="140"/>
      <c r="MF479" s="140"/>
      <c r="MG479" s="140"/>
      <c r="MH479" s="140"/>
      <c r="MI479" s="140"/>
      <c r="MJ479" s="140"/>
      <c r="MK479" s="140"/>
      <c r="ML479" s="140"/>
    </row>
    <row r="480" spans="3:350" s="4" customFormat="1" ht="18" customHeight="1" x14ac:dyDescent="0.3">
      <c r="H480" s="140"/>
      <c r="I480" s="140"/>
      <c r="J480" s="140"/>
      <c r="K480" s="140"/>
      <c r="L480" s="140"/>
      <c r="M480" s="140"/>
      <c r="N480" s="140"/>
      <c r="O480" s="140"/>
      <c r="P480" s="140"/>
      <c r="Q480" s="140"/>
      <c r="R480" s="140"/>
      <c r="S480" s="140"/>
      <c r="T480" s="140"/>
      <c r="U480" s="140"/>
      <c r="V480" s="140"/>
      <c r="W480" s="140"/>
      <c r="X480" s="140"/>
      <c r="Y480" s="140"/>
      <c r="Z480" s="140"/>
      <c r="AA480" s="140"/>
      <c r="AB480" s="140"/>
      <c r="AC480" s="140"/>
      <c r="AD480" s="140"/>
      <c r="AE480" s="140"/>
      <c r="AF480" s="140"/>
      <c r="AG480" s="140"/>
      <c r="AH480" s="140"/>
      <c r="AI480" s="140"/>
      <c r="AJ480" s="140"/>
      <c r="AK480" s="140"/>
      <c r="AL480" s="140"/>
      <c r="AM480" s="140"/>
      <c r="AN480" s="140"/>
      <c r="AO480" s="140"/>
      <c r="AP480" s="140"/>
      <c r="AQ480" s="140"/>
      <c r="AR480" s="140"/>
      <c r="AS480" s="140"/>
      <c r="AT480" s="140"/>
      <c r="AU480" s="140"/>
      <c r="AV480" s="140"/>
      <c r="AW480" s="140"/>
      <c r="AX480" s="140"/>
      <c r="AY480" s="140"/>
      <c r="AZ480" s="140"/>
      <c r="BA480" s="140"/>
      <c r="BB480" s="140"/>
      <c r="BC480" s="140"/>
      <c r="BD480" s="140"/>
      <c r="BE480" s="140"/>
      <c r="BF480" s="140"/>
      <c r="BG480" s="140"/>
      <c r="BH480" s="140"/>
      <c r="BI480" s="140"/>
      <c r="BJ480" s="140"/>
      <c r="BK480" s="140"/>
      <c r="BL480" s="140"/>
      <c r="BM480" s="140"/>
      <c r="BN480" s="140"/>
      <c r="BO480" s="140"/>
      <c r="BP480" s="140"/>
      <c r="BQ480" s="140"/>
      <c r="BR480" s="140"/>
      <c r="BS480" s="140"/>
      <c r="BT480" s="140"/>
      <c r="BU480" s="140"/>
      <c r="BV480" s="140"/>
      <c r="BW480" s="140"/>
      <c r="BX480" s="140"/>
      <c r="BY480" s="140"/>
      <c r="BZ480" s="140"/>
      <c r="CA480" s="140"/>
      <c r="CB480" s="140"/>
      <c r="CC480" s="140"/>
      <c r="CD480" s="140"/>
      <c r="CE480" s="140"/>
      <c r="CF480" s="140"/>
      <c r="CG480" s="140"/>
      <c r="CH480" s="140"/>
      <c r="CI480" s="140"/>
      <c r="CJ480" s="140"/>
      <c r="CK480" s="140"/>
      <c r="CL480" s="140"/>
      <c r="CM480" s="140"/>
      <c r="CN480" s="140"/>
      <c r="FJ480" s="140"/>
      <c r="FK480" s="140"/>
      <c r="FL480" s="140"/>
      <c r="FM480" s="140"/>
      <c r="FN480" s="140"/>
      <c r="FO480" s="140"/>
      <c r="FP480" s="140"/>
      <c r="FQ480" s="140"/>
      <c r="FR480" s="140"/>
      <c r="FS480" s="140"/>
      <c r="FT480" s="140"/>
      <c r="FU480" s="140"/>
      <c r="FV480" s="140"/>
      <c r="FW480" s="140"/>
      <c r="FX480" s="140"/>
      <c r="FY480" s="140"/>
      <c r="FZ480" s="140"/>
      <c r="GA480" s="140"/>
      <c r="GB480" s="140"/>
      <c r="GC480" s="140"/>
      <c r="GD480" s="140"/>
      <c r="GE480" s="140"/>
      <c r="GF480" s="140"/>
      <c r="GG480" s="140"/>
      <c r="GH480" s="140"/>
      <c r="GI480" s="140"/>
      <c r="GJ480" s="140"/>
      <c r="GK480" s="140"/>
      <c r="GL480" s="140"/>
      <c r="GM480" s="140"/>
      <c r="GN480" s="140"/>
      <c r="GO480" s="140"/>
      <c r="GP480" s="140"/>
      <c r="GQ480" s="140"/>
      <c r="GR480" s="140"/>
      <c r="GS480" s="140"/>
      <c r="GT480" s="140"/>
      <c r="GU480" s="140"/>
      <c r="GV480" s="140"/>
      <c r="GW480" s="140"/>
      <c r="GX480" s="140"/>
      <c r="GY480" s="140"/>
      <c r="GZ480" s="140"/>
      <c r="HA480" s="140"/>
      <c r="HB480" s="140"/>
      <c r="HC480" s="140"/>
      <c r="HD480" s="140"/>
      <c r="HE480" s="140"/>
      <c r="HF480" s="140"/>
      <c r="HG480" s="140"/>
      <c r="HH480" s="140"/>
      <c r="HI480" s="140"/>
      <c r="HJ480" s="140"/>
      <c r="HK480" s="140"/>
      <c r="HL480" s="140"/>
      <c r="HM480" s="140"/>
      <c r="HN480" s="140"/>
      <c r="HO480" s="140"/>
      <c r="HP480" s="140"/>
      <c r="HQ480" s="140"/>
      <c r="HR480" s="140"/>
      <c r="HS480" s="140"/>
      <c r="HT480" s="140"/>
      <c r="HU480" s="140"/>
      <c r="HV480" s="140"/>
      <c r="HW480" s="140"/>
      <c r="HX480" s="140"/>
      <c r="HY480" s="140"/>
      <c r="HZ480" s="140"/>
      <c r="IA480" s="140"/>
      <c r="IB480" s="140"/>
      <c r="IC480" s="140"/>
      <c r="ID480" s="140"/>
      <c r="IE480" s="140"/>
      <c r="IF480" s="140"/>
      <c r="IG480" s="140"/>
      <c r="IH480" s="140"/>
      <c r="II480" s="140"/>
      <c r="IJ480" s="140"/>
      <c r="IK480" s="140"/>
      <c r="IL480" s="140"/>
      <c r="IM480" s="140"/>
      <c r="IN480" s="140"/>
      <c r="IO480" s="140"/>
      <c r="IP480" s="140"/>
      <c r="IQ480" s="140"/>
      <c r="IR480" s="140"/>
      <c r="IS480" s="140"/>
      <c r="IT480" s="140"/>
      <c r="IU480" s="140"/>
      <c r="IV480" s="140"/>
      <c r="IW480" s="140"/>
      <c r="IX480" s="140"/>
      <c r="IY480" s="140"/>
      <c r="IZ480" s="140"/>
      <c r="JA480" s="140"/>
      <c r="JB480" s="140"/>
      <c r="JC480" s="140"/>
      <c r="JD480" s="140"/>
      <c r="JE480" s="140"/>
      <c r="JF480" s="140"/>
      <c r="JG480" s="140"/>
      <c r="JH480" s="140"/>
      <c r="JI480" s="140"/>
      <c r="JJ480" s="140"/>
      <c r="JK480" s="140"/>
      <c r="JL480" s="140"/>
      <c r="JM480" s="140"/>
      <c r="JN480" s="140"/>
      <c r="JO480" s="140"/>
      <c r="JP480" s="140"/>
      <c r="JQ480" s="140"/>
      <c r="JR480" s="140"/>
      <c r="JS480" s="140"/>
      <c r="JT480" s="140"/>
      <c r="JU480" s="140"/>
      <c r="JV480" s="140"/>
      <c r="JW480" s="140"/>
      <c r="JX480" s="140"/>
      <c r="JY480" s="140"/>
      <c r="JZ480" s="140"/>
      <c r="KA480" s="140"/>
      <c r="KB480" s="140"/>
      <c r="KC480" s="140"/>
      <c r="KD480" s="140"/>
      <c r="KE480" s="140"/>
      <c r="KF480" s="140"/>
      <c r="KG480" s="140"/>
      <c r="KH480" s="140"/>
      <c r="KI480" s="140"/>
      <c r="KJ480" s="140"/>
      <c r="KK480" s="140"/>
      <c r="KL480" s="140"/>
      <c r="KM480" s="140"/>
      <c r="KN480" s="140"/>
      <c r="KO480" s="140"/>
      <c r="KP480" s="140"/>
      <c r="KQ480" s="140"/>
      <c r="KR480" s="140"/>
      <c r="KS480" s="140"/>
      <c r="KT480" s="140"/>
      <c r="KU480" s="140"/>
      <c r="KV480" s="140"/>
      <c r="KW480" s="140"/>
      <c r="KX480" s="140"/>
      <c r="KY480" s="140"/>
      <c r="KZ480" s="140"/>
      <c r="LA480" s="140"/>
      <c r="LB480" s="140"/>
      <c r="LC480" s="140"/>
      <c r="LD480" s="140"/>
      <c r="LE480" s="140"/>
      <c r="LF480" s="140"/>
      <c r="LG480" s="140"/>
      <c r="LH480" s="140"/>
      <c r="LI480" s="140"/>
      <c r="LJ480" s="140"/>
      <c r="LK480" s="140"/>
      <c r="LL480" s="140"/>
      <c r="LM480" s="140"/>
      <c r="LN480" s="140"/>
      <c r="LO480" s="140"/>
      <c r="LP480" s="140"/>
      <c r="LQ480" s="140"/>
      <c r="LR480" s="140"/>
      <c r="LS480" s="140"/>
      <c r="LT480" s="140"/>
      <c r="LU480" s="140"/>
      <c r="LV480" s="140"/>
      <c r="LW480" s="140"/>
      <c r="LX480" s="140"/>
      <c r="LY480" s="140"/>
      <c r="LZ480" s="140"/>
      <c r="MA480" s="140"/>
      <c r="MB480" s="140"/>
      <c r="MC480" s="140"/>
      <c r="MD480" s="140"/>
      <c r="ME480" s="140"/>
      <c r="MF480" s="140"/>
      <c r="MG480" s="140"/>
      <c r="MH480" s="140"/>
      <c r="MI480" s="140"/>
      <c r="MJ480" s="140"/>
      <c r="MK480" s="140"/>
      <c r="ML480" s="140"/>
    </row>
    <row r="481" spans="3:350" s="4" customFormat="1" ht="18" customHeight="1" x14ac:dyDescent="0.3">
      <c r="H481" s="140"/>
      <c r="I481" s="140"/>
      <c r="J481" s="140"/>
      <c r="K481" s="140"/>
      <c r="L481" s="140"/>
      <c r="M481" s="140"/>
      <c r="N481" s="140"/>
      <c r="O481" s="140"/>
      <c r="P481" s="140"/>
      <c r="Q481" s="140"/>
      <c r="R481" s="140"/>
      <c r="S481" s="140"/>
      <c r="T481" s="140"/>
      <c r="U481" s="140"/>
      <c r="V481" s="140"/>
      <c r="W481" s="140"/>
      <c r="X481" s="140"/>
      <c r="Y481" s="140"/>
      <c r="Z481" s="140"/>
      <c r="AA481" s="140"/>
      <c r="AB481" s="140"/>
      <c r="AC481" s="140"/>
      <c r="AD481" s="140"/>
      <c r="AE481" s="140"/>
      <c r="AF481" s="140"/>
      <c r="AG481" s="140"/>
      <c r="AH481" s="140"/>
      <c r="AI481" s="140"/>
      <c r="AJ481" s="140"/>
      <c r="AK481" s="140"/>
      <c r="AL481" s="140"/>
      <c r="AM481" s="140"/>
      <c r="AN481" s="140"/>
      <c r="AO481" s="140"/>
      <c r="AP481" s="140"/>
      <c r="AQ481" s="140"/>
      <c r="AR481" s="140"/>
      <c r="AS481" s="140"/>
      <c r="AT481" s="140"/>
      <c r="AU481" s="140"/>
      <c r="AV481" s="140"/>
      <c r="AW481" s="140"/>
      <c r="AX481" s="140"/>
      <c r="AY481" s="140"/>
      <c r="AZ481" s="140"/>
      <c r="BA481" s="140"/>
      <c r="BB481" s="140"/>
      <c r="BC481" s="140"/>
      <c r="BD481" s="140"/>
      <c r="BE481" s="140"/>
      <c r="BF481" s="140"/>
      <c r="BG481" s="140"/>
      <c r="BH481" s="140"/>
      <c r="BI481" s="140"/>
      <c r="BJ481" s="140"/>
      <c r="BK481" s="140"/>
      <c r="BL481" s="140"/>
      <c r="BM481" s="140"/>
      <c r="BN481" s="140"/>
      <c r="BO481" s="140"/>
      <c r="BP481" s="140"/>
      <c r="BQ481" s="140"/>
      <c r="BR481" s="140"/>
      <c r="BS481" s="140"/>
      <c r="BT481" s="140"/>
      <c r="BU481" s="140"/>
      <c r="BV481" s="140"/>
      <c r="BW481" s="140"/>
      <c r="BX481" s="140"/>
      <c r="BY481" s="140"/>
      <c r="BZ481" s="140"/>
      <c r="CA481" s="140"/>
      <c r="CB481" s="140"/>
      <c r="CC481" s="140"/>
      <c r="CD481" s="140"/>
      <c r="CE481" s="140"/>
      <c r="CF481" s="140"/>
      <c r="CG481" s="140"/>
      <c r="CH481" s="140"/>
      <c r="CI481" s="140"/>
      <c r="CJ481" s="140"/>
      <c r="CK481" s="140"/>
      <c r="CL481" s="140"/>
      <c r="CM481" s="140"/>
      <c r="CN481" s="140"/>
      <c r="FJ481" s="140"/>
      <c r="FK481" s="140"/>
      <c r="FL481" s="140"/>
      <c r="FM481" s="140"/>
      <c r="FN481" s="140"/>
      <c r="FO481" s="140"/>
      <c r="FP481" s="140"/>
      <c r="FQ481" s="140"/>
      <c r="FR481" s="140"/>
      <c r="FS481" s="140"/>
      <c r="FT481" s="140"/>
      <c r="FU481" s="140"/>
      <c r="FV481" s="140"/>
      <c r="FW481" s="140"/>
      <c r="FX481" s="140"/>
      <c r="FY481" s="140"/>
      <c r="FZ481" s="140"/>
      <c r="GA481" s="140"/>
      <c r="GB481" s="140"/>
      <c r="GC481" s="140"/>
      <c r="GD481" s="140"/>
      <c r="GE481" s="140"/>
      <c r="GF481" s="140"/>
      <c r="GG481" s="140"/>
      <c r="GH481" s="140"/>
      <c r="GI481" s="140"/>
      <c r="GJ481" s="140"/>
      <c r="GK481" s="140"/>
      <c r="GL481" s="140"/>
      <c r="GM481" s="140"/>
      <c r="GN481" s="140"/>
      <c r="GO481" s="140"/>
      <c r="GP481" s="140"/>
      <c r="GQ481" s="140"/>
      <c r="GR481" s="140"/>
      <c r="GS481" s="140"/>
      <c r="GT481" s="140"/>
      <c r="GU481" s="140"/>
      <c r="GV481" s="140"/>
      <c r="GW481" s="140"/>
      <c r="GX481" s="140"/>
      <c r="GY481" s="140"/>
      <c r="GZ481" s="140"/>
      <c r="HA481" s="140"/>
      <c r="HB481" s="140"/>
      <c r="HC481" s="140"/>
      <c r="HD481" s="140"/>
      <c r="HE481" s="140"/>
      <c r="HF481" s="140"/>
      <c r="HG481" s="140"/>
      <c r="HH481" s="140"/>
      <c r="HI481" s="140"/>
      <c r="HJ481" s="140"/>
      <c r="HK481" s="140"/>
      <c r="HL481" s="140"/>
      <c r="HM481" s="140"/>
      <c r="HN481" s="140"/>
      <c r="HO481" s="140"/>
      <c r="HP481" s="140"/>
      <c r="HQ481" s="140"/>
      <c r="HR481" s="140"/>
      <c r="HS481" s="140"/>
      <c r="HT481" s="140"/>
      <c r="HU481" s="140"/>
      <c r="HV481" s="140"/>
      <c r="HW481" s="140"/>
      <c r="HX481" s="140"/>
      <c r="HY481" s="140"/>
      <c r="HZ481" s="140"/>
      <c r="IA481" s="140"/>
      <c r="IB481" s="140"/>
      <c r="IC481" s="140"/>
      <c r="ID481" s="140"/>
      <c r="IE481" s="140"/>
      <c r="IF481" s="140"/>
      <c r="IG481" s="140"/>
      <c r="IH481" s="140"/>
      <c r="II481" s="140"/>
      <c r="IJ481" s="140"/>
      <c r="IK481" s="140"/>
      <c r="IL481" s="140"/>
      <c r="IM481" s="140"/>
      <c r="IN481" s="140"/>
      <c r="IO481" s="140"/>
      <c r="IP481" s="140"/>
      <c r="IQ481" s="140"/>
      <c r="IR481" s="140"/>
      <c r="IS481" s="140"/>
      <c r="IT481" s="140"/>
      <c r="IU481" s="140"/>
      <c r="IV481" s="140"/>
      <c r="IW481" s="140"/>
      <c r="IX481" s="140"/>
      <c r="IY481" s="140"/>
      <c r="IZ481" s="140"/>
      <c r="JA481" s="140"/>
      <c r="JB481" s="140"/>
      <c r="JC481" s="140"/>
      <c r="JD481" s="140"/>
      <c r="JE481" s="140"/>
      <c r="JF481" s="140"/>
      <c r="JG481" s="140"/>
      <c r="JH481" s="140"/>
      <c r="JI481" s="140"/>
      <c r="JJ481" s="140"/>
      <c r="JK481" s="140"/>
      <c r="JL481" s="140"/>
      <c r="JM481" s="140"/>
      <c r="JN481" s="140"/>
      <c r="JO481" s="140"/>
      <c r="JP481" s="140"/>
      <c r="JQ481" s="140"/>
      <c r="JR481" s="140"/>
      <c r="JS481" s="140"/>
      <c r="JT481" s="140"/>
      <c r="JU481" s="140"/>
      <c r="JV481" s="140"/>
      <c r="JW481" s="140"/>
      <c r="JX481" s="140"/>
      <c r="JY481" s="140"/>
      <c r="JZ481" s="140"/>
      <c r="KA481" s="140"/>
      <c r="KB481" s="140"/>
      <c r="KC481" s="140"/>
      <c r="KD481" s="140"/>
      <c r="KE481" s="140"/>
      <c r="KF481" s="140"/>
      <c r="KG481" s="140"/>
      <c r="KH481" s="140"/>
      <c r="KI481" s="140"/>
      <c r="KJ481" s="140"/>
      <c r="KK481" s="140"/>
      <c r="KL481" s="140"/>
      <c r="KM481" s="140"/>
      <c r="KN481" s="140"/>
      <c r="KO481" s="140"/>
      <c r="KP481" s="140"/>
      <c r="KQ481" s="140"/>
      <c r="KR481" s="140"/>
      <c r="KS481" s="140"/>
      <c r="KT481" s="140"/>
      <c r="KU481" s="140"/>
      <c r="KV481" s="140"/>
      <c r="KW481" s="140"/>
      <c r="KX481" s="140"/>
      <c r="KY481" s="140"/>
      <c r="KZ481" s="140"/>
      <c r="LA481" s="140"/>
      <c r="LB481" s="140"/>
      <c r="LC481" s="140"/>
      <c r="LD481" s="140"/>
      <c r="LE481" s="140"/>
      <c r="LF481" s="140"/>
      <c r="LG481" s="140"/>
      <c r="LH481" s="140"/>
      <c r="LI481" s="140"/>
      <c r="LJ481" s="140"/>
      <c r="LK481" s="140"/>
      <c r="LL481" s="140"/>
      <c r="LM481" s="140"/>
      <c r="LN481" s="140"/>
      <c r="LO481" s="140"/>
      <c r="LP481" s="140"/>
      <c r="LQ481" s="140"/>
      <c r="LR481" s="140"/>
      <c r="LS481" s="140"/>
      <c r="LT481" s="140"/>
      <c r="LU481" s="140"/>
      <c r="LV481" s="140"/>
      <c r="LW481" s="140"/>
      <c r="LX481" s="140"/>
      <c r="LY481" s="140"/>
      <c r="LZ481" s="140"/>
      <c r="MA481" s="140"/>
      <c r="MB481" s="140"/>
      <c r="MC481" s="140"/>
      <c r="MD481" s="140"/>
      <c r="ME481" s="140"/>
      <c r="MF481" s="140"/>
      <c r="MG481" s="140"/>
      <c r="MH481" s="140"/>
      <c r="MI481" s="140"/>
      <c r="MJ481" s="140"/>
      <c r="MK481" s="140"/>
      <c r="ML481" s="140"/>
    </row>
    <row r="482" spans="3:350" s="4" customFormat="1" ht="18" customHeight="1" x14ac:dyDescent="0.3">
      <c r="H482" s="140"/>
      <c r="I482" s="140"/>
      <c r="J482" s="140"/>
      <c r="K482" s="140"/>
      <c r="L482" s="140"/>
      <c r="M482" s="140"/>
      <c r="N482" s="140"/>
      <c r="O482" s="140"/>
      <c r="P482" s="140"/>
      <c r="Q482" s="140"/>
      <c r="R482" s="140"/>
      <c r="S482" s="140"/>
      <c r="T482" s="140"/>
      <c r="U482" s="140"/>
      <c r="V482" s="140"/>
      <c r="W482" s="140"/>
      <c r="X482" s="140"/>
      <c r="Y482" s="140"/>
      <c r="Z482" s="140"/>
      <c r="AA482" s="140"/>
      <c r="AB482" s="140"/>
      <c r="AC482" s="140"/>
      <c r="AD482" s="140"/>
      <c r="AE482" s="140"/>
      <c r="AF482" s="140"/>
      <c r="AG482" s="140"/>
      <c r="AH482" s="140"/>
      <c r="AI482" s="140"/>
      <c r="AJ482" s="140"/>
      <c r="AK482" s="140"/>
      <c r="AL482" s="140"/>
      <c r="AM482" s="140"/>
      <c r="AN482" s="140"/>
      <c r="AO482" s="140"/>
      <c r="AP482" s="140"/>
      <c r="AQ482" s="140"/>
      <c r="AR482" s="140"/>
      <c r="AS482" s="140"/>
      <c r="AT482" s="140"/>
      <c r="AU482" s="140"/>
      <c r="AV482" s="140"/>
      <c r="AW482" s="140"/>
      <c r="AX482" s="140"/>
      <c r="AY482" s="140"/>
      <c r="AZ482" s="140"/>
      <c r="BA482" s="140"/>
      <c r="BB482" s="140"/>
      <c r="BC482" s="140"/>
      <c r="BD482" s="140"/>
      <c r="BE482" s="140"/>
      <c r="BF482" s="140"/>
      <c r="BG482" s="140"/>
      <c r="BH482" s="140"/>
      <c r="BI482" s="140"/>
      <c r="BJ482" s="140"/>
      <c r="BK482" s="140"/>
      <c r="BL482" s="140"/>
      <c r="BM482" s="140"/>
      <c r="BN482" s="140"/>
      <c r="BO482" s="140"/>
      <c r="BP482" s="140"/>
      <c r="BQ482" s="140"/>
      <c r="BR482" s="140"/>
      <c r="BS482" s="140"/>
      <c r="BT482" s="140"/>
      <c r="BU482" s="140"/>
      <c r="BV482" s="140"/>
      <c r="BW482" s="140"/>
      <c r="BX482" s="140"/>
      <c r="BY482" s="140"/>
      <c r="BZ482" s="140"/>
      <c r="CA482" s="140"/>
      <c r="CB482" s="140"/>
      <c r="CC482" s="140"/>
      <c r="CD482" s="140"/>
      <c r="CE482" s="140"/>
      <c r="CF482" s="140"/>
      <c r="CG482" s="140"/>
      <c r="CH482" s="140"/>
      <c r="CI482" s="140"/>
      <c r="CJ482" s="140"/>
      <c r="CK482" s="140"/>
      <c r="CL482" s="140"/>
      <c r="CM482" s="140"/>
      <c r="CN482" s="140"/>
      <c r="FJ482" s="140"/>
      <c r="FK482" s="140"/>
      <c r="FL482" s="140"/>
      <c r="FM482" s="140"/>
      <c r="FN482" s="140"/>
      <c r="FO482" s="140"/>
      <c r="FP482" s="140"/>
      <c r="FQ482" s="140"/>
      <c r="FR482" s="140"/>
      <c r="FS482" s="140"/>
      <c r="FT482" s="140"/>
      <c r="FU482" s="140"/>
      <c r="FV482" s="140"/>
      <c r="FW482" s="140"/>
      <c r="FX482" s="140"/>
      <c r="FY482" s="140"/>
      <c r="FZ482" s="140"/>
      <c r="GA482" s="140"/>
      <c r="GB482" s="140"/>
      <c r="GC482" s="140"/>
      <c r="GD482" s="140"/>
      <c r="GE482" s="140"/>
      <c r="GF482" s="140"/>
      <c r="GG482" s="140"/>
      <c r="GH482" s="140"/>
      <c r="GI482" s="140"/>
      <c r="GJ482" s="140"/>
      <c r="GK482" s="140"/>
      <c r="GL482" s="140"/>
      <c r="GM482" s="140"/>
      <c r="GN482" s="140"/>
      <c r="GO482" s="140"/>
      <c r="GP482" s="140"/>
      <c r="GQ482" s="140"/>
      <c r="GR482" s="140"/>
      <c r="GS482" s="140"/>
      <c r="GT482" s="140"/>
      <c r="GU482" s="140"/>
      <c r="GV482" s="140"/>
      <c r="GW482" s="140"/>
      <c r="GX482" s="140"/>
      <c r="GY482" s="140"/>
      <c r="GZ482" s="140"/>
      <c r="HA482" s="140"/>
      <c r="HB482" s="140"/>
      <c r="HC482" s="140"/>
      <c r="HD482" s="140"/>
      <c r="HE482" s="140"/>
      <c r="HF482" s="140"/>
      <c r="HG482" s="140"/>
      <c r="HH482" s="140"/>
      <c r="HI482" s="140"/>
      <c r="HJ482" s="140"/>
      <c r="HK482" s="140"/>
      <c r="HL482" s="140"/>
      <c r="HM482" s="140"/>
      <c r="HN482" s="140"/>
      <c r="HO482" s="140"/>
      <c r="HP482" s="140"/>
      <c r="HQ482" s="140"/>
      <c r="HR482" s="140"/>
      <c r="HS482" s="140"/>
      <c r="HT482" s="140"/>
      <c r="HU482" s="140"/>
      <c r="HV482" s="140"/>
      <c r="HW482" s="140"/>
      <c r="HX482" s="140"/>
      <c r="HY482" s="140"/>
      <c r="HZ482" s="140"/>
      <c r="IA482" s="140"/>
      <c r="IB482" s="140"/>
      <c r="IC482" s="140"/>
      <c r="ID482" s="140"/>
      <c r="IE482" s="140"/>
      <c r="IF482" s="140"/>
      <c r="IG482" s="140"/>
      <c r="IH482" s="140"/>
      <c r="II482" s="140"/>
      <c r="IJ482" s="140"/>
      <c r="IK482" s="140"/>
      <c r="IL482" s="140"/>
      <c r="IM482" s="140"/>
      <c r="IN482" s="140"/>
      <c r="IO482" s="140"/>
      <c r="IP482" s="140"/>
      <c r="IQ482" s="140"/>
      <c r="IR482" s="140"/>
      <c r="IS482" s="140"/>
      <c r="IT482" s="140"/>
      <c r="IU482" s="140"/>
      <c r="IV482" s="140"/>
      <c r="IW482" s="140"/>
      <c r="IX482" s="140"/>
      <c r="IY482" s="140"/>
      <c r="IZ482" s="140"/>
      <c r="JA482" s="140"/>
      <c r="JB482" s="140"/>
      <c r="JC482" s="140"/>
      <c r="JD482" s="140"/>
      <c r="JE482" s="140"/>
      <c r="JF482" s="140"/>
      <c r="JG482" s="140"/>
      <c r="JH482" s="140"/>
      <c r="JI482" s="140"/>
      <c r="JJ482" s="140"/>
      <c r="JK482" s="140"/>
      <c r="JL482" s="140"/>
      <c r="JM482" s="140"/>
      <c r="JN482" s="140"/>
      <c r="JO482" s="140"/>
      <c r="JP482" s="140"/>
      <c r="JQ482" s="140"/>
      <c r="JR482" s="140"/>
      <c r="JS482" s="140"/>
      <c r="JT482" s="140"/>
      <c r="JU482" s="140"/>
      <c r="JV482" s="140"/>
      <c r="JW482" s="140"/>
      <c r="JX482" s="140"/>
      <c r="JY482" s="140"/>
      <c r="JZ482" s="140"/>
      <c r="KA482" s="140"/>
      <c r="KB482" s="140"/>
      <c r="KC482" s="140"/>
      <c r="KD482" s="140"/>
      <c r="KE482" s="140"/>
      <c r="KF482" s="140"/>
      <c r="KG482" s="140"/>
      <c r="KH482" s="140"/>
      <c r="KI482" s="140"/>
      <c r="KJ482" s="140"/>
      <c r="KK482" s="140"/>
      <c r="KL482" s="140"/>
      <c r="KM482" s="140"/>
      <c r="KN482" s="140"/>
      <c r="KO482" s="140"/>
      <c r="KP482" s="140"/>
      <c r="KQ482" s="140"/>
      <c r="KR482" s="140"/>
      <c r="KS482" s="140"/>
      <c r="KT482" s="140"/>
      <c r="KU482" s="140"/>
      <c r="KV482" s="140"/>
      <c r="KW482" s="140"/>
      <c r="KX482" s="140"/>
      <c r="KY482" s="140"/>
      <c r="KZ482" s="140"/>
      <c r="LA482" s="140"/>
      <c r="LB482" s="140"/>
      <c r="LC482" s="140"/>
      <c r="LD482" s="140"/>
      <c r="LE482" s="140"/>
      <c r="LF482" s="140"/>
      <c r="LG482" s="140"/>
      <c r="LH482" s="140"/>
      <c r="LI482" s="140"/>
      <c r="LJ482" s="140"/>
      <c r="LK482" s="140"/>
      <c r="LL482" s="140"/>
      <c r="LM482" s="140"/>
      <c r="LN482" s="140"/>
      <c r="LO482" s="140"/>
      <c r="LP482" s="140"/>
      <c r="LQ482" s="140"/>
      <c r="LR482" s="140"/>
      <c r="LS482" s="140"/>
      <c r="LT482" s="140"/>
      <c r="LU482" s="140"/>
      <c r="LV482" s="140"/>
      <c r="LW482" s="140"/>
      <c r="LX482" s="140"/>
      <c r="LY482" s="140"/>
      <c r="LZ482" s="140"/>
      <c r="MA482" s="140"/>
      <c r="MB482" s="140"/>
      <c r="MC482" s="140"/>
      <c r="MD482" s="140"/>
      <c r="ME482" s="140"/>
      <c r="MF482" s="140"/>
      <c r="MG482" s="140"/>
      <c r="MH482" s="140"/>
      <c r="MI482" s="140"/>
      <c r="MJ482" s="140"/>
      <c r="MK482" s="140"/>
      <c r="ML482" s="140"/>
    </row>
    <row r="483" spans="3:350" s="4" customFormat="1" ht="18" customHeight="1" x14ac:dyDescent="0.3">
      <c r="H483" s="140"/>
      <c r="I483" s="140"/>
      <c r="J483" s="140"/>
      <c r="K483" s="140"/>
      <c r="L483" s="140"/>
      <c r="M483" s="140"/>
      <c r="N483" s="140"/>
      <c r="O483" s="140"/>
      <c r="P483" s="140"/>
      <c r="Q483" s="140"/>
      <c r="R483" s="140"/>
      <c r="S483" s="140"/>
      <c r="T483" s="140"/>
      <c r="U483" s="140"/>
      <c r="V483" s="140"/>
      <c r="W483" s="140"/>
      <c r="X483" s="140"/>
      <c r="Y483" s="140"/>
      <c r="Z483" s="140"/>
      <c r="AA483" s="140"/>
      <c r="AB483" s="140"/>
      <c r="AC483" s="140"/>
      <c r="AD483" s="140"/>
      <c r="AE483" s="140"/>
      <c r="AF483" s="140"/>
      <c r="AG483" s="140"/>
      <c r="AH483" s="140"/>
      <c r="AI483" s="140"/>
      <c r="AJ483" s="140"/>
      <c r="AK483" s="140"/>
      <c r="AL483" s="140"/>
      <c r="AM483" s="140"/>
      <c r="AN483" s="140"/>
      <c r="AO483" s="140"/>
      <c r="AP483" s="140"/>
      <c r="AQ483" s="140"/>
      <c r="AR483" s="140"/>
      <c r="AS483" s="140"/>
      <c r="AT483" s="140"/>
      <c r="AU483" s="140"/>
      <c r="AV483" s="140"/>
      <c r="AW483" s="140"/>
      <c r="AX483" s="140"/>
      <c r="AY483" s="140"/>
      <c r="AZ483" s="140"/>
      <c r="BA483" s="140"/>
      <c r="BB483" s="140"/>
      <c r="BC483" s="140"/>
      <c r="BD483" s="140"/>
      <c r="BE483" s="140"/>
      <c r="BF483" s="140"/>
      <c r="BG483" s="140"/>
      <c r="BH483" s="140"/>
      <c r="BI483" s="140"/>
      <c r="BJ483" s="140"/>
      <c r="BK483" s="140"/>
      <c r="BL483" s="140"/>
      <c r="BM483" s="140"/>
      <c r="BN483" s="140"/>
      <c r="BO483" s="140"/>
      <c r="BP483" s="140"/>
      <c r="BQ483" s="140"/>
      <c r="BR483" s="140"/>
      <c r="BS483" s="140"/>
      <c r="BT483" s="140"/>
      <c r="BU483" s="140"/>
      <c r="BV483" s="140"/>
      <c r="BW483" s="140"/>
      <c r="BX483" s="140"/>
      <c r="BY483" s="140"/>
      <c r="BZ483" s="140"/>
      <c r="CA483" s="140"/>
      <c r="CB483" s="140"/>
      <c r="CC483" s="140"/>
      <c r="CD483" s="140"/>
      <c r="CE483" s="140"/>
      <c r="CF483" s="140"/>
      <c r="CG483" s="140"/>
      <c r="CH483" s="140"/>
      <c r="CI483" s="140"/>
      <c r="CJ483" s="140"/>
      <c r="CK483" s="140"/>
      <c r="CL483" s="140"/>
      <c r="CM483" s="140"/>
      <c r="CN483" s="140"/>
      <c r="FJ483" s="140"/>
      <c r="FK483" s="140"/>
      <c r="FL483" s="140"/>
      <c r="FM483" s="140"/>
      <c r="FN483" s="140"/>
      <c r="FO483" s="140"/>
      <c r="FP483" s="140"/>
      <c r="FQ483" s="140"/>
      <c r="FR483" s="140"/>
      <c r="FS483" s="140"/>
      <c r="FT483" s="140"/>
      <c r="FU483" s="140"/>
      <c r="FV483" s="140"/>
      <c r="FW483" s="140"/>
      <c r="FX483" s="140"/>
      <c r="FY483" s="140"/>
      <c r="FZ483" s="140"/>
      <c r="GA483" s="140"/>
      <c r="GB483" s="140"/>
      <c r="GC483" s="140"/>
      <c r="GD483" s="140"/>
      <c r="GE483" s="140"/>
      <c r="GF483" s="140"/>
      <c r="GG483" s="140"/>
      <c r="GH483" s="140"/>
      <c r="GI483" s="140"/>
      <c r="GJ483" s="140"/>
      <c r="GK483" s="140"/>
      <c r="GL483" s="140"/>
      <c r="GM483" s="140"/>
      <c r="GN483" s="140"/>
      <c r="GO483" s="140"/>
      <c r="GP483" s="140"/>
      <c r="GQ483" s="140"/>
      <c r="GR483" s="140"/>
      <c r="GS483" s="140"/>
      <c r="GT483" s="140"/>
      <c r="GU483" s="140"/>
      <c r="GV483" s="140"/>
      <c r="GW483" s="140"/>
      <c r="GX483" s="140"/>
      <c r="GY483" s="140"/>
      <c r="GZ483" s="140"/>
      <c r="HA483" s="140"/>
      <c r="HB483" s="140"/>
      <c r="HC483" s="140"/>
      <c r="HD483" s="140"/>
      <c r="HE483" s="140"/>
      <c r="HF483" s="140"/>
      <c r="HG483" s="140"/>
      <c r="HH483" s="140"/>
      <c r="HI483" s="140"/>
      <c r="HJ483" s="140"/>
      <c r="HK483" s="140"/>
      <c r="HL483" s="140"/>
      <c r="HM483" s="140"/>
      <c r="HN483" s="140"/>
      <c r="HO483" s="140"/>
      <c r="HP483" s="140"/>
      <c r="HQ483" s="140"/>
      <c r="HR483" s="140"/>
      <c r="HS483" s="140"/>
      <c r="HT483" s="140"/>
      <c r="HU483" s="140"/>
      <c r="HV483" s="140"/>
      <c r="HW483" s="140"/>
      <c r="HX483" s="140"/>
      <c r="HY483" s="140"/>
      <c r="HZ483" s="140"/>
      <c r="IA483" s="140"/>
      <c r="IB483" s="140"/>
      <c r="IC483" s="140"/>
      <c r="ID483" s="140"/>
      <c r="IE483" s="140"/>
      <c r="IF483" s="140"/>
      <c r="IG483" s="140"/>
      <c r="IH483" s="140"/>
      <c r="II483" s="140"/>
      <c r="IJ483" s="140"/>
      <c r="IK483" s="140"/>
      <c r="IL483" s="140"/>
      <c r="IM483" s="140"/>
      <c r="IN483" s="140"/>
      <c r="IO483" s="140"/>
      <c r="IP483" s="140"/>
      <c r="IQ483" s="140"/>
      <c r="IR483" s="140"/>
      <c r="IS483" s="140"/>
      <c r="IT483" s="140"/>
      <c r="IU483" s="140"/>
      <c r="IV483" s="140"/>
      <c r="IW483" s="140"/>
      <c r="IX483" s="140"/>
      <c r="IY483" s="140"/>
      <c r="IZ483" s="140"/>
      <c r="JA483" s="140"/>
      <c r="JB483" s="140"/>
      <c r="JC483" s="140"/>
      <c r="JD483" s="140"/>
      <c r="JE483" s="140"/>
      <c r="JF483" s="140"/>
      <c r="JG483" s="140"/>
      <c r="JH483" s="140"/>
      <c r="JI483" s="140"/>
      <c r="JJ483" s="140"/>
      <c r="JK483" s="140"/>
      <c r="JL483" s="140"/>
      <c r="JM483" s="140"/>
      <c r="JN483" s="140"/>
      <c r="JO483" s="140"/>
      <c r="JP483" s="140"/>
      <c r="JQ483" s="140"/>
      <c r="JR483" s="140"/>
      <c r="JS483" s="140"/>
      <c r="JT483" s="140"/>
      <c r="JU483" s="140"/>
      <c r="JV483" s="140"/>
      <c r="JW483" s="140"/>
      <c r="JX483" s="140"/>
      <c r="JY483" s="140"/>
      <c r="JZ483" s="140"/>
      <c r="KA483" s="140"/>
      <c r="KB483" s="140"/>
      <c r="KC483" s="140"/>
      <c r="KD483" s="140"/>
      <c r="KE483" s="140"/>
      <c r="KF483" s="140"/>
      <c r="KG483" s="140"/>
      <c r="KH483" s="140"/>
      <c r="KI483" s="140"/>
      <c r="KJ483" s="140"/>
      <c r="KK483" s="140"/>
      <c r="KL483" s="140"/>
      <c r="KM483" s="140"/>
      <c r="KN483" s="140"/>
      <c r="KO483" s="140"/>
      <c r="KP483" s="140"/>
      <c r="KQ483" s="140"/>
      <c r="KR483" s="140"/>
      <c r="KS483" s="140"/>
      <c r="KT483" s="140"/>
      <c r="KU483" s="140"/>
      <c r="KV483" s="140"/>
      <c r="KW483" s="140"/>
      <c r="KX483" s="140"/>
      <c r="KY483" s="140"/>
      <c r="KZ483" s="140"/>
      <c r="LA483" s="140"/>
      <c r="LB483" s="140"/>
      <c r="LC483" s="140"/>
      <c r="LD483" s="140"/>
      <c r="LE483" s="140"/>
      <c r="LF483" s="140"/>
      <c r="LG483" s="140"/>
      <c r="LH483" s="140"/>
      <c r="LI483" s="140"/>
      <c r="LJ483" s="140"/>
      <c r="LK483" s="140"/>
      <c r="LL483" s="140"/>
      <c r="LM483" s="140"/>
      <c r="LN483" s="140"/>
      <c r="LO483" s="140"/>
      <c r="LP483" s="140"/>
      <c r="LQ483" s="140"/>
      <c r="LR483" s="140"/>
      <c r="LS483" s="140"/>
      <c r="LT483" s="140"/>
      <c r="LU483" s="140"/>
      <c r="LV483" s="140"/>
      <c r="LW483" s="140"/>
      <c r="LX483" s="140"/>
      <c r="LY483" s="140"/>
      <c r="LZ483" s="140"/>
      <c r="MA483" s="140"/>
      <c r="MB483" s="140"/>
      <c r="MC483" s="140"/>
      <c r="MD483" s="140"/>
      <c r="ME483" s="140"/>
      <c r="MF483" s="140"/>
      <c r="MG483" s="140"/>
      <c r="MH483" s="140"/>
      <c r="MI483" s="140"/>
      <c r="MJ483" s="140"/>
      <c r="MK483" s="140"/>
      <c r="ML483" s="140"/>
    </row>
    <row r="484" spans="3:350" s="4" customFormat="1" ht="18" customHeight="1" x14ac:dyDescent="0.3">
      <c r="H484" s="140"/>
      <c r="I484" s="140"/>
      <c r="J484" s="140"/>
      <c r="K484" s="140"/>
      <c r="L484" s="140"/>
      <c r="M484" s="140"/>
      <c r="N484" s="140"/>
      <c r="O484" s="140"/>
      <c r="P484" s="140"/>
      <c r="Q484" s="140"/>
      <c r="R484" s="140"/>
      <c r="S484" s="140"/>
      <c r="T484" s="140"/>
      <c r="U484" s="140"/>
      <c r="V484" s="140"/>
      <c r="W484" s="140"/>
      <c r="X484" s="140"/>
      <c r="Y484" s="140"/>
      <c r="Z484" s="140"/>
      <c r="AA484" s="140"/>
      <c r="AB484" s="140"/>
      <c r="AC484" s="140"/>
      <c r="AD484" s="140"/>
      <c r="AE484" s="140"/>
      <c r="AF484" s="140"/>
      <c r="AG484" s="140"/>
      <c r="AH484" s="140"/>
      <c r="AI484" s="140"/>
      <c r="AJ484" s="140"/>
      <c r="AK484" s="140"/>
      <c r="AL484" s="140"/>
      <c r="AM484" s="140"/>
      <c r="AN484" s="140"/>
      <c r="AO484" s="140"/>
      <c r="AP484" s="140"/>
      <c r="AQ484" s="140"/>
      <c r="AR484" s="140"/>
      <c r="AS484" s="140"/>
      <c r="AT484" s="140"/>
      <c r="AU484" s="140"/>
      <c r="AV484" s="140"/>
      <c r="AW484" s="140"/>
      <c r="AX484" s="140"/>
      <c r="AY484" s="140"/>
      <c r="AZ484" s="140"/>
      <c r="BA484" s="140"/>
      <c r="BB484" s="140"/>
      <c r="BC484" s="140"/>
      <c r="BD484" s="140"/>
      <c r="BE484" s="140"/>
      <c r="BF484" s="140"/>
      <c r="BG484" s="140"/>
      <c r="BH484" s="140"/>
      <c r="BI484" s="140"/>
      <c r="BJ484" s="140"/>
      <c r="BK484" s="140"/>
      <c r="BL484" s="140"/>
      <c r="BM484" s="140"/>
      <c r="BN484" s="140"/>
      <c r="BO484" s="140"/>
      <c r="BP484" s="140"/>
      <c r="BQ484" s="140"/>
      <c r="BR484" s="140"/>
      <c r="BS484" s="140"/>
      <c r="BT484" s="140"/>
      <c r="BU484" s="140"/>
      <c r="BV484" s="140"/>
      <c r="BW484" s="140"/>
      <c r="BX484" s="140"/>
      <c r="BY484" s="140"/>
      <c r="BZ484" s="140"/>
      <c r="CA484" s="140"/>
      <c r="CB484" s="140"/>
      <c r="CC484" s="140"/>
      <c r="CD484" s="140"/>
      <c r="CE484" s="140"/>
      <c r="CF484" s="140"/>
      <c r="CG484" s="140"/>
      <c r="CH484" s="140"/>
      <c r="CI484" s="140"/>
      <c r="CJ484" s="140"/>
      <c r="CK484" s="140"/>
      <c r="CL484" s="140"/>
      <c r="CM484" s="140"/>
      <c r="CN484" s="140"/>
      <c r="FJ484" s="140"/>
      <c r="FK484" s="140"/>
      <c r="FL484" s="140"/>
      <c r="FM484" s="140"/>
      <c r="FN484" s="140"/>
      <c r="FO484" s="140"/>
      <c r="FP484" s="140"/>
      <c r="FQ484" s="140"/>
      <c r="FR484" s="140"/>
      <c r="FS484" s="140"/>
      <c r="FT484" s="140"/>
      <c r="FU484" s="140"/>
      <c r="FV484" s="140"/>
      <c r="FW484" s="140"/>
      <c r="FX484" s="140"/>
      <c r="FY484" s="140"/>
      <c r="FZ484" s="140"/>
      <c r="GA484" s="140"/>
      <c r="GB484" s="140"/>
      <c r="GC484" s="140"/>
      <c r="GD484" s="140"/>
      <c r="GE484" s="140"/>
      <c r="GF484" s="140"/>
      <c r="GG484" s="140"/>
      <c r="GH484" s="140"/>
      <c r="GI484" s="140"/>
      <c r="GJ484" s="140"/>
      <c r="GK484" s="140"/>
      <c r="GL484" s="140"/>
      <c r="GM484" s="140"/>
      <c r="GN484" s="140"/>
      <c r="GO484" s="140"/>
      <c r="GP484" s="140"/>
      <c r="GQ484" s="140"/>
      <c r="GR484" s="140"/>
      <c r="GS484" s="140"/>
      <c r="GT484" s="140"/>
      <c r="GU484" s="140"/>
      <c r="GV484" s="140"/>
      <c r="GW484" s="140"/>
      <c r="GX484" s="140"/>
      <c r="GY484" s="140"/>
      <c r="GZ484" s="140"/>
      <c r="HA484" s="140"/>
      <c r="HB484" s="140"/>
      <c r="HC484" s="140"/>
      <c r="HD484" s="140"/>
      <c r="HE484" s="140"/>
      <c r="HF484" s="140"/>
      <c r="HG484" s="140"/>
      <c r="HH484" s="140"/>
      <c r="HI484" s="140"/>
      <c r="HJ484" s="140"/>
      <c r="HK484" s="140"/>
      <c r="HL484" s="140"/>
      <c r="HM484" s="140"/>
      <c r="HN484" s="140"/>
      <c r="HO484" s="140"/>
      <c r="HP484" s="140"/>
      <c r="HQ484" s="140"/>
      <c r="HR484" s="140"/>
      <c r="HS484" s="140"/>
      <c r="HT484" s="140"/>
      <c r="HU484" s="140"/>
      <c r="HV484" s="140"/>
      <c r="HW484" s="140"/>
      <c r="HX484" s="140"/>
      <c r="HY484" s="140"/>
      <c r="HZ484" s="140"/>
      <c r="IA484" s="140"/>
      <c r="IB484" s="140"/>
      <c r="IC484" s="140"/>
      <c r="ID484" s="140"/>
      <c r="IE484" s="140"/>
      <c r="IF484" s="140"/>
      <c r="IG484" s="140"/>
      <c r="IH484" s="140"/>
      <c r="II484" s="140"/>
      <c r="IJ484" s="140"/>
      <c r="IK484" s="140"/>
      <c r="IL484" s="140"/>
      <c r="IM484" s="140"/>
      <c r="IN484" s="140"/>
      <c r="IO484" s="140"/>
      <c r="IP484" s="140"/>
      <c r="IQ484" s="140"/>
      <c r="IR484" s="140"/>
      <c r="IS484" s="140"/>
      <c r="IT484" s="140"/>
      <c r="IU484" s="140"/>
      <c r="IV484" s="140"/>
      <c r="IW484" s="140"/>
      <c r="IX484" s="140"/>
      <c r="IY484" s="140"/>
      <c r="IZ484" s="140"/>
      <c r="JA484" s="140"/>
      <c r="JB484" s="140"/>
      <c r="JC484" s="140"/>
      <c r="JD484" s="140"/>
      <c r="JE484" s="140"/>
      <c r="JF484" s="140"/>
      <c r="JG484" s="140"/>
      <c r="JH484" s="140"/>
      <c r="JI484" s="140"/>
      <c r="JJ484" s="140"/>
      <c r="JK484" s="140"/>
      <c r="JL484" s="140"/>
      <c r="JM484" s="140"/>
      <c r="JN484" s="140"/>
      <c r="JO484" s="140"/>
      <c r="JP484" s="140"/>
      <c r="JQ484" s="140"/>
      <c r="JR484" s="140"/>
      <c r="JS484" s="140"/>
      <c r="JT484" s="140"/>
      <c r="JU484" s="140"/>
      <c r="JV484" s="140"/>
      <c r="JW484" s="140"/>
      <c r="JX484" s="140"/>
      <c r="JY484" s="140"/>
      <c r="JZ484" s="140"/>
      <c r="KA484" s="140"/>
      <c r="KB484" s="140"/>
      <c r="KC484" s="140"/>
      <c r="KD484" s="140"/>
      <c r="KE484" s="140"/>
      <c r="KF484" s="140"/>
      <c r="KG484" s="140"/>
      <c r="KH484" s="140"/>
      <c r="KI484" s="140"/>
      <c r="KJ484" s="140"/>
      <c r="KK484" s="140"/>
      <c r="KL484" s="140"/>
      <c r="KM484" s="140"/>
      <c r="KN484" s="140"/>
      <c r="KO484" s="140"/>
      <c r="KP484" s="140"/>
      <c r="KQ484" s="140"/>
      <c r="KR484" s="140"/>
      <c r="KS484" s="140"/>
      <c r="KT484" s="140"/>
      <c r="KU484" s="140"/>
      <c r="KV484" s="140"/>
      <c r="KW484" s="140"/>
      <c r="KX484" s="140"/>
      <c r="KY484" s="140"/>
      <c r="KZ484" s="140"/>
      <c r="LA484" s="140"/>
      <c r="LB484" s="140"/>
      <c r="LC484" s="140"/>
      <c r="LD484" s="140"/>
      <c r="LE484" s="140"/>
      <c r="LF484" s="140"/>
      <c r="LG484" s="140"/>
      <c r="LH484" s="140"/>
      <c r="LI484" s="140"/>
      <c r="LJ484" s="140"/>
      <c r="LK484" s="140"/>
      <c r="LL484" s="140"/>
      <c r="LM484" s="140"/>
      <c r="LN484" s="140"/>
      <c r="LO484" s="140"/>
      <c r="LP484" s="140"/>
      <c r="LQ484" s="140"/>
      <c r="LR484" s="140"/>
      <c r="LS484" s="140"/>
      <c r="LT484" s="140"/>
      <c r="LU484" s="140"/>
      <c r="LV484" s="140"/>
      <c r="LW484" s="140"/>
      <c r="LX484" s="140"/>
      <c r="LY484" s="140"/>
      <c r="LZ484" s="140"/>
      <c r="MA484" s="140"/>
      <c r="MB484" s="140"/>
      <c r="MC484" s="140"/>
      <c r="MD484" s="140"/>
      <c r="ME484" s="140"/>
      <c r="MF484" s="140"/>
      <c r="MG484" s="140"/>
      <c r="MH484" s="140"/>
      <c r="MI484" s="140"/>
      <c r="MJ484" s="140"/>
      <c r="MK484" s="140"/>
      <c r="ML484" s="140"/>
    </row>
    <row r="485" spans="3:350" s="4" customFormat="1" ht="18" customHeight="1" x14ac:dyDescent="0.3">
      <c r="H485" s="140"/>
      <c r="I485" s="140"/>
      <c r="J485" s="140"/>
      <c r="K485" s="140"/>
      <c r="L485" s="140"/>
      <c r="M485" s="140"/>
      <c r="N485" s="140"/>
      <c r="O485" s="140"/>
      <c r="P485" s="140"/>
      <c r="Q485" s="140"/>
      <c r="R485" s="140"/>
      <c r="S485" s="140"/>
      <c r="T485" s="140"/>
      <c r="U485" s="140"/>
      <c r="V485" s="140"/>
      <c r="W485" s="140"/>
      <c r="X485" s="140"/>
      <c r="Y485" s="140"/>
      <c r="Z485" s="140"/>
      <c r="AA485" s="140"/>
      <c r="AB485" s="140"/>
      <c r="AC485" s="140"/>
      <c r="AD485" s="140"/>
      <c r="AE485" s="140"/>
      <c r="AF485" s="140"/>
      <c r="AG485" s="140"/>
      <c r="AH485" s="140"/>
      <c r="AI485" s="140"/>
      <c r="AJ485" s="140"/>
      <c r="AK485" s="140"/>
      <c r="AL485" s="140"/>
      <c r="AM485" s="140"/>
      <c r="AN485" s="140"/>
      <c r="AO485" s="140"/>
      <c r="AP485" s="140"/>
      <c r="AQ485" s="140"/>
      <c r="AR485" s="140"/>
      <c r="AS485" s="140"/>
      <c r="AT485" s="140"/>
      <c r="AU485" s="140"/>
      <c r="AV485" s="140"/>
      <c r="AW485" s="140"/>
      <c r="AX485" s="140"/>
      <c r="AY485" s="140"/>
      <c r="AZ485" s="140"/>
      <c r="BA485" s="140"/>
      <c r="BB485" s="140"/>
      <c r="BC485" s="140"/>
      <c r="BD485" s="140"/>
      <c r="BE485" s="140"/>
      <c r="BF485" s="140"/>
      <c r="BG485" s="140"/>
      <c r="BH485" s="140"/>
      <c r="BI485" s="140"/>
      <c r="BJ485" s="140"/>
      <c r="BK485" s="140"/>
      <c r="BL485" s="140"/>
      <c r="BM485" s="140"/>
      <c r="BN485" s="140"/>
      <c r="BO485" s="140"/>
      <c r="BP485" s="140"/>
      <c r="BQ485" s="140"/>
      <c r="BR485" s="140"/>
      <c r="BS485" s="140"/>
      <c r="BT485" s="140"/>
      <c r="BU485" s="140"/>
      <c r="BV485" s="140"/>
      <c r="BW485" s="140"/>
      <c r="BX485" s="140"/>
      <c r="BY485" s="140"/>
      <c r="BZ485" s="140"/>
      <c r="CA485" s="140"/>
      <c r="CB485" s="140"/>
      <c r="CC485" s="140"/>
      <c r="CD485" s="140"/>
      <c r="CE485" s="140"/>
      <c r="CF485" s="140"/>
      <c r="CG485" s="140"/>
      <c r="CH485" s="140"/>
      <c r="CI485" s="140"/>
      <c r="CJ485" s="140"/>
      <c r="CK485" s="140"/>
      <c r="CL485" s="140"/>
      <c r="CM485" s="140"/>
      <c r="CN485" s="140"/>
      <c r="FJ485" s="140"/>
      <c r="FK485" s="140"/>
      <c r="FL485" s="140"/>
      <c r="FM485" s="140"/>
      <c r="FN485" s="140"/>
      <c r="FO485" s="140"/>
      <c r="FP485" s="140"/>
      <c r="FQ485" s="140"/>
      <c r="FR485" s="140"/>
      <c r="FS485" s="140"/>
      <c r="FT485" s="140"/>
      <c r="FU485" s="140"/>
      <c r="FV485" s="140"/>
      <c r="FW485" s="140"/>
      <c r="FX485" s="140"/>
      <c r="FY485" s="140"/>
      <c r="FZ485" s="140"/>
      <c r="GA485" s="140"/>
      <c r="GB485" s="140"/>
      <c r="GC485" s="140"/>
      <c r="GD485" s="140"/>
      <c r="GE485" s="140"/>
      <c r="GF485" s="140"/>
      <c r="GG485" s="140"/>
      <c r="GH485" s="140"/>
      <c r="GI485" s="140"/>
      <c r="GJ485" s="140"/>
      <c r="GK485" s="140"/>
      <c r="GL485" s="140"/>
      <c r="GM485" s="140"/>
      <c r="GN485" s="140"/>
      <c r="GO485" s="140"/>
      <c r="GP485" s="140"/>
      <c r="GQ485" s="140"/>
      <c r="GR485" s="140"/>
      <c r="GS485" s="140"/>
      <c r="GT485" s="140"/>
      <c r="GU485" s="140"/>
      <c r="GV485" s="140"/>
      <c r="GW485" s="140"/>
      <c r="GX485" s="140"/>
      <c r="GY485" s="140"/>
      <c r="GZ485" s="140"/>
      <c r="HA485" s="140"/>
      <c r="HB485" s="140"/>
      <c r="HC485" s="140"/>
      <c r="HD485" s="140"/>
      <c r="HE485" s="140"/>
      <c r="HF485" s="140"/>
      <c r="HG485" s="140"/>
      <c r="HH485" s="140"/>
      <c r="HI485" s="140"/>
      <c r="HJ485" s="140"/>
      <c r="HK485" s="140"/>
      <c r="HL485" s="140"/>
      <c r="HM485" s="140"/>
      <c r="HN485" s="140"/>
      <c r="HO485" s="140"/>
      <c r="HP485" s="140"/>
      <c r="HQ485" s="140"/>
      <c r="HR485" s="140"/>
      <c r="HS485" s="140"/>
      <c r="HT485" s="140"/>
      <c r="HU485" s="140"/>
      <c r="HV485" s="140"/>
      <c r="HW485" s="140"/>
      <c r="HX485" s="140"/>
      <c r="HY485" s="140"/>
      <c r="HZ485" s="140"/>
      <c r="IA485" s="140"/>
      <c r="IB485" s="140"/>
      <c r="IC485" s="140"/>
      <c r="ID485" s="140"/>
      <c r="IE485" s="140"/>
      <c r="IF485" s="140"/>
      <c r="IG485" s="140"/>
      <c r="IH485" s="140"/>
      <c r="II485" s="140"/>
      <c r="IJ485" s="140"/>
      <c r="IK485" s="140"/>
      <c r="IL485" s="140"/>
      <c r="IM485" s="140"/>
      <c r="IN485" s="140"/>
      <c r="IO485" s="140"/>
      <c r="IP485" s="140"/>
      <c r="IQ485" s="140"/>
      <c r="IR485" s="140"/>
      <c r="IS485" s="140"/>
      <c r="IT485" s="140"/>
      <c r="IU485" s="140"/>
      <c r="IV485" s="140"/>
      <c r="IW485" s="140"/>
      <c r="IX485" s="140"/>
      <c r="IY485" s="140"/>
      <c r="IZ485" s="140"/>
      <c r="JA485" s="140"/>
      <c r="JB485" s="140"/>
      <c r="JC485" s="140"/>
      <c r="JD485" s="140"/>
      <c r="JE485" s="140"/>
      <c r="JF485" s="140"/>
      <c r="JG485" s="140"/>
      <c r="JH485" s="140"/>
      <c r="JI485" s="140"/>
      <c r="JJ485" s="140"/>
      <c r="JK485" s="140"/>
      <c r="JL485" s="140"/>
      <c r="JM485" s="140"/>
      <c r="JN485" s="140"/>
      <c r="JO485" s="140"/>
      <c r="JP485" s="140"/>
      <c r="JQ485" s="140"/>
      <c r="JR485" s="140"/>
      <c r="JS485" s="140"/>
      <c r="JT485" s="140"/>
      <c r="JU485" s="140"/>
      <c r="JV485" s="140"/>
      <c r="JW485" s="140"/>
      <c r="JX485" s="140"/>
      <c r="JY485" s="140"/>
      <c r="JZ485" s="140"/>
      <c r="KA485" s="140"/>
      <c r="KB485" s="140"/>
      <c r="KC485" s="140"/>
      <c r="KD485" s="140"/>
      <c r="KE485" s="140"/>
      <c r="KF485" s="140"/>
      <c r="KG485" s="140"/>
      <c r="KH485" s="140"/>
      <c r="KI485" s="140"/>
      <c r="KJ485" s="140"/>
      <c r="KK485" s="140"/>
      <c r="KL485" s="140"/>
      <c r="KM485" s="140"/>
      <c r="KN485" s="140"/>
      <c r="KO485" s="140"/>
      <c r="KP485" s="140"/>
      <c r="KQ485" s="140"/>
      <c r="KR485" s="140"/>
      <c r="KS485" s="140"/>
      <c r="KT485" s="140"/>
      <c r="KU485" s="140"/>
      <c r="KV485" s="140"/>
      <c r="KW485" s="140"/>
      <c r="KX485" s="140"/>
      <c r="KY485" s="140"/>
      <c r="KZ485" s="140"/>
      <c r="LA485" s="140"/>
      <c r="LB485" s="140"/>
      <c r="LC485" s="140"/>
      <c r="LD485" s="140"/>
      <c r="LE485" s="140"/>
      <c r="LF485" s="140"/>
      <c r="LG485" s="140"/>
      <c r="LH485" s="140"/>
      <c r="LI485" s="140"/>
      <c r="LJ485" s="140"/>
      <c r="LK485" s="140"/>
      <c r="LL485" s="140"/>
      <c r="LM485" s="140"/>
      <c r="LN485" s="140"/>
      <c r="LO485" s="140"/>
      <c r="LP485" s="140"/>
      <c r="LQ485" s="140"/>
      <c r="LR485" s="140"/>
      <c r="LS485" s="140"/>
      <c r="LT485" s="140"/>
      <c r="LU485" s="140"/>
      <c r="LV485" s="140"/>
      <c r="LW485" s="140"/>
      <c r="LX485" s="140"/>
      <c r="LY485" s="140"/>
      <c r="LZ485" s="140"/>
      <c r="MA485" s="140"/>
      <c r="MB485" s="140"/>
      <c r="MC485" s="140"/>
      <c r="MD485" s="140"/>
      <c r="ME485" s="140"/>
      <c r="MF485" s="140"/>
      <c r="MG485" s="140"/>
      <c r="MH485" s="140"/>
      <c r="MI485" s="140"/>
      <c r="MJ485" s="140"/>
      <c r="MK485" s="140"/>
      <c r="ML485" s="140"/>
    </row>
    <row r="486" spans="3:350" s="4" customFormat="1" ht="18" customHeight="1" x14ac:dyDescent="0.3">
      <c r="H486" s="140"/>
      <c r="I486" s="140"/>
      <c r="J486" s="140"/>
      <c r="K486" s="140"/>
      <c r="L486" s="140"/>
      <c r="M486" s="140"/>
      <c r="N486" s="140"/>
      <c r="O486" s="140"/>
      <c r="P486" s="140"/>
      <c r="Q486" s="140"/>
      <c r="R486" s="140"/>
      <c r="S486" s="140"/>
      <c r="T486" s="140"/>
      <c r="U486" s="140"/>
      <c r="V486" s="140"/>
      <c r="W486" s="140"/>
      <c r="X486" s="140"/>
      <c r="Y486" s="140"/>
      <c r="Z486" s="140"/>
      <c r="AA486" s="140"/>
      <c r="AB486" s="140"/>
      <c r="AC486" s="140"/>
      <c r="AD486" s="140"/>
      <c r="AE486" s="140"/>
      <c r="AF486" s="140"/>
      <c r="AG486" s="140"/>
      <c r="AH486" s="140"/>
      <c r="AI486" s="140"/>
      <c r="AJ486" s="140"/>
      <c r="AK486" s="140"/>
      <c r="AL486" s="140"/>
      <c r="AM486" s="140"/>
      <c r="AN486" s="140"/>
      <c r="AO486" s="140"/>
      <c r="AP486" s="140"/>
      <c r="AQ486" s="140"/>
      <c r="AR486" s="140"/>
      <c r="AS486" s="140"/>
      <c r="AT486" s="140"/>
      <c r="AU486" s="140"/>
      <c r="AV486" s="140"/>
      <c r="AW486" s="140"/>
      <c r="AX486" s="140"/>
      <c r="AY486" s="140"/>
      <c r="AZ486" s="140"/>
      <c r="BA486" s="140"/>
      <c r="BB486" s="140"/>
      <c r="BC486" s="140"/>
      <c r="BD486" s="140"/>
      <c r="BE486" s="140"/>
      <c r="BF486" s="140"/>
      <c r="BG486" s="140"/>
      <c r="BH486" s="140"/>
      <c r="BI486" s="140"/>
      <c r="BJ486" s="140"/>
      <c r="BK486" s="140"/>
      <c r="BL486" s="140"/>
      <c r="BM486" s="140"/>
      <c r="BN486" s="140"/>
      <c r="BO486" s="140"/>
      <c r="BP486" s="140"/>
      <c r="BQ486" s="140"/>
      <c r="BR486" s="140"/>
      <c r="BS486" s="140"/>
      <c r="BT486" s="140"/>
      <c r="BU486" s="140"/>
      <c r="BV486" s="140"/>
      <c r="BW486" s="140"/>
      <c r="BX486" s="140"/>
      <c r="BY486" s="140"/>
      <c r="BZ486" s="140"/>
      <c r="CA486" s="140"/>
      <c r="CB486" s="140"/>
      <c r="CC486" s="140"/>
      <c r="CD486" s="140"/>
      <c r="CE486" s="140"/>
      <c r="CF486" s="140"/>
      <c r="CG486" s="140"/>
      <c r="CH486" s="140"/>
      <c r="CI486" s="140"/>
      <c r="CJ486" s="140"/>
      <c r="CK486" s="140"/>
      <c r="CL486" s="140"/>
      <c r="CM486" s="140"/>
      <c r="CN486" s="140"/>
      <c r="FJ486" s="140"/>
      <c r="FK486" s="140"/>
      <c r="FL486" s="140"/>
      <c r="FM486" s="140"/>
      <c r="FN486" s="140"/>
      <c r="FO486" s="140"/>
      <c r="FP486" s="140"/>
      <c r="FQ486" s="140"/>
      <c r="FR486" s="140"/>
      <c r="FS486" s="140"/>
      <c r="FT486" s="140"/>
      <c r="FU486" s="140"/>
      <c r="FV486" s="140"/>
      <c r="FW486" s="140"/>
      <c r="FX486" s="140"/>
      <c r="FY486" s="140"/>
      <c r="FZ486" s="140"/>
      <c r="GA486" s="140"/>
      <c r="GB486" s="140"/>
      <c r="GC486" s="140"/>
      <c r="GD486" s="140"/>
      <c r="GE486" s="140"/>
      <c r="GF486" s="140"/>
      <c r="GG486" s="140"/>
      <c r="GH486" s="140"/>
      <c r="GI486" s="140"/>
      <c r="GJ486" s="140"/>
      <c r="GK486" s="140"/>
      <c r="GL486" s="140"/>
      <c r="GM486" s="140"/>
      <c r="GN486" s="140"/>
      <c r="GO486" s="140"/>
      <c r="GP486" s="140"/>
      <c r="GQ486" s="140"/>
      <c r="GR486" s="140"/>
      <c r="GS486" s="140"/>
      <c r="GT486" s="140"/>
      <c r="GU486" s="140"/>
      <c r="GV486" s="140"/>
      <c r="GW486" s="140"/>
      <c r="GX486" s="140"/>
      <c r="GY486" s="140"/>
      <c r="GZ486" s="140"/>
      <c r="HA486" s="140"/>
      <c r="HB486" s="140"/>
      <c r="HC486" s="140"/>
      <c r="HD486" s="140"/>
      <c r="HE486" s="140"/>
      <c r="HF486" s="140"/>
      <c r="HG486" s="140"/>
      <c r="HH486" s="140"/>
      <c r="HI486" s="140"/>
      <c r="HJ486" s="140"/>
      <c r="HK486" s="140"/>
      <c r="HL486" s="140"/>
      <c r="HM486" s="140"/>
      <c r="HN486" s="140"/>
      <c r="HO486" s="140"/>
      <c r="HP486" s="140"/>
      <c r="HQ486" s="140"/>
      <c r="HR486" s="140"/>
      <c r="HS486" s="140"/>
      <c r="HT486" s="140"/>
      <c r="HU486" s="140"/>
      <c r="HV486" s="140"/>
      <c r="HW486" s="140"/>
      <c r="HX486" s="140"/>
      <c r="HY486" s="140"/>
      <c r="HZ486" s="140"/>
      <c r="IA486" s="140"/>
      <c r="IB486" s="140"/>
      <c r="IC486" s="140"/>
      <c r="ID486" s="140"/>
      <c r="IE486" s="140"/>
      <c r="IF486" s="140"/>
      <c r="IG486" s="140"/>
      <c r="IH486" s="140"/>
      <c r="II486" s="140"/>
      <c r="IJ486" s="140"/>
      <c r="IK486" s="140"/>
      <c r="IL486" s="140"/>
      <c r="IM486" s="140"/>
      <c r="IN486" s="140"/>
      <c r="IO486" s="140"/>
      <c r="IP486" s="140"/>
      <c r="IQ486" s="140"/>
      <c r="IR486" s="140"/>
      <c r="IS486" s="140"/>
      <c r="IT486" s="140"/>
      <c r="IU486" s="140"/>
      <c r="IV486" s="140"/>
      <c r="IW486" s="140"/>
      <c r="IX486" s="140"/>
      <c r="IY486" s="140"/>
      <c r="IZ486" s="140"/>
      <c r="JA486" s="140"/>
      <c r="JB486" s="140"/>
      <c r="JC486" s="140"/>
      <c r="JD486" s="140"/>
      <c r="JE486" s="140"/>
      <c r="JF486" s="140"/>
      <c r="JG486" s="140"/>
      <c r="JH486" s="140"/>
      <c r="JI486" s="140"/>
      <c r="JJ486" s="140"/>
      <c r="JK486" s="140"/>
      <c r="JL486" s="140"/>
      <c r="JM486" s="140"/>
      <c r="JN486" s="140"/>
      <c r="JO486" s="140"/>
      <c r="JP486" s="140"/>
      <c r="JQ486" s="140"/>
      <c r="JR486" s="140"/>
      <c r="JS486" s="140"/>
      <c r="JT486" s="140"/>
      <c r="JU486" s="140"/>
      <c r="JV486" s="140"/>
      <c r="JW486" s="140"/>
      <c r="JX486" s="140"/>
      <c r="JY486" s="140"/>
      <c r="JZ486" s="140"/>
      <c r="KA486" s="140"/>
      <c r="KB486" s="140"/>
      <c r="KC486" s="140"/>
      <c r="KD486" s="140"/>
      <c r="KE486" s="140"/>
      <c r="KF486" s="140"/>
      <c r="KG486" s="140"/>
      <c r="KH486" s="140"/>
      <c r="KI486" s="140"/>
      <c r="KJ486" s="140"/>
      <c r="KK486" s="140"/>
      <c r="KL486" s="140"/>
      <c r="KM486" s="140"/>
      <c r="KN486" s="140"/>
      <c r="KO486" s="140"/>
      <c r="KP486" s="140"/>
      <c r="KQ486" s="140"/>
      <c r="KR486" s="140"/>
      <c r="KS486" s="140"/>
      <c r="KT486" s="140"/>
      <c r="KU486" s="140"/>
      <c r="KV486" s="140"/>
      <c r="KW486" s="140"/>
      <c r="KX486" s="140"/>
      <c r="KY486" s="140"/>
      <c r="KZ486" s="140"/>
      <c r="LA486" s="140"/>
      <c r="LB486" s="140"/>
      <c r="LC486" s="140"/>
      <c r="LD486" s="140"/>
      <c r="LE486" s="140"/>
      <c r="LF486" s="140"/>
      <c r="LG486" s="140"/>
      <c r="LH486" s="140"/>
      <c r="LI486" s="140"/>
      <c r="LJ486" s="140"/>
      <c r="LK486" s="140"/>
      <c r="LL486" s="140"/>
      <c r="LM486" s="140"/>
      <c r="LN486" s="140"/>
      <c r="LO486" s="140"/>
      <c r="LP486" s="140"/>
      <c r="LQ486" s="140"/>
      <c r="LR486" s="140"/>
      <c r="LS486" s="140"/>
      <c r="LT486" s="140"/>
      <c r="LU486" s="140"/>
      <c r="LV486" s="140"/>
      <c r="LW486" s="140"/>
      <c r="LX486" s="140"/>
      <c r="LY486" s="140"/>
      <c r="LZ486" s="140"/>
      <c r="MA486" s="140"/>
      <c r="MB486" s="140"/>
      <c r="MC486" s="140"/>
      <c r="MD486" s="140"/>
      <c r="ME486" s="140"/>
      <c r="MF486" s="140"/>
      <c r="MG486" s="140"/>
      <c r="MH486" s="140"/>
      <c r="MI486" s="140"/>
      <c r="MJ486" s="140"/>
      <c r="MK486" s="140"/>
      <c r="ML486" s="140"/>
    </row>
    <row r="487" spans="3:350" s="4" customFormat="1" ht="18" customHeight="1" x14ac:dyDescent="0.3">
      <c r="H487" s="140"/>
      <c r="I487" s="140"/>
      <c r="J487" s="140"/>
      <c r="K487" s="140"/>
      <c r="L487" s="140"/>
      <c r="M487" s="140"/>
      <c r="N487" s="140"/>
      <c r="O487" s="140"/>
      <c r="P487" s="140"/>
      <c r="Q487" s="140"/>
      <c r="R487" s="140"/>
      <c r="S487" s="140"/>
      <c r="T487" s="140"/>
      <c r="U487" s="140"/>
      <c r="V487" s="140"/>
      <c r="W487" s="140"/>
      <c r="X487" s="140"/>
      <c r="Y487" s="140"/>
      <c r="Z487" s="140"/>
      <c r="AA487" s="140"/>
      <c r="AB487" s="140"/>
      <c r="AC487" s="140"/>
      <c r="AD487" s="140"/>
      <c r="AE487" s="140"/>
      <c r="AF487" s="140"/>
      <c r="AG487" s="140"/>
      <c r="AH487" s="140"/>
      <c r="AI487" s="140"/>
      <c r="AJ487" s="140"/>
      <c r="AK487" s="140"/>
      <c r="AL487" s="140"/>
      <c r="AM487" s="140"/>
      <c r="AN487" s="140"/>
      <c r="AO487" s="140"/>
      <c r="AP487" s="140"/>
      <c r="AQ487" s="140"/>
      <c r="AR487" s="140"/>
      <c r="AS487" s="140"/>
      <c r="AT487" s="140"/>
      <c r="AU487" s="140"/>
      <c r="AV487" s="140"/>
      <c r="AW487" s="140"/>
      <c r="AX487" s="140"/>
      <c r="AY487" s="140"/>
      <c r="AZ487" s="140"/>
      <c r="BA487" s="140"/>
      <c r="BB487" s="140"/>
      <c r="BC487" s="140"/>
      <c r="BD487" s="140"/>
      <c r="BE487" s="140"/>
      <c r="BF487" s="140"/>
      <c r="BG487" s="140"/>
      <c r="BH487" s="140"/>
      <c r="BI487" s="140"/>
      <c r="BJ487" s="140"/>
      <c r="BK487" s="140"/>
      <c r="BL487" s="140"/>
      <c r="BM487" s="140"/>
      <c r="BN487" s="140"/>
      <c r="BO487" s="140"/>
      <c r="BP487" s="140"/>
      <c r="BQ487" s="140"/>
      <c r="BR487" s="140"/>
      <c r="BS487" s="140"/>
      <c r="BT487" s="140"/>
      <c r="BU487" s="140"/>
      <c r="BV487" s="140"/>
      <c r="BW487" s="140"/>
      <c r="BX487" s="140"/>
      <c r="BY487" s="140"/>
      <c r="BZ487" s="140"/>
      <c r="CA487" s="140"/>
      <c r="CB487" s="140"/>
      <c r="CC487" s="140"/>
      <c r="CD487" s="140"/>
      <c r="CE487" s="140"/>
      <c r="CF487" s="140"/>
      <c r="CG487" s="140"/>
      <c r="CH487" s="140"/>
      <c r="CI487" s="140"/>
      <c r="CJ487" s="140"/>
      <c r="CK487" s="140"/>
      <c r="CL487" s="140"/>
      <c r="CM487" s="140"/>
      <c r="CN487" s="140"/>
      <c r="FJ487" s="140"/>
      <c r="FK487" s="140"/>
      <c r="FL487" s="140"/>
      <c r="FM487" s="140"/>
      <c r="FN487" s="140"/>
      <c r="FO487" s="140"/>
      <c r="FP487" s="140"/>
      <c r="FQ487" s="140"/>
      <c r="FR487" s="140"/>
      <c r="FS487" s="140"/>
      <c r="FT487" s="140"/>
      <c r="FU487" s="140"/>
      <c r="FV487" s="140"/>
      <c r="FW487" s="140"/>
      <c r="FX487" s="140"/>
      <c r="FY487" s="140"/>
      <c r="FZ487" s="140"/>
      <c r="GA487" s="140"/>
      <c r="GB487" s="140"/>
      <c r="GC487" s="140"/>
      <c r="GD487" s="140"/>
      <c r="GE487" s="140"/>
      <c r="GF487" s="140"/>
      <c r="GG487" s="140"/>
      <c r="GH487" s="140"/>
      <c r="GI487" s="140"/>
      <c r="GJ487" s="140"/>
      <c r="GK487" s="140"/>
      <c r="GL487" s="140"/>
      <c r="GM487" s="140"/>
      <c r="GN487" s="140"/>
      <c r="GO487" s="140"/>
      <c r="GP487" s="140"/>
      <c r="GQ487" s="140"/>
      <c r="GR487" s="140"/>
      <c r="GS487" s="140"/>
      <c r="GT487" s="140"/>
      <c r="GU487" s="140"/>
      <c r="GV487" s="140"/>
      <c r="GW487" s="140"/>
      <c r="GX487" s="140"/>
      <c r="GY487" s="140"/>
      <c r="GZ487" s="140"/>
      <c r="HA487" s="140"/>
      <c r="HB487" s="140"/>
      <c r="HC487" s="140"/>
      <c r="HD487" s="140"/>
      <c r="HE487" s="140"/>
      <c r="HF487" s="140"/>
      <c r="HG487" s="140"/>
      <c r="HH487" s="140"/>
      <c r="HI487" s="140"/>
      <c r="HJ487" s="140"/>
      <c r="HK487" s="140"/>
      <c r="HL487" s="140"/>
      <c r="HM487" s="140"/>
      <c r="HN487" s="140"/>
      <c r="HO487" s="140"/>
      <c r="HP487" s="140"/>
      <c r="HQ487" s="140"/>
      <c r="HR487" s="140"/>
      <c r="HS487" s="140"/>
      <c r="HT487" s="140"/>
      <c r="HU487" s="140"/>
      <c r="HV487" s="140"/>
      <c r="HW487" s="140"/>
      <c r="HX487" s="140"/>
      <c r="HY487" s="140"/>
      <c r="HZ487" s="140"/>
      <c r="IA487" s="140"/>
      <c r="IB487" s="140"/>
      <c r="IC487" s="140"/>
      <c r="ID487" s="140"/>
      <c r="IE487" s="140"/>
      <c r="IF487" s="140"/>
      <c r="IG487" s="140"/>
      <c r="IH487" s="140"/>
      <c r="II487" s="140"/>
      <c r="IJ487" s="140"/>
      <c r="IK487" s="140"/>
      <c r="IL487" s="140"/>
      <c r="IM487" s="140"/>
      <c r="IN487" s="140"/>
      <c r="IO487" s="140"/>
      <c r="IP487" s="140"/>
      <c r="IQ487" s="140"/>
      <c r="IR487" s="140"/>
      <c r="IS487" s="140"/>
      <c r="IT487" s="140"/>
      <c r="IU487" s="140"/>
      <c r="IV487" s="140"/>
      <c r="IW487" s="140"/>
      <c r="IX487" s="140"/>
      <c r="IY487" s="140"/>
      <c r="IZ487" s="140"/>
      <c r="JA487" s="140"/>
      <c r="JB487" s="140"/>
      <c r="JC487" s="140"/>
      <c r="JD487" s="140"/>
      <c r="JE487" s="140"/>
      <c r="JF487" s="140"/>
      <c r="JG487" s="140"/>
      <c r="JH487" s="140"/>
      <c r="JI487" s="140"/>
      <c r="JJ487" s="140"/>
      <c r="JK487" s="140"/>
      <c r="JL487" s="140"/>
      <c r="JM487" s="140"/>
      <c r="JN487" s="140"/>
      <c r="JO487" s="140"/>
      <c r="JP487" s="140"/>
      <c r="JQ487" s="140"/>
      <c r="JR487" s="140"/>
      <c r="JS487" s="140"/>
      <c r="JT487" s="140"/>
      <c r="JU487" s="140"/>
      <c r="JV487" s="140"/>
      <c r="JW487" s="140"/>
      <c r="JX487" s="140"/>
      <c r="JY487" s="140"/>
      <c r="JZ487" s="140"/>
      <c r="KA487" s="140"/>
      <c r="KB487" s="140"/>
      <c r="KC487" s="140"/>
      <c r="KD487" s="140"/>
      <c r="KE487" s="140"/>
      <c r="KF487" s="140"/>
      <c r="KG487" s="140"/>
      <c r="KH487" s="140"/>
      <c r="KI487" s="140"/>
      <c r="KJ487" s="140"/>
      <c r="KK487" s="140"/>
      <c r="KL487" s="140"/>
      <c r="KM487" s="140"/>
      <c r="KN487" s="140"/>
      <c r="KO487" s="140"/>
      <c r="KP487" s="140"/>
      <c r="KQ487" s="140"/>
      <c r="KR487" s="140"/>
      <c r="KS487" s="140"/>
      <c r="KT487" s="140"/>
      <c r="KU487" s="140"/>
      <c r="KV487" s="140"/>
      <c r="KW487" s="140"/>
      <c r="KX487" s="140"/>
      <c r="KY487" s="140"/>
      <c r="KZ487" s="140"/>
      <c r="LA487" s="140"/>
      <c r="LB487" s="140"/>
      <c r="LC487" s="140"/>
      <c r="LD487" s="140"/>
      <c r="LE487" s="140"/>
      <c r="LF487" s="140"/>
      <c r="LG487" s="140"/>
      <c r="LH487" s="140"/>
      <c r="LI487" s="140"/>
      <c r="LJ487" s="140"/>
      <c r="LK487" s="140"/>
      <c r="LL487" s="140"/>
      <c r="LM487" s="140"/>
      <c r="LN487" s="140"/>
      <c r="LO487" s="140"/>
      <c r="LP487" s="140"/>
      <c r="LQ487" s="140"/>
      <c r="LR487" s="140"/>
      <c r="LS487" s="140"/>
      <c r="LT487" s="140"/>
      <c r="LU487" s="140"/>
      <c r="LV487" s="140"/>
      <c r="LW487" s="140"/>
      <c r="LX487" s="140"/>
      <c r="LY487" s="140"/>
      <c r="LZ487" s="140"/>
      <c r="MA487" s="140"/>
      <c r="MB487" s="140"/>
      <c r="MC487" s="140"/>
      <c r="MD487" s="140"/>
      <c r="ME487" s="140"/>
      <c r="MF487" s="140"/>
      <c r="MG487" s="140"/>
      <c r="MH487" s="140"/>
      <c r="MI487" s="140"/>
      <c r="MJ487" s="140"/>
      <c r="MK487" s="140"/>
      <c r="ML487" s="140"/>
    </row>
    <row r="488" spans="3:350" s="4" customFormat="1" ht="18" customHeight="1" x14ac:dyDescent="0.3">
      <c r="H488" s="140"/>
      <c r="I488" s="140"/>
      <c r="J488" s="140"/>
      <c r="K488" s="140"/>
      <c r="L488" s="140"/>
      <c r="M488" s="140"/>
      <c r="N488" s="140"/>
      <c r="O488" s="140"/>
      <c r="P488" s="140"/>
      <c r="Q488" s="140"/>
      <c r="R488" s="140"/>
      <c r="S488" s="140"/>
      <c r="T488" s="140"/>
      <c r="U488" s="140"/>
      <c r="V488" s="140"/>
      <c r="W488" s="140"/>
      <c r="X488" s="140"/>
      <c r="Y488" s="140"/>
      <c r="Z488" s="140"/>
      <c r="AA488" s="140"/>
      <c r="AB488" s="140"/>
      <c r="AC488" s="140"/>
      <c r="AD488" s="140"/>
      <c r="AE488" s="140"/>
      <c r="AF488" s="140"/>
      <c r="AG488" s="140"/>
      <c r="AH488" s="140"/>
      <c r="AI488" s="140"/>
      <c r="AJ488" s="140"/>
      <c r="AK488" s="140"/>
      <c r="AL488" s="140"/>
      <c r="AM488" s="140"/>
      <c r="AN488" s="140"/>
      <c r="AO488" s="140"/>
      <c r="AP488" s="140"/>
      <c r="AQ488" s="140"/>
      <c r="AR488" s="140"/>
      <c r="AS488" s="140"/>
      <c r="AT488" s="140"/>
      <c r="AU488" s="140"/>
      <c r="AV488" s="140"/>
      <c r="AW488" s="140"/>
      <c r="AX488" s="140"/>
      <c r="AY488" s="140"/>
      <c r="AZ488" s="140"/>
      <c r="BA488" s="140"/>
      <c r="BB488" s="140"/>
      <c r="BC488" s="140"/>
      <c r="BD488" s="140"/>
      <c r="BE488" s="140"/>
      <c r="BF488" s="140"/>
      <c r="BG488" s="140"/>
      <c r="BH488" s="140"/>
      <c r="BI488" s="140"/>
      <c r="BJ488" s="140"/>
      <c r="BK488" s="140"/>
      <c r="BL488" s="140"/>
      <c r="BM488" s="140"/>
      <c r="BN488" s="140"/>
      <c r="BO488" s="140"/>
      <c r="BP488" s="140"/>
      <c r="BQ488" s="140"/>
      <c r="BR488" s="140"/>
      <c r="BS488" s="140"/>
      <c r="BT488" s="140"/>
      <c r="BU488" s="140"/>
      <c r="BV488" s="140"/>
      <c r="BW488" s="140"/>
      <c r="BX488" s="140"/>
      <c r="BY488" s="140"/>
      <c r="BZ488" s="140"/>
      <c r="CA488" s="140"/>
      <c r="CB488" s="140"/>
      <c r="CC488" s="140"/>
      <c r="CD488" s="140"/>
      <c r="CE488" s="140"/>
      <c r="CF488" s="140"/>
      <c r="CG488" s="140"/>
      <c r="CH488" s="140"/>
      <c r="CI488" s="140"/>
      <c r="CJ488" s="140"/>
      <c r="CK488" s="140"/>
      <c r="CL488" s="140"/>
      <c r="CM488" s="140"/>
      <c r="CN488" s="140"/>
      <c r="FJ488" s="140"/>
      <c r="FK488" s="140"/>
      <c r="FL488" s="140"/>
      <c r="FM488" s="140"/>
      <c r="FN488" s="140"/>
      <c r="FO488" s="140"/>
      <c r="FP488" s="140"/>
      <c r="FQ488" s="140"/>
      <c r="FR488" s="140"/>
      <c r="FS488" s="140"/>
      <c r="FT488" s="140"/>
      <c r="FU488" s="140"/>
      <c r="FV488" s="140"/>
      <c r="FW488" s="140"/>
      <c r="FX488" s="140"/>
      <c r="FY488" s="140"/>
      <c r="FZ488" s="140"/>
      <c r="GA488" s="140"/>
      <c r="GB488" s="140"/>
      <c r="GC488" s="140"/>
      <c r="GD488" s="140"/>
      <c r="GE488" s="140"/>
      <c r="GF488" s="140"/>
      <c r="GG488" s="140"/>
      <c r="GH488" s="140"/>
      <c r="GI488" s="140"/>
      <c r="GJ488" s="140"/>
      <c r="GK488" s="140"/>
      <c r="GL488" s="140"/>
      <c r="GM488" s="140"/>
      <c r="GN488" s="140"/>
      <c r="GO488" s="140"/>
      <c r="GP488" s="140"/>
      <c r="GQ488" s="140"/>
      <c r="GR488" s="140"/>
      <c r="GS488" s="140"/>
      <c r="GT488" s="140"/>
      <c r="GU488" s="140"/>
      <c r="GV488" s="140"/>
      <c r="GW488" s="140"/>
      <c r="GX488" s="140"/>
      <c r="GY488" s="140"/>
      <c r="GZ488" s="140"/>
      <c r="HA488" s="140"/>
      <c r="HB488" s="140"/>
      <c r="HC488" s="140"/>
      <c r="HD488" s="140"/>
      <c r="HE488" s="140"/>
      <c r="HF488" s="140"/>
      <c r="HG488" s="140"/>
      <c r="HH488" s="140"/>
      <c r="HI488" s="140"/>
      <c r="HJ488" s="140"/>
      <c r="HK488" s="140"/>
      <c r="HL488" s="140"/>
      <c r="HM488" s="140"/>
      <c r="HN488" s="140"/>
      <c r="HO488" s="140"/>
      <c r="HP488" s="140"/>
      <c r="HQ488" s="140"/>
      <c r="HR488" s="140"/>
      <c r="HS488" s="140"/>
      <c r="HT488" s="140"/>
      <c r="HU488" s="140"/>
      <c r="HV488" s="140"/>
      <c r="HW488" s="140"/>
      <c r="HX488" s="140"/>
      <c r="HY488" s="140"/>
      <c r="HZ488" s="140"/>
      <c r="IA488" s="140"/>
      <c r="IB488" s="140"/>
      <c r="IC488" s="140"/>
      <c r="ID488" s="140"/>
      <c r="IE488" s="140"/>
      <c r="IF488" s="140"/>
      <c r="IG488" s="140"/>
      <c r="IH488" s="140"/>
      <c r="II488" s="140"/>
      <c r="IJ488" s="140"/>
      <c r="IK488" s="140"/>
      <c r="IL488" s="140"/>
      <c r="IM488" s="140"/>
      <c r="IN488" s="140"/>
      <c r="IO488" s="140"/>
      <c r="IP488" s="140"/>
      <c r="IQ488" s="140"/>
      <c r="IR488" s="140"/>
      <c r="IS488" s="140"/>
      <c r="IT488" s="140"/>
      <c r="IU488" s="140"/>
      <c r="IV488" s="140"/>
      <c r="IW488" s="140"/>
      <c r="IX488" s="140"/>
      <c r="IY488" s="140"/>
      <c r="IZ488" s="140"/>
      <c r="JA488" s="140"/>
      <c r="JB488" s="140"/>
      <c r="JC488" s="140"/>
      <c r="JD488" s="140"/>
      <c r="JE488" s="140"/>
      <c r="JF488" s="140"/>
      <c r="JG488" s="140"/>
      <c r="JH488" s="140"/>
      <c r="JI488" s="140"/>
      <c r="JJ488" s="140"/>
      <c r="JK488" s="140"/>
      <c r="JL488" s="140"/>
      <c r="JM488" s="140"/>
      <c r="JN488" s="140"/>
      <c r="JO488" s="140"/>
      <c r="JP488" s="140"/>
      <c r="JQ488" s="140"/>
      <c r="JR488" s="140"/>
      <c r="JS488" s="140"/>
      <c r="JT488" s="140"/>
      <c r="JU488" s="140"/>
      <c r="JV488" s="140"/>
      <c r="JW488" s="140"/>
      <c r="JX488" s="140"/>
      <c r="JY488" s="140"/>
      <c r="JZ488" s="140"/>
      <c r="KA488" s="140"/>
      <c r="KB488" s="140"/>
      <c r="KC488" s="140"/>
      <c r="KD488" s="140"/>
      <c r="KE488" s="140"/>
      <c r="KF488" s="140"/>
      <c r="KG488" s="140"/>
      <c r="KH488" s="140"/>
      <c r="KI488" s="140"/>
      <c r="KJ488" s="140"/>
      <c r="KK488" s="140"/>
      <c r="KL488" s="140"/>
      <c r="KM488" s="140"/>
      <c r="KN488" s="140"/>
      <c r="KO488" s="140"/>
      <c r="KP488" s="140"/>
      <c r="KQ488" s="140"/>
      <c r="KR488" s="140"/>
      <c r="KS488" s="140"/>
      <c r="KT488" s="140"/>
      <c r="KU488" s="140"/>
      <c r="KV488" s="140"/>
      <c r="KW488" s="140"/>
      <c r="KX488" s="140"/>
      <c r="KY488" s="140"/>
      <c r="KZ488" s="140"/>
      <c r="LA488" s="140"/>
      <c r="LB488" s="140"/>
      <c r="LC488" s="140"/>
      <c r="LD488" s="140"/>
      <c r="LE488" s="140"/>
      <c r="LF488" s="140"/>
      <c r="LG488" s="140"/>
      <c r="LH488" s="140"/>
      <c r="LI488" s="140"/>
      <c r="LJ488" s="140"/>
      <c r="LK488" s="140"/>
      <c r="LL488" s="140"/>
      <c r="LM488" s="140"/>
      <c r="LN488" s="140"/>
      <c r="LO488" s="140"/>
      <c r="LP488" s="140"/>
      <c r="LQ488" s="140"/>
      <c r="LR488" s="140"/>
      <c r="LS488" s="140"/>
      <c r="LT488" s="140"/>
      <c r="LU488" s="140"/>
      <c r="LV488" s="140"/>
      <c r="LW488" s="140"/>
      <c r="LX488" s="140"/>
      <c r="LY488" s="140"/>
      <c r="LZ488" s="140"/>
      <c r="MA488" s="140"/>
      <c r="MB488" s="140"/>
      <c r="MC488" s="140"/>
      <c r="MD488" s="140"/>
      <c r="ME488" s="140"/>
      <c r="MF488" s="140"/>
      <c r="MG488" s="140"/>
      <c r="MH488" s="140"/>
      <c r="MI488" s="140"/>
      <c r="MJ488" s="140"/>
      <c r="MK488" s="140"/>
      <c r="ML488" s="140"/>
    </row>
    <row r="489" spans="3:350" s="4" customFormat="1" ht="18" customHeight="1" x14ac:dyDescent="0.3">
      <c r="H489" s="140"/>
      <c r="I489" s="140"/>
      <c r="J489" s="140"/>
      <c r="K489" s="140"/>
      <c r="L489" s="140"/>
      <c r="M489" s="140"/>
      <c r="N489" s="140"/>
      <c r="O489" s="140"/>
      <c r="P489" s="140"/>
      <c r="Q489" s="140"/>
      <c r="R489" s="140"/>
      <c r="S489" s="140"/>
      <c r="T489" s="140"/>
      <c r="U489" s="140"/>
      <c r="V489" s="140"/>
      <c r="W489" s="140"/>
      <c r="X489" s="140"/>
      <c r="Y489" s="140"/>
      <c r="Z489" s="140"/>
      <c r="AA489" s="140"/>
      <c r="AB489" s="140"/>
      <c r="AC489" s="140"/>
      <c r="AD489" s="140"/>
      <c r="AE489" s="140"/>
      <c r="AF489" s="140"/>
      <c r="AG489" s="140"/>
      <c r="AH489" s="140"/>
      <c r="AI489" s="140"/>
      <c r="AJ489" s="140"/>
      <c r="AK489" s="140"/>
      <c r="AL489" s="140"/>
      <c r="AM489" s="140"/>
      <c r="AN489" s="140"/>
      <c r="AO489" s="140"/>
      <c r="AP489" s="140"/>
      <c r="AQ489" s="140"/>
      <c r="AR489" s="140"/>
      <c r="AS489" s="140"/>
      <c r="AT489" s="140"/>
      <c r="AU489" s="140"/>
      <c r="AV489" s="140"/>
      <c r="AW489" s="140"/>
      <c r="AX489" s="140"/>
      <c r="AY489" s="140"/>
      <c r="AZ489" s="140"/>
      <c r="BA489" s="140"/>
      <c r="BB489" s="140"/>
      <c r="BC489" s="140"/>
      <c r="BD489" s="140"/>
      <c r="BE489" s="140"/>
      <c r="BF489" s="140"/>
      <c r="BG489" s="140"/>
      <c r="BH489" s="140"/>
      <c r="BI489" s="140"/>
      <c r="BJ489" s="140"/>
      <c r="BK489" s="140"/>
      <c r="BL489" s="140"/>
      <c r="BM489" s="140"/>
      <c r="BN489" s="140"/>
      <c r="BO489" s="140"/>
      <c r="BP489" s="140"/>
      <c r="BQ489" s="140"/>
      <c r="BR489" s="140"/>
      <c r="BS489" s="140"/>
      <c r="BT489" s="140"/>
      <c r="BU489" s="140"/>
      <c r="BV489" s="140"/>
      <c r="BW489" s="140"/>
      <c r="BX489" s="140"/>
      <c r="BY489" s="140"/>
      <c r="BZ489" s="140"/>
      <c r="CA489" s="140"/>
      <c r="CB489" s="140"/>
      <c r="CC489" s="140"/>
      <c r="CD489" s="140"/>
      <c r="CE489" s="140"/>
      <c r="CF489" s="140"/>
      <c r="CG489" s="140"/>
      <c r="CH489" s="140"/>
      <c r="CI489" s="140"/>
      <c r="CJ489" s="140"/>
      <c r="CK489" s="140"/>
      <c r="CL489" s="140"/>
      <c r="CM489" s="140"/>
      <c r="CN489" s="140"/>
      <c r="FJ489" s="140"/>
      <c r="FK489" s="140"/>
      <c r="FL489" s="140"/>
      <c r="FM489" s="140"/>
      <c r="FN489" s="140"/>
      <c r="FO489" s="140"/>
      <c r="FP489" s="140"/>
      <c r="FQ489" s="140"/>
      <c r="FR489" s="140"/>
      <c r="FS489" s="140"/>
      <c r="FT489" s="140"/>
      <c r="FU489" s="140"/>
      <c r="FV489" s="140"/>
      <c r="FW489" s="140"/>
      <c r="FX489" s="140"/>
      <c r="FY489" s="140"/>
      <c r="FZ489" s="140"/>
      <c r="GA489" s="140"/>
      <c r="GB489" s="140"/>
      <c r="GC489" s="140"/>
      <c r="GD489" s="140"/>
      <c r="GE489" s="140"/>
      <c r="GF489" s="140"/>
      <c r="GG489" s="140"/>
      <c r="GH489" s="140"/>
      <c r="GI489" s="140"/>
      <c r="GJ489" s="140"/>
      <c r="GK489" s="140"/>
      <c r="GL489" s="140"/>
      <c r="GM489" s="140"/>
      <c r="GN489" s="140"/>
      <c r="GO489" s="140"/>
      <c r="GP489" s="140"/>
      <c r="GQ489" s="140"/>
      <c r="GR489" s="140"/>
      <c r="GS489" s="140"/>
      <c r="GT489" s="140"/>
      <c r="GU489" s="140"/>
      <c r="GV489" s="140"/>
      <c r="GW489" s="140"/>
      <c r="GX489" s="140"/>
      <c r="GY489" s="140"/>
      <c r="GZ489" s="140"/>
      <c r="HA489" s="140"/>
      <c r="HB489" s="140"/>
      <c r="HC489" s="140"/>
      <c r="HD489" s="140"/>
      <c r="HE489" s="140"/>
      <c r="HF489" s="140"/>
      <c r="HG489" s="140"/>
      <c r="HH489" s="140"/>
      <c r="HI489" s="140"/>
      <c r="HJ489" s="140"/>
      <c r="HK489" s="140"/>
      <c r="HL489" s="140"/>
      <c r="HM489" s="140"/>
      <c r="HN489" s="140"/>
      <c r="HO489" s="140"/>
      <c r="HP489" s="140"/>
      <c r="HQ489" s="140"/>
      <c r="HR489" s="140"/>
      <c r="HS489" s="140"/>
      <c r="HT489" s="140"/>
      <c r="HU489" s="140"/>
      <c r="HV489" s="140"/>
      <c r="HW489" s="140"/>
      <c r="HX489" s="140"/>
      <c r="HY489" s="140"/>
      <c r="HZ489" s="140"/>
      <c r="IA489" s="140"/>
      <c r="IB489" s="140"/>
      <c r="IC489" s="140"/>
      <c r="ID489" s="140"/>
      <c r="IE489" s="140"/>
      <c r="IF489" s="140"/>
      <c r="IG489" s="140"/>
      <c r="IH489" s="140"/>
      <c r="II489" s="140"/>
      <c r="IJ489" s="140"/>
      <c r="IK489" s="140"/>
      <c r="IL489" s="140"/>
      <c r="IM489" s="140"/>
      <c r="IN489" s="140"/>
      <c r="IO489" s="140"/>
      <c r="IP489" s="140"/>
      <c r="IQ489" s="140"/>
      <c r="IR489" s="140"/>
      <c r="IS489" s="140"/>
      <c r="IT489" s="140"/>
      <c r="IU489" s="140"/>
      <c r="IV489" s="140"/>
      <c r="IW489" s="140"/>
      <c r="IX489" s="140"/>
      <c r="IY489" s="140"/>
      <c r="IZ489" s="140"/>
      <c r="JA489" s="140"/>
      <c r="JB489" s="140"/>
      <c r="JC489" s="140"/>
      <c r="JD489" s="140"/>
      <c r="JE489" s="140"/>
      <c r="JF489" s="140"/>
      <c r="JG489" s="140"/>
      <c r="JH489" s="140"/>
      <c r="JI489" s="140"/>
      <c r="JJ489" s="140"/>
      <c r="JK489" s="140"/>
      <c r="JL489" s="140"/>
      <c r="JM489" s="140"/>
      <c r="JN489" s="140"/>
      <c r="JO489" s="140"/>
      <c r="JP489" s="140"/>
      <c r="JQ489" s="140"/>
      <c r="JR489" s="140"/>
      <c r="JS489" s="140"/>
      <c r="JT489" s="140"/>
      <c r="JU489" s="140"/>
      <c r="JV489" s="140"/>
      <c r="JW489" s="140"/>
      <c r="JX489" s="140"/>
      <c r="JY489" s="140"/>
      <c r="JZ489" s="140"/>
      <c r="KA489" s="140"/>
      <c r="KB489" s="140"/>
      <c r="KC489" s="140"/>
      <c r="KD489" s="140"/>
      <c r="KE489" s="140"/>
      <c r="KF489" s="140"/>
      <c r="KG489" s="140"/>
      <c r="KH489" s="140"/>
      <c r="KI489" s="140"/>
      <c r="KJ489" s="140"/>
      <c r="KK489" s="140"/>
      <c r="KL489" s="140"/>
      <c r="KM489" s="140"/>
      <c r="KN489" s="140"/>
      <c r="KO489" s="140"/>
      <c r="KP489" s="140"/>
      <c r="KQ489" s="140"/>
      <c r="KR489" s="140"/>
      <c r="KS489" s="140"/>
      <c r="KT489" s="140"/>
      <c r="KU489" s="140"/>
      <c r="KV489" s="140"/>
      <c r="KW489" s="140"/>
      <c r="KX489" s="140"/>
      <c r="KY489" s="140"/>
      <c r="KZ489" s="140"/>
      <c r="LA489" s="140"/>
      <c r="LB489" s="140"/>
      <c r="LC489" s="140"/>
      <c r="LD489" s="140"/>
      <c r="LE489" s="140"/>
      <c r="LF489" s="140"/>
      <c r="LG489" s="140"/>
      <c r="LH489" s="140"/>
      <c r="LI489" s="140"/>
      <c r="LJ489" s="140"/>
      <c r="LK489" s="140"/>
      <c r="LL489" s="140"/>
      <c r="LM489" s="140"/>
      <c r="LN489" s="140"/>
      <c r="LO489" s="140"/>
      <c r="LP489" s="140"/>
      <c r="LQ489" s="140"/>
      <c r="LR489" s="140"/>
      <c r="LS489" s="140"/>
      <c r="LT489" s="140"/>
      <c r="LU489" s="140"/>
      <c r="LV489" s="140"/>
      <c r="LW489" s="140"/>
      <c r="LX489" s="140"/>
      <c r="LY489" s="140"/>
      <c r="LZ489" s="140"/>
      <c r="MA489" s="140"/>
      <c r="MB489" s="140"/>
      <c r="MC489" s="140"/>
      <c r="MD489" s="140"/>
      <c r="ME489" s="140"/>
      <c r="MF489" s="140"/>
      <c r="MG489" s="140"/>
      <c r="MH489" s="140"/>
      <c r="MI489" s="140"/>
      <c r="MJ489" s="140"/>
      <c r="MK489" s="140"/>
      <c r="ML489" s="140"/>
    </row>
    <row r="490" spans="3:350" s="4" customFormat="1" ht="18" customHeight="1" x14ac:dyDescent="0.3">
      <c r="H490" s="140"/>
      <c r="I490" s="140"/>
      <c r="J490" s="140"/>
      <c r="K490" s="140"/>
      <c r="L490" s="140"/>
      <c r="M490" s="140"/>
      <c r="N490" s="140"/>
      <c r="O490" s="140"/>
      <c r="P490" s="140"/>
      <c r="Q490" s="140"/>
      <c r="R490" s="140"/>
      <c r="S490" s="140"/>
      <c r="T490" s="140"/>
      <c r="U490" s="140"/>
      <c r="V490" s="140"/>
      <c r="W490" s="140"/>
      <c r="X490" s="140"/>
      <c r="Y490" s="140"/>
      <c r="Z490" s="140"/>
      <c r="AA490" s="140"/>
      <c r="AB490" s="140"/>
      <c r="AC490" s="140"/>
      <c r="AD490" s="140"/>
      <c r="AE490" s="140"/>
      <c r="AF490" s="140"/>
      <c r="AG490" s="140"/>
      <c r="AH490" s="140"/>
      <c r="AI490" s="140"/>
      <c r="AJ490" s="140"/>
      <c r="AK490" s="140"/>
      <c r="AL490" s="140"/>
      <c r="AM490" s="140"/>
      <c r="AN490" s="140"/>
      <c r="AO490" s="140"/>
      <c r="AP490" s="140"/>
      <c r="AQ490" s="140"/>
      <c r="AR490" s="140"/>
      <c r="AS490" s="140"/>
      <c r="AT490" s="140"/>
      <c r="AU490" s="140"/>
      <c r="AV490" s="140"/>
      <c r="AW490" s="140"/>
      <c r="AX490" s="140"/>
      <c r="AY490" s="140"/>
      <c r="AZ490" s="140"/>
      <c r="BA490" s="140"/>
      <c r="BB490" s="140"/>
      <c r="BC490" s="140"/>
      <c r="BD490" s="140"/>
      <c r="BE490" s="140"/>
      <c r="BF490" s="140"/>
      <c r="BG490" s="140"/>
      <c r="BH490" s="140"/>
      <c r="BI490" s="140"/>
      <c r="BJ490" s="140"/>
      <c r="BK490" s="140"/>
      <c r="BL490" s="140"/>
      <c r="BM490" s="140"/>
      <c r="BN490" s="140"/>
      <c r="BO490" s="140"/>
      <c r="BP490" s="140"/>
      <c r="BQ490" s="140"/>
      <c r="BR490" s="140"/>
      <c r="BS490" s="140"/>
      <c r="BT490" s="140"/>
      <c r="BU490" s="140"/>
      <c r="BV490" s="140"/>
      <c r="BW490" s="140"/>
      <c r="BX490" s="140"/>
      <c r="BY490" s="140"/>
      <c r="BZ490" s="140"/>
      <c r="CA490" s="140"/>
      <c r="CB490" s="140"/>
      <c r="CC490" s="140"/>
      <c r="CD490" s="140"/>
      <c r="CE490" s="140"/>
      <c r="CF490" s="140"/>
      <c r="CG490" s="140"/>
      <c r="CH490" s="140"/>
      <c r="CI490" s="140"/>
      <c r="CJ490" s="140"/>
      <c r="CK490" s="140"/>
      <c r="CL490" s="140"/>
      <c r="CM490" s="140"/>
      <c r="CN490" s="140"/>
      <c r="FJ490" s="140"/>
      <c r="FK490" s="140"/>
      <c r="FL490" s="140"/>
      <c r="FM490" s="140"/>
      <c r="FN490" s="140"/>
      <c r="FO490" s="140"/>
      <c r="FP490" s="140"/>
      <c r="FQ490" s="140"/>
      <c r="FR490" s="140"/>
      <c r="FS490" s="140"/>
      <c r="FT490" s="140"/>
      <c r="FU490" s="140"/>
      <c r="FV490" s="140"/>
      <c r="FW490" s="140"/>
      <c r="FX490" s="140"/>
      <c r="FY490" s="140"/>
      <c r="FZ490" s="140"/>
      <c r="GA490" s="140"/>
      <c r="GB490" s="140"/>
      <c r="GC490" s="140"/>
      <c r="GD490" s="140"/>
      <c r="GE490" s="140"/>
      <c r="GF490" s="140"/>
      <c r="GG490" s="140"/>
      <c r="GH490" s="140"/>
      <c r="GI490" s="140"/>
      <c r="GJ490" s="140"/>
      <c r="GK490" s="140"/>
      <c r="GL490" s="140"/>
      <c r="GM490" s="140"/>
      <c r="GN490" s="140"/>
      <c r="GO490" s="140"/>
      <c r="GP490" s="140"/>
      <c r="GQ490" s="140"/>
      <c r="GR490" s="140"/>
      <c r="GS490" s="140"/>
      <c r="GT490" s="140"/>
      <c r="GU490" s="140"/>
      <c r="GV490" s="140"/>
      <c r="GW490" s="140"/>
      <c r="GX490" s="140"/>
      <c r="GY490" s="140"/>
      <c r="GZ490" s="140"/>
      <c r="HA490" s="140"/>
      <c r="HB490" s="140"/>
      <c r="HC490" s="140"/>
      <c r="HD490" s="140"/>
      <c r="HE490" s="140"/>
      <c r="HF490" s="140"/>
      <c r="HG490" s="140"/>
      <c r="HH490" s="140"/>
      <c r="HI490" s="140"/>
      <c r="HJ490" s="140"/>
      <c r="HK490" s="140"/>
      <c r="HL490" s="140"/>
      <c r="HM490" s="140"/>
      <c r="HN490" s="140"/>
      <c r="HO490" s="140"/>
      <c r="HP490" s="140"/>
      <c r="HQ490" s="140"/>
      <c r="HR490" s="140"/>
      <c r="HS490" s="140"/>
      <c r="HT490" s="140"/>
      <c r="HU490" s="140"/>
      <c r="HV490" s="140"/>
      <c r="HW490" s="140"/>
      <c r="HX490" s="140"/>
      <c r="HY490" s="140"/>
      <c r="HZ490" s="140"/>
      <c r="IA490" s="140"/>
      <c r="IB490" s="140"/>
      <c r="IC490" s="140"/>
      <c r="ID490" s="140"/>
      <c r="IE490" s="140"/>
      <c r="IF490" s="140"/>
      <c r="IG490" s="140"/>
      <c r="IH490" s="140"/>
      <c r="II490" s="140"/>
      <c r="IJ490" s="140"/>
      <c r="IK490" s="140"/>
      <c r="IL490" s="140"/>
      <c r="IM490" s="140"/>
      <c r="IN490" s="140"/>
      <c r="IO490" s="140"/>
      <c r="IP490" s="140"/>
      <c r="IQ490" s="140"/>
      <c r="IR490" s="140"/>
      <c r="IS490" s="140"/>
      <c r="IT490" s="140"/>
      <c r="IU490" s="140"/>
      <c r="IV490" s="140"/>
      <c r="IW490" s="140"/>
      <c r="IX490" s="140"/>
      <c r="IY490" s="140"/>
      <c r="IZ490" s="140"/>
      <c r="JA490" s="140"/>
      <c r="JB490" s="140"/>
      <c r="JC490" s="140"/>
      <c r="JD490" s="140"/>
      <c r="JE490" s="140"/>
      <c r="JF490" s="140"/>
      <c r="JG490" s="140"/>
      <c r="JH490" s="140"/>
      <c r="JI490" s="140"/>
      <c r="JJ490" s="140"/>
      <c r="JK490" s="140"/>
      <c r="JL490" s="140"/>
      <c r="JM490" s="140"/>
      <c r="JN490" s="140"/>
      <c r="JO490" s="140"/>
      <c r="JP490" s="140"/>
      <c r="JQ490" s="140"/>
      <c r="JR490" s="140"/>
      <c r="JS490" s="140"/>
      <c r="JT490" s="140"/>
      <c r="JU490" s="140"/>
      <c r="JV490" s="140"/>
      <c r="JW490" s="140"/>
      <c r="JX490" s="140"/>
      <c r="JY490" s="140"/>
      <c r="JZ490" s="140"/>
      <c r="KA490" s="140"/>
      <c r="KB490" s="140"/>
      <c r="KC490" s="140"/>
      <c r="KD490" s="140"/>
      <c r="KE490" s="140"/>
      <c r="KF490" s="140"/>
      <c r="KG490" s="140"/>
      <c r="KH490" s="140"/>
      <c r="KI490" s="140"/>
      <c r="KJ490" s="140"/>
      <c r="KK490" s="140"/>
      <c r="KL490" s="140"/>
      <c r="KM490" s="140"/>
      <c r="KN490" s="140"/>
      <c r="KO490" s="140"/>
      <c r="KP490" s="140"/>
      <c r="KQ490" s="140"/>
      <c r="KR490" s="140"/>
      <c r="KS490" s="140"/>
      <c r="KT490" s="140"/>
      <c r="KU490" s="140"/>
      <c r="KV490" s="140"/>
      <c r="KW490" s="140"/>
      <c r="KX490" s="140"/>
      <c r="KY490" s="140"/>
      <c r="KZ490" s="140"/>
      <c r="LA490" s="140"/>
      <c r="LB490" s="140"/>
      <c r="LC490" s="140"/>
      <c r="LD490" s="140"/>
      <c r="LE490" s="140"/>
      <c r="LF490" s="140"/>
      <c r="LG490" s="140"/>
      <c r="LH490" s="140"/>
      <c r="LI490" s="140"/>
      <c r="LJ490" s="140"/>
      <c r="LK490" s="140"/>
      <c r="LL490" s="140"/>
      <c r="LM490" s="140"/>
      <c r="LN490" s="140"/>
      <c r="LO490" s="140"/>
      <c r="LP490" s="140"/>
      <c r="LQ490" s="140"/>
      <c r="LR490" s="140"/>
      <c r="LS490" s="140"/>
      <c r="LT490" s="140"/>
      <c r="LU490" s="140"/>
      <c r="LV490" s="140"/>
      <c r="LW490" s="140"/>
      <c r="LX490" s="140"/>
      <c r="LY490" s="140"/>
      <c r="LZ490" s="140"/>
      <c r="MA490" s="140"/>
      <c r="MB490" s="140"/>
      <c r="MC490" s="140"/>
      <c r="MD490" s="140"/>
      <c r="ME490" s="140"/>
      <c r="MF490" s="140"/>
      <c r="MG490" s="140"/>
      <c r="MH490" s="140"/>
      <c r="MI490" s="140"/>
      <c r="MJ490" s="140"/>
      <c r="MK490" s="140"/>
      <c r="ML490" s="140"/>
    </row>
    <row r="491" spans="3:350" s="4" customFormat="1" ht="18" customHeight="1" x14ac:dyDescent="0.3">
      <c r="H491" s="140"/>
      <c r="I491" s="140"/>
      <c r="J491" s="140"/>
      <c r="K491" s="140"/>
      <c r="L491" s="140"/>
      <c r="M491" s="140"/>
      <c r="N491" s="140"/>
      <c r="O491" s="140"/>
      <c r="P491" s="140"/>
      <c r="Q491" s="140"/>
      <c r="R491" s="140"/>
      <c r="S491" s="140"/>
      <c r="T491" s="140"/>
      <c r="U491" s="140"/>
      <c r="V491" s="140"/>
      <c r="W491" s="140"/>
      <c r="X491" s="140"/>
      <c r="Y491" s="140"/>
      <c r="Z491" s="140"/>
      <c r="AA491" s="140"/>
      <c r="AB491" s="140"/>
      <c r="AC491" s="140"/>
      <c r="AD491" s="140"/>
      <c r="AE491" s="140"/>
      <c r="AF491" s="140"/>
      <c r="AG491" s="140"/>
      <c r="AH491" s="140"/>
      <c r="AI491" s="140"/>
      <c r="AJ491" s="140"/>
      <c r="AK491" s="140"/>
      <c r="AL491" s="140"/>
      <c r="AM491" s="140"/>
      <c r="AN491" s="140"/>
      <c r="AO491" s="140"/>
      <c r="AP491" s="140"/>
      <c r="AQ491" s="140"/>
      <c r="AR491" s="140"/>
      <c r="AS491" s="140"/>
      <c r="AT491" s="140"/>
      <c r="AU491" s="140"/>
      <c r="AV491" s="140"/>
      <c r="AW491" s="140"/>
      <c r="AX491" s="140"/>
      <c r="AY491" s="140"/>
      <c r="AZ491" s="140"/>
      <c r="BA491" s="140"/>
      <c r="BB491" s="140"/>
      <c r="BC491" s="140"/>
      <c r="BD491" s="140"/>
      <c r="BE491" s="140"/>
      <c r="BF491" s="140"/>
      <c r="BG491" s="140"/>
      <c r="BH491" s="140"/>
      <c r="BI491" s="140"/>
      <c r="BJ491" s="140"/>
      <c r="BK491" s="140"/>
      <c r="BL491" s="140"/>
      <c r="BM491" s="140"/>
      <c r="BN491" s="140"/>
      <c r="BO491" s="140"/>
      <c r="BP491" s="140"/>
      <c r="BQ491" s="140"/>
      <c r="BR491" s="140"/>
      <c r="BS491" s="140"/>
      <c r="BT491" s="140"/>
      <c r="BU491" s="140"/>
      <c r="BV491" s="140"/>
      <c r="BW491" s="140"/>
      <c r="BX491" s="140"/>
      <c r="BY491" s="140"/>
      <c r="BZ491" s="140"/>
      <c r="CA491" s="140"/>
      <c r="CB491" s="140"/>
      <c r="CC491" s="140"/>
      <c r="CD491" s="140"/>
      <c r="CE491" s="140"/>
      <c r="CF491" s="140"/>
      <c r="CG491" s="140"/>
      <c r="CH491" s="140"/>
      <c r="CI491" s="140"/>
      <c r="CJ491" s="140"/>
      <c r="CK491" s="140"/>
      <c r="CL491" s="140"/>
      <c r="CM491" s="140"/>
      <c r="CN491" s="140"/>
      <c r="FJ491" s="140"/>
      <c r="FK491" s="140"/>
      <c r="FL491" s="140"/>
      <c r="FM491" s="140"/>
      <c r="FN491" s="140"/>
      <c r="FO491" s="140"/>
      <c r="FP491" s="140"/>
      <c r="FQ491" s="140"/>
      <c r="FR491" s="140"/>
      <c r="FS491" s="140"/>
      <c r="FT491" s="140"/>
      <c r="FU491" s="140"/>
      <c r="FV491" s="140"/>
      <c r="FW491" s="140"/>
      <c r="FX491" s="140"/>
      <c r="FY491" s="140"/>
      <c r="FZ491" s="140"/>
      <c r="GA491" s="140"/>
      <c r="GB491" s="140"/>
      <c r="GC491" s="140"/>
      <c r="GD491" s="140"/>
      <c r="GE491" s="140"/>
      <c r="GF491" s="140"/>
      <c r="GG491" s="140"/>
      <c r="GH491" s="140"/>
      <c r="GI491" s="140"/>
      <c r="GJ491" s="140"/>
      <c r="GK491" s="140"/>
      <c r="GL491" s="140"/>
      <c r="GM491" s="140"/>
      <c r="GN491" s="140"/>
      <c r="GO491" s="140"/>
      <c r="GP491" s="140"/>
      <c r="GQ491" s="140"/>
      <c r="GR491" s="140"/>
      <c r="GS491" s="140"/>
      <c r="GT491" s="140"/>
      <c r="GU491" s="140"/>
      <c r="GV491" s="140"/>
      <c r="GW491" s="140"/>
      <c r="GX491" s="140"/>
      <c r="GY491" s="140"/>
      <c r="GZ491" s="140"/>
      <c r="HA491" s="140"/>
      <c r="HB491" s="140"/>
      <c r="HC491" s="140"/>
      <c r="HD491" s="140"/>
      <c r="HE491" s="140"/>
      <c r="HF491" s="140"/>
      <c r="HG491" s="140"/>
      <c r="HH491" s="140"/>
      <c r="HI491" s="140"/>
      <c r="HJ491" s="140"/>
      <c r="HK491" s="140"/>
      <c r="HL491" s="140"/>
      <c r="HM491" s="140"/>
      <c r="HN491" s="140"/>
      <c r="HO491" s="140"/>
      <c r="HP491" s="140"/>
      <c r="HQ491" s="140"/>
      <c r="HR491" s="140"/>
      <c r="HS491" s="140"/>
      <c r="HT491" s="140"/>
      <c r="HU491" s="140"/>
      <c r="HV491" s="140"/>
      <c r="HW491" s="140"/>
      <c r="HX491" s="140"/>
      <c r="HY491" s="140"/>
      <c r="HZ491" s="140"/>
      <c r="IA491" s="140"/>
      <c r="IB491" s="140"/>
      <c r="IC491" s="140"/>
      <c r="ID491" s="140"/>
      <c r="IE491" s="140"/>
      <c r="IF491" s="140"/>
      <c r="IG491" s="140"/>
      <c r="IH491" s="140"/>
      <c r="II491" s="140"/>
      <c r="IJ491" s="140"/>
      <c r="IK491" s="140"/>
      <c r="IL491" s="140"/>
      <c r="IM491" s="140"/>
      <c r="IN491" s="140"/>
      <c r="IO491" s="140"/>
      <c r="IP491" s="140"/>
      <c r="IQ491" s="140"/>
      <c r="IR491" s="140"/>
      <c r="IS491" s="140"/>
      <c r="IT491" s="140"/>
      <c r="IU491" s="140"/>
      <c r="IV491" s="140"/>
      <c r="IW491" s="140"/>
      <c r="IX491" s="140"/>
      <c r="IY491" s="140"/>
      <c r="IZ491" s="140"/>
      <c r="JA491" s="140"/>
      <c r="JB491" s="140"/>
      <c r="JC491" s="140"/>
      <c r="JD491" s="140"/>
      <c r="JE491" s="140"/>
      <c r="JF491" s="140"/>
      <c r="JG491" s="140"/>
      <c r="JH491" s="140"/>
      <c r="JI491" s="140"/>
      <c r="JJ491" s="140"/>
      <c r="JK491" s="140"/>
      <c r="JL491" s="140"/>
      <c r="JM491" s="140"/>
      <c r="JN491" s="140"/>
      <c r="JO491" s="140"/>
      <c r="JP491" s="140"/>
      <c r="JQ491" s="140"/>
      <c r="JR491" s="140"/>
      <c r="JS491" s="140"/>
      <c r="JT491" s="140"/>
      <c r="JU491" s="140"/>
      <c r="JV491" s="140"/>
      <c r="JW491" s="140"/>
      <c r="JX491" s="140"/>
      <c r="JY491" s="140"/>
      <c r="JZ491" s="140"/>
      <c r="KA491" s="140"/>
      <c r="KB491" s="140"/>
      <c r="KC491" s="140"/>
      <c r="KD491" s="140"/>
      <c r="KE491" s="140"/>
      <c r="KF491" s="140"/>
      <c r="KG491" s="140"/>
      <c r="KH491" s="140"/>
      <c r="KI491" s="140"/>
      <c r="KJ491" s="140"/>
      <c r="KK491" s="140"/>
      <c r="KL491" s="140"/>
      <c r="KM491" s="140"/>
      <c r="KN491" s="140"/>
      <c r="KO491" s="140"/>
      <c r="KP491" s="140"/>
      <c r="KQ491" s="140"/>
      <c r="KR491" s="140"/>
      <c r="KS491" s="140"/>
      <c r="KT491" s="140"/>
      <c r="KU491" s="140"/>
      <c r="KV491" s="140"/>
      <c r="KW491" s="140"/>
      <c r="KX491" s="140"/>
      <c r="KY491" s="140"/>
      <c r="KZ491" s="140"/>
      <c r="LA491" s="140"/>
      <c r="LB491" s="140"/>
      <c r="LC491" s="140"/>
      <c r="LD491" s="140"/>
      <c r="LE491" s="140"/>
      <c r="LF491" s="140"/>
      <c r="LG491" s="140"/>
      <c r="LH491" s="140"/>
      <c r="LI491" s="140"/>
      <c r="LJ491" s="140"/>
      <c r="LK491" s="140"/>
      <c r="LL491" s="140"/>
      <c r="LM491" s="140"/>
      <c r="LN491" s="140"/>
      <c r="LO491" s="140"/>
      <c r="LP491" s="140"/>
      <c r="LQ491" s="140"/>
      <c r="LR491" s="140"/>
      <c r="LS491" s="140"/>
      <c r="LT491" s="140"/>
      <c r="LU491" s="140"/>
      <c r="LV491" s="140"/>
      <c r="LW491" s="140"/>
      <c r="LX491" s="140"/>
      <c r="LY491" s="140"/>
      <c r="LZ491" s="140"/>
      <c r="MA491" s="140"/>
      <c r="MB491" s="140"/>
      <c r="MC491" s="140"/>
      <c r="MD491" s="140"/>
      <c r="ME491" s="140"/>
      <c r="MF491" s="140"/>
      <c r="MG491" s="140"/>
      <c r="MH491" s="140"/>
      <c r="MI491" s="140"/>
      <c r="MJ491" s="140"/>
      <c r="MK491" s="140"/>
      <c r="ML491" s="140"/>
    </row>
    <row r="492" spans="3:350" s="4" customFormat="1" ht="18" customHeight="1" x14ac:dyDescent="0.3">
      <c r="H492" s="140"/>
      <c r="I492" s="140"/>
      <c r="J492" s="140"/>
      <c r="K492" s="140"/>
      <c r="L492" s="140"/>
      <c r="M492" s="140"/>
      <c r="N492" s="140"/>
      <c r="O492" s="140"/>
      <c r="P492" s="140"/>
      <c r="Q492" s="140"/>
      <c r="R492" s="140"/>
      <c r="S492" s="140"/>
      <c r="T492" s="140"/>
      <c r="U492" s="140"/>
      <c r="V492" s="140"/>
      <c r="W492" s="140"/>
      <c r="X492" s="140"/>
      <c r="Y492" s="140"/>
      <c r="Z492" s="140"/>
      <c r="AA492" s="140"/>
      <c r="AB492" s="140"/>
      <c r="AC492" s="140"/>
      <c r="AD492" s="140"/>
      <c r="AE492" s="140"/>
      <c r="AF492" s="140"/>
      <c r="AG492" s="140"/>
      <c r="AH492" s="140"/>
      <c r="AI492" s="140"/>
      <c r="AJ492" s="140"/>
      <c r="AK492" s="140"/>
      <c r="AL492" s="140"/>
      <c r="AM492" s="140"/>
      <c r="AN492" s="140"/>
      <c r="AO492" s="140"/>
      <c r="AP492" s="140"/>
      <c r="AQ492" s="140"/>
      <c r="AR492" s="140"/>
      <c r="AS492" s="140"/>
      <c r="AT492" s="140"/>
      <c r="AU492" s="140"/>
      <c r="AV492" s="140"/>
      <c r="AW492" s="140"/>
      <c r="AX492" s="140"/>
      <c r="AY492" s="140"/>
      <c r="AZ492" s="140"/>
      <c r="BA492" s="140"/>
      <c r="BB492" s="140"/>
      <c r="BC492" s="140"/>
      <c r="BD492" s="140"/>
      <c r="BE492" s="140"/>
      <c r="BF492" s="140"/>
      <c r="BG492" s="140"/>
      <c r="BH492" s="140"/>
      <c r="BI492" s="140"/>
      <c r="BJ492" s="140"/>
      <c r="BK492" s="140"/>
      <c r="BL492" s="140"/>
      <c r="BM492" s="140"/>
      <c r="BN492" s="140"/>
      <c r="BO492" s="140"/>
      <c r="BP492" s="140"/>
      <c r="BQ492" s="140"/>
      <c r="BR492" s="140"/>
      <c r="BS492" s="140"/>
      <c r="BT492" s="140"/>
      <c r="BU492" s="140"/>
      <c r="BV492" s="140"/>
      <c r="BW492" s="140"/>
      <c r="BX492" s="140"/>
      <c r="BY492" s="140"/>
      <c r="BZ492" s="140"/>
      <c r="CA492" s="140"/>
      <c r="CB492" s="140"/>
      <c r="CC492" s="140"/>
      <c r="CD492" s="140"/>
      <c r="CE492" s="140"/>
      <c r="CF492" s="140"/>
      <c r="CG492" s="140"/>
      <c r="CH492" s="140"/>
      <c r="CI492" s="140"/>
      <c r="CJ492" s="140"/>
      <c r="CK492" s="140"/>
      <c r="CL492" s="140"/>
      <c r="CM492" s="140"/>
      <c r="CN492" s="140"/>
      <c r="FJ492" s="140"/>
      <c r="FK492" s="140"/>
      <c r="FL492" s="140"/>
      <c r="FM492" s="140"/>
      <c r="FN492" s="140"/>
      <c r="FO492" s="140"/>
      <c r="FP492" s="140"/>
      <c r="FQ492" s="140"/>
      <c r="FR492" s="140"/>
      <c r="FS492" s="140"/>
      <c r="FT492" s="140"/>
      <c r="FU492" s="140"/>
      <c r="FV492" s="140"/>
      <c r="FW492" s="140"/>
      <c r="FX492" s="140"/>
      <c r="FY492" s="140"/>
      <c r="FZ492" s="140"/>
      <c r="GA492" s="140"/>
      <c r="GB492" s="140"/>
      <c r="GC492" s="140"/>
      <c r="GD492" s="140"/>
      <c r="GE492" s="140"/>
      <c r="GF492" s="140"/>
      <c r="GG492" s="140"/>
      <c r="GH492" s="140"/>
      <c r="GI492" s="140"/>
      <c r="GJ492" s="140"/>
      <c r="GK492" s="140"/>
      <c r="GL492" s="140"/>
      <c r="GM492" s="140"/>
      <c r="GN492" s="140"/>
      <c r="GO492" s="140"/>
      <c r="GP492" s="140"/>
      <c r="GQ492" s="140"/>
      <c r="GR492" s="140"/>
      <c r="GS492" s="140"/>
      <c r="GT492" s="140"/>
      <c r="GU492" s="140"/>
      <c r="GV492" s="140"/>
      <c r="GW492" s="140"/>
      <c r="GX492" s="140"/>
      <c r="GY492" s="140"/>
      <c r="GZ492" s="140"/>
      <c r="HA492" s="140"/>
      <c r="HB492" s="140"/>
      <c r="HC492" s="140"/>
      <c r="HD492" s="140"/>
      <c r="HE492" s="140"/>
      <c r="HF492" s="140"/>
      <c r="HG492" s="140"/>
      <c r="HH492" s="140"/>
      <c r="HI492" s="140"/>
      <c r="HJ492" s="140"/>
      <c r="HK492" s="140"/>
      <c r="HL492" s="140"/>
      <c r="HM492" s="140"/>
      <c r="HN492" s="140"/>
      <c r="HO492" s="140"/>
      <c r="HP492" s="140"/>
      <c r="HQ492" s="140"/>
      <c r="HR492" s="140"/>
      <c r="HS492" s="140"/>
      <c r="HT492" s="140"/>
      <c r="HU492" s="140"/>
      <c r="HV492" s="140"/>
      <c r="HW492" s="140"/>
      <c r="HX492" s="140"/>
      <c r="HY492" s="140"/>
      <c r="HZ492" s="140"/>
      <c r="IA492" s="140"/>
      <c r="IB492" s="140"/>
      <c r="IC492" s="140"/>
      <c r="ID492" s="140"/>
      <c r="IE492" s="140"/>
      <c r="IF492" s="140"/>
      <c r="IG492" s="140"/>
      <c r="IH492" s="140"/>
      <c r="II492" s="140"/>
      <c r="IJ492" s="140"/>
      <c r="IK492" s="140"/>
      <c r="IL492" s="140"/>
      <c r="IM492" s="140"/>
      <c r="IN492" s="140"/>
      <c r="IO492" s="140"/>
      <c r="IP492" s="140"/>
      <c r="IQ492" s="140"/>
      <c r="IR492" s="140"/>
      <c r="IS492" s="140"/>
      <c r="IT492" s="140"/>
      <c r="IU492" s="140"/>
      <c r="IV492" s="140"/>
      <c r="IW492" s="140"/>
      <c r="IX492" s="140"/>
      <c r="IY492" s="140"/>
      <c r="IZ492" s="140"/>
      <c r="JA492" s="140"/>
      <c r="JB492" s="140"/>
      <c r="JC492" s="140"/>
      <c r="JD492" s="140"/>
      <c r="JE492" s="140"/>
      <c r="JF492" s="140"/>
      <c r="JG492" s="140"/>
      <c r="JH492" s="140"/>
      <c r="JI492" s="140"/>
      <c r="JJ492" s="140"/>
      <c r="JK492" s="140"/>
      <c r="JL492" s="140"/>
      <c r="JM492" s="140"/>
      <c r="JN492" s="140"/>
      <c r="JO492" s="140"/>
      <c r="JP492" s="140"/>
      <c r="JQ492" s="140"/>
      <c r="JR492" s="140"/>
      <c r="JS492" s="140"/>
      <c r="JT492" s="140"/>
      <c r="JU492" s="140"/>
      <c r="JV492" s="140"/>
      <c r="JW492" s="140"/>
      <c r="JX492" s="140"/>
      <c r="JY492" s="140"/>
      <c r="JZ492" s="140"/>
      <c r="KA492" s="140"/>
      <c r="KB492" s="140"/>
      <c r="KC492" s="140"/>
      <c r="KD492" s="140"/>
      <c r="KE492" s="140"/>
      <c r="KF492" s="140"/>
      <c r="KG492" s="140"/>
      <c r="KH492" s="140"/>
      <c r="KI492" s="140"/>
      <c r="KJ492" s="140"/>
      <c r="KK492" s="140"/>
      <c r="KL492" s="140"/>
      <c r="KM492" s="140"/>
      <c r="KN492" s="140"/>
      <c r="KO492" s="140"/>
      <c r="KP492" s="140"/>
      <c r="KQ492" s="140"/>
      <c r="KR492" s="140"/>
      <c r="KS492" s="140"/>
      <c r="KT492" s="140"/>
      <c r="KU492" s="140"/>
      <c r="KV492" s="140"/>
      <c r="KW492" s="140"/>
      <c r="KX492" s="140"/>
      <c r="KY492" s="140"/>
      <c r="KZ492" s="140"/>
      <c r="LA492" s="140"/>
      <c r="LB492" s="140"/>
      <c r="LC492" s="140"/>
      <c r="LD492" s="140"/>
      <c r="LE492" s="140"/>
      <c r="LF492" s="140"/>
      <c r="LG492" s="140"/>
      <c r="LH492" s="140"/>
      <c r="LI492" s="140"/>
      <c r="LJ492" s="140"/>
      <c r="LK492" s="140"/>
      <c r="LL492" s="140"/>
      <c r="LM492" s="140"/>
      <c r="LN492" s="140"/>
      <c r="LO492" s="140"/>
      <c r="LP492" s="140"/>
      <c r="LQ492" s="140"/>
      <c r="LR492" s="140"/>
      <c r="LS492" s="140"/>
      <c r="LT492" s="140"/>
      <c r="LU492" s="140"/>
      <c r="LV492" s="140"/>
      <c r="LW492" s="140"/>
      <c r="LX492" s="140"/>
      <c r="LY492" s="140"/>
      <c r="LZ492" s="140"/>
      <c r="MA492" s="140"/>
      <c r="MB492" s="140"/>
      <c r="MC492" s="140"/>
      <c r="MD492" s="140"/>
      <c r="ME492" s="140"/>
      <c r="MF492" s="140"/>
      <c r="MG492" s="140"/>
      <c r="MH492" s="140"/>
      <c r="MI492" s="140"/>
      <c r="MJ492" s="140"/>
      <c r="MK492" s="140"/>
      <c r="ML492" s="140"/>
    </row>
    <row r="494" spans="3:350" x14ac:dyDescent="0.3">
      <c r="C494" s="120" t="s">
        <v>227</v>
      </c>
      <c r="H494" s="121" t="s">
        <v>100</v>
      </c>
      <c r="S494" s="122" t="s">
        <v>5</v>
      </c>
      <c r="BD494" s="123" t="s">
        <v>6</v>
      </c>
      <c r="CO494" s="124" t="s">
        <v>7</v>
      </c>
      <c r="DZ494" s="125" t="s">
        <v>8</v>
      </c>
      <c r="FK494" s="126" t="s">
        <v>9</v>
      </c>
      <c r="GV494" s="127" t="s">
        <v>10</v>
      </c>
      <c r="IG494" s="128" t="s">
        <v>11</v>
      </c>
      <c r="JR494" s="129" t="str">
        <f>JR$4</f>
        <v>AMS2 2023</v>
      </c>
      <c r="LC494" s="130" t="str">
        <f>LC$4</f>
        <v>AMS3 2025</v>
      </c>
    </row>
    <row r="495" spans="3:350" s="4" customFormat="1" ht="18" customHeight="1" x14ac:dyDescent="0.3">
      <c r="C495" s="131"/>
      <c r="D495" s="132"/>
      <c r="E495" s="133" t="s">
        <v>101</v>
      </c>
      <c r="F495" s="134" t="s">
        <v>102</v>
      </c>
      <c r="H495" s="135">
        <f t="shared" ref="H495:M495" si="995">H$1</f>
        <v>2015</v>
      </c>
      <c r="I495" s="133">
        <f t="shared" si="995"/>
        <v>2016</v>
      </c>
      <c r="J495" s="133">
        <f t="shared" si="995"/>
        <v>2017</v>
      </c>
      <c r="K495" s="133">
        <f t="shared" si="995"/>
        <v>2018</v>
      </c>
      <c r="L495" s="133">
        <f t="shared" si="995"/>
        <v>2019</v>
      </c>
      <c r="M495" s="134">
        <f t="shared" si="995"/>
        <v>2020</v>
      </c>
      <c r="N495" s="1"/>
      <c r="O495" s="1"/>
      <c r="P495" s="1"/>
      <c r="Q495" s="1"/>
      <c r="S495" s="135">
        <f t="shared" ref="S495:BB495" si="996">S$1</f>
        <v>2015</v>
      </c>
      <c r="T495" s="133">
        <f t="shared" si="996"/>
        <v>2016</v>
      </c>
      <c r="U495" s="133">
        <f t="shared" si="996"/>
        <v>2017</v>
      </c>
      <c r="V495" s="133">
        <f t="shared" si="996"/>
        <v>2018</v>
      </c>
      <c r="W495" s="133">
        <f t="shared" si="996"/>
        <v>2019</v>
      </c>
      <c r="X495" s="133">
        <f t="shared" si="996"/>
        <v>2020</v>
      </c>
      <c r="Y495" s="133">
        <f t="shared" si="996"/>
        <v>2021</v>
      </c>
      <c r="Z495" s="133">
        <f t="shared" si="996"/>
        <v>2022</v>
      </c>
      <c r="AA495" s="133">
        <f t="shared" si="996"/>
        <v>2023</v>
      </c>
      <c r="AB495" s="133">
        <f t="shared" si="996"/>
        <v>2024</v>
      </c>
      <c r="AC495" s="133">
        <f t="shared" si="996"/>
        <v>2025</v>
      </c>
      <c r="AD495" s="133">
        <f t="shared" si="996"/>
        <v>2026</v>
      </c>
      <c r="AE495" s="133">
        <f t="shared" si="996"/>
        <v>2027</v>
      </c>
      <c r="AF495" s="133">
        <f t="shared" si="996"/>
        <v>2028</v>
      </c>
      <c r="AG495" s="133">
        <f t="shared" si="996"/>
        <v>2029</v>
      </c>
      <c r="AH495" s="133">
        <f t="shared" si="996"/>
        <v>2030</v>
      </c>
      <c r="AI495" s="133">
        <f t="shared" si="996"/>
        <v>2031</v>
      </c>
      <c r="AJ495" s="133">
        <f t="shared" si="996"/>
        <v>2032</v>
      </c>
      <c r="AK495" s="133">
        <f t="shared" si="996"/>
        <v>2033</v>
      </c>
      <c r="AL495" s="133">
        <f t="shared" si="996"/>
        <v>2034</v>
      </c>
      <c r="AM495" s="133">
        <f t="shared" si="996"/>
        <v>2035</v>
      </c>
      <c r="AN495" s="133">
        <f t="shared" si="996"/>
        <v>2036</v>
      </c>
      <c r="AO495" s="133">
        <f t="shared" si="996"/>
        <v>2037</v>
      </c>
      <c r="AP495" s="133">
        <f t="shared" si="996"/>
        <v>2038</v>
      </c>
      <c r="AQ495" s="133">
        <f t="shared" si="996"/>
        <v>2039</v>
      </c>
      <c r="AR495" s="133">
        <f t="shared" si="996"/>
        <v>2040</v>
      </c>
      <c r="AS495" s="133">
        <f t="shared" si="996"/>
        <v>2041</v>
      </c>
      <c r="AT495" s="133">
        <f t="shared" si="996"/>
        <v>2042</v>
      </c>
      <c r="AU495" s="133">
        <f t="shared" si="996"/>
        <v>2043</v>
      </c>
      <c r="AV495" s="133">
        <f t="shared" si="996"/>
        <v>2044</v>
      </c>
      <c r="AW495" s="133">
        <f t="shared" si="996"/>
        <v>2045</v>
      </c>
      <c r="AX495" s="133">
        <f t="shared" si="996"/>
        <v>2046</v>
      </c>
      <c r="AY495" s="133">
        <f t="shared" si="996"/>
        <v>2047</v>
      </c>
      <c r="AZ495" s="133">
        <f t="shared" si="996"/>
        <v>2048</v>
      </c>
      <c r="BA495" s="133">
        <f t="shared" si="996"/>
        <v>2049</v>
      </c>
      <c r="BB495" s="134">
        <f t="shared" si="996"/>
        <v>2050</v>
      </c>
      <c r="BD495" s="135">
        <f t="shared" ref="BD495:CM495" si="997">BD$1</f>
        <v>2015</v>
      </c>
      <c r="BE495" s="133">
        <f t="shared" si="997"/>
        <v>2016</v>
      </c>
      <c r="BF495" s="133">
        <f t="shared" si="997"/>
        <v>2017</v>
      </c>
      <c r="BG495" s="133">
        <f t="shared" si="997"/>
        <v>2018</v>
      </c>
      <c r="BH495" s="133">
        <f t="shared" si="997"/>
        <v>2019</v>
      </c>
      <c r="BI495" s="133">
        <f t="shared" si="997"/>
        <v>2020</v>
      </c>
      <c r="BJ495" s="133">
        <f t="shared" si="997"/>
        <v>2021</v>
      </c>
      <c r="BK495" s="133">
        <f t="shared" si="997"/>
        <v>2022</v>
      </c>
      <c r="BL495" s="133">
        <f t="shared" si="997"/>
        <v>2023</v>
      </c>
      <c r="BM495" s="133">
        <f t="shared" si="997"/>
        <v>2024</v>
      </c>
      <c r="BN495" s="133">
        <f t="shared" si="997"/>
        <v>2025</v>
      </c>
      <c r="BO495" s="133">
        <f t="shared" si="997"/>
        <v>2026</v>
      </c>
      <c r="BP495" s="133">
        <f t="shared" si="997"/>
        <v>2027</v>
      </c>
      <c r="BQ495" s="133">
        <f t="shared" si="997"/>
        <v>2028</v>
      </c>
      <c r="BR495" s="133">
        <f t="shared" si="997"/>
        <v>2029</v>
      </c>
      <c r="BS495" s="133">
        <f t="shared" si="997"/>
        <v>2030</v>
      </c>
      <c r="BT495" s="133">
        <f t="shared" si="997"/>
        <v>2031</v>
      </c>
      <c r="BU495" s="133">
        <f t="shared" si="997"/>
        <v>2032</v>
      </c>
      <c r="BV495" s="133">
        <f t="shared" si="997"/>
        <v>2033</v>
      </c>
      <c r="BW495" s="133">
        <f t="shared" si="997"/>
        <v>2034</v>
      </c>
      <c r="BX495" s="133">
        <f t="shared" si="997"/>
        <v>2035</v>
      </c>
      <c r="BY495" s="133">
        <f t="shared" si="997"/>
        <v>2036</v>
      </c>
      <c r="BZ495" s="133">
        <f t="shared" si="997"/>
        <v>2037</v>
      </c>
      <c r="CA495" s="133">
        <f t="shared" si="997"/>
        <v>2038</v>
      </c>
      <c r="CB495" s="133">
        <f t="shared" si="997"/>
        <v>2039</v>
      </c>
      <c r="CC495" s="133">
        <f t="shared" si="997"/>
        <v>2040</v>
      </c>
      <c r="CD495" s="133">
        <f t="shared" si="997"/>
        <v>2041</v>
      </c>
      <c r="CE495" s="133">
        <f t="shared" si="997"/>
        <v>2042</v>
      </c>
      <c r="CF495" s="133">
        <f t="shared" si="997"/>
        <v>2043</v>
      </c>
      <c r="CG495" s="133">
        <f t="shared" si="997"/>
        <v>2044</v>
      </c>
      <c r="CH495" s="133">
        <f t="shared" si="997"/>
        <v>2045</v>
      </c>
      <c r="CI495" s="133">
        <f t="shared" si="997"/>
        <v>2046</v>
      </c>
      <c r="CJ495" s="133">
        <f t="shared" si="997"/>
        <v>2047</v>
      </c>
      <c r="CK495" s="133">
        <f t="shared" si="997"/>
        <v>2048</v>
      </c>
      <c r="CL495" s="133">
        <f t="shared" si="997"/>
        <v>2049</v>
      </c>
      <c r="CM495" s="134">
        <f t="shared" si="997"/>
        <v>2050</v>
      </c>
      <c r="CO495" s="135">
        <f t="shared" ref="CO495:DX495" si="998">CO$1</f>
        <v>2015</v>
      </c>
      <c r="CP495" s="133">
        <f t="shared" si="998"/>
        <v>2016</v>
      </c>
      <c r="CQ495" s="133">
        <f t="shared" si="998"/>
        <v>2017</v>
      </c>
      <c r="CR495" s="133">
        <f t="shared" si="998"/>
        <v>2018</v>
      </c>
      <c r="CS495" s="133">
        <f t="shared" si="998"/>
        <v>2019</v>
      </c>
      <c r="CT495" s="133">
        <f t="shared" si="998"/>
        <v>2020</v>
      </c>
      <c r="CU495" s="133">
        <f t="shared" si="998"/>
        <v>2021</v>
      </c>
      <c r="CV495" s="133">
        <f t="shared" si="998"/>
        <v>2022</v>
      </c>
      <c r="CW495" s="133">
        <f t="shared" si="998"/>
        <v>2023</v>
      </c>
      <c r="CX495" s="133">
        <f t="shared" si="998"/>
        <v>2024</v>
      </c>
      <c r="CY495" s="133">
        <f t="shared" si="998"/>
        <v>2025</v>
      </c>
      <c r="CZ495" s="133">
        <f t="shared" si="998"/>
        <v>2026</v>
      </c>
      <c r="DA495" s="133">
        <f t="shared" si="998"/>
        <v>2027</v>
      </c>
      <c r="DB495" s="133">
        <f t="shared" si="998"/>
        <v>2028</v>
      </c>
      <c r="DC495" s="133">
        <f t="shared" si="998"/>
        <v>2029</v>
      </c>
      <c r="DD495" s="133">
        <f t="shared" si="998"/>
        <v>2030</v>
      </c>
      <c r="DE495" s="133">
        <f t="shared" si="998"/>
        <v>2031</v>
      </c>
      <c r="DF495" s="133">
        <f t="shared" si="998"/>
        <v>2032</v>
      </c>
      <c r="DG495" s="133">
        <f t="shared" si="998"/>
        <v>2033</v>
      </c>
      <c r="DH495" s="133">
        <f t="shared" si="998"/>
        <v>2034</v>
      </c>
      <c r="DI495" s="133">
        <f t="shared" si="998"/>
        <v>2035</v>
      </c>
      <c r="DJ495" s="133">
        <f t="shared" si="998"/>
        <v>2036</v>
      </c>
      <c r="DK495" s="133">
        <f t="shared" si="998"/>
        <v>2037</v>
      </c>
      <c r="DL495" s="133">
        <f t="shared" si="998"/>
        <v>2038</v>
      </c>
      <c r="DM495" s="133">
        <f t="shared" si="998"/>
        <v>2039</v>
      </c>
      <c r="DN495" s="133">
        <f t="shared" si="998"/>
        <v>2040</v>
      </c>
      <c r="DO495" s="133">
        <f t="shared" si="998"/>
        <v>2041</v>
      </c>
      <c r="DP495" s="133">
        <f t="shared" si="998"/>
        <v>2042</v>
      </c>
      <c r="DQ495" s="133">
        <f t="shared" si="998"/>
        <v>2043</v>
      </c>
      <c r="DR495" s="133">
        <f t="shared" si="998"/>
        <v>2044</v>
      </c>
      <c r="DS495" s="133">
        <f t="shared" si="998"/>
        <v>2045</v>
      </c>
      <c r="DT495" s="133">
        <f t="shared" si="998"/>
        <v>2046</v>
      </c>
      <c r="DU495" s="133">
        <f t="shared" si="998"/>
        <v>2047</v>
      </c>
      <c r="DV495" s="133">
        <f t="shared" si="998"/>
        <v>2048</v>
      </c>
      <c r="DW495" s="133">
        <f t="shared" si="998"/>
        <v>2049</v>
      </c>
      <c r="DX495" s="134">
        <f t="shared" si="998"/>
        <v>2050</v>
      </c>
      <c r="DZ495" s="135">
        <f t="shared" ref="DZ495:FI495" si="999">DZ$1</f>
        <v>2015</v>
      </c>
      <c r="EA495" s="133">
        <f t="shared" si="999"/>
        <v>2016</v>
      </c>
      <c r="EB495" s="133">
        <f t="shared" si="999"/>
        <v>2017</v>
      </c>
      <c r="EC495" s="133">
        <f t="shared" si="999"/>
        <v>2018</v>
      </c>
      <c r="ED495" s="133">
        <f t="shared" si="999"/>
        <v>2019</v>
      </c>
      <c r="EE495" s="133">
        <f t="shared" si="999"/>
        <v>2020</v>
      </c>
      <c r="EF495" s="133">
        <f t="shared" si="999"/>
        <v>2021</v>
      </c>
      <c r="EG495" s="133">
        <f t="shared" si="999"/>
        <v>2022</v>
      </c>
      <c r="EH495" s="133">
        <f t="shared" si="999"/>
        <v>2023</v>
      </c>
      <c r="EI495" s="133">
        <f t="shared" si="999"/>
        <v>2024</v>
      </c>
      <c r="EJ495" s="133">
        <f t="shared" si="999"/>
        <v>2025</v>
      </c>
      <c r="EK495" s="133">
        <f t="shared" si="999"/>
        <v>2026</v>
      </c>
      <c r="EL495" s="133">
        <f t="shared" si="999"/>
        <v>2027</v>
      </c>
      <c r="EM495" s="133">
        <f t="shared" si="999"/>
        <v>2028</v>
      </c>
      <c r="EN495" s="133">
        <f t="shared" si="999"/>
        <v>2029</v>
      </c>
      <c r="EO495" s="133">
        <f t="shared" si="999"/>
        <v>2030</v>
      </c>
      <c r="EP495" s="133">
        <f t="shared" si="999"/>
        <v>2031</v>
      </c>
      <c r="EQ495" s="133">
        <f t="shared" si="999"/>
        <v>2032</v>
      </c>
      <c r="ER495" s="133">
        <f t="shared" si="999"/>
        <v>2033</v>
      </c>
      <c r="ES495" s="133">
        <f t="shared" si="999"/>
        <v>2034</v>
      </c>
      <c r="ET495" s="133">
        <f t="shared" si="999"/>
        <v>2035</v>
      </c>
      <c r="EU495" s="133">
        <f t="shared" si="999"/>
        <v>2036</v>
      </c>
      <c r="EV495" s="133">
        <f t="shared" si="999"/>
        <v>2037</v>
      </c>
      <c r="EW495" s="133">
        <f t="shared" si="999"/>
        <v>2038</v>
      </c>
      <c r="EX495" s="133">
        <f t="shared" si="999"/>
        <v>2039</v>
      </c>
      <c r="EY495" s="133">
        <f t="shared" si="999"/>
        <v>2040</v>
      </c>
      <c r="EZ495" s="133">
        <f t="shared" si="999"/>
        <v>2041</v>
      </c>
      <c r="FA495" s="133">
        <f t="shared" si="999"/>
        <v>2042</v>
      </c>
      <c r="FB495" s="133">
        <f t="shared" si="999"/>
        <v>2043</v>
      </c>
      <c r="FC495" s="133">
        <f t="shared" si="999"/>
        <v>2044</v>
      </c>
      <c r="FD495" s="133">
        <f t="shared" si="999"/>
        <v>2045</v>
      </c>
      <c r="FE495" s="133">
        <f t="shared" si="999"/>
        <v>2046</v>
      </c>
      <c r="FF495" s="133">
        <f t="shared" si="999"/>
        <v>2047</v>
      </c>
      <c r="FG495" s="133">
        <f t="shared" si="999"/>
        <v>2048</v>
      </c>
      <c r="FH495" s="133">
        <f t="shared" si="999"/>
        <v>2049</v>
      </c>
      <c r="FI495" s="134">
        <f t="shared" si="999"/>
        <v>2050</v>
      </c>
      <c r="FK495" s="135">
        <f t="shared" ref="FK495:GT495" si="1000">FK$1</f>
        <v>2015</v>
      </c>
      <c r="FL495" s="133">
        <f t="shared" si="1000"/>
        <v>2016</v>
      </c>
      <c r="FM495" s="133">
        <f t="shared" si="1000"/>
        <v>2017</v>
      </c>
      <c r="FN495" s="133">
        <f t="shared" si="1000"/>
        <v>2018</v>
      </c>
      <c r="FO495" s="133">
        <f t="shared" si="1000"/>
        <v>2019</v>
      </c>
      <c r="FP495" s="133">
        <f t="shared" si="1000"/>
        <v>2020</v>
      </c>
      <c r="FQ495" s="133">
        <f t="shared" si="1000"/>
        <v>2021</v>
      </c>
      <c r="FR495" s="133">
        <f t="shared" si="1000"/>
        <v>2022</v>
      </c>
      <c r="FS495" s="133">
        <f t="shared" si="1000"/>
        <v>2023</v>
      </c>
      <c r="FT495" s="133">
        <f t="shared" si="1000"/>
        <v>2024</v>
      </c>
      <c r="FU495" s="133">
        <f t="shared" si="1000"/>
        <v>2025</v>
      </c>
      <c r="FV495" s="133">
        <f t="shared" si="1000"/>
        <v>2026</v>
      </c>
      <c r="FW495" s="133">
        <f t="shared" si="1000"/>
        <v>2027</v>
      </c>
      <c r="FX495" s="133">
        <f t="shared" si="1000"/>
        <v>2028</v>
      </c>
      <c r="FY495" s="133">
        <f t="shared" si="1000"/>
        <v>2029</v>
      </c>
      <c r="FZ495" s="133">
        <f t="shared" si="1000"/>
        <v>2030</v>
      </c>
      <c r="GA495" s="133">
        <f t="shared" si="1000"/>
        <v>2031</v>
      </c>
      <c r="GB495" s="133">
        <f t="shared" si="1000"/>
        <v>2032</v>
      </c>
      <c r="GC495" s="133">
        <f t="shared" si="1000"/>
        <v>2033</v>
      </c>
      <c r="GD495" s="133">
        <f t="shared" si="1000"/>
        <v>2034</v>
      </c>
      <c r="GE495" s="133">
        <f t="shared" si="1000"/>
        <v>2035</v>
      </c>
      <c r="GF495" s="133">
        <f t="shared" si="1000"/>
        <v>2036</v>
      </c>
      <c r="GG495" s="133">
        <f t="shared" si="1000"/>
        <v>2037</v>
      </c>
      <c r="GH495" s="133">
        <f t="shared" si="1000"/>
        <v>2038</v>
      </c>
      <c r="GI495" s="133">
        <f t="shared" si="1000"/>
        <v>2039</v>
      </c>
      <c r="GJ495" s="133">
        <f t="shared" si="1000"/>
        <v>2040</v>
      </c>
      <c r="GK495" s="133">
        <f t="shared" si="1000"/>
        <v>2041</v>
      </c>
      <c r="GL495" s="133">
        <f t="shared" si="1000"/>
        <v>2042</v>
      </c>
      <c r="GM495" s="133">
        <f t="shared" si="1000"/>
        <v>2043</v>
      </c>
      <c r="GN495" s="133">
        <f t="shared" si="1000"/>
        <v>2044</v>
      </c>
      <c r="GO495" s="133">
        <f t="shared" si="1000"/>
        <v>2045</v>
      </c>
      <c r="GP495" s="133">
        <f t="shared" si="1000"/>
        <v>2046</v>
      </c>
      <c r="GQ495" s="133">
        <f t="shared" si="1000"/>
        <v>2047</v>
      </c>
      <c r="GR495" s="133">
        <f t="shared" si="1000"/>
        <v>2048</v>
      </c>
      <c r="GS495" s="133">
        <f t="shared" si="1000"/>
        <v>2049</v>
      </c>
      <c r="GT495" s="134">
        <f t="shared" si="1000"/>
        <v>2050</v>
      </c>
      <c r="GV495" s="135">
        <f t="shared" ref="GV495:IE495" si="1001">GV$1</f>
        <v>2015</v>
      </c>
      <c r="GW495" s="133">
        <f t="shared" si="1001"/>
        <v>2016</v>
      </c>
      <c r="GX495" s="133">
        <f t="shared" si="1001"/>
        <v>2017</v>
      </c>
      <c r="GY495" s="133">
        <f t="shared" si="1001"/>
        <v>2018</v>
      </c>
      <c r="GZ495" s="133">
        <f t="shared" si="1001"/>
        <v>2019</v>
      </c>
      <c r="HA495" s="133">
        <f t="shared" si="1001"/>
        <v>2020</v>
      </c>
      <c r="HB495" s="133">
        <f t="shared" si="1001"/>
        <v>2021</v>
      </c>
      <c r="HC495" s="133">
        <f t="shared" si="1001"/>
        <v>2022</v>
      </c>
      <c r="HD495" s="133">
        <f t="shared" si="1001"/>
        <v>2023</v>
      </c>
      <c r="HE495" s="133">
        <f t="shared" si="1001"/>
        <v>2024</v>
      </c>
      <c r="HF495" s="133">
        <f t="shared" si="1001"/>
        <v>2025</v>
      </c>
      <c r="HG495" s="133">
        <f t="shared" si="1001"/>
        <v>2026</v>
      </c>
      <c r="HH495" s="133">
        <f t="shared" si="1001"/>
        <v>2027</v>
      </c>
      <c r="HI495" s="133">
        <f t="shared" si="1001"/>
        <v>2028</v>
      </c>
      <c r="HJ495" s="133">
        <f t="shared" si="1001"/>
        <v>2029</v>
      </c>
      <c r="HK495" s="133">
        <f t="shared" si="1001"/>
        <v>2030</v>
      </c>
      <c r="HL495" s="133">
        <f t="shared" si="1001"/>
        <v>2031</v>
      </c>
      <c r="HM495" s="133">
        <f t="shared" si="1001"/>
        <v>2032</v>
      </c>
      <c r="HN495" s="133">
        <f t="shared" si="1001"/>
        <v>2033</v>
      </c>
      <c r="HO495" s="133">
        <f t="shared" si="1001"/>
        <v>2034</v>
      </c>
      <c r="HP495" s="133">
        <f t="shared" si="1001"/>
        <v>2035</v>
      </c>
      <c r="HQ495" s="133">
        <f t="shared" si="1001"/>
        <v>2036</v>
      </c>
      <c r="HR495" s="133">
        <f t="shared" si="1001"/>
        <v>2037</v>
      </c>
      <c r="HS495" s="133">
        <f t="shared" si="1001"/>
        <v>2038</v>
      </c>
      <c r="HT495" s="133">
        <f t="shared" si="1001"/>
        <v>2039</v>
      </c>
      <c r="HU495" s="133">
        <f t="shared" si="1001"/>
        <v>2040</v>
      </c>
      <c r="HV495" s="133">
        <f t="shared" si="1001"/>
        <v>2041</v>
      </c>
      <c r="HW495" s="133">
        <f t="shared" si="1001"/>
        <v>2042</v>
      </c>
      <c r="HX495" s="133">
        <f t="shared" si="1001"/>
        <v>2043</v>
      </c>
      <c r="HY495" s="133">
        <f t="shared" si="1001"/>
        <v>2044</v>
      </c>
      <c r="HZ495" s="133">
        <f t="shared" si="1001"/>
        <v>2045</v>
      </c>
      <c r="IA495" s="133">
        <f t="shared" si="1001"/>
        <v>2046</v>
      </c>
      <c r="IB495" s="133">
        <f t="shared" si="1001"/>
        <v>2047</v>
      </c>
      <c r="IC495" s="133">
        <f t="shared" si="1001"/>
        <v>2048</v>
      </c>
      <c r="ID495" s="133">
        <f t="shared" si="1001"/>
        <v>2049</v>
      </c>
      <c r="IE495" s="134">
        <f t="shared" si="1001"/>
        <v>2050</v>
      </c>
      <c r="IG495" s="135">
        <f t="shared" ref="IG495:JP495" si="1002">IG$1</f>
        <v>2015</v>
      </c>
      <c r="IH495" s="133">
        <f t="shared" si="1002"/>
        <v>2016</v>
      </c>
      <c r="II495" s="133">
        <f t="shared" si="1002"/>
        <v>2017</v>
      </c>
      <c r="IJ495" s="133">
        <f t="shared" si="1002"/>
        <v>2018</v>
      </c>
      <c r="IK495" s="133">
        <f t="shared" si="1002"/>
        <v>2019</v>
      </c>
      <c r="IL495" s="133">
        <f t="shared" si="1002"/>
        <v>2020</v>
      </c>
      <c r="IM495" s="133">
        <f t="shared" si="1002"/>
        <v>2021</v>
      </c>
      <c r="IN495" s="133">
        <f t="shared" si="1002"/>
        <v>2022</v>
      </c>
      <c r="IO495" s="133">
        <f t="shared" si="1002"/>
        <v>2023</v>
      </c>
      <c r="IP495" s="133">
        <f t="shared" si="1002"/>
        <v>2024</v>
      </c>
      <c r="IQ495" s="133">
        <f t="shared" si="1002"/>
        <v>2025</v>
      </c>
      <c r="IR495" s="133">
        <f t="shared" si="1002"/>
        <v>2026</v>
      </c>
      <c r="IS495" s="133">
        <f t="shared" si="1002"/>
        <v>2027</v>
      </c>
      <c r="IT495" s="133">
        <f t="shared" si="1002"/>
        <v>2028</v>
      </c>
      <c r="IU495" s="133">
        <f t="shared" si="1002"/>
        <v>2029</v>
      </c>
      <c r="IV495" s="133">
        <f t="shared" si="1002"/>
        <v>2030</v>
      </c>
      <c r="IW495" s="133">
        <f t="shared" si="1002"/>
        <v>2031</v>
      </c>
      <c r="IX495" s="133">
        <f t="shared" si="1002"/>
        <v>2032</v>
      </c>
      <c r="IY495" s="133">
        <f t="shared" si="1002"/>
        <v>2033</v>
      </c>
      <c r="IZ495" s="133">
        <f t="shared" si="1002"/>
        <v>2034</v>
      </c>
      <c r="JA495" s="133">
        <f t="shared" si="1002"/>
        <v>2035</v>
      </c>
      <c r="JB495" s="133">
        <f t="shared" si="1002"/>
        <v>2036</v>
      </c>
      <c r="JC495" s="133">
        <f t="shared" si="1002"/>
        <v>2037</v>
      </c>
      <c r="JD495" s="133">
        <f t="shared" si="1002"/>
        <v>2038</v>
      </c>
      <c r="JE495" s="133">
        <f t="shared" si="1002"/>
        <v>2039</v>
      </c>
      <c r="JF495" s="133">
        <f t="shared" si="1002"/>
        <v>2040</v>
      </c>
      <c r="JG495" s="133">
        <f t="shared" si="1002"/>
        <v>2041</v>
      </c>
      <c r="JH495" s="133">
        <f t="shared" si="1002"/>
        <v>2042</v>
      </c>
      <c r="JI495" s="133">
        <f t="shared" si="1002"/>
        <v>2043</v>
      </c>
      <c r="JJ495" s="133">
        <f t="shared" si="1002"/>
        <v>2044</v>
      </c>
      <c r="JK495" s="133">
        <f t="shared" si="1002"/>
        <v>2045</v>
      </c>
      <c r="JL495" s="133">
        <f t="shared" si="1002"/>
        <v>2046</v>
      </c>
      <c r="JM495" s="133">
        <f t="shared" si="1002"/>
        <v>2047</v>
      </c>
      <c r="JN495" s="133">
        <f t="shared" si="1002"/>
        <v>2048</v>
      </c>
      <c r="JO495" s="133">
        <f t="shared" si="1002"/>
        <v>2049</v>
      </c>
      <c r="JP495" s="134">
        <f t="shared" si="1002"/>
        <v>2050</v>
      </c>
      <c r="JR495" s="135">
        <f t="shared" ref="JR495:MC495" si="1003">JR$1</f>
        <v>2015</v>
      </c>
      <c r="JS495" s="133">
        <f t="shared" si="1003"/>
        <v>2016</v>
      </c>
      <c r="JT495" s="133">
        <f t="shared" si="1003"/>
        <v>2017</v>
      </c>
      <c r="JU495" s="133">
        <f t="shared" si="1003"/>
        <v>2018</v>
      </c>
      <c r="JV495" s="133">
        <f t="shared" si="1003"/>
        <v>2019</v>
      </c>
      <c r="JW495" s="133">
        <f t="shared" si="1003"/>
        <v>2020</v>
      </c>
      <c r="JX495" s="133">
        <f t="shared" si="1003"/>
        <v>2021</v>
      </c>
      <c r="JY495" s="133">
        <f t="shared" si="1003"/>
        <v>2022</v>
      </c>
      <c r="JZ495" s="133">
        <f t="shared" si="1003"/>
        <v>2023</v>
      </c>
      <c r="KA495" s="133">
        <f t="shared" si="1003"/>
        <v>2024</v>
      </c>
      <c r="KB495" s="133">
        <f t="shared" si="1003"/>
        <v>2025</v>
      </c>
      <c r="KC495" s="133">
        <f t="shared" si="1003"/>
        <v>2026</v>
      </c>
      <c r="KD495" s="133">
        <f t="shared" si="1003"/>
        <v>2027</v>
      </c>
      <c r="KE495" s="133">
        <f t="shared" si="1003"/>
        <v>2028</v>
      </c>
      <c r="KF495" s="133">
        <f t="shared" si="1003"/>
        <v>2029</v>
      </c>
      <c r="KG495" s="133">
        <f t="shared" si="1003"/>
        <v>2030</v>
      </c>
      <c r="KH495" s="133">
        <f t="shared" si="1003"/>
        <v>2031</v>
      </c>
      <c r="KI495" s="133">
        <f t="shared" si="1003"/>
        <v>2032</v>
      </c>
      <c r="KJ495" s="133">
        <f t="shared" si="1003"/>
        <v>2033</v>
      </c>
      <c r="KK495" s="133">
        <f t="shared" si="1003"/>
        <v>2034</v>
      </c>
      <c r="KL495" s="133">
        <f t="shared" si="1003"/>
        <v>2035</v>
      </c>
      <c r="KM495" s="133">
        <f t="shared" si="1003"/>
        <v>2036</v>
      </c>
      <c r="KN495" s="133">
        <f t="shared" si="1003"/>
        <v>2037</v>
      </c>
      <c r="KO495" s="133">
        <f t="shared" si="1003"/>
        <v>2038</v>
      </c>
      <c r="KP495" s="133">
        <f t="shared" si="1003"/>
        <v>2039</v>
      </c>
      <c r="KQ495" s="133">
        <f t="shared" si="1003"/>
        <v>2040</v>
      </c>
      <c r="KR495" s="133">
        <f t="shared" si="1003"/>
        <v>2041</v>
      </c>
      <c r="KS495" s="133">
        <f t="shared" si="1003"/>
        <v>2042</v>
      </c>
      <c r="KT495" s="133">
        <f t="shared" si="1003"/>
        <v>2043</v>
      </c>
      <c r="KU495" s="133">
        <f t="shared" si="1003"/>
        <v>2044</v>
      </c>
      <c r="KV495" s="133">
        <f t="shared" si="1003"/>
        <v>2045</v>
      </c>
      <c r="KW495" s="133">
        <f t="shared" si="1003"/>
        <v>2046</v>
      </c>
      <c r="KX495" s="133">
        <f t="shared" si="1003"/>
        <v>2047</v>
      </c>
      <c r="KY495" s="133">
        <f t="shared" si="1003"/>
        <v>2048</v>
      </c>
      <c r="KZ495" s="133">
        <f t="shared" si="1003"/>
        <v>2049</v>
      </c>
      <c r="LA495" s="134">
        <f t="shared" si="1003"/>
        <v>2050</v>
      </c>
      <c r="LC495" s="135">
        <f t="shared" si="1003"/>
        <v>2015</v>
      </c>
      <c r="LD495" s="133">
        <f t="shared" si="1003"/>
        <v>2016</v>
      </c>
      <c r="LE495" s="133">
        <f t="shared" si="1003"/>
        <v>2017</v>
      </c>
      <c r="LF495" s="133">
        <f t="shared" si="1003"/>
        <v>2018</v>
      </c>
      <c r="LG495" s="133">
        <f t="shared" si="1003"/>
        <v>2019</v>
      </c>
      <c r="LH495" s="133">
        <f t="shared" si="1003"/>
        <v>2020</v>
      </c>
      <c r="LI495" s="133">
        <f t="shared" si="1003"/>
        <v>2021</v>
      </c>
      <c r="LJ495" s="133">
        <f t="shared" si="1003"/>
        <v>2022</v>
      </c>
      <c r="LK495" s="133">
        <f t="shared" si="1003"/>
        <v>2023</v>
      </c>
      <c r="LL495" s="133">
        <f t="shared" si="1003"/>
        <v>2024</v>
      </c>
      <c r="LM495" s="133">
        <f t="shared" si="1003"/>
        <v>2025</v>
      </c>
      <c r="LN495" s="133">
        <f t="shared" si="1003"/>
        <v>2026</v>
      </c>
      <c r="LO495" s="133">
        <f t="shared" si="1003"/>
        <v>2027</v>
      </c>
      <c r="LP495" s="133">
        <f t="shared" si="1003"/>
        <v>2028</v>
      </c>
      <c r="LQ495" s="133">
        <f t="shared" si="1003"/>
        <v>2029</v>
      </c>
      <c r="LR495" s="133">
        <f t="shared" si="1003"/>
        <v>2030</v>
      </c>
      <c r="LS495" s="133">
        <f t="shared" si="1003"/>
        <v>2031</v>
      </c>
      <c r="LT495" s="133">
        <f t="shared" si="1003"/>
        <v>2032</v>
      </c>
      <c r="LU495" s="133">
        <f t="shared" si="1003"/>
        <v>2033</v>
      </c>
      <c r="LV495" s="133">
        <f t="shared" si="1003"/>
        <v>2034</v>
      </c>
      <c r="LW495" s="133">
        <f t="shared" si="1003"/>
        <v>2035</v>
      </c>
      <c r="LX495" s="133">
        <f t="shared" si="1003"/>
        <v>2036</v>
      </c>
      <c r="LY495" s="133">
        <f t="shared" si="1003"/>
        <v>2037</v>
      </c>
      <c r="LZ495" s="133">
        <f t="shared" si="1003"/>
        <v>2038</v>
      </c>
      <c r="MA495" s="133">
        <f t="shared" si="1003"/>
        <v>2039</v>
      </c>
      <c r="MB495" s="133">
        <f t="shared" si="1003"/>
        <v>2040</v>
      </c>
      <c r="MC495" s="133">
        <f t="shared" si="1003"/>
        <v>2041</v>
      </c>
      <c r="MD495" s="133">
        <f t="shared" ref="MD495:ML495" si="1004">MD$1</f>
        <v>2042</v>
      </c>
      <c r="ME495" s="133">
        <f t="shared" si="1004"/>
        <v>2043</v>
      </c>
      <c r="MF495" s="133">
        <f t="shared" si="1004"/>
        <v>2044</v>
      </c>
      <c r="MG495" s="133">
        <f t="shared" si="1004"/>
        <v>2045</v>
      </c>
      <c r="MH495" s="133">
        <f t="shared" si="1004"/>
        <v>2046</v>
      </c>
      <c r="MI495" s="133">
        <f t="shared" si="1004"/>
        <v>2047</v>
      </c>
      <c r="MJ495" s="133">
        <f t="shared" si="1004"/>
        <v>2048</v>
      </c>
      <c r="MK495" s="133">
        <f t="shared" si="1004"/>
        <v>2049</v>
      </c>
      <c r="ML495" s="134">
        <f t="shared" si="1004"/>
        <v>2050</v>
      </c>
    </row>
    <row r="496" spans="3:350" s="4" customFormat="1" ht="18" customHeight="1" x14ac:dyDescent="0.3">
      <c r="C496" s="204" t="s">
        <v>228</v>
      </c>
      <c r="E496" s="1"/>
      <c r="F496" s="138"/>
      <c r="H496" s="245"/>
      <c r="I496" s="1"/>
      <c r="J496" s="1"/>
      <c r="K496" s="1"/>
      <c r="L496" s="1"/>
      <c r="M496" s="138"/>
      <c r="N496" s="1"/>
      <c r="O496" s="1"/>
      <c r="P496" s="1"/>
      <c r="Q496" s="1"/>
      <c r="S496" s="245"/>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0"/>
      <c r="BD496" s="245"/>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0"/>
      <c r="CO496" s="245"/>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0"/>
      <c r="DZ496" s="245"/>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0"/>
      <c r="FK496" s="245"/>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0"/>
      <c r="GV496" s="245"/>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0"/>
      <c r="IG496" s="245"/>
      <c r="IH496" s="1"/>
      <c r="II496" s="1"/>
      <c r="IJ496" s="1"/>
      <c r="IK496" s="1"/>
      <c r="IL496" s="1"/>
      <c r="IM496" s="1"/>
      <c r="IN496" s="1"/>
      <c r="IO496" s="1"/>
      <c r="IP496" s="1"/>
      <c r="IQ496" s="1"/>
      <c r="IR496" s="1"/>
      <c r="IS496" s="1"/>
      <c r="IT496" s="1"/>
      <c r="IU496" s="1"/>
      <c r="IV496" s="1"/>
      <c r="IW496" s="1"/>
      <c r="IX496" s="1"/>
      <c r="IY496" s="1"/>
      <c r="IZ496" s="1"/>
      <c r="JA496" s="1"/>
      <c r="JB496" s="1"/>
      <c r="JC496" s="1"/>
      <c r="JD496" s="1"/>
      <c r="JE496" s="1"/>
      <c r="JF496" s="1"/>
      <c r="JG496" s="1"/>
      <c r="JH496" s="1"/>
      <c r="JI496" s="1"/>
      <c r="JJ496" s="1"/>
      <c r="JK496" s="1"/>
      <c r="JL496" s="1"/>
      <c r="JM496" s="1"/>
      <c r="JN496" s="1"/>
      <c r="JO496" s="1"/>
      <c r="JP496" s="10"/>
      <c r="JR496" s="245"/>
      <c r="JS496" s="1"/>
      <c r="JT496" s="1"/>
      <c r="JU496" s="1"/>
      <c r="JV496" s="1"/>
      <c r="JW496" s="1"/>
      <c r="JX496" s="1"/>
      <c r="JY496" s="1"/>
      <c r="JZ496" s="1"/>
      <c r="KA496" s="1"/>
      <c r="KB496" s="1"/>
      <c r="KC496" s="1"/>
      <c r="KD496" s="1"/>
      <c r="KE496" s="1"/>
      <c r="KF496" s="1"/>
      <c r="KG496" s="1"/>
      <c r="KH496" s="1"/>
      <c r="KI496" s="1"/>
      <c r="KJ496" s="1"/>
      <c r="KK496" s="1"/>
      <c r="KL496" s="1"/>
      <c r="KM496" s="1"/>
      <c r="KN496" s="1"/>
      <c r="KO496" s="1"/>
      <c r="KP496" s="1"/>
      <c r="KQ496" s="1"/>
      <c r="KR496" s="1"/>
      <c r="KS496" s="1"/>
      <c r="KT496" s="1"/>
      <c r="KU496" s="1"/>
      <c r="KV496" s="1"/>
      <c r="KW496" s="1"/>
      <c r="KX496" s="1"/>
      <c r="KY496" s="1"/>
      <c r="KZ496" s="1"/>
      <c r="LA496" s="10"/>
      <c r="LC496" s="245"/>
      <c r="LD496" s="1"/>
      <c r="LE496" s="1"/>
      <c r="LF496" s="1"/>
      <c r="LG496" s="1"/>
      <c r="LH496" s="1"/>
      <c r="LI496" s="1"/>
      <c r="LJ496" s="1"/>
      <c r="LK496" s="1"/>
      <c r="LL496" s="1"/>
      <c r="LM496" s="1"/>
      <c r="LN496" s="1"/>
      <c r="LO496" s="1"/>
      <c r="LP496" s="1"/>
      <c r="LQ496" s="1"/>
      <c r="LR496" s="1"/>
      <c r="LS496" s="1"/>
      <c r="LT496" s="1"/>
      <c r="LU496" s="1"/>
      <c r="LV496" s="1"/>
      <c r="LW496" s="1"/>
      <c r="LX496" s="1"/>
      <c r="LY496" s="1"/>
      <c r="LZ496" s="1"/>
      <c r="MA496" s="1"/>
      <c r="MB496" s="1"/>
      <c r="MC496" s="1"/>
      <c r="MD496" s="1"/>
      <c r="ME496" s="1"/>
      <c r="MF496" s="1"/>
      <c r="MG496" s="1"/>
      <c r="MH496" s="1"/>
      <c r="MI496" s="1"/>
      <c r="MJ496" s="1"/>
      <c r="MK496" s="1"/>
      <c r="ML496" s="10"/>
    </row>
    <row r="497" spans="3:360" s="4" customFormat="1" ht="18" customHeight="1" x14ac:dyDescent="0.3">
      <c r="C497" s="136" t="s">
        <v>229</v>
      </c>
      <c r="E497" s="137" t="s">
        <v>219</v>
      </c>
      <c r="F497" s="186" t="s">
        <v>104</v>
      </c>
      <c r="H497" s="174">
        <v>110</v>
      </c>
      <c r="I497" s="175">
        <v>110</v>
      </c>
      <c r="J497" s="175">
        <v>110</v>
      </c>
      <c r="K497" s="175">
        <v>110</v>
      </c>
      <c r="L497" s="175">
        <v>110</v>
      </c>
      <c r="M497" s="176">
        <v>110</v>
      </c>
      <c r="N497" s="140"/>
      <c r="O497" s="140"/>
      <c r="P497" s="140"/>
      <c r="Q497" s="140"/>
      <c r="R497" s="140"/>
      <c r="S497" s="139"/>
      <c r="T497" s="140"/>
      <c r="U497" s="140"/>
      <c r="V497" s="140"/>
      <c r="W497" s="140"/>
      <c r="X497" s="175">
        <v>110</v>
      </c>
      <c r="Y497" s="175">
        <v>110</v>
      </c>
      <c r="Z497" s="175">
        <v>110</v>
      </c>
      <c r="AA497" s="175">
        <v>110</v>
      </c>
      <c r="AB497" s="175">
        <v>110</v>
      </c>
      <c r="AC497" s="175">
        <v>110</v>
      </c>
      <c r="AD497" s="175">
        <v>110</v>
      </c>
      <c r="AE497" s="175">
        <v>110</v>
      </c>
      <c r="AF497" s="175">
        <v>110</v>
      </c>
      <c r="AG497" s="175">
        <v>110</v>
      </c>
      <c r="AH497" s="175">
        <v>110</v>
      </c>
      <c r="AI497" s="175">
        <v>110</v>
      </c>
      <c r="AJ497" s="175">
        <v>110</v>
      </c>
      <c r="AK497" s="175">
        <v>110</v>
      </c>
      <c r="AL497" s="175">
        <v>110</v>
      </c>
      <c r="AM497" s="175">
        <v>110</v>
      </c>
      <c r="AN497" s="175">
        <v>110</v>
      </c>
      <c r="AO497" s="175">
        <v>110</v>
      </c>
      <c r="AP497" s="175">
        <v>110</v>
      </c>
      <c r="AQ497" s="175">
        <v>110</v>
      </c>
      <c r="AR497" s="175">
        <v>110</v>
      </c>
      <c r="AS497" s="175">
        <v>110</v>
      </c>
      <c r="AT497" s="175">
        <v>110</v>
      </c>
      <c r="AU497" s="175">
        <v>110</v>
      </c>
      <c r="AV497" s="175">
        <v>110</v>
      </c>
      <c r="AW497" s="175">
        <v>110</v>
      </c>
      <c r="AX497" s="175">
        <v>110</v>
      </c>
      <c r="AY497" s="175">
        <v>110</v>
      </c>
      <c r="AZ497" s="175">
        <v>110</v>
      </c>
      <c r="BA497" s="175">
        <v>110</v>
      </c>
      <c r="BB497" s="176">
        <v>110</v>
      </c>
      <c r="BC497" s="140"/>
      <c r="BD497" s="139"/>
      <c r="BE497" s="140"/>
      <c r="BF497" s="140"/>
      <c r="BG497" s="140"/>
      <c r="BH497" s="140"/>
      <c r="BI497" s="175">
        <v>110</v>
      </c>
      <c r="BJ497" s="175">
        <v>110</v>
      </c>
      <c r="BK497" s="175">
        <v>110</v>
      </c>
      <c r="BL497" s="175">
        <v>110</v>
      </c>
      <c r="BM497" s="175">
        <v>110</v>
      </c>
      <c r="BN497" s="175">
        <v>110</v>
      </c>
      <c r="BO497" s="175">
        <v>110</v>
      </c>
      <c r="BP497" s="175">
        <v>110</v>
      </c>
      <c r="BQ497" s="175">
        <v>110</v>
      </c>
      <c r="BR497" s="175">
        <v>110</v>
      </c>
      <c r="BS497" s="175">
        <v>110</v>
      </c>
      <c r="BT497" s="175">
        <v>110</v>
      </c>
      <c r="BU497" s="175">
        <v>110</v>
      </c>
      <c r="BV497" s="175">
        <v>110</v>
      </c>
      <c r="BW497" s="175">
        <v>110</v>
      </c>
      <c r="BX497" s="175">
        <v>110</v>
      </c>
      <c r="BY497" s="175">
        <v>110</v>
      </c>
      <c r="BZ497" s="175">
        <v>110</v>
      </c>
      <c r="CA497" s="175">
        <v>110</v>
      </c>
      <c r="CB497" s="175">
        <v>110</v>
      </c>
      <c r="CC497" s="175">
        <v>110</v>
      </c>
      <c r="CD497" s="175">
        <v>110</v>
      </c>
      <c r="CE497" s="175">
        <v>110</v>
      </c>
      <c r="CF497" s="175">
        <v>110</v>
      </c>
      <c r="CG497" s="175">
        <v>110</v>
      </c>
      <c r="CH497" s="175">
        <v>110</v>
      </c>
      <c r="CI497" s="175">
        <v>110</v>
      </c>
      <c r="CJ497" s="175">
        <v>110</v>
      </c>
      <c r="CK497" s="175">
        <v>110</v>
      </c>
      <c r="CL497" s="175">
        <v>110</v>
      </c>
      <c r="CM497" s="176">
        <v>110</v>
      </c>
      <c r="CN497" s="140"/>
      <c r="CO497" s="139"/>
      <c r="CP497" s="140"/>
      <c r="CQ497" s="140"/>
      <c r="CR497" s="140"/>
      <c r="CS497" s="140"/>
      <c r="CT497" s="175">
        <v>110</v>
      </c>
      <c r="CU497" s="175">
        <v>110</v>
      </c>
      <c r="CV497" s="175">
        <v>110</v>
      </c>
      <c r="CW497" s="175">
        <v>110</v>
      </c>
      <c r="CX497" s="175">
        <v>110</v>
      </c>
      <c r="CY497" s="175">
        <v>110</v>
      </c>
      <c r="CZ497" s="175">
        <v>110</v>
      </c>
      <c r="DA497" s="175">
        <v>110</v>
      </c>
      <c r="DB497" s="175">
        <v>110</v>
      </c>
      <c r="DC497" s="175">
        <v>110</v>
      </c>
      <c r="DD497" s="175">
        <v>110</v>
      </c>
      <c r="DE497" s="175">
        <v>110</v>
      </c>
      <c r="DF497" s="175">
        <v>110</v>
      </c>
      <c r="DG497" s="175">
        <v>110</v>
      </c>
      <c r="DH497" s="175">
        <v>110</v>
      </c>
      <c r="DI497" s="175">
        <v>110</v>
      </c>
      <c r="DJ497" s="175">
        <v>110</v>
      </c>
      <c r="DK497" s="175">
        <v>110</v>
      </c>
      <c r="DL497" s="175">
        <v>110</v>
      </c>
      <c r="DM497" s="175">
        <v>110</v>
      </c>
      <c r="DN497" s="175">
        <v>110</v>
      </c>
      <c r="DO497" s="175">
        <v>110</v>
      </c>
      <c r="DP497" s="175">
        <v>110</v>
      </c>
      <c r="DQ497" s="175">
        <v>110</v>
      </c>
      <c r="DR497" s="175">
        <v>110</v>
      </c>
      <c r="DS497" s="175">
        <v>110</v>
      </c>
      <c r="DT497" s="175">
        <v>110</v>
      </c>
      <c r="DU497" s="175">
        <v>110</v>
      </c>
      <c r="DV497" s="175">
        <v>110</v>
      </c>
      <c r="DW497" s="175">
        <v>110</v>
      </c>
      <c r="DX497" s="176">
        <v>110</v>
      </c>
      <c r="DY497" s="140"/>
      <c r="DZ497" s="139"/>
      <c r="EA497" s="140"/>
      <c r="EB497" s="140"/>
      <c r="EC497" s="140"/>
      <c r="ED497" s="140"/>
      <c r="EE497" s="175">
        <v>110</v>
      </c>
      <c r="EF497" s="175">
        <v>110</v>
      </c>
      <c r="EG497" s="175">
        <v>110</v>
      </c>
      <c r="EH497" s="175">
        <v>110</v>
      </c>
      <c r="EI497" s="175">
        <v>110</v>
      </c>
      <c r="EJ497" s="175">
        <v>110</v>
      </c>
      <c r="EK497" s="175">
        <v>110</v>
      </c>
      <c r="EL497" s="175">
        <v>110</v>
      </c>
      <c r="EM497" s="175">
        <v>110</v>
      </c>
      <c r="EN497" s="175">
        <v>110</v>
      </c>
      <c r="EO497" s="175">
        <v>110</v>
      </c>
      <c r="EP497" s="175">
        <v>110</v>
      </c>
      <c r="EQ497" s="175">
        <v>110</v>
      </c>
      <c r="ER497" s="175">
        <v>110</v>
      </c>
      <c r="ES497" s="175">
        <v>110</v>
      </c>
      <c r="ET497" s="175">
        <v>110</v>
      </c>
      <c r="EU497" s="175">
        <v>110</v>
      </c>
      <c r="EV497" s="175">
        <v>110</v>
      </c>
      <c r="EW497" s="175">
        <v>110</v>
      </c>
      <c r="EX497" s="175">
        <v>110</v>
      </c>
      <c r="EY497" s="175">
        <v>110</v>
      </c>
      <c r="EZ497" s="175">
        <v>110</v>
      </c>
      <c r="FA497" s="175">
        <v>110</v>
      </c>
      <c r="FB497" s="175">
        <v>110</v>
      </c>
      <c r="FC497" s="175">
        <v>110</v>
      </c>
      <c r="FD497" s="175">
        <v>110</v>
      </c>
      <c r="FE497" s="175">
        <v>110</v>
      </c>
      <c r="FF497" s="175">
        <v>110</v>
      </c>
      <c r="FG497" s="175">
        <v>110</v>
      </c>
      <c r="FH497" s="175">
        <v>110</v>
      </c>
      <c r="FI497" s="246">
        <v>110</v>
      </c>
      <c r="FJ497" s="140"/>
      <c r="FK497" s="139"/>
      <c r="FL497" s="140"/>
      <c r="FM497" s="140"/>
      <c r="FN497" s="140"/>
      <c r="FO497" s="140"/>
      <c r="FP497" s="175">
        <v>110</v>
      </c>
      <c r="FQ497" s="175">
        <v>110</v>
      </c>
      <c r="FR497" s="175">
        <v>110</v>
      </c>
      <c r="FS497" s="175">
        <v>110</v>
      </c>
      <c r="FT497" s="175">
        <v>110</v>
      </c>
      <c r="FU497" s="175">
        <v>110</v>
      </c>
      <c r="FV497" s="175">
        <v>110</v>
      </c>
      <c r="FW497" s="175">
        <v>110</v>
      </c>
      <c r="FX497" s="175">
        <v>110</v>
      </c>
      <c r="FY497" s="175">
        <v>110</v>
      </c>
      <c r="FZ497" s="175">
        <v>110</v>
      </c>
      <c r="GA497" s="175">
        <v>110</v>
      </c>
      <c r="GB497" s="175">
        <v>110</v>
      </c>
      <c r="GC497" s="175">
        <v>110</v>
      </c>
      <c r="GD497" s="175">
        <v>110</v>
      </c>
      <c r="GE497" s="175">
        <v>110</v>
      </c>
      <c r="GF497" s="175">
        <v>110</v>
      </c>
      <c r="GG497" s="175">
        <v>110</v>
      </c>
      <c r="GH497" s="175">
        <v>110</v>
      </c>
      <c r="GI497" s="175">
        <v>110</v>
      </c>
      <c r="GJ497" s="175">
        <v>110</v>
      </c>
      <c r="GK497" s="175">
        <v>110</v>
      </c>
      <c r="GL497" s="175">
        <v>110</v>
      </c>
      <c r="GM497" s="175">
        <v>110</v>
      </c>
      <c r="GN497" s="175">
        <v>110</v>
      </c>
      <c r="GO497" s="175">
        <v>110</v>
      </c>
      <c r="GP497" s="175">
        <v>110</v>
      </c>
      <c r="GQ497" s="175">
        <v>110</v>
      </c>
      <c r="GR497" s="175">
        <v>110</v>
      </c>
      <c r="GS497" s="175">
        <v>110</v>
      </c>
      <c r="GT497" s="246">
        <v>110</v>
      </c>
      <c r="GU497" s="140"/>
      <c r="GV497" s="139"/>
      <c r="GW497" s="140"/>
      <c r="GX497" s="140"/>
      <c r="GY497" s="140"/>
      <c r="GZ497" s="140"/>
      <c r="HA497" s="175">
        <v>110</v>
      </c>
      <c r="HB497" s="175">
        <v>110</v>
      </c>
      <c r="HC497" s="175">
        <v>110</v>
      </c>
      <c r="HD497" s="175">
        <v>110</v>
      </c>
      <c r="HE497" s="175">
        <v>110</v>
      </c>
      <c r="HF497" s="175">
        <v>110</v>
      </c>
      <c r="HG497" s="175">
        <v>110</v>
      </c>
      <c r="HH497" s="175">
        <v>110</v>
      </c>
      <c r="HI497" s="175">
        <v>110</v>
      </c>
      <c r="HJ497" s="175">
        <v>110</v>
      </c>
      <c r="HK497" s="175">
        <v>110</v>
      </c>
      <c r="HL497" s="175">
        <v>110</v>
      </c>
      <c r="HM497" s="175">
        <v>110</v>
      </c>
      <c r="HN497" s="175">
        <v>110</v>
      </c>
      <c r="HO497" s="175">
        <v>110</v>
      </c>
      <c r="HP497" s="175">
        <v>110</v>
      </c>
      <c r="HQ497" s="175">
        <v>110</v>
      </c>
      <c r="HR497" s="175">
        <v>110</v>
      </c>
      <c r="HS497" s="175">
        <v>110</v>
      </c>
      <c r="HT497" s="175">
        <v>110</v>
      </c>
      <c r="HU497" s="175">
        <v>110</v>
      </c>
      <c r="HV497" s="175">
        <v>110</v>
      </c>
      <c r="HW497" s="175">
        <v>110</v>
      </c>
      <c r="HX497" s="175">
        <v>110</v>
      </c>
      <c r="HY497" s="175">
        <v>110</v>
      </c>
      <c r="HZ497" s="175">
        <v>110</v>
      </c>
      <c r="IA497" s="175">
        <v>110</v>
      </c>
      <c r="IB497" s="175">
        <v>110</v>
      </c>
      <c r="IC497" s="175">
        <v>110</v>
      </c>
      <c r="ID497" s="175">
        <v>110</v>
      </c>
      <c r="IE497" s="246">
        <v>110</v>
      </c>
      <c r="IF497" s="140"/>
      <c r="IG497" s="139"/>
      <c r="IH497" s="140"/>
      <c r="II497" s="140"/>
      <c r="IJ497" s="140"/>
      <c r="IK497" s="140"/>
      <c r="IL497" s="175">
        <v>110</v>
      </c>
      <c r="IM497" s="175">
        <v>110</v>
      </c>
      <c r="IN497" s="175">
        <v>110</v>
      </c>
      <c r="IO497" s="175">
        <v>110</v>
      </c>
      <c r="IP497" s="175">
        <v>110</v>
      </c>
      <c r="IQ497" s="175">
        <v>110</v>
      </c>
      <c r="IR497" s="175">
        <v>110</v>
      </c>
      <c r="IS497" s="175">
        <v>110</v>
      </c>
      <c r="IT497" s="175">
        <v>110</v>
      </c>
      <c r="IU497" s="175">
        <v>110</v>
      </c>
      <c r="IV497" s="175">
        <v>110</v>
      </c>
      <c r="IW497" s="175">
        <v>110</v>
      </c>
      <c r="IX497" s="175">
        <v>110</v>
      </c>
      <c r="IY497" s="175">
        <v>110</v>
      </c>
      <c r="IZ497" s="175">
        <v>110</v>
      </c>
      <c r="JA497" s="175">
        <v>110</v>
      </c>
      <c r="JB497" s="175">
        <v>110</v>
      </c>
      <c r="JC497" s="175">
        <v>110</v>
      </c>
      <c r="JD497" s="175">
        <v>110</v>
      </c>
      <c r="JE497" s="175">
        <v>110</v>
      </c>
      <c r="JF497" s="175">
        <v>110</v>
      </c>
      <c r="JG497" s="175">
        <v>110</v>
      </c>
      <c r="JH497" s="175">
        <v>110</v>
      </c>
      <c r="JI497" s="175">
        <v>110</v>
      </c>
      <c r="JJ497" s="175">
        <v>110</v>
      </c>
      <c r="JK497" s="175">
        <v>110</v>
      </c>
      <c r="JL497" s="175">
        <v>110</v>
      </c>
      <c r="JM497" s="175">
        <v>110</v>
      </c>
      <c r="JN497" s="175">
        <v>110</v>
      </c>
      <c r="JO497" s="175">
        <v>110</v>
      </c>
      <c r="JP497" s="246">
        <v>110</v>
      </c>
      <c r="JQ497" s="140"/>
      <c r="JR497" s="139"/>
      <c r="JS497" s="140"/>
      <c r="JT497" s="140"/>
      <c r="JU497" s="140"/>
      <c r="JV497" s="140"/>
      <c r="JW497" s="175">
        <v>110</v>
      </c>
      <c r="JX497" s="175">
        <v>110</v>
      </c>
      <c r="JY497" s="175">
        <v>110</v>
      </c>
      <c r="JZ497" s="175">
        <v>110</v>
      </c>
      <c r="KA497" s="175">
        <v>110</v>
      </c>
      <c r="KB497" s="175">
        <v>110</v>
      </c>
      <c r="KC497" s="175">
        <v>110</v>
      </c>
      <c r="KD497" s="175">
        <v>110</v>
      </c>
      <c r="KE497" s="175">
        <v>110</v>
      </c>
      <c r="KF497" s="175">
        <v>110</v>
      </c>
      <c r="KG497" s="175">
        <v>110</v>
      </c>
      <c r="KH497" s="175">
        <v>110</v>
      </c>
      <c r="KI497" s="175">
        <v>110</v>
      </c>
      <c r="KJ497" s="175">
        <v>110</v>
      </c>
      <c r="KK497" s="175">
        <v>110</v>
      </c>
      <c r="KL497" s="175">
        <v>110</v>
      </c>
      <c r="KM497" s="175">
        <v>110</v>
      </c>
      <c r="KN497" s="175">
        <v>110</v>
      </c>
      <c r="KO497" s="175">
        <v>110</v>
      </c>
      <c r="KP497" s="175">
        <v>110</v>
      </c>
      <c r="KQ497" s="175">
        <v>110</v>
      </c>
      <c r="KR497" s="175">
        <v>110</v>
      </c>
      <c r="KS497" s="175">
        <v>110</v>
      </c>
      <c r="KT497" s="175">
        <v>110</v>
      </c>
      <c r="KU497" s="175">
        <v>110</v>
      </c>
      <c r="KV497" s="175">
        <v>110</v>
      </c>
      <c r="KW497" s="175">
        <v>110</v>
      </c>
      <c r="KX497" s="175">
        <v>110</v>
      </c>
      <c r="KY497" s="175">
        <v>110</v>
      </c>
      <c r="KZ497" s="175">
        <v>110</v>
      </c>
      <c r="LA497" s="246">
        <v>110</v>
      </c>
      <c r="LB497" s="140"/>
      <c r="LC497" s="139"/>
      <c r="LD497" s="140"/>
      <c r="LE497" s="140"/>
      <c r="LF497" s="140"/>
      <c r="LG497" s="140"/>
      <c r="LH497" s="175">
        <v>110</v>
      </c>
      <c r="LI497" s="175">
        <v>110</v>
      </c>
      <c r="LJ497" s="175">
        <v>110</v>
      </c>
      <c r="LK497" s="175">
        <v>110</v>
      </c>
      <c r="LL497" s="175">
        <v>110</v>
      </c>
      <c r="LM497" s="175">
        <v>110</v>
      </c>
      <c r="LN497" s="175">
        <v>110</v>
      </c>
      <c r="LO497" s="175">
        <v>110</v>
      </c>
      <c r="LP497" s="175">
        <v>110</v>
      </c>
      <c r="LQ497" s="175">
        <v>110</v>
      </c>
      <c r="LR497" s="175">
        <v>110</v>
      </c>
      <c r="LS497" s="175">
        <v>110</v>
      </c>
      <c r="LT497" s="175">
        <v>110</v>
      </c>
      <c r="LU497" s="175">
        <v>110</v>
      </c>
      <c r="LV497" s="175">
        <v>110</v>
      </c>
      <c r="LW497" s="175">
        <v>110</v>
      </c>
      <c r="LX497" s="175">
        <v>110</v>
      </c>
      <c r="LY497" s="175">
        <v>110</v>
      </c>
      <c r="LZ497" s="175">
        <v>110</v>
      </c>
      <c r="MA497" s="175">
        <v>110</v>
      </c>
      <c r="MB497" s="175">
        <v>110</v>
      </c>
      <c r="MC497" s="175">
        <v>110</v>
      </c>
      <c r="MD497" s="175">
        <v>110</v>
      </c>
      <c r="ME497" s="175">
        <v>110</v>
      </c>
      <c r="MF497" s="175">
        <v>110</v>
      </c>
      <c r="MG497" s="175">
        <v>110</v>
      </c>
      <c r="MH497" s="175">
        <v>110</v>
      </c>
      <c r="MI497" s="175">
        <v>110</v>
      </c>
      <c r="MJ497" s="175">
        <v>110</v>
      </c>
      <c r="MK497" s="175">
        <v>110</v>
      </c>
      <c r="ML497" s="246">
        <v>110</v>
      </c>
    </row>
    <row r="498" spans="3:360" s="4" customFormat="1" ht="18" customHeight="1" x14ac:dyDescent="0.3">
      <c r="C498" s="136" t="s">
        <v>230</v>
      </c>
      <c r="E498" s="137" t="s">
        <v>105</v>
      </c>
      <c r="F498" s="247" t="s">
        <v>105</v>
      </c>
      <c r="H498" s="174">
        <v>150</v>
      </c>
      <c r="I498" s="175">
        <v>150</v>
      </c>
      <c r="J498" s="175">
        <v>150</v>
      </c>
      <c r="K498" s="175">
        <v>150</v>
      </c>
      <c r="L498" s="175">
        <v>150</v>
      </c>
      <c r="M498" s="176">
        <v>150</v>
      </c>
      <c r="N498" s="140"/>
      <c r="O498" s="140"/>
      <c r="P498" s="140"/>
      <c r="Q498" s="140"/>
      <c r="R498" s="140"/>
      <c r="S498" s="139"/>
      <c r="T498" s="140"/>
      <c r="U498" s="140"/>
      <c r="V498" s="140"/>
      <c r="W498" s="140"/>
      <c r="X498" s="175">
        <v>150</v>
      </c>
      <c r="Y498" s="175">
        <v>150</v>
      </c>
      <c r="Z498" s="175">
        <v>150</v>
      </c>
      <c r="AA498" s="175">
        <v>150</v>
      </c>
      <c r="AB498" s="175">
        <v>150</v>
      </c>
      <c r="AC498" s="175">
        <v>150</v>
      </c>
      <c r="AD498" s="175">
        <v>150</v>
      </c>
      <c r="AE498" s="175">
        <v>150</v>
      </c>
      <c r="AF498" s="175">
        <v>150</v>
      </c>
      <c r="AG498" s="175">
        <v>150</v>
      </c>
      <c r="AH498" s="175">
        <v>150</v>
      </c>
      <c r="AI498" s="175">
        <v>150</v>
      </c>
      <c r="AJ498" s="175">
        <v>150</v>
      </c>
      <c r="AK498" s="175">
        <v>150</v>
      </c>
      <c r="AL498" s="175">
        <v>150</v>
      </c>
      <c r="AM498" s="175">
        <v>150</v>
      </c>
      <c r="AN498" s="175">
        <v>150</v>
      </c>
      <c r="AO498" s="175">
        <v>150</v>
      </c>
      <c r="AP498" s="175">
        <v>150</v>
      </c>
      <c r="AQ498" s="175">
        <v>150</v>
      </c>
      <c r="AR498" s="175">
        <v>150</v>
      </c>
      <c r="AS498" s="175">
        <v>150</v>
      </c>
      <c r="AT498" s="175">
        <v>150</v>
      </c>
      <c r="AU498" s="175">
        <v>150</v>
      </c>
      <c r="AV498" s="175">
        <v>150</v>
      </c>
      <c r="AW498" s="175">
        <v>150</v>
      </c>
      <c r="AX498" s="175">
        <v>150</v>
      </c>
      <c r="AY498" s="175">
        <v>150</v>
      </c>
      <c r="AZ498" s="175">
        <v>150</v>
      </c>
      <c r="BA498" s="175">
        <v>150</v>
      </c>
      <c r="BB498" s="176">
        <v>150</v>
      </c>
      <c r="BC498" s="140"/>
      <c r="BD498" s="139"/>
      <c r="BE498" s="140"/>
      <c r="BF498" s="140"/>
      <c r="BG498" s="140"/>
      <c r="BH498" s="140"/>
      <c r="BI498" s="175">
        <v>150</v>
      </c>
      <c r="BJ498" s="175">
        <v>150</v>
      </c>
      <c r="BK498" s="175">
        <v>150</v>
      </c>
      <c r="BL498" s="175">
        <v>150</v>
      </c>
      <c r="BM498" s="175">
        <v>150</v>
      </c>
      <c r="BN498" s="175">
        <v>150</v>
      </c>
      <c r="BO498" s="175">
        <v>150</v>
      </c>
      <c r="BP498" s="175">
        <v>150</v>
      </c>
      <c r="BQ498" s="175">
        <v>150</v>
      </c>
      <c r="BR498" s="175">
        <v>150</v>
      </c>
      <c r="BS498" s="175">
        <v>150</v>
      </c>
      <c r="BT498" s="175">
        <v>150</v>
      </c>
      <c r="BU498" s="175">
        <v>150</v>
      </c>
      <c r="BV498" s="175">
        <v>150</v>
      </c>
      <c r="BW498" s="175">
        <v>150</v>
      </c>
      <c r="BX498" s="175">
        <v>150</v>
      </c>
      <c r="BY498" s="175">
        <v>150</v>
      </c>
      <c r="BZ498" s="175">
        <v>150</v>
      </c>
      <c r="CA498" s="175">
        <v>150</v>
      </c>
      <c r="CB498" s="175">
        <v>150</v>
      </c>
      <c r="CC498" s="175">
        <v>150</v>
      </c>
      <c r="CD498" s="175">
        <v>150</v>
      </c>
      <c r="CE498" s="175">
        <v>150</v>
      </c>
      <c r="CF498" s="175">
        <v>150</v>
      </c>
      <c r="CG498" s="175">
        <v>150</v>
      </c>
      <c r="CH498" s="175">
        <v>150</v>
      </c>
      <c r="CI498" s="175">
        <v>150</v>
      </c>
      <c r="CJ498" s="175">
        <v>150</v>
      </c>
      <c r="CK498" s="175">
        <v>150</v>
      </c>
      <c r="CL498" s="175">
        <v>150</v>
      </c>
      <c r="CM498" s="176">
        <v>150</v>
      </c>
      <c r="CN498" s="140"/>
      <c r="CO498" s="139"/>
      <c r="CP498" s="140"/>
      <c r="CQ498" s="140"/>
      <c r="CR498" s="140"/>
      <c r="CS498" s="140"/>
      <c r="CT498" s="175">
        <v>150</v>
      </c>
      <c r="CU498" s="175">
        <v>150</v>
      </c>
      <c r="CV498" s="175">
        <v>150</v>
      </c>
      <c r="CW498" s="175">
        <v>150</v>
      </c>
      <c r="CX498" s="175">
        <v>150</v>
      </c>
      <c r="CY498" s="175">
        <v>150</v>
      </c>
      <c r="CZ498" s="175">
        <v>150</v>
      </c>
      <c r="DA498" s="175">
        <v>150</v>
      </c>
      <c r="DB498" s="175">
        <v>150</v>
      </c>
      <c r="DC498" s="175">
        <v>150</v>
      </c>
      <c r="DD498" s="175">
        <v>150</v>
      </c>
      <c r="DE498" s="175">
        <v>150</v>
      </c>
      <c r="DF498" s="175">
        <v>150</v>
      </c>
      <c r="DG498" s="175">
        <v>150</v>
      </c>
      <c r="DH498" s="175">
        <v>150</v>
      </c>
      <c r="DI498" s="175">
        <v>150</v>
      </c>
      <c r="DJ498" s="175">
        <v>150</v>
      </c>
      <c r="DK498" s="175">
        <v>150</v>
      </c>
      <c r="DL498" s="175">
        <v>150</v>
      </c>
      <c r="DM498" s="175">
        <v>150</v>
      </c>
      <c r="DN498" s="175">
        <v>150</v>
      </c>
      <c r="DO498" s="175">
        <v>150</v>
      </c>
      <c r="DP498" s="175">
        <v>150</v>
      </c>
      <c r="DQ498" s="175">
        <v>150</v>
      </c>
      <c r="DR498" s="175">
        <v>150</v>
      </c>
      <c r="DS498" s="175">
        <v>150</v>
      </c>
      <c r="DT498" s="175">
        <v>150</v>
      </c>
      <c r="DU498" s="175">
        <v>150</v>
      </c>
      <c r="DV498" s="175">
        <v>150</v>
      </c>
      <c r="DW498" s="175">
        <v>150</v>
      </c>
      <c r="DX498" s="176">
        <v>150</v>
      </c>
      <c r="DY498" s="140"/>
      <c r="DZ498" s="139"/>
      <c r="EA498" s="140"/>
      <c r="EB498" s="140"/>
      <c r="EC498" s="140"/>
      <c r="ED498" s="140"/>
      <c r="EE498" s="175">
        <v>150</v>
      </c>
      <c r="EF498" s="175">
        <v>150</v>
      </c>
      <c r="EG498" s="175">
        <v>150</v>
      </c>
      <c r="EH498" s="175">
        <v>150</v>
      </c>
      <c r="EI498" s="175">
        <v>150</v>
      </c>
      <c r="EJ498" s="175">
        <v>150</v>
      </c>
      <c r="EK498" s="175">
        <v>150</v>
      </c>
      <c r="EL498" s="175">
        <v>150</v>
      </c>
      <c r="EM498" s="175">
        <v>150</v>
      </c>
      <c r="EN498" s="175">
        <v>150</v>
      </c>
      <c r="EO498" s="175">
        <v>150</v>
      </c>
      <c r="EP498" s="175">
        <v>150</v>
      </c>
      <c r="EQ498" s="175">
        <v>150</v>
      </c>
      <c r="ER498" s="175">
        <v>150</v>
      </c>
      <c r="ES498" s="175">
        <v>150</v>
      </c>
      <c r="ET498" s="175">
        <v>150</v>
      </c>
      <c r="EU498" s="175">
        <v>150</v>
      </c>
      <c r="EV498" s="175">
        <v>150</v>
      </c>
      <c r="EW498" s="175">
        <v>150</v>
      </c>
      <c r="EX498" s="175">
        <v>150</v>
      </c>
      <c r="EY498" s="175">
        <v>150</v>
      </c>
      <c r="EZ498" s="175">
        <v>150</v>
      </c>
      <c r="FA498" s="175">
        <v>150</v>
      </c>
      <c r="FB498" s="175">
        <v>150</v>
      </c>
      <c r="FC498" s="175">
        <v>150</v>
      </c>
      <c r="FD498" s="175">
        <v>150</v>
      </c>
      <c r="FE498" s="175">
        <v>150</v>
      </c>
      <c r="FF498" s="175">
        <v>150</v>
      </c>
      <c r="FG498" s="175">
        <v>150</v>
      </c>
      <c r="FH498" s="175">
        <v>150</v>
      </c>
      <c r="FI498" s="248">
        <v>150</v>
      </c>
      <c r="FJ498" s="140"/>
      <c r="FK498" s="139"/>
      <c r="FL498" s="140"/>
      <c r="FM498" s="140"/>
      <c r="FN498" s="140"/>
      <c r="FO498" s="140"/>
      <c r="FP498" s="175">
        <v>150</v>
      </c>
      <c r="FQ498" s="175">
        <v>150</v>
      </c>
      <c r="FR498" s="175">
        <v>150</v>
      </c>
      <c r="FS498" s="175">
        <v>150</v>
      </c>
      <c r="FT498" s="175">
        <v>150</v>
      </c>
      <c r="FU498" s="175">
        <v>150</v>
      </c>
      <c r="FV498" s="175">
        <v>150</v>
      </c>
      <c r="FW498" s="175">
        <v>150</v>
      </c>
      <c r="FX498" s="175">
        <v>150</v>
      </c>
      <c r="FY498" s="175">
        <v>150</v>
      </c>
      <c r="FZ498" s="175">
        <v>150</v>
      </c>
      <c r="GA498" s="175">
        <v>150</v>
      </c>
      <c r="GB498" s="175">
        <v>150</v>
      </c>
      <c r="GC498" s="175">
        <v>150</v>
      </c>
      <c r="GD498" s="175">
        <v>150</v>
      </c>
      <c r="GE498" s="175">
        <v>150</v>
      </c>
      <c r="GF498" s="175">
        <v>150</v>
      </c>
      <c r="GG498" s="175">
        <v>150</v>
      </c>
      <c r="GH498" s="175">
        <v>150</v>
      </c>
      <c r="GI498" s="175">
        <v>150</v>
      </c>
      <c r="GJ498" s="175">
        <v>150</v>
      </c>
      <c r="GK498" s="175">
        <v>150</v>
      </c>
      <c r="GL498" s="175">
        <v>150</v>
      </c>
      <c r="GM498" s="175">
        <v>150</v>
      </c>
      <c r="GN498" s="175">
        <v>150</v>
      </c>
      <c r="GO498" s="175">
        <v>150</v>
      </c>
      <c r="GP498" s="175">
        <v>150</v>
      </c>
      <c r="GQ498" s="175">
        <v>150</v>
      </c>
      <c r="GR498" s="175">
        <v>150</v>
      </c>
      <c r="GS498" s="175">
        <v>150</v>
      </c>
      <c r="GT498" s="248">
        <v>150</v>
      </c>
      <c r="GU498" s="140"/>
      <c r="GV498" s="139"/>
      <c r="GW498" s="140"/>
      <c r="GX498" s="140"/>
      <c r="GY498" s="140"/>
      <c r="GZ498" s="140"/>
      <c r="HA498" s="175">
        <v>150</v>
      </c>
      <c r="HB498" s="175">
        <v>150</v>
      </c>
      <c r="HC498" s="175">
        <v>150</v>
      </c>
      <c r="HD498" s="175">
        <v>150</v>
      </c>
      <c r="HE498" s="175">
        <v>150</v>
      </c>
      <c r="HF498" s="175">
        <v>150</v>
      </c>
      <c r="HG498" s="175">
        <v>150</v>
      </c>
      <c r="HH498" s="175">
        <v>150</v>
      </c>
      <c r="HI498" s="175">
        <v>150</v>
      </c>
      <c r="HJ498" s="175">
        <v>150</v>
      </c>
      <c r="HK498" s="175">
        <v>150</v>
      </c>
      <c r="HL498" s="175">
        <v>150</v>
      </c>
      <c r="HM498" s="175">
        <v>150</v>
      </c>
      <c r="HN498" s="175">
        <v>150</v>
      </c>
      <c r="HO498" s="175">
        <v>150</v>
      </c>
      <c r="HP498" s="175">
        <v>150</v>
      </c>
      <c r="HQ498" s="175">
        <v>150</v>
      </c>
      <c r="HR498" s="175">
        <v>150</v>
      </c>
      <c r="HS498" s="175">
        <v>150</v>
      </c>
      <c r="HT498" s="175">
        <v>150</v>
      </c>
      <c r="HU498" s="175">
        <v>150</v>
      </c>
      <c r="HV498" s="175">
        <v>150</v>
      </c>
      <c r="HW498" s="175">
        <v>150</v>
      </c>
      <c r="HX498" s="175">
        <v>150</v>
      </c>
      <c r="HY498" s="175">
        <v>150</v>
      </c>
      <c r="HZ498" s="175">
        <v>150</v>
      </c>
      <c r="IA498" s="175">
        <v>150</v>
      </c>
      <c r="IB498" s="175">
        <v>150</v>
      </c>
      <c r="IC498" s="175">
        <v>150</v>
      </c>
      <c r="ID498" s="175">
        <v>150</v>
      </c>
      <c r="IE498" s="248">
        <v>150</v>
      </c>
      <c r="IF498" s="140"/>
      <c r="IG498" s="139"/>
      <c r="IH498" s="140"/>
      <c r="II498" s="140"/>
      <c r="IJ498" s="140"/>
      <c r="IK498" s="140"/>
      <c r="IL498" s="175">
        <v>150</v>
      </c>
      <c r="IM498" s="175">
        <v>150</v>
      </c>
      <c r="IN498" s="175">
        <v>150</v>
      </c>
      <c r="IO498" s="175">
        <v>150</v>
      </c>
      <c r="IP498" s="175">
        <v>150</v>
      </c>
      <c r="IQ498" s="175">
        <v>150</v>
      </c>
      <c r="IR498" s="175">
        <v>150</v>
      </c>
      <c r="IS498" s="175">
        <v>150</v>
      </c>
      <c r="IT498" s="175">
        <v>150</v>
      </c>
      <c r="IU498" s="175">
        <v>150</v>
      </c>
      <c r="IV498" s="175">
        <v>150</v>
      </c>
      <c r="IW498" s="175">
        <v>150</v>
      </c>
      <c r="IX498" s="175">
        <v>150</v>
      </c>
      <c r="IY498" s="175">
        <v>150</v>
      </c>
      <c r="IZ498" s="175">
        <v>150</v>
      </c>
      <c r="JA498" s="175">
        <v>150</v>
      </c>
      <c r="JB498" s="175">
        <v>150</v>
      </c>
      <c r="JC498" s="175">
        <v>150</v>
      </c>
      <c r="JD498" s="175">
        <v>150</v>
      </c>
      <c r="JE498" s="175">
        <v>150</v>
      </c>
      <c r="JF498" s="175">
        <v>150</v>
      </c>
      <c r="JG498" s="175">
        <v>150</v>
      </c>
      <c r="JH498" s="175">
        <v>150</v>
      </c>
      <c r="JI498" s="175">
        <v>150</v>
      </c>
      <c r="JJ498" s="175">
        <v>150</v>
      </c>
      <c r="JK498" s="175">
        <v>150</v>
      </c>
      <c r="JL498" s="175">
        <v>150</v>
      </c>
      <c r="JM498" s="175">
        <v>150</v>
      </c>
      <c r="JN498" s="175">
        <v>150</v>
      </c>
      <c r="JO498" s="175">
        <v>150</v>
      </c>
      <c r="JP498" s="248">
        <v>150</v>
      </c>
      <c r="JQ498" s="140"/>
      <c r="JR498" s="139"/>
      <c r="JS498" s="140"/>
      <c r="JT498" s="140"/>
      <c r="JU498" s="140"/>
      <c r="JV498" s="140"/>
      <c r="JW498" s="175">
        <v>150</v>
      </c>
      <c r="JX498" s="175">
        <v>150</v>
      </c>
      <c r="JY498" s="175">
        <v>150</v>
      </c>
      <c r="JZ498" s="175">
        <v>150</v>
      </c>
      <c r="KA498" s="175">
        <v>150</v>
      </c>
      <c r="KB498" s="175">
        <v>150</v>
      </c>
      <c r="KC498" s="175">
        <v>150</v>
      </c>
      <c r="KD498" s="175">
        <v>150</v>
      </c>
      <c r="KE498" s="175">
        <v>150</v>
      </c>
      <c r="KF498" s="175">
        <v>150</v>
      </c>
      <c r="KG498" s="175">
        <v>150</v>
      </c>
      <c r="KH498" s="175">
        <v>150</v>
      </c>
      <c r="KI498" s="175">
        <v>150</v>
      </c>
      <c r="KJ498" s="175">
        <v>150</v>
      </c>
      <c r="KK498" s="175">
        <v>150</v>
      </c>
      <c r="KL498" s="175">
        <v>150</v>
      </c>
      <c r="KM498" s="175">
        <v>150</v>
      </c>
      <c r="KN498" s="175">
        <v>150</v>
      </c>
      <c r="KO498" s="175">
        <v>150</v>
      </c>
      <c r="KP498" s="175">
        <v>150</v>
      </c>
      <c r="KQ498" s="175">
        <v>150</v>
      </c>
      <c r="KR498" s="175">
        <v>150</v>
      </c>
      <c r="KS498" s="175">
        <v>150</v>
      </c>
      <c r="KT498" s="175">
        <v>150</v>
      </c>
      <c r="KU498" s="175">
        <v>150</v>
      </c>
      <c r="KV498" s="175">
        <v>150</v>
      </c>
      <c r="KW498" s="175">
        <v>150</v>
      </c>
      <c r="KX498" s="175">
        <v>150</v>
      </c>
      <c r="KY498" s="175">
        <v>150</v>
      </c>
      <c r="KZ498" s="175">
        <v>150</v>
      </c>
      <c r="LA498" s="248">
        <v>150</v>
      </c>
      <c r="LB498" s="140"/>
      <c r="LC498" s="139"/>
      <c r="LD498" s="140"/>
      <c r="LE498" s="140"/>
      <c r="LF498" s="140"/>
      <c r="LG498" s="140"/>
      <c r="LH498" s="175">
        <v>150</v>
      </c>
      <c r="LI498" s="175">
        <v>150</v>
      </c>
      <c r="LJ498" s="175">
        <v>150</v>
      </c>
      <c r="LK498" s="175">
        <v>150</v>
      </c>
      <c r="LL498" s="175">
        <v>150</v>
      </c>
      <c r="LM498" s="175">
        <v>150</v>
      </c>
      <c r="LN498" s="175">
        <v>150</v>
      </c>
      <c r="LO498" s="175">
        <v>150</v>
      </c>
      <c r="LP498" s="175">
        <v>150</v>
      </c>
      <c r="LQ498" s="175">
        <v>150</v>
      </c>
      <c r="LR498" s="175">
        <v>150</v>
      </c>
      <c r="LS498" s="175">
        <v>150</v>
      </c>
      <c r="LT498" s="422">
        <v>150</v>
      </c>
      <c r="LU498" s="422">
        <v>150</v>
      </c>
      <c r="LV498" s="175">
        <v>150</v>
      </c>
      <c r="LW498" s="175">
        <v>150</v>
      </c>
      <c r="LX498" s="175">
        <v>150</v>
      </c>
      <c r="LY498" s="175">
        <v>150</v>
      </c>
      <c r="LZ498" s="175">
        <v>150</v>
      </c>
      <c r="MA498" s="175">
        <v>150</v>
      </c>
      <c r="MB498" s="175">
        <v>150</v>
      </c>
      <c r="MC498" s="175">
        <v>150</v>
      </c>
      <c r="MD498" s="175">
        <v>150</v>
      </c>
      <c r="ME498" s="175">
        <v>150</v>
      </c>
      <c r="MF498" s="175">
        <v>150</v>
      </c>
      <c r="MG498" s="175">
        <v>150</v>
      </c>
      <c r="MH498" s="175">
        <v>150</v>
      </c>
      <c r="MI498" s="175">
        <v>150</v>
      </c>
      <c r="MJ498" s="175">
        <v>150</v>
      </c>
      <c r="MK498" s="175">
        <v>150</v>
      </c>
      <c r="ML498" s="248">
        <v>150</v>
      </c>
    </row>
    <row r="499" spans="3:360" s="4" customFormat="1" ht="15" customHeight="1" x14ac:dyDescent="0.3">
      <c r="C499" s="156"/>
      <c r="D499" s="156"/>
      <c r="E499" s="156"/>
      <c r="F499" s="156"/>
      <c r="H499" s="157"/>
      <c r="I499" s="157"/>
      <c r="J499" s="157"/>
      <c r="K499" s="157"/>
      <c r="L499" s="157"/>
      <c r="M499" s="157"/>
      <c r="N499" s="140"/>
      <c r="O499" s="140"/>
      <c r="P499" s="140"/>
      <c r="Q499" s="140"/>
      <c r="R499" s="140"/>
      <c r="S499" s="157"/>
      <c r="T499" s="157"/>
      <c r="U499" s="157"/>
      <c r="V499" s="157"/>
      <c r="W499" s="157"/>
      <c r="X499" s="157"/>
      <c r="Y499" s="157"/>
      <c r="Z499" s="157"/>
      <c r="AA499" s="157"/>
      <c r="AB499" s="157"/>
      <c r="AC499" s="157"/>
      <c r="AD499" s="157"/>
      <c r="AE499" s="157"/>
      <c r="AF499" s="157"/>
      <c r="AG499" s="157"/>
      <c r="AH499" s="157"/>
      <c r="AI499" s="157"/>
      <c r="AJ499" s="157"/>
      <c r="AK499" s="157"/>
      <c r="AL499" s="157"/>
      <c r="AM499" s="157"/>
      <c r="AN499" s="157"/>
      <c r="AO499" s="157"/>
      <c r="AP499" s="157"/>
      <c r="AQ499" s="157"/>
      <c r="AR499" s="157"/>
      <c r="AS499" s="157"/>
      <c r="AT499" s="157"/>
      <c r="AU499" s="157"/>
      <c r="AV499" s="157"/>
      <c r="AW499" s="157"/>
      <c r="AX499" s="157"/>
      <c r="AY499" s="157"/>
      <c r="AZ499" s="157"/>
      <c r="BA499" s="157"/>
      <c r="BB499" s="157"/>
      <c r="BC499" s="140"/>
      <c r="BD499" s="157"/>
      <c r="BE499" s="157"/>
      <c r="BF499" s="157"/>
      <c r="BG499" s="157"/>
      <c r="BH499" s="157"/>
      <c r="BI499" s="157"/>
      <c r="BJ499" s="157"/>
      <c r="BK499" s="157"/>
      <c r="BL499" s="157"/>
      <c r="BM499" s="157"/>
      <c r="BN499" s="157"/>
      <c r="BO499" s="157"/>
      <c r="BP499" s="157"/>
      <c r="BQ499" s="157"/>
      <c r="BR499" s="157"/>
      <c r="BS499" s="157"/>
      <c r="BT499" s="157"/>
      <c r="BU499" s="157"/>
      <c r="BV499" s="157"/>
      <c r="BW499" s="157"/>
      <c r="BX499" s="157"/>
      <c r="BY499" s="157"/>
      <c r="BZ499" s="157"/>
      <c r="CA499" s="157"/>
      <c r="CB499" s="157"/>
      <c r="CC499" s="157"/>
      <c r="CD499" s="157"/>
      <c r="CE499" s="157"/>
      <c r="CF499" s="157"/>
      <c r="CG499" s="157"/>
      <c r="CH499" s="157"/>
      <c r="CI499" s="157"/>
      <c r="CJ499" s="157"/>
      <c r="CK499" s="157"/>
      <c r="CL499" s="157"/>
      <c r="CM499" s="157"/>
      <c r="CN499" s="140"/>
      <c r="CO499" s="157"/>
      <c r="CP499" s="157"/>
      <c r="CQ499" s="157"/>
      <c r="CR499" s="157"/>
      <c r="CS499" s="157"/>
      <c r="CT499" s="157"/>
      <c r="CU499" s="157"/>
      <c r="CV499" s="157"/>
      <c r="CW499" s="157"/>
      <c r="CX499" s="157"/>
      <c r="CY499" s="157"/>
      <c r="CZ499" s="157"/>
      <c r="DA499" s="157"/>
      <c r="DB499" s="157"/>
      <c r="DC499" s="157"/>
      <c r="DD499" s="157"/>
      <c r="DE499" s="157"/>
      <c r="DF499" s="157"/>
      <c r="DG499" s="157"/>
      <c r="DH499" s="157"/>
      <c r="DI499" s="157"/>
      <c r="DJ499" s="157"/>
      <c r="DK499" s="157"/>
      <c r="DL499" s="157"/>
      <c r="DM499" s="157"/>
      <c r="DN499" s="157"/>
      <c r="DO499" s="157"/>
      <c r="DP499" s="157"/>
      <c r="DQ499" s="157"/>
      <c r="DR499" s="157"/>
      <c r="DS499" s="157"/>
      <c r="DT499" s="157"/>
      <c r="DU499" s="157"/>
      <c r="DV499" s="157"/>
      <c r="DW499" s="157"/>
      <c r="DX499" s="157"/>
      <c r="DY499" s="140"/>
      <c r="DZ499" s="157"/>
      <c r="EA499" s="157"/>
      <c r="EB499" s="157"/>
      <c r="EC499" s="157"/>
      <c r="ED499" s="157"/>
      <c r="EE499" s="157"/>
      <c r="EF499" s="157"/>
      <c r="EG499" s="157"/>
      <c r="EH499" s="157"/>
      <c r="EI499" s="157"/>
      <c r="EJ499" s="157"/>
      <c r="EK499" s="157"/>
      <c r="EL499" s="157"/>
      <c r="EM499" s="157"/>
      <c r="EN499" s="157"/>
      <c r="EO499" s="157"/>
      <c r="EP499" s="157"/>
      <c r="EQ499" s="157"/>
      <c r="ER499" s="157"/>
      <c r="ES499" s="157"/>
      <c r="ET499" s="157"/>
      <c r="EU499" s="157"/>
      <c r="EV499" s="157"/>
      <c r="EW499" s="157"/>
      <c r="EX499" s="157"/>
      <c r="EY499" s="157"/>
      <c r="EZ499" s="157"/>
      <c r="FA499" s="157"/>
      <c r="FB499" s="157"/>
      <c r="FC499" s="157"/>
      <c r="FD499" s="157"/>
      <c r="FE499" s="157"/>
      <c r="FF499" s="157"/>
      <c r="FG499" s="157"/>
      <c r="FH499" s="157"/>
      <c r="FI499" s="157"/>
      <c r="FJ499" s="140"/>
      <c r="FK499" s="157"/>
      <c r="FL499" s="157"/>
      <c r="FM499" s="157"/>
      <c r="FN499" s="157"/>
      <c r="FO499" s="157"/>
      <c r="FP499" s="157"/>
      <c r="FQ499" s="157"/>
      <c r="FR499" s="157"/>
      <c r="FS499" s="157"/>
      <c r="FT499" s="157"/>
      <c r="FU499" s="157"/>
      <c r="FV499" s="157"/>
      <c r="FW499" s="157"/>
      <c r="FX499" s="157"/>
      <c r="FY499" s="157"/>
      <c r="FZ499" s="157"/>
      <c r="GA499" s="157"/>
      <c r="GB499" s="157"/>
      <c r="GC499" s="157"/>
      <c r="GD499" s="157"/>
      <c r="GE499" s="157"/>
      <c r="GF499" s="157"/>
      <c r="GG499" s="157"/>
      <c r="GH499" s="157"/>
      <c r="GI499" s="157"/>
      <c r="GJ499" s="157"/>
      <c r="GK499" s="157"/>
      <c r="GL499" s="157"/>
      <c r="GM499" s="157"/>
      <c r="GN499" s="157"/>
      <c r="GO499" s="157"/>
      <c r="GP499" s="157"/>
      <c r="GQ499" s="157"/>
      <c r="GR499" s="157"/>
      <c r="GS499" s="157"/>
      <c r="GT499" s="157"/>
      <c r="GU499" s="140"/>
      <c r="GV499" s="157"/>
      <c r="GW499" s="157"/>
      <c r="GX499" s="157"/>
      <c r="GY499" s="157"/>
      <c r="GZ499" s="157"/>
      <c r="HA499" s="157"/>
      <c r="HB499" s="157"/>
      <c r="HC499" s="157"/>
      <c r="HD499" s="157"/>
      <c r="HE499" s="157"/>
      <c r="HF499" s="157"/>
      <c r="HG499" s="157"/>
      <c r="HH499" s="157"/>
      <c r="HI499" s="157"/>
      <c r="HJ499" s="157"/>
      <c r="HK499" s="157"/>
      <c r="HL499" s="157"/>
      <c r="HM499" s="157"/>
      <c r="HN499" s="157"/>
      <c r="HO499" s="157"/>
      <c r="HP499" s="157"/>
      <c r="HQ499" s="157"/>
      <c r="HR499" s="157"/>
      <c r="HS499" s="157"/>
      <c r="HT499" s="157"/>
      <c r="HU499" s="157"/>
      <c r="HV499" s="157"/>
      <c r="HW499" s="157"/>
      <c r="HX499" s="157"/>
      <c r="HY499" s="157"/>
      <c r="HZ499" s="157"/>
      <c r="IA499" s="157"/>
      <c r="IB499" s="157"/>
      <c r="IC499" s="157"/>
      <c r="ID499" s="157"/>
      <c r="IE499" s="157"/>
      <c r="IF499" s="140"/>
      <c r="IG499" s="157"/>
      <c r="IH499" s="157"/>
      <c r="II499" s="157"/>
      <c r="IJ499" s="157"/>
      <c r="IK499" s="157"/>
      <c r="IL499" s="157"/>
      <c r="IM499" s="157"/>
      <c r="IN499" s="157"/>
      <c r="IO499" s="157"/>
      <c r="IP499" s="157"/>
      <c r="IQ499" s="157"/>
      <c r="IR499" s="157"/>
      <c r="IS499" s="157"/>
      <c r="IT499" s="157"/>
      <c r="IU499" s="157"/>
      <c r="IV499" s="157"/>
      <c r="IW499" s="157"/>
      <c r="IX499" s="157"/>
      <c r="IY499" s="157"/>
      <c r="IZ499" s="157"/>
      <c r="JA499" s="157"/>
      <c r="JB499" s="157"/>
      <c r="JC499" s="157"/>
      <c r="JD499" s="157"/>
      <c r="JE499" s="157"/>
      <c r="JF499" s="157"/>
      <c r="JG499" s="157"/>
      <c r="JH499" s="157"/>
      <c r="JI499" s="157"/>
      <c r="JJ499" s="157"/>
      <c r="JK499" s="157"/>
      <c r="JL499" s="157"/>
      <c r="JM499" s="157"/>
      <c r="JN499" s="157"/>
      <c r="JO499" s="157"/>
      <c r="JP499" s="157"/>
      <c r="JQ499" s="140"/>
      <c r="JR499" s="157"/>
      <c r="JS499" s="157"/>
      <c r="JT499" s="157"/>
      <c r="JU499" s="157"/>
      <c r="JV499" s="157"/>
      <c r="JW499" s="157"/>
      <c r="JX499" s="157"/>
      <c r="JY499" s="157"/>
      <c r="JZ499" s="157"/>
      <c r="KA499" s="157"/>
      <c r="KB499" s="157"/>
      <c r="KC499" s="157"/>
      <c r="KD499" s="157"/>
      <c r="KE499" s="157"/>
      <c r="KF499" s="157"/>
      <c r="KG499" s="157"/>
      <c r="KH499" s="157"/>
      <c r="KI499" s="157"/>
      <c r="KJ499" s="157"/>
      <c r="KK499" s="157"/>
      <c r="KL499" s="157"/>
      <c r="KM499" s="157"/>
      <c r="KN499" s="157"/>
      <c r="KO499" s="157"/>
      <c r="KP499" s="157"/>
      <c r="KQ499" s="157"/>
      <c r="KR499" s="157"/>
      <c r="KS499" s="157"/>
      <c r="KT499" s="157"/>
      <c r="KU499" s="157"/>
      <c r="KV499" s="157"/>
      <c r="KW499" s="157"/>
      <c r="KX499" s="157"/>
      <c r="KY499" s="157"/>
      <c r="KZ499" s="157"/>
      <c r="LA499" s="157"/>
      <c r="LB499" s="140"/>
      <c r="LC499" s="157"/>
      <c r="LD499" s="157"/>
      <c r="LE499" s="157"/>
      <c r="LF499" s="157"/>
      <c r="LG499" s="157"/>
      <c r="LH499" s="157"/>
      <c r="LI499" s="157"/>
      <c r="LJ499" s="157"/>
      <c r="LK499" s="157"/>
      <c r="LL499" s="157"/>
      <c r="LM499" s="157"/>
      <c r="LN499" s="157"/>
      <c r="LO499" s="157"/>
      <c r="LP499" s="157"/>
      <c r="LQ499" s="157"/>
      <c r="LR499" s="157"/>
      <c r="LS499" s="157"/>
      <c r="LV499" s="157"/>
      <c r="LW499" s="157"/>
      <c r="LX499" s="157"/>
      <c r="LY499" s="157"/>
      <c r="LZ499" s="157"/>
      <c r="MA499" s="157"/>
      <c r="MB499" s="157"/>
      <c r="MC499" s="157"/>
      <c r="MD499" s="157"/>
      <c r="ME499" s="157"/>
      <c r="MF499" s="157"/>
      <c r="MG499" s="157"/>
      <c r="MH499" s="157"/>
      <c r="MI499" s="157"/>
      <c r="MJ499" s="157"/>
      <c r="MK499" s="157"/>
      <c r="ML499" s="157"/>
    </row>
    <row r="500" spans="3:360" x14ac:dyDescent="0.3">
      <c r="C500" s="69"/>
      <c r="D500" s="69"/>
    </row>
    <row r="501" spans="3:360" ht="18" x14ac:dyDescent="0.4">
      <c r="C501" s="213" t="s">
        <v>231</v>
      </c>
      <c r="D501" s="69"/>
    </row>
    <row r="502" spans="3:360" x14ac:dyDescent="0.3">
      <c r="C502" s="69"/>
      <c r="D502" s="69"/>
    </row>
    <row r="503" spans="3:360" x14ac:dyDescent="0.3">
      <c r="C503" s="79" t="s">
        <v>232</v>
      </c>
      <c r="D503" s="69"/>
    </row>
    <row r="504" spans="3:360" x14ac:dyDescent="0.3">
      <c r="C504" s="79" t="s">
        <v>233</v>
      </c>
      <c r="D504" s="69"/>
    </row>
    <row r="505" spans="3:360" x14ac:dyDescent="0.3">
      <c r="C505" s="79" t="s">
        <v>234</v>
      </c>
      <c r="D505" s="69"/>
    </row>
    <row r="506" spans="3:360" x14ac:dyDescent="0.3">
      <c r="C506" s="79" t="s">
        <v>235</v>
      </c>
      <c r="D506" s="69"/>
    </row>
    <row r="507" spans="3:360" x14ac:dyDescent="0.3">
      <c r="C507" s="79"/>
      <c r="D507" s="69"/>
    </row>
    <row r="508" spans="3:360" x14ac:dyDescent="0.3">
      <c r="C508" s="69"/>
      <c r="D508" s="69"/>
    </row>
    <row r="509" spans="3:360" x14ac:dyDescent="0.3">
      <c r="C509" s="120" t="s">
        <v>236</v>
      </c>
      <c r="D509" s="69"/>
      <c r="H509" s="249" t="s">
        <v>237</v>
      </c>
      <c r="S509" s="122" t="s">
        <v>5</v>
      </c>
      <c r="AB509" s="120"/>
      <c r="IG509" s="128" t="s">
        <v>11</v>
      </c>
      <c r="IL509" s="203" t="s">
        <v>238</v>
      </c>
      <c r="IP509" s="120"/>
      <c r="JR509" s="129" t="str">
        <f>JR$4</f>
        <v>AMS2 2023</v>
      </c>
      <c r="LC509" s="130" t="str">
        <f>LC$4</f>
        <v>AMS3 2025</v>
      </c>
      <c r="LL509" s="120"/>
    </row>
    <row r="510" spans="3:360" x14ac:dyDescent="0.3">
      <c r="C510" s="250"/>
      <c r="D510" s="251"/>
      <c r="E510" s="171"/>
      <c r="F510" s="252"/>
      <c r="H510" s="253"/>
      <c r="I510" s="254"/>
      <c r="J510" s="254"/>
      <c r="K510" s="254"/>
      <c r="L510" s="254"/>
      <c r="M510" s="255"/>
      <c r="S510" s="253"/>
      <c r="T510" s="254"/>
      <c r="U510" s="254"/>
      <c r="V510" s="254"/>
      <c r="W510" s="254"/>
      <c r="X510" s="255"/>
      <c r="AB510" s="256" t="s">
        <v>239</v>
      </c>
      <c r="AC510" s="257" t="s">
        <v>239</v>
      </c>
      <c r="AD510" s="258" t="s">
        <v>240</v>
      </c>
      <c r="AE510" s="6">
        <f>AH1-X1</f>
        <v>10</v>
      </c>
      <c r="AF510" s="171"/>
      <c r="AG510" s="171"/>
      <c r="AH510" s="259" t="s">
        <v>241</v>
      </c>
      <c r="AV510" s="256" t="s">
        <v>239</v>
      </c>
      <c r="AW510" s="257" t="s">
        <v>239</v>
      </c>
      <c r="AX510" s="258" t="s">
        <v>240</v>
      </c>
      <c r="AY510" s="6">
        <v>20</v>
      </c>
      <c r="AZ510" s="171"/>
      <c r="BA510" s="171"/>
      <c r="BB510" s="259" t="s">
        <v>241</v>
      </c>
      <c r="IG510" s="253"/>
      <c r="IH510" s="254"/>
      <c r="II510" s="254"/>
      <c r="IJ510" s="254"/>
      <c r="IK510" s="254"/>
      <c r="IL510" s="255"/>
      <c r="IO510" s="256" t="s">
        <v>239</v>
      </c>
      <c r="IP510" s="256" t="s">
        <v>239</v>
      </c>
      <c r="IQ510" s="257" t="s">
        <v>239</v>
      </c>
      <c r="IR510" s="258" t="s">
        <v>240</v>
      </c>
      <c r="IS510" s="6">
        <f>IV1-IL1</f>
        <v>10</v>
      </c>
      <c r="IT510" s="171"/>
      <c r="IU510" s="171"/>
      <c r="IV510" s="259" t="s">
        <v>241</v>
      </c>
      <c r="JI510" s="256" t="s">
        <v>239</v>
      </c>
      <c r="JJ510" s="256" t="s">
        <v>239</v>
      </c>
      <c r="JK510" s="257" t="s">
        <v>239</v>
      </c>
      <c r="JL510" s="258" t="s">
        <v>240</v>
      </c>
      <c r="JM510" s="6">
        <v>20</v>
      </c>
      <c r="JN510" s="171"/>
      <c r="JO510" s="171"/>
      <c r="JP510" s="259" t="s">
        <v>241</v>
      </c>
      <c r="JR510" s="253"/>
      <c r="JS510" s="254"/>
      <c r="JT510" s="254"/>
      <c r="JU510" s="254"/>
      <c r="JV510" s="254"/>
      <c r="JW510" s="255"/>
      <c r="JY510" s="256" t="s">
        <v>239</v>
      </c>
      <c r="JZ510" s="256" t="s">
        <v>239</v>
      </c>
      <c r="KA510" s="256" t="s">
        <v>239</v>
      </c>
      <c r="KB510" s="257" t="s">
        <v>239</v>
      </c>
      <c r="KC510" s="258" t="s">
        <v>240</v>
      </c>
      <c r="KD510" s="6">
        <v>7</v>
      </c>
      <c r="KE510" s="171"/>
      <c r="KF510" s="171"/>
      <c r="KG510" s="259" t="s">
        <v>241</v>
      </c>
      <c r="KS510" s="256" t="s">
        <v>239</v>
      </c>
      <c r="KT510" s="256" t="s">
        <v>239</v>
      </c>
      <c r="KU510" s="256" t="s">
        <v>239</v>
      </c>
      <c r="KV510" s="257" t="s">
        <v>239</v>
      </c>
      <c r="KW510" s="258" t="s">
        <v>240</v>
      </c>
      <c r="KX510" s="6">
        <v>20</v>
      </c>
      <c r="KY510" s="171"/>
      <c r="KZ510" s="171"/>
      <c r="LA510" s="259" t="s">
        <v>241</v>
      </c>
      <c r="LC510" s="253"/>
      <c r="LD510" s="254"/>
      <c r="LE510" s="254"/>
      <c r="LF510" s="254"/>
      <c r="LG510" s="254"/>
      <c r="LH510" s="255"/>
      <c r="LJ510" s="256" t="s">
        <v>239</v>
      </c>
      <c r="LK510" s="256" t="s">
        <v>239</v>
      </c>
      <c r="LL510" s="256" t="s">
        <v>239</v>
      </c>
      <c r="LM510" s="257" t="s">
        <v>239</v>
      </c>
      <c r="LN510" s="258" t="s">
        <v>240</v>
      </c>
      <c r="LO510" s="6">
        <v>7</v>
      </c>
      <c r="LP510" s="171"/>
      <c r="LQ510" s="171"/>
      <c r="LR510" s="259" t="s">
        <v>241</v>
      </c>
      <c r="LT510" s="256" t="s">
        <v>239</v>
      </c>
      <c r="LU510" s="256" t="s">
        <v>239</v>
      </c>
      <c r="LV510" s="256" t="s">
        <v>239</v>
      </c>
      <c r="LW510" s="257" t="s">
        <v>239</v>
      </c>
      <c r="LX510" s="258" t="s">
        <v>240</v>
      </c>
      <c r="LY510" s="6">
        <v>10</v>
      </c>
      <c r="LZ510" s="171"/>
      <c r="MA510" s="171"/>
      <c r="MB510" s="259" t="s">
        <v>241</v>
      </c>
      <c r="MD510" s="256" t="s">
        <v>239</v>
      </c>
      <c r="ME510" s="256" t="s">
        <v>239</v>
      </c>
      <c r="MF510" s="256" t="s">
        <v>239</v>
      </c>
      <c r="MG510" s="257" t="s">
        <v>239</v>
      </c>
      <c r="MH510" s="258" t="s">
        <v>240</v>
      </c>
      <c r="MI510" s="6">
        <v>10</v>
      </c>
      <c r="MJ510" s="171"/>
      <c r="MK510" s="171"/>
      <c r="ML510" s="259" t="s">
        <v>241</v>
      </c>
    </row>
    <row r="511" spans="3:360" s="4" customFormat="1" ht="35.15" customHeight="1" x14ac:dyDescent="0.3">
      <c r="C511" s="260"/>
      <c r="D511" s="158"/>
      <c r="F511" s="186"/>
      <c r="H511" s="245" t="s">
        <v>242</v>
      </c>
      <c r="I511" s="1" t="s">
        <v>243</v>
      </c>
      <c r="J511" s="1" t="s">
        <v>242</v>
      </c>
      <c r="K511" s="1" t="s">
        <v>244</v>
      </c>
      <c r="L511" s="1" t="s">
        <v>245</v>
      </c>
      <c r="M511" s="261" t="s">
        <v>246</v>
      </c>
      <c r="O511" s="1"/>
      <c r="S511" s="245" t="s">
        <v>242</v>
      </c>
      <c r="T511" s="1" t="s">
        <v>243</v>
      </c>
      <c r="U511" s="1" t="s">
        <v>242</v>
      </c>
      <c r="V511" s="1" t="s">
        <v>244</v>
      </c>
      <c r="W511" s="1" t="s">
        <v>245</v>
      </c>
      <c r="X511" s="261" t="s">
        <v>246</v>
      </c>
      <c r="AB511" s="262" t="s">
        <v>247</v>
      </c>
      <c r="AC511" s="261" t="s">
        <v>248</v>
      </c>
      <c r="AD511" s="262" t="s">
        <v>124</v>
      </c>
      <c r="AE511" s="263" t="s">
        <v>243</v>
      </c>
      <c r="AF511" s="263" t="s">
        <v>244</v>
      </c>
      <c r="AG511" s="263" t="s">
        <v>245</v>
      </c>
      <c r="AH511" s="261" t="s">
        <v>246</v>
      </c>
      <c r="AL511" s="264"/>
      <c r="AU511"/>
      <c r="AV511" s="262" t="s">
        <v>247</v>
      </c>
      <c r="AW511" s="261" t="s">
        <v>248</v>
      </c>
      <c r="AX511" s="262" t="s">
        <v>124</v>
      </c>
      <c r="AY511" s="263" t="s">
        <v>243</v>
      </c>
      <c r="AZ511" s="263" t="s">
        <v>244</v>
      </c>
      <c r="BA511" s="263" t="s">
        <v>245</v>
      </c>
      <c r="BB511" s="261" t="s">
        <v>246</v>
      </c>
      <c r="IG511" s="245" t="s">
        <v>242</v>
      </c>
      <c r="IH511" s="1" t="s">
        <v>243</v>
      </c>
      <c r="II511" s="1" t="s">
        <v>242</v>
      </c>
      <c r="IJ511" s="1" t="s">
        <v>244</v>
      </c>
      <c r="IK511" s="1" t="s">
        <v>245</v>
      </c>
      <c r="IL511" s="261" t="s">
        <v>246</v>
      </c>
      <c r="IO511" s="262" t="s">
        <v>163</v>
      </c>
      <c r="IP511" s="262" t="s">
        <v>247</v>
      </c>
      <c r="IQ511" s="261" t="s">
        <v>248</v>
      </c>
      <c r="IR511" s="262" t="s">
        <v>124</v>
      </c>
      <c r="IS511" s="263" t="s">
        <v>243</v>
      </c>
      <c r="IT511" s="263" t="s">
        <v>244</v>
      </c>
      <c r="IU511" s="263" t="s">
        <v>245</v>
      </c>
      <c r="IV511" s="261" t="s">
        <v>246</v>
      </c>
      <c r="IZ511" s="264"/>
      <c r="JI511" s="262" t="s">
        <v>163</v>
      </c>
      <c r="JJ511" s="262" t="s">
        <v>247</v>
      </c>
      <c r="JK511" s="261" t="s">
        <v>248</v>
      </c>
      <c r="JL511" s="262" t="s">
        <v>124</v>
      </c>
      <c r="JM511" s="263" t="s">
        <v>243</v>
      </c>
      <c r="JN511" s="263" t="s">
        <v>244</v>
      </c>
      <c r="JO511" s="263" t="s">
        <v>245</v>
      </c>
      <c r="JP511" s="261" t="s">
        <v>246</v>
      </c>
      <c r="JR511" s="245" t="s">
        <v>242</v>
      </c>
      <c r="JS511" s="1" t="s">
        <v>243</v>
      </c>
      <c r="JT511" s="1" t="s">
        <v>242</v>
      </c>
      <c r="JU511" s="1" t="s">
        <v>244</v>
      </c>
      <c r="JV511" s="1" t="s">
        <v>245</v>
      </c>
      <c r="JW511" s="261" t="s">
        <v>246</v>
      </c>
      <c r="JY511" s="262" t="s">
        <v>249</v>
      </c>
      <c r="JZ511" s="262" t="s">
        <v>163</v>
      </c>
      <c r="KA511" s="262" t="s">
        <v>247</v>
      </c>
      <c r="KB511" s="261" t="s">
        <v>248</v>
      </c>
      <c r="KC511" s="262" t="s">
        <v>124</v>
      </c>
      <c r="KD511" s="263" t="s">
        <v>243</v>
      </c>
      <c r="KE511" s="263" t="s">
        <v>244</v>
      </c>
      <c r="KF511" s="263" t="s">
        <v>245</v>
      </c>
      <c r="KG511" s="261" t="s">
        <v>246</v>
      </c>
      <c r="KK511" s="264"/>
      <c r="KS511" s="262" t="s">
        <v>249</v>
      </c>
      <c r="KT511" s="262" t="s">
        <v>163</v>
      </c>
      <c r="KU511" s="262" t="s">
        <v>247</v>
      </c>
      <c r="KV511" s="261" t="s">
        <v>248</v>
      </c>
      <c r="KW511" s="262" t="s">
        <v>124</v>
      </c>
      <c r="KX511" s="263" t="s">
        <v>243</v>
      </c>
      <c r="KY511" s="263" t="s">
        <v>244</v>
      </c>
      <c r="KZ511" s="263" t="s">
        <v>245</v>
      </c>
      <c r="LA511" s="261" t="s">
        <v>246</v>
      </c>
      <c r="LC511" s="245" t="s">
        <v>242</v>
      </c>
      <c r="LD511" s="1" t="s">
        <v>243</v>
      </c>
      <c r="LE511" s="1" t="s">
        <v>242</v>
      </c>
      <c r="LF511" s="1" t="s">
        <v>244</v>
      </c>
      <c r="LG511" s="1" t="s">
        <v>245</v>
      </c>
      <c r="LH511" s="261" t="s">
        <v>246</v>
      </c>
      <c r="LJ511" s="262" t="s">
        <v>249</v>
      </c>
      <c r="LK511" s="262" t="s">
        <v>163</v>
      </c>
      <c r="LL511" s="262" t="s">
        <v>247</v>
      </c>
      <c r="LM511" s="261" t="s">
        <v>248</v>
      </c>
      <c r="LN511" s="262" t="s">
        <v>124</v>
      </c>
      <c r="LO511" s="263" t="s">
        <v>243</v>
      </c>
      <c r="LP511" s="263" t="s">
        <v>244</v>
      </c>
      <c r="LQ511" s="263" t="s">
        <v>245</v>
      </c>
      <c r="LR511" s="261" t="s">
        <v>246</v>
      </c>
      <c r="LT511" s="262" t="s">
        <v>249</v>
      </c>
      <c r="LU511" s="262" t="s">
        <v>163</v>
      </c>
      <c r="LV511" s="262" t="s">
        <v>247</v>
      </c>
      <c r="LW511" s="261" t="s">
        <v>248</v>
      </c>
      <c r="LX511" s="262" t="s">
        <v>124</v>
      </c>
      <c r="LY511" s="263" t="s">
        <v>243</v>
      </c>
      <c r="LZ511" s="263" t="s">
        <v>244</v>
      </c>
      <c r="MA511" s="263" t="s">
        <v>245</v>
      </c>
      <c r="MB511" s="261" t="s">
        <v>246</v>
      </c>
      <c r="MD511" s="262" t="s">
        <v>249</v>
      </c>
      <c r="ME511" s="262" t="s">
        <v>163</v>
      </c>
      <c r="MF511" s="262" t="s">
        <v>247</v>
      </c>
      <c r="MG511" s="261" t="s">
        <v>248</v>
      </c>
      <c r="MH511" s="262" t="s">
        <v>124</v>
      </c>
      <c r="MI511" s="263" t="s">
        <v>243</v>
      </c>
      <c r="MJ511" s="263" t="s">
        <v>244</v>
      </c>
      <c r="MK511" s="263" t="s">
        <v>245</v>
      </c>
      <c r="ML511" s="261" t="s">
        <v>246</v>
      </c>
      <c r="MO511"/>
      <c r="MP511"/>
      <c r="MQ511"/>
      <c r="MR511"/>
      <c r="MS511"/>
      <c r="MT511"/>
      <c r="MU511"/>
      <c r="MV511"/>
    </row>
    <row r="512" spans="3:360" x14ac:dyDescent="0.3">
      <c r="C512" s="265" t="s">
        <v>250</v>
      </c>
      <c r="D512" s="69">
        <f>SUM(H513:H613)/10^3</f>
        <v>101.6</v>
      </c>
      <c r="E512" t="s">
        <v>251</v>
      </c>
      <c r="F512" s="266"/>
      <c r="H512" s="267"/>
      <c r="I512" s="66"/>
      <c r="J512" s="66"/>
      <c r="K512" s="66"/>
      <c r="L512" s="66"/>
      <c r="M512" s="268"/>
      <c r="S512" s="267"/>
      <c r="T512" s="66"/>
      <c r="U512" s="66"/>
      <c r="V512" s="66"/>
      <c r="W512" s="66"/>
      <c r="X512" s="268"/>
      <c r="AB512" s="267"/>
      <c r="AC512" s="266"/>
      <c r="AD512" s="269"/>
      <c r="AE512" s="66"/>
      <c r="AF512" s="66"/>
      <c r="AG512" s="66"/>
      <c r="AH512" s="268"/>
      <c r="AV512" s="267"/>
      <c r="AW512" s="266"/>
      <c r="AX512" s="269"/>
      <c r="AY512" s="66"/>
      <c r="AZ512" s="66"/>
      <c r="BA512" s="66"/>
      <c r="BB512" s="268"/>
      <c r="IG512" s="267"/>
      <c r="IH512" s="66"/>
      <c r="II512" s="66"/>
      <c r="IJ512" s="66"/>
      <c r="IK512" s="66"/>
      <c r="IL512" s="268"/>
      <c r="IO512" s="267"/>
      <c r="IP512" s="267"/>
      <c r="IQ512" s="266"/>
      <c r="IR512" s="269"/>
      <c r="IS512" s="66"/>
      <c r="IT512" s="66"/>
      <c r="IU512" s="66"/>
      <c r="IV512" s="268"/>
      <c r="JI512" s="267"/>
      <c r="JJ512" s="267"/>
      <c r="JK512" s="266"/>
      <c r="JL512" s="269"/>
      <c r="JM512" s="66"/>
      <c r="JN512" s="66"/>
      <c r="JO512" s="66"/>
      <c r="JP512" s="268"/>
      <c r="JR512" s="267"/>
      <c r="JS512" s="66"/>
      <c r="JT512" s="66"/>
      <c r="JU512" s="66"/>
      <c r="JV512" s="66"/>
      <c r="JW512" s="268"/>
      <c r="JY512" s="270"/>
      <c r="JZ512" s="267"/>
      <c r="KA512" s="267"/>
      <c r="KB512" s="266"/>
      <c r="KC512" s="269"/>
      <c r="KD512" s="66"/>
      <c r="KE512" s="66"/>
      <c r="KF512" s="66"/>
      <c r="KG512" s="268"/>
      <c r="KS512" s="270"/>
      <c r="KT512" s="267"/>
      <c r="KU512" s="267"/>
      <c r="KV512" s="266"/>
      <c r="KW512" s="269"/>
      <c r="KX512" s="66"/>
      <c r="KY512" s="66"/>
      <c r="KZ512" s="66"/>
      <c r="LA512" s="268"/>
      <c r="LC512" s="267"/>
      <c r="LD512" s="66"/>
      <c r="LE512" s="66"/>
      <c r="LF512" s="66"/>
      <c r="LG512" s="66"/>
      <c r="LH512" s="268"/>
      <c r="LJ512" s="270"/>
      <c r="LK512" s="267"/>
      <c r="LL512" s="267"/>
      <c r="LM512" s="266"/>
      <c r="LN512" s="269"/>
      <c r="LO512" s="66"/>
      <c r="LP512" s="66"/>
      <c r="LQ512" s="66"/>
      <c r="LR512" s="268"/>
      <c r="LT512" s="270"/>
      <c r="LU512" s="267"/>
      <c r="LV512" s="267"/>
      <c r="LW512" s="266"/>
      <c r="LX512" s="269"/>
      <c r="LY512" s="66"/>
      <c r="LZ512" s="66"/>
      <c r="MA512" s="66"/>
      <c r="MB512" s="268"/>
      <c r="MD512" s="270"/>
      <c r="ME512" s="267"/>
      <c r="MF512" s="267"/>
      <c r="MG512" s="266"/>
      <c r="MH512" s="269"/>
      <c r="MI512" s="66"/>
      <c r="MJ512" s="66"/>
      <c r="MK512" s="66" t="s">
        <v>537</v>
      </c>
      <c r="ML512" s="268"/>
    </row>
    <row r="513" spans="3:350" outlineLevel="1" x14ac:dyDescent="0.3">
      <c r="C513" s="265" t="s">
        <v>252</v>
      </c>
      <c r="D513" s="271">
        <f>M196</f>
        <v>1004670.0170267724</v>
      </c>
      <c r="E513" t="s">
        <v>251</v>
      </c>
      <c r="F513" s="266"/>
      <c r="H513" s="269">
        <v>1200</v>
      </c>
      <c r="I513" s="66" t="s">
        <v>253</v>
      </c>
      <c r="J513" s="66" t="s">
        <v>254</v>
      </c>
      <c r="K513" s="66" t="s">
        <v>255</v>
      </c>
      <c r="L513" s="66" t="s">
        <v>256</v>
      </c>
      <c r="M513" s="272">
        <f>$H513*SUMIFS(axTER!$E$65:$E$105,axTER!$C$65:$C$105,I513,axTER!$D$65:$D$105,K513)/SUMIFS(axTER!$E$108:$E$114,axTER!$C$108:$C$114,L513)/10^9*$D$514</f>
        <v>1.7986632712621871</v>
      </c>
      <c r="S513" s="269">
        <v>1200</v>
      </c>
      <c r="T513" s="66" t="s">
        <v>253</v>
      </c>
      <c r="U513" s="66" t="s">
        <v>254</v>
      </c>
      <c r="V513" s="66" t="s">
        <v>255</v>
      </c>
      <c r="W513" s="66" t="s">
        <v>256</v>
      </c>
      <c r="X513" s="272">
        <f>$H513*SUMIFS(axTER!$E$65:$E$105,axTER!$C$65:$C$105,T513,axTER!$D$65:$D$105,V513)/SUMIFS(axTER!$E$108:$E$114,axTER!$C$108:$C$114,W513)/10^9*$D$514</f>
        <v>1.7986632712621871</v>
      </c>
      <c r="AB513" s="273">
        <f>$H513*IF(AF513&lt;&gt;K513,SUMIFS(axTER!$E$121:$E$128,axTER!$C$121:$C$128,K513,axTER!$D$121:$D$128,AF513),SUMIFS(axTER!$E$133:$E$138,axTER!$C$133:$C$138,AF513)*AE$510)*$D$514/10^6</f>
        <v>474.64725213863267</v>
      </c>
      <c r="AC513" s="274">
        <f>$H513*IF(AG513&lt;&gt;L513,SUMIFS(axTER!$E$142:$E$148,axTER!$C$142:$C$148,AG513),SUMIFS(axTER!$E$151:$E$157,axTER!$C$151:$C$157,AG513)*AE$510)/10^6*$D$514</f>
        <v>74.756942211834655</v>
      </c>
      <c r="AD513" s="275" t="s">
        <v>253</v>
      </c>
      <c r="AE513" s="161" t="s">
        <v>254</v>
      </c>
      <c r="AF513" s="161" t="s">
        <v>255</v>
      </c>
      <c r="AG513" s="161" t="s">
        <v>256</v>
      </c>
      <c r="AH513" s="276">
        <f>$H513*SUMIFS(axTER!$E$65:$E$105,axTER!$C$65:$C$105,AD513,axTER!$D$65:$D$105,AF513)/SUMIFS(axTER!$E$108:$E$114,axTER!$C$108:$C$114,AG513)/10^9*$D$514</f>
        <v>1.7986632712621871</v>
      </c>
      <c r="AV513" s="273">
        <f>$H513*IF(AZ513&lt;&gt;AF513,SUMIFS(axTER!$E$121:$E$128,axTER!$C$121:$C$128,AF513,axTER!$D$121:$D$128,AZ513),SUMIFS(axTER!$E$133:$E$138,axTER!$C$133:$C$138,AZ513)*AY$510)*$D$514/10^6</f>
        <v>949.29450427726533</v>
      </c>
      <c r="AW513" s="274">
        <f>$H513*IF(BA513&lt;&gt;AG513,SUMIFS(axTER!$E$142:$E$148,axTER!$C$142:$C$148,BA513),SUMIFS(axTER!$E$151:$E$157,axTER!$C$151:$C$157,BA513)*AY$510)/10^6*$D$514</f>
        <v>149.51388442366931</v>
      </c>
      <c r="AX513" s="275" t="s">
        <v>253</v>
      </c>
      <c r="AY513" s="161" t="s">
        <v>254</v>
      </c>
      <c r="AZ513" s="161" t="s">
        <v>255</v>
      </c>
      <c r="BA513" s="161" t="s">
        <v>256</v>
      </c>
      <c r="BB513" s="276">
        <f>$H513*SUMIFS(axTER!$E$65:$E$105,axTER!$C$65:$C$105,AX513,axTER!$D$65:$D$105,AZ513)/SUMIFS(axTER!$E$108:$E$114,axTER!$C$108:$C$114,BA513)/10^9*$D$514</f>
        <v>1.7986632712621871</v>
      </c>
      <c r="IG513" s="269">
        <v>1200</v>
      </c>
      <c r="IH513" s="66" t="s">
        <v>253</v>
      </c>
      <c r="II513" s="66" t="s">
        <v>254</v>
      </c>
      <c r="IJ513" s="66" t="s">
        <v>255</v>
      </c>
      <c r="IK513" s="66" t="s">
        <v>256</v>
      </c>
      <c r="IL513" s="272">
        <f>$H513*SUMIFS(axTER!$E$65:$E$105,axTER!$C$65:$C$105,IH513,axTER!$D$65:$D$105,IJ513)/SUMIFS(axTER!$E$108:$E$114,axTER!$C$108:$C$114,IK513)/10^9*$D$514</f>
        <v>1.7986632712621871</v>
      </c>
      <c r="IO513" s="273">
        <f>IF(IT513&lt;&gt;IJ513,IG513,0)</f>
        <v>1200</v>
      </c>
      <c r="IP513" s="273">
        <f>$H513*IF(IT513&lt;&gt;IJ513,SUMIFS(axTER!$E$121:$E$128,axTER!$C$121:$C$128,IJ513,axTER!$D$121:$D$128,IT513),SUMIFS(axTER!$E$133:$E$138,axTER!$C$133:$C$138,IT513)*IS$510)*$D$514/10^6</f>
        <v>5339.7815865596167</v>
      </c>
      <c r="IQ513" s="274">
        <f>$H513*IF(IU513&lt;&gt;IK513,SUMIFS(axTER!$E$142:$E$148,axTER!$C$142:$C$148,IU513),SUMIFS(axTER!$E$151:$E$157,axTER!$C$151:$C$157,IU513)*IS$510)/10^6*$D$514</f>
        <v>74.756942211834655</v>
      </c>
      <c r="IR513" s="275" t="s">
        <v>253</v>
      </c>
      <c r="IS513" s="161" t="s">
        <v>254</v>
      </c>
      <c r="IT513" s="277" t="s">
        <v>257</v>
      </c>
      <c r="IU513" s="161" t="s">
        <v>256</v>
      </c>
      <c r="IV513" s="276">
        <f>$H513*SUMIFS(axTER!$E$65:$E$105,axTER!$C$65:$C$105,IR513,axTER!$D$65:$D$105,IT513)/SUMIFS(axTER!$E$108:$E$114,axTER!$C$108:$C$114,IU513)/10^9*$D$514</f>
        <v>0.62453585807714818</v>
      </c>
      <c r="JI513" s="273">
        <f>IF(JN513&lt;&gt;IT513,IG513,0)</f>
        <v>1200</v>
      </c>
      <c r="JJ513" s="273">
        <f>$H513*IF(JN513&lt;&gt;IT513,SUMIFS(axTER!$E$121:$E$128,axTER!$C$121:$C$128,IT513,axTER!$D$121:$D$128,JN513),SUMIFS(axTER!$E$133:$E$138,axTER!$C$133:$C$138,JN513)*JM$510)*$D$514/10^6</f>
        <v>0</v>
      </c>
      <c r="JK513" s="274">
        <f>$H513*IF(JO513&lt;&gt;IU513,SUMIFS(axTER!$E$142:$E$148,axTER!$C$142:$C$148,JO513),SUMIFS(axTER!$E$151:$E$157,axTER!$C$151:$C$157,JO513)*JM$510)/10^6*$D$514</f>
        <v>149.51388442366931</v>
      </c>
      <c r="JL513" s="275" t="s">
        <v>253</v>
      </c>
      <c r="JM513" s="161" t="s">
        <v>254</v>
      </c>
      <c r="JN513" s="161" t="s">
        <v>255</v>
      </c>
      <c r="JO513" s="161" t="s">
        <v>256</v>
      </c>
      <c r="JP513" s="276">
        <f>$H513*SUMIFS(axTER!$E$65:$E$105,axTER!$C$65:$C$105,JL513,axTER!$D$65:$D$105,JN513)/SUMIFS(axTER!$E$108:$E$114,axTER!$C$108:$C$114,JO513)/10^9*$D$514</f>
        <v>1.7986632712621871</v>
      </c>
      <c r="JR513" s="269">
        <v>1200</v>
      </c>
      <c r="JS513" s="66" t="s">
        <v>253</v>
      </c>
      <c r="JT513" s="66" t="s">
        <v>254</v>
      </c>
      <c r="JU513" s="66" t="s">
        <v>255</v>
      </c>
      <c r="JV513" s="66" t="s">
        <v>256</v>
      </c>
      <c r="JW513" s="272">
        <f>$H513*SUMIFS(axTER!$E$65:$E$105,axTER!$C$65:$C$105,JS513,axTER!$D$65:$D$105,JU513)/SUMIFS(axTER!$E$108:$E$114,axTER!$C$108:$C$114,JV513)/10^9*$D$514</f>
        <v>1.7986632712621871</v>
      </c>
      <c r="JY513" s="273" t="str">
        <f>IF(KF513&lt;&gt;JV513,KF513,0)</f>
        <v>URBAIN</v>
      </c>
      <c r="JZ513" s="273">
        <f t="shared" ref="JZ513:JZ577" si="1005">IF(KE513&lt;&gt;JU513,JR513,0)</f>
        <v>1200</v>
      </c>
      <c r="KA513" s="273">
        <f>$H513*IF(KE513&lt;&gt;JU513,SUMIFS(axTER!$E$121:$E$128,axTER!$C$121:$C$128,JU513,axTER!$D$121:$D$128,KE513),SUMIFS(axTER!$E$133:$E$138,axTER!$C$133:$C$138,KE513)*KD$510)*$D$514/10^6</f>
        <v>5339.7815865596167</v>
      </c>
      <c r="KB513" s="274">
        <f>$H513*IF(KF513&lt;&gt;JV513,SUMIFS(axTER!$E$142:$E$148,axTER!$C$142:$C$148,KF513),SUMIFS(axTER!$E$151:$E$157,axTER!$C$151:$C$157,KF513)*KD$510)/10^6*$D$514</f>
        <v>367.85162040744029</v>
      </c>
      <c r="KC513" s="275" t="s">
        <v>253</v>
      </c>
      <c r="KD513" s="161" t="s">
        <v>254</v>
      </c>
      <c r="KE513" s="161" t="s">
        <v>257</v>
      </c>
      <c r="KF513" s="161" t="s">
        <v>258</v>
      </c>
      <c r="KG513" s="276">
        <f>$H513*SUMIFS(axTER!$E$65:$E$105,axTER!$C$65:$C$105,KC513,axTER!$D$65:$D$105,KE513)/SUMIFS(axTER!$E$108:$E$114,axTER!$C$108:$C$114,KF513)/10^9*$D$514</f>
        <v>0.59330906517329085</v>
      </c>
      <c r="KS513" s="273">
        <f>IF(KZ513&lt;&gt;KF513,KZ513,0)</f>
        <v>0</v>
      </c>
      <c r="KT513" s="273">
        <f>IF(KY513&lt;&gt;KE513,JR513,0)</f>
        <v>0</v>
      </c>
      <c r="KU513" s="273">
        <f>$H513*IF(KY513&lt;&gt;KE513,SUMIFS(axTER!$E$121:$E$128,axTER!$C$121:$C$128,KE513,axTER!$D$121:$D$128,KY513),SUMIFS(axTER!$E$133:$E$138,axTER!$C$133:$C$138,KY513)*KX$510)*$D$514/10^6</f>
        <v>355.98543910397444</v>
      </c>
      <c r="KV513" s="274">
        <f>$H513*IF(KZ513&lt;&gt;KF513,SUMIFS(axTER!$E$142:$E$148,axTER!$C$142:$C$148,KZ513),SUMIFS(axTER!$E$151:$E$157,axTER!$C$151:$C$157,KZ513)*KX$510)/10^6*$D$514</f>
        <v>257.49613428520826</v>
      </c>
      <c r="KW513" s="275" t="s">
        <v>253</v>
      </c>
      <c r="KX513" s="161" t="s">
        <v>254</v>
      </c>
      <c r="KY513" s="161" t="s">
        <v>257</v>
      </c>
      <c r="KZ513" s="161" t="s">
        <v>258</v>
      </c>
      <c r="LA513" s="276">
        <f>$H513*SUMIFS(axTER!$E$65:$E$105,axTER!$C$65:$C$105,KW513,axTER!$D$65:$D$105,KY513)/SUMIFS(axTER!$E$108:$E$114,axTER!$C$108:$C$114,KZ513)/10^9*$D$514</f>
        <v>0.59330906517329085</v>
      </c>
      <c r="LC513" s="269">
        <v>1200</v>
      </c>
      <c r="LD513" s="66" t="s">
        <v>253</v>
      </c>
      <c r="LE513" s="66" t="s">
        <v>254</v>
      </c>
      <c r="LF513" s="66" t="s">
        <v>255</v>
      </c>
      <c r="LG513" s="66" t="s">
        <v>256</v>
      </c>
      <c r="LH513" s="272">
        <f>$H513*SUMIFS(axTER!$E$65:$E$105,axTER!$C$65:$C$105,LD513,axTER!$D$65:$D$105,LF513)/SUMIFS(axTER!$E$108:$E$114,axTER!$C$108:$C$114,LG513)/10^9*$D$514</f>
        <v>1.7986632712621871</v>
      </c>
      <c r="LJ513" s="273" t="str">
        <f>IF(LQ513&lt;&gt;LG513,LQ513,0)</f>
        <v>ELEC-PAC</v>
      </c>
      <c r="LK513" s="273">
        <f t="shared" ref="LK513:LK525" si="1006">IF(LP513&lt;&gt;LF513,LC513,0)</f>
        <v>0</v>
      </c>
      <c r="LL513" s="273">
        <f>$H513*IF(LP513&lt;&gt;LF513,SUMIFS(axTER!$E$121:$E$128,axTER!$C$121:$C$128,LF513,axTER!$D$121:$D$128,LP513),SUMIFS(axTER!$E$133:$E$138,axTER!$C$133:$C$138,LP513)*LO$510)*$D$514/10^6</f>
        <v>332.25307649704285</v>
      </c>
      <c r="LM513" s="274">
        <f>$H513*IF(LQ513&lt;&gt;LG513,SUMIFS(axTER!$E$142:$E$148,axTER!$C$142:$C$148,LQ513),SUMIFS(axTER!$E$151:$E$157,axTER!$C$151:$C$157,LQ513)*LO$510)/10^6*$D$514</f>
        <v>949.29450427726533</v>
      </c>
      <c r="LN513" s="275" t="s">
        <v>253</v>
      </c>
      <c r="LO513" s="161" t="s">
        <v>254</v>
      </c>
      <c r="LP513" s="161" t="s">
        <v>255</v>
      </c>
      <c r="LQ513" s="161" t="s">
        <v>261</v>
      </c>
      <c r="LR513" s="276">
        <f>$H513*SUMIFS(axTER!$E$65:$E$105,axTER!$C$65:$C$105,LN513,axTER!$D$65:$D$105,LP513)/SUMIFS(axTER!$E$108:$E$114,axTER!$C$108:$C$114,LQ513)/10^9*$D$514</f>
        <v>0.56957670256635917</v>
      </c>
      <c r="LT513" s="273">
        <f>IF(MA513&lt;&gt;LQ513,MA513,0)</f>
        <v>0</v>
      </c>
      <c r="LU513" s="273">
        <f>IF(LZ513&lt;&gt;LP513,LC513,0)</f>
        <v>0</v>
      </c>
      <c r="LV513" s="273">
        <f>$H513*IF(LZ513&lt;&gt;LP513,SUMIFS(axTER!$E$121:$E$128,axTER!$C$121:$C$128,LP513,axTER!$D$121:$D$128,LZ513),SUMIFS(axTER!$E$133:$E$138,axTER!$C$133:$C$138,LZ513)*LY$510)*$D$514/10^6</f>
        <v>474.64725213863267</v>
      </c>
      <c r="LW513" s="274">
        <f>$H513*IF(MA513&lt;&gt;LQ513,SUMIFS(axTER!$E$142:$E$148,axTER!$C$142:$C$148,MA513),SUMIFS(axTER!$E$151:$E$157,axTER!$C$151:$C$157,MA513)*LY$510)/10^6*$D$514</f>
        <v>332.25307649704291</v>
      </c>
      <c r="LX513" s="275" t="s">
        <v>253</v>
      </c>
      <c r="LY513" s="161" t="s">
        <v>254</v>
      </c>
      <c r="LZ513" s="161" t="s">
        <v>255</v>
      </c>
      <c r="MA513" s="161" t="s">
        <v>261</v>
      </c>
      <c r="MB513" s="276">
        <f>$H513*SUMIFS(axTER!$E$65:$E$105,axTER!$C$65:$C$105,LX513,axTER!$D$65:$D$105,LZ513)/SUMIFS(axTER!$E$108:$E$114,axTER!$C$108:$C$114,MA513)/10^9*$D$514</f>
        <v>0.56957670256635917</v>
      </c>
      <c r="MD513" s="273">
        <f t="shared" ref="MD513:MD544" si="1007">IF(MK513&lt;&gt;MA513,MK513,0)</f>
        <v>0</v>
      </c>
      <c r="ME513" s="273">
        <f>IF(MJ513&lt;&gt;LZ513,LC513,0)</f>
        <v>0</v>
      </c>
      <c r="MF513" s="273">
        <f>$H513*IF(MJ513&lt;&gt;LZ513,SUMIFS(axTER!$E$121:$E$128,axTER!$C$121:$C$128,LZ513,axTER!$D$121:$D$128,MJ513),SUMIFS(axTER!$E$133:$E$138,axTER!$C$133:$C$138,MJ513)*MI$510)*$D$514/10^6</f>
        <v>474.64725213863267</v>
      </c>
      <c r="MG513" s="274">
        <f>$H513*IF(MK513&lt;&gt;MA513,SUMIFS(axTER!$E$142:$E$148,axTER!$C$142:$C$148,MK513),SUMIFS(axTER!$E$151:$E$157,axTER!$C$151:$C$157,MK513)*MI$510)/10^6*$D$514</f>
        <v>332.25307649704291</v>
      </c>
      <c r="MH513" s="275" t="s">
        <v>253</v>
      </c>
      <c r="MI513" s="161" t="s">
        <v>254</v>
      </c>
      <c r="MJ513" s="161" t="s">
        <v>255</v>
      </c>
      <c r="MK513" s="161" t="s">
        <v>261</v>
      </c>
      <c r="ML513" s="276">
        <f>$H513*SUMIFS(axTER!$E$65:$E$105,axTER!$C$65:$C$105,MH513,axTER!$D$65:$D$105,MJ513)/SUMIFS(axTER!$E$108:$E$114,axTER!$C$108:$C$114,MK513)/10^9*$D$514</f>
        <v>0.56957670256635917</v>
      </c>
    </row>
    <row r="514" spans="3:350" outlineLevel="1" x14ac:dyDescent="0.3">
      <c r="C514" s="265" t="s">
        <v>259</v>
      </c>
      <c r="D514" s="278">
        <f>D513/D512</f>
        <v>9888.4844195548467</v>
      </c>
      <c r="F514" s="266"/>
      <c r="H514" s="269">
        <v>750</v>
      </c>
      <c r="I514" s="66" t="s">
        <v>253</v>
      </c>
      <c r="J514" s="66" t="s">
        <v>254</v>
      </c>
      <c r="K514" s="66" t="s">
        <v>255</v>
      </c>
      <c r="L514" s="66" t="s">
        <v>260</v>
      </c>
      <c r="M514" s="272">
        <f>$H514*SUMIFS(axTER!$E$65:$E$105,axTER!$C$65:$C$105,I514,axTER!$D$65:$D$105,K514)/SUMIFS(axTER!$E$108:$E$114,axTER!$C$108:$C$114,L514)/10^9*$D$514</f>
        <v>1.1866181303465817</v>
      </c>
      <c r="S514" s="269">
        <v>750</v>
      </c>
      <c r="T514" s="66" t="s">
        <v>253</v>
      </c>
      <c r="U514" s="66" t="s">
        <v>254</v>
      </c>
      <c r="V514" s="66" t="s">
        <v>255</v>
      </c>
      <c r="W514" s="66" t="s">
        <v>260</v>
      </c>
      <c r="X514" s="272">
        <f>$H514*SUMIFS(axTER!$E$65:$E$105,axTER!$C$65:$C$105,T514,axTER!$D$65:$D$105,V514)/SUMIFS(axTER!$E$108:$E$114,axTER!$C$108:$C$114,W514)/10^9*$D$514</f>
        <v>1.1866181303465817</v>
      </c>
      <c r="AB514" s="273">
        <f>$H514*IF(AF514&lt;&gt;K514,SUMIFS(axTER!$E$121:$E$128,axTER!$C$121:$C$128,K514,axTER!$D$121:$D$128,AF514),SUMIFS(axTER!$E$133:$E$138,axTER!$C$133:$C$138,AF514)*AE$510)*$D$514/10^6</f>
        <v>296.65453258664542</v>
      </c>
      <c r="AC514" s="274">
        <f>$H514*IF(AG514&lt;&gt;L514,SUMIFS(axTER!$E$142:$E$148,axTER!$C$142:$C$148,AG514),SUMIFS(axTER!$E$151:$E$157,axTER!$C$151:$C$157,AG514)*AE$510)/10^6*$D$514</f>
        <v>25.957271601331477</v>
      </c>
      <c r="AD514" s="275" t="s">
        <v>253</v>
      </c>
      <c r="AE514" s="161" t="s">
        <v>254</v>
      </c>
      <c r="AF514" s="161" t="s">
        <v>255</v>
      </c>
      <c r="AG514" s="161" t="s">
        <v>260</v>
      </c>
      <c r="AH514" s="276">
        <f>$H514*SUMIFS(axTER!$E$65:$E$105,axTER!$D$65:$D$105,AF514,axTER!$C$65:$C$105,AD514)/SUMIFS(axTER!$E$108:$E$114,axTER!$C$108:$C$114,AG514)/10^9*$D$514</f>
        <v>1.1866181303465817</v>
      </c>
      <c r="AV514" s="273">
        <f>$H514*IF(AZ514&lt;&gt;AF514,SUMIFS(axTER!$E$121:$E$128,axTER!$C$121:$C$128,AF514,axTER!$D$121:$D$128,AZ514),SUMIFS(axTER!$E$133:$E$138,axTER!$C$133:$C$138,AZ514)*AY$510)*$D$514/10^6</f>
        <v>593.30906517329083</v>
      </c>
      <c r="AW514" s="274">
        <f>$H514*IF(BA514&lt;&gt;AG514,SUMIFS(axTER!$E$142:$E$148,axTER!$C$142:$C$148,BA514),SUMIFS(axTER!$E$151:$E$157,axTER!$C$151:$C$157,BA514)*AY$510)/10^6*$D$514</f>
        <v>593.30906517329083</v>
      </c>
      <c r="AX514" s="275" t="s">
        <v>253</v>
      </c>
      <c r="AY514" s="161" t="s">
        <v>254</v>
      </c>
      <c r="AZ514" s="161" t="s">
        <v>255</v>
      </c>
      <c r="BA514" s="161" t="s">
        <v>261</v>
      </c>
      <c r="BB514" s="276">
        <f>$H514*SUMIFS(axTER!$E$65:$E$105,axTER!$D$65:$D$105,AZ514,axTER!$C$65:$C$105,AX514)/SUMIFS(axTER!$E$108:$E$114,axTER!$C$108:$C$114,BA514)/10^9*$D$514</f>
        <v>0.35598543910397451</v>
      </c>
      <c r="IG514" s="269">
        <v>750</v>
      </c>
      <c r="IH514" s="66" t="s">
        <v>253</v>
      </c>
      <c r="II514" s="66" t="s">
        <v>254</v>
      </c>
      <c r="IJ514" s="66" t="s">
        <v>255</v>
      </c>
      <c r="IK514" s="66" t="s">
        <v>260</v>
      </c>
      <c r="IL514" s="272">
        <f>$H514*SUMIFS(axTER!$E$65:$E$105,axTER!$C$65:$C$105,IH514,axTER!$D$65:$D$105,IJ514)/SUMIFS(axTER!$E$108:$E$114,axTER!$C$108:$C$114,IK514)/10^9*$D$514</f>
        <v>1.1866181303465817</v>
      </c>
      <c r="IO514" s="273">
        <f t="shared" ref="IO514:IO577" si="1008">IF(IT514&lt;&gt;IJ514,IG514,0)</f>
        <v>750</v>
      </c>
      <c r="IP514" s="273">
        <f>$H514*IF(IT514&lt;&gt;IJ514,SUMIFS(axTER!$E$121:$E$128,axTER!$C$121:$C$128,IJ514,axTER!$D$121:$D$128,IT514),SUMIFS(axTER!$E$133:$E$138,axTER!$C$133:$C$138,IT514)*IS$510)*$D$514/10^6</f>
        <v>741.63633146661357</v>
      </c>
      <c r="IQ514" s="274">
        <f>$H514*IF(IU514&lt;&gt;IK514,SUMIFS(axTER!$E$142:$E$148,axTER!$C$142:$C$148,IU514),SUMIFS(axTER!$E$151:$E$157,axTER!$C$151:$C$157,IU514)*IS$510)/10^6*$D$514</f>
        <v>593.30906517329083</v>
      </c>
      <c r="IR514" s="275" t="s">
        <v>253</v>
      </c>
      <c r="IS514" s="161" t="s">
        <v>254</v>
      </c>
      <c r="IT514" s="277" t="s">
        <v>262</v>
      </c>
      <c r="IU514" s="277" t="s">
        <v>261</v>
      </c>
      <c r="IV514" s="276">
        <f>$H514*SUMIFS(axTER!$E$65:$E$105,axTER!$D$65:$D$105,IT514,axTER!$C$65:$C$105,IR514)/SUMIFS(axTER!$E$108:$E$114,axTER!$C$108:$C$114,IU514)/10^9*$D$514</f>
        <v>0.29665453258664543</v>
      </c>
      <c r="JI514" s="273">
        <f t="shared" ref="JI514:JI577" si="1009">IF(JN514&lt;&gt;IT514,IG514,0)</f>
        <v>750</v>
      </c>
      <c r="JJ514" s="273">
        <f>$H514*IF(JN514&lt;&gt;IT514,SUMIFS(axTER!$E$121:$E$128,axTER!$C$121:$C$128,IT514,axTER!$D$121:$D$128,JN514),SUMIFS(axTER!$E$133:$E$138,axTER!$C$133:$C$138,JN514)*JM$510)*$D$514/10^6</f>
        <v>0</v>
      </c>
      <c r="JK514" s="274">
        <f>$H514*IF(JO514&lt;&gt;IU514,SUMIFS(axTER!$E$142:$E$148,axTER!$C$142:$C$148,JO514),SUMIFS(axTER!$E$151:$E$157,axTER!$C$151:$C$157,JO514)*JM$510)/10^6*$D$514</f>
        <v>74.163633146661354</v>
      </c>
      <c r="JL514" s="275" t="s">
        <v>253</v>
      </c>
      <c r="JM514" s="161" t="s">
        <v>254</v>
      </c>
      <c r="JN514" s="161" t="s">
        <v>255</v>
      </c>
      <c r="JO514" s="161" t="s">
        <v>260</v>
      </c>
      <c r="JP514" s="276">
        <f>$H514*SUMIFS(axTER!$E$65:$E$105,axTER!$D$65:$D$105,JN514,axTER!$C$65:$C$105,JL514)/SUMIFS(axTER!$E$108:$E$114,axTER!$C$108:$C$114,JO514)/10^9*$D$514</f>
        <v>1.1866181303465817</v>
      </c>
      <c r="JR514" s="269">
        <v>750</v>
      </c>
      <c r="JS514" s="66" t="s">
        <v>253</v>
      </c>
      <c r="JT514" s="66" t="s">
        <v>254</v>
      </c>
      <c r="JU514" s="66" t="s">
        <v>255</v>
      </c>
      <c r="JV514" s="66" t="s">
        <v>260</v>
      </c>
      <c r="JW514" s="272">
        <f>$H514*SUMIFS(axTER!$E$65:$E$105,axTER!$C$65:$C$105,JS514,axTER!$D$65:$D$105,JU514)/SUMIFS(axTER!$E$108:$E$114,axTER!$C$108:$C$114,JV514)/10^9*$D$514</f>
        <v>1.1866181303465817</v>
      </c>
      <c r="JY514" s="273" t="str">
        <f t="shared" ref="JY514:JY577" si="1010">IF(KF514&lt;&gt;JV514,KF514,0)</f>
        <v>ELEC-PAC</v>
      </c>
      <c r="JZ514" s="273">
        <f t="shared" si="1005"/>
        <v>750</v>
      </c>
      <c r="KA514" s="273">
        <f>$H514*IF(KE514&lt;&gt;JU514,SUMIFS(axTER!$E$121:$E$128,axTER!$C$121:$C$128,JU514,axTER!$D$121:$D$128,KE514),SUMIFS(axTER!$E$133:$E$138,axTER!$C$133:$C$138,KE514)*KD$510)*$D$514/10^6</f>
        <v>741.63633146661357</v>
      </c>
      <c r="KB514" s="274">
        <f>$H514*IF(KF514&lt;&gt;JV514,SUMIFS(axTER!$E$142:$E$148,axTER!$C$142:$C$148,KF514),SUMIFS(axTER!$E$151:$E$157,axTER!$C$151:$C$157,KF514)*KD$510)/10^6*$D$514</f>
        <v>593.30906517329083</v>
      </c>
      <c r="KC514" s="275" t="s">
        <v>253</v>
      </c>
      <c r="KD514" s="161" t="s">
        <v>254</v>
      </c>
      <c r="KE514" s="161" t="s">
        <v>262</v>
      </c>
      <c r="KF514" s="161" t="s">
        <v>261</v>
      </c>
      <c r="KG514" s="276">
        <f>$H514*SUMIFS(axTER!$E$65:$E$105,axTER!$D$65:$D$105,KE514,axTER!$C$65:$C$105,KC514)/SUMIFS(axTER!$E$108:$E$114,axTER!$C$108:$C$114,KF514)/10^9*$D$514</f>
        <v>0.29665453258664543</v>
      </c>
      <c r="KS514" s="273">
        <f t="shared" ref="KS514:KS577" si="1011">IF(KZ514&lt;&gt;KF514,KZ514,0)</f>
        <v>0</v>
      </c>
      <c r="KT514" s="273">
        <f t="shared" ref="KT514:KT577" si="1012">IF(KY514&lt;&gt;KE514,JR514,0)</f>
        <v>0</v>
      </c>
      <c r="KU514" s="273">
        <f>$H514*IF(KY514&lt;&gt;KE514,SUMIFS(axTER!$E$121:$E$128,axTER!$C$121:$C$128,KE514,axTER!$D$121:$D$128,KY514),SUMIFS(axTER!$E$133:$E$138,axTER!$C$133:$C$138,KY514)*KX$510)*$D$514/10^6</f>
        <v>222.49089943998405</v>
      </c>
      <c r="KV514" s="274">
        <f>$H514*IF(KZ514&lt;&gt;KF514,SUMIFS(axTER!$E$142:$E$148,axTER!$C$142:$C$148,KZ514),SUMIFS(axTER!$E$151:$E$157,axTER!$C$151:$C$157,KZ514)*KX$510)/10^6*$D$514</f>
        <v>415.31634562130364</v>
      </c>
      <c r="KW514" s="275" t="s">
        <v>253</v>
      </c>
      <c r="KX514" s="161" t="s">
        <v>254</v>
      </c>
      <c r="KY514" s="161" t="s">
        <v>262</v>
      </c>
      <c r="KZ514" s="161" t="s">
        <v>261</v>
      </c>
      <c r="LA514" s="276">
        <f>$H514*SUMIFS(axTER!$E$65:$E$105,axTER!$D$65:$D$105,KY514,axTER!$C$65:$C$105,KW514)/SUMIFS(axTER!$E$108:$E$114,axTER!$C$108:$C$114,KZ514)/10^9*$D$514</f>
        <v>0.29665453258664543</v>
      </c>
      <c r="LC514" s="269">
        <v>750</v>
      </c>
      <c r="LD514" s="66" t="s">
        <v>253</v>
      </c>
      <c r="LE514" s="66" t="s">
        <v>254</v>
      </c>
      <c r="LF514" s="66" t="s">
        <v>255</v>
      </c>
      <c r="LG514" s="66" t="s">
        <v>260</v>
      </c>
      <c r="LH514" s="272">
        <f>$H514*SUMIFS(axTER!$E$65:$E$105,axTER!$C$65:$C$105,LD514,axTER!$D$65:$D$105,LF514)/SUMIFS(axTER!$E$108:$E$114,axTER!$C$108:$C$114,LG514)/10^9*$D$514</f>
        <v>1.1866181303465817</v>
      </c>
      <c r="LJ514" s="273">
        <f t="shared" ref="LJ514:LJ577" si="1013">IF(LQ514&lt;&gt;LG514,LQ514,0)</f>
        <v>0</v>
      </c>
      <c r="LK514" s="273">
        <f t="shared" si="1006"/>
        <v>0</v>
      </c>
      <c r="LL514" s="273">
        <f>$H514*IF(LP514&lt;&gt;LF514,SUMIFS(axTER!$E$121:$E$128,axTER!$C$121:$C$128,LF514,axTER!$D$121:$D$128,LP514),SUMIFS(axTER!$E$133:$E$138,axTER!$C$133:$C$138,LP514)*LO$510)*$D$514/10^6</f>
        <v>207.65817281065179</v>
      </c>
      <c r="LM514" s="274">
        <f>$H514*IF(LQ514&lt;&gt;LG514,SUMIFS(axTER!$E$142:$E$148,axTER!$C$142:$C$148,LQ514),SUMIFS(axTER!$E$151:$E$157,axTER!$C$151:$C$157,LQ514)*LO$510)/10^6*$D$514</f>
        <v>18.170090120932031</v>
      </c>
      <c r="LN514" s="275" t="s">
        <v>253</v>
      </c>
      <c r="LO514" s="161" t="s">
        <v>254</v>
      </c>
      <c r="LP514" s="161" t="s">
        <v>255</v>
      </c>
      <c r="LQ514" s="161" t="s">
        <v>260</v>
      </c>
      <c r="LR514" s="276">
        <f>$H514*SUMIFS(axTER!$E$65:$E$105,axTER!$D$65:$D$105,LP514,axTER!$C$65:$C$105,LN514)/SUMIFS(axTER!$E$108:$E$114,axTER!$C$108:$C$114,LQ514)/10^9*$D$514</f>
        <v>1.1866181303465817</v>
      </c>
      <c r="LT514" s="273" t="str">
        <f t="shared" ref="LT514:LT577" si="1014">IF(MA514&lt;&gt;LQ514,MA514,0)</f>
        <v>ELEC-PAC</v>
      </c>
      <c r="LU514" s="273">
        <f t="shared" ref="LU514:LU577" si="1015">IF(LZ514&lt;&gt;LP514,LC514,0)</f>
        <v>0</v>
      </c>
      <c r="LV514" s="273">
        <f>$H514*IF(LZ514&lt;&gt;LP514,SUMIFS(axTER!$E$121:$E$128,axTER!$C$121:$C$128,LP514,axTER!$D$121:$D$128,LZ514),SUMIFS(axTER!$E$133:$E$138,axTER!$C$133:$C$138,LZ514)*LY$510)*$D$514/10^6</f>
        <v>296.65453258664542</v>
      </c>
      <c r="LW514" s="274">
        <f>$H514*IF(MA514&lt;&gt;LQ514,SUMIFS(axTER!$E$142:$E$148,axTER!$C$142:$C$148,MA514),SUMIFS(axTER!$E$151:$E$157,axTER!$C$151:$C$157,MA514)*LY$510)/10^6*$D$514</f>
        <v>593.30906517329083</v>
      </c>
      <c r="LX514" s="275" t="s">
        <v>253</v>
      </c>
      <c r="LY514" s="161" t="s">
        <v>254</v>
      </c>
      <c r="LZ514" s="161" t="s">
        <v>255</v>
      </c>
      <c r="MA514" s="429" t="s">
        <v>261</v>
      </c>
      <c r="MB514" s="276">
        <f>$H514*SUMIFS(axTER!$E$65:$E$105,axTER!$D$65:$D$105,LZ514,axTER!$C$65:$C$105,LX514)/SUMIFS(axTER!$E$108:$E$114,axTER!$C$108:$C$114,MA514)/10^9*$D$514</f>
        <v>0.35598543910397451</v>
      </c>
      <c r="MD514" s="273">
        <f t="shared" si="1007"/>
        <v>0</v>
      </c>
      <c r="ME514" s="273">
        <f t="shared" ref="ME514:ME577" si="1016">IF(MJ514&lt;&gt;LZ514,LC514,0)</f>
        <v>0</v>
      </c>
      <c r="MF514" s="273">
        <f>$H514*IF(MJ514&lt;&gt;LZ514,SUMIFS(axTER!$E$121:$E$128,axTER!$C$121:$C$128,LZ514,axTER!$D$121:$D$128,MJ514),SUMIFS(axTER!$E$133:$E$138,axTER!$C$133:$C$138,MJ514)*MI$510)*$D$514/10^6</f>
        <v>296.65453258664542</v>
      </c>
      <c r="MG514" s="274">
        <f>$H514*IF(MK514&lt;&gt;MA514,SUMIFS(axTER!$E$142:$E$148,axTER!$C$142:$C$148,MK514),SUMIFS(axTER!$E$151:$E$157,axTER!$C$151:$C$157,MK514)*MI$510)/10^6*$D$514</f>
        <v>207.65817281065182</v>
      </c>
      <c r="MH514" s="275" t="s">
        <v>253</v>
      </c>
      <c r="MI514" s="161" t="s">
        <v>254</v>
      </c>
      <c r="MJ514" s="161" t="s">
        <v>255</v>
      </c>
      <c r="MK514" s="161" t="s">
        <v>261</v>
      </c>
      <c r="ML514" s="276">
        <f>$H514*SUMIFS(axTER!$E$65:$E$105,axTER!$D$65:$D$105,MJ514,axTER!$C$65:$C$105,MH514)/SUMIFS(axTER!$E$108:$E$114,axTER!$C$108:$C$114,MK514)/10^9*$D$514</f>
        <v>0.35598543910397451</v>
      </c>
    </row>
    <row r="515" spans="3:350" outlineLevel="1" x14ac:dyDescent="0.3">
      <c r="C515" s="279"/>
      <c r="D515" s="280"/>
      <c r="E515" s="281"/>
      <c r="F515" s="266"/>
      <c r="H515" s="269">
        <v>1200</v>
      </c>
      <c r="I515" s="66" t="s">
        <v>253</v>
      </c>
      <c r="J515" s="66" t="s">
        <v>263</v>
      </c>
      <c r="K515" s="66" t="s">
        <v>255</v>
      </c>
      <c r="L515" s="66" t="s">
        <v>256</v>
      </c>
      <c r="M515" s="272">
        <f>$H515*SUMIFS(axTER!$E$65:$E$105,axTER!$C$65:$C$105,I515,axTER!$D$65:$D$105,K515)/SUMIFS(axTER!$E$108:$E$114,axTER!$C$108:$C$114,L515)/10^9*$D$514</f>
        <v>1.7986632712621871</v>
      </c>
      <c r="S515" s="269">
        <v>1200</v>
      </c>
      <c r="T515" s="66" t="s">
        <v>253</v>
      </c>
      <c r="U515" s="66" t="s">
        <v>263</v>
      </c>
      <c r="V515" s="66" t="s">
        <v>255</v>
      </c>
      <c r="W515" s="66" t="s">
        <v>256</v>
      </c>
      <c r="X515" s="272">
        <f>$H515*SUMIFS(axTER!$E$65:$E$105,axTER!$C$65:$C$105,T515,axTER!$D$65:$D$105,V515)/SUMIFS(axTER!$E$108:$E$114,axTER!$C$108:$C$114,W515)/10^9*$D$514</f>
        <v>1.7986632712621871</v>
      </c>
      <c r="AB515" s="273">
        <f>$H515*IF(AF515&lt;&gt;K515,SUMIFS(axTER!$E$121:$E$128,axTER!$C$121:$C$128,K515,axTER!$D$121:$D$128,AF515),SUMIFS(axTER!$E$133:$E$138,axTER!$C$133:$C$138,AF515)*AE$510)*$D$514/10^6</f>
        <v>474.64725213863267</v>
      </c>
      <c r="AC515" s="274">
        <f>$H515*IF(AG515&lt;&gt;L515,SUMIFS(axTER!$E$142:$E$148,axTER!$C$142:$C$148,AG515),SUMIFS(axTER!$E$151:$E$157,axTER!$C$151:$C$157,AG515)*AE$510)/10^6*$D$514</f>
        <v>74.756942211834655</v>
      </c>
      <c r="AD515" s="275" t="s">
        <v>253</v>
      </c>
      <c r="AE515" s="161" t="s">
        <v>263</v>
      </c>
      <c r="AF515" s="161" t="s">
        <v>255</v>
      </c>
      <c r="AG515" s="161" t="s">
        <v>256</v>
      </c>
      <c r="AH515" s="276">
        <f>$H515*SUMIFS(axTER!$E$65:$E$105,axTER!$D$65:$D$105,AF515,axTER!$C$65:$C$105,AD515)/SUMIFS(axTER!$E$108:$E$114,axTER!$C$108:$C$114,AG515)/10^9*$D$514</f>
        <v>1.7986632712621871</v>
      </c>
      <c r="AV515" s="273">
        <f>$H515*IF(AZ515&lt;&gt;AF515,SUMIFS(axTER!$E$121:$E$128,axTER!$C$121:$C$128,AF515,axTER!$D$121:$D$128,AZ515),SUMIFS(axTER!$E$133:$E$138,axTER!$C$133:$C$138,AZ515)*AY$510)*$D$514/10^6</f>
        <v>949.29450427726533</v>
      </c>
      <c r="AW515" s="274">
        <f>$H515*IF(BA515&lt;&gt;AG515,SUMIFS(axTER!$E$142:$E$148,axTER!$C$142:$C$148,BA515),SUMIFS(axTER!$E$151:$E$157,axTER!$C$151:$C$157,BA515)*AY$510)/10^6*$D$514</f>
        <v>149.51388442366931</v>
      </c>
      <c r="AX515" s="275" t="s">
        <v>253</v>
      </c>
      <c r="AY515" s="161" t="s">
        <v>263</v>
      </c>
      <c r="AZ515" s="161" t="s">
        <v>255</v>
      </c>
      <c r="BA515" s="161" t="s">
        <v>256</v>
      </c>
      <c r="BB515" s="276">
        <f>$H515*SUMIFS(axTER!$E$65:$E$105,axTER!$D$65:$D$105,AZ515,axTER!$C$65:$C$105,AX515)/SUMIFS(axTER!$E$108:$E$114,axTER!$C$108:$C$114,BA515)/10^9*$D$514</f>
        <v>1.7986632712621871</v>
      </c>
      <c r="IG515" s="269">
        <v>1200</v>
      </c>
      <c r="IH515" s="66" t="s">
        <v>253</v>
      </c>
      <c r="II515" s="66" t="s">
        <v>263</v>
      </c>
      <c r="IJ515" s="66" t="s">
        <v>255</v>
      </c>
      <c r="IK515" s="66" t="s">
        <v>256</v>
      </c>
      <c r="IL515" s="272">
        <f>$H515*SUMIFS(axTER!$E$65:$E$105,axTER!$C$65:$C$105,IH515,axTER!$D$65:$D$105,IJ515)/SUMIFS(axTER!$E$108:$E$114,axTER!$C$108:$C$114,IK515)/10^9*$D$514</f>
        <v>1.7986632712621871</v>
      </c>
      <c r="IO515" s="273">
        <f t="shared" si="1008"/>
        <v>1200</v>
      </c>
      <c r="IP515" s="273">
        <f>$H515*IF(IT515&lt;&gt;IJ515,SUMIFS(axTER!$E$121:$E$128,axTER!$C$121:$C$128,IJ515,axTER!$D$121:$D$128,IT515),SUMIFS(axTER!$E$133:$E$138,axTER!$C$133:$C$138,IT515)*IS$510)*$D$514/10^6</f>
        <v>5339.7815865596167</v>
      </c>
      <c r="IQ515" s="274">
        <f>$H515*IF(IU515&lt;&gt;IK515,SUMIFS(axTER!$E$142:$E$148,axTER!$C$142:$C$148,IU515),SUMIFS(axTER!$E$151:$E$157,axTER!$C$151:$C$157,IU515)*IS$510)/10^6*$D$514</f>
        <v>74.756942211834655</v>
      </c>
      <c r="IR515" s="275" t="s">
        <v>253</v>
      </c>
      <c r="IS515" s="161" t="s">
        <v>263</v>
      </c>
      <c r="IT515" s="277" t="s">
        <v>257</v>
      </c>
      <c r="IU515" s="161" t="s">
        <v>256</v>
      </c>
      <c r="IV515" s="276">
        <f>$H515*SUMIFS(axTER!$E$65:$E$105,axTER!$D$65:$D$105,IT515,axTER!$C$65:$C$105,IR515)/SUMIFS(axTER!$E$108:$E$114,axTER!$C$108:$C$114,IU515)/10^9*$D$514</f>
        <v>0.62453585807714818</v>
      </c>
      <c r="JI515" s="273">
        <f t="shared" si="1009"/>
        <v>1200</v>
      </c>
      <c r="JJ515" s="273">
        <f>$H515*IF(JN515&lt;&gt;IT515,SUMIFS(axTER!$E$121:$E$128,axTER!$C$121:$C$128,IT515,axTER!$D$121:$D$128,JN515),SUMIFS(axTER!$E$133:$E$138,axTER!$C$133:$C$138,JN515)*JM$510)*$D$514/10^6</f>
        <v>0</v>
      </c>
      <c r="JK515" s="274">
        <f>$H515*IF(JO515&lt;&gt;IU515,SUMIFS(axTER!$E$142:$E$148,axTER!$C$142:$C$148,JO515),SUMIFS(axTER!$E$151:$E$157,axTER!$C$151:$C$157,JO515)*JM$510)/10^6*$D$514</f>
        <v>149.51388442366931</v>
      </c>
      <c r="JL515" s="275" t="s">
        <v>253</v>
      </c>
      <c r="JM515" s="161" t="s">
        <v>263</v>
      </c>
      <c r="JN515" s="161" t="s">
        <v>255</v>
      </c>
      <c r="JO515" s="161" t="s">
        <v>256</v>
      </c>
      <c r="JP515" s="276">
        <f>$H515*SUMIFS(axTER!$E$65:$E$105,axTER!$D$65:$D$105,JN515,axTER!$C$65:$C$105,JL515)/SUMIFS(axTER!$E$108:$E$114,axTER!$C$108:$C$114,JO515)/10^9*$D$514</f>
        <v>1.7986632712621871</v>
      </c>
      <c r="JR515" s="269">
        <v>1200</v>
      </c>
      <c r="JS515" s="66" t="s">
        <v>253</v>
      </c>
      <c r="JT515" s="66" t="s">
        <v>263</v>
      </c>
      <c r="JU515" s="66" t="s">
        <v>255</v>
      </c>
      <c r="JV515" s="66" t="s">
        <v>256</v>
      </c>
      <c r="JW515" s="272">
        <f>$H515*SUMIFS(axTER!$E$65:$E$105,axTER!$C$65:$C$105,JS515,axTER!$D$65:$D$105,JU515)/SUMIFS(axTER!$E$108:$E$114,axTER!$C$108:$C$114,JV515)/10^9*$D$514</f>
        <v>1.7986632712621871</v>
      </c>
      <c r="JY515" s="273" t="str">
        <f t="shared" si="1010"/>
        <v>URBAIN</v>
      </c>
      <c r="JZ515" s="273">
        <f t="shared" si="1005"/>
        <v>1200</v>
      </c>
      <c r="KA515" s="273">
        <f>$H515*IF(KE515&lt;&gt;JU515,SUMIFS(axTER!$E$121:$E$128,axTER!$C$121:$C$128,JU515,axTER!$D$121:$D$128,KE515),SUMIFS(axTER!$E$133:$E$138,axTER!$C$133:$C$138,KE515)*KD$510)*$D$514/10^6</f>
        <v>5339.7815865596167</v>
      </c>
      <c r="KB515" s="274">
        <f>$H515*IF(KF515&lt;&gt;JV515,SUMIFS(axTER!$E$142:$E$148,axTER!$C$142:$C$148,KF515),SUMIFS(axTER!$E$151:$E$157,axTER!$C$151:$C$157,KF515)*KD$510)/10^6*$D$514</f>
        <v>367.85162040744029</v>
      </c>
      <c r="KC515" s="275" t="s">
        <v>253</v>
      </c>
      <c r="KD515" s="161" t="s">
        <v>263</v>
      </c>
      <c r="KE515" s="161" t="s">
        <v>257</v>
      </c>
      <c r="KF515" s="161" t="s">
        <v>258</v>
      </c>
      <c r="KG515" s="276">
        <f>$H515*SUMIFS(axTER!$E$65:$E$105,axTER!$D$65:$D$105,KE515,axTER!$C$65:$C$105,KC515)/SUMIFS(axTER!$E$108:$E$114,axTER!$C$108:$C$114,KF515)/10^9*$D$514</f>
        <v>0.59330906517329085</v>
      </c>
      <c r="KS515" s="273">
        <f t="shared" si="1011"/>
        <v>0</v>
      </c>
      <c r="KT515" s="273">
        <f t="shared" si="1012"/>
        <v>0</v>
      </c>
      <c r="KU515" s="273">
        <f>$H515*IF(KY515&lt;&gt;KE515,SUMIFS(axTER!$E$121:$E$128,axTER!$C$121:$C$128,KE515,axTER!$D$121:$D$128,KY515),SUMIFS(axTER!$E$133:$E$138,axTER!$C$133:$C$138,KY515)*KX$510)*$D$514/10^6</f>
        <v>355.98543910397444</v>
      </c>
      <c r="KV515" s="274">
        <f>$H515*IF(KZ515&lt;&gt;KF515,SUMIFS(axTER!$E$142:$E$148,axTER!$C$142:$C$148,KZ515),SUMIFS(axTER!$E$151:$E$157,axTER!$C$151:$C$157,KZ515)*KX$510)/10^6*$D$514</f>
        <v>257.49613428520826</v>
      </c>
      <c r="KW515" s="275" t="s">
        <v>253</v>
      </c>
      <c r="KX515" s="161" t="s">
        <v>263</v>
      </c>
      <c r="KY515" s="161" t="s">
        <v>257</v>
      </c>
      <c r="KZ515" s="161" t="s">
        <v>258</v>
      </c>
      <c r="LA515" s="276">
        <f>$H515*SUMIFS(axTER!$E$65:$E$105,axTER!$D$65:$D$105,KY515,axTER!$C$65:$C$105,KW515)/SUMIFS(axTER!$E$108:$E$114,axTER!$C$108:$C$114,KZ515)/10^9*$D$514</f>
        <v>0.59330906517329085</v>
      </c>
      <c r="LC515" s="269">
        <v>1200</v>
      </c>
      <c r="LD515" s="66" t="s">
        <v>253</v>
      </c>
      <c r="LE515" s="66" t="s">
        <v>263</v>
      </c>
      <c r="LF515" s="66" t="s">
        <v>255</v>
      </c>
      <c r="LG515" s="66" t="s">
        <v>256</v>
      </c>
      <c r="LH515" s="272">
        <f>$H515*SUMIFS(axTER!$E$65:$E$105,axTER!$C$65:$C$105,LD515,axTER!$D$65:$D$105,LF515)/SUMIFS(axTER!$E$108:$E$114,axTER!$C$108:$C$114,LG515)/10^9*$D$514</f>
        <v>1.7986632712621871</v>
      </c>
      <c r="LJ515" s="273" t="str">
        <f t="shared" si="1013"/>
        <v>ELEC-PAC</v>
      </c>
      <c r="LK515" s="273">
        <f t="shared" si="1006"/>
        <v>1200</v>
      </c>
      <c r="LL515" s="273">
        <f>$H515*IF(LP515&lt;&gt;LF515,SUMIFS(axTER!$E$121:$E$128,axTER!$C$121:$C$128,LF515,axTER!$D$121:$D$128,LP515),SUMIFS(axTER!$E$133:$E$138,axTER!$C$133:$C$138,LP515)*LO$510)*$D$514/10^6</f>
        <v>5339.7815865596167</v>
      </c>
      <c r="LM515" s="274">
        <f>$H515*IF(LQ515&lt;&gt;LG515,SUMIFS(axTER!$E$142:$E$148,axTER!$C$142:$C$148,LQ515),SUMIFS(axTER!$E$151:$E$157,axTER!$C$151:$C$157,LQ515)*LO$510)/10^6*$D$514</f>
        <v>949.29450427726533</v>
      </c>
      <c r="LN515" s="275" t="s">
        <v>253</v>
      </c>
      <c r="LO515" s="161" t="s">
        <v>263</v>
      </c>
      <c r="LP515" s="161" t="s">
        <v>257</v>
      </c>
      <c r="LQ515" s="161" t="s">
        <v>261</v>
      </c>
      <c r="LR515" s="276">
        <f>$H515*SUMIFS(axTER!$E$65:$E$105,axTER!$D$65:$D$105,LP515,axTER!$C$65:$C$105,LN515)/SUMIFS(axTER!$E$108:$E$114,axTER!$C$108:$C$114,LQ515)/10^9*$D$514</f>
        <v>0.19776968839109696</v>
      </c>
      <c r="LT515" s="273">
        <f t="shared" si="1014"/>
        <v>0</v>
      </c>
      <c r="LU515" s="273">
        <f t="shared" si="1015"/>
        <v>0</v>
      </c>
      <c r="LV515" s="273">
        <f>$H515*IF(LZ515&lt;&gt;LP515,SUMIFS(axTER!$E$121:$E$128,axTER!$C$121:$C$128,LP515,axTER!$D$121:$D$128,LZ515),SUMIFS(axTER!$E$133:$E$138,axTER!$C$133:$C$138,LZ515)*LY$510)*$D$514/10^6</f>
        <v>177.99271955198722</v>
      </c>
      <c r="LW515" s="274">
        <f>$H515*IF(MA515&lt;&gt;LQ515,SUMIFS(axTER!$E$142:$E$148,axTER!$C$142:$C$148,MA515),SUMIFS(axTER!$E$151:$E$157,axTER!$C$151:$C$157,MA515)*LY$510)/10^6*$D$514</f>
        <v>332.25307649704291</v>
      </c>
      <c r="LX515" s="275" t="s">
        <v>253</v>
      </c>
      <c r="LY515" s="161" t="s">
        <v>263</v>
      </c>
      <c r="LZ515" s="161" t="s">
        <v>257</v>
      </c>
      <c r="MA515" s="161" t="s">
        <v>261</v>
      </c>
      <c r="MB515" s="276">
        <f>$H515*SUMIFS(axTER!$E$65:$E$105,axTER!$D$65:$D$105,LZ515,axTER!$C$65:$C$105,LX515)/SUMIFS(axTER!$E$108:$E$114,axTER!$C$108:$C$114,MA515)/10^9*$D$514</f>
        <v>0.19776968839109696</v>
      </c>
      <c r="MD515" s="273">
        <f t="shared" si="1007"/>
        <v>0</v>
      </c>
      <c r="ME515" s="273">
        <f t="shared" si="1016"/>
        <v>0</v>
      </c>
      <c r="MF515" s="273">
        <f>$H515*IF(MJ515&lt;&gt;LZ515,SUMIFS(axTER!$E$121:$E$128,axTER!$C$121:$C$128,LZ515,axTER!$D$121:$D$128,MJ515),SUMIFS(axTER!$E$133:$E$138,axTER!$C$133:$C$138,MJ515)*MI$510)*$D$514/10^6</f>
        <v>177.99271955198722</v>
      </c>
      <c r="MG515" s="274">
        <f>$H515*IF(MK515&lt;&gt;MA515,SUMIFS(axTER!$E$142:$E$148,axTER!$C$142:$C$148,MK515),SUMIFS(axTER!$E$151:$E$157,axTER!$C$151:$C$157,MK515)*MI$510)/10^6*$D$514</f>
        <v>332.25307649704291</v>
      </c>
      <c r="MH515" s="275" t="s">
        <v>253</v>
      </c>
      <c r="MI515" s="161" t="s">
        <v>263</v>
      </c>
      <c r="MJ515" s="161" t="s">
        <v>257</v>
      </c>
      <c r="MK515" s="161" t="s">
        <v>261</v>
      </c>
      <c r="ML515" s="276">
        <f>$H515*SUMIFS(axTER!$E$65:$E$105,axTER!$D$65:$D$105,MJ515,axTER!$C$65:$C$105,MH515)/SUMIFS(axTER!$E$108:$E$114,axTER!$C$108:$C$114,MK515)/10^9*$D$514</f>
        <v>0.19776968839109696</v>
      </c>
    </row>
    <row r="516" spans="3:350" outlineLevel="1" x14ac:dyDescent="0.3">
      <c r="C516" s="279"/>
      <c r="D516" s="280"/>
      <c r="E516" s="281"/>
      <c r="F516" s="266"/>
      <c r="H516" s="269">
        <v>750</v>
      </c>
      <c r="I516" s="66" t="s">
        <v>253</v>
      </c>
      <c r="J516" s="66" t="s">
        <v>263</v>
      </c>
      <c r="K516" s="66" t="s">
        <v>255</v>
      </c>
      <c r="L516" s="66" t="s">
        <v>260</v>
      </c>
      <c r="M516" s="272">
        <f>$H516*SUMIFS(axTER!$E$65:$E$105,axTER!$C$65:$C$105,I516,axTER!$D$65:$D$105,K516)/SUMIFS(axTER!$E$108:$E$114,axTER!$C$108:$C$114,L516)/10^9*$D$514</f>
        <v>1.1866181303465817</v>
      </c>
      <c r="S516" s="269">
        <v>750</v>
      </c>
      <c r="T516" s="66" t="s">
        <v>253</v>
      </c>
      <c r="U516" s="66" t="s">
        <v>263</v>
      </c>
      <c r="V516" s="66" t="s">
        <v>255</v>
      </c>
      <c r="W516" s="66" t="s">
        <v>260</v>
      </c>
      <c r="X516" s="272">
        <f>$H516*SUMIFS(axTER!$E$65:$E$105,axTER!$C$65:$C$105,T516,axTER!$D$65:$D$105,V516)/SUMIFS(axTER!$E$108:$E$114,axTER!$C$108:$C$114,W516)/10^9*$D$514</f>
        <v>1.1866181303465817</v>
      </c>
      <c r="AB516" s="273">
        <f>$H516*IF(AF516&lt;&gt;K516,SUMIFS(axTER!$E$121:$E$128,axTER!$C$121:$C$128,K516,axTER!$D$121:$D$128,AF516),SUMIFS(axTER!$E$133:$E$138,axTER!$C$133:$C$138,AF516)*AE$510)*$D$514/10^6</f>
        <v>296.65453258664542</v>
      </c>
      <c r="AC516" s="274">
        <f>$H516*IF(AG516&lt;&gt;L516,SUMIFS(axTER!$E$142:$E$148,axTER!$C$142:$C$148,AG516),SUMIFS(axTER!$E$151:$E$157,axTER!$C$151:$C$157,AG516)*AE$510)/10^6*$D$514</f>
        <v>25.957271601331477</v>
      </c>
      <c r="AD516" s="275" t="s">
        <v>253</v>
      </c>
      <c r="AE516" s="161" t="s">
        <v>263</v>
      </c>
      <c r="AF516" s="161" t="s">
        <v>255</v>
      </c>
      <c r="AG516" s="161" t="s">
        <v>260</v>
      </c>
      <c r="AH516" s="276">
        <f>$H516*SUMIFS(axTER!$E$65:$E$105,axTER!$D$65:$D$105,AF516,axTER!$C$65:$C$105,AD516)/SUMIFS(axTER!$E$108:$E$114,axTER!$C$108:$C$114,AG516)/10^9*$D$514</f>
        <v>1.1866181303465817</v>
      </c>
      <c r="AV516" s="273">
        <f>$H516*IF(AZ516&lt;&gt;AF516,SUMIFS(axTER!$E$121:$E$128,axTER!$C$121:$C$128,AF516,axTER!$D$121:$D$128,AZ516),SUMIFS(axTER!$E$133:$E$138,axTER!$C$133:$C$138,AZ516)*AY$510)*$D$514/10^6</f>
        <v>593.30906517329083</v>
      </c>
      <c r="AW516" s="274">
        <f>$H516*IF(BA516&lt;&gt;AG516,SUMIFS(axTER!$E$142:$E$148,axTER!$C$142:$C$148,BA516),SUMIFS(axTER!$E$151:$E$157,axTER!$C$151:$C$157,BA516)*AY$510)/10^6*$D$514</f>
        <v>593.30906517329083</v>
      </c>
      <c r="AX516" s="275" t="s">
        <v>253</v>
      </c>
      <c r="AY516" s="161" t="s">
        <v>263</v>
      </c>
      <c r="AZ516" s="161" t="s">
        <v>255</v>
      </c>
      <c r="BA516" s="161" t="s">
        <v>261</v>
      </c>
      <c r="BB516" s="276">
        <f>$H516*SUMIFS(axTER!$E$65:$E$105,axTER!$D$65:$D$105,AZ516,axTER!$C$65:$C$105,AX516)/SUMIFS(axTER!$E$108:$E$114,axTER!$C$108:$C$114,BA516)/10^9*$D$514</f>
        <v>0.35598543910397451</v>
      </c>
      <c r="IG516" s="269">
        <v>750</v>
      </c>
      <c r="IH516" s="66" t="s">
        <v>253</v>
      </c>
      <c r="II516" s="66" t="s">
        <v>263</v>
      </c>
      <c r="IJ516" s="66" t="s">
        <v>255</v>
      </c>
      <c r="IK516" s="66" t="s">
        <v>260</v>
      </c>
      <c r="IL516" s="272">
        <f>$H516*SUMIFS(axTER!$E$65:$E$105,axTER!$C$65:$C$105,IH516,axTER!$D$65:$D$105,IJ516)/SUMIFS(axTER!$E$108:$E$114,axTER!$C$108:$C$114,IK516)/10^9*$D$514</f>
        <v>1.1866181303465817</v>
      </c>
      <c r="IO516" s="273">
        <f t="shared" si="1008"/>
        <v>0</v>
      </c>
      <c r="IP516" s="273">
        <f>$H516*IF(IT516&lt;&gt;IJ516,SUMIFS(axTER!$E$121:$E$128,axTER!$C$121:$C$128,IJ516,axTER!$D$121:$D$128,IT516),SUMIFS(axTER!$E$133:$E$138,axTER!$C$133:$C$138,IT516)*IS$510)*$D$514/10^6</f>
        <v>296.65453258664542</v>
      </c>
      <c r="IQ516" s="274">
        <f>$H516*IF(IU516&lt;&gt;IK516,SUMIFS(axTER!$E$142:$E$148,axTER!$C$142:$C$148,IU516),SUMIFS(axTER!$E$151:$E$157,axTER!$C$151:$C$157,IU516)*IS$510)/10^6*$D$514</f>
        <v>25.957271601331477</v>
      </c>
      <c r="IR516" s="275" t="s">
        <v>253</v>
      </c>
      <c r="IS516" s="161" t="s">
        <v>263</v>
      </c>
      <c r="IT516" s="161" t="s">
        <v>255</v>
      </c>
      <c r="IU516" s="161" t="s">
        <v>260</v>
      </c>
      <c r="IV516" s="276">
        <f>$H516*SUMIFS(axTER!$E$65:$E$105,axTER!$D$65:$D$105,IT516,axTER!$C$65:$C$105,IR516)/SUMIFS(axTER!$E$108:$E$114,axTER!$C$108:$C$114,IU516)/10^9*$D$514</f>
        <v>1.1866181303465817</v>
      </c>
      <c r="JI516" s="273">
        <f t="shared" si="1009"/>
        <v>0</v>
      </c>
      <c r="JJ516" s="273">
        <f>$H516*IF(JN516&lt;&gt;IT516,SUMIFS(axTER!$E$121:$E$128,axTER!$C$121:$C$128,IT516,axTER!$D$121:$D$128,JN516),SUMIFS(axTER!$E$133:$E$138,axTER!$C$133:$C$138,JN516)*JM$510)*$D$514/10^6</f>
        <v>593.30906517329083</v>
      </c>
      <c r="JK516" s="274">
        <f>$H516*IF(JO516&lt;&gt;IU516,SUMIFS(axTER!$E$142:$E$148,axTER!$C$142:$C$148,JO516),SUMIFS(axTER!$E$151:$E$157,axTER!$C$151:$C$157,JO516)*JM$510)/10^6*$D$514</f>
        <v>51.914543202662955</v>
      </c>
      <c r="JL516" s="275" t="s">
        <v>253</v>
      </c>
      <c r="JM516" s="161" t="s">
        <v>263</v>
      </c>
      <c r="JN516" s="161" t="s">
        <v>255</v>
      </c>
      <c r="JO516" s="161" t="s">
        <v>260</v>
      </c>
      <c r="JP516" s="276">
        <f>$H516*SUMIFS(axTER!$E$65:$E$105,axTER!$D$65:$D$105,JN516,axTER!$C$65:$C$105,JL516)/SUMIFS(axTER!$E$108:$E$114,axTER!$C$108:$C$114,JO516)/10^9*$D$514</f>
        <v>1.1866181303465817</v>
      </c>
      <c r="JR516" s="269">
        <v>750</v>
      </c>
      <c r="JS516" s="66" t="s">
        <v>253</v>
      </c>
      <c r="JT516" s="66" t="s">
        <v>263</v>
      </c>
      <c r="JU516" s="66" t="s">
        <v>255</v>
      </c>
      <c r="JV516" s="66" t="s">
        <v>260</v>
      </c>
      <c r="JW516" s="272">
        <f>$H516*SUMIFS(axTER!$E$65:$E$105,axTER!$C$65:$C$105,JS516,axTER!$D$65:$D$105,JU516)/SUMIFS(axTER!$E$108:$E$114,axTER!$C$108:$C$114,JV516)/10^9*$D$514</f>
        <v>1.1866181303465817</v>
      </c>
      <c r="JY516" s="273">
        <f t="shared" si="1010"/>
        <v>0</v>
      </c>
      <c r="JZ516" s="273">
        <f t="shared" si="1005"/>
        <v>0</v>
      </c>
      <c r="KA516" s="273">
        <f>$H516*IF(KE516&lt;&gt;JU516,SUMIFS(axTER!$E$121:$E$128,axTER!$C$121:$C$128,JU516,axTER!$D$121:$D$128,KE516),SUMIFS(axTER!$E$133:$E$138,axTER!$C$133:$C$138,KE516)*KD$510)*$D$514/10^6</f>
        <v>207.65817281065179</v>
      </c>
      <c r="KB516" s="274">
        <f>$H516*IF(KF516&lt;&gt;JV516,SUMIFS(axTER!$E$142:$E$148,axTER!$C$142:$C$148,KF516),SUMIFS(axTER!$E$151:$E$157,axTER!$C$151:$C$157,KF516)*KD$510)/10^6*$D$514</f>
        <v>18.170090120932031</v>
      </c>
      <c r="KC516" s="275" t="s">
        <v>253</v>
      </c>
      <c r="KD516" s="161" t="s">
        <v>263</v>
      </c>
      <c r="KE516" s="161" t="s">
        <v>255</v>
      </c>
      <c r="KF516" s="161" t="s">
        <v>260</v>
      </c>
      <c r="KG516" s="276">
        <f>$H516*SUMIFS(axTER!$E$65:$E$105,axTER!$D$65:$D$105,KE516,axTER!$C$65:$C$105,KC516)/SUMIFS(axTER!$E$108:$E$114,axTER!$C$108:$C$114,KF516)/10^9*$D$514</f>
        <v>1.1866181303465817</v>
      </c>
      <c r="KS516" s="273" t="str">
        <f t="shared" si="1011"/>
        <v>ELEC-PAC</v>
      </c>
      <c r="KT516" s="273">
        <f t="shared" si="1012"/>
        <v>750</v>
      </c>
      <c r="KU516" s="273">
        <f>$H516*IF(KY516&lt;&gt;KE516,SUMIFS(axTER!$E$121:$E$128,axTER!$C$121:$C$128,KE516,axTER!$D$121:$D$128,KY516),SUMIFS(axTER!$E$133:$E$138,axTER!$C$133:$C$138,KY516)*KX$510)*$D$514/10^6</f>
        <v>1483.2726629332271</v>
      </c>
      <c r="KV516" s="274">
        <f>$H516*IF(KZ516&lt;&gt;KF516,SUMIFS(axTER!$E$142:$E$148,axTER!$C$142:$C$148,KZ516),SUMIFS(axTER!$E$151:$E$157,axTER!$C$151:$C$157,KZ516)*KX$510)/10^6*$D$514</f>
        <v>593.30906517329083</v>
      </c>
      <c r="KW516" s="275" t="s">
        <v>253</v>
      </c>
      <c r="KX516" s="161" t="s">
        <v>263</v>
      </c>
      <c r="KY516" s="161" t="s">
        <v>264</v>
      </c>
      <c r="KZ516" s="161" t="s">
        <v>261</v>
      </c>
      <c r="LA516" s="276">
        <f>$H516*SUMIFS(axTER!$E$65:$E$105,axTER!$D$65:$D$105,KY516,axTER!$C$65:$C$105,KW516)/SUMIFS(axTER!$E$108:$E$114,axTER!$C$108:$C$114,KZ516)/10^9*$D$514</f>
        <v>0.19776968839109696</v>
      </c>
      <c r="LC516" s="269">
        <v>750</v>
      </c>
      <c r="LD516" s="66" t="s">
        <v>253</v>
      </c>
      <c r="LE516" s="66" t="s">
        <v>263</v>
      </c>
      <c r="LF516" s="66" t="s">
        <v>255</v>
      </c>
      <c r="LG516" s="66" t="s">
        <v>260</v>
      </c>
      <c r="LH516" s="272">
        <f>$H516*SUMIFS(axTER!$E$65:$E$105,axTER!$C$65:$C$105,LD516,axTER!$D$65:$D$105,LF516)/SUMIFS(axTER!$E$108:$E$114,axTER!$C$108:$C$114,LG516)/10^9*$D$514</f>
        <v>1.1866181303465817</v>
      </c>
      <c r="LJ516" s="273">
        <f t="shared" si="1013"/>
        <v>0</v>
      </c>
      <c r="LK516" s="273">
        <f t="shared" si="1006"/>
        <v>0</v>
      </c>
      <c r="LL516" s="273">
        <f>$H516*IF(LP516&lt;&gt;LF516,SUMIFS(axTER!$E$121:$E$128,axTER!$C$121:$C$128,LF516,axTER!$D$121:$D$128,LP516),SUMIFS(axTER!$E$133:$E$138,axTER!$C$133:$C$138,LP516)*LO$510)*$D$514/10^6</f>
        <v>207.65817281065179</v>
      </c>
      <c r="LM516" s="274">
        <f>$H516*IF(LQ516&lt;&gt;LG516,SUMIFS(axTER!$E$142:$E$148,axTER!$C$142:$C$148,LQ516),SUMIFS(axTER!$E$151:$E$157,axTER!$C$151:$C$157,LQ516)*LO$510)/10^6*$D$514</f>
        <v>18.170090120932031</v>
      </c>
      <c r="LN516" s="275" t="s">
        <v>253</v>
      </c>
      <c r="LO516" s="161" t="s">
        <v>263</v>
      </c>
      <c r="LP516" s="161" t="s">
        <v>255</v>
      </c>
      <c r="LQ516" s="161" t="s">
        <v>260</v>
      </c>
      <c r="LR516" s="276">
        <f>$H516*SUMIFS(axTER!$E$65:$E$105,axTER!$D$65:$D$105,LP516,axTER!$C$65:$C$105,LN516)/SUMIFS(axTER!$E$108:$E$114,axTER!$C$108:$C$114,LQ516)/10^9*$D$514</f>
        <v>1.1866181303465817</v>
      </c>
      <c r="LT516" s="273" t="str">
        <f t="shared" si="1014"/>
        <v>ELEC-PAC</v>
      </c>
      <c r="LU516" s="273">
        <f t="shared" si="1015"/>
        <v>0</v>
      </c>
      <c r="LV516" s="273">
        <f>$H516*IF(LZ516&lt;&gt;LP516,SUMIFS(axTER!$E$121:$E$128,axTER!$C$121:$C$128,LP516,axTER!$D$121:$D$128,LZ516),SUMIFS(axTER!$E$133:$E$138,axTER!$C$133:$C$138,LZ516)*LY$510)*$D$514/10^6</f>
        <v>296.65453258664542</v>
      </c>
      <c r="LW516" s="274">
        <f>$H516*IF(MA516&lt;&gt;LQ516,SUMIFS(axTER!$E$142:$E$148,axTER!$C$142:$C$148,MA516),SUMIFS(axTER!$E$151:$E$157,axTER!$C$151:$C$157,MA516)*LY$510)/10^6*$D$514</f>
        <v>593.30906517329083</v>
      </c>
      <c r="LX516" s="275" t="s">
        <v>253</v>
      </c>
      <c r="LY516" s="161" t="s">
        <v>263</v>
      </c>
      <c r="LZ516" s="161" t="s">
        <v>255</v>
      </c>
      <c r="MA516" s="429" t="s">
        <v>261</v>
      </c>
      <c r="MB516" s="276">
        <f>$H516*SUMIFS(axTER!$E$65:$E$105,axTER!$D$65:$D$105,LZ516,axTER!$C$65:$C$105,LX516)/SUMIFS(axTER!$E$108:$E$114,axTER!$C$108:$C$114,MA516)/10^9*$D$514</f>
        <v>0.35598543910397451</v>
      </c>
      <c r="MD516" s="273">
        <f t="shared" si="1007"/>
        <v>0</v>
      </c>
      <c r="ME516" s="273">
        <f t="shared" si="1016"/>
        <v>0</v>
      </c>
      <c r="MF516" s="273">
        <f>$H516*IF(MJ516&lt;&gt;LZ516,SUMIFS(axTER!$E$121:$E$128,axTER!$C$121:$C$128,LZ516,axTER!$D$121:$D$128,MJ516),SUMIFS(axTER!$E$133:$E$138,axTER!$C$133:$C$138,MJ516)*MI$510)*$D$514/10^6</f>
        <v>296.65453258664542</v>
      </c>
      <c r="MG516" s="274">
        <f>$H516*IF(MK516&lt;&gt;MA516,SUMIFS(axTER!$E$142:$E$148,axTER!$C$142:$C$148,MK516),SUMIFS(axTER!$E$151:$E$157,axTER!$C$151:$C$157,MK516)*MI$510)/10^6*$D$514</f>
        <v>207.65817281065182</v>
      </c>
      <c r="MH516" s="275" t="s">
        <v>253</v>
      </c>
      <c r="MI516" s="161" t="s">
        <v>263</v>
      </c>
      <c r="MJ516" s="161" t="s">
        <v>255</v>
      </c>
      <c r="MK516" s="161" t="s">
        <v>261</v>
      </c>
      <c r="ML516" s="276">
        <f>$H516*SUMIFS(axTER!$E$65:$E$105,axTER!$D$65:$D$105,MJ516,axTER!$C$65:$C$105,MH516)/SUMIFS(axTER!$E$108:$E$114,axTER!$C$108:$C$114,MK516)/10^9*$D$514</f>
        <v>0.35598543910397451</v>
      </c>
    </row>
    <row r="517" spans="3:350" hidden="1" outlineLevel="1" x14ac:dyDescent="0.3">
      <c r="C517" s="279"/>
      <c r="D517" s="280"/>
      <c r="E517" s="281"/>
      <c r="F517" s="266"/>
      <c r="H517" s="269">
        <v>1200</v>
      </c>
      <c r="I517" s="66" t="s">
        <v>253</v>
      </c>
      <c r="J517" s="66" t="s">
        <v>265</v>
      </c>
      <c r="K517" s="66" t="s">
        <v>266</v>
      </c>
      <c r="L517" s="66" t="s">
        <v>258</v>
      </c>
      <c r="M517" s="272">
        <f>$H517*SUMIFS(axTER!$E$65:$E$105,axTER!$C$65:$C$105,I517,axTER!$D$65:$D$105,K517)/SUMIFS(axTER!$E$108:$E$114,axTER!$C$108:$C$114,L517)/10^9*$D$514</f>
        <v>0.85436505384953876</v>
      </c>
      <c r="S517" s="269">
        <v>1200</v>
      </c>
      <c r="T517" s="66" t="s">
        <v>253</v>
      </c>
      <c r="U517" s="66" t="s">
        <v>265</v>
      </c>
      <c r="V517" s="66" t="s">
        <v>266</v>
      </c>
      <c r="W517" s="66" t="s">
        <v>258</v>
      </c>
      <c r="X517" s="272">
        <f>$H517*SUMIFS(axTER!$E$65:$E$105,axTER!$C$65:$C$105,T517,axTER!$D$65:$D$105,V517)/SUMIFS(axTER!$E$108:$E$114,axTER!$C$108:$C$114,W517)/10^9*$D$514</f>
        <v>0.85436505384953876</v>
      </c>
      <c r="AB517" s="273">
        <f>$H517*IF(AF517&lt;&gt;K517,SUMIFS(axTER!$E$121:$E$128,axTER!$C$121:$C$128,K517,axTER!$D$121:$D$128,AF517),SUMIFS(axTER!$E$133:$E$138,axTER!$C$133:$C$138,AF517)*AE$510)*$D$514/10^6</f>
        <v>177.99271955198722</v>
      </c>
      <c r="AC517" s="274">
        <f>$H517*IF(AG517&lt;&gt;L517,SUMIFS(axTER!$E$142:$E$148,axTER!$C$142:$C$148,AG517),SUMIFS(axTER!$E$151:$E$157,axTER!$C$151:$C$157,AG517)*AE$510)/10^6*$D$514</f>
        <v>128.74806714260413</v>
      </c>
      <c r="AD517" s="275" t="s">
        <v>253</v>
      </c>
      <c r="AE517" s="161" t="s">
        <v>265</v>
      </c>
      <c r="AF517" s="161" t="s">
        <v>266</v>
      </c>
      <c r="AG517" s="161" t="s">
        <v>258</v>
      </c>
      <c r="AH517" s="276">
        <f>$H517*SUMIFS(axTER!$E$65:$E$105,axTER!$D$65:$D$105,AF517,axTER!$C$65:$C$105,AD517)/SUMIFS(axTER!$E$108:$E$114,axTER!$C$108:$C$114,AG517)/10^9*$D$514</f>
        <v>0.85436505384953876</v>
      </c>
      <c r="AV517" s="273">
        <f>$H517*IF(AZ517&lt;&gt;AF517,SUMIFS(axTER!$E$121:$E$128,axTER!$C$121:$C$128,AF517,axTER!$D$121:$D$128,AZ517),SUMIFS(axTER!$E$133:$E$138,axTER!$C$133:$C$138,AZ517)*AY$510)*$D$514/10^6</f>
        <v>355.98543910397444</v>
      </c>
      <c r="AW517" s="274">
        <f>$H517*IF(BA517&lt;&gt;AG517,SUMIFS(axTER!$E$142:$E$148,axTER!$C$142:$C$148,BA517),SUMIFS(axTER!$E$151:$E$157,axTER!$C$151:$C$157,BA517)*AY$510)/10^6*$D$514</f>
        <v>257.49613428520826</v>
      </c>
      <c r="AX517" s="275" t="s">
        <v>253</v>
      </c>
      <c r="AY517" s="161" t="s">
        <v>265</v>
      </c>
      <c r="AZ517" s="161" t="s">
        <v>266</v>
      </c>
      <c r="BA517" s="161" t="s">
        <v>258</v>
      </c>
      <c r="BB517" s="276">
        <f>$H517*SUMIFS(axTER!$E$65:$E$105,axTER!$D$65:$D$105,AZ517,axTER!$C$65:$C$105,AX517)/SUMIFS(axTER!$E$108:$E$114,axTER!$C$108:$C$114,BA517)/10^9*$D$514</f>
        <v>0.85436505384953876</v>
      </c>
      <c r="IG517" s="269">
        <v>1200</v>
      </c>
      <c r="IH517" s="66" t="s">
        <v>253</v>
      </c>
      <c r="II517" s="66" t="s">
        <v>265</v>
      </c>
      <c r="IJ517" s="66" t="s">
        <v>266</v>
      </c>
      <c r="IK517" s="66" t="s">
        <v>258</v>
      </c>
      <c r="IL517" s="272">
        <f>$H517*SUMIFS(axTER!$E$65:$E$105,axTER!$C$65:$C$105,IH517,axTER!$D$65:$D$105,IJ517)/SUMIFS(axTER!$E$108:$E$114,axTER!$C$108:$C$114,IK517)/10^9*$D$514</f>
        <v>0.85436505384953876</v>
      </c>
      <c r="IO517" s="273">
        <f t="shared" si="1008"/>
        <v>0</v>
      </c>
      <c r="IP517" s="273">
        <f>$H517*IF(IT517&lt;&gt;IJ517,SUMIFS(axTER!$E$121:$E$128,axTER!$C$121:$C$128,IJ517,axTER!$D$121:$D$128,IT517),SUMIFS(axTER!$E$133:$E$138,axTER!$C$133:$C$138,IT517)*IS$510)*$D$514/10^6</f>
        <v>177.99271955198722</v>
      </c>
      <c r="IQ517" s="274">
        <f>$H517*IF(IU517&lt;&gt;IK517,SUMIFS(axTER!$E$142:$E$148,axTER!$C$142:$C$148,IU517),SUMIFS(axTER!$E$151:$E$157,axTER!$C$151:$C$157,IU517)*IS$510)/10^6*$D$514</f>
        <v>128.74806714260413</v>
      </c>
      <c r="IR517" s="275" t="s">
        <v>253</v>
      </c>
      <c r="IS517" s="161" t="s">
        <v>265</v>
      </c>
      <c r="IT517" s="161" t="s">
        <v>266</v>
      </c>
      <c r="IU517" s="161" t="s">
        <v>258</v>
      </c>
      <c r="IV517" s="276">
        <f>$H517*SUMIFS(axTER!$E$65:$E$105,axTER!$D$65:$D$105,IT517,axTER!$C$65:$C$105,IR517)/SUMIFS(axTER!$E$108:$E$114,axTER!$C$108:$C$114,IU517)/10^9*$D$514</f>
        <v>0.85436505384953876</v>
      </c>
      <c r="JI517" s="273">
        <f t="shared" si="1009"/>
        <v>0</v>
      </c>
      <c r="JJ517" s="273">
        <f>$H517*IF(JN517&lt;&gt;IT517,SUMIFS(axTER!$E$121:$E$128,axTER!$C$121:$C$128,IT517,axTER!$D$121:$D$128,JN517),SUMIFS(axTER!$E$133:$E$138,axTER!$C$133:$C$138,JN517)*JM$510)*$D$514/10^6</f>
        <v>355.98543910397444</v>
      </c>
      <c r="JK517" s="274">
        <f>$H517*IF(JO517&lt;&gt;IU517,SUMIFS(axTER!$E$142:$E$148,axTER!$C$142:$C$148,JO517),SUMIFS(axTER!$E$151:$E$157,axTER!$C$151:$C$157,JO517)*JM$510)/10^6*$D$514</f>
        <v>257.49613428520826</v>
      </c>
      <c r="JL517" s="275" t="s">
        <v>253</v>
      </c>
      <c r="JM517" s="161" t="s">
        <v>265</v>
      </c>
      <c r="JN517" s="161" t="s">
        <v>266</v>
      </c>
      <c r="JO517" s="161" t="s">
        <v>258</v>
      </c>
      <c r="JP517" s="276">
        <f>$H517*SUMIFS(axTER!$E$65:$E$105,axTER!$D$65:$D$105,JN517,axTER!$C$65:$C$105,JL517)/SUMIFS(axTER!$E$108:$E$114,axTER!$C$108:$C$114,JO517)/10^9*$D$514</f>
        <v>0.85436505384953876</v>
      </c>
      <c r="JR517" s="269">
        <v>1200</v>
      </c>
      <c r="JS517" s="66" t="s">
        <v>253</v>
      </c>
      <c r="JT517" s="66" t="s">
        <v>265</v>
      </c>
      <c r="JU517" s="66" t="s">
        <v>266</v>
      </c>
      <c r="JV517" s="66" t="s">
        <v>258</v>
      </c>
      <c r="JW517" s="272">
        <f>$H517*SUMIFS(axTER!$E$65:$E$105,axTER!$C$65:$C$105,JS517,axTER!$D$65:$D$105,JU517)/SUMIFS(axTER!$E$108:$E$114,axTER!$C$108:$C$114,JV517)/10^9*$D$514</f>
        <v>0.85436505384953876</v>
      </c>
      <c r="JY517" s="273">
        <f t="shared" si="1010"/>
        <v>0</v>
      </c>
      <c r="JZ517" s="273">
        <f t="shared" si="1005"/>
        <v>0</v>
      </c>
      <c r="KA517" s="273">
        <f>$H517*IF(KE517&lt;&gt;JU517,SUMIFS(axTER!$E$121:$E$128,axTER!$C$121:$C$128,JU517,axTER!$D$121:$D$128,KE517),SUMIFS(axTER!$E$133:$E$138,axTER!$C$133:$C$138,KE517)*KD$510)*$D$514/10^6</f>
        <v>124.59490368639106</v>
      </c>
      <c r="KB517" s="274">
        <f>$H517*IF(KF517&lt;&gt;JV517,SUMIFS(axTER!$E$142:$E$148,axTER!$C$142:$C$148,KF517),SUMIFS(axTER!$E$151:$E$157,axTER!$C$151:$C$157,KF517)*KD$510)/10^6*$D$514</f>
        <v>90.123646999822896</v>
      </c>
      <c r="KC517" s="275" t="s">
        <v>253</v>
      </c>
      <c r="KD517" s="161" t="s">
        <v>265</v>
      </c>
      <c r="KE517" s="161" t="s">
        <v>266</v>
      </c>
      <c r="KF517" s="161" t="s">
        <v>258</v>
      </c>
      <c r="KG517" s="276">
        <f>$H517*SUMIFS(axTER!$E$65:$E$105,axTER!$D$65:$D$105,KE517,axTER!$C$65:$C$105,KC517)/SUMIFS(axTER!$E$108:$E$114,axTER!$C$108:$C$114,KF517)/10^9*$D$514</f>
        <v>0.85436505384953876</v>
      </c>
      <c r="KS517" s="273">
        <f t="shared" si="1011"/>
        <v>0</v>
      </c>
      <c r="KT517" s="273">
        <f t="shared" si="1012"/>
        <v>0</v>
      </c>
      <c r="KU517" s="273">
        <f>$H517*IF(KY517&lt;&gt;KE517,SUMIFS(axTER!$E$121:$E$128,axTER!$C$121:$C$128,KE517,axTER!$D$121:$D$128,KY517),SUMIFS(axTER!$E$133:$E$138,axTER!$C$133:$C$138,KY517)*KX$510)*$D$514/10^6</f>
        <v>355.98543910397444</v>
      </c>
      <c r="KV517" s="274">
        <f>$H517*IF(KZ517&lt;&gt;KF517,SUMIFS(axTER!$E$142:$E$148,axTER!$C$142:$C$148,KZ517),SUMIFS(axTER!$E$151:$E$157,axTER!$C$151:$C$157,KZ517)*KX$510)/10^6*$D$514</f>
        <v>257.49613428520826</v>
      </c>
      <c r="KW517" s="275" t="s">
        <v>253</v>
      </c>
      <c r="KX517" s="161" t="s">
        <v>265</v>
      </c>
      <c r="KY517" s="161" t="s">
        <v>266</v>
      </c>
      <c r="KZ517" s="161" t="s">
        <v>258</v>
      </c>
      <c r="LA517" s="276">
        <f>$H517*SUMIFS(axTER!$E$65:$E$105,axTER!$D$65:$D$105,KY517,axTER!$C$65:$C$105,KW517)/SUMIFS(axTER!$E$108:$E$114,axTER!$C$108:$C$114,KZ517)/10^9*$D$514</f>
        <v>0.85436505384953876</v>
      </c>
      <c r="LC517" s="269">
        <v>1200</v>
      </c>
      <c r="LD517" s="66" t="s">
        <v>253</v>
      </c>
      <c r="LE517" s="66" t="s">
        <v>265</v>
      </c>
      <c r="LF517" s="66" t="s">
        <v>266</v>
      </c>
      <c r="LG517" s="66" t="s">
        <v>258</v>
      </c>
      <c r="LH517" s="272">
        <f>$H517*SUMIFS(axTER!$E$65:$E$105,axTER!$C$65:$C$105,LD517,axTER!$D$65:$D$105,LF517)/SUMIFS(axTER!$E$108:$E$114,axTER!$C$108:$C$114,LG517)/10^9*$D$514</f>
        <v>0.85436505384953876</v>
      </c>
      <c r="LJ517" s="273">
        <f t="shared" si="1013"/>
        <v>0</v>
      </c>
      <c r="LK517" s="273">
        <f t="shared" si="1006"/>
        <v>0</v>
      </c>
      <c r="LL517" s="273">
        <f>$H517*IF(LP517&lt;&gt;LF517,SUMIFS(axTER!$E$121:$E$128,axTER!$C$121:$C$128,LF517,axTER!$D$121:$D$128,LP517),SUMIFS(axTER!$E$133:$E$138,axTER!$C$133:$C$138,LP517)*LO$510)*$D$514/10^6</f>
        <v>124.59490368639106</v>
      </c>
      <c r="LM517" s="274">
        <f>$H517*IF(LQ517&lt;&gt;LG517,SUMIFS(axTER!$E$142:$E$148,axTER!$C$142:$C$148,LQ517),SUMIFS(axTER!$E$151:$E$157,axTER!$C$151:$C$157,LQ517)*LO$510)/10^6*$D$514</f>
        <v>90.123646999822896</v>
      </c>
      <c r="LN517" s="275" t="s">
        <v>253</v>
      </c>
      <c r="LO517" s="161" t="s">
        <v>265</v>
      </c>
      <c r="LP517" s="161" t="s">
        <v>266</v>
      </c>
      <c r="LQ517" s="161" t="s">
        <v>258</v>
      </c>
      <c r="LR517" s="276">
        <f>$H517*SUMIFS(axTER!$E$65:$E$105,axTER!$D$65:$D$105,LP517,axTER!$C$65:$C$105,LN517)/SUMIFS(axTER!$E$108:$E$114,axTER!$C$108:$C$114,LQ517)/10^9*$D$514</f>
        <v>0.85436505384953876</v>
      </c>
      <c r="LT517" s="273">
        <f t="shared" si="1014"/>
        <v>0</v>
      </c>
      <c r="LU517" s="273">
        <f t="shared" si="1015"/>
        <v>0</v>
      </c>
      <c r="LV517" s="273">
        <f>$H517*IF(LZ517&lt;&gt;LP517,SUMIFS(axTER!$E$121:$E$128,axTER!$C$121:$C$128,LP517,axTER!$D$121:$D$128,LZ517),SUMIFS(axTER!$E$133:$E$138,axTER!$C$133:$C$138,LZ517)*LY$510)*$D$514/10^6</f>
        <v>177.99271955198722</v>
      </c>
      <c r="LW517" s="274">
        <f>$H517*IF(MA517&lt;&gt;LQ517,SUMIFS(axTER!$E$142:$E$148,axTER!$C$142:$C$148,MA517),SUMIFS(axTER!$E$151:$E$157,axTER!$C$151:$C$157,MA517)*LY$510)/10^6*$D$514</f>
        <v>128.74806714260413</v>
      </c>
      <c r="LX517" s="275" t="s">
        <v>253</v>
      </c>
      <c r="LY517" s="161" t="s">
        <v>265</v>
      </c>
      <c r="LZ517" s="161" t="s">
        <v>266</v>
      </c>
      <c r="MA517" s="161" t="s">
        <v>258</v>
      </c>
      <c r="MB517" s="276">
        <f>$H517*SUMIFS(axTER!$E$65:$E$105,axTER!$D$65:$D$105,LZ517,axTER!$C$65:$C$105,LX517)/SUMIFS(axTER!$E$108:$E$114,axTER!$C$108:$C$114,MA517)/10^9*$D$514</f>
        <v>0.85436505384953876</v>
      </c>
      <c r="MD517" s="273">
        <f t="shared" si="1007"/>
        <v>0</v>
      </c>
      <c r="ME517" s="273">
        <f t="shared" si="1016"/>
        <v>0</v>
      </c>
      <c r="MF517" s="273">
        <f>$H517*IF(MJ517&lt;&gt;LZ517,SUMIFS(axTER!$E$121:$E$128,axTER!$C$121:$C$128,LZ517,axTER!$D$121:$D$128,MJ517),SUMIFS(axTER!$E$133:$E$138,axTER!$C$133:$C$138,MJ517)*MI$510)*$D$514/10^6</f>
        <v>177.99271955198722</v>
      </c>
      <c r="MG517" s="274">
        <f>$H517*IF(MK517&lt;&gt;MA517,SUMIFS(axTER!$E$142:$E$148,axTER!$C$142:$C$148,MK517),SUMIFS(axTER!$E$151:$E$157,axTER!$C$151:$C$157,MK517)*MI$510)/10^6*$D$514</f>
        <v>128.74806714260413</v>
      </c>
      <c r="MH517" s="275" t="s">
        <v>253</v>
      </c>
      <c r="MI517" s="161" t="s">
        <v>265</v>
      </c>
      <c r="MJ517" s="161" t="s">
        <v>266</v>
      </c>
      <c r="MK517" s="161" t="s">
        <v>258</v>
      </c>
      <c r="ML517" s="276">
        <f>$H517*SUMIFS(axTER!$E$65:$E$105,axTER!$D$65:$D$105,MJ517,axTER!$C$65:$C$105,MH517)/SUMIFS(axTER!$E$108:$E$114,axTER!$C$108:$C$114,MK517)/10^9*$D$514</f>
        <v>0.85436505384953876</v>
      </c>
    </row>
    <row r="518" spans="3:350" hidden="1" outlineLevel="1" x14ac:dyDescent="0.3">
      <c r="C518" s="279"/>
      <c r="D518" s="280"/>
      <c r="E518" s="281"/>
      <c r="F518" s="266"/>
      <c r="H518" s="269">
        <v>1200</v>
      </c>
      <c r="I518" s="66" t="s">
        <v>253</v>
      </c>
      <c r="J518" s="66" t="s">
        <v>265</v>
      </c>
      <c r="K518" s="66" t="s">
        <v>266</v>
      </c>
      <c r="L518" s="66" t="s">
        <v>258</v>
      </c>
      <c r="M518" s="272">
        <f>$H518*SUMIFS(axTER!$E$65:$E$105,axTER!$C$65:$C$105,I518,axTER!$D$65:$D$105,K518)/SUMIFS(axTER!$E$108:$E$114,axTER!$C$108:$C$114,L518)/10^9*$D$514</f>
        <v>0.85436505384953876</v>
      </c>
      <c r="S518" s="269">
        <v>1200</v>
      </c>
      <c r="T518" s="66" t="s">
        <v>253</v>
      </c>
      <c r="U518" s="66" t="s">
        <v>265</v>
      </c>
      <c r="V518" s="66" t="s">
        <v>266</v>
      </c>
      <c r="W518" s="66" t="s">
        <v>258</v>
      </c>
      <c r="X518" s="272">
        <f>$H518*SUMIFS(axTER!$E$65:$E$105,axTER!$C$65:$C$105,T518,axTER!$D$65:$D$105,V518)/SUMIFS(axTER!$E$108:$E$114,axTER!$C$108:$C$114,W518)/10^9*$D$514</f>
        <v>0.85436505384953876</v>
      </c>
      <c r="AB518" s="273">
        <f>$H518*IF(AF518&lt;&gt;K518,SUMIFS(axTER!$E$121:$E$128,axTER!$C$121:$C$128,K518,axTER!$D$121:$D$128,AF518),SUMIFS(axTER!$E$133:$E$138,axTER!$C$133:$C$138,AF518)*AE$510)*$D$514/10^6</f>
        <v>177.99271955198722</v>
      </c>
      <c r="AC518" s="274">
        <f>$H518*IF(AG518&lt;&gt;L518,SUMIFS(axTER!$E$142:$E$148,axTER!$C$142:$C$148,AG518),SUMIFS(axTER!$E$151:$E$157,axTER!$C$151:$C$157,AG518)*AE$510)/10^6*$D$514</f>
        <v>128.74806714260413</v>
      </c>
      <c r="AD518" s="275" t="s">
        <v>253</v>
      </c>
      <c r="AE518" s="161" t="s">
        <v>265</v>
      </c>
      <c r="AF518" s="161" t="s">
        <v>266</v>
      </c>
      <c r="AG518" s="161" t="s">
        <v>258</v>
      </c>
      <c r="AH518" s="276">
        <f>$H518*SUMIFS(axTER!$E$65:$E$105,axTER!$D$65:$D$105,AF518,axTER!$C$65:$C$105,AD518)/SUMIFS(axTER!$E$108:$E$114,axTER!$C$108:$C$114,AG518)/10^9*$D$514</f>
        <v>0.85436505384953876</v>
      </c>
      <c r="AV518" s="273">
        <f>$H518*IF(AZ518&lt;&gt;AF518,SUMIFS(axTER!$E$121:$E$128,axTER!$C$121:$C$128,AF518,axTER!$D$121:$D$128,AZ518),SUMIFS(axTER!$E$133:$E$138,axTER!$C$133:$C$138,AZ518)*AY$510)*$D$514/10^6</f>
        <v>355.98543910397444</v>
      </c>
      <c r="AW518" s="274">
        <f>$H518*IF(BA518&lt;&gt;AG518,SUMIFS(axTER!$E$142:$E$148,axTER!$C$142:$C$148,BA518),SUMIFS(axTER!$E$151:$E$157,axTER!$C$151:$C$157,BA518)*AY$510)/10^6*$D$514</f>
        <v>257.49613428520826</v>
      </c>
      <c r="AX518" s="275" t="s">
        <v>253</v>
      </c>
      <c r="AY518" s="161" t="s">
        <v>265</v>
      </c>
      <c r="AZ518" s="161" t="s">
        <v>266</v>
      </c>
      <c r="BA518" s="161" t="s">
        <v>258</v>
      </c>
      <c r="BB518" s="276">
        <f>$H518*SUMIFS(axTER!$E$65:$E$105,axTER!$D$65:$D$105,AZ518,axTER!$C$65:$C$105,AX518)/SUMIFS(axTER!$E$108:$E$114,axTER!$C$108:$C$114,BA518)/10^9*$D$514</f>
        <v>0.85436505384953876</v>
      </c>
      <c r="IG518" s="269">
        <v>1200</v>
      </c>
      <c r="IH518" s="66" t="s">
        <v>253</v>
      </c>
      <c r="II518" s="66" t="s">
        <v>265</v>
      </c>
      <c r="IJ518" s="66" t="s">
        <v>266</v>
      </c>
      <c r="IK518" s="66" t="s">
        <v>258</v>
      </c>
      <c r="IL518" s="272">
        <f>$H518*SUMIFS(axTER!$E$65:$E$105,axTER!$C$65:$C$105,IH518,axTER!$D$65:$D$105,IJ518)/SUMIFS(axTER!$E$108:$E$114,axTER!$C$108:$C$114,IK518)/10^9*$D$514</f>
        <v>0.85436505384953876</v>
      </c>
      <c r="IO518" s="273">
        <f t="shared" si="1008"/>
        <v>0</v>
      </c>
      <c r="IP518" s="273">
        <f>$H518*IF(IT518&lt;&gt;IJ518,SUMIFS(axTER!$E$121:$E$128,axTER!$C$121:$C$128,IJ518,axTER!$D$121:$D$128,IT518),SUMIFS(axTER!$E$133:$E$138,axTER!$C$133:$C$138,IT518)*IS$510)*$D$514/10^6</f>
        <v>177.99271955198722</v>
      </c>
      <c r="IQ518" s="274">
        <f>$H518*IF(IU518&lt;&gt;IK518,SUMIFS(axTER!$E$142:$E$148,axTER!$C$142:$C$148,IU518),SUMIFS(axTER!$E$151:$E$157,axTER!$C$151:$C$157,IU518)*IS$510)/10^6*$D$514</f>
        <v>128.74806714260413</v>
      </c>
      <c r="IR518" s="275" t="s">
        <v>253</v>
      </c>
      <c r="IS518" s="161" t="s">
        <v>265</v>
      </c>
      <c r="IT518" s="161" t="s">
        <v>266</v>
      </c>
      <c r="IU518" s="161" t="s">
        <v>258</v>
      </c>
      <c r="IV518" s="276">
        <f>$H518*SUMIFS(axTER!$E$65:$E$105,axTER!$D$65:$D$105,IT518,axTER!$C$65:$C$105,IR518)/SUMIFS(axTER!$E$108:$E$114,axTER!$C$108:$C$114,IU518)/10^9*$D$514</f>
        <v>0.85436505384953876</v>
      </c>
      <c r="JI518" s="273">
        <f t="shared" si="1009"/>
        <v>0</v>
      </c>
      <c r="JJ518" s="273">
        <f>$H518*IF(JN518&lt;&gt;IT518,SUMIFS(axTER!$E$121:$E$128,axTER!$C$121:$C$128,IT518,axTER!$D$121:$D$128,JN518),SUMIFS(axTER!$E$133:$E$138,axTER!$C$133:$C$138,JN518)*JM$510)*$D$514/10^6</f>
        <v>355.98543910397444</v>
      </c>
      <c r="JK518" s="274">
        <f>$H518*IF(JO518&lt;&gt;IU518,SUMIFS(axTER!$E$142:$E$148,axTER!$C$142:$C$148,JO518),SUMIFS(axTER!$E$151:$E$157,axTER!$C$151:$C$157,JO518)*JM$510)/10^6*$D$514</f>
        <v>257.49613428520826</v>
      </c>
      <c r="JL518" s="275" t="s">
        <v>253</v>
      </c>
      <c r="JM518" s="161" t="s">
        <v>265</v>
      </c>
      <c r="JN518" s="161" t="s">
        <v>266</v>
      </c>
      <c r="JO518" s="161" t="s">
        <v>258</v>
      </c>
      <c r="JP518" s="276">
        <f>$H518*SUMIFS(axTER!$E$65:$E$105,axTER!$D$65:$D$105,JN518,axTER!$C$65:$C$105,JL518)/SUMIFS(axTER!$E$108:$E$114,axTER!$C$108:$C$114,JO518)/10^9*$D$514</f>
        <v>0.85436505384953876</v>
      </c>
      <c r="JR518" s="269">
        <v>1200</v>
      </c>
      <c r="JS518" s="66" t="s">
        <v>253</v>
      </c>
      <c r="JT518" s="66" t="s">
        <v>265</v>
      </c>
      <c r="JU518" s="66" t="s">
        <v>266</v>
      </c>
      <c r="JV518" s="66" t="s">
        <v>258</v>
      </c>
      <c r="JW518" s="272">
        <f>$H518*SUMIFS(axTER!$E$65:$E$105,axTER!$C$65:$C$105,JS518,axTER!$D$65:$D$105,JU518)/SUMIFS(axTER!$E$108:$E$114,axTER!$C$108:$C$114,JV518)/10^9*$D$514</f>
        <v>0.85436505384953876</v>
      </c>
      <c r="JY518" s="273">
        <f t="shared" si="1010"/>
        <v>0</v>
      </c>
      <c r="JZ518" s="273">
        <f t="shared" si="1005"/>
        <v>0</v>
      </c>
      <c r="KA518" s="273">
        <f>$H518*IF(KE518&lt;&gt;JU518,SUMIFS(axTER!$E$121:$E$128,axTER!$C$121:$C$128,JU518,axTER!$D$121:$D$128,KE518),SUMIFS(axTER!$E$133:$E$138,axTER!$C$133:$C$138,KE518)*KD$510)*$D$514/10^6</f>
        <v>124.59490368639106</v>
      </c>
      <c r="KB518" s="274">
        <f>$H518*IF(KF518&lt;&gt;JV518,SUMIFS(axTER!$E$142:$E$148,axTER!$C$142:$C$148,KF518),SUMIFS(axTER!$E$151:$E$157,axTER!$C$151:$C$157,KF518)*KD$510)/10^6*$D$514</f>
        <v>90.123646999822896</v>
      </c>
      <c r="KC518" s="275" t="s">
        <v>253</v>
      </c>
      <c r="KD518" s="161" t="s">
        <v>265</v>
      </c>
      <c r="KE518" s="161" t="s">
        <v>266</v>
      </c>
      <c r="KF518" s="161" t="s">
        <v>258</v>
      </c>
      <c r="KG518" s="276">
        <f>$H518*SUMIFS(axTER!$E$65:$E$105,axTER!$D$65:$D$105,KE518,axTER!$C$65:$C$105,KC518)/SUMIFS(axTER!$E$108:$E$114,axTER!$C$108:$C$114,KF518)/10^9*$D$514</f>
        <v>0.85436505384953876</v>
      </c>
      <c r="KS518" s="273">
        <f t="shared" si="1011"/>
        <v>0</v>
      </c>
      <c r="KT518" s="273">
        <f t="shared" si="1012"/>
        <v>0</v>
      </c>
      <c r="KU518" s="273">
        <f>$H518*IF(KY518&lt;&gt;KE518,SUMIFS(axTER!$E$121:$E$128,axTER!$C$121:$C$128,KE518,axTER!$D$121:$D$128,KY518),SUMIFS(axTER!$E$133:$E$138,axTER!$C$133:$C$138,KY518)*KX$510)*$D$514/10^6</f>
        <v>355.98543910397444</v>
      </c>
      <c r="KV518" s="274">
        <f>$H518*IF(KZ518&lt;&gt;KF518,SUMIFS(axTER!$E$142:$E$148,axTER!$C$142:$C$148,KZ518),SUMIFS(axTER!$E$151:$E$157,axTER!$C$151:$C$157,KZ518)*KX$510)/10^6*$D$514</f>
        <v>257.49613428520826</v>
      </c>
      <c r="KW518" s="275" t="s">
        <v>253</v>
      </c>
      <c r="KX518" s="161" t="s">
        <v>265</v>
      </c>
      <c r="KY518" s="161" t="s">
        <v>266</v>
      </c>
      <c r="KZ518" s="161" t="s">
        <v>258</v>
      </c>
      <c r="LA518" s="276">
        <f>$H518*SUMIFS(axTER!$E$65:$E$105,axTER!$D$65:$D$105,KY518,axTER!$C$65:$C$105,KW518)/SUMIFS(axTER!$E$108:$E$114,axTER!$C$108:$C$114,KZ518)/10^9*$D$514</f>
        <v>0.85436505384953876</v>
      </c>
      <c r="LC518" s="269">
        <v>1200</v>
      </c>
      <c r="LD518" s="66" t="s">
        <v>253</v>
      </c>
      <c r="LE518" s="66" t="s">
        <v>265</v>
      </c>
      <c r="LF518" s="66" t="s">
        <v>266</v>
      </c>
      <c r="LG518" s="66" t="s">
        <v>258</v>
      </c>
      <c r="LH518" s="272">
        <f>$H518*SUMIFS(axTER!$E$65:$E$105,axTER!$C$65:$C$105,LD518,axTER!$D$65:$D$105,LF518)/SUMIFS(axTER!$E$108:$E$114,axTER!$C$108:$C$114,LG518)/10^9*$D$514</f>
        <v>0.85436505384953876</v>
      </c>
      <c r="LJ518" s="273">
        <f t="shared" si="1013"/>
        <v>0</v>
      </c>
      <c r="LK518" s="273">
        <f t="shared" si="1006"/>
        <v>0</v>
      </c>
      <c r="LL518" s="273">
        <f>$H518*IF(LP518&lt;&gt;LF518,SUMIFS(axTER!$E$121:$E$128,axTER!$C$121:$C$128,LF518,axTER!$D$121:$D$128,LP518),SUMIFS(axTER!$E$133:$E$138,axTER!$C$133:$C$138,LP518)*LO$510)*$D$514/10^6</f>
        <v>124.59490368639106</v>
      </c>
      <c r="LM518" s="274">
        <f>$H518*IF(LQ518&lt;&gt;LG518,SUMIFS(axTER!$E$142:$E$148,axTER!$C$142:$C$148,LQ518),SUMIFS(axTER!$E$151:$E$157,axTER!$C$151:$C$157,LQ518)*LO$510)/10^6*$D$514</f>
        <v>90.123646999822896</v>
      </c>
      <c r="LN518" s="275" t="s">
        <v>253</v>
      </c>
      <c r="LO518" s="161" t="s">
        <v>265</v>
      </c>
      <c r="LP518" s="161" t="s">
        <v>266</v>
      </c>
      <c r="LQ518" s="161" t="s">
        <v>258</v>
      </c>
      <c r="LR518" s="276">
        <f>$H518*SUMIFS(axTER!$E$65:$E$105,axTER!$D$65:$D$105,LP518,axTER!$C$65:$C$105,LN518)/SUMIFS(axTER!$E$108:$E$114,axTER!$C$108:$C$114,LQ518)/10^9*$D$514</f>
        <v>0.85436505384953876</v>
      </c>
      <c r="LT518" s="273">
        <f t="shared" si="1014"/>
        <v>0</v>
      </c>
      <c r="LU518" s="273">
        <f t="shared" si="1015"/>
        <v>0</v>
      </c>
      <c r="LV518" s="273">
        <f>$H518*IF(LZ518&lt;&gt;LP518,SUMIFS(axTER!$E$121:$E$128,axTER!$C$121:$C$128,LP518,axTER!$D$121:$D$128,LZ518),SUMIFS(axTER!$E$133:$E$138,axTER!$C$133:$C$138,LZ518)*LY$510)*$D$514/10^6</f>
        <v>177.99271955198722</v>
      </c>
      <c r="LW518" s="274">
        <f>$H518*IF(MA518&lt;&gt;LQ518,SUMIFS(axTER!$E$142:$E$148,axTER!$C$142:$C$148,MA518),SUMIFS(axTER!$E$151:$E$157,axTER!$C$151:$C$157,MA518)*LY$510)/10^6*$D$514</f>
        <v>128.74806714260413</v>
      </c>
      <c r="LX518" s="275" t="s">
        <v>253</v>
      </c>
      <c r="LY518" s="161" t="s">
        <v>265</v>
      </c>
      <c r="LZ518" s="161" t="s">
        <v>266</v>
      </c>
      <c r="MA518" s="161" t="s">
        <v>258</v>
      </c>
      <c r="MB518" s="276">
        <f>$H518*SUMIFS(axTER!$E$65:$E$105,axTER!$D$65:$D$105,LZ518,axTER!$C$65:$C$105,LX518)/SUMIFS(axTER!$E$108:$E$114,axTER!$C$108:$C$114,MA518)/10^9*$D$514</f>
        <v>0.85436505384953876</v>
      </c>
      <c r="MD518" s="273">
        <f t="shared" si="1007"/>
        <v>0</v>
      </c>
      <c r="ME518" s="273">
        <f t="shared" si="1016"/>
        <v>0</v>
      </c>
      <c r="MF518" s="273">
        <f>$H518*IF(MJ518&lt;&gt;LZ518,SUMIFS(axTER!$E$121:$E$128,axTER!$C$121:$C$128,LZ518,axTER!$D$121:$D$128,MJ518),SUMIFS(axTER!$E$133:$E$138,axTER!$C$133:$C$138,MJ518)*MI$510)*$D$514/10^6</f>
        <v>177.99271955198722</v>
      </c>
      <c r="MG518" s="274">
        <f>$H518*IF(MK518&lt;&gt;MA518,SUMIFS(axTER!$E$142:$E$148,axTER!$C$142:$C$148,MK518),SUMIFS(axTER!$E$151:$E$157,axTER!$C$151:$C$157,MK518)*MI$510)/10^6*$D$514</f>
        <v>128.74806714260413</v>
      </c>
      <c r="MH518" s="275" t="s">
        <v>253</v>
      </c>
      <c r="MI518" s="161" t="s">
        <v>265</v>
      </c>
      <c r="MJ518" s="161" t="s">
        <v>266</v>
      </c>
      <c r="MK518" s="161" t="s">
        <v>258</v>
      </c>
      <c r="ML518" s="276">
        <f>$H518*SUMIFS(axTER!$E$65:$E$105,axTER!$D$65:$D$105,MJ518,axTER!$C$65:$C$105,MH518)/SUMIFS(axTER!$E$108:$E$114,axTER!$C$108:$C$114,MK518)/10^9*$D$514</f>
        <v>0.85436505384953876</v>
      </c>
    </row>
    <row r="519" spans="3:350" hidden="1" outlineLevel="1" x14ac:dyDescent="0.3">
      <c r="C519" s="279"/>
      <c r="E519" s="281"/>
      <c r="F519" s="266"/>
      <c r="H519" s="269">
        <v>1200</v>
      </c>
      <c r="I519" s="66" t="s">
        <v>253</v>
      </c>
      <c r="J519" s="66" t="s">
        <v>265</v>
      </c>
      <c r="K519" s="66" t="s">
        <v>266</v>
      </c>
      <c r="L519" s="66" t="s">
        <v>256</v>
      </c>
      <c r="M519" s="272">
        <f>$H519*SUMIFS(axTER!$E$65:$E$105,axTER!$C$65:$C$105,I519,axTER!$D$65:$D$105,K519)/SUMIFS(axTER!$E$108:$E$114,axTER!$C$108:$C$114,L519)/10^9*$D$514</f>
        <v>0.89933163563109353</v>
      </c>
      <c r="S519" s="269">
        <v>1200</v>
      </c>
      <c r="T519" s="66" t="s">
        <v>253</v>
      </c>
      <c r="U519" s="66" t="s">
        <v>265</v>
      </c>
      <c r="V519" s="66" t="s">
        <v>266</v>
      </c>
      <c r="W519" s="66" t="s">
        <v>256</v>
      </c>
      <c r="X519" s="272">
        <f>$H519*SUMIFS(axTER!$E$65:$E$105,axTER!$C$65:$C$105,T519,axTER!$D$65:$D$105,V519)/SUMIFS(axTER!$E$108:$E$114,axTER!$C$108:$C$114,W519)/10^9*$D$514</f>
        <v>0.89933163563109353</v>
      </c>
      <c r="AB519" s="273">
        <f>$H519*IF(AF519&lt;&gt;K519,SUMIFS(axTER!$E$121:$E$128,axTER!$C$121:$C$128,K519,axTER!$D$121:$D$128,AF519),SUMIFS(axTER!$E$133:$E$138,axTER!$C$133:$C$138,AF519)*AE$510)*$D$514/10^6</f>
        <v>177.99271955198722</v>
      </c>
      <c r="AC519" s="274">
        <f>$H519*IF(AG519&lt;&gt;L519,SUMIFS(axTER!$E$142:$E$148,axTER!$C$142:$C$148,AG519),SUMIFS(axTER!$E$151:$E$157,axTER!$C$151:$C$157,AG519)*AE$510)/10^6*$D$514</f>
        <v>74.756942211834655</v>
      </c>
      <c r="AD519" s="275" t="s">
        <v>253</v>
      </c>
      <c r="AE519" s="161" t="s">
        <v>265</v>
      </c>
      <c r="AF519" s="161" t="s">
        <v>266</v>
      </c>
      <c r="AG519" s="161" t="s">
        <v>256</v>
      </c>
      <c r="AH519" s="276">
        <f>$H519*SUMIFS(axTER!$E$65:$E$105,axTER!$D$65:$D$105,AF519,axTER!$C$65:$C$105,AD519)/SUMIFS(axTER!$E$108:$E$114,axTER!$C$108:$C$114,AG519)/10^9*$D$514</f>
        <v>0.89933163563109353</v>
      </c>
      <c r="AV519" s="273">
        <f>$H519*IF(AZ519&lt;&gt;AF519,SUMIFS(axTER!$E$121:$E$128,axTER!$C$121:$C$128,AF519,axTER!$D$121:$D$128,AZ519),SUMIFS(axTER!$E$133:$E$138,axTER!$C$133:$C$138,AZ519)*AY$510)*$D$514/10^6</f>
        <v>355.98543910397444</v>
      </c>
      <c r="AW519" s="274">
        <f>$H519*IF(BA519&lt;&gt;AG519,SUMIFS(axTER!$E$142:$E$148,axTER!$C$142:$C$148,BA519),SUMIFS(axTER!$E$151:$E$157,axTER!$C$151:$C$157,BA519)*AY$510)/10^6*$D$514</f>
        <v>149.51388442366931</v>
      </c>
      <c r="AX519" s="275" t="s">
        <v>253</v>
      </c>
      <c r="AY519" s="161" t="s">
        <v>265</v>
      </c>
      <c r="AZ519" s="161" t="s">
        <v>266</v>
      </c>
      <c r="BA519" s="161" t="s">
        <v>256</v>
      </c>
      <c r="BB519" s="276">
        <f>$H519*SUMIFS(axTER!$E$65:$E$105,axTER!$D$65:$D$105,AZ519,axTER!$C$65:$C$105,AX519)/SUMIFS(axTER!$E$108:$E$114,axTER!$C$108:$C$114,BA519)/10^9*$D$514</f>
        <v>0.89933163563109353</v>
      </c>
      <c r="IG519" s="269">
        <v>1200</v>
      </c>
      <c r="IH519" s="66" t="s">
        <v>253</v>
      </c>
      <c r="II519" s="66" t="s">
        <v>265</v>
      </c>
      <c r="IJ519" s="66" t="s">
        <v>266</v>
      </c>
      <c r="IK519" s="66" t="s">
        <v>256</v>
      </c>
      <c r="IL519" s="272">
        <f>$H519*SUMIFS(axTER!$E$65:$E$105,axTER!$C$65:$C$105,IH519,axTER!$D$65:$D$105,IJ519)/SUMIFS(axTER!$E$108:$E$114,axTER!$C$108:$C$114,IK519)/10^9*$D$514</f>
        <v>0.89933163563109353</v>
      </c>
      <c r="IO519" s="273">
        <f t="shared" si="1008"/>
        <v>0</v>
      </c>
      <c r="IP519" s="273">
        <f>$H519*IF(IT519&lt;&gt;IJ519,SUMIFS(axTER!$E$121:$E$128,axTER!$C$121:$C$128,IJ519,axTER!$D$121:$D$128,IT519),SUMIFS(axTER!$E$133:$E$138,axTER!$C$133:$C$138,IT519)*IS$510)*$D$514/10^6</f>
        <v>177.99271955198722</v>
      </c>
      <c r="IQ519" s="274">
        <f>$H519*IF(IU519&lt;&gt;IK519,SUMIFS(axTER!$E$142:$E$148,axTER!$C$142:$C$148,IU519),SUMIFS(axTER!$E$151:$E$157,axTER!$C$151:$C$157,IU519)*IS$510)/10^6*$D$514</f>
        <v>74.756942211834655</v>
      </c>
      <c r="IR519" s="275" t="s">
        <v>253</v>
      </c>
      <c r="IS519" s="161" t="s">
        <v>265</v>
      </c>
      <c r="IT519" s="161" t="s">
        <v>266</v>
      </c>
      <c r="IU519" s="161" t="s">
        <v>256</v>
      </c>
      <c r="IV519" s="276">
        <f>$H519*SUMIFS(axTER!$E$65:$E$105,axTER!$D$65:$D$105,IT519,axTER!$C$65:$C$105,IR519)/SUMIFS(axTER!$E$108:$E$114,axTER!$C$108:$C$114,IU519)/10^9*$D$514</f>
        <v>0.89933163563109353</v>
      </c>
      <c r="JI519" s="273">
        <f t="shared" si="1009"/>
        <v>0</v>
      </c>
      <c r="JJ519" s="273">
        <f>$H519*IF(JN519&lt;&gt;IT519,SUMIFS(axTER!$E$121:$E$128,axTER!$C$121:$C$128,IT519,axTER!$D$121:$D$128,JN519),SUMIFS(axTER!$E$133:$E$138,axTER!$C$133:$C$138,JN519)*JM$510)*$D$514/10^6</f>
        <v>355.98543910397444</v>
      </c>
      <c r="JK519" s="274">
        <f>$H519*IF(JO519&lt;&gt;IU519,SUMIFS(axTER!$E$142:$E$148,axTER!$C$142:$C$148,JO519),SUMIFS(axTER!$E$151:$E$157,axTER!$C$151:$C$157,JO519)*JM$510)/10^6*$D$514</f>
        <v>149.51388442366931</v>
      </c>
      <c r="JL519" s="275" t="s">
        <v>253</v>
      </c>
      <c r="JM519" s="161" t="s">
        <v>265</v>
      </c>
      <c r="JN519" s="161" t="s">
        <v>266</v>
      </c>
      <c r="JO519" s="161" t="s">
        <v>256</v>
      </c>
      <c r="JP519" s="276">
        <f>$H519*SUMIFS(axTER!$E$65:$E$105,axTER!$D$65:$D$105,JN519,axTER!$C$65:$C$105,JL519)/SUMIFS(axTER!$E$108:$E$114,axTER!$C$108:$C$114,JO519)/10^9*$D$514</f>
        <v>0.89933163563109353</v>
      </c>
      <c r="JR519" s="269">
        <v>1200</v>
      </c>
      <c r="JS519" s="66" t="s">
        <v>253</v>
      </c>
      <c r="JT519" s="66" t="s">
        <v>265</v>
      </c>
      <c r="JU519" s="66" t="s">
        <v>266</v>
      </c>
      <c r="JV519" s="66" t="s">
        <v>256</v>
      </c>
      <c r="JW519" s="272">
        <f>$H519*SUMIFS(axTER!$E$65:$E$105,axTER!$C$65:$C$105,JS519,axTER!$D$65:$D$105,JU519)/SUMIFS(axTER!$E$108:$E$114,axTER!$C$108:$C$114,JV519)/10^9*$D$514</f>
        <v>0.89933163563109353</v>
      </c>
      <c r="JY519" s="273" t="str">
        <f t="shared" si="1010"/>
        <v>URBAIN</v>
      </c>
      <c r="JZ519" s="273">
        <f t="shared" si="1005"/>
        <v>0</v>
      </c>
      <c r="KA519" s="273">
        <f>$H519*IF(KE519&lt;&gt;JU519,SUMIFS(axTER!$E$121:$E$128,axTER!$C$121:$C$128,JU519,axTER!$D$121:$D$128,KE519),SUMIFS(axTER!$E$133:$E$138,axTER!$C$133:$C$138,KE519)*KD$510)*$D$514/10^6</f>
        <v>124.59490368639106</v>
      </c>
      <c r="KB519" s="274">
        <f>$H519*IF(KF519&lt;&gt;JV519,SUMIFS(axTER!$E$142:$E$148,axTER!$C$142:$C$148,KF519),SUMIFS(axTER!$E$151:$E$157,axTER!$C$151:$C$157,KF519)*KD$510)/10^6*$D$514</f>
        <v>367.85162040744029</v>
      </c>
      <c r="KC519" s="275" t="s">
        <v>253</v>
      </c>
      <c r="KD519" s="161" t="s">
        <v>265</v>
      </c>
      <c r="KE519" s="161" t="s">
        <v>266</v>
      </c>
      <c r="KF519" s="161" t="s">
        <v>258</v>
      </c>
      <c r="KG519" s="276">
        <f>$H519*SUMIFS(axTER!$E$65:$E$105,axTER!$D$65:$D$105,KE519,axTER!$C$65:$C$105,KC519)/SUMIFS(axTER!$E$108:$E$114,axTER!$C$108:$C$114,KF519)/10^9*$D$514</f>
        <v>0.85436505384953876</v>
      </c>
      <c r="KS519" s="273">
        <f t="shared" si="1011"/>
        <v>0</v>
      </c>
      <c r="KT519" s="273">
        <f t="shared" si="1012"/>
        <v>0</v>
      </c>
      <c r="KU519" s="273">
        <f>$H519*IF(KY519&lt;&gt;KE519,SUMIFS(axTER!$E$121:$E$128,axTER!$C$121:$C$128,KE519,axTER!$D$121:$D$128,KY519),SUMIFS(axTER!$E$133:$E$138,axTER!$C$133:$C$138,KY519)*KX$510)*$D$514/10^6</f>
        <v>355.98543910397444</v>
      </c>
      <c r="KV519" s="274">
        <f>$H519*IF(KZ519&lt;&gt;KF519,SUMIFS(axTER!$E$142:$E$148,axTER!$C$142:$C$148,KZ519),SUMIFS(axTER!$E$151:$E$157,axTER!$C$151:$C$157,KZ519)*KX$510)/10^6*$D$514</f>
        <v>257.49613428520826</v>
      </c>
      <c r="KW519" s="275" t="s">
        <v>253</v>
      </c>
      <c r="KX519" s="161" t="s">
        <v>265</v>
      </c>
      <c r="KY519" s="161" t="s">
        <v>266</v>
      </c>
      <c r="KZ519" s="161" t="s">
        <v>258</v>
      </c>
      <c r="LA519" s="276">
        <f>$H519*SUMIFS(axTER!$E$65:$E$105,axTER!$D$65:$D$105,KY519,axTER!$C$65:$C$105,KW519)/SUMIFS(axTER!$E$108:$E$114,axTER!$C$108:$C$114,KZ519)/10^9*$D$514</f>
        <v>0.85436505384953876</v>
      </c>
      <c r="LC519" s="269">
        <v>1200</v>
      </c>
      <c r="LD519" s="66" t="s">
        <v>253</v>
      </c>
      <c r="LE519" s="66" t="s">
        <v>265</v>
      </c>
      <c r="LF519" s="66" t="s">
        <v>266</v>
      </c>
      <c r="LG519" s="66" t="s">
        <v>256</v>
      </c>
      <c r="LH519" s="272">
        <f>$H519*SUMIFS(axTER!$E$65:$E$105,axTER!$C$65:$C$105,LD519,axTER!$D$65:$D$105,LF519)/SUMIFS(axTER!$E$108:$E$114,axTER!$C$108:$C$114,LG519)/10^9*$D$514</f>
        <v>0.89933163563109353</v>
      </c>
      <c r="LJ519" s="273" t="str">
        <f t="shared" si="1013"/>
        <v>URBAIN</v>
      </c>
      <c r="LK519" s="273">
        <f t="shared" si="1006"/>
        <v>0</v>
      </c>
      <c r="LL519" s="273">
        <f>$H519*IF(LP519&lt;&gt;LF519,SUMIFS(axTER!$E$121:$E$128,axTER!$C$121:$C$128,LF519,axTER!$D$121:$D$128,LP519),SUMIFS(axTER!$E$133:$E$138,axTER!$C$133:$C$138,LP519)*LO$510)*$D$514/10^6</f>
        <v>124.59490368639106</v>
      </c>
      <c r="LM519" s="274">
        <f>$H519*IF(LQ519&lt;&gt;LG519,SUMIFS(axTER!$E$142:$E$148,axTER!$C$142:$C$148,LQ519),SUMIFS(axTER!$E$151:$E$157,axTER!$C$151:$C$157,LQ519)*LO$510)/10^6*$D$514</f>
        <v>367.85162040744029</v>
      </c>
      <c r="LN519" s="275" t="s">
        <v>253</v>
      </c>
      <c r="LO519" s="161" t="s">
        <v>265</v>
      </c>
      <c r="LP519" s="161" t="s">
        <v>266</v>
      </c>
      <c r="LQ519" s="161" t="s">
        <v>258</v>
      </c>
      <c r="LR519" s="276">
        <f>$H519*SUMIFS(axTER!$E$65:$E$105,axTER!$D$65:$D$105,LP519,axTER!$C$65:$C$105,LN519)/SUMIFS(axTER!$E$108:$E$114,axTER!$C$108:$C$114,LQ519)/10^9*$D$514</f>
        <v>0.85436505384953876</v>
      </c>
      <c r="LT519" s="273">
        <f t="shared" si="1014"/>
        <v>0</v>
      </c>
      <c r="LU519" s="273">
        <f t="shared" si="1015"/>
        <v>0</v>
      </c>
      <c r="LV519" s="273">
        <f>$H519*IF(LZ519&lt;&gt;LP519,SUMIFS(axTER!$E$121:$E$128,axTER!$C$121:$C$128,LP519,axTER!$D$121:$D$128,LZ519),SUMIFS(axTER!$E$133:$E$138,axTER!$C$133:$C$138,LZ519)*LY$510)*$D$514/10^6</f>
        <v>177.99271955198722</v>
      </c>
      <c r="LW519" s="274">
        <f>$H519*IF(MA519&lt;&gt;LQ519,SUMIFS(axTER!$E$142:$E$148,axTER!$C$142:$C$148,MA519),SUMIFS(axTER!$E$151:$E$157,axTER!$C$151:$C$157,MA519)*LY$510)/10^6*$D$514</f>
        <v>128.74806714260413</v>
      </c>
      <c r="LX519" s="275" t="s">
        <v>253</v>
      </c>
      <c r="LY519" s="161" t="s">
        <v>265</v>
      </c>
      <c r="LZ519" s="161" t="s">
        <v>266</v>
      </c>
      <c r="MA519" s="161" t="s">
        <v>258</v>
      </c>
      <c r="MB519" s="276">
        <f>$H519*SUMIFS(axTER!$E$65:$E$105,axTER!$D$65:$D$105,LZ519,axTER!$C$65:$C$105,LX519)/SUMIFS(axTER!$E$108:$E$114,axTER!$C$108:$C$114,MA519)/10^9*$D$514</f>
        <v>0.85436505384953876</v>
      </c>
      <c r="MD519" s="273">
        <f t="shared" si="1007"/>
        <v>0</v>
      </c>
      <c r="ME519" s="273">
        <f t="shared" si="1016"/>
        <v>0</v>
      </c>
      <c r="MF519" s="273">
        <f>$H519*IF(MJ519&lt;&gt;LZ519,SUMIFS(axTER!$E$121:$E$128,axTER!$C$121:$C$128,LZ519,axTER!$D$121:$D$128,MJ519),SUMIFS(axTER!$E$133:$E$138,axTER!$C$133:$C$138,MJ519)*MI$510)*$D$514/10^6</f>
        <v>177.99271955198722</v>
      </c>
      <c r="MG519" s="274">
        <f>$H519*IF(MK519&lt;&gt;MA519,SUMIFS(axTER!$E$142:$E$148,axTER!$C$142:$C$148,MK519),SUMIFS(axTER!$E$151:$E$157,axTER!$C$151:$C$157,MK519)*MI$510)/10^6*$D$514</f>
        <v>128.74806714260413</v>
      </c>
      <c r="MH519" s="275" t="s">
        <v>253</v>
      </c>
      <c r="MI519" s="161" t="s">
        <v>265</v>
      </c>
      <c r="MJ519" s="161" t="s">
        <v>266</v>
      </c>
      <c r="MK519" s="161" t="s">
        <v>258</v>
      </c>
      <c r="ML519" s="276">
        <f>$H519*SUMIFS(axTER!$E$65:$E$105,axTER!$D$65:$D$105,MJ519,axTER!$C$65:$C$105,MH519)/SUMIFS(axTER!$E$108:$E$114,axTER!$C$108:$C$114,MK519)/10^9*$D$514</f>
        <v>0.85436505384953876</v>
      </c>
    </row>
    <row r="520" spans="3:350" outlineLevel="1" x14ac:dyDescent="0.3">
      <c r="C520" s="279"/>
      <c r="D520" s="280"/>
      <c r="E520" s="281"/>
      <c r="F520" s="266"/>
      <c r="H520" s="269">
        <v>1200</v>
      </c>
      <c r="I520" s="66" t="s">
        <v>253</v>
      </c>
      <c r="J520" s="66" t="s">
        <v>265</v>
      </c>
      <c r="K520" s="66" t="s">
        <v>266</v>
      </c>
      <c r="L520" s="66" t="s">
        <v>256</v>
      </c>
      <c r="M520" s="272">
        <f>$H520*SUMIFS(axTER!$E$65:$E$105,axTER!$C$65:$C$105,I520,axTER!$D$65:$D$105,K520)/SUMIFS(axTER!$E$108:$E$114,axTER!$C$108:$C$114,L520)/10^9*$D$514</f>
        <v>0.89933163563109353</v>
      </c>
      <c r="S520" s="269">
        <v>1200</v>
      </c>
      <c r="T520" s="66" t="s">
        <v>253</v>
      </c>
      <c r="U520" s="66" t="s">
        <v>265</v>
      </c>
      <c r="V520" s="66" t="s">
        <v>266</v>
      </c>
      <c r="W520" s="66" t="s">
        <v>256</v>
      </c>
      <c r="X520" s="272">
        <f>$H520*SUMIFS(axTER!$E$65:$E$105,axTER!$C$65:$C$105,T520,axTER!$D$65:$D$105,V520)/SUMIFS(axTER!$E$108:$E$114,axTER!$C$108:$C$114,W520)/10^9*$D$514</f>
        <v>0.89933163563109353</v>
      </c>
      <c r="AB520" s="273">
        <f>$H520*IF(AF520&lt;&gt;K520,SUMIFS(axTER!$E$121:$E$128,axTER!$C$121:$C$128,K520,axTER!$D$121:$D$128,AF520),SUMIFS(axTER!$E$133:$E$138,axTER!$C$133:$C$138,AF520)*AE$510)*$D$514/10^6</f>
        <v>177.99271955198722</v>
      </c>
      <c r="AC520" s="274">
        <f>$H520*IF(AG520&lt;&gt;L520,SUMIFS(axTER!$E$142:$E$148,axTER!$C$142:$C$148,AG520),SUMIFS(axTER!$E$151:$E$157,axTER!$C$151:$C$157,AG520)*AE$510)/10^6*$D$514</f>
        <v>74.756942211834655</v>
      </c>
      <c r="AD520" s="275" t="s">
        <v>253</v>
      </c>
      <c r="AE520" s="161" t="s">
        <v>265</v>
      </c>
      <c r="AF520" s="161" t="s">
        <v>266</v>
      </c>
      <c r="AG520" s="161" t="s">
        <v>256</v>
      </c>
      <c r="AH520" s="276">
        <f>$H520*SUMIFS(axTER!$E$65:$E$105,axTER!$D$65:$D$105,AF520,axTER!$C$65:$C$105,AD520)/SUMIFS(axTER!$E$108:$E$114,axTER!$C$108:$C$114,AG520)/10^9*$D$514</f>
        <v>0.89933163563109353</v>
      </c>
      <c r="AV520" s="273">
        <f>$H520*IF(AZ520&lt;&gt;AF520,SUMIFS(axTER!$E$121:$E$128,axTER!$C$121:$C$128,AF520,axTER!$D$121:$D$128,AZ520),SUMIFS(axTER!$E$133:$E$138,axTER!$C$133:$C$138,AZ520)*AY$510)*$D$514/10^6</f>
        <v>355.98543910397444</v>
      </c>
      <c r="AW520" s="274">
        <f>$H520*IF(BA520&lt;&gt;AG520,SUMIFS(axTER!$E$142:$E$148,axTER!$C$142:$C$148,BA520),SUMIFS(axTER!$E$151:$E$157,axTER!$C$151:$C$157,BA520)*AY$510)/10^6*$D$514</f>
        <v>149.51388442366931</v>
      </c>
      <c r="AX520" s="275" t="s">
        <v>253</v>
      </c>
      <c r="AY520" s="161" t="s">
        <v>265</v>
      </c>
      <c r="AZ520" s="161" t="s">
        <v>266</v>
      </c>
      <c r="BA520" s="161" t="s">
        <v>256</v>
      </c>
      <c r="BB520" s="276">
        <f>$H520*SUMIFS(axTER!$E$65:$E$105,axTER!$D$65:$D$105,AZ520,axTER!$C$65:$C$105,AX520)/SUMIFS(axTER!$E$108:$E$114,axTER!$C$108:$C$114,BA520)/10^9*$D$514</f>
        <v>0.89933163563109353</v>
      </c>
      <c r="IG520" s="269">
        <v>1200</v>
      </c>
      <c r="IH520" s="66" t="s">
        <v>253</v>
      </c>
      <c r="II520" s="66" t="s">
        <v>265</v>
      </c>
      <c r="IJ520" s="66" t="s">
        <v>266</v>
      </c>
      <c r="IK520" s="66" t="s">
        <v>256</v>
      </c>
      <c r="IL520" s="272">
        <f>$H520*SUMIFS(axTER!$E$65:$E$105,axTER!$C$65:$C$105,IH520,axTER!$D$65:$D$105,IJ520)/SUMIFS(axTER!$E$108:$E$114,axTER!$C$108:$C$114,IK520)/10^9*$D$514</f>
        <v>0.89933163563109353</v>
      </c>
      <c r="IO520" s="273">
        <f t="shared" si="1008"/>
        <v>0</v>
      </c>
      <c r="IP520" s="273">
        <f>$H520*IF(IT520&lt;&gt;IJ520,SUMIFS(axTER!$E$121:$E$128,axTER!$C$121:$C$128,IJ520,axTER!$D$121:$D$128,IT520),SUMIFS(axTER!$E$133:$E$138,axTER!$C$133:$C$138,IT520)*IS$510)*$D$514/10^6</f>
        <v>177.99271955198722</v>
      </c>
      <c r="IQ520" s="274">
        <f>$H520*IF(IU520&lt;&gt;IK520,SUMIFS(axTER!$E$142:$E$148,axTER!$C$142:$C$148,IU520),SUMIFS(axTER!$E$151:$E$157,axTER!$C$151:$C$157,IU520)*IS$510)/10^6*$D$514</f>
        <v>74.756942211834655</v>
      </c>
      <c r="IR520" s="275" t="s">
        <v>253</v>
      </c>
      <c r="IS520" s="161" t="s">
        <v>265</v>
      </c>
      <c r="IT520" s="161" t="s">
        <v>266</v>
      </c>
      <c r="IU520" s="161" t="s">
        <v>256</v>
      </c>
      <c r="IV520" s="276">
        <f>$H520*SUMIFS(axTER!$E$65:$E$105,axTER!$D$65:$D$105,IT520,axTER!$C$65:$C$105,IR520)/SUMIFS(axTER!$E$108:$E$114,axTER!$C$108:$C$114,IU520)/10^9*$D$514</f>
        <v>0.89933163563109353</v>
      </c>
      <c r="JI520" s="273">
        <f t="shared" si="1009"/>
        <v>0</v>
      </c>
      <c r="JJ520" s="273">
        <f>$H520*IF(JN520&lt;&gt;IT520,SUMIFS(axTER!$E$121:$E$128,axTER!$C$121:$C$128,IT520,axTER!$D$121:$D$128,JN520),SUMIFS(axTER!$E$133:$E$138,axTER!$C$133:$C$138,JN520)*JM$510)*$D$514/10^6</f>
        <v>355.98543910397444</v>
      </c>
      <c r="JK520" s="274">
        <f>$H520*IF(JO520&lt;&gt;IU520,SUMIFS(axTER!$E$142:$E$148,axTER!$C$142:$C$148,JO520),SUMIFS(axTER!$E$151:$E$157,axTER!$C$151:$C$157,JO520)*JM$510)/10^6*$D$514</f>
        <v>149.51388442366931</v>
      </c>
      <c r="JL520" s="275" t="s">
        <v>253</v>
      </c>
      <c r="JM520" s="161" t="s">
        <v>265</v>
      </c>
      <c r="JN520" s="161" t="s">
        <v>266</v>
      </c>
      <c r="JO520" s="161" t="s">
        <v>256</v>
      </c>
      <c r="JP520" s="276">
        <f>$H520*SUMIFS(axTER!$E$65:$E$105,axTER!$D$65:$D$105,JN520,axTER!$C$65:$C$105,JL520)/SUMIFS(axTER!$E$108:$E$114,axTER!$C$108:$C$114,JO520)/10^9*$D$514</f>
        <v>0.89933163563109353</v>
      </c>
      <c r="JR520" s="269">
        <v>1200</v>
      </c>
      <c r="JS520" s="66" t="s">
        <v>253</v>
      </c>
      <c r="JT520" s="66" t="s">
        <v>265</v>
      </c>
      <c r="JU520" s="66" t="s">
        <v>266</v>
      </c>
      <c r="JV520" s="66" t="s">
        <v>256</v>
      </c>
      <c r="JW520" s="272">
        <f>$H520*SUMIFS(axTER!$E$65:$E$105,axTER!$C$65:$C$105,JS520,axTER!$D$65:$D$105,JU520)/SUMIFS(axTER!$E$108:$E$114,axTER!$C$108:$C$114,JV520)/10^9*$D$514</f>
        <v>0.89933163563109353</v>
      </c>
      <c r="JY520" s="273" t="str">
        <f t="shared" si="1010"/>
        <v>URBAIN</v>
      </c>
      <c r="JZ520" s="273">
        <f t="shared" si="1005"/>
        <v>0</v>
      </c>
      <c r="KA520" s="273">
        <f>$H520*IF(KE520&lt;&gt;JU520,SUMIFS(axTER!$E$121:$E$128,axTER!$C$121:$C$128,JU520,axTER!$D$121:$D$128,KE520),SUMIFS(axTER!$E$133:$E$138,axTER!$C$133:$C$138,KE520)*KD$510)*$D$514/10^6</f>
        <v>124.59490368639106</v>
      </c>
      <c r="KB520" s="274">
        <f>$H520*IF(KF520&lt;&gt;JV520,SUMIFS(axTER!$E$142:$E$148,axTER!$C$142:$C$148,KF520),SUMIFS(axTER!$E$151:$E$157,axTER!$C$151:$C$157,KF520)*KD$510)/10^6*$D$514</f>
        <v>367.85162040744029</v>
      </c>
      <c r="KC520" s="275" t="s">
        <v>253</v>
      </c>
      <c r="KD520" s="161" t="s">
        <v>265</v>
      </c>
      <c r="KE520" s="161" t="s">
        <v>266</v>
      </c>
      <c r="KF520" s="161" t="s">
        <v>258</v>
      </c>
      <c r="KG520" s="276">
        <f>$H520*SUMIFS(axTER!$E$65:$E$105,axTER!$D$65:$D$105,KE520,axTER!$C$65:$C$105,KC520)/SUMIFS(axTER!$E$108:$E$114,axTER!$C$108:$C$114,KF520)/10^9*$D$514</f>
        <v>0.85436505384953876</v>
      </c>
      <c r="KS520" s="273">
        <f t="shared" si="1011"/>
        <v>0</v>
      </c>
      <c r="KT520" s="273">
        <f t="shared" si="1012"/>
        <v>0</v>
      </c>
      <c r="KU520" s="273">
        <f>$H520*IF(KY520&lt;&gt;KE520,SUMIFS(axTER!$E$121:$E$128,axTER!$C$121:$C$128,KE520,axTER!$D$121:$D$128,KY520),SUMIFS(axTER!$E$133:$E$138,axTER!$C$133:$C$138,KY520)*KX$510)*$D$514/10^6</f>
        <v>355.98543910397444</v>
      </c>
      <c r="KV520" s="274">
        <f>$H520*IF(KZ520&lt;&gt;KF520,SUMIFS(axTER!$E$142:$E$148,axTER!$C$142:$C$148,KZ520),SUMIFS(axTER!$E$151:$E$157,axTER!$C$151:$C$157,KZ520)*KX$510)/10^6*$D$514</f>
        <v>257.49613428520826</v>
      </c>
      <c r="KW520" s="275" t="s">
        <v>253</v>
      </c>
      <c r="KX520" s="161" t="s">
        <v>265</v>
      </c>
      <c r="KY520" s="161" t="s">
        <v>266</v>
      </c>
      <c r="KZ520" s="161" t="s">
        <v>258</v>
      </c>
      <c r="LA520" s="276">
        <f>$H520*SUMIFS(axTER!$E$65:$E$105,axTER!$D$65:$D$105,KY520,axTER!$C$65:$C$105,KW520)/SUMIFS(axTER!$E$108:$E$114,axTER!$C$108:$C$114,KZ520)/10^9*$D$514</f>
        <v>0.85436505384953876</v>
      </c>
      <c r="LC520" s="269">
        <v>1200</v>
      </c>
      <c r="LD520" s="66" t="s">
        <v>253</v>
      </c>
      <c r="LE520" s="66" t="s">
        <v>265</v>
      </c>
      <c r="LF520" s="66" t="s">
        <v>266</v>
      </c>
      <c r="LG520" s="66" t="s">
        <v>256</v>
      </c>
      <c r="LH520" s="272">
        <f>$H520*SUMIFS(axTER!$E$65:$E$105,axTER!$C$65:$C$105,LD520,axTER!$D$65:$D$105,LF520)/SUMIFS(axTER!$E$108:$E$114,axTER!$C$108:$C$114,LG520)/10^9*$D$514</f>
        <v>0.89933163563109353</v>
      </c>
      <c r="LJ520" s="273" t="str">
        <f t="shared" si="1013"/>
        <v>URBAIN</v>
      </c>
      <c r="LK520" s="273">
        <f t="shared" si="1006"/>
        <v>0</v>
      </c>
      <c r="LL520" s="273">
        <f>$H520*IF(LP520&lt;&gt;LF520,SUMIFS(axTER!$E$121:$E$128,axTER!$C$121:$C$128,LF520,axTER!$D$121:$D$128,LP520),SUMIFS(axTER!$E$133:$E$138,axTER!$C$133:$C$138,LP520)*LO$510)*$D$514/10^6</f>
        <v>124.59490368639106</v>
      </c>
      <c r="LM520" s="274">
        <f>$H520*IF(LQ520&lt;&gt;LG520,SUMIFS(axTER!$E$142:$E$148,axTER!$C$142:$C$148,LQ520),SUMIFS(axTER!$E$151:$E$157,axTER!$C$151:$C$157,LQ520)*LO$510)/10^6*$D$514</f>
        <v>367.85162040744029</v>
      </c>
      <c r="LN520" s="275" t="s">
        <v>253</v>
      </c>
      <c r="LO520" s="161" t="s">
        <v>265</v>
      </c>
      <c r="LP520" s="161" t="s">
        <v>266</v>
      </c>
      <c r="LQ520" s="161" t="s">
        <v>258</v>
      </c>
      <c r="LR520" s="276">
        <f>$H520*SUMIFS(axTER!$E$65:$E$105,axTER!$D$65:$D$105,LP520,axTER!$C$65:$C$105,LN520)/SUMIFS(axTER!$E$108:$E$114,axTER!$C$108:$C$114,LQ520)/10^9*$D$514</f>
        <v>0.85436505384953876</v>
      </c>
      <c r="LT520" s="273">
        <f t="shared" si="1014"/>
        <v>0</v>
      </c>
      <c r="LU520" s="273">
        <f t="shared" si="1015"/>
        <v>0</v>
      </c>
      <c r="LV520" s="273">
        <f>$H520*IF(LZ520&lt;&gt;LP520,SUMIFS(axTER!$E$121:$E$128,axTER!$C$121:$C$128,LP520,axTER!$D$121:$D$128,LZ520),SUMIFS(axTER!$E$133:$E$138,axTER!$C$133:$C$138,LZ520)*LY$510)*$D$514/10^6</f>
        <v>177.99271955198722</v>
      </c>
      <c r="LW520" s="274">
        <f>$H520*IF(MA520&lt;&gt;LQ520,SUMIFS(axTER!$E$142:$E$148,axTER!$C$142:$C$148,MA520),SUMIFS(axTER!$E$151:$E$157,axTER!$C$151:$C$157,MA520)*LY$510)/10^6*$D$514</f>
        <v>128.74806714260413</v>
      </c>
      <c r="LX520" s="275" t="s">
        <v>253</v>
      </c>
      <c r="LY520" s="161" t="s">
        <v>265</v>
      </c>
      <c r="LZ520" s="161" t="s">
        <v>266</v>
      </c>
      <c r="MA520" s="161" t="s">
        <v>258</v>
      </c>
      <c r="MB520" s="276">
        <f>$H520*SUMIFS(axTER!$E$65:$E$105,axTER!$D$65:$D$105,LZ520,axTER!$C$65:$C$105,LX520)/SUMIFS(axTER!$E$108:$E$114,axTER!$C$108:$C$114,MA520)/10^9*$D$514</f>
        <v>0.85436505384953876</v>
      </c>
      <c r="MD520" s="273" t="str">
        <f t="shared" si="1007"/>
        <v>ELEC-PAC</v>
      </c>
      <c r="ME520" s="273">
        <f t="shared" si="1016"/>
        <v>0</v>
      </c>
      <c r="MF520" s="273">
        <f>$H520*IF(MJ520&lt;&gt;LZ520,SUMIFS(axTER!$E$121:$E$128,axTER!$C$121:$C$128,LZ520,axTER!$D$121:$D$128,MJ520),SUMIFS(axTER!$E$133:$E$138,axTER!$C$133:$C$138,MJ520)*MI$510)*$D$514/10^6</f>
        <v>177.99271955198722</v>
      </c>
      <c r="MG520" s="274">
        <f>$H520*IF(MK520&lt;&gt;MA520,SUMIFS(axTER!$E$142:$E$148,axTER!$C$142:$C$148,MK520),SUMIFS(axTER!$E$151:$E$157,axTER!$C$151:$C$157,MK520)*MI$510)/10^6*$D$514</f>
        <v>949.29450427726533</v>
      </c>
      <c r="MH520" s="275" t="s">
        <v>253</v>
      </c>
      <c r="MI520" s="161" t="s">
        <v>265</v>
      </c>
      <c r="MJ520" s="161" t="s">
        <v>266</v>
      </c>
      <c r="MK520" s="161" t="s">
        <v>261</v>
      </c>
      <c r="ML520" s="276">
        <f>$H520*SUMIFS(axTER!$E$65:$E$105,axTER!$D$65:$D$105,MJ520,axTER!$C$65:$C$105,MH520)/SUMIFS(axTER!$E$108:$E$114,axTER!$C$108:$C$114,MK520)/10^9*$D$514</f>
        <v>0.28478835128317959</v>
      </c>
    </row>
    <row r="521" spans="3:350" hidden="1" outlineLevel="1" x14ac:dyDescent="0.3">
      <c r="C521" s="279"/>
      <c r="D521" s="280"/>
      <c r="E521" s="281"/>
      <c r="F521" s="266"/>
      <c r="H521" s="269">
        <v>1200</v>
      </c>
      <c r="I521" s="66" t="s">
        <v>253</v>
      </c>
      <c r="J521" s="66" t="s">
        <v>265</v>
      </c>
      <c r="K521" s="66" t="s">
        <v>266</v>
      </c>
      <c r="L521" s="66" t="s">
        <v>256</v>
      </c>
      <c r="M521" s="272">
        <f>$H521*SUMIFS(axTER!$E$65:$E$105,axTER!$C$65:$C$105,I521,axTER!$D$65:$D$105,K521)/SUMIFS(axTER!$E$108:$E$114,axTER!$C$108:$C$114,L521)/10^9*$D$514</f>
        <v>0.89933163563109353</v>
      </c>
      <c r="S521" s="269">
        <v>1200</v>
      </c>
      <c r="T521" s="66" t="s">
        <v>253</v>
      </c>
      <c r="U521" s="66" t="s">
        <v>265</v>
      </c>
      <c r="V521" s="66" t="s">
        <v>266</v>
      </c>
      <c r="W521" s="66" t="s">
        <v>256</v>
      </c>
      <c r="X521" s="272">
        <f>$H521*SUMIFS(axTER!$E$65:$E$105,axTER!$C$65:$C$105,T521,axTER!$D$65:$D$105,V521)/SUMIFS(axTER!$E$108:$E$114,axTER!$C$108:$C$114,W521)/10^9*$D$514</f>
        <v>0.89933163563109353</v>
      </c>
      <c r="AB521" s="273">
        <f>$H521*IF(AF521&lt;&gt;K521,SUMIFS(axTER!$E$121:$E$128,axTER!$C$121:$C$128,K521,axTER!$D$121:$D$128,AF521),SUMIFS(axTER!$E$133:$E$138,axTER!$C$133:$C$138,AF521)*AE$510)*$D$514/10^6</f>
        <v>177.99271955198722</v>
      </c>
      <c r="AC521" s="274">
        <f>$H521*IF(AG521&lt;&gt;L521,SUMIFS(axTER!$E$142:$E$148,axTER!$C$142:$C$148,AG521),SUMIFS(axTER!$E$151:$E$157,axTER!$C$151:$C$157,AG521)*AE$510)/10^6*$D$514</f>
        <v>74.756942211834655</v>
      </c>
      <c r="AD521" s="275" t="s">
        <v>253</v>
      </c>
      <c r="AE521" s="161" t="s">
        <v>265</v>
      </c>
      <c r="AF521" s="161" t="s">
        <v>266</v>
      </c>
      <c r="AG521" s="161" t="s">
        <v>256</v>
      </c>
      <c r="AH521" s="276">
        <f>$H521*SUMIFS(axTER!$E$65:$E$105,axTER!$D$65:$D$105,AF521,axTER!$C$65:$C$105,AD521)/SUMIFS(axTER!$E$108:$E$114,axTER!$C$108:$C$114,AG521)/10^9*$D$514</f>
        <v>0.89933163563109353</v>
      </c>
      <c r="AV521" s="273">
        <f>$H521*IF(AZ521&lt;&gt;AF521,SUMIFS(axTER!$E$121:$E$128,axTER!$C$121:$C$128,AF521,axTER!$D$121:$D$128,AZ521),SUMIFS(axTER!$E$133:$E$138,axTER!$C$133:$C$138,AZ521)*AY$510)*$D$514/10^6</f>
        <v>355.98543910397444</v>
      </c>
      <c r="AW521" s="274">
        <f>$H521*IF(BA521&lt;&gt;AG521,SUMIFS(axTER!$E$142:$E$148,axTER!$C$142:$C$148,BA521),SUMIFS(axTER!$E$151:$E$157,axTER!$C$151:$C$157,BA521)*AY$510)/10^6*$D$514</f>
        <v>149.51388442366931</v>
      </c>
      <c r="AX521" s="275" t="s">
        <v>253</v>
      </c>
      <c r="AY521" s="161" t="s">
        <v>265</v>
      </c>
      <c r="AZ521" s="161" t="s">
        <v>266</v>
      </c>
      <c r="BA521" s="161" t="s">
        <v>256</v>
      </c>
      <c r="BB521" s="276">
        <f>$H521*SUMIFS(axTER!$E$65:$E$105,axTER!$D$65:$D$105,AZ521,axTER!$C$65:$C$105,AX521)/SUMIFS(axTER!$E$108:$E$114,axTER!$C$108:$C$114,BA521)/10^9*$D$514</f>
        <v>0.89933163563109353</v>
      </c>
      <c r="IG521" s="269">
        <v>1200</v>
      </c>
      <c r="IH521" s="66" t="s">
        <v>253</v>
      </c>
      <c r="II521" s="66" t="s">
        <v>265</v>
      </c>
      <c r="IJ521" s="66" t="s">
        <v>266</v>
      </c>
      <c r="IK521" s="66" t="s">
        <v>256</v>
      </c>
      <c r="IL521" s="272">
        <f>$H521*SUMIFS(axTER!$E$65:$E$105,axTER!$C$65:$C$105,IH521,axTER!$D$65:$D$105,IJ521)/SUMIFS(axTER!$E$108:$E$114,axTER!$C$108:$C$114,IK521)/10^9*$D$514</f>
        <v>0.89933163563109353</v>
      </c>
      <c r="IO521" s="273">
        <f t="shared" si="1008"/>
        <v>0</v>
      </c>
      <c r="IP521" s="273">
        <f>$H521*IF(IT521&lt;&gt;IJ521,SUMIFS(axTER!$E$121:$E$128,axTER!$C$121:$C$128,IJ521,axTER!$D$121:$D$128,IT521),SUMIFS(axTER!$E$133:$E$138,axTER!$C$133:$C$138,IT521)*IS$510)*$D$514/10^6</f>
        <v>177.99271955198722</v>
      </c>
      <c r="IQ521" s="274">
        <f>$H521*IF(IU521&lt;&gt;IK521,SUMIFS(axTER!$E$142:$E$148,axTER!$C$142:$C$148,IU521),SUMIFS(axTER!$E$151:$E$157,axTER!$C$151:$C$157,IU521)*IS$510)/10^6*$D$514</f>
        <v>74.756942211834655</v>
      </c>
      <c r="IR521" s="275" t="s">
        <v>253</v>
      </c>
      <c r="IS521" s="161" t="s">
        <v>265</v>
      </c>
      <c r="IT521" s="161" t="s">
        <v>266</v>
      </c>
      <c r="IU521" s="161" t="s">
        <v>256</v>
      </c>
      <c r="IV521" s="276">
        <f>$H521*SUMIFS(axTER!$E$65:$E$105,axTER!$D$65:$D$105,IT521,axTER!$C$65:$C$105,IR521)/SUMIFS(axTER!$E$108:$E$114,axTER!$C$108:$C$114,IU521)/10^9*$D$514</f>
        <v>0.89933163563109353</v>
      </c>
      <c r="JI521" s="273">
        <f t="shared" si="1009"/>
        <v>0</v>
      </c>
      <c r="JJ521" s="273">
        <f>$H521*IF(JN521&lt;&gt;IT521,SUMIFS(axTER!$E$121:$E$128,axTER!$C$121:$C$128,IT521,axTER!$D$121:$D$128,JN521),SUMIFS(axTER!$E$133:$E$138,axTER!$C$133:$C$138,JN521)*JM$510)*$D$514/10^6</f>
        <v>355.98543910397444</v>
      </c>
      <c r="JK521" s="274">
        <f>$H521*IF(JO521&lt;&gt;IU521,SUMIFS(axTER!$E$142:$E$148,axTER!$C$142:$C$148,JO521),SUMIFS(axTER!$E$151:$E$157,axTER!$C$151:$C$157,JO521)*JM$510)/10^6*$D$514</f>
        <v>149.51388442366931</v>
      </c>
      <c r="JL521" s="275" t="s">
        <v>253</v>
      </c>
      <c r="JM521" s="161" t="s">
        <v>265</v>
      </c>
      <c r="JN521" s="161" t="s">
        <v>266</v>
      </c>
      <c r="JO521" s="161" t="s">
        <v>256</v>
      </c>
      <c r="JP521" s="276">
        <f>$H521*SUMIFS(axTER!$E$65:$E$105,axTER!$D$65:$D$105,JN521,axTER!$C$65:$C$105,JL521)/SUMIFS(axTER!$E$108:$E$114,axTER!$C$108:$C$114,JO521)/10^9*$D$514</f>
        <v>0.89933163563109353</v>
      </c>
      <c r="JR521" s="269">
        <v>1200</v>
      </c>
      <c r="JS521" s="66" t="s">
        <v>253</v>
      </c>
      <c r="JT521" s="66" t="s">
        <v>265</v>
      </c>
      <c r="JU521" s="66" t="s">
        <v>266</v>
      </c>
      <c r="JV521" s="66" t="s">
        <v>256</v>
      </c>
      <c r="JW521" s="272">
        <f>$H521*SUMIFS(axTER!$E$65:$E$105,axTER!$C$65:$C$105,JS521,axTER!$D$65:$D$105,JU521)/SUMIFS(axTER!$E$108:$E$114,axTER!$C$108:$C$114,JV521)/10^9*$D$514</f>
        <v>0.89933163563109353</v>
      </c>
      <c r="JY521" s="273">
        <f t="shared" si="1010"/>
        <v>0</v>
      </c>
      <c r="JZ521" s="273">
        <f t="shared" si="1005"/>
        <v>0</v>
      </c>
      <c r="KA521" s="273">
        <f>$H521*IF(KE521&lt;&gt;JU521,SUMIFS(axTER!$E$121:$E$128,axTER!$C$121:$C$128,JU521,axTER!$D$121:$D$128,KE521),SUMIFS(axTER!$E$133:$E$138,axTER!$C$133:$C$138,KE521)*KD$510)*$D$514/10^6</f>
        <v>124.59490368639106</v>
      </c>
      <c r="KB521" s="274">
        <f>$H521*IF(KF521&lt;&gt;JV521,SUMIFS(axTER!$E$142:$E$148,axTER!$C$142:$C$148,KF521),SUMIFS(axTER!$E$151:$E$157,axTER!$C$151:$C$157,KF521)*KD$510)/10^6*$D$514</f>
        <v>52.329859548284254</v>
      </c>
      <c r="KC521" s="275" t="s">
        <v>253</v>
      </c>
      <c r="KD521" s="161" t="s">
        <v>265</v>
      </c>
      <c r="KE521" s="161" t="s">
        <v>266</v>
      </c>
      <c r="KF521" s="161" t="s">
        <v>256</v>
      </c>
      <c r="KG521" s="276">
        <f>$H521*SUMIFS(axTER!$E$65:$E$105,axTER!$D$65:$D$105,KE521,axTER!$C$65:$C$105,KC521)/SUMIFS(axTER!$E$108:$E$114,axTER!$C$108:$C$114,KF521)/10^9*$D$514</f>
        <v>0.89933163563109353</v>
      </c>
      <c r="KS521" s="273" t="str">
        <f t="shared" si="1011"/>
        <v>ELEC-PAC</v>
      </c>
      <c r="KT521" s="273">
        <f t="shared" si="1012"/>
        <v>0</v>
      </c>
      <c r="KU521" s="273">
        <f>$H521*IF(KY521&lt;&gt;KE521,SUMIFS(axTER!$E$121:$E$128,axTER!$C$121:$C$128,KE521,axTER!$D$121:$D$128,KY521),SUMIFS(axTER!$E$133:$E$138,axTER!$C$133:$C$138,KY521)*KX$510)*$D$514/10^6</f>
        <v>355.98543910397444</v>
      </c>
      <c r="KV521" s="274">
        <f>$H521*IF(KZ521&lt;&gt;KF521,SUMIFS(axTER!$E$142:$E$148,axTER!$C$142:$C$148,KZ521),SUMIFS(axTER!$E$151:$E$157,axTER!$C$151:$C$157,KZ521)*KX$510)/10^6*$D$514</f>
        <v>949.29450427726533</v>
      </c>
      <c r="KW521" s="275" t="s">
        <v>253</v>
      </c>
      <c r="KX521" s="161" t="s">
        <v>265</v>
      </c>
      <c r="KY521" s="161" t="s">
        <v>266</v>
      </c>
      <c r="KZ521" s="161" t="s">
        <v>261</v>
      </c>
      <c r="LA521" s="276">
        <f>$H521*SUMIFS(axTER!$E$65:$E$105,axTER!$D$65:$D$105,KY521,axTER!$C$65:$C$105,KW521)/SUMIFS(axTER!$E$108:$E$114,axTER!$C$108:$C$114,KZ521)/10^9*$D$514</f>
        <v>0.28478835128317959</v>
      </c>
      <c r="LC521" s="269">
        <v>1200</v>
      </c>
      <c r="LD521" s="66" t="s">
        <v>253</v>
      </c>
      <c r="LE521" s="66" t="s">
        <v>265</v>
      </c>
      <c r="LF521" s="66" t="s">
        <v>266</v>
      </c>
      <c r="LG521" s="66" t="s">
        <v>256</v>
      </c>
      <c r="LH521" s="272">
        <f>$H521*SUMIFS(axTER!$E$65:$E$105,axTER!$C$65:$C$105,LD521,axTER!$D$65:$D$105,LF521)/SUMIFS(axTER!$E$108:$E$114,axTER!$C$108:$C$114,LG521)/10^9*$D$514</f>
        <v>0.89933163563109353</v>
      </c>
      <c r="LJ521" s="273">
        <f t="shared" si="1013"/>
        <v>0</v>
      </c>
      <c r="LK521" s="273">
        <f t="shared" si="1006"/>
        <v>0</v>
      </c>
      <c r="LL521" s="273">
        <f>$H521*IF(LP521&lt;&gt;LF521,SUMIFS(axTER!$E$121:$E$128,axTER!$C$121:$C$128,LF521,axTER!$D$121:$D$128,LP521),SUMIFS(axTER!$E$133:$E$138,axTER!$C$133:$C$138,LP521)*LO$510)*$D$514/10^6</f>
        <v>124.59490368639106</v>
      </c>
      <c r="LM521" s="274">
        <f>$H521*IF(LQ521&lt;&gt;LG521,SUMIFS(axTER!$E$142:$E$148,axTER!$C$142:$C$148,LQ521),SUMIFS(axTER!$E$151:$E$157,axTER!$C$151:$C$157,LQ521)*LO$510)/10^6*$D$514</f>
        <v>52.329859548284254</v>
      </c>
      <c r="LN521" s="275" t="s">
        <v>253</v>
      </c>
      <c r="LO521" s="161" t="s">
        <v>265</v>
      </c>
      <c r="LP521" s="161" t="s">
        <v>266</v>
      </c>
      <c r="LQ521" s="161" t="s">
        <v>256</v>
      </c>
      <c r="LR521" s="276">
        <f>$H521*SUMIFS(axTER!$E$65:$E$105,axTER!$D$65:$D$105,LP521,axTER!$C$65:$C$105,LN521)/SUMIFS(axTER!$E$108:$E$114,axTER!$C$108:$C$114,LQ521)/10^9*$D$514</f>
        <v>0.89933163563109353</v>
      </c>
      <c r="LT521" s="273">
        <f t="shared" si="1014"/>
        <v>0</v>
      </c>
      <c r="LU521" s="273">
        <f t="shared" si="1015"/>
        <v>0</v>
      </c>
      <c r="LV521" s="273">
        <f>$H521*IF(LZ521&lt;&gt;LP521,SUMIFS(axTER!$E$121:$E$128,axTER!$C$121:$C$128,LP521,axTER!$D$121:$D$128,LZ521),SUMIFS(axTER!$E$133:$E$138,axTER!$C$133:$C$138,LZ521)*LY$510)*$D$514/10^6</f>
        <v>177.99271955198722</v>
      </c>
      <c r="LW521" s="274">
        <f>$H521*IF(MA521&lt;&gt;LQ521,SUMIFS(axTER!$E$142:$E$148,axTER!$C$142:$C$148,MA521),SUMIFS(axTER!$E$151:$E$157,axTER!$C$151:$C$157,MA521)*LY$510)/10^6*$D$514</f>
        <v>74.756942211834655</v>
      </c>
      <c r="LX521" s="275" t="s">
        <v>253</v>
      </c>
      <c r="LY521" s="161" t="s">
        <v>265</v>
      </c>
      <c r="LZ521" s="161" t="s">
        <v>266</v>
      </c>
      <c r="MA521" s="161" t="s">
        <v>256</v>
      </c>
      <c r="MB521" s="276">
        <f>$H521*SUMIFS(axTER!$E$65:$E$105,axTER!$D$65:$D$105,LZ521,axTER!$C$65:$C$105,LX521)/SUMIFS(axTER!$E$108:$E$114,axTER!$C$108:$C$114,MA521)/10^9*$D$514</f>
        <v>0.89933163563109353</v>
      </c>
      <c r="MD521" s="273">
        <f t="shared" si="1007"/>
        <v>0</v>
      </c>
      <c r="ME521" s="273">
        <f t="shared" si="1016"/>
        <v>0</v>
      </c>
      <c r="MF521" s="273">
        <f>$H521*IF(MJ521&lt;&gt;LZ521,SUMIFS(axTER!$E$121:$E$128,axTER!$C$121:$C$128,LZ521,axTER!$D$121:$D$128,MJ521),SUMIFS(axTER!$E$133:$E$138,axTER!$C$133:$C$138,MJ521)*MI$510)*$D$514/10^6</f>
        <v>177.99271955198722</v>
      </c>
      <c r="MG521" s="274">
        <f>$H521*IF(MK521&lt;&gt;MA521,SUMIFS(axTER!$E$142:$E$148,axTER!$C$142:$C$148,MK521),SUMIFS(axTER!$E$151:$E$157,axTER!$C$151:$C$157,MK521)*MI$510)/10^6*$D$514</f>
        <v>74.756942211834655</v>
      </c>
      <c r="MH521" s="275" t="s">
        <v>253</v>
      </c>
      <c r="MI521" s="161" t="s">
        <v>265</v>
      </c>
      <c r="MJ521" s="161" t="s">
        <v>266</v>
      </c>
      <c r="MK521" s="429" t="s">
        <v>256</v>
      </c>
      <c r="ML521" s="276">
        <f>$H521*SUMIFS(axTER!$E$65:$E$105,axTER!$D$65:$D$105,MJ521,axTER!$C$65:$C$105,MH521)/SUMIFS(axTER!$E$108:$E$114,axTER!$C$108:$C$114,MK521)/10^9*$D$514</f>
        <v>0.89933163563109353</v>
      </c>
    </row>
    <row r="522" spans="3:350" outlineLevel="1" x14ac:dyDescent="0.3">
      <c r="C522" s="279"/>
      <c r="D522" s="281"/>
      <c r="E522" s="281"/>
      <c r="F522" s="266"/>
      <c r="H522" s="269">
        <v>1200</v>
      </c>
      <c r="I522" s="66" t="s">
        <v>253</v>
      </c>
      <c r="J522" s="66" t="s">
        <v>265</v>
      </c>
      <c r="K522" s="66" t="s">
        <v>266</v>
      </c>
      <c r="L522" s="66" t="s">
        <v>256</v>
      </c>
      <c r="M522" s="272">
        <f>$H522*SUMIFS(axTER!$E$65:$E$105,axTER!$C$65:$C$105,I522,axTER!$D$65:$D$105,K522)/SUMIFS(axTER!$E$108:$E$114,axTER!$C$108:$C$114,L522)/10^9*$D$514</f>
        <v>0.89933163563109353</v>
      </c>
      <c r="S522" s="269">
        <v>1200</v>
      </c>
      <c r="T522" s="66" t="s">
        <v>253</v>
      </c>
      <c r="U522" s="66" t="s">
        <v>265</v>
      </c>
      <c r="V522" s="66" t="s">
        <v>266</v>
      </c>
      <c r="W522" s="66" t="s">
        <v>256</v>
      </c>
      <c r="X522" s="272">
        <f>$H522*SUMIFS(axTER!$E$65:$E$105,axTER!$C$65:$C$105,T522,axTER!$D$65:$D$105,V522)/SUMIFS(axTER!$E$108:$E$114,axTER!$C$108:$C$114,W522)/10^9*$D$514</f>
        <v>0.89933163563109353</v>
      </c>
      <c r="AB522" s="273">
        <f>$H522*IF(AF522&lt;&gt;K522,SUMIFS(axTER!$E$121:$E$128,axTER!$C$121:$C$128,K522,axTER!$D$121:$D$128,AF522),SUMIFS(axTER!$E$133:$E$138,axTER!$C$133:$C$138,AF522)*AE$510)*$D$514/10^6</f>
        <v>177.99271955198722</v>
      </c>
      <c r="AC522" s="274">
        <f>$H522*IF(AG522&lt;&gt;L522,SUMIFS(axTER!$E$142:$E$148,axTER!$C$142:$C$148,AG522),SUMIFS(axTER!$E$151:$E$157,axTER!$C$151:$C$157,AG522)*AE$510)/10^6*$D$514</f>
        <v>74.756942211834655</v>
      </c>
      <c r="AD522" s="275" t="s">
        <v>253</v>
      </c>
      <c r="AE522" s="161" t="s">
        <v>265</v>
      </c>
      <c r="AF522" s="161" t="s">
        <v>266</v>
      </c>
      <c r="AG522" s="161" t="s">
        <v>256</v>
      </c>
      <c r="AH522" s="276">
        <f>$H522*SUMIFS(axTER!$E$65:$E$105,axTER!$D$65:$D$105,AF522,axTER!$C$65:$C$105,AD522)/SUMIFS(axTER!$E$108:$E$114,axTER!$C$108:$C$114,AG522)/10^9*$D$514</f>
        <v>0.89933163563109353</v>
      </c>
      <c r="AV522" s="273">
        <f>$H522*IF(AZ522&lt;&gt;AF522,SUMIFS(axTER!$E$121:$E$128,axTER!$C$121:$C$128,AF522,axTER!$D$121:$D$128,AZ522),SUMIFS(axTER!$E$133:$E$138,axTER!$C$133:$C$138,AZ522)*AY$510)*$D$514/10^6</f>
        <v>355.98543910397444</v>
      </c>
      <c r="AW522" s="274">
        <f>$H522*IF(BA522&lt;&gt;AG522,SUMIFS(axTER!$E$142:$E$148,axTER!$C$142:$C$148,BA522),SUMIFS(axTER!$E$151:$E$157,axTER!$C$151:$C$157,BA522)*AY$510)/10^6*$D$514</f>
        <v>149.51388442366931</v>
      </c>
      <c r="AX522" s="275" t="s">
        <v>253</v>
      </c>
      <c r="AY522" s="161" t="s">
        <v>265</v>
      </c>
      <c r="AZ522" s="161" t="s">
        <v>266</v>
      </c>
      <c r="BA522" s="161" t="s">
        <v>256</v>
      </c>
      <c r="BB522" s="276">
        <f>$H522*SUMIFS(axTER!$E$65:$E$105,axTER!$D$65:$D$105,AZ522,axTER!$C$65:$C$105,AX522)/SUMIFS(axTER!$E$108:$E$114,axTER!$C$108:$C$114,BA522)/10^9*$D$514</f>
        <v>0.89933163563109353</v>
      </c>
      <c r="IG522" s="269">
        <v>1200</v>
      </c>
      <c r="IH522" s="66" t="s">
        <v>253</v>
      </c>
      <c r="II522" s="66" t="s">
        <v>265</v>
      </c>
      <c r="IJ522" s="66" t="s">
        <v>266</v>
      </c>
      <c r="IK522" s="66" t="s">
        <v>256</v>
      </c>
      <c r="IL522" s="272">
        <f>$H522*SUMIFS(axTER!$E$65:$E$105,axTER!$C$65:$C$105,IH522,axTER!$D$65:$D$105,IJ522)/SUMIFS(axTER!$E$108:$E$114,axTER!$C$108:$C$114,IK522)/10^9*$D$514</f>
        <v>0.89933163563109353</v>
      </c>
      <c r="IO522" s="273">
        <f t="shared" si="1008"/>
        <v>0</v>
      </c>
      <c r="IP522" s="273">
        <f>$H522*IF(IT522&lt;&gt;IJ522,SUMIFS(axTER!$E$121:$E$128,axTER!$C$121:$C$128,IJ522,axTER!$D$121:$D$128,IT522),SUMIFS(axTER!$E$133:$E$138,axTER!$C$133:$C$138,IT522)*IS$510)*$D$514/10^6</f>
        <v>177.99271955198722</v>
      </c>
      <c r="IQ522" s="274">
        <f>$H522*IF(IU522&lt;&gt;IK522,SUMIFS(axTER!$E$142:$E$148,axTER!$C$142:$C$148,IU522),SUMIFS(axTER!$E$151:$E$157,axTER!$C$151:$C$157,IU522)*IS$510)/10^6*$D$514</f>
        <v>74.756942211834655</v>
      </c>
      <c r="IR522" s="275" t="s">
        <v>253</v>
      </c>
      <c r="IS522" s="161" t="s">
        <v>265</v>
      </c>
      <c r="IT522" s="161" t="s">
        <v>266</v>
      </c>
      <c r="IU522" s="161" t="s">
        <v>256</v>
      </c>
      <c r="IV522" s="276">
        <f>$H522*SUMIFS(axTER!$E$65:$E$105,axTER!$D$65:$D$105,IT522,axTER!$C$65:$C$105,IR522)/SUMIFS(axTER!$E$108:$E$114,axTER!$C$108:$C$114,IU522)/10^9*$D$514</f>
        <v>0.89933163563109353</v>
      </c>
      <c r="JI522" s="273">
        <f t="shared" si="1009"/>
        <v>0</v>
      </c>
      <c r="JJ522" s="273">
        <f>$H522*IF(JN522&lt;&gt;IT522,SUMIFS(axTER!$E$121:$E$128,axTER!$C$121:$C$128,IT522,axTER!$D$121:$D$128,JN522),SUMIFS(axTER!$E$133:$E$138,axTER!$C$133:$C$138,JN522)*JM$510)*$D$514/10^6</f>
        <v>355.98543910397444</v>
      </c>
      <c r="JK522" s="274">
        <f>$H522*IF(JO522&lt;&gt;IU522,SUMIFS(axTER!$E$142:$E$148,axTER!$C$142:$C$148,JO522),SUMIFS(axTER!$E$151:$E$157,axTER!$C$151:$C$157,JO522)*JM$510)/10^6*$D$514</f>
        <v>149.51388442366931</v>
      </c>
      <c r="JL522" s="275" t="s">
        <v>253</v>
      </c>
      <c r="JM522" s="161" t="s">
        <v>265</v>
      </c>
      <c r="JN522" s="161" t="s">
        <v>266</v>
      </c>
      <c r="JO522" s="161" t="s">
        <v>256</v>
      </c>
      <c r="JP522" s="276">
        <f>$H522*SUMIFS(axTER!$E$65:$E$105,axTER!$D$65:$D$105,JN522,axTER!$C$65:$C$105,JL522)/SUMIFS(axTER!$E$108:$E$114,axTER!$C$108:$C$114,JO522)/10^9*$D$514</f>
        <v>0.89933163563109353</v>
      </c>
      <c r="JR522" s="269">
        <v>1200</v>
      </c>
      <c r="JS522" s="66" t="s">
        <v>253</v>
      </c>
      <c r="JT522" s="66" t="s">
        <v>265</v>
      </c>
      <c r="JU522" s="66" t="s">
        <v>266</v>
      </c>
      <c r="JV522" s="66" t="s">
        <v>256</v>
      </c>
      <c r="JW522" s="272">
        <f>$H522*SUMIFS(axTER!$E$65:$E$105,axTER!$C$65:$C$105,JS522,axTER!$D$65:$D$105,JU522)/SUMIFS(axTER!$E$108:$E$114,axTER!$C$108:$C$114,JV522)/10^9*$D$514</f>
        <v>0.89933163563109353</v>
      </c>
      <c r="JY522" s="273">
        <f t="shared" si="1010"/>
        <v>0</v>
      </c>
      <c r="JZ522" s="273">
        <f t="shared" si="1005"/>
        <v>0</v>
      </c>
      <c r="KA522" s="273">
        <f>$H522*IF(KE522&lt;&gt;JU522,SUMIFS(axTER!$E$121:$E$128,axTER!$C$121:$C$128,JU522,axTER!$D$121:$D$128,KE522),SUMIFS(axTER!$E$133:$E$138,axTER!$C$133:$C$138,KE522)*KD$510)*$D$514/10^6</f>
        <v>124.59490368639106</v>
      </c>
      <c r="KB522" s="274">
        <f>$H522*IF(KF522&lt;&gt;JV522,SUMIFS(axTER!$E$142:$E$148,axTER!$C$142:$C$148,KF522),SUMIFS(axTER!$E$151:$E$157,axTER!$C$151:$C$157,KF522)*KD$510)/10^6*$D$514</f>
        <v>52.329859548284254</v>
      </c>
      <c r="KC522" s="275" t="s">
        <v>253</v>
      </c>
      <c r="KD522" s="161" t="s">
        <v>265</v>
      </c>
      <c r="KE522" s="161" t="s">
        <v>266</v>
      </c>
      <c r="KF522" s="161" t="s">
        <v>256</v>
      </c>
      <c r="KG522" s="276">
        <f>$H522*SUMIFS(axTER!$E$65:$E$105,axTER!$D$65:$D$105,KE522,axTER!$C$65:$C$105,KC522)/SUMIFS(axTER!$E$108:$E$114,axTER!$C$108:$C$114,KF522)/10^9*$D$514</f>
        <v>0.89933163563109353</v>
      </c>
      <c r="KS522" s="273" t="str">
        <f t="shared" si="1011"/>
        <v>ELEC-PAC</v>
      </c>
      <c r="KT522" s="273">
        <f t="shared" si="1012"/>
        <v>0</v>
      </c>
      <c r="KU522" s="273">
        <f>$H522*IF(KY522&lt;&gt;KE522,SUMIFS(axTER!$E$121:$E$128,axTER!$C$121:$C$128,KE522,axTER!$D$121:$D$128,KY522),SUMIFS(axTER!$E$133:$E$138,axTER!$C$133:$C$138,KY522)*KX$510)*$D$514/10^6</f>
        <v>355.98543910397444</v>
      </c>
      <c r="KV522" s="274">
        <f>$H522*IF(KZ522&lt;&gt;KF522,SUMIFS(axTER!$E$142:$E$148,axTER!$C$142:$C$148,KZ522),SUMIFS(axTER!$E$151:$E$157,axTER!$C$151:$C$157,KZ522)*KX$510)/10^6*$D$514</f>
        <v>949.29450427726533</v>
      </c>
      <c r="KW522" s="275" t="s">
        <v>253</v>
      </c>
      <c r="KX522" s="161" t="s">
        <v>265</v>
      </c>
      <c r="KY522" s="161" t="s">
        <v>266</v>
      </c>
      <c r="KZ522" s="161" t="s">
        <v>261</v>
      </c>
      <c r="LA522" s="276">
        <f>$H522*SUMIFS(axTER!$E$65:$E$105,axTER!$D$65:$D$105,KY522,axTER!$C$65:$C$105,KW522)/SUMIFS(axTER!$E$108:$E$114,axTER!$C$108:$C$114,KZ522)/10^9*$D$514</f>
        <v>0.28478835128317959</v>
      </c>
      <c r="LC522" s="269">
        <v>1200</v>
      </c>
      <c r="LD522" s="66" t="s">
        <v>253</v>
      </c>
      <c r="LE522" s="66" t="s">
        <v>265</v>
      </c>
      <c r="LF522" s="66" t="s">
        <v>266</v>
      </c>
      <c r="LG522" s="66" t="s">
        <v>256</v>
      </c>
      <c r="LH522" s="272">
        <f>$H522*SUMIFS(axTER!$E$65:$E$105,axTER!$C$65:$C$105,LD522,axTER!$D$65:$D$105,LF522)/SUMIFS(axTER!$E$108:$E$114,axTER!$C$108:$C$114,LG522)/10^9*$D$514</f>
        <v>0.89933163563109353</v>
      </c>
      <c r="LJ522" s="273">
        <f t="shared" si="1013"/>
        <v>0</v>
      </c>
      <c r="LK522" s="273">
        <f t="shared" si="1006"/>
        <v>0</v>
      </c>
      <c r="LL522" s="273">
        <f>$H522*IF(LP522&lt;&gt;LF522,SUMIFS(axTER!$E$121:$E$128,axTER!$C$121:$C$128,LF522,axTER!$D$121:$D$128,LP522),SUMIFS(axTER!$E$133:$E$138,axTER!$C$133:$C$138,LP522)*LO$510)*$D$514/10^6</f>
        <v>124.59490368639106</v>
      </c>
      <c r="LM522" s="274">
        <f>$H522*IF(LQ522&lt;&gt;LG522,SUMIFS(axTER!$E$142:$E$148,axTER!$C$142:$C$148,LQ522),SUMIFS(axTER!$E$151:$E$157,axTER!$C$151:$C$157,LQ522)*LO$510)/10^6*$D$514</f>
        <v>52.329859548284254</v>
      </c>
      <c r="LN522" s="275" t="s">
        <v>253</v>
      </c>
      <c r="LO522" s="161" t="s">
        <v>265</v>
      </c>
      <c r="LP522" s="161" t="s">
        <v>266</v>
      </c>
      <c r="LQ522" s="161" t="s">
        <v>256</v>
      </c>
      <c r="LR522" s="276">
        <f>$H522*SUMIFS(axTER!$E$65:$E$105,axTER!$D$65:$D$105,LP522,axTER!$C$65:$C$105,LN522)/SUMIFS(axTER!$E$108:$E$114,axTER!$C$108:$C$114,LQ522)/10^9*$D$514</f>
        <v>0.89933163563109353</v>
      </c>
      <c r="LT522" s="273" t="str">
        <f t="shared" si="1014"/>
        <v>ELEC-PAC</v>
      </c>
      <c r="LU522" s="273">
        <f t="shared" si="1015"/>
        <v>0</v>
      </c>
      <c r="LV522" s="273">
        <f>$H522*IF(LZ522&lt;&gt;LP522,SUMIFS(axTER!$E$121:$E$128,axTER!$C$121:$C$128,LP522,axTER!$D$121:$D$128,LZ522),SUMIFS(axTER!$E$133:$E$138,axTER!$C$133:$C$138,LZ522)*LY$510)*$D$514/10^6</f>
        <v>177.99271955198722</v>
      </c>
      <c r="LW522" s="274">
        <f>$H522*IF(MA522&lt;&gt;LQ522,SUMIFS(axTER!$E$142:$E$148,axTER!$C$142:$C$148,MA522),SUMIFS(axTER!$E$151:$E$157,axTER!$C$151:$C$157,MA522)*LY$510)/10^6*$D$514</f>
        <v>949.29450427726533</v>
      </c>
      <c r="LX522" s="275" t="s">
        <v>253</v>
      </c>
      <c r="LY522" s="161" t="s">
        <v>265</v>
      </c>
      <c r="LZ522" s="161" t="s">
        <v>266</v>
      </c>
      <c r="MA522" s="429" t="s">
        <v>261</v>
      </c>
      <c r="MB522" s="276">
        <f>$H522*SUMIFS(axTER!$E$65:$E$105,axTER!$D$65:$D$105,LZ522,axTER!$C$65:$C$105,LX522)/SUMIFS(axTER!$E$108:$E$114,axTER!$C$108:$C$114,MA522)/10^9*$D$514</f>
        <v>0.28478835128317959</v>
      </c>
      <c r="MD522" s="273">
        <f t="shared" si="1007"/>
        <v>0</v>
      </c>
      <c r="ME522" s="273">
        <f t="shared" si="1016"/>
        <v>0</v>
      </c>
      <c r="MF522" s="273">
        <f>$H522*IF(MJ522&lt;&gt;LZ522,SUMIFS(axTER!$E$121:$E$128,axTER!$C$121:$C$128,LZ522,axTER!$D$121:$D$128,MJ522),SUMIFS(axTER!$E$133:$E$138,axTER!$C$133:$C$138,MJ522)*MI$510)*$D$514/10^6</f>
        <v>177.99271955198722</v>
      </c>
      <c r="MG522" s="274">
        <f>$H522*IF(MK522&lt;&gt;MA522,SUMIFS(axTER!$E$142:$E$148,axTER!$C$142:$C$148,MK522),SUMIFS(axTER!$E$151:$E$157,axTER!$C$151:$C$157,MK522)*MI$510)/10^6*$D$514</f>
        <v>332.25307649704291</v>
      </c>
      <c r="MH522" s="275" t="s">
        <v>253</v>
      </c>
      <c r="MI522" s="161" t="s">
        <v>265</v>
      </c>
      <c r="MJ522" s="161" t="s">
        <v>266</v>
      </c>
      <c r="MK522" s="161" t="s">
        <v>261</v>
      </c>
      <c r="ML522" s="276">
        <f>$H522*SUMIFS(axTER!$E$65:$E$105,axTER!$D$65:$D$105,MJ522,axTER!$C$65:$C$105,MH522)/SUMIFS(axTER!$E$108:$E$114,axTER!$C$108:$C$114,MK522)/10^9*$D$514</f>
        <v>0.28478835128317959</v>
      </c>
    </row>
    <row r="523" spans="3:350" outlineLevel="1" x14ac:dyDescent="0.3">
      <c r="C523" s="279"/>
      <c r="D523" s="281"/>
      <c r="E523" s="281"/>
      <c r="F523" s="266"/>
      <c r="H523" s="269">
        <v>1200</v>
      </c>
      <c r="I523" s="66" t="s">
        <v>253</v>
      </c>
      <c r="J523" s="66" t="s">
        <v>265</v>
      </c>
      <c r="K523" s="66" t="s">
        <v>266</v>
      </c>
      <c r="L523" s="66" t="s">
        <v>261</v>
      </c>
      <c r="M523" s="272">
        <f>$H523*SUMIFS(axTER!$E$65:$E$105,axTER!$C$65:$C$105,I523,axTER!$D$65:$D$105,K523)/SUMIFS(axTER!$E$108:$E$114,axTER!$C$108:$C$114,L523)/10^9*$D$514</f>
        <v>0.28478835128317959</v>
      </c>
      <c r="S523" s="269">
        <v>1200</v>
      </c>
      <c r="T523" s="66" t="s">
        <v>253</v>
      </c>
      <c r="U523" s="66" t="s">
        <v>265</v>
      </c>
      <c r="V523" s="66" t="s">
        <v>266</v>
      </c>
      <c r="W523" s="66" t="s">
        <v>261</v>
      </c>
      <c r="X523" s="272">
        <f>$H523*SUMIFS(axTER!$E$65:$E$105,axTER!$C$65:$C$105,T523,axTER!$D$65:$D$105,V523)/SUMIFS(axTER!$E$108:$E$114,axTER!$C$108:$C$114,W523)/10^9*$D$514</f>
        <v>0.28478835128317959</v>
      </c>
      <c r="AB523" s="273">
        <f>$H523*IF(AF523&lt;&gt;K523,SUMIFS(axTER!$E$121:$E$128,axTER!$C$121:$C$128,K523,axTER!$D$121:$D$128,AF523),SUMIFS(axTER!$E$133:$E$138,axTER!$C$133:$C$138,AF523)*AE$510)*$D$514/10^6</f>
        <v>177.99271955198722</v>
      </c>
      <c r="AC523" s="274">
        <f>$H523*IF(AG523&lt;&gt;L523,SUMIFS(axTER!$E$142:$E$148,axTER!$C$142:$C$148,AG523),SUMIFS(axTER!$E$151:$E$157,axTER!$C$151:$C$157,AG523)*AE$510)/10^6*$D$514</f>
        <v>332.25307649704291</v>
      </c>
      <c r="AD523" s="275" t="s">
        <v>253</v>
      </c>
      <c r="AE523" s="161" t="s">
        <v>265</v>
      </c>
      <c r="AF523" s="161" t="s">
        <v>266</v>
      </c>
      <c r="AG523" s="161" t="s">
        <v>261</v>
      </c>
      <c r="AH523" s="276">
        <f>$H523*SUMIFS(axTER!$E$65:$E$105,axTER!$D$65:$D$105,AF523,axTER!$C$65:$C$105,AD523)/SUMIFS(axTER!$E$108:$E$114,axTER!$C$108:$C$114,AG523)/10^9*$D$514</f>
        <v>0.28478835128317959</v>
      </c>
      <c r="AV523" s="273">
        <f>$H523*IF(AZ523&lt;&gt;AF523,SUMIFS(axTER!$E$121:$E$128,axTER!$C$121:$C$128,AF523,axTER!$D$121:$D$128,AZ523),SUMIFS(axTER!$E$133:$E$138,axTER!$C$133:$C$138,AZ523)*AY$510)*$D$514/10^6</f>
        <v>355.98543910397444</v>
      </c>
      <c r="AW523" s="274">
        <f>$H523*IF(BA523&lt;&gt;AG523,SUMIFS(axTER!$E$142:$E$148,axTER!$C$142:$C$148,BA523),SUMIFS(axTER!$E$151:$E$157,axTER!$C$151:$C$157,BA523)*AY$510)/10^6*$D$514</f>
        <v>664.50615299408582</v>
      </c>
      <c r="AX523" s="275" t="s">
        <v>253</v>
      </c>
      <c r="AY523" s="161" t="s">
        <v>265</v>
      </c>
      <c r="AZ523" s="161" t="s">
        <v>266</v>
      </c>
      <c r="BA523" s="161" t="s">
        <v>261</v>
      </c>
      <c r="BB523" s="276">
        <f>$H523*SUMIFS(axTER!$E$65:$E$105,axTER!$D$65:$D$105,AZ523,axTER!$C$65:$C$105,AX523)/SUMIFS(axTER!$E$108:$E$114,axTER!$C$108:$C$114,BA523)/10^9*$D$514</f>
        <v>0.28478835128317959</v>
      </c>
      <c r="IG523" s="269">
        <v>1200</v>
      </c>
      <c r="IH523" s="66" t="s">
        <v>253</v>
      </c>
      <c r="II523" s="66" t="s">
        <v>265</v>
      </c>
      <c r="IJ523" s="66" t="s">
        <v>266</v>
      </c>
      <c r="IK523" s="66" t="s">
        <v>261</v>
      </c>
      <c r="IL523" s="272">
        <f>$H523*SUMIFS(axTER!$E$65:$E$105,axTER!$C$65:$C$105,IH523,axTER!$D$65:$D$105,IJ523)/SUMIFS(axTER!$E$108:$E$114,axTER!$C$108:$C$114,IK523)/10^9*$D$514</f>
        <v>0.28478835128317959</v>
      </c>
      <c r="IO523" s="273">
        <f t="shared" si="1008"/>
        <v>0</v>
      </c>
      <c r="IP523" s="273">
        <f>$H523*IF(IT523&lt;&gt;IJ523,SUMIFS(axTER!$E$121:$E$128,axTER!$C$121:$C$128,IJ523,axTER!$D$121:$D$128,IT523),SUMIFS(axTER!$E$133:$E$138,axTER!$C$133:$C$138,IT523)*IS$510)*$D$514/10^6</f>
        <v>177.99271955198722</v>
      </c>
      <c r="IQ523" s="274">
        <f>$H523*IF(IU523&lt;&gt;IK523,SUMIFS(axTER!$E$142:$E$148,axTER!$C$142:$C$148,IU523),SUMIFS(axTER!$E$151:$E$157,axTER!$C$151:$C$157,IU523)*IS$510)/10^6*$D$514</f>
        <v>332.25307649704291</v>
      </c>
      <c r="IR523" s="275" t="s">
        <v>253</v>
      </c>
      <c r="IS523" s="161" t="s">
        <v>265</v>
      </c>
      <c r="IT523" s="161" t="s">
        <v>266</v>
      </c>
      <c r="IU523" s="161" t="s">
        <v>261</v>
      </c>
      <c r="IV523" s="276">
        <f>$H523*SUMIFS(axTER!$E$65:$E$105,axTER!$D$65:$D$105,IT523,axTER!$C$65:$C$105,IR523)/SUMIFS(axTER!$E$108:$E$114,axTER!$C$108:$C$114,IU523)/10^9*$D$514</f>
        <v>0.28478835128317959</v>
      </c>
      <c r="JI523" s="273">
        <f t="shared" si="1009"/>
        <v>0</v>
      </c>
      <c r="JJ523" s="273">
        <f>$H523*IF(JN523&lt;&gt;IT523,SUMIFS(axTER!$E$121:$E$128,axTER!$C$121:$C$128,IT523,axTER!$D$121:$D$128,JN523),SUMIFS(axTER!$E$133:$E$138,axTER!$C$133:$C$138,JN523)*JM$510)*$D$514/10^6</f>
        <v>355.98543910397444</v>
      </c>
      <c r="JK523" s="274">
        <f>$H523*IF(JO523&lt;&gt;IU523,SUMIFS(axTER!$E$142:$E$148,axTER!$C$142:$C$148,JO523),SUMIFS(axTER!$E$151:$E$157,axTER!$C$151:$C$157,JO523)*JM$510)/10^6*$D$514</f>
        <v>664.50615299408582</v>
      </c>
      <c r="JL523" s="275" t="s">
        <v>253</v>
      </c>
      <c r="JM523" s="161" t="s">
        <v>265</v>
      </c>
      <c r="JN523" s="161" t="s">
        <v>266</v>
      </c>
      <c r="JO523" s="161" t="s">
        <v>261</v>
      </c>
      <c r="JP523" s="276">
        <f>$H523*SUMIFS(axTER!$E$65:$E$105,axTER!$D$65:$D$105,JN523,axTER!$C$65:$C$105,JL523)/SUMIFS(axTER!$E$108:$E$114,axTER!$C$108:$C$114,JO523)/10^9*$D$514</f>
        <v>0.28478835128317959</v>
      </c>
      <c r="JR523" s="269">
        <v>1200</v>
      </c>
      <c r="JS523" s="66" t="s">
        <v>253</v>
      </c>
      <c r="JT523" s="66" t="s">
        <v>265</v>
      </c>
      <c r="JU523" s="66" t="s">
        <v>266</v>
      </c>
      <c r="JV523" s="66" t="s">
        <v>261</v>
      </c>
      <c r="JW523" s="272">
        <f>$H523*SUMIFS(axTER!$E$65:$E$105,axTER!$C$65:$C$105,JS523,axTER!$D$65:$D$105,JU523)/SUMIFS(axTER!$E$108:$E$114,axTER!$C$108:$C$114,JV523)/10^9*$D$514</f>
        <v>0.28478835128317959</v>
      </c>
      <c r="JY523" s="273">
        <f t="shared" si="1010"/>
        <v>0</v>
      </c>
      <c r="JZ523" s="273">
        <f t="shared" si="1005"/>
        <v>0</v>
      </c>
      <c r="KA523" s="273">
        <f>$H523*IF(KE523&lt;&gt;JU523,SUMIFS(axTER!$E$121:$E$128,axTER!$C$121:$C$128,JU523,axTER!$D$121:$D$128,KE523),SUMIFS(axTER!$E$133:$E$138,axTER!$C$133:$C$138,KE523)*KD$510)*$D$514/10^6</f>
        <v>124.59490368639106</v>
      </c>
      <c r="KB523" s="274">
        <f>$H523*IF(KF523&lt;&gt;JV523,SUMIFS(axTER!$E$142:$E$148,axTER!$C$142:$C$148,KF523),SUMIFS(axTER!$E$151:$E$157,axTER!$C$151:$C$157,KF523)*KD$510)/10^6*$D$514</f>
        <v>232.57715354792998</v>
      </c>
      <c r="KC523" s="275" t="s">
        <v>253</v>
      </c>
      <c r="KD523" s="161" t="s">
        <v>265</v>
      </c>
      <c r="KE523" s="161" t="s">
        <v>266</v>
      </c>
      <c r="KF523" s="161" t="s">
        <v>261</v>
      </c>
      <c r="KG523" s="276">
        <f>$H523*SUMIFS(axTER!$E$65:$E$105,axTER!$D$65:$D$105,KE523,axTER!$C$65:$C$105,KC523)/SUMIFS(axTER!$E$108:$E$114,axTER!$C$108:$C$114,KF523)/10^9*$D$514</f>
        <v>0.28478835128317959</v>
      </c>
      <c r="KS523" s="273">
        <f t="shared" si="1011"/>
        <v>0</v>
      </c>
      <c r="KT523" s="273">
        <f t="shared" si="1012"/>
        <v>0</v>
      </c>
      <c r="KU523" s="273">
        <f>$H523*IF(KY523&lt;&gt;KE523,SUMIFS(axTER!$E$121:$E$128,axTER!$C$121:$C$128,KE523,axTER!$D$121:$D$128,KY523),SUMIFS(axTER!$E$133:$E$138,axTER!$C$133:$C$138,KY523)*KX$510)*$D$514/10^6</f>
        <v>355.98543910397444</v>
      </c>
      <c r="KV523" s="274">
        <f>$H523*IF(KZ523&lt;&gt;KF523,SUMIFS(axTER!$E$142:$E$148,axTER!$C$142:$C$148,KZ523),SUMIFS(axTER!$E$151:$E$157,axTER!$C$151:$C$157,KZ523)*KX$510)/10^6*$D$514</f>
        <v>664.50615299408582</v>
      </c>
      <c r="KW523" s="275" t="s">
        <v>253</v>
      </c>
      <c r="KX523" s="161" t="s">
        <v>265</v>
      </c>
      <c r="KY523" s="161" t="s">
        <v>266</v>
      </c>
      <c r="KZ523" s="161" t="s">
        <v>261</v>
      </c>
      <c r="LA523" s="276">
        <f>$H523*SUMIFS(axTER!$E$65:$E$105,axTER!$D$65:$D$105,KY523,axTER!$C$65:$C$105,KW523)/SUMIFS(axTER!$E$108:$E$114,axTER!$C$108:$C$114,KZ523)/10^9*$D$514</f>
        <v>0.28478835128317959</v>
      </c>
      <c r="LC523" s="269">
        <v>1200</v>
      </c>
      <c r="LD523" s="66" t="s">
        <v>253</v>
      </c>
      <c r="LE523" s="66" t="s">
        <v>265</v>
      </c>
      <c r="LF523" s="66" t="s">
        <v>266</v>
      </c>
      <c r="LG523" s="66" t="s">
        <v>261</v>
      </c>
      <c r="LH523" s="272">
        <f>$H523*SUMIFS(axTER!$E$65:$E$105,axTER!$C$65:$C$105,LD523,axTER!$D$65:$D$105,LF523)/SUMIFS(axTER!$E$108:$E$114,axTER!$C$108:$C$114,LG523)/10^9*$D$514</f>
        <v>0.28478835128317959</v>
      </c>
      <c r="LJ523" s="273">
        <f t="shared" si="1013"/>
        <v>0</v>
      </c>
      <c r="LK523" s="273">
        <f t="shared" si="1006"/>
        <v>0</v>
      </c>
      <c r="LL523" s="273">
        <f>$H523*IF(LP523&lt;&gt;LF523,SUMIFS(axTER!$E$121:$E$128,axTER!$C$121:$C$128,LF523,axTER!$D$121:$D$128,LP523),SUMIFS(axTER!$E$133:$E$138,axTER!$C$133:$C$138,LP523)*LO$510)*$D$514/10^6</f>
        <v>124.59490368639106</v>
      </c>
      <c r="LM523" s="274">
        <f>$H523*IF(LQ523&lt;&gt;LG523,SUMIFS(axTER!$E$142:$E$148,axTER!$C$142:$C$148,LQ523),SUMIFS(axTER!$E$151:$E$157,axTER!$C$151:$C$157,LQ523)*LO$510)/10^6*$D$514</f>
        <v>232.57715354792998</v>
      </c>
      <c r="LN523" s="275" t="s">
        <v>253</v>
      </c>
      <c r="LO523" s="161" t="s">
        <v>265</v>
      </c>
      <c r="LP523" s="161" t="s">
        <v>266</v>
      </c>
      <c r="LQ523" s="161" t="s">
        <v>261</v>
      </c>
      <c r="LR523" s="276">
        <f>$H523*SUMIFS(axTER!$E$65:$E$105,axTER!$D$65:$D$105,LP523,axTER!$C$65:$C$105,LN523)/SUMIFS(axTER!$E$108:$E$114,axTER!$C$108:$C$114,LQ523)/10^9*$D$514</f>
        <v>0.28478835128317959</v>
      </c>
      <c r="LT523" s="273">
        <f t="shared" si="1014"/>
        <v>0</v>
      </c>
      <c r="LU523" s="273">
        <f t="shared" si="1015"/>
        <v>0</v>
      </c>
      <c r="LV523" s="273">
        <f>$H523*IF(LZ523&lt;&gt;LP523,SUMIFS(axTER!$E$121:$E$128,axTER!$C$121:$C$128,LP523,axTER!$D$121:$D$128,LZ523),SUMIFS(axTER!$E$133:$E$138,axTER!$C$133:$C$138,LZ523)*LY$510)*$D$514/10^6</f>
        <v>177.99271955198722</v>
      </c>
      <c r="LW523" s="274">
        <f>$H523*IF(MA523&lt;&gt;LQ523,SUMIFS(axTER!$E$142:$E$148,axTER!$C$142:$C$148,MA523),SUMIFS(axTER!$E$151:$E$157,axTER!$C$151:$C$157,MA523)*LY$510)/10^6*$D$514</f>
        <v>332.25307649704291</v>
      </c>
      <c r="LX523" s="275" t="s">
        <v>253</v>
      </c>
      <c r="LY523" s="161" t="s">
        <v>265</v>
      </c>
      <c r="LZ523" s="161" t="s">
        <v>266</v>
      </c>
      <c r="MA523" s="161" t="s">
        <v>261</v>
      </c>
      <c r="MB523" s="276">
        <f>$H523*SUMIFS(axTER!$E$65:$E$105,axTER!$D$65:$D$105,LZ523,axTER!$C$65:$C$105,LX523)/SUMIFS(axTER!$E$108:$E$114,axTER!$C$108:$C$114,MA523)/10^9*$D$514</f>
        <v>0.28478835128317959</v>
      </c>
      <c r="MD523" s="273">
        <f t="shared" si="1007"/>
        <v>0</v>
      </c>
      <c r="ME523" s="273">
        <f t="shared" si="1016"/>
        <v>0</v>
      </c>
      <c r="MF523" s="273">
        <f>$H523*IF(MJ523&lt;&gt;LZ523,SUMIFS(axTER!$E$121:$E$128,axTER!$C$121:$C$128,LZ523,axTER!$D$121:$D$128,MJ523),SUMIFS(axTER!$E$133:$E$138,axTER!$C$133:$C$138,MJ523)*MI$510)*$D$514/10^6</f>
        <v>177.99271955198722</v>
      </c>
      <c r="MG523" s="274">
        <f>$H523*IF(MK523&lt;&gt;MA523,SUMIFS(axTER!$E$142:$E$148,axTER!$C$142:$C$148,MK523),SUMIFS(axTER!$E$151:$E$157,axTER!$C$151:$C$157,MK523)*MI$510)/10^6*$D$514</f>
        <v>332.25307649704291</v>
      </c>
      <c r="MH523" s="275" t="s">
        <v>253</v>
      </c>
      <c r="MI523" s="161" t="s">
        <v>265</v>
      </c>
      <c r="MJ523" s="161" t="s">
        <v>266</v>
      </c>
      <c r="MK523" s="161" t="s">
        <v>261</v>
      </c>
      <c r="ML523" s="276">
        <f>$H523*SUMIFS(axTER!$E$65:$E$105,axTER!$D$65:$D$105,MJ523,axTER!$C$65:$C$105,MH523)/SUMIFS(axTER!$E$108:$E$114,axTER!$C$108:$C$114,MK523)/10^9*$D$514</f>
        <v>0.28478835128317959</v>
      </c>
    </row>
    <row r="524" spans="3:350" outlineLevel="1" x14ac:dyDescent="0.3">
      <c r="C524" s="279"/>
      <c r="D524" s="280"/>
      <c r="E524" s="281"/>
      <c r="F524" s="266"/>
      <c r="H524" s="269">
        <v>1200</v>
      </c>
      <c r="I524" s="66" t="s">
        <v>253</v>
      </c>
      <c r="J524" s="66" t="s">
        <v>265</v>
      </c>
      <c r="K524" s="66" t="s">
        <v>266</v>
      </c>
      <c r="L524" s="66" t="s">
        <v>261</v>
      </c>
      <c r="M524" s="272">
        <f>$H524*SUMIFS(axTER!$E$65:$E$105,axTER!$C$65:$C$105,I524,axTER!$D$65:$D$105,K524)/SUMIFS(axTER!$E$108:$E$114,axTER!$C$108:$C$114,L524)/10^9*$D$514</f>
        <v>0.28478835128317959</v>
      </c>
      <c r="S524" s="269">
        <v>1200</v>
      </c>
      <c r="T524" s="66" t="s">
        <v>253</v>
      </c>
      <c r="U524" s="66" t="s">
        <v>265</v>
      </c>
      <c r="V524" s="66" t="s">
        <v>266</v>
      </c>
      <c r="W524" s="66" t="s">
        <v>261</v>
      </c>
      <c r="X524" s="272">
        <f>$H524*SUMIFS(axTER!$E$65:$E$105,axTER!$C$65:$C$105,T524,axTER!$D$65:$D$105,V524)/SUMIFS(axTER!$E$108:$E$114,axTER!$C$108:$C$114,W524)/10^9*$D$514</f>
        <v>0.28478835128317959</v>
      </c>
      <c r="AB524" s="273">
        <f>$H524*IF(AF524&lt;&gt;K524,SUMIFS(axTER!$E$121:$E$128,axTER!$C$121:$C$128,K524,axTER!$D$121:$D$128,AF524),SUMIFS(axTER!$E$133:$E$138,axTER!$C$133:$C$138,AF524)*AE$510)*$D$514/10^6</f>
        <v>177.99271955198722</v>
      </c>
      <c r="AC524" s="274">
        <f>$H524*IF(AG524&lt;&gt;L524,SUMIFS(axTER!$E$142:$E$148,axTER!$C$142:$C$148,AG524),SUMIFS(axTER!$E$151:$E$157,axTER!$C$151:$C$157,AG524)*AE$510)/10^6*$D$514</f>
        <v>332.25307649704291</v>
      </c>
      <c r="AD524" s="275" t="s">
        <v>253</v>
      </c>
      <c r="AE524" s="161" t="s">
        <v>265</v>
      </c>
      <c r="AF524" s="161" t="s">
        <v>266</v>
      </c>
      <c r="AG524" s="161" t="s">
        <v>261</v>
      </c>
      <c r="AH524" s="276">
        <f>$H524*SUMIFS(axTER!$E$65:$E$105,axTER!$D$65:$D$105,AF524,axTER!$C$65:$C$105,AD524)/SUMIFS(axTER!$E$108:$E$114,axTER!$C$108:$C$114,AG524)/10^9*$D$514</f>
        <v>0.28478835128317959</v>
      </c>
      <c r="AV524" s="273">
        <f>$H524*IF(AZ524&lt;&gt;AF524,SUMIFS(axTER!$E$121:$E$128,axTER!$C$121:$C$128,AF524,axTER!$D$121:$D$128,AZ524),SUMIFS(axTER!$E$133:$E$138,axTER!$C$133:$C$138,AZ524)*AY$510)*$D$514/10^6</f>
        <v>355.98543910397444</v>
      </c>
      <c r="AW524" s="274">
        <f>$H524*IF(BA524&lt;&gt;AG524,SUMIFS(axTER!$E$142:$E$148,axTER!$C$142:$C$148,BA524),SUMIFS(axTER!$E$151:$E$157,axTER!$C$151:$C$157,BA524)*AY$510)/10^6*$D$514</f>
        <v>664.50615299408582</v>
      </c>
      <c r="AX524" s="275" t="s">
        <v>253</v>
      </c>
      <c r="AY524" s="161" t="s">
        <v>265</v>
      </c>
      <c r="AZ524" s="161" t="s">
        <v>266</v>
      </c>
      <c r="BA524" s="161" t="s">
        <v>261</v>
      </c>
      <c r="BB524" s="276">
        <f>$H524*SUMIFS(axTER!$E$65:$E$105,axTER!$D$65:$D$105,AZ524,axTER!$C$65:$C$105,AX524)/SUMIFS(axTER!$E$108:$E$114,axTER!$C$108:$C$114,BA524)/10^9*$D$514</f>
        <v>0.28478835128317959</v>
      </c>
      <c r="IG524" s="269">
        <v>1200</v>
      </c>
      <c r="IH524" s="66" t="s">
        <v>253</v>
      </c>
      <c r="II524" s="66" t="s">
        <v>265</v>
      </c>
      <c r="IJ524" s="66" t="s">
        <v>266</v>
      </c>
      <c r="IK524" s="66" t="s">
        <v>261</v>
      </c>
      <c r="IL524" s="272">
        <f>$H524*SUMIFS(axTER!$E$65:$E$105,axTER!$C$65:$C$105,IH524,axTER!$D$65:$D$105,IJ524)/SUMIFS(axTER!$E$108:$E$114,axTER!$C$108:$C$114,IK524)/10^9*$D$514</f>
        <v>0.28478835128317959</v>
      </c>
      <c r="IO524" s="273">
        <f t="shared" si="1008"/>
        <v>0</v>
      </c>
      <c r="IP524" s="273">
        <f>$H524*IF(IT524&lt;&gt;IJ524,SUMIFS(axTER!$E$121:$E$128,axTER!$C$121:$C$128,IJ524,axTER!$D$121:$D$128,IT524),SUMIFS(axTER!$E$133:$E$138,axTER!$C$133:$C$138,IT524)*IS$510)*$D$514/10^6</f>
        <v>177.99271955198722</v>
      </c>
      <c r="IQ524" s="274">
        <f>$H524*IF(IU524&lt;&gt;IK524,SUMIFS(axTER!$E$142:$E$148,axTER!$C$142:$C$148,IU524),SUMIFS(axTER!$E$151:$E$157,axTER!$C$151:$C$157,IU524)*IS$510)/10^6*$D$514</f>
        <v>332.25307649704291</v>
      </c>
      <c r="IR524" s="275" t="s">
        <v>253</v>
      </c>
      <c r="IS524" s="161" t="s">
        <v>265</v>
      </c>
      <c r="IT524" s="161" t="s">
        <v>266</v>
      </c>
      <c r="IU524" s="161" t="s">
        <v>261</v>
      </c>
      <c r="IV524" s="276">
        <f>$H524*SUMIFS(axTER!$E$65:$E$105,axTER!$D$65:$D$105,IT524,axTER!$C$65:$C$105,IR524)/SUMIFS(axTER!$E$108:$E$114,axTER!$C$108:$C$114,IU524)/10^9*$D$514</f>
        <v>0.28478835128317959</v>
      </c>
      <c r="JI524" s="273">
        <f t="shared" si="1009"/>
        <v>0</v>
      </c>
      <c r="JJ524" s="273">
        <f>$H524*IF(JN524&lt;&gt;IT524,SUMIFS(axTER!$E$121:$E$128,axTER!$C$121:$C$128,IT524,axTER!$D$121:$D$128,JN524),SUMIFS(axTER!$E$133:$E$138,axTER!$C$133:$C$138,JN524)*JM$510)*$D$514/10^6</f>
        <v>355.98543910397444</v>
      </c>
      <c r="JK524" s="274">
        <f>$H524*IF(JO524&lt;&gt;IU524,SUMIFS(axTER!$E$142:$E$148,axTER!$C$142:$C$148,JO524),SUMIFS(axTER!$E$151:$E$157,axTER!$C$151:$C$157,JO524)*JM$510)/10^6*$D$514</f>
        <v>664.50615299408582</v>
      </c>
      <c r="JL524" s="275" t="s">
        <v>253</v>
      </c>
      <c r="JM524" s="161" t="s">
        <v>265</v>
      </c>
      <c r="JN524" s="161" t="s">
        <v>266</v>
      </c>
      <c r="JO524" s="161" t="s">
        <v>261</v>
      </c>
      <c r="JP524" s="276">
        <f>$H524*SUMIFS(axTER!$E$65:$E$105,axTER!$D$65:$D$105,JN524,axTER!$C$65:$C$105,JL524)/SUMIFS(axTER!$E$108:$E$114,axTER!$C$108:$C$114,JO524)/10^9*$D$514</f>
        <v>0.28478835128317959</v>
      </c>
      <c r="JR524" s="269">
        <v>1200</v>
      </c>
      <c r="JS524" s="66" t="s">
        <v>253</v>
      </c>
      <c r="JT524" s="66" t="s">
        <v>265</v>
      </c>
      <c r="JU524" s="66" t="s">
        <v>266</v>
      </c>
      <c r="JV524" s="66" t="s">
        <v>261</v>
      </c>
      <c r="JW524" s="272">
        <f>$H524*SUMIFS(axTER!$E$65:$E$105,axTER!$C$65:$C$105,JS524,axTER!$D$65:$D$105,JU524)/SUMIFS(axTER!$E$108:$E$114,axTER!$C$108:$C$114,JV524)/10^9*$D$514</f>
        <v>0.28478835128317959</v>
      </c>
      <c r="JY524" s="273">
        <f t="shared" si="1010"/>
        <v>0</v>
      </c>
      <c r="JZ524" s="273">
        <f t="shared" si="1005"/>
        <v>0</v>
      </c>
      <c r="KA524" s="273">
        <f>$H524*IF(KE524&lt;&gt;JU524,SUMIFS(axTER!$E$121:$E$128,axTER!$C$121:$C$128,JU524,axTER!$D$121:$D$128,KE524),SUMIFS(axTER!$E$133:$E$138,axTER!$C$133:$C$138,KE524)*KD$510)*$D$514/10^6</f>
        <v>124.59490368639106</v>
      </c>
      <c r="KB524" s="274">
        <f>$H524*IF(KF524&lt;&gt;JV524,SUMIFS(axTER!$E$142:$E$148,axTER!$C$142:$C$148,KF524),SUMIFS(axTER!$E$151:$E$157,axTER!$C$151:$C$157,KF524)*KD$510)/10^6*$D$514</f>
        <v>232.57715354792998</v>
      </c>
      <c r="KC524" s="275" t="s">
        <v>253</v>
      </c>
      <c r="KD524" s="161" t="s">
        <v>265</v>
      </c>
      <c r="KE524" s="161" t="s">
        <v>266</v>
      </c>
      <c r="KF524" s="161" t="s">
        <v>261</v>
      </c>
      <c r="KG524" s="276">
        <f>$H524*SUMIFS(axTER!$E$65:$E$105,axTER!$D$65:$D$105,KE524,axTER!$C$65:$C$105,KC524)/SUMIFS(axTER!$E$108:$E$114,axTER!$C$108:$C$114,KF524)/10^9*$D$514</f>
        <v>0.28478835128317959</v>
      </c>
      <c r="KS524" s="273">
        <f t="shared" si="1011"/>
        <v>0</v>
      </c>
      <c r="KT524" s="273">
        <f t="shared" si="1012"/>
        <v>0</v>
      </c>
      <c r="KU524" s="273">
        <f>$H524*IF(KY524&lt;&gt;KE524,SUMIFS(axTER!$E$121:$E$128,axTER!$C$121:$C$128,KE524,axTER!$D$121:$D$128,KY524),SUMIFS(axTER!$E$133:$E$138,axTER!$C$133:$C$138,KY524)*KX$510)*$D$514/10^6</f>
        <v>355.98543910397444</v>
      </c>
      <c r="KV524" s="274">
        <f>$H524*IF(KZ524&lt;&gt;KF524,SUMIFS(axTER!$E$142:$E$148,axTER!$C$142:$C$148,KZ524),SUMIFS(axTER!$E$151:$E$157,axTER!$C$151:$C$157,KZ524)*KX$510)/10^6*$D$514</f>
        <v>664.50615299408582</v>
      </c>
      <c r="KW524" s="275" t="s">
        <v>253</v>
      </c>
      <c r="KX524" s="161" t="s">
        <v>265</v>
      </c>
      <c r="KY524" s="161" t="s">
        <v>266</v>
      </c>
      <c r="KZ524" s="161" t="s">
        <v>261</v>
      </c>
      <c r="LA524" s="276">
        <f>$H524*SUMIFS(axTER!$E$65:$E$105,axTER!$D$65:$D$105,KY524,axTER!$C$65:$C$105,KW524)/SUMIFS(axTER!$E$108:$E$114,axTER!$C$108:$C$114,KZ524)/10^9*$D$514</f>
        <v>0.28478835128317959</v>
      </c>
      <c r="LC524" s="269">
        <v>1200</v>
      </c>
      <c r="LD524" s="66" t="s">
        <v>253</v>
      </c>
      <c r="LE524" s="66" t="s">
        <v>265</v>
      </c>
      <c r="LF524" s="66" t="s">
        <v>266</v>
      </c>
      <c r="LG524" s="66" t="s">
        <v>261</v>
      </c>
      <c r="LH524" s="272">
        <f>$H524*SUMIFS(axTER!$E$65:$E$105,axTER!$C$65:$C$105,LD524,axTER!$D$65:$D$105,LF524)/SUMIFS(axTER!$E$108:$E$114,axTER!$C$108:$C$114,LG524)/10^9*$D$514</f>
        <v>0.28478835128317959</v>
      </c>
      <c r="LJ524" s="273">
        <f t="shared" si="1013"/>
        <v>0</v>
      </c>
      <c r="LK524" s="273">
        <f t="shared" si="1006"/>
        <v>0</v>
      </c>
      <c r="LL524" s="273">
        <f>$H524*IF(LP524&lt;&gt;LF524,SUMIFS(axTER!$E$121:$E$128,axTER!$C$121:$C$128,LF524,axTER!$D$121:$D$128,LP524),SUMIFS(axTER!$E$133:$E$138,axTER!$C$133:$C$138,LP524)*LO$510)*$D$514/10^6</f>
        <v>124.59490368639106</v>
      </c>
      <c r="LM524" s="274">
        <f>$H524*IF(LQ524&lt;&gt;LG524,SUMIFS(axTER!$E$142:$E$148,axTER!$C$142:$C$148,LQ524),SUMIFS(axTER!$E$151:$E$157,axTER!$C$151:$C$157,LQ524)*LO$510)/10^6*$D$514</f>
        <v>232.57715354792998</v>
      </c>
      <c r="LN524" s="275" t="s">
        <v>253</v>
      </c>
      <c r="LO524" s="161" t="s">
        <v>265</v>
      </c>
      <c r="LP524" s="161" t="s">
        <v>266</v>
      </c>
      <c r="LQ524" s="161" t="s">
        <v>261</v>
      </c>
      <c r="LR524" s="276">
        <f>$H524*SUMIFS(axTER!$E$65:$E$105,axTER!$D$65:$D$105,LP524,axTER!$C$65:$C$105,LN524)/SUMIFS(axTER!$E$108:$E$114,axTER!$C$108:$C$114,LQ524)/10^9*$D$514</f>
        <v>0.28478835128317959</v>
      </c>
      <c r="LT524" s="273">
        <f t="shared" si="1014"/>
        <v>0</v>
      </c>
      <c r="LU524" s="273">
        <f t="shared" si="1015"/>
        <v>0</v>
      </c>
      <c r="LV524" s="273">
        <f>$H524*IF(LZ524&lt;&gt;LP524,SUMIFS(axTER!$E$121:$E$128,axTER!$C$121:$C$128,LP524,axTER!$D$121:$D$128,LZ524),SUMIFS(axTER!$E$133:$E$138,axTER!$C$133:$C$138,LZ524)*LY$510)*$D$514/10^6</f>
        <v>177.99271955198722</v>
      </c>
      <c r="LW524" s="274">
        <f>$H524*IF(MA524&lt;&gt;LQ524,SUMIFS(axTER!$E$142:$E$148,axTER!$C$142:$C$148,MA524),SUMIFS(axTER!$E$151:$E$157,axTER!$C$151:$C$157,MA524)*LY$510)/10^6*$D$514</f>
        <v>332.25307649704291</v>
      </c>
      <c r="LX524" s="275" t="s">
        <v>253</v>
      </c>
      <c r="LY524" s="161" t="s">
        <v>265</v>
      </c>
      <c r="LZ524" s="161" t="s">
        <v>266</v>
      </c>
      <c r="MA524" s="161" t="s">
        <v>261</v>
      </c>
      <c r="MB524" s="276">
        <f>$H524*SUMIFS(axTER!$E$65:$E$105,axTER!$D$65:$D$105,LZ524,axTER!$C$65:$C$105,LX524)/SUMIFS(axTER!$E$108:$E$114,axTER!$C$108:$C$114,MA524)/10^9*$D$514</f>
        <v>0.28478835128317959</v>
      </c>
      <c r="MD524" s="273">
        <f t="shared" si="1007"/>
        <v>0</v>
      </c>
      <c r="ME524" s="273">
        <f t="shared" si="1016"/>
        <v>0</v>
      </c>
      <c r="MF524" s="273">
        <f>$H524*IF(MJ524&lt;&gt;LZ524,SUMIFS(axTER!$E$121:$E$128,axTER!$C$121:$C$128,LZ524,axTER!$D$121:$D$128,MJ524),SUMIFS(axTER!$E$133:$E$138,axTER!$C$133:$C$138,MJ524)*MI$510)*$D$514/10^6</f>
        <v>177.99271955198722</v>
      </c>
      <c r="MG524" s="274">
        <f>$H524*IF(MK524&lt;&gt;MA524,SUMIFS(axTER!$E$142:$E$148,axTER!$C$142:$C$148,MK524),SUMIFS(axTER!$E$151:$E$157,axTER!$C$151:$C$157,MK524)*MI$510)/10^6*$D$514</f>
        <v>332.25307649704291</v>
      </c>
      <c r="MH524" s="275" t="s">
        <v>253</v>
      </c>
      <c r="MI524" s="161" t="s">
        <v>265</v>
      </c>
      <c r="MJ524" s="161" t="s">
        <v>266</v>
      </c>
      <c r="MK524" s="161" t="s">
        <v>261</v>
      </c>
      <c r="ML524" s="276">
        <f>$H524*SUMIFS(axTER!$E$65:$E$105,axTER!$D$65:$D$105,MJ524,axTER!$C$65:$C$105,MH524)/SUMIFS(axTER!$E$108:$E$114,axTER!$C$108:$C$114,MK524)/10^9*$D$514</f>
        <v>0.28478835128317959</v>
      </c>
    </row>
    <row r="525" spans="3:350" outlineLevel="1" x14ac:dyDescent="0.3">
      <c r="C525" s="279"/>
      <c r="D525" s="280"/>
      <c r="E525" s="281"/>
      <c r="F525" s="266"/>
      <c r="H525" s="269">
        <v>1200</v>
      </c>
      <c r="I525" s="66" t="s">
        <v>253</v>
      </c>
      <c r="J525" s="66" t="s">
        <v>265</v>
      </c>
      <c r="K525" s="66" t="s">
        <v>255</v>
      </c>
      <c r="L525" s="66" t="s">
        <v>260</v>
      </c>
      <c r="M525" s="272">
        <f>$H525*SUMIFS(axTER!$E$65:$E$105,axTER!$C$65:$C$105,I525,axTER!$D$65:$D$105,K525)/SUMIFS(axTER!$E$108:$E$114,axTER!$C$108:$C$114,L525)/10^9*$D$514</f>
        <v>1.8985890085545307</v>
      </c>
      <c r="S525" s="269">
        <v>1200</v>
      </c>
      <c r="T525" s="66" t="s">
        <v>253</v>
      </c>
      <c r="U525" s="66" t="s">
        <v>265</v>
      </c>
      <c r="V525" s="66" t="s">
        <v>255</v>
      </c>
      <c r="W525" s="66" t="s">
        <v>260</v>
      </c>
      <c r="X525" s="272">
        <f>$H525*SUMIFS(axTER!$E$65:$E$105,axTER!$C$65:$C$105,T525,axTER!$D$65:$D$105,V525)/SUMIFS(axTER!$E$108:$E$114,axTER!$C$108:$C$114,W525)/10^9*$D$514</f>
        <v>1.8985890085545307</v>
      </c>
      <c r="AB525" s="273">
        <f>$H525*IF(AF525&lt;&gt;K525,SUMIFS(axTER!$E$121:$E$128,axTER!$C$121:$C$128,K525,axTER!$D$121:$D$128,AF525),SUMIFS(axTER!$E$133:$E$138,axTER!$C$133:$C$138,AF525)*AE$510)*$D$514/10^6</f>
        <v>474.64725213863267</v>
      </c>
      <c r="AC525" s="274">
        <f>$H525*IF(AG525&lt;&gt;L525,SUMIFS(axTER!$E$142:$E$148,axTER!$C$142:$C$148,AG525),SUMIFS(axTER!$E$151:$E$157,axTER!$C$151:$C$157,AG525)*AE$510)/10^6*$D$514</f>
        <v>41.531634562130364</v>
      </c>
      <c r="AD525" s="275" t="s">
        <v>253</v>
      </c>
      <c r="AE525" s="161" t="s">
        <v>265</v>
      </c>
      <c r="AF525" s="161" t="s">
        <v>255</v>
      </c>
      <c r="AG525" s="161" t="s">
        <v>260</v>
      </c>
      <c r="AH525" s="276">
        <f>$H525*SUMIFS(axTER!$E$65:$E$105,axTER!$D$65:$D$105,AF525,axTER!$C$65:$C$105,AD525)/SUMIFS(axTER!$E$108:$E$114,axTER!$C$108:$C$114,AG525)/10^9*$D$514</f>
        <v>1.8985890085545307</v>
      </c>
      <c r="AV525" s="273">
        <f>$H525*IF(AZ525&lt;&gt;AF525,SUMIFS(axTER!$E$121:$E$128,axTER!$C$121:$C$128,AF525,axTER!$D$121:$D$128,AZ525),SUMIFS(axTER!$E$133:$E$138,axTER!$C$133:$C$138,AZ525)*AY$510)*$D$514/10^6</f>
        <v>949.29450427726533</v>
      </c>
      <c r="AW525" s="274">
        <f>$H525*IF(BA525&lt;&gt;AG525,SUMIFS(axTER!$E$142:$E$148,axTER!$C$142:$C$148,BA525),SUMIFS(axTER!$E$151:$E$157,axTER!$C$151:$C$157,BA525)*AY$510)/10^6*$D$514</f>
        <v>949.29450427726533</v>
      </c>
      <c r="AX525" s="275" t="s">
        <v>253</v>
      </c>
      <c r="AY525" s="161" t="s">
        <v>265</v>
      </c>
      <c r="AZ525" s="161" t="s">
        <v>255</v>
      </c>
      <c r="BA525" s="161" t="s">
        <v>261</v>
      </c>
      <c r="BB525" s="276">
        <f>$H525*SUMIFS(axTER!$E$65:$E$105,axTER!$D$65:$D$105,AZ525,axTER!$C$65:$C$105,AX525)/SUMIFS(axTER!$E$108:$E$114,axTER!$C$108:$C$114,BA525)/10^9*$D$514</f>
        <v>0.56957670256635917</v>
      </c>
      <c r="IG525" s="269">
        <v>1200</v>
      </c>
      <c r="IH525" s="66" t="s">
        <v>253</v>
      </c>
      <c r="II525" s="66" t="s">
        <v>265</v>
      </c>
      <c r="IJ525" s="66" t="s">
        <v>255</v>
      </c>
      <c r="IK525" s="66" t="s">
        <v>260</v>
      </c>
      <c r="IL525" s="272">
        <f>$H525*SUMIFS(axTER!$E$65:$E$105,axTER!$C$65:$C$105,IH525,axTER!$D$65:$D$105,IJ525)/SUMIFS(axTER!$E$108:$E$114,axTER!$C$108:$C$114,IK525)/10^9*$D$514</f>
        <v>1.8985890085545307</v>
      </c>
      <c r="IO525" s="273">
        <f t="shared" si="1008"/>
        <v>1200</v>
      </c>
      <c r="IP525" s="273">
        <f>$H525*IF(IT525&lt;&gt;IJ525,SUMIFS(axTER!$E$121:$E$128,axTER!$C$121:$C$128,IJ525,axTER!$D$121:$D$128,IT525),SUMIFS(axTER!$E$133:$E$138,axTER!$C$133:$C$138,IT525)*IS$510)*$D$514/10^6</f>
        <v>1186.6181303465817</v>
      </c>
      <c r="IQ525" s="274">
        <f>$H525*IF(IU525&lt;&gt;IK525,SUMIFS(axTER!$E$142:$E$148,axTER!$C$142:$C$148,IU525),SUMIFS(axTER!$E$151:$E$157,axTER!$C$151:$C$157,IU525)*IS$510)/10^6*$D$514</f>
        <v>949.29450427726533</v>
      </c>
      <c r="IR525" s="275" t="s">
        <v>253</v>
      </c>
      <c r="IS525" s="161" t="s">
        <v>265</v>
      </c>
      <c r="IT525" s="277" t="s">
        <v>262</v>
      </c>
      <c r="IU525" s="277" t="s">
        <v>261</v>
      </c>
      <c r="IV525" s="276">
        <f>$H525*SUMIFS(axTER!$E$65:$E$105,axTER!$D$65:$D$105,IT525,axTER!$C$65:$C$105,IR525)/SUMIFS(axTER!$E$108:$E$114,axTER!$C$108:$C$114,IU525)/10^9*$D$514</f>
        <v>0.47464725213863268</v>
      </c>
      <c r="JI525" s="273">
        <f t="shared" si="1009"/>
        <v>1200</v>
      </c>
      <c r="JJ525" s="273">
        <f>$H525*IF(JN525&lt;&gt;IT525,SUMIFS(axTER!$E$121:$E$128,axTER!$C$121:$C$128,IT525,axTER!$D$121:$D$128,JN525),SUMIFS(axTER!$E$133:$E$138,axTER!$C$133:$C$138,JN525)*JM$510)*$D$514/10^6</f>
        <v>0</v>
      </c>
      <c r="JK525" s="274">
        <f>$H525*IF(JO525&lt;&gt;IU525,SUMIFS(axTER!$E$142:$E$148,axTER!$C$142:$C$148,JO525),SUMIFS(axTER!$E$151:$E$157,axTER!$C$151:$C$157,JO525)*JM$510)/10^6*$D$514</f>
        <v>118.66181303465817</v>
      </c>
      <c r="JL525" s="275" t="s">
        <v>253</v>
      </c>
      <c r="JM525" s="161" t="s">
        <v>265</v>
      </c>
      <c r="JN525" s="161" t="s">
        <v>255</v>
      </c>
      <c r="JO525" s="161" t="s">
        <v>260</v>
      </c>
      <c r="JP525" s="276">
        <f>$H525*SUMIFS(axTER!$E$65:$E$105,axTER!$D$65:$D$105,JN525,axTER!$C$65:$C$105,JL525)/SUMIFS(axTER!$E$108:$E$114,axTER!$C$108:$C$114,JO525)/10^9*$D$514</f>
        <v>1.8985890085545307</v>
      </c>
      <c r="JR525" s="269">
        <v>1200</v>
      </c>
      <c r="JS525" s="66" t="s">
        <v>253</v>
      </c>
      <c r="JT525" s="66" t="s">
        <v>265</v>
      </c>
      <c r="JU525" s="66" t="s">
        <v>255</v>
      </c>
      <c r="JV525" s="66" t="s">
        <v>260</v>
      </c>
      <c r="JW525" s="272">
        <f>$H525*SUMIFS(axTER!$E$65:$E$105,axTER!$C$65:$C$105,JS525,axTER!$D$65:$D$105,JU525)/SUMIFS(axTER!$E$108:$E$114,axTER!$C$108:$C$114,JV525)/10^9*$D$514</f>
        <v>1.8985890085545307</v>
      </c>
      <c r="JY525" s="273" t="str">
        <f t="shared" si="1010"/>
        <v>ELEC-PAC</v>
      </c>
      <c r="JZ525" s="273">
        <f t="shared" si="1005"/>
        <v>1200</v>
      </c>
      <c r="KA525" s="273">
        <f>$H525*IF(KE525&lt;&gt;JU525,SUMIFS(axTER!$E$121:$E$128,axTER!$C$121:$C$128,JU525,axTER!$D$121:$D$128,KE525),SUMIFS(axTER!$E$133:$E$138,axTER!$C$133:$C$138,KE525)*KD$510)*$D$514/10^6</f>
        <v>1186.6181303465817</v>
      </c>
      <c r="KB525" s="274">
        <f>$H525*IF(KF525&lt;&gt;JV525,SUMIFS(axTER!$E$142:$E$148,axTER!$C$142:$C$148,KF525),SUMIFS(axTER!$E$151:$E$157,axTER!$C$151:$C$157,KF525)*KD$510)/10^6*$D$514</f>
        <v>949.29450427726533</v>
      </c>
      <c r="KC525" s="275" t="s">
        <v>253</v>
      </c>
      <c r="KD525" s="161" t="s">
        <v>265</v>
      </c>
      <c r="KE525" s="161" t="s">
        <v>262</v>
      </c>
      <c r="KF525" s="161" t="s">
        <v>261</v>
      </c>
      <c r="KG525" s="276">
        <f>$H525*SUMIFS(axTER!$E$65:$E$105,axTER!$D$65:$D$105,KE525,axTER!$C$65:$C$105,KC525)/SUMIFS(axTER!$E$108:$E$114,axTER!$C$108:$C$114,KF525)/10^9*$D$514</f>
        <v>0.47464725213863268</v>
      </c>
      <c r="KS525" s="273">
        <f t="shared" si="1011"/>
        <v>0</v>
      </c>
      <c r="KT525" s="273">
        <f t="shared" si="1012"/>
        <v>0</v>
      </c>
      <c r="KU525" s="273">
        <f>$H525*IF(KY525&lt;&gt;KE525,SUMIFS(axTER!$E$121:$E$128,axTER!$C$121:$C$128,KE525,axTER!$D$121:$D$128,KY525),SUMIFS(axTER!$E$133:$E$138,axTER!$C$133:$C$138,KY525)*KX$510)*$D$514/10^6</f>
        <v>355.98543910397444</v>
      </c>
      <c r="KV525" s="274">
        <f>$H525*IF(KZ525&lt;&gt;KF525,SUMIFS(axTER!$E$142:$E$148,axTER!$C$142:$C$148,KZ525),SUMIFS(axTER!$E$151:$E$157,axTER!$C$151:$C$157,KZ525)*KX$510)/10^6*$D$514</f>
        <v>664.50615299408582</v>
      </c>
      <c r="KW525" s="275" t="s">
        <v>253</v>
      </c>
      <c r="KX525" s="161" t="s">
        <v>265</v>
      </c>
      <c r="KY525" s="161" t="s">
        <v>262</v>
      </c>
      <c r="KZ525" s="161" t="s">
        <v>261</v>
      </c>
      <c r="LA525" s="276">
        <f>$H525*SUMIFS(axTER!$E$65:$E$105,axTER!$D$65:$D$105,KY525,axTER!$C$65:$C$105,KW525)/SUMIFS(axTER!$E$108:$E$114,axTER!$C$108:$C$114,KZ525)/10^9*$D$514</f>
        <v>0.47464725213863268</v>
      </c>
      <c r="LC525" s="269">
        <v>1200</v>
      </c>
      <c r="LD525" s="66" t="s">
        <v>253</v>
      </c>
      <c r="LE525" s="66" t="s">
        <v>265</v>
      </c>
      <c r="LF525" s="66" t="s">
        <v>255</v>
      </c>
      <c r="LG525" s="66" t="s">
        <v>260</v>
      </c>
      <c r="LH525" s="272">
        <f>$H525*SUMIFS(axTER!$E$65:$E$105,axTER!$C$65:$C$105,LD525,axTER!$D$65:$D$105,LF525)/SUMIFS(axTER!$E$108:$E$114,axTER!$C$108:$C$114,LG525)/10^9*$D$514</f>
        <v>1.8985890085545307</v>
      </c>
      <c r="LJ525" s="273" t="str">
        <f t="shared" si="1013"/>
        <v>ELEC-PAC</v>
      </c>
      <c r="LK525" s="273">
        <f t="shared" si="1006"/>
        <v>0</v>
      </c>
      <c r="LL525" s="273">
        <f>$H525*IF(LP525&lt;&gt;LF525,SUMIFS(axTER!$E$121:$E$128,axTER!$C$121:$C$128,LF525,axTER!$D$121:$D$128,LP525),SUMIFS(axTER!$E$133:$E$138,axTER!$C$133:$C$138,LP525)*LO$510)*$D$514/10^6</f>
        <v>332.25307649704285</v>
      </c>
      <c r="LM525" s="274">
        <f>$H525*IF(LQ525&lt;&gt;LG525,SUMIFS(axTER!$E$142:$E$148,axTER!$C$142:$C$148,LQ525),SUMIFS(axTER!$E$151:$E$157,axTER!$C$151:$C$157,LQ525)*LO$510)/10^6*$D$514</f>
        <v>949.29450427726533</v>
      </c>
      <c r="LN525" s="275" t="s">
        <v>253</v>
      </c>
      <c r="LO525" s="161" t="s">
        <v>265</v>
      </c>
      <c r="LP525" s="161" t="s">
        <v>255</v>
      </c>
      <c r="LQ525" s="161" t="s">
        <v>261</v>
      </c>
      <c r="LR525" s="276">
        <f>$H525*SUMIFS(axTER!$E$65:$E$105,axTER!$D$65:$D$105,LP525,axTER!$C$65:$C$105,LN525)/SUMIFS(axTER!$E$108:$E$114,axTER!$C$108:$C$114,LQ525)/10^9*$D$514</f>
        <v>0.56957670256635917</v>
      </c>
      <c r="LT525" s="273">
        <f t="shared" si="1014"/>
        <v>0</v>
      </c>
      <c r="LU525" s="273">
        <f t="shared" si="1015"/>
        <v>0</v>
      </c>
      <c r="LV525" s="273">
        <f>$H525*IF(LZ525&lt;&gt;LP525,SUMIFS(axTER!$E$121:$E$128,axTER!$C$121:$C$128,LP525,axTER!$D$121:$D$128,LZ525),SUMIFS(axTER!$E$133:$E$138,axTER!$C$133:$C$138,LZ525)*LY$510)*$D$514/10^6</f>
        <v>474.64725213863267</v>
      </c>
      <c r="LW525" s="274">
        <f>$H525*IF(MA525&lt;&gt;LQ525,SUMIFS(axTER!$E$142:$E$148,axTER!$C$142:$C$148,MA525),SUMIFS(axTER!$E$151:$E$157,axTER!$C$151:$C$157,MA525)*LY$510)/10^6*$D$514</f>
        <v>332.25307649704291</v>
      </c>
      <c r="LX525" s="275" t="s">
        <v>253</v>
      </c>
      <c r="LY525" s="161" t="s">
        <v>265</v>
      </c>
      <c r="LZ525" s="161" t="s">
        <v>255</v>
      </c>
      <c r="MA525" s="161" t="s">
        <v>261</v>
      </c>
      <c r="MB525" s="276">
        <f>$H525*SUMIFS(axTER!$E$65:$E$105,axTER!$D$65:$D$105,LZ525,axTER!$C$65:$C$105,LX525)/SUMIFS(axTER!$E$108:$E$114,axTER!$C$108:$C$114,MA525)/10^9*$D$514</f>
        <v>0.56957670256635917</v>
      </c>
      <c r="MD525" s="273">
        <f t="shared" si="1007"/>
        <v>0</v>
      </c>
      <c r="ME525" s="273">
        <f t="shared" si="1016"/>
        <v>0</v>
      </c>
      <c r="MF525" s="273">
        <f>$H525*IF(MJ525&lt;&gt;LZ525,SUMIFS(axTER!$E$121:$E$128,axTER!$C$121:$C$128,LZ525,axTER!$D$121:$D$128,MJ525),SUMIFS(axTER!$E$133:$E$138,axTER!$C$133:$C$138,MJ525)*MI$510)*$D$514/10^6</f>
        <v>474.64725213863267</v>
      </c>
      <c r="MG525" s="274">
        <f>$H525*IF(MK525&lt;&gt;MA525,SUMIFS(axTER!$E$142:$E$148,axTER!$C$142:$C$148,MK525),SUMIFS(axTER!$E$151:$E$157,axTER!$C$151:$C$157,MK525)*MI$510)/10^6*$D$514</f>
        <v>332.25307649704291</v>
      </c>
      <c r="MH525" s="275" t="s">
        <v>253</v>
      </c>
      <c r="MI525" s="161" t="s">
        <v>265</v>
      </c>
      <c r="MJ525" s="161" t="s">
        <v>255</v>
      </c>
      <c r="MK525" s="161" t="s">
        <v>261</v>
      </c>
      <c r="ML525" s="276">
        <f>$H525*SUMIFS(axTER!$E$65:$E$105,axTER!$D$65:$D$105,MJ525,axTER!$C$65:$C$105,MH525)/SUMIFS(axTER!$E$108:$E$114,axTER!$C$108:$C$114,MK525)/10^9*$D$514</f>
        <v>0.56957670256635917</v>
      </c>
    </row>
    <row r="526" spans="3:350" hidden="1" outlineLevel="1" x14ac:dyDescent="0.3">
      <c r="C526" s="279"/>
      <c r="D526" s="281"/>
      <c r="E526" s="281"/>
      <c r="F526" s="266"/>
      <c r="H526" s="269">
        <v>1200</v>
      </c>
      <c r="I526" s="66" t="s">
        <v>253</v>
      </c>
      <c r="J526" s="66" t="s">
        <v>265</v>
      </c>
      <c r="K526" s="66" t="s">
        <v>255</v>
      </c>
      <c r="L526" s="66" t="s">
        <v>260</v>
      </c>
      <c r="M526" s="272">
        <f>$H526*SUMIFS(axTER!$E$65:$E$105,axTER!$C$65:$C$105,I526,axTER!$D$65:$D$105,K526)/SUMIFS(axTER!$E$108:$E$114,axTER!$C$108:$C$114,L526)/10^9*$D$514</f>
        <v>1.8985890085545307</v>
      </c>
      <c r="S526" s="269">
        <v>1200</v>
      </c>
      <c r="T526" s="66" t="s">
        <v>253</v>
      </c>
      <c r="U526" s="66" t="s">
        <v>265</v>
      </c>
      <c r="V526" s="66" t="s">
        <v>255</v>
      </c>
      <c r="W526" s="66" t="s">
        <v>260</v>
      </c>
      <c r="X526" s="272">
        <f>$H526*SUMIFS(axTER!$E$65:$E$105,axTER!$C$65:$C$105,T526,axTER!$D$65:$D$105,V526)/SUMIFS(axTER!$E$108:$E$114,axTER!$C$108:$C$114,W526)/10^9*$D$514</f>
        <v>1.8985890085545307</v>
      </c>
      <c r="AB526" s="273">
        <f>$H526*IF(AF526&lt;&gt;K526,SUMIFS(axTER!$E$121:$E$128,axTER!$C$121:$C$128,K526,axTER!$D$121:$D$128,AF526),SUMIFS(axTER!$E$133:$E$138,axTER!$C$133:$C$138,AF526)*AE$510)*$D$514/10^6</f>
        <v>474.64725213863267</v>
      </c>
      <c r="AC526" s="274">
        <f>$H526*IF(AG526&lt;&gt;L526,SUMIFS(axTER!$E$142:$E$148,axTER!$C$142:$C$148,AG526),SUMIFS(axTER!$E$151:$E$157,axTER!$C$151:$C$157,AG526)*AE$510)/10^6*$D$514</f>
        <v>41.531634562130364</v>
      </c>
      <c r="AD526" s="275" t="s">
        <v>253</v>
      </c>
      <c r="AE526" s="161" t="s">
        <v>265</v>
      </c>
      <c r="AF526" s="161" t="s">
        <v>255</v>
      </c>
      <c r="AG526" s="161" t="s">
        <v>260</v>
      </c>
      <c r="AH526" s="276">
        <f>$H526*SUMIFS(axTER!$E$65:$E$105,axTER!$D$65:$D$105,AF526,axTER!$C$65:$C$105,AD526)/SUMIFS(axTER!$E$108:$E$114,axTER!$C$108:$C$114,AG526)/10^9*$D$514</f>
        <v>1.8985890085545307</v>
      </c>
      <c r="AV526" s="273">
        <f>$H526*IF(AZ526&lt;&gt;AF526,SUMIFS(axTER!$E$121:$E$128,axTER!$C$121:$C$128,AF526,axTER!$D$121:$D$128,AZ526),SUMIFS(axTER!$E$133:$E$138,axTER!$C$133:$C$138,AZ526)*AY$510)*$D$514/10^6</f>
        <v>949.29450427726533</v>
      </c>
      <c r="AW526" s="274">
        <f>$H526*IF(BA526&lt;&gt;AG526,SUMIFS(axTER!$E$142:$E$148,axTER!$C$142:$C$148,BA526),SUMIFS(axTER!$E$151:$E$157,axTER!$C$151:$C$157,BA526)*AY$510)/10^6*$D$514</f>
        <v>949.29450427726533</v>
      </c>
      <c r="AX526" s="275" t="s">
        <v>253</v>
      </c>
      <c r="AY526" s="161" t="s">
        <v>265</v>
      </c>
      <c r="AZ526" s="161" t="s">
        <v>255</v>
      </c>
      <c r="BA526" s="161" t="s">
        <v>261</v>
      </c>
      <c r="BB526" s="276">
        <f>$H526*SUMIFS(axTER!$E$65:$E$105,axTER!$D$65:$D$105,AZ526,axTER!$C$65:$C$105,AX526)/SUMIFS(axTER!$E$108:$E$114,axTER!$C$108:$C$114,BA526)/10^9*$D$514</f>
        <v>0.56957670256635917</v>
      </c>
      <c r="IG526" s="269">
        <v>1200</v>
      </c>
      <c r="IH526" s="66" t="s">
        <v>253</v>
      </c>
      <c r="II526" s="66" t="s">
        <v>265</v>
      </c>
      <c r="IJ526" s="66" t="s">
        <v>255</v>
      </c>
      <c r="IK526" s="66" t="s">
        <v>260</v>
      </c>
      <c r="IL526" s="272">
        <f>$H526*SUMIFS(axTER!$E$65:$E$105,axTER!$C$65:$C$105,IH526,axTER!$D$65:$D$105,IJ526)/SUMIFS(axTER!$E$108:$E$114,axTER!$C$108:$C$114,IK526)/10^9*$D$514</f>
        <v>1.8985890085545307</v>
      </c>
      <c r="IO526" s="273">
        <f t="shared" si="1008"/>
        <v>0</v>
      </c>
      <c r="IP526" s="273">
        <f>$H526*IF(IT526&lt;&gt;IJ526,SUMIFS(axTER!$E$121:$E$128,axTER!$C$121:$C$128,IJ526,axTER!$D$121:$D$128,IT526),SUMIFS(axTER!$E$133:$E$138,axTER!$C$133:$C$138,IT526)*IS$510)*$D$514/10^6</f>
        <v>474.64725213863267</v>
      </c>
      <c r="IQ526" s="274">
        <f>$H526*IF(IU526&lt;&gt;IK526,SUMIFS(axTER!$E$142:$E$148,axTER!$C$142:$C$148,IU526),SUMIFS(axTER!$E$151:$E$157,axTER!$C$151:$C$157,IU526)*IS$510)/10^6*$D$514</f>
        <v>41.531634562130364</v>
      </c>
      <c r="IR526" s="275" t="s">
        <v>253</v>
      </c>
      <c r="IS526" s="161" t="s">
        <v>265</v>
      </c>
      <c r="IT526" s="161" t="s">
        <v>255</v>
      </c>
      <c r="IU526" s="161" t="s">
        <v>260</v>
      </c>
      <c r="IV526" s="276">
        <f>$H526*SUMIFS(axTER!$E$65:$E$105,axTER!$D$65:$D$105,IT526,axTER!$C$65:$C$105,IR526)/SUMIFS(axTER!$E$108:$E$114,axTER!$C$108:$C$114,IU526)/10^9*$D$514</f>
        <v>1.8985890085545307</v>
      </c>
      <c r="JI526" s="273">
        <f t="shared" si="1009"/>
        <v>0</v>
      </c>
      <c r="JJ526" s="273">
        <f>$H526*IF(JN526&lt;&gt;IT526,SUMIFS(axTER!$E$121:$E$128,axTER!$C$121:$C$128,IT526,axTER!$D$121:$D$128,JN526),SUMIFS(axTER!$E$133:$E$138,axTER!$C$133:$C$138,JN526)*JM$510)*$D$514/10^6</f>
        <v>949.29450427726533</v>
      </c>
      <c r="JK526" s="274">
        <f>$H526*IF(JO526&lt;&gt;IU526,SUMIFS(axTER!$E$142:$E$148,axTER!$C$142:$C$148,JO526),SUMIFS(axTER!$E$151:$E$157,axTER!$C$151:$C$157,JO526)*JM$510)/10^6*$D$514</f>
        <v>83.063269124260728</v>
      </c>
      <c r="JL526" s="275" t="s">
        <v>253</v>
      </c>
      <c r="JM526" s="161" t="s">
        <v>265</v>
      </c>
      <c r="JN526" s="161" t="s">
        <v>255</v>
      </c>
      <c r="JO526" s="161" t="s">
        <v>260</v>
      </c>
      <c r="JP526" s="276">
        <f>$H526*SUMIFS(axTER!$E$65:$E$105,axTER!$D$65:$D$105,JN526,axTER!$C$65:$C$105,JL526)/SUMIFS(axTER!$E$108:$E$114,axTER!$C$108:$C$114,JO526)/10^9*$D$514</f>
        <v>1.8985890085545307</v>
      </c>
      <c r="JR526" s="269">
        <v>1200</v>
      </c>
      <c r="JS526" s="66" t="s">
        <v>253</v>
      </c>
      <c r="JT526" s="66" t="s">
        <v>265</v>
      </c>
      <c r="JU526" s="66" t="s">
        <v>255</v>
      </c>
      <c r="JV526" s="66" t="s">
        <v>260</v>
      </c>
      <c r="JW526" s="272">
        <f>$H526*SUMIFS(axTER!$E$65:$E$105,axTER!$C$65:$C$105,JS526,axTER!$D$65:$D$105,JU526)/SUMIFS(axTER!$E$108:$E$114,axTER!$C$108:$C$114,JV526)/10^9*$D$514</f>
        <v>1.8985890085545307</v>
      </c>
      <c r="JY526" s="273" t="str">
        <f t="shared" si="1010"/>
        <v>ELEC-PAC</v>
      </c>
      <c r="JZ526" s="273">
        <f>IF(KE526&lt;&gt;JU526,JR526,0)</f>
        <v>1200</v>
      </c>
      <c r="KA526" s="273">
        <f>$H526*IF(KE526&lt;&gt;JU526,SUMIFS(axTER!$E$121:$E$128,axTER!$C$121:$C$128,JU526,axTER!$D$121:$D$128,KE526),SUMIFS(axTER!$E$133:$E$138,axTER!$C$133:$C$138,KE526)*KD$510)*$D$514/10^6</f>
        <v>1186.6181303465817</v>
      </c>
      <c r="KB526" s="274">
        <f>$H526*IF(KF526&lt;&gt;JV526,SUMIFS(axTER!$E$142:$E$148,axTER!$C$142:$C$148,KF526),SUMIFS(axTER!$E$151:$E$157,axTER!$C$151:$C$157,KF526)*KD$510)/10^6*$D$514</f>
        <v>949.29450427726533</v>
      </c>
      <c r="KC526" s="275" t="s">
        <v>253</v>
      </c>
      <c r="KD526" s="161" t="s">
        <v>265</v>
      </c>
      <c r="KE526" s="161" t="s">
        <v>262</v>
      </c>
      <c r="KF526" s="161" t="s">
        <v>261</v>
      </c>
      <c r="KG526" s="276">
        <f>$H526*SUMIFS(axTER!$E$65:$E$105,axTER!$D$65:$D$105,KE526,axTER!$C$65:$C$105,KC526)/SUMIFS(axTER!$E$108:$E$114,axTER!$C$108:$C$114,KF526)/10^9*$D$514</f>
        <v>0.47464725213863268</v>
      </c>
      <c r="KS526" s="273">
        <f t="shared" si="1011"/>
        <v>0</v>
      </c>
      <c r="KT526" s="273">
        <f t="shared" si="1012"/>
        <v>1200</v>
      </c>
      <c r="KU526" s="273">
        <f>$H526*IF(KY526&lt;&gt;KE526,SUMIFS(axTER!$E$121:$E$128,axTER!$C$121:$C$128,KE526,axTER!$D$121:$D$128,KY526),SUMIFS(axTER!$E$133:$E$138,axTER!$C$133:$C$138,KY526)*KX$510)*$D$514/10^6</f>
        <v>0</v>
      </c>
      <c r="KV526" s="274">
        <f>$H526*IF(KZ526&lt;&gt;KF526,SUMIFS(axTER!$E$142:$E$148,axTER!$C$142:$C$148,KZ526),SUMIFS(axTER!$E$151:$E$157,axTER!$C$151:$C$157,KZ526)*KX$510)/10^6*$D$514</f>
        <v>664.50615299408582</v>
      </c>
      <c r="KW526" s="275" t="s">
        <v>253</v>
      </c>
      <c r="KX526" s="161" t="s">
        <v>265</v>
      </c>
      <c r="KY526" s="161" t="s">
        <v>264</v>
      </c>
      <c r="KZ526" s="161" t="s">
        <v>261</v>
      </c>
      <c r="LA526" s="276">
        <f>$H526*SUMIFS(axTER!$E$65:$E$105,axTER!$D$65:$D$105,KY526,axTER!$C$65:$C$105,KW526)/SUMIFS(axTER!$E$108:$E$114,axTER!$C$108:$C$114,KZ526)/10^9*$D$514</f>
        <v>0.3164315014257551</v>
      </c>
      <c r="LC526" s="269">
        <v>1200</v>
      </c>
      <c r="LD526" s="66" t="s">
        <v>253</v>
      </c>
      <c r="LE526" s="66" t="s">
        <v>265</v>
      </c>
      <c r="LF526" s="66" t="s">
        <v>255</v>
      </c>
      <c r="LG526" s="66" t="s">
        <v>260</v>
      </c>
      <c r="LH526" s="272">
        <f>$H526*SUMIFS(axTER!$E$65:$E$105,axTER!$C$65:$C$105,LD526,axTER!$D$65:$D$105,LF526)/SUMIFS(axTER!$E$108:$E$114,axTER!$C$108:$C$114,LG526)/10^9*$D$514</f>
        <v>1.8985890085545307</v>
      </c>
      <c r="LJ526" s="273">
        <f t="shared" si="1013"/>
        <v>0</v>
      </c>
      <c r="LK526" s="273">
        <f>IF(LP526&lt;&gt;LF526,LC526,0)</f>
        <v>0</v>
      </c>
      <c r="LL526" s="273">
        <f>$H526*IF(LP526&lt;&gt;LF526,SUMIFS(axTER!$E$121:$E$128,axTER!$C$121:$C$128,LF526,axTER!$D$121:$D$128,LP526),SUMIFS(axTER!$E$133:$E$138,axTER!$C$133:$C$138,LP526)*LO$510)*$D$514/10^6</f>
        <v>332.25307649704285</v>
      </c>
      <c r="LM526" s="274">
        <f>$H526*IF(LQ526&lt;&gt;LG526,SUMIFS(axTER!$E$142:$E$148,axTER!$C$142:$C$148,LQ526),SUMIFS(axTER!$E$151:$E$157,axTER!$C$151:$C$157,LQ526)*LO$510)/10^6*$D$514</f>
        <v>29.072144193491248</v>
      </c>
      <c r="LN526" s="275" t="s">
        <v>253</v>
      </c>
      <c r="LO526" s="161" t="s">
        <v>265</v>
      </c>
      <c r="LP526" s="161" t="s">
        <v>255</v>
      </c>
      <c r="LQ526" s="161" t="s">
        <v>260</v>
      </c>
      <c r="LR526" s="276">
        <f>$H526*SUMIFS(axTER!$E$65:$E$105,axTER!$D$65:$D$105,LP526,axTER!$C$65:$C$105,LN526)/SUMIFS(axTER!$E$108:$E$114,axTER!$C$108:$C$114,LQ526)/10^9*$D$514</f>
        <v>1.8985890085545307</v>
      </c>
      <c r="LT526" s="273">
        <f t="shared" si="1014"/>
        <v>0</v>
      </c>
      <c r="LU526" s="273">
        <f t="shared" si="1015"/>
        <v>0</v>
      </c>
      <c r="LV526" s="273">
        <f>$H526*IF(LZ526&lt;&gt;LP526,SUMIFS(axTER!$E$121:$E$128,axTER!$C$121:$C$128,LP526,axTER!$D$121:$D$128,LZ526),SUMIFS(axTER!$E$133:$E$138,axTER!$C$133:$C$138,LZ526)*LY$510)*$D$514/10^6</f>
        <v>474.64725213863267</v>
      </c>
      <c r="LW526" s="274">
        <f>$H526*IF(MA526&lt;&gt;LQ526,SUMIFS(axTER!$E$142:$E$148,axTER!$C$142:$C$148,MA526),SUMIFS(axTER!$E$151:$E$157,axTER!$C$151:$C$157,MA526)*LY$510)/10^6*$D$514</f>
        <v>41.531634562130364</v>
      </c>
      <c r="LX526" s="275" t="s">
        <v>253</v>
      </c>
      <c r="LY526" s="161" t="s">
        <v>265</v>
      </c>
      <c r="LZ526" s="161" t="s">
        <v>255</v>
      </c>
      <c r="MA526" s="161" t="s">
        <v>260</v>
      </c>
      <c r="MB526" s="276">
        <f>$H526*SUMIFS(axTER!$E$65:$E$105,axTER!$D$65:$D$105,LZ526,axTER!$C$65:$C$105,LX526)/SUMIFS(axTER!$E$108:$E$114,axTER!$C$108:$C$114,MA526)/10^9*$D$514</f>
        <v>1.8985890085545307</v>
      </c>
      <c r="MD526" s="273">
        <f t="shared" si="1007"/>
        <v>0</v>
      </c>
      <c r="ME526" s="273">
        <f t="shared" si="1016"/>
        <v>0</v>
      </c>
      <c r="MF526" s="273">
        <f>$H526*IF(MJ526&lt;&gt;LZ526,SUMIFS(axTER!$E$121:$E$128,axTER!$C$121:$C$128,LZ526,axTER!$D$121:$D$128,MJ526),SUMIFS(axTER!$E$133:$E$138,axTER!$C$133:$C$138,MJ526)*MI$510)*$D$514/10^6</f>
        <v>474.64725213863267</v>
      </c>
      <c r="MG526" s="274">
        <f>$H526*IF(MK526&lt;&gt;MA526,SUMIFS(axTER!$E$142:$E$148,axTER!$C$142:$C$148,MK526),SUMIFS(axTER!$E$151:$E$157,axTER!$C$151:$C$157,MK526)*MI$510)/10^6*$D$514</f>
        <v>41.531634562130364</v>
      </c>
      <c r="MH526" s="275" t="s">
        <v>253</v>
      </c>
      <c r="MI526" s="161" t="s">
        <v>265</v>
      </c>
      <c r="MJ526" s="161" t="s">
        <v>255</v>
      </c>
      <c r="MK526" s="161" t="s">
        <v>260</v>
      </c>
      <c r="ML526" s="276">
        <f>$H526*SUMIFS(axTER!$E$65:$E$105,axTER!$D$65:$D$105,MJ526,axTER!$C$65:$C$105,MH526)/SUMIFS(axTER!$E$108:$E$114,axTER!$C$108:$C$114,MK526)/10^9*$D$514</f>
        <v>1.8985890085545307</v>
      </c>
    </row>
    <row r="527" spans="3:350" outlineLevel="1" x14ac:dyDescent="0.3">
      <c r="C527" s="265"/>
      <c r="D527" s="69"/>
      <c r="F527" s="266"/>
      <c r="H527" s="269">
        <v>1200</v>
      </c>
      <c r="I527" s="66" t="s">
        <v>253</v>
      </c>
      <c r="J527" s="66" t="s">
        <v>265</v>
      </c>
      <c r="K527" s="66" t="s">
        <v>255</v>
      </c>
      <c r="L527" s="66" t="s">
        <v>256</v>
      </c>
      <c r="M527" s="272">
        <f>$H527*SUMIFS(axTER!$E$65:$E$105,axTER!$C$65:$C$105,I527,axTER!$D$65:$D$105,K527)/SUMIFS(axTER!$E$108:$E$114,axTER!$C$108:$C$114,L527)/10^9*$D$514</f>
        <v>1.7986632712621871</v>
      </c>
      <c r="S527" s="269">
        <v>1200</v>
      </c>
      <c r="T527" s="66" t="s">
        <v>253</v>
      </c>
      <c r="U527" s="66" t="s">
        <v>265</v>
      </c>
      <c r="V527" s="66" t="s">
        <v>255</v>
      </c>
      <c r="W527" s="66" t="s">
        <v>256</v>
      </c>
      <c r="X527" s="272">
        <f>$H527*SUMIFS(axTER!$E$65:$E$105,axTER!$C$65:$C$105,T527,axTER!$D$65:$D$105,V527)/SUMIFS(axTER!$E$108:$E$114,axTER!$C$108:$C$114,W527)/10^9*$D$514</f>
        <v>1.7986632712621871</v>
      </c>
      <c r="AB527" s="273">
        <f>$H527*IF(AF527&lt;&gt;K527,SUMIFS(axTER!$E$121:$E$128,axTER!$C$121:$C$128,K527,axTER!$D$121:$D$128,AF527),SUMIFS(axTER!$E$133:$E$138,axTER!$C$133:$C$138,AF527)*AE$510)*$D$514/10^6</f>
        <v>474.64725213863267</v>
      </c>
      <c r="AC527" s="274">
        <f>$H527*IF(AG527&lt;&gt;L527,SUMIFS(axTER!$E$142:$E$148,axTER!$C$142:$C$148,AG527),SUMIFS(axTER!$E$151:$E$157,axTER!$C$151:$C$157,AG527)*AE$510)/10^6*$D$514</f>
        <v>74.756942211834655</v>
      </c>
      <c r="AD527" s="275" t="s">
        <v>253</v>
      </c>
      <c r="AE527" s="161" t="s">
        <v>265</v>
      </c>
      <c r="AF527" s="161" t="s">
        <v>255</v>
      </c>
      <c r="AG527" s="161" t="s">
        <v>256</v>
      </c>
      <c r="AH527" s="276">
        <f>$H527*SUMIFS(axTER!$E$65:$E$105,axTER!$D$65:$D$105,AF527,axTER!$C$65:$C$105,AD527)/SUMIFS(axTER!$E$108:$E$114,axTER!$C$108:$C$114,AG527)/10^9*$D$514</f>
        <v>1.7986632712621871</v>
      </c>
      <c r="AV527" s="273">
        <f>$H527*IF(AZ527&lt;&gt;AF527,SUMIFS(axTER!$E$121:$E$128,axTER!$C$121:$C$128,AF527,axTER!$D$121:$D$128,AZ527),SUMIFS(axTER!$E$133:$E$138,axTER!$C$133:$C$138,AZ527)*AY$510)*$D$514/10^6</f>
        <v>949.29450427726533</v>
      </c>
      <c r="AW527" s="274">
        <f>$H527*IF(BA527&lt;&gt;AG527,SUMIFS(axTER!$E$142:$E$148,axTER!$C$142:$C$148,BA527),SUMIFS(axTER!$E$151:$E$157,axTER!$C$151:$C$157,BA527)*AY$510)/10^6*$D$514</f>
        <v>149.51388442366931</v>
      </c>
      <c r="AX527" s="275" t="s">
        <v>253</v>
      </c>
      <c r="AY527" s="161" t="s">
        <v>265</v>
      </c>
      <c r="AZ527" s="161" t="s">
        <v>255</v>
      </c>
      <c r="BA527" s="161" t="s">
        <v>256</v>
      </c>
      <c r="BB527" s="276">
        <f>$H527*SUMIFS(axTER!$E$65:$E$105,axTER!$D$65:$D$105,AZ527,axTER!$C$65:$C$105,AX527)/SUMIFS(axTER!$E$108:$E$114,axTER!$C$108:$C$114,BA527)/10^9*$D$514</f>
        <v>1.7986632712621871</v>
      </c>
      <c r="IG527" s="269">
        <v>1200</v>
      </c>
      <c r="IH527" s="66" t="s">
        <v>253</v>
      </c>
      <c r="II527" s="66" t="s">
        <v>265</v>
      </c>
      <c r="IJ527" s="66" t="s">
        <v>255</v>
      </c>
      <c r="IK527" s="66" t="s">
        <v>256</v>
      </c>
      <c r="IL527" s="272">
        <f>$H527*SUMIFS(axTER!$E$65:$E$105,axTER!$C$65:$C$105,IH527,axTER!$D$65:$D$105,IJ527)/SUMIFS(axTER!$E$108:$E$114,axTER!$C$108:$C$114,IK527)/10^9*$D$514</f>
        <v>1.7986632712621871</v>
      </c>
      <c r="IO527" s="273">
        <f t="shared" si="1008"/>
        <v>1200</v>
      </c>
      <c r="IP527" s="273">
        <f>$H527*IF(IT527&lt;&gt;IJ527,SUMIFS(axTER!$E$121:$E$128,axTER!$C$121:$C$128,IJ527,axTER!$D$121:$D$128,IT527),SUMIFS(axTER!$E$133:$E$138,axTER!$C$133:$C$138,IT527)*IS$510)*$D$514/10^6</f>
        <v>5339.7815865596167</v>
      </c>
      <c r="IQ527" s="274">
        <f>$H527*IF(IU527&lt;&gt;IK527,SUMIFS(axTER!$E$142:$E$148,axTER!$C$142:$C$148,IU527),SUMIFS(axTER!$E$151:$E$157,axTER!$C$151:$C$157,IU527)*IS$510)/10^6*$D$514</f>
        <v>74.756942211834655</v>
      </c>
      <c r="IR527" s="275" t="s">
        <v>253</v>
      </c>
      <c r="IS527" s="161" t="s">
        <v>265</v>
      </c>
      <c r="IT527" s="277" t="s">
        <v>257</v>
      </c>
      <c r="IU527" s="161" t="s">
        <v>256</v>
      </c>
      <c r="IV527" s="276">
        <f>$H527*SUMIFS(axTER!$E$65:$E$105,axTER!$D$65:$D$105,IT527,axTER!$C$65:$C$105,IR527)/SUMIFS(axTER!$E$108:$E$114,axTER!$C$108:$C$114,IU527)/10^9*$D$514</f>
        <v>0.62453585807714818</v>
      </c>
      <c r="JI527" s="273">
        <f t="shared" si="1009"/>
        <v>1200</v>
      </c>
      <c r="JJ527" s="273">
        <f>$H527*IF(JN527&lt;&gt;IT527,SUMIFS(axTER!$E$121:$E$128,axTER!$C$121:$C$128,IT527,axTER!$D$121:$D$128,JN527),SUMIFS(axTER!$E$133:$E$138,axTER!$C$133:$C$138,JN527)*JM$510)*$D$514/10^6</f>
        <v>0</v>
      </c>
      <c r="JK527" s="274">
        <f>$H527*IF(JO527&lt;&gt;IU527,SUMIFS(axTER!$E$142:$E$148,axTER!$C$142:$C$148,JO527),SUMIFS(axTER!$E$151:$E$157,axTER!$C$151:$C$157,JO527)*JM$510)/10^6*$D$514</f>
        <v>149.51388442366931</v>
      </c>
      <c r="JL527" s="275" t="s">
        <v>253</v>
      </c>
      <c r="JM527" s="161" t="s">
        <v>265</v>
      </c>
      <c r="JN527" s="161" t="s">
        <v>255</v>
      </c>
      <c r="JO527" s="161" t="s">
        <v>256</v>
      </c>
      <c r="JP527" s="276">
        <f>$H527*SUMIFS(axTER!$E$65:$E$105,axTER!$D$65:$D$105,JN527,axTER!$C$65:$C$105,JL527)/SUMIFS(axTER!$E$108:$E$114,axTER!$C$108:$C$114,JO527)/10^9*$D$514</f>
        <v>1.7986632712621871</v>
      </c>
      <c r="JR527" s="269">
        <v>1200</v>
      </c>
      <c r="JS527" s="66" t="s">
        <v>253</v>
      </c>
      <c r="JT527" s="66" t="s">
        <v>265</v>
      </c>
      <c r="JU527" s="66" t="s">
        <v>255</v>
      </c>
      <c r="JV527" s="66" t="s">
        <v>256</v>
      </c>
      <c r="JW527" s="272">
        <f>$H527*SUMIFS(axTER!$E$65:$E$105,axTER!$C$65:$C$105,JS527,axTER!$D$65:$D$105,JU527)/SUMIFS(axTER!$E$108:$E$114,axTER!$C$108:$C$114,JV527)/10^9*$D$514</f>
        <v>1.7986632712621871</v>
      </c>
      <c r="JY527" s="273">
        <f t="shared" si="1010"/>
        <v>0</v>
      </c>
      <c r="JZ527" s="273">
        <f t="shared" si="1005"/>
        <v>0</v>
      </c>
      <c r="KA527" s="273">
        <f>$H527*IF(KE527&lt;&gt;JU527,SUMIFS(axTER!$E$121:$E$128,axTER!$C$121:$C$128,JU527,axTER!$D$121:$D$128,KE527),SUMIFS(axTER!$E$133:$E$138,axTER!$C$133:$C$138,KE527)*KD$510)*$D$514/10^6</f>
        <v>332.25307649704285</v>
      </c>
      <c r="KB527" s="274">
        <f>$H527*IF(KF527&lt;&gt;JV527,SUMIFS(axTER!$E$142:$E$148,axTER!$C$142:$C$148,KF527),SUMIFS(axTER!$E$151:$E$157,axTER!$C$151:$C$157,KF527)*KD$510)/10^6*$D$514</f>
        <v>52.329859548284254</v>
      </c>
      <c r="KC527" s="275" t="s">
        <v>253</v>
      </c>
      <c r="KD527" s="161" t="s">
        <v>265</v>
      </c>
      <c r="KE527" s="161" t="s">
        <v>255</v>
      </c>
      <c r="KF527" s="161" t="s">
        <v>256</v>
      </c>
      <c r="KG527" s="276">
        <f>$H527*SUMIFS(axTER!$E$65:$E$105,axTER!$D$65:$D$105,KE527,axTER!$C$65:$C$105,KC527)/SUMIFS(axTER!$E$108:$E$114,axTER!$C$108:$C$114,KF527)/10^9*$D$514</f>
        <v>1.7986632712621871</v>
      </c>
      <c r="KS527" s="273" t="str">
        <f t="shared" si="1011"/>
        <v>ELEC-PAC</v>
      </c>
      <c r="KT527" s="273">
        <f t="shared" si="1012"/>
        <v>1200</v>
      </c>
      <c r="KU527" s="273">
        <f>$H527*IF(KY527&lt;&gt;KE527,SUMIFS(axTER!$E$121:$E$128,axTER!$C$121:$C$128,KE527,axTER!$D$121:$D$128,KY527),SUMIFS(axTER!$E$133:$E$138,axTER!$C$133:$C$138,KY527)*KX$510)*$D$514/10^6</f>
        <v>2373.2362606931633</v>
      </c>
      <c r="KV527" s="274">
        <f>$H527*IF(KZ527&lt;&gt;KF527,SUMIFS(axTER!$E$142:$E$148,axTER!$C$142:$C$148,KZ527),SUMIFS(axTER!$E$151:$E$157,axTER!$C$151:$C$157,KZ527)*KX$510)/10^6*$D$514</f>
        <v>949.29450427726533</v>
      </c>
      <c r="KW527" s="275" t="s">
        <v>253</v>
      </c>
      <c r="KX527" s="161" t="s">
        <v>265</v>
      </c>
      <c r="KY527" s="161" t="s">
        <v>264</v>
      </c>
      <c r="KZ527" s="161" t="s">
        <v>261</v>
      </c>
      <c r="LA527" s="276">
        <f>$H527*SUMIFS(axTER!$E$65:$E$105,axTER!$D$65:$D$105,KY527,axTER!$C$65:$C$105,KW527)/SUMIFS(axTER!$E$108:$E$114,axTER!$C$108:$C$114,KZ527)/10^9*$D$514</f>
        <v>0.3164315014257551</v>
      </c>
      <c r="LC527" s="269">
        <v>1200</v>
      </c>
      <c r="LD527" s="66" t="s">
        <v>253</v>
      </c>
      <c r="LE527" s="66" t="s">
        <v>265</v>
      </c>
      <c r="LF527" s="66" t="s">
        <v>255</v>
      </c>
      <c r="LG527" s="66" t="s">
        <v>256</v>
      </c>
      <c r="LH527" s="272">
        <f>$H527*SUMIFS(axTER!$E$65:$E$105,axTER!$C$65:$C$105,LD527,axTER!$D$65:$D$105,LF527)/SUMIFS(axTER!$E$108:$E$114,axTER!$C$108:$C$114,LG527)/10^9*$D$514</f>
        <v>1.7986632712621871</v>
      </c>
      <c r="LJ527" s="273">
        <f t="shared" si="1013"/>
        <v>0</v>
      </c>
      <c r="LK527" s="273">
        <f t="shared" ref="LK527:LK591" si="1017">IF(LP527&lt;&gt;LF527,LC527,0)</f>
        <v>0</v>
      </c>
      <c r="LL527" s="273">
        <f>$H527*IF(LP527&lt;&gt;LF527,SUMIFS(axTER!$E$121:$E$128,axTER!$C$121:$C$128,LF527,axTER!$D$121:$D$128,LP527),SUMIFS(axTER!$E$133:$E$138,axTER!$C$133:$C$138,LP527)*LO$510)*$D$514/10^6</f>
        <v>332.25307649704285</v>
      </c>
      <c r="LM527" s="274">
        <f>$H527*IF(LQ527&lt;&gt;LG527,SUMIFS(axTER!$E$142:$E$148,axTER!$C$142:$C$148,LQ527),SUMIFS(axTER!$E$151:$E$157,axTER!$C$151:$C$157,LQ527)*LO$510)/10^6*$D$514</f>
        <v>52.329859548284254</v>
      </c>
      <c r="LN527" s="275" t="s">
        <v>253</v>
      </c>
      <c r="LO527" s="161" t="s">
        <v>265</v>
      </c>
      <c r="LP527" s="161" t="s">
        <v>255</v>
      </c>
      <c r="LQ527" s="161" t="s">
        <v>256</v>
      </c>
      <c r="LR527" s="276">
        <f>$H527*SUMIFS(axTER!$E$65:$E$105,axTER!$D$65:$D$105,LP527,axTER!$C$65:$C$105,LN527)/SUMIFS(axTER!$E$108:$E$114,axTER!$C$108:$C$114,LQ527)/10^9*$D$514</f>
        <v>1.7986632712621871</v>
      </c>
      <c r="LT527" s="273">
        <f t="shared" si="1014"/>
        <v>0</v>
      </c>
      <c r="LU527" s="273">
        <f t="shared" si="1015"/>
        <v>0</v>
      </c>
      <c r="LV527" s="273">
        <f>$H527*IF(LZ527&lt;&gt;LP527,SUMIFS(axTER!$E$121:$E$128,axTER!$C$121:$C$128,LP527,axTER!$D$121:$D$128,LZ527),SUMIFS(axTER!$E$133:$E$138,axTER!$C$133:$C$138,LZ527)*LY$510)*$D$514/10^6</f>
        <v>474.64725213863267</v>
      </c>
      <c r="LW527" s="274">
        <f>$H527*IF(MA527&lt;&gt;LQ527,SUMIFS(axTER!$E$142:$E$148,axTER!$C$142:$C$148,MA527),SUMIFS(axTER!$E$151:$E$157,axTER!$C$151:$C$157,MA527)*LY$510)/10^6*$D$514</f>
        <v>74.756942211834655</v>
      </c>
      <c r="LX527" s="275" t="s">
        <v>253</v>
      </c>
      <c r="LY527" s="161" t="s">
        <v>265</v>
      </c>
      <c r="LZ527" s="161" t="s">
        <v>255</v>
      </c>
      <c r="MA527" s="161" t="s">
        <v>256</v>
      </c>
      <c r="MB527" s="276">
        <f>$H527*SUMIFS(axTER!$E$65:$E$105,axTER!$D$65:$D$105,LZ527,axTER!$C$65:$C$105,LX527)/SUMIFS(axTER!$E$108:$E$114,axTER!$C$108:$C$114,MA527)/10^9*$D$514</f>
        <v>1.7986632712621871</v>
      </c>
      <c r="MD527" s="273" t="str">
        <f t="shared" si="1007"/>
        <v>ELEC-PAC</v>
      </c>
      <c r="ME527" s="273">
        <f t="shared" si="1016"/>
        <v>0</v>
      </c>
      <c r="MF527" s="273">
        <f>$H527*IF(MJ527&lt;&gt;LZ527,SUMIFS(axTER!$E$121:$E$128,axTER!$C$121:$C$128,LZ527,axTER!$D$121:$D$128,MJ527),SUMIFS(axTER!$E$133:$E$138,axTER!$C$133:$C$138,MJ527)*MI$510)*$D$514/10^6</f>
        <v>474.64725213863267</v>
      </c>
      <c r="MG527" s="274">
        <f>$H527*IF(MK527&lt;&gt;MA527,SUMIFS(axTER!$E$142:$E$148,axTER!$C$142:$C$148,MK527),SUMIFS(axTER!$E$151:$E$157,axTER!$C$151:$C$157,MK527)*MI$510)/10^6*$D$514</f>
        <v>949.29450427726533</v>
      </c>
      <c r="MH527" s="275" t="s">
        <v>253</v>
      </c>
      <c r="MI527" s="161" t="s">
        <v>265</v>
      </c>
      <c r="MJ527" s="161" t="s">
        <v>255</v>
      </c>
      <c r="MK527" s="161" t="s">
        <v>261</v>
      </c>
      <c r="ML527" s="276">
        <f>$H527*SUMIFS(axTER!$E$65:$E$105,axTER!$D$65:$D$105,MJ527,axTER!$C$65:$C$105,MH527)/SUMIFS(axTER!$E$108:$E$114,axTER!$C$108:$C$114,MK527)/10^9*$D$514</f>
        <v>0.56957670256635917</v>
      </c>
    </row>
    <row r="528" spans="3:350" outlineLevel="1" x14ac:dyDescent="0.3">
      <c r="C528" s="265"/>
      <c r="D528" s="69"/>
      <c r="F528" s="266"/>
      <c r="H528" s="269">
        <v>1200</v>
      </c>
      <c r="I528" s="66" t="s">
        <v>253</v>
      </c>
      <c r="J528" s="66" t="s">
        <v>265</v>
      </c>
      <c r="K528" s="66" t="s">
        <v>255</v>
      </c>
      <c r="L528" s="66" t="s">
        <v>256</v>
      </c>
      <c r="M528" s="272">
        <f>$H528*SUMIFS(axTER!$E$65:$E$105,axTER!$C$65:$C$105,I528,axTER!$D$65:$D$105,K528)/SUMIFS(axTER!$E$108:$E$114,axTER!$C$108:$C$114,L528)/10^9*$D$514</f>
        <v>1.7986632712621871</v>
      </c>
      <c r="S528" s="269">
        <v>1200</v>
      </c>
      <c r="T528" s="66" t="s">
        <v>253</v>
      </c>
      <c r="U528" s="66" t="s">
        <v>265</v>
      </c>
      <c r="V528" s="66" t="s">
        <v>255</v>
      </c>
      <c r="W528" s="66" t="s">
        <v>256</v>
      </c>
      <c r="X528" s="272">
        <f>$H528*SUMIFS(axTER!$E$65:$E$105,axTER!$C$65:$C$105,T528,axTER!$D$65:$D$105,V528)/SUMIFS(axTER!$E$108:$E$114,axTER!$C$108:$C$114,W528)/10^9*$D$514</f>
        <v>1.7986632712621871</v>
      </c>
      <c r="AB528" s="273">
        <f>$H528*IF(AF528&lt;&gt;K528,SUMIFS(axTER!$E$121:$E$128,axTER!$C$121:$C$128,K528,axTER!$D$121:$D$128,AF528),SUMIFS(axTER!$E$133:$E$138,axTER!$C$133:$C$138,AF528)*AE$510)*$D$514/10^6</f>
        <v>474.64725213863267</v>
      </c>
      <c r="AC528" s="274">
        <f>$H528*IF(AG528&lt;&gt;L528,SUMIFS(axTER!$E$142:$E$148,axTER!$C$142:$C$148,AG528),SUMIFS(axTER!$E$151:$E$157,axTER!$C$151:$C$157,AG528)*AE$510)/10^6*$D$514</f>
        <v>74.756942211834655</v>
      </c>
      <c r="AD528" s="275" t="s">
        <v>253</v>
      </c>
      <c r="AE528" s="161" t="s">
        <v>265</v>
      </c>
      <c r="AF528" s="161" t="s">
        <v>255</v>
      </c>
      <c r="AG528" s="161" t="s">
        <v>256</v>
      </c>
      <c r="AH528" s="276">
        <f>$H528*SUMIFS(axTER!$E$65:$E$105,axTER!$D$65:$D$105,AF528,axTER!$C$65:$C$105,AD528)/SUMIFS(axTER!$E$108:$E$114,axTER!$C$108:$C$114,AG528)/10^9*$D$514</f>
        <v>1.7986632712621871</v>
      </c>
      <c r="AV528" s="273">
        <f>$H528*IF(AZ528&lt;&gt;AF528,SUMIFS(axTER!$E$121:$E$128,axTER!$C$121:$C$128,AF528,axTER!$D$121:$D$128,AZ528),SUMIFS(axTER!$E$133:$E$138,axTER!$C$133:$C$138,AZ528)*AY$510)*$D$514/10^6</f>
        <v>949.29450427726533</v>
      </c>
      <c r="AW528" s="274">
        <f>$H528*IF(BA528&lt;&gt;AG528,SUMIFS(axTER!$E$142:$E$148,axTER!$C$142:$C$148,BA528),SUMIFS(axTER!$E$151:$E$157,axTER!$C$151:$C$157,BA528)*AY$510)/10^6*$D$514</f>
        <v>149.51388442366931</v>
      </c>
      <c r="AX528" s="275" t="s">
        <v>253</v>
      </c>
      <c r="AY528" s="161" t="s">
        <v>265</v>
      </c>
      <c r="AZ528" s="161" t="s">
        <v>255</v>
      </c>
      <c r="BA528" s="161" t="s">
        <v>256</v>
      </c>
      <c r="BB528" s="276">
        <f>$H528*SUMIFS(axTER!$E$65:$E$105,axTER!$D$65:$D$105,AZ528,axTER!$C$65:$C$105,AX528)/SUMIFS(axTER!$E$108:$E$114,axTER!$C$108:$C$114,BA528)/10^9*$D$514</f>
        <v>1.7986632712621871</v>
      </c>
      <c r="IG528" s="269">
        <v>1200</v>
      </c>
      <c r="IH528" s="66" t="s">
        <v>253</v>
      </c>
      <c r="II528" s="66" t="s">
        <v>265</v>
      </c>
      <c r="IJ528" s="66" t="s">
        <v>255</v>
      </c>
      <c r="IK528" s="66" t="s">
        <v>256</v>
      </c>
      <c r="IL528" s="272">
        <f>$H528*SUMIFS(axTER!$E$65:$E$105,axTER!$C$65:$C$105,IH528,axTER!$D$65:$D$105,IJ528)/SUMIFS(axTER!$E$108:$E$114,axTER!$C$108:$C$114,IK528)/10^9*$D$514</f>
        <v>1.7986632712621871</v>
      </c>
      <c r="IO528" s="273">
        <f t="shared" si="1008"/>
        <v>1200</v>
      </c>
      <c r="IP528" s="273">
        <f>$H528*IF(IT528&lt;&gt;IJ528,SUMIFS(axTER!$E$121:$E$128,axTER!$C$121:$C$128,IJ528,axTER!$D$121:$D$128,IT528),SUMIFS(axTER!$E$133:$E$138,axTER!$C$133:$C$138,IT528)*IS$510)*$D$514/10^6</f>
        <v>5339.7815865596167</v>
      </c>
      <c r="IQ528" s="274">
        <f>$H528*IF(IU528&lt;&gt;IK528,SUMIFS(axTER!$E$142:$E$148,axTER!$C$142:$C$148,IU528),SUMIFS(axTER!$E$151:$E$157,axTER!$C$151:$C$157,IU528)*IS$510)/10^6*$D$514</f>
        <v>74.756942211834655</v>
      </c>
      <c r="IR528" s="275" t="s">
        <v>253</v>
      </c>
      <c r="IS528" s="161" t="s">
        <v>265</v>
      </c>
      <c r="IT528" s="277" t="s">
        <v>257</v>
      </c>
      <c r="IU528" s="161" t="s">
        <v>256</v>
      </c>
      <c r="IV528" s="276">
        <f>$H528*SUMIFS(axTER!$E$65:$E$105,axTER!$D$65:$D$105,IT528,axTER!$C$65:$C$105,IR528)/SUMIFS(axTER!$E$108:$E$114,axTER!$C$108:$C$114,IU528)/10^9*$D$514</f>
        <v>0.62453585807714818</v>
      </c>
      <c r="JI528" s="273">
        <f t="shared" si="1009"/>
        <v>1200</v>
      </c>
      <c r="JJ528" s="273">
        <f>$H528*IF(JN528&lt;&gt;IT528,SUMIFS(axTER!$E$121:$E$128,axTER!$C$121:$C$128,IT528,axTER!$D$121:$D$128,JN528),SUMIFS(axTER!$E$133:$E$138,axTER!$C$133:$C$138,JN528)*JM$510)*$D$514/10^6</f>
        <v>0</v>
      </c>
      <c r="JK528" s="274">
        <f>$H528*IF(JO528&lt;&gt;IU528,SUMIFS(axTER!$E$142:$E$148,axTER!$C$142:$C$148,JO528),SUMIFS(axTER!$E$151:$E$157,axTER!$C$151:$C$157,JO528)*JM$510)/10^6*$D$514</f>
        <v>149.51388442366931</v>
      </c>
      <c r="JL528" s="275" t="s">
        <v>253</v>
      </c>
      <c r="JM528" s="161" t="s">
        <v>265</v>
      </c>
      <c r="JN528" s="161" t="s">
        <v>255</v>
      </c>
      <c r="JO528" s="161" t="s">
        <v>256</v>
      </c>
      <c r="JP528" s="276">
        <f>$H528*SUMIFS(axTER!$E$65:$E$105,axTER!$D$65:$D$105,JN528,axTER!$C$65:$C$105,JL528)/SUMIFS(axTER!$E$108:$E$114,axTER!$C$108:$C$114,JO528)/10^9*$D$514</f>
        <v>1.7986632712621871</v>
      </c>
      <c r="JR528" s="269">
        <v>1200</v>
      </c>
      <c r="JS528" s="66" t="s">
        <v>253</v>
      </c>
      <c r="JT528" s="66" t="s">
        <v>265</v>
      </c>
      <c r="JU528" s="66" t="s">
        <v>255</v>
      </c>
      <c r="JV528" s="66" t="s">
        <v>256</v>
      </c>
      <c r="JW528" s="272">
        <f>$H528*SUMIFS(axTER!$E$65:$E$105,axTER!$C$65:$C$105,JS528,axTER!$D$65:$D$105,JU528)/SUMIFS(axTER!$E$108:$E$114,axTER!$C$108:$C$114,JV528)/10^9*$D$514</f>
        <v>1.7986632712621871</v>
      </c>
      <c r="JY528" s="273">
        <f t="shared" si="1010"/>
        <v>0</v>
      </c>
      <c r="JZ528" s="273">
        <f t="shared" si="1005"/>
        <v>0</v>
      </c>
      <c r="KA528" s="273">
        <f>$H528*IF(KE528&lt;&gt;JU528,SUMIFS(axTER!$E$121:$E$128,axTER!$C$121:$C$128,JU528,axTER!$D$121:$D$128,KE528),SUMIFS(axTER!$E$133:$E$138,axTER!$C$133:$C$138,KE528)*KD$510)*$D$514/10^6</f>
        <v>332.25307649704285</v>
      </c>
      <c r="KB528" s="274">
        <f>$H528*IF(KF528&lt;&gt;JV528,SUMIFS(axTER!$E$142:$E$148,axTER!$C$142:$C$148,KF528),SUMIFS(axTER!$E$151:$E$157,axTER!$C$151:$C$157,KF528)*KD$510)/10^6*$D$514</f>
        <v>52.329859548284254</v>
      </c>
      <c r="KC528" s="275" t="s">
        <v>253</v>
      </c>
      <c r="KD528" s="161" t="s">
        <v>265</v>
      </c>
      <c r="KE528" s="161" t="s">
        <v>255</v>
      </c>
      <c r="KF528" s="161" t="s">
        <v>256</v>
      </c>
      <c r="KG528" s="276">
        <f>$H528*SUMIFS(axTER!$E$65:$E$105,axTER!$D$65:$D$105,KE528,axTER!$C$65:$C$105,KC528)/SUMIFS(axTER!$E$108:$E$114,axTER!$C$108:$C$114,KF528)/10^9*$D$514</f>
        <v>1.7986632712621871</v>
      </c>
      <c r="KS528" s="273" t="str">
        <f t="shared" si="1011"/>
        <v>ELEC-PAC</v>
      </c>
      <c r="KT528" s="273">
        <f t="shared" si="1012"/>
        <v>1200</v>
      </c>
      <c r="KU528" s="273">
        <f>$H528*IF(KY528&lt;&gt;KE528,SUMIFS(axTER!$E$121:$E$128,axTER!$C$121:$C$128,KE528,axTER!$D$121:$D$128,KY528),SUMIFS(axTER!$E$133:$E$138,axTER!$C$133:$C$138,KY528)*KX$510)*$D$514/10^6</f>
        <v>2373.2362606931633</v>
      </c>
      <c r="KV528" s="274">
        <f>$H528*IF(KZ528&lt;&gt;KF528,SUMIFS(axTER!$E$142:$E$148,axTER!$C$142:$C$148,KZ528),SUMIFS(axTER!$E$151:$E$157,axTER!$C$151:$C$157,KZ528)*KX$510)/10^6*$D$514</f>
        <v>949.29450427726533</v>
      </c>
      <c r="KW528" s="275" t="s">
        <v>253</v>
      </c>
      <c r="KX528" s="161" t="s">
        <v>265</v>
      </c>
      <c r="KY528" s="161" t="s">
        <v>264</v>
      </c>
      <c r="KZ528" s="161" t="s">
        <v>261</v>
      </c>
      <c r="LA528" s="276">
        <f>$H528*SUMIFS(axTER!$E$65:$E$105,axTER!$D$65:$D$105,KY528,axTER!$C$65:$C$105,KW528)/SUMIFS(axTER!$E$108:$E$114,axTER!$C$108:$C$114,KZ528)/10^9*$D$514</f>
        <v>0.3164315014257551</v>
      </c>
      <c r="LC528" s="269">
        <v>1200</v>
      </c>
      <c r="LD528" s="66" t="s">
        <v>253</v>
      </c>
      <c r="LE528" s="66" t="s">
        <v>265</v>
      </c>
      <c r="LF528" s="66" t="s">
        <v>255</v>
      </c>
      <c r="LG528" s="66" t="s">
        <v>256</v>
      </c>
      <c r="LH528" s="272">
        <f>$H528*SUMIFS(axTER!$E$65:$E$105,axTER!$C$65:$C$105,LD528,axTER!$D$65:$D$105,LF528)/SUMIFS(axTER!$E$108:$E$114,axTER!$C$108:$C$114,LG528)/10^9*$D$514</f>
        <v>1.7986632712621871</v>
      </c>
      <c r="LJ528" s="273">
        <f t="shared" si="1013"/>
        <v>0</v>
      </c>
      <c r="LK528" s="273">
        <f t="shared" si="1017"/>
        <v>1200</v>
      </c>
      <c r="LL528" s="273">
        <f>$H528*IF(LP528&lt;&gt;LF528,SUMIFS(axTER!$E$121:$E$128,axTER!$C$121:$C$128,LF528,axTER!$D$121:$D$128,LP528),SUMIFS(axTER!$E$133:$E$138,axTER!$C$133:$C$138,LP528)*LO$510)*$D$514/10^6</f>
        <v>1186.6181303465817</v>
      </c>
      <c r="LM528" s="274">
        <f>$H528*IF(LQ528&lt;&gt;LG528,SUMIFS(axTER!$E$142:$E$148,axTER!$C$142:$C$148,LQ528),SUMIFS(axTER!$E$151:$E$157,axTER!$C$151:$C$157,LQ528)*LO$510)/10^6*$D$514</f>
        <v>52.329859548284254</v>
      </c>
      <c r="LN528" s="275" t="s">
        <v>253</v>
      </c>
      <c r="LO528" s="161" t="s">
        <v>265</v>
      </c>
      <c r="LP528" s="161" t="s">
        <v>262</v>
      </c>
      <c r="LQ528" s="161" t="s">
        <v>256</v>
      </c>
      <c r="LR528" s="276">
        <f>$H528*SUMIFS(axTER!$E$65:$E$105,axTER!$D$65:$D$105,LP528,axTER!$C$65:$C$105,LN528)/SUMIFS(axTER!$E$108:$E$114,axTER!$C$108:$C$114,LQ528)/10^9*$D$514</f>
        <v>1.4988860593851558</v>
      </c>
      <c r="LT528" s="273" t="str">
        <f t="shared" si="1014"/>
        <v>ELEC-PAC</v>
      </c>
      <c r="LU528" s="273">
        <f t="shared" si="1015"/>
        <v>0</v>
      </c>
      <c r="LV528" s="273">
        <f>$H528*IF(LZ528&lt;&gt;LP528,SUMIFS(axTER!$E$121:$E$128,axTER!$C$121:$C$128,LP528,axTER!$D$121:$D$128,LZ528),SUMIFS(axTER!$E$133:$E$138,axTER!$C$133:$C$138,LZ528)*LY$510)*$D$514/10^6</f>
        <v>177.99271955198722</v>
      </c>
      <c r="LW528" s="274">
        <f>$H528*IF(MA528&lt;&gt;LQ528,SUMIFS(axTER!$E$142:$E$148,axTER!$C$142:$C$148,MA528),SUMIFS(axTER!$E$151:$E$157,axTER!$C$151:$C$157,MA528)*LY$510)/10^6*$D$514</f>
        <v>949.29450427726533</v>
      </c>
      <c r="LX528" s="275" t="s">
        <v>253</v>
      </c>
      <c r="LY528" s="161" t="s">
        <v>265</v>
      </c>
      <c r="LZ528" s="161" t="s">
        <v>262</v>
      </c>
      <c r="MA528" s="429" t="s">
        <v>261</v>
      </c>
      <c r="MB528" s="276">
        <f>$H528*SUMIFS(axTER!$E$65:$E$105,axTER!$D$65:$D$105,LZ528,axTER!$C$65:$C$105,LX528)/SUMIFS(axTER!$E$108:$E$114,axTER!$C$108:$C$114,MA528)/10^9*$D$514</f>
        <v>0.47464725213863268</v>
      </c>
      <c r="MD528" s="273">
        <f t="shared" si="1007"/>
        <v>0</v>
      </c>
      <c r="ME528" s="273">
        <f t="shared" si="1016"/>
        <v>0</v>
      </c>
      <c r="MF528" s="273">
        <f>$H528*IF(MJ528&lt;&gt;LZ528,SUMIFS(axTER!$E$121:$E$128,axTER!$C$121:$C$128,LZ528,axTER!$D$121:$D$128,MJ528),SUMIFS(axTER!$E$133:$E$138,axTER!$C$133:$C$138,MJ528)*MI$510)*$D$514/10^6</f>
        <v>177.99271955198722</v>
      </c>
      <c r="MG528" s="274">
        <f>$H528*IF(MK528&lt;&gt;MA528,SUMIFS(axTER!$E$142:$E$148,axTER!$C$142:$C$148,MK528),SUMIFS(axTER!$E$151:$E$157,axTER!$C$151:$C$157,MK528)*MI$510)/10^6*$D$514</f>
        <v>332.25307649704291</v>
      </c>
      <c r="MH528" s="275" t="s">
        <v>253</v>
      </c>
      <c r="MI528" s="161" t="s">
        <v>265</v>
      </c>
      <c r="MJ528" s="161" t="s">
        <v>262</v>
      </c>
      <c r="MK528" s="161" t="s">
        <v>261</v>
      </c>
      <c r="ML528" s="276">
        <f>$H528*SUMIFS(axTER!$E$65:$E$105,axTER!$D$65:$D$105,MJ528,axTER!$C$65:$C$105,MH528)/SUMIFS(axTER!$E$108:$E$114,axTER!$C$108:$C$114,MK528)/10^9*$D$514</f>
        <v>0.47464725213863268</v>
      </c>
    </row>
    <row r="529" spans="3:350" outlineLevel="1" x14ac:dyDescent="0.3">
      <c r="C529" s="267"/>
      <c r="F529" s="266"/>
      <c r="H529" s="269">
        <v>1200</v>
      </c>
      <c r="I529" s="66" t="s">
        <v>253</v>
      </c>
      <c r="J529" s="66" t="s">
        <v>265</v>
      </c>
      <c r="K529" s="66" t="s">
        <v>255</v>
      </c>
      <c r="L529" s="66" t="s">
        <v>267</v>
      </c>
      <c r="M529" s="272">
        <f>$H529*SUMIFS(axTER!$E$65:$E$105,axTER!$C$65:$C$105,I529,axTER!$D$65:$D$105,K529)/SUMIFS(axTER!$E$108:$E$114,axTER!$C$108:$C$114,L529)/10^9*$D$514</f>
        <v>1.8985890085545307</v>
      </c>
      <c r="S529" s="269">
        <v>1200</v>
      </c>
      <c r="T529" s="66" t="s">
        <v>253</v>
      </c>
      <c r="U529" s="66" t="s">
        <v>265</v>
      </c>
      <c r="V529" s="66" t="s">
        <v>255</v>
      </c>
      <c r="W529" s="66" t="s">
        <v>267</v>
      </c>
      <c r="X529" s="272">
        <f>$H529*SUMIFS(axTER!$E$65:$E$105,axTER!$C$65:$C$105,T529,axTER!$D$65:$D$105,V529)/SUMIFS(axTER!$E$108:$E$114,axTER!$C$108:$C$114,W529)/10^9*$D$514</f>
        <v>1.8985890085545307</v>
      </c>
      <c r="AB529" s="273">
        <f>$H529*IF(AF529&lt;&gt;K529,SUMIFS(axTER!$E$121:$E$128,axTER!$C$121:$C$128,K529,axTER!$D$121:$D$128,AF529),SUMIFS(axTER!$E$133:$E$138,axTER!$C$133:$C$138,AF529)*AE$510)*$D$514/10^6</f>
        <v>474.64725213863267</v>
      </c>
      <c r="AC529" s="274">
        <f>$H529*IF(AG529&lt;&gt;L529,SUMIFS(axTER!$E$142:$E$148,axTER!$C$142:$C$148,AG529),SUMIFS(axTER!$E$151:$E$157,axTER!$C$151:$C$157,AG529)*AE$510)/10^6*$D$514</f>
        <v>99.675922949112859</v>
      </c>
      <c r="AD529" s="275" t="s">
        <v>253</v>
      </c>
      <c r="AE529" s="161" t="s">
        <v>265</v>
      </c>
      <c r="AF529" s="161" t="s">
        <v>255</v>
      </c>
      <c r="AG529" s="161" t="s">
        <v>267</v>
      </c>
      <c r="AH529" s="276">
        <f>$H529*SUMIFS(axTER!$E$65:$E$105,axTER!$D$65:$D$105,AF529,axTER!$C$65:$C$105,AD529)/SUMIFS(axTER!$E$108:$E$114,axTER!$C$108:$C$114,AG529)/10^9*$D$514</f>
        <v>1.8985890085545307</v>
      </c>
      <c r="AV529" s="273">
        <f>$H529*IF(AZ529&lt;&gt;AF529,SUMIFS(axTER!$E$121:$E$128,axTER!$C$121:$C$128,AF529,axTER!$D$121:$D$128,AZ529),SUMIFS(axTER!$E$133:$E$138,axTER!$C$133:$C$138,AZ529)*AY$510)*$D$514/10^6</f>
        <v>949.29450427726533</v>
      </c>
      <c r="AW529" s="274">
        <f>$H529*IF(BA529&lt;&gt;AG529,SUMIFS(axTER!$E$142:$E$148,axTER!$C$142:$C$148,BA529),SUMIFS(axTER!$E$151:$E$157,axTER!$C$151:$C$157,BA529)*AY$510)/10^6*$D$514</f>
        <v>949.29450427726533</v>
      </c>
      <c r="AX529" s="275" t="s">
        <v>253</v>
      </c>
      <c r="AY529" s="161" t="s">
        <v>265</v>
      </c>
      <c r="AZ529" s="161" t="s">
        <v>255</v>
      </c>
      <c r="BA529" s="161" t="s">
        <v>261</v>
      </c>
      <c r="BB529" s="276">
        <f>$H529*SUMIFS(axTER!$E$65:$E$105,axTER!$D$65:$D$105,AZ529,axTER!$C$65:$C$105,AX529)/SUMIFS(axTER!$E$108:$E$114,axTER!$C$108:$C$114,BA529)/10^9*$D$514</f>
        <v>0.56957670256635917</v>
      </c>
      <c r="IG529" s="269">
        <v>1200</v>
      </c>
      <c r="IH529" s="66" t="s">
        <v>253</v>
      </c>
      <c r="II529" s="66" t="s">
        <v>265</v>
      </c>
      <c r="IJ529" s="66" t="s">
        <v>255</v>
      </c>
      <c r="IK529" s="66" t="s">
        <v>267</v>
      </c>
      <c r="IL529" s="272">
        <f>$H529*SUMIFS(axTER!$E$65:$E$105,axTER!$C$65:$C$105,IH529,axTER!$D$65:$D$105,IJ529)/SUMIFS(axTER!$E$108:$E$114,axTER!$C$108:$C$114,IK529)/10^9*$D$514</f>
        <v>1.8985890085545307</v>
      </c>
      <c r="IO529" s="273">
        <f t="shared" si="1008"/>
        <v>0</v>
      </c>
      <c r="IP529" s="273">
        <f>$H529*IF(IT529&lt;&gt;IJ529,SUMIFS(axTER!$E$121:$E$128,axTER!$C$121:$C$128,IJ529,axTER!$D$121:$D$128,IT529),SUMIFS(axTER!$E$133:$E$138,axTER!$C$133:$C$138,IT529)*IS$510)*$D$514/10^6</f>
        <v>474.64725213863267</v>
      </c>
      <c r="IQ529" s="274">
        <f>$H529*IF(IU529&lt;&gt;IK529,SUMIFS(axTER!$E$142:$E$148,axTER!$C$142:$C$148,IU529),SUMIFS(axTER!$E$151:$E$157,axTER!$C$151:$C$157,IU529)*IS$510)/10^6*$D$514</f>
        <v>99.675922949112859</v>
      </c>
      <c r="IR529" s="275" t="s">
        <v>253</v>
      </c>
      <c r="IS529" s="161" t="s">
        <v>265</v>
      </c>
      <c r="IT529" s="161" t="s">
        <v>255</v>
      </c>
      <c r="IU529" s="161" t="s">
        <v>267</v>
      </c>
      <c r="IV529" s="276">
        <f>$H529*SUMIFS(axTER!$E$65:$E$105,axTER!$D$65:$D$105,IT529,axTER!$C$65:$C$105,IR529)/SUMIFS(axTER!$E$108:$E$114,axTER!$C$108:$C$114,IU529)/10^9*$D$514</f>
        <v>1.8985890085545307</v>
      </c>
      <c r="JI529" s="273">
        <f t="shared" si="1009"/>
        <v>0</v>
      </c>
      <c r="JJ529" s="273">
        <f>$H529*IF(JN529&lt;&gt;IT529,SUMIFS(axTER!$E$121:$E$128,axTER!$C$121:$C$128,IT529,axTER!$D$121:$D$128,JN529),SUMIFS(axTER!$E$133:$E$138,axTER!$C$133:$C$138,JN529)*JM$510)*$D$514/10^6</f>
        <v>949.29450427726533</v>
      </c>
      <c r="JK529" s="274">
        <f>$H529*IF(JO529&lt;&gt;IU529,SUMIFS(axTER!$E$142:$E$148,axTER!$C$142:$C$148,JO529),SUMIFS(axTER!$E$151:$E$157,axTER!$C$151:$C$157,JO529)*JM$510)/10^6*$D$514</f>
        <v>199.35184589822572</v>
      </c>
      <c r="JL529" s="275" t="s">
        <v>253</v>
      </c>
      <c r="JM529" s="161" t="s">
        <v>265</v>
      </c>
      <c r="JN529" s="161" t="s">
        <v>255</v>
      </c>
      <c r="JO529" s="161" t="s">
        <v>267</v>
      </c>
      <c r="JP529" s="276">
        <f>$H529*SUMIFS(axTER!$E$65:$E$105,axTER!$D$65:$D$105,JN529,axTER!$C$65:$C$105,JL529)/SUMIFS(axTER!$E$108:$E$114,axTER!$C$108:$C$114,JO529)/10^9*$D$514</f>
        <v>1.8985890085545307</v>
      </c>
      <c r="JR529" s="269">
        <v>1200</v>
      </c>
      <c r="JS529" s="66" t="s">
        <v>253</v>
      </c>
      <c r="JT529" s="66" t="s">
        <v>265</v>
      </c>
      <c r="JU529" s="66" t="s">
        <v>255</v>
      </c>
      <c r="JV529" s="66" t="s">
        <v>267</v>
      </c>
      <c r="JW529" s="272">
        <f>$H529*SUMIFS(axTER!$E$65:$E$105,axTER!$C$65:$C$105,JS529,axTER!$D$65:$D$105,JU529)/SUMIFS(axTER!$E$108:$E$114,axTER!$C$108:$C$114,JV529)/10^9*$D$514</f>
        <v>1.8985890085545307</v>
      </c>
      <c r="JY529" s="273" t="str">
        <f t="shared" si="1010"/>
        <v>ELEC-PAC</v>
      </c>
      <c r="JZ529" s="273">
        <f t="shared" si="1005"/>
        <v>1200</v>
      </c>
      <c r="KA529" s="273">
        <f>$H529*IF(KE529&lt;&gt;JU529,SUMIFS(axTER!$E$121:$E$128,axTER!$C$121:$C$128,JU529,axTER!$D$121:$D$128,KE529),SUMIFS(axTER!$E$133:$E$138,axTER!$C$133:$C$138,KE529)*KD$510)*$D$514/10^6</f>
        <v>1186.6181303465817</v>
      </c>
      <c r="KB529" s="274">
        <f>$H529*IF(KF529&lt;&gt;JV529,SUMIFS(axTER!$E$142:$E$148,axTER!$C$142:$C$148,KF529),SUMIFS(axTER!$E$151:$E$157,axTER!$C$151:$C$157,KF529)*KD$510)/10^6*$D$514</f>
        <v>949.29450427726533</v>
      </c>
      <c r="KC529" s="275" t="s">
        <v>253</v>
      </c>
      <c r="KD529" s="161" t="s">
        <v>265</v>
      </c>
      <c r="KE529" s="161" t="s">
        <v>262</v>
      </c>
      <c r="KF529" s="161" t="s">
        <v>261</v>
      </c>
      <c r="KG529" s="276">
        <f>$H529*SUMIFS(axTER!$E$65:$E$105,axTER!$D$65:$D$105,KE529,axTER!$C$65:$C$105,KC529)/SUMIFS(axTER!$E$108:$E$114,axTER!$C$108:$C$114,KF529)/10^9*$D$514</f>
        <v>0.47464725213863268</v>
      </c>
      <c r="KS529" s="273">
        <f t="shared" si="1011"/>
        <v>0</v>
      </c>
      <c r="KT529" s="273">
        <f t="shared" si="1012"/>
        <v>0</v>
      </c>
      <c r="KU529" s="273">
        <f>$H529*IF(KY529&lt;&gt;KE529,SUMIFS(axTER!$E$121:$E$128,axTER!$C$121:$C$128,KE529,axTER!$D$121:$D$128,KY529),SUMIFS(axTER!$E$133:$E$138,axTER!$C$133:$C$138,KY529)*KX$510)*$D$514/10^6</f>
        <v>355.98543910397444</v>
      </c>
      <c r="KV529" s="274">
        <f>$H529*IF(KZ529&lt;&gt;KF529,SUMIFS(axTER!$E$142:$E$148,axTER!$C$142:$C$148,KZ529),SUMIFS(axTER!$E$151:$E$157,axTER!$C$151:$C$157,KZ529)*KX$510)/10^6*$D$514</f>
        <v>664.50615299408582</v>
      </c>
      <c r="KW529" s="275" t="s">
        <v>253</v>
      </c>
      <c r="KX529" s="161" t="s">
        <v>265</v>
      </c>
      <c r="KY529" s="161" t="s">
        <v>262</v>
      </c>
      <c r="KZ529" s="161" t="s">
        <v>261</v>
      </c>
      <c r="LA529" s="276">
        <f>$H529*SUMIFS(axTER!$E$65:$E$105,axTER!$D$65:$D$105,KY529,axTER!$C$65:$C$105,KW529)/SUMIFS(axTER!$E$108:$E$114,axTER!$C$108:$C$114,KZ529)/10^9*$D$514</f>
        <v>0.47464725213863268</v>
      </c>
      <c r="LC529" s="269">
        <v>1200</v>
      </c>
      <c r="LD529" s="66" t="s">
        <v>253</v>
      </c>
      <c r="LE529" s="66" t="s">
        <v>265</v>
      </c>
      <c r="LF529" s="66" t="s">
        <v>255</v>
      </c>
      <c r="LG529" s="66" t="s">
        <v>267</v>
      </c>
      <c r="LH529" s="272">
        <f>$H529*SUMIFS(axTER!$E$65:$E$105,axTER!$C$65:$C$105,LD529,axTER!$D$65:$D$105,LF529)/SUMIFS(axTER!$E$108:$E$114,axTER!$C$108:$C$114,LG529)/10^9*$D$514</f>
        <v>1.8985890085545307</v>
      </c>
      <c r="LJ529" s="273" t="str">
        <f t="shared" si="1013"/>
        <v>ELEC-PAC</v>
      </c>
      <c r="LK529" s="273">
        <f t="shared" si="1017"/>
        <v>0</v>
      </c>
      <c r="LL529" s="273">
        <f>$H529*IF(LP529&lt;&gt;LF529,SUMIFS(axTER!$E$121:$E$128,axTER!$C$121:$C$128,LF529,axTER!$D$121:$D$128,LP529),SUMIFS(axTER!$E$133:$E$138,axTER!$C$133:$C$138,LP529)*LO$510)*$D$514/10^6</f>
        <v>332.25307649704285</v>
      </c>
      <c r="LM529" s="274">
        <f>$H529*IF(LQ529&lt;&gt;LG529,SUMIFS(axTER!$E$142:$E$148,axTER!$C$142:$C$148,LQ529),SUMIFS(axTER!$E$151:$E$157,axTER!$C$151:$C$157,LQ529)*LO$510)/10^6*$D$514</f>
        <v>949.29450427726533</v>
      </c>
      <c r="LN529" s="275" t="s">
        <v>253</v>
      </c>
      <c r="LO529" s="161" t="s">
        <v>265</v>
      </c>
      <c r="LP529" s="161" t="s">
        <v>255</v>
      </c>
      <c r="LQ529" s="161" t="s">
        <v>261</v>
      </c>
      <c r="LR529" s="276">
        <f>$H529*SUMIFS(axTER!$E$65:$E$105,axTER!$D$65:$D$105,LP529,axTER!$C$65:$C$105,LN529)/SUMIFS(axTER!$E$108:$E$114,axTER!$C$108:$C$114,LQ529)/10^9*$D$514</f>
        <v>0.56957670256635917</v>
      </c>
      <c r="LT529" s="273">
        <f t="shared" si="1014"/>
        <v>0</v>
      </c>
      <c r="LU529" s="273">
        <f t="shared" si="1015"/>
        <v>0</v>
      </c>
      <c r="LV529" s="273">
        <f>$H529*IF(LZ529&lt;&gt;LP529,SUMIFS(axTER!$E$121:$E$128,axTER!$C$121:$C$128,LP529,axTER!$D$121:$D$128,LZ529),SUMIFS(axTER!$E$133:$E$138,axTER!$C$133:$C$138,LZ529)*LY$510)*$D$514/10^6</f>
        <v>474.64725213863267</v>
      </c>
      <c r="LW529" s="274">
        <f>$H529*IF(MA529&lt;&gt;LQ529,SUMIFS(axTER!$E$142:$E$148,axTER!$C$142:$C$148,MA529),SUMIFS(axTER!$E$151:$E$157,axTER!$C$151:$C$157,MA529)*LY$510)/10^6*$D$514</f>
        <v>332.25307649704291</v>
      </c>
      <c r="LX529" s="275" t="s">
        <v>253</v>
      </c>
      <c r="LY529" s="161" t="s">
        <v>265</v>
      </c>
      <c r="LZ529" s="161" t="s">
        <v>255</v>
      </c>
      <c r="MA529" s="161" t="s">
        <v>261</v>
      </c>
      <c r="MB529" s="276">
        <f>$H529*SUMIFS(axTER!$E$65:$E$105,axTER!$D$65:$D$105,LZ529,axTER!$C$65:$C$105,LX529)/SUMIFS(axTER!$E$108:$E$114,axTER!$C$108:$C$114,MA529)/10^9*$D$514</f>
        <v>0.56957670256635917</v>
      </c>
      <c r="MD529" s="273">
        <f t="shared" si="1007"/>
        <v>0</v>
      </c>
      <c r="ME529" s="273">
        <f t="shared" si="1016"/>
        <v>0</v>
      </c>
      <c r="MF529" s="273">
        <f>$H529*IF(MJ529&lt;&gt;LZ529,SUMIFS(axTER!$E$121:$E$128,axTER!$C$121:$C$128,LZ529,axTER!$D$121:$D$128,MJ529),SUMIFS(axTER!$E$133:$E$138,axTER!$C$133:$C$138,MJ529)*MI$510)*$D$514/10^6</f>
        <v>474.64725213863267</v>
      </c>
      <c r="MG529" s="274">
        <f>$H529*IF(MK529&lt;&gt;MA529,SUMIFS(axTER!$E$142:$E$148,axTER!$C$142:$C$148,MK529),SUMIFS(axTER!$E$151:$E$157,axTER!$C$151:$C$157,MK529)*MI$510)/10^6*$D$514</f>
        <v>332.25307649704291</v>
      </c>
      <c r="MH529" s="275" t="s">
        <v>253</v>
      </c>
      <c r="MI529" s="161" t="s">
        <v>265</v>
      </c>
      <c r="MJ529" s="161" t="s">
        <v>255</v>
      </c>
      <c r="MK529" s="161" t="s">
        <v>261</v>
      </c>
      <c r="ML529" s="276">
        <f>$H529*SUMIFS(axTER!$E$65:$E$105,axTER!$D$65:$D$105,MJ529,axTER!$C$65:$C$105,MH529)/SUMIFS(axTER!$E$108:$E$114,axTER!$C$108:$C$114,MK529)/10^9*$D$514</f>
        <v>0.56957670256635917</v>
      </c>
    </row>
    <row r="530" spans="3:350" hidden="1" outlineLevel="1" x14ac:dyDescent="0.3">
      <c r="C530" s="267"/>
      <c r="D530" s="69"/>
      <c r="E530" s="69"/>
      <c r="F530" s="266"/>
      <c r="H530" s="269">
        <v>400</v>
      </c>
      <c r="I530" s="66" t="s">
        <v>253</v>
      </c>
      <c r="J530" s="66" t="s">
        <v>265</v>
      </c>
      <c r="K530" s="66" t="s">
        <v>266</v>
      </c>
      <c r="L530" s="66" t="s">
        <v>256</v>
      </c>
      <c r="M530" s="272">
        <f>$H530*SUMIFS(axTER!$E$65:$E$105,axTER!$C$65:$C$105,I530,axTER!$D$65:$D$105,K530)/SUMIFS(axTER!$E$108:$E$114,axTER!$C$108:$C$114,L530)/10^9*$D$514</f>
        <v>0.29977721187703116</v>
      </c>
      <c r="S530" s="269">
        <v>400</v>
      </c>
      <c r="T530" s="66" t="s">
        <v>253</v>
      </c>
      <c r="U530" s="66" t="s">
        <v>265</v>
      </c>
      <c r="V530" s="66" t="s">
        <v>266</v>
      </c>
      <c r="W530" s="66" t="s">
        <v>256</v>
      </c>
      <c r="X530" s="272">
        <f>$H530*SUMIFS(axTER!$E$65:$E$105,axTER!$C$65:$C$105,T530,axTER!$D$65:$D$105,V530)/SUMIFS(axTER!$E$108:$E$114,axTER!$C$108:$C$114,W530)/10^9*$D$514</f>
        <v>0.29977721187703116</v>
      </c>
      <c r="AB530" s="273">
        <f>$H530*IF(AF530&lt;&gt;K530,SUMIFS(axTER!$E$121:$E$128,axTER!$C$121:$C$128,K530,axTER!$D$121:$D$128,AF530),SUMIFS(axTER!$E$133:$E$138,axTER!$C$133:$C$138,AF530)*AE$510)*$D$514/10^6</f>
        <v>59.330906517329083</v>
      </c>
      <c r="AC530" s="274">
        <f>$H530*IF(AG530&lt;&gt;L530,SUMIFS(axTER!$E$142:$E$148,axTER!$C$142:$C$148,AG530),SUMIFS(axTER!$E$151:$E$157,axTER!$C$151:$C$157,AG530)*AE$510)/10^6*$D$514</f>
        <v>24.918980737278218</v>
      </c>
      <c r="AD530" s="275" t="s">
        <v>253</v>
      </c>
      <c r="AE530" s="161" t="s">
        <v>265</v>
      </c>
      <c r="AF530" s="161" t="s">
        <v>266</v>
      </c>
      <c r="AG530" s="161" t="s">
        <v>256</v>
      </c>
      <c r="AH530" s="276">
        <f>$H530*SUMIFS(axTER!$E$65:$E$105,axTER!$D$65:$D$105,AF530,axTER!$C$65:$C$105,AD530)/SUMIFS(axTER!$E$108:$E$114,axTER!$C$108:$C$114,AG530)/10^9*$D$514</f>
        <v>0.29977721187703116</v>
      </c>
      <c r="AV530" s="273">
        <f>$H530*IF(AZ530&lt;&gt;AF530,SUMIFS(axTER!$E$121:$E$128,axTER!$C$121:$C$128,AF530,axTER!$D$121:$D$128,AZ530),SUMIFS(axTER!$E$133:$E$138,axTER!$C$133:$C$138,AZ530)*AY$510)*$D$514/10^6</f>
        <v>118.66181303465817</v>
      </c>
      <c r="AW530" s="274">
        <f>$H530*IF(BA530&lt;&gt;AG530,SUMIFS(axTER!$E$142:$E$148,axTER!$C$142:$C$148,BA530),SUMIFS(axTER!$E$151:$E$157,axTER!$C$151:$C$157,BA530)*AY$510)/10^6*$D$514</f>
        <v>49.837961474556437</v>
      </c>
      <c r="AX530" s="275" t="s">
        <v>253</v>
      </c>
      <c r="AY530" s="161" t="s">
        <v>265</v>
      </c>
      <c r="AZ530" s="161" t="s">
        <v>266</v>
      </c>
      <c r="BA530" s="161" t="s">
        <v>256</v>
      </c>
      <c r="BB530" s="276">
        <f>$H530*SUMIFS(axTER!$E$65:$E$105,axTER!$D$65:$D$105,AZ530,axTER!$C$65:$C$105,AX530)/SUMIFS(axTER!$E$108:$E$114,axTER!$C$108:$C$114,BA530)/10^9*$D$514</f>
        <v>0.29977721187703116</v>
      </c>
      <c r="IG530" s="269">
        <v>400</v>
      </c>
      <c r="IH530" s="66" t="s">
        <v>253</v>
      </c>
      <c r="II530" s="66" t="s">
        <v>265</v>
      </c>
      <c r="IJ530" s="66" t="s">
        <v>266</v>
      </c>
      <c r="IK530" s="66" t="s">
        <v>256</v>
      </c>
      <c r="IL530" s="272">
        <f>$H530*SUMIFS(axTER!$E$65:$E$105,axTER!$C$65:$C$105,IH530,axTER!$D$65:$D$105,IJ530)/SUMIFS(axTER!$E$108:$E$114,axTER!$C$108:$C$114,IK530)/10^9*$D$514</f>
        <v>0.29977721187703116</v>
      </c>
      <c r="IO530" s="273">
        <f t="shared" si="1008"/>
        <v>0</v>
      </c>
      <c r="IP530" s="273">
        <f>$H530*IF(IT530&lt;&gt;IJ530,SUMIFS(axTER!$E$121:$E$128,axTER!$C$121:$C$128,IJ530,axTER!$D$121:$D$128,IT530),SUMIFS(axTER!$E$133:$E$138,axTER!$C$133:$C$138,IT530)*IS$510)*$D$514/10^6</f>
        <v>59.330906517329083</v>
      </c>
      <c r="IQ530" s="274">
        <f>$H530*IF(IU530&lt;&gt;IK530,SUMIFS(axTER!$E$142:$E$148,axTER!$C$142:$C$148,IU530),SUMIFS(axTER!$E$151:$E$157,axTER!$C$151:$C$157,IU530)*IS$510)/10^6*$D$514</f>
        <v>24.918980737278218</v>
      </c>
      <c r="IR530" s="275" t="s">
        <v>253</v>
      </c>
      <c r="IS530" s="161" t="s">
        <v>265</v>
      </c>
      <c r="IT530" s="161" t="s">
        <v>266</v>
      </c>
      <c r="IU530" s="161" t="s">
        <v>256</v>
      </c>
      <c r="IV530" s="276">
        <f>$H530*SUMIFS(axTER!$E$65:$E$105,axTER!$D$65:$D$105,IT530,axTER!$C$65:$C$105,IR530)/SUMIFS(axTER!$E$108:$E$114,axTER!$C$108:$C$114,IU530)/10^9*$D$514</f>
        <v>0.29977721187703116</v>
      </c>
      <c r="JI530" s="273">
        <f t="shared" si="1009"/>
        <v>0</v>
      </c>
      <c r="JJ530" s="273">
        <f>$H530*IF(JN530&lt;&gt;IT530,SUMIFS(axTER!$E$121:$E$128,axTER!$C$121:$C$128,IT530,axTER!$D$121:$D$128,JN530),SUMIFS(axTER!$E$133:$E$138,axTER!$C$133:$C$138,JN530)*JM$510)*$D$514/10^6</f>
        <v>118.66181303465817</v>
      </c>
      <c r="JK530" s="274">
        <f>$H530*IF(JO530&lt;&gt;IU530,SUMIFS(axTER!$E$142:$E$148,axTER!$C$142:$C$148,JO530),SUMIFS(axTER!$E$151:$E$157,axTER!$C$151:$C$157,JO530)*JM$510)/10^6*$D$514</f>
        <v>49.837961474556437</v>
      </c>
      <c r="JL530" s="275" t="s">
        <v>253</v>
      </c>
      <c r="JM530" s="161" t="s">
        <v>265</v>
      </c>
      <c r="JN530" s="161" t="s">
        <v>266</v>
      </c>
      <c r="JO530" s="161" t="s">
        <v>256</v>
      </c>
      <c r="JP530" s="276">
        <f>$H530*SUMIFS(axTER!$E$65:$E$105,axTER!$D$65:$D$105,JN530,axTER!$C$65:$C$105,JL530)/SUMIFS(axTER!$E$108:$E$114,axTER!$C$108:$C$114,JO530)/10^9*$D$514</f>
        <v>0.29977721187703116</v>
      </c>
      <c r="JR530" s="269">
        <v>400</v>
      </c>
      <c r="JS530" s="66" t="s">
        <v>253</v>
      </c>
      <c r="JT530" s="66" t="s">
        <v>265</v>
      </c>
      <c r="JU530" s="66" t="s">
        <v>266</v>
      </c>
      <c r="JV530" s="66" t="s">
        <v>256</v>
      </c>
      <c r="JW530" s="272">
        <f>$H530*SUMIFS(axTER!$E$65:$E$105,axTER!$C$65:$C$105,JS530,axTER!$D$65:$D$105,JU530)/SUMIFS(axTER!$E$108:$E$114,axTER!$C$108:$C$114,JV530)/10^9*$D$514</f>
        <v>0.29977721187703116</v>
      </c>
      <c r="JY530" s="273">
        <f t="shared" si="1010"/>
        <v>0</v>
      </c>
      <c r="JZ530" s="273">
        <f t="shared" si="1005"/>
        <v>0</v>
      </c>
      <c r="KA530" s="273">
        <f>$H530*IF(KE530&lt;&gt;JU530,SUMIFS(axTER!$E$121:$E$128,axTER!$C$121:$C$128,JU530,axTER!$D$121:$D$128,KE530),SUMIFS(axTER!$E$133:$E$138,axTER!$C$133:$C$138,KE530)*KD$510)*$D$514/10^6</f>
        <v>41.531634562130357</v>
      </c>
      <c r="KB530" s="274">
        <f>$H530*IF(KF530&lt;&gt;JV530,SUMIFS(axTER!$E$142:$E$148,axTER!$C$142:$C$148,KF530),SUMIFS(axTER!$E$151:$E$157,axTER!$C$151:$C$157,KF530)*KD$510)/10^6*$D$514</f>
        <v>17.443286516094755</v>
      </c>
      <c r="KC530" s="275" t="s">
        <v>253</v>
      </c>
      <c r="KD530" s="161" t="s">
        <v>265</v>
      </c>
      <c r="KE530" s="161" t="s">
        <v>266</v>
      </c>
      <c r="KF530" s="161" t="s">
        <v>256</v>
      </c>
      <c r="KG530" s="276">
        <f>$H530*SUMIFS(axTER!$E$65:$E$105,axTER!$D$65:$D$105,KE530,axTER!$C$65:$C$105,KC530)/SUMIFS(axTER!$E$108:$E$114,axTER!$C$108:$C$114,KF530)/10^9*$D$514</f>
        <v>0.29977721187703116</v>
      </c>
      <c r="KS530" s="273" t="str">
        <f t="shared" si="1011"/>
        <v>ELEC-PAC</v>
      </c>
      <c r="KT530" s="273">
        <f t="shared" si="1012"/>
        <v>0</v>
      </c>
      <c r="KU530" s="273">
        <f>$H530*IF(KY530&lt;&gt;KE530,SUMIFS(axTER!$E$121:$E$128,axTER!$C$121:$C$128,KE530,axTER!$D$121:$D$128,KY530),SUMIFS(axTER!$E$133:$E$138,axTER!$C$133:$C$138,KY530)*KX$510)*$D$514/10^6</f>
        <v>118.66181303465817</v>
      </c>
      <c r="KV530" s="274">
        <f>$H530*IF(KZ530&lt;&gt;KF530,SUMIFS(axTER!$E$142:$E$148,axTER!$C$142:$C$148,KZ530),SUMIFS(axTER!$E$151:$E$157,axTER!$C$151:$C$157,KZ530)*KX$510)/10^6*$D$514</f>
        <v>316.43150142575507</v>
      </c>
      <c r="KW530" s="275" t="s">
        <v>253</v>
      </c>
      <c r="KX530" s="161" t="s">
        <v>265</v>
      </c>
      <c r="KY530" s="161" t="s">
        <v>266</v>
      </c>
      <c r="KZ530" s="161" t="s">
        <v>261</v>
      </c>
      <c r="LA530" s="276">
        <f>$H530*SUMIFS(axTER!$E$65:$E$105,axTER!$D$65:$D$105,KY530,axTER!$C$65:$C$105,KW530)/SUMIFS(axTER!$E$108:$E$114,axTER!$C$108:$C$114,KZ530)/10^9*$D$514</f>
        <v>9.4929450427726519E-2</v>
      </c>
      <c r="LC530" s="269">
        <v>400</v>
      </c>
      <c r="LD530" s="66" t="s">
        <v>253</v>
      </c>
      <c r="LE530" s="66" t="s">
        <v>265</v>
      </c>
      <c r="LF530" s="66" t="s">
        <v>266</v>
      </c>
      <c r="LG530" s="66" t="s">
        <v>256</v>
      </c>
      <c r="LH530" s="272">
        <f>$H530*SUMIFS(axTER!$E$65:$E$105,axTER!$C$65:$C$105,LD530,axTER!$D$65:$D$105,LF530)/SUMIFS(axTER!$E$108:$E$114,axTER!$C$108:$C$114,LG530)/10^9*$D$514</f>
        <v>0.29977721187703116</v>
      </c>
      <c r="LJ530" s="273" t="str">
        <f t="shared" si="1013"/>
        <v>URBAIN</v>
      </c>
      <c r="LK530" s="273">
        <f t="shared" si="1017"/>
        <v>0</v>
      </c>
      <c r="LL530" s="273">
        <f>$H530*IF(LP530&lt;&gt;LF530,SUMIFS(axTER!$E$121:$E$128,axTER!$C$121:$C$128,LF530,axTER!$D$121:$D$128,LP530),SUMIFS(axTER!$E$133:$E$138,axTER!$C$133:$C$138,LP530)*LO$510)*$D$514/10^6</f>
        <v>41.531634562130357</v>
      </c>
      <c r="LM530" s="274">
        <f>$H530*IF(LQ530&lt;&gt;LG530,SUMIFS(axTER!$E$142:$E$148,axTER!$C$142:$C$148,LQ530),SUMIFS(axTER!$E$151:$E$157,axTER!$C$151:$C$157,LQ530)*LO$510)/10^6*$D$514</f>
        <v>122.6172068024801</v>
      </c>
      <c r="LN530" s="275" t="s">
        <v>253</v>
      </c>
      <c r="LO530" s="161" t="s">
        <v>265</v>
      </c>
      <c r="LP530" s="161" t="s">
        <v>266</v>
      </c>
      <c r="LQ530" s="429" t="s">
        <v>258</v>
      </c>
      <c r="LR530" s="276">
        <f>$H530*SUMIFS(axTER!$E$65:$E$105,axTER!$D$65:$D$105,LP530,axTER!$C$65:$C$105,LN530)/SUMIFS(axTER!$E$108:$E$114,axTER!$C$108:$C$114,LQ530)/10^9*$D$514</f>
        <v>0.28478835128317959</v>
      </c>
      <c r="LT530" s="273">
        <f t="shared" si="1014"/>
        <v>0</v>
      </c>
      <c r="LU530" s="273">
        <f t="shared" si="1015"/>
        <v>0</v>
      </c>
      <c r="LV530" s="273">
        <f>$H530*IF(LZ530&lt;&gt;LP530,SUMIFS(axTER!$E$121:$E$128,axTER!$C$121:$C$128,LP530,axTER!$D$121:$D$128,LZ530),SUMIFS(axTER!$E$133:$E$138,axTER!$C$133:$C$138,LZ530)*LY$510)*$D$514/10^6</f>
        <v>59.330906517329083</v>
      </c>
      <c r="LW530" s="274">
        <f>$H530*IF(MA530&lt;&gt;LQ530,SUMIFS(axTER!$E$142:$E$148,axTER!$C$142:$C$148,MA530),SUMIFS(axTER!$E$151:$E$157,axTER!$C$151:$C$157,MA530)*LY$510)/10^6*$D$514</f>
        <v>42.916022380868043</v>
      </c>
      <c r="LX530" s="275" t="s">
        <v>253</v>
      </c>
      <c r="LY530" s="161" t="s">
        <v>265</v>
      </c>
      <c r="LZ530" s="161" t="s">
        <v>266</v>
      </c>
      <c r="MA530" s="429" t="s">
        <v>258</v>
      </c>
      <c r="MB530" s="276">
        <f>$H530*SUMIFS(axTER!$E$65:$E$105,axTER!$D$65:$D$105,LZ530,axTER!$C$65:$C$105,LX530)/SUMIFS(axTER!$E$108:$E$114,axTER!$C$108:$C$114,MA530)/10^9*$D$514</f>
        <v>0.28478835128317959</v>
      </c>
      <c r="MD530" s="273">
        <f t="shared" si="1007"/>
        <v>0</v>
      </c>
      <c r="ME530" s="273">
        <f t="shared" si="1016"/>
        <v>0</v>
      </c>
      <c r="MF530" s="273">
        <f>$H530*IF(MJ530&lt;&gt;LZ530,SUMIFS(axTER!$E$121:$E$128,axTER!$C$121:$C$128,LZ530,axTER!$D$121:$D$128,MJ530),SUMIFS(axTER!$E$133:$E$138,axTER!$C$133:$C$138,MJ530)*MI$510)*$D$514/10^6</f>
        <v>59.330906517329083</v>
      </c>
      <c r="MG530" s="274">
        <f>$H530*IF(MK530&lt;&gt;MA530,SUMIFS(axTER!$E$142:$E$148,axTER!$C$142:$C$148,MK530),SUMIFS(axTER!$E$151:$E$157,axTER!$C$151:$C$157,MK530)*MI$510)/10^6*$D$514</f>
        <v>42.916022380868043</v>
      </c>
      <c r="MH530" s="275" t="s">
        <v>253</v>
      </c>
      <c r="MI530" s="161" t="s">
        <v>265</v>
      </c>
      <c r="MJ530" s="161" t="s">
        <v>266</v>
      </c>
      <c r="MK530" s="429" t="s">
        <v>258</v>
      </c>
      <c r="ML530" s="276">
        <f>$H530*SUMIFS(axTER!$E$65:$E$105,axTER!$D$65:$D$105,MJ530,axTER!$C$65:$C$105,MH530)/SUMIFS(axTER!$E$108:$E$114,axTER!$C$108:$C$114,MK530)/10^9*$D$514</f>
        <v>0.28478835128317959</v>
      </c>
    </row>
    <row r="531" spans="3:350" hidden="1" outlineLevel="1" x14ac:dyDescent="0.3">
      <c r="C531" s="267"/>
      <c r="D531" s="69"/>
      <c r="E531" s="69"/>
      <c r="F531" s="266"/>
      <c r="H531" s="269">
        <v>400</v>
      </c>
      <c r="I531" s="66" t="s">
        <v>253</v>
      </c>
      <c r="J531" s="66" t="s">
        <v>265</v>
      </c>
      <c r="K531" s="66" t="s">
        <v>266</v>
      </c>
      <c r="L531" s="66" t="s">
        <v>256</v>
      </c>
      <c r="M531" s="272">
        <f>$H531*SUMIFS(axTER!$E$65:$E$105,axTER!$C$65:$C$105,I531,axTER!$D$65:$D$105,K531)/SUMIFS(axTER!$E$108:$E$114,axTER!$C$108:$C$114,L531)/10^9*$D$514</f>
        <v>0.29977721187703116</v>
      </c>
      <c r="S531" s="269">
        <v>400</v>
      </c>
      <c r="T531" s="66" t="s">
        <v>253</v>
      </c>
      <c r="U531" s="66" t="s">
        <v>265</v>
      </c>
      <c r="V531" s="66" t="s">
        <v>266</v>
      </c>
      <c r="W531" s="66" t="s">
        <v>256</v>
      </c>
      <c r="X531" s="272">
        <f>$H531*SUMIFS(axTER!$E$65:$E$105,axTER!$C$65:$C$105,T531,axTER!$D$65:$D$105,V531)/SUMIFS(axTER!$E$108:$E$114,axTER!$C$108:$C$114,W531)/10^9*$D$514</f>
        <v>0.29977721187703116</v>
      </c>
      <c r="AB531" s="273">
        <f>$H531*IF(AF531&lt;&gt;K531,SUMIFS(axTER!$E$121:$E$128,axTER!$C$121:$C$128,K531,axTER!$D$121:$D$128,AF531),SUMIFS(axTER!$E$133:$E$138,axTER!$C$133:$C$138,AF531)*AE$510)*$D$514/10^6</f>
        <v>59.330906517329083</v>
      </c>
      <c r="AC531" s="274">
        <f>$H531*IF(AG531&lt;&gt;L531,SUMIFS(axTER!$E$142:$E$148,axTER!$C$142:$C$148,AG531),SUMIFS(axTER!$E$151:$E$157,axTER!$C$151:$C$157,AG531)*AE$510)/10^6*$D$514</f>
        <v>24.918980737278218</v>
      </c>
      <c r="AD531" s="275" t="s">
        <v>253</v>
      </c>
      <c r="AE531" s="161" t="s">
        <v>265</v>
      </c>
      <c r="AF531" s="161" t="s">
        <v>266</v>
      </c>
      <c r="AG531" s="161" t="s">
        <v>256</v>
      </c>
      <c r="AH531" s="276">
        <f>$H531*SUMIFS(axTER!$E$65:$E$105,axTER!$D$65:$D$105,AF531,axTER!$C$65:$C$105,AD531)/SUMIFS(axTER!$E$108:$E$114,axTER!$C$108:$C$114,AG531)/10^9*$D$514</f>
        <v>0.29977721187703116</v>
      </c>
      <c r="AV531" s="273">
        <f>$H531*IF(AZ531&lt;&gt;AF531,SUMIFS(axTER!$E$121:$E$128,axTER!$C$121:$C$128,AF531,axTER!$D$121:$D$128,AZ531),SUMIFS(axTER!$E$133:$E$138,axTER!$C$133:$C$138,AZ531)*AY$510)*$D$514/10^6</f>
        <v>118.66181303465817</v>
      </c>
      <c r="AW531" s="274">
        <f>$H531*IF(BA531&lt;&gt;AG531,SUMIFS(axTER!$E$142:$E$148,axTER!$C$142:$C$148,BA531),SUMIFS(axTER!$E$151:$E$157,axTER!$C$151:$C$157,BA531)*AY$510)/10^6*$D$514</f>
        <v>49.837961474556437</v>
      </c>
      <c r="AX531" s="275" t="s">
        <v>253</v>
      </c>
      <c r="AY531" s="161" t="s">
        <v>265</v>
      </c>
      <c r="AZ531" s="161" t="s">
        <v>266</v>
      </c>
      <c r="BA531" s="161" t="s">
        <v>256</v>
      </c>
      <c r="BB531" s="276">
        <f>$H531*SUMIFS(axTER!$E$65:$E$105,axTER!$D$65:$D$105,AZ531,axTER!$C$65:$C$105,AX531)/SUMIFS(axTER!$E$108:$E$114,axTER!$C$108:$C$114,BA531)/10^9*$D$514</f>
        <v>0.29977721187703116</v>
      </c>
      <c r="IG531" s="269">
        <v>400</v>
      </c>
      <c r="IH531" s="66" t="s">
        <v>253</v>
      </c>
      <c r="II531" s="66" t="s">
        <v>265</v>
      </c>
      <c r="IJ531" s="66" t="s">
        <v>266</v>
      </c>
      <c r="IK531" s="66" t="s">
        <v>256</v>
      </c>
      <c r="IL531" s="272">
        <f>$H531*SUMIFS(axTER!$E$65:$E$105,axTER!$C$65:$C$105,IH531,axTER!$D$65:$D$105,IJ531)/SUMIFS(axTER!$E$108:$E$114,axTER!$C$108:$C$114,IK531)/10^9*$D$514</f>
        <v>0.29977721187703116</v>
      </c>
      <c r="IO531" s="273">
        <f t="shared" si="1008"/>
        <v>0</v>
      </c>
      <c r="IP531" s="273">
        <f>$H531*IF(IT531&lt;&gt;IJ531,SUMIFS(axTER!$E$121:$E$128,axTER!$C$121:$C$128,IJ531,axTER!$D$121:$D$128,IT531),SUMIFS(axTER!$E$133:$E$138,axTER!$C$133:$C$138,IT531)*IS$510)*$D$514/10^6</f>
        <v>59.330906517329083</v>
      </c>
      <c r="IQ531" s="274">
        <f>$H531*IF(IU531&lt;&gt;IK531,SUMIFS(axTER!$E$142:$E$148,axTER!$C$142:$C$148,IU531),SUMIFS(axTER!$E$151:$E$157,axTER!$C$151:$C$157,IU531)*IS$510)/10^6*$D$514</f>
        <v>24.918980737278218</v>
      </c>
      <c r="IR531" s="275" t="s">
        <v>253</v>
      </c>
      <c r="IS531" s="161" t="s">
        <v>265</v>
      </c>
      <c r="IT531" s="161" t="s">
        <v>266</v>
      </c>
      <c r="IU531" s="161" t="s">
        <v>256</v>
      </c>
      <c r="IV531" s="276">
        <f>$H531*SUMIFS(axTER!$E$65:$E$105,axTER!$D$65:$D$105,IT531,axTER!$C$65:$C$105,IR531)/SUMIFS(axTER!$E$108:$E$114,axTER!$C$108:$C$114,IU531)/10^9*$D$514</f>
        <v>0.29977721187703116</v>
      </c>
      <c r="JI531" s="273">
        <f t="shared" si="1009"/>
        <v>0</v>
      </c>
      <c r="JJ531" s="273">
        <f>$H531*IF(JN531&lt;&gt;IT531,SUMIFS(axTER!$E$121:$E$128,axTER!$C$121:$C$128,IT531,axTER!$D$121:$D$128,JN531),SUMIFS(axTER!$E$133:$E$138,axTER!$C$133:$C$138,JN531)*JM$510)*$D$514/10^6</f>
        <v>118.66181303465817</v>
      </c>
      <c r="JK531" s="274">
        <f>$H531*IF(JO531&lt;&gt;IU531,SUMIFS(axTER!$E$142:$E$148,axTER!$C$142:$C$148,JO531),SUMIFS(axTER!$E$151:$E$157,axTER!$C$151:$C$157,JO531)*JM$510)/10^6*$D$514</f>
        <v>49.837961474556437</v>
      </c>
      <c r="JL531" s="275" t="s">
        <v>253</v>
      </c>
      <c r="JM531" s="161" t="s">
        <v>265</v>
      </c>
      <c r="JN531" s="161" t="s">
        <v>266</v>
      </c>
      <c r="JO531" s="161" t="s">
        <v>256</v>
      </c>
      <c r="JP531" s="276">
        <f>$H531*SUMIFS(axTER!$E$65:$E$105,axTER!$D$65:$D$105,JN531,axTER!$C$65:$C$105,JL531)/SUMIFS(axTER!$E$108:$E$114,axTER!$C$108:$C$114,JO531)/10^9*$D$514</f>
        <v>0.29977721187703116</v>
      </c>
      <c r="JR531" s="269">
        <v>400</v>
      </c>
      <c r="JS531" s="66" t="s">
        <v>253</v>
      </c>
      <c r="JT531" s="66" t="s">
        <v>265</v>
      </c>
      <c r="JU531" s="66" t="s">
        <v>266</v>
      </c>
      <c r="JV531" s="66" t="s">
        <v>256</v>
      </c>
      <c r="JW531" s="272">
        <f>$H531*SUMIFS(axTER!$E$65:$E$105,axTER!$C$65:$C$105,JS531,axTER!$D$65:$D$105,JU531)/SUMIFS(axTER!$E$108:$E$114,axTER!$C$108:$C$114,JV531)/10^9*$D$514</f>
        <v>0.29977721187703116</v>
      </c>
      <c r="JY531" s="273" t="str">
        <f t="shared" si="1010"/>
        <v>URBAIN</v>
      </c>
      <c r="JZ531" s="273">
        <f t="shared" si="1005"/>
        <v>0</v>
      </c>
      <c r="KA531" s="273">
        <f>$H531*IF(KE531&lt;&gt;JU531,SUMIFS(axTER!$E$121:$E$128,axTER!$C$121:$C$128,JU531,axTER!$D$121:$D$128,KE531),SUMIFS(axTER!$E$133:$E$138,axTER!$C$133:$C$138,KE531)*KD$510)*$D$514/10^6</f>
        <v>41.531634562130357</v>
      </c>
      <c r="KB531" s="274">
        <f>$H531*IF(KF531&lt;&gt;JV531,SUMIFS(axTER!$E$142:$E$148,axTER!$C$142:$C$148,KF531),SUMIFS(axTER!$E$151:$E$157,axTER!$C$151:$C$157,KF531)*KD$510)/10^6*$D$514</f>
        <v>122.6172068024801</v>
      </c>
      <c r="KC531" s="275" t="s">
        <v>253</v>
      </c>
      <c r="KD531" s="161" t="s">
        <v>265</v>
      </c>
      <c r="KE531" s="161" t="s">
        <v>266</v>
      </c>
      <c r="KF531" s="161" t="s">
        <v>258</v>
      </c>
      <c r="KG531" s="276">
        <f>$H531*SUMIFS(axTER!$E$65:$E$105,axTER!$D$65:$D$105,KE531,axTER!$C$65:$C$105,KC531)/SUMIFS(axTER!$E$108:$E$114,axTER!$C$108:$C$114,KF531)/10^9*$D$514</f>
        <v>0.28478835128317959</v>
      </c>
      <c r="KS531" s="273">
        <f t="shared" si="1011"/>
        <v>0</v>
      </c>
      <c r="KT531" s="273">
        <f t="shared" si="1012"/>
        <v>0</v>
      </c>
      <c r="KU531" s="273">
        <f>$H531*IF(KY531&lt;&gt;KE531,SUMIFS(axTER!$E$121:$E$128,axTER!$C$121:$C$128,KE531,axTER!$D$121:$D$128,KY531),SUMIFS(axTER!$E$133:$E$138,axTER!$C$133:$C$138,KY531)*KX$510)*$D$514/10^6</f>
        <v>118.66181303465817</v>
      </c>
      <c r="KV531" s="274">
        <f>$H531*IF(KZ531&lt;&gt;KF531,SUMIFS(axTER!$E$142:$E$148,axTER!$C$142:$C$148,KZ531),SUMIFS(axTER!$E$151:$E$157,axTER!$C$151:$C$157,KZ531)*KX$510)/10^6*$D$514</f>
        <v>85.832044761736086</v>
      </c>
      <c r="KW531" s="275" t="s">
        <v>253</v>
      </c>
      <c r="KX531" s="161" t="s">
        <v>265</v>
      </c>
      <c r="KY531" s="161" t="s">
        <v>266</v>
      </c>
      <c r="KZ531" s="161" t="s">
        <v>258</v>
      </c>
      <c r="LA531" s="276">
        <f>$H531*SUMIFS(axTER!$E$65:$E$105,axTER!$D$65:$D$105,KY531,axTER!$C$65:$C$105,KW531)/SUMIFS(axTER!$E$108:$E$114,axTER!$C$108:$C$114,KZ531)/10^9*$D$514</f>
        <v>0.28478835128317959</v>
      </c>
      <c r="LC531" s="269">
        <v>400</v>
      </c>
      <c r="LD531" s="66" t="s">
        <v>253</v>
      </c>
      <c r="LE531" s="66" t="s">
        <v>265</v>
      </c>
      <c r="LF531" s="66" t="s">
        <v>266</v>
      </c>
      <c r="LG531" s="66" t="s">
        <v>256</v>
      </c>
      <c r="LH531" s="272">
        <f>$H531*SUMIFS(axTER!$E$65:$E$105,axTER!$C$65:$C$105,LD531,axTER!$D$65:$D$105,LF531)/SUMIFS(axTER!$E$108:$E$114,axTER!$C$108:$C$114,LG531)/10^9*$D$514</f>
        <v>0.29977721187703116</v>
      </c>
      <c r="LJ531" s="273" t="str">
        <f t="shared" si="1013"/>
        <v>URBAIN</v>
      </c>
      <c r="LK531" s="273">
        <f t="shared" si="1017"/>
        <v>0</v>
      </c>
      <c r="LL531" s="273">
        <f>$H531*IF(LP531&lt;&gt;LF531,SUMIFS(axTER!$E$121:$E$128,axTER!$C$121:$C$128,LF531,axTER!$D$121:$D$128,LP531),SUMIFS(axTER!$E$133:$E$138,axTER!$C$133:$C$138,LP531)*LO$510)*$D$514/10^6</f>
        <v>41.531634562130357</v>
      </c>
      <c r="LM531" s="274">
        <f>$H531*IF(LQ531&lt;&gt;LG531,SUMIFS(axTER!$E$142:$E$148,axTER!$C$142:$C$148,LQ531),SUMIFS(axTER!$E$151:$E$157,axTER!$C$151:$C$157,LQ531)*LO$510)/10^6*$D$514</f>
        <v>122.6172068024801</v>
      </c>
      <c r="LN531" s="275" t="s">
        <v>253</v>
      </c>
      <c r="LO531" s="161" t="s">
        <v>265</v>
      </c>
      <c r="LP531" s="161" t="s">
        <v>266</v>
      </c>
      <c r="LQ531" s="161" t="s">
        <v>258</v>
      </c>
      <c r="LR531" s="276">
        <f>$H531*SUMIFS(axTER!$E$65:$E$105,axTER!$D$65:$D$105,LP531,axTER!$C$65:$C$105,LN531)/SUMIFS(axTER!$E$108:$E$114,axTER!$C$108:$C$114,LQ531)/10^9*$D$514</f>
        <v>0.28478835128317959</v>
      </c>
      <c r="LT531" s="273">
        <f t="shared" si="1014"/>
        <v>0</v>
      </c>
      <c r="LU531" s="273">
        <f t="shared" si="1015"/>
        <v>0</v>
      </c>
      <c r="LV531" s="273">
        <f>$H531*IF(LZ531&lt;&gt;LP531,SUMIFS(axTER!$E$121:$E$128,axTER!$C$121:$C$128,LP531,axTER!$D$121:$D$128,LZ531),SUMIFS(axTER!$E$133:$E$138,axTER!$C$133:$C$138,LZ531)*LY$510)*$D$514/10^6</f>
        <v>59.330906517329083</v>
      </c>
      <c r="LW531" s="274">
        <f>$H531*IF(MA531&lt;&gt;LQ531,SUMIFS(axTER!$E$142:$E$148,axTER!$C$142:$C$148,MA531),SUMIFS(axTER!$E$151:$E$157,axTER!$C$151:$C$157,MA531)*LY$510)/10^6*$D$514</f>
        <v>42.916022380868043</v>
      </c>
      <c r="LX531" s="275" t="s">
        <v>253</v>
      </c>
      <c r="LY531" s="161" t="s">
        <v>265</v>
      </c>
      <c r="LZ531" s="161" t="s">
        <v>266</v>
      </c>
      <c r="MA531" s="161" t="s">
        <v>258</v>
      </c>
      <c r="MB531" s="276">
        <f>$H531*SUMIFS(axTER!$E$65:$E$105,axTER!$D$65:$D$105,LZ531,axTER!$C$65:$C$105,LX531)/SUMIFS(axTER!$E$108:$E$114,axTER!$C$108:$C$114,MA531)/10^9*$D$514</f>
        <v>0.28478835128317959</v>
      </c>
      <c r="MD531" s="273">
        <f t="shared" si="1007"/>
        <v>0</v>
      </c>
      <c r="ME531" s="273">
        <f t="shared" si="1016"/>
        <v>0</v>
      </c>
      <c r="MF531" s="273">
        <f>$H531*IF(MJ531&lt;&gt;LZ531,SUMIFS(axTER!$E$121:$E$128,axTER!$C$121:$C$128,LZ531,axTER!$D$121:$D$128,MJ531),SUMIFS(axTER!$E$133:$E$138,axTER!$C$133:$C$138,MJ531)*MI$510)*$D$514/10^6</f>
        <v>59.330906517329083</v>
      </c>
      <c r="MG531" s="274">
        <f>$H531*IF(MK531&lt;&gt;MA531,SUMIFS(axTER!$E$142:$E$148,axTER!$C$142:$C$148,MK531),SUMIFS(axTER!$E$151:$E$157,axTER!$C$151:$C$157,MK531)*MI$510)/10^6*$D$514</f>
        <v>42.916022380868043</v>
      </c>
      <c r="MH531" s="275" t="s">
        <v>253</v>
      </c>
      <c r="MI531" s="161" t="s">
        <v>265</v>
      </c>
      <c r="MJ531" s="161" t="s">
        <v>266</v>
      </c>
      <c r="MK531" s="161" t="s">
        <v>258</v>
      </c>
      <c r="ML531" s="276">
        <f>$H531*SUMIFS(axTER!$E$65:$E$105,axTER!$D$65:$D$105,MJ531,axTER!$C$65:$C$105,MH531)/SUMIFS(axTER!$E$108:$E$114,axTER!$C$108:$C$114,MK531)/10^9*$D$514</f>
        <v>0.28478835128317959</v>
      </c>
    </row>
    <row r="532" spans="3:350" outlineLevel="1" x14ac:dyDescent="0.3">
      <c r="C532" s="267"/>
      <c r="D532" s="69"/>
      <c r="E532" s="69"/>
      <c r="F532" s="266"/>
      <c r="H532" s="269">
        <v>400</v>
      </c>
      <c r="I532" s="66" t="s">
        <v>253</v>
      </c>
      <c r="J532" s="66" t="s">
        <v>265</v>
      </c>
      <c r="K532" s="66" t="s">
        <v>255</v>
      </c>
      <c r="L532" s="66" t="s">
        <v>267</v>
      </c>
      <c r="M532" s="272">
        <f>$H532*SUMIFS(axTER!$E$65:$E$105,axTER!$C$65:$C$105,I532,axTER!$D$65:$D$105,K532)/SUMIFS(axTER!$E$108:$E$114,axTER!$C$108:$C$114,L532)/10^9*$D$514</f>
        <v>0.6328630028515102</v>
      </c>
      <c r="S532" s="269">
        <v>400</v>
      </c>
      <c r="T532" s="66" t="s">
        <v>253</v>
      </c>
      <c r="U532" s="66" t="s">
        <v>265</v>
      </c>
      <c r="V532" s="66" t="s">
        <v>255</v>
      </c>
      <c r="W532" s="66" t="s">
        <v>267</v>
      </c>
      <c r="X532" s="272">
        <f>$H532*SUMIFS(axTER!$E$65:$E$105,axTER!$C$65:$C$105,T532,axTER!$D$65:$D$105,V532)/SUMIFS(axTER!$E$108:$E$114,axTER!$C$108:$C$114,W532)/10^9*$D$514</f>
        <v>0.6328630028515102</v>
      </c>
      <c r="AB532" s="273">
        <f>$H532*IF(AF532&lt;&gt;K532,SUMIFS(axTER!$E$121:$E$128,axTER!$C$121:$C$128,K532,axTER!$D$121:$D$128,AF532),SUMIFS(axTER!$E$133:$E$138,axTER!$C$133:$C$138,AF532)*AE$510)*$D$514/10^6</f>
        <v>158.21575071287754</v>
      </c>
      <c r="AC532" s="274">
        <f>$H532*IF(AG532&lt;&gt;L532,SUMIFS(axTER!$E$142:$E$148,axTER!$C$142:$C$148,AG532),SUMIFS(axTER!$E$151:$E$157,axTER!$C$151:$C$157,AG532)*AE$510)/10^6*$D$514</f>
        <v>33.225307649704284</v>
      </c>
      <c r="AD532" s="275" t="s">
        <v>253</v>
      </c>
      <c r="AE532" s="161" t="s">
        <v>265</v>
      </c>
      <c r="AF532" s="161" t="s">
        <v>255</v>
      </c>
      <c r="AG532" s="161" t="s">
        <v>267</v>
      </c>
      <c r="AH532" s="276">
        <f>$H532*SUMIFS(axTER!$E$65:$E$105,axTER!$D$65:$D$105,AF532,axTER!$C$65:$C$105,AD532)/SUMIFS(axTER!$E$108:$E$114,axTER!$C$108:$C$114,AG532)/10^9*$D$514</f>
        <v>0.6328630028515102</v>
      </c>
      <c r="AV532" s="273">
        <f>$H532*IF(AZ532&lt;&gt;AF532,SUMIFS(axTER!$E$121:$E$128,axTER!$C$121:$C$128,AF532,axTER!$D$121:$D$128,AZ532),SUMIFS(axTER!$E$133:$E$138,axTER!$C$133:$C$138,AZ532)*AY$510)*$D$514/10^6</f>
        <v>316.43150142575507</v>
      </c>
      <c r="AW532" s="274">
        <f>$H532*IF(BA532&lt;&gt;AG532,SUMIFS(axTER!$E$142:$E$148,axTER!$C$142:$C$148,BA532),SUMIFS(axTER!$E$151:$E$157,axTER!$C$151:$C$157,BA532)*AY$510)/10^6*$D$514</f>
        <v>316.43150142575507</v>
      </c>
      <c r="AX532" s="275" t="s">
        <v>253</v>
      </c>
      <c r="AY532" s="161" t="s">
        <v>265</v>
      </c>
      <c r="AZ532" s="161" t="s">
        <v>255</v>
      </c>
      <c r="BA532" s="161" t="s">
        <v>261</v>
      </c>
      <c r="BB532" s="276">
        <f>$H532*SUMIFS(axTER!$E$65:$E$105,axTER!$D$65:$D$105,AZ532,axTER!$C$65:$C$105,AX532)/SUMIFS(axTER!$E$108:$E$114,axTER!$C$108:$C$114,BA532)/10^9*$D$514</f>
        <v>0.18985890085545304</v>
      </c>
      <c r="IG532" s="269">
        <v>400</v>
      </c>
      <c r="IH532" s="66" t="s">
        <v>253</v>
      </c>
      <c r="II532" s="66" t="s">
        <v>265</v>
      </c>
      <c r="IJ532" s="66" t="s">
        <v>255</v>
      </c>
      <c r="IK532" s="66" t="s">
        <v>267</v>
      </c>
      <c r="IL532" s="272">
        <f>$H532*SUMIFS(axTER!$E$65:$E$105,axTER!$C$65:$C$105,IH532,axTER!$D$65:$D$105,IJ532)/SUMIFS(axTER!$E$108:$E$114,axTER!$C$108:$C$114,IK532)/10^9*$D$514</f>
        <v>0.6328630028515102</v>
      </c>
      <c r="IO532" s="273">
        <f t="shared" si="1008"/>
        <v>400</v>
      </c>
      <c r="IP532" s="273">
        <f>$H532*IF(IT532&lt;&gt;IJ532,SUMIFS(axTER!$E$121:$E$128,axTER!$C$121:$C$128,IJ532,axTER!$D$121:$D$128,IT532),SUMIFS(axTER!$E$133:$E$138,axTER!$C$133:$C$138,IT532)*IS$510)*$D$514/10^6</f>
        <v>1779.9271955198724</v>
      </c>
      <c r="IQ532" s="274">
        <f>$H532*IF(IU532&lt;&gt;IK532,SUMIFS(axTER!$E$142:$E$148,axTER!$C$142:$C$148,IU532),SUMIFS(axTER!$E$151:$E$157,axTER!$C$151:$C$157,IU532)*IS$510)/10^6*$D$514</f>
        <v>71.197087820794891</v>
      </c>
      <c r="IR532" s="275" t="s">
        <v>253</v>
      </c>
      <c r="IS532" s="161" t="s">
        <v>265</v>
      </c>
      <c r="IT532" s="277" t="s">
        <v>257</v>
      </c>
      <c r="IU532" s="277" t="s">
        <v>256</v>
      </c>
      <c r="IV532" s="276">
        <f>$H532*SUMIFS(axTER!$E$65:$E$105,axTER!$D$65:$D$105,IT532,axTER!$C$65:$C$105,IR532)/SUMIFS(axTER!$E$108:$E$114,axTER!$C$108:$C$114,IU532)/10^9*$D$514</f>
        <v>0.20817861935904941</v>
      </c>
      <c r="JI532" s="273">
        <f t="shared" si="1009"/>
        <v>400</v>
      </c>
      <c r="JJ532" s="273">
        <f>$H532*IF(JN532&lt;&gt;IT532,SUMIFS(axTER!$E$121:$E$128,axTER!$C$121:$C$128,IT532,axTER!$D$121:$D$128,JN532),SUMIFS(axTER!$E$133:$E$138,axTER!$C$133:$C$138,JN532)*JM$510)*$D$514/10^6</f>
        <v>0</v>
      </c>
      <c r="JK532" s="274">
        <f>$H532*IF(JO532&lt;&gt;IU532,SUMIFS(axTER!$E$142:$E$148,axTER!$C$142:$C$148,JO532),SUMIFS(axTER!$E$151:$E$157,axTER!$C$151:$C$157,JO532)*JM$510)/10^6*$D$514</f>
        <v>94.929450427726522</v>
      </c>
      <c r="JL532" s="275" t="s">
        <v>253</v>
      </c>
      <c r="JM532" s="161" t="s">
        <v>265</v>
      </c>
      <c r="JN532" s="161" t="s">
        <v>255</v>
      </c>
      <c r="JO532" s="161" t="s">
        <v>267</v>
      </c>
      <c r="JP532" s="276">
        <f>$H532*SUMIFS(axTER!$E$65:$E$105,axTER!$D$65:$D$105,JN532,axTER!$C$65:$C$105,JL532)/SUMIFS(axTER!$E$108:$E$114,axTER!$C$108:$C$114,JO532)/10^9*$D$514</f>
        <v>0.6328630028515102</v>
      </c>
      <c r="JR532" s="269">
        <v>400</v>
      </c>
      <c r="JS532" s="66" t="s">
        <v>253</v>
      </c>
      <c r="JT532" s="66" t="s">
        <v>265</v>
      </c>
      <c r="JU532" s="66" t="s">
        <v>255</v>
      </c>
      <c r="JV532" s="66" t="s">
        <v>267</v>
      </c>
      <c r="JW532" s="272">
        <f>$H532*SUMIFS(axTER!$E$65:$E$105,axTER!$C$65:$C$105,JS532,axTER!$D$65:$D$105,JU532)/SUMIFS(axTER!$E$108:$E$114,axTER!$C$108:$C$114,JV532)/10^9*$D$514</f>
        <v>0.6328630028515102</v>
      </c>
      <c r="JY532" s="273" t="str">
        <f t="shared" si="1010"/>
        <v>ELEC-PAC</v>
      </c>
      <c r="JZ532" s="273">
        <f t="shared" si="1005"/>
        <v>400</v>
      </c>
      <c r="KA532" s="273">
        <f>$H532*IF(KE532&lt;&gt;JU532,SUMIFS(axTER!$E$121:$E$128,axTER!$C$121:$C$128,JU532,axTER!$D$121:$D$128,KE532),SUMIFS(axTER!$E$133:$E$138,axTER!$C$133:$C$138,KE532)*KD$510)*$D$514/10^6</f>
        <v>395.53937678219381</v>
      </c>
      <c r="KB532" s="274">
        <f>$H532*IF(KF532&lt;&gt;JV532,SUMIFS(axTER!$E$142:$E$148,axTER!$C$142:$C$148,KF532),SUMIFS(axTER!$E$151:$E$157,axTER!$C$151:$C$157,KF532)*KD$510)/10^6*$D$514</f>
        <v>316.43150142575507</v>
      </c>
      <c r="KC532" s="275" t="s">
        <v>253</v>
      </c>
      <c r="KD532" s="161" t="s">
        <v>265</v>
      </c>
      <c r="KE532" s="161" t="s">
        <v>262</v>
      </c>
      <c r="KF532" s="161" t="s">
        <v>261</v>
      </c>
      <c r="KG532" s="276">
        <f>$H532*SUMIFS(axTER!$E$65:$E$105,axTER!$D$65:$D$105,KE532,axTER!$C$65:$C$105,KC532)/SUMIFS(axTER!$E$108:$E$114,axTER!$C$108:$C$114,KF532)/10^9*$D$514</f>
        <v>0.15821575071287755</v>
      </c>
      <c r="KS532" s="273">
        <f t="shared" si="1011"/>
        <v>0</v>
      </c>
      <c r="KT532" s="273">
        <f t="shared" si="1012"/>
        <v>0</v>
      </c>
      <c r="KU532" s="273">
        <f>$H532*IF(KY532&lt;&gt;KE532,SUMIFS(axTER!$E$121:$E$128,axTER!$C$121:$C$128,KE532,axTER!$D$121:$D$128,KY532),SUMIFS(axTER!$E$133:$E$138,axTER!$C$133:$C$138,KY532)*KX$510)*$D$514/10^6</f>
        <v>118.66181303465817</v>
      </c>
      <c r="KV532" s="274">
        <f>$H532*IF(KZ532&lt;&gt;KF532,SUMIFS(axTER!$E$142:$E$148,axTER!$C$142:$C$148,KZ532),SUMIFS(axTER!$E$151:$E$157,axTER!$C$151:$C$157,KZ532)*KX$510)/10^6*$D$514</f>
        <v>221.50205099802861</v>
      </c>
      <c r="KW532" s="275" t="s">
        <v>253</v>
      </c>
      <c r="KX532" s="161" t="s">
        <v>265</v>
      </c>
      <c r="KY532" s="161" t="s">
        <v>262</v>
      </c>
      <c r="KZ532" s="161" t="s">
        <v>261</v>
      </c>
      <c r="LA532" s="276">
        <f>$H532*SUMIFS(axTER!$E$65:$E$105,axTER!$D$65:$D$105,KY532,axTER!$C$65:$C$105,KW532)/SUMIFS(axTER!$E$108:$E$114,axTER!$C$108:$C$114,KZ532)/10^9*$D$514</f>
        <v>0.15821575071287755</v>
      </c>
      <c r="LC532" s="269">
        <v>400</v>
      </c>
      <c r="LD532" s="66" t="s">
        <v>253</v>
      </c>
      <c r="LE532" s="66" t="s">
        <v>265</v>
      </c>
      <c r="LF532" s="66" t="s">
        <v>255</v>
      </c>
      <c r="LG532" s="66" t="s">
        <v>267</v>
      </c>
      <c r="LH532" s="272">
        <f>$H532*SUMIFS(axTER!$E$65:$E$105,axTER!$C$65:$C$105,LD532,axTER!$D$65:$D$105,LF532)/SUMIFS(axTER!$E$108:$E$114,axTER!$C$108:$C$114,LG532)/10^9*$D$514</f>
        <v>0.6328630028515102</v>
      </c>
      <c r="LJ532" s="273" t="str">
        <f t="shared" si="1013"/>
        <v>ELEC-PAC</v>
      </c>
      <c r="LK532" s="273">
        <f t="shared" si="1017"/>
        <v>0</v>
      </c>
      <c r="LL532" s="273">
        <f>$H532*IF(LP532&lt;&gt;LF532,SUMIFS(axTER!$E$121:$E$128,axTER!$C$121:$C$128,LF532,axTER!$D$121:$D$128,LP532),SUMIFS(axTER!$E$133:$E$138,axTER!$C$133:$C$138,LP532)*LO$510)*$D$514/10^6</f>
        <v>110.75102549901429</v>
      </c>
      <c r="LM532" s="274">
        <f>$H532*IF(LQ532&lt;&gt;LG532,SUMIFS(axTER!$E$142:$E$148,axTER!$C$142:$C$148,LQ532),SUMIFS(axTER!$E$151:$E$157,axTER!$C$151:$C$157,LQ532)*LO$510)/10^6*$D$514</f>
        <v>316.43150142575507</v>
      </c>
      <c r="LN532" s="275" t="s">
        <v>253</v>
      </c>
      <c r="LO532" s="161" t="s">
        <v>265</v>
      </c>
      <c r="LP532" s="161" t="s">
        <v>255</v>
      </c>
      <c r="LQ532" s="161" t="s">
        <v>261</v>
      </c>
      <c r="LR532" s="276">
        <f>$H532*SUMIFS(axTER!$E$65:$E$105,axTER!$D$65:$D$105,LP532,axTER!$C$65:$C$105,LN532)/SUMIFS(axTER!$E$108:$E$114,axTER!$C$108:$C$114,LQ532)/10^9*$D$514</f>
        <v>0.18985890085545304</v>
      </c>
      <c r="LT532" s="273">
        <f t="shared" si="1014"/>
        <v>0</v>
      </c>
      <c r="LU532" s="273">
        <f t="shared" si="1015"/>
        <v>0</v>
      </c>
      <c r="LV532" s="273">
        <f>$H532*IF(LZ532&lt;&gt;LP532,SUMIFS(axTER!$E$121:$E$128,axTER!$C$121:$C$128,LP532,axTER!$D$121:$D$128,LZ532),SUMIFS(axTER!$E$133:$E$138,axTER!$C$133:$C$138,LZ532)*LY$510)*$D$514/10^6</f>
        <v>158.21575071287754</v>
      </c>
      <c r="LW532" s="274">
        <f>$H532*IF(MA532&lt;&gt;LQ532,SUMIFS(axTER!$E$142:$E$148,axTER!$C$142:$C$148,MA532),SUMIFS(axTER!$E$151:$E$157,axTER!$C$151:$C$157,MA532)*LY$510)/10^6*$D$514</f>
        <v>110.7510254990143</v>
      </c>
      <c r="LX532" s="275" t="s">
        <v>253</v>
      </c>
      <c r="LY532" s="161" t="s">
        <v>265</v>
      </c>
      <c r="LZ532" s="161" t="s">
        <v>255</v>
      </c>
      <c r="MA532" s="161" t="s">
        <v>261</v>
      </c>
      <c r="MB532" s="276">
        <f>$H532*SUMIFS(axTER!$E$65:$E$105,axTER!$D$65:$D$105,LZ532,axTER!$C$65:$C$105,LX532)/SUMIFS(axTER!$E$108:$E$114,axTER!$C$108:$C$114,MA532)/10^9*$D$514</f>
        <v>0.18985890085545304</v>
      </c>
      <c r="MD532" s="273">
        <f t="shared" si="1007"/>
        <v>0</v>
      </c>
      <c r="ME532" s="273">
        <f t="shared" si="1016"/>
        <v>0</v>
      </c>
      <c r="MF532" s="273">
        <f>$H532*IF(MJ532&lt;&gt;LZ532,SUMIFS(axTER!$E$121:$E$128,axTER!$C$121:$C$128,LZ532,axTER!$D$121:$D$128,MJ532),SUMIFS(axTER!$E$133:$E$138,axTER!$C$133:$C$138,MJ532)*MI$510)*$D$514/10^6</f>
        <v>158.21575071287754</v>
      </c>
      <c r="MG532" s="274">
        <f>$H532*IF(MK532&lt;&gt;MA532,SUMIFS(axTER!$E$142:$E$148,axTER!$C$142:$C$148,MK532),SUMIFS(axTER!$E$151:$E$157,axTER!$C$151:$C$157,MK532)*MI$510)/10^6*$D$514</f>
        <v>110.7510254990143</v>
      </c>
      <c r="MH532" s="275" t="s">
        <v>253</v>
      </c>
      <c r="MI532" s="161" t="s">
        <v>265</v>
      </c>
      <c r="MJ532" s="161" t="s">
        <v>255</v>
      </c>
      <c r="MK532" s="161" t="s">
        <v>261</v>
      </c>
      <c r="ML532" s="276">
        <f>$H532*SUMIFS(axTER!$E$65:$E$105,axTER!$D$65:$D$105,MJ532,axTER!$C$65:$C$105,MH532)/SUMIFS(axTER!$E$108:$E$114,axTER!$C$108:$C$114,MK532)/10^9*$D$514</f>
        <v>0.18985890085545304</v>
      </c>
    </row>
    <row r="533" spans="3:350" outlineLevel="1" x14ac:dyDescent="0.3">
      <c r="C533" s="267"/>
      <c r="D533" s="69"/>
      <c r="E533" s="69"/>
      <c r="F533" s="266"/>
      <c r="H533" s="269">
        <v>400</v>
      </c>
      <c r="I533" s="66" t="s">
        <v>253</v>
      </c>
      <c r="J533" s="66" t="s">
        <v>265</v>
      </c>
      <c r="K533" s="66" t="s">
        <v>255</v>
      </c>
      <c r="L533" s="66" t="s">
        <v>267</v>
      </c>
      <c r="M533" s="272">
        <f>$H533*SUMIFS(axTER!$E$65:$E$105,axTER!$C$65:$C$105,I533,axTER!$D$65:$D$105,K533)/SUMIFS(axTER!$E$108:$E$114,axTER!$C$108:$C$114,L533)/10^9*$D$514</f>
        <v>0.6328630028515102</v>
      </c>
      <c r="S533" s="269">
        <v>400</v>
      </c>
      <c r="T533" s="66" t="s">
        <v>253</v>
      </c>
      <c r="U533" s="66" t="s">
        <v>265</v>
      </c>
      <c r="V533" s="66" t="s">
        <v>255</v>
      </c>
      <c r="W533" s="66" t="s">
        <v>267</v>
      </c>
      <c r="X533" s="272">
        <f>$H533*SUMIFS(axTER!$E$65:$E$105,axTER!$C$65:$C$105,T533,axTER!$D$65:$D$105,V533)/SUMIFS(axTER!$E$108:$E$114,axTER!$C$108:$C$114,W533)/10^9*$D$514</f>
        <v>0.6328630028515102</v>
      </c>
      <c r="AB533" s="273">
        <f>$H533*IF(AF533&lt;&gt;K533,SUMIFS(axTER!$E$121:$E$128,axTER!$C$121:$C$128,K533,axTER!$D$121:$D$128,AF533),SUMIFS(axTER!$E$133:$E$138,axTER!$C$133:$C$138,AF533)*AE$510)*$D$514/10^6</f>
        <v>158.21575071287754</v>
      </c>
      <c r="AC533" s="274">
        <f>$H533*IF(AG533&lt;&gt;L533,SUMIFS(axTER!$E$142:$E$148,axTER!$C$142:$C$148,AG533),SUMIFS(axTER!$E$151:$E$157,axTER!$C$151:$C$157,AG533)*AE$510)/10^6*$D$514</f>
        <v>33.225307649704284</v>
      </c>
      <c r="AD533" s="275" t="s">
        <v>253</v>
      </c>
      <c r="AE533" s="161" t="s">
        <v>265</v>
      </c>
      <c r="AF533" s="161" t="s">
        <v>255</v>
      </c>
      <c r="AG533" s="161" t="s">
        <v>267</v>
      </c>
      <c r="AH533" s="276">
        <f>$H533*SUMIFS(axTER!$E$65:$E$105,axTER!$D$65:$D$105,AF533,axTER!$C$65:$C$105,AD533)/SUMIFS(axTER!$E$108:$E$114,axTER!$C$108:$C$114,AG533)/10^9*$D$514</f>
        <v>0.6328630028515102</v>
      </c>
      <c r="AV533" s="273">
        <f>$H533*IF(AZ533&lt;&gt;AF533,SUMIFS(axTER!$E$121:$E$128,axTER!$C$121:$C$128,AF533,axTER!$D$121:$D$128,AZ533),SUMIFS(axTER!$E$133:$E$138,axTER!$C$133:$C$138,AZ533)*AY$510)*$D$514/10^6</f>
        <v>316.43150142575507</v>
      </c>
      <c r="AW533" s="274">
        <f>$H533*IF(BA533&lt;&gt;AG533,SUMIFS(axTER!$E$142:$E$148,axTER!$C$142:$C$148,BA533),SUMIFS(axTER!$E$151:$E$157,axTER!$C$151:$C$157,BA533)*AY$510)/10^6*$D$514</f>
        <v>316.43150142575507</v>
      </c>
      <c r="AX533" s="275" t="s">
        <v>253</v>
      </c>
      <c r="AY533" s="161" t="s">
        <v>265</v>
      </c>
      <c r="AZ533" s="161" t="s">
        <v>255</v>
      </c>
      <c r="BA533" s="161" t="s">
        <v>261</v>
      </c>
      <c r="BB533" s="276">
        <f>$H533*SUMIFS(axTER!$E$65:$E$105,axTER!$D$65:$D$105,AZ533,axTER!$C$65:$C$105,AX533)/SUMIFS(axTER!$E$108:$E$114,axTER!$C$108:$C$114,BA533)/10^9*$D$514</f>
        <v>0.18985890085545304</v>
      </c>
      <c r="IG533" s="269">
        <v>400</v>
      </c>
      <c r="IH533" s="66" t="s">
        <v>253</v>
      </c>
      <c r="II533" s="66" t="s">
        <v>265</v>
      </c>
      <c r="IJ533" s="66" t="s">
        <v>255</v>
      </c>
      <c r="IK533" s="66" t="s">
        <v>267</v>
      </c>
      <c r="IL533" s="272">
        <f>$H533*SUMIFS(axTER!$E$65:$E$105,axTER!$C$65:$C$105,IH533,axTER!$D$65:$D$105,IJ533)/SUMIFS(axTER!$E$108:$E$114,axTER!$C$108:$C$114,IK533)/10^9*$D$514</f>
        <v>0.6328630028515102</v>
      </c>
      <c r="IO533" s="273">
        <f t="shared" si="1008"/>
        <v>0</v>
      </c>
      <c r="IP533" s="273">
        <f>$H533*IF(IT533&lt;&gt;IJ533,SUMIFS(axTER!$E$121:$E$128,axTER!$C$121:$C$128,IJ533,axTER!$D$121:$D$128,IT533),SUMIFS(axTER!$E$133:$E$138,axTER!$C$133:$C$138,IT533)*IS$510)*$D$514/10^6</f>
        <v>158.21575071287754</v>
      </c>
      <c r="IQ533" s="274">
        <f>$H533*IF(IU533&lt;&gt;IK533,SUMIFS(axTER!$E$142:$E$148,axTER!$C$142:$C$148,IU533),SUMIFS(axTER!$E$151:$E$157,axTER!$C$151:$C$157,IU533)*IS$510)/10^6*$D$514</f>
        <v>33.225307649704284</v>
      </c>
      <c r="IR533" s="275" t="s">
        <v>253</v>
      </c>
      <c r="IS533" s="161" t="s">
        <v>265</v>
      </c>
      <c r="IT533" s="161" t="s">
        <v>255</v>
      </c>
      <c r="IU533" s="161" t="s">
        <v>267</v>
      </c>
      <c r="IV533" s="276">
        <f>$H533*SUMIFS(axTER!$E$65:$E$105,axTER!$D$65:$D$105,IT533,axTER!$C$65:$C$105,IR533)/SUMIFS(axTER!$E$108:$E$114,axTER!$C$108:$C$114,IU533)/10^9*$D$514</f>
        <v>0.6328630028515102</v>
      </c>
      <c r="JI533" s="273">
        <f t="shared" si="1009"/>
        <v>0</v>
      </c>
      <c r="JJ533" s="273">
        <f>$H533*IF(JN533&lt;&gt;IT533,SUMIFS(axTER!$E$121:$E$128,axTER!$C$121:$C$128,IT533,axTER!$D$121:$D$128,JN533),SUMIFS(axTER!$E$133:$E$138,axTER!$C$133:$C$138,JN533)*JM$510)*$D$514/10^6</f>
        <v>316.43150142575507</v>
      </c>
      <c r="JK533" s="274">
        <f>$H533*IF(JO533&lt;&gt;IU533,SUMIFS(axTER!$E$142:$E$148,axTER!$C$142:$C$148,JO533),SUMIFS(axTER!$E$151:$E$157,axTER!$C$151:$C$157,JO533)*JM$510)/10^6*$D$514</f>
        <v>66.450615299408568</v>
      </c>
      <c r="JL533" s="275" t="s">
        <v>253</v>
      </c>
      <c r="JM533" s="161" t="s">
        <v>265</v>
      </c>
      <c r="JN533" s="161" t="s">
        <v>255</v>
      </c>
      <c r="JO533" s="161" t="s">
        <v>267</v>
      </c>
      <c r="JP533" s="276">
        <f>$H533*SUMIFS(axTER!$E$65:$E$105,axTER!$D$65:$D$105,JN533,axTER!$C$65:$C$105,JL533)/SUMIFS(axTER!$E$108:$E$114,axTER!$C$108:$C$114,JO533)/10^9*$D$514</f>
        <v>0.6328630028515102</v>
      </c>
      <c r="JR533" s="269">
        <v>400</v>
      </c>
      <c r="JS533" s="66" t="s">
        <v>253</v>
      </c>
      <c r="JT533" s="66" t="s">
        <v>265</v>
      </c>
      <c r="JU533" s="66" t="s">
        <v>255</v>
      </c>
      <c r="JV533" s="66" t="s">
        <v>267</v>
      </c>
      <c r="JW533" s="272">
        <f>$H533*SUMIFS(axTER!$E$65:$E$105,axTER!$C$65:$C$105,JS533,axTER!$D$65:$D$105,JU533)/SUMIFS(axTER!$E$108:$E$114,axTER!$C$108:$C$114,JV533)/10^9*$D$514</f>
        <v>0.6328630028515102</v>
      </c>
      <c r="JY533" s="273" t="str">
        <f t="shared" si="1010"/>
        <v>ELEC-PAC</v>
      </c>
      <c r="JZ533" s="273">
        <f t="shared" si="1005"/>
        <v>400</v>
      </c>
      <c r="KA533" s="273">
        <f>$H533*IF(KE533&lt;&gt;JU533,SUMIFS(axTER!$E$121:$E$128,axTER!$C$121:$C$128,JU533,axTER!$D$121:$D$128,KE533),SUMIFS(axTER!$E$133:$E$138,axTER!$C$133:$C$138,KE533)*KD$510)*$D$514/10^6</f>
        <v>395.53937678219381</v>
      </c>
      <c r="KB533" s="274">
        <f>$H533*IF(KF533&lt;&gt;JV533,SUMIFS(axTER!$E$142:$E$148,axTER!$C$142:$C$148,KF533),SUMIFS(axTER!$E$151:$E$157,axTER!$C$151:$C$157,KF533)*KD$510)/10^6*$D$514</f>
        <v>316.43150142575507</v>
      </c>
      <c r="KC533" s="275" t="s">
        <v>253</v>
      </c>
      <c r="KD533" s="161" t="s">
        <v>265</v>
      </c>
      <c r="KE533" s="161" t="s">
        <v>262</v>
      </c>
      <c r="KF533" s="161" t="s">
        <v>261</v>
      </c>
      <c r="KG533" s="276">
        <f>$H533*SUMIFS(axTER!$E$65:$E$105,axTER!$D$65:$D$105,KE533,axTER!$C$65:$C$105,KC533)/SUMIFS(axTER!$E$108:$E$114,axTER!$C$108:$C$114,KF533)/10^9*$D$514</f>
        <v>0.15821575071287755</v>
      </c>
      <c r="KS533" s="273">
        <f t="shared" si="1011"/>
        <v>0</v>
      </c>
      <c r="KT533" s="273">
        <f t="shared" si="1012"/>
        <v>0</v>
      </c>
      <c r="KU533" s="273">
        <f>$H533*IF(KY533&lt;&gt;KE533,SUMIFS(axTER!$E$121:$E$128,axTER!$C$121:$C$128,KE533,axTER!$D$121:$D$128,KY533),SUMIFS(axTER!$E$133:$E$138,axTER!$C$133:$C$138,KY533)*KX$510)*$D$514/10^6</f>
        <v>118.66181303465817</v>
      </c>
      <c r="KV533" s="274">
        <f>$H533*IF(KZ533&lt;&gt;KF533,SUMIFS(axTER!$E$142:$E$148,axTER!$C$142:$C$148,KZ533),SUMIFS(axTER!$E$151:$E$157,axTER!$C$151:$C$157,KZ533)*KX$510)/10^6*$D$514</f>
        <v>221.50205099802861</v>
      </c>
      <c r="KW533" s="275" t="s">
        <v>253</v>
      </c>
      <c r="KX533" s="161" t="s">
        <v>265</v>
      </c>
      <c r="KY533" s="161" t="s">
        <v>262</v>
      </c>
      <c r="KZ533" s="161" t="s">
        <v>261</v>
      </c>
      <c r="LA533" s="276">
        <f>$H533*SUMIFS(axTER!$E$65:$E$105,axTER!$D$65:$D$105,KY533,axTER!$C$65:$C$105,KW533)/SUMIFS(axTER!$E$108:$E$114,axTER!$C$108:$C$114,KZ533)/10^9*$D$514</f>
        <v>0.15821575071287755</v>
      </c>
      <c r="LC533" s="269">
        <v>400</v>
      </c>
      <c r="LD533" s="66" t="s">
        <v>253</v>
      </c>
      <c r="LE533" s="66" t="s">
        <v>265</v>
      </c>
      <c r="LF533" s="66" t="s">
        <v>255</v>
      </c>
      <c r="LG533" s="66" t="s">
        <v>267</v>
      </c>
      <c r="LH533" s="272">
        <f>$H533*SUMIFS(axTER!$E$65:$E$105,axTER!$C$65:$C$105,LD533,axTER!$D$65:$D$105,LF533)/SUMIFS(axTER!$E$108:$E$114,axTER!$C$108:$C$114,LG533)/10^9*$D$514</f>
        <v>0.6328630028515102</v>
      </c>
      <c r="LJ533" s="273" t="str">
        <f t="shared" si="1013"/>
        <v>ELEC-PAC</v>
      </c>
      <c r="LK533" s="273">
        <f t="shared" si="1017"/>
        <v>0</v>
      </c>
      <c r="LL533" s="273">
        <f>$H533*IF(LP533&lt;&gt;LF533,SUMIFS(axTER!$E$121:$E$128,axTER!$C$121:$C$128,LF533,axTER!$D$121:$D$128,LP533),SUMIFS(axTER!$E$133:$E$138,axTER!$C$133:$C$138,LP533)*LO$510)*$D$514/10^6</f>
        <v>110.75102549901429</v>
      </c>
      <c r="LM533" s="274">
        <f>$H533*IF(LQ533&lt;&gt;LG533,SUMIFS(axTER!$E$142:$E$148,axTER!$C$142:$C$148,LQ533),SUMIFS(axTER!$E$151:$E$157,axTER!$C$151:$C$157,LQ533)*LO$510)/10^6*$D$514</f>
        <v>316.43150142575507</v>
      </c>
      <c r="LN533" s="275" t="s">
        <v>253</v>
      </c>
      <c r="LO533" s="161" t="s">
        <v>265</v>
      </c>
      <c r="LP533" s="161" t="s">
        <v>255</v>
      </c>
      <c r="LQ533" s="161" t="s">
        <v>261</v>
      </c>
      <c r="LR533" s="276">
        <f>$H533*SUMIFS(axTER!$E$65:$E$105,axTER!$D$65:$D$105,LP533,axTER!$C$65:$C$105,LN533)/SUMIFS(axTER!$E$108:$E$114,axTER!$C$108:$C$114,LQ533)/10^9*$D$514</f>
        <v>0.18985890085545304</v>
      </c>
      <c r="LT533" s="273">
        <f t="shared" si="1014"/>
        <v>0</v>
      </c>
      <c r="LU533" s="273">
        <f t="shared" si="1015"/>
        <v>0</v>
      </c>
      <c r="LV533" s="273">
        <f>$H533*IF(LZ533&lt;&gt;LP533,SUMIFS(axTER!$E$121:$E$128,axTER!$C$121:$C$128,LP533,axTER!$D$121:$D$128,LZ533),SUMIFS(axTER!$E$133:$E$138,axTER!$C$133:$C$138,LZ533)*LY$510)*$D$514/10^6</f>
        <v>158.21575071287754</v>
      </c>
      <c r="LW533" s="274">
        <f>$H533*IF(MA533&lt;&gt;LQ533,SUMIFS(axTER!$E$142:$E$148,axTER!$C$142:$C$148,MA533),SUMIFS(axTER!$E$151:$E$157,axTER!$C$151:$C$157,MA533)*LY$510)/10^6*$D$514</f>
        <v>110.7510254990143</v>
      </c>
      <c r="LX533" s="275" t="s">
        <v>253</v>
      </c>
      <c r="LY533" s="161" t="s">
        <v>265</v>
      </c>
      <c r="LZ533" s="161" t="s">
        <v>255</v>
      </c>
      <c r="MA533" s="161" t="s">
        <v>261</v>
      </c>
      <c r="MB533" s="276">
        <f>$H533*SUMIFS(axTER!$E$65:$E$105,axTER!$D$65:$D$105,LZ533,axTER!$C$65:$C$105,LX533)/SUMIFS(axTER!$E$108:$E$114,axTER!$C$108:$C$114,MA533)/10^9*$D$514</f>
        <v>0.18985890085545304</v>
      </c>
      <c r="MD533" s="273">
        <f t="shared" si="1007"/>
        <v>0</v>
      </c>
      <c r="ME533" s="273">
        <f t="shared" si="1016"/>
        <v>0</v>
      </c>
      <c r="MF533" s="273">
        <f>$H533*IF(MJ533&lt;&gt;LZ533,SUMIFS(axTER!$E$121:$E$128,axTER!$C$121:$C$128,LZ533,axTER!$D$121:$D$128,MJ533),SUMIFS(axTER!$E$133:$E$138,axTER!$C$133:$C$138,MJ533)*MI$510)*$D$514/10^6</f>
        <v>158.21575071287754</v>
      </c>
      <c r="MG533" s="274">
        <f>$H533*IF(MK533&lt;&gt;MA533,SUMIFS(axTER!$E$142:$E$148,axTER!$C$142:$C$148,MK533),SUMIFS(axTER!$E$151:$E$157,axTER!$C$151:$C$157,MK533)*MI$510)/10^6*$D$514</f>
        <v>110.7510254990143</v>
      </c>
      <c r="MH533" s="275" t="s">
        <v>253</v>
      </c>
      <c r="MI533" s="161" t="s">
        <v>265</v>
      </c>
      <c r="MJ533" s="161" t="s">
        <v>255</v>
      </c>
      <c r="MK533" s="161" t="s">
        <v>261</v>
      </c>
      <c r="ML533" s="276">
        <f>$H533*SUMIFS(axTER!$E$65:$E$105,axTER!$D$65:$D$105,MJ533,axTER!$C$65:$C$105,MH533)/SUMIFS(axTER!$E$108:$E$114,axTER!$C$108:$C$114,MK533)/10^9*$D$514</f>
        <v>0.18985890085545304</v>
      </c>
    </row>
    <row r="534" spans="3:350" hidden="1" outlineLevel="1" x14ac:dyDescent="0.3">
      <c r="C534" s="267"/>
      <c r="D534" s="69"/>
      <c r="E534" s="69"/>
      <c r="F534" s="266"/>
      <c r="H534" s="269">
        <v>400</v>
      </c>
      <c r="I534" s="66" t="s">
        <v>253</v>
      </c>
      <c r="J534" s="66" t="s">
        <v>265</v>
      </c>
      <c r="K534" s="66" t="s">
        <v>255</v>
      </c>
      <c r="L534" s="66" t="s">
        <v>260</v>
      </c>
      <c r="M534" s="272">
        <f>$H534*SUMIFS(axTER!$E$65:$E$105,axTER!$C$65:$C$105,I534,axTER!$D$65:$D$105,K534)/SUMIFS(axTER!$E$108:$E$114,axTER!$C$108:$C$114,L534)/10^9*$D$514</f>
        <v>0.6328630028515102</v>
      </c>
      <c r="S534" s="269">
        <v>400</v>
      </c>
      <c r="T534" s="66" t="s">
        <v>253</v>
      </c>
      <c r="U534" s="66" t="s">
        <v>265</v>
      </c>
      <c r="V534" s="66" t="s">
        <v>255</v>
      </c>
      <c r="W534" s="66" t="s">
        <v>260</v>
      </c>
      <c r="X534" s="272">
        <f>$H534*SUMIFS(axTER!$E$65:$E$105,axTER!$C$65:$C$105,T534,axTER!$D$65:$D$105,V534)/SUMIFS(axTER!$E$108:$E$114,axTER!$C$108:$C$114,W534)/10^9*$D$514</f>
        <v>0.6328630028515102</v>
      </c>
      <c r="AB534" s="273">
        <f>$H534*IF(AF534&lt;&gt;K534,SUMIFS(axTER!$E$121:$E$128,axTER!$C$121:$C$128,K534,axTER!$D$121:$D$128,AF534),SUMIFS(axTER!$E$133:$E$138,axTER!$C$133:$C$138,AF534)*AE$510)*$D$514/10^6</f>
        <v>158.21575071287754</v>
      </c>
      <c r="AC534" s="274">
        <f>$H534*IF(AG534&lt;&gt;L534,SUMIFS(axTER!$E$142:$E$148,axTER!$C$142:$C$148,AG534),SUMIFS(axTER!$E$151:$E$157,axTER!$C$151:$C$157,AG534)*AE$510)/10^6*$D$514</f>
        <v>13.843878187376788</v>
      </c>
      <c r="AD534" s="275" t="s">
        <v>253</v>
      </c>
      <c r="AE534" s="161" t="s">
        <v>265</v>
      </c>
      <c r="AF534" s="161" t="s">
        <v>255</v>
      </c>
      <c r="AG534" s="161" t="s">
        <v>260</v>
      </c>
      <c r="AH534" s="276">
        <f>$H534*SUMIFS(axTER!$E$65:$E$105,axTER!$D$65:$D$105,AF534,axTER!$C$65:$C$105,AD534)/SUMIFS(axTER!$E$108:$E$114,axTER!$C$108:$C$114,AG534)/10^9*$D$514</f>
        <v>0.6328630028515102</v>
      </c>
      <c r="AV534" s="273">
        <f>$H534*IF(AZ534&lt;&gt;AF534,SUMIFS(axTER!$E$121:$E$128,axTER!$C$121:$C$128,AF534,axTER!$D$121:$D$128,AZ534),SUMIFS(axTER!$E$133:$E$138,axTER!$C$133:$C$138,AZ534)*AY$510)*$D$514/10^6</f>
        <v>316.43150142575507</v>
      </c>
      <c r="AW534" s="274">
        <f>$H534*IF(BA534&lt;&gt;AG534,SUMIFS(axTER!$E$142:$E$148,axTER!$C$142:$C$148,BA534),SUMIFS(axTER!$E$151:$E$157,axTER!$C$151:$C$157,BA534)*AY$510)/10^6*$D$514</f>
        <v>316.43150142575507</v>
      </c>
      <c r="AX534" s="275" t="s">
        <v>253</v>
      </c>
      <c r="AY534" s="161" t="s">
        <v>265</v>
      </c>
      <c r="AZ534" s="161" t="s">
        <v>255</v>
      </c>
      <c r="BA534" s="161" t="s">
        <v>261</v>
      </c>
      <c r="BB534" s="276">
        <f>$H534*SUMIFS(axTER!$E$65:$E$105,axTER!$D$65:$D$105,AZ534,axTER!$C$65:$C$105,AX534)/SUMIFS(axTER!$E$108:$E$114,axTER!$C$108:$C$114,BA534)/10^9*$D$514</f>
        <v>0.18985890085545304</v>
      </c>
      <c r="IG534" s="269">
        <v>400</v>
      </c>
      <c r="IH534" s="66" t="s">
        <v>253</v>
      </c>
      <c r="II534" s="66" t="s">
        <v>265</v>
      </c>
      <c r="IJ534" s="66" t="s">
        <v>255</v>
      </c>
      <c r="IK534" s="66" t="s">
        <v>260</v>
      </c>
      <c r="IL534" s="272">
        <f>$H534*SUMIFS(axTER!$E$65:$E$105,axTER!$C$65:$C$105,IH534,axTER!$D$65:$D$105,IJ534)/SUMIFS(axTER!$E$108:$E$114,axTER!$C$108:$C$114,IK534)/10^9*$D$514</f>
        <v>0.6328630028515102</v>
      </c>
      <c r="IO534" s="273">
        <f t="shared" si="1008"/>
        <v>0</v>
      </c>
      <c r="IP534" s="273">
        <f>$H534*IF(IT534&lt;&gt;IJ534,SUMIFS(axTER!$E$121:$E$128,axTER!$C$121:$C$128,IJ534,axTER!$D$121:$D$128,IT534),SUMIFS(axTER!$E$133:$E$138,axTER!$C$133:$C$138,IT534)*IS$510)*$D$514/10^6</f>
        <v>158.21575071287754</v>
      </c>
      <c r="IQ534" s="274">
        <f>$H534*IF(IU534&lt;&gt;IK534,SUMIFS(axTER!$E$142:$E$148,axTER!$C$142:$C$148,IU534),SUMIFS(axTER!$E$151:$E$157,axTER!$C$151:$C$157,IU534)*IS$510)/10^6*$D$514</f>
        <v>13.843878187376788</v>
      </c>
      <c r="IR534" s="275" t="s">
        <v>253</v>
      </c>
      <c r="IS534" s="161" t="s">
        <v>265</v>
      </c>
      <c r="IT534" s="161" t="s">
        <v>255</v>
      </c>
      <c r="IU534" s="161" t="s">
        <v>260</v>
      </c>
      <c r="IV534" s="276">
        <f>$H534*SUMIFS(axTER!$E$65:$E$105,axTER!$D$65:$D$105,IT534,axTER!$C$65:$C$105,IR534)/SUMIFS(axTER!$E$108:$E$114,axTER!$C$108:$C$114,IU534)/10^9*$D$514</f>
        <v>0.6328630028515102</v>
      </c>
      <c r="JI534" s="273">
        <f t="shared" si="1009"/>
        <v>0</v>
      </c>
      <c r="JJ534" s="273">
        <f>$H534*IF(JN534&lt;&gt;IT534,SUMIFS(axTER!$E$121:$E$128,axTER!$C$121:$C$128,IT534,axTER!$D$121:$D$128,JN534),SUMIFS(axTER!$E$133:$E$138,axTER!$C$133:$C$138,JN534)*JM$510)*$D$514/10^6</f>
        <v>316.43150142575507</v>
      </c>
      <c r="JK534" s="274">
        <f>$H534*IF(JO534&lt;&gt;IU534,SUMIFS(axTER!$E$142:$E$148,axTER!$C$142:$C$148,JO534),SUMIFS(axTER!$E$151:$E$157,axTER!$C$151:$C$157,JO534)*JM$510)/10^6*$D$514</f>
        <v>27.687756374753576</v>
      </c>
      <c r="JL534" s="275" t="s">
        <v>253</v>
      </c>
      <c r="JM534" s="161" t="s">
        <v>265</v>
      </c>
      <c r="JN534" s="161" t="s">
        <v>255</v>
      </c>
      <c r="JO534" s="161" t="s">
        <v>260</v>
      </c>
      <c r="JP534" s="276">
        <f>$H534*SUMIFS(axTER!$E$65:$E$105,axTER!$D$65:$D$105,JN534,axTER!$C$65:$C$105,JL534)/SUMIFS(axTER!$E$108:$E$114,axTER!$C$108:$C$114,JO534)/10^9*$D$514</f>
        <v>0.6328630028515102</v>
      </c>
      <c r="JR534" s="269">
        <v>400</v>
      </c>
      <c r="JS534" s="66" t="s">
        <v>253</v>
      </c>
      <c r="JT534" s="66" t="s">
        <v>265</v>
      </c>
      <c r="JU534" s="66" t="s">
        <v>255</v>
      </c>
      <c r="JV534" s="66" t="s">
        <v>260</v>
      </c>
      <c r="JW534" s="272">
        <f>$H534*SUMIFS(axTER!$E$65:$E$105,axTER!$C$65:$C$105,JS534,axTER!$D$65:$D$105,JU534)/SUMIFS(axTER!$E$108:$E$114,axTER!$C$108:$C$114,JV534)/10^9*$D$514</f>
        <v>0.6328630028515102</v>
      </c>
      <c r="JY534" s="273">
        <f t="shared" si="1010"/>
        <v>0</v>
      </c>
      <c r="JZ534" s="273">
        <f t="shared" si="1005"/>
        <v>0</v>
      </c>
      <c r="KA534" s="273">
        <f>$H534*IF(KE534&lt;&gt;JU534,SUMIFS(axTER!$E$121:$E$128,axTER!$C$121:$C$128,JU534,axTER!$D$121:$D$128,KE534),SUMIFS(axTER!$E$133:$E$138,axTER!$C$133:$C$138,KE534)*KD$510)*$D$514/10^6</f>
        <v>110.75102549901429</v>
      </c>
      <c r="KB534" s="274">
        <f>$H534*IF(KF534&lt;&gt;JV534,SUMIFS(axTER!$E$142:$E$148,axTER!$C$142:$C$148,KF534),SUMIFS(axTER!$E$151:$E$157,axTER!$C$151:$C$157,KF534)*KD$510)/10^6*$D$514</f>
        <v>9.6907147311637516</v>
      </c>
      <c r="KC534" s="275" t="s">
        <v>253</v>
      </c>
      <c r="KD534" s="161" t="s">
        <v>265</v>
      </c>
      <c r="KE534" s="161" t="s">
        <v>255</v>
      </c>
      <c r="KF534" s="161" t="s">
        <v>260</v>
      </c>
      <c r="KG534" s="276">
        <f>$H534*SUMIFS(axTER!$E$65:$E$105,axTER!$D$65:$D$105,KE534,axTER!$C$65:$C$105,KC534)/SUMIFS(axTER!$E$108:$E$114,axTER!$C$108:$C$114,KF534)/10^9*$D$514</f>
        <v>0.6328630028515102</v>
      </c>
      <c r="KS534" s="273">
        <f t="shared" si="1011"/>
        <v>0</v>
      </c>
      <c r="KT534" s="273">
        <f t="shared" si="1012"/>
        <v>400</v>
      </c>
      <c r="KU534" s="273">
        <f>$H534*IF(KY534&lt;&gt;KE534,SUMIFS(axTER!$E$121:$E$128,axTER!$C$121:$C$128,KE534,axTER!$D$121:$D$128,KY534),SUMIFS(axTER!$E$133:$E$138,axTER!$C$133:$C$138,KY534)*KX$510)*$D$514/10^6</f>
        <v>395.53937678219381</v>
      </c>
      <c r="KV534" s="274">
        <f>$H534*IF(KZ534&lt;&gt;KF534,SUMIFS(axTER!$E$142:$E$148,axTER!$C$142:$C$148,KZ534),SUMIFS(axTER!$E$151:$E$157,axTER!$C$151:$C$157,KZ534)*KX$510)/10^6*$D$514</f>
        <v>27.687756374753576</v>
      </c>
      <c r="KW534" s="275" t="s">
        <v>253</v>
      </c>
      <c r="KX534" s="161" t="s">
        <v>265</v>
      </c>
      <c r="KY534" s="161" t="s">
        <v>262</v>
      </c>
      <c r="KZ534" s="161" t="s">
        <v>260</v>
      </c>
      <c r="LA534" s="276">
        <f>$H534*SUMIFS(axTER!$E$65:$E$105,axTER!$D$65:$D$105,KY534,axTER!$C$65:$C$105,KW534)/SUMIFS(axTER!$E$108:$E$114,axTER!$C$108:$C$114,KZ534)/10^9*$D$514</f>
        <v>0.52738583570959174</v>
      </c>
      <c r="LC534" s="269">
        <v>400</v>
      </c>
      <c r="LD534" s="66" t="s">
        <v>253</v>
      </c>
      <c r="LE534" s="66" t="s">
        <v>265</v>
      </c>
      <c r="LF534" s="66" t="s">
        <v>255</v>
      </c>
      <c r="LG534" s="66" t="s">
        <v>260</v>
      </c>
      <c r="LH534" s="272">
        <f>$H534*SUMIFS(axTER!$E$65:$E$105,axTER!$C$65:$C$105,LD534,axTER!$D$65:$D$105,LF534)/SUMIFS(axTER!$E$108:$E$114,axTER!$C$108:$C$114,LG534)/10^9*$D$514</f>
        <v>0.6328630028515102</v>
      </c>
      <c r="LJ534" s="273">
        <f t="shared" si="1013"/>
        <v>0</v>
      </c>
      <c r="LK534" s="273">
        <f t="shared" si="1017"/>
        <v>0</v>
      </c>
      <c r="LL534" s="273">
        <f>$H534*IF(LP534&lt;&gt;LF534,SUMIFS(axTER!$E$121:$E$128,axTER!$C$121:$C$128,LF534,axTER!$D$121:$D$128,LP534),SUMIFS(axTER!$E$133:$E$138,axTER!$C$133:$C$138,LP534)*LO$510)*$D$514/10^6</f>
        <v>110.75102549901429</v>
      </c>
      <c r="LM534" s="274">
        <f>$H534*IF(LQ534&lt;&gt;LG534,SUMIFS(axTER!$E$142:$E$148,axTER!$C$142:$C$148,LQ534),SUMIFS(axTER!$E$151:$E$157,axTER!$C$151:$C$157,LQ534)*LO$510)/10^6*$D$514</f>
        <v>9.6907147311637516</v>
      </c>
      <c r="LN534" s="275" t="s">
        <v>253</v>
      </c>
      <c r="LO534" s="161" t="s">
        <v>265</v>
      </c>
      <c r="LP534" s="161" t="s">
        <v>255</v>
      </c>
      <c r="LQ534" s="161" t="s">
        <v>260</v>
      </c>
      <c r="LR534" s="276">
        <f>$H534*SUMIFS(axTER!$E$65:$E$105,axTER!$D$65:$D$105,LP534,axTER!$C$65:$C$105,LN534)/SUMIFS(axTER!$E$108:$E$114,axTER!$C$108:$C$114,LQ534)/10^9*$D$514</f>
        <v>0.6328630028515102</v>
      </c>
      <c r="LT534" s="273">
        <f t="shared" si="1014"/>
        <v>0</v>
      </c>
      <c r="LU534" s="273">
        <f t="shared" si="1015"/>
        <v>0</v>
      </c>
      <c r="LV534" s="273">
        <f>$H534*IF(LZ534&lt;&gt;LP534,SUMIFS(axTER!$E$121:$E$128,axTER!$C$121:$C$128,LP534,axTER!$D$121:$D$128,LZ534),SUMIFS(axTER!$E$133:$E$138,axTER!$C$133:$C$138,LZ534)*LY$510)*$D$514/10^6</f>
        <v>158.21575071287754</v>
      </c>
      <c r="LW534" s="274">
        <f>$H534*IF(MA534&lt;&gt;LQ534,SUMIFS(axTER!$E$142:$E$148,axTER!$C$142:$C$148,MA534),SUMIFS(axTER!$E$151:$E$157,axTER!$C$151:$C$157,MA534)*LY$510)/10^6*$D$514</f>
        <v>13.843878187376788</v>
      </c>
      <c r="LX534" s="275" t="s">
        <v>253</v>
      </c>
      <c r="LY534" s="161" t="s">
        <v>265</v>
      </c>
      <c r="LZ534" s="161" t="s">
        <v>255</v>
      </c>
      <c r="MA534" s="161" t="s">
        <v>260</v>
      </c>
      <c r="MB534" s="276">
        <f>$H534*SUMIFS(axTER!$E$65:$E$105,axTER!$D$65:$D$105,LZ534,axTER!$C$65:$C$105,LX534)/SUMIFS(axTER!$E$108:$E$114,axTER!$C$108:$C$114,MA534)/10^9*$D$514</f>
        <v>0.6328630028515102</v>
      </c>
      <c r="MD534" s="273">
        <f t="shared" si="1007"/>
        <v>0</v>
      </c>
      <c r="ME534" s="273">
        <f t="shared" si="1016"/>
        <v>0</v>
      </c>
      <c r="MF534" s="273">
        <f>$H534*IF(MJ534&lt;&gt;LZ534,SUMIFS(axTER!$E$121:$E$128,axTER!$C$121:$C$128,LZ534,axTER!$D$121:$D$128,MJ534),SUMIFS(axTER!$E$133:$E$138,axTER!$C$133:$C$138,MJ534)*MI$510)*$D$514/10^6</f>
        <v>158.21575071287754</v>
      </c>
      <c r="MG534" s="274">
        <f>$H534*IF(MK534&lt;&gt;MA534,SUMIFS(axTER!$E$142:$E$148,axTER!$C$142:$C$148,MK534),SUMIFS(axTER!$E$151:$E$157,axTER!$C$151:$C$157,MK534)*MI$510)/10^6*$D$514</f>
        <v>13.843878187376788</v>
      </c>
      <c r="MH534" s="275" t="s">
        <v>253</v>
      </c>
      <c r="MI534" s="161" t="s">
        <v>265</v>
      </c>
      <c r="MJ534" s="161" t="s">
        <v>255</v>
      </c>
      <c r="MK534" s="161" t="s">
        <v>260</v>
      </c>
      <c r="ML534" s="276">
        <f>$H534*SUMIFS(axTER!$E$65:$E$105,axTER!$D$65:$D$105,MJ534,axTER!$C$65:$C$105,MH534)/SUMIFS(axTER!$E$108:$E$114,axTER!$C$108:$C$114,MK534)/10^9*$D$514</f>
        <v>0.6328630028515102</v>
      </c>
    </row>
    <row r="535" spans="3:350" outlineLevel="1" x14ac:dyDescent="0.3">
      <c r="C535" s="265"/>
      <c r="D535" s="69"/>
      <c r="E535" s="69"/>
      <c r="F535" s="266"/>
      <c r="H535" s="269">
        <v>400</v>
      </c>
      <c r="I535" s="66" t="s">
        <v>253</v>
      </c>
      <c r="J535" s="66" t="s">
        <v>265</v>
      </c>
      <c r="K535" s="66" t="s">
        <v>255</v>
      </c>
      <c r="L535" s="66" t="s">
        <v>260</v>
      </c>
      <c r="M535" s="272">
        <f>$H535*SUMIFS(axTER!$E$65:$E$105,axTER!$C$65:$C$105,I535,axTER!$D$65:$D$105,K535)/SUMIFS(axTER!$E$108:$E$114,axTER!$C$108:$C$114,L535)/10^9*$D$514</f>
        <v>0.6328630028515102</v>
      </c>
      <c r="S535" s="269">
        <v>400</v>
      </c>
      <c r="T535" s="66" t="s">
        <v>253</v>
      </c>
      <c r="U535" s="66" t="s">
        <v>265</v>
      </c>
      <c r="V535" s="66" t="s">
        <v>255</v>
      </c>
      <c r="W535" s="66" t="s">
        <v>260</v>
      </c>
      <c r="X535" s="272">
        <f>$H535*SUMIFS(axTER!$E$65:$E$105,axTER!$C$65:$C$105,T535,axTER!$D$65:$D$105,V535)/SUMIFS(axTER!$E$108:$E$114,axTER!$C$108:$C$114,W535)/10^9*$D$514</f>
        <v>0.6328630028515102</v>
      </c>
      <c r="AB535" s="273">
        <f>$H535*IF(AF535&lt;&gt;K535,SUMIFS(axTER!$E$121:$E$128,axTER!$C$121:$C$128,K535,axTER!$D$121:$D$128,AF535),SUMIFS(axTER!$E$133:$E$138,axTER!$C$133:$C$138,AF535)*AE$510)*$D$514/10^6</f>
        <v>158.21575071287754</v>
      </c>
      <c r="AC535" s="274">
        <f>$H535*IF(AG535&lt;&gt;L535,SUMIFS(axTER!$E$142:$E$148,axTER!$C$142:$C$148,AG535),SUMIFS(axTER!$E$151:$E$157,axTER!$C$151:$C$157,AG535)*AE$510)/10^6*$D$514</f>
        <v>13.843878187376788</v>
      </c>
      <c r="AD535" s="275" t="s">
        <v>253</v>
      </c>
      <c r="AE535" s="161" t="s">
        <v>265</v>
      </c>
      <c r="AF535" s="161" t="s">
        <v>255</v>
      </c>
      <c r="AG535" s="161" t="s">
        <v>260</v>
      </c>
      <c r="AH535" s="276">
        <f>$H535*SUMIFS(axTER!$E$65:$E$105,axTER!$D$65:$D$105,AF535,axTER!$C$65:$C$105,AD535)/SUMIFS(axTER!$E$108:$E$114,axTER!$C$108:$C$114,AG535)/10^9*$D$514</f>
        <v>0.6328630028515102</v>
      </c>
      <c r="AV535" s="273">
        <f>$H535*IF(AZ535&lt;&gt;AF535,SUMIFS(axTER!$E$121:$E$128,axTER!$C$121:$C$128,AF535,axTER!$D$121:$D$128,AZ535),SUMIFS(axTER!$E$133:$E$138,axTER!$C$133:$C$138,AZ535)*AY$510)*$D$514/10^6</f>
        <v>316.43150142575507</v>
      </c>
      <c r="AW535" s="274">
        <f>$H535*IF(BA535&lt;&gt;AG535,SUMIFS(axTER!$E$142:$E$148,axTER!$C$142:$C$148,BA535),SUMIFS(axTER!$E$151:$E$157,axTER!$C$151:$C$157,BA535)*AY$510)/10^6*$D$514</f>
        <v>316.43150142575507</v>
      </c>
      <c r="AX535" s="275" t="s">
        <v>253</v>
      </c>
      <c r="AY535" s="161" t="s">
        <v>265</v>
      </c>
      <c r="AZ535" s="161" t="s">
        <v>255</v>
      </c>
      <c r="BA535" s="161" t="s">
        <v>261</v>
      </c>
      <c r="BB535" s="276">
        <f>$H535*SUMIFS(axTER!$E$65:$E$105,axTER!$D$65:$D$105,AZ535,axTER!$C$65:$C$105,AX535)/SUMIFS(axTER!$E$108:$E$114,axTER!$C$108:$C$114,BA535)/10^9*$D$514</f>
        <v>0.18985890085545304</v>
      </c>
      <c r="IG535" s="269">
        <v>400</v>
      </c>
      <c r="IH535" s="66" t="s">
        <v>253</v>
      </c>
      <c r="II535" s="66" t="s">
        <v>265</v>
      </c>
      <c r="IJ535" s="66" t="s">
        <v>255</v>
      </c>
      <c r="IK535" s="66" t="s">
        <v>260</v>
      </c>
      <c r="IL535" s="272">
        <f>$H535*SUMIFS(axTER!$E$65:$E$105,axTER!$C$65:$C$105,IH535,axTER!$D$65:$D$105,IJ535)/SUMIFS(axTER!$E$108:$E$114,axTER!$C$108:$C$114,IK535)/10^9*$D$514</f>
        <v>0.6328630028515102</v>
      </c>
      <c r="IO535" s="273">
        <f t="shared" si="1008"/>
        <v>0</v>
      </c>
      <c r="IP535" s="273">
        <f>$H535*IF(IT535&lt;&gt;IJ535,SUMIFS(axTER!$E$121:$E$128,axTER!$C$121:$C$128,IJ535,axTER!$D$121:$D$128,IT535),SUMIFS(axTER!$E$133:$E$138,axTER!$C$133:$C$138,IT535)*IS$510)*$D$514/10^6</f>
        <v>158.21575071287754</v>
      </c>
      <c r="IQ535" s="274">
        <f>$H535*IF(IU535&lt;&gt;IK535,SUMIFS(axTER!$E$142:$E$148,axTER!$C$142:$C$148,IU535),SUMIFS(axTER!$E$151:$E$157,axTER!$C$151:$C$157,IU535)*IS$510)/10^6*$D$514</f>
        <v>13.843878187376788</v>
      </c>
      <c r="IR535" s="275" t="s">
        <v>253</v>
      </c>
      <c r="IS535" s="161" t="s">
        <v>265</v>
      </c>
      <c r="IT535" s="161" t="s">
        <v>255</v>
      </c>
      <c r="IU535" s="161" t="s">
        <v>260</v>
      </c>
      <c r="IV535" s="276">
        <f>$H535*SUMIFS(axTER!$E$65:$E$105,axTER!$D$65:$D$105,IT535,axTER!$C$65:$C$105,IR535)/SUMIFS(axTER!$E$108:$E$114,axTER!$C$108:$C$114,IU535)/10^9*$D$514</f>
        <v>0.6328630028515102</v>
      </c>
      <c r="JI535" s="273">
        <f t="shared" si="1009"/>
        <v>0</v>
      </c>
      <c r="JJ535" s="273">
        <f>$H535*IF(JN535&lt;&gt;IT535,SUMIFS(axTER!$E$121:$E$128,axTER!$C$121:$C$128,IT535,axTER!$D$121:$D$128,JN535),SUMIFS(axTER!$E$133:$E$138,axTER!$C$133:$C$138,JN535)*JM$510)*$D$514/10^6</f>
        <v>316.43150142575507</v>
      </c>
      <c r="JK535" s="274">
        <f>$H535*IF(JO535&lt;&gt;IU535,SUMIFS(axTER!$E$142:$E$148,axTER!$C$142:$C$148,JO535),SUMIFS(axTER!$E$151:$E$157,axTER!$C$151:$C$157,JO535)*JM$510)/10^6*$D$514</f>
        <v>27.687756374753576</v>
      </c>
      <c r="JL535" s="275" t="s">
        <v>253</v>
      </c>
      <c r="JM535" s="161" t="s">
        <v>265</v>
      </c>
      <c r="JN535" s="161" t="s">
        <v>255</v>
      </c>
      <c r="JO535" s="161" t="s">
        <v>260</v>
      </c>
      <c r="JP535" s="276">
        <f>$H535*SUMIFS(axTER!$E$65:$E$105,axTER!$D$65:$D$105,JN535,axTER!$C$65:$C$105,JL535)/SUMIFS(axTER!$E$108:$E$114,axTER!$C$108:$C$114,JO535)/10^9*$D$514</f>
        <v>0.6328630028515102</v>
      </c>
      <c r="JR535" s="269">
        <v>400</v>
      </c>
      <c r="JS535" s="66" t="s">
        <v>253</v>
      </c>
      <c r="JT535" s="66" t="s">
        <v>265</v>
      </c>
      <c r="JU535" s="66" t="s">
        <v>255</v>
      </c>
      <c r="JV535" s="66" t="s">
        <v>260</v>
      </c>
      <c r="JW535" s="272">
        <f>$H535*SUMIFS(axTER!$E$65:$E$105,axTER!$C$65:$C$105,JS535,axTER!$D$65:$D$105,JU535)/SUMIFS(axTER!$E$108:$E$114,axTER!$C$108:$C$114,JV535)/10^9*$D$514</f>
        <v>0.6328630028515102</v>
      </c>
      <c r="JY535" s="273">
        <f t="shared" si="1010"/>
        <v>0</v>
      </c>
      <c r="JZ535" s="273">
        <f t="shared" si="1005"/>
        <v>0</v>
      </c>
      <c r="KA535" s="273">
        <f>$H535*IF(KE535&lt;&gt;JU535,SUMIFS(axTER!$E$121:$E$128,axTER!$C$121:$C$128,JU535,axTER!$D$121:$D$128,KE535),SUMIFS(axTER!$E$133:$E$138,axTER!$C$133:$C$138,KE535)*KD$510)*$D$514/10^6</f>
        <v>110.75102549901429</v>
      </c>
      <c r="KB535" s="274">
        <f>$H535*IF(KF535&lt;&gt;JV535,SUMIFS(axTER!$E$142:$E$148,axTER!$C$142:$C$148,KF535),SUMIFS(axTER!$E$151:$E$157,axTER!$C$151:$C$157,KF535)*KD$510)/10^6*$D$514</f>
        <v>9.6907147311637516</v>
      </c>
      <c r="KC535" s="275" t="s">
        <v>253</v>
      </c>
      <c r="KD535" s="161" t="s">
        <v>265</v>
      </c>
      <c r="KE535" s="161" t="s">
        <v>255</v>
      </c>
      <c r="KF535" s="161" t="s">
        <v>260</v>
      </c>
      <c r="KG535" s="276">
        <f>$H535*SUMIFS(axTER!$E$65:$E$105,axTER!$D$65:$D$105,KE535,axTER!$C$65:$C$105,KC535)/SUMIFS(axTER!$E$108:$E$114,axTER!$C$108:$C$114,KF535)/10^9*$D$514</f>
        <v>0.6328630028515102</v>
      </c>
      <c r="KS535" s="273">
        <f t="shared" si="1011"/>
        <v>0</v>
      </c>
      <c r="KT535" s="273">
        <f t="shared" si="1012"/>
        <v>400</v>
      </c>
      <c r="KU535" s="273">
        <f>$H535*IF(KY535&lt;&gt;KE535,SUMIFS(axTER!$E$121:$E$128,axTER!$C$121:$C$128,KE535,axTER!$D$121:$D$128,KY535),SUMIFS(axTER!$E$133:$E$138,axTER!$C$133:$C$138,KY535)*KX$510)*$D$514/10^6</f>
        <v>395.53937678219381</v>
      </c>
      <c r="KV535" s="274">
        <f>$H535*IF(KZ535&lt;&gt;KF535,SUMIFS(axTER!$E$142:$E$148,axTER!$C$142:$C$148,KZ535),SUMIFS(axTER!$E$151:$E$157,axTER!$C$151:$C$157,KZ535)*KX$510)/10^6*$D$514</f>
        <v>27.687756374753576</v>
      </c>
      <c r="KW535" s="275" t="s">
        <v>253</v>
      </c>
      <c r="KX535" s="161" t="s">
        <v>265</v>
      </c>
      <c r="KY535" s="161" t="s">
        <v>262</v>
      </c>
      <c r="KZ535" s="161" t="s">
        <v>260</v>
      </c>
      <c r="LA535" s="276">
        <f>$H535*SUMIFS(axTER!$E$65:$E$105,axTER!$D$65:$D$105,KY535,axTER!$C$65:$C$105,KW535)/SUMIFS(axTER!$E$108:$E$114,axTER!$C$108:$C$114,KZ535)/10^9*$D$514</f>
        <v>0.52738583570959174</v>
      </c>
      <c r="LC535" s="269">
        <v>400</v>
      </c>
      <c r="LD535" s="66" t="s">
        <v>253</v>
      </c>
      <c r="LE535" s="66" t="s">
        <v>265</v>
      </c>
      <c r="LF535" s="66" t="s">
        <v>255</v>
      </c>
      <c r="LG535" s="66" t="s">
        <v>260</v>
      </c>
      <c r="LH535" s="272">
        <f>$H535*SUMIFS(axTER!$E$65:$E$105,axTER!$C$65:$C$105,LD535,axTER!$D$65:$D$105,LF535)/SUMIFS(axTER!$E$108:$E$114,axTER!$C$108:$C$114,LG535)/10^9*$D$514</f>
        <v>0.6328630028515102</v>
      </c>
      <c r="LJ535" s="273" t="str">
        <f t="shared" si="1013"/>
        <v>ELEC-PAC</v>
      </c>
      <c r="LK535" s="273">
        <f t="shared" si="1017"/>
        <v>0</v>
      </c>
      <c r="LL535" s="273">
        <f>$H535*IF(LP535&lt;&gt;LF535,SUMIFS(axTER!$E$121:$E$128,axTER!$C$121:$C$128,LF535,axTER!$D$121:$D$128,LP535),SUMIFS(axTER!$E$133:$E$138,axTER!$C$133:$C$138,LP535)*LO$510)*$D$514/10^6</f>
        <v>110.75102549901429</v>
      </c>
      <c r="LM535" s="274">
        <f>$H535*IF(LQ535&lt;&gt;LG535,SUMIFS(axTER!$E$142:$E$148,axTER!$C$142:$C$148,LQ535),SUMIFS(axTER!$E$151:$E$157,axTER!$C$151:$C$157,LQ535)*LO$510)/10^6*$D$514</f>
        <v>316.43150142575507</v>
      </c>
      <c r="LN535" s="275" t="s">
        <v>253</v>
      </c>
      <c r="LO535" s="161" t="s">
        <v>265</v>
      </c>
      <c r="LP535" s="161" t="s">
        <v>255</v>
      </c>
      <c r="LQ535" s="161" t="s">
        <v>261</v>
      </c>
      <c r="LR535" s="276">
        <f>$H535*SUMIFS(axTER!$E$65:$E$105,axTER!$D$65:$D$105,LP535,axTER!$C$65:$C$105,LN535)/SUMIFS(axTER!$E$108:$E$114,axTER!$C$108:$C$114,LQ535)/10^9*$D$514</f>
        <v>0.18985890085545304</v>
      </c>
      <c r="LT535" s="273">
        <f t="shared" si="1014"/>
        <v>0</v>
      </c>
      <c r="LU535" s="273">
        <f t="shared" si="1015"/>
        <v>0</v>
      </c>
      <c r="LV535" s="273">
        <f>$H535*IF(LZ535&lt;&gt;LP535,SUMIFS(axTER!$E$121:$E$128,axTER!$C$121:$C$128,LP535,axTER!$D$121:$D$128,LZ535),SUMIFS(axTER!$E$133:$E$138,axTER!$C$133:$C$138,LZ535)*LY$510)*$D$514/10^6</f>
        <v>158.21575071287754</v>
      </c>
      <c r="LW535" s="274">
        <f>$H535*IF(MA535&lt;&gt;LQ535,SUMIFS(axTER!$E$142:$E$148,axTER!$C$142:$C$148,MA535),SUMIFS(axTER!$E$151:$E$157,axTER!$C$151:$C$157,MA535)*LY$510)/10^6*$D$514</f>
        <v>110.7510254990143</v>
      </c>
      <c r="LX535" s="275" t="s">
        <v>253</v>
      </c>
      <c r="LY535" s="161" t="s">
        <v>265</v>
      </c>
      <c r="LZ535" s="161" t="s">
        <v>255</v>
      </c>
      <c r="MA535" s="161" t="s">
        <v>261</v>
      </c>
      <c r="MB535" s="276">
        <f>$H535*SUMIFS(axTER!$E$65:$E$105,axTER!$D$65:$D$105,LZ535,axTER!$C$65:$C$105,LX535)/SUMIFS(axTER!$E$108:$E$114,axTER!$C$108:$C$114,MA535)/10^9*$D$514</f>
        <v>0.18985890085545304</v>
      </c>
      <c r="MD535" s="273">
        <f t="shared" si="1007"/>
        <v>0</v>
      </c>
      <c r="ME535" s="273">
        <f t="shared" si="1016"/>
        <v>0</v>
      </c>
      <c r="MF535" s="273">
        <f>$H535*IF(MJ535&lt;&gt;LZ535,SUMIFS(axTER!$E$121:$E$128,axTER!$C$121:$C$128,LZ535,axTER!$D$121:$D$128,MJ535),SUMIFS(axTER!$E$133:$E$138,axTER!$C$133:$C$138,MJ535)*MI$510)*$D$514/10^6</f>
        <v>158.21575071287754</v>
      </c>
      <c r="MG535" s="274">
        <f>$H535*IF(MK535&lt;&gt;MA535,SUMIFS(axTER!$E$142:$E$148,axTER!$C$142:$C$148,MK535),SUMIFS(axTER!$E$151:$E$157,axTER!$C$151:$C$157,MK535)*MI$510)/10^6*$D$514</f>
        <v>110.7510254990143</v>
      </c>
      <c r="MH535" s="275" t="s">
        <v>253</v>
      </c>
      <c r="MI535" s="161" t="s">
        <v>265</v>
      </c>
      <c r="MJ535" s="161" t="s">
        <v>255</v>
      </c>
      <c r="MK535" s="161" t="s">
        <v>261</v>
      </c>
      <c r="ML535" s="276">
        <f>$H535*SUMIFS(axTER!$E$65:$E$105,axTER!$D$65:$D$105,MJ535,axTER!$C$65:$C$105,MH535)/SUMIFS(axTER!$E$108:$E$114,axTER!$C$108:$C$114,MK535)/10^9*$D$514</f>
        <v>0.18985890085545304</v>
      </c>
    </row>
    <row r="536" spans="3:350" outlineLevel="1" x14ac:dyDescent="0.3">
      <c r="C536" s="265"/>
      <c r="D536" s="69"/>
      <c r="F536" s="266"/>
      <c r="H536" s="269">
        <v>1200</v>
      </c>
      <c r="I536" s="66" t="s">
        <v>268</v>
      </c>
      <c r="J536" s="66" t="s">
        <v>265</v>
      </c>
      <c r="K536" s="66" t="s">
        <v>266</v>
      </c>
      <c r="L536" s="66" t="s">
        <v>261</v>
      </c>
      <c r="M536" s="272">
        <f>$H536*SUMIFS(axTER!$E$65:$E$105,axTER!$C$65:$C$105,I536,axTER!$D$65:$D$105,K536)/SUMIFS(axTER!$E$108:$E$114,axTER!$C$108:$C$114,L536)/10^9*$D$514</f>
        <v>0.28478835128317959</v>
      </c>
      <c r="S536" s="269">
        <v>1200</v>
      </c>
      <c r="T536" s="66" t="s">
        <v>268</v>
      </c>
      <c r="U536" s="66" t="s">
        <v>265</v>
      </c>
      <c r="V536" s="66" t="s">
        <v>266</v>
      </c>
      <c r="W536" s="66" t="s">
        <v>261</v>
      </c>
      <c r="X536" s="272">
        <f>$H536*SUMIFS(axTER!$E$65:$E$105,axTER!$C$65:$C$105,T536,axTER!$D$65:$D$105,V536)/SUMIFS(axTER!$E$108:$E$114,axTER!$C$108:$C$114,W536)/10^9*$D$514</f>
        <v>0.28478835128317959</v>
      </c>
      <c r="AB536" s="273">
        <f>$H536*IF(AF536&lt;&gt;K536,SUMIFS(axTER!$E$121:$E$128,axTER!$C$121:$C$128,K536,axTER!$D$121:$D$128,AF536),SUMIFS(axTER!$E$133:$E$138,axTER!$C$133:$C$138,AF536)*AE$510)*$D$514/10^6</f>
        <v>177.99271955198722</v>
      </c>
      <c r="AC536" s="274">
        <f>$H536*IF(AG536&lt;&gt;L536,SUMIFS(axTER!$E$142:$E$148,axTER!$C$142:$C$148,AG536),SUMIFS(axTER!$E$151:$E$157,axTER!$C$151:$C$157,AG536)*AE$510)/10^6*$D$514</f>
        <v>332.25307649704291</v>
      </c>
      <c r="AD536" s="275" t="s">
        <v>268</v>
      </c>
      <c r="AE536" s="161" t="s">
        <v>265</v>
      </c>
      <c r="AF536" s="161" t="s">
        <v>266</v>
      </c>
      <c r="AG536" s="161" t="s">
        <v>261</v>
      </c>
      <c r="AH536" s="276">
        <f>$H536*SUMIFS(axTER!$E$65:$E$105,axTER!$D$65:$D$105,AF536,axTER!$C$65:$C$105,AD536)/SUMIFS(axTER!$E$108:$E$114,axTER!$C$108:$C$114,AG536)/10^9*$D$514</f>
        <v>0.28478835128317959</v>
      </c>
      <c r="AV536" s="273">
        <f>$H536*IF(AZ536&lt;&gt;AF536,SUMIFS(axTER!$E$121:$E$128,axTER!$C$121:$C$128,AF536,axTER!$D$121:$D$128,AZ536),SUMIFS(axTER!$E$133:$E$138,axTER!$C$133:$C$138,AZ536)*AY$510)*$D$514/10^6</f>
        <v>355.98543910397444</v>
      </c>
      <c r="AW536" s="274">
        <f>$H536*IF(BA536&lt;&gt;AG536,SUMIFS(axTER!$E$142:$E$148,axTER!$C$142:$C$148,BA536),SUMIFS(axTER!$E$151:$E$157,axTER!$C$151:$C$157,BA536)*AY$510)/10^6*$D$514</f>
        <v>664.50615299408582</v>
      </c>
      <c r="AX536" s="275" t="s">
        <v>268</v>
      </c>
      <c r="AY536" s="161" t="s">
        <v>265</v>
      </c>
      <c r="AZ536" s="161" t="s">
        <v>266</v>
      </c>
      <c r="BA536" s="161" t="s">
        <v>261</v>
      </c>
      <c r="BB536" s="276">
        <f>$H536*SUMIFS(axTER!$E$65:$E$105,axTER!$D$65:$D$105,AZ536,axTER!$C$65:$C$105,AX536)/SUMIFS(axTER!$E$108:$E$114,axTER!$C$108:$C$114,BA536)/10^9*$D$514</f>
        <v>0.28478835128317959</v>
      </c>
      <c r="IG536" s="269">
        <v>1200</v>
      </c>
      <c r="IH536" s="66" t="s">
        <v>268</v>
      </c>
      <c r="II536" s="66" t="s">
        <v>265</v>
      </c>
      <c r="IJ536" s="66" t="s">
        <v>266</v>
      </c>
      <c r="IK536" s="66" t="s">
        <v>261</v>
      </c>
      <c r="IL536" s="272">
        <f>$H536*SUMIFS(axTER!$E$65:$E$105,axTER!$C$65:$C$105,IH536,axTER!$D$65:$D$105,IJ536)/SUMIFS(axTER!$E$108:$E$114,axTER!$C$108:$C$114,IK536)/10^9*$D$514</f>
        <v>0.28478835128317959</v>
      </c>
      <c r="IO536" s="273">
        <f t="shared" si="1008"/>
        <v>0</v>
      </c>
      <c r="IP536" s="273">
        <f>$H536*IF(IT536&lt;&gt;IJ536,SUMIFS(axTER!$E$121:$E$128,axTER!$C$121:$C$128,IJ536,axTER!$D$121:$D$128,IT536),SUMIFS(axTER!$E$133:$E$138,axTER!$C$133:$C$138,IT536)*IS$510)*$D$514/10^6</f>
        <v>177.99271955198722</v>
      </c>
      <c r="IQ536" s="274">
        <f>$H536*IF(IU536&lt;&gt;IK536,SUMIFS(axTER!$E$142:$E$148,axTER!$C$142:$C$148,IU536),SUMIFS(axTER!$E$151:$E$157,axTER!$C$151:$C$157,IU536)*IS$510)/10^6*$D$514</f>
        <v>332.25307649704291</v>
      </c>
      <c r="IR536" s="275" t="s">
        <v>268</v>
      </c>
      <c r="IS536" s="161" t="s">
        <v>265</v>
      </c>
      <c r="IT536" s="161" t="s">
        <v>266</v>
      </c>
      <c r="IU536" s="161" t="s">
        <v>261</v>
      </c>
      <c r="IV536" s="276">
        <f>$H536*SUMIFS(axTER!$E$65:$E$105,axTER!$D$65:$D$105,IT536,axTER!$C$65:$C$105,IR536)/SUMIFS(axTER!$E$108:$E$114,axTER!$C$108:$C$114,IU536)/10^9*$D$514</f>
        <v>0.28478835128317959</v>
      </c>
      <c r="JI536" s="273">
        <f t="shared" si="1009"/>
        <v>0</v>
      </c>
      <c r="JJ536" s="273">
        <f>$H536*IF(JN536&lt;&gt;IT536,SUMIFS(axTER!$E$121:$E$128,axTER!$C$121:$C$128,IT536,axTER!$D$121:$D$128,JN536),SUMIFS(axTER!$E$133:$E$138,axTER!$C$133:$C$138,JN536)*JM$510)*$D$514/10^6</f>
        <v>355.98543910397444</v>
      </c>
      <c r="JK536" s="274">
        <f>$H536*IF(JO536&lt;&gt;IU536,SUMIFS(axTER!$E$142:$E$148,axTER!$C$142:$C$148,JO536),SUMIFS(axTER!$E$151:$E$157,axTER!$C$151:$C$157,JO536)*JM$510)/10^6*$D$514</f>
        <v>664.50615299408582</v>
      </c>
      <c r="JL536" s="275" t="s">
        <v>268</v>
      </c>
      <c r="JM536" s="161" t="s">
        <v>265</v>
      </c>
      <c r="JN536" s="161" t="s">
        <v>266</v>
      </c>
      <c r="JO536" s="161" t="s">
        <v>261</v>
      </c>
      <c r="JP536" s="276">
        <f>$H536*SUMIFS(axTER!$E$65:$E$105,axTER!$D$65:$D$105,JN536,axTER!$C$65:$C$105,JL536)/SUMIFS(axTER!$E$108:$E$114,axTER!$C$108:$C$114,JO536)/10^9*$D$514</f>
        <v>0.28478835128317959</v>
      </c>
      <c r="JR536" s="269">
        <v>1200</v>
      </c>
      <c r="JS536" s="66" t="s">
        <v>268</v>
      </c>
      <c r="JT536" s="66" t="s">
        <v>265</v>
      </c>
      <c r="JU536" s="66" t="s">
        <v>266</v>
      </c>
      <c r="JV536" s="66" t="s">
        <v>261</v>
      </c>
      <c r="JW536" s="272">
        <f>$H536*SUMIFS(axTER!$E$65:$E$105,axTER!$C$65:$C$105,JS536,axTER!$D$65:$D$105,JU536)/SUMIFS(axTER!$E$108:$E$114,axTER!$C$108:$C$114,JV536)/10^9*$D$514</f>
        <v>0.28478835128317959</v>
      </c>
      <c r="JY536" s="273">
        <f t="shared" si="1010"/>
        <v>0</v>
      </c>
      <c r="JZ536" s="273">
        <f t="shared" si="1005"/>
        <v>0</v>
      </c>
      <c r="KA536" s="273">
        <f>$H536*IF(KE536&lt;&gt;JU536,SUMIFS(axTER!$E$121:$E$128,axTER!$C$121:$C$128,JU536,axTER!$D$121:$D$128,KE536),SUMIFS(axTER!$E$133:$E$138,axTER!$C$133:$C$138,KE536)*KD$510)*$D$514/10^6</f>
        <v>124.59490368639106</v>
      </c>
      <c r="KB536" s="274">
        <f>$H536*IF(KF536&lt;&gt;JV536,SUMIFS(axTER!$E$142:$E$148,axTER!$C$142:$C$148,KF536),SUMIFS(axTER!$E$151:$E$157,axTER!$C$151:$C$157,KF536)*KD$510)/10^6*$D$514</f>
        <v>232.57715354792998</v>
      </c>
      <c r="KC536" s="275" t="s">
        <v>268</v>
      </c>
      <c r="KD536" s="161" t="s">
        <v>265</v>
      </c>
      <c r="KE536" s="161" t="s">
        <v>266</v>
      </c>
      <c r="KF536" s="161" t="s">
        <v>261</v>
      </c>
      <c r="KG536" s="276">
        <f>$H536*SUMIFS(axTER!$E$65:$E$105,axTER!$D$65:$D$105,KE536,axTER!$C$65:$C$105,KC536)/SUMIFS(axTER!$E$108:$E$114,axTER!$C$108:$C$114,KF536)/10^9*$D$514</f>
        <v>0.28478835128317959</v>
      </c>
      <c r="KS536" s="273">
        <f t="shared" si="1011"/>
        <v>0</v>
      </c>
      <c r="KT536" s="273">
        <f t="shared" si="1012"/>
        <v>1200</v>
      </c>
      <c r="KU536" s="273">
        <f>$H536*IF(KY536&lt;&gt;KE536,SUMIFS(axTER!$E$121:$E$128,axTER!$C$121:$C$128,KE536,axTER!$D$121:$D$128,KY536),SUMIFS(axTER!$E$133:$E$138,axTER!$C$133:$C$138,KY536)*KX$510)*$D$514/10^6</f>
        <v>711.97087820794889</v>
      </c>
      <c r="KV536" s="274">
        <f>$H536*IF(KZ536&lt;&gt;KF536,SUMIFS(axTER!$E$142:$E$148,axTER!$C$142:$C$148,KZ536),SUMIFS(axTER!$E$151:$E$157,axTER!$C$151:$C$157,KZ536)*KX$510)/10^6*$D$514</f>
        <v>664.50615299408582</v>
      </c>
      <c r="KW536" s="275" t="s">
        <v>268</v>
      </c>
      <c r="KX536" s="161" t="s">
        <v>265</v>
      </c>
      <c r="KY536" s="161" t="s">
        <v>262</v>
      </c>
      <c r="KZ536" s="161" t="s">
        <v>261</v>
      </c>
      <c r="LA536" s="276">
        <f>$H536*SUMIFS(axTER!$E$65:$E$105,axTER!$D$65:$D$105,KY536,axTER!$C$65:$C$105,KW536)/SUMIFS(axTER!$E$108:$E$114,axTER!$C$108:$C$114,KZ536)/10^9*$D$514</f>
        <v>0.47464725213863268</v>
      </c>
      <c r="LC536" s="269">
        <v>1200</v>
      </c>
      <c r="LD536" s="66" t="s">
        <v>268</v>
      </c>
      <c r="LE536" s="66" t="s">
        <v>265</v>
      </c>
      <c r="LF536" s="66" t="s">
        <v>266</v>
      </c>
      <c r="LG536" s="66" t="s">
        <v>261</v>
      </c>
      <c r="LH536" s="272">
        <f>$H536*SUMIFS(axTER!$E$65:$E$105,axTER!$C$65:$C$105,LD536,axTER!$D$65:$D$105,LF536)/SUMIFS(axTER!$E$108:$E$114,axTER!$C$108:$C$114,LG536)/10^9*$D$514</f>
        <v>0.28478835128317959</v>
      </c>
      <c r="LJ536" s="273">
        <f t="shared" si="1013"/>
        <v>0</v>
      </c>
      <c r="LK536" s="273">
        <f t="shared" si="1017"/>
        <v>0</v>
      </c>
      <c r="LL536" s="273">
        <f>$H536*IF(LP536&lt;&gt;LF536,SUMIFS(axTER!$E$121:$E$128,axTER!$C$121:$C$128,LF536,axTER!$D$121:$D$128,LP536),SUMIFS(axTER!$E$133:$E$138,axTER!$C$133:$C$138,LP536)*LO$510)*$D$514/10^6</f>
        <v>124.59490368639106</v>
      </c>
      <c r="LM536" s="274">
        <f>$H536*IF(LQ536&lt;&gt;LG536,SUMIFS(axTER!$E$142:$E$148,axTER!$C$142:$C$148,LQ536),SUMIFS(axTER!$E$151:$E$157,axTER!$C$151:$C$157,LQ536)*LO$510)/10^6*$D$514</f>
        <v>232.57715354792998</v>
      </c>
      <c r="LN536" s="275" t="s">
        <v>268</v>
      </c>
      <c r="LO536" s="161" t="s">
        <v>265</v>
      </c>
      <c r="LP536" s="161" t="s">
        <v>266</v>
      </c>
      <c r="LQ536" s="161" t="s">
        <v>261</v>
      </c>
      <c r="LR536" s="276">
        <f>$H536*SUMIFS(axTER!$E$65:$E$105,axTER!$D$65:$D$105,LP536,axTER!$C$65:$C$105,LN536)/SUMIFS(axTER!$E$108:$E$114,axTER!$C$108:$C$114,LQ536)/10^9*$D$514</f>
        <v>0.28478835128317959</v>
      </c>
      <c r="LT536" s="273">
        <f t="shared" si="1014"/>
        <v>0</v>
      </c>
      <c r="LU536" s="273">
        <f t="shared" si="1015"/>
        <v>0</v>
      </c>
      <c r="LV536" s="273">
        <f>$H536*IF(LZ536&lt;&gt;LP536,SUMIFS(axTER!$E$121:$E$128,axTER!$C$121:$C$128,LP536,axTER!$D$121:$D$128,LZ536),SUMIFS(axTER!$E$133:$E$138,axTER!$C$133:$C$138,LZ536)*LY$510)*$D$514/10^6</f>
        <v>177.99271955198722</v>
      </c>
      <c r="LW536" s="274">
        <f>$H536*IF(MA536&lt;&gt;LQ536,SUMIFS(axTER!$E$142:$E$148,axTER!$C$142:$C$148,MA536),SUMIFS(axTER!$E$151:$E$157,axTER!$C$151:$C$157,MA536)*LY$510)/10^6*$D$514</f>
        <v>332.25307649704291</v>
      </c>
      <c r="LX536" s="275" t="s">
        <v>268</v>
      </c>
      <c r="LY536" s="161" t="s">
        <v>265</v>
      </c>
      <c r="LZ536" s="161" t="s">
        <v>266</v>
      </c>
      <c r="MA536" s="161" t="s">
        <v>261</v>
      </c>
      <c r="MB536" s="276">
        <f>$H536*SUMIFS(axTER!$E$65:$E$105,axTER!$D$65:$D$105,LZ536,axTER!$C$65:$C$105,LX536)/SUMIFS(axTER!$E$108:$E$114,axTER!$C$108:$C$114,MA536)/10^9*$D$514</f>
        <v>0.28478835128317959</v>
      </c>
      <c r="MD536" s="273">
        <f t="shared" si="1007"/>
        <v>0</v>
      </c>
      <c r="ME536" s="273">
        <f t="shared" si="1016"/>
        <v>0</v>
      </c>
      <c r="MF536" s="273">
        <f>$H536*IF(MJ536&lt;&gt;LZ536,SUMIFS(axTER!$E$121:$E$128,axTER!$C$121:$C$128,LZ536,axTER!$D$121:$D$128,MJ536),SUMIFS(axTER!$E$133:$E$138,axTER!$C$133:$C$138,MJ536)*MI$510)*$D$514/10^6</f>
        <v>177.99271955198722</v>
      </c>
      <c r="MG536" s="274">
        <f>$H536*IF(MK536&lt;&gt;MA536,SUMIFS(axTER!$E$142:$E$148,axTER!$C$142:$C$148,MK536),SUMIFS(axTER!$E$151:$E$157,axTER!$C$151:$C$157,MK536)*MI$510)/10^6*$D$514</f>
        <v>332.25307649704291</v>
      </c>
      <c r="MH536" s="275" t="s">
        <v>268</v>
      </c>
      <c r="MI536" s="161" t="s">
        <v>265</v>
      </c>
      <c r="MJ536" s="161" t="s">
        <v>266</v>
      </c>
      <c r="MK536" s="161" t="s">
        <v>261</v>
      </c>
      <c r="ML536" s="276">
        <f>$H536*SUMIFS(axTER!$E$65:$E$105,axTER!$D$65:$D$105,MJ536,axTER!$C$65:$C$105,MH536)/SUMIFS(axTER!$E$108:$E$114,axTER!$C$108:$C$114,MK536)/10^9*$D$514</f>
        <v>0.28478835128317959</v>
      </c>
    </row>
    <row r="537" spans="3:350" hidden="1" outlineLevel="1" x14ac:dyDescent="0.3">
      <c r="C537" s="265"/>
      <c r="D537" s="69"/>
      <c r="F537" s="266"/>
      <c r="H537" s="269">
        <v>1200</v>
      </c>
      <c r="I537" s="66" t="s">
        <v>268</v>
      </c>
      <c r="J537" s="66" t="s">
        <v>265</v>
      </c>
      <c r="K537" s="66" t="s">
        <v>255</v>
      </c>
      <c r="L537" s="66" t="s">
        <v>260</v>
      </c>
      <c r="M537" s="272">
        <f>$H537*SUMIFS(axTER!$E$65:$E$105,axTER!$C$65:$C$105,I537,axTER!$D$65:$D$105,K537)/SUMIFS(axTER!$E$108:$E$114,axTER!$C$108:$C$114,L537)/10^9*$D$514</f>
        <v>1.7931118414126124</v>
      </c>
      <c r="S537" s="269">
        <v>1200</v>
      </c>
      <c r="T537" s="66" t="s">
        <v>268</v>
      </c>
      <c r="U537" s="66" t="s">
        <v>265</v>
      </c>
      <c r="V537" s="66" t="s">
        <v>255</v>
      </c>
      <c r="W537" s="66" t="s">
        <v>260</v>
      </c>
      <c r="X537" s="272">
        <f>$H537*SUMIFS(axTER!$E$65:$E$105,axTER!$C$65:$C$105,T537,axTER!$D$65:$D$105,V537)/SUMIFS(axTER!$E$108:$E$114,axTER!$C$108:$C$114,W537)/10^9*$D$514</f>
        <v>1.7931118414126124</v>
      </c>
      <c r="AB537" s="273">
        <f>$H537*IF(AF537&lt;&gt;K537,SUMIFS(axTER!$E$121:$E$128,axTER!$C$121:$C$128,K537,axTER!$D$121:$D$128,AF537),SUMIFS(axTER!$E$133:$E$138,axTER!$C$133:$C$138,AF537)*AE$510)*$D$514/10^6</f>
        <v>474.64725213863267</v>
      </c>
      <c r="AC537" s="274">
        <f>$H537*IF(AG537&lt;&gt;L537,SUMIFS(axTER!$E$142:$E$148,axTER!$C$142:$C$148,AG537),SUMIFS(axTER!$E$151:$E$157,axTER!$C$151:$C$157,AG537)*AE$510)/10^6*$D$514</f>
        <v>41.531634562130364</v>
      </c>
      <c r="AD537" s="275" t="s">
        <v>268</v>
      </c>
      <c r="AE537" s="161" t="s">
        <v>265</v>
      </c>
      <c r="AF537" s="161" t="s">
        <v>255</v>
      </c>
      <c r="AG537" s="161" t="s">
        <v>260</v>
      </c>
      <c r="AH537" s="276">
        <f>$H537*SUMIFS(axTER!$E$65:$E$105,axTER!$D$65:$D$105,AF537,axTER!$C$65:$C$105,AD537)/SUMIFS(axTER!$E$108:$E$114,axTER!$C$108:$C$114,AG537)/10^9*$D$514</f>
        <v>1.7931118414126124</v>
      </c>
      <c r="AV537" s="273">
        <f>$H537*IF(AZ537&lt;&gt;AF537,SUMIFS(axTER!$E$121:$E$128,axTER!$C$121:$C$128,AF537,axTER!$D$121:$D$128,AZ537),SUMIFS(axTER!$E$133:$E$138,axTER!$C$133:$C$138,AZ537)*AY$510)*$D$514/10^6</f>
        <v>949.29450427726533</v>
      </c>
      <c r="AW537" s="274">
        <f>$H537*IF(BA537&lt;&gt;AG537,SUMIFS(axTER!$E$142:$E$148,axTER!$C$142:$C$148,BA537),SUMIFS(axTER!$E$151:$E$157,axTER!$C$151:$C$157,BA537)*AY$510)/10^6*$D$514</f>
        <v>949.29450427726533</v>
      </c>
      <c r="AX537" s="275" t="s">
        <v>268</v>
      </c>
      <c r="AY537" s="161" t="s">
        <v>265</v>
      </c>
      <c r="AZ537" s="161" t="s">
        <v>255</v>
      </c>
      <c r="BA537" s="161" t="s">
        <v>261</v>
      </c>
      <c r="BB537" s="276">
        <f>$H537*SUMIFS(axTER!$E$65:$E$105,axTER!$D$65:$D$105,AZ537,axTER!$C$65:$C$105,AX537)/SUMIFS(axTER!$E$108:$E$114,axTER!$C$108:$C$114,BA537)/10^9*$D$514</f>
        <v>0.53793355242378371</v>
      </c>
      <c r="IG537" s="269">
        <v>1200</v>
      </c>
      <c r="IH537" s="66" t="s">
        <v>268</v>
      </c>
      <c r="II537" s="66" t="s">
        <v>265</v>
      </c>
      <c r="IJ537" s="66" t="s">
        <v>255</v>
      </c>
      <c r="IK537" s="66" t="s">
        <v>260</v>
      </c>
      <c r="IL537" s="272">
        <f>$H537*SUMIFS(axTER!$E$65:$E$105,axTER!$C$65:$C$105,IH537,axTER!$D$65:$D$105,IJ537)/SUMIFS(axTER!$E$108:$E$114,axTER!$C$108:$C$114,IK537)/10^9*$D$514</f>
        <v>1.7931118414126124</v>
      </c>
      <c r="IO537" s="273">
        <f t="shared" si="1008"/>
        <v>0</v>
      </c>
      <c r="IP537" s="273">
        <f>$H537*IF(IT537&lt;&gt;IJ537,SUMIFS(axTER!$E$121:$E$128,axTER!$C$121:$C$128,IJ537,axTER!$D$121:$D$128,IT537),SUMIFS(axTER!$E$133:$E$138,axTER!$C$133:$C$138,IT537)*IS$510)*$D$514/10^6</f>
        <v>474.64725213863267</v>
      </c>
      <c r="IQ537" s="274">
        <f>$H537*IF(IU537&lt;&gt;IK537,SUMIFS(axTER!$E$142:$E$148,axTER!$C$142:$C$148,IU537),SUMIFS(axTER!$E$151:$E$157,axTER!$C$151:$C$157,IU537)*IS$510)/10^6*$D$514</f>
        <v>41.531634562130364</v>
      </c>
      <c r="IR537" s="275" t="s">
        <v>268</v>
      </c>
      <c r="IS537" s="161" t="s">
        <v>265</v>
      </c>
      <c r="IT537" s="161" t="s">
        <v>255</v>
      </c>
      <c r="IU537" s="161" t="s">
        <v>260</v>
      </c>
      <c r="IV537" s="276">
        <f>$H537*SUMIFS(axTER!$E$65:$E$105,axTER!$D$65:$D$105,IT537,axTER!$C$65:$C$105,IR537)/SUMIFS(axTER!$E$108:$E$114,axTER!$C$108:$C$114,IU537)/10^9*$D$514</f>
        <v>1.7931118414126124</v>
      </c>
      <c r="JI537" s="273">
        <f t="shared" si="1009"/>
        <v>0</v>
      </c>
      <c r="JJ537" s="273">
        <f>$H537*IF(JN537&lt;&gt;IT537,SUMIFS(axTER!$E$121:$E$128,axTER!$C$121:$C$128,IT537,axTER!$D$121:$D$128,JN537),SUMIFS(axTER!$E$133:$E$138,axTER!$C$133:$C$138,JN537)*JM$510)*$D$514/10^6</f>
        <v>949.29450427726533</v>
      </c>
      <c r="JK537" s="274">
        <f>$H537*IF(JO537&lt;&gt;IU537,SUMIFS(axTER!$E$142:$E$148,axTER!$C$142:$C$148,JO537),SUMIFS(axTER!$E$151:$E$157,axTER!$C$151:$C$157,JO537)*JM$510)/10^6*$D$514</f>
        <v>83.063269124260728</v>
      </c>
      <c r="JL537" s="275" t="s">
        <v>268</v>
      </c>
      <c r="JM537" s="161" t="s">
        <v>265</v>
      </c>
      <c r="JN537" s="161" t="s">
        <v>255</v>
      </c>
      <c r="JO537" s="161" t="s">
        <v>260</v>
      </c>
      <c r="JP537" s="276">
        <f>$H537*SUMIFS(axTER!$E$65:$E$105,axTER!$D$65:$D$105,JN537,axTER!$C$65:$C$105,JL537)/SUMIFS(axTER!$E$108:$E$114,axTER!$C$108:$C$114,JO537)/10^9*$D$514</f>
        <v>1.7931118414126124</v>
      </c>
      <c r="JR537" s="269">
        <v>1200</v>
      </c>
      <c r="JS537" s="66" t="s">
        <v>268</v>
      </c>
      <c r="JT537" s="66" t="s">
        <v>265</v>
      </c>
      <c r="JU537" s="66" t="s">
        <v>255</v>
      </c>
      <c r="JV537" s="66" t="s">
        <v>260</v>
      </c>
      <c r="JW537" s="272">
        <f>$H537*SUMIFS(axTER!$E$65:$E$105,axTER!$C$65:$C$105,JS537,axTER!$D$65:$D$105,JU537)/SUMIFS(axTER!$E$108:$E$114,axTER!$C$108:$C$114,JV537)/10^9*$D$514</f>
        <v>1.7931118414126124</v>
      </c>
      <c r="JY537" s="273" t="str">
        <f t="shared" si="1010"/>
        <v>ELEC-PAC</v>
      </c>
      <c r="JZ537" s="273">
        <f t="shared" si="1005"/>
        <v>0</v>
      </c>
      <c r="KA537" s="273">
        <f>$H537*IF(KE537&lt;&gt;JU537,SUMIFS(axTER!$E$121:$E$128,axTER!$C$121:$C$128,JU537,axTER!$D$121:$D$128,KE537),SUMIFS(axTER!$E$133:$E$138,axTER!$C$133:$C$138,KE537)*KD$510)*$D$514/10^6</f>
        <v>332.25307649704285</v>
      </c>
      <c r="KB537" s="274">
        <f>$H537*IF(KF537&lt;&gt;JV537,SUMIFS(axTER!$E$142:$E$148,axTER!$C$142:$C$148,KF537),SUMIFS(axTER!$E$151:$E$157,axTER!$C$151:$C$157,KF537)*KD$510)/10^6*$D$514</f>
        <v>949.29450427726533</v>
      </c>
      <c r="KC537" s="275" t="s">
        <v>268</v>
      </c>
      <c r="KD537" s="161" t="s">
        <v>265</v>
      </c>
      <c r="KE537" s="161" t="s">
        <v>255</v>
      </c>
      <c r="KF537" s="161" t="s">
        <v>261</v>
      </c>
      <c r="KG537" s="276">
        <f>$H537*SUMIFS(axTER!$E$65:$E$105,axTER!$D$65:$D$105,KE537,axTER!$C$65:$C$105,KC537)/SUMIFS(axTER!$E$108:$E$114,axTER!$C$108:$C$114,KF537)/10^9*$D$514</f>
        <v>0.53793355242378371</v>
      </c>
      <c r="KS537" s="273">
        <f t="shared" si="1011"/>
        <v>0</v>
      </c>
      <c r="KT537" s="273">
        <f t="shared" si="1012"/>
        <v>1200</v>
      </c>
      <c r="KU537" s="273">
        <f>$H537*IF(KY537&lt;&gt;KE537,SUMIFS(axTER!$E$121:$E$128,axTER!$C$121:$C$128,KE537,axTER!$D$121:$D$128,KY537),SUMIFS(axTER!$E$133:$E$138,axTER!$C$133:$C$138,KY537)*KX$510)*$D$514/10^6</f>
        <v>1186.6181303465817</v>
      </c>
      <c r="KV537" s="274">
        <f>$H537*IF(KZ537&lt;&gt;KF537,SUMIFS(axTER!$E$142:$E$148,axTER!$C$142:$C$148,KZ537),SUMIFS(axTER!$E$151:$E$157,axTER!$C$151:$C$157,KZ537)*KX$510)/10^6*$D$514</f>
        <v>664.50615299408582</v>
      </c>
      <c r="KW537" s="275" t="s">
        <v>268</v>
      </c>
      <c r="KX537" s="161" t="s">
        <v>265</v>
      </c>
      <c r="KY537" s="161" t="s">
        <v>262</v>
      </c>
      <c r="KZ537" s="161" t="s">
        <v>261</v>
      </c>
      <c r="LA537" s="276">
        <f>$H537*SUMIFS(axTER!$E$65:$E$105,axTER!$D$65:$D$105,KY537,axTER!$C$65:$C$105,KW537)/SUMIFS(axTER!$E$108:$E$114,axTER!$C$108:$C$114,KZ537)/10^9*$D$514</f>
        <v>0.47464725213863268</v>
      </c>
      <c r="LC537" s="269">
        <v>1200</v>
      </c>
      <c r="LD537" s="66" t="s">
        <v>268</v>
      </c>
      <c r="LE537" s="66" t="s">
        <v>265</v>
      </c>
      <c r="LF537" s="66" t="s">
        <v>255</v>
      </c>
      <c r="LG537" s="66" t="s">
        <v>260</v>
      </c>
      <c r="LH537" s="272">
        <f>$H537*SUMIFS(axTER!$E$65:$E$105,axTER!$C$65:$C$105,LD537,axTER!$D$65:$D$105,LF537)/SUMIFS(axTER!$E$108:$E$114,axTER!$C$108:$C$114,LG537)/10^9*$D$514</f>
        <v>1.7931118414126124</v>
      </c>
      <c r="LJ537" s="273">
        <f t="shared" si="1013"/>
        <v>0</v>
      </c>
      <c r="LK537" s="273">
        <f t="shared" si="1017"/>
        <v>0</v>
      </c>
      <c r="LL537" s="273">
        <f>$H537*IF(LP537&lt;&gt;LF537,SUMIFS(axTER!$E$121:$E$128,axTER!$C$121:$C$128,LF537,axTER!$D$121:$D$128,LP537),SUMIFS(axTER!$E$133:$E$138,axTER!$C$133:$C$138,LP537)*LO$510)*$D$514/10^6</f>
        <v>332.25307649704285</v>
      </c>
      <c r="LM537" s="274">
        <f>$H537*IF(LQ537&lt;&gt;LG537,SUMIFS(axTER!$E$142:$E$148,axTER!$C$142:$C$148,LQ537),SUMIFS(axTER!$E$151:$E$157,axTER!$C$151:$C$157,LQ537)*LO$510)/10^6*$D$514</f>
        <v>29.072144193491248</v>
      </c>
      <c r="LN537" s="275" t="s">
        <v>268</v>
      </c>
      <c r="LO537" s="161" t="s">
        <v>265</v>
      </c>
      <c r="LP537" s="161" t="s">
        <v>255</v>
      </c>
      <c r="LQ537" s="161" t="s">
        <v>260</v>
      </c>
      <c r="LR537" s="276">
        <f>$H537*SUMIFS(axTER!$E$65:$E$105,axTER!$D$65:$D$105,LP537,axTER!$C$65:$C$105,LN537)/SUMIFS(axTER!$E$108:$E$114,axTER!$C$108:$C$114,LQ537)/10^9*$D$514</f>
        <v>1.7931118414126124</v>
      </c>
      <c r="LT537" s="273">
        <f t="shared" si="1014"/>
        <v>0</v>
      </c>
      <c r="LU537" s="273">
        <f t="shared" si="1015"/>
        <v>0</v>
      </c>
      <c r="LV537" s="273">
        <f>$H537*IF(LZ537&lt;&gt;LP537,SUMIFS(axTER!$E$121:$E$128,axTER!$C$121:$C$128,LP537,axTER!$D$121:$D$128,LZ537),SUMIFS(axTER!$E$133:$E$138,axTER!$C$133:$C$138,LZ537)*LY$510)*$D$514/10^6</f>
        <v>474.64725213863267</v>
      </c>
      <c r="LW537" s="274">
        <f>$H537*IF(MA537&lt;&gt;LQ537,SUMIFS(axTER!$E$142:$E$148,axTER!$C$142:$C$148,MA537),SUMIFS(axTER!$E$151:$E$157,axTER!$C$151:$C$157,MA537)*LY$510)/10^6*$D$514</f>
        <v>41.531634562130364</v>
      </c>
      <c r="LX537" s="275" t="s">
        <v>268</v>
      </c>
      <c r="LY537" s="161" t="s">
        <v>265</v>
      </c>
      <c r="LZ537" s="161" t="s">
        <v>255</v>
      </c>
      <c r="MA537" s="161" t="s">
        <v>260</v>
      </c>
      <c r="MB537" s="276">
        <f>$H537*SUMIFS(axTER!$E$65:$E$105,axTER!$D$65:$D$105,LZ537,axTER!$C$65:$C$105,LX537)/SUMIFS(axTER!$E$108:$E$114,axTER!$C$108:$C$114,MA537)/10^9*$D$514</f>
        <v>1.7931118414126124</v>
      </c>
      <c r="MD537" s="273">
        <f t="shared" si="1007"/>
        <v>0</v>
      </c>
      <c r="ME537" s="273">
        <f t="shared" si="1016"/>
        <v>0</v>
      </c>
      <c r="MF537" s="273">
        <f>$H537*IF(MJ537&lt;&gt;LZ537,SUMIFS(axTER!$E$121:$E$128,axTER!$C$121:$C$128,LZ537,axTER!$D$121:$D$128,MJ537),SUMIFS(axTER!$E$133:$E$138,axTER!$C$133:$C$138,MJ537)*MI$510)*$D$514/10^6</f>
        <v>474.64725213863267</v>
      </c>
      <c r="MG537" s="274">
        <f>$H537*IF(MK537&lt;&gt;MA537,SUMIFS(axTER!$E$142:$E$148,axTER!$C$142:$C$148,MK537),SUMIFS(axTER!$E$151:$E$157,axTER!$C$151:$C$157,MK537)*MI$510)/10^6*$D$514</f>
        <v>41.531634562130364</v>
      </c>
      <c r="MH537" s="275" t="s">
        <v>268</v>
      </c>
      <c r="MI537" s="161" t="s">
        <v>265</v>
      </c>
      <c r="MJ537" s="161" t="s">
        <v>255</v>
      </c>
      <c r="MK537" s="161" t="s">
        <v>260</v>
      </c>
      <c r="ML537" s="276">
        <f>$H537*SUMIFS(axTER!$E$65:$E$105,axTER!$D$65:$D$105,MJ537,axTER!$C$65:$C$105,MH537)/SUMIFS(axTER!$E$108:$E$114,axTER!$C$108:$C$114,MK537)/10^9*$D$514</f>
        <v>1.7931118414126124</v>
      </c>
    </row>
    <row r="538" spans="3:350" outlineLevel="1" x14ac:dyDescent="0.3">
      <c r="C538" s="282"/>
      <c r="D538" s="69"/>
      <c r="F538" s="266"/>
      <c r="H538" s="269">
        <v>1200</v>
      </c>
      <c r="I538" s="66" t="s">
        <v>268</v>
      </c>
      <c r="J538" s="66" t="s">
        <v>265</v>
      </c>
      <c r="K538" s="66" t="s">
        <v>255</v>
      </c>
      <c r="L538" s="66" t="s">
        <v>260</v>
      </c>
      <c r="M538" s="272">
        <f>$H538*SUMIFS(axTER!$E$65:$E$105,axTER!$C$65:$C$105,I538,axTER!$D$65:$D$105,K538)/SUMIFS(axTER!$E$108:$E$114,axTER!$C$108:$C$114,L538)/10^9*$D$514</f>
        <v>1.7931118414126124</v>
      </c>
      <c r="S538" s="269">
        <v>1200</v>
      </c>
      <c r="T538" s="66" t="s">
        <v>268</v>
      </c>
      <c r="U538" s="66" t="s">
        <v>265</v>
      </c>
      <c r="V538" s="66" t="s">
        <v>255</v>
      </c>
      <c r="W538" s="66" t="s">
        <v>260</v>
      </c>
      <c r="X538" s="272">
        <f>$H538*SUMIFS(axTER!$E$65:$E$105,axTER!$C$65:$C$105,T538,axTER!$D$65:$D$105,V538)/SUMIFS(axTER!$E$108:$E$114,axTER!$C$108:$C$114,W538)/10^9*$D$514</f>
        <v>1.7931118414126124</v>
      </c>
      <c r="AB538" s="273">
        <f>$H538*IF(AF538&lt;&gt;K538,SUMIFS(axTER!$E$121:$E$128,axTER!$C$121:$C$128,K538,axTER!$D$121:$D$128,AF538),SUMIFS(axTER!$E$133:$E$138,axTER!$C$133:$C$138,AF538)*AE$510)*$D$514/10^6</f>
        <v>474.64725213863267</v>
      </c>
      <c r="AC538" s="274">
        <f>$H538*IF(AG538&lt;&gt;L538,SUMIFS(axTER!$E$142:$E$148,axTER!$C$142:$C$148,AG538),SUMIFS(axTER!$E$151:$E$157,axTER!$C$151:$C$157,AG538)*AE$510)/10^6*$D$514</f>
        <v>41.531634562130364</v>
      </c>
      <c r="AD538" s="275" t="s">
        <v>268</v>
      </c>
      <c r="AE538" s="161" t="s">
        <v>265</v>
      </c>
      <c r="AF538" s="161" t="s">
        <v>255</v>
      </c>
      <c r="AG538" s="161" t="s">
        <v>260</v>
      </c>
      <c r="AH538" s="276">
        <f>$H538*SUMIFS(axTER!$E$65:$E$105,axTER!$D$65:$D$105,AF538,axTER!$C$65:$C$105,AD538)/SUMIFS(axTER!$E$108:$E$114,axTER!$C$108:$C$114,AG538)/10^9*$D$514</f>
        <v>1.7931118414126124</v>
      </c>
      <c r="AV538" s="273">
        <f>$H538*IF(AZ538&lt;&gt;AF538,SUMIFS(axTER!$E$121:$E$128,axTER!$C$121:$C$128,AF538,axTER!$D$121:$D$128,AZ538),SUMIFS(axTER!$E$133:$E$138,axTER!$C$133:$C$138,AZ538)*AY$510)*$D$514/10^6</f>
        <v>949.29450427726533</v>
      </c>
      <c r="AW538" s="274">
        <f>$H538*IF(BA538&lt;&gt;AG538,SUMIFS(axTER!$E$142:$E$148,axTER!$C$142:$C$148,BA538),SUMIFS(axTER!$E$151:$E$157,axTER!$C$151:$C$157,BA538)*AY$510)/10^6*$D$514</f>
        <v>949.29450427726533</v>
      </c>
      <c r="AX538" s="275" t="s">
        <v>268</v>
      </c>
      <c r="AY538" s="161" t="s">
        <v>265</v>
      </c>
      <c r="AZ538" s="161" t="s">
        <v>255</v>
      </c>
      <c r="BA538" s="161" t="s">
        <v>261</v>
      </c>
      <c r="BB538" s="276">
        <f>$H538*SUMIFS(axTER!$E$65:$E$105,axTER!$D$65:$D$105,AZ538,axTER!$C$65:$C$105,AX538)/SUMIFS(axTER!$E$108:$E$114,axTER!$C$108:$C$114,BA538)/10^9*$D$514</f>
        <v>0.53793355242378371</v>
      </c>
      <c r="IG538" s="269">
        <v>1200</v>
      </c>
      <c r="IH538" s="66" t="s">
        <v>268</v>
      </c>
      <c r="II538" s="66" t="s">
        <v>265</v>
      </c>
      <c r="IJ538" s="66" t="s">
        <v>255</v>
      </c>
      <c r="IK538" s="66" t="s">
        <v>260</v>
      </c>
      <c r="IL538" s="272">
        <f>$H538*SUMIFS(axTER!$E$65:$E$105,axTER!$C$65:$C$105,IH538,axTER!$D$65:$D$105,IJ538)/SUMIFS(axTER!$E$108:$E$114,axTER!$C$108:$C$114,IK538)/10^9*$D$514</f>
        <v>1.7931118414126124</v>
      </c>
      <c r="IO538" s="273">
        <f t="shared" si="1008"/>
        <v>0</v>
      </c>
      <c r="IP538" s="273">
        <f>$H538*IF(IT538&lt;&gt;IJ538,SUMIFS(axTER!$E$121:$E$128,axTER!$C$121:$C$128,IJ538,axTER!$D$121:$D$128,IT538),SUMIFS(axTER!$E$133:$E$138,axTER!$C$133:$C$138,IT538)*IS$510)*$D$514/10^6</f>
        <v>474.64725213863267</v>
      </c>
      <c r="IQ538" s="274">
        <f>$H538*IF(IU538&lt;&gt;IK538,SUMIFS(axTER!$E$142:$E$148,axTER!$C$142:$C$148,IU538),SUMIFS(axTER!$E$151:$E$157,axTER!$C$151:$C$157,IU538)*IS$510)/10^6*$D$514</f>
        <v>41.531634562130364</v>
      </c>
      <c r="IR538" s="275" t="s">
        <v>268</v>
      </c>
      <c r="IS538" s="161" t="s">
        <v>265</v>
      </c>
      <c r="IT538" s="161" t="s">
        <v>255</v>
      </c>
      <c r="IU538" s="161" t="s">
        <v>260</v>
      </c>
      <c r="IV538" s="276">
        <f>$H538*SUMIFS(axTER!$E$65:$E$105,axTER!$D$65:$D$105,IT538,axTER!$C$65:$C$105,IR538)/SUMIFS(axTER!$E$108:$E$114,axTER!$C$108:$C$114,IU538)/10^9*$D$514</f>
        <v>1.7931118414126124</v>
      </c>
      <c r="JI538" s="273">
        <f t="shared" si="1009"/>
        <v>0</v>
      </c>
      <c r="JJ538" s="273">
        <f>$H538*IF(JN538&lt;&gt;IT538,SUMIFS(axTER!$E$121:$E$128,axTER!$C$121:$C$128,IT538,axTER!$D$121:$D$128,JN538),SUMIFS(axTER!$E$133:$E$138,axTER!$C$133:$C$138,JN538)*JM$510)*$D$514/10^6</f>
        <v>949.29450427726533</v>
      </c>
      <c r="JK538" s="274">
        <f>$H538*IF(JO538&lt;&gt;IU538,SUMIFS(axTER!$E$142:$E$148,axTER!$C$142:$C$148,JO538),SUMIFS(axTER!$E$151:$E$157,axTER!$C$151:$C$157,JO538)*JM$510)/10^6*$D$514</f>
        <v>83.063269124260728</v>
      </c>
      <c r="JL538" s="275" t="s">
        <v>268</v>
      </c>
      <c r="JM538" s="161" t="s">
        <v>265</v>
      </c>
      <c r="JN538" s="161" t="s">
        <v>255</v>
      </c>
      <c r="JO538" s="161" t="s">
        <v>260</v>
      </c>
      <c r="JP538" s="276">
        <f>$H538*SUMIFS(axTER!$E$65:$E$105,axTER!$D$65:$D$105,JN538,axTER!$C$65:$C$105,JL538)/SUMIFS(axTER!$E$108:$E$114,axTER!$C$108:$C$114,JO538)/10^9*$D$514</f>
        <v>1.7931118414126124</v>
      </c>
      <c r="JR538" s="269">
        <v>1200</v>
      </c>
      <c r="JS538" s="66" t="s">
        <v>268</v>
      </c>
      <c r="JT538" s="66" t="s">
        <v>265</v>
      </c>
      <c r="JU538" s="66" t="s">
        <v>255</v>
      </c>
      <c r="JV538" s="66" t="s">
        <v>260</v>
      </c>
      <c r="JW538" s="272">
        <f>$H538*SUMIFS(axTER!$E$65:$E$105,axTER!$C$65:$C$105,JS538,axTER!$D$65:$D$105,JU538)/SUMIFS(axTER!$E$108:$E$114,axTER!$C$108:$C$114,JV538)/10^9*$D$514</f>
        <v>1.7931118414126124</v>
      </c>
      <c r="JY538" s="273">
        <f t="shared" si="1010"/>
        <v>0</v>
      </c>
      <c r="JZ538" s="273">
        <f t="shared" si="1005"/>
        <v>0</v>
      </c>
      <c r="KA538" s="273">
        <f>$H538*IF(KE538&lt;&gt;JU538,SUMIFS(axTER!$E$121:$E$128,axTER!$C$121:$C$128,JU538,axTER!$D$121:$D$128,KE538),SUMIFS(axTER!$E$133:$E$138,axTER!$C$133:$C$138,KE538)*KD$510)*$D$514/10^6</f>
        <v>332.25307649704285</v>
      </c>
      <c r="KB538" s="274">
        <f>$H538*IF(KF538&lt;&gt;JV538,SUMIFS(axTER!$E$142:$E$148,axTER!$C$142:$C$148,KF538),SUMIFS(axTER!$E$151:$E$157,axTER!$C$151:$C$157,KF538)*KD$510)/10^6*$D$514</f>
        <v>29.072144193491248</v>
      </c>
      <c r="KC538" s="275" t="s">
        <v>268</v>
      </c>
      <c r="KD538" s="161" t="s">
        <v>265</v>
      </c>
      <c r="KE538" s="161" t="s">
        <v>255</v>
      </c>
      <c r="KF538" s="161" t="s">
        <v>260</v>
      </c>
      <c r="KG538" s="276">
        <f>$H538*SUMIFS(axTER!$E$65:$E$105,axTER!$D$65:$D$105,KE538,axTER!$C$65:$C$105,KC538)/SUMIFS(axTER!$E$108:$E$114,axTER!$C$108:$C$114,KF538)/10^9*$D$514</f>
        <v>1.7931118414126124</v>
      </c>
      <c r="KS538" s="273">
        <f t="shared" si="1011"/>
        <v>0</v>
      </c>
      <c r="KT538" s="273">
        <f t="shared" si="1012"/>
        <v>1200</v>
      </c>
      <c r="KU538" s="273">
        <f>$H538*IF(KY538&lt;&gt;KE538,SUMIFS(axTER!$E$121:$E$128,axTER!$C$121:$C$128,KE538,axTER!$D$121:$D$128,KY538),SUMIFS(axTER!$E$133:$E$138,axTER!$C$133:$C$138,KY538)*KX$510)*$D$514/10^6</f>
        <v>1186.6181303465817</v>
      </c>
      <c r="KV538" s="274">
        <f>$H538*IF(KZ538&lt;&gt;KF538,SUMIFS(axTER!$E$142:$E$148,axTER!$C$142:$C$148,KZ538),SUMIFS(axTER!$E$151:$E$157,axTER!$C$151:$C$157,KZ538)*KX$510)/10^6*$D$514</f>
        <v>83.063269124260728</v>
      </c>
      <c r="KW538" s="275" t="s">
        <v>268</v>
      </c>
      <c r="KX538" s="161" t="s">
        <v>265</v>
      </c>
      <c r="KY538" s="161" t="s">
        <v>262</v>
      </c>
      <c r="KZ538" s="161" t="s">
        <v>260</v>
      </c>
      <c r="LA538" s="276">
        <f>$H538*SUMIFS(axTER!$E$65:$E$105,axTER!$D$65:$D$105,KY538,axTER!$C$65:$C$105,KW538)/SUMIFS(axTER!$E$108:$E$114,axTER!$C$108:$C$114,KZ538)/10^9*$D$514</f>
        <v>1.5821575071287757</v>
      </c>
      <c r="LC538" s="269">
        <v>1200</v>
      </c>
      <c r="LD538" s="66" t="s">
        <v>268</v>
      </c>
      <c r="LE538" s="66" t="s">
        <v>265</v>
      </c>
      <c r="LF538" s="66" t="s">
        <v>255</v>
      </c>
      <c r="LG538" s="66" t="s">
        <v>260</v>
      </c>
      <c r="LH538" s="272">
        <f>$H538*SUMIFS(axTER!$E$65:$E$105,axTER!$C$65:$C$105,LD538,axTER!$D$65:$D$105,LF538)/SUMIFS(axTER!$E$108:$E$114,axTER!$C$108:$C$114,LG538)/10^9*$D$514</f>
        <v>1.7931118414126124</v>
      </c>
      <c r="LJ538" s="273">
        <f t="shared" si="1013"/>
        <v>0</v>
      </c>
      <c r="LK538" s="273">
        <f t="shared" si="1017"/>
        <v>0</v>
      </c>
      <c r="LL538" s="273">
        <f>$H538*IF(LP538&lt;&gt;LF538,SUMIFS(axTER!$E$121:$E$128,axTER!$C$121:$C$128,LF538,axTER!$D$121:$D$128,LP538),SUMIFS(axTER!$E$133:$E$138,axTER!$C$133:$C$138,LP538)*LO$510)*$D$514/10^6</f>
        <v>332.25307649704285</v>
      </c>
      <c r="LM538" s="274">
        <f>$H538*IF(LQ538&lt;&gt;LG538,SUMIFS(axTER!$E$142:$E$148,axTER!$C$142:$C$148,LQ538),SUMIFS(axTER!$E$151:$E$157,axTER!$C$151:$C$157,LQ538)*LO$510)/10^6*$D$514</f>
        <v>29.072144193491248</v>
      </c>
      <c r="LN538" s="275" t="s">
        <v>268</v>
      </c>
      <c r="LO538" s="161" t="s">
        <v>265</v>
      </c>
      <c r="LP538" s="161" t="s">
        <v>255</v>
      </c>
      <c r="LQ538" s="161" t="s">
        <v>260</v>
      </c>
      <c r="LR538" s="276">
        <f>$H538*SUMIFS(axTER!$E$65:$E$105,axTER!$D$65:$D$105,LP538,axTER!$C$65:$C$105,LN538)/SUMIFS(axTER!$E$108:$E$114,axTER!$C$108:$C$114,LQ538)/10^9*$D$514</f>
        <v>1.7931118414126124</v>
      </c>
      <c r="LT538" s="273">
        <f t="shared" si="1014"/>
        <v>0</v>
      </c>
      <c r="LU538" s="273">
        <f t="shared" si="1015"/>
        <v>0</v>
      </c>
      <c r="LV538" s="273">
        <f>$H538*IF(LZ538&lt;&gt;LP538,SUMIFS(axTER!$E$121:$E$128,axTER!$C$121:$C$128,LP538,axTER!$D$121:$D$128,LZ538),SUMIFS(axTER!$E$133:$E$138,axTER!$C$133:$C$138,LZ538)*LY$510)*$D$514/10^6</f>
        <v>474.64725213863267</v>
      </c>
      <c r="LW538" s="274">
        <f>$H538*IF(MA538&lt;&gt;LQ538,SUMIFS(axTER!$E$142:$E$148,axTER!$C$142:$C$148,MA538),SUMIFS(axTER!$E$151:$E$157,axTER!$C$151:$C$157,MA538)*LY$510)/10^6*$D$514</f>
        <v>41.531634562130364</v>
      </c>
      <c r="LX538" s="275" t="s">
        <v>268</v>
      </c>
      <c r="LY538" s="161" t="s">
        <v>265</v>
      </c>
      <c r="LZ538" s="161" t="s">
        <v>255</v>
      </c>
      <c r="MA538" s="161" t="s">
        <v>260</v>
      </c>
      <c r="MB538" s="276">
        <f>$H538*SUMIFS(axTER!$E$65:$E$105,axTER!$D$65:$D$105,LZ538,axTER!$C$65:$C$105,LX538)/SUMIFS(axTER!$E$108:$E$114,axTER!$C$108:$C$114,MA538)/10^9*$D$514</f>
        <v>1.7931118414126124</v>
      </c>
      <c r="MD538" s="273" t="str">
        <f t="shared" si="1007"/>
        <v>ELEC-PAC</v>
      </c>
      <c r="ME538" s="273">
        <f t="shared" si="1016"/>
        <v>0</v>
      </c>
      <c r="MF538" s="273">
        <f>$H538*IF(MJ538&lt;&gt;LZ538,SUMIFS(axTER!$E$121:$E$128,axTER!$C$121:$C$128,LZ538,axTER!$D$121:$D$128,MJ538),SUMIFS(axTER!$E$133:$E$138,axTER!$C$133:$C$138,MJ538)*MI$510)*$D$514/10^6</f>
        <v>474.64725213863267</v>
      </c>
      <c r="MG538" s="274">
        <f>$H538*IF(MK538&lt;&gt;MA538,SUMIFS(axTER!$E$142:$E$148,axTER!$C$142:$C$148,MK538),SUMIFS(axTER!$E$151:$E$157,axTER!$C$151:$C$157,MK538)*MI$510)/10^6*$D$514</f>
        <v>949.29450427726533</v>
      </c>
      <c r="MH538" s="275" t="s">
        <v>268</v>
      </c>
      <c r="MI538" s="161" t="s">
        <v>265</v>
      </c>
      <c r="MJ538" s="161" t="s">
        <v>255</v>
      </c>
      <c r="MK538" s="161" t="s">
        <v>261</v>
      </c>
      <c r="ML538" s="276">
        <f>$H538*SUMIFS(axTER!$E$65:$E$105,axTER!$D$65:$D$105,MJ538,axTER!$C$65:$C$105,MH538)/SUMIFS(axTER!$E$108:$E$114,axTER!$C$108:$C$114,MK538)/10^9*$D$514</f>
        <v>0.53793355242378371</v>
      </c>
    </row>
    <row r="539" spans="3:350" outlineLevel="1" x14ac:dyDescent="0.3">
      <c r="C539" s="279"/>
      <c r="F539" s="266"/>
      <c r="H539" s="269">
        <v>1200</v>
      </c>
      <c r="I539" s="66" t="s">
        <v>268</v>
      </c>
      <c r="J539" s="66" t="s">
        <v>265</v>
      </c>
      <c r="K539" s="66" t="s">
        <v>255</v>
      </c>
      <c r="L539" s="283" t="s">
        <v>256</v>
      </c>
      <c r="M539" s="272">
        <f>$H539*SUMIFS(axTER!$E$65:$E$105,axTER!$C$65:$C$105,I539,axTER!$D$65:$D$105,K539)/SUMIFS(axTER!$E$108:$E$114,axTER!$C$108:$C$114,L539)/10^9*$D$514</f>
        <v>1.6987375339698432</v>
      </c>
      <c r="S539" s="269">
        <v>1200</v>
      </c>
      <c r="T539" s="66" t="s">
        <v>268</v>
      </c>
      <c r="U539" s="66" t="s">
        <v>265</v>
      </c>
      <c r="V539" s="66" t="s">
        <v>255</v>
      </c>
      <c r="W539" s="283" t="s">
        <v>256</v>
      </c>
      <c r="X539" s="272">
        <f>$H539*SUMIFS(axTER!$E$65:$E$105,axTER!$C$65:$C$105,T539,axTER!$D$65:$D$105,V539)/SUMIFS(axTER!$E$108:$E$114,axTER!$C$108:$C$114,W539)/10^9*$D$514</f>
        <v>1.6987375339698432</v>
      </c>
      <c r="AB539" s="273">
        <f>$H539*IF(AF539&lt;&gt;K539,SUMIFS(axTER!$E$121:$E$128,axTER!$C$121:$C$128,K539,axTER!$D$121:$D$128,AF539),SUMIFS(axTER!$E$133:$E$138,axTER!$C$133:$C$138,AF539)*AE$510)*$D$514/10^6</f>
        <v>474.64725213863267</v>
      </c>
      <c r="AC539" s="274">
        <f>$H539*IF(AG539&lt;&gt;L539,SUMIFS(axTER!$E$142:$E$148,axTER!$C$142:$C$148,AG539),SUMIFS(axTER!$E$151:$E$157,axTER!$C$151:$C$157,AG539)*AE$510)/10^6*$D$514</f>
        <v>74.756942211834655</v>
      </c>
      <c r="AD539" s="275" t="s">
        <v>268</v>
      </c>
      <c r="AE539" s="161" t="s">
        <v>265</v>
      </c>
      <c r="AF539" s="161" t="s">
        <v>255</v>
      </c>
      <c r="AG539" s="284" t="s">
        <v>256</v>
      </c>
      <c r="AH539" s="276">
        <f>$H539*SUMIFS(axTER!$E$65:$E$105,axTER!$D$65:$D$105,AF539,axTER!$C$65:$C$105,AD539)/SUMIFS(axTER!$E$108:$E$114,axTER!$C$108:$C$114,AG539)/10^9*$D$514</f>
        <v>1.6987375339698432</v>
      </c>
      <c r="AV539" s="273">
        <f>$H539*IF(AZ539&lt;&gt;AF539,SUMIFS(axTER!$E$121:$E$128,axTER!$C$121:$C$128,AF539,axTER!$D$121:$D$128,AZ539),SUMIFS(axTER!$E$133:$E$138,axTER!$C$133:$C$138,AZ539)*AY$510)*$D$514/10^6</f>
        <v>949.29450427726533</v>
      </c>
      <c r="AW539" s="274">
        <f>$H539*IF(BA539&lt;&gt;AG539,SUMIFS(axTER!$E$142:$E$148,axTER!$C$142:$C$148,BA539),SUMIFS(axTER!$E$151:$E$157,axTER!$C$151:$C$157,BA539)*AY$510)/10^6*$D$514</f>
        <v>149.51388442366931</v>
      </c>
      <c r="AX539" s="275" t="s">
        <v>268</v>
      </c>
      <c r="AY539" s="161" t="s">
        <v>265</v>
      </c>
      <c r="AZ539" s="161" t="s">
        <v>255</v>
      </c>
      <c r="BA539" s="284" t="s">
        <v>256</v>
      </c>
      <c r="BB539" s="276">
        <f>$H539*SUMIFS(axTER!$E$65:$E$105,axTER!$D$65:$D$105,AZ539,axTER!$C$65:$C$105,AX539)/SUMIFS(axTER!$E$108:$E$114,axTER!$C$108:$C$114,BA539)/10^9*$D$514</f>
        <v>1.6987375339698432</v>
      </c>
      <c r="IG539" s="269">
        <v>1200</v>
      </c>
      <c r="IH539" s="66" t="s">
        <v>268</v>
      </c>
      <c r="II539" s="66" t="s">
        <v>265</v>
      </c>
      <c r="IJ539" s="66" t="s">
        <v>255</v>
      </c>
      <c r="IK539" s="283" t="s">
        <v>256</v>
      </c>
      <c r="IL539" s="272">
        <f>$H539*SUMIFS(axTER!$E$65:$E$105,axTER!$C$65:$C$105,IH539,axTER!$D$65:$D$105,IJ539)/SUMIFS(axTER!$E$108:$E$114,axTER!$C$108:$C$114,IK539)/10^9*$D$514</f>
        <v>1.6987375339698432</v>
      </c>
      <c r="IO539" s="273">
        <f t="shared" si="1008"/>
        <v>1200</v>
      </c>
      <c r="IP539" s="273">
        <f>$H539*IF(IT539&lt;&gt;IJ539,SUMIFS(axTER!$E$121:$E$128,axTER!$C$121:$C$128,IJ539,axTER!$D$121:$D$128,IT539),SUMIFS(axTER!$E$133:$E$138,axTER!$C$133:$C$138,IT539)*IS$510)*$D$514/10^6</f>
        <v>5339.7815865596167</v>
      </c>
      <c r="IQ539" s="274">
        <f>$H539*IF(IU539&lt;&gt;IK539,SUMIFS(axTER!$E$142:$E$148,axTER!$C$142:$C$148,IU539),SUMIFS(axTER!$E$151:$E$157,axTER!$C$151:$C$157,IU539)*IS$510)/10^6*$D$514</f>
        <v>74.756942211834655</v>
      </c>
      <c r="IR539" s="275" t="s">
        <v>268</v>
      </c>
      <c r="IS539" s="161" t="s">
        <v>265</v>
      </c>
      <c r="IT539" s="277" t="s">
        <v>257</v>
      </c>
      <c r="IU539" s="284" t="s">
        <v>256</v>
      </c>
      <c r="IV539" s="276">
        <f>$H539*SUMIFS(axTER!$E$65:$E$105,axTER!$D$65:$D$105,IT539,axTER!$C$65:$C$105,IR539)/SUMIFS(axTER!$E$108:$E$114,axTER!$C$108:$C$114,IU539)/10^9*$D$514</f>
        <v>0.62453585807714818</v>
      </c>
      <c r="JI539" s="273">
        <f t="shared" si="1009"/>
        <v>1200</v>
      </c>
      <c r="JJ539" s="273">
        <f>$H539*IF(JN539&lt;&gt;IT539,SUMIFS(axTER!$E$121:$E$128,axTER!$C$121:$C$128,IT539,axTER!$D$121:$D$128,JN539),SUMIFS(axTER!$E$133:$E$138,axTER!$C$133:$C$138,JN539)*JM$510)*$D$514/10^6</f>
        <v>0</v>
      </c>
      <c r="JK539" s="274">
        <f>$H539*IF(JO539&lt;&gt;IU539,SUMIFS(axTER!$E$142:$E$148,axTER!$C$142:$C$148,JO539),SUMIFS(axTER!$E$151:$E$157,axTER!$C$151:$C$157,JO539)*JM$510)/10^6*$D$514</f>
        <v>149.51388442366931</v>
      </c>
      <c r="JL539" s="275" t="s">
        <v>268</v>
      </c>
      <c r="JM539" s="161" t="s">
        <v>265</v>
      </c>
      <c r="JN539" s="161" t="s">
        <v>255</v>
      </c>
      <c r="JO539" s="284" t="s">
        <v>256</v>
      </c>
      <c r="JP539" s="276">
        <f>$H539*SUMIFS(axTER!$E$65:$E$105,axTER!$D$65:$D$105,JN539,axTER!$C$65:$C$105,JL539)/SUMIFS(axTER!$E$108:$E$114,axTER!$C$108:$C$114,JO539)/10^9*$D$514</f>
        <v>1.6987375339698432</v>
      </c>
      <c r="JR539" s="269">
        <v>1200</v>
      </c>
      <c r="JS539" s="66" t="s">
        <v>268</v>
      </c>
      <c r="JT539" s="66" t="s">
        <v>265</v>
      </c>
      <c r="JU539" s="66" t="s">
        <v>255</v>
      </c>
      <c r="JV539" s="283" t="s">
        <v>256</v>
      </c>
      <c r="JW539" s="272">
        <f>$H539*SUMIFS(axTER!$E$65:$E$105,axTER!$C$65:$C$105,JS539,axTER!$D$65:$D$105,JU539)/SUMIFS(axTER!$E$108:$E$114,axTER!$C$108:$C$114,JV539)/10^9*$D$514</f>
        <v>1.6987375339698432</v>
      </c>
      <c r="JY539" s="273">
        <f t="shared" si="1010"/>
        <v>0</v>
      </c>
      <c r="JZ539" s="273">
        <f t="shared" si="1005"/>
        <v>1200</v>
      </c>
      <c r="KA539" s="273">
        <f>$H539*IF(KE539&lt;&gt;JU539,SUMIFS(axTER!$E$121:$E$128,axTER!$C$121:$C$128,JU539,axTER!$D$121:$D$128,KE539),SUMIFS(axTER!$E$133:$E$138,axTER!$C$133:$C$138,KE539)*KD$510)*$D$514/10^6</f>
        <v>5339.7815865596167</v>
      </c>
      <c r="KB539" s="274">
        <f>$H539*IF(KF539&lt;&gt;JV539,SUMIFS(axTER!$E$142:$E$148,axTER!$C$142:$C$148,KF539),SUMIFS(axTER!$E$151:$E$157,axTER!$C$151:$C$157,KF539)*KD$510)/10^6*$D$514</f>
        <v>52.329859548284254</v>
      </c>
      <c r="KC539" s="275" t="s">
        <v>268</v>
      </c>
      <c r="KD539" s="161" t="s">
        <v>265</v>
      </c>
      <c r="KE539" s="161" t="s">
        <v>257</v>
      </c>
      <c r="KF539" s="284" t="s">
        <v>256</v>
      </c>
      <c r="KG539" s="276">
        <f>$H539*SUMIFS(axTER!$E$65:$E$105,axTER!$D$65:$D$105,KE539,axTER!$C$65:$C$105,KC539)/SUMIFS(axTER!$E$108:$E$114,axTER!$C$108:$C$114,KF539)/10^9*$D$514</f>
        <v>0.62453585807714818</v>
      </c>
      <c r="KS539" s="273">
        <f t="shared" si="1011"/>
        <v>0</v>
      </c>
      <c r="KT539" s="273">
        <f t="shared" si="1012"/>
        <v>0</v>
      </c>
      <c r="KU539" s="273">
        <f>$H539*IF(KY539&lt;&gt;KE539,SUMIFS(axTER!$E$121:$E$128,axTER!$C$121:$C$128,KE539,axTER!$D$121:$D$128,KY539),SUMIFS(axTER!$E$133:$E$138,axTER!$C$133:$C$138,KY539)*KX$510)*$D$514/10^6</f>
        <v>355.98543910397444</v>
      </c>
      <c r="KV539" s="274">
        <f>$H539*IF(KZ539&lt;&gt;KF539,SUMIFS(axTER!$E$142:$E$148,axTER!$C$142:$C$148,KZ539),SUMIFS(axTER!$E$151:$E$157,axTER!$C$151:$C$157,KZ539)*KX$510)/10^6*$D$514</f>
        <v>149.51388442366931</v>
      </c>
      <c r="KW539" s="275" t="s">
        <v>268</v>
      </c>
      <c r="KX539" s="161" t="s">
        <v>265</v>
      </c>
      <c r="KY539" s="161" t="s">
        <v>257</v>
      </c>
      <c r="KZ539" s="284" t="s">
        <v>256</v>
      </c>
      <c r="LA539" s="276">
        <f>$H539*SUMIFS(axTER!$E$65:$E$105,axTER!$D$65:$D$105,KY539,axTER!$C$65:$C$105,KW539)/SUMIFS(axTER!$E$108:$E$114,axTER!$C$108:$C$114,KZ539)/10^9*$D$514</f>
        <v>0.62453585807714818</v>
      </c>
      <c r="LC539" s="269">
        <v>1200</v>
      </c>
      <c r="LD539" s="66" t="s">
        <v>268</v>
      </c>
      <c r="LE539" s="66" t="s">
        <v>265</v>
      </c>
      <c r="LF539" s="66" t="s">
        <v>255</v>
      </c>
      <c r="LG539" s="283" t="s">
        <v>256</v>
      </c>
      <c r="LH539" s="272">
        <f>$H539*SUMIFS(axTER!$E$65:$E$105,axTER!$C$65:$C$105,LD539,axTER!$D$65:$D$105,LF539)/SUMIFS(axTER!$E$108:$E$114,axTER!$C$108:$C$114,LG539)/10^9*$D$514</f>
        <v>1.6987375339698432</v>
      </c>
      <c r="LJ539" s="273" t="str">
        <f t="shared" si="1013"/>
        <v>ELEC-PAC</v>
      </c>
      <c r="LK539" s="273">
        <f t="shared" si="1017"/>
        <v>0</v>
      </c>
      <c r="LL539" s="273">
        <f>$H539*IF(LP539&lt;&gt;LF539,SUMIFS(axTER!$E$121:$E$128,axTER!$C$121:$C$128,LF539,axTER!$D$121:$D$128,LP539),SUMIFS(axTER!$E$133:$E$138,axTER!$C$133:$C$138,LP539)*LO$510)*$D$514/10^6</f>
        <v>332.25307649704285</v>
      </c>
      <c r="LM539" s="274">
        <f>$H539*IF(LQ539&lt;&gt;LG539,SUMIFS(axTER!$E$142:$E$148,axTER!$C$142:$C$148,LQ539),SUMIFS(axTER!$E$151:$E$157,axTER!$C$151:$C$157,LQ539)*LO$510)/10^6*$D$514</f>
        <v>949.29450427726533</v>
      </c>
      <c r="LN539" s="275" t="s">
        <v>268</v>
      </c>
      <c r="LO539" s="161" t="s">
        <v>265</v>
      </c>
      <c r="LP539" s="161" t="s">
        <v>255</v>
      </c>
      <c r="LQ539" s="161" t="s">
        <v>261</v>
      </c>
      <c r="LR539" s="276">
        <f>$H539*SUMIFS(axTER!$E$65:$E$105,axTER!$D$65:$D$105,LP539,axTER!$C$65:$C$105,LN539)/SUMIFS(axTER!$E$108:$E$114,axTER!$C$108:$C$114,LQ539)/10^9*$D$514</f>
        <v>0.53793355242378371</v>
      </c>
      <c r="LT539" s="273">
        <f t="shared" si="1014"/>
        <v>0</v>
      </c>
      <c r="LU539" s="273">
        <f t="shared" si="1015"/>
        <v>0</v>
      </c>
      <c r="LV539" s="273">
        <f>$H539*IF(LZ539&lt;&gt;LP539,SUMIFS(axTER!$E$121:$E$128,axTER!$C$121:$C$128,LP539,axTER!$D$121:$D$128,LZ539),SUMIFS(axTER!$E$133:$E$138,axTER!$C$133:$C$138,LZ539)*LY$510)*$D$514/10^6</f>
        <v>474.64725213863267</v>
      </c>
      <c r="LW539" s="274">
        <f>$H539*IF(MA539&lt;&gt;LQ539,SUMIFS(axTER!$E$142:$E$148,axTER!$C$142:$C$148,MA539),SUMIFS(axTER!$E$151:$E$157,axTER!$C$151:$C$157,MA539)*LY$510)/10^6*$D$514</f>
        <v>332.25307649704291</v>
      </c>
      <c r="LX539" s="275" t="s">
        <v>268</v>
      </c>
      <c r="LY539" s="161" t="s">
        <v>265</v>
      </c>
      <c r="LZ539" s="161" t="s">
        <v>255</v>
      </c>
      <c r="MA539" s="161" t="s">
        <v>261</v>
      </c>
      <c r="MB539" s="276">
        <f>$H539*SUMIFS(axTER!$E$65:$E$105,axTER!$D$65:$D$105,LZ539,axTER!$C$65:$C$105,LX539)/SUMIFS(axTER!$E$108:$E$114,axTER!$C$108:$C$114,MA539)/10^9*$D$514</f>
        <v>0.53793355242378371</v>
      </c>
      <c r="MD539" s="273">
        <f t="shared" si="1007"/>
        <v>0</v>
      </c>
      <c r="ME539" s="273">
        <f t="shared" si="1016"/>
        <v>0</v>
      </c>
      <c r="MF539" s="273">
        <f>$H539*IF(MJ539&lt;&gt;LZ539,SUMIFS(axTER!$E$121:$E$128,axTER!$C$121:$C$128,LZ539,axTER!$D$121:$D$128,MJ539),SUMIFS(axTER!$E$133:$E$138,axTER!$C$133:$C$138,MJ539)*MI$510)*$D$514/10^6</f>
        <v>474.64725213863267</v>
      </c>
      <c r="MG539" s="274">
        <f>$H539*IF(MK539&lt;&gt;MA539,SUMIFS(axTER!$E$142:$E$148,axTER!$C$142:$C$148,MK539),SUMIFS(axTER!$E$151:$E$157,axTER!$C$151:$C$157,MK539)*MI$510)/10^6*$D$514</f>
        <v>332.25307649704291</v>
      </c>
      <c r="MH539" s="275" t="s">
        <v>268</v>
      </c>
      <c r="MI539" s="161" t="s">
        <v>265</v>
      </c>
      <c r="MJ539" s="161" t="s">
        <v>255</v>
      </c>
      <c r="MK539" s="161" t="s">
        <v>261</v>
      </c>
      <c r="ML539" s="276">
        <f>$H539*SUMIFS(axTER!$E$65:$E$105,axTER!$D$65:$D$105,MJ539,axTER!$C$65:$C$105,MH539)/SUMIFS(axTER!$E$108:$E$114,axTER!$C$108:$C$114,MK539)/10^9*$D$514</f>
        <v>0.53793355242378371</v>
      </c>
    </row>
    <row r="540" spans="3:350" outlineLevel="1" x14ac:dyDescent="0.3">
      <c r="C540" s="279"/>
      <c r="D540" s="281"/>
      <c r="F540" s="266"/>
      <c r="H540" s="269">
        <v>750</v>
      </c>
      <c r="I540" s="66" t="s">
        <v>268</v>
      </c>
      <c r="J540" s="66" t="s">
        <v>265</v>
      </c>
      <c r="K540" s="66" t="s">
        <v>255</v>
      </c>
      <c r="L540" s="283" t="s">
        <v>256</v>
      </c>
      <c r="M540" s="272">
        <f>$H540*SUMIFS(axTER!$E$65:$E$105,axTER!$C$65:$C$105,I540,axTER!$D$65:$D$105,K540)/SUMIFS(axTER!$E$108:$E$114,axTER!$C$108:$C$114,L540)/10^9*$D$514</f>
        <v>1.061710958731152</v>
      </c>
      <c r="S540" s="269">
        <v>750</v>
      </c>
      <c r="T540" s="66" t="s">
        <v>268</v>
      </c>
      <c r="U540" s="66" t="s">
        <v>265</v>
      </c>
      <c r="V540" s="66" t="s">
        <v>255</v>
      </c>
      <c r="W540" s="283" t="s">
        <v>256</v>
      </c>
      <c r="X540" s="272">
        <f>$H540*SUMIFS(axTER!$E$65:$E$105,axTER!$C$65:$C$105,T540,axTER!$D$65:$D$105,V540)/SUMIFS(axTER!$E$108:$E$114,axTER!$C$108:$C$114,W540)/10^9*$D$514</f>
        <v>1.061710958731152</v>
      </c>
      <c r="AB540" s="273">
        <f>$H540*IF(AF540&lt;&gt;K540,SUMIFS(axTER!$E$121:$E$128,axTER!$C$121:$C$128,K540,axTER!$D$121:$D$128,AF540),SUMIFS(axTER!$E$133:$E$138,axTER!$C$133:$C$138,AF540)*AE$510)*$D$514/10^6</f>
        <v>296.65453258664542</v>
      </c>
      <c r="AC540" s="274">
        <f>$H540*IF(AG540&lt;&gt;L540,SUMIFS(axTER!$E$142:$E$148,axTER!$C$142:$C$148,AG540),SUMIFS(axTER!$E$151:$E$157,axTER!$C$151:$C$157,AG540)*AE$510)/10^6*$D$514</f>
        <v>46.723088882396659</v>
      </c>
      <c r="AD540" s="275" t="s">
        <v>268</v>
      </c>
      <c r="AE540" s="161" t="s">
        <v>265</v>
      </c>
      <c r="AF540" s="161" t="s">
        <v>255</v>
      </c>
      <c r="AG540" s="284" t="s">
        <v>256</v>
      </c>
      <c r="AH540" s="276">
        <f>$H540*SUMIFS(axTER!$E$65:$E$105,axTER!$D$65:$D$105,AF540,axTER!$C$65:$C$105,AD540)/SUMIFS(axTER!$E$108:$E$114,axTER!$C$108:$C$114,AG540)/10^9*$D$514</f>
        <v>1.061710958731152</v>
      </c>
      <c r="AV540" s="273">
        <f>$H540*IF(AZ540&lt;&gt;AF540,SUMIFS(axTER!$E$121:$E$128,axTER!$C$121:$C$128,AF540,axTER!$D$121:$D$128,AZ540),SUMIFS(axTER!$E$133:$E$138,axTER!$C$133:$C$138,AZ540)*AY$510)*$D$514/10^6</f>
        <v>593.30906517329083</v>
      </c>
      <c r="AW540" s="274">
        <f>$H540*IF(BA540&lt;&gt;AG540,SUMIFS(axTER!$E$142:$E$148,axTER!$C$142:$C$148,BA540),SUMIFS(axTER!$E$151:$E$157,axTER!$C$151:$C$157,BA540)*AY$510)/10^6*$D$514</f>
        <v>93.446177764793319</v>
      </c>
      <c r="AX540" s="275" t="s">
        <v>268</v>
      </c>
      <c r="AY540" s="161" t="s">
        <v>265</v>
      </c>
      <c r="AZ540" s="161" t="s">
        <v>255</v>
      </c>
      <c r="BA540" s="284" t="s">
        <v>256</v>
      </c>
      <c r="BB540" s="276">
        <f>$H540*SUMIFS(axTER!$E$65:$E$105,axTER!$D$65:$D$105,AZ540,axTER!$C$65:$C$105,AX540)/SUMIFS(axTER!$E$108:$E$114,axTER!$C$108:$C$114,BA540)/10^9*$D$514</f>
        <v>1.061710958731152</v>
      </c>
      <c r="IG540" s="269">
        <v>750</v>
      </c>
      <c r="IH540" s="66" t="s">
        <v>268</v>
      </c>
      <c r="II540" s="66" t="s">
        <v>265</v>
      </c>
      <c r="IJ540" s="66" t="s">
        <v>255</v>
      </c>
      <c r="IK540" s="283" t="s">
        <v>256</v>
      </c>
      <c r="IL540" s="272">
        <f>$H540*SUMIFS(axTER!$E$65:$E$105,axTER!$C$65:$C$105,IH540,axTER!$D$65:$D$105,IJ540)/SUMIFS(axTER!$E$108:$E$114,axTER!$C$108:$C$114,IK540)/10^9*$D$514</f>
        <v>1.061710958731152</v>
      </c>
      <c r="IO540" s="273">
        <f t="shared" si="1008"/>
        <v>0</v>
      </c>
      <c r="IP540" s="273">
        <f>$H540*IF(IT540&lt;&gt;IJ540,SUMIFS(axTER!$E$121:$E$128,axTER!$C$121:$C$128,IJ540,axTER!$D$121:$D$128,IT540),SUMIFS(axTER!$E$133:$E$138,axTER!$C$133:$C$138,IT540)*IS$510)*$D$514/10^6</f>
        <v>296.65453258664542</v>
      </c>
      <c r="IQ540" s="274">
        <f>$H540*IF(IU540&lt;&gt;IK540,SUMIFS(axTER!$E$142:$E$148,axTER!$C$142:$C$148,IU540),SUMIFS(axTER!$E$151:$E$157,axTER!$C$151:$C$157,IU540)*IS$510)/10^6*$D$514</f>
        <v>46.723088882396659</v>
      </c>
      <c r="IR540" s="275" t="s">
        <v>268</v>
      </c>
      <c r="IS540" s="161" t="s">
        <v>265</v>
      </c>
      <c r="IT540" s="161" t="s">
        <v>255</v>
      </c>
      <c r="IU540" s="284" t="s">
        <v>256</v>
      </c>
      <c r="IV540" s="276">
        <f>$H540*SUMIFS(axTER!$E$65:$E$105,axTER!$D$65:$D$105,IT540,axTER!$C$65:$C$105,IR540)/SUMIFS(axTER!$E$108:$E$114,axTER!$C$108:$C$114,IU540)/10^9*$D$514</f>
        <v>1.061710958731152</v>
      </c>
      <c r="JI540" s="273">
        <f t="shared" si="1009"/>
        <v>0</v>
      </c>
      <c r="JJ540" s="273">
        <f>$H540*IF(JN540&lt;&gt;IT540,SUMIFS(axTER!$E$121:$E$128,axTER!$C$121:$C$128,IT540,axTER!$D$121:$D$128,JN540),SUMIFS(axTER!$E$133:$E$138,axTER!$C$133:$C$138,JN540)*JM$510)*$D$514/10^6</f>
        <v>593.30906517329083</v>
      </c>
      <c r="JK540" s="274">
        <f>$H540*IF(JO540&lt;&gt;IU540,SUMIFS(axTER!$E$142:$E$148,axTER!$C$142:$C$148,JO540),SUMIFS(axTER!$E$151:$E$157,axTER!$C$151:$C$157,JO540)*JM$510)/10^6*$D$514</f>
        <v>93.446177764793319</v>
      </c>
      <c r="JL540" s="275" t="s">
        <v>268</v>
      </c>
      <c r="JM540" s="161" t="s">
        <v>265</v>
      </c>
      <c r="JN540" s="161" t="s">
        <v>255</v>
      </c>
      <c r="JO540" s="284" t="s">
        <v>256</v>
      </c>
      <c r="JP540" s="276">
        <f>$H540*SUMIFS(axTER!$E$65:$E$105,axTER!$D$65:$D$105,JN540,axTER!$C$65:$C$105,JL540)/SUMIFS(axTER!$E$108:$E$114,axTER!$C$108:$C$114,JO540)/10^9*$D$514</f>
        <v>1.061710958731152</v>
      </c>
      <c r="JR540" s="269">
        <v>750</v>
      </c>
      <c r="JS540" s="66" t="s">
        <v>268</v>
      </c>
      <c r="JT540" s="66" t="s">
        <v>265</v>
      </c>
      <c r="JU540" s="66" t="s">
        <v>255</v>
      </c>
      <c r="JV540" s="283" t="s">
        <v>256</v>
      </c>
      <c r="JW540" s="272">
        <f>$H540*SUMIFS(axTER!$E$65:$E$105,axTER!$C$65:$C$105,JS540,axTER!$D$65:$D$105,JU540)/SUMIFS(axTER!$E$108:$E$114,axTER!$C$108:$C$114,JV540)/10^9*$D$514</f>
        <v>1.061710958731152</v>
      </c>
      <c r="JY540" s="273">
        <f t="shared" si="1010"/>
        <v>0</v>
      </c>
      <c r="JZ540" s="273">
        <f t="shared" si="1005"/>
        <v>0</v>
      </c>
      <c r="KA540" s="273">
        <f>$H540*IF(KE540&lt;&gt;JU540,SUMIFS(axTER!$E$121:$E$128,axTER!$C$121:$C$128,JU540,axTER!$D$121:$D$128,KE540),SUMIFS(axTER!$E$133:$E$138,axTER!$C$133:$C$138,KE540)*KD$510)*$D$514/10^6</f>
        <v>207.65817281065179</v>
      </c>
      <c r="KB540" s="274">
        <f>$H540*IF(KF540&lt;&gt;JV540,SUMIFS(axTER!$E$142:$E$148,axTER!$C$142:$C$148,KF540),SUMIFS(axTER!$E$151:$E$157,axTER!$C$151:$C$157,KF540)*KD$510)/10^6*$D$514</f>
        <v>32.706162217677665</v>
      </c>
      <c r="KC540" s="275" t="s">
        <v>268</v>
      </c>
      <c r="KD540" s="161" t="s">
        <v>265</v>
      </c>
      <c r="KE540" s="161" t="s">
        <v>255</v>
      </c>
      <c r="KF540" s="284" t="s">
        <v>256</v>
      </c>
      <c r="KG540" s="276">
        <f>$H540*SUMIFS(axTER!$E$65:$E$105,axTER!$D$65:$D$105,KE540,axTER!$C$65:$C$105,KC540)/SUMIFS(axTER!$E$108:$E$114,axTER!$C$108:$C$114,KF540)/10^9*$D$514</f>
        <v>1.061710958731152</v>
      </c>
      <c r="KS540" s="273" t="str">
        <f t="shared" si="1011"/>
        <v>ELEC-PAC</v>
      </c>
      <c r="KT540" s="273">
        <f t="shared" si="1012"/>
        <v>750</v>
      </c>
      <c r="KU540" s="273">
        <f>$H540*IF(KY540&lt;&gt;KE540,SUMIFS(axTER!$E$121:$E$128,axTER!$C$121:$C$128,KE540,axTER!$D$121:$D$128,KY540),SUMIFS(axTER!$E$133:$E$138,axTER!$C$133:$C$138,KY540)*KX$510)*$D$514/10^6</f>
        <v>1483.2726629332271</v>
      </c>
      <c r="KV540" s="274">
        <f>$H540*IF(KZ540&lt;&gt;KF540,SUMIFS(axTER!$E$142:$E$148,axTER!$C$142:$C$148,KZ540),SUMIFS(axTER!$E$151:$E$157,axTER!$C$151:$C$157,KZ540)*KX$510)/10^6*$D$514</f>
        <v>593.30906517329083</v>
      </c>
      <c r="KW540" s="275" t="s">
        <v>268</v>
      </c>
      <c r="KX540" s="161" t="s">
        <v>265</v>
      </c>
      <c r="KY540" s="161" t="s">
        <v>264</v>
      </c>
      <c r="KZ540" s="161" t="s">
        <v>261</v>
      </c>
      <c r="LA540" s="276">
        <f>$H540*SUMIFS(axTER!$E$65:$E$105,axTER!$D$65:$D$105,KY540,axTER!$C$65:$C$105,KW540)/SUMIFS(axTER!$E$108:$E$114,axTER!$C$108:$C$114,KZ540)/10^9*$D$514</f>
        <v>0.19776968839109696</v>
      </c>
      <c r="LC540" s="269">
        <v>750</v>
      </c>
      <c r="LD540" s="66" t="s">
        <v>268</v>
      </c>
      <c r="LE540" s="66" t="s">
        <v>265</v>
      </c>
      <c r="LF540" s="66" t="s">
        <v>255</v>
      </c>
      <c r="LG540" s="283" t="s">
        <v>256</v>
      </c>
      <c r="LH540" s="272">
        <f>$H540*SUMIFS(axTER!$E$65:$E$105,axTER!$C$65:$C$105,LD540,axTER!$D$65:$D$105,LF540)/SUMIFS(axTER!$E$108:$E$114,axTER!$C$108:$C$114,LG540)/10^9*$D$514</f>
        <v>1.061710958731152</v>
      </c>
      <c r="LJ540" s="273">
        <f t="shared" si="1013"/>
        <v>0</v>
      </c>
      <c r="LK540" s="273">
        <f t="shared" si="1017"/>
        <v>0</v>
      </c>
      <c r="LL540" s="273">
        <f>$H540*IF(LP540&lt;&gt;LF540,SUMIFS(axTER!$E$121:$E$128,axTER!$C$121:$C$128,LF540,axTER!$D$121:$D$128,LP540),SUMIFS(axTER!$E$133:$E$138,axTER!$C$133:$C$138,LP540)*LO$510)*$D$514/10^6</f>
        <v>207.65817281065179</v>
      </c>
      <c r="LM540" s="274">
        <f>$H540*IF(LQ540&lt;&gt;LG540,SUMIFS(axTER!$E$142:$E$148,axTER!$C$142:$C$148,LQ540),SUMIFS(axTER!$E$151:$E$157,axTER!$C$151:$C$157,LQ540)*LO$510)/10^6*$D$514</f>
        <v>32.706162217677665</v>
      </c>
      <c r="LN540" s="275" t="s">
        <v>268</v>
      </c>
      <c r="LO540" s="161" t="s">
        <v>265</v>
      </c>
      <c r="LP540" s="161" t="s">
        <v>255</v>
      </c>
      <c r="LQ540" s="161" t="s">
        <v>256</v>
      </c>
      <c r="LR540" s="276">
        <f>$H540*SUMIFS(axTER!$E$65:$E$105,axTER!$D$65:$D$105,LP540,axTER!$C$65:$C$105,LN540)/SUMIFS(axTER!$E$108:$E$114,axTER!$C$108:$C$114,LQ540)/10^9*$D$514</f>
        <v>1.061710958731152</v>
      </c>
      <c r="LT540" s="273">
        <f t="shared" si="1014"/>
        <v>0</v>
      </c>
      <c r="LU540" s="273">
        <f t="shared" si="1015"/>
        <v>0</v>
      </c>
      <c r="LV540" s="273">
        <f>$H540*IF(LZ540&lt;&gt;LP540,SUMIFS(axTER!$E$121:$E$128,axTER!$C$121:$C$128,LP540,axTER!$D$121:$D$128,LZ540),SUMIFS(axTER!$E$133:$E$138,axTER!$C$133:$C$138,LZ540)*LY$510)*$D$514/10^6</f>
        <v>296.65453258664542</v>
      </c>
      <c r="LW540" s="274">
        <f>$H540*IF(MA540&lt;&gt;LQ540,SUMIFS(axTER!$E$142:$E$148,axTER!$C$142:$C$148,MA540),SUMIFS(axTER!$E$151:$E$157,axTER!$C$151:$C$157,MA540)*LY$510)/10^6*$D$514</f>
        <v>46.723088882396659</v>
      </c>
      <c r="LX540" s="275" t="s">
        <v>268</v>
      </c>
      <c r="LY540" s="161" t="s">
        <v>265</v>
      </c>
      <c r="LZ540" s="161" t="s">
        <v>255</v>
      </c>
      <c r="MA540" s="161" t="s">
        <v>256</v>
      </c>
      <c r="MB540" s="276">
        <f>$H540*SUMIFS(axTER!$E$65:$E$105,axTER!$D$65:$D$105,LZ540,axTER!$C$65:$C$105,LX540)/SUMIFS(axTER!$E$108:$E$114,axTER!$C$108:$C$114,MA540)/10^9*$D$514</f>
        <v>1.061710958731152</v>
      </c>
      <c r="MD540" s="273" t="str">
        <f t="shared" si="1007"/>
        <v>ELEC-PAC</v>
      </c>
      <c r="ME540" s="273">
        <f t="shared" si="1016"/>
        <v>0</v>
      </c>
      <c r="MF540" s="273">
        <f>$H540*IF(MJ540&lt;&gt;LZ540,SUMIFS(axTER!$E$121:$E$128,axTER!$C$121:$C$128,LZ540,axTER!$D$121:$D$128,MJ540),SUMIFS(axTER!$E$133:$E$138,axTER!$C$133:$C$138,MJ540)*MI$510)*$D$514/10^6</f>
        <v>296.65453258664542</v>
      </c>
      <c r="MG540" s="274">
        <f>$H540*IF(MK540&lt;&gt;MA540,SUMIFS(axTER!$E$142:$E$148,axTER!$C$142:$C$148,MK540),SUMIFS(axTER!$E$151:$E$157,axTER!$C$151:$C$157,MK540)*MI$510)/10^6*$D$514</f>
        <v>593.30906517329083</v>
      </c>
      <c r="MH540" s="275" t="s">
        <v>268</v>
      </c>
      <c r="MI540" s="161" t="s">
        <v>265</v>
      </c>
      <c r="MJ540" s="161" t="s">
        <v>255</v>
      </c>
      <c r="MK540" s="161" t="s">
        <v>261</v>
      </c>
      <c r="ML540" s="276">
        <f>$H540*SUMIFS(axTER!$E$65:$E$105,axTER!$D$65:$D$105,MJ540,axTER!$C$65:$C$105,MH540)/SUMIFS(axTER!$E$108:$E$114,axTER!$C$108:$C$114,MK540)/10^9*$D$514</f>
        <v>0.33620847026486478</v>
      </c>
    </row>
    <row r="541" spans="3:350" outlineLevel="1" x14ac:dyDescent="0.3">
      <c r="C541" s="265"/>
      <c r="D541" s="69"/>
      <c r="F541" s="266"/>
      <c r="H541" s="269">
        <v>400</v>
      </c>
      <c r="I541" s="66" t="s">
        <v>268</v>
      </c>
      <c r="J541" s="66" t="s">
        <v>265</v>
      </c>
      <c r="K541" s="66" t="s">
        <v>255</v>
      </c>
      <c r="L541" s="66" t="s">
        <v>267</v>
      </c>
      <c r="M541" s="272">
        <f>$H541*SUMIFS(axTER!$E$65:$E$105,axTER!$C$65:$C$105,I541,axTER!$D$65:$D$105,K541)/SUMIFS(axTER!$E$108:$E$114,axTER!$C$108:$C$114,L541)/10^9*$D$514</f>
        <v>0.59770394713753738</v>
      </c>
      <c r="S541" s="269">
        <v>400</v>
      </c>
      <c r="T541" s="66" t="s">
        <v>268</v>
      </c>
      <c r="U541" s="66" t="s">
        <v>265</v>
      </c>
      <c r="V541" s="66" t="s">
        <v>255</v>
      </c>
      <c r="W541" s="66" t="s">
        <v>267</v>
      </c>
      <c r="X541" s="272">
        <f>$H541*SUMIFS(axTER!$E$65:$E$105,axTER!$C$65:$C$105,T541,axTER!$D$65:$D$105,V541)/SUMIFS(axTER!$E$108:$E$114,axTER!$C$108:$C$114,W541)/10^9*$D$514</f>
        <v>0.59770394713753738</v>
      </c>
      <c r="AB541" s="273">
        <f>$H541*IF(AF541&lt;&gt;K541,SUMIFS(axTER!$E$121:$E$128,axTER!$C$121:$C$128,K541,axTER!$D$121:$D$128,AF541),SUMIFS(axTER!$E$133:$E$138,axTER!$C$133:$C$138,AF541)*AE$510)*$D$514/10^6</f>
        <v>158.21575071287754</v>
      </c>
      <c r="AC541" s="274">
        <f>$H541*IF(AG541&lt;&gt;L541,SUMIFS(axTER!$E$142:$E$148,axTER!$C$142:$C$148,AG541),SUMIFS(axTER!$E$151:$E$157,axTER!$C$151:$C$157,AG541)*AE$510)/10^6*$D$514</f>
        <v>33.225307649704284</v>
      </c>
      <c r="AD541" s="275" t="s">
        <v>268</v>
      </c>
      <c r="AE541" s="161" t="s">
        <v>265</v>
      </c>
      <c r="AF541" s="161" t="s">
        <v>255</v>
      </c>
      <c r="AG541" s="161" t="s">
        <v>267</v>
      </c>
      <c r="AH541" s="276">
        <f>$H541*SUMIFS(axTER!$E$65:$E$105,axTER!$D$65:$D$105,AF541,axTER!$C$65:$C$105,AD541)/SUMIFS(axTER!$E$108:$E$114,axTER!$C$108:$C$114,AG541)/10^9*$D$514</f>
        <v>0.59770394713753738</v>
      </c>
      <c r="AV541" s="273">
        <f>$H541*IF(AZ541&lt;&gt;AF541,SUMIFS(axTER!$E$121:$E$128,axTER!$C$121:$C$128,AF541,axTER!$D$121:$D$128,AZ541),SUMIFS(axTER!$E$133:$E$138,axTER!$C$133:$C$138,AZ541)*AY$510)*$D$514/10^6</f>
        <v>316.43150142575507</v>
      </c>
      <c r="AW541" s="274">
        <f>$H541*IF(BA541&lt;&gt;AG541,SUMIFS(axTER!$E$142:$E$148,axTER!$C$142:$C$148,BA541),SUMIFS(axTER!$E$151:$E$157,axTER!$C$151:$C$157,BA541)*AY$510)/10^6*$D$514</f>
        <v>316.43150142575507</v>
      </c>
      <c r="AX541" s="275" t="s">
        <v>268</v>
      </c>
      <c r="AY541" s="161" t="s">
        <v>265</v>
      </c>
      <c r="AZ541" s="161" t="s">
        <v>255</v>
      </c>
      <c r="BA541" s="161" t="s">
        <v>261</v>
      </c>
      <c r="BB541" s="276">
        <f>$H541*SUMIFS(axTER!$E$65:$E$105,axTER!$D$65:$D$105,AZ541,axTER!$C$65:$C$105,AX541)/SUMIFS(axTER!$E$108:$E$114,axTER!$C$108:$C$114,BA541)/10^9*$D$514</f>
        <v>0.17931118414126121</v>
      </c>
      <c r="IG541" s="269">
        <v>400</v>
      </c>
      <c r="IH541" s="66" t="s">
        <v>268</v>
      </c>
      <c r="II541" s="66" t="s">
        <v>265</v>
      </c>
      <c r="IJ541" s="66" t="s">
        <v>255</v>
      </c>
      <c r="IK541" s="66" t="s">
        <v>267</v>
      </c>
      <c r="IL541" s="272">
        <f>$H541*SUMIFS(axTER!$E$65:$E$105,axTER!$C$65:$C$105,IH541,axTER!$D$65:$D$105,IJ541)/SUMIFS(axTER!$E$108:$E$114,axTER!$C$108:$C$114,IK541)/10^9*$D$514</f>
        <v>0.59770394713753738</v>
      </c>
      <c r="IO541" s="273">
        <f t="shared" si="1008"/>
        <v>0</v>
      </c>
      <c r="IP541" s="273">
        <f>$H541*IF(IT541&lt;&gt;IJ541,SUMIFS(axTER!$E$121:$E$128,axTER!$C$121:$C$128,IJ541,axTER!$D$121:$D$128,IT541),SUMIFS(axTER!$E$133:$E$138,axTER!$C$133:$C$138,IT541)*IS$510)*$D$514/10^6</f>
        <v>158.21575071287754</v>
      </c>
      <c r="IQ541" s="274">
        <f>$H541*IF(IU541&lt;&gt;IK541,SUMIFS(axTER!$E$142:$E$148,axTER!$C$142:$C$148,IU541),SUMIFS(axTER!$E$151:$E$157,axTER!$C$151:$C$157,IU541)*IS$510)/10^6*$D$514</f>
        <v>33.225307649704284</v>
      </c>
      <c r="IR541" s="275" t="s">
        <v>268</v>
      </c>
      <c r="IS541" s="161" t="s">
        <v>265</v>
      </c>
      <c r="IT541" s="161" t="s">
        <v>255</v>
      </c>
      <c r="IU541" s="161" t="s">
        <v>267</v>
      </c>
      <c r="IV541" s="276">
        <f>$H541*SUMIFS(axTER!$E$65:$E$105,axTER!$D$65:$D$105,IT541,axTER!$C$65:$C$105,IR541)/SUMIFS(axTER!$E$108:$E$114,axTER!$C$108:$C$114,IU541)/10^9*$D$514</f>
        <v>0.59770394713753738</v>
      </c>
      <c r="JI541" s="273">
        <f t="shared" si="1009"/>
        <v>0</v>
      </c>
      <c r="JJ541" s="273">
        <f>$H541*IF(JN541&lt;&gt;IT541,SUMIFS(axTER!$E$121:$E$128,axTER!$C$121:$C$128,IT541,axTER!$D$121:$D$128,JN541),SUMIFS(axTER!$E$133:$E$138,axTER!$C$133:$C$138,JN541)*JM$510)*$D$514/10^6</f>
        <v>316.43150142575507</v>
      </c>
      <c r="JK541" s="274">
        <f>$H541*IF(JO541&lt;&gt;IU541,SUMIFS(axTER!$E$142:$E$148,axTER!$C$142:$C$148,JO541),SUMIFS(axTER!$E$151:$E$157,axTER!$C$151:$C$157,JO541)*JM$510)/10^6*$D$514</f>
        <v>66.450615299408568</v>
      </c>
      <c r="JL541" s="275" t="s">
        <v>268</v>
      </c>
      <c r="JM541" s="161" t="s">
        <v>265</v>
      </c>
      <c r="JN541" s="161" t="s">
        <v>255</v>
      </c>
      <c r="JO541" s="161" t="s">
        <v>267</v>
      </c>
      <c r="JP541" s="276">
        <f>$H541*SUMIFS(axTER!$E$65:$E$105,axTER!$D$65:$D$105,JN541,axTER!$C$65:$C$105,JL541)/SUMIFS(axTER!$E$108:$E$114,axTER!$C$108:$C$114,JO541)/10^9*$D$514</f>
        <v>0.59770394713753738</v>
      </c>
      <c r="JR541" s="269">
        <v>400</v>
      </c>
      <c r="JS541" s="66" t="s">
        <v>268</v>
      </c>
      <c r="JT541" s="66" t="s">
        <v>265</v>
      </c>
      <c r="JU541" s="66" t="s">
        <v>255</v>
      </c>
      <c r="JV541" s="66" t="s">
        <v>267</v>
      </c>
      <c r="JW541" s="272">
        <f>$H541*SUMIFS(axTER!$E$65:$E$105,axTER!$C$65:$C$105,JS541,axTER!$D$65:$D$105,JU541)/SUMIFS(axTER!$E$108:$E$114,axTER!$C$108:$C$114,JV541)/10^9*$D$514</f>
        <v>0.59770394713753738</v>
      </c>
      <c r="JY541" s="273" t="str">
        <f t="shared" si="1010"/>
        <v>ELEC-PAC</v>
      </c>
      <c r="JZ541" s="273">
        <f t="shared" si="1005"/>
        <v>400</v>
      </c>
      <c r="KA541" s="273">
        <f>$H541*IF(KE541&lt;&gt;JU541,SUMIFS(axTER!$E$121:$E$128,axTER!$C$121:$C$128,JU541,axTER!$D$121:$D$128,KE541),SUMIFS(axTER!$E$133:$E$138,axTER!$C$133:$C$138,KE541)*KD$510)*$D$514/10^6</f>
        <v>395.53937678219381</v>
      </c>
      <c r="KB541" s="274">
        <f>$H541*IF(KF541&lt;&gt;JV541,SUMIFS(axTER!$E$142:$E$148,axTER!$C$142:$C$148,KF541),SUMIFS(axTER!$E$151:$E$157,axTER!$C$151:$C$157,KF541)*KD$510)/10^6*$D$514</f>
        <v>316.43150142575507</v>
      </c>
      <c r="KC541" s="275" t="s">
        <v>268</v>
      </c>
      <c r="KD541" s="161" t="s">
        <v>265</v>
      </c>
      <c r="KE541" s="161" t="s">
        <v>262</v>
      </c>
      <c r="KF541" s="161" t="s">
        <v>261</v>
      </c>
      <c r="KG541" s="276">
        <f>$H541*SUMIFS(axTER!$E$65:$E$105,axTER!$D$65:$D$105,KE541,axTER!$C$65:$C$105,KC541)/SUMIFS(axTER!$E$108:$E$114,axTER!$C$108:$C$114,KF541)/10^9*$D$514</f>
        <v>0.15821575071287755</v>
      </c>
      <c r="KS541" s="273">
        <f t="shared" si="1011"/>
        <v>0</v>
      </c>
      <c r="KT541" s="273">
        <f t="shared" si="1012"/>
        <v>0</v>
      </c>
      <c r="KU541" s="273">
        <f>$H541*IF(KY541&lt;&gt;KE541,SUMIFS(axTER!$E$121:$E$128,axTER!$C$121:$C$128,KE541,axTER!$D$121:$D$128,KY541),SUMIFS(axTER!$E$133:$E$138,axTER!$C$133:$C$138,KY541)*KX$510)*$D$514/10^6</f>
        <v>118.66181303465817</v>
      </c>
      <c r="KV541" s="274">
        <f>$H541*IF(KZ541&lt;&gt;KF541,SUMIFS(axTER!$E$142:$E$148,axTER!$C$142:$C$148,KZ541),SUMIFS(axTER!$E$151:$E$157,axTER!$C$151:$C$157,KZ541)*KX$510)/10^6*$D$514</f>
        <v>221.50205099802861</v>
      </c>
      <c r="KW541" s="275" t="s">
        <v>268</v>
      </c>
      <c r="KX541" s="161" t="s">
        <v>265</v>
      </c>
      <c r="KY541" s="161" t="s">
        <v>262</v>
      </c>
      <c r="KZ541" s="161" t="s">
        <v>261</v>
      </c>
      <c r="LA541" s="276">
        <f>$H541*SUMIFS(axTER!$E$65:$E$105,axTER!$D$65:$D$105,KY541,axTER!$C$65:$C$105,KW541)/SUMIFS(axTER!$E$108:$E$114,axTER!$C$108:$C$114,KZ541)/10^9*$D$514</f>
        <v>0.15821575071287755</v>
      </c>
      <c r="LC541" s="269">
        <v>400</v>
      </c>
      <c r="LD541" s="66" t="s">
        <v>268</v>
      </c>
      <c r="LE541" s="66" t="s">
        <v>265</v>
      </c>
      <c r="LF541" s="66" t="s">
        <v>255</v>
      </c>
      <c r="LG541" s="66" t="s">
        <v>267</v>
      </c>
      <c r="LH541" s="272">
        <f>$H541*SUMIFS(axTER!$E$65:$E$105,axTER!$C$65:$C$105,LD541,axTER!$D$65:$D$105,LF541)/SUMIFS(axTER!$E$108:$E$114,axTER!$C$108:$C$114,LG541)/10^9*$D$514</f>
        <v>0.59770394713753738</v>
      </c>
      <c r="LJ541" s="273" t="str">
        <f t="shared" si="1013"/>
        <v>ELEC-PAC</v>
      </c>
      <c r="LK541" s="273">
        <f t="shared" si="1017"/>
        <v>0</v>
      </c>
      <c r="LL541" s="273">
        <f>$H541*IF(LP541&lt;&gt;LF541,SUMIFS(axTER!$E$121:$E$128,axTER!$C$121:$C$128,LF541,axTER!$D$121:$D$128,LP541),SUMIFS(axTER!$E$133:$E$138,axTER!$C$133:$C$138,LP541)*LO$510)*$D$514/10^6</f>
        <v>110.75102549901429</v>
      </c>
      <c r="LM541" s="274">
        <f>$H541*IF(LQ541&lt;&gt;LG541,SUMIFS(axTER!$E$142:$E$148,axTER!$C$142:$C$148,LQ541),SUMIFS(axTER!$E$151:$E$157,axTER!$C$151:$C$157,LQ541)*LO$510)/10^6*$D$514</f>
        <v>316.43150142575507</v>
      </c>
      <c r="LN541" s="275" t="s">
        <v>268</v>
      </c>
      <c r="LO541" s="161" t="s">
        <v>265</v>
      </c>
      <c r="LP541" s="161" t="s">
        <v>255</v>
      </c>
      <c r="LQ541" s="161" t="s">
        <v>261</v>
      </c>
      <c r="LR541" s="276">
        <f>$H541*SUMIFS(axTER!$E$65:$E$105,axTER!$D$65:$D$105,LP541,axTER!$C$65:$C$105,LN541)/SUMIFS(axTER!$E$108:$E$114,axTER!$C$108:$C$114,LQ541)/10^9*$D$514</f>
        <v>0.17931118414126121</v>
      </c>
      <c r="LT541" s="273">
        <f t="shared" si="1014"/>
        <v>0</v>
      </c>
      <c r="LU541" s="273">
        <f t="shared" si="1015"/>
        <v>0</v>
      </c>
      <c r="LV541" s="273">
        <f>$H541*IF(LZ541&lt;&gt;LP541,SUMIFS(axTER!$E$121:$E$128,axTER!$C$121:$C$128,LP541,axTER!$D$121:$D$128,LZ541),SUMIFS(axTER!$E$133:$E$138,axTER!$C$133:$C$138,LZ541)*LY$510)*$D$514/10^6</f>
        <v>158.21575071287754</v>
      </c>
      <c r="LW541" s="274">
        <f>$H541*IF(MA541&lt;&gt;LQ541,SUMIFS(axTER!$E$142:$E$148,axTER!$C$142:$C$148,MA541),SUMIFS(axTER!$E$151:$E$157,axTER!$C$151:$C$157,MA541)*LY$510)/10^6*$D$514</f>
        <v>110.7510254990143</v>
      </c>
      <c r="LX541" s="275" t="s">
        <v>268</v>
      </c>
      <c r="LY541" s="161" t="s">
        <v>265</v>
      </c>
      <c r="LZ541" s="161" t="s">
        <v>255</v>
      </c>
      <c r="MA541" s="161" t="s">
        <v>261</v>
      </c>
      <c r="MB541" s="276">
        <f>$H541*SUMIFS(axTER!$E$65:$E$105,axTER!$D$65:$D$105,LZ541,axTER!$C$65:$C$105,LX541)/SUMIFS(axTER!$E$108:$E$114,axTER!$C$108:$C$114,MA541)/10^9*$D$514</f>
        <v>0.17931118414126121</v>
      </c>
      <c r="MD541" s="273">
        <f t="shared" si="1007"/>
        <v>0</v>
      </c>
      <c r="ME541" s="273">
        <f t="shared" si="1016"/>
        <v>0</v>
      </c>
      <c r="MF541" s="273">
        <f>$H541*IF(MJ541&lt;&gt;LZ541,SUMIFS(axTER!$E$121:$E$128,axTER!$C$121:$C$128,LZ541,axTER!$D$121:$D$128,MJ541),SUMIFS(axTER!$E$133:$E$138,axTER!$C$133:$C$138,MJ541)*MI$510)*$D$514/10^6</f>
        <v>158.21575071287754</v>
      </c>
      <c r="MG541" s="274">
        <f>$H541*IF(MK541&lt;&gt;MA541,SUMIFS(axTER!$E$142:$E$148,axTER!$C$142:$C$148,MK541),SUMIFS(axTER!$E$151:$E$157,axTER!$C$151:$C$157,MK541)*MI$510)/10^6*$D$514</f>
        <v>110.7510254990143</v>
      </c>
      <c r="MH541" s="275" t="s">
        <v>268</v>
      </c>
      <c r="MI541" s="161" t="s">
        <v>265</v>
      </c>
      <c r="MJ541" s="161" t="s">
        <v>255</v>
      </c>
      <c r="MK541" s="161" t="s">
        <v>261</v>
      </c>
      <c r="ML541" s="276">
        <f>$H541*SUMIFS(axTER!$E$65:$E$105,axTER!$D$65:$D$105,MJ541,axTER!$C$65:$C$105,MH541)/SUMIFS(axTER!$E$108:$E$114,axTER!$C$108:$C$114,MK541)/10^9*$D$514</f>
        <v>0.17931118414126121</v>
      </c>
    </row>
    <row r="542" spans="3:350" outlineLevel="1" x14ac:dyDescent="0.3">
      <c r="C542" s="265"/>
      <c r="D542" s="69"/>
      <c r="F542" s="266"/>
      <c r="H542" s="269">
        <v>1200</v>
      </c>
      <c r="I542" s="66" t="s">
        <v>269</v>
      </c>
      <c r="J542" s="66" t="s">
        <v>265</v>
      </c>
      <c r="K542" s="66" t="s">
        <v>266</v>
      </c>
      <c r="L542" s="283" t="s">
        <v>261</v>
      </c>
      <c r="M542" s="272">
        <f>$H542*SUMIFS(axTER!$E$65:$E$105,axTER!$C$65:$C$105,I542,axTER!$D$65:$D$105,K542)/SUMIFS(axTER!$E$108:$E$114,axTER!$C$108:$C$114,L542)/10^9*$D$514</f>
        <v>0.25314520114060407</v>
      </c>
      <c r="S542" s="269">
        <v>1200</v>
      </c>
      <c r="T542" s="66" t="s">
        <v>269</v>
      </c>
      <c r="U542" s="66" t="s">
        <v>265</v>
      </c>
      <c r="V542" s="66" t="s">
        <v>266</v>
      </c>
      <c r="W542" s="283" t="s">
        <v>261</v>
      </c>
      <c r="X542" s="272">
        <f>$H542*SUMIFS(axTER!$E$65:$E$105,axTER!$C$65:$C$105,T542,axTER!$D$65:$D$105,V542)/SUMIFS(axTER!$E$108:$E$114,axTER!$C$108:$C$114,W542)/10^9*$D$514</f>
        <v>0.25314520114060407</v>
      </c>
      <c r="AB542" s="273">
        <f>$H542*IF(AF542&lt;&gt;K542,SUMIFS(axTER!$E$121:$E$128,axTER!$C$121:$C$128,K542,axTER!$D$121:$D$128,AF542),SUMIFS(axTER!$E$133:$E$138,axTER!$C$133:$C$138,AF542)*AE$510)*$D$514/10^6</f>
        <v>177.99271955198722</v>
      </c>
      <c r="AC542" s="274">
        <f>$H542*IF(AG542&lt;&gt;L542,SUMIFS(axTER!$E$142:$E$148,axTER!$C$142:$C$148,AG542),SUMIFS(axTER!$E$151:$E$157,axTER!$C$151:$C$157,AG542)*AE$510)/10^6*$D$514</f>
        <v>332.25307649704291</v>
      </c>
      <c r="AD542" s="275" t="s">
        <v>269</v>
      </c>
      <c r="AE542" s="161" t="s">
        <v>265</v>
      </c>
      <c r="AF542" s="161" t="s">
        <v>266</v>
      </c>
      <c r="AG542" s="284" t="s">
        <v>261</v>
      </c>
      <c r="AH542" s="276">
        <f>$H542*SUMIFS(axTER!$E$65:$E$105,axTER!$D$65:$D$105,AF542,axTER!$C$65:$C$105,AD542)/SUMIFS(axTER!$E$108:$E$114,axTER!$C$108:$C$114,AG542)/10^9*$D$514</f>
        <v>0.25314520114060407</v>
      </c>
      <c r="AV542" s="273">
        <f>$H542*IF(AZ542&lt;&gt;AF542,SUMIFS(axTER!$E$121:$E$128,axTER!$C$121:$C$128,AF542,axTER!$D$121:$D$128,AZ542),SUMIFS(axTER!$E$133:$E$138,axTER!$C$133:$C$138,AZ542)*AY$510)*$D$514/10^6</f>
        <v>355.98543910397444</v>
      </c>
      <c r="AW542" s="274">
        <f>$H542*IF(BA542&lt;&gt;AG542,SUMIFS(axTER!$E$142:$E$148,axTER!$C$142:$C$148,BA542),SUMIFS(axTER!$E$151:$E$157,axTER!$C$151:$C$157,BA542)*AY$510)/10^6*$D$514</f>
        <v>664.50615299408582</v>
      </c>
      <c r="AX542" s="275" t="s">
        <v>269</v>
      </c>
      <c r="AY542" s="161" t="s">
        <v>265</v>
      </c>
      <c r="AZ542" s="161" t="s">
        <v>266</v>
      </c>
      <c r="BA542" s="284" t="s">
        <v>261</v>
      </c>
      <c r="BB542" s="276">
        <f>$H542*SUMIFS(axTER!$E$65:$E$105,axTER!$D$65:$D$105,AZ542,axTER!$C$65:$C$105,AX542)/SUMIFS(axTER!$E$108:$E$114,axTER!$C$108:$C$114,BA542)/10^9*$D$514</f>
        <v>0.25314520114060407</v>
      </c>
      <c r="IG542" s="269">
        <v>1200</v>
      </c>
      <c r="IH542" s="66" t="s">
        <v>269</v>
      </c>
      <c r="II542" s="66" t="s">
        <v>265</v>
      </c>
      <c r="IJ542" s="66" t="s">
        <v>266</v>
      </c>
      <c r="IK542" s="283" t="s">
        <v>261</v>
      </c>
      <c r="IL542" s="272">
        <f>$H542*SUMIFS(axTER!$E$65:$E$105,axTER!$C$65:$C$105,IH542,axTER!$D$65:$D$105,IJ542)/SUMIFS(axTER!$E$108:$E$114,axTER!$C$108:$C$114,IK542)/10^9*$D$514</f>
        <v>0.25314520114060407</v>
      </c>
      <c r="IO542" s="273">
        <f t="shared" si="1008"/>
        <v>0</v>
      </c>
      <c r="IP542" s="273">
        <f>$H542*IF(IT542&lt;&gt;IJ542,SUMIFS(axTER!$E$121:$E$128,axTER!$C$121:$C$128,IJ542,axTER!$D$121:$D$128,IT542),SUMIFS(axTER!$E$133:$E$138,axTER!$C$133:$C$138,IT542)*IS$510)*$D$514/10^6</f>
        <v>177.99271955198722</v>
      </c>
      <c r="IQ542" s="274">
        <f>$H542*IF(IU542&lt;&gt;IK542,SUMIFS(axTER!$E$142:$E$148,axTER!$C$142:$C$148,IU542),SUMIFS(axTER!$E$151:$E$157,axTER!$C$151:$C$157,IU542)*IS$510)/10^6*$D$514</f>
        <v>332.25307649704291</v>
      </c>
      <c r="IR542" s="275" t="s">
        <v>269</v>
      </c>
      <c r="IS542" s="161" t="s">
        <v>265</v>
      </c>
      <c r="IT542" s="161" t="s">
        <v>266</v>
      </c>
      <c r="IU542" s="284" t="s">
        <v>261</v>
      </c>
      <c r="IV542" s="276">
        <f>$H542*SUMIFS(axTER!$E$65:$E$105,axTER!$D$65:$D$105,IT542,axTER!$C$65:$C$105,IR542)/SUMIFS(axTER!$E$108:$E$114,axTER!$C$108:$C$114,IU542)/10^9*$D$514</f>
        <v>0.25314520114060407</v>
      </c>
      <c r="JI542" s="273">
        <f t="shared" si="1009"/>
        <v>0</v>
      </c>
      <c r="JJ542" s="273">
        <f>$H542*IF(JN542&lt;&gt;IT542,SUMIFS(axTER!$E$121:$E$128,axTER!$C$121:$C$128,IT542,axTER!$D$121:$D$128,JN542),SUMIFS(axTER!$E$133:$E$138,axTER!$C$133:$C$138,JN542)*JM$510)*$D$514/10^6</f>
        <v>355.98543910397444</v>
      </c>
      <c r="JK542" s="274">
        <f>$H542*IF(JO542&lt;&gt;IU542,SUMIFS(axTER!$E$142:$E$148,axTER!$C$142:$C$148,JO542),SUMIFS(axTER!$E$151:$E$157,axTER!$C$151:$C$157,JO542)*JM$510)/10^6*$D$514</f>
        <v>664.50615299408582</v>
      </c>
      <c r="JL542" s="275" t="s">
        <v>269</v>
      </c>
      <c r="JM542" s="161" t="s">
        <v>265</v>
      </c>
      <c r="JN542" s="161" t="s">
        <v>266</v>
      </c>
      <c r="JO542" s="284" t="s">
        <v>261</v>
      </c>
      <c r="JP542" s="276">
        <f>$H542*SUMIFS(axTER!$E$65:$E$105,axTER!$D$65:$D$105,JN542,axTER!$C$65:$C$105,JL542)/SUMIFS(axTER!$E$108:$E$114,axTER!$C$108:$C$114,JO542)/10^9*$D$514</f>
        <v>0.25314520114060407</v>
      </c>
      <c r="JR542" s="269">
        <v>1200</v>
      </c>
      <c r="JS542" s="66" t="s">
        <v>269</v>
      </c>
      <c r="JT542" s="66" t="s">
        <v>265</v>
      </c>
      <c r="JU542" s="66" t="s">
        <v>266</v>
      </c>
      <c r="JV542" s="283" t="s">
        <v>261</v>
      </c>
      <c r="JW542" s="272">
        <f>$H542*SUMIFS(axTER!$E$65:$E$105,axTER!$C$65:$C$105,JS542,axTER!$D$65:$D$105,JU542)/SUMIFS(axTER!$E$108:$E$114,axTER!$C$108:$C$114,JV542)/10^9*$D$514</f>
        <v>0.25314520114060407</v>
      </c>
      <c r="JY542" s="273">
        <f t="shared" si="1010"/>
        <v>0</v>
      </c>
      <c r="JZ542" s="273">
        <f t="shared" si="1005"/>
        <v>0</v>
      </c>
      <c r="KA542" s="273">
        <f>$H542*IF(KE542&lt;&gt;JU542,SUMIFS(axTER!$E$121:$E$128,axTER!$C$121:$C$128,JU542,axTER!$D$121:$D$128,KE542),SUMIFS(axTER!$E$133:$E$138,axTER!$C$133:$C$138,KE542)*KD$510)*$D$514/10^6</f>
        <v>124.59490368639106</v>
      </c>
      <c r="KB542" s="274">
        <f>$H542*IF(KF542&lt;&gt;JV542,SUMIFS(axTER!$E$142:$E$148,axTER!$C$142:$C$148,KF542),SUMIFS(axTER!$E$151:$E$157,axTER!$C$151:$C$157,KF542)*KD$510)/10^6*$D$514</f>
        <v>232.57715354792998</v>
      </c>
      <c r="KC542" s="275" t="s">
        <v>269</v>
      </c>
      <c r="KD542" s="161" t="s">
        <v>265</v>
      </c>
      <c r="KE542" s="161" t="s">
        <v>266</v>
      </c>
      <c r="KF542" s="284" t="s">
        <v>261</v>
      </c>
      <c r="KG542" s="276">
        <f>$H542*SUMIFS(axTER!$E$65:$E$105,axTER!$D$65:$D$105,KE542,axTER!$C$65:$C$105,KC542)/SUMIFS(axTER!$E$108:$E$114,axTER!$C$108:$C$114,KF542)/10^9*$D$514</f>
        <v>0.25314520114060407</v>
      </c>
      <c r="KS542" s="273">
        <f t="shared" si="1011"/>
        <v>0</v>
      </c>
      <c r="KT542" s="273">
        <f t="shared" si="1012"/>
        <v>0</v>
      </c>
      <c r="KU542" s="273">
        <f>$H542*IF(KY542&lt;&gt;KE542,SUMIFS(axTER!$E$121:$E$128,axTER!$C$121:$C$128,KE542,axTER!$D$121:$D$128,KY542),SUMIFS(axTER!$E$133:$E$138,axTER!$C$133:$C$138,KY542)*KX$510)*$D$514/10^6</f>
        <v>355.98543910397444</v>
      </c>
      <c r="KV542" s="274">
        <f>$H542*IF(KZ542&lt;&gt;KF542,SUMIFS(axTER!$E$142:$E$148,axTER!$C$142:$C$148,KZ542),SUMIFS(axTER!$E$151:$E$157,axTER!$C$151:$C$157,KZ542)*KX$510)/10^6*$D$514</f>
        <v>664.50615299408582</v>
      </c>
      <c r="KW542" s="275" t="s">
        <v>269</v>
      </c>
      <c r="KX542" s="161" t="s">
        <v>265</v>
      </c>
      <c r="KY542" s="161" t="s">
        <v>266</v>
      </c>
      <c r="KZ542" s="284" t="s">
        <v>261</v>
      </c>
      <c r="LA542" s="276">
        <f>$H542*SUMIFS(axTER!$E$65:$E$105,axTER!$D$65:$D$105,KY542,axTER!$C$65:$C$105,KW542)/SUMIFS(axTER!$E$108:$E$114,axTER!$C$108:$C$114,KZ542)/10^9*$D$514</f>
        <v>0.25314520114060407</v>
      </c>
      <c r="LC542" s="269">
        <v>1200</v>
      </c>
      <c r="LD542" s="66" t="s">
        <v>269</v>
      </c>
      <c r="LE542" s="66" t="s">
        <v>265</v>
      </c>
      <c r="LF542" s="66" t="s">
        <v>266</v>
      </c>
      <c r="LG542" s="283" t="s">
        <v>261</v>
      </c>
      <c r="LH542" s="272">
        <f>$H542*SUMIFS(axTER!$E$65:$E$105,axTER!$C$65:$C$105,LD542,axTER!$D$65:$D$105,LF542)/SUMIFS(axTER!$E$108:$E$114,axTER!$C$108:$C$114,LG542)/10^9*$D$514</f>
        <v>0.25314520114060407</v>
      </c>
      <c r="LJ542" s="273">
        <f t="shared" si="1013"/>
        <v>0</v>
      </c>
      <c r="LK542" s="273">
        <f t="shared" si="1017"/>
        <v>0</v>
      </c>
      <c r="LL542" s="273">
        <f>$H542*IF(LP542&lt;&gt;LF542,SUMIFS(axTER!$E$121:$E$128,axTER!$C$121:$C$128,LF542,axTER!$D$121:$D$128,LP542),SUMIFS(axTER!$E$133:$E$138,axTER!$C$133:$C$138,LP542)*LO$510)*$D$514/10^6</f>
        <v>124.59490368639106</v>
      </c>
      <c r="LM542" s="274">
        <f>$H542*IF(LQ542&lt;&gt;LG542,SUMIFS(axTER!$E$142:$E$148,axTER!$C$142:$C$148,LQ542),SUMIFS(axTER!$E$151:$E$157,axTER!$C$151:$C$157,LQ542)*LO$510)/10^6*$D$514</f>
        <v>232.57715354792998</v>
      </c>
      <c r="LN542" s="275" t="s">
        <v>269</v>
      </c>
      <c r="LO542" s="161" t="s">
        <v>265</v>
      </c>
      <c r="LP542" s="161" t="s">
        <v>266</v>
      </c>
      <c r="LQ542" s="161" t="s">
        <v>261</v>
      </c>
      <c r="LR542" s="276">
        <f>$H542*SUMIFS(axTER!$E$65:$E$105,axTER!$D$65:$D$105,LP542,axTER!$C$65:$C$105,LN542)/SUMIFS(axTER!$E$108:$E$114,axTER!$C$108:$C$114,LQ542)/10^9*$D$514</f>
        <v>0.25314520114060407</v>
      </c>
      <c r="LT542" s="273">
        <f t="shared" si="1014"/>
        <v>0</v>
      </c>
      <c r="LU542" s="273">
        <f t="shared" si="1015"/>
        <v>0</v>
      </c>
      <c r="LV542" s="273">
        <f>$H542*IF(LZ542&lt;&gt;LP542,SUMIFS(axTER!$E$121:$E$128,axTER!$C$121:$C$128,LP542,axTER!$D$121:$D$128,LZ542),SUMIFS(axTER!$E$133:$E$138,axTER!$C$133:$C$138,LZ542)*LY$510)*$D$514/10^6</f>
        <v>177.99271955198722</v>
      </c>
      <c r="LW542" s="274">
        <f>$H542*IF(MA542&lt;&gt;LQ542,SUMIFS(axTER!$E$142:$E$148,axTER!$C$142:$C$148,MA542),SUMIFS(axTER!$E$151:$E$157,axTER!$C$151:$C$157,MA542)*LY$510)/10^6*$D$514</f>
        <v>332.25307649704291</v>
      </c>
      <c r="LX542" s="275" t="s">
        <v>269</v>
      </c>
      <c r="LY542" s="161" t="s">
        <v>265</v>
      </c>
      <c r="LZ542" s="161" t="s">
        <v>266</v>
      </c>
      <c r="MA542" s="161" t="s">
        <v>261</v>
      </c>
      <c r="MB542" s="276">
        <f>$H542*SUMIFS(axTER!$E$65:$E$105,axTER!$D$65:$D$105,LZ542,axTER!$C$65:$C$105,LX542)/SUMIFS(axTER!$E$108:$E$114,axTER!$C$108:$C$114,MA542)/10^9*$D$514</f>
        <v>0.25314520114060407</v>
      </c>
      <c r="MD542" s="273">
        <f t="shared" si="1007"/>
        <v>0</v>
      </c>
      <c r="ME542" s="273">
        <f t="shared" si="1016"/>
        <v>0</v>
      </c>
      <c r="MF542" s="273">
        <f>$H542*IF(MJ542&lt;&gt;LZ542,SUMIFS(axTER!$E$121:$E$128,axTER!$C$121:$C$128,LZ542,axTER!$D$121:$D$128,MJ542),SUMIFS(axTER!$E$133:$E$138,axTER!$C$133:$C$138,MJ542)*MI$510)*$D$514/10^6</f>
        <v>177.99271955198722</v>
      </c>
      <c r="MG542" s="274">
        <f>$H542*IF(MK542&lt;&gt;MA542,SUMIFS(axTER!$E$142:$E$148,axTER!$C$142:$C$148,MK542),SUMIFS(axTER!$E$151:$E$157,axTER!$C$151:$C$157,MK542)*MI$510)/10^6*$D$514</f>
        <v>332.25307649704291</v>
      </c>
      <c r="MH542" s="275" t="s">
        <v>269</v>
      </c>
      <c r="MI542" s="161" t="s">
        <v>265</v>
      </c>
      <c r="MJ542" s="161" t="s">
        <v>266</v>
      </c>
      <c r="MK542" s="161" t="s">
        <v>261</v>
      </c>
      <c r="ML542" s="276">
        <f>$H542*SUMIFS(axTER!$E$65:$E$105,axTER!$D$65:$D$105,MJ542,axTER!$C$65:$C$105,MH542)/SUMIFS(axTER!$E$108:$E$114,axTER!$C$108:$C$114,MK542)/10^9*$D$514</f>
        <v>0.25314520114060407</v>
      </c>
    </row>
    <row r="543" spans="3:350" outlineLevel="1" x14ac:dyDescent="0.3">
      <c r="C543" s="265"/>
      <c r="D543" s="271"/>
      <c r="F543" s="266"/>
      <c r="H543" s="269">
        <v>1200</v>
      </c>
      <c r="I543" s="66" t="s">
        <v>269</v>
      </c>
      <c r="J543" s="66" t="s">
        <v>265</v>
      </c>
      <c r="K543" s="66" t="s">
        <v>266</v>
      </c>
      <c r="L543" s="283" t="s">
        <v>261</v>
      </c>
      <c r="M543" s="272">
        <f>$H543*SUMIFS(axTER!$E$65:$E$105,axTER!$C$65:$C$105,I543,axTER!$D$65:$D$105,K543)/SUMIFS(axTER!$E$108:$E$114,axTER!$C$108:$C$114,L543)/10^9*$D$514</f>
        <v>0.25314520114060407</v>
      </c>
      <c r="S543" s="269">
        <v>1200</v>
      </c>
      <c r="T543" s="66" t="s">
        <v>269</v>
      </c>
      <c r="U543" s="66" t="s">
        <v>265</v>
      </c>
      <c r="V543" s="66" t="s">
        <v>266</v>
      </c>
      <c r="W543" s="283" t="s">
        <v>261</v>
      </c>
      <c r="X543" s="272">
        <f>$H543*SUMIFS(axTER!$E$65:$E$105,axTER!$C$65:$C$105,T543,axTER!$D$65:$D$105,V543)/SUMIFS(axTER!$E$108:$E$114,axTER!$C$108:$C$114,W543)/10^9*$D$514</f>
        <v>0.25314520114060407</v>
      </c>
      <c r="AB543" s="273">
        <f>$H543*IF(AF543&lt;&gt;K543,SUMIFS(axTER!$E$121:$E$128,axTER!$C$121:$C$128,K543,axTER!$D$121:$D$128,AF543),SUMIFS(axTER!$E$133:$E$138,axTER!$C$133:$C$138,AF543)*AE$510)*$D$514/10^6</f>
        <v>177.99271955198722</v>
      </c>
      <c r="AC543" s="274">
        <f>$H543*IF(AG543&lt;&gt;L543,SUMIFS(axTER!$E$142:$E$148,axTER!$C$142:$C$148,AG543),SUMIFS(axTER!$E$151:$E$157,axTER!$C$151:$C$157,AG543)*AE$510)/10^6*$D$514</f>
        <v>332.25307649704291</v>
      </c>
      <c r="AD543" s="275" t="s">
        <v>269</v>
      </c>
      <c r="AE543" s="161" t="s">
        <v>265</v>
      </c>
      <c r="AF543" s="161" t="s">
        <v>266</v>
      </c>
      <c r="AG543" s="284" t="s">
        <v>261</v>
      </c>
      <c r="AH543" s="276">
        <f>$H543*SUMIFS(axTER!$E$65:$E$105,axTER!$D$65:$D$105,AF543,axTER!$C$65:$C$105,AD543)/SUMIFS(axTER!$E$108:$E$114,axTER!$C$108:$C$114,AG543)/10^9*$D$514</f>
        <v>0.25314520114060407</v>
      </c>
      <c r="AV543" s="273">
        <f>$H543*IF(AZ543&lt;&gt;AF543,SUMIFS(axTER!$E$121:$E$128,axTER!$C$121:$C$128,AF543,axTER!$D$121:$D$128,AZ543),SUMIFS(axTER!$E$133:$E$138,axTER!$C$133:$C$138,AZ543)*AY$510)*$D$514/10^6</f>
        <v>355.98543910397444</v>
      </c>
      <c r="AW543" s="274">
        <f>$H543*IF(BA543&lt;&gt;AG543,SUMIFS(axTER!$E$142:$E$148,axTER!$C$142:$C$148,BA543),SUMIFS(axTER!$E$151:$E$157,axTER!$C$151:$C$157,BA543)*AY$510)/10^6*$D$514</f>
        <v>664.50615299408582</v>
      </c>
      <c r="AX543" s="275" t="s">
        <v>269</v>
      </c>
      <c r="AY543" s="161" t="s">
        <v>265</v>
      </c>
      <c r="AZ543" s="161" t="s">
        <v>266</v>
      </c>
      <c r="BA543" s="284" t="s">
        <v>261</v>
      </c>
      <c r="BB543" s="276">
        <f>$H543*SUMIFS(axTER!$E$65:$E$105,axTER!$D$65:$D$105,AZ543,axTER!$C$65:$C$105,AX543)/SUMIFS(axTER!$E$108:$E$114,axTER!$C$108:$C$114,BA543)/10^9*$D$514</f>
        <v>0.25314520114060407</v>
      </c>
      <c r="IG543" s="269">
        <v>1200</v>
      </c>
      <c r="IH543" s="66" t="s">
        <v>269</v>
      </c>
      <c r="II543" s="66" t="s">
        <v>265</v>
      </c>
      <c r="IJ543" s="66" t="s">
        <v>266</v>
      </c>
      <c r="IK543" s="283" t="s">
        <v>261</v>
      </c>
      <c r="IL543" s="272">
        <f>$H543*SUMIFS(axTER!$E$65:$E$105,axTER!$C$65:$C$105,IH543,axTER!$D$65:$D$105,IJ543)/SUMIFS(axTER!$E$108:$E$114,axTER!$C$108:$C$114,IK543)/10^9*$D$514</f>
        <v>0.25314520114060407</v>
      </c>
      <c r="IO543" s="273">
        <f t="shared" si="1008"/>
        <v>0</v>
      </c>
      <c r="IP543" s="273">
        <f>$H543*IF(IT543&lt;&gt;IJ543,SUMIFS(axTER!$E$121:$E$128,axTER!$C$121:$C$128,IJ543,axTER!$D$121:$D$128,IT543),SUMIFS(axTER!$E$133:$E$138,axTER!$C$133:$C$138,IT543)*IS$510)*$D$514/10^6</f>
        <v>177.99271955198722</v>
      </c>
      <c r="IQ543" s="274">
        <f>$H543*IF(IU543&lt;&gt;IK543,SUMIFS(axTER!$E$142:$E$148,axTER!$C$142:$C$148,IU543),SUMIFS(axTER!$E$151:$E$157,axTER!$C$151:$C$157,IU543)*IS$510)/10^6*$D$514</f>
        <v>332.25307649704291</v>
      </c>
      <c r="IR543" s="275" t="s">
        <v>269</v>
      </c>
      <c r="IS543" s="161" t="s">
        <v>265</v>
      </c>
      <c r="IT543" s="161" t="s">
        <v>266</v>
      </c>
      <c r="IU543" s="284" t="s">
        <v>261</v>
      </c>
      <c r="IV543" s="276">
        <f>$H543*SUMIFS(axTER!$E$65:$E$105,axTER!$D$65:$D$105,IT543,axTER!$C$65:$C$105,IR543)/SUMIFS(axTER!$E$108:$E$114,axTER!$C$108:$C$114,IU543)/10^9*$D$514</f>
        <v>0.25314520114060407</v>
      </c>
      <c r="JI543" s="273">
        <f t="shared" si="1009"/>
        <v>0</v>
      </c>
      <c r="JJ543" s="273">
        <f>$H543*IF(JN543&lt;&gt;IT543,SUMIFS(axTER!$E$121:$E$128,axTER!$C$121:$C$128,IT543,axTER!$D$121:$D$128,JN543),SUMIFS(axTER!$E$133:$E$138,axTER!$C$133:$C$138,JN543)*JM$510)*$D$514/10^6</f>
        <v>355.98543910397444</v>
      </c>
      <c r="JK543" s="274">
        <f>$H543*IF(JO543&lt;&gt;IU543,SUMIFS(axTER!$E$142:$E$148,axTER!$C$142:$C$148,JO543),SUMIFS(axTER!$E$151:$E$157,axTER!$C$151:$C$157,JO543)*JM$510)/10^6*$D$514</f>
        <v>664.50615299408582</v>
      </c>
      <c r="JL543" s="275" t="s">
        <v>269</v>
      </c>
      <c r="JM543" s="161" t="s">
        <v>265</v>
      </c>
      <c r="JN543" s="161" t="s">
        <v>266</v>
      </c>
      <c r="JO543" s="284" t="s">
        <v>261</v>
      </c>
      <c r="JP543" s="276">
        <f>$H543*SUMIFS(axTER!$E$65:$E$105,axTER!$D$65:$D$105,JN543,axTER!$C$65:$C$105,JL543)/SUMIFS(axTER!$E$108:$E$114,axTER!$C$108:$C$114,JO543)/10^9*$D$514</f>
        <v>0.25314520114060407</v>
      </c>
      <c r="JR543" s="269">
        <v>1200</v>
      </c>
      <c r="JS543" s="66" t="s">
        <v>269</v>
      </c>
      <c r="JT543" s="66" t="s">
        <v>265</v>
      </c>
      <c r="JU543" s="66" t="s">
        <v>266</v>
      </c>
      <c r="JV543" s="283" t="s">
        <v>261</v>
      </c>
      <c r="JW543" s="272">
        <f>$H543*SUMIFS(axTER!$E$65:$E$105,axTER!$C$65:$C$105,JS543,axTER!$D$65:$D$105,JU543)/SUMIFS(axTER!$E$108:$E$114,axTER!$C$108:$C$114,JV543)/10^9*$D$514</f>
        <v>0.25314520114060407</v>
      </c>
      <c r="JY543" s="273">
        <f t="shared" si="1010"/>
        <v>0</v>
      </c>
      <c r="JZ543" s="273">
        <f t="shared" si="1005"/>
        <v>0</v>
      </c>
      <c r="KA543" s="273">
        <f>$H543*IF(KE543&lt;&gt;JU543,SUMIFS(axTER!$E$121:$E$128,axTER!$C$121:$C$128,JU543,axTER!$D$121:$D$128,KE543),SUMIFS(axTER!$E$133:$E$138,axTER!$C$133:$C$138,KE543)*KD$510)*$D$514/10^6</f>
        <v>124.59490368639106</v>
      </c>
      <c r="KB543" s="274">
        <f>$H543*IF(KF543&lt;&gt;JV543,SUMIFS(axTER!$E$142:$E$148,axTER!$C$142:$C$148,KF543),SUMIFS(axTER!$E$151:$E$157,axTER!$C$151:$C$157,KF543)*KD$510)/10^6*$D$514</f>
        <v>232.57715354792998</v>
      </c>
      <c r="KC543" s="275" t="s">
        <v>269</v>
      </c>
      <c r="KD543" s="161" t="s">
        <v>265</v>
      </c>
      <c r="KE543" s="161" t="s">
        <v>266</v>
      </c>
      <c r="KF543" s="284" t="s">
        <v>261</v>
      </c>
      <c r="KG543" s="276">
        <f>$H543*SUMIFS(axTER!$E$65:$E$105,axTER!$D$65:$D$105,KE543,axTER!$C$65:$C$105,KC543)/SUMIFS(axTER!$E$108:$E$114,axTER!$C$108:$C$114,KF543)/10^9*$D$514</f>
        <v>0.25314520114060407</v>
      </c>
      <c r="KS543" s="273">
        <f t="shared" si="1011"/>
        <v>0</v>
      </c>
      <c r="KT543" s="273">
        <f t="shared" si="1012"/>
        <v>0</v>
      </c>
      <c r="KU543" s="273">
        <f>$H543*IF(KY543&lt;&gt;KE543,SUMIFS(axTER!$E$121:$E$128,axTER!$C$121:$C$128,KE543,axTER!$D$121:$D$128,KY543),SUMIFS(axTER!$E$133:$E$138,axTER!$C$133:$C$138,KY543)*KX$510)*$D$514/10^6</f>
        <v>355.98543910397444</v>
      </c>
      <c r="KV543" s="274">
        <f>$H543*IF(KZ543&lt;&gt;KF543,SUMIFS(axTER!$E$142:$E$148,axTER!$C$142:$C$148,KZ543),SUMIFS(axTER!$E$151:$E$157,axTER!$C$151:$C$157,KZ543)*KX$510)/10^6*$D$514</f>
        <v>664.50615299408582</v>
      </c>
      <c r="KW543" s="275" t="s">
        <v>269</v>
      </c>
      <c r="KX543" s="161" t="s">
        <v>265</v>
      </c>
      <c r="KY543" s="161" t="s">
        <v>266</v>
      </c>
      <c r="KZ543" s="284" t="s">
        <v>261</v>
      </c>
      <c r="LA543" s="276">
        <f>$H543*SUMIFS(axTER!$E$65:$E$105,axTER!$D$65:$D$105,KY543,axTER!$C$65:$C$105,KW543)/SUMIFS(axTER!$E$108:$E$114,axTER!$C$108:$C$114,KZ543)/10^9*$D$514</f>
        <v>0.25314520114060407</v>
      </c>
      <c r="LC543" s="269">
        <v>1200</v>
      </c>
      <c r="LD543" s="66" t="s">
        <v>269</v>
      </c>
      <c r="LE543" s="66" t="s">
        <v>265</v>
      </c>
      <c r="LF543" s="66" t="s">
        <v>266</v>
      </c>
      <c r="LG543" s="283" t="s">
        <v>261</v>
      </c>
      <c r="LH543" s="272">
        <f>$H543*SUMIFS(axTER!$E$65:$E$105,axTER!$C$65:$C$105,LD543,axTER!$D$65:$D$105,LF543)/SUMIFS(axTER!$E$108:$E$114,axTER!$C$108:$C$114,LG543)/10^9*$D$514</f>
        <v>0.25314520114060407</v>
      </c>
      <c r="LJ543" s="273">
        <f t="shared" si="1013"/>
        <v>0</v>
      </c>
      <c r="LK543" s="273">
        <f t="shared" si="1017"/>
        <v>0</v>
      </c>
      <c r="LL543" s="273">
        <f>$H543*IF(LP543&lt;&gt;LF543,SUMIFS(axTER!$E$121:$E$128,axTER!$C$121:$C$128,LF543,axTER!$D$121:$D$128,LP543),SUMIFS(axTER!$E$133:$E$138,axTER!$C$133:$C$138,LP543)*LO$510)*$D$514/10^6</f>
        <v>124.59490368639106</v>
      </c>
      <c r="LM543" s="274">
        <f>$H543*IF(LQ543&lt;&gt;LG543,SUMIFS(axTER!$E$142:$E$148,axTER!$C$142:$C$148,LQ543),SUMIFS(axTER!$E$151:$E$157,axTER!$C$151:$C$157,LQ543)*LO$510)/10^6*$D$514</f>
        <v>232.57715354792998</v>
      </c>
      <c r="LN543" s="275" t="s">
        <v>269</v>
      </c>
      <c r="LO543" s="161" t="s">
        <v>265</v>
      </c>
      <c r="LP543" s="161" t="s">
        <v>266</v>
      </c>
      <c r="LQ543" s="161" t="s">
        <v>261</v>
      </c>
      <c r="LR543" s="276">
        <f>$H543*SUMIFS(axTER!$E$65:$E$105,axTER!$D$65:$D$105,LP543,axTER!$C$65:$C$105,LN543)/SUMIFS(axTER!$E$108:$E$114,axTER!$C$108:$C$114,LQ543)/10^9*$D$514</f>
        <v>0.25314520114060407</v>
      </c>
      <c r="LT543" s="273">
        <f t="shared" si="1014"/>
        <v>0</v>
      </c>
      <c r="LU543" s="273">
        <f t="shared" si="1015"/>
        <v>0</v>
      </c>
      <c r="LV543" s="273">
        <f>$H543*IF(LZ543&lt;&gt;LP543,SUMIFS(axTER!$E$121:$E$128,axTER!$C$121:$C$128,LP543,axTER!$D$121:$D$128,LZ543),SUMIFS(axTER!$E$133:$E$138,axTER!$C$133:$C$138,LZ543)*LY$510)*$D$514/10^6</f>
        <v>177.99271955198722</v>
      </c>
      <c r="LW543" s="274">
        <f>$H543*IF(MA543&lt;&gt;LQ543,SUMIFS(axTER!$E$142:$E$148,axTER!$C$142:$C$148,MA543),SUMIFS(axTER!$E$151:$E$157,axTER!$C$151:$C$157,MA543)*LY$510)/10^6*$D$514</f>
        <v>332.25307649704291</v>
      </c>
      <c r="LX543" s="275" t="s">
        <v>269</v>
      </c>
      <c r="LY543" s="161" t="s">
        <v>265</v>
      </c>
      <c r="LZ543" s="161" t="s">
        <v>266</v>
      </c>
      <c r="MA543" s="161" t="s">
        <v>261</v>
      </c>
      <c r="MB543" s="276">
        <f>$H543*SUMIFS(axTER!$E$65:$E$105,axTER!$D$65:$D$105,LZ543,axTER!$C$65:$C$105,LX543)/SUMIFS(axTER!$E$108:$E$114,axTER!$C$108:$C$114,MA543)/10^9*$D$514</f>
        <v>0.25314520114060407</v>
      </c>
      <c r="MD543" s="273">
        <f t="shared" si="1007"/>
        <v>0</v>
      </c>
      <c r="ME543" s="273">
        <f t="shared" si="1016"/>
        <v>0</v>
      </c>
      <c r="MF543" s="273">
        <f>$H543*IF(MJ543&lt;&gt;LZ543,SUMIFS(axTER!$E$121:$E$128,axTER!$C$121:$C$128,LZ543,axTER!$D$121:$D$128,MJ543),SUMIFS(axTER!$E$133:$E$138,axTER!$C$133:$C$138,MJ543)*MI$510)*$D$514/10^6</f>
        <v>177.99271955198722</v>
      </c>
      <c r="MG543" s="274">
        <f>$H543*IF(MK543&lt;&gt;MA543,SUMIFS(axTER!$E$142:$E$148,axTER!$C$142:$C$148,MK543),SUMIFS(axTER!$E$151:$E$157,axTER!$C$151:$C$157,MK543)*MI$510)/10^6*$D$514</f>
        <v>332.25307649704291</v>
      </c>
      <c r="MH543" s="275" t="s">
        <v>269</v>
      </c>
      <c r="MI543" s="161" t="s">
        <v>265</v>
      </c>
      <c r="MJ543" s="161" t="s">
        <v>266</v>
      </c>
      <c r="MK543" s="161" t="s">
        <v>261</v>
      </c>
      <c r="ML543" s="276">
        <f>$H543*SUMIFS(axTER!$E$65:$E$105,axTER!$D$65:$D$105,MJ543,axTER!$C$65:$C$105,MH543)/SUMIFS(axTER!$E$108:$E$114,axTER!$C$108:$C$114,MK543)/10^9*$D$514</f>
        <v>0.25314520114060407</v>
      </c>
    </row>
    <row r="544" spans="3:350" outlineLevel="1" x14ac:dyDescent="0.3">
      <c r="C544" s="265"/>
      <c r="D544" s="271"/>
      <c r="F544" s="266"/>
      <c r="H544" s="269">
        <v>1200</v>
      </c>
      <c r="I544" s="66" t="s">
        <v>269</v>
      </c>
      <c r="J544" s="66" t="s">
        <v>265</v>
      </c>
      <c r="K544" s="66" t="s">
        <v>266</v>
      </c>
      <c r="L544" s="283" t="s">
        <v>261</v>
      </c>
      <c r="M544" s="272">
        <f>$H544*SUMIFS(axTER!$E$65:$E$105,axTER!$C$65:$C$105,I544,axTER!$D$65:$D$105,K544)/SUMIFS(axTER!$E$108:$E$114,axTER!$C$108:$C$114,L544)/10^9*$D$514</f>
        <v>0.25314520114060407</v>
      </c>
      <c r="S544" s="269">
        <v>1200</v>
      </c>
      <c r="T544" s="66" t="s">
        <v>269</v>
      </c>
      <c r="U544" s="66" t="s">
        <v>265</v>
      </c>
      <c r="V544" s="66" t="s">
        <v>266</v>
      </c>
      <c r="W544" s="283" t="s">
        <v>261</v>
      </c>
      <c r="X544" s="272">
        <f>$H544*SUMIFS(axTER!$E$65:$E$105,axTER!$C$65:$C$105,T544,axTER!$D$65:$D$105,V544)/SUMIFS(axTER!$E$108:$E$114,axTER!$C$108:$C$114,W544)/10^9*$D$514</f>
        <v>0.25314520114060407</v>
      </c>
      <c r="AB544" s="273">
        <f>$H544*IF(AF544&lt;&gt;K544,SUMIFS(axTER!$E$121:$E$128,axTER!$C$121:$C$128,K544,axTER!$D$121:$D$128,AF544),SUMIFS(axTER!$E$133:$E$138,axTER!$C$133:$C$138,AF544)*AE$510)*$D$514/10^6</f>
        <v>177.99271955198722</v>
      </c>
      <c r="AC544" s="274">
        <f>$H544*IF(AG544&lt;&gt;L544,SUMIFS(axTER!$E$142:$E$148,axTER!$C$142:$C$148,AG544),SUMIFS(axTER!$E$151:$E$157,axTER!$C$151:$C$157,AG544)*AE$510)/10^6*$D$514</f>
        <v>332.25307649704291</v>
      </c>
      <c r="AD544" s="275" t="s">
        <v>269</v>
      </c>
      <c r="AE544" s="161" t="s">
        <v>265</v>
      </c>
      <c r="AF544" s="161" t="s">
        <v>266</v>
      </c>
      <c r="AG544" s="284" t="s">
        <v>261</v>
      </c>
      <c r="AH544" s="276">
        <f>$H544*SUMIFS(axTER!$E$65:$E$105,axTER!$D$65:$D$105,AF544,axTER!$C$65:$C$105,AD544)/SUMIFS(axTER!$E$108:$E$114,axTER!$C$108:$C$114,AG544)/10^9*$D$514</f>
        <v>0.25314520114060407</v>
      </c>
      <c r="AV544" s="273">
        <f>$H544*IF(AZ544&lt;&gt;AF544,SUMIFS(axTER!$E$121:$E$128,axTER!$C$121:$C$128,AF544,axTER!$D$121:$D$128,AZ544),SUMIFS(axTER!$E$133:$E$138,axTER!$C$133:$C$138,AZ544)*AY$510)*$D$514/10^6</f>
        <v>355.98543910397444</v>
      </c>
      <c r="AW544" s="274">
        <f>$H544*IF(BA544&lt;&gt;AG544,SUMIFS(axTER!$E$142:$E$148,axTER!$C$142:$C$148,BA544),SUMIFS(axTER!$E$151:$E$157,axTER!$C$151:$C$157,BA544)*AY$510)/10^6*$D$514</f>
        <v>664.50615299408582</v>
      </c>
      <c r="AX544" s="275" t="s">
        <v>269</v>
      </c>
      <c r="AY544" s="161" t="s">
        <v>265</v>
      </c>
      <c r="AZ544" s="161" t="s">
        <v>266</v>
      </c>
      <c r="BA544" s="284" t="s">
        <v>261</v>
      </c>
      <c r="BB544" s="276">
        <f>$H544*SUMIFS(axTER!$E$65:$E$105,axTER!$D$65:$D$105,AZ544,axTER!$C$65:$C$105,AX544)/SUMIFS(axTER!$E$108:$E$114,axTER!$C$108:$C$114,BA544)/10^9*$D$514</f>
        <v>0.25314520114060407</v>
      </c>
      <c r="IG544" s="269">
        <v>1200</v>
      </c>
      <c r="IH544" s="66" t="s">
        <v>269</v>
      </c>
      <c r="II544" s="66" t="s">
        <v>265</v>
      </c>
      <c r="IJ544" s="66" t="s">
        <v>266</v>
      </c>
      <c r="IK544" s="283" t="s">
        <v>261</v>
      </c>
      <c r="IL544" s="272">
        <f>$H544*SUMIFS(axTER!$E$65:$E$105,axTER!$C$65:$C$105,IH544,axTER!$D$65:$D$105,IJ544)/SUMIFS(axTER!$E$108:$E$114,axTER!$C$108:$C$114,IK544)/10^9*$D$514</f>
        <v>0.25314520114060407</v>
      </c>
      <c r="IO544" s="273">
        <f t="shared" si="1008"/>
        <v>0</v>
      </c>
      <c r="IP544" s="273">
        <f>$H544*IF(IT544&lt;&gt;IJ544,SUMIFS(axTER!$E$121:$E$128,axTER!$C$121:$C$128,IJ544,axTER!$D$121:$D$128,IT544),SUMIFS(axTER!$E$133:$E$138,axTER!$C$133:$C$138,IT544)*IS$510)*$D$514/10^6</f>
        <v>177.99271955198722</v>
      </c>
      <c r="IQ544" s="274">
        <f>$H544*IF(IU544&lt;&gt;IK544,SUMIFS(axTER!$E$142:$E$148,axTER!$C$142:$C$148,IU544),SUMIFS(axTER!$E$151:$E$157,axTER!$C$151:$C$157,IU544)*IS$510)/10^6*$D$514</f>
        <v>332.25307649704291</v>
      </c>
      <c r="IR544" s="275" t="s">
        <v>269</v>
      </c>
      <c r="IS544" s="161" t="s">
        <v>265</v>
      </c>
      <c r="IT544" s="161" t="s">
        <v>266</v>
      </c>
      <c r="IU544" s="284" t="s">
        <v>261</v>
      </c>
      <c r="IV544" s="276">
        <f>$H544*SUMIFS(axTER!$E$65:$E$105,axTER!$D$65:$D$105,IT544,axTER!$C$65:$C$105,IR544)/SUMIFS(axTER!$E$108:$E$114,axTER!$C$108:$C$114,IU544)/10^9*$D$514</f>
        <v>0.25314520114060407</v>
      </c>
      <c r="JI544" s="273">
        <f t="shared" si="1009"/>
        <v>0</v>
      </c>
      <c r="JJ544" s="273">
        <f>$H544*IF(JN544&lt;&gt;IT544,SUMIFS(axTER!$E$121:$E$128,axTER!$C$121:$C$128,IT544,axTER!$D$121:$D$128,JN544),SUMIFS(axTER!$E$133:$E$138,axTER!$C$133:$C$138,JN544)*JM$510)*$D$514/10^6</f>
        <v>355.98543910397444</v>
      </c>
      <c r="JK544" s="274">
        <f>$H544*IF(JO544&lt;&gt;IU544,SUMIFS(axTER!$E$142:$E$148,axTER!$C$142:$C$148,JO544),SUMIFS(axTER!$E$151:$E$157,axTER!$C$151:$C$157,JO544)*JM$510)/10^6*$D$514</f>
        <v>664.50615299408582</v>
      </c>
      <c r="JL544" s="275" t="s">
        <v>269</v>
      </c>
      <c r="JM544" s="161" t="s">
        <v>265</v>
      </c>
      <c r="JN544" s="161" t="s">
        <v>266</v>
      </c>
      <c r="JO544" s="284" t="s">
        <v>261</v>
      </c>
      <c r="JP544" s="276">
        <f>$H544*SUMIFS(axTER!$E$65:$E$105,axTER!$D$65:$D$105,JN544,axTER!$C$65:$C$105,JL544)/SUMIFS(axTER!$E$108:$E$114,axTER!$C$108:$C$114,JO544)/10^9*$D$514</f>
        <v>0.25314520114060407</v>
      </c>
      <c r="JR544" s="269">
        <v>1200</v>
      </c>
      <c r="JS544" s="66" t="s">
        <v>269</v>
      </c>
      <c r="JT544" s="66" t="s">
        <v>265</v>
      </c>
      <c r="JU544" s="66" t="s">
        <v>266</v>
      </c>
      <c r="JV544" s="283" t="s">
        <v>261</v>
      </c>
      <c r="JW544" s="272">
        <f>$H544*SUMIFS(axTER!$E$65:$E$105,axTER!$C$65:$C$105,JS544,axTER!$D$65:$D$105,JU544)/SUMIFS(axTER!$E$108:$E$114,axTER!$C$108:$C$114,JV544)/10^9*$D$514</f>
        <v>0.25314520114060407</v>
      </c>
      <c r="JY544" s="273">
        <f t="shared" si="1010"/>
        <v>0</v>
      </c>
      <c r="JZ544" s="273">
        <f t="shared" si="1005"/>
        <v>0</v>
      </c>
      <c r="KA544" s="273">
        <f>$H544*IF(KE544&lt;&gt;JU544,SUMIFS(axTER!$E$121:$E$128,axTER!$C$121:$C$128,JU544,axTER!$D$121:$D$128,KE544),SUMIFS(axTER!$E$133:$E$138,axTER!$C$133:$C$138,KE544)*KD$510)*$D$514/10^6</f>
        <v>124.59490368639106</v>
      </c>
      <c r="KB544" s="274">
        <f>$H544*IF(KF544&lt;&gt;JV544,SUMIFS(axTER!$E$142:$E$148,axTER!$C$142:$C$148,KF544),SUMIFS(axTER!$E$151:$E$157,axTER!$C$151:$C$157,KF544)*KD$510)/10^6*$D$514</f>
        <v>232.57715354792998</v>
      </c>
      <c r="KC544" s="275" t="s">
        <v>269</v>
      </c>
      <c r="KD544" s="161" t="s">
        <v>265</v>
      </c>
      <c r="KE544" s="161" t="s">
        <v>266</v>
      </c>
      <c r="KF544" s="284" t="s">
        <v>261</v>
      </c>
      <c r="KG544" s="276">
        <f>$H544*SUMIFS(axTER!$E$65:$E$105,axTER!$D$65:$D$105,KE544,axTER!$C$65:$C$105,KC544)/SUMIFS(axTER!$E$108:$E$114,axTER!$C$108:$C$114,KF544)/10^9*$D$514</f>
        <v>0.25314520114060407</v>
      </c>
      <c r="KS544" s="273">
        <f t="shared" si="1011"/>
        <v>0</v>
      </c>
      <c r="KT544" s="273">
        <f t="shared" si="1012"/>
        <v>0</v>
      </c>
      <c r="KU544" s="273">
        <f>$H544*IF(KY544&lt;&gt;KE544,SUMIFS(axTER!$E$121:$E$128,axTER!$C$121:$C$128,KE544,axTER!$D$121:$D$128,KY544),SUMIFS(axTER!$E$133:$E$138,axTER!$C$133:$C$138,KY544)*KX$510)*$D$514/10^6</f>
        <v>355.98543910397444</v>
      </c>
      <c r="KV544" s="274">
        <f>$H544*IF(KZ544&lt;&gt;KF544,SUMIFS(axTER!$E$142:$E$148,axTER!$C$142:$C$148,KZ544),SUMIFS(axTER!$E$151:$E$157,axTER!$C$151:$C$157,KZ544)*KX$510)/10^6*$D$514</f>
        <v>664.50615299408582</v>
      </c>
      <c r="KW544" s="275" t="s">
        <v>269</v>
      </c>
      <c r="KX544" s="161" t="s">
        <v>265</v>
      </c>
      <c r="KY544" s="161" t="s">
        <v>266</v>
      </c>
      <c r="KZ544" s="284" t="s">
        <v>261</v>
      </c>
      <c r="LA544" s="276">
        <f>$H544*SUMIFS(axTER!$E$65:$E$105,axTER!$D$65:$D$105,KY544,axTER!$C$65:$C$105,KW544)/SUMIFS(axTER!$E$108:$E$114,axTER!$C$108:$C$114,KZ544)/10^9*$D$514</f>
        <v>0.25314520114060407</v>
      </c>
      <c r="LC544" s="269">
        <v>1200</v>
      </c>
      <c r="LD544" s="66" t="s">
        <v>269</v>
      </c>
      <c r="LE544" s="66" t="s">
        <v>265</v>
      </c>
      <c r="LF544" s="66" t="s">
        <v>266</v>
      </c>
      <c r="LG544" s="283" t="s">
        <v>261</v>
      </c>
      <c r="LH544" s="272">
        <f>$H544*SUMIFS(axTER!$E$65:$E$105,axTER!$C$65:$C$105,LD544,axTER!$D$65:$D$105,LF544)/SUMIFS(axTER!$E$108:$E$114,axTER!$C$108:$C$114,LG544)/10^9*$D$514</f>
        <v>0.25314520114060407</v>
      </c>
      <c r="LJ544" s="273">
        <f t="shared" si="1013"/>
        <v>0</v>
      </c>
      <c r="LK544" s="273">
        <f t="shared" si="1017"/>
        <v>0</v>
      </c>
      <c r="LL544" s="273">
        <f>$H544*IF(LP544&lt;&gt;LF544,SUMIFS(axTER!$E$121:$E$128,axTER!$C$121:$C$128,LF544,axTER!$D$121:$D$128,LP544),SUMIFS(axTER!$E$133:$E$138,axTER!$C$133:$C$138,LP544)*LO$510)*$D$514/10^6</f>
        <v>124.59490368639106</v>
      </c>
      <c r="LM544" s="274">
        <f>$H544*IF(LQ544&lt;&gt;LG544,SUMIFS(axTER!$E$142:$E$148,axTER!$C$142:$C$148,LQ544),SUMIFS(axTER!$E$151:$E$157,axTER!$C$151:$C$157,LQ544)*LO$510)/10^6*$D$514</f>
        <v>232.57715354792998</v>
      </c>
      <c r="LN544" s="275" t="s">
        <v>269</v>
      </c>
      <c r="LO544" s="161" t="s">
        <v>265</v>
      </c>
      <c r="LP544" s="161" t="s">
        <v>266</v>
      </c>
      <c r="LQ544" s="161" t="s">
        <v>261</v>
      </c>
      <c r="LR544" s="276">
        <f>$H544*SUMIFS(axTER!$E$65:$E$105,axTER!$D$65:$D$105,LP544,axTER!$C$65:$C$105,LN544)/SUMIFS(axTER!$E$108:$E$114,axTER!$C$108:$C$114,LQ544)/10^9*$D$514</f>
        <v>0.25314520114060407</v>
      </c>
      <c r="LT544" s="273">
        <f t="shared" si="1014"/>
        <v>0</v>
      </c>
      <c r="LU544" s="273">
        <f t="shared" si="1015"/>
        <v>0</v>
      </c>
      <c r="LV544" s="273">
        <f>$H544*IF(LZ544&lt;&gt;LP544,SUMIFS(axTER!$E$121:$E$128,axTER!$C$121:$C$128,LP544,axTER!$D$121:$D$128,LZ544),SUMIFS(axTER!$E$133:$E$138,axTER!$C$133:$C$138,LZ544)*LY$510)*$D$514/10^6</f>
        <v>177.99271955198722</v>
      </c>
      <c r="LW544" s="274">
        <f>$H544*IF(MA544&lt;&gt;LQ544,SUMIFS(axTER!$E$142:$E$148,axTER!$C$142:$C$148,MA544),SUMIFS(axTER!$E$151:$E$157,axTER!$C$151:$C$157,MA544)*LY$510)/10^6*$D$514</f>
        <v>332.25307649704291</v>
      </c>
      <c r="LX544" s="275" t="s">
        <v>269</v>
      </c>
      <c r="LY544" s="161" t="s">
        <v>265</v>
      </c>
      <c r="LZ544" s="161" t="s">
        <v>266</v>
      </c>
      <c r="MA544" s="161" t="s">
        <v>261</v>
      </c>
      <c r="MB544" s="276">
        <f>$H544*SUMIFS(axTER!$E$65:$E$105,axTER!$D$65:$D$105,LZ544,axTER!$C$65:$C$105,LX544)/SUMIFS(axTER!$E$108:$E$114,axTER!$C$108:$C$114,MA544)/10^9*$D$514</f>
        <v>0.25314520114060407</v>
      </c>
      <c r="MD544" s="273">
        <f t="shared" si="1007"/>
        <v>0</v>
      </c>
      <c r="ME544" s="273">
        <f t="shared" si="1016"/>
        <v>0</v>
      </c>
      <c r="MF544" s="273">
        <f>$H544*IF(MJ544&lt;&gt;LZ544,SUMIFS(axTER!$E$121:$E$128,axTER!$C$121:$C$128,LZ544,axTER!$D$121:$D$128,MJ544),SUMIFS(axTER!$E$133:$E$138,axTER!$C$133:$C$138,MJ544)*MI$510)*$D$514/10^6</f>
        <v>177.99271955198722</v>
      </c>
      <c r="MG544" s="274">
        <f>$H544*IF(MK544&lt;&gt;MA544,SUMIFS(axTER!$E$142:$E$148,axTER!$C$142:$C$148,MK544),SUMIFS(axTER!$E$151:$E$157,axTER!$C$151:$C$157,MK544)*MI$510)/10^6*$D$514</f>
        <v>332.25307649704291</v>
      </c>
      <c r="MH544" s="275" t="s">
        <v>269</v>
      </c>
      <c r="MI544" s="161" t="s">
        <v>265</v>
      </c>
      <c r="MJ544" s="161" t="s">
        <v>266</v>
      </c>
      <c r="MK544" s="161" t="s">
        <v>261</v>
      </c>
      <c r="ML544" s="276">
        <f>$H544*SUMIFS(axTER!$E$65:$E$105,axTER!$D$65:$D$105,MJ544,axTER!$C$65:$C$105,MH544)/SUMIFS(axTER!$E$108:$E$114,axTER!$C$108:$C$114,MK544)/10^9*$D$514</f>
        <v>0.25314520114060407</v>
      </c>
    </row>
    <row r="545" spans="3:350" outlineLevel="1" x14ac:dyDescent="0.3">
      <c r="C545" s="265"/>
      <c r="D545" s="69"/>
      <c r="F545" s="266"/>
      <c r="H545" s="269">
        <v>1200</v>
      </c>
      <c r="I545" s="66" t="s">
        <v>269</v>
      </c>
      <c r="J545" s="66" t="s">
        <v>265</v>
      </c>
      <c r="K545" s="66" t="s">
        <v>266</v>
      </c>
      <c r="L545" s="283" t="s">
        <v>261</v>
      </c>
      <c r="M545" s="272">
        <f>$H545*SUMIFS(axTER!$E$65:$E$105,axTER!$C$65:$C$105,I545,axTER!$D$65:$D$105,K545)/SUMIFS(axTER!$E$108:$E$114,axTER!$C$108:$C$114,L545)/10^9*$D$514</f>
        <v>0.25314520114060407</v>
      </c>
      <c r="S545" s="269">
        <v>1200</v>
      </c>
      <c r="T545" s="66" t="s">
        <v>269</v>
      </c>
      <c r="U545" s="66" t="s">
        <v>265</v>
      </c>
      <c r="V545" s="66" t="s">
        <v>266</v>
      </c>
      <c r="W545" s="283" t="s">
        <v>261</v>
      </c>
      <c r="X545" s="272">
        <f>$H545*SUMIFS(axTER!$E$65:$E$105,axTER!$C$65:$C$105,T545,axTER!$D$65:$D$105,V545)/SUMIFS(axTER!$E$108:$E$114,axTER!$C$108:$C$114,W545)/10^9*$D$514</f>
        <v>0.25314520114060407</v>
      </c>
      <c r="AB545" s="273">
        <f>$H545*IF(AF545&lt;&gt;K545,SUMIFS(axTER!$E$121:$E$128,axTER!$C$121:$C$128,K545,axTER!$D$121:$D$128,AF545),SUMIFS(axTER!$E$133:$E$138,axTER!$C$133:$C$138,AF545)*AE$510)*$D$514/10^6</f>
        <v>177.99271955198722</v>
      </c>
      <c r="AC545" s="274">
        <f>$H545*IF(AG545&lt;&gt;L545,SUMIFS(axTER!$E$142:$E$148,axTER!$C$142:$C$148,AG545),SUMIFS(axTER!$E$151:$E$157,axTER!$C$151:$C$157,AG545)*AE$510)/10^6*$D$514</f>
        <v>332.25307649704291</v>
      </c>
      <c r="AD545" s="275" t="s">
        <v>269</v>
      </c>
      <c r="AE545" s="161" t="s">
        <v>265</v>
      </c>
      <c r="AF545" s="161" t="s">
        <v>266</v>
      </c>
      <c r="AG545" s="284" t="s">
        <v>261</v>
      </c>
      <c r="AH545" s="276">
        <f>$H545*SUMIFS(axTER!$E$65:$E$105,axTER!$D$65:$D$105,AF545,axTER!$C$65:$C$105,AD545)/SUMIFS(axTER!$E$108:$E$114,axTER!$C$108:$C$114,AG545)/10^9*$D$514</f>
        <v>0.25314520114060407</v>
      </c>
      <c r="AV545" s="273">
        <f>$H545*IF(AZ545&lt;&gt;AF545,SUMIFS(axTER!$E$121:$E$128,axTER!$C$121:$C$128,AF545,axTER!$D$121:$D$128,AZ545),SUMIFS(axTER!$E$133:$E$138,axTER!$C$133:$C$138,AZ545)*AY$510)*$D$514/10^6</f>
        <v>355.98543910397444</v>
      </c>
      <c r="AW545" s="274">
        <f>$H545*IF(BA545&lt;&gt;AG545,SUMIFS(axTER!$E$142:$E$148,axTER!$C$142:$C$148,BA545),SUMIFS(axTER!$E$151:$E$157,axTER!$C$151:$C$157,BA545)*AY$510)/10^6*$D$514</f>
        <v>664.50615299408582</v>
      </c>
      <c r="AX545" s="275" t="s">
        <v>269</v>
      </c>
      <c r="AY545" s="161" t="s">
        <v>265</v>
      </c>
      <c r="AZ545" s="161" t="s">
        <v>266</v>
      </c>
      <c r="BA545" s="284" t="s">
        <v>261</v>
      </c>
      <c r="BB545" s="276">
        <f>$H545*SUMIFS(axTER!$E$65:$E$105,axTER!$D$65:$D$105,AZ545,axTER!$C$65:$C$105,AX545)/SUMIFS(axTER!$E$108:$E$114,axTER!$C$108:$C$114,BA545)/10^9*$D$514</f>
        <v>0.25314520114060407</v>
      </c>
      <c r="IG545" s="269">
        <v>1200</v>
      </c>
      <c r="IH545" s="66" t="s">
        <v>269</v>
      </c>
      <c r="II545" s="66" t="s">
        <v>265</v>
      </c>
      <c r="IJ545" s="66" t="s">
        <v>266</v>
      </c>
      <c r="IK545" s="283" t="s">
        <v>261</v>
      </c>
      <c r="IL545" s="272">
        <f>$H545*SUMIFS(axTER!$E$65:$E$105,axTER!$C$65:$C$105,IH545,axTER!$D$65:$D$105,IJ545)/SUMIFS(axTER!$E$108:$E$114,axTER!$C$108:$C$114,IK545)/10^9*$D$514</f>
        <v>0.25314520114060407</v>
      </c>
      <c r="IO545" s="273">
        <f t="shared" si="1008"/>
        <v>0</v>
      </c>
      <c r="IP545" s="273">
        <f>$H545*IF(IT545&lt;&gt;IJ545,SUMIFS(axTER!$E$121:$E$128,axTER!$C$121:$C$128,IJ545,axTER!$D$121:$D$128,IT545),SUMIFS(axTER!$E$133:$E$138,axTER!$C$133:$C$138,IT545)*IS$510)*$D$514/10^6</f>
        <v>177.99271955198722</v>
      </c>
      <c r="IQ545" s="274">
        <f>$H545*IF(IU545&lt;&gt;IK545,SUMIFS(axTER!$E$142:$E$148,axTER!$C$142:$C$148,IU545),SUMIFS(axTER!$E$151:$E$157,axTER!$C$151:$C$157,IU545)*IS$510)/10^6*$D$514</f>
        <v>332.25307649704291</v>
      </c>
      <c r="IR545" s="275" t="s">
        <v>269</v>
      </c>
      <c r="IS545" s="161" t="s">
        <v>265</v>
      </c>
      <c r="IT545" s="161" t="s">
        <v>266</v>
      </c>
      <c r="IU545" s="284" t="s">
        <v>261</v>
      </c>
      <c r="IV545" s="276">
        <f>$H545*SUMIFS(axTER!$E$65:$E$105,axTER!$D$65:$D$105,IT545,axTER!$C$65:$C$105,IR545)/SUMIFS(axTER!$E$108:$E$114,axTER!$C$108:$C$114,IU545)/10^9*$D$514</f>
        <v>0.25314520114060407</v>
      </c>
      <c r="JI545" s="273">
        <f t="shared" si="1009"/>
        <v>0</v>
      </c>
      <c r="JJ545" s="273">
        <f>$H545*IF(JN545&lt;&gt;IT545,SUMIFS(axTER!$E$121:$E$128,axTER!$C$121:$C$128,IT545,axTER!$D$121:$D$128,JN545),SUMIFS(axTER!$E$133:$E$138,axTER!$C$133:$C$138,JN545)*JM$510)*$D$514/10^6</f>
        <v>355.98543910397444</v>
      </c>
      <c r="JK545" s="274">
        <f>$H545*IF(JO545&lt;&gt;IU545,SUMIFS(axTER!$E$142:$E$148,axTER!$C$142:$C$148,JO545),SUMIFS(axTER!$E$151:$E$157,axTER!$C$151:$C$157,JO545)*JM$510)/10^6*$D$514</f>
        <v>664.50615299408582</v>
      </c>
      <c r="JL545" s="275" t="s">
        <v>269</v>
      </c>
      <c r="JM545" s="161" t="s">
        <v>265</v>
      </c>
      <c r="JN545" s="161" t="s">
        <v>266</v>
      </c>
      <c r="JO545" s="284" t="s">
        <v>261</v>
      </c>
      <c r="JP545" s="276">
        <f>$H545*SUMIFS(axTER!$E$65:$E$105,axTER!$D$65:$D$105,JN545,axTER!$C$65:$C$105,JL545)/SUMIFS(axTER!$E$108:$E$114,axTER!$C$108:$C$114,JO545)/10^9*$D$514</f>
        <v>0.25314520114060407</v>
      </c>
      <c r="JR545" s="269">
        <v>1200</v>
      </c>
      <c r="JS545" s="66" t="s">
        <v>269</v>
      </c>
      <c r="JT545" s="66" t="s">
        <v>265</v>
      </c>
      <c r="JU545" s="66" t="s">
        <v>266</v>
      </c>
      <c r="JV545" s="283" t="s">
        <v>261</v>
      </c>
      <c r="JW545" s="272">
        <f>$H545*SUMIFS(axTER!$E$65:$E$105,axTER!$C$65:$C$105,JS545,axTER!$D$65:$D$105,JU545)/SUMIFS(axTER!$E$108:$E$114,axTER!$C$108:$C$114,JV545)/10^9*$D$514</f>
        <v>0.25314520114060407</v>
      </c>
      <c r="JY545" s="273">
        <f t="shared" si="1010"/>
        <v>0</v>
      </c>
      <c r="JZ545" s="273">
        <f t="shared" si="1005"/>
        <v>0</v>
      </c>
      <c r="KA545" s="273">
        <f>$H545*IF(KE545&lt;&gt;JU545,SUMIFS(axTER!$E$121:$E$128,axTER!$C$121:$C$128,JU545,axTER!$D$121:$D$128,KE545),SUMIFS(axTER!$E$133:$E$138,axTER!$C$133:$C$138,KE545)*KD$510)*$D$514/10^6</f>
        <v>124.59490368639106</v>
      </c>
      <c r="KB545" s="274">
        <f>$H545*IF(KF545&lt;&gt;JV545,SUMIFS(axTER!$E$142:$E$148,axTER!$C$142:$C$148,KF545),SUMIFS(axTER!$E$151:$E$157,axTER!$C$151:$C$157,KF545)*KD$510)/10^6*$D$514</f>
        <v>232.57715354792998</v>
      </c>
      <c r="KC545" s="275" t="s">
        <v>269</v>
      </c>
      <c r="KD545" s="161" t="s">
        <v>265</v>
      </c>
      <c r="KE545" s="161" t="s">
        <v>266</v>
      </c>
      <c r="KF545" s="284" t="s">
        <v>261</v>
      </c>
      <c r="KG545" s="276">
        <f>$H545*SUMIFS(axTER!$E$65:$E$105,axTER!$D$65:$D$105,KE545,axTER!$C$65:$C$105,KC545)/SUMIFS(axTER!$E$108:$E$114,axTER!$C$108:$C$114,KF545)/10^9*$D$514</f>
        <v>0.25314520114060407</v>
      </c>
      <c r="KS545" s="273">
        <f t="shared" si="1011"/>
        <v>0</v>
      </c>
      <c r="KT545" s="273">
        <f t="shared" si="1012"/>
        <v>0</v>
      </c>
      <c r="KU545" s="273">
        <f>$H545*IF(KY545&lt;&gt;KE545,SUMIFS(axTER!$E$121:$E$128,axTER!$C$121:$C$128,KE545,axTER!$D$121:$D$128,KY545),SUMIFS(axTER!$E$133:$E$138,axTER!$C$133:$C$138,KY545)*KX$510)*$D$514/10^6</f>
        <v>355.98543910397444</v>
      </c>
      <c r="KV545" s="274">
        <f>$H545*IF(KZ545&lt;&gt;KF545,SUMIFS(axTER!$E$142:$E$148,axTER!$C$142:$C$148,KZ545),SUMIFS(axTER!$E$151:$E$157,axTER!$C$151:$C$157,KZ545)*KX$510)/10^6*$D$514</f>
        <v>664.50615299408582</v>
      </c>
      <c r="KW545" s="275" t="s">
        <v>269</v>
      </c>
      <c r="KX545" s="161" t="s">
        <v>265</v>
      </c>
      <c r="KY545" s="161" t="s">
        <v>266</v>
      </c>
      <c r="KZ545" s="284" t="s">
        <v>261</v>
      </c>
      <c r="LA545" s="276">
        <f>$H545*SUMIFS(axTER!$E$65:$E$105,axTER!$D$65:$D$105,KY545,axTER!$C$65:$C$105,KW545)/SUMIFS(axTER!$E$108:$E$114,axTER!$C$108:$C$114,KZ545)/10^9*$D$514</f>
        <v>0.25314520114060407</v>
      </c>
      <c r="LC545" s="269">
        <v>1200</v>
      </c>
      <c r="LD545" s="66" t="s">
        <v>269</v>
      </c>
      <c r="LE545" s="66" t="s">
        <v>265</v>
      </c>
      <c r="LF545" s="66" t="s">
        <v>266</v>
      </c>
      <c r="LG545" s="283" t="s">
        <v>261</v>
      </c>
      <c r="LH545" s="272">
        <f>$H545*SUMIFS(axTER!$E$65:$E$105,axTER!$C$65:$C$105,LD545,axTER!$D$65:$D$105,LF545)/SUMIFS(axTER!$E$108:$E$114,axTER!$C$108:$C$114,LG545)/10^9*$D$514</f>
        <v>0.25314520114060407</v>
      </c>
      <c r="LJ545" s="273">
        <f t="shared" si="1013"/>
        <v>0</v>
      </c>
      <c r="LK545" s="273">
        <f t="shared" si="1017"/>
        <v>0</v>
      </c>
      <c r="LL545" s="273">
        <f>$H545*IF(LP545&lt;&gt;LF545,SUMIFS(axTER!$E$121:$E$128,axTER!$C$121:$C$128,LF545,axTER!$D$121:$D$128,LP545),SUMIFS(axTER!$E$133:$E$138,axTER!$C$133:$C$138,LP545)*LO$510)*$D$514/10^6</f>
        <v>124.59490368639106</v>
      </c>
      <c r="LM545" s="274">
        <f>$H545*IF(LQ545&lt;&gt;LG545,SUMIFS(axTER!$E$142:$E$148,axTER!$C$142:$C$148,LQ545),SUMIFS(axTER!$E$151:$E$157,axTER!$C$151:$C$157,LQ545)*LO$510)/10^6*$D$514</f>
        <v>232.57715354792998</v>
      </c>
      <c r="LN545" s="275" t="s">
        <v>269</v>
      </c>
      <c r="LO545" s="161" t="s">
        <v>265</v>
      </c>
      <c r="LP545" s="161" t="s">
        <v>266</v>
      </c>
      <c r="LQ545" s="161" t="s">
        <v>261</v>
      </c>
      <c r="LR545" s="276">
        <f>$H545*SUMIFS(axTER!$E$65:$E$105,axTER!$D$65:$D$105,LP545,axTER!$C$65:$C$105,LN545)/SUMIFS(axTER!$E$108:$E$114,axTER!$C$108:$C$114,LQ545)/10^9*$D$514</f>
        <v>0.25314520114060407</v>
      </c>
      <c r="LT545" s="273">
        <f t="shared" si="1014"/>
        <v>0</v>
      </c>
      <c r="LU545" s="273">
        <f t="shared" si="1015"/>
        <v>0</v>
      </c>
      <c r="LV545" s="273">
        <f>$H545*IF(LZ545&lt;&gt;LP545,SUMIFS(axTER!$E$121:$E$128,axTER!$C$121:$C$128,LP545,axTER!$D$121:$D$128,LZ545),SUMIFS(axTER!$E$133:$E$138,axTER!$C$133:$C$138,LZ545)*LY$510)*$D$514/10^6</f>
        <v>177.99271955198722</v>
      </c>
      <c r="LW545" s="274">
        <f>$H545*IF(MA545&lt;&gt;LQ545,SUMIFS(axTER!$E$142:$E$148,axTER!$C$142:$C$148,MA545),SUMIFS(axTER!$E$151:$E$157,axTER!$C$151:$C$157,MA545)*LY$510)/10^6*$D$514</f>
        <v>332.25307649704291</v>
      </c>
      <c r="LX545" s="275" t="s">
        <v>269</v>
      </c>
      <c r="LY545" s="161" t="s">
        <v>265</v>
      </c>
      <c r="LZ545" s="161" t="s">
        <v>266</v>
      </c>
      <c r="MA545" s="161" t="s">
        <v>261</v>
      </c>
      <c r="MB545" s="276">
        <f>$H545*SUMIFS(axTER!$E$65:$E$105,axTER!$D$65:$D$105,LZ545,axTER!$C$65:$C$105,LX545)/SUMIFS(axTER!$E$108:$E$114,axTER!$C$108:$C$114,MA545)/10^9*$D$514</f>
        <v>0.25314520114060407</v>
      </c>
      <c r="MD545" s="273">
        <f t="shared" ref="MD545:MD576" si="1018">IF(MK545&lt;&gt;MA545,MK545,0)</f>
        <v>0</v>
      </c>
      <c r="ME545" s="273">
        <f t="shared" si="1016"/>
        <v>0</v>
      </c>
      <c r="MF545" s="273">
        <f>$H545*IF(MJ545&lt;&gt;LZ545,SUMIFS(axTER!$E$121:$E$128,axTER!$C$121:$C$128,LZ545,axTER!$D$121:$D$128,MJ545),SUMIFS(axTER!$E$133:$E$138,axTER!$C$133:$C$138,MJ545)*MI$510)*$D$514/10^6</f>
        <v>177.99271955198722</v>
      </c>
      <c r="MG545" s="274">
        <f>$H545*IF(MK545&lt;&gt;MA545,SUMIFS(axTER!$E$142:$E$148,axTER!$C$142:$C$148,MK545),SUMIFS(axTER!$E$151:$E$157,axTER!$C$151:$C$157,MK545)*MI$510)/10^6*$D$514</f>
        <v>332.25307649704291</v>
      </c>
      <c r="MH545" s="275" t="s">
        <v>269</v>
      </c>
      <c r="MI545" s="161" t="s">
        <v>265</v>
      </c>
      <c r="MJ545" s="161" t="s">
        <v>266</v>
      </c>
      <c r="MK545" s="161" t="s">
        <v>261</v>
      </c>
      <c r="ML545" s="276">
        <f>$H545*SUMIFS(axTER!$E$65:$E$105,axTER!$D$65:$D$105,MJ545,axTER!$C$65:$C$105,MH545)/SUMIFS(axTER!$E$108:$E$114,axTER!$C$108:$C$114,MK545)/10^9*$D$514</f>
        <v>0.25314520114060407</v>
      </c>
    </row>
    <row r="546" spans="3:350" outlineLevel="1" x14ac:dyDescent="0.3">
      <c r="C546" s="265"/>
      <c r="D546" s="69"/>
      <c r="F546" s="266"/>
      <c r="H546" s="269">
        <v>1200</v>
      </c>
      <c r="I546" s="66" t="s">
        <v>269</v>
      </c>
      <c r="J546" s="66" t="s">
        <v>265</v>
      </c>
      <c r="K546" s="66" t="s">
        <v>266</v>
      </c>
      <c r="L546" s="283" t="s">
        <v>256</v>
      </c>
      <c r="M546" s="272">
        <f>$H546*SUMIFS(axTER!$E$65:$E$105,axTER!$C$65:$C$105,I546,axTER!$D$65:$D$105,K546)/SUMIFS(axTER!$E$108:$E$114,axTER!$C$108:$C$114,L546)/10^9*$D$514</f>
        <v>0.79940589833874964</v>
      </c>
      <c r="S546" s="269">
        <v>1200</v>
      </c>
      <c r="T546" s="66" t="s">
        <v>269</v>
      </c>
      <c r="U546" s="66" t="s">
        <v>265</v>
      </c>
      <c r="V546" s="66" t="s">
        <v>266</v>
      </c>
      <c r="W546" s="283" t="s">
        <v>256</v>
      </c>
      <c r="X546" s="272">
        <f>$H546*SUMIFS(axTER!$E$65:$E$105,axTER!$C$65:$C$105,T546,axTER!$D$65:$D$105,V546)/SUMIFS(axTER!$E$108:$E$114,axTER!$C$108:$C$114,W546)/10^9*$D$514</f>
        <v>0.79940589833874964</v>
      </c>
      <c r="AB546" s="273">
        <f>$H546*IF(AF546&lt;&gt;K546,SUMIFS(axTER!$E$121:$E$128,axTER!$C$121:$C$128,K546,axTER!$D$121:$D$128,AF546),SUMIFS(axTER!$E$133:$E$138,axTER!$C$133:$C$138,AF546)*AE$510)*$D$514/10^6</f>
        <v>177.99271955198722</v>
      </c>
      <c r="AC546" s="274">
        <f>$H546*IF(AG546&lt;&gt;L546,SUMIFS(axTER!$E$142:$E$148,axTER!$C$142:$C$148,AG546),SUMIFS(axTER!$E$151:$E$157,axTER!$C$151:$C$157,AG546)*AE$510)/10^6*$D$514</f>
        <v>74.756942211834655</v>
      </c>
      <c r="AD546" s="275" t="s">
        <v>269</v>
      </c>
      <c r="AE546" s="161" t="s">
        <v>265</v>
      </c>
      <c r="AF546" s="161" t="s">
        <v>266</v>
      </c>
      <c r="AG546" s="284" t="s">
        <v>256</v>
      </c>
      <c r="AH546" s="276">
        <f>$H546*SUMIFS(axTER!$E$65:$E$105,axTER!$D$65:$D$105,AF546,axTER!$C$65:$C$105,AD546)/SUMIFS(axTER!$E$108:$E$114,axTER!$C$108:$C$114,AG546)/10^9*$D$514</f>
        <v>0.79940589833874964</v>
      </c>
      <c r="AV546" s="273">
        <f>$H546*IF(AZ546&lt;&gt;AF546,SUMIFS(axTER!$E$121:$E$128,axTER!$C$121:$C$128,AF546,axTER!$D$121:$D$128,AZ546),SUMIFS(axTER!$E$133:$E$138,axTER!$C$133:$C$138,AZ546)*AY$510)*$D$514/10^6</f>
        <v>355.98543910397444</v>
      </c>
      <c r="AW546" s="274">
        <f>$H546*IF(BA546&lt;&gt;AG546,SUMIFS(axTER!$E$142:$E$148,axTER!$C$142:$C$148,BA546),SUMIFS(axTER!$E$151:$E$157,axTER!$C$151:$C$157,BA546)*AY$510)/10^6*$D$514</f>
        <v>149.51388442366931</v>
      </c>
      <c r="AX546" s="275" t="s">
        <v>269</v>
      </c>
      <c r="AY546" s="161" t="s">
        <v>265</v>
      </c>
      <c r="AZ546" s="161" t="s">
        <v>266</v>
      </c>
      <c r="BA546" s="284" t="s">
        <v>256</v>
      </c>
      <c r="BB546" s="276">
        <f>$H546*SUMIFS(axTER!$E$65:$E$105,axTER!$D$65:$D$105,AZ546,axTER!$C$65:$C$105,AX546)/SUMIFS(axTER!$E$108:$E$114,axTER!$C$108:$C$114,BA546)/10^9*$D$514</f>
        <v>0.79940589833874964</v>
      </c>
      <c r="IG546" s="269">
        <v>1200</v>
      </c>
      <c r="IH546" s="66" t="s">
        <v>269</v>
      </c>
      <c r="II546" s="66" t="s">
        <v>265</v>
      </c>
      <c r="IJ546" s="66" t="s">
        <v>266</v>
      </c>
      <c r="IK546" s="283" t="s">
        <v>256</v>
      </c>
      <c r="IL546" s="272">
        <f>$H546*SUMIFS(axTER!$E$65:$E$105,axTER!$C$65:$C$105,IH546,axTER!$D$65:$D$105,IJ546)/SUMIFS(axTER!$E$108:$E$114,axTER!$C$108:$C$114,IK546)/10^9*$D$514</f>
        <v>0.79940589833874964</v>
      </c>
      <c r="IO546" s="273">
        <f t="shared" si="1008"/>
        <v>0</v>
      </c>
      <c r="IP546" s="273">
        <f>$H546*IF(IT546&lt;&gt;IJ546,SUMIFS(axTER!$E$121:$E$128,axTER!$C$121:$C$128,IJ546,axTER!$D$121:$D$128,IT546),SUMIFS(axTER!$E$133:$E$138,axTER!$C$133:$C$138,IT546)*IS$510)*$D$514/10^6</f>
        <v>177.99271955198722</v>
      </c>
      <c r="IQ546" s="274">
        <f>$H546*IF(IU546&lt;&gt;IK546,SUMIFS(axTER!$E$142:$E$148,axTER!$C$142:$C$148,IU546),SUMIFS(axTER!$E$151:$E$157,axTER!$C$151:$C$157,IU546)*IS$510)/10^6*$D$514</f>
        <v>74.756942211834655</v>
      </c>
      <c r="IR546" s="275" t="s">
        <v>269</v>
      </c>
      <c r="IS546" s="161" t="s">
        <v>265</v>
      </c>
      <c r="IT546" s="161" t="s">
        <v>266</v>
      </c>
      <c r="IU546" s="284" t="s">
        <v>256</v>
      </c>
      <c r="IV546" s="276">
        <f>$H546*SUMIFS(axTER!$E$65:$E$105,axTER!$D$65:$D$105,IT546,axTER!$C$65:$C$105,IR546)/SUMIFS(axTER!$E$108:$E$114,axTER!$C$108:$C$114,IU546)/10^9*$D$514</f>
        <v>0.79940589833874964</v>
      </c>
      <c r="JI546" s="273">
        <f t="shared" si="1009"/>
        <v>0</v>
      </c>
      <c r="JJ546" s="273">
        <f>$H546*IF(JN546&lt;&gt;IT546,SUMIFS(axTER!$E$121:$E$128,axTER!$C$121:$C$128,IT546,axTER!$D$121:$D$128,JN546),SUMIFS(axTER!$E$133:$E$138,axTER!$C$133:$C$138,JN546)*JM$510)*$D$514/10^6</f>
        <v>355.98543910397444</v>
      </c>
      <c r="JK546" s="274">
        <f>$H546*IF(JO546&lt;&gt;IU546,SUMIFS(axTER!$E$142:$E$148,axTER!$C$142:$C$148,JO546),SUMIFS(axTER!$E$151:$E$157,axTER!$C$151:$C$157,JO546)*JM$510)/10^6*$D$514</f>
        <v>149.51388442366931</v>
      </c>
      <c r="JL546" s="275" t="s">
        <v>269</v>
      </c>
      <c r="JM546" s="161" t="s">
        <v>265</v>
      </c>
      <c r="JN546" s="161" t="s">
        <v>266</v>
      </c>
      <c r="JO546" s="284" t="s">
        <v>256</v>
      </c>
      <c r="JP546" s="276">
        <f>$H546*SUMIFS(axTER!$E$65:$E$105,axTER!$D$65:$D$105,JN546,axTER!$C$65:$C$105,JL546)/SUMIFS(axTER!$E$108:$E$114,axTER!$C$108:$C$114,JO546)/10^9*$D$514</f>
        <v>0.79940589833874964</v>
      </c>
      <c r="JR546" s="269">
        <v>1200</v>
      </c>
      <c r="JS546" s="66" t="s">
        <v>269</v>
      </c>
      <c r="JT546" s="66" t="s">
        <v>265</v>
      </c>
      <c r="JU546" s="66" t="s">
        <v>266</v>
      </c>
      <c r="JV546" s="283" t="s">
        <v>256</v>
      </c>
      <c r="JW546" s="272">
        <f>$H546*SUMIFS(axTER!$E$65:$E$105,axTER!$C$65:$C$105,JS546,axTER!$D$65:$D$105,JU546)/SUMIFS(axTER!$E$108:$E$114,axTER!$C$108:$C$114,JV546)/10^9*$D$514</f>
        <v>0.79940589833874964</v>
      </c>
      <c r="JY546" s="273">
        <f t="shared" si="1010"/>
        <v>0</v>
      </c>
      <c r="JZ546" s="273">
        <f t="shared" si="1005"/>
        <v>0</v>
      </c>
      <c r="KA546" s="273">
        <f>$H546*IF(KE546&lt;&gt;JU546,SUMIFS(axTER!$E$121:$E$128,axTER!$C$121:$C$128,JU546,axTER!$D$121:$D$128,KE546),SUMIFS(axTER!$E$133:$E$138,axTER!$C$133:$C$138,KE546)*KD$510)*$D$514/10^6</f>
        <v>124.59490368639106</v>
      </c>
      <c r="KB546" s="274">
        <f>$H546*IF(KF546&lt;&gt;JV546,SUMIFS(axTER!$E$142:$E$148,axTER!$C$142:$C$148,KF546),SUMIFS(axTER!$E$151:$E$157,axTER!$C$151:$C$157,KF546)*KD$510)/10^6*$D$514</f>
        <v>52.329859548284254</v>
      </c>
      <c r="KC546" s="275" t="s">
        <v>269</v>
      </c>
      <c r="KD546" s="161" t="s">
        <v>265</v>
      </c>
      <c r="KE546" s="161" t="s">
        <v>266</v>
      </c>
      <c r="KF546" s="284" t="s">
        <v>256</v>
      </c>
      <c r="KG546" s="276">
        <f>$H546*SUMIFS(axTER!$E$65:$E$105,axTER!$D$65:$D$105,KE546,axTER!$C$65:$C$105,KC546)/SUMIFS(axTER!$E$108:$E$114,axTER!$C$108:$C$114,KF546)/10^9*$D$514</f>
        <v>0.79940589833874964</v>
      </c>
      <c r="KS546" s="273" t="str">
        <f t="shared" si="1011"/>
        <v>ELEC-PAC</v>
      </c>
      <c r="KT546" s="273">
        <f t="shared" si="1012"/>
        <v>0</v>
      </c>
      <c r="KU546" s="273">
        <f>$H546*IF(KY546&lt;&gt;KE546,SUMIFS(axTER!$E$121:$E$128,axTER!$C$121:$C$128,KE546,axTER!$D$121:$D$128,KY546),SUMIFS(axTER!$E$133:$E$138,axTER!$C$133:$C$138,KY546)*KX$510)*$D$514/10^6</f>
        <v>355.98543910397444</v>
      </c>
      <c r="KV546" s="274">
        <f>$H546*IF(KZ546&lt;&gt;KF546,SUMIFS(axTER!$E$142:$E$148,axTER!$C$142:$C$148,KZ546),SUMIFS(axTER!$E$151:$E$157,axTER!$C$151:$C$157,KZ546)*KX$510)/10^6*$D$514</f>
        <v>949.29450427726533</v>
      </c>
      <c r="KW546" s="275" t="s">
        <v>269</v>
      </c>
      <c r="KX546" s="161" t="s">
        <v>265</v>
      </c>
      <c r="KY546" s="161" t="s">
        <v>266</v>
      </c>
      <c r="KZ546" s="284" t="s">
        <v>261</v>
      </c>
      <c r="LA546" s="276">
        <f>$H546*SUMIFS(axTER!$E$65:$E$105,axTER!$D$65:$D$105,KY546,axTER!$C$65:$C$105,KW546)/SUMIFS(axTER!$E$108:$E$114,axTER!$C$108:$C$114,KZ546)/10^9*$D$514</f>
        <v>0.25314520114060407</v>
      </c>
      <c r="LC546" s="269">
        <v>1200</v>
      </c>
      <c r="LD546" s="66" t="s">
        <v>269</v>
      </c>
      <c r="LE546" s="66" t="s">
        <v>265</v>
      </c>
      <c r="LF546" s="66" t="s">
        <v>266</v>
      </c>
      <c r="LG546" s="283" t="s">
        <v>256</v>
      </c>
      <c r="LH546" s="272">
        <f>$H546*SUMIFS(axTER!$E$65:$E$105,axTER!$C$65:$C$105,LD546,axTER!$D$65:$D$105,LF546)/SUMIFS(axTER!$E$108:$E$114,axTER!$C$108:$C$114,LG546)/10^9*$D$514</f>
        <v>0.79940589833874964</v>
      </c>
      <c r="LJ546" s="273">
        <f t="shared" si="1013"/>
        <v>0</v>
      </c>
      <c r="LK546" s="273">
        <f t="shared" si="1017"/>
        <v>0</v>
      </c>
      <c r="LL546" s="273">
        <f>$H546*IF(LP546&lt;&gt;LF546,SUMIFS(axTER!$E$121:$E$128,axTER!$C$121:$C$128,LF546,axTER!$D$121:$D$128,LP546),SUMIFS(axTER!$E$133:$E$138,axTER!$C$133:$C$138,LP546)*LO$510)*$D$514/10^6</f>
        <v>124.59490368639106</v>
      </c>
      <c r="LM546" s="274">
        <f>$H546*IF(LQ546&lt;&gt;LG546,SUMIFS(axTER!$E$142:$E$148,axTER!$C$142:$C$148,LQ546),SUMIFS(axTER!$E$151:$E$157,axTER!$C$151:$C$157,LQ546)*LO$510)/10^6*$D$514</f>
        <v>52.329859548284254</v>
      </c>
      <c r="LN546" s="275" t="s">
        <v>269</v>
      </c>
      <c r="LO546" s="161" t="s">
        <v>265</v>
      </c>
      <c r="LP546" s="161" t="s">
        <v>266</v>
      </c>
      <c r="LQ546" s="161" t="s">
        <v>256</v>
      </c>
      <c r="LR546" s="276">
        <f>$H546*SUMIFS(axTER!$E$65:$E$105,axTER!$D$65:$D$105,LP546,axTER!$C$65:$C$105,LN546)/SUMIFS(axTER!$E$108:$E$114,axTER!$C$108:$C$114,LQ546)/10^9*$D$514</f>
        <v>0.79940589833874964</v>
      </c>
      <c r="LT546" s="273">
        <f t="shared" si="1014"/>
        <v>0</v>
      </c>
      <c r="LU546" s="273">
        <f t="shared" si="1015"/>
        <v>0</v>
      </c>
      <c r="LV546" s="273">
        <f>$H546*IF(LZ546&lt;&gt;LP546,SUMIFS(axTER!$E$121:$E$128,axTER!$C$121:$C$128,LP546,axTER!$D$121:$D$128,LZ546),SUMIFS(axTER!$E$133:$E$138,axTER!$C$133:$C$138,LZ546)*LY$510)*$D$514/10^6</f>
        <v>177.99271955198722</v>
      </c>
      <c r="LW546" s="274">
        <f>$H546*IF(MA546&lt;&gt;LQ546,SUMIFS(axTER!$E$142:$E$148,axTER!$C$142:$C$148,MA546),SUMIFS(axTER!$E$151:$E$157,axTER!$C$151:$C$157,MA546)*LY$510)/10^6*$D$514</f>
        <v>74.756942211834655</v>
      </c>
      <c r="LX546" s="275" t="s">
        <v>269</v>
      </c>
      <c r="LY546" s="161" t="s">
        <v>265</v>
      </c>
      <c r="LZ546" s="161" t="s">
        <v>266</v>
      </c>
      <c r="MA546" s="161" t="s">
        <v>256</v>
      </c>
      <c r="MB546" s="276">
        <f>$H546*SUMIFS(axTER!$E$65:$E$105,axTER!$D$65:$D$105,LZ546,axTER!$C$65:$C$105,LX546)/SUMIFS(axTER!$E$108:$E$114,axTER!$C$108:$C$114,MA546)/10^9*$D$514</f>
        <v>0.79940589833874964</v>
      </c>
      <c r="MD546" s="273" t="str">
        <f t="shared" si="1018"/>
        <v>ELEC-PAC</v>
      </c>
      <c r="ME546" s="273">
        <f t="shared" si="1016"/>
        <v>0</v>
      </c>
      <c r="MF546" s="273">
        <f>$H546*IF(MJ546&lt;&gt;LZ546,SUMIFS(axTER!$E$121:$E$128,axTER!$C$121:$C$128,LZ546,axTER!$D$121:$D$128,MJ546),SUMIFS(axTER!$E$133:$E$138,axTER!$C$133:$C$138,MJ546)*MI$510)*$D$514/10^6</f>
        <v>177.99271955198722</v>
      </c>
      <c r="MG546" s="274">
        <f>$H546*IF(MK546&lt;&gt;MA546,SUMIFS(axTER!$E$142:$E$148,axTER!$C$142:$C$148,MK546),SUMIFS(axTER!$E$151:$E$157,axTER!$C$151:$C$157,MK546)*MI$510)/10^6*$D$514</f>
        <v>949.29450427726533</v>
      </c>
      <c r="MH546" s="275" t="s">
        <v>269</v>
      </c>
      <c r="MI546" s="161" t="s">
        <v>265</v>
      </c>
      <c r="MJ546" s="161" t="s">
        <v>266</v>
      </c>
      <c r="MK546" s="161" t="s">
        <v>261</v>
      </c>
      <c r="ML546" s="276">
        <f>$H546*SUMIFS(axTER!$E$65:$E$105,axTER!$D$65:$D$105,MJ546,axTER!$C$65:$C$105,MH546)/SUMIFS(axTER!$E$108:$E$114,axTER!$C$108:$C$114,MK546)/10^9*$D$514</f>
        <v>0.25314520114060407</v>
      </c>
    </row>
    <row r="547" spans="3:350" outlineLevel="1" x14ac:dyDescent="0.3">
      <c r="C547" s="265"/>
      <c r="D547" s="69"/>
      <c r="F547" s="266"/>
      <c r="H547" s="269">
        <v>1200</v>
      </c>
      <c r="I547" s="66" t="s">
        <v>269</v>
      </c>
      <c r="J547" s="66" t="s">
        <v>265</v>
      </c>
      <c r="K547" s="66" t="s">
        <v>266</v>
      </c>
      <c r="L547" s="283" t="s">
        <v>256</v>
      </c>
      <c r="M547" s="272">
        <f>$H547*SUMIFS(axTER!$E$65:$E$105,axTER!$C$65:$C$105,I547,axTER!$D$65:$D$105,K547)/SUMIFS(axTER!$E$108:$E$114,axTER!$C$108:$C$114,L547)/10^9*$D$514</f>
        <v>0.79940589833874964</v>
      </c>
      <c r="S547" s="269">
        <v>1200</v>
      </c>
      <c r="T547" s="66" t="s">
        <v>269</v>
      </c>
      <c r="U547" s="66" t="s">
        <v>265</v>
      </c>
      <c r="V547" s="66" t="s">
        <v>266</v>
      </c>
      <c r="W547" s="283" t="s">
        <v>256</v>
      </c>
      <c r="X547" s="272">
        <f>$H547*SUMIFS(axTER!$E$65:$E$105,axTER!$C$65:$C$105,T547,axTER!$D$65:$D$105,V547)/SUMIFS(axTER!$E$108:$E$114,axTER!$C$108:$C$114,W547)/10^9*$D$514</f>
        <v>0.79940589833874964</v>
      </c>
      <c r="AB547" s="273">
        <f>$H547*IF(AF547&lt;&gt;K547,SUMIFS(axTER!$E$121:$E$128,axTER!$C$121:$C$128,K547,axTER!$D$121:$D$128,AF547),SUMIFS(axTER!$E$133:$E$138,axTER!$C$133:$C$138,AF547)*AE$510)*$D$514/10^6</f>
        <v>177.99271955198722</v>
      </c>
      <c r="AC547" s="274">
        <f>$H547*IF(AG547&lt;&gt;L547,SUMIFS(axTER!$E$142:$E$148,axTER!$C$142:$C$148,AG547),SUMIFS(axTER!$E$151:$E$157,axTER!$C$151:$C$157,AG547)*AE$510)/10^6*$D$514</f>
        <v>74.756942211834655</v>
      </c>
      <c r="AD547" s="275" t="s">
        <v>269</v>
      </c>
      <c r="AE547" s="161" t="s">
        <v>265</v>
      </c>
      <c r="AF547" s="161" t="s">
        <v>266</v>
      </c>
      <c r="AG547" s="284" t="s">
        <v>256</v>
      </c>
      <c r="AH547" s="276">
        <f>$H547*SUMIFS(axTER!$E$65:$E$105,axTER!$D$65:$D$105,AF547,axTER!$C$65:$C$105,AD547)/SUMIFS(axTER!$E$108:$E$114,axTER!$C$108:$C$114,AG547)/10^9*$D$514</f>
        <v>0.79940589833874964</v>
      </c>
      <c r="AV547" s="273">
        <f>$H547*IF(AZ547&lt;&gt;AF547,SUMIFS(axTER!$E$121:$E$128,axTER!$C$121:$C$128,AF547,axTER!$D$121:$D$128,AZ547),SUMIFS(axTER!$E$133:$E$138,axTER!$C$133:$C$138,AZ547)*AY$510)*$D$514/10^6</f>
        <v>355.98543910397444</v>
      </c>
      <c r="AW547" s="274">
        <f>$H547*IF(BA547&lt;&gt;AG547,SUMIFS(axTER!$E$142:$E$148,axTER!$C$142:$C$148,BA547),SUMIFS(axTER!$E$151:$E$157,axTER!$C$151:$C$157,BA547)*AY$510)/10^6*$D$514</f>
        <v>149.51388442366931</v>
      </c>
      <c r="AX547" s="275" t="s">
        <v>269</v>
      </c>
      <c r="AY547" s="161" t="s">
        <v>265</v>
      </c>
      <c r="AZ547" s="161" t="s">
        <v>266</v>
      </c>
      <c r="BA547" s="284" t="s">
        <v>256</v>
      </c>
      <c r="BB547" s="276">
        <f>$H547*SUMIFS(axTER!$E$65:$E$105,axTER!$D$65:$D$105,AZ547,axTER!$C$65:$C$105,AX547)/SUMIFS(axTER!$E$108:$E$114,axTER!$C$108:$C$114,BA547)/10^9*$D$514</f>
        <v>0.79940589833874964</v>
      </c>
      <c r="IG547" s="269">
        <v>1200</v>
      </c>
      <c r="IH547" s="66" t="s">
        <v>269</v>
      </c>
      <c r="II547" s="66" t="s">
        <v>265</v>
      </c>
      <c r="IJ547" s="66" t="s">
        <v>266</v>
      </c>
      <c r="IK547" s="283" t="s">
        <v>256</v>
      </c>
      <c r="IL547" s="272">
        <f>$H547*SUMIFS(axTER!$E$65:$E$105,axTER!$C$65:$C$105,IH547,axTER!$D$65:$D$105,IJ547)/SUMIFS(axTER!$E$108:$E$114,axTER!$C$108:$C$114,IK547)/10^9*$D$514</f>
        <v>0.79940589833874964</v>
      </c>
      <c r="IO547" s="273">
        <f t="shared" si="1008"/>
        <v>0</v>
      </c>
      <c r="IP547" s="273">
        <f>$H547*IF(IT547&lt;&gt;IJ547,SUMIFS(axTER!$E$121:$E$128,axTER!$C$121:$C$128,IJ547,axTER!$D$121:$D$128,IT547),SUMIFS(axTER!$E$133:$E$138,axTER!$C$133:$C$138,IT547)*IS$510)*$D$514/10^6</f>
        <v>177.99271955198722</v>
      </c>
      <c r="IQ547" s="274">
        <f>$H547*IF(IU547&lt;&gt;IK547,SUMIFS(axTER!$E$142:$E$148,axTER!$C$142:$C$148,IU547),SUMIFS(axTER!$E$151:$E$157,axTER!$C$151:$C$157,IU547)*IS$510)/10^6*$D$514</f>
        <v>74.756942211834655</v>
      </c>
      <c r="IR547" s="275" t="s">
        <v>269</v>
      </c>
      <c r="IS547" s="161" t="s">
        <v>265</v>
      </c>
      <c r="IT547" s="161" t="s">
        <v>266</v>
      </c>
      <c r="IU547" s="284" t="s">
        <v>256</v>
      </c>
      <c r="IV547" s="276">
        <f>$H547*SUMIFS(axTER!$E$65:$E$105,axTER!$D$65:$D$105,IT547,axTER!$C$65:$C$105,IR547)/SUMIFS(axTER!$E$108:$E$114,axTER!$C$108:$C$114,IU547)/10^9*$D$514</f>
        <v>0.79940589833874964</v>
      </c>
      <c r="JI547" s="273">
        <f t="shared" si="1009"/>
        <v>0</v>
      </c>
      <c r="JJ547" s="273">
        <f>$H547*IF(JN547&lt;&gt;IT547,SUMIFS(axTER!$E$121:$E$128,axTER!$C$121:$C$128,IT547,axTER!$D$121:$D$128,JN547),SUMIFS(axTER!$E$133:$E$138,axTER!$C$133:$C$138,JN547)*JM$510)*$D$514/10^6</f>
        <v>355.98543910397444</v>
      </c>
      <c r="JK547" s="274">
        <f>$H547*IF(JO547&lt;&gt;IU547,SUMIFS(axTER!$E$142:$E$148,axTER!$C$142:$C$148,JO547),SUMIFS(axTER!$E$151:$E$157,axTER!$C$151:$C$157,JO547)*JM$510)/10^6*$D$514</f>
        <v>149.51388442366931</v>
      </c>
      <c r="JL547" s="275" t="s">
        <v>269</v>
      </c>
      <c r="JM547" s="161" t="s">
        <v>265</v>
      </c>
      <c r="JN547" s="161" t="s">
        <v>266</v>
      </c>
      <c r="JO547" s="284" t="s">
        <v>256</v>
      </c>
      <c r="JP547" s="276">
        <f>$H547*SUMIFS(axTER!$E$65:$E$105,axTER!$D$65:$D$105,JN547,axTER!$C$65:$C$105,JL547)/SUMIFS(axTER!$E$108:$E$114,axTER!$C$108:$C$114,JO547)/10^9*$D$514</f>
        <v>0.79940589833874964</v>
      </c>
      <c r="JR547" s="269">
        <v>1200</v>
      </c>
      <c r="JS547" s="66" t="s">
        <v>269</v>
      </c>
      <c r="JT547" s="66" t="s">
        <v>265</v>
      </c>
      <c r="JU547" s="66" t="s">
        <v>266</v>
      </c>
      <c r="JV547" s="283" t="s">
        <v>256</v>
      </c>
      <c r="JW547" s="272">
        <f>$H547*SUMIFS(axTER!$E$65:$E$105,axTER!$C$65:$C$105,JS547,axTER!$D$65:$D$105,JU547)/SUMIFS(axTER!$E$108:$E$114,axTER!$C$108:$C$114,JV547)/10^9*$D$514</f>
        <v>0.79940589833874964</v>
      </c>
      <c r="JY547" s="273">
        <f t="shared" si="1010"/>
        <v>0</v>
      </c>
      <c r="JZ547" s="273">
        <f t="shared" si="1005"/>
        <v>0</v>
      </c>
      <c r="KA547" s="273">
        <f>$H547*IF(KE547&lt;&gt;JU547,SUMIFS(axTER!$E$121:$E$128,axTER!$C$121:$C$128,JU547,axTER!$D$121:$D$128,KE547),SUMIFS(axTER!$E$133:$E$138,axTER!$C$133:$C$138,KE547)*KD$510)*$D$514/10^6</f>
        <v>124.59490368639106</v>
      </c>
      <c r="KB547" s="274">
        <f>$H547*IF(KF547&lt;&gt;JV547,SUMIFS(axTER!$E$142:$E$148,axTER!$C$142:$C$148,KF547),SUMIFS(axTER!$E$151:$E$157,axTER!$C$151:$C$157,KF547)*KD$510)/10^6*$D$514</f>
        <v>52.329859548284254</v>
      </c>
      <c r="KC547" s="275" t="s">
        <v>269</v>
      </c>
      <c r="KD547" s="161" t="s">
        <v>265</v>
      </c>
      <c r="KE547" s="161" t="s">
        <v>266</v>
      </c>
      <c r="KF547" s="284" t="s">
        <v>256</v>
      </c>
      <c r="KG547" s="276">
        <f>$H547*SUMIFS(axTER!$E$65:$E$105,axTER!$D$65:$D$105,KE547,axTER!$C$65:$C$105,KC547)/SUMIFS(axTER!$E$108:$E$114,axTER!$C$108:$C$114,KF547)/10^9*$D$514</f>
        <v>0.79940589833874964</v>
      </c>
      <c r="KS547" s="273" t="str">
        <f t="shared" si="1011"/>
        <v>ELEC-PAC</v>
      </c>
      <c r="KT547" s="273">
        <f t="shared" si="1012"/>
        <v>0</v>
      </c>
      <c r="KU547" s="273">
        <f>$H547*IF(KY547&lt;&gt;KE547,SUMIFS(axTER!$E$121:$E$128,axTER!$C$121:$C$128,KE547,axTER!$D$121:$D$128,KY547),SUMIFS(axTER!$E$133:$E$138,axTER!$C$133:$C$138,KY547)*KX$510)*$D$514/10^6</f>
        <v>355.98543910397444</v>
      </c>
      <c r="KV547" s="274">
        <f>$H547*IF(KZ547&lt;&gt;KF547,SUMIFS(axTER!$E$142:$E$148,axTER!$C$142:$C$148,KZ547),SUMIFS(axTER!$E$151:$E$157,axTER!$C$151:$C$157,KZ547)*KX$510)/10^6*$D$514</f>
        <v>949.29450427726533</v>
      </c>
      <c r="KW547" s="275" t="s">
        <v>269</v>
      </c>
      <c r="KX547" s="161" t="s">
        <v>265</v>
      </c>
      <c r="KY547" s="161" t="s">
        <v>266</v>
      </c>
      <c r="KZ547" s="284" t="s">
        <v>261</v>
      </c>
      <c r="LA547" s="276">
        <f>$H547*SUMIFS(axTER!$E$65:$E$105,axTER!$D$65:$D$105,KY547,axTER!$C$65:$C$105,KW547)/SUMIFS(axTER!$E$108:$E$114,axTER!$C$108:$C$114,KZ547)/10^9*$D$514</f>
        <v>0.25314520114060407</v>
      </c>
      <c r="LC547" s="269">
        <v>1200</v>
      </c>
      <c r="LD547" s="66" t="s">
        <v>269</v>
      </c>
      <c r="LE547" s="66" t="s">
        <v>265</v>
      </c>
      <c r="LF547" s="66" t="s">
        <v>266</v>
      </c>
      <c r="LG547" s="283" t="s">
        <v>256</v>
      </c>
      <c r="LH547" s="272">
        <f>$H547*SUMIFS(axTER!$E$65:$E$105,axTER!$C$65:$C$105,LD547,axTER!$D$65:$D$105,LF547)/SUMIFS(axTER!$E$108:$E$114,axTER!$C$108:$C$114,LG547)/10^9*$D$514</f>
        <v>0.79940589833874964</v>
      </c>
      <c r="LJ547" s="273">
        <f t="shared" si="1013"/>
        <v>0</v>
      </c>
      <c r="LK547" s="273">
        <f t="shared" si="1017"/>
        <v>0</v>
      </c>
      <c r="LL547" s="273">
        <f>$H547*IF(LP547&lt;&gt;LF547,SUMIFS(axTER!$E$121:$E$128,axTER!$C$121:$C$128,LF547,axTER!$D$121:$D$128,LP547),SUMIFS(axTER!$E$133:$E$138,axTER!$C$133:$C$138,LP547)*LO$510)*$D$514/10^6</f>
        <v>124.59490368639106</v>
      </c>
      <c r="LM547" s="274">
        <f>$H547*IF(LQ547&lt;&gt;LG547,SUMIFS(axTER!$E$142:$E$148,axTER!$C$142:$C$148,LQ547),SUMIFS(axTER!$E$151:$E$157,axTER!$C$151:$C$157,LQ547)*LO$510)/10^6*$D$514</f>
        <v>52.329859548284254</v>
      </c>
      <c r="LN547" s="275" t="s">
        <v>269</v>
      </c>
      <c r="LO547" s="161" t="s">
        <v>265</v>
      </c>
      <c r="LP547" s="161" t="s">
        <v>266</v>
      </c>
      <c r="LQ547" s="161" t="s">
        <v>256</v>
      </c>
      <c r="LR547" s="276">
        <f>$H547*SUMIFS(axTER!$E$65:$E$105,axTER!$D$65:$D$105,LP547,axTER!$C$65:$C$105,LN547)/SUMIFS(axTER!$E$108:$E$114,axTER!$C$108:$C$114,LQ547)/10^9*$D$514</f>
        <v>0.79940589833874964</v>
      </c>
      <c r="LT547" s="273">
        <f t="shared" si="1014"/>
        <v>0</v>
      </c>
      <c r="LU547" s="273">
        <f t="shared" si="1015"/>
        <v>0</v>
      </c>
      <c r="LV547" s="273">
        <f>$H547*IF(LZ547&lt;&gt;LP547,SUMIFS(axTER!$E$121:$E$128,axTER!$C$121:$C$128,LP547,axTER!$D$121:$D$128,LZ547),SUMIFS(axTER!$E$133:$E$138,axTER!$C$133:$C$138,LZ547)*LY$510)*$D$514/10^6</f>
        <v>177.99271955198722</v>
      </c>
      <c r="LW547" s="274">
        <f>$H547*IF(MA547&lt;&gt;LQ547,SUMIFS(axTER!$E$142:$E$148,axTER!$C$142:$C$148,MA547),SUMIFS(axTER!$E$151:$E$157,axTER!$C$151:$C$157,MA547)*LY$510)/10^6*$D$514</f>
        <v>74.756942211834655</v>
      </c>
      <c r="LX547" s="275" t="s">
        <v>269</v>
      </c>
      <c r="LY547" s="161" t="s">
        <v>265</v>
      </c>
      <c r="LZ547" s="161" t="s">
        <v>266</v>
      </c>
      <c r="MA547" s="161" t="s">
        <v>256</v>
      </c>
      <c r="MB547" s="276">
        <f>$H547*SUMIFS(axTER!$E$65:$E$105,axTER!$D$65:$D$105,LZ547,axTER!$C$65:$C$105,LX547)/SUMIFS(axTER!$E$108:$E$114,axTER!$C$108:$C$114,MA547)/10^9*$D$514</f>
        <v>0.79940589833874964</v>
      </c>
      <c r="MD547" s="273" t="str">
        <f t="shared" si="1018"/>
        <v>ELEC-PAC</v>
      </c>
      <c r="ME547" s="273">
        <f t="shared" si="1016"/>
        <v>0</v>
      </c>
      <c r="MF547" s="273">
        <f>$H547*IF(MJ547&lt;&gt;LZ547,SUMIFS(axTER!$E$121:$E$128,axTER!$C$121:$C$128,LZ547,axTER!$D$121:$D$128,MJ547),SUMIFS(axTER!$E$133:$E$138,axTER!$C$133:$C$138,MJ547)*MI$510)*$D$514/10^6</f>
        <v>177.99271955198722</v>
      </c>
      <c r="MG547" s="274">
        <f>$H547*IF(MK547&lt;&gt;MA547,SUMIFS(axTER!$E$142:$E$148,axTER!$C$142:$C$148,MK547),SUMIFS(axTER!$E$151:$E$157,axTER!$C$151:$C$157,MK547)*MI$510)/10^6*$D$514</f>
        <v>949.29450427726533</v>
      </c>
      <c r="MH547" s="275" t="s">
        <v>269</v>
      </c>
      <c r="MI547" s="161" t="s">
        <v>265</v>
      </c>
      <c r="MJ547" s="161" t="s">
        <v>266</v>
      </c>
      <c r="MK547" s="161" t="s">
        <v>261</v>
      </c>
      <c r="ML547" s="276">
        <f>$H547*SUMIFS(axTER!$E$65:$E$105,axTER!$D$65:$D$105,MJ547,axTER!$C$65:$C$105,MH547)/SUMIFS(axTER!$E$108:$E$114,axTER!$C$108:$C$114,MK547)/10^9*$D$514</f>
        <v>0.25314520114060407</v>
      </c>
    </row>
    <row r="548" spans="3:350" hidden="1" outlineLevel="1" x14ac:dyDescent="0.3">
      <c r="C548" s="265"/>
      <c r="D548" s="286"/>
      <c r="E548" s="286"/>
      <c r="F548" s="287"/>
      <c r="H548" s="269">
        <v>1200</v>
      </c>
      <c r="I548" s="66" t="s">
        <v>269</v>
      </c>
      <c r="J548" s="66" t="s">
        <v>265</v>
      </c>
      <c r="K548" s="66" t="s">
        <v>266</v>
      </c>
      <c r="L548" s="283" t="s">
        <v>256</v>
      </c>
      <c r="M548" s="272">
        <f>$H548*SUMIFS(axTER!$E$65:$E$105,axTER!$C$65:$C$105,I548,axTER!$D$65:$D$105,K548)/SUMIFS(axTER!$E$108:$E$114,axTER!$C$108:$C$114,L548)/10^9*$D$514</f>
        <v>0.79940589833874964</v>
      </c>
      <c r="S548" s="269">
        <v>1200</v>
      </c>
      <c r="T548" s="66" t="s">
        <v>269</v>
      </c>
      <c r="U548" s="66" t="s">
        <v>265</v>
      </c>
      <c r="V548" s="66" t="s">
        <v>266</v>
      </c>
      <c r="W548" s="283" t="s">
        <v>256</v>
      </c>
      <c r="X548" s="272">
        <f>$H548*SUMIFS(axTER!$E$65:$E$105,axTER!$C$65:$C$105,T548,axTER!$D$65:$D$105,V548)/SUMIFS(axTER!$E$108:$E$114,axTER!$C$108:$C$114,W548)/10^9*$D$514</f>
        <v>0.79940589833874964</v>
      </c>
      <c r="AB548" s="273">
        <f>$H548*IF(AF548&lt;&gt;K548,SUMIFS(axTER!$E$121:$E$128,axTER!$C$121:$C$128,K548,axTER!$D$121:$D$128,AF548),SUMIFS(axTER!$E$133:$E$138,axTER!$C$133:$C$138,AF548)*AE$510)*$D$514/10^6</f>
        <v>177.99271955198722</v>
      </c>
      <c r="AC548" s="274">
        <f>$H548*IF(AG548&lt;&gt;L548,SUMIFS(axTER!$E$142:$E$148,axTER!$C$142:$C$148,AG548),SUMIFS(axTER!$E$151:$E$157,axTER!$C$151:$C$157,AG548)*AE$510)/10^6*$D$514</f>
        <v>74.756942211834655</v>
      </c>
      <c r="AD548" s="275" t="s">
        <v>269</v>
      </c>
      <c r="AE548" s="161" t="s">
        <v>265</v>
      </c>
      <c r="AF548" s="161" t="s">
        <v>266</v>
      </c>
      <c r="AG548" s="284" t="s">
        <v>256</v>
      </c>
      <c r="AH548" s="276">
        <f>$H548*SUMIFS(axTER!$E$65:$E$105,axTER!$D$65:$D$105,AF548,axTER!$C$65:$C$105,AD548)/SUMIFS(axTER!$E$108:$E$114,axTER!$C$108:$C$114,AG548)/10^9*$D$514</f>
        <v>0.79940589833874964</v>
      </c>
      <c r="AV548" s="273">
        <f>$H548*IF(AZ548&lt;&gt;AF548,SUMIFS(axTER!$E$121:$E$128,axTER!$C$121:$C$128,AF548,axTER!$D$121:$D$128,AZ548),SUMIFS(axTER!$E$133:$E$138,axTER!$C$133:$C$138,AZ548)*AY$510)*$D$514/10^6</f>
        <v>355.98543910397444</v>
      </c>
      <c r="AW548" s="274">
        <f>$H548*IF(BA548&lt;&gt;AG548,SUMIFS(axTER!$E$142:$E$148,axTER!$C$142:$C$148,BA548),SUMIFS(axTER!$E$151:$E$157,axTER!$C$151:$C$157,BA548)*AY$510)/10^6*$D$514</f>
        <v>149.51388442366931</v>
      </c>
      <c r="AX548" s="275" t="s">
        <v>269</v>
      </c>
      <c r="AY548" s="161" t="s">
        <v>265</v>
      </c>
      <c r="AZ548" s="161" t="s">
        <v>266</v>
      </c>
      <c r="BA548" s="284" t="s">
        <v>256</v>
      </c>
      <c r="BB548" s="276">
        <f>$H548*SUMIFS(axTER!$E$65:$E$105,axTER!$D$65:$D$105,AZ548,axTER!$C$65:$C$105,AX548)/SUMIFS(axTER!$E$108:$E$114,axTER!$C$108:$C$114,BA548)/10^9*$D$514</f>
        <v>0.79940589833874964</v>
      </c>
      <c r="IG548" s="269">
        <v>1200</v>
      </c>
      <c r="IH548" s="66" t="s">
        <v>269</v>
      </c>
      <c r="II548" s="66" t="s">
        <v>265</v>
      </c>
      <c r="IJ548" s="66" t="s">
        <v>266</v>
      </c>
      <c r="IK548" s="283" t="s">
        <v>256</v>
      </c>
      <c r="IL548" s="272">
        <f>$H548*SUMIFS(axTER!$E$65:$E$105,axTER!$C$65:$C$105,IH548,axTER!$D$65:$D$105,IJ548)/SUMIFS(axTER!$E$108:$E$114,axTER!$C$108:$C$114,IK548)/10^9*$D$514</f>
        <v>0.79940589833874964</v>
      </c>
      <c r="IO548" s="273">
        <f t="shared" si="1008"/>
        <v>0</v>
      </c>
      <c r="IP548" s="273">
        <f>$H548*IF(IT548&lt;&gt;IJ548,SUMIFS(axTER!$E$121:$E$128,axTER!$C$121:$C$128,IJ548,axTER!$D$121:$D$128,IT548),SUMIFS(axTER!$E$133:$E$138,axTER!$C$133:$C$138,IT548)*IS$510)*$D$514/10^6</f>
        <v>177.99271955198722</v>
      </c>
      <c r="IQ548" s="274">
        <f>$H548*IF(IU548&lt;&gt;IK548,SUMIFS(axTER!$E$142:$E$148,axTER!$C$142:$C$148,IU548),SUMIFS(axTER!$E$151:$E$157,axTER!$C$151:$C$157,IU548)*IS$510)/10^6*$D$514</f>
        <v>74.756942211834655</v>
      </c>
      <c r="IR548" s="275" t="s">
        <v>269</v>
      </c>
      <c r="IS548" s="161" t="s">
        <v>265</v>
      </c>
      <c r="IT548" s="161" t="s">
        <v>266</v>
      </c>
      <c r="IU548" s="284" t="s">
        <v>256</v>
      </c>
      <c r="IV548" s="276">
        <f>$H548*SUMIFS(axTER!$E$65:$E$105,axTER!$D$65:$D$105,IT548,axTER!$C$65:$C$105,IR548)/SUMIFS(axTER!$E$108:$E$114,axTER!$C$108:$C$114,IU548)/10^9*$D$514</f>
        <v>0.79940589833874964</v>
      </c>
      <c r="JI548" s="273">
        <f t="shared" si="1009"/>
        <v>0</v>
      </c>
      <c r="JJ548" s="273">
        <f>$H548*IF(JN548&lt;&gt;IT548,SUMIFS(axTER!$E$121:$E$128,axTER!$C$121:$C$128,IT548,axTER!$D$121:$D$128,JN548),SUMIFS(axTER!$E$133:$E$138,axTER!$C$133:$C$138,JN548)*JM$510)*$D$514/10^6</f>
        <v>355.98543910397444</v>
      </c>
      <c r="JK548" s="274">
        <f>$H548*IF(JO548&lt;&gt;IU548,SUMIFS(axTER!$E$142:$E$148,axTER!$C$142:$C$148,JO548),SUMIFS(axTER!$E$151:$E$157,axTER!$C$151:$C$157,JO548)*JM$510)/10^6*$D$514</f>
        <v>149.51388442366931</v>
      </c>
      <c r="JL548" s="275" t="s">
        <v>269</v>
      </c>
      <c r="JM548" s="161" t="s">
        <v>265</v>
      </c>
      <c r="JN548" s="161" t="s">
        <v>266</v>
      </c>
      <c r="JO548" s="284" t="s">
        <v>256</v>
      </c>
      <c r="JP548" s="276">
        <f>$H548*SUMIFS(axTER!$E$65:$E$105,axTER!$D$65:$D$105,JN548,axTER!$C$65:$C$105,JL548)/SUMIFS(axTER!$E$108:$E$114,axTER!$C$108:$C$114,JO548)/10^9*$D$514</f>
        <v>0.79940589833874964</v>
      </c>
      <c r="JR548" s="269">
        <v>1200</v>
      </c>
      <c r="JS548" s="66" t="s">
        <v>269</v>
      </c>
      <c r="JT548" s="66" t="s">
        <v>265</v>
      </c>
      <c r="JU548" s="66" t="s">
        <v>266</v>
      </c>
      <c r="JV548" s="283" t="s">
        <v>256</v>
      </c>
      <c r="JW548" s="272">
        <f>$H548*SUMIFS(axTER!$E$65:$E$105,axTER!$C$65:$C$105,JS548,axTER!$D$65:$D$105,JU548)/SUMIFS(axTER!$E$108:$E$114,axTER!$C$108:$C$114,JV548)/10^9*$D$514</f>
        <v>0.79940589833874964</v>
      </c>
      <c r="JY548" s="273">
        <f t="shared" si="1010"/>
        <v>0</v>
      </c>
      <c r="JZ548" s="273">
        <f t="shared" si="1005"/>
        <v>0</v>
      </c>
      <c r="KA548" s="273">
        <f>$H548*IF(KE548&lt;&gt;JU548,SUMIFS(axTER!$E$121:$E$128,axTER!$C$121:$C$128,JU548,axTER!$D$121:$D$128,KE548),SUMIFS(axTER!$E$133:$E$138,axTER!$C$133:$C$138,KE548)*KD$510)*$D$514/10^6</f>
        <v>124.59490368639106</v>
      </c>
      <c r="KB548" s="274">
        <f>$H548*IF(KF548&lt;&gt;JV548,SUMIFS(axTER!$E$142:$E$148,axTER!$C$142:$C$148,KF548),SUMIFS(axTER!$E$151:$E$157,axTER!$C$151:$C$157,KF548)*KD$510)/10^6*$D$514</f>
        <v>52.329859548284254</v>
      </c>
      <c r="KC548" s="275" t="s">
        <v>269</v>
      </c>
      <c r="KD548" s="161" t="s">
        <v>265</v>
      </c>
      <c r="KE548" s="161" t="s">
        <v>266</v>
      </c>
      <c r="KF548" s="284" t="s">
        <v>256</v>
      </c>
      <c r="KG548" s="276">
        <f>$H548*SUMIFS(axTER!$E$65:$E$105,axTER!$D$65:$D$105,KE548,axTER!$C$65:$C$105,KC548)/SUMIFS(axTER!$E$108:$E$114,axTER!$C$108:$C$114,KF548)/10^9*$D$514</f>
        <v>0.79940589833874964</v>
      </c>
      <c r="KS548" s="273" t="str">
        <f t="shared" si="1011"/>
        <v>ELEC-PAC</v>
      </c>
      <c r="KT548" s="273">
        <f t="shared" si="1012"/>
        <v>0</v>
      </c>
      <c r="KU548" s="273">
        <f>$H548*IF(KY548&lt;&gt;KE548,SUMIFS(axTER!$E$121:$E$128,axTER!$C$121:$C$128,KE548,axTER!$D$121:$D$128,KY548),SUMIFS(axTER!$E$133:$E$138,axTER!$C$133:$C$138,KY548)*KX$510)*$D$514/10^6</f>
        <v>355.98543910397444</v>
      </c>
      <c r="KV548" s="274">
        <f>$H548*IF(KZ548&lt;&gt;KF548,SUMIFS(axTER!$E$142:$E$148,axTER!$C$142:$C$148,KZ548),SUMIFS(axTER!$E$151:$E$157,axTER!$C$151:$C$157,KZ548)*KX$510)/10^6*$D$514</f>
        <v>949.29450427726533</v>
      </c>
      <c r="KW548" s="275" t="s">
        <v>269</v>
      </c>
      <c r="KX548" s="161" t="s">
        <v>265</v>
      </c>
      <c r="KY548" s="161" t="s">
        <v>266</v>
      </c>
      <c r="KZ548" s="284" t="s">
        <v>261</v>
      </c>
      <c r="LA548" s="276">
        <f>$H548*SUMIFS(axTER!$E$65:$E$105,axTER!$D$65:$D$105,KY548,axTER!$C$65:$C$105,KW548)/SUMIFS(axTER!$E$108:$E$114,axTER!$C$108:$C$114,KZ548)/10^9*$D$514</f>
        <v>0.25314520114060407</v>
      </c>
      <c r="LC548" s="269">
        <v>1200</v>
      </c>
      <c r="LD548" s="66" t="s">
        <v>269</v>
      </c>
      <c r="LE548" s="66" t="s">
        <v>265</v>
      </c>
      <c r="LF548" s="66" t="s">
        <v>266</v>
      </c>
      <c r="LG548" s="283" t="s">
        <v>256</v>
      </c>
      <c r="LH548" s="272">
        <f>$H548*SUMIFS(axTER!$E$65:$E$105,axTER!$C$65:$C$105,LD548,axTER!$D$65:$D$105,LF548)/SUMIFS(axTER!$E$108:$E$114,axTER!$C$108:$C$114,LG548)/10^9*$D$514</f>
        <v>0.79940589833874964</v>
      </c>
      <c r="LJ548" s="273">
        <f t="shared" si="1013"/>
        <v>0</v>
      </c>
      <c r="LK548" s="273">
        <f t="shared" si="1017"/>
        <v>0</v>
      </c>
      <c r="LL548" s="273">
        <f>$H548*IF(LP548&lt;&gt;LF548,SUMIFS(axTER!$E$121:$E$128,axTER!$C$121:$C$128,LF548,axTER!$D$121:$D$128,LP548),SUMIFS(axTER!$E$133:$E$138,axTER!$C$133:$C$138,LP548)*LO$510)*$D$514/10^6</f>
        <v>124.59490368639106</v>
      </c>
      <c r="LM548" s="274">
        <f>$H548*IF(LQ548&lt;&gt;LG548,SUMIFS(axTER!$E$142:$E$148,axTER!$C$142:$C$148,LQ548),SUMIFS(axTER!$E$151:$E$157,axTER!$C$151:$C$157,LQ548)*LO$510)/10^6*$D$514</f>
        <v>52.329859548284254</v>
      </c>
      <c r="LN548" s="275" t="s">
        <v>269</v>
      </c>
      <c r="LO548" s="161" t="s">
        <v>265</v>
      </c>
      <c r="LP548" s="161" t="s">
        <v>266</v>
      </c>
      <c r="LQ548" s="161" t="s">
        <v>256</v>
      </c>
      <c r="LR548" s="276">
        <f>$H548*SUMIFS(axTER!$E$65:$E$105,axTER!$D$65:$D$105,LP548,axTER!$C$65:$C$105,LN548)/SUMIFS(axTER!$E$108:$E$114,axTER!$C$108:$C$114,LQ548)/10^9*$D$514</f>
        <v>0.79940589833874964</v>
      </c>
      <c r="LT548" s="273">
        <f t="shared" si="1014"/>
        <v>0</v>
      </c>
      <c r="LU548" s="273">
        <f t="shared" si="1015"/>
        <v>0</v>
      </c>
      <c r="LV548" s="273">
        <f>$H548*IF(LZ548&lt;&gt;LP548,SUMIFS(axTER!$E$121:$E$128,axTER!$C$121:$C$128,LP548,axTER!$D$121:$D$128,LZ548),SUMIFS(axTER!$E$133:$E$138,axTER!$C$133:$C$138,LZ548)*LY$510)*$D$514/10^6</f>
        <v>177.99271955198722</v>
      </c>
      <c r="LW548" s="274">
        <f>$H548*IF(MA548&lt;&gt;LQ548,SUMIFS(axTER!$E$142:$E$148,axTER!$C$142:$C$148,MA548),SUMIFS(axTER!$E$151:$E$157,axTER!$C$151:$C$157,MA548)*LY$510)/10^6*$D$514</f>
        <v>74.756942211834655</v>
      </c>
      <c r="LX548" s="275" t="s">
        <v>269</v>
      </c>
      <c r="LY548" s="161" t="s">
        <v>265</v>
      </c>
      <c r="LZ548" s="161" t="s">
        <v>266</v>
      </c>
      <c r="MA548" s="161" t="s">
        <v>256</v>
      </c>
      <c r="MB548" s="276">
        <f>$H548*SUMIFS(axTER!$E$65:$E$105,axTER!$D$65:$D$105,LZ548,axTER!$C$65:$C$105,LX548)/SUMIFS(axTER!$E$108:$E$114,axTER!$C$108:$C$114,MA548)/10^9*$D$514</f>
        <v>0.79940589833874964</v>
      </c>
      <c r="MD548" s="273">
        <f t="shared" si="1018"/>
        <v>0</v>
      </c>
      <c r="ME548" s="273">
        <f t="shared" si="1016"/>
        <v>0</v>
      </c>
      <c r="MF548" s="273">
        <f>$H548*IF(MJ548&lt;&gt;LZ548,SUMIFS(axTER!$E$121:$E$128,axTER!$C$121:$C$128,LZ548,axTER!$D$121:$D$128,MJ548),SUMIFS(axTER!$E$133:$E$138,axTER!$C$133:$C$138,MJ548)*MI$510)*$D$514/10^6</f>
        <v>177.99271955198722</v>
      </c>
      <c r="MG548" s="274">
        <f>$H548*IF(MK548&lt;&gt;MA548,SUMIFS(axTER!$E$142:$E$148,axTER!$C$142:$C$148,MK548),SUMIFS(axTER!$E$151:$E$157,axTER!$C$151:$C$157,MK548)*MI$510)/10^6*$D$514</f>
        <v>74.756942211834655</v>
      </c>
      <c r="MH548" s="275" t="s">
        <v>269</v>
      </c>
      <c r="MI548" s="161" t="s">
        <v>265</v>
      </c>
      <c r="MJ548" s="161" t="s">
        <v>266</v>
      </c>
      <c r="MK548" s="161" t="s">
        <v>256</v>
      </c>
      <c r="ML548" s="276">
        <f>$H548*SUMIFS(axTER!$E$65:$E$105,axTER!$D$65:$D$105,MJ548,axTER!$C$65:$C$105,MH548)/SUMIFS(axTER!$E$108:$E$114,axTER!$C$108:$C$114,MK548)/10^9*$D$514</f>
        <v>0.79940589833874964</v>
      </c>
    </row>
    <row r="549" spans="3:350" outlineLevel="1" x14ac:dyDescent="0.3">
      <c r="C549" s="265"/>
      <c r="D549" s="286"/>
      <c r="E549" s="286"/>
      <c r="F549" s="287"/>
      <c r="H549" s="269">
        <v>1200</v>
      </c>
      <c r="I549" s="66" t="s">
        <v>269</v>
      </c>
      <c r="J549" s="66" t="s">
        <v>265</v>
      </c>
      <c r="K549" s="66" t="s">
        <v>255</v>
      </c>
      <c r="L549" s="283" t="s">
        <v>256</v>
      </c>
      <c r="M549" s="272">
        <f>$H549*SUMIFS(axTER!$E$65:$E$105,axTER!$C$65:$C$105,I549,axTER!$D$65:$D$105,K549)/SUMIFS(axTER!$E$108:$E$114,axTER!$C$108:$C$114,L549)/10^9*$D$514</f>
        <v>1.1991088475081246</v>
      </c>
      <c r="S549" s="269">
        <v>1200</v>
      </c>
      <c r="T549" s="66" t="s">
        <v>269</v>
      </c>
      <c r="U549" s="66" t="s">
        <v>265</v>
      </c>
      <c r="V549" s="66" t="s">
        <v>255</v>
      </c>
      <c r="W549" s="283" t="s">
        <v>256</v>
      </c>
      <c r="X549" s="272">
        <f>$H549*SUMIFS(axTER!$E$65:$E$105,axTER!$C$65:$C$105,T549,axTER!$D$65:$D$105,V549)/SUMIFS(axTER!$E$108:$E$114,axTER!$C$108:$C$114,W549)/10^9*$D$514</f>
        <v>1.1991088475081246</v>
      </c>
      <c r="AB549" s="273">
        <f>$H549*IF(AF549&lt;&gt;K549,SUMIFS(axTER!$E$121:$E$128,axTER!$C$121:$C$128,K549,axTER!$D$121:$D$128,AF549),SUMIFS(axTER!$E$133:$E$138,axTER!$C$133:$C$138,AF549)*AE$510)*$D$514/10^6</f>
        <v>474.64725213863267</v>
      </c>
      <c r="AC549" s="274">
        <f>$H549*IF(AG549&lt;&gt;L549,SUMIFS(axTER!$E$142:$E$148,axTER!$C$142:$C$148,AG549),SUMIFS(axTER!$E$151:$E$157,axTER!$C$151:$C$157,AG549)*AE$510)/10^6*$D$514</f>
        <v>74.756942211834655</v>
      </c>
      <c r="AD549" s="275" t="s">
        <v>269</v>
      </c>
      <c r="AE549" s="161" t="s">
        <v>265</v>
      </c>
      <c r="AF549" s="161" t="s">
        <v>255</v>
      </c>
      <c r="AG549" s="284" t="s">
        <v>256</v>
      </c>
      <c r="AH549" s="276">
        <f>$H549*SUMIFS(axTER!$E$65:$E$105,axTER!$D$65:$D$105,AF549,axTER!$C$65:$C$105,AD549)/SUMIFS(axTER!$E$108:$E$114,axTER!$C$108:$C$114,AG549)/10^9*$D$514</f>
        <v>1.1991088475081246</v>
      </c>
      <c r="AV549" s="273">
        <f>$H549*IF(AZ549&lt;&gt;AF549,SUMIFS(axTER!$E$121:$E$128,axTER!$C$121:$C$128,AF549,axTER!$D$121:$D$128,AZ549),SUMIFS(axTER!$E$133:$E$138,axTER!$C$133:$C$138,AZ549)*AY$510)*$D$514/10^6</f>
        <v>949.29450427726533</v>
      </c>
      <c r="AW549" s="274">
        <f>$H549*IF(BA549&lt;&gt;AG549,SUMIFS(axTER!$E$142:$E$148,axTER!$C$142:$C$148,BA549),SUMIFS(axTER!$E$151:$E$157,axTER!$C$151:$C$157,BA549)*AY$510)/10^6*$D$514</f>
        <v>149.51388442366931</v>
      </c>
      <c r="AX549" s="275" t="s">
        <v>269</v>
      </c>
      <c r="AY549" s="161" t="s">
        <v>265</v>
      </c>
      <c r="AZ549" s="161" t="s">
        <v>255</v>
      </c>
      <c r="BA549" s="284" t="s">
        <v>256</v>
      </c>
      <c r="BB549" s="276">
        <f>$H549*SUMIFS(axTER!$E$65:$E$105,axTER!$D$65:$D$105,AZ549,axTER!$C$65:$C$105,AX549)/SUMIFS(axTER!$E$108:$E$114,axTER!$C$108:$C$114,BA549)/10^9*$D$514</f>
        <v>1.1991088475081246</v>
      </c>
      <c r="IG549" s="269">
        <v>1200</v>
      </c>
      <c r="IH549" s="66" t="s">
        <v>269</v>
      </c>
      <c r="II549" s="66" t="s">
        <v>265</v>
      </c>
      <c r="IJ549" s="66" t="s">
        <v>255</v>
      </c>
      <c r="IK549" s="283" t="s">
        <v>256</v>
      </c>
      <c r="IL549" s="272">
        <f>$H549*SUMIFS(axTER!$E$65:$E$105,axTER!$C$65:$C$105,IH549,axTER!$D$65:$D$105,IJ549)/SUMIFS(axTER!$E$108:$E$114,axTER!$C$108:$C$114,IK549)/10^9*$D$514</f>
        <v>1.1991088475081246</v>
      </c>
      <c r="IO549" s="273">
        <f t="shared" si="1008"/>
        <v>1200</v>
      </c>
      <c r="IP549" s="273">
        <f>$H549*IF(IT549&lt;&gt;IJ549,SUMIFS(axTER!$E$121:$E$128,axTER!$C$121:$C$128,IJ549,axTER!$D$121:$D$128,IT549),SUMIFS(axTER!$E$133:$E$138,axTER!$C$133:$C$138,IT549)*IS$510)*$D$514/10^6</f>
        <v>5339.7815865596167</v>
      </c>
      <c r="IQ549" s="274">
        <f>$H549*IF(IU549&lt;&gt;IK549,SUMIFS(axTER!$E$142:$E$148,axTER!$C$142:$C$148,IU549),SUMIFS(axTER!$E$151:$E$157,axTER!$C$151:$C$157,IU549)*IS$510)/10^6*$D$514</f>
        <v>74.756942211834655</v>
      </c>
      <c r="IR549" s="275" t="s">
        <v>269</v>
      </c>
      <c r="IS549" s="161" t="s">
        <v>265</v>
      </c>
      <c r="IT549" s="277" t="s">
        <v>257</v>
      </c>
      <c r="IU549" s="284" t="s">
        <v>256</v>
      </c>
      <c r="IV549" s="276">
        <f>$H549*SUMIFS(axTER!$E$65:$E$105,axTER!$D$65:$D$105,IT549,axTER!$C$65:$C$105,IR549)/SUMIFS(axTER!$E$108:$E$114,axTER!$C$108:$C$114,IU549)/10^9*$D$514</f>
        <v>0.62453585807714818</v>
      </c>
      <c r="JI549" s="273">
        <f t="shared" si="1009"/>
        <v>1200</v>
      </c>
      <c r="JJ549" s="273">
        <f>$H549*IF(JN549&lt;&gt;IT549,SUMIFS(axTER!$E$121:$E$128,axTER!$C$121:$C$128,IT549,axTER!$D$121:$D$128,JN549),SUMIFS(axTER!$E$133:$E$138,axTER!$C$133:$C$138,JN549)*JM$510)*$D$514/10^6</f>
        <v>0</v>
      </c>
      <c r="JK549" s="274">
        <f>$H549*IF(JO549&lt;&gt;IU549,SUMIFS(axTER!$E$142:$E$148,axTER!$C$142:$C$148,JO549),SUMIFS(axTER!$E$151:$E$157,axTER!$C$151:$C$157,JO549)*JM$510)/10^6*$D$514</f>
        <v>149.51388442366931</v>
      </c>
      <c r="JL549" s="275" t="s">
        <v>269</v>
      </c>
      <c r="JM549" s="161" t="s">
        <v>265</v>
      </c>
      <c r="JN549" s="161" t="s">
        <v>255</v>
      </c>
      <c r="JO549" s="284" t="s">
        <v>256</v>
      </c>
      <c r="JP549" s="276">
        <f>$H549*SUMIFS(axTER!$E$65:$E$105,axTER!$D$65:$D$105,JN549,axTER!$C$65:$C$105,JL549)/SUMIFS(axTER!$E$108:$E$114,axTER!$C$108:$C$114,JO549)/10^9*$D$514</f>
        <v>1.1991088475081246</v>
      </c>
      <c r="JR549" s="269">
        <v>1200</v>
      </c>
      <c r="JS549" s="66" t="s">
        <v>269</v>
      </c>
      <c r="JT549" s="66" t="s">
        <v>265</v>
      </c>
      <c r="JU549" s="66" t="s">
        <v>255</v>
      </c>
      <c r="JV549" s="283" t="s">
        <v>256</v>
      </c>
      <c r="JW549" s="272">
        <f>$H549*SUMIFS(axTER!$E$65:$E$105,axTER!$C$65:$C$105,JS549,axTER!$D$65:$D$105,JU549)/SUMIFS(axTER!$E$108:$E$114,axTER!$C$108:$C$114,JV549)/10^9*$D$514</f>
        <v>1.1991088475081246</v>
      </c>
      <c r="JY549" s="273">
        <f t="shared" si="1010"/>
        <v>0</v>
      </c>
      <c r="JZ549" s="273">
        <f t="shared" si="1005"/>
        <v>1200</v>
      </c>
      <c r="KA549" s="273">
        <f>$H549*IF(KE549&lt;&gt;JU549,SUMIFS(axTER!$E$121:$E$128,axTER!$C$121:$C$128,JU549,axTER!$D$121:$D$128,KE549),SUMIFS(axTER!$E$133:$E$138,axTER!$C$133:$C$138,KE549)*KD$510)*$D$514/10^6</f>
        <v>5339.7815865596167</v>
      </c>
      <c r="KB549" s="274">
        <f>$H549*IF(KF549&lt;&gt;JV549,SUMIFS(axTER!$E$142:$E$148,axTER!$C$142:$C$148,KF549),SUMIFS(axTER!$E$151:$E$157,axTER!$C$151:$C$157,KF549)*KD$510)/10^6*$D$514</f>
        <v>52.329859548284254</v>
      </c>
      <c r="KC549" s="275" t="s">
        <v>269</v>
      </c>
      <c r="KD549" s="161" t="s">
        <v>265</v>
      </c>
      <c r="KE549" s="161" t="s">
        <v>257</v>
      </c>
      <c r="KF549" s="284" t="s">
        <v>256</v>
      </c>
      <c r="KG549" s="276">
        <f>$H549*SUMIFS(axTER!$E$65:$E$105,axTER!$D$65:$D$105,KE549,axTER!$C$65:$C$105,KC549)/SUMIFS(axTER!$E$108:$E$114,axTER!$C$108:$C$114,KF549)/10^9*$D$514</f>
        <v>0.62453585807714818</v>
      </c>
      <c r="KS549" s="273" t="str">
        <f t="shared" si="1011"/>
        <v>ELEC-PAC</v>
      </c>
      <c r="KT549" s="273">
        <f t="shared" si="1012"/>
        <v>0</v>
      </c>
      <c r="KU549" s="273">
        <f>$H549*IF(KY549&lt;&gt;KE549,SUMIFS(axTER!$E$121:$E$128,axTER!$C$121:$C$128,KE549,axTER!$D$121:$D$128,KY549),SUMIFS(axTER!$E$133:$E$138,axTER!$C$133:$C$138,KY549)*KX$510)*$D$514/10^6</f>
        <v>355.98543910397444</v>
      </c>
      <c r="KV549" s="274">
        <f>$H549*IF(KZ549&lt;&gt;KF549,SUMIFS(axTER!$E$142:$E$148,axTER!$C$142:$C$148,KZ549),SUMIFS(axTER!$E$151:$E$157,axTER!$C$151:$C$157,KZ549)*KX$510)/10^6*$D$514</f>
        <v>949.29450427726533</v>
      </c>
      <c r="KW549" s="275" t="s">
        <v>269</v>
      </c>
      <c r="KX549" s="161" t="s">
        <v>265</v>
      </c>
      <c r="KY549" s="161" t="s">
        <v>257</v>
      </c>
      <c r="KZ549" s="284" t="s">
        <v>261</v>
      </c>
      <c r="LA549" s="276">
        <f>$H549*SUMIFS(axTER!$E$65:$E$105,axTER!$D$65:$D$105,KY549,axTER!$C$65:$C$105,KW549)/SUMIFS(axTER!$E$108:$E$114,axTER!$C$108:$C$114,KZ549)/10^9*$D$514</f>
        <v>0.19776968839109696</v>
      </c>
      <c r="LC549" s="269">
        <v>1200</v>
      </c>
      <c r="LD549" s="66" t="s">
        <v>269</v>
      </c>
      <c r="LE549" s="66" t="s">
        <v>265</v>
      </c>
      <c r="LF549" s="66" t="s">
        <v>255</v>
      </c>
      <c r="LG549" s="283" t="s">
        <v>256</v>
      </c>
      <c r="LH549" s="272">
        <f>$H549*SUMIFS(axTER!$E$65:$E$105,axTER!$C$65:$C$105,LD549,axTER!$D$65:$D$105,LF549)/SUMIFS(axTER!$E$108:$E$114,axTER!$C$108:$C$114,LG549)/10^9*$D$514</f>
        <v>1.1991088475081246</v>
      </c>
      <c r="LJ549" s="273">
        <f t="shared" si="1013"/>
        <v>0</v>
      </c>
      <c r="LK549" s="273">
        <f t="shared" si="1017"/>
        <v>0</v>
      </c>
      <c r="LL549" s="273">
        <f>$H549*IF(LP549&lt;&gt;LF549,SUMIFS(axTER!$E$121:$E$128,axTER!$C$121:$C$128,LF549,axTER!$D$121:$D$128,LP549),SUMIFS(axTER!$E$133:$E$138,axTER!$C$133:$C$138,LP549)*LO$510)*$D$514/10^6</f>
        <v>332.25307649704285</v>
      </c>
      <c r="LM549" s="274">
        <f>$H549*IF(LQ549&lt;&gt;LG549,SUMIFS(axTER!$E$142:$E$148,axTER!$C$142:$C$148,LQ549),SUMIFS(axTER!$E$151:$E$157,axTER!$C$151:$C$157,LQ549)*LO$510)/10^6*$D$514</f>
        <v>52.329859548284254</v>
      </c>
      <c r="LN549" s="275" t="s">
        <v>269</v>
      </c>
      <c r="LO549" s="161" t="s">
        <v>265</v>
      </c>
      <c r="LP549" s="161" t="s">
        <v>255</v>
      </c>
      <c r="LQ549" s="161" t="s">
        <v>256</v>
      </c>
      <c r="LR549" s="276">
        <f>$H549*SUMIFS(axTER!$E$65:$E$105,axTER!$D$65:$D$105,LP549,axTER!$C$65:$C$105,LN549)/SUMIFS(axTER!$E$108:$E$114,axTER!$C$108:$C$114,LQ549)/10^9*$D$514</f>
        <v>1.1991088475081246</v>
      </c>
      <c r="LT549" s="273" t="str">
        <f t="shared" si="1014"/>
        <v>ELEC-PAC</v>
      </c>
      <c r="LU549" s="273">
        <f t="shared" si="1015"/>
        <v>1200</v>
      </c>
      <c r="LV549" s="273">
        <f>$H549*IF(LZ549&lt;&gt;LP549,SUMIFS(axTER!$E$121:$E$128,axTER!$C$121:$C$128,LP549,axTER!$D$121:$D$128,LZ549),SUMIFS(axTER!$E$133:$E$138,axTER!$C$133:$C$138,LZ549)*LY$510)*$D$514/10^6</f>
        <v>2373.2362606931633</v>
      </c>
      <c r="LW549" s="274">
        <f>$H549*IF(MA549&lt;&gt;LQ549,SUMIFS(axTER!$E$142:$E$148,axTER!$C$142:$C$148,MA549),SUMIFS(axTER!$E$151:$E$157,axTER!$C$151:$C$157,MA549)*LY$510)/10^6*$D$514</f>
        <v>949.29450427726533</v>
      </c>
      <c r="LX549" s="275" t="s">
        <v>269</v>
      </c>
      <c r="LY549" s="161" t="s">
        <v>265</v>
      </c>
      <c r="LZ549" s="429" t="s">
        <v>264</v>
      </c>
      <c r="MA549" s="429" t="s">
        <v>261</v>
      </c>
      <c r="MB549" s="276">
        <f>$H549*SUMIFS(axTER!$E$65:$E$105,axTER!$D$65:$D$105,LZ549,axTER!$C$65:$C$105,LX549)/SUMIFS(axTER!$E$108:$E$114,axTER!$C$108:$C$114,MA549)/10^9*$D$514</f>
        <v>0.23732362606931634</v>
      </c>
      <c r="MD549" s="273">
        <f t="shared" si="1018"/>
        <v>0</v>
      </c>
      <c r="ME549" s="273">
        <f t="shared" si="1016"/>
        <v>0</v>
      </c>
      <c r="MF549" s="273">
        <f>$H549*IF(MJ549&lt;&gt;LZ549,SUMIFS(axTER!$E$121:$E$128,axTER!$C$121:$C$128,LZ549,axTER!$D$121:$D$128,MJ549),SUMIFS(axTER!$E$133:$E$138,axTER!$C$133:$C$138,MJ549)*MI$510)*$D$514/10^6</f>
        <v>177.99271955198722</v>
      </c>
      <c r="MG549" s="274">
        <f>$H549*IF(MK549&lt;&gt;MA549,SUMIFS(axTER!$E$142:$E$148,axTER!$C$142:$C$148,MK549),SUMIFS(axTER!$E$151:$E$157,axTER!$C$151:$C$157,MK549)*MI$510)/10^6*$D$514</f>
        <v>332.25307649704291</v>
      </c>
      <c r="MH549" s="275" t="s">
        <v>269</v>
      </c>
      <c r="MI549" s="161" t="s">
        <v>265</v>
      </c>
      <c r="MJ549" s="429" t="s">
        <v>264</v>
      </c>
      <c r="MK549" s="161" t="s">
        <v>261</v>
      </c>
      <c r="ML549" s="276">
        <f>$H549*SUMIFS(axTER!$E$65:$E$105,axTER!$D$65:$D$105,MJ549,axTER!$C$65:$C$105,MH549)/SUMIFS(axTER!$E$108:$E$114,axTER!$C$108:$C$114,MK549)/10^9*$D$514</f>
        <v>0.23732362606931634</v>
      </c>
    </row>
    <row r="550" spans="3:350" outlineLevel="1" x14ac:dyDescent="0.3">
      <c r="C550" s="265"/>
      <c r="D550" s="286"/>
      <c r="E550" s="286"/>
      <c r="F550" s="287"/>
      <c r="H550" s="269">
        <v>1200</v>
      </c>
      <c r="I550" s="66" t="s">
        <v>269</v>
      </c>
      <c r="J550" s="66" t="s">
        <v>265</v>
      </c>
      <c r="K550" s="66" t="s">
        <v>255</v>
      </c>
      <c r="L550" s="283" t="s">
        <v>256</v>
      </c>
      <c r="M550" s="272">
        <f>$H550*SUMIFS(axTER!$E$65:$E$105,axTER!$C$65:$C$105,I550,axTER!$D$65:$D$105,K550)/SUMIFS(axTER!$E$108:$E$114,axTER!$C$108:$C$114,L550)/10^9*$D$514</f>
        <v>1.1991088475081246</v>
      </c>
      <c r="S550" s="269">
        <v>1200</v>
      </c>
      <c r="T550" s="66" t="s">
        <v>269</v>
      </c>
      <c r="U550" s="66" t="s">
        <v>265</v>
      </c>
      <c r="V550" s="66" t="s">
        <v>255</v>
      </c>
      <c r="W550" s="283" t="s">
        <v>256</v>
      </c>
      <c r="X550" s="272">
        <f>$H550*SUMIFS(axTER!$E$65:$E$105,axTER!$C$65:$C$105,T550,axTER!$D$65:$D$105,V550)/SUMIFS(axTER!$E$108:$E$114,axTER!$C$108:$C$114,W550)/10^9*$D$514</f>
        <v>1.1991088475081246</v>
      </c>
      <c r="AB550" s="273">
        <f>$H550*IF(AF550&lt;&gt;K550,SUMIFS(axTER!$E$121:$E$128,axTER!$C$121:$C$128,K550,axTER!$D$121:$D$128,AF550),SUMIFS(axTER!$E$133:$E$138,axTER!$C$133:$C$138,AF550)*AE$510)*$D$514/10^6</f>
        <v>474.64725213863267</v>
      </c>
      <c r="AC550" s="274">
        <f>$H550*IF(AG550&lt;&gt;L550,SUMIFS(axTER!$E$142:$E$148,axTER!$C$142:$C$148,AG550),SUMIFS(axTER!$E$151:$E$157,axTER!$C$151:$C$157,AG550)*AE$510)/10^6*$D$514</f>
        <v>74.756942211834655</v>
      </c>
      <c r="AD550" s="275" t="s">
        <v>269</v>
      </c>
      <c r="AE550" s="161" t="s">
        <v>265</v>
      </c>
      <c r="AF550" s="161" t="s">
        <v>255</v>
      </c>
      <c r="AG550" s="284" t="s">
        <v>256</v>
      </c>
      <c r="AH550" s="276">
        <f>$H550*SUMIFS(axTER!$E$65:$E$105,axTER!$D$65:$D$105,AF550,axTER!$C$65:$C$105,AD550)/SUMIFS(axTER!$E$108:$E$114,axTER!$C$108:$C$114,AG550)/10^9*$D$514</f>
        <v>1.1991088475081246</v>
      </c>
      <c r="AV550" s="273">
        <f>$H550*IF(AZ550&lt;&gt;AF550,SUMIFS(axTER!$E$121:$E$128,axTER!$C$121:$C$128,AF550,axTER!$D$121:$D$128,AZ550),SUMIFS(axTER!$E$133:$E$138,axTER!$C$133:$C$138,AZ550)*AY$510)*$D$514/10^6</f>
        <v>949.29450427726533</v>
      </c>
      <c r="AW550" s="274">
        <f>$H550*IF(BA550&lt;&gt;AG550,SUMIFS(axTER!$E$142:$E$148,axTER!$C$142:$C$148,BA550),SUMIFS(axTER!$E$151:$E$157,axTER!$C$151:$C$157,BA550)*AY$510)/10^6*$D$514</f>
        <v>149.51388442366931</v>
      </c>
      <c r="AX550" s="275" t="s">
        <v>269</v>
      </c>
      <c r="AY550" s="161" t="s">
        <v>265</v>
      </c>
      <c r="AZ550" s="161" t="s">
        <v>255</v>
      </c>
      <c r="BA550" s="284" t="s">
        <v>256</v>
      </c>
      <c r="BB550" s="276">
        <f>$H550*SUMIFS(axTER!$E$65:$E$105,axTER!$D$65:$D$105,AZ550,axTER!$C$65:$C$105,AX550)/SUMIFS(axTER!$E$108:$E$114,axTER!$C$108:$C$114,BA550)/10^9*$D$514</f>
        <v>1.1991088475081246</v>
      </c>
      <c r="IG550" s="269">
        <v>1200</v>
      </c>
      <c r="IH550" s="66" t="s">
        <v>269</v>
      </c>
      <c r="II550" s="66" t="s">
        <v>265</v>
      </c>
      <c r="IJ550" s="66" t="s">
        <v>255</v>
      </c>
      <c r="IK550" s="283" t="s">
        <v>256</v>
      </c>
      <c r="IL550" s="272">
        <f>$H550*SUMIFS(axTER!$E$65:$E$105,axTER!$C$65:$C$105,IH550,axTER!$D$65:$D$105,IJ550)/SUMIFS(axTER!$E$108:$E$114,axTER!$C$108:$C$114,IK550)/10^9*$D$514</f>
        <v>1.1991088475081246</v>
      </c>
      <c r="IO550" s="273">
        <f t="shared" si="1008"/>
        <v>1200</v>
      </c>
      <c r="IP550" s="273">
        <f>$H550*IF(IT550&lt;&gt;IJ550,SUMIFS(axTER!$E$121:$E$128,axTER!$C$121:$C$128,IJ550,axTER!$D$121:$D$128,IT550),SUMIFS(axTER!$E$133:$E$138,axTER!$C$133:$C$138,IT550)*IS$510)*$D$514/10^6</f>
        <v>5339.7815865596167</v>
      </c>
      <c r="IQ550" s="274">
        <f>$H550*IF(IU550&lt;&gt;IK550,SUMIFS(axTER!$E$142:$E$148,axTER!$C$142:$C$148,IU550),SUMIFS(axTER!$E$151:$E$157,axTER!$C$151:$C$157,IU550)*IS$510)/10^6*$D$514</f>
        <v>74.756942211834655</v>
      </c>
      <c r="IR550" s="275" t="s">
        <v>269</v>
      </c>
      <c r="IS550" s="161" t="s">
        <v>265</v>
      </c>
      <c r="IT550" s="277" t="s">
        <v>257</v>
      </c>
      <c r="IU550" s="284" t="s">
        <v>256</v>
      </c>
      <c r="IV550" s="276">
        <f>$H550*SUMIFS(axTER!$E$65:$E$105,axTER!$D$65:$D$105,IT550,axTER!$C$65:$C$105,IR550)/SUMIFS(axTER!$E$108:$E$114,axTER!$C$108:$C$114,IU550)/10^9*$D$514</f>
        <v>0.62453585807714818</v>
      </c>
      <c r="JI550" s="273">
        <f t="shared" si="1009"/>
        <v>1200</v>
      </c>
      <c r="JJ550" s="273">
        <f>$H550*IF(JN550&lt;&gt;IT550,SUMIFS(axTER!$E$121:$E$128,axTER!$C$121:$C$128,IT550,axTER!$D$121:$D$128,JN550),SUMIFS(axTER!$E$133:$E$138,axTER!$C$133:$C$138,JN550)*JM$510)*$D$514/10^6</f>
        <v>0</v>
      </c>
      <c r="JK550" s="274">
        <f>$H550*IF(JO550&lt;&gt;IU550,SUMIFS(axTER!$E$142:$E$148,axTER!$C$142:$C$148,JO550),SUMIFS(axTER!$E$151:$E$157,axTER!$C$151:$C$157,JO550)*JM$510)/10^6*$D$514</f>
        <v>149.51388442366931</v>
      </c>
      <c r="JL550" s="275" t="s">
        <v>269</v>
      </c>
      <c r="JM550" s="161" t="s">
        <v>265</v>
      </c>
      <c r="JN550" s="161" t="s">
        <v>255</v>
      </c>
      <c r="JO550" s="284" t="s">
        <v>256</v>
      </c>
      <c r="JP550" s="276">
        <f>$H550*SUMIFS(axTER!$E$65:$E$105,axTER!$D$65:$D$105,JN550,axTER!$C$65:$C$105,JL550)/SUMIFS(axTER!$E$108:$E$114,axTER!$C$108:$C$114,JO550)/10^9*$D$514</f>
        <v>1.1991088475081246</v>
      </c>
      <c r="JR550" s="269">
        <v>1200</v>
      </c>
      <c r="JS550" s="66" t="s">
        <v>269</v>
      </c>
      <c r="JT550" s="66" t="s">
        <v>265</v>
      </c>
      <c r="JU550" s="66" t="s">
        <v>255</v>
      </c>
      <c r="JV550" s="283" t="s">
        <v>256</v>
      </c>
      <c r="JW550" s="272">
        <f>$H550*SUMIFS(axTER!$E$65:$E$105,axTER!$C$65:$C$105,JS550,axTER!$D$65:$D$105,JU550)/SUMIFS(axTER!$E$108:$E$114,axTER!$C$108:$C$114,JV550)/10^9*$D$514</f>
        <v>1.1991088475081246</v>
      </c>
      <c r="JY550" s="273">
        <f t="shared" si="1010"/>
        <v>0</v>
      </c>
      <c r="JZ550" s="273">
        <f t="shared" si="1005"/>
        <v>1200</v>
      </c>
      <c r="KA550" s="273">
        <f>$H550*IF(KE550&lt;&gt;JU550,SUMIFS(axTER!$E$121:$E$128,axTER!$C$121:$C$128,JU550,axTER!$D$121:$D$128,KE550),SUMIFS(axTER!$E$133:$E$138,axTER!$C$133:$C$138,KE550)*KD$510)*$D$514/10^6</f>
        <v>5339.7815865596167</v>
      </c>
      <c r="KB550" s="274">
        <f>$H550*IF(KF550&lt;&gt;JV550,SUMIFS(axTER!$E$142:$E$148,axTER!$C$142:$C$148,KF550),SUMIFS(axTER!$E$151:$E$157,axTER!$C$151:$C$157,KF550)*KD$510)/10^6*$D$514</f>
        <v>52.329859548284254</v>
      </c>
      <c r="KC550" s="275" t="s">
        <v>269</v>
      </c>
      <c r="KD550" s="161" t="s">
        <v>265</v>
      </c>
      <c r="KE550" s="161" t="s">
        <v>257</v>
      </c>
      <c r="KF550" s="284" t="s">
        <v>256</v>
      </c>
      <c r="KG550" s="276">
        <f>$H550*SUMIFS(axTER!$E$65:$E$105,axTER!$D$65:$D$105,KE550,axTER!$C$65:$C$105,KC550)/SUMIFS(axTER!$E$108:$E$114,axTER!$C$108:$C$114,KF550)/10^9*$D$514</f>
        <v>0.62453585807714818</v>
      </c>
      <c r="KS550" s="273">
        <f t="shared" si="1011"/>
        <v>0</v>
      </c>
      <c r="KT550" s="273">
        <f t="shared" si="1012"/>
        <v>0</v>
      </c>
      <c r="KU550" s="273">
        <f>$H550*IF(KY550&lt;&gt;KE550,SUMIFS(axTER!$E$121:$E$128,axTER!$C$121:$C$128,KE550,axTER!$D$121:$D$128,KY550),SUMIFS(axTER!$E$133:$E$138,axTER!$C$133:$C$138,KY550)*KX$510)*$D$514/10^6</f>
        <v>355.98543910397444</v>
      </c>
      <c r="KV550" s="274">
        <f>$H550*IF(KZ550&lt;&gt;KF550,SUMIFS(axTER!$E$142:$E$148,axTER!$C$142:$C$148,KZ550),SUMIFS(axTER!$E$151:$E$157,axTER!$C$151:$C$157,KZ550)*KX$510)/10^6*$D$514</f>
        <v>149.51388442366931</v>
      </c>
      <c r="KW550" s="275" t="s">
        <v>269</v>
      </c>
      <c r="KX550" s="161" t="s">
        <v>265</v>
      </c>
      <c r="KY550" s="161" t="s">
        <v>257</v>
      </c>
      <c r="KZ550" s="284" t="s">
        <v>256</v>
      </c>
      <c r="LA550" s="276">
        <f>$H550*SUMIFS(axTER!$E$65:$E$105,axTER!$D$65:$D$105,KY550,axTER!$C$65:$C$105,KW550)/SUMIFS(axTER!$E$108:$E$114,axTER!$C$108:$C$114,KZ550)/10^9*$D$514</f>
        <v>0.62453585807714818</v>
      </c>
      <c r="LC550" s="269">
        <v>1200</v>
      </c>
      <c r="LD550" s="66" t="s">
        <v>269</v>
      </c>
      <c r="LE550" s="66" t="s">
        <v>265</v>
      </c>
      <c r="LF550" s="66" t="s">
        <v>255</v>
      </c>
      <c r="LG550" s="283" t="s">
        <v>256</v>
      </c>
      <c r="LH550" s="272">
        <f>$H550*SUMIFS(axTER!$E$65:$E$105,axTER!$C$65:$C$105,LD550,axTER!$D$65:$D$105,LF550)/SUMIFS(axTER!$E$108:$E$114,axTER!$C$108:$C$114,LG550)/10^9*$D$514</f>
        <v>1.1991088475081246</v>
      </c>
      <c r="LJ550" s="273">
        <f t="shared" si="1013"/>
        <v>0</v>
      </c>
      <c r="LK550" s="273">
        <f t="shared" si="1017"/>
        <v>1200</v>
      </c>
      <c r="LL550" s="273">
        <f>$H550*IF(LP550&lt;&gt;LF550,SUMIFS(axTER!$E$121:$E$128,axTER!$C$121:$C$128,LF550,axTER!$D$121:$D$128,LP550),SUMIFS(axTER!$E$133:$E$138,axTER!$C$133:$C$138,LP550)*LO$510)*$D$514/10^6</f>
        <v>1186.6181303465817</v>
      </c>
      <c r="LM550" s="274">
        <f>$H550*IF(LQ550&lt;&gt;LG550,SUMIFS(axTER!$E$142:$E$148,axTER!$C$142:$C$148,LQ550),SUMIFS(axTER!$E$151:$E$157,axTER!$C$151:$C$157,LQ550)*LO$510)/10^6*$D$514</f>
        <v>52.329859548284254</v>
      </c>
      <c r="LN550" s="275" t="s">
        <v>269</v>
      </c>
      <c r="LO550" s="161" t="s">
        <v>265</v>
      </c>
      <c r="LP550" s="161" t="s">
        <v>262</v>
      </c>
      <c r="LQ550" s="161" t="s">
        <v>256</v>
      </c>
      <c r="LR550" s="276">
        <f>$H550*SUMIFS(axTER!$E$65:$E$105,axTER!$D$65:$D$105,LP550,axTER!$C$65:$C$105,LN550)/SUMIFS(axTER!$E$108:$E$114,axTER!$C$108:$C$114,LQ550)/10^9*$D$514</f>
        <v>0.99925737292343719</v>
      </c>
      <c r="LT550" s="273" t="str">
        <f t="shared" si="1014"/>
        <v>ELEC-PAC</v>
      </c>
      <c r="LU550" s="273">
        <f t="shared" si="1015"/>
        <v>0</v>
      </c>
      <c r="LV550" s="273">
        <f>$H550*IF(LZ550&lt;&gt;LP550,SUMIFS(axTER!$E$121:$E$128,axTER!$C$121:$C$128,LP550,axTER!$D$121:$D$128,LZ550),SUMIFS(axTER!$E$133:$E$138,axTER!$C$133:$C$138,LZ550)*LY$510)*$D$514/10^6</f>
        <v>177.99271955198722</v>
      </c>
      <c r="LW550" s="274">
        <f>$H550*IF(MA550&lt;&gt;LQ550,SUMIFS(axTER!$E$142:$E$148,axTER!$C$142:$C$148,MA550),SUMIFS(axTER!$E$151:$E$157,axTER!$C$151:$C$157,MA550)*LY$510)/10^6*$D$514</f>
        <v>949.29450427726533</v>
      </c>
      <c r="LX550" s="275" t="s">
        <v>269</v>
      </c>
      <c r="LY550" s="161" t="s">
        <v>265</v>
      </c>
      <c r="LZ550" s="161" t="s">
        <v>262</v>
      </c>
      <c r="MA550" s="429" t="s">
        <v>261</v>
      </c>
      <c r="MB550" s="276">
        <f>$H550*SUMIFS(axTER!$E$65:$E$105,axTER!$D$65:$D$105,LZ550,axTER!$C$65:$C$105,LX550)/SUMIFS(axTER!$E$108:$E$114,axTER!$C$108:$C$114,MA550)/10^9*$D$514</f>
        <v>0.3164315014257551</v>
      </c>
      <c r="MD550" s="273">
        <f t="shared" si="1018"/>
        <v>0</v>
      </c>
      <c r="ME550" s="273">
        <f t="shared" si="1016"/>
        <v>0</v>
      </c>
      <c r="MF550" s="273">
        <f>$H550*IF(MJ550&lt;&gt;LZ550,SUMIFS(axTER!$E$121:$E$128,axTER!$C$121:$C$128,LZ550,axTER!$D$121:$D$128,MJ550),SUMIFS(axTER!$E$133:$E$138,axTER!$C$133:$C$138,MJ550)*MI$510)*$D$514/10^6</f>
        <v>177.99271955198722</v>
      </c>
      <c r="MG550" s="274">
        <f>$H550*IF(MK550&lt;&gt;MA550,SUMIFS(axTER!$E$142:$E$148,axTER!$C$142:$C$148,MK550),SUMIFS(axTER!$E$151:$E$157,axTER!$C$151:$C$157,MK550)*MI$510)/10^6*$D$514</f>
        <v>332.25307649704291</v>
      </c>
      <c r="MH550" s="275" t="s">
        <v>269</v>
      </c>
      <c r="MI550" s="161" t="s">
        <v>265</v>
      </c>
      <c r="MJ550" s="161" t="s">
        <v>262</v>
      </c>
      <c r="MK550" s="161" t="s">
        <v>261</v>
      </c>
      <c r="ML550" s="276">
        <f>$H550*SUMIFS(axTER!$E$65:$E$105,axTER!$D$65:$D$105,MJ550,axTER!$C$65:$C$105,MH550)/SUMIFS(axTER!$E$108:$E$114,axTER!$C$108:$C$114,MK550)/10^9*$D$514</f>
        <v>0.3164315014257551</v>
      </c>
    </row>
    <row r="551" spans="3:350" hidden="1" outlineLevel="1" x14ac:dyDescent="0.3">
      <c r="C551" s="265"/>
      <c r="D551" s="286"/>
      <c r="E551" s="286"/>
      <c r="F551" s="287"/>
      <c r="H551" s="269">
        <v>1200</v>
      </c>
      <c r="I551" s="66" t="s">
        <v>269</v>
      </c>
      <c r="J551" s="66" t="s">
        <v>265</v>
      </c>
      <c r="K551" s="66" t="s">
        <v>255</v>
      </c>
      <c r="L551" s="283" t="s">
        <v>256</v>
      </c>
      <c r="M551" s="272">
        <f>$H551*SUMIFS(axTER!$E$65:$E$105,axTER!$C$65:$C$105,I551,axTER!$D$65:$D$105,K551)/SUMIFS(axTER!$E$108:$E$114,axTER!$C$108:$C$114,L551)/10^9*$D$514</f>
        <v>1.1991088475081246</v>
      </c>
      <c r="S551" s="269">
        <v>1200</v>
      </c>
      <c r="T551" s="66" t="s">
        <v>269</v>
      </c>
      <c r="U551" s="66" t="s">
        <v>265</v>
      </c>
      <c r="V551" s="66" t="s">
        <v>255</v>
      </c>
      <c r="W551" s="283" t="s">
        <v>256</v>
      </c>
      <c r="X551" s="272">
        <f>$H551*SUMIFS(axTER!$E$65:$E$105,axTER!$C$65:$C$105,T551,axTER!$D$65:$D$105,V551)/SUMIFS(axTER!$E$108:$E$114,axTER!$C$108:$C$114,W551)/10^9*$D$514</f>
        <v>1.1991088475081246</v>
      </c>
      <c r="AB551" s="273">
        <f>$H551*IF(AF551&lt;&gt;K551,SUMIFS(axTER!$E$121:$E$128,axTER!$C$121:$C$128,K551,axTER!$D$121:$D$128,AF551),SUMIFS(axTER!$E$133:$E$138,axTER!$C$133:$C$138,AF551)*AE$510)*$D$514/10^6</f>
        <v>474.64725213863267</v>
      </c>
      <c r="AC551" s="274">
        <f>$H551*IF(AG551&lt;&gt;L551,SUMIFS(axTER!$E$142:$E$148,axTER!$C$142:$C$148,AG551),SUMIFS(axTER!$E$151:$E$157,axTER!$C$151:$C$157,AG551)*AE$510)/10^6*$D$514</f>
        <v>74.756942211834655</v>
      </c>
      <c r="AD551" s="275" t="s">
        <v>269</v>
      </c>
      <c r="AE551" s="161" t="s">
        <v>265</v>
      </c>
      <c r="AF551" s="161" t="s">
        <v>255</v>
      </c>
      <c r="AG551" s="284" t="s">
        <v>256</v>
      </c>
      <c r="AH551" s="276">
        <f>$H551*SUMIFS(axTER!$E$65:$E$105,axTER!$D$65:$D$105,AF551,axTER!$C$65:$C$105,AD551)/SUMIFS(axTER!$E$108:$E$114,axTER!$C$108:$C$114,AG551)/10^9*$D$514</f>
        <v>1.1991088475081246</v>
      </c>
      <c r="AV551" s="273">
        <f>$H551*IF(AZ551&lt;&gt;AF551,SUMIFS(axTER!$E$121:$E$128,axTER!$C$121:$C$128,AF551,axTER!$D$121:$D$128,AZ551),SUMIFS(axTER!$E$133:$E$138,axTER!$C$133:$C$138,AZ551)*AY$510)*$D$514/10^6</f>
        <v>949.29450427726533</v>
      </c>
      <c r="AW551" s="274">
        <f>$H551*IF(BA551&lt;&gt;AG551,SUMIFS(axTER!$E$142:$E$148,axTER!$C$142:$C$148,BA551),SUMIFS(axTER!$E$151:$E$157,axTER!$C$151:$C$157,BA551)*AY$510)/10^6*$D$514</f>
        <v>149.51388442366931</v>
      </c>
      <c r="AX551" s="275" t="s">
        <v>269</v>
      </c>
      <c r="AY551" s="161" t="s">
        <v>265</v>
      </c>
      <c r="AZ551" s="161" t="s">
        <v>255</v>
      </c>
      <c r="BA551" s="284" t="s">
        <v>256</v>
      </c>
      <c r="BB551" s="276">
        <f>$H551*SUMIFS(axTER!$E$65:$E$105,axTER!$D$65:$D$105,AZ551,axTER!$C$65:$C$105,AX551)/SUMIFS(axTER!$E$108:$E$114,axTER!$C$108:$C$114,BA551)/10^9*$D$514</f>
        <v>1.1991088475081246</v>
      </c>
      <c r="IG551" s="269">
        <v>1200</v>
      </c>
      <c r="IH551" s="66" t="s">
        <v>269</v>
      </c>
      <c r="II551" s="66" t="s">
        <v>265</v>
      </c>
      <c r="IJ551" s="66" t="s">
        <v>255</v>
      </c>
      <c r="IK551" s="283" t="s">
        <v>256</v>
      </c>
      <c r="IL551" s="272">
        <f>$H551*SUMIFS(axTER!$E$65:$E$105,axTER!$C$65:$C$105,IH551,axTER!$D$65:$D$105,IJ551)/SUMIFS(axTER!$E$108:$E$114,axTER!$C$108:$C$114,IK551)/10^9*$D$514</f>
        <v>1.1991088475081246</v>
      </c>
      <c r="IO551" s="273">
        <f t="shared" si="1008"/>
        <v>0</v>
      </c>
      <c r="IP551" s="273">
        <f>$H551*IF(IT551&lt;&gt;IJ551,SUMIFS(axTER!$E$121:$E$128,axTER!$C$121:$C$128,IJ551,axTER!$D$121:$D$128,IT551),SUMIFS(axTER!$E$133:$E$138,axTER!$C$133:$C$138,IT551)*IS$510)*$D$514/10^6</f>
        <v>474.64725213863267</v>
      </c>
      <c r="IQ551" s="274">
        <f>$H551*IF(IU551&lt;&gt;IK551,SUMIFS(axTER!$E$142:$E$148,axTER!$C$142:$C$148,IU551),SUMIFS(axTER!$E$151:$E$157,axTER!$C$151:$C$157,IU551)*IS$510)/10^6*$D$514</f>
        <v>74.756942211834655</v>
      </c>
      <c r="IR551" s="275" t="s">
        <v>269</v>
      </c>
      <c r="IS551" s="161" t="s">
        <v>265</v>
      </c>
      <c r="IT551" s="161" t="s">
        <v>255</v>
      </c>
      <c r="IU551" s="284" t="s">
        <v>256</v>
      </c>
      <c r="IV551" s="276">
        <f>$H551*SUMIFS(axTER!$E$65:$E$105,axTER!$D$65:$D$105,IT551,axTER!$C$65:$C$105,IR551)/SUMIFS(axTER!$E$108:$E$114,axTER!$C$108:$C$114,IU551)/10^9*$D$514</f>
        <v>1.1991088475081246</v>
      </c>
      <c r="JI551" s="273">
        <f t="shared" si="1009"/>
        <v>0</v>
      </c>
      <c r="JJ551" s="273">
        <f>$H551*IF(JN551&lt;&gt;IT551,SUMIFS(axTER!$E$121:$E$128,axTER!$C$121:$C$128,IT551,axTER!$D$121:$D$128,JN551),SUMIFS(axTER!$E$133:$E$138,axTER!$C$133:$C$138,JN551)*JM$510)*$D$514/10^6</f>
        <v>949.29450427726533</v>
      </c>
      <c r="JK551" s="274">
        <f>$H551*IF(JO551&lt;&gt;IU551,SUMIFS(axTER!$E$142:$E$148,axTER!$C$142:$C$148,JO551),SUMIFS(axTER!$E$151:$E$157,axTER!$C$151:$C$157,JO551)*JM$510)/10^6*$D$514</f>
        <v>149.51388442366931</v>
      </c>
      <c r="JL551" s="275" t="s">
        <v>269</v>
      </c>
      <c r="JM551" s="161" t="s">
        <v>265</v>
      </c>
      <c r="JN551" s="161" t="s">
        <v>255</v>
      </c>
      <c r="JO551" s="284" t="s">
        <v>256</v>
      </c>
      <c r="JP551" s="276">
        <f>$H551*SUMIFS(axTER!$E$65:$E$105,axTER!$D$65:$D$105,JN551,axTER!$C$65:$C$105,JL551)/SUMIFS(axTER!$E$108:$E$114,axTER!$C$108:$C$114,JO551)/10^9*$D$514</f>
        <v>1.1991088475081246</v>
      </c>
      <c r="JR551" s="269">
        <v>1200</v>
      </c>
      <c r="JS551" s="66" t="s">
        <v>269</v>
      </c>
      <c r="JT551" s="66" t="s">
        <v>265</v>
      </c>
      <c r="JU551" s="66" t="s">
        <v>255</v>
      </c>
      <c r="JV551" s="283" t="s">
        <v>256</v>
      </c>
      <c r="JW551" s="272">
        <f>$H551*SUMIFS(axTER!$E$65:$E$105,axTER!$C$65:$C$105,JS551,axTER!$D$65:$D$105,JU551)/SUMIFS(axTER!$E$108:$E$114,axTER!$C$108:$C$114,JV551)/10^9*$D$514</f>
        <v>1.1991088475081246</v>
      </c>
      <c r="JY551" s="273">
        <f t="shared" si="1010"/>
        <v>0</v>
      </c>
      <c r="JZ551" s="273">
        <f t="shared" si="1005"/>
        <v>0</v>
      </c>
      <c r="KA551" s="273">
        <f>$H551*IF(KE551&lt;&gt;JU551,SUMIFS(axTER!$E$121:$E$128,axTER!$C$121:$C$128,JU551,axTER!$D$121:$D$128,KE551),SUMIFS(axTER!$E$133:$E$138,axTER!$C$133:$C$138,KE551)*KD$510)*$D$514/10^6</f>
        <v>332.25307649704285</v>
      </c>
      <c r="KB551" s="274">
        <f>$H551*IF(KF551&lt;&gt;JV551,SUMIFS(axTER!$E$142:$E$148,axTER!$C$142:$C$148,KF551),SUMIFS(axTER!$E$151:$E$157,axTER!$C$151:$C$157,KF551)*KD$510)/10^6*$D$514</f>
        <v>52.329859548284254</v>
      </c>
      <c r="KC551" s="275" t="s">
        <v>269</v>
      </c>
      <c r="KD551" s="161" t="s">
        <v>265</v>
      </c>
      <c r="KE551" s="161" t="s">
        <v>255</v>
      </c>
      <c r="KF551" s="284" t="s">
        <v>256</v>
      </c>
      <c r="KG551" s="276">
        <f>$H551*SUMIFS(axTER!$E$65:$E$105,axTER!$D$65:$D$105,KE551,axTER!$C$65:$C$105,KC551)/SUMIFS(axTER!$E$108:$E$114,axTER!$C$108:$C$114,KF551)/10^9*$D$514</f>
        <v>1.1991088475081246</v>
      </c>
      <c r="KS551" s="273" t="str">
        <f t="shared" si="1011"/>
        <v>ELEC-PAC</v>
      </c>
      <c r="KT551" s="273">
        <f t="shared" si="1012"/>
        <v>1200</v>
      </c>
      <c r="KU551" s="273">
        <f>$H551*IF(KY551&lt;&gt;KE551,SUMIFS(axTER!$E$121:$E$128,axTER!$C$121:$C$128,KE551,axTER!$D$121:$D$128,KY551),SUMIFS(axTER!$E$133:$E$138,axTER!$C$133:$C$138,KY551)*KX$510)*$D$514/10^6</f>
        <v>2373.2362606931633</v>
      </c>
      <c r="KV551" s="274">
        <f>$H551*IF(KZ551&lt;&gt;KF551,SUMIFS(axTER!$E$142:$E$148,axTER!$C$142:$C$148,KZ551),SUMIFS(axTER!$E$151:$E$157,axTER!$C$151:$C$157,KZ551)*KX$510)/10^6*$D$514</f>
        <v>949.29450427726533</v>
      </c>
      <c r="KW551" s="275" t="s">
        <v>269</v>
      </c>
      <c r="KX551" s="161" t="s">
        <v>265</v>
      </c>
      <c r="KY551" s="161" t="s">
        <v>264</v>
      </c>
      <c r="KZ551" s="284" t="s">
        <v>261</v>
      </c>
      <c r="LA551" s="276">
        <f>$H551*SUMIFS(axTER!$E$65:$E$105,axTER!$D$65:$D$105,KY551,axTER!$C$65:$C$105,KW551)/SUMIFS(axTER!$E$108:$E$114,axTER!$C$108:$C$114,KZ551)/10^9*$D$514</f>
        <v>0.23732362606931634</v>
      </c>
      <c r="LC551" s="269">
        <v>1200</v>
      </c>
      <c r="LD551" s="66" t="s">
        <v>269</v>
      </c>
      <c r="LE551" s="66" t="s">
        <v>265</v>
      </c>
      <c r="LF551" s="66" t="s">
        <v>255</v>
      </c>
      <c r="LG551" s="283" t="s">
        <v>256</v>
      </c>
      <c r="LH551" s="272">
        <f>$H551*SUMIFS(axTER!$E$65:$E$105,axTER!$C$65:$C$105,LD551,axTER!$D$65:$D$105,LF551)/SUMIFS(axTER!$E$108:$E$114,axTER!$C$108:$C$114,LG551)/10^9*$D$514</f>
        <v>1.1991088475081246</v>
      </c>
      <c r="LJ551" s="273">
        <f t="shared" si="1013"/>
        <v>0</v>
      </c>
      <c r="LK551" s="273">
        <f t="shared" si="1017"/>
        <v>0</v>
      </c>
      <c r="LL551" s="273">
        <f>$H551*IF(LP551&lt;&gt;LF551,SUMIFS(axTER!$E$121:$E$128,axTER!$C$121:$C$128,LF551,axTER!$D$121:$D$128,LP551),SUMIFS(axTER!$E$133:$E$138,axTER!$C$133:$C$138,LP551)*LO$510)*$D$514/10^6</f>
        <v>332.25307649704285</v>
      </c>
      <c r="LM551" s="274">
        <f>$H551*IF(LQ551&lt;&gt;LG551,SUMIFS(axTER!$E$142:$E$148,axTER!$C$142:$C$148,LQ551),SUMIFS(axTER!$E$151:$E$157,axTER!$C$151:$C$157,LQ551)*LO$510)/10^6*$D$514</f>
        <v>52.329859548284254</v>
      </c>
      <c r="LN551" s="275" t="s">
        <v>269</v>
      </c>
      <c r="LO551" s="161" t="s">
        <v>265</v>
      </c>
      <c r="LP551" s="161" t="s">
        <v>255</v>
      </c>
      <c r="LQ551" s="161" t="s">
        <v>256</v>
      </c>
      <c r="LR551" s="276">
        <f>$H551*SUMIFS(axTER!$E$65:$E$105,axTER!$D$65:$D$105,LP551,axTER!$C$65:$C$105,LN551)/SUMIFS(axTER!$E$108:$E$114,axTER!$C$108:$C$114,LQ551)/10^9*$D$514</f>
        <v>1.1991088475081246</v>
      </c>
      <c r="LT551" s="273">
        <f t="shared" si="1014"/>
        <v>0</v>
      </c>
      <c r="LU551" s="273">
        <f t="shared" si="1015"/>
        <v>0</v>
      </c>
      <c r="LV551" s="273">
        <f>$H551*IF(LZ551&lt;&gt;LP551,SUMIFS(axTER!$E$121:$E$128,axTER!$C$121:$C$128,LP551,axTER!$D$121:$D$128,LZ551),SUMIFS(axTER!$E$133:$E$138,axTER!$C$133:$C$138,LZ551)*LY$510)*$D$514/10^6</f>
        <v>474.64725213863267</v>
      </c>
      <c r="LW551" s="274">
        <f>$H551*IF(MA551&lt;&gt;LQ551,SUMIFS(axTER!$E$142:$E$148,axTER!$C$142:$C$148,MA551),SUMIFS(axTER!$E$151:$E$157,axTER!$C$151:$C$157,MA551)*LY$510)/10^6*$D$514</f>
        <v>74.756942211834655</v>
      </c>
      <c r="LX551" s="275" t="s">
        <v>269</v>
      </c>
      <c r="LY551" s="161" t="s">
        <v>265</v>
      </c>
      <c r="LZ551" s="161" t="s">
        <v>255</v>
      </c>
      <c r="MA551" s="161" t="s">
        <v>256</v>
      </c>
      <c r="MB551" s="276">
        <f>$H551*SUMIFS(axTER!$E$65:$E$105,axTER!$D$65:$D$105,LZ551,axTER!$C$65:$C$105,LX551)/SUMIFS(axTER!$E$108:$E$114,axTER!$C$108:$C$114,MA551)/10^9*$D$514</f>
        <v>1.1991088475081246</v>
      </c>
      <c r="MD551" s="273">
        <f t="shared" si="1018"/>
        <v>0</v>
      </c>
      <c r="ME551" s="273">
        <f t="shared" si="1016"/>
        <v>1200</v>
      </c>
      <c r="MF551" s="273">
        <f>$H551*IF(MJ551&lt;&gt;LZ551,SUMIFS(axTER!$E$121:$E$128,axTER!$C$121:$C$128,LZ551,axTER!$D$121:$D$128,MJ551),SUMIFS(axTER!$E$133:$E$138,axTER!$C$133:$C$138,MJ551)*MI$510)*$D$514/10^6</f>
        <v>2373.2362606931633</v>
      </c>
      <c r="MG551" s="274">
        <f>$H551*IF(MK551&lt;&gt;MA551,SUMIFS(axTER!$E$142:$E$148,axTER!$C$142:$C$148,MK551),SUMIFS(axTER!$E$151:$E$157,axTER!$C$151:$C$157,MK551)*MI$510)/10^6*$D$514</f>
        <v>74.756942211834655</v>
      </c>
      <c r="MH551" s="275" t="s">
        <v>269</v>
      </c>
      <c r="MI551" s="161" t="s">
        <v>265</v>
      </c>
      <c r="MJ551" s="429" t="s">
        <v>264</v>
      </c>
      <c r="MK551" s="429" t="s">
        <v>256</v>
      </c>
      <c r="ML551" s="276">
        <f>$H551*SUMIFS(axTER!$E$65:$E$105,axTER!$D$65:$D$105,MJ551,axTER!$C$65:$C$105,MH551)/SUMIFS(axTER!$E$108:$E$114,axTER!$C$108:$C$114,MK551)/10^9*$D$514</f>
        <v>0.74944302969257792</v>
      </c>
    </row>
    <row r="552" spans="3:350" outlineLevel="1" x14ac:dyDescent="0.3">
      <c r="C552" s="265"/>
      <c r="D552" s="286"/>
      <c r="E552" s="286"/>
      <c r="F552" s="287"/>
      <c r="H552" s="269">
        <v>1200</v>
      </c>
      <c r="I552" s="66" t="s">
        <v>269</v>
      </c>
      <c r="J552" s="66" t="s">
        <v>265</v>
      </c>
      <c r="K552" s="66" t="s">
        <v>255</v>
      </c>
      <c r="L552" s="283" t="s">
        <v>256</v>
      </c>
      <c r="M552" s="272">
        <f>$H552*SUMIFS(axTER!$E$65:$E$105,axTER!$C$65:$C$105,I552,axTER!$D$65:$D$105,K552)/SUMIFS(axTER!$E$108:$E$114,axTER!$C$108:$C$114,L552)/10^9*$D$514</f>
        <v>1.1991088475081246</v>
      </c>
      <c r="S552" s="269">
        <v>1200</v>
      </c>
      <c r="T552" s="66" t="s">
        <v>269</v>
      </c>
      <c r="U552" s="66" t="s">
        <v>265</v>
      </c>
      <c r="V552" s="66" t="s">
        <v>255</v>
      </c>
      <c r="W552" s="283" t="s">
        <v>256</v>
      </c>
      <c r="X552" s="272">
        <f>$H552*SUMIFS(axTER!$E$65:$E$105,axTER!$C$65:$C$105,T552,axTER!$D$65:$D$105,V552)/SUMIFS(axTER!$E$108:$E$114,axTER!$C$108:$C$114,W552)/10^9*$D$514</f>
        <v>1.1991088475081246</v>
      </c>
      <c r="AB552" s="273">
        <f>$H552*IF(AF552&lt;&gt;K552,SUMIFS(axTER!$E$121:$E$128,axTER!$C$121:$C$128,K552,axTER!$D$121:$D$128,AF552),SUMIFS(axTER!$E$133:$E$138,axTER!$C$133:$C$138,AF552)*AE$510)*$D$514/10^6</f>
        <v>474.64725213863267</v>
      </c>
      <c r="AC552" s="274">
        <f>$H552*IF(AG552&lt;&gt;L552,SUMIFS(axTER!$E$142:$E$148,axTER!$C$142:$C$148,AG552),SUMIFS(axTER!$E$151:$E$157,axTER!$C$151:$C$157,AG552)*AE$510)/10^6*$D$514</f>
        <v>74.756942211834655</v>
      </c>
      <c r="AD552" s="275" t="s">
        <v>269</v>
      </c>
      <c r="AE552" s="161" t="s">
        <v>265</v>
      </c>
      <c r="AF552" s="161" t="s">
        <v>255</v>
      </c>
      <c r="AG552" s="284" t="s">
        <v>256</v>
      </c>
      <c r="AH552" s="276">
        <f>$H552*SUMIFS(axTER!$E$65:$E$105,axTER!$D$65:$D$105,AF552,axTER!$C$65:$C$105,AD552)/SUMIFS(axTER!$E$108:$E$114,axTER!$C$108:$C$114,AG552)/10^9*$D$514</f>
        <v>1.1991088475081246</v>
      </c>
      <c r="AV552" s="273">
        <f>$H552*IF(AZ552&lt;&gt;AF552,SUMIFS(axTER!$E$121:$E$128,axTER!$C$121:$C$128,AF552,axTER!$D$121:$D$128,AZ552),SUMIFS(axTER!$E$133:$E$138,axTER!$C$133:$C$138,AZ552)*AY$510)*$D$514/10^6</f>
        <v>949.29450427726533</v>
      </c>
      <c r="AW552" s="274">
        <f>$H552*IF(BA552&lt;&gt;AG552,SUMIFS(axTER!$E$142:$E$148,axTER!$C$142:$C$148,BA552),SUMIFS(axTER!$E$151:$E$157,axTER!$C$151:$C$157,BA552)*AY$510)/10^6*$D$514</f>
        <v>149.51388442366931</v>
      </c>
      <c r="AX552" s="275" t="s">
        <v>269</v>
      </c>
      <c r="AY552" s="161" t="s">
        <v>265</v>
      </c>
      <c r="AZ552" s="161" t="s">
        <v>255</v>
      </c>
      <c r="BA552" s="284" t="s">
        <v>256</v>
      </c>
      <c r="BB552" s="276">
        <f>$H552*SUMIFS(axTER!$E$65:$E$105,axTER!$D$65:$D$105,AZ552,axTER!$C$65:$C$105,AX552)/SUMIFS(axTER!$E$108:$E$114,axTER!$C$108:$C$114,BA552)/10^9*$D$514</f>
        <v>1.1991088475081246</v>
      </c>
      <c r="IG552" s="269">
        <v>1200</v>
      </c>
      <c r="IH552" s="66" t="s">
        <v>269</v>
      </c>
      <c r="II552" s="66" t="s">
        <v>265</v>
      </c>
      <c r="IJ552" s="66" t="s">
        <v>255</v>
      </c>
      <c r="IK552" s="283" t="s">
        <v>256</v>
      </c>
      <c r="IL552" s="272">
        <f>$H552*SUMIFS(axTER!$E$65:$E$105,axTER!$C$65:$C$105,IH552,axTER!$D$65:$D$105,IJ552)/SUMIFS(axTER!$E$108:$E$114,axTER!$C$108:$C$114,IK552)/10^9*$D$514</f>
        <v>1.1991088475081246</v>
      </c>
      <c r="IO552" s="273">
        <f t="shared" si="1008"/>
        <v>0</v>
      </c>
      <c r="IP552" s="273">
        <f>$H552*IF(IT552&lt;&gt;IJ552,SUMIFS(axTER!$E$121:$E$128,axTER!$C$121:$C$128,IJ552,axTER!$D$121:$D$128,IT552),SUMIFS(axTER!$E$133:$E$138,axTER!$C$133:$C$138,IT552)*IS$510)*$D$514/10^6</f>
        <v>474.64725213863267</v>
      </c>
      <c r="IQ552" s="274">
        <f>$H552*IF(IU552&lt;&gt;IK552,SUMIFS(axTER!$E$142:$E$148,axTER!$C$142:$C$148,IU552),SUMIFS(axTER!$E$151:$E$157,axTER!$C$151:$C$157,IU552)*IS$510)/10^6*$D$514</f>
        <v>74.756942211834655</v>
      </c>
      <c r="IR552" s="275" t="s">
        <v>269</v>
      </c>
      <c r="IS552" s="161" t="s">
        <v>265</v>
      </c>
      <c r="IT552" s="161" t="s">
        <v>255</v>
      </c>
      <c r="IU552" s="284" t="s">
        <v>256</v>
      </c>
      <c r="IV552" s="276">
        <f>$H552*SUMIFS(axTER!$E$65:$E$105,axTER!$D$65:$D$105,IT552,axTER!$C$65:$C$105,IR552)/SUMIFS(axTER!$E$108:$E$114,axTER!$C$108:$C$114,IU552)/10^9*$D$514</f>
        <v>1.1991088475081246</v>
      </c>
      <c r="JI552" s="273">
        <f t="shared" si="1009"/>
        <v>0</v>
      </c>
      <c r="JJ552" s="273">
        <f>$H552*IF(JN552&lt;&gt;IT552,SUMIFS(axTER!$E$121:$E$128,axTER!$C$121:$C$128,IT552,axTER!$D$121:$D$128,JN552),SUMIFS(axTER!$E$133:$E$138,axTER!$C$133:$C$138,JN552)*JM$510)*$D$514/10^6</f>
        <v>949.29450427726533</v>
      </c>
      <c r="JK552" s="274">
        <f>$H552*IF(JO552&lt;&gt;IU552,SUMIFS(axTER!$E$142:$E$148,axTER!$C$142:$C$148,JO552),SUMIFS(axTER!$E$151:$E$157,axTER!$C$151:$C$157,JO552)*JM$510)/10^6*$D$514</f>
        <v>149.51388442366931</v>
      </c>
      <c r="JL552" s="275" t="s">
        <v>269</v>
      </c>
      <c r="JM552" s="161" t="s">
        <v>265</v>
      </c>
      <c r="JN552" s="161" t="s">
        <v>255</v>
      </c>
      <c r="JO552" s="284" t="s">
        <v>256</v>
      </c>
      <c r="JP552" s="276">
        <f>$H552*SUMIFS(axTER!$E$65:$E$105,axTER!$D$65:$D$105,JN552,axTER!$C$65:$C$105,JL552)/SUMIFS(axTER!$E$108:$E$114,axTER!$C$108:$C$114,JO552)/10^9*$D$514</f>
        <v>1.1991088475081246</v>
      </c>
      <c r="JR552" s="269">
        <v>1200</v>
      </c>
      <c r="JS552" s="66" t="s">
        <v>269</v>
      </c>
      <c r="JT552" s="66" t="s">
        <v>265</v>
      </c>
      <c r="JU552" s="66" t="s">
        <v>255</v>
      </c>
      <c r="JV552" s="283" t="s">
        <v>256</v>
      </c>
      <c r="JW552" s="272">
        <f>$H552*SUMIFS(axTER!$E$65:$E$105,axTER!$C$65:$C$105,JS552,axTER!$D$65:$D$105,JU552)/SUMIFS(axTER!$E$108:$E$114,axTER!$C$108:$C$114,JV552)/10^9*$D$514</f>
        <v>1.1991088475081246</v>
      </c>
      <c r="JY552" s="273">
        <f t="shared" si="1010"/>
        <v>0</v>
      </c>
      <c r="JZ552" s="273">
        <f t="shared" si="1005"/>
        <v>0</v>
      </c>
      <c r="KA552" s="273">
        <f>$H552*IF(KE552&lt;&gt;JU552,SUMIFS(axTER!$E$121:$E$128,axTER!$C$121:$C$128,JU552,axTER!$D$121:$D$128,KE552),SUMIFS(axTER!$E$133:$E$138,axTER!$C$133:$C$138,KE552)*KD$510)*$D$514/10^6</f>
        <v>332.25307649704285</v>
      </c>
      <c r="KB552" s="274">
        <f>$H552*IF(KF552&lt;&gt;JV552,SUMIFS(axTER!$E$142:$E$148,axTER!$C$142:$C$148,KF552),SUMIFS(axTER!$E$151:$E$157,axTER!$C$151:$C$157,KF552)*KD$510)/10^6*$D$514</f>
        <v>52.329859548284254</v>
      </c>
      <c r="KC552" s="275" t="s">
        <v>269</v>
      </c>
      <c r="KD552" s="161" t="s">
        <v>265</v>
      </c>
      <c r="KE552" s="161" t="s">
        <v>255</v>
      </c>
      <c r="KF552" s="284" t="s">
        <v>256</v>
      </c>
      <c r="KG552" s="276">
        <f>$H552*SUMIFS(axTER!$E$65:$E$105,axTER!$D$65:$D$105,KE552,axTER!$C$65:$C$105,KC552)/SUMIFS(axTER!$E$108:$E$114,axTER!$C$108:$C$114,KF552)/10^9*$D$514</f>
        <v>1.1991088475081246</v>
      </c>
      <c r="KS552" s="273" t="str">
        <f t="shared" si="1011"/>
        <v>ELEC-PAC</v>
      </c>
      <c r="KT552" s="273">
        <f t="shared" si="1012"/>
        <v>1200</v>
      </c>
      <c r="KU552" s="273">
        <f>$H552*IF(KY552&lt;&gt;KE552,SUMIFS(axTER!$E$121:$E$128,axTER!$C$121:$C$128,KE552,axTER!$D$121:$D$128,KY552),SUMIFS(axTER!$E$133:$E$138,axTER!$C$133:$C$138,KY552)*KX$510)*$D$514/10^6</f>
        <v>2373.2362606931633</v>
      </c>
      <c r="KV552" s="274">
        <f>$H552*IF(KZ552&lt;&gt;KF552,SUMIFS(axTER!$E$142:$E$148,axTER!$C$142:$C$148,KZ552),SUMIFS(axTER!$E$151:$E$157,axTER!$C$151:$C$157,KZ552)*KX$510)/10^6*$D$514</f>
        <v>949.29450427726533</v>
      </c>
      <c r="KW552" s="275" t="s">
        <v>269</v>
      </c>
      <c r="KX552" s="161" t="s">
        <v>265</v>
      </c>
      <c r="KY552" s="161" t="s">
        <v>264</v>
      </c>
      <c r="KZ552" s="284" t="s">
        <v>261</v>
      </c>
      <c r="LA552" s="276">
        <f>$H552*SUMIFS(axTER!$E$65:$E$105,axTER!$D$65:$D$105,KY552,axTER!$C$65:$C$105,KW552)/SUMIFS(axTER!$E$108:$E$114,axTER!$C$108:$C$114,KZ552)/10^9*$D$514</f>
        <v>0.23732362606931634</v>
      </c>
      <c r="LC552" s="269">
        <v>1200</v>
      </c>
      <c r="LD552" s="66" t="s">
        <v>269</v>
      </c>
      <c r="LE552" s="66" t="s">
        <v>265</v>
      </c>
      <c r="LF552" s="66" t="s">
        <v>255</v>
      </c>
      <c r="LG552" s="283" t="s">
        <v>256</v>
      </c>
      <c r="LH552" s="272">
        <f>$H552*SUMIFS(axTER!$E$65:$E$105,axTER!$C$65:$C$105,LD552,axTER!$D$65:$D$105,LF552)/SUMIFS(axTER!$E$108:$E$114,axTER!$C$108:$C$114,LG552)/10^9*$D$514</f>
        <v>1.1991088475081246</v>
      </c>
      <c r="LJ552" s="273">
        <f t="shared" si="1013"/>
        <v>0</v>
      </c>
      <c r="LK552" s="273">
        <f t="shared" si="1017"/>
        <v>0</v>
      </c>
      <c r="LL552" s="273">
        <f>$H552*IF(LP552&lt;&gt;LF552,SUMIFS(axTER!$E$121:$E$128,axTER!$C$121:$C$128,LF552,axTER!$D$121:$D$128,LP552),SUMIFS(axTER!$E$133:$E$138,axTER!$C$133:$C$138,LP552)*LO$510)*$D$514/10^6</f>
        <v>332.25307649704285</v>
      </c>
      <c r="LM552" s="274">
        <f>$H552*IF(LQ552&lt;&gt;LG552,SUMIFS(axTER!$E$142:$E$148,axTER!$C$142:$C$148,LQ552),SUMIFS(axTER!$E$151:$E$157,axTER!$C$151:$C$157,LQ552)*LO$510)/10^6*$D$514</f>
        <v>52.329859548284254</v>
      </c>
      <c r="LN552" s="275" t="s">
        <v>269</v>
      </c>
      <c r="LO552" s="161" t="s">
        <v>265</v>
      </c>
      <c r="LP552" s="161" t="s">
        <v>255</v>
      </c>
      <c r="LQ552" s="161" t="s">
        <v>256</v>
      </c>
      <c r="LR552" s="276">
        <f>$H552*SUMIFS(axTER!$E$65:$E$105,axTER!$D$65:$D$105,LP552,axTER!$C$65:$C$105,LN552)/SUMIFS(axTER!$E$108:$E$114,axTER!$C$108:$C$114,LQ552)/10^9*$D$514</f>
        <v>1.1991088475081246</v>
      </c>
      <c r="LT552" s="273">
        <f t="shared" si="1014"/>
        <v>0</v>
      </c>
      <c r="LU552" s="273">
        <f t="shared" si="1015"/>
        <v>0</v>
      </c>
      <c r="LV552" s="273">
        <f>$H552*IF(LZ552&lt;&gt;LP552,SUMIFS(axTER!$E$121:$E$128,axTER!$C$121:$C$128,LP552,axTER!$D$121:$D$128,LZ552),SUMIFS(axTER!$E$133:$E$138,axTER!$C$133:$C$138,LZ552)*LY$510)*$D$514/10^6</f>
        <v>474.64725213863267</v>
      </c>
      <c r="LW552" s="274">
        <f>$H552*IF(MA552&lt;&gt;LQ552,SUMIFS(axTER!$E$142:$E$148,axTER!$C$142:$C$148,MA552),SUMIFS(axTER!$E$151:$E$157,axTER!$C$151:$C$157,MA552)*LY$510)/10^6*$D$514</f>
        <v>74.756942211834655</v>
      </c>
      <c r="LX552" s="275" t="s">
        <v>269</v>
      </c>
      <c r="LY552" s="161" t="s">
        <v>265</v>
      </c>
      <c r="LZ552" s="161" t="s">
        <v>255</v>
      </c>
      <c r="MA552" s="161" t="s">
        <v>256</v>
      </c>
      <c r="MB552" s="276">
        <f>$H552*SUMIFS(axTER!$E$65:$E$105,axTER!$D$65:$D$105,LZ552,axTER!$C$65:$C$105,LX552)/SUMIFS(axTER!$E$108:$E$114,axTER!$C$108:$C$114,MA552)/10^9*$D$514</f>
        <v>1.1991088475081246</v>
      </c>
      <c r="MD552" s="273" t="str">
        <f t="shared" si="1018"/>
        <v>ELEC-PAC</v>
      </c>
      <c r="ME552" s="273">
        <f t="shared" si="1016"/>
        <v>0</v>
      </c>
      <c r="MF552" s="273">
        <f>$H552*IF(MJ552&lt;&gt;LZ552,SUMIFS(axTER!$E$121:$E$128,axTER!$C$121:$C$128,LZ552,axTER!$D$121:$D$128,MJ552),SUMIFS(axTER!$E$133:$E$138,axTER!$C$133:$C$138,MJ552)*MI$510)*$D$514/10^6</f>
        <v>474.64725213863267</v>
      </c>
      <c r="MG552" s="274">
        <f>$H552*IF(MK552&lt;&gt;MA552,SUMIFS(axTER!$E$142:$E$148,axTER!$C$142:$C$148,MK552),SUMIFS(axTER!$E$151:$E$157,axTER!$C$151:$C$157,MK552)*MI$510)/10^6*$D$514</f>
        <v>949.29450427726533</v>
      </c>
      <c r="MH552" s="275" t="s">
        <v>269</v>
      </c>
      <c r="MI552" s="161" t="s">
        <v>265</v>
      </c>
      <c r="MJ552" s="161" t="s">
        <v>255</v>
      </c>
      <c r="MK552" s="161" t="s">
        <v>261</v>
      </c>
      <c r="ML552" s="276">
        <f>$H552*SUMIFS(axTER!$E$65:$E$105,axTER!$D$65:$D$105,MJ552,axTER!$C$65:$C$105,MH552)/SUMIFS(axTER!$E$108:$E$114,axTER!$C$108:$C$114,MK552)/10^9*$D$514</f>
        <v>0.37971780171090608</v>
      </c>
    </row>
    <row r="553" spans="3:350" hidden="1" outlineLevel="1" x14ac:dyDescent="0.3">
      <c r="C553" s="265"/>
      <c r="D553" s="286"/>
      <c r="E553" s="286"/>
      <c r="F553" s="287"/>
      <c r="H553" s="269">
        <v>750</v>
      </c>
      <c r="I553" s="66" t="s">
        <v>269</v>
      </c>
      <c r="J553" s="66" t="s">
        <v>265</v>
      </c>
      <c r="K553" s="66" t="s">
        <v>255</v>
      </c>
      <c r="L553" s="283" t="s">
        <v>260</v>
      </c>
      <c r="M553" s="272">
        <f>$H553*SUMIFS(axTER!$E$65:$E$105,axTER!$C$65:$C$105,I553,axTER!$D$65:$D$105,K553)/SUMIFS(axTER!$E$108:$E$114,axTER!$C$108:$C$114,L553)/10^9*$D$514</f>
        <v>0.79107875356438784</v>
      </c>
      <c r="S553" s="269">
        <v>750</v>
      </c>
      <c r="T553" s="66" t="s">
        <v>269</v>
      </c>
      <c r="U553" s="66" t="s">
        <v>265</v>
      </c>
      <c r="V553" s="66" t="s">
        <v>255</v>
      </c>
      <c r="W553" s="283" t="s">
        <v>260</v>
      </c>
      <c r="X553" s="272">
        <f>$H553*SUMIFS(axTER!$E$65:$E$105,axTER!$C$65:$C$105,T553,axTER!$D$65:$D$105,V553)/SUMIFS(axTER!$E$108:$E$114,axTER!$C$108:$C$114,W553)/10^9*$D$514</f>
        <v>0.79107875356438784</v>
      </c>
      <c r="AB553" s="273">
        <f>$H553*IF(AF553&lt;&gt;K553,SUMIFS(axTER!$E$121:$E$128,axTER!$C$121:$C$128,K553,axTER!$D$121:$D$128,AF553),SUMIFS(axTER!$E$133:$E$138,axTER!$C$133:$C$138,AF553)*AE$510)*$D$514/10^6</f>
        <v>296.65453258664542</v>
      </c>
      <c r="AC553" s="274">
        <f>$H553*IF(AG553&lt;&gt;L553,SUMIFS(axTER!$E$142:$E$148,axTER!$C$142:$C$148,AG553),SUMIFS(axTER!$E$151:$E$157,axTER!$C$151:$C$157,AG553)*AE$510)/10^6*$D$514</f>
        <v>25.957271601331477</v>
      </c>
      <c r="AD553" s="275" t="s">
        <v>269</v>
      </c>
      <c r="AE553" s="161" t="s">
        <v>265</v>
      </c>
      <c r="AF553" s="161" t="s">
        <v>255</v>
      </c>
      <c r="AG553" s="284" t="s">
        <v>260</v>
      </c>
      <c r="AH553" s="276">
        <f>$H553*SUMIFS(axTER!$E$65:$E$105,axTER!$D$65:$D$105,AF553,axTER!$C$65:$C$105,AD553)/SUMIFS(axTER!$E$108:$E$114,axTER!$C$108:$C$114,AG553)/10^9*$D$514</f>
        <v>0.79107875356438784</v>
      </c>
      <c r="AV553" s="273">
        <f>$H553*IF(AZ553&lt;&gt;AF553,SUMIFS(axTER!$E$121:$E$128,axTER!$C$121:$C$128,AF553,axTER!$D$121:$D$128,AZ553),SUMIFS(axTER!$E$133:$E$138,axTER!$C$133:$C$138,AZ553)*AY$510)*$D$514/10^6</f>
        <v>593.30906517329083</v>
      </c>
      <c r="AW553" s="274">
        <f>$H553*IF(BA553&lt;&gt;AG553,SUMIFS(axTER!$E$142:$E$148,axTER!$C$142:$C$148,BA553),SUMIFS(axTER!$E$151:$E$157,axTER!$C$151:$C$157,BA553)*AY$510)/10^6*$D$514</f>
        <v>593.30906517329083</v>
      </c>
      <c r="AX553" s="275" t="s">
        <v>269</v>
      </c>
      <c r="AY553" s="161" t="s">
        <v>265</v>
      </c>
      <c r="AZ553" s="161" t="s">
        <v>255</v>
      </c>
      <c r="BA553" s="284" t="s">
        <v>261</v>
      </c>
      <c r="BB553" s="276">
        <f>$H553*SUMIFS(axTER!$E$65:$E$105,axTER!$D$65:$D$105,AZ553,axTER!$C$65:$C$105,AX553)/SUMIFS(axTER!$E$108:$E$114,axTER!$C$108:$C$114,BA553)/10^9*$D$514</f>
        <v>0.23732362606931634</v>
      </c>
      <c r="IG553" s="269">
        <v>750</v>
      </c>
      <c r="IH553" s="66" t="s">
        <v>269</v>
      </c>
      <c r="II553" s="66" t="s">
        <v>265</v>
      </c>
      <c r="IJ553" s="66" t="s">
        <v>255</v>
      </c>
      <c r="IK553" s="283" t="s">
        <v>260</v>
      </c>
      <c r="IL553" s="272">
        <f>$H553*SUMIFS(axTER!$E$65:$E$105,axTER!$C$65:$C$105,IH553,axTER!$D$65:$D$105,IJ553)/SUMIFS(axTER!$E$108:$E$114,axTER!$C$108:$C$114,IK553)/10^9*$D$514</f>
        <v>0.79107875356438784</v>
      </c>
      <c r="IO553" s="273">
        <f t="shared" si="1008"/>
        <v>0</v>
      </c>
      <c r="IP553" s="273">
        <f>$H553*IF(IT553&lt;&gt;IJ553,SUMIFS(axTER!$E$121:$E$128,axTER!$C$121:$C$128,IJ553,axTER!$D$121:$D$128,IT553),SUMIFS(axTER!$E$133:$E$138,axTER!$C$133:$C$138,IT553)*IS$510)*$D$514/10^6</f>
        <v>296.65453258664542</v>
      </c>
      <c r="IQ553" s="274">
        <f>$H553*IF(IU553&lt;&gt;IK553,SUMIFS(axTER!$E$142:$E$148,axTER!$C$142:$C$148,IU553),SUMIFS(axTER!$E$151:$E$157,axTER!$C$151:$C$157,IU553)*IS$510)/10^6*$D$514</f>
        <v>25.957271601331477</v>
      </c>
      <c r="IR553" s="275" t="s">
        <v>269</v>
      </c>
      <c r="IS553" s="161" t="s">
        <v>265</v>
      </c>
      <c r="IT553" s="161" t="s">
        <v>255</v>
      </c>
      <c r="IU553" s="284" t="s">
        <v>260</v>
      </c>
      <c r="IV553" s="276">
        <f>$H553*SUMIFS(axTER!$E$65:$E$105,axTER!$D$65:$D$105,IT553,axTER!$C$65:$C$105,IR553)/SUMIFS(axTER!$E$108:$E$114,axTER!$C$108:$C$114,IU553)/10^9*$D$514</f>
        <v>0.79107875356438784</v>
      </c>
      <c r="JI553" s="273">
        <f t="shared" si="1009"/>
        <v>0</v>
      </c>
      <c r="JJ553" s="273">
        <f>$H553*IF(JN553&lt;&gt;IT553,SUMIFS(axTER!$E$121:$E$128,axTER!$C$121:$C$128,IT553,axTER!$D$121:$D$128,JN553),SUMIFS(axTER!$E$133:$E$138,axTER!$C$133:$C$138,JN553)*JM$510)*$D$514/10^6</f>
        <v>593.30906517329083</v>
      </c>
      <c r="JK553" s="274">
        <f>$H553*IF(JO553&lt;&gt;IU553,SUMIFS(axTER!$E$142:$E$148,axTER!$C$142:$C$148,JO553),SUMIFS(axTER!$E$151:$E$157,axTER!$C$151:$C$157,JO553)*JM$510)/10^6*$D$514</f>
        <v>51.914543202662955</v>
      </c>
      <c r="JL553" s="275" t="s">
        <v>269</v>
      </c>
      <c r="JM553" s="161" t="s">
        <v>265</v>
      </c>
      <c r="JN553" s="161" t="s">
        <v>255</v>
      </c>
      <c r="JO553" s="284" t="s">
        <v>260</v>
      </c>
      <c r="JP553" s="276">
        <f>$H553*SUMIFS(axTER!$E$65:$E$105,axTER!$D$65:$D$105,JN553,axTER!$C$65:$C$105,JL553)/SUMIFS(axTER!$E$108:$E$114,axTER!$C$108:$C$114,JO553)/10^9*$D$514</f>
        <v>0.79107875356438784</v>
      </c>
      <c r="JR553" s="269">
        <v>750</v>
      </c>
      <c r="JS553" s="66" t="s">
        <v>269</v>
      </c>
      <c r="JT553" s="66" t="s">
        <v>265</v>
      </c>
      <c r="JU553" s="66" t="s">
        <v>255</v>
      </c>
      <c r="JV553" s="283" t="s">
        <v>260</v>
      </c>
      <c r="JW553" s="272">
        <f>$H553*SUMIFS(axTER!$E$65:$E$105,axTER!$C$65:$C$105,JS553,axTER!$D$65:$D$105,JU553)/SUMIFS(axTER!$E$108:$E$114,axTER!$C$108:$C$114,JV553)/10^9*$D$514</f>
        <v>0.79107875356438784</v>
      </c>
      <c r="JY553" s="273">
        <f t="shared" si="1010"/>
        <v>0</v>
      </c>
      <c r="JZ553" s="273">
        <f t="shared" si="1005"/>
        <v>0</v>
      </c>
      <c r="KA553" s="273">
        <f>$H553*IF(KE553&lt;&gt;JU553,SUMIFS(axTER!$E$121:$E$128,axTER!$C$121:$C$128,JU553,axTER!$D$121:$D$128,KE553),SUMIFS(axTER!$E$133:$E$138,axTER!$C$133:$C$138,KE553)*KD$510)*$D$514/10^6</f>
        <v>207.65817281065179</v>
      </c>
      <c r="KB553" s="274">
        <f>$H553*IF(KF553&lt;&gt;JV553,SUMIFS(axTER!$E$142:$E$148,axTER!$C$142:$C$148,KF553),SUMIFS(axTER!$E$151:$E$157,axTER!$C$151:$C$157,KF553)*KD$510)/10^6*$D$514</f>
        <v>18.170090120932031</v>
      </c>
      <c r="KC553" s="275" t="s">
        <v>269</v>
      </c>
      <c r="KD553" s="161" t="s">
        <v>265</v>
      </c>
      <c r="KE553" s="161" t="s">
        <v>255</v>
      </c>
      <c r="KF553" s="161" t="s">
        <v>260</v>
      </c>
      <c r="KG553" s="276">
        <f>$H553*SUMIFS(axTER!$E$65:$E$105,axTER!$D$65:$D$105,KE553,axTER!$C$65:$C$105,KC553)/SUMIFS(axTER!$E$108:$E$114,axTER!$C$108:$C$114,KF553)/10^9*$D$514</f>
        <v>0.79107875356438784</v>
      </c>
      <c r="KS553" s="273">
        <f t="shared" si="1011"/>
        <v>0</v>
      </c>
      <c r="KT553" s="273">
        <f t="shared" si="1012"/>
        <v>0</v>
      </c>
      <c r="KU553" s="273">
        <f>$H553*IF(KY553&lt;&gt;KE553,SUMIFS(axTER!$E$121:$E$128,axTER!$C$121:$C$128,KE553,axTER!$D$121:$D$128,KY553),SUMIFS(axTER!$E$133:$E$138,axTER!$C$133:$C$138,KY553)*KX$510)*$D$514/10^6</f>
        <v>593.30906517329083</v>
      </c>
      <c r="KV553" s="274">
        <f>$H553*IF(KZ553&lt;&gt;KF553,SUMIFS(axTER!$E$142:$E$148,axTER!$C$142:$C$148,KZ553),SUMIFS(axTER!$E$151:$E$157,axTER!$C$151:$C$157,KZ553)*KX$510)/10^6*$D$514</f>
        <v>51.914543202662955</v>
      </c>
      <c r="KW553" s="275" t="s">
        <v>269</v>
      </c>
      <c r="KX553" s="161" t="s">
        <v>265</v>
      </c>
      <c r="KY553" s="161" t="s">
        <v>255</v>
      </c>
      <c r="KZ553" s="161" t="s">
        <v>260</v>
      </c>
      <c r="LA553" s="276">
        <f>$H553*SUMIFS(axTER!$E$65:$E$105,axTER!$D$65:$D$105,KY553,axTER!$C$65:$C$105,KW553)/SUMIFS(axTER!$E$108:$E$114,axTER!$C$108:$C$114,KZ553)/10^9*$D$514</f>
        <v>0.79107875356438784</v>
      </c>
      <c r="LC553" s="269">
        <v>750</v>
      </c>
      <c r="LD553" s="66" t="s">
        <v>269</v>
      </c>
      <c r="LE553" s="66" t="s">
        <v>265</v>
      </c>
      <c r="LF553" s="66" t="s">
        <v>255</v>
      </c>
      <c r="LG553" s="283" t="s">
        <v>260</v>
      </c>
      <c r="LH553" s="272">
        <f>$H553*SUMIFS(axTER!$E$65:$E$105,axTER!$C$65:$C$105,LD553,axTER!$D$65:$D$105,LF553)/SUMIFS(axTER!$E$108:$E$114,axTER!$C$108:$C$114,LG553)/10^9*$D$514</f>
        <v>0.79107875356438784</v>
      </c>
      <c r="LJ553" s="273">
        <f t="shared" si="1013"/>
        <v>0</v>
      </c>
      <c r="LK553" s="273">
        <f t="shared" si="1017"/>
        <v>0</v>
      </c>
      <c r="LL553" s="273">
        <f>$H553*IF(LP553&lt;&gt;LF553,SUMIFS(axTER!$E$121:$E$128,axTER!$C$121:$C$128,LF553,axTER!$D$121:$D$128,LP553),SUMIFS(axTER!$E$133:$E$138,axTER!$C$133:$C$138,LP553)*LO$510)*$D$514/10^6</f>
        <v>207.65817281065179</v>
      </c>
      <c r="LM553" s="274">
        <f>$H553*IF(LQ553&lt;&gt;LG553,SUMIFS(axTER!$E$142:$E$148,axTER!$C$142:$C$148,LQ553),SUMIFS(axTER!$E$151:$E$157,axTER!$C$151:$C$157,LQ553)*LO$510)/10^6*$D$514</f>
        <v>18.170090120932031</v>
      </c>
      <c r="LN553" s="275" t="s">
        <v>269</v>
      </c>
      <c r="LO553" s="161" t="s">
        <v>265</v>
      </c>
      <c r="LP553" s="161" t="s">
        <v>255</v>
      </c>
      <c r="LQ553" s="161" t="s">
        <v>260</v>
      </c>
      <c r="LR553" s="276">
        <f>$H553*SUMIFS(axTER!$E$65:$E$105,axTER!$D$65:$D$105,LP553,axTER!$C$65:$C$105,LN553)/SUMIFS(axTER!$E$108:$E$114,axTER!$C$108:$C$114,LQ553)/10^9*$D$514</f>
        <v>0.79107875356438784</v>
      </c>
      <c r="LT553" s="273">
        <f t="shared" si="1014"/>
        <v>0</v>
      </c>
      <c r="LU553" s="273">
        <f t="shared" si="1015"/>
        <v>0</v>
      </c>
      <c r="LV553" s="273">
        <f>$H553*IF(LZ553&lt;&gt;LP553,SUMIFS(axTER!$E$121:$E$128,axTER!$C$121:$C$128,LP553,axTER!$D$121:$D$128,LZ553),SUMIFS(axTER!$E$133:$E$138,axTER!$C$133:$C$138,LZ553)*LY$510)*$D$514/10^6</f>
        <v>296.65453258664542</v>
      </c>
      <c r="LW553" s="274">
        <f>$H553*IF(MA553&lt;&gt;LQ553,SUMIFS(axTER!$E$142:$E$148,axTER!$C$142:$C$148,MA553),SUMIFS(axTER!$E$151:$E$157,axTER!$C$151:$C$157,MA553)*LY$510)/10^6*$D$514</f>
        <v>25.957271601331477</v>
      </c>
      <c r="LX553" s="275" t="s">
        <v>269</v>
      </c>
      <c r="LY553" s="161" t="s">
        <v>265</v>
      </c>
      <c r="LZ553" s="161" t="s">
        <v>255</v>
      </c>
      <c r="MA553" s="161" t="s">
        <v>260</v>
      </c>
      <c r="MB553" s="276">
        <f>$H553*SUMIFS(axTER!$E$65:$E$105,axTER!$D$65:$D$105,LZ553,axTER!$C$65:$C$105,LX553)/SUMIFS(axTER!$E$108:$E$114,axTER!$C$108:$C$114,MA553)/10^9*$D$514</f>
        <v>0.79107875356438784</v>
      </c>
      <c r="MD553" s="273">
        <f t="shared" si="1018"/>
        <v>0</v>
      </c>
      <c r="ME553" s="273">
        <f t="shared" si="1016"/>
        <v>0</v>
      </c>
      <c r="MF553" s="273">
        <f>$H553*IF(MJ553&lt;&gt;LZ553,SUMIFS(axTER!$E$121:$E$128,axTER!$C$121:$C$128,LZ553,axTER!$D$121:$D$128,MJ553),SUMIFS(axTER!$E$133:$E$138,axTER!$C$133:$C$138,MJ553)*MI$510)*$D$514/10^6</f>
        <v>296.65453258664542</v>
      </c>
      <c r="MG553" s="274">
        <f>$H553*IF(MK553&lt;&gt;MA553,SUMIFS(axTER!$E$142:$E$148,axTER!$C$142:$C$148,MK553),SUMIFS(axTER!$E$151:$E$157,axTER!$C$151:$C$157,MK553)*MI$510)/10^6*$D$514</f>
        <v>25.957271601331477</v>
      </c>
      <c r="MH553" s="275" t="s">
        <v>269</v>
      </c>
      <c r="MI553" s="161" t="s">
        <v>265</v>
      </c>
      <c r="MJ553" s="161" t="s">
        <v>255</v>
      </c>
      <c r="MK553" s="161" t="s">
        <v>260</v>
      </c>
      <c r="ML553" s="276">
        <f>$H553*SUMIFS(axTER!$E$65:$E$105,axTER!$D$65:$D$105,MJ553,axTER!$C$65:$C$105,MH553)/SUMIFS(axTER!$E$108:$E$114,axTER!$C$108:$C$114,MK553)/10^9*$D$514</f>
        <v>0.79107875356438784</v>
      </c>
    </row>
    <row r="554" spans="3:350" outlineLevel="1" x14ac:dyDescent="0.3">
      <c r="C554" s="265"/>
      <c r="D554" s="69"/>
      <c r="F554" s="288"/>
      <c r="H554" s="269">
        <v>750</v>
      </c>
      <c r="I554" s="66" t="s">
        <v>269</v>
      </c>
      <c r="J554" s="66" t="s">
        <v>265</v>
      </c>
      <c r="K554" s="66" t="s">
        <v>255</v>
      </c>
      <c r="L554" s="283" t="s">
        <v>260</v>
      </c>
      <c r="M554" s="272">
        <f>$H554*SUMIFS(axTER!$E$65:$E$105,axTER!$C$65:$C$105,I554,axTER!$D$65:$D$105,K554)/SUMIFS(axTER!$E$108:$E$114,axTER!$C$108:$C$114,L554)/10^9*$D$514</f>
        <v>0.79107875356438784</v>
      </c>
      <c r="S554" s="269">
        <v>750</v>
      </c>
      <c r="T554" s="66" t="s">
        <v>269</v>
      </c>
      <c r="U554" s="66" t="s">
        <v>265</v>
      </c>
      <c r="V554" s="66" t="s">
        <v>255</v>
      </c>
      <c r="W554" s="283" t="s">
        <v>260</v>
      </c>
      <c r="X554" s="272">
        <f>$H554*SUMIFS(axTER!$E$65:$E$105,axTER!$C$65:$C$105,T554,axTER!$D$65:$D$105,V554)/SUMIFS(axTER!$E$108:$E$114,axTER!$C$108:$C$114,W554)/10^9*$D$514</f>
        <v>0.79107875356438784</v>
      </c>
      <c r="AB554" s="273">
        <f>$H554*IF(AF554&lt;&gt;K554,SUMIFS(axTER!$E$121:$E$128,axTER!$C$121:$C$128,K554,axTER!$D$121:$D$128,AF554),SUMIFS(axTER!$E$133:$E$138,axTER!$C$133:$C$138,AF554)*AE$510)*$D$514/10^6</f>
        <v>296.65453258664542</v>
      </c>
      <c r="AC554" s="274">
        <f>$H554*IF(AG554&lt;&gt;L554,SUMIFS(axTER!$E$142:$E$148,axTER!$C$142:$C$148,AG554),SUMIFS(axTER!$E$151:$E$157,axTER!$C$151:$C$157,AG554)*AE$510)/10^6*$D$514</f>
        <v>25.957271601331477</v>
      </c>
      <c r="AD554" s="275" t="s">
        <v>269</v>
      </c>
      <c r="AE554" s="161" t="s">
        <v>265</v>
      </c>
      <c r="AF554" s="161" t="s">
        <v>255</v>
      </c>
      <c r="AG554" s="284" t="s">
        <v>260</v>
      </c>
      <c r="AH554" s="276">
        <f>$H554*SUMIFS(axTER!$E$65:$E$105,axTER!$D$65:$D$105,AF554,axTER!$C$65:$C$105,AD554)/SUMIFS(axTER!$E$108:$E$114,axTER!$C$108:$C$114,AG554)/10^9*$D$514</f>
        <v>0.79107875356438784</v>
      </c>
      <c r="AV554" s="273">
        <f>$H554*IF(AZ554&lt;&gt;AF554,SUMIFS(axTER!$E$121:$E$128,axTER!$C$121:$C$128,AF554,axTER!$D$121:$D$128,AZ554),SUMIFS(axTER!$E$133:$E$138,axTER!$C$133:$C$138,AZ554)*AY$510)*$D$514/10^6</f>
        <v>593.30906517329083</v>
      </c>
      <c r="AW554" s="274">
        <f>$H554*IF(BA554&lt;&gt;AG554,SUMIFS(axTER!$E$142:$E$148,axTER!$C$142:$C$148,BA554),SUMIFS(axTER!$E$151:$E$157,axTER!$C$151:$C$157,BA554)*AY$510)/10^6*$D$514</f>
        <v>593.30906517329083</v>
      </c>
      <c r="AX554" s="275" t="s">
        <v>269</v>
      </c>
      <c r="AY554" s="161" t="s">
        <v>265</v>
      </c>
      <c r="AZ554" s="161" t="s">
        <v>255</v>
      </c>
      <c r="BA554" s="284" t="s">
        <v>261</v>
      </c>
      <c r="BB554" s="276">
        <f>$H554*SUMIFS(axTER!$E$65:$E$105,axTER!$D$65:$D$105,AZ554,axTER!$C$65:$C$105,AX554)/SUMIFS(axTER!$E$108:$E$114,axTER!$C$108:$C$114,BA554)/10^9*$D$514</f>
        <v>0.23732362606931634</v>
      </c>
      <c r="IG554" s="269">
        <v>750</v>
      </c>
      <c r="IH554" s="66" t="s">
        <v>269</v>
      </c>
      <c r="II554" s="66" t="s">
        <v>265</v>
      </c>
      <c r="IJ554" s="66" t="s">
        <v>255</v>
      </c>
      <c r="IK554" s="283" t="s">
        <v>260</v>
      </c>
      <c r="IL554" s="272">
        <f>$H554*SUMIFS(axTER!$E$65:$E$105,axTER!$C$65:$C$105,IH554,axTER!$D$65:$D$105,IJ554)/SUMIFS(axTER!$E$108:$E$114,axTER!$C$108:$C$114,IK554)/10^9*$D$514</f>
        <v>0.79107875356438784</v>
      </c>
      <c r="IO554" s="273">
        <f t="shared" si="1008"/>
        <v>0</v>
      </c>
      <c r="IP554" s="273">
        <f>$H554*IF(IT554&lt;&gt;IJ554,SUMIFS(axTER!$E$121:$E$128,axTER!$C$121:$C$128,IJ554,axTER!$D$121:$D$128,IT554),SUMIFS(axTER!$E$133:$E$138,axTER!$C$133:$C$138,IT554)*IS$510)*$D$514/10^6</f>
        <v>296.65453258664542</v>
      </c>
      <c r="IQ554" s="274">
        <f>$H554*IF(IU554&lt;&gt;IK554,SUMIFS(axTER!$E$142:$E$148,axTER!$C$142:$C$148,IU554),SUMIFS(axTER!$E$151:$E$157,axTER!$C$151:$C$157,IU554)*IS$510)/10^6*$D$514</f>
        <v>25.957271601331477</v>
      </c>
      <c r="IR554" s="275" t="s">
        <v>269</v>
      </c>
      <c r="IS554" s="161" t="s">
        <v>265</v>
      </c>
      <c r="IT554" s="161" t="s">
        <v>255</v>
      </c>
      <c r="IU554" s="284" t="s">
        <v>260</v>
      </c>
      <c r="IV554" s="276">
        <f>$H554*SUMIFS(axTER!$E$65:$E$105,axTER!$D$65:$D$105,IT554,axTER!$C$65:$C$105,IR554)/SUMIFS(axTER!$E$108:$E$114,axTER!$C$108:$C$114,IU554)/10^9*$D$514</f>
        <v>0.79107875356438784</v>
      </c>
      <c r="JI554" s="273">
        <f t="shared" si="1009"/>
        <v>0</v>
      </c>
      <c r="JJ554" s="273">
        <f>$H554*IF(JN554&lt;&gt;IT554,SUMIFS(axTER!$E$121:$E$128,axTER!$C$121:$C$128,IT554,axTER!$D$121:$D$128,JN554),SUMIFS(axTER!$E$133:$E$138,axTER!$C$133:$C$138,JN554)*JM$510)*$D$514/10^6</f>
        <v>593.30906517329083</v>
      </c>
      <c r="JK554" s="274">
        <f>$H554*IF(JO554&lt;&gt;IU554,SUMIFS(axTER!$E$142:$E$148,axTER!$C$142:$C$148,JO554),SUMIFS(axTER!$E$151:$E$157,axTER!$C$151:$C$157,JO554)*JM$510)/10^6*$D$514</f>
        <v>51.914543202662955</v>
      </c>
      <c r="JL554" s="275" t="s">
        <v>269</v>
      </c>
      <c r="JM554" s="161" t="s">
        <v>265</v>
      </c>
      <c r="JN554" s="161" t="s">
        <v>255</v>
      </c>
      <c r="JO554" s="284" t="s">
        <v>260</v>
      </c>
      <c r="JP554" s="276">
        <f>$H554*SUMIFS(axTER!$E$65:$E$105,axTER!$D$65:$D$105,JN554,axTER!$C$65:$C$105,JL554)/SUMIFS(axTER!$E$108:$E$114,axTER!$C$108:$C$114,JO554)/10^9*$D$514</f>
        <v>0.79107875356438784</v>
      </c>
      <c r="JR554" s="269">
        <v>750</v>
      </c>
      <c r="JS554" s="66" t="s">
        <v>269</v>
      </c>
      <c r="JT554" s="66" t="s">
        <v>265</v>
      </c>
      <c r="JU554" s="66" t="s">
        <v>255</v>
      </c>
      <c r="JV554" s="283" t="s">
        <v>260</v>
      </c>
      <c r="JW554" s="272">
        <f>$H554*SUMIFS(axTER!$E$65:$E$105,axTER!$C$65:$C$105,JS554,axTER!$D$65:$D$105,JU554)/SUMIFS(axTER!$E$108:$E$114,axTER!$C$108:$C$114,JV554)/10^9*$D$514</f>
        <v>0.79107875356438784</v>
      </c>
      <c r="JY554" s="273">
        <f t="shared" si="1010"/>
        <v>0</v>
      </c>
      <c r="JZ554" s="273">
        <f t="shared" si="1005"/>
        <v>0</v>
      </c>
      <c r="KA554" s="273">
        <f>$H554*IF(KE554&lt;&gt;JU554,SUMIFS(axTER!$E$121:$E$128,axTER!$C$121:$C$128,JU554,axTER!$D$121:$D$128,KE554),SUMIFS(axTER!$E$133:$E$138,axTER!$C$133:$C$138,KE554)*KD$510)*$D$514/10^6</f>
        <v>207.65817281065179</v>
      </c>
      <c r="KB554" s="274">
        <f>$H554*IF(KF554&lt;&gt;JV554,SUMIFS(axTER!$E$142:$E$148,axTER!$C$142:$C$148,KF554),SUMIFS(axTER!$E$151:$E$157,axTER!$C$151:$C$157,KF554)*KD$510)/10^6*$D$514</f>
        <v>18.170090120932031</v>
      </c>
      <c r="KC554" s="275" t="s">
        <v>269</v>
      </c>
      <c r="KD554" s="161" t="s">
        <v>265</v>
      </c>
      <c r="KE554" s="161" t="s">
        <v>255</v>
      </c>
      <c r="KF554" s="161" t="s">
        <v>260</v>
      </c>
      <c r="KG554" s="276">
        <f>$H554*SUMIFS(axTER!$E$65:$E$105,axTER!$D$65:$D$105,KE554,axTER!$C$65:$C$105,KC554)/SUMIFS(axTER!$E$108:$E$114,axTER!$C$108:$C$114,KF554)/10^9*$D$514</f>
        <v>0.79107875356438784</v>
      </c>
      <c r="KS554" s="273">
        <f t="shared" si="1011"/>
        <v>0</v>
      </c>
      <c r="KT554" s="273">
        <f t="shared" si="1012"/>
        <v>0</v>
      </c>
      <c r="KU554" s="273">
        <f>$H554*IF(KY554&lt;&gt;KE554,SUMIFS(axTER!$E$121:$E$128,axTER!$C$121:$C$128,KE554,axTER!$D$121:$D$128,KY554),SUMIFS(axTER!$E$133:$E$138,axTER!$C$133:$C$138,KY554)*KX$510)*$D$514/10^6</f>
        <v>593.30906517329083</v>
      </c>
      <c r="KV554" s="274">
        <f>$H554*IF(KZ554&lt;&gt;KF554,SUMIFS(axTER!$E$142:$E$148,axTER!$C$142:$C$148,KZ554),SUMIFS(axTER!$E$151:$E$157,axTER!$C$151:$C$157,KZ554)*KX$510)/10^6*$D$514</f>
        <v>51.914543202662955</v>
      </c>
      <c r="KW554" s="275" t="s">
        <v>269</v>
      </c>
      <c r="KX554" s="161" t="s">
        <v>265</v>
      </c>
      <c r="KY554" s="161" t="s">
        <v>255</v>
      </c>
      <c r="KZ554" s="161" t="s">
        <v>260</v>
      </c>
      <c r="LA554" s="276">
        <f>$H554*SUMIFS(axTER!$E$65:$E$105,axTER!$D$65:$D$105,KY554,axTER!$C$65:$C$105,KW554)/SUMIFS(axTER!$E$108:$E$114,axTER!$C$108:$C$114,KZ554)/10^9*$D$514</f>
        <v>0.79107875356438784</v>
      </c>
      <c r="LC554" s="269">
        <v>750</v>
      </c>
      <c r="LD554" s="66" t="s">
        <v>269</v>
      </c>
      <c r="LE554" s="66" t="s">
        <v>265</v>
      </c>
      <c r="LF554" s="66" t="s">
        <v>255</v>
      </c>
      <c r="LG554" s="283" t="s">
        <v>260</v>
      </c>
      <c r="LH554" s="272">
        <f>$H554*SUMIFS(axTER!$E$65:$E$105,axTER!$C$65:$C$105,LD554,axTER!$D$65:$D$105,LF554)/SUMIFS(axTER!$E$108:$E$114,axTER!$C$108:$C$114,LG554)/10^9*$D$514</f>
        <v>0.79107875356438784</v>
      </c>
      <c r="LJ554" s="273">
        <f t="shared" si="1013"/>
        <v>0</v>
      </c>
      <c r="LK554" s="273">
        <f t="shared" si="1017"/>
        <v>0</v>
      </c>
      <c r="LL554" s="273">
        <f>$H554*IF(LP554&lt;&gt;LF554,SUMIFS(axTER!$E$121:$E$128,axTER!$C$121:$C$128,LF554,axTER!$D$121:$D$128,LP554),SUMIFS(axTER!$E$133:$E$138,axTER!$C$133:$C$138,LP554)*LO$510)*$D$514/10^6</f>
        <v>207.65817281065179</v>
      </c>
      <c r="LM554" s="274">
        <f>$H554*IF(LQ554&lt;&gt;LG554,SUMIFS(axTER!$E$142:$E$148,axTER!$C$142:$C$148,LQ554),SUMIFS(axTER!$E$151:$E$157,axTER!$C$151:$C$157,LQ554)*LO$510)/10^6*$D$514</f>
        <v>18.170090120932031</v>
      </c>
      <c r="LN554" s="275" t="s">
        <v>269</v>
      </c>
      <c r="LO554" s="161" t="s">
        <v>265</v>
      </c>
      <c r="LP554" s="161" t="s">
        <v>255</v>
      </c>
      <c r="LQ554" s="161" t="s">
        <v>260</v>
      </c>
      <c r="LR554" s="276">
        <f>$H554*SUMIFS(axTER!$E$65:$E$105,axTER!$D$65:$D$105,LP554,axTER!$C$65:$C$105,LN554)/SUMIFS(axTER!$E$108:$E$114,axTER!$C$108:$C$114,LQ554)/10^9*$D$514</f>
        <v>0.79107875356438784</v>
      </c>
      <c r="LT554" s="273">
        <f t="shared" si="1014"/>
        <v>0</v>
      </c>
      <c r="LU554" s="273">
        <f t="shared" si="1015"/>
        <v>0</v>
      </c>
      <c r="LV554" s="273">
        <f>$H554*IF(LZ554&lt;&gt;LP554,SUMIFS(axTER!$E$121:$E$128,axTER!$C$121:$C$128,LP554,axTER!$D$121:$D$128,LZ554),SUMIFS(axTER!$E$133:$E$138,axTER!$C$133:$C$138,LZ554)*LY$510)*$D$514/10^6</f>
        <v>296.65453258664542</v>
      </c>
      <c r="LW554" s="274">
        <f>$H554*IF(MA554&lt;&gt;LQ554,SUMIFS(axTER!$E$142:$E$148,axTER!$C$142:$C$148,MA554),SUMIFS(axTER!$E$151:$E$157,axTER!$C$151:$C$157,MA554)*LY$510)/10^6*$D$514</f>
        <v>25.957271601331477</v>
      </c>
      <c r="LX554" s="275" t="s">
        <v>269</v>
      </c>
      <c r="LY554" s="161" t="s">
        <v>265</v>
      </c>
      <c r="LZ554" s="161" t="s">
        <v>255</v>
      </c>
      <c r="MA554" s="161" t="s">
        <v>260</v>
      </c>
      <c r="MB554" s="276">
        <f>$H554*SUMIFS(axTER!$E$65:$E$105,axTER!$D$65:$D$105,LZ554,axTER!$C$65:$C$105,LX554)/SUMIFS(axTER!$E$108:$E$114,axTER!$C$108:$C$114,MA554)/10^9*$D$514</f>
        <v>0.79107875356438784</v>
      </c>
      <c r="MD554" s="273" t="str">
        <f t="shared" si="1018"/>
        <v>ELEC-PAC</v>
      </c>
      <c r="ME554" s="273">
        <f t="shared" si="1016"/>
        <v>0</v>
      </c>
      <c r="MF554" s="273">
        <f>$H554*IF(MJ554&lt;&gt;LZ554,SUMIFS(axTER!$E$121:$E$128,axTER!$C$121:$C$128,LZ554,axTER!$D$121:$D$128,MJ554),SUMIFS(axTER!$E$133:$E$138,axTER!$C$133:$C$138,MJ554)*MI$510)*$D$514/10^6</f>
        <v>296.65453258664542</v>
      </c>
      <c r="MG554" s="274">
        <f>$H554*IF(MK554&lt;&gt;MA554,SUMIFS(axTER!$E$142:$E$148,axTER!$C$142:$C$148,MK554),SUMIFS(axTER!$E$151:$E$157,axTER!$C$151:$C$157,MK554)*MI$510)/10^6*$D$514</f>
        <v>593.30906517329083</v>
      </c>
      <c r="MH554" s="275" t="s">
        <v>269</v>
      </c>
      <c r="MI554" s="161" t="s">
        <v>265</v>
      </c>
      <c r="MJ554" s="161" t="s">
        <v>255</v>
      </c>
      <c r="MK554" s="161" t="s">
        <v>261</v>
      </c>
      <c r="ML554" s="276">
        <f>$H554*SUMIFS(axTER!$E$65:$E$105,axTER!$D$65:$D$105,MJ554,axTER!$C$65:$C$105,MH554)/SUMIFS(axTER!$E$108:$E$114,axTER!$C$108:$C$114,MK554)/10^9*$D$514</f>
        <v>0.23732362606931634</v>
      </c>
    </row>
    <row r="555" spans="3:350" outlineLevel="1" x14ac:dyDescent="0.3">
      <c r="C555" s="265"/>
      <c r="D555" s="69"/>
      <c r="F555" s="288"/>
      <c r="H555" s="269">
        <v>750</v>
      </c>
      <c r="I555" s="66" t="s">
        <v>269</v>
      </c>
      <c r="J555" s="66" t="s">
        <v>265</v>
      </c>
      <c r="K555" s="66" t="s">
        <v>255</v>
      </c>
      <c r="L555" s="283" t="s">
        <v>267</v>
      </c>
      <c r="M555" s="272">
        <f>$H555*SUMIFS(axTER!$E$65:$E$105,axTER!$C$65:$C$105,I555,axTER!$D$65:$D$105,K555)/SUMIFS(axTER!$E$108:$E$114,axTER!$C$108:$C$114,L555)/10^9*$D$514</f>
        <v>0.79107875356438784</v>
      </c>
      <c r="S555" s="269">
        <v>750</v>
      </c>
      <c r="T555" s="66" t="s">
        <v>269</v>
      </c>
      <c r="U555" s="66" t="s">
        <v>265</v>
      </c>
      <c r="V555" s="66" t="s">
        <v>255</v>
      </c>
      <c r="W555" s="283" t="s">
        <v>267</v>
      </c>
      <c r="X555" s="272">
        <f>$H555*SUMIFS(axTER!$E$65:$E$105,axTER!$C$65:$C$105,T555,axTER!$D$65:$D$105,V555)/SUMIFS(axTER!$E$108:$E$114,axTER!$C$108:$C$114,W555)/10^9*$D$514</f>
        <v>0.79107875356438784</v>
      </c>
      <c r="AB555" s="273">
        <f>$H555*IF(AF555&lt;&gt;K555,SUMIFS(axTER!$E$121:$E$128,axTER!$C$121:$C$128,K555,axTER!$D$121:$D$128,AF555),SUMIFS(axTER!$E$133:$E$138,axTER!$C$133:$C$138,AF555)*AE$510)*$D$514/10^6</f>
        <v>296.65453258664542</v>
      </c>
      <c r="AC555" s="274">
        <f>$H555*IF(AG555&lt;&gt;L555,SUMIFS(axTER!$E$142:$E$148,axTER!$C$142:$C$148,AG555),SUMIFS(axTER!$E$151:$E$157,axTER!$C$151:$C$157,AG555)*AE$510)/10^6*$D$514</f>
        <v>62.297451843195532</v>
      </c>
      <c r="AD555" s="275" t="s">
        <v>269</v>
      </c>
      <c r="AE555" s="161" t="s">
        <v>265</v>
      </c>
      <c r="AF555" s="161" t="s">
        <v>255</v>
      </c>
      <c r="AG555" s="284" t="s">
        <v>267</v>
      </c>
      <c r="AH555" s="276">
        <f>$H555*SUMIFS(axTER!$E$65:$E$105,axTER!$D$65:$D$105,AF555,axTER!$C$65:$C$105,AD555)/SUMIFS(axTER!$E$108:$E$114,axTER!$C$108:$C$114,AG555)/10^9*$D$514</f>
        <v>0.79107875356438784</v>
      </c>
      <c r="AV555" s="273">
        <f>$H555*IF(AZ555&lt;&gt;AF555,SUMIFS(axTER!$E$121:$E$128,axTER!$C$121:$C$128,AF555,axTER!$D$121:$D$128,AZ555),SUMIFS(axTER!$E$133:$E$138,axTER!$C$133:$C$138,AZ555)*AY$510)*$D$514/10^6</f>
        <v>593.30906517329083</v>
      </c>
      <c r="AW555" s="274">
        <f>$H555*IF(BA555&lt;&gt;AG555,SUMIFS(axTER!$E$142:$E$148,axTER!$C$142:$C$148,BA555),SUMIFS(axTER!$E$151:$E$157,axTER!$C$151:$C$157,BA555)*AY$510)/10^6*$D$514</f>
        <v>593.30906517329083</v>
      </c>
      <c r="AX555" s="275" t="s">
        <v>269</v>
      </c>
      <c r="AY555" s="161" t="s">
        <v>265</v>
      </c>
      <c r="AZ555" s="161" t="s">
        <v>255</v>
      </c>
      <c r="BA555" s="284" t="s">
        <v>261</v>
      </c>
      <c r="BB555" s="276">
        <f>$H555*SUMIFS(axTER!$E$65:$E$105,axTER!$D$65:$D$105,AZ555,axTER!$C$65:$C$105,AX555)/SUMIFS(axTER!$E$108:$E$114,axTER!$C$108:$C$114,BA555)/10^9*$D$514</f>
        <v>0.23732362606931634</v>
      </c>
      <c r="IG555" s="269">
        <v>750</v>
      </c>
      <c r="IH555" s="66" t="s">
        <v>269</v>
      </c>
      <c r="II555" s="66" t="s">
        <v>265</v>
      </c>
      <c r="IJ555" s="66" t="s">
        <v>255</v>
      </c>
      <c r="IK555" s="283" t="s">
        <v>267</v>
      </c>
      <c r="IL555" s="272">
        <f>$H555*SUMIFS(axTER!$E$65:$E$105,axTER!$C$65:$C$105,IH555,axTER!$D$65:$D$105,IJ555)/SUMIFS(axTER!$E$108:$E$114,axTER!$C$108:$C$114,IK555)/10^9*$D$514</f>
        <v>0.79107875356438784</v>
      </c>
      <c r="IO555" s="273">
        <f t="shared" si="1008"/>
        <v>750</v>
      </c>
      <c r="IP555" s="273">
        <f>$H555*IF(IT555&lt;&gt;IJ555,SUMIFS(axTER!$E$121:$E$128,axTER!$C$121:$C$128,IJ555,axTER!$D$121:$D$128,IT555),SUMIFS(axTER!$E$133:$E$138,axTER!$C$133:$C$138,IT555)*IS$510)*$D$514/10^6</f>
        <v>3337.3634915997604</v>
      </c>
      <c r="IQ555" s="274">
        <f>$H555*IF(IU555&lt;&gt;IK555,SUMIFS(axTER!$E$142:$E$148,axTER!$C$142:$C$148,IU555),SUMIFS(axTER!$E$151:$E$157,axTER!$C$151:$C$157,IU555)*IS$510)/10^6*$D$514</f>
        <v>133.49453966399042</v>
      </c>
      <c r="IR555" s="275" t="s">
        <v>269</v>
      </c>
      <c r="IS555" s="161" t="s">
        <v>265</v>
      </c>
      <c r="IT555" s="277" t="s">
        <v>257</v>
      </c>
      <c r="IU555" s="277" t="s">
        <v>256</v>
      </c>
      <c r="IV555" s="276">
        <f>$H555*SUMIFS(axTER!$E$65:$E$105,axTER!$D$65:$D$105,IT555,axTER!$C$65:$C$105,IR555)/SUMIFS(axTER!$E$108:$E$114,axTER!$C$108:$C$114,IU555)/10^9*$D$514</f>
        <v>0.39033491129821768</v>
      </c>
      <c r="JI555" s="273">
        <f t="shared" si="1009"/>
        <v>750</v>
      </c>
      <c r="JJ555" s="273">
        <f>$H555*IF(JN555&lt;&gt;IT555,SUMIFS(axTER!$E$121:$E$128,axTER!$C$121:$C$128,IT555,axTER!$D$121:$D$128,JN555),SUMIFS(axTER!$E$133:$E$138,axTER!$C$133:$C$138,JN555)*JM$510)*$D$514/10^6</f>
        <v>0</v>
      </c>
      <c r="JK555" s="274">
        <f>$H555*IF(JO555&lt;&gt;IU555,SUMIFS(axTER!$E$142:$E$148,axTER!$C$142:$C$148,JO555),SUMIFS(axTER!$E$151:$E$157,axTER!$C$151:$C$157,JO555)*JM$510)/10^6*$D$514</f>
        <v>177.99271955198722</v>
      </c>
      <c r="JL555" s="275" t="s">
        <v>269</v>
      </c>
      <c r="JM555" s="161" t="s">
        <v>265</v>
      </c>
      <c r="JN555" s="161" t="s">
        <v>255</v>
      </c>
      <c r="JO555" s="284" t="s">
        <v>267</v>
      </c>
      <c r="JP555" s="276">
        <f>$H555*SUMIFS(axTER!$E$65:$E$105,axTER!$D$65:$D$105,JN555,axTER!$C$65:$C$105,JL555)/SUMIFS(axTER!$E$108:$E$114,axTER!$C$108:$C$114,JO555)/10^9*$D$514</f>
        <v>0.79107875356438784</v>
      </c>
      <c r="JR555" s="269">
        <v>750</v>
      </c>
      <c r="JS555" s="66" t="s">
        <v>269</v>
      </c>
      <c r="JT555" s="66" t="s">
        <v>265</v>
      </c>
      <c r="JU555" s="66" t="s">
        <v>255</v>
      </c>
      <c r="JV555" s="283" t="s">
        <v>267</v>
      </c>
      <c r="JW555" s="272">
        <f>$H555*SUMIFS(axTER!$E$65:$E$105,axTER!$C$65:$C$105,JS555,axTER!$D$65:$D$105,JU555)/SUMIFS(axTER!$E$108:$E$114,axTER!$C$108:$C$114,JV555)/10^9*$D$514</f>
        <v>0.79107875356438784</v>
      </c>
      <c r="JY555" s="273" t="str">
        <f t="shared" si="1010"/>
        <v>ELEC-PAC</v>
      </c>
      <c r="JZ555" s="273">
        <f t="shared" si="1005"/>
        <v>750</v>
      </c>
      <c r="KA555" s="273">
        <f>$H555*IF(KE555&lt;&gt;JU555,SUMIFS(axTER!$E$121:$E$128,axTER!$C$121:$C$128,JU555,axTER!$D$121:$D$128,KE555),SUMIFS(axTER!$E$133:$E$138,axTER!$C$133:$C$138,KE555)*KD$510)*$D$514/10^6</f>
        <v>741.63633146661357</v>
      </c>
      <c r="KB555" s="274">
        <f>$H555*IF(KF555&lt;&gt;JV555,SUMIFS(axTER!$E$142:$E$148,axTER!$C$142:$C$148,KF555),SUMIFS(axTER!$E$151:$E$157,axTER!$C$151:$C$157,KF555)*KD$510)/10^6*$D$514</f>
        <v>593.30906517329083</v>
      </c>
      <c r="KC555" s="275" t="s">
        <v>269</v>
      </c>
      <c r="KD555" s="161" t="s">
        <v>265</v>
      </c>
      <c r="KE555" s="161" t="s">
        <v>262</v>
      </c>
      <c r="KF555" s="284" t="s">
        <v>261</v>
      </c>
      <c r="KG555" s="276">
        <f>$H555*SUMIFS(axTER!$E$65:$E$105,axTER!$D$65:$D$105,KE555,axTER!$C$65:$C$105,KC555)/SUMIFS(axTER!$E$108:$E$114,axTER!$C$108:$C$114,KF555)/10^9*$D$514</f>
        <v>0.19776968839109696</v>
      </c>
      <c r="KS555" s="273">
        <f t="shared" si="1011"/>
        <v>0</v>
      </c>
      <c r="KT555" s="273">
        <f t="shared" si="1012"/>
        <v>0</v>
      </c>
      <c r="KU555" s="273">
        <f>$H555*IF(KY555&lt;&gt;KE555,SUMIFS(axTER!$E$121:$E$128,axTER!$C$121:$C$128,KE555,axTER!$D$121:$D$128,KY555),SUMIFS(axTER!$E$133:$E$138,axTER!$C$133:$C$138,KY555)*KX$510)*$D$514/10^6</f>
        <v>222.49089943998405</v>
      </c>
      <c r="KV555" s="274">
        <f>$H555*IF(KZ555&lt;&gt;KF555,SUMIFS(axTER!$E$142:$E$148,axTER!$C$142:$C$148,KZ555),SUMIFS(axTER!$E$151:$E$157,axTER!$C$151:$C$157,KZ555)*KX$510)/10^6*$D$514</f>
        <v>415.31634562130364</v>
      </c>
      <c r="KW555" s="275" t="s">
        <v>269</v>
      </c>
      <c r="KX555" s="161" t="s">
        <v>265</v>
      </c>
      <c r="KY555" s="161" t="s">
        <v>262</v>
      </c>
      <c r="KZ555" s="284" t="s">
        <v>261</v>
      </c>
      <c r="LA555" s="276">
        <f>$H555*SUMIFS(axTER!$E$65:$E$105,axTER!$D$65:$D$105,KY555,axTER!$C$65:$C$105,KW555)/SUMIFS(axTER!$E$108:$E$114,axTER!$C$108:$C$114,KZ555)/10^9*$D$514</f>
        <v>0.19776968839109696</v>
      </c>
      <c r="LC555" s="269">
        <v>750</v>
      </c>
      <c r="LD555" s="66" t="s">
        <v>269</v>
      </c>
      <c r="LE555" s="66" t="s">
        <v>265</v>
      </c>
      <c r="LF555" s="66" t="s">
        <v>255</v>
      </c>
      <c r="LG555" s="283" t="s">
        <v>267</v>
      </c>
      <c r="LH555" s="272">
        <f>$H555*SUMIFS(axTER!$E$65:$E$105,axTER!$C$65:$C$105,LD555,axTER!$D$65:$D$105,LF555)/SUMIFS(axTER!$E$108:$E$114,axTER!$C$108:$C$114,LG555)/10^9*$D$514</f>
        <v>0.79107875356438784</v>
      </c>
      <c r="LJ555" s="273" t="str">
        <f t="shared" si="1013"/>
        <v>ELEC-PAC</v>
      </c>
      <c r="LK555" s="273">
        <f t="shared" si="1017"/>
        <v>0</v>
      </c>
      <c r="LL555" s="273">
        <f>$H555*IF(LP555&lt;&gt;LF555,SUMIFS(axTER!$E$121:$E$128,axTER!$C$121:$C$128,LF555,axTER!$D$121:$D$128,LP555),SUMIFS(axTER!$E$133:$E$138,axTER!$C$133:$C$138,LP555)*LO$510)*$D$514/10^6</f>
        <v>207.65817281065179</v>
      </c>
      <c r="LM555" s="274">
        <f>$H555*IF(LQ555&lt;&gt;LG555,SUMIFS(axTER!$E$142:$E$148,axTER!$C$142:$C$148,LQ555),SUMIFS(axTER!$E$151:$E$157,axTER!$C$151:$C$157,LQ555)*LO$510)/10^6*$D$514</f>
        <v>593.30906517329083</v>
      </c>
      <c r="LN555" s="275" t="s">
        <v>269</v>
      </c>
      <c r="LO555" s="161" t="s">
        <v>265</v>
      </c>
      <c r="LP555" s="161" t="s">
        <v>255</v>
      </c>
      <c r="LQ555" s="161" t="s">
        <v>261</v>
      </c>
      <c r="LR555" s="276">
        <f>$H555*SUMIFS(axTER!$E$65:$E$105,axTER!$D$65:$D$105,LP555,axTER!$C$65:$C$105,LN555)/SUMIFS(axTER!$E$108:$E$114,axTER!$C$108:$C$114,LQ555)/10^9*$D$514</f>
        <v>0.23732362606931634</v>
      </c>
      <c r="LT555" s="273">
        <f t="shared" si="1014"/>
        <v>0</v>
      </c>
      <c r="LU555" s="273">
        <f t="shared" si="1015"/>
        <v>0</v>
      </c>
      <c r="LV555" s="273">
        <f>$H555*IF(LZ555&lt;&gt;LP555,SUMIFS(axTER!$E$121:$E$128,axTER!$C$121:$C$128,LP555,axTER!$D$121:$D$128,LZ555),SUMIFS(axTER!$E$133:$E$138,axTER!$C$133:$C$138,LZ555)*LY$510)*$D$514/10^6</f>
        <v>296.65453258664542</v>
      </c>
      <c r="LW555" s="274">
        <f>$H555*IF(MA555&lt;&gt;LQ555,SUMIFS(axTER!$E$142:$E$148,axTER!$C$142:$C$148,MA555),SUMIFS(axTER!$E$151:$E$157,axTER!$C$151:$C$157,MA555)*LY$510)/10^6*$D$514</f>
        <v>207.65817281065182</v>
      </c>
      <c r="LX555" s="275" t="s">
        <v>269</v>
      </c>
      <c r="LY555" s="161" t="s">
        <v>265</v>
      </c>
      <c r="LZ555" s="161" t="s">
        <v>255</v>
      </c>
      <c r="MA555" s="161" t="s">
        <v>261</v>
      </c>
      <c r="MB555" s="276">
        <f>$H555*SUMIFS(axTER!$E$65:$E$105,axTER!$D$65:$D$105,LZ555,axTER!$C$65:$C$105,LX555)/SUMIFS(axTER!$E$108:$E$114,axTER!$C$108:$C$114,MA555)/10^9*$D$514</f>
        <v>0.23732362606931634</v>
      </c>
      <c r="MD555" s="273">
        <f t="shared" si="1018"/>
        <v>0</v>
      </c>
      <c r="ME555" s="273">
        <f t="shared" si="1016"/>
        <v>0</v>
      </c>
      <c r="MF555" s="273">
        <f>$H555*IF(MJ555&lt;&gt;LZ555,SUMIFS(axTER!$E$121:$E$128,axTER!$C$121:$C$128,LZ555,axTER!$D$121:$D$128,MJ555),SUMIFS(axTER!$E$133:$E$138,axTER!$C$133:$C$138,MJ555)*MI$510)*$D$514/10^6</f>
        <v>296.65453258664542</v>
      </c>
      <c r="MG555" s="274">
        <f>$H555*IF(MK555&lt;&gt;MA555,SUMIFS(axTER!$E$142:$E$148,axTER!$C$142:$C$148,MK555),SUMIFS(axTER!$E$151:$E$157,axTER!$C$151:$C$157,MK555)*MI$510)/10^6*$D$514</f>
        <v>207.65817281065182</v>
      </c>
      <c r="MH555" s="275" t="s">
        <v>269</v>
      </c>
      <c r="MI555" s="161" t="s">
        <v>265</v>
      </c>
      <c r="MJ555" s="161" t="s">
        <v>255</v>
      </c>
      <c r="MK555" s="161" t="s">
        <v>261</v>
      </c>
      <c r="ML555" s="276">
        <f>$H555*SUMIFS(axTER!$E$65:$E$105,axTER!$D$65:$D$105,MJ555,axTER!$C$65:$C$105,MH555)/SUMIFS(axTER!$E$108:$E$114,axTER!$C$108:$C$114,MK555)/10^9*$D$514</f>
        <v>0.23732362606931634</v>
      </c>
    </row>
    <row r="556" spans="3:350" outlineLevel="1" x14ac:dyDescent="0.3">
      <c r="C556" s="265"/>
      <c r="D556" s="69"/>
      <c r="F556" s="266"/>
      <c r="H556" s="269">
        <v>750</v>
      </c>
      <c r="I556" s="66" t="s">
        <v>269</v>
      </c>
      <c r="J556" s="66" t="s">
        <v>265</v>
      </c>
      <c r="K556" s="66" t="s">
        <v>255</v>
      </c>
      <c r="L556" s="283" t="s">
        <v>267</v>
      </c>
      <c r="M556" s="272">
        <f>$H556*SUMIFS(axTER!$E$65:$E$105,axTER!$C$65:$C$105,I556,axTER!$D$65:$D$105,K556)/SUMIFS(axTER!$E$108:$E$114,axTER!$C$108:$C$114,L556)/10^9*$D$514</f>
        <v>0.79107875356438784</v>
      </c>
      <c r="S556" s="269">
        <v>750</v>
      </c>
      <c r="T556" s="66" t="s">
        <v>269</v>
      </c>
      <c r="U556" s="66" t="s">
        <v>265</v>
      </c>
      <c r="V556" s="66" t="s">
        <v>255</v>
      </c>
      <c r="W556" s="283" t="s">
        <v>267</v>
      </c>
      <c r="X556" s="272">
        <f>$H556*SUMIFS(axTER!$E$65:$E$105,axTER!$C$65:$C$105,T556,axTER!$D$65:$D$105,V556)/SUMIFS(axTER!$E$108:$E$114,axTER!$C$108:$C$114,W556)/10^9*$D$514</f>
        <v>0.79107875356438784</v>
      </c>
      <c r="AB556" s="273">
        <f>$H556*IF(AF556&lt;&gt;K556,SUMIFS(axTER!$E$121:$E$128,axTER!$C$121:$C$128,K556,axTER!$D$121:$D$128,AF556),SUMIFS(axTER!$E$133:$E$138,axTER!$C$133:$C$138,AF556)*AE$510)*$D$514/10^6</f>
        <v>296.65453258664542</v>
      </c>
      <c r="AC556" s="274">
        <f>$H556*IF(AG556&lt;&gt;L556,SUMIFS(axTER!$E$142:$E$148,axTER!$C$142:$C$148,AG556),SUMIFS(axTER!$E$151:$E$157,axTER!$C$151:$C$157,AG556)*AE$510)/10^6*$D$514</f>
        <v>62.297451843195532</v>
      </c>
      <c r="AD556" s="275" t="s">
        <v>269</v>
      </c>
      <c r="AE556" s="161" t="s">
        <v>265</v>
      </c>
      <c r="AF556" s="161" t="s">
        <v>255</v>
      </c>
      <c r="AG556" s="284" t="s">
        <v>267</v>
      </c>
      <c r="AH556" s="276">
        <f>$H556*SUMIFS(axTER!$E$65:$E$105,axTER!$D$65:$D$105,AF556,axTER!$C$65:$C$105,AD556)/SUMIFS(axTER!$E$108:$E$114,axTER!$C$108:$C$114,AG556)/10^9*$D$514</f>
        <v>0.79107875356438784</v>
      </c>
      <c r="AV556" s="273">
        <f>$H556*IF(AZ556&lt;&gt;AF556,SUMIFS(axTER!$E$121:$E$128,axTER!$C$121:$C$128,AF556,axTER!$D$121:$D$128,AZ556),SUMIFS(axTER!$E$133:$E$138,axTER!$C$133:$C$138,AZ556)*AY$510)*$D$514/10^6</f>
        <v>593.30906517329083</v>
      </c>
      <c r="AW556" s="274">
        <f>$H556*IF(BA556&lt;&gt;AG556,SUMIFS(axTER!$E$142:$E$148,axTER!$C$142:$C$148,BA556),SUMIFS(axTER!$E$151:$E$157,axTER!$C$151:$C$157,BA556)*AY$510)/10^6*$D$514</f>
        <v>593.30906517329083</v>
      </c>
      <c r="AX556" s="275" t="s">
        <v>269</v>
      </c>
      <c r="AY556" s="161" t="s">
        <v>265</v>
      </c>
      <c r="AZ556" s="161" t="s">
        <v>255</v>
      </c>
      <c r="BA556" s="284" t="s">
        <v>261</v>
      </c>
      <c r="BB556" s="276">
        <f>$H556*SUMIFS(axTER!$E$65:$E$105,axTER!$D$65:$D$105,AZ556,axTER!$C$65:$C$105,AX556)/SUMIFS(axTER!$E$108:$E$114,axTER!$C$108:$C$114,BA556)/10^9*$D$514</f>
        <v>0.23732362606931634</v>
      </c>
      <c r="IG556" s="269">
        <v>750</v>
      </c>
      <c r="IH556" s="66" t="s">
        <v>269</v>
      </c>
      <c r="II556" s="66" t="s">
        <v>265</v>
      </c>
      <c r="IJ556" s="66" t="s">
        <v>255</v>
      </c>
      <c r="IK556" s="283" t="s">
        <v>267</v>
      </c>
      <c r="IL556" s="272">
        <f>$H556*SUMIFS(axTER!$E$65:$E$105,axTER!$C$65:$C$105,IH556,axTER!$D$65:$D$105,IJ556)/SUMIFS(axTER!$E$108:$E$114,axTER!$C$108:$C$114,IK556)/10^9*$D$514</f>
        <v>0.79107875356438784</v>
      </c>
      <c r="IO556" s="273">
        <f t="shared" si="1008"/>
        <v>0</v>
      </c>
      <c r="IP556" s="273">
        <f>$H556*IF(IT556&lt;&gt;IJ556,SUMIFS(axTER!$E$121:$E$128,axTER!$C$121:$C$128,IJ556,axTER!$D$121:$D$128,IT556),SUMIFS(axTER!$E$133:$E$138,axTER!$C$133:$C$138,IT556)*IS$510)*$D$514/10^6</f>
        <v>296.65453258664542</v>
      </c>
      <c r="IQ556" s="274">
        <f>$H556*IF(IU556&lt;&gt;IK556,SUMIFS(axTER!$E$142:$E$148,axTER!$C$142:$C$148,IU556),SUMIFS(axTER!$E$151:$E$157,axTER!$C$151:$C$157,IU556)*IS$510)/10^6*$D$514</f>
        <v>62.297451843195532</v>
      </c>
      <c r="IR556" s="275" t="s">
        <v>269</v>
      </c>
      <c r="IS556" s="161" t="s">
        <v>265</v>
      </c>
      <c r="IT556" s="161" t="s">
        <v>255</v>
      </c>
      <c r="IU556" s="284" t="s">
        <v>267</v>
      </c>
      <c r="IV556" s="276">
        <f>$H556*SUMIFS(axTER!$E$65:$E$105,axTER!$D$65:$D$105,IT556,axTER!$C$65:$C$105,IR556)/SUMIFS(axTER!$E$108:$E$114,axTER!$C$108:$C$114,IU556)/10^9*$D$514</f>
        <v>0.79107875356438784</v>
      </c>
      <c r="JI556" s="273">
        <f t="shared" si="1009"/>
        <v>0</v>
      </c>
      <c r="JJ556" s="273">
        <f>$H556*IF(JN556&lt;&gt;IT556,SUMIFS(axTER!$E$121:$E$128,axTER!$C$121:$C$128,IT556,axTER!$D$121:$D$128,JN556),SUMIFS(axTER!$E$133:$E$138,axTER!$C$133:$C$138,JN556)*JM$510)*$D$514/10^6</f>
        <v>593.30906517329083</v>
      </c>
      <c r="JK556" s="274">
        <f>$H556*IF(JO556&lt;&gt;IU556,SUMIFS(axTER!$E$142:$E$148,axTER!$C$142:$C$148,JO556),SUMIFS(axTER!$E$151:$E$157,axTER!$C$151:$C$157,JO556)*JM$510)/10^6*$D$514</f>
        <v>124.59490368639106</v>
      </c>
      <c r="JL556" s="275" t="s">
        <v>269</v>
      </c>
      <c r="JM556" s="161" t="s">
        <v>265</v>
      </c>
      <c r="JN556" s="161" t="s">
        <v>255</v>
      </c>
      <c r="JO556" s="284" t="s">
        <v>267</v>
      </c>
      <c r="JP556" s="276">
        <f>$H556*SUMIFS(axTER!$E$65:$E$105,axTER!$D$65:$D$105,JN556,axTER!$C$65:$C$105,JL556)/SUMIFS(axTER!$E$108:$E$114,axTER!$C$108:$C$114,JO556)/10^9*$D$514</f>
        <v>0.79107875356438784</v>
      </c>
      <c r="JR556" s="269">
        <v>750</v>
      </c>
      <c r="JS556" s="66" t="s">
        <v>269</v>
      </c>
      <c r="JT556" s="66" t="s">
        <v>265</v>
      </c>
      <c r="JU556" s="66" t="s">
        <v>255</v>
      </c>
      <c r="JV556" s="283" t="s">
        <v>267</v>
      </c>
      <c r="JW556" s="272">
        <f>$H556*SUMIFS(axTER!$E$65:$E$105,axTER!$C$65:$C$105,JS556,axTER!$D$65:$D$105,JU556)/SUMIFS(axTER!$E$108:$E$114,axTER!$C$108:$C$114,JV556)/10^9*$D$514</f>
        <v>0.79107875356438784</v>
      </c>
      <c r="JY556" s="273" t="str">
        <f t="shared" si="1010"/>
        <v>ELEC-PAC</v>
      </c>
      <c r="JZ556" s="273">
        <f t="shared" si="1005"/>
        <v>750</v>
      </c>
      <c r="KA556" s="273">
        <f>$H556*IF(KE556&lt;&gt;JU556,SUMIFS(axTER!$E$121:$E$128,axTER!$C$121:$C$128,JU556,axTER!$D$121:$D$128,KE556),SUMIFS(axTER!$E$133:$E$138,axTER!$C$133:$C$138,KE556)*KD$510)*$D$514/10^6</f>
        <v>741.63633146661357</v>
      </c>
      <c r="KB556" s="274">
        <f>$H556*IF(KF556&lt;&gt;JV556,SUMIFS(axTER!$E$142:$E$148,axTER!$C$142:$C$148,KF556),SUMIFS(axTER!$E$151:$E$157,axTER!$C$151:$C$157,KF556)*KD$510)/10^6*$D$514</f>
        <v>593.30906517329083</v>
      </c>
      <c r="KC556" s="275" t="s">
        <v>269</v>
      </c>
      <c r="KD556" s="161" t="s">
        <v>265</v>
      </c>
      <c r="KE556" s="161" t="s">
        <v>262</v>
      </c>
      <c r="KF556" s="284" t="s">
        <v>261</v>
      </c>
      <c r="KG556" s="276">
        <f>$H556*SUMIFS(axTER!$E$65:$E$105,axTER!$D$65:$D$105,KE556,axTER!$C$65:$C$105,KC556)/SUMIFS(axTER!$E$108:$E$114,axTER!$C$108:$C$114,KF556)/10^9*$D$514</f>
        <v>0.19776968839109696</v>
      </c>
      <c r="KS556" s="273">
        <f t="shared" si="1011"/>
        <v>0</v>
      </c>
      <c r="KT556" s="273">
        <f t="shared" si="1012"/>
        <v>0</v>
      </c>
      <c r="KU556" s="273">
        <f>$H556*IF(KY556&lt;&gt;KE556,SUMIFS(axTER!$E$121:$E$128,axTER!$C$121:$C$128,KE556,axTER!$D$121:$D$128,KY556),SUMIFS(axTER!$E$133:$E$138,axTER!$C$133:$C$138,KY556)*KX$510)*$D$514/10^6</f>
        <v>222.49089943998405</v>
      </c>
      <c r="KV556" s="274">
        <f>$H556*IF(KZ556&lt;&gt;KF556,SUMIFS(axTER!$E$142:$E$148,axTER!$C$142:$C$148,KZ556),SUMIFS(axTER!$E$151:$E$157,axTER!$C$151:$C$157,KZ556)*KX$510)/10^6*$D$514</f>
        <v>415.31634562130364</v>
      </c>
      <c r="KW556" s="275" t="s">
        <v>269</v>
      </c>
      <c r="KX556" s="161" t="s">
        <v>265</v>
      </c>
      <c r="KY556" s="161" t="s">
        <v>262</v>
      </c>
      <c r="KZ556" s="284" t="s">
        <v>261</v>
      </c>
      <c r="LA556" s="276">
        <f>$H556*SUMIFS(axTER!$E$65:$E$105,axTER!$D$65:$D$105,KY556,axTER!$C$65:$C$105,KW556)/SUMIFS(axTER!$E$108:$E$114,axTER!$C$108:$C$114,KZ556)/10^9*$D$514</f>
        <v>0.19776968839109696</v>
      </c>
      <c r="LC556" s="269">
        <v>750</v>
      </c>
      <c r="LD556" s="66" t="s">
        <v>269</v>
      </c>
      <c r="LE556" s="66" t="s">
        <v>265</v>
      </c>
      <c r="LF556" s="66" t="s">
        <v>255</v>
      </c>
      <c r="LG556" s="283" t="s">
        <v>267</v>
      </c>
      <c r="LH556" s="272">
        <f>$H556*SUMIFS(axTER!$E$65:$E$105,axTER!$C$65:$C$105,LD556,axTER!$D$65:$D$105,LF556)/SUMIFS(axTER!$E$108:$E$114,axTER!$C$108:$C$114,LG556)/10^9*$D$514</f>
        <v>0.79107875356438784</v>
      </c>
      <c r="LJ556" s="273" t="str">
        <f t="shared" si="1013"/>
        <v>ELEC-PAC</v>
      </c>
      <c r="LK556" s="273">
        <f t="shared" si="1017"/>
        <v>0</v>
      </c>
      <c r="LL556" s="273">
        <f>$H556*IF(LP556&lt;&gt;LF556,SUMIFS(axTER!$E$121:$E$128,axTER!$C$121:$C$128,LF556,axTER!$D$121:$D$128,LP556),SUMIFS(axTER!$E$133:$E$138,axTER!$C$133:$C$138,LP556)*LO$510)*$D$514/10^6</f>
        <v>207.65817281065179</v>
      </c>
      <c r="LM556" s="274">
        <f>$H556*IF(LQ556&lt;&gt;LG556,SUMIFS(axTER!$E$142:$E$148,axTER!$C$142:$C$148,LQ556),SUMIFS(axTER!$E$151:$E$157,axTER!$C$151:$C$157,LQ556)*LO$510)/10^6*$D$514</f>
        <v>593.30906517329083</v>
      </c>
      <c r="LN556" s="275" t="s">
        <v>269</v>
      </c>
      <c r="LO556" s="161" t="s">
        <v>265</v>
      </c>
      <c r="LP556" s="161" t="s">
        <v>255</v>
      </c>
      <c r="LQ556" s="161" t="s">
        <v>261</v>
      </c>
      <c r="LR556" s="276">
        <f>$H556*SUMIFS(axTER!$E$65:$E$105,axTER!$D$65:$D$105,LP556,axTER!$C$65:$C$105,LN556)/SUMIFS(axTER!$E$108:$E$114,axTER!$C$108:$C$114,LQ556)/10^9*$D$514</f>
        <v>0.23732362606931634</v>
      </c>
      <c r="LT556" s="273">
        <f t="shared" si="1014"/>
        <v>0</v>
      </c>
      <c r="LU556" s="273">
        <f t="shared" si="1015"/>
        <v>0</v>
      </c>
      <c r="LV556" s="273">
        <f>$H556*IF(LZ556&lt;&gt;LP556,SUMIFS(axTER!$E$121:$E$128,axTER!$C$121:$C$128,LP556,axTER!$D$121:$D$128,LZ556),SUMIFS(axTER!$E$133:$E$138,axTER!$C$133:$C$138,LZ556)*LY$510)*$D$514/10^6</f>
        <v>296.65453258664542</v>
      </c>
      <c r="LW556" s="274">
        <f>$H556*IF(MA556&lt;&gt;LQ556,SUMIFS(axTER!$E$142:$E$148,axTER!$C$142:$C$148,MA556),SUMIFS(axTER!$E$151:$E$157,axTER!$C$151:$C$157,MA556)*LY$510)/10^6*$D$514</f>
        <v>207.65817281065182</v>
      </c>
      <c r="LX556" s="275" t="s">
        <v>269</v>
      </c>
      <c r="LY556" s="161" t="s">
        <v>265</v>
      </c>
      <c r="LZ556" s="161" t="s">
        <v>255</v>
      </c>
      <c r="MA556" s="161" t="s">
        <v>261</v>
      </c>
      <c r="MB556" s="276">
        <f>$H556*SUMIFS(axTER!$E$65:$E$105,axTER!$D$65:$D$105,LZ556,axTER!$C$65:$C$105,LX556)/SUMIFS(axTER!$E$108:$E$114,axTER!$C$108:$C$114,MA556)/10^9*$D$514</f>
        <v>0.23732362606931634</v>
      </c>
      <c r="MD556" s="273">
        <f t="shared" si="1018"/>
        <v>0</v>
      </c>
      <c r="ME556" s="273">
        <f t="shared" si="1016"/>
        <v>0</v>
      </c>
      <c r="MF556" s="273">
        <f>$H556*IF(MJ556&lt;&gt;LZ556,SUMIFS(axTER!$E$121:$E$128,axTER!$C$121:$C$128,LZ556,axTER!$D$121:$D$128,MJ556),SUMIFS(axTER!$E$133:$E$138,axTER!$C$133:$C$138,MJ556)*MI$510)*$D$514/10^6</f>
        <v>296.65453258664542</v>
      </c>
      <c r="MG556" s="274">
        <f>$H556*IF(MK556&lt;&gt;MA556,SUMIFS(axTER!$E$142:$E$148,axTER!$C$142:$C$148,MK556),SUMIFS(axTER!$E$151:$E$157,axTER!$C$151:$C$157,MK556)*MI$510)/10^6*$D$514</f>
        <v>207.65817281065182</v>
      </c>
      <c r="MH556" s="275" t="s">
        <v>269</v>
      </c>
      <c r="MI556" s="161" t="s">
        <v>265</v>
      </c>
      <c r="MJ556" s="161" t="s">
        <v>255</v>
      </c>
      <c r="MK556" s="161" t="s">
        <v>261</v>
      </c>
      <c r="ML556" s="276">
        <f>$H556*SUMIFS(axTER!$E$65:$E$105,axTER!$D$65:$D$105,MJ556,axTER!$C$65:$C$105,MH556)/SUMIFS(axTER!$E$108:$E$114,axTER!$C$108:$C$114,MK556)/10^9*$D$514</f>
        <v>0.23732362606931634</v>
      </c>
    </row>
    <row r="557" spans="3:350" outlineLevel="1" x14ac:dyDescent="0.3">
      <c r="C557" s="265"/>
      <c r="D557" s="69"/>
      <c r="F557" s="266"/>
      <c r="H557" s="269">
        <v>400</v>
      </c>
      <c r="I557" s="66" t="s">
        <v>269</v>
      </c>
      <c r="J557" s="66" t="s">
        <v>265</v>
      </c>
      <c r="K557" s="66" t="s">
        <v>266</v>
      </c>
      <c r="L557" s="283" t="s">
        <v>256</v>
      </c>
      <c r="M557" s="272">
        <f>$H557*SUMIFS(axTER!$E$65:$E$105,axTER!$C$65:$C$105,I557,axTER!$D$65:$D$105,K557)/SUMIFS(axTER!$E$108:$E$114,axTER!$C$108:$C$114,L557)/10^9*$D$514</f>
        <v>0.26646863277958327</v>
      </c>
      <c r="S557" s="269">
        <v>400</v>
      </c>
      <c r="T557" s="66" t="s">
        <v>269</v>
      </c>
      <c r="U557" s="66" t="s">
        <v>265</v>
      </c>
      <c r="V557" s="66" t="s">
        <v>266</v>
      </c>
      <c r="W557" s="283" t="s">
        <v>256</v>
      </c>
      <c r="X557" s="272">
        <f>$H557*SUMIFS(axTER!$E$65:$E$105,axTER!$C$65:$C$105,T557,axTER!$D$65:$D$105,V557)/SUMIFS(axTER!$E$108:$E$114,axTER!$C$108:$C$114,W557)/10^9*$D$514</f>
        <v>0.26646863277958327</v>
      </c>
      <c r="AB557" s="273">
        <f>$H557*IF(AF557&lt;&gt;K557,SUMIFS(axTER!$E$121:$E$128,axTER!$C$121:$C$128,K557,axTER!$D$121:$D$128,AF557),SUMIFS(axTER!$E$133:$E$138,axTER!$C$133:$C$138,AF557)*AE$510)*$D$514/10^6</f>
        <v>59.330906517329083</v>
      </c>
      <c r="AC557" s="274">
        <f>$H557*IF(AG557&lt;&gt;L557,SUMIFS(axTER!$E$142:$E$148,axTER!$C$142:$C$148,AG557),SUMIFS(axTER!$E$151:$E$157,axTER!$C$151:$C$157,AG557)*AE$510)/10^6*$D$514</f>
        <v>24.918980737278218</v>
      </c>
      <c r="AD557" s="275" t="s">
        <v>269</v>
      </c>
      <c r="AE557" s="161" t="s">
        <v>265</v>
      </c>
      <c r="AF557" s="161" t="s">
        <v>266</v>
      </c>
      <c r="AG557" s="284" t="s">
        <v>256</v>
      </c>
      <c r="AH557" s="276">
        <f>$H557*SUMIFS(axTER!$E$65:$E$105,axTER!$D$65:$D$105,AF557,axTER!$C$65:$C$105,AD557)/SUMIFS(axTER!$E$108:$E$114,axTER!$C$108:$C$114,AG557)/10^9*$D$514</f>
        <v>0.26646863277958327</v>
      </c>
      <c r="AV557" s="273">
        <f>$H557*IF(AZ557&lt;&gt;AF557,SUMIFS(axTER!$E$121:$E$128,axTER!$C$121:$C$128,AF557,axTER!$D$121:$D$128,AZ557),SUMIFS(axTER!$E$133:$E$138,axTER!$C$133:$C$138,AZ557)*AY$510)*$D$514/10^6</f>
        <v>118.66181303465817</v>
      </c>
      <c r="AW557" s="274">
        <f>$H557*IF(BA557&lt;&gt;AG557,SUMIFS(axTER!$E$142:$E$148,axTER!$C$142:$C$148,BA557),SUMIFS(axTER!$E$151:$E$157,axTER!$C$151:$C$157,BA557)*AY$510)/10^6*$D$514</f>
        <v>49.837961474556437</v>
      </c>
      <c r="AX557" s="275" t="s">
        <v>269</v>
      </c>
      <c r="AY557" s="161" t="s">
        <v>265</v>
      </c>
      <c r="AZ557" s="161" t="s">
        <v>266</v>
      </c>
      <c r="BA557" s="284" t="s">
        <v>256</v>
      </c>
      <c r="BB557" s="276">
        <f>$H557*SUMIFS(axTER!$E$65:$E$105,axTER!$D$65:$D$105,AZ557,axTER!$C$65:$C$105,AX557)/SUMIFS(axTER!$E$108:$E$114,axTER!$C$108:$C$114,BA557)/10^9*$D$514</f>
        <v>0.26646863277958327</v>
      </c>
      <c r="IG557" s="269">
        <v>400</v>
      </c>
      <c r="IH557" s="66" t="s">
        <v>269</v>
      </c>
      <c r="II557" s="66" t="s">
        <v>265</v>
      </c>
      <c r="IJ557" s="66" t="s">
        <v>266</v>
      </c>
      <c r="IK557" s="283" t="s">
        <v>256</v>
      </c>
      <c r="IL557" s="272">
        <f>$H557*SUMIFS(axTER!$E$65:$E$105,axTER!$C$65:$C$105,IH557,axTER!$D$65:$D$105,IJ557)/SUMIFS(axTER!$E$108:$E$114,axTER!$C$108:$C$114,IK557)/10^9*$D$514</f>
        <v>0.26646863277958327</v>
      </c>
      <c r="IO557" s="273">
        <f t="shared" si="1008"/>
        <v>0</v>
      </c>
      <c r="IP557" s="273">
        <f>$H557*IF(IT557&lt;&gt;IJ557,SUMIFS(axTER!$E$121:$E$128,axTER!$C$121:$C$128,IJ557,axTER!$D$121:$D$128,IT557),SUMIFS(axTER!$E$133:$E$138,axTER!$C$133:$C$138,IT557)*IS$510)*$D$514/10^6</f>
        <v>59.330906517329083</v>
      </c>
      <c r="IQ557" s="274">
        <f>$H557*IF(IU557&lt;&gt;IK557,SUMIFS(axTER!$E$142:$E$148,axTER!$C$142:$C$148,IU557),SUMIFS(axTER!$E$151:$E$157,axTER!$C$151:$C$157,IU557)*IS$510)/10^6*$D$514</f>
        <v>24.918980737278218</v>
      </c>
      <c r="IR557" s="275" t="s">
        <v>269</v>
      </c>
      <c r="IS557" s="161" t="s">
        <v>265</v>
      </c>
      <c r="IT557" s="161" t="s">
        <v>266</v>
      </c>
      <c r="IU557" s="284" t="s">
        <v>256</v>
      </c>
      <c r="IV557" s="276">
        <f>$H557*SUMIFS(axTER!$E$65:$E$105,axTER!$D$65:$D$105,IT557,axTER!$C$65:$C$105,IR557)/SUMIFS(axTER!$E$108:$E$114,axTER!$C$108:$C$114,IU557)/10^9*$D$514</f>
        <v>0.26646863277958327</v>
      </c>
      <c r="JI557" s="273">
        <f t="shared" si="1009"/>
        <v>0</v>
      </c>
      <c r="JJ557" s="273">
        <f>$H557*IF(JN557&lt;&gt;IT557,SUMIFS(axTER!$E$121:$E$128,axTER!$C$121:$C$128,IT557,axTER!$D$121:$D$128,JN557),SUMIFS(axTER!$E$133:$E$138,axTER!$C$133:$C$138,JN557)*JM$510)*$D$514/10^6</f>
        <v>118.66181303465817</v>
      </c>
      <c r="JK557" s="274">
        <f>$H557*IF(JO557&lt;&gt;IU557,SUMIFS(axTER!$E$142:$E$148,axTER!$C$142:$C$148,JO557),SUMIFS(axTER!$E$151:$E$157,axTER!$C$151:$C$157,JO557)*JM$510)/10^6*$D$514</f>
        <v>49.837961474556437</v>
      </c>
      <c r="JL557" s="275" t="s">
        <v>269</v>
      </c>
      <c r="JM557" s="161" t="s">
        <v>265</v>
      </c>
      <c r="JN557" s="161" t="s">
        <v>266</v>
      </c>
      <c r="JO557" s="284" t="s">
        <v>256</v>
      </c>
      <c r="JP557" s="276">
        <f>$H557*SUMIFS(axTER!$E$65:$E$105,axTER!$D$65:$D$105,JN557,axTER!$C$65:$C$105,JL557)/SUMIFS(axTER!$E$108:$E$114,axTER!$C$108:$C$114,JO557)/10^9*$D$514</f>
        <v>0.26646863277958327</v>
      </c>
      <c r="JR557" s="269">
        <v>400</v>
      </c>
      <c r="JS557" s="66" t="s">
        <v>269</v>
      </c>
      <c r="JT557" s="66" t="s">
        <v>265</v>
      </c>
      <c r="JU557" s="66" t="s">
        <v>266</v>
      </c>
      <c r="JV557" s="283" t="s">
        <v>256</v>
      </c>
      <c r="JW557" s="272">
        <f>$H557*SUMIFS(axTER!$E$65:$E$105,axTER!$C$65:$C$105,JS557,axTER!$D$65:$D$105,JU557)/SUMIFS(axTER!$E$108:$E$114,axTER!$C$108:$C$114,JV557)/10^9*$D$514</f>
        <v>0.26646863277958327</v>
      </c>
      <c r="JY557" s="273">
        <f t="shared" si="1010"/>
        <v>0</v>
      </c>
      <c r="JZ557" s="273">
        <f t="shared" si="1005"/>
        <v>0</v>
      </c>
      <c r="KA557" s="273">
        <f>$H557*IF(KE557&lt;&gt;JU557,SUMIFS(axTER!$E$121:$E$128,axTER!$C$121:$C$128,JU557,axTER!$D$121:$D$128,KE557),SUMIFS(axTER!$E$133:$E$138,axTER!$C$133:$C$138,KE557)*KD$510)*$D$514/10^6</f>
        <v>41.531634562130357</v>
      </c>
      <c r="KB557" s="274">
        <f>$H557*IF(KF557&lt;&gt;JV557,SUMIFS(axTER!$E$142:$E$148,axTER!$C$142:$C$148,KF557),SUMIFS(axTER!$E$151:$E$157,axTER!$C$151:$C$157,KF557)*KD$510)/10^6*$D$514</f>
        <v>17.443286516094755</v>
      </c>
      <c r="KC557" s="275" t="s">
        <v>269</v>
      </c>
      <c r="KD557" s="161" t="s">
        <v>265</v>
      </c>
      <c r="KE557" s="161" t="s">
        <v>266</v>
      </c>
      <c r="KF557" s="284" t="s">
        <v>256</v>
      </c>
      <c r="KG557" s="276">
        <f>$H557*SUMIFS(axTER!$E$65:$E$105,axTER!$D$65:$D$105,KE557,axTER!$C$65:$C$105,KC557)/SUMIFS(axTER!$E$108:$E$114,axTER!$C$108:$C$114,KF557)/10^9*$D$514</f>
        <v>0.26646863277958327</v>
      </c>
      <c r="KS557" s="273" t="str">
        <f t="shared" si="1011"/>
        <v>ELEC-PAC</v>
      </c>
      <c r="KT557" s="273">
        <f t="shared" si="1012"/>
        <v>0</v>
      </c>
      <c r="KU557" s="273">
        <f>$H557*IF(KY557&lt;&gt;KE557,SUMIFS(axTER!$E$121:$E$128,axTER!$C$121:$C$128,KE557,axTER!$D$121:$D$128,KY557),SUMIFS(axTER!$E$133:$E$138,axTER!$C$133:$C$138,KY557)*KX$510)*$D$514/10^6</f>
        <v>118.66181303465817</v>
      </c>
      <c r="KV557" s="274">
        <f>$H557*IF(KZ557&lt;&gt;KF557,SUMIFS(axTER!$E$142:$E$148,axTER!$C$142:$C$148,KZ557),SUMIFS(axTER!$E$151:$E$157,axTER!$C$151:$C$157,KZ557)*KX$510)/10^6*$D$514</f>
        <v>316.43150142575507</v>
      </c>
      <c r="KW557" s="275" t="s">
        <v>269</v>
      </c>
      <c r="KX557" s="161" t="s">
        <v>265</v>
      </c>
      <c r="KY557" s="161" t="s">
        <v>266</v>
      </c>
      <c r="KZ557" s="284" t="s">
        <v>261</v>
      </c>
      <c r="LA557" s="276">
        <f>$H557*SUMIFS(axTER!$E$65:$E$105,axTER!$D$65:$D$105,KY557,axTER!$C$65:$C$105,KW557)/SUMIFS(axTER!$E$108:$E$114,axTER!$C$108:$C$114,KZ557)/10^9*$D$514</f>
        <v>8.438173371353469E-2</v>
      </c>
      <c r="LC557" s="269">
        <v>400</v>
      </c>
      <c r="LD557" s="66" t="s">
        <v>269</v>
      </c>
      <c r="LE557" s="66" t="s">
        <v>265</v>
      </c>
      <c r="LF557" s="66" t="s">
        <v>266</v>
      </c>
      <c r="LG557" s="283" t="s">
        <v>256</v>
      </c>
      <c r="LH557" s="272">
        <f>$H557*SUMIFS(axTER!$E$65:$E$105,axTER!$C$65:$C$105,LD557,axTER!$D$65:$D$105,LF557)/SUMIFS(axTER!$E$108:$E$114,axTER!$C$108:$C$114,LG557)/10^9*$D$514</f>
        <v>0.26646863277958327</v>
      </c>
      <c r="LJ557" s="273">
        <f t="shared" si="1013"/>
        <v>0</v>
      </c>
      <c r="LK557" s="273">
        <f t="shared" si="1017"/>
        <v>0</v>
      </c>
      <c r="LL557" s="273">
        <f>$H557*IF(LP557&lt;&gt;LF557,SUMIFS(axTER!$E$121:$E$128,axTER!$C$121:$C$128,LF557,axTER!$D$121:$D$128,LP557),SUMIFS(axTER!$E$133:$E$138,axTER!$C$133:$C$138,LP557)*LO$510)*$D$514/10^6</f>
        <v>41.531634562130357</v>
      </c>
      <c r="LM557" s="274">
        <f>$H557*IF(LQ557&lt;&gt;LG557,SUMIFS(axTER!$E$142:$E$148,axTER!$C$142:$C$148,LQ557),SUMIFS(axTER!$E$151:$E$157,axTER!$C$151:$C$157,LQ557)*LO$510)/10^6*$D$514</f>
        <v>17.443286516094755</v>
      </c>
      <c r="LN557" s="275" t="s">
        <v>269</v>
      </c>
      <c r="LO557" s="161" t="s">
        <v>265</v>
      </c>
      <c r="LP557" s="161" t="s">
        <v>266</v>
      </c>
      <c r="LQ557" s="161" t="s">
        <v>256</v>
      </c>
      <c r="LR557" s="276">
        <f>$H557*SUMIFS(axTER!$E$65:$E$105,axTER!$D$65:$D$105,LP557,axTER!$C$65:$C$105,LN557)/SUMIFS(axTER!$E$108:$E$114,axTER!$C$108:$C$114,LQ557)/10^9*$D$514</f>
        <v>0.26646863277958327</v>
      </c>
      <c r="LT557" s="273">
        <f t="shared" si="1014"/>
        <v>0</v>
      </c>
      <c r="LU557" s="273">
        <f t="shared" si="1015"/>
        <v>0</v>
      </c>
      <c r="LV557" s="273">
        <f>$H557*IF(LZ557&lt;&gt;LP557,SUMIFS(axTER!$E$121:$E$128,axTER!$C$121:$C$128,LP557,axTER!$D$121:$D$128,LZ557),SUMIFS(axTER!$E$133:$E$138,axTER!$C$133:$C$138,LZ557)*LY$510)*$D$514/10^6</f>
        <v>59.330906517329083</v>
      </c>
      <c r="LW557" s="274">
        <f>$H557*IF(MA557&lt;&gt;LQ557,SUMIFS(axTER!$E$142:$E$148,axTER!$C$142:$C$148,MA557),SUMIFS(axTER!$E$151:$E$157,axTER!$C$151:$C$157,MA557)*LY$510)/10^6*$D$514</f>
        <v>24.918980737278218</v>
      </c>
      <c r="LX557" s="275" t="s">
        <v>269</v>
      </c>
      <c r="LY557" s="161" t="s">
        <v>265</v>
      </c>
      <c r="LZ557" s="161" t="s">
        <v>266</v>
      </c>
      <c r="MA557" s="161" t="s">
        <v>256</v>
      </c>
      <c r="MB557" s="276">
        <f>$H557*SUMIFS(axTER!$E$65:$E$105,axTER!$D$65:$D$105,LZ557,axTER!$C$65:$C$105,LX557)/SUMIFS(axTER!$E$108:$E$114,axTER!$C$108:$C$114,MA557)/10^9*$D$514</f>
        <v>0.26646863277958327</v>
      </c>
      <c r="MD557" s="273" t="str">
        <f t="shared" si="1018"/>
        <v>ELEC-PAC</v>
      </c>
      <c r="ME557" s="273">
        <f t="shared" si="1016"/>
        <v>0</v>
      </c>
      <c r="MF557" s="273">
        <f>$H557*IF(MJ557&lt;&gt;LZ557,SUMIFS(axTER!$E$121:$E$128,axTER!$C$121:$C$128,LZ557,axTER!$D$121:$D$128,MJ557),SUMIFS(axTER!$E$133:$E$138,axTER!$C$133:$C$138,MJ557)*MI$510)*$D$514/10^6</f>
        <v>59.330906517329083</v>
      </c>
      <c r="MG557" s="274">
        <f>$H557*IF(MK557&lt;&gt;MA557,SUMIFS(axTER!$E$142:$E$148,axTER!$C$142:$C$148,MK557),SUMIFS(axTER!$E$151:$E$157,axTER!$C$151:$C$157,MK557)*MI$510)/10^6*$D$514</f>
        <v>316.43150142575507</v>
      </c>
      <c r="MH557" s="275" t="s">
        <v>269</v>
      </c>
      <c r="MI557" s="161" t="s">
        <v>265</v>
      </c>
      <c r="MJ557" s="161" t="s">
        <v>266</v>
      </c>
      <c r="MK557" s="161" t="s">
        <v>261</v>
      </c>
      <c r="ML557" s="276">
        <f>$H557*SUMIFS(axTER!$E$65:$E$105,axTER!$D$65:$D$105,MJ557,axTER!$C$65:$C$105,MH557)/SUMIFS(axTER!$E$108:$E$114,axTER!$C$108:$C$114,MK557)/10^9*$D$514</f>
        <v>8.438173371353469E-2</v>
      </c>
    </row>
    <row r="558" spans="3:350" hidden="1" outlineLevel="1" x14ac:dyDescent="0.3">
      <c r="C558" s="265"/>
      <c r="D558" s="69"/>
      <c r="F558" s="266"/>
      <c r="H558" s="269">
        <v>400</v>
      </c>
      <c r="I558" s="66" t="s">
        <v>269</v>
      </c>
      <c r="J558" s="66" t="s">
        <v>265</v>
      </c>
      <c r="K558" s="66" t="s">
        <v>266</v>
      </c>
      <c r="L558" s="283" t="s">
        <v>258</v>
      </c>
      <c r="M558" s="272">
        <f>$H558*SUMIFS(axTER!$E$65:$E$105,axTER!$C$65:$C$105,I558,axTER!$D$65:$D$105,K558)/SUMIFS(axTER!$E$108:$E$114,axTER!$C$108:$C$114,L558)/10^9*$D$514</f>
        <v>0.25314520114060407</v>
      </c>
      <c r="S558" s="269">
        <v>400</v>
      </c>
      <c r="T558" s="66" t="s">
        <v>269</v>
      </c>
      <c r="U558" s="66" t="s">
        <v>265</v>
      </c>
      <c r="V558" s="66" t="s">
        <v>266</v>
      </c>
      <c r="W558" s="283" t="s">
        <v>258</v>
      </c>
      <c r="X558" s="272">
        <f>$H558*SUMIFS(axTER!$E$65:$E$105,axTER!$C$65:$C$105,T558,axTER!$D$65:$D$105,V558)/SUMIFS(axTER!$E$108:$E$114,axTER!$C$108:$C$114,W558)/10^9*$D$514</f>
        <v>0.25314520114060407</v>
      </c>
      <c r="AB558" s="273">
        <f>$H558*IF(AF558&lt;&gt;K558,SUMIFS(axTER!$E$121:$E$128,axTER!$C$121:$C$128,K558,axTER!$D$121:$D$128,AF558),SUMIFS(axTER!$E$133:$E$138,axTER!$C$133:$C$138,AF558)*AE$510)*$D$514/10^6</f>
        <v>59.330906517329083</v>
      </c>
      <c r="AC558" s="274">
        <f>$H558*IF(AG558&lt;&gt;L558,SUMIFS(axTER!$E$142:$E$148,axTER!$C$142:$C$148,AG558),SUMIFS(axTER!$E$151:$E$157,axTER!$C$151:$C$157,AG558)*AE$510)/10^6*$D$514</f>
        <v>42.916022380868043</v>
      </c>
      <c r="AD558" s="275" t="s">
        <v>269</v>
      </c>
      <c r="AE558" s="161" t="s">
        <v>265</v>
      </c>
      <c r="AF558" s="161" t="s">
        <v>266</v>
      </c>
      <c r="AG558" s="284" t="s">
        <v>258</v>
      </c>
      <c r="AH558" s="276">
        <f>$H558*SUMIFS(axTER!$E$65:$E$105,axTER!$D$65:$D$105,AF558,axTER!$C$65:$C$105,AD558)/SUMIFS(axTER!$E$108:$E$114,axTER!$C$108:$C$114,AG558)/10^9*$D$514</f>
        <v>0.25314520114060407</v>
      </c>
      <c r="AV558" s="273">
        <f>$H558*IF(AZ558&lt;&gt;AF558,SUMIFS(axTER!$E$121:$E$128,axTER!$C$121:$C$128,AF558,axTER!$D$121:$D$128,AZ558),SUMIFS(axTER!$E$133:$E$138,axTER!$C$133:$C$138,AZ558)*AY$510)*$D$514/10^6</f>
        <v>118.66181303465817</v>
      </c>
      <c r="AW558" s="274">
        <f>$H558*IF(BA558&lt;&gt;AG558,SUMIFS(axTER!$E$142:$E$148,axTER!$C$142:$C$148,BA558),SUMIFS(axTER!$E$151:$E$157,axTER!$C$151:$C$157,BA558)*AY$510)/10^6*$D$514</f>
        <v>85.832044761736086</v>
      </c>
      <c r="AX558" s="275" t="s">
        <v>269</v>
      </c>
      <c r="AY558" s="161" t="s">
        <v>265</v>
      </c>
      <c r="AZ558" s="161" t="s">
        <v>266</v>
      </c>
      <c r="BA558" s="284" t="s">
        <v>258</v>
      </c>
      <c r="BB558" s="276">
        <f>$H558*SUMIFS(axTER!$E$65:$E$105,axTER!$D$65:$D$105,AZ558,axTER!$C$65:$C$105,AX558)/SUMIFS(axTER!$E$108:$E$114,axTER!$C$108:$C$114,BA558)/10^9*$D$514</f>
        <v>0.25314520114060407</v>
      </c>
      <c r="IG558" s="269">
        <v>400</v>
      </c>
      <c r="IH558" s="66" t="s">
        <v>269</v>
      </c>
      <c r="II558" s="66" t="s">
        <v>265</v>
      </c>
      <c r="IJ558" s="66" t="s">
        <v>266</v>
      </c>
      <c r="IK558" s="283" t="s">
        <v>258</v>
      </c>
      <c r="IL558" s="272">
        <f>$H558*SUMIFS(axTER!$E$65:$E$105,axTER!$C$65:$C$105,IH558,axTER!$D$65:$D$105,IJ558)/SUMIFS(axTER!$E$108:$E$114,axTER!$C$108:$C$114,IK558)/10^9*$D$514</f>
        <v>0.25314520114060407</v>
      </c>
      <c r="IO558" s="273">
        <f t="shared" si="1008"/>
        <v>0</v>
      </c>
      <c r="IP558" s="273">
        <f>$H558*IF(IT558&lt;&gt;IJ558,SUMIFS(axTER!$E$121:$E$128,axTER!$C$121:$C$128,IJ558,axTER!$D$121:$D$128,IT558),SUMIFS(axTER!$E$133:$E$138,axTER!$C$133:$C$138,IT558)*IS$510)*$D$514/10^6</f>
        <v>59.330906517329083</v>
      </c>
      <c r="IQ558" s="274">
        <f>$H558*IF(IU558&lt;&gt;IK558,SUMIFS(axTER!$E$142:$E$148,axTER!$C$142:$C$148,IU558),SUMIFS(axTER!$E$151:$E$157,axTER!$C$151:$C$157,IU558)*IS$510)/10^6*$D$514</f>
        <v>42.916022380868043</v>
      </c>
      <c r="IR558" s="275" t="s">
        <v>269</v>
      </c>
      <c r="IS558" s="161" t="s">
        <v>265</v>
      </c>
      <c r="IT558" s="161" t="s">
        <v>266</v>
      </c>
      <c r="IU558" s="284" t="s">
        <v>258</v>
      </c>
      <c r="IV558" s="276">
        <f>$H558*SUMIFS(axTER!$E$65:$E$105,axTER!$D$65:$D$105,IT558,axTER!$C$65:$C$105,IR558)/SUMIFS(axTER!$E$108:$E$114,axTER!$C$108:$C$114,IU558)/10^9*$D$514</f>
        <v>0.25314520114060407</v>
      </c>
      <c r="JI558" s="273">
        <f t="shared" si="1009"/>
        <v>0</v>
      </c>
      <c r="JJ558" s="273">
        <f>$H558*IF(JN558&lt;&gt;IT558,SUMIFS(axTER!$E$121:$E$128,axTER!$C$121:$C$128,IT558,axTER!$D$121:$D$128,JN558),SUMIFS(axTER!$E$133:$E$138,axTER!$C$133:$C$138,JN558)*JM$510)*$D$514/10^6</f>
        <v>118.66181303465817</v>
      </c>
      <c r="JK558" s="274">
        <f>$H558*IF(JO558&lt;&gt;IU558,SUMIFS(axTER!$E$142:$E$148,axTER!$C$142:$C$148,JO558),SUMIFS(axTER!$E$151:$E$157,axTER!$C$151:$C$157,JO558)*JM$510)/10^6*$D$514</f>
        <v>85.832044761736086</v>
      </c>
      <c r="JL558" s="275" t="s">
        <v>269</v>
      </c>
      <c r="JM558" s="161" t="s">
        <v>265</v>
      </c>
      <c r="JN558" s="161" t="s">
        <v>266</v>
      </c>
      <c r="JO558" s="284" t="s">
        <v>258</v>
      </c>
      <c r="JP558" s="276">
        <f>$H558*SUMIFS(axTER!$E$65:$E$105,axTER!$D$65:$D$105,JN558,axTER!$C$65:$C$105,JL558)/SUMIFS(axTER!$E$108:$E$114,axTER!$C$108:$C$114,JO558)/10^9*$D$514</f>
        <v>0.25314520114060407</v>
      </c>
      <c r="JR558" s="269">
        <v>400</v>
      </c>
      <c r="JS558" s="66" t="s">
        <v>269</v>
      </c>
      <c r="JT558" s="66" t="s">
        <v>265</v>
      </c>
      <c r="JU558" s="66" t="s">
        <v>266</v>
      </c>
      <c r="JV558" s="283" t="s">
        <v>258</v>
      </c>
      <c r="JW558" s="272">
        <f>$H558*SUMIFS(axTER!$E$65:$E$105,axTER!$C$65:$C$105,JS558,axTER!$D$65:$D$105,JU558)/SUMIFS(axTER!$E$108:$E$114,axTER!$C$108:$C$114,JV558)/10^9*$D$514</f>
        <v>0.25314520114060407</v>
      </c>
      <c r="JY558" s="273">
        <f t="shared" si="1010"/>
        <v>0</v>
      </c>
      <c r="JZ558" s="273">
        <f t="shared" si="1005"/>
        <v>0</v>
      </c>
      <c r="KA558" s="273">
        <f>$H558*IF(KE558&lt;&gt;JU558,SUMIFS(axTER!$E$121:$E$128,axTER!$C$121:$C$128,JU558,axTER!$D$121:$D$128,KE558),SUMIFS(axTER!$E$133:$E$138,axTER!$C$133:$C$138,KE558)*KD$510)*$D$514/10^6</f>
        <v>41.531634562130357</v>
      </c>
      <c r="KB558" s="274">
        <f>$H558*IF(KF558&lt;&gt;JV558,SUMIFS(axTER!$E$142:$E$148,axTER!$C$142:$C$148,KF558),SUMIFS(axTER!$E$151:$E$157,axTER!$C$151:$C$157,KF558)*KD$510)/10^6*$D$514</f>
        <v>30.041215666607627</v>
      </c>
      <c r="KC558" s="275" t="s">
        <v>269</v>
      </c>
      <c r="KD558" s="161" t="s">
        <v>265</v>
      </c>
      <c r="KE558" s="161" t="s">
        <v>266</v>
      </c>
      <c r="KF558" s="284" t="s">
        <v>258</v>
      </c>
      <c r="KG558" s="276">
        <f>$H558*SUMIFS(axTER!$E$65:$E$105,axTER!$D$65:$D$105,KE558,axTER!$C$65:$C$105,KC558)/SUMIFS(axTER!$E$108:$E$114,axTER!$C$108:$C$114,KF558)/10^9*$D$514</f>
        <v>0.25314520114060407</v>
      </c>
      <c r="KS558" s="273">
        <f t="shared" si="1011"/>
        <v>0</v>
      </c>
      <c r="KT558" s="273">
        <f t="shared" si="1012"/>
        <v>0</v>
      </c>
      <c r="KU558" s="273">
        <f>$H558*IF(KY558&lt;&gt;KE558,SUMIFS(axTER!$E$121:$E$128,axTER!$C$121:$C$128,KE558,axTER!$D$121:$D$128,KY558),SUMIFS(axTER!$E$133:$E$138,axTER!$C$133:$C$138,KY558)*KX$510)*$D$514/10^6</f>
        <v>118.66181303465817</v>
      </c>
      <c r="KV558" s="274">
        <f>$H558*IF(KZ558&lt;&gt;KF558,SUMIFS(axTER!$E$142:$E$148,axTER!$C$142:$C$148,KZ558),SUMIFS(axTER!$E$151:$E$157,axTER!$C$151:$C$157,KZ558)*KX$510)/10^6*$D$514</f>
        <v>85.832044761736086</v>
      </c>
      <c r="KW558" s="275" t="s">
        <v>269</v>
      </c>
      <c r="KX558" s="161" t="s">
        <v>265</v>
      </c>
      <c r="KY558" s="161" t="s">
        <v>266</v>
      </c>
      <c r="KZ558" s="284" t="s">
        <v>258</v>
      </c>
      <c r="LA558" s="276">
        <f>$H558*SUMIFS(axTER!$E$65:$E$105,axTER!$D$65:$D$105,KY558,axTER!$C$65:$C$105,KW558)/SUMIFS(axTER!$E$108:$E$114,axTER!$C$108:$C$114,KZ558)/10^9*$D$514</f>
        <v>0.25314520114060407</v>
      </c>
      <c r="LC558" s="269">
        <v>400</v>
      </c>
      <c r="LD558" s="66" t="s">
        <v>269</v>
      </c>
      <c r="LE558" s="66" t="s">
        <v>265</v>
      </c>
      <c r="LF558" s="66" t="s">
        <v>266</v>
      </c>
      <c r="LG558" s="283" t="s">
        <v>258</v>
      </c>
      <c r="LH558" s="272">
        <f>$H558*SUMIFS(axTER!$E$65:$E$105,axTER!$C$65:$C$105,LD558,axTER!$D$65:$D$105,LF558)/SUMIFS(axTER!$E$108:$E$114,axTER!$C$108:$C$114,LG558)/10^9*$D$514</f>
        <v>0.25314520114060407</v>
      </c>
      <c r="LJ558" s="273">
        <f t="shared" si="1013"/>
        <v>0</v>
      </c>
      <c r="LK558" s="273">
        <f t="shared" si="1017"/>
        <v>0</v>
      </c>
      <c r="LL558" s="273">
        <f>$H558*IF(LP558&lt;&gt;LF558,SUMIFS(axTER!$E$121:$E$128,axTER!$C$121:$C$128,LF558,axTER!$D$121:$D$128,LP558),SUMIFS(axTER!$E$133:$E$138,axTER!$C$133:$C$138,LP558)*LO$510)*$D$514/10^6</f>
        <v>41.531634562130357</v>
      </c>
      <c r="LM558" s="274">
        <f>$H558*IF(LQ558&lt;&gt;LG558,SUMIFS(axTER!$E$142:$E$148,axTER!$C$142:$C$148,LQ558),SUMIFS(axTER!$E$151:$E$157,axTER!$C$151:$C$157,LQ558)*LO$510)/10^6*$D$514</f>
        <v>30.041215666607627</v>
      </c>
      <c r="LN558" s="275" t="s">
        <v>269</v>
      </c>
      <c r="LO558" s="161" t="s">
        <v>265</v>
      </c>
      <c r="LP558" s="161" t="s">
        <v>266</v>
      </c>
      <c r="LQ558" s="161" t="s">
        <v>258</v>
      </c>
      <c r="LR558" s="276">
        <f>$H558*SUMIFS(axTER!$E$65:$E$105,axTER!$D$65:$D$105,LP558,axTER!$C$65:$C$105,LN558)/SUMIFS(axTER!$E$108:$E$114,axTER!$C$108:$C$114,LQ558)/10^9*$D$514</f>
        <v>0.25314520114060407</v>
      </c>
      <c r="LT558" s="273">
        <f t="shared" si="1014"/>
        <v>0</v>
      </c>
      <c r="LU558" s="273">
        <f t="shared" si="1015"/>
        <v>0</v>
      </c>
      <c r="LV558" s="273">
        <f>$H558*IF(LZ558&lt;&gt;LP558,SUMIFS(axTER!$E$121:$E$128,axTER!$C$121:$C$128,LP558,axTER!$D$121:$D$128,LZ558),SUMIFS(axTER!$E$133:$E$138,axTER!$C$133:$C$138,LZ558)*LY$510)*$D$514/10^6</f>
        <v>59.330906517329083</v>
      </c>
      <c r="LW558" s="274">
        <f>$H558*IF(MA558&lt;&gt;LQ558,SUMIFS(axTER!$E$142:$E$148,axTER!$C$142:$C$148,MA558),SUMIFS(axTER!$E$151:$E$157,axTER!$C$151:$C$157,MA558)*LY$510)/10^6*$D$514</f>
        <v>42.916022380868043</v>
      </c>
      <c r="LX558" s="275" t="s">
        <v>269</v>
      </c>
      <c r="LY558" s="161" t="s">
        <v>265</v>
      </c>
      <c r="LZ558" s="161" t="s">
        <v>266</v>
      </c>
      <c r="MA558" s="161" t="s">
        <v>258</v>
      </c>
      <c r="MB558" s="276">
        <f>$H558*SUMIFS(axTER!$E$65:$E$105,axTER!$D$65:$D$105,LZ558,axTER!$C$65:$C$105,LX558)/SUMIFS(axTER!$E$108:$E$114,axTER!$C$108:$C$114,MA558)/10^9*$D$514</f>
        <v>0.25314520114060407</v>
      </c>
      <c r="MD558" s="273">
        <f t="shared" si="1018"/>
        <v>0</v>
      </c>
      <c r="ME558" s="273">
        <f t="shared" si="1016"/>
        <v>0</v>
      </c>
      <c r="MF558" s="273">
        <f>$H558*IF(MJ558&lt;&gt;LZ558,SUMIFS(axTER!$E$121:$E$128,axTER!$C$121:$C$128,LZ558,axTER!$D$121:$D$128,MJ558),SUMIFS(axTER!$E$133:$E$138,axTER!$C$133:$C$138,MJ558)*MI$510)*$D$514/10^6</f>
        <v>59.330906517329083</v>
      </c>
      <c r="MG558" s="274">
        <f>$H558*IF(MK558&lt;&gt;MA558,SUMIFS(axTER!$E$142:$E$148,axTER!$C$142:$C$148,MK558),SUMIFS(axTER!$E$151:$E$157,axTER!$C$151:$C$157,MK558)*MI$510)/10^6*$D$514</f>
        <v>42.916022380868043</v>
      </c>
      <c r="MH558" s="275" t="s">
        <v>269</v>
      </c>
      <c r="MI558" s="161" t="s">
        <v>265</v>
      </c>
      <c r="MJ558" s="161" t="s">
        <v>266</v>
      </c>
      <c r="MK558" s="161" t="s">
        <v>258</v>
      </c>
      <c r="ML558" s="276">
        <f>$H558*SUMIFS(axTER!$E$65:$E$105,axTER!$D$65:$D$105,MJ558,axTER!$C$65:$C$105,MH558)/SUMIFS(axTER!$E$108:$E$114,axTER!$C$108:$C$114,MK558)/10^9*$D$514</f>
        <v>0.25314520114060407</v>
      </c>
    </row>
    <row r="559" spans="3:350" hidden="1" outlineLevel="1" x14ac:dyDescent="0.3">
      <c r="C559" s="269"/>
      <c r="D559" s="69"/>
      <c r="F559" s="266"/>
      <c r="H559" s="269">
        <v>400</v>
      </c>
      <c r="I559" s="66" t="s">
        <v>269</v>
      </c>
      <c r="J559" s="66" t="s">
        <v>265</v>
      </c>
      <c r="K559" s="66" t="s">
        <v>266</v>
      </c>
      <c r="L559" s="283" t="s">
        <v>270</v>
      </c>
      <c r="M559" s="272">
        <f>$H559*SUMIFS(axTER!$E$65:$E$105,axTER!$C$65:$C$105,I559,axTER!$D$65:$D$105,K559)/SUMIFS(axTER!$E$108:$E$114,axTER!$C$108:$C$114,L559)/10^9*$D$514</f>
        <v>0.25314520114060407</v>
      </c>
      <c r="S559" s="269">
        <v>400</v>
      </c>
      <c r="T559" s="66" t="s">
        <v>269</v>
      </c>
      <c r="U559" s="66" t="s">
        <v>265</v>
      </c>
      <c r="V559" s="66" t="s">
        <v>266</v>
      </c>
      <c r="W559" s="283" t="s">
        <v>270</v>
      </c>
      <c r="X559" s="272">
        <f>$H559*SUMIFS(axTER!$E$65:$E$105,axTER!$C$65:$C$105,T559,axTER!$D$65:$D$105,V559)/SUMIFS(axTER!$E$108:$E$114,axTER!$C$108:$C$114,W559)/10^9*$D$514</f>
        <v>0.25314520114060407</v>
      </c>
      <c r="AB559" s="273">
        <f>$H559*IF(AF559&lt;&gt;K559,SUMIFS(axTER!$E$121:$E$128,axTER!$C$121:$C$128,K559,axTER!$D$121:$D$128,AF559),SUMIFS(axTER!$E$133:$E$138,axTER!$C$133:$C$138,AF559)*AE$510)*$D$514/10^6</f>
        <v>59.330906517329083</v>
      </c>
      <c r="AC559" s="274">
        <f>$H559*IF(AG559&lt;&gt;L559,SUMIFS(axTER!$E$142:$E$148,axTER!$C$142:$C$148,AG559),SUMIFS(axTER!$E$151:$E$157,axTER!$C$151:$C$157,AG559)*AE$510)/10^6*$D$514</f>
        <v>42.916022380868043</v>
      </c>
      <c r="AD559" s="275" t="s">
        <v>269</v>
      </c>
      <c r="AE559" s="161" t="s">
        <v>265</v>
      </c>
      <c r="AF559" s="161" t="s">
        <v>266</v>
      </c>
      <c r="AG559" s="284" t="s">
        <v>270</v>
      </c>
      <c r="AH559" s="276">
        <f>$H559*SUMIFS(axTER!$E$65:$E$105,axTER!$D$65:$D$105,AF559,axTER!$C$65:$C$105,AD559)/SUMIFS(axTER!$E$108:$E$114,axTER!$C$108:$C$114,AG559)/10^9*$D$514</f>
        <v>0.25314520114060407</v>
      </c>
      <c r="AV559" s="273">
        <f>$H559*IF(AZ559&lt;&gt;AF559,SUMIFS(axTER!$E$121:$E$128,axTER!$C$121:$C$128,AF559,axTER!$D$121:$D$128,AZ559),SUMIFS(axTER!$E$133:$E$138,axTER!$C$133:$C$138,AZ559)*AY$510)*$D$514/10^6</f>
        <v>118.66181303465817</v>
      </c>
      <c r="AW559" s="274">
        <f>$H559*IF(BA559&lt;&gt;AG559,SUMIFS(axTER!$E$142:$E$148,axTER!$C$142:$C$148,BA559),SUMIFS(axTER!$E$151:$E$157,axTER!$C$151:$C$157,BA559)*AY$510)/10^6*$D$514</f>
        <v>85.832044761736086</v>
      </c>
      <c r="AX559" s="275" t="s">
        <v>269</v>
      </c>
      <c r="AY559" s="161" t="s">
        <v>265</v>
      </c>
      <c r="AZ559" s="161" t="s">
        <v>266</v>
      </c>
      <c r="BA559" s="284" t="s">
        <v>270</v>
      </c>
      <c r="BB559" s="276">
        <f>$H559*SUMIFS(axTER!$E$65:$E$105,axTER!$D$65:$D$105,AZ559,axTER!$C$65:$C$105,AX559)/SUMIFS(axTER!$E$108:$E$114,axTER!$C$108:$C$114,BA559)/10^9*$D$514</f>
        <v>0.25314520114060407</v>
      </c>
      <c r="IG559" s="269">
        <v>400</v>
      </c>
      <c r="IH559" s="66" t="s">
        <v>269</v>
      </c>
      <c r="II559" s="66" t="s">
        <v>265</v>
      </c>
      <c r="IJ559" s="66" t="s">
        <v>266</v>
      </c>
      <c r="IK559" s="283" t="s">
        <v>270</v>
      </c>
      <c r="IL559" s="272">
        <f>$H559*SUMIFS(axTER!$E$65:$E$105,axTER!$C$65:$C$105,IH559,axTER!$D$65:$D$105,IJ559)/SUMIFS(axTER!$E$108:$E$114,axTER!$C$108:$C$114,IK559)/10^9*$D$514</f>
        <v>0.25314520114060407</v>
      </c>
      <c r="IO559" s="273">
        <f t="shared" si="1008"/>
        <v>0</v>
      </c>
      <c r="IP559" s="273">
        <f>$H559*IF(IT559&lt;&gt;IJ559,SUMIFS(axTER!$E$121:$E$128,axTER!$C$121:$C$128,IJ559,axTER!$D$121:$D$128,IT559),SUMIFS(axTER!$E$133:$E$138,axTER!$C$133:$C$138,IT559)*IS$510)*$D$514/10^6</f>
        <v>59.330906517329083</v>
      </c>
      <c r="IQ559" s="274">
        <f>$H559*IF(IU559&lt;&gt;IK559,SUMIFS(axTER!$E$142:$E$148,axTER!$C$142:$C$148,IU559),SUMIFS(axTER!$E$151:$E$157,axTER!$C$151:$C$157,IU559)*IS$510)/10^6*$D$514</f>
        <v>42.916022380868043</v>
      </c>
      <c r="IR559" s="275" t="s">
        <v>269</v>
      </c>
      <c r="IS559" s="161" t="s">
        <v>265</v>
      </c>
      <c r="IT559" s="161" t="s">
        <v>266</v>
      </c>
      <c r="IU559" s="284" t="s">
        <v>270</v>
      </c>
      <c r="IV559" s="276">
        <f>$H559*SUMIFS(axTER!$E$65:$E$105,axTER!$D$65:$D$105,IT559,axTER!$C$65:$C$105,IR559)/SUMIFS(axTER!$E$108:$E$114,axTER!$C$108:$C$114,IU559)/10^9*$D$514</f>
        <v>0.25314520114060407</v>
      </c>
      <c r="JI559" s="273">
        <f t="shared" si="1009"/>
        <v>0</v>
      </c>
      <c r="JJ559" s="273">
        <f>$H559*IF(JN559&lt;&gt;IT559,SUMIFS(axTER!$E$121:$E$128,axTER!$C$121:$C$128,IT559,axTER!$D$121:$D$128,JN559),SUMIFS(axTER!$E$133:$E$138,axTER!$C$133:$C$138,JN559)*JM$510)*$D$514/10^6</f>
        <v>118.66181303465817</v>
      </c>
      <c r="JK559" s="274">
        <f>$H559*IF(JO559&lt;&gt;IU559,SUMIFS(axTER!$E$142:$E$148,axTER!$C$142:$C$148,JO559),SUMIFS(axTER!$E$151:$E$157,axTER!$C$151:$C$157,JO559)*JM$510)/10^6*$D$514</f>
        <v>85.832044761736086</v>
      </c>
      <c r="JL559" s="275" t="s">
        <v>269</v>
      </c>
      <c r="JM559" s="161" t="s">
        <v>265</v>
      </c>
      <c r="JN559" s="161" t="s">
        <v>266</v>
      </c>
      <c r="JO559" s="284" t="s">
        <v>270</v>
      </c>
      <c r="JP559" s="276">
        <f>$H559*SUMIFS(axTER!$E$65:$E$105,axTER!$D$65:$D$105,JN559,axTER!$C$65:$C$105,JL559)/SUMIFS(axTER!$E$108:$E$114,axTER!$C$108:$C$114,JO559)/10^9*$D$514</f>
        <v>0.25314520114060407</v>
      </c>
      <c r="JR559" s="269">
        <v>400</v>
      </c>
      <c r="JS559" s="66" t="s">
        <v>269</v>
      </c>
      <c r="JT559" s="66" t="s">
        <v>265</v>
      </c>
      <c r="JU559" s="66" t="s">
        <v>266</v>
      </c>
      <c r="JV559" s="283" t="s">
        <v>270</v>
      </c>
      <c r="JW559" s="272">
        <f>$H559*SUMIFS(axTER!$E$65:$E$105,axTER!$C$65:$C$105,JS559,axTER!$D$65:$D$105,JU559)/SUMIFS(axTER!$E$108:$E$114,axTER!$C$108:$C$114,JV559)/10^9*$D$514</f>
        <v>0.25314520114060407</v>
      </c>
      <c r="JY559" s="273">
        <f t="shared" si="1010"/>
        <v>0</v>
      </c>
      <c r="JZ559" s="273">
        <f t="shared" si="1005"/>
        <v>0</v>
      </c>
      <c r="KA559" s="273">
        <f>$H559*IF(KE559&lt;&gt;JU559,SUMIFS(axTER!$E$121:$E$128,axTER!$C$121:$C$128,JU559,axTER!$D$121:$D$128,KE559),SUMIFS(axTER!$E$133:$E$138,axTER!$C$133:$C$138,KE559)*KD$510)*$D$514/10^6</f>
        <v>41.531634562130357</v>
      </c>
      <c r="KB559" s="274">
        <f>$H559*IF(KF559&lt;&gt;JV559,SUMIFS(axTER!$E$142:$E$148,axTER!$C$142:$C$148,KF559),SUMIFS(axTER!$E$151:$E$157,axTER!$C$151:$C$157,KF559)*KD$510)/10^6*$D$514</f>
        <v>30.041215666607627</v>
      </c>
      <c r="KC559" s="275" t="s">
        <v>269</v>
      </c>
      <c r="KD559" s="161" t="s">
        <v>265</v>
      </c>
      <c r="KE559" s="161" t="s">
        <v>266</v>
      </c>
      <c r="KF559" s="284" t="s">
        <v>270</v>
      </c>
      <c r="KG559" s="276">
        <f>$H559*SUMIFS(axTER!$E$65:$E$105,axTER!$D$65:$D$105,KE559,axTER!$C$65:$C$105,KC559)/SUMIFS(axTER!$E$108:$E$114,axTER!$C$108:$C$114,KF559)/10^9*$D$514</f>
        <v>0.25314520114060407</v>
      </c>
      <c r="KS559" s="273">
        <f t="shared" si="1011"/>
        <v>0</v>
      </c>
      <c r="KT559" s="273">
        <f t="shared" si="1012"/>
        <v>0</v>
      </c>
      <c r="KU559" s="273">
        <f>$H559*IF(KY559&lt;&gt;KE559,SUMIFS(axTER!$E$121:$E$128,axTER!$C$121:$C$128,KE559,axTER!$D$121:$D$128,KY559),SUMIFS(axTER!$E$133:$E$138,axTER!$C$133:$C$138,KY559)*KX$510)*$D$514/10^6</f>
        <v>118.66181303465817</v>
      </c>
      <c r="KV559" s="274">
        <f>$H559*IF(KZ559&lt;&gt;KF559,SUMIFS(axTER!$E$142:$E$148,axTER!$C$142:$C$148,KZ559),SUMIFS(axTER!$E$151:$E$157,axTER!$C$151:$C$157,KZ559)*KX$510)/10^6*$D$514</f>
        <v>85.832044761736086</v>
      </c>
      <c r="KW559" s="275" t="s">
        <v>269</v>
      </c>
      <c r="KX559" s="161" t="s">
        <v>265</v>
      </c>
      <c r="KY559" s="161" t="s">
        <v>266</v>
      </c>
      <c r="KZ559" s="284" t="s">
        <v>270</v>
      </c>
      <c r="LA559" s="276">
        <f>$H559*SUMIFS(axTER!$E$65:$E$105,axTER!$D$65:$D$105,KY559,axTER!$C$65:$C$105,KW559)/SUMIFS(axTER!$E$108:$E$114,axTER!$C$108:$C$114,KZ559)/10^9*$D$514</f>
        <v>0.25314520114060407</v>
      </c>
      <c r="LC559" s="269">
        <v>400</v>
      </c>
      <c r="LD559" s="66" t="s">
        <v>269</v>
      </c>
      <c r="LE559" s="66" t="s">
        <v>265</v>
      </c>
      <c r="LF559" s="66" t="s">
        <v>266</v>
      </c>
      <c r="LG559" s="283" t="s">
        <v>270</v>
      </c>
      <c r="LH559" s="272">
        <f>$H559*SUMIFS(axTER!$E$65:$E$105,axTER!$C$65:$C$105,LD559,axTER!$D$65:$D$105,LF559)/SUMIFS(axTER!$E$108:$E$114,axTER!$C$108:$C$114,LG559)/10^9*$D$514</f>
        <v>0.25314520114060407</v>
      </c>
      <c r="LJ559" s="273">
        <f t="shared" si="1013"/>
        <v>0</v>
      </c>
      <c r="LK559" s="273">
        <f t="shared" si="1017"/>
        <v>0</v>
      </c>
      <c r="LL559" s="273">
        <f>$H559*IF(LP559&lt;&gt;LF559,SUMIFS(axTER!$E$121:$E$128,axTER!$C$121:$C$128,LF559,axTER!$D$121:$D$128,LP559),SUMIFS(axTER!$E$133:$E$138,axTER!$C$133:$C$138,LP559)*LO$510)*$D$514/10^6</f>
        <v>41.531634562130357</v>
      </c>
      <c r="LM559" s="274">
        <f>$H559*IF(LQ559&lt;&gt;LG559,SUMIFS(axTER!$E$142:$E$148,axTER!$C$142:$C$148,LQ559),SUMIFS(axTER!$E$151:$E$157,axTER!$C$151:$C$157,LQ559)*LO$510)/10^6*$D$514</f>
        <v>30.041215666607627</v>
      </c>
      <c r="LN559" s="275" t="s">
        <v>269</v>
      </c>
      <c r="LO559" s="161" t="s">
        <v>265</v>
      </c>
      <c r="LP559" s="161" t="s">
        <v>266</v>
      </c>
      <c r="LQ559" s="161" t="s">
        <v>270</v>
      </c>
      <c r="LR559" s="276">
        <f>$H559*SUMIFS(axTER!$E$65:$E$105,axTER!$D$65:$D$105,LP559,axTER!$C$65:$C$105,LN559)/SUMIFS(axTER!$E$108:$E$114,axTER!$C$108:$C$114,LQ559)/10^9*$D$514</f>
        <v>0.25314520114060407</v>
      </c>
      <c r="LT559" s="273">
        <f t="shared" si="1014"/>
        <v>0</v>
      </c>
      <c r="LU559" s="273">
        <f t="shared" si="1015"/>
        <v>0</v>
      </c>
      <c r="LV559" s="273">
        <f>$H559*IF(LZ559&lt;&gt;LP559,SUMIFS(axTER!$E$121:$E$128,axTER!$C$121:$C$128,LP559,axTER!$D$121:$D$128,LZ559),SUMIFS(axTER!$E$133:$E$138,axTER!$C$133:$C$138,LZ559)*LY$510)*$D$514/10^6</f>
        <v>59.330906517329083</v>
      </c>
      <c r="LW559" s="274">
        <f>$H559*IF(MA559&lt;&gt;LQ559,SUMIFS(axTER!$E$142:$E$148,axTER!$C$142:$C$148,MA559),SUMIFS(axTER!$E$151:$E$157,axTER!$C$151:$C$157,MA559)*LY$510)/10^6*$D$514</f>
        <v>42.916022380868043</v>
      </c>
      <c r="LX559" s="275" t="s">
        <v>269</v>
      </c>
      <c r="LY559" s="161" t="s">
        <v>265</v>
      </c>
      <c r="LZ559" s="161" t="s">
        <v>266</v>
      </c>
      <c r="MA559" s="161" t="s">
        <v>270</v>
      </c>
      <c r="MB559" s="276">
        <f>$H559*SUMIFS(axTER!$E$65:$E$105,axTER!$D$65:$D$105,LZ559,axTER!$C$65:$C$105,LX559)/SUMIFS(axTER!$E$108:$E$114,axTER!$C$108:$C$114,MA559)/10^9*$D$514</f>
        <v>0.25314520114060407</v>
      </c>
      <c r="MD559" s="273">
        <f t="shared" si="1018"/>
        <v>0</v>
      </c>
      <c r="ME559" s="273">
        <f t="shared" si="1016"/>
        <v>0</v>
      </c>
      <c r="MF559" s="273">
        <f>$H559*IF(MJ559&lt;&gt;LZ559,SUMIFS(axTER!$E$121:$E$128,axTER!$C$121:$C$128,LZ559,axTER!$D$121:$D$128,MJ559),SUMIFS(axTER!$E$133:$E$138,axTER!$C$133:$C$138,MJ559)*MI$510)*$D$514/10^6</f>
        <v>59.330906517329083</v>
      </c>
      <c r="MG559" s="274">
        <f>$H559*IF(MK559&lt;&gt;MA559,SUMIFS(axTER!$E$142:$E$148,axTER!$C$142:$C$148,MK559),SUMIFS(axTER!$E$151:$E$157,axTER!$C$151:$C$157,MK559)*MI$510)/10^6*$D$514</f>
        <v>42.916022380868043</v>
      </c>
      <c r="MH559" s="275" t="s">
        <v>269</v>
      </c>
      <c r="MI559" s="161" t="s">
        <v>265</v>
      </c>
      <c r="MJ559" s="161" t="s">
        <v>266</v>
      </c>
      <c r="MK559" s="161" t="s">
        <v>270</v>
      </c>
      <c r="ML559" s="276">
        <f>$H559*SUMIFS(axTER!$E$65:$E$105,axTER!$D$65:$D$105,MJ559,axTER!$C$65:$C$105,MH559)/SUMIFS(axTER!$E$108:$E$114,axTER!$C$108:$C$114,MK559)/10^9*$D$514</f>
        <v>0.25314520114060407</v>
      </c>
    </row>
    <row r="560" spans="3:350" outlineLevel="1" x14ac:dyDescent="0.3">
      <c r="C560" s="269"/>
      <c r="D560" s="69"/>
      <c r="F560" s="266"/>
      <c r="H560" s="269">
        <v>400</v>
      </c>
      <c r="I560" s="66" t="s">
        <v>269</v>
      </c>
      <c r="J560" s="66" t="s">
        <v>265</v>
      </c>
      <c r="K560" s="66" t="s">
        <v>255</v>
      </c>
      <c r="L560" s="283" t="s">
        <v>267</v>
      </c>
      <c r="M560" s="272">
        <f>$H560*SUMIFS(axTER!$E$65:$E$105,axTER!$C$65:$C$105,I560,axTER!$D$65:$D$105,K560)/SUMIFS(axTER!$E$108:$E$114,axTER!$C$108:$C$114,L560)/10^9*$D$514</f>
        <v>0.42190866856767339</v>
      </c>
      <c r="S560" s="269">
        <v>400</v>
      </c>
      <c r="T560" s="66" t="s">
        <v>269</v>
      </c>
      <c r="U560" s="66" t="s">
        <v>265</v>
      </c>
      <c r="V560" s="66" t="s">
        <v>255</v>
      </c>
      <c r="W560" s="283" t="s">
        <v>267</v>
      </c>
      <c r="X560" s="272">
        <f>$H560*SUMIFS(axTER!$E$65:$E$105,axTER!$C$65:$C$105,T560,axTER!$D$65:$D$105,V560)/SUMIFS(axTER!$E$108:$E$114,axTER!$C$108:$C$114,W560)/10^9*$D$514</f>
        <v>0.42190866856767339</v>
      </c>
      <c r="AB560" s="273">
        <f>$H560*IF(AF560&lt;&gt;K560,SUMIFS(axTER!$E$121:$E$128,axTER!$C$121:$C$128,K560,axTER!$D$121:$D$128,AF560),SUMIFS(axTER!$E$133:$E$138,axTER!$C$133:$C$138,AF560)*AE$510)*$D$514/10^6</f>
        <v>158.21575071287754</v>
      </c>
      <c r="AC560" s="274">
        <f>$H560*IF(AG560&lt;&gt;L560,SUMIFS(axTER!$E$142:$E$148,axTER!$C$142:$C$148,AG560),SUMIFS(axTER!$E$151:$E$157,axTER!$C$151:$C$157,AG560)*AE$510)/10^6*$D$514</f>
        <v>33.225307649704284</v>
      </c>
      <c r="AD560" s="275" t="s">
        <v>269</v>
      </c>
      <c r="AE560" s="161" t="s">
        <v>265</v>
      </c>
      <c r="AF560" s="161" t="s">
        <v>255</v>
      </c>
      <c r="AG560" s="284" t="s">
        <v>267</v>
      </c>
      <c r="AH560" s="276">
        <f>$H560*SUMIFS(axTER!$E$65:$E$105,axTER!$D$65:$D$105,AF560,axTER!$C$65:$C$105,AD560)/SUMIFS(axTER!$E$108:$E$114,axTER!$C$108:$C$114,AG560)/10^9*$D$514</f>
        <v>0.42190866856767339</v>
      </c>
      <c r="AV560" s="273">
        <f>$H560*IF(AZ560&lt;&gt;AF560,SUMIFS(axTER!$E$121:$E$128,axTER!$C$121:$C$128,AF560,axTER!$D$121:$D$128,AZ560),SUMIFS(axTER!$E$133:$E$138,axTER!$C$133:$C$138,AZ560)*AY$510)*$D$514/10^6</f>
        <v>316.43150142575507</v>
      </c>
      <c r="AW560" s="274">
        <f>$H560*IF(BA560&lt;&gt;AG560,SUMIFS(axTER!$E$142:$E$148,axTER!$C$142:$C$148,BA560),SUMIFS(axTER!$E$151:$E$157,axTER!$C$151:$C$157,BA560)*AY$510)/10^6*$D$514</f>
        <v>316.43150142575507</v>
      </c>
      <c r="AX560" s="275" t="s">
        <v>269</v>
      </c>
      <c r="AY560" s="161" t="s">
        <v>265</v>
      </c>
      <c r="AZ560" s="161" t="s">
        <v>255</v>
      </c>
      <c r="BA560" s="284" t="s">
        <v>261</v>
      </c>
      <c r="BB560" s="276">
        <f>$H560*SUMIFS(axTER!$E$65:$E$105,axTER!$D$65:$D$105,AZ560,axTER!$C$65:$C$105,AX560)/SUMIFS(axTER!$E$108:$E$114,axTER!$C$108:$C$114,BA560)/10^9*$D$514</f>
        <v>0.12657260057030204</v>
      </c>
      <c r="IG560" s="269">
        <v>400</v>
      </c>
      <c r="IH560" s="66" t="s">
        <v>269</v>
      </c>
      <c r="II560" s="66" t="s">
        <v>265</v>
      </c>
      <c r="IJ560" s="66" t="s">
        <v>255</v>
      </c>
      <c r="IK560" s="283" t="s">
        <v>267</v>
      </c>
      <c r="IL560" s="272">
        <f>$H560*SUMIFS(axTER!$E$65:$E$105,axTER!$C$65:$C$105,IH560,axTER!$D$65:$D$105,IJ560)/SUMIFS(axTER!$E$108:$E$114,axTER!$C$108:$C$114,IK560)/10^9*$D$514</f>
        <v>0.42190866856767339</v>
      </c>
      <c r="IO560" s="273">
        <f t="shared" si="1008"/>
        <v>0</v>
      </c>
      <c r="IP560" s="273">
        <f>$H560*IF(IT560&lt;&gt;IJ560,SUMIFS(axTER!$E$121:$E$128,axTER!$C$121:$C$128,IJ560,axTER!$D$121:$D$128,IT560),SUMIFS(axTER!$E$133:$E$138,axTER!$C$133:$C$138,IT560)*IS$510)*$D$514/10^6</f>
        <v>158.21575071287754</v>
      </c>
      <c r="IQ560" s="274">
        <f>$H560*IF(IU560&lt;&gt;IK560,SUMIFS(axTER!$E$142:$E$148,axTER!$C$142:$C$148,IU560),SUMIFS(axTER!$E$151:$E$157,axTER!$C$151:$C$157,IU560)*IS$510)/10^6*$D$514</f>
        <v>33.225307649704284</v>
      </c>
      <c r="IR560" s="275" t="s">
        <v>269</v>
      </c>
      <c r="IS560" s="161" t="s">
        <v>265</v>
      </c>
      <c r="IT560" s="161" t="s">
        <v>255</v>
      </c>
      <c r="IU560" s="284" t="s">
        <v>267</v>
      </c>
      <c r="IV560" s="276">
        <f>$H560*SUMIFS(axTER!$E$65:$E$105,axTER!$D$65:$D$105,IT560,axTER!$C$65:$C$105,IR560)/SUMIFS(axTER!$E$108:$E$114,axTER!$C$108:$C$114,IU560)/10^9*$D$514</f>
        <v>0.42190866856767339</v>
      </c>
      <c r="JI560" s="273">
        <f t="shared" si="1009"/>
        <v>0</v>
      </c>
      <c r="JJ560" s="273">
        <f>$H560*IF(JN560&lt;&gt;IT560,SUMIFS(axTER!$E$121:$E$128,axTER!$C$121:$C$128,IT560,axTER!$D$121:$D$128,JN560),SUMIFS(axTER!$E$133:$E$138,axTER!$C$133:$C$138,JN560)*JM$510)*$D$514/10^6</f>
        <v>316.43150142575507</v>
      </c>
      <c r="JK560" s="274">
        <f>$H560*IF(JO560&lt;&gt;IU560,SUMIFS(axTER!$E$142:$E$148,axTER!$C$142:$C$148,JO560),SUMIFS(axTER!$E$151:$E$157,axTER!$C$151:$C$157,JO560)*JM$510)/10^6*$D$514</f>
        <v>66.450615299408568</v>
      </c>
      <c r="JL560" s="275" t="s">
        <v>269</v>
      </c>
      <c r="JM560" s="161" t="s">
        <v>265</v>
      </c>
      <c r="JN560" s="161" t="s">
        <v>255</v>
      </c>
      <c r="JO560" s="284" t="s">
        <v>267</v>
      </c>
      <c r="JP560" s="276">
        <f>$H560*SUMIFS(axTER!$E$65:$E$105,axTER!$D$65:$D$105,JN560,axTER!$C$65:$C$105,JL560)/SUMIFS(axTER!$E$108:$E$114,axTER!$C$108:$C$114,JO560)/10^9*$D$514</f>
        <v>0.42190866856767339</v>
      </c>
      <c r="JR560" s="269">
        <v>400</v>
      </c>
      <c r="JS560" s="66" t="s">
        <v>269</v>
      </c>
      <c r="JT560" s="66" t="s">
        <v>265</v>
      </c>
      <c r="JU560" s="66" t="s">
        <v>255</v>
      </c>
      <c r="JV560" s="283" t="s">
        <v>267</v>
      </c>
      <c r="JW560" s="272">
        <f>$H560*SUMIFS(axTER!$E$65:$E$105,axTER!$C$65:$C$105,JS560,axTER!$D$65:$D$105,JU560)/SUMIFS(axTER!$E$108:$E$114,axTER!$C$108:$C$114,JV560)/10^9*$D$514</f>
        <v>0.42190866856767339</v>
      </c>
      <c r="JY560" s="273" t="str">
        <f t="shared" si="1010"/>
        <v>ELEC-PAC</v>
      </c>
      <c r="JZ560" s="273">
        <f t="shared" si="1005"/>
        <v>400</v>
      </c>
      <c r="KA560" s="273">
        <f>$H560*IF(KE560&lt;&gt;JU560,SUMIFS(axTER!$E$121:$E$128,axTER!$C$121:$C$128,JU560,axTER!$D$121:$D$128,KE560),SUMIFS(axTER!$E$133:$E$138,axTER!$C$133:$C$138,KE560)*KD$510)*$D$514/10^6</f>
        <v>395.53937678219381</v>
      </c>
      <c r="KB560" s="274">
        <f>$H560*IF(KF560&lt;&gt;JV560,SUMIFS(axTER!$E$142:$E$148,axTER!$C$142:$C$148,KF560),SUMIFS(axTER!$E$151:$E$157,axTER!$C$151:$C$157,KF560)*KD$510)/10^6*$D$514</f>
        <v>316.43150142575507</v>
      </c>
      <c r="KC560" s="275" t="s">
        <v>269</v>
      </c>
      <c r="KD560" s="161" t="s">
        <v>265</v>
      </c>
      <c r="KE560" s="161" t="s">
        <v>262</v>
      </c>
      <c r="KF560" s="284" t="s">
        <v>261</v>
      </c>
      <c r="KG560" s="276">
        <f>$H560*SUMIFS(axTER!$E$65:$E$105,axTER!$D$65:$D$105,KE560,axTER!$C$65:$C$105,KC560)/SUMIFS(axTER!$E$108:$E$114,axTER!$C$108:$C$114,KF560)/10^9*$D$514</f>
        <v>0.10547716714191835</v>
      </c>
      <c r="KS560" s="273">
        <f t="shared" si="1011"/>
        <v>0</v>
      </c>
      <c r="KT560" s="273">
        <f t="shared" si="1012"/>
        <v>0</v>
      </c>
      <c r="KU560" s="273">
        <f>$H560*IF(KY560&lt;&gt;KE560,SUMIFS(axTER!$E$121:$E$128,axTER!$C$121:$C$128,KE560,axTER!$D$121:$D$128,KY560),SUMIFS(axTER!$E$133:$E$138,axTER!$C$133:$C$138,KY560)*KX$510)*$D$514/10^6</f>
        <v>118.66181303465817</v>
      </c>
      <c r="KV560" s="274">
        <f>$H560*IF(KZ560&lt;&gt;KF560,SUMIFS(axTER!$E$142:$E$148,axTER!$C$142:$C$148,KZ560),SUMIFS(axTER!$E$151:$E$157,axTER!$C$151:$C$157,KZ560)*KX$510)/10^6*$D$514</f>
        <v>221.50205099802861</v>
      </c>
      <c r="KW560" s="275" t="s">
        <v>269</v>
      </c>
      <c r="KX560" s="161" t="s">
        <v>265</v>
      </c>
      <c r="KY560" s="161" t="s">
        <v>262</v>
      </c>
      <c r="KZ560" s="284" t="s">
        <v>261</v>
      </c>
      <c r="LA560" s="276">
        <f>$H560*SUMIFS(axTER!$E$65:$E$105,axTER!$D$65:$D$105,KY560,axTER!$C$65:$C$105,KW560)/SUMIFS(axTER!$E$108:$E$114,axTER!$C$108:$C$114,KZ560)/10^9*$D$514</f>
        <v>0.10547716714191835</v>
      </c>
      <c r="LC560" s="269">
        <v>400</v>
      </c>
      <c r="LD560" s="66" t="s">
        <v>269</v>
      </c>
      <c r="LE560" s="66" t="s">
        <v>265</v>
      </c>
      <c r="LF560" s="66" t="s">
        <v>255</v>
      </c>
      <c r="LG560" s="283" t="s">
        <v>267</v>
      </c>
      <c r="LH560" s="272">
        <f>$H560*SUMIFS(axTER!$E$65:$E$105,axTER!$C$65:$C$105,LD560,axTER!$D$65:$D$105,LF560)/SUMIFS(axTER!$E$108:$E$114,axTER!$C$108:$C$114,LG560)/10^9*$D$514</f>
        <v>0.42190866856767339</v>
      </c>
      <c r="LJ560" s="273" t="str">
        <f t="shared" si="1013"/>
        <v>ELEC-PAC</v>
      </c>
      <c r="LK560" s="273">
        <f t="shared" si="1017"/>
        <v>0</v>
      </c>
      <c r="LL560" s="273">
        <f>$H560*IF(LP560&lt;&gt;LF560,SUMIFS(axTER!$E$121:$E$128,axTER!$C$121:$C$128,LF560,axTER!$D$121:$D$128,LP560),SUMIFS(axTER!$E$133:$E$138,axTER!$C$133:$C$138,LP560)*LO$510)*$D$514/10^6</f>
        <v>110.75102549901429</v>
      </c>
      <c r="LM560" s="274">
        <f>$H560*IF(LQ560&lt;&gt;LG560,SUMIFS(axTER!$E$142:$E$148,axTER!$C$142:$C$148,LQ560),SUMIFS(axTER!$E$151:$E$157,axTER!$C$151:$C$157,LQ560)*LO$510)/10^6*$D$514</f>
        <v>316.43150142575507</v>
      </c>
      <c r="LN560" s="275" t="s">
        <v>269</v>
      </c>
      <c r="LO560" s="161" t="s">
        <v>265</v>
      </c>
      <c r="LP560" s="161" t="s">
        <v>255</v>
      </c>
      <c r="LQ560" s="161" t="s">
        <v>261</v>
      </c>
      <c r="LR560" s="276">
        <f>$H560*SUMIFS(axTER!$E$65:$E$105,axTER!$D$65:$D$105,LP560,axTER!$C$65:$C$105,LN560)/SUMIFS(axTER!$E$108:$E$114,axTER!$C$108:$C$114,LQ560)/10^9*$D$514</f>
        <v>0.12657260057030204</v>
      </c>
      <c r="LT560" s="273">
        <f t="shared" si="1014"/>
        <v>0</v>
      </c>
      <c r="LU560" s="273">
        <f t="shared" si="1015"/>
        <v>0</v>
      </c>
      <c r="LV560" s="273">
        <f>$H560*IF(LZ560&lt;&gt;LP560,SUMIFS(axTER!$E$121:$E$128,axTER!$C$121:$C$128,LP560,axTER!$D$121:$D$128,LZ560),SUMIFS(axTER!$E$133:$E$138,axTER!$C$133:$C$138,LZ560)*LY$510)*$D$514/10^6</f>
        <v>158.21575071287754</v>
      </c>
      <c r="LW560" s="274">
        <f>$H560*IF(MA560&lt;&gt;LQ560,SUMIFS(axTER!$E$142:$E$148,axTER!$C$142:$C$148,MA560),SUMIFS(axTER!$E$151:$E$157,axTER!$C$151:$C$157,MA560)*LY$510)/10^6*$D$514</f>
        <v>110.7510254990143</v>
      </c>
      <c r="LX560" s="275" t="s">
        <v>269</v>
      </c>
      <c r="LY560" s="161" t="s">
        <v>265</v>
      </c>
      <c r="LZ560" s="161" t="s">
        <v>255</v>
      </c>
      <c r="MA560" s="161" t="s">
        <v>261</v>
      </c>
      <c r="MB560" s="276">
        <f>$H560*SUMIFS(axTER!$E$65:$E$105,axTER!$D$65:$D$105,LZ560,axTER!$C$65:$C$105,LX560)/SUMIFS(axTER!$E$108:$E$114,axTER!$C$108:$C$114,MA560)/10^9*$D$514</f>
        <v>0.12657260057030204</v>
      </c>
      <c r="MD560" s="273">
        <f t="shared" si="1018"/>
        <v>0</v>
      </c>
      <c r="ME560" s="273">
        <f t="shared" si="1016"/>
        <v>0</v>
      </c>
      <c r="MF560" s="273">
        <f>$H560*IF(MJ560&lt;&gt;LZ560,SUMIFS(axTER!$E$121:$E$128,axTER!$C$121:$C$128,LZ560,axTER!$D$121:$D$128,MJ560),SUMIFS(axTER!$E$133:$E$138,axTER!$C$133:$C$138,MJ560)*MI$510)*$D$514/10^6</f>
        <v>158.21575071287754</v>
      </c>
      <c r="MG560" s="274">
        <f>$H560*IF(MK560&lt;&gt;MA560,SUMIFS(axTER!$E$142:$E$148,axTER!$C$142:$C$148,MK560),SUMIFS(axTER!$E$151:$E$157,axTER!$C$151:$C$157,MK560)*MI$510)/10^6*$D$514</f>
        <v>110.7510254990143</v>
      </c>
      <c r="MH560" s="275" t="s">
        <v>269</v>
      </c>
      <c r="MI560" s="161" t="s">
        <v>265</v>
      </c>
      <c r="MJ560" s="161" t="s">
        <v>255</v>
      </c>
      <c r="MK560" s="161" t="s">
        <v>261</v>
      </c>
      <c r="ML560" s="276">
        <f>$H560*SUMIFS(axTER!$E$65:$E$105,axTER!$D$65:$D$105,MJ560,axTER!$C$65:$C$105,MH560)/SUMIFS(axTER!$E$108:$E$114,axTER!$C$108:$C$114,MK560)/10^9*$D$514</f>
        <v>0.12657260057030204</v>
      </c>
    </row>
    <row r="561" spans="3:350" outlineLevel="1" x14ac:dyDescent="0.3">
      <c r="C561" s="269"/>
      <c r="D561" s="69"/>
      <c r="F561" s="266"/>
      <c r="H561" s="269">
        <v>400</v>
      </c>
      <c r="I561" s="66" t="s">
        <v>269</v>
      </c>
      <c r="J561" s="66" t="s">
        <v>265</v>
      </c>
      <c r="K561" s="66" t="s">
        <v>255</v>
      </c>
      <c r="L561" s="283" t="s">
        <v>267</v>
      </c>
      <c r="M561" s="272">
        <f>$H561*SUMIFS(axTER!$E$65:$E$105,axTER!$C$65:$C$105,I561,axTER!$D$65:$D$105,K561)/SUMIFS(axTER!$E$108:$E$114,axTER!$C$108:$C$114,L561)/10^9*$D$514</f>
        <v>0.42190866856767339</v>
      </c>
      <c r="S561" s="269">
        <v>400</v>
      </c>
      <c r="T561" s="66" t="s">
        <v>269</v>
      </c>
      <c r="U561" s="66" t="s">
        <v>265</v>
      </c>
      <c r="V561" s="66" t="s">
        <v>255</v>
      </c>
      <c r="W561" s="283" t="s">
        <v>267</v>
      </c>
      <c r="X561" s="272">
        <f>$H561*SUMIFS(axTER!$E$65:$E$105,axTER!$C$65:$C$105,T561,axTER!$D$65:$D$105,V561)/SUMIFS(axTER!$E$108:$E$114,axTER!$C$108:$C$114,W561)/10^9*$D$514</f>
        <v>0.42190866856767339</v>
      </c>
      <c r="AB561" s="273">
        <f>$H561*IF(AF561&lt;&gt;K561,SUMIFS(axTER!$E$121:$E$128,axTER!$C$121:$C$128,K561,axTER!$D$121:$D$128,AF561),SUMIFS(axTER!$E$133:$E$138,axTER!$C$133:$C$138,AF561)*AE$510)*$D$514/10^6</f>
        <v>158.21575071287754</v>
      </c>
      <c r="AC561" s="274">
        <f>$H561*IF(AG561&lt;&gt;L561,SUMIFS(axTER!$E$142:$E$148,axTER!$C$142:$C$148,AG561),SUMIFS(axTER!$E$151:$E$157,axTER!$C$151:$C$157,AG561)*AE$510)/10^6*$D$514</f>
        <v>33.225307649704284</v>
      </c>
      <c r="AD561" s="275" t="s">
        <v>269</v>
      </c>
      <c r="AE561" s="161" t="s">
        <v>265</v>
      </c>
      <c r="AF561" s="161" t="s">
        <v>255</v>
      </c>
      <c r="AG561" s="284" t="s">
        <v>267</v>
      </c>
      <c r="AH561" s="276">
        <f>$H561*SUMIFS(axTER!$E$65:$E$105,axTER!$D$65:$D$105,AF561,axTER!$C$65:$C$105,AD561)/SUMIFS(axTER!$E$108:$E$114,axTER!$C$108:$C$114,AG561)/10^9*$D$514</f>
        <v>0.42190866856767339</v>
      </c>
      <c r="AV561" s="273">
        <f>$H561*IF(AZ561&lt;&gt;AF561,SUMIFS(axTER!$E$121:$E$128,axTER!$C$121:$C$128,AF561,axTER!$D$121:$D$128,AZ561),SUMIFS(axTER!$E$133:$E$138,axTER!$C$133:$C$138,AZ561)*AY$510)*$D$514/10^6</f>
        <v>316.43150142575507</v>
      </c>
      <c r="AW561" s="274">
        <f>$H561*IF(BA561&lt;&gt;AG561,SUMIFS(axTER!$E$142:$E$148,axTER!$C$142:$C$148,BA561),SUMIFS(axTER!$E$151:$E$157,axTER!$C$151:$C$157,BA561)*AY$510)/10^6*$D$514</f>
        <v>316.43150142575507</v>
      </c>
      <c r="AX561" s="275" t="s">
        <v>269</v>
      </c>
      <c r="AY561" s="161" t="s">
        <v>265</v>
      </c>
      <c r="AZ561" s="161" t="s">
        <v>255</v>
      </c>
      <c r="BA561" s="284" t="s">
        <v>261</v>
      </c>
      <c r="BB561" s="276">
        <f>$H561*SUMIFS(axTER!$E$65:$E$105,axTER!$D$65:$D$105,AZ561,axTER!$C$65:$C$105,AX561)/SUMIFS(axTER!$E$108:$E$114,axTER!$C$108:$C$114,BA561)/10^9*$D$514</f>
        <v>0.12657260057030204</v>
      </c>
      <c r="IG561" s="269">
        <v>400</v>
      </c>
      <c r="IH561" s="66" t="s">
        <v>269</v>
      </c>
      <c r="II561" s="66" t="s">
        <v>265</v>
      </c>
      <c r="IJ561" s="66" t="s">
        <v>255</v>
      </c>
      <c r="IK561" s="283" t="s">
        <v>267</v>
      </c>
      <c r="IL561" s="272">
        <f>$H561*SUMIFS(axTER!$E$65:$E$105,axTER!$C$65:$C$105,IH561,axTER!$D$65:$D$105,IJ561)/SUMIFS(axTER!$E$108:$E$114,axTER!$C$108:$C$114,IK561)/10^9*$D$514</f>
        <v>0.42190866856767339</v>
      </c>
      <c r="IO561" s="273">
        <f t="shared" si="1008"/>
        <v>0</v>
      </c>
      <c r="IP561" s="273">
        <f>$H561*IF(IT561&lt;&gt;IJ561,SUMIFS(axTER!$E$121:$E$128,axTER!$C$121:$C$128,IJ561,axTER!$D$121:$D$128,IT561),SUMIFS(axTER!$E$133:$E$138,axTER!$C$133:$C$138,IT561)*IS$510)*$D$514/10^6</f>
        <v>158.21575071287754</v>
      </c>
      <c r="IQ561" s="274">
        <f>$H561*IF(IU561&lt;&gt;IK561,SUMIFS(axTER!$E$142:$E$148,axTER!$C$142:$C$148,IU561),SUMIFS(axTER!$E$151:$E$157,axTER!$C$151:$C$157,IU561)*IS$510)/10^6*$D$514</f>
        <v>33.225307649704284</v>
      </c>
      <c r="IR561" s="275" t="s">
        <v>269</v>
      </c>
      <c r="IS561" s="161" t="s">
        <v>265</v>
      </c>
      <c r="IT561" s="161" t="s">
        <v>255</v>
      </c>
      <c r="IU561" s="284" t="s">
        <v>267</v>
      </c>
      <c r="IV561" s="276">
        <f>$H561*SUMIFS(axTER!$E$65:$E$105,axTER!$D$65:$D$105,IT561,axTER!$C$65:$C$105,IR561)/SUMIFS(axTER!$E$108:$E$114,axTER!$C$108:$C$114,IU561)/10^9*$D$514</f>
        <v>0.42190866856767339</v>
      </c>
      <c r="JI561" s="273">
        <f t="shared" si="1009"/>
        <v>0</v>
      </c>
      <c r="JJ561" s="273">
        <f>$H561*IF(JN561&lt;&gt;IT561,SUMIFS(axTER!$E$121:$E$128,axTER!$C$121:$C$128,IT561,axTER!$D$121:$D$128,JN561),SUMIFS(axTER!$E$133:$E$138,axTER!$C$133:$C$138,JN561)*JM$510)*$D$514/10^6</f>
        <v>316.43150142575507</v>
      </c>
      <c r="JK561" s="274">
        <f>$H561*IF(JO561&lt;&gt;IU561,SUMIFS(axTER!$E$142:$E$148,axTER!$C$142:$C$148,JO561),SUMIFS(axTER!$E$151:$E$157,axTER!$C$151:$C$157,JO561)*JM$510)/10^6*$D$514</f>
        <v>66.450615299408568</v>
      </c>
      <c r="JL561" s="275" t="s">
        <v>269</v>
      </c>
      <c r="JM561" s="161" t="s">
        <v>265</v>
      </c>
      <c r="JN561" s="161" t="s">
        <v>255</v>
      </c>
      <c r="JO561" s="284" t="s">
        <v>267</v>
      </c>
      <c r="JP561" s="276">
        <f>$H561*SUMIFS(axTER!$E$65:$E$105,axTER!$D$65:$D$105,JN561,axTER!$C$65:$C$105,JL561)/SUMIFS(axTER!$E$108:$E$114,axTER!$C$108:$C$114,JO561)/10^9*$D$514</f>
        <v>0.42190866856767339</v>
      </c>
      <c r="JR561" s="269">
        <v>400</v>
      </c>
      <c r="JS561" s="66" t="s">
        <v>269</v>
      </c>
      <c r="JT561" s="66" t="s">
        <v>265</v>
      </c>
      <c r="JU561" s="66" t="s">
        <v>255</v>
      </c>
      <c r="JV561" s="283" t="s">
        <v>267</v>
      </c>
      <c r="JW561" s="272">
        <f>$H561*SUMIFS(axTER!$E$65:$E$105,axTER!$C$65:$C$105,JS561,axTER!$D$65:$D$105,JU561)/SUMIFS(axTER!$E$108:$E$114,axTER!$C$108:$C$114,JV561)/10^9*$D$514</f>
        <v>0.42190866856767339</v>
      </c>
      <c r="JY561" s="273" t="str">
        <f t="shared" si="1010"/>
        <v>ELEC-PAC</v>
      </c>
      <c r="JZ561" s="273">
        <f t="shared" si="1005"/>
        <v>400</v>
      </c>
      <c r="KA561" s="273">
        <f>$H561*IF(KE561&lt;&gt;JU561,SUMIFS(axTER!$E$121:$E$128,axTER!$C$121:$C$128,JU561,axTER!$D$121:$D$128,KE561),SUMIFS(axTER!$E$133:$E$138,axTER!$C$133:$C$138,KE561)*KD$510)*$D$514/10^6</f>
        <v>395.53937678219381</v>
      </c>
      <c r="KB561" s="274">
        <f>$H561*IF(KF561&lt;&gt;JV561,SUMIFS(axTER!$E$142:$E$148,axTER!$C$142:$C$148,KF561),SUMIFS(axTER!$E$151:$E$157,axTER!$C$151:$C$157,KF561)*KD$510)/10^6*$D$514</f>
        <v>316.43150142575507</v>
      </c>
      <c r="KC561" s="275" t="s">
        <v>269</v>
      </c>
      <c r="KD561" s="161" t="s">
        <v>265</v>
      </c>
      <c r="KE561" s="161" t="s">
        <v>262</v>
      </c>
      <c r="KF561" s="284" t="s">
        <v>261</v>
      </c>
      <c r="KG561" s="276">
        <f>$H561*SUMIFS(axTER!$E$65:$E$105,axTER!$D$65:$D$105,KE561,axTER!$C$65:$C$105,KC561)/SUMIFS(axTER!$E$108:$E$114,axTER!$C$108:$C$114,KF561)/10^9*$D$514</f>
        <v>0.10547716714191835</v>
      </c>
      <c r="KS561" s="273">
        <f t="shared" si="1011"/>
        <v>0</v>
      </c>
      <c r="KT561" s="273">
        <f t="shared" si="1012"/>
        <v>0</v>
      </c>
      <c r="KU561" s="273">
        <f>$H561*IF(KY561&lt;&gt;KE561,SUMIFS(axTER!$E$121:$E$128,axTER!$C$121:$C$128,KE561,axTER!$D$121:$D$128,KY561),SUMIFS(axTER!$E$133:$E$138,axTER!$C$133:$C$138,KY561)*KX$510)*$D$514/10^6</f>
        <v>118.66181303465817</v>
      </c>
      <c r="KV561" s="274">
        <f>$H561*IF(KZ561&lt;&gt;KF561,SUMIFS(axTER!$E$142:$E$148,axTER!$C$142:$C$148,KZ561),SUMIFS(axTER!$E$151:$E$157,axTER!$C$151:$C$157,KZ561)*KX$510)/10^6*$D$514</f>
        <v>221.50205099802861</v>
      </c>
      <c r="KW561" s="275" t="s">
        <v>269</v>
      </c>
      <c r="KX561" s="161" t="s">
        <v>265</v>
      </c>
      <c r="KY561" s="161" t="s">
        <v>262</v>
      </c>
      <c r="KZ561" s="284" t="s">
        <v>261</v>
      </c>
      <c r="LA561" s="276">
        <f>$H561*SUMIFS(axTER!$E$65:$E$105,axTER!$D$65:$D$105,KY561,axTER!$C$65:$C$105,KW561)/SUMIFS(axTER!$E$108:$E$114,axTER!$C$108:$C$114,KZ561)/10^9*$D$514</f>
        <v>0.10547716714191835</v>
      </c>
      <c r="LC561" s="269">
        <v>400</v>
      </c>
      <c r="LD561" s="66" t="s">
        <v>269</v>
      </c>
      <c r="LE561" s="66" t="s">
        <v>265</v>
      </c>
      <c r="LF561" s="66" t="s">
        <v>255</v>
      </c>
      <c r="LG561" s="283" t="s">
        <v>267</v>
      </c>
      <c r="LH561" s="272">
        <f>$H561*SUMIFS(axTER!$E$65:$E$105,axTER!$C$65:$C$105,LD561,axTER!$D$65:$D$105,LF561)/SUMIFS(axTER!$E$108:$E$114,axTER!$C$108:$C$114,LG561)/10^9*$D$514</f>
        <v>0.42190866856767339</v>
      </c>
      <c r="LJ561" s="273" t="str">
        <f t="shared" si="1013"/>
        <v>ELEC-PAC</v>
      </c>
      <c r="LK561" s="273">
        <f t="shared" si="1017"/>
        <v>0</v>
      </c>
      <c r="LL561" s="273">
        <f>$H561*IF(LP561&lt;&gt;LF561,SUMIFS(axTER!$E$121:$E$128,axTER!$C$121:$C$128,LF561,axTER!$D$121:$D$128,LP561),SUMIFS(axTER!$E$133:$E$138,axTER!$C$133:$C$138,LP561)*LO$510)*$D$514/10^6</f>
        <v>110.75102549901429</v>
      </c>
      <c r="LM561" s="274">
        <f>$H561*IF(LQ561&lt;&gt;LG561,SUMIFS(axTER!$E$142:$E$148,axTER!$C$142:$C$148,LQ561),SUMIFS(axTER!$E$151:$E$157,axTER!$C$151:$C$157,LQ561)*LO$510)/10^6*$D$514</f>
        <v>316.43150142575507</v>
      </c>
      <c r="LN561" s="275" t="s">
        <v>269</v>
      </c>
      <c r="LO561" s="161" t="s">
        <v>265</v>
      </c>
      <c r="LP561" s="161" t="s">
        <v>255</v>
      </c>
      <c r="LQ561" s="161" t="s">
        <v>261</v>
      </c>
      <c r="LR561" s="276">
        <f>$H561*SUMIFS(axTER!$E$65:$E$105,axTER!$D$65:$D$105,LP561,axTER!$C$65:$C$105,LN561)/SUMIFS(axTER!$E$108:$E$114,axTER!$C$108:$C$114,LQ561)/10^9*$D$514</f>
        <v>0.12657260057030204</v>
      </c>
      <c r="LT561" s="273">
        <f t="shared" si="1014"/>
        <v>0</v>
      </c>
      <c r="LU561" s="273">
        <f t="shared" si="1015"/>
        <v>0</v>
      </c>
      <c r="LV561" s="273">
        <f>$H561*IF(LZ561&lt;&gt;LP561,SUMIFS(axTER!$E$121:$E$128,axTER!$C$121:$C$128,LP561,axTER!$D$121:$D$128,LZ561),SUMIFS(axTER!$E$133:$E$138,axTER!$C$133:$C$138,LZ561)*LY$510)*$D$514/10^6</f>
        <v>158.21575071287754</v>
      </c>
      <c r="LW561" s="274">
        <f>$H561*IF(MA561&lt;&gt;LQ561,SUMIFS(axTER!$E$142:$E$148,axTER!$C$142:$C$148,MA561),SUMIFS(axTER!$E$151:$E$157,axTER!$C$151:$C$157,MA561)*LY$510)/10^6*$D$514</f>
        <v>110.7510254990143</v>
      </c>
      <c r="LX561" s="275" t="s">
        <v>269</v>
      </c>
      <c r="LY561" s="161" t="s">
        <v>265</v>
      </c>
      <c r="LZ561" s="161" t="s">
        <v>255</v>
      </c>
      <c r="MA561" s="161" t="s">
        <v>261</v>
      </c>
      <c r="MB561" s="276">
        <f>$H561*SUMIFS(axTER!$E$65:$E$105,axTER!$D$65:$D$105,LZ561,axTER!$C$65:$C$105,LX561)/SUMIFS(axTER!$E$108:$E$114,axTER!$C$108:$C$114,MA561)/10^9*$D$514</f>
        <v>0.12657260057030204</v>
      </c>
      <c r="MD561" s="273">
        <f t="shared" si="1018"/>
        <v>0</v>
      </c>
      <c r="ME561" s="273">
        <f t="shared" si="1016"/>
        <v>0</v>
      </c>
      <c r="MF561" s="273">
        <f>$H561*IF(MJ561&lt;&gt;LZ561,SUMIFS(axTER!$E$121:$E$128,axTER!$C$121:$C$128,LZ561,axTER!$D$121:$D$128,MJ561),SUMIFS(axTER!$E$133:$E$138,axTER!$C$133:$C$138,MJ561)*MI$510)*$D$514/10^6</f>
        <v>158.21575071287754</v>
      </c>
      <c r="MG561" s="274">
        <f>$H561*IF(MK561&lt;&gt;MA561,SUMIFS(axTER!$E$142:$E$148,axTER!$C$142:$C$148,MK561),SUMIFS(axTER!$E$151:$E$157,axTER!$C$151:$C$157,MK561)*MI$510)/10^6*$D$514</f>
        <v>110.7510254990143</v>
      </c>
      <c r="MH561" s="275" t="s">
        <v>269</v>
      </c>
      <c r="MI561" s="161" t="s">
        <v>265</v>
      </c>
      <c r="MJ561" s="161" t="s">
        <v>255</v>
      </c>
      <c r="MK561" s="161" t="s">
        <v>261</v>
      </c>
      <c r="ML561" s="276">
        <f>$H561*SUMIFS(axTER!$E$65:$E$105,axTER!$D$65:$D$105,MJ561,axTER!$C$65:$C$105,MH561)/SUMIFS(axTER!$E$108:$E$114,axTER!$C$108:$C$114,MK561)/10^9*$D$514</f>
        <v>0.12657260057030204</v>
      </c>
    </row>
    <row r="562" spans="3:350" hidden="1" outlineLevel="1" x14ac:dyDescent="0.3">
      <c r="C562" s="265"/>
      <c r="D562" s="69"/>
      <c r="F562" s="266"/>
      <c r="H562" s="269">
        <v>1200</v>
      </c>
      <c r="I562" s="66" t="s">
        <v>271</v>
      </c>
      <c r="J562" s="66" t="s">
        <v>254</v>
      </c>
      <c r="K562" s="66" t="s">
        <v>255</v>
      </c>
      <c r="L562" s="283" t="s">
        <v>256</v>
      </c>
      <c r="M562" s="272">
        <f>$H562*SUMIFS(axTER!$E$65:$E$105,axTER!$C$65:$C$105,I562,axTER!$D$65:$D$105,K562)/SUMIFS(axTER!$E$108:$E$114,axTER!$C$108:$C$114,L562)/10^9*$D$514</f>
        <v>1.4988860593851558</v>
      </c>
      <c r="S562" s="269">
        <v>1200</v>
      </c>
      <c r="T562" s="66" t="s">
        <v>271</v>
      </c>
      <c r="U562" s="66" t="s">
        <v>254</v>
      </c>
      <c r="V562" s="66" t="s">
        <v>255</v>
      </c>
      <c r="W562" s="283" t="s">
        <v>256</v>
      </c>
      <c r="X562" s="272">
        <f>$H562*SUMIFS(axTER!$E$65:$E$105,axTER!$C$65:$C$105,T562,axTER!$D$65:$D$105,V562)/SUMIFS(axTER!$E$108:$E$114,axTER!$C$108:$C$114,W562)/10^9*$D$514</f>
        <v>1.4988860593851558</v>
      </c>
      <c r="AB562" s="273">
        <f>$H562*IF(AF562&lt;&gt;K562,SUMIFS(axTER!$E$121:$E$128,axTER!$C$121:$C$128,K562,axTER!$D$121:$D$128,AF562),SUMIFS(axTER!$E$133:$E$138,axTER!$C$133:$C$138,AF562)*AE$510)*$D$514/10^6</f>
        <v>474.64725213863267</v>
      </c>
      <c r="AC562" s="274">
        <f>$H562*IF(AG562&lt;&gt;L562,SUMIFS(axTER!$E$142:$E$148,axTER!$C$142:$C$148,AG562),SUMIFS(axTER!$E$151:$E$157,axTER!$C$151:$C$157,AG562)*AE$510)/10^6*$D$514</f>
        <v>74.756942211834655</v>
      </c>
      <c r="AD562" s="275" t="s">
        <v>271</v>
      </c>
      <c r="AE562" s="161" t="s">
        <v>254</v>
      </c>
      <c r="AF562" s="161" t="s">
        <v>255</v>
      </c>
      <c r="AG562" s="284" t="s">
        <v>256</v>
      </c>
      <c r="AH562" s="276">
        <f>$H562*SUMIFS(axTER!$E$65:$E$105,axTER!$D$65:$D$105,AF562,axTER!$C$65:$C$105,AD562)/SUMIFS(axTER!$E$108:$E$114,axTER!$C$108:$C$114,AG562)/10^9*$D$514</f>
        <v>1.4988860593851558</v>
      </c>
      <c r="AV562" s="273">
        <f>$H562*IF(AZ562&lt;&gt;AF562,SUMIFS(axTER!$E$121:$E$128,axTER!$C$121:$C$128,AF562,axTER!$D$121:$D$128,AZ562),SUMIFS(axTER!$E$133:$E$138,axTER!$C$133:$C$138,AZ562)*AY$510)*$D$514/10^6</f>
        <v>949.29450427726533</v>
      </c>
      <c r="AW562" s="274">
        <f>$H562*IF(BA562&lt;&gt;AG562,SUMIFS(axTER!$E$142:$E$148,axTER!$C$142:$C$148,BA562),SUMIFS(axTER!$E$151:$E$157,axTER!$C$151:$C$157,BA562)*AY$510)/10^6*$D$514</f>
        <v>149.51388442366931</v>
      </c>
      <c r="AX562" s="275" t="s">
        <v>271</v>
      </c>
      <c r="AY562" s="161" t="s">
        <v>254</v>
      </c>
      <c r="AZ562" s="161" t="s">
        <v>255</v>
      </c>
      <c r="BA562" s="284" t="s">
        <v>256</v>
      </c>
      <c r="BB562" s="276">
        <f>$H562*SUMIFS(axTER!$E$65:$E$105,axTER!$D$65:$D$105,AZ562,axTER!$C$65:$C$105,AX562)/SUMIFS(axTER!$E$108:$E$114,axTER!$C$108:$C$114,BA562)/10^9*$D$514</f>
        <v>1.4988860593851558</v>
      </c>
      <c r="IG562" s="269">
        <v>1200</v>
      </c>
      <c r="IH562" s="66" t="s">
        <v>271</v>
      </c>
      <c r="II562" s="66" t="s">
        <v>254</v>
      </c>
      <c r="IJ562" s="66" t="s">
        <v>255</v>
      </c>
      <c r="IK562" s="283" t="s">
        <v>256</v>
      </c>
      <c r="IL562" s="272">
        <f>$H562*SUMIFS(axTER!$E$65:$E$105,axTER!$C$65:$C$105,IH562,axTER!$D$65:$D$105,IJ562)/SUMIFS(axTER!$E$108:$E$114,axTER!$C$108:$C$114,IK562)/10^9*$D$514</f>
        <v>1.4988860593851558</v>
      </c>
      <c r="IO562" s="273">
        <f t="shared" si="1008"/>
        <v>1200</v>
      </c>
      <c r="IP562" s="273">
        <f>$H562*IF(IT562&lt;&gt;IJ562,SUMIFS(axTER!$E$121:$E$128,axTER!$C$121:$C$128,IJ562,axTER!$D$121:$D$128,IT562),SUMIFS(axTER!$E$133:$E$138,axTER!$C$133:$C$138,IT562)*IS$510)*$D$514/10^6</f>
        <v>5339.7815865596167</v>
      </c>
      <c r="IQ562" s="274">
        <f>$H562*IF(IU562&lt;&gt;IK562,SUMIFS(axTER!$E$142:$E$148,axTER!$C$142:$C$148,IU562),SUMIFS(axTER!$E$151:$E$157,axTER!$C$151:$C$157,IU562)*IS$510)/10^6*$D$514</f>
        <v>74.756942211834655</v>
      </c>
      <c r="IR562" s="275" t="s">
        <v>271</v>
      </c>
      <c r="IS562" s="161" t="s">
        <v>254</v>
      </c>
      <c r="IT562" s="277" t="s">
        <v>257</v>
      </c>
      <c r="IU562" s="284" t="s">
        <v>256</v>
      </c>
      <c r="IV562" s="276">
        <f>$H562*SUMIFS(axTER!$E$65:$E$105,axTER!$D$65:$D$105,IT562,axTER!$C$65:$C$105,IR562)/SUMIFS(axTER!$E$108:$E$114,axTER!$C$108:$C$114,IU562)/10^9*$D$514</f>
        <v>0.62453585807714818</v>
      </c>
      <c r="JI562" s="273">
        <f t="shared" si="1009"/>
        <v>1200</v>
      </c>
      <c r="JJ562" s="273">
        <f>$H562*IF(JN562&lt;&gt;IT562,SUMIFS(axTER!$E$121:$E$128,axTER!$C$121:$C$128,IT562,axTER!$D$121:$D$128,JN562),SUMIFS(axTER!$E$133:$E$138,axTER!$C$133:$C$138,JN562)*JM$510)*$D$514/10^6</f>
        <v>0</v>
      </c>
      <c r="JK562" s="274">
        <f>$H562*IF(JO562&lt;&gt;IU562,SUMIFS(axTER!$E$142:$E$148,axTER!$C$142:$C$148,JO562),SUMIFS(axTER!$E$151:$E$157,axTER!$C$151:$C$157,JO562)*JM$510)/10^6*$D$514</f>
        <v>149.51388442366931</v>
      </c>
      <c r="JL562" s="275" t="s">
        <v>271</v>
      </c>
      <c r="JM562" s="161" t="s">
        <v>254</v>
      </c>
      <c r="JN562" s="161" t="s">
        <v>255</v>
      </c>
      <c r="JO562" s="284" t="s">
        <v>256</v>
      </c>
      <c r="JP562" s="276">
        <f>$H562*SUMIFS(axTER!$E$65:$E$105,axTER!$D$65:$D$105,JN562,axTER!$C$65:$C$105,JL562)/SUMIFS(axTER!$E$108:$E$114,axTER!$C$108:$C$114,JO562)/10^9*$D$514</f>
        <v>1.4988860593851558</v>
      </c>
      <c r="JR562" s="269">
        <v>1200</v>
      </c>
      <c r="JS562" s="66" t="s">
        <v>271</v>
      </c>
      <c r="JT562" s="66" t="s">
        <v>254</v>
      </c>
      <c r="JU562" s="66" t="s">
        <v>255</v>
      </c>
      <c r="JV562" s="283" t="s">
        <v>256</v>
      </c>
      <c r="JW562" s="272">
        <f>$H562*SUMIFS(axTER!$E$65:$E$105,axTER!$C$65:$C$105,JS562,axTER!$D$65:$D$105,JU562)/SUMIFS(axTER!$E$108:$E$114,axTER!$C$108:$C$114,JV562)/10^9*$D$514</f>
        <v>1.4988860593851558</v>
      </c>
      <c r="JY562" s="273" t="str">
        <f t="shared" si="1010"/>
        <v>URBAIN</v>
      </c>
      <c r="JZ562" s="273">
        <f t="shared" si="1005"/>
        <v>1200</v>
      </c>
      <c r="KA562" s="273">
        <f>$H562*IF(KE562&lt;&gt;JU562,SUMIFS(axTER!$E$121:$E$128,axTER!$C$121:$C$128,JU562,axTER!$D$121:$D$128,KE562),SUMIFS(axTER!$E$133:$E$138,axTER!$C$133:$C$138,KE562)*KD$510)*$D$514/10^6</f>
        <v>5339.7815865596167</v>
      </c>
      <c r="KB562" s="274">
        <f>$H562*IF(KF562&lt;&gt;JV562,SUMIFS(axTER!$E$142:$E$148,axTER!$C$142:$C$148,KF562),SUMIFS(axTER!$E$151:$E$157,axTER!$C$151:$C$157,KF562)*KD$510)/10^6*$D$514</f>
        <v>367.85162040744029</v>
      </c>
      <c r="KC562" s="275" t="s">
        <v>271</v>
      </c>
      <c r="KD562" s="161" t="s">
        <v>254</v>
      </c>
      <c r="KE562" s="161" t="s">
        <v>257</v>
      </c>
      <c r="KF562" s="284" t="s">
        <v>258</v>
      </c>
      <c r="KG562" s="276">
        <f>$H562*SUMIFS(axTER!$E$65:$E$105,axTER!$D$65:$D$105,KE562,axTER!$C$65:$C$105,KC562)/SUMIFS(axTER!$E$108:$E$114,axTER!$C$108:$C$114,KF562)/10^9*$D$514</f>
        <v>0.59330906517329085</v>
      </c>
      <c r="KS562" s="273">
        <f t="shared" si="1011"/>
        <v>0</v>
      </c>
      <c r="KT562" s="273">
        <f t="shared" si="1012"/>
        <v>0</v>
      </c>
      <c r="KU562" s="273">
        <f>$H562*IF(KY562&lt;&gt;KE562,SUMIFS(axTER!$E$121:$E$128,axTER!$C$121:$C$128,KE562,axTER!$D$121:$D$128,KY562),SUMIFS(axTER!$E$133:$E$138,axTER!$C$133:$C$138,KY562)*KX$510)*$D$514/10^6</f>
        <v>355.98543910397444</v>
      </c>
      <c r="KV562" s="274">
        <f>$H562*IF(KZ562&lt;&gt;KF562,SUMIFS(axTER!$E$142:$E$148,axTER!$C$142:$C$148,KZ562),SUMIFS(axTER!$E$151:$E$157,axTER!$C$151:$C$157,KZ562)*KX$510)/10^6*$D$514</f>
        <v>257.49613428520826</v>
      </c>
      <c r="KW562" s="275" t="s">
        <v>271</v>
      </c>
      <c r="KX562" s="161" t="s">
        <v>254</v>
      </c>
      <c r="KY562" s="161" t="s">
        <v>257</v>
      </c>
      <c r="KZ562" s="284" t="s">
        <v>258</v>
      </c>
      <c r="LA562" s="276">
        <f>$H562*SUMIFS(axTER!$E$65:$E$105,axTER!$D$65:$D$105,KY562,axTER!$C$65:$C$105,KW562)/SUMIFS(axTER!$E$108:$E$114,axTER!$C$108:$C$114,KZ562)/10^9*$D$514</f>
        <v>0.59330906517329085</v>
      </c>
      <c r="LC562" s="269">
        <v>1200</v>
      </c>
      <c r="LD562" s="66" t="s">
        <v>271</v>
      </c>
      <c r="LE562" s="66" t="s">
        <v>254</v>
      </c>
      <c r="LF562" s="66" t="s">
        <v>255</v>
      </c>
      <c r="LG562" s="283" t="s">
        <v>256</v>
      </c>
      <c r="LH562" s="272">
        <f>$H562*SUMIFS(axTER!$E$65:$E$105,axTER!$C$65:$C$105,LD562,axTER!$D$65:$D$105,LF562)/SUMIFS(axTER!$E$108:$E$114,axTER!$C$108:$C$114,LG562)/10^9*$D$514</f>
        <v>1.4988860593851558</v>
      </c>
      <c r="LJ562" s="273" t="str">
        <f t="shared" si="1013"/>
        <v>URBAIN</v>
      </c>
      <c r="LK562" s="273">
        <f t="shared" si="1017"/>
        <v>1200</v>
      </c>
      <c r="LL562" s="273">
        <f>$H562*IF(LP562&lt;&gt;LF562,SUMIFS(axTER!$E$121:$E$128,axTER!$C$121:$C$128,LF562,axTER!$D$121:$D$128,LP562),SUMIFS(axTER!$E$133:$E$138,axTER!$C$133:$C$138,LP562)*LO$510)*$D$514/10^6</f>
        <v>5339.7815865596167</v>
      </c>
      <c r="LM562" s="274">
        <f>$H562*IF(LQ562&lt;&gt;LG562,SUMIFS(axTER!$E$142:$E$148,axTER!$C$142:$C$148,LQ562),SUMIFS(axTER!$E$151:$E$157,axTER!$C$151:$C$157,LQ562)*LO$510)/10^6*$D$514</f>
        <v>367.85162040744029</v>
      </c>
      <c r="LN562" s="275" t="s">
        <v>271</v>
      </c>
      <c r="LO562" s="161" t="s">
        <v>254</v>
      </c>
      <c r="LP562" s="161" t="s">
        <v>257</v>
      </c>
      <c r="LQ562" s="161" t="s">
        <v>258</v>
      </c>
      <c r="LR562" s="276">
        <f>$H562*SUMIFS(axTER!$E$65:$E$105,axTER!$D$65:$D$105,LP562,axTER!$C$65:$C$105,LN562)/SUMIFS(axTER!$E$108:$E$114,axTER!$C$108:$C$114,LQ562)/10^9*$D$514</f>
        <v>0.59330906517329085</v>
      </c>
      <c r="LT562" s="273">
        <f t="shared" si="1014"/>
        <v>0</v>
      </c>
      <c r="LU562" s="273">
        <f t="shared" si="1015"/>
        <v>0</v>
      </c>
      <c r="LV562" s="273">
        <f>$H562*IF(LZ562&lt;&gt;LP562,SUMIFS(axTER!$E$121:$E$128,axTER!$C$121:$C$128,LP562,axTER!$D$121:$D$128,LZ562),SUMIFS(axTER!$E$133:$E$138,axTER!$C$133:$C$138,LZ562)*LY$510)*$D$514/10^6</f>
        <v>177.99271955198722</v>
      </c>
      <c r="LW562" s="274">
        <f>$H562*IF(MA562&lt;&gt;LQ562,SUMIFS(axTER!$E$142:$E$148,axTER!$C$142:$C$148,MA562),SUMIFS(axTER!$E$151:$E$157,axTER!$C$151:$C$157,MA562)*LY$510)/10^6*$D$514</f>
        <v>128.74806714260413</v>
      </c>
      <c r="LX562" s="275" t="s">
        <v>271</v>
      </c>
      <c r="LY562" s="161" t="s">
        <v>254</v>
      </c>
      <c r="LZ562" s="161" t="s">
        <v>257</v>
      </c>
      <c r="MA562" s="161" t="s">
        <v>258</v>
      </c>
      <c r="MB562" s="276">
        <f>$H562*SUMIFS(axTER!$E$65:$E$105,axTER!$D$65:$D$105,LZ562,axTER!$C$65:$C$105,LX562)/SUMIFS(axTER!$E$108:$E$114,axTER!$C$108:$C$114,MA562)/10^9*$D$514</f>
        <v>0.59330906517329085</v>
      </c>
      <c r="MD562" s="273">
        <f t="shared" si="1018"/>
        <v>0</v>
      </c>
      <c r="ME562" s="273">
        <f t="shared" si="1016"/>
        <v>0</v>
      </c>
      <c r="MF562" s="273">
        <f>$H562*IF(MJ562&lt;&gt;LZ562,SUMIFS(axTER!$E$121:$E$128,axTER!$C$121:$C$128,LZ562,axTER!$D$121:$D$128,MJ562),SUMIFS(axTER!$E$133:$E$138,axTER!$C$133:$C$138,MJ562)*MI$510)*$D$514/10^6</f>
        <v>177.99271955198722</v>
      </c>
      <c r="MG562" s="274">
        <f>$H562*IF(MK562&lt;&gt;MA562,SUMIFS(axTER!$E$142:$E$148,axTER!$C$142:$C$148,MK562),SUMIFS(axTER!$E$151:$E$157,axTER!$C$151:$C$157,MK562)*MI$510)/10^6*$D$514</f>
        <v>128.74806714260413</v>
      </c>
      <c r="MH562" s="275" t="s">
        <v>271</v>
      </c>
      <c r="MI562" s="161" t="s">
        <v>254</v>
      </c>
      <c r="MJ562" s="161" t="s">
        <v>257</v>
      </c>
      <c r="MK562" s="161" t="s">
        <v>258</v>
      </c>
      <c r="ML562" s="276">
        <f>$H562*SUMIFS(axTER!$E$65:$E$105,axTER!$D$65:$D$105,MJ562,axTER!$C$65:$C$105,MH562)/SUMIFS(axTER!$E$108:$E$114,axTER!$C$108:$C$114,MK562)/10^9*$D$514</f>
        <v>0.59330906517329085</v>
      </c>
    </row>
    <row r="563" spans="3:350" outlineLevel="1" x14ac:dyDescent="0.3">
      <c r="C563" s="267"/>
      <c r="F563" s="266"/>
      <c r="H563" s="269">
        <v>1200</v>
      </c>
      <c r="I563" s="66" t="s">
        <v>271</v>
      </c>
      <c r="J563" s="66" t="s">
        <v>254</v>
      </c>
      <c r="K563" s="66" t="s">
        <v>255</v>
      </c>
      <c r="L563" s="283" t="s">
        <v>256</v>
      </c>
      <c r="M563" s="272">
        <f>$H563*SUMIFS(axTER!$E$65:$E$105,axTER!$C$65:$C$105,I563,axTER!$D$65:$D$105,K563)/SUMIFS(axTER!$E$108:$E$114,axTER!$C$108:$C$114,L563)/10^9*$D$514</f>
        <v>1.4988860593851558</v>
      </c>
      <c r="S563" s="269">
        <v>1200</v>
      </c>
      <c r="T563" s="66" t="s">
        <v>271</v>
      </c>
      <c r="U563" s="66" t="s">
        <v>254</v>
      </c>
      <c r="V563" s="66" t="s">
        <v>255</v>
      </c>
      <c r="W563" s="283" t="s">
        <v>256</v>
      </c>
      <c r="X563" s="272">
        <f>$H563*SUMIFS(axTER!$E$65:$E$105,axTER!$C$65:$C$105,T563,axTER!$D$65:$D$105,V563)/SUMIFS(axTER!$E$108:$E$114,axTER!$C$108:$C$114,W563)/10^9*$D$514</f>
        <v>1.4988860593851558</v>
      </c>
      <c r="AB563" s="273">
        <f>$H563*IF(AF563&lt;&gt;K563,SUMIFS(axTER!$E$121:$E$128,axTER!$C$121:$C$128,K563,axTER!$D$121:$D$128,AF563),SUMIFS(axTER!$E$133:$E$138,axTER!$C$133:$C$138,AF563)*AE$510)*$D$514/10^6</f>
        <v>474.64725213863267</v>
      </c>
      <c r="AC563" s="274">
        <f>$H563*IF(AG563&lt;&gt;L563,SUMIFS(axTER!$E$142:$E$148,axTER!$C$142:$C$148,AG563),SUMIFS(axTER!$E$151:$E$157,axTER!$C$151:$C$157,AG563)*AE$510)/10^6*$D$514</f>
        <v>74.756942211834655</v>
      </c>
      <c r="AD563" s="275" t="s">
        <v>271</v>
      </c>
      <c r="AE563" s="161" t="s">
        <v>254</v>
      </c>
      <c r="AF563" s="161" t="s">
        <v>255</v>
      </c>
      <c r="AG563" s="284" t="s">
        <v>256</v>
      </c>
      <c r="AH563" s="276">
        <f>$H563*SUMIFS(axTER!$E$65:$E$105,axTER!$D$65:$D$105,AF563,axTER!$C$65:$C$105,AD563)/SUMIFS(axTER!$E$108:$E$114,axTER!$C$108:$C$114,AG563)/10^9*$D$514</f>
        <v>1.4988860593851558</v>
      </c>
      <c r="AV563" s="273">
        <f>$H563*IF(AZ563&lt;&gt;AF563,SUMIFS(axTER!$E$121:$E$128,axTER!$C$121:$C$128,AF563,axTER!$D$121:$D$128,AZ563),SUMIFS(axTER!$E$133:$E$138,axTER!$C$133:$C$138,AZ563)*AY$510)*$D$514/10^6</f>
        <v>949.29450427726533</v>
      </c>
      <c r="AW563" s="274">
        <f>$H563*IF(BA563&lt;&gt;AG563,SUMIFS(axTER!$E$142:$E$148,axTER!$C$142:$C$148,BA563),SUMIFS(axTER!$E$151:$E$157,axTER!$C$151:$C$157,BA563)*AY$510)/10^6*$D$514</f>
        <v>149.51388442366931</v>
      </c>
      <c r="AX563" s="275" t="s">
        <v>271</v>
      </c>
      <c r="AY563" s="161" t="s">
        <v>254</v>
      </c>
      <c r="AZ563" s="161" t="s">
        <v>255</v>
      </c>
      <c r="BA563" s="284" t="s">
        <v>256</v>
      </c>
      <c r="BB563" s="276">
        <f>$H563*SUMIFS(axTER!$E$65:$E$105,axTER!$D$65:$D$105,AZ563,axTER!$C$65:$C$105,AX563)/SUMIFS(axTER!$E$108:$E$114,axTER!$C$108:$C$114,BA563)/10^9*$D$514</f>
        <v>1.4988860593851558</v>
      </c>
      <c r="IG563" s="269">
        <v>1200</v>
      </c>
      <c r="IH563" s="66" t="s">
        <v>271</v>
      </c>
      <c r="II563" s="66" t="s">
        <v>254</v>
      </c>
      <c r="IJ563" s="66" t="s">
        <v>255</v>
      </c>
      <c r="IK563" s="283" t="s">
        <v>256</v>
      </c>
      <c r="IL563" s="272">
        <f>$H563*SUMIFS(axTER!$E$65:$E$105,axTER!$C$65:$C$105,IH563,axTER!$D$65:$D$105,IJ563)/SUMIFS(axTER!$E$108:$E$114,axTER!$C$108:$C$114,IK563)/10^9*$D$514</f>
        <v>1.4988860593851558</v>
      </c>
      <c r="IO563" s="273">
        <f t="shared" si="1008"/>
        <v>1200</v>
      </c>
      <c r="IP563" s="273">
        <f>$H563*IF(IT563&lt;&gt;IJ563,SUMIFS(axTER!$E$121:$E$128,axTER!$C$121:$C$128,IJ563,axTER!$D$121:$D$128,IT563),SUMIFS(axTER!$E$133:$E$138,axTER!$C$133:$C$138,IT563)*IS$510)*$D$514/10^6</f>
        <v>1186.6181303465817</v>
      </c>
      <c r="IQ563" s="274">
        <f>$H563*IF(IU563&lt;&gt;IK563,SUMIFS(axTER!$E$142:$E$148,axTER!$C$142:$C$148,IU563),SUMIFS(axTER!$E$151:$E$157,axTER!$C$151:$C$157,IU563)*IS$510)/10^6*$D$514</f>
        <v>74.756942211834655</v>
      </c>
      <c r="IR563" s="275" t="s">
        <v>271</v>
      </c>
      <c r="IS563" s="161" t="s">
        <v>254</v>
      </c>
      <c r="IT563" s="277" t="s">
        <v>262</v>
      </c>
      <c r="IU563" s="284" t="s">
        <v>256</v>
      </c>
      <c r="IV563" s="276">
        <f>$H563*SUMIFS(axTER!$E$65:$E$105,axTER!$D$65:$D$105,IT563,axTER!$C$65:$C$105,IR563)/SUMIFS(axTER!$E$108:$E$114,axTER!$C$108:$C$114,IU563)/10^9*$D$514</f>
        <v>1.2490717161542964</v>
      </c>
      <c r="JI563" s="273">
        <f t="shared" si="1009"/>
        <v>1200</v>
      </c>
      <c r="JJ563" s="273">
        <f>$H563*IF(JN563&lt;&gt;IT563,SUMIFS(axTER!$E$121:$E$128,axTER!$C$121:$C$128,IT563,axTER!$D$121:$D$128,JN563),SUMIFS(axTER!$E$133:$E$138,axTER!$C$133:$C$138,JN563)*JM$510)*$D$514/10^6</f>
        <v>0</v>
      </c>
      <c r="JK563" s="274">
        <f>$H563*IF(JO563&lt;&gt;IU563,SUMIFS(axTER!$E$142:$E$148,axTER!$C$142:$C$148,JO563),SUMIFS(axTER!$E$151:$E$157,axTER!$C$151:$C$157,JO563)*JM$510)/10^6*$D$514</f>
        <v>149.51388442366931</v>
      </c>
      <c r="JL563" s="275" t="s">
        <v>271</v>
      </c>
      <c r="JM563" s="161" t="s">
        <v>254</v>
      </c>
      <c r="JN563" s="161" t="s">
        <v>255</v>
      </c>
      <c r="JO563" s="284" t="s">
        <v>256</v>
      </c>
      <c r="JP563" s="276">
        <f>$H563*SUMIFS(axTER!$E$65:$E$105,axTER!$D$65:$D$105,JN563,axTER!$C$65:$C$105,JL563)/SUMIFS(axTER!$E$108:$E$114,axTER!$C$108:$C$114,JO563)/10^9*$D$514</f>
        <v>1.4988860593851558</v>
      </c>
      <c r="JR563" s="269">
        <v>1200</v>
      </c>
      <c r="JS563" s="66" t="s">
        <v>271</v>
      </c>
      <c r="JT563" s="66" t="s">
        <v>254</v>
      </c>
      <c r="JU563" s="66" t="s">
        <v>255</v>
      </c>
      <c r="JV563" s="283" t="s">
        <v>256</v>
      </c>
      <c r="JW563" s="272">
        <f>$H563*SUMIFS(axTER!$E$65:$E$105,axTER!$C$65:$C$105,JS563,axTER!$D$65:$D$105,JU563)/SUMIFS(axTER!$E$108:$E$114,axTER!$C$108:$C$114,JV563)/10^9*$D$514</f>
        <v>1.4988860593851558</v>
      </c>
      <c r="JY563" s="273">
        <f t="shared" si="1010"/>
        <v>0</v>
      </c>
      <c r="JZ563" s="273">
        <f t="shared" si="1005"/>
        <v>0</v>
      </c>
      <c r="KA563" s="273">
        <f>$H563*IF(KE563&lt;&gt;JU563,SUMIFS(axTER!$E$121:$E$128,axTER!$C$121:$C$128,JU563,axTER!$D$121:$D$128,KE563),SUMIFS(axTER!$E$133:$E$138,axTER!$C$133:$C$138,KE563)*KD$510)*$D$514/10^6</f>
        <v>332.25307649704285</v>
      </c>
      <c r="KB563" s="274">
        <f>$H563*IF(KF563&lt;&gt;JV563,SUMIFS(axTER!$E$142:$E$148,axTER!$C$142:$C$148,KF563),SUMIFS(axTER!$E$151:$E$157,axTER!$C$151:$C$157,KF563)*KD$510)/10^6*$D$514</f>
        <v>52.329859548284254</v>
      </c>
      <c r="KC563" s="275" t="s">
        <v>271</v>
      </c>
      <c r="KD563" s="161" t="s">
        <v>254</v>
      </c>
      <c r="KE563" s="161" t="s">
        <v>255</v>
      </c>
      <c r="KF563" s="284" t="s">
        <v>256</v>
      </c>
      <c r="KG563" s="276">
        <f>$H563*SUMIFS(axTER!$E$65:$E$105,axTER!$D$65:$D$105,KE563,axTER!$C$65:$C$105,KC563)/SUMIFS(axTER!$E$108:$E$114,axTER!$C$108:$C$114,KF563)/10^9*$D$514</f>
        <v>1.4988860593851558</v>
      </c>
      <c r="KS563" s="273" t="str">
        <f t="shared" si="1011"/>
        <v>ELEC-PAC</v>
      </c>
      <c r="KT563" s="273">
        <f t="shared" si="1012"/>
        <v>1200</v>
      </c>
      <c r="KU563" s="273">
        <f>$H563*IF(KY563&lt;&gt;KE563,SUMIFS(axTER!$E$121:$E$128,axTER!$C$121:$C$128,KE563,axTER!$D$121:$D$128,KY563),SUMIFS(axTER!$E$133:$E$138,axTER!$C$133:$C$138,KY563)*KX$510)*$D$514/10^6</f>
        <v>1186.6181303465817</v>
      </c>
      <c r="KV563" s="274">
        <f>$H563*IF(KZ563&lt;&gt;KF563,SUMIFS(axTER!$E$142:$E$148,axTER!$C$142:$C$148,KZ563),SUMIFS(axTER!$E$151:$E$157,axTER!$C$151:$C$157,KZ563)*KX$510)/10^6*$D$514</f>
        <v>949.29450427726533</v>
      </c>
      <c r="KW563" s="275" t="s">
        <v>271</v>
      </c>
      <c r="KX563" s="161" t="s">
        <v>254</v>
      </c>
      <c r="KY563" s="161" t="s">
        <v>262</v>
      </c>
      <c r="KZ563" s="284" t="s">
        <v>261</v>
      </c>
      <c r="LA563" s="276">
        <f>$H563*SUMIFS(axTER!$E$65:$E$105,axTER!$D$65:$D$105,KY563,axTER!$C$65:$C$105,KW563)/SUMIFS(axTER!$E$108:$E$114,axTER!$C$108:$C$114,KZ563)/10^9*$D$514</f>
        <v>0.39553937678219392</v>
      </c>
      <c r="LC563" s="269">
        <v>1200</v>
      </c>
      <c r="LD563" s="66" t="s">
        <v>271</v>
      </c>
      <c r="LE563" s="66" t="s">
        <v>254</v>
      </c>
      <c r="LF563" s="66" t="s">
        <v>255</v>
      </c>
      <c r="LG563" s="283" t="s">
        <v>256</v>
      </c>
      <c r="LH563" s="272">
        <f>$H563*SUMIFS(axTER!$E$65:$E$105,axTER!$C$65:$C$105,LD563,axTER!$D$65:$D$105,LF563)/SUMIFS(axTER!$E$108:$E$114,axTER!$C$108:$C$114,LG563)/10^9*$D$514</f>
        <v>1.4988860593851558</v>
      </c>
      <c r="LJ563" s="273">
        <f t="shared" si="1013"/>
        <v>0</v>
      </c>
      <c r="LK563" s="273">
        <f t="shared" si="1017"/>
        <v>0</v>
      </c>
      <c r="LL563" s="273">
        <f>$H563*IF(LP563&lt;&gt;LF563,SUMIFS(axTER!$E$121:$E$128,axTER!$C$121:$C$128,LF563,axTER!$D$121:$D$128,LP563),SUMIFS(axTER!$E$133:$E$138,axTER!$C$133:$C$138,LP563)*LO$510)*$D$514/10^6</f>
        <v>332.25307649704285</v>
      </c>
      <c r="LM563" s="274">
        <f>$H563*IF(LQ563&lt;&gt;LG563,SUMIFS(axTER!$E$142:$E$148,axTER!$C$142:$C$148,LQ563),SUMIFS(axTER!$E$151:$E$157,axTER!$C$151:$C$157,LQ563)*LO$510)/10^6*$D$514</f>
        <v>52.329859548284254</v>
      </c>
      <c r="LN563" s="275" t="s">
        <v>271</v>
      </c>
      <c r="LO563" s="161" t="s">
        <v>254</v>
      </c>
      <c r="LP563" s="161" t="s">
        <v>255</v>
      </c>
      <c r="LQ563" s="161" t="s">
        <v>256</v>
      </c>
      <c r="LR563" s="276">
        <f>$H563*SUMIFS(axTER!$E$65:$E$105,axTER!$D$65:$D$105,LP563,axTER!$C$65:$C$105,LN563)/SUMIFS(axTER!$E$108:$E$114,axTER!$C$108:$C$114,LQ563)/10^9*$D$514</f>
        <v>1.4988860593851558</v>
      </c>
      <c r="LT563" s="273" t="str">
        <f t="shared" si="1014"/>
        <v>ELEC-PAC</v>
      </c>
      <c r="LU563" s="273">
        <f t="shared" si="1015"/>
        <v>1200</v>
      </c>
      <c r="LV563" s="273">
        <f>$H563*IF(LZ563&lt;&gt;LP563,SUMIFS(axTER!$E$121:$E$128,axTER!$C$121:$C$128,LP563,axTER!$D$121:$D$128,LZ563),SUMIFS(axTER!$E$133:$E$138,axTER!$C$133:$C$138,LZ563)*LY$510)*$D$514/10^6</f>
        <v>5339.7815865596167</v>
      </c>
      <c r="LW563" s="274">
        <f>$H563*IF(MA563&lt;&gt;LQ563,SUMIFS(axTER!$E$142:$E$148,axTER!$C$142:$C$148,MA563),SUMIFS(axTER!$E$151:$E$157,axTER!$C$151:$C$157,MA563)*LY$510)/10^6*$D$514</f>
        <v>949.29450427726533</v>
      </c>
      <c r="LX563" s="275" t="s">
        <v>271</v>
      </c>
      <c r="LY563" s="161" t="s">
        <v>254</v>
      </c>
      <c r="LZ563" s="429" t="s">
        <v>257</v>
      </c>
      <c r="MA563" s="429" t="s">
        <v>261</v>
      </c>
      <c r="MB563" s="276">
        <f>$H563*SUMIFS(axTER!$E$65:$E$105,axTER!$D$65:$D$105,LZ563,axTER!$C$65:$C$105,LX563)/SUMIFS(axTER!$E$108:$E$114,axTER!$C$108:$C$114,MA563)/10^9*$D$514</f>
        <v>0.19776968839109696</v>
      </c>
      <c r="MD563" s="273">
        <f t="shared" si="1018"/>
        <v>0</v>
      </c>
      <c r="ME563" s="273">
        <f t="shared" si="1016"/>
        <v>0</v>
      </c>
      <c r="MF563" s="273">
        <f>$H563*IF(MJ563&lt;&gt;LZ563,SUMIFS(axTER!$E$121:$E$128,axTER!$C$121:$C$128,LZ563,axTER!$D$121:$D$128,MJ563),SUMIFS(axTER!$E$133:$E$138,axTER!$C$133:$C$138,MJ563)*MI$510)*$D$514/10^6</f>
        <v>177.99271955198722</v>
      </c>
      <c r="MG563" s="274">
        <f>$H563*IF(MK563&lt;&gt;MA563,SUMIFS(axTER!$E$142:$E$148,axTER!$C$142:$C$148,MK563),SUMIFS(axTER!$E$151:$E$157,axTER!$C$151:$C$157,MK563)*MI$510)/10^6*$D$514</f>
        <v>332.25307649704291</v>
      </c>
      <c r="MH563" s="275" t="s">
        <v>271</v>
      </c>
      <c r="MI563" s="161" t="s">
        <v>254</v>
      </c>
      <c r="MJ563" s="429" t="s">
        <v>257</v>
      </c>
      <c r="MK563" s="161" t="s">
        <v>261</v>
      </c>
      <c r="ML563" s="276">
        <f>$H563*SUMIFS(axTER!$E$65:$E$105,axTER!$D$65:$D$105,MJ563,axTER!$C$65:$C$105,MH563)/SUMIFS(axTER!$E$108:$E$114,axTER!$C$108:$C$114,MK563)/10^9*$D$514</f>
        <v>0.19776968839109696</v>
      </c>
    </row>
    <row r="564" spans="3:350" outlineLevel="1" x14ac:dyDescent="0.3">
      <c r="C564" s="267"/>
      <c r="F564" s="266"/>
      <c r="H564" s="269">
        <v>1200</v>
      </c>
      <c r="I564" s="66" t="s">
        <v>271</v>
      </c>
      <c r="J564" s="66" t="s">
        <v>263</v>
      </c>
      <c r="K564" s="66" t="s">
        <v>266</v>
      </c>
      <c r="L564" s="283" t="s">
        <v>256</v>
      </c>
      <c r="M564" s="272">
        <f>$H564*SUMIFS(axTER!$E$65:$E$105,axTER!$C$65:$C$105,I564,axTER!$D$65:$D$105,K564)/SUMIFS(axTER!$E$108:$E$114,axTER!$C$108:$C$114,L564)/10^9*$D$514</f>
        <v>0.79940589833874964</v>
      </c>
      <c r="S564" s="269">
        <v>1200</v>
      </c>
      <c r="T564" s="66" t="s">
        <v>271</v>
      </c>
      <c r="U564" s="66" t="s">
        <v>263</v>
      </c>
      <c r="V564" s="66" t="s">
        <v>266</v>
      </c>
      <c r="W564" s="283" t="s">
        <v>256</v>
      </c>
      <c r="X564" s="272">
        <f>$H564*SUMIFS(axTER!$E$65:$E$105,axTER!$C$65:$C$105,T564,axTER!$D$65:$D$105,V564)/SUMIFS(axTER!$E$108:$E$114,axTER!$C$108:$C$114,W564)/10^9*$D$514</f>
        <v>0.79940589833874964</v>
      </c>
      <c r="AB564" s="273">
        <f>$H564*IF(AF564&lt;&gt;K564,SUMIFS(axTER!$E$121:$E$128,axTER!$C$121:$C$128,K564,axTER!$D$121:$D$128,AF564),SUMIFS(axTER!$E$133:$E$138,axTER!$C$133:$C$138,AF564)*AE$510)*$D$514/10^6</f>
        <v>177.99271955198722</v>
      </c>
      <c r="AC564" s="274">
        <f>$H564*IF(AG564&lt;&gt;L564,SUMIFS(axTER!$E$142:$E$148,axTER!$C$142:$C$148,AG564),SUMIFS(axTER!$E$151:$E$157,axTER!$C$151:$C$157,AG564)*AE$510)/10^6*$D$514</f>
        <v>74.756942211834655</v>
      </c>
      <c r="AD564" s="275" t="s">
        <v>271</v>
      </c>
      <c r="AE564" s="161" t="s">
        <v>263</v>
      </c>
      <c r="AF564" s="161" t="s">
        <v>266</v>
      </c>
      <c r="AG564" s="284" t="s">
        <v>256</v>
      </c>
      <c r="AH564" s="276">
        <f>$H564*SUMIFS(axTER!$E$65:$E$105,axTER!$D$65:$D$105,AF564,axTER!$C$65:$C$105,AD564)/SUMIFS(axTER!$E$108:$E$114,axTER!$C$108:$C$114,AG564)/10^9*$D$514</f>
        <v>0.79940589833874964</v>
      </c>
      <c r="AV564" s="273">
        <f>$H564*IF(AZ564&lt;&gt;AF564,SUMIFS(axTER!$E$121:$E$128,axTER!$C$121:$C$128,AF564,axTER!$D$121:$D$128,AZ564),SUMIFS(axTER!$E$133:$E$138,axTER!$C$133:$C$138,AZ564)*AY$510)*$D$514/10^6</f>
        <v>355.98543910397444</v>
      </c>
      <c r="AW564" s="274">
        <f>$H564*IF(BA564&lt;&gt;AG564,SUMIFS(axTER!$E$142:$E$148,axTER!$C$142:$C$148,BA564),SUMIFS(axTER!$E$151:$E$157,axTER!$C$151:$C$157,BA564)*AY$510)/10^6*$D$514</f>
        <v>149.51388442366931</v>
      </c>
      <c r="AX564" s="275" t="s">
        <v>271</v>
      </c>
      <c r="AY564" s="161" t="s">
        <v>263</v>
      </c>
      <c r="AZ564" s="161" t="s">
        <v>266</v>
      </c>
      <c r="BA564" s="284" t="s">
        <v>256</v>
      </c>
      <c r="BB564" s="276">
        <f>$H564*SUMIFS(axTER!$E$65:$E$105,axTER!$D$65:$D$105,AZ564,axTER!$C$65:$C$105,AX564)/SUMIFS(axTER!$E$108:$E$114,axTER!$C$108:$C$114,BA564)/10^9*$D$514</f>
        <v>0.79940589833874964</v>
      </c>
      <c r="IG564" s="269">
        <v>1200</v>
      </c>
      <c r="IH564" s="66" t="s">
        <v>271</v>
      </c>
      <c r="II564" s="66" t="s">
        <v>263</v>
      </c>
      <c r="IJ564" s="66" t="s">
        <v>266</v>
      </c>
      <c r="IK564" s="283" t="s">
        <v>256</v>
      </c>
      <c r="IL564" s="272">
        <f>$H564*SUMIFS(axTER!$E$65:$E$105,axTER!$C$65:$C$105,IH564,axTER!$D$65:$D$105,IJ564)/SUMIFS(axTER!$E$108:$E$114,axTER!$C$108:$C$114,IK564)/10^9*$D$514</f>
        <v>0.79940589833874964</v>
      </c>
      <c r="IO564" s="273">
        <f t="shared" si="1008"/>
        <v>0</v>
      </c>
      <c r="IP564" s="273">
        <f>$H564*IF(IT564&lt;&gt;IJ564,SUMIFS(axTER!$E$121:$E$128,axTER!$C$121:$C$128,IJ564,axTER!$D$121:$D$128,IT564),SUMIFS(axTER!$E$133:$E$138,axTER!$C$133:$C$138,IT564)*IS$510)*$D$514/10^6</f>
        <v>177.99271955198722</v>
      </c>
      <c r="IQ564" s="274">
        <f>$H564*IF(IU564&lt;&gt;IK564,SUMIFS(axTER!$E$142:$E$148,axTER!$C$142:$C$148,IU564),SUMIFS(axTER!$E$151:$E$157,axTER!$C$151:$C$157,IU564)*IS$510)/10^6*$D$514</f>
        <v>74.756942211834655</v>
      </c>
      <c r="IR564" s="275" t="s">
        <v>271</v>
      </c>
      <c r="IS564" s="161" t="s">
        <v>263</v>
      </c>
      <c r="IT564" s="161" t="s">
        <v>266</v>
      </c>
      <c r="IU564" s="284" t="s">
        <v>256</v>
      </c>
      <c r="IV564" s="276">
        <f>$H564*SUMIFS(axTER!$E$65:$E$105,axTER!$D$65:$D$105,IT564,axTER!$C$65:$C$105,IR564)/SUMIFS(axTER!$E$108:$E$114,axTER!$C$108:$C$114,IU564)/10^9*$D$514</f>
        <v>0.79940589833874964</v>
      </c>
      <c r="JI564" s="273">
        <f t="shared" si="1009"/>
        <v>0</v>
      </c>
      <c r="JJ564" s="273">
        <f>$H564*IF(JN564&lt;&gt;IT564,SUMIFS(axTER!$E$121:$E$128,axTER!$C$121:$C$128,IT564,axTER!$D$121:$D$128,JN564),SUMIFS(axTER!$E$133:$E$138,axTER!$C$133:$C$138,JN564)*JM$510)*$D$514/10^6</f>
        <v>355.98543910397444</v>
      </c>
      <c r="JK564" s="274">
        <f>$H564*IF(JO564&lt;&gt;IU564,SUMIFS(axTER!$E$142:$E$148,axTER!$C$142:$C$148,JO564),SUMIFS(axTER!$E$151:$E$157,axTER!$C$151:$C$157,JO564)*JM$510)/10^6*$D$514</f>
        <v>149.51388442366931</v>
      </c>
      <c r="JL564" s="275" t="s">
        <v>271</v>
      </c>
      <c r="JM564" s="161" t="s">
        <v>263</v>
      </c>
      <c r="JN564" s="161" t="s">
        <v>266</v>
      </c>
      <c r="JO564" s="284" t="s">
        <v>256</v>
      </c>
      <c r="JP564" s="276">
        <f>$H564*SUMIFS(axTER!$E$65:$E$105,axTER!$D$65:$D$105,JN564,axTER!$C$65:$C$105,JL564)/SUMIFS(axTER!$E$108:$E$114,axTER!$C$108:$C$114,JO564)/10^9*$D$514</f>
        <v>0.79940589833874964</v>
      </c>
      <c r="JR564" s="269">
        <v>1200</v>
      </c>
      <c r="JS564" s="66" t="s">
        <v>271</v>
      </c>
      <c r="JT564" s="66" t="s">
        <v>263</v>
      </c>
      <c r="JU564" s="66" t="s">
        <v>266</v>
      </c>
      <c r="JV564" s="283" t="s">
        <v>256</v>
      </c>
      <c r="JW564" s="272">
        <f>$H564*SUMIFS(axTER!$E$65:$E$105,axTER!$C$65:$C$105,JS564,axTER!$D$65:$D$105,JU564)/SUMIFS(axTER!$E$108:$E$114,axTER!$C$108:$C$114,JV564)/10^9*$D$514</f>
        <v>0.79940589833874964</v>
      </c>
      <c r="JY564" s="273">
        <f t="shared" si="1010"/>
        <v>0</v>
      </c>
      <c r="JZ564" s="273">
        <f t="shared" si="1005"/>
        <v>0</v>
      </c>
      <c r="KA564" s="273">
        <f>$H564*IF(KE564&lt;&gt;JU564,SUMIFS(axTER!$E$121:$E$128,axTER!$C$121:$C$128,JU564,axTER!$D$121:$D$128,KE564),SUMIFS(axTER!$E$133:$E$138,axTER!$C$133:$C$138,KE564)*KD$510)*$D$514/10^6</f>
        <v>124.59490368639106</v>
      </c>
      <c r="KB564" s="274">
        <f>$H564*IF(KF564&lt;&gt;JV564,SUMIFS(axTER!$E$142:$E$148,axTER!$C$142:$C$148,KF564),SUMIFS(axTER!$E$151:$E$157,axTER!$C$151:$C$157,KF564)*KD$510)/10^6*$D$514</f>
        <v>52.329859548284254</v>
      </c>
      <c r="KC564" s="275" t="s">
        <v>271</v>
      </c>
      <c r="KD564" s="161" t="s">
        <v>263</v>
      </c>
      <c r="KE564" s="161" t="s">
        <v>266</v>
      </c>
      <c r="KF564" s="284" t="s">
        <v>256</v>
      </c>
      <c r="KG564" s="276">
        <f>$H564*SUMIFS(axTER!$E$65:$E$105,axTER!$D$65:$D$105,KE564,axTER!$C$65:$C$105,KC564)/SUMIFS(axTER!$E$108:$E$114,axTER!$C$108:$C$114,KF564)/10^9*$D$514</f>
        <v>0.79940589833874964</v>
      </c>
      <c r="KS564" s="273" t="str">
        <f t="shared" si="1011"/>
        <v>ELEC-PAC</v>
      </c>
      <c r="KT564" s="273">
        <f t="shared" si="1012"/>
        <v>1200</v>
      </c>
      <c r="KU564" s="273">
        <f>$H564*IF(KY564&lt;&gt;KE564,SUMIFS(axTER!$E$121:$E$128,axTER!$C$121:$C$128,KE564,axTER!$D$121:$D$128,KY564),SUMIFS(axTER!$E$133:$E$138,axTER!$C$133:$C$138,KY564)*KX$510)*$D$514/10^6</f>
        <v>4746.4725213863267</v>
      </c>
      <c r="KV564" s="274">
        <f>$H564*IF(KZ564&lt;&gt;KF564,SUMIFS(axTER!$E$142:$E$148,axTER!$C$142:$C$148,KZ564),SUMIFS(axTER!$E$151:$E$157,axTER!$C$151:$C$157,KZ564)*KX$510)/10^6*$D$514</f>
        <v>949.29450427726533</v>
      </c>
      <c r="KW564" s="275" t="s">
        <v>271</v>
      </c>
      <c r="KX564" s="161" t="s">
        <v>263</v>
      </c>
      <c r="KY564" s="161" t="s">
        <v>257</v>
      </c>
      <c r="KZ564" s="284" t="s">
        <v>261</v>
      </c>
      <c r="LA564" s="276">
        <f>$H564*SUMIFS(axTER!$E$65:$E$105,axTER!$D$65:$D$105,KY564,axTER!$C$65:$C$105,KW564)/SUMIFS(axTER!$E$108:$E$114,axTER!$C$108:$C$114,KZ564)/10^9*$D$514</f>
        <v>0.19776968839109696</v>
      </c>
      <c r="LC564" s="269">
        <v>1200</v>
      </c>
      <c r="LD564" s="66" t="s">
        <v>271</v>
      </c>
      <c r="LE564" s="66" t="s">
        <v>263</v>
      </c>
      <c r="LF564" s="66" t="s">
        <v>266</v>
      </c>
      <c r="LG564" s="283" t="s">
        <v>256</v>
      </c>
      <c r="LH564" s="272">
        <f>$H564*SUMIFS(axTER!$E$65:$E$105,axTER!$C$65:$C$105,LD564,axTER!$D$65:$D$105,LF564)/SUMIFS(axTER!$E$108:$E$114,axTER!$C$108:$C$114,LG564)/10^9*$D$514</f>
        <v>0.79940589833874964</v>
      </c>
      <c r="LJ564" s="273">
        <f t="shared" si="1013"/>
        <v>0</v>
      </c>
      <c r="LK564" s="273">
        <f t="shared" si="1017"/>
        <v>0</v>
      </c>
      <c r="LL564" s="273">
        <f>$H564*IF(LP564&lt;&gt;LF564,SUMIFS(axTER!$E$121:$E$128,axTER!$C$121:$C$128,LF564,axTER!$D$121:$D$128,LP564),SUMIFS(axTER!$E$133:$E$138,axTER!$C$133:$C$138,LP564)*LO$510)*$D$514/10^6</f>
        <v>124.59490368639106</v>
      </c>
      <c r="LM564" s="274">
        <f>$H564*IF(LQ564&lt;&gt;LG564,SUMIFS(axTER!$E$142:$E$148,axTER!$C$142:$C$148,LQ564),SUMIFS(axTER!$E$151:$E$157,axTER!$C$151:$C$157,LQ564)*LO$510)/10^6*$D$514</f>
        <v>52.329859548284254</v>
      </c>
      <c r="LN564" s="275" t="s">
        <v>271</v>
      </c>
      <c r="LO564" s="161" t="s">
        <v>263</v>
      </c>
      <c r="LP564" s="161" t="s">
        <v>266</v>
      </c>
      <c r="LQ564" s="161" t="s">
        <v>256</v>
      </c>
      <c r="LR564" s="276">
        <f>$H564*SUMIFS(axTER!$E$65:$E$105,axTER!$D$65:$D$105,LP564,axTER!$C$65:$C$105,LN564)/SUMIFS(axTER!$E$108:$E$114,axTER!$C$108:$C$114,LQ564)/10^9*$D$514</f>
        <v>0.79940589833874964</v>
      </c>
      <c r="LT564" s="273">
        <f t="shared" si="1014"/>
        <v>0</v>
      </c>
      <c r="LU564" s="273">
        <f t="shared" si="1015"/>
        <v>0</v>
      </c>
      <c r="LV564" s="273">
        <f>$H564*IF(LZ564&lt;&gt;LP564,SUMIFS(axTER!$E$121:$E$128,axTER!$C$121:$C$128,LP564,axTER!$D$121:$D$128,LZ564),SUMIFS(axTER!$E$133:$E$138,axTER!$C$133:$C$138,LZ564)*LY$510)*$D$514/10^6</f>
        <v>177.99271955198722</v>
      </c>
      <c r="LW564" s="274">
        <f>$H564*IF(MA564&lt;&gt;LQ564,SUMIFS(axTER!$E$142:$E$148,axTER!$C$142:$C$148,MA564),SUMIFS(axTER!$E$151:$E$157,axTER!$C$151:$C$157,MA564)*LY$510)/10^6*$D$514</f>
        <v>74.756942211834655</v>
      </c>
      <c r="LX564" s="275" t="s">
        <v>271</v>
      </c>
      <c r="LY564" s="161" t="s">
        <v>263</v>
      </c>
      <c r="LZ564" s="161" t="s">
        <v>266</v>
      </c>
      <c r="MA564" s="161" t="s">
        <v>256</v>
      </c>
      <c r="MB564" s="276">
        <f>$H564*SUMIFS(axTER!$E$65:$E$105,axTER!$D$65:$D$105,LZ564,axTER!$C$65:$C$105,LX564)/SUMIFS(axTER!$E$108:$E$114,axTER!$C$108:$C$114,MA564)/10^9*$D$514</f>
        <v>0.79940589833874964</v>
      </c>
      <c r="MD564" s="273" t="str">
        <f t="shared" si="1018"/>
        <v>ELEC-PAC</v>
      </c>
      <c r="ME564" s="273">
        <f t="shared" si="1016"/>
        <v>0</v>
      </c>
      <c r="MF564" s="273">
        <f>$H564*IF(MJ564&lt;&gt;LZ564,SUMIFS(axTER!$E$121:$E$128,axTER!$C$121:$C$128,LZ564,axTER!$D$121:$D$128,MJ564),SUMIFS(axTER!$E$133:$E$138,axTER!$C$133:$C$138,MJ564)*MI$510)*$D$514/10^6</f>
        <v>177.99271955198722</v>
      </c>
      <c r="MG564" s="274">
        <f>$H564*IF(MK564&lt;&gt;MA564,SUMIFS(axTER!$E$142:$E$148,axTER!$C$142:$C$148,MK564),SUMIFS(axTER!$E$151:$E$157,axTER!$C$151:$C$157,MK564)*MI$510)/10^6*$D$514</f>
        <v>949.29450427726533</v>
      </c>
      <c r="MH564" s="275" t="s">
        <v>271</v>
      </c>
      <c r="MI564" s="161" t="s">
        <v>263</v>
      </c>
      <c r="MJ564" s="161" t="s">
        <v>266</v>
      </c>
      <c r="MK564" s="161" t="s">
        <v>261</v>
      </c>
      <c r="ML564" s="276">
        <f>$H564*SUMIFS(axTER!$E$65:$E$105,axTER!$D$65:$D$105,MJ564,axTER!$C$65:$C$105,MH564)/SUMIFS(axTER!$E$108:$E$114,axTER!$C$108:$C$114,MK564)/10^9*$D$514</f>
        <v>0.25314520114060407</v>
      </c>
    </row>
    <row r="565" spans="3:350" outlineLevel="1" x14ac:dyDescent="0.3">
      <c r="C565" s="267"/>
      <c r="F565" s="266"/>
      <c r="H565" s="269">
        <v>1200</v>
      </c>
      <c r="I565" s="66" t="s">
        <v>271</v>
      </c>
      <c r="J565" s="66" t="s">
        <v>263</v>
      </c>
      <c r="K565" s="66" t="s">
        <v>266</v>
      </c>
      <c r="L565" s="283" t="s">
        <v>256</v>
      </c>
      <c r="M565" s="272">
        <f>$H565*SUMIFS(axTER!$E$65:$E$105,axTER!$C$65:$C$105,I565,axTER!$D$65:$D$105,K565)/SUMIFS(axTER!$E$108:$E$114,axTER!$C$108:$C$114,L565)/10^9*$D$514</f>
        <v>0.79940589833874964</v>
      </c>
      <c r="S565" s="269">
        <v>1200</v>
      </c>
      <c r="T565" s="66" t="s">
        <v>271</v>
      </c>
      <c r="U565" s="66" t="s">
        <v>263</v>
      </c>
      <c r="V565" s="66" t="s">
        <v>266</v>
      </c>
      <c r="W565" s="283" t="s">
        <v>256</v>
      </c>
      <c r="X565" s="272">
        <f>$H565*SUMIFS(axTER!$E$65:$E$105,axTER!$C$65:$C$105,T565,axTER!$D$65:$D$105,V565)/SUMIFS(axTER!$E$108:$E$114,axTER!$C$108:$C$114,W565)/10^9*$D$514</f>
        <v>0.79940589833874964</v>
      </c>
      <c r="AB565" s="273">
        <f>$H565*IF(AF565&lt;&gt;K565,SUMIFS(axTER!$E$121:$E$128,axTER!$C$121:$C$128,K565,axTER!$D$121:$D$128,AF565),SUMIFS(axTER!$E$133:$E$138,axTER!$C$133:$C$138,AF565)*AE$510)*$D$514/10^6</f>
        <v>177.99271955198722</v>
      </c>
      <c r="AC565" s="274">
        <f>$H565*IF(AG565&lt;&gt;L565,SUMIFS(axTER!$E$142:$E$148,axTER!$C$142:$C$148,AG565),SUMIFS(axTER!$E$151:$E$157,axTER!$C$151:$C$157,AG565)*AE$510)/10^6*$D$514</f>
        <v>74.756942211834655</v>
      </c>
      <c r="AD565" s="275" t="s">
        <v>271</v>
      </c>
      <c r="AE565" s="161" t="s">
        <v>263</v>
      </c>
      <c r="AF565" s="161" t="s">
        <v>266</v>
      </c>
      <c r="AG565" s="284" t="s">
        <v>256</v>
      </c>
      <c r="AH565" s="276">
        <f>$H565*SUMIFS(axTER!$E$65:$E$105,axTER!$D$65:$D$105,AF565,axTER!$C$65:$C$105,AD565)/SUMIFS(axTER!$E$108:$E$114,axTER!$C$108:$C$114,AG565)/10^9*$D$514</f>
        <v>0.79940589833874964</v>
      </c>
      <c r="AV565" s="273">
        <f>$H565*IF(AZ565&lt;&gt;AF565,SUMIFS(axTER!$E$121:$E$128,axTER!$C$121:$C$128,AF565,axTER!$D$121:$D$128,AZ565),SUMIFS(axTER!$E$133:$E$138,axTER!$C$133:$C$138,AZ565)*AY$510)*$D$514/10^6</f>
        <v>355.98543910397444</v>
      </c>
      <c r="AW565" s="274">
        <f>$H565*IF(BA565&lt;&gt;AG565,SUMIFS(axTER!$E$142:$E$148,axTER!$C$142:$C$148,BA565),SUMIFS(axTER!$E$151:$E$157,axTER!$C$151:$C$157,BA565)*AY$510)/10^6*$D$514</f>
        <v>149.51388442366931</v>
      </c>
      <c r="AX565" s="275" t="s">
        <v>271</v>
      </c>
      <c r="AY565" s="161" t="s">
        <v>263</v>
      </c>
      <c r="AZ565" s="161" t="s">
        <v>266</v>
      </c>
      <c r="BA565" s="284" t="s">
        <v>256</v>
      </c>
      <c r="BB565" s="276">
        <f>$H565*SUMIFS(axTER!$E$65:$E$105,axTER!$D$65:$D$105,AZ565,axTER!$C$65:$C$105,AX565)/SUMIFS(axTER!$E$108:$E$114,axTER!$C$108:$C$114,BA565)/10^9*$D$514</f>
        <v>0.79940589833874964</v>
      </c>
      <c r="IG565" s="269">
        <v>1200</v>
      </c>
      <c r="IH565" s="66" t="s">
        <v>271</v>
      </c>
      <c r="II565" s="66" t="s">
        <v>263</v>
      </c>
      <c r="IJ565" s="66" t="s">
        <v>266</v>
      </c>
      <c r="IK565" s="283" t="s">
        <v>256</v>
      </c>
      <c r="IL565" s="272">
        <f>$H565*SUMIFS(axTER!$E$65:$E$105,axTER!$C$65:$C$105,IH565,axTER!$D$65:$D$105,IJ565)/SUMIFS(axTER!$E$108:$E$114,axTER!$C$108:$C$114,IK565)/10^9*$D$514</f>
        <v>0.79940589833874964</v>
      </c>
      <c r="IO565" s="273">
        <f t="shared" si="1008"/>
        <v>0</v>
      </c>
      <c r="IP565" s="273">
        <f>$H565*IF(IT565&lt;&gt;IJ565,SUMIFS(axTER!$E$121:$E$128,axTER!$C$121:$C$128,IJ565,axTER!$D$121:$D$128,IT565),SUMIFS(axTER!$E$133:$E$138,axTER!$C$133:$C$138,IT565)*IS$510)*$D$514/10^6</f>
        <v>177.99271955198722</v>
      </c>
      <c r="IQ565" s="274">
        <f>$H565*IF(IU565&lt;&gt;IK565,SUMIFS(axTER!$E$142:$E$148,axTER!$C$142:$C$148,IU565),SUMIFS(axTER!$E$151:$E$157,axTER!$C$151:$C$157,IU565)*IS$510)/10^6*$D$514</f>
        <v>74.756942211834655</v>
      </c>
      <c r="IR565" s="275" t="s">
        <v>271</v>
      </c>
      <c r="IS565" s="161" t="s">
        <v>263</v>
      </c>
      <c r="IT565" s="161" t="s">
        <v>266</v>
      </c>
      <c r="IU565" s="284" t="s">
        <v>256</v>
      </c>
      <c r="IV565" s="276">
        <f>$H565*SUMIFS(axTER!$E$65:$E$105,axTER!$D$65:$D$105,IT565,axTER!$C$65:$C$105,IR565)/SUMIFS(axTER!$E$108:$E$114,axTER!$C$108:$C$114,IU565)/10^9*$D$514</f>
        <v>0.79940589833874964</v>
      </c>
      <c r="JI565" s="273">
        <f t="shared" si="1009"/>
        <v>0</v>
      </c>
      <c r="JJ565" s="273">
        <f>$H565*IF(JN565&lt;&gt;IT565,SUMIFS(axTER!$E$121:$E$128,axTER!$C$121:$C$128,IT565,axTER!$D$121:$D$128,JN565),SUMIFS(axTER!$E$133:$E$138,axTER!$C$133:$C$138,JN565)*JM$510)*$D$514/10^6</f>
        <v>355.98543910397444</v>
      </c>
      <c r="JK565" s="274">
        <f>$H565*IF(JO565&lt;&gt;IU565,SUMIFS(axTER!$E$142:$E$148,axTER!$C$142:$C$148,JO565),SUMIFS(axTER!$E$151:$E$157,axTER!$C$151:$C$157,JO565)*JM$510)/10^6*$D$514</f>
        <v>149.51388442366931</v>
      </c>
      <c r="JL565" s="275" t="s">
        <v>271</v>
      </c>
      <c r="JM565" s="161" t="s">
        <v>263</v>
      </c>
      <c r="JN565" s="161" t="s">
        <v>266</v>
      </c>
      <c r="JO565" s="284" t="s">
        <v>256</v>
      </c>
      <c r="JP565" s="276">
        <f>$H565*SUMIFS(axTER!$E$65:$E$105,axTER!$D$65:$D$105,JN565,axTER!$C$65:$C$105,JL565)/SUMIFS(axTER!$E$108:$E$114,axTER!$C$108:$C$114,JO565)/10^9*$D$514</f>
        <v>0.79940589833874964</v>
      </c>
      <c r="JR565" s="269">
        <v>1200</v>
      </c>
      <c r="JS565" s="66" t="s">
        <v>271</v>
      </c>
      <c r="JT565" s="66" t="s">
        <v>263</v>
      </c>
      <c r="JU565" s="66" t="s">
        <v>266</v>
      </c>
      <c r="JV565" s="283" t="s">
        <v>256</v>
      </c>
      <c r="JW565" s="272">
        <f>$H565*SUMIFS(axTER!$E$65:$E$105,axTER!$C$65:$C$105,JS565,axTER!$D$65:$D$105,JU565)/SUMIFS(axTER!$E$108:$E$114,axTER!$C$108:$C$114,JV565)/10^9*$D$514</f>
        <v>0.79940589833874964</v>
      </c>
      <c r="JY565" s="273">
        <f t="shared" si="1010"/>
        <v>0</v>
      </c>
      <c r="JZ565" s="273">
        <f t="shared" si="1005"/>
        <v>0</v>
      </c>
      <c r="KA565" s="273">
        <f>$H565*IF(KE565&lt;&gt;JU565,SUMIFS(axTER!$E$121:$E$128,axTER!$C$121:$C$128,JU565,axTER!$D$121:$D$128,KE565),SUMIFS(axTER!$E$133:$E$138,axTER!$C$133:$C$138,KE565)*KD$510)*$D$514/10^6</f>
        <v>124.59490368639106</v>
      </c>
      <c r="KB565" s="274">
        <f>$H565*IF(KF565&lt;&gt;JV565,SUMIFS(axTER!$E$142:$E$148,axTER!$C$142:$C$148,KF565),SUMIFS(axTER!$E$151:$E$157,axTER!$C$151:$C$157,KF565)*KD$510)/10^6*$D$514</f>
        <v>52.329859548284254</v>
      </c>
      <c r="KC565" s="275" t="s">
        <v>271</v>
      </c>
      <c r="KD565" s="161" t="s">
        <v>263</v>
      </c>
      <c r="KE565" s="161" t="s">
        <v>266</v>
      </c>
      <c r="KF565" s="284" t="s">
        <v>256</v>
      </c>
      <c r="KG565" s="276">
        <f>$H565*SUMIFS(axTER!$E$65:$E$105,axTER!$D$65:$D$105,KE565,axTER!$C$65:$C$105,KC565)/SUMIFS(axTER!$E$108:$E$114,axTER!$C$108:$C$114,KF565)/10^9*$D$514</f>
        <v>0.79940589833874964</v>
      </c>
      <c r="KS565" s="273" t="str">
        <f t="shared" si="1011"/>
        <v>ELEC-PAC</v>
      </c>
      <c r="KT565" s="273">
        <f t="shared" si="1012"/>
        <v>1200</v>
      </c>
      <c r="KU565" s="273">
        <f>$H565*IF(KY565&lt;&gt;KE565,SUMIFS(axTER!$E$121:$E$128,axTER!$C$121:$C$128,KE565,axTER!$D$121:$D$128,KY565),SUMIFS(axTER!$E$133:$E$138,axTER!$C$133:$C$138,KY565)*KX$510)*$D$514/10^6</f>
        <v>4746.4725213863267</v>
      </c>
      <c r="KV565" s="274">
        <f>$H565*IF(KZ565&lt;&gt;KF565,SUMIFS(axTER!$E$142:$E$148,axTER!$C$142:$C$148,KZ565),SUMIFS(axTER!$E$151:$E$157,axTER!$C$151:$C$157,KZ565)*KX$510)/10^6*$D$514</f>
        <v>949.29450427726533</v>
      </c>
      <c r="KW565" s="275" t="s">
        <v>271</v>
      </c>
      <c r="KX565" s="161" t="s">
        <v>263</v>
      </c>
      <c r="KY565" s="161" t="s">
        <v>257</v>
      </c>
      <c r="KZ565" s="284" t="s">
        <v>261</v>
      </c>
      <c r="LA565" s="276">
        <f>$H565*SUMIFS(axTER!$E$65:$E$105,axTER!$D$65:$D$105,KY565,axTER!$C$65:$C$105,KW565)/SUMIFS(axTER!$E$108:$E$114,axTER!$C$108:$C$114,KZ565)/10^9*$D$514</f>
        <v>0.19776968839109696</v>
      </c>
      <c r="LC565" s="269">
        <v>1200</v>
      </c>
      <c r="LD565" s="66" t="s">
        <v>271</v>
      </c>
      <c r="LE565" s="66" t="s">
        <v>263</v>
      </c>
      <c r="LF565" s="66" t="s">
        <v>266</v>
      </c>
      <c r="LG565" s="283" t="s">
        <v>256</v>
      </c>
      <c r="LH565" s="272">
        <f>$H565*SUMIFS(axTER!$E$65:$E$105,axTER!$C$65:$C$105,LD565,axTER!$D$65:$D$105,LF565)/SUMIFS(axTER!$E$108:$E$114,axTER!$C$108:$C$114,LG565)/10^9*$D$514</f>
        <v>0.79940589833874964</v>
      </c>
      <c r="LJ565" s="273">
        <f t="shared" si="1013"/>
        <v>0</v>
      </c>
      <c r="LK565" s="273">
        <f t="shared" si="1017"/>
        <v>0</v>
      </c>
      <c r="LL565" s="273">
        <f>$H565*IF(LP565&lt;&gt;LF565,SUMIFS(axTER!$E$121:$E$128,axTER!$C$121:$C$128,LF565,axTER!$D$121:$D$128,LP565),SUMIFS(axTER!$E$133:$E$138,axTER!$C$133:$C$138,LP565)*LO$510)*$D$514/10^6</f>
        <v>124.59490368639106</v>
      </c>
      <c r="LM565" s="274">
        <f>$H565*IF(LQ565&lt;&gt;LG565,SUMIFS(axTER!$E$142:$E$148,axTER!$C$142:$C$148,LQ565),SUMIFS(axTER!$E$151:$E$157,axTER!$C$151:$C$157,LQ565)*LO$510)/10^6*$D$514</f>
        <v>52.329859548284254</v>
      </c>
      <c r="LN565" s="275" t="s">
        <v>271</v>
      </c>
      <c r="LO565" s="161" t="s">
        <v>263</v>
      </c>
      <c r="LP565" s="161" t="s">
        <v>266</v>
      </c>
      <c r="LQ565" s="161" t="s">
        <v>256</v>
      </c>
      <c r="LR565" s="276">
        <f>$H565*SUMIFS(axTER!$E$65:$E$105,axTER!$D$65:$D$105,LP565,axTER!$C$65:$C$105,LN565)/SUMIFS(axTER!$E$108:$E$114,axTER!$C$108:$C$114,LQ565)/10^9*$D$514</f>
        <v>0.79940589833874964</v>
      </c>
      <c r="LT565" s="273" t="str">
        <f t="shared" si="1014"/>
        <v>ELEC-PAC</v>
      </c>
      <c r="LU565" s="273">
        <f t="shared" si="1015"/>
        <v>0</v>
      </c>
      <c r="LV565" s="273">
        <f>$H565*IF(LZ565&lt;&gt;LP565,SUMIFS(axTER!$E$121:$E$128,axTER!$C$121:$C$128,LP565,axTER!$D$121:$D$128,LZ565),SUMIFS(axTER!$E$133:$E$138,axTER!$C$133:$C$138,LZ565)*LY$510)*$D$514/10^6</f>
        <v>177.99271955198722</v>
      </c>
      <c r="LW565" s="274">
        <f>$H565*IF(MA565&lt;&gt;LQ565,SUMIFS(axTER!$E$142:$E$148,axTER!$C$142:$C$148,MA565),SUMIFS(axTER!$E$151:$E$157,axTER!$C$151:$C$157,MA565)*LY$510)/10^6*$D$514</f>
        <v>949.29450427726533</v>
      </c>
      <c r="LX565" s="275" t="s">
        <v>271</v>
      </c>
      <c r="LY565" s="161" t="s">
        <v>263</v>
      </c>
      <c r="LZ565" s="161" t="s">
        <v>266</v>
      </c>
      <c r="MA565" s="429" t="s">
        <v>261</v>
      </c>
      <c r="MB565" s="276">
        <f>$H565*SUMIFS(axTER!$E$65:$E$105,axTER!$D$65:$D$105,LZ565,axTER!$C$65:$C$105,LX565)/SUMIFS(axTER!$E$108:$E$114,axTER!$C$108:$C$114,MA565)/10^9*$D$514</f>
        <v>0.25314520114060407</v>
      </c>
      <c r="MD565" s="273">
        <f t="shared" si="1018"/>
        <v>0</v>
      </c>
      <c r="ME565" s="273">
        <f t="shared" si="1016"/>
        <v>0</v>
      </c>
      <c r="MF565" s="273">
        <f>$H565*IF(MJ565&lt;&gt;LZ565,SUMIFS(axTER!$E$121:$E$128,axTER!$C$121:$C$128,LZ565,axTER!$D$121:$D$128,MJ565),SUMIFS(axTER!$E$133:$E$138,axTER!$C$133:$C$138,MJ565)*MI$510)*$D$514/10^6</f>
        <v>177.99271955198722</v>
      </c>
      <c r="MG565" s="274">
        <f>$H565*IF(MK565&lt;&gt;MA565,SUMIFS(axTER!$E$142:$E$148,axTER!$C$142:$C$148,MK565),SUMIFS(axTER!$E$151:$E$157,axTER!$C$151:$C$157,MK565)*MI$510)/10^6*$D$514</f>
        <v>332.25307649704291</v>
      </c>
      <c r="MH565" s="275" t="s">
        <v>271</v>
      </c>
      <c r="MI565" s="161" t="s">
        <v>263</v>
      </c>
      <c r="MJ565" s="161" t="s">
        <v>266</v>
      </c>
      <c r="MK565" s="161" t="s">
        <v>261</v>
      </c>
      <c r="ML565" s="276">
        <f>$H565*SUMIFS(axTER!$E$65:$E$105,axTER!$D$65:$D$105,MJ565,axTER!$C$65:$C$105,MH565)/SUMIFS(axTER!$E$108:$E$114,axTER!$C$108:$C$114,MK565)/10^9*$D$514</f>
        <v>0.25314520114060407</v>
      </c>
    </row>
    <row r="566" spans="3:350" outlineLevel="1" x14ac:dyDescent="0.3">
      <c r="C566" s="267"/>
      <c r="D566" s="289"/>
      <c r="F566" s="266"/>
      <c r="H566" s="269">
        <v>1200</v>
      </c>
      <c r="I566" s="66" t="s">
        <v>271</v>
      </c>
      <c r="J566" s="66" t="s">
        <v>263</v>
      </c>
      <c r="K566" s="66" t="s">
        <v>266</v>
      </c>
      <c r="L566" s="283" t="s">
        <v>256</v>
      </c>
      <c r="M566" s="272">
        <f>$H566*SUMIFS(axTER!$E$65:$E$105,axTER!$C$65:$C$105,I566,axTER!$D$65:$D$105,K566)/SUMIFS(axTER!$E$108:$E$114,axTER!$C$108:$C$114,L566)/10^9*$D$514</f>
        <v>0.79940589833874964</v>
      </c>
      <c r="S566" s="269">
        <v>1200</v>
      </c>
      <c r="T566" s="66" t="s">
        <v>271</v>
      </c>
      <c r="U566" s="66" t="s">
        <v>263</v>
      </c>
      <c r="V566" s="66" t="s">
        <v>266</v>
      </c>
      <c r="W566" s="283" t="s">
        <v>256</v>
      </c>
      <c r="X566" s="272">
        <f>$H566*SUMIFS(axTER!$E$65:$E$105,axTER!$C$65:$C$105,T566,axTER!$D$65:$D$105,V566)/SUMIFS(axTER!$E$108:$E$114,axTER!$C$108:$C$114,W566)/10^9*$D$514</f>
        <v>0.79940589833874964</v>
      </c>
      <c r="AB566" s="273">
        <f>$H566*IF(AF566&lt;&gt;K566,SUMIFS(axTER!$E$121:$E$128,axTER!$C$121:$C$128,K566,axTER!$D$121:$D$128,AF566),SUMIFS(axTER!$E$133:$E$138,axTER!$C$133:$C$138,AF566)*AE$510)*$D$514/10^6</f>
        <v>177.99271955198722</v>
      </c>
      <c r="AC566" s="274">
        <f>$H566*IF(AG566&lt;&gt;L566,SUMIFS(axTER!$E$142:$E$148,axTER!$C$142:$C$148,AG566),SUMIFS(axTER!$E$151:$E$157,axTER!$C$151:$C$157,AG566)*AE$510)/10^6*$D$514</f>
        <v>74.756942211834655</v>
      </c>
      <c r="AD566" s="275" t="s">
        <v>271</v>
      </c>
      <c r="AE566" s="161" t="s">
        <v>263</v>
      </c>
      <c r="AF566" s="161" t="s">
        <v>266</v>
      </c>
      <c r="AG566" s="284" t="s">
        <v>256</v>
      </c>
      <c r="AH566" s="276">
        <f>$H566*SUMIFS(axTER!$E$65:$E$105,axTER!$D$65:$D$105,AF566,axTER!$C$65:$C$105,AD566)/SUMIFS(axTER!$E$108:$E$114,axTER!$C$108:$C$114,AG566)/10^9*$D$514</f>
        <v>0.79940589833874964</v>
      </c>
      <c r="AV566" s="273">
        <f>$H566*IF(AZ566&lt;&gt;AF566,SUMIFS(axTER!$E$121:$E$128,axTER!$C$121:$C$128,AF566,axTER!$D$121:$D$128,AZ566),SUMIFS(axTER!$E$133:$E$138,axTER!$C$133:$C$138,AZ566)*AY$510)*$D$514/10^6</f>
        <v>355.98543910397444</v>
      </c>
      <c r="AW566" s="274">
        <f>$H566*IF(BA566&lt;&gt;AG566,SUMIFS(axTER!$E$142:$E$148,axTER!$C$142:$C$148,BA566),SUMIFS(axTER!$E$151:$E$157,axTER!$C$151:$C$157,BA566)*AY$510)/10^6*$D$514</f>
        <v>149.51388442366931</v>
      </c>
      <c r="AX566" s="275" t="s">
        <v>271</v>
      </c>
      <c r="AY566" s="161" t="s">
        <v>263</v>
      </c>
      <c r="AZ566" s="161" t="s">
        <v>266</v>
      </c>
      <c r="BA566" s="284" t="s">
        <v>256</v>
      </c>
      <c r="BB566" s="276">
        <f>$H566*SUMIFS(axTER!$E$65:$E$105,axTER!$D$65:$D$105,AZ566,axTER!$C$65:$C$105,AX566)/SUMIFS(axTER!$E$108:$E$114,axTER!$C$108:$C$114,BA566)/10^9*$D$514</f>
        <v>0.79940589833874964</v>
      </c>
      <c r="IG566" s="269">
        <v>1200</v>
      </c>
      <c r="IH566" s="66" t="s">
        <v>271</v>
      </c>
      <c r="II566" s="66" t="s">
        <v>263</v>
      </c>
      <c r="IJ566" s="66" t="s">
        <v>266</v>
      </c>
      <c r="IK566" s="283" t="s">
        <v>256</v>
      </c>
      <c r="IL566" s="272">
        <f>$H566*SUMIFS(axTER!$E$65:$E$105,axTER!$C$65:$C$105,IH566,axTER!$D$65:$D$105,IJ566)/SUMIFS(axTER!$E$108:$E$114,axTER!$C$108:$C$114,IK566)/10^9*$D$514</f>
        <v>0.79940589833874964</v>
      </c>
      <c r="IO566" s="273">
        <f t="shared" si="1008"/>
        <v>0</v>
      </c>
      <c r="IP566" s="273">
        <f>$H566*IF(IT566&lt;&gt;IJ566,SUMIFS(axTER!$E$121:$E$128,axTER!$C$121:$C$128,IJ566,axTER!$D$121:$D$128,IT566),SUMIFS(axTER!$E$133:$E$138,axTER!$C$133:$C$138,IT566)*IS$510)*$D$514/10^6</f>
        <v>177.99271955198722</v>
      </c>
      <c r="IQ566" s="274">
        <f>$H566*IF(IU566&lt;&gt;IK566,SUMIFS(axTER!$E$142:$E$148,axTER!$C$142:$C$148,IU566),SUMIFS(axTER!$E$151:$E$157,axTER!$C$151:$C$157,IU566)*IS$510)/10^6*$D$514</f>
        <v>74.756942211834655</v>
      </c>
      <c r="IR566" s="275" t="s">
        <v>271</v>
      </c>
      <c r="IS566" s="161" t="s">
        <v>263</v>
      </c>
      <c r="IT566" s="161" t="s">
        <v>266</v>
      </c>
      <c r="IU566" s="284" t="s">
        <v>256</v>
      </c>
      <c r="IV566" s="276">
        <f>$H566*SUMIFS(axTER!$E$65:$E$105,axTER!$D$65:$D$105,IT566,axTER!$C$65:$C$105,IR566)/SUMIFS(axTER!$E$108:$E$114,axTER!$C$108:$C$114,IU566)/10^9*$D$514</f>
        <v>0.79940589833874964</v>
      </c>
      <c r="JI566" s="273">
        <f t="shared" si="1009"/>
        <v>0</v>
      </c>
      <c r="JJ566" s="273">
        <f>$H566*IF(JN566&lt;&gt;IT566,SUMIFS(axTER!$E$121:$E$128,axTER!$C$121:$C$128,IT566,axTER!$D$121:$D$128,JN566),SUMIFS(axTER!$E$133:$E$138,axTER!$C$133:$C$138,JN566)*JM$510)*$D$514/10^6</f>
        <v>355.98543910397444</v>
      </c>
      <c r="JK566" s="274">
        <f>$H566*IF(JO566&lt;&gt;IU566,SUMIFS(axTER!$E$142:$E$148,axTER!$C$142:$C$148,JO566),SUMIFS(axTER!$E$151:$E$157,axTER!$C$151:$C$157,JO566)*JM$510)/10^6*$D$514</f>
        <v>149.51388442366931</v>
      </c>
      <c r="JL566" s="275" t="s">
        <v>271</v>
      </c>
      <c r="JM566" s="161" t="s">
        <v>263</v>
      </c>
      <c r="JN566" s="161" t="s">
        <v>266</v>
      </c>
      <c r="JO566" s="284" t="s">
        <v>256</v>
      </c>
      <c r="JP566" s="276">
        <f>$H566*SUMIFS(axTER!$E$65:$E$105,axTER!$D$65:$D$105,JN566,axTER!$C$65:$C$105,JL566)/SUMIFS(axTER!$E$108:$E$114,axTER!$C$108:$C$114,JO566)/10^9*$D$514</f>
        <v>0.79940589833874964</v>
      </c>
      <c r="JR566" s="269">
        <v>1200</v>
      </c>
      <c r="JS566" s="66" t="s">
        <v>271</v>
      </c>
      <c r="JT566" s="66" t="s">
        <v>263</v>
      </c>
      <c r="JU566" s="66" t="s">
        <v>266</v>
      </c>
      <c r="JV566" s="283" t="s">
        <v>256</v>
      </c>
      <c r="JW566" s="272">
        <f>$H566*SUMIFS(axTER!$E$65:$E$105,axTER!$C$65:$C$105,JS566,axTER!$D$65:$D$105,JU566)/SUMIFS(axTER!$E$108:$E$114,axTER!$C$108:$C$114,JV566)/10^9*$D$514</f>
        <v>0.79940589833874964</v>
      </c>
      <c r="JY566" s="273">
        <f t="shared" si="1010"/>
        <v>0</v>
      </c>
      <c r="JZ566" s="273">
        <f t="shared" si="1005"/>
        <v>0</v>
      </c>
      <c r="KA566" s="273">
        <f>$H566*IF(KE566&lt;&gt;JU566,SUMIFS(axTER!$E$121:$E$128,axTER!$C$121:$C$128,JU566,axTER!$D$121:$D$128,KE566),SUMIFS(axTER!$E$133:$E$138,axTER!$C$133:$C$138,KE566)*KD$510)*$D$514/10^6</f>
        <v>124.59490368639106</v>
      </c>
      <c r="KB566" s="274">
        <f>$H566*IF(KF566&lt;&gt;JV566,SUMIFS(axTER!$E$142:$E$148,axTER!$C$142:$C$148,KF566),SUMIFS(axTER!$E$151:$E$157,axTER!$C$151:$C$157,KF566)*KD$510)/10^6*$D$514</f>
        <v>52.329859548284254</v>
      </c>
      <c r="KC566" s="275" t="s">
        <v>271</v>
      </c>
      <c r="KD566" s="161" t="s">
        <v>263</v>
      </c>
      <c r="KE566" s="161" t="s">
        <v>266</v>
      </c>
      <c r="KF566" s="284" t="s">
        <v>256</v>
      </c>
      <c r="KG566" s="276">
        <f>$H566*SUMIFS(axTER!$E$65:$E$105,axTER!$D$65:$D$105,KE566,axTER!$C$65:$C$105,KC566)/SUMIFS(axTER!$E$108:$E$114,axTER!$C$108:$C$114,KF566)/10^9*$D$514</f>
        <v>0.79940589833874964</v>
      </c>
      <c r="KS566" s="273" t="str">
        <f t="shared" si="1011"/>
        <v>ELEC-PAC</v>
      </c>
      <c r="KT566" s="273">
        <f t="shared" si="1012"/>
        <v>1200</v>
      </c>
      <c r="KU566" s="273">
        <f>$H566*IF(KY566&lt;&gt;KE566,SUMIFS(axTER!$E$121:$E$128,axTER!$C$121:$C$128,KE566,axTER!$D$121:$D$128,KY566),SUMIFS(axTER!$E$133:$E$138,axTER!$C$133:$C$138,KY566)*KX$510)*$D$514/10^6</f>
        <v>4746.4725213863267</v>
      </c>
      <c r="KV566" s="274">
        <f>$H566*IF(KZ566&lt;&gt;KF566,SUMIFS(axTER!$E$142:$E$148,axTER!$C$142:$C$148,KZ566),SUMIFS(axTER!$E$151:$E$157,axTER!$C$151:$C$157,KZ566)*KX$510)/10^6*$D$514</f>
        <v>949.29450427726533</v>
      </c>
      <c r="KW566" s="275" t="s">
        <v>271</v>
      </c>
      <c r="KX566" s="161" t="s">
        <v>263</v>
      </c>
      <c r="KY566" s="161" t="s">
        <v>257</v>
      </c>
      <c r="KZ566" s="284" t="s">
        <v>261</v>
      </c>
      <c r="LA566" s="276">
        <f>$H566*SUMIFS(axTER!$E$65:$E$105,axTER!$D$65:$D$105,KY566,axTER!$C$65:$C$105,KW566)/SUMIFS(axTER!$E$108:$E$114,axTER!$C$108:$C$114,KZ566)/10^9*$D$514</f>
        <v>0.19776968839109696</v>
      </c>
      <c r="LC566" s="269">
        <v>1200</v>
      </c>
      <c r="LD566" s="66" t="s">
        <v>271</v>
      </c>
      <c r="LE566" s="66" t="s">
        <v>263</v>
      </c>
      <c r="LF566" s="66" t="s">
        <v>266</v>
      </c>
      <c r="LG566" s="283" t="s">
        <v>256</v>
      </c>
      <c r="LH566" s="272">
        <f>$H566*SUMIFS(axTER!$E$65:$E$105,axTER!$C$65:$C$105,LD566,axTER!$D$65:$D$105,LF566)/SUMIFS(axTER!$E$108:$E$114,axTER!$C$108:$C$114,LG566)/10^9*$D$514</f>
        <v>0.79940589833874964</v>
      </c>
      <c r="LJ566" s="273">
        <f t="shared" si="1013"/>
        <v>0</v>
      </c>
      <c r="LK566" s="273">
        <f t="shared" si="1017"/>
        <v>0</v>
      </c>
      <c r="LL566" s="273">
        <f>$H566*IF(LP566&lt;&gt;LF566,SUMIFS(axTER!$E$121:$E$128,axTER!$C$121:$C$128,LF566,axTER!$D$121:$D$128,LP566),SUMIFS(axTER!$E$133:$E$138,axTER!$C$133:$C$138,LP566)*LO$510)*$D$514/10^6</f>
        <v>124.59490368639106</v>
      </c>
      <c r="LM566" s="274">
        <f>$H566*IF(LQ566&lt;&gt;LG566,SUMIFS(axTER!$E$142:$E$148,axTER!$C$142:$C$148,LQ566),SUMIFS(axTER!$E$151:$E$157,axTER!$C$151:$C$157,LQ566)*LO$510)/10^6*$D$514</f>
        <v>52.329859548284254</v>
      </c>
      <c r="LN566" s="275" t="s">
        <v>271</v>
      </c>
      <c r="LO566" s="161" t="s">
        <v>263</v>
      </c>
      <c r="LP566" s="161" t="s">
        <v>266</v>
      </c>
      <c r="LQ566" s="161" t="s">
        <v>256</v>
      </c>
      <c r="LR566" s="276">
        <f>$H566*SUMIFS(axTER!$E$65:$E$105,axTER!$D$65:$D$105,LP566,axTER!$C$65:$C$105,LN566)/SUMIFS(axTER!$E$108:$E$114,axTER!$C$108:$C$114,LQ566)/10^9*$D$514</f>
        <v>0.79940589833874964</v>
      </c>
      <c r="LT566" s="273" t="str">
        <f t="shared" si="1014"/>
        <v>ELEC-PAC</v>
      </c>
      <c r="LU566" s="273">
        <f t="shared" si="1015"/>
        <v>0</v>
      </c>
      <c r="LV566" s="273">
        <f>$H566*IF(LZ566&lt;&gt;LP566,SUMIFS(axTER!$E$121:$E$128,axTER!$C$121:$C$128,LP566,axTER!$D$121:$D$128,LZ566),SUMIFS(axTER!$E$133:$E$138,axTER!$C$133:$C$138,LZ566)*LY$510)*$D$514/10^6</f>
        <v>177.99271955198722</v>
      </c>
      <c r="LW566" s="274">
        <f>$H566*IF(MA566&lt;&gt;LQ566,SUMIFS(axTER!$E$142:$E$148,axTER!$C$142:$C$148,MA566),SUMIFS(axTER!$E$151:$E$157,axTER!$C$151:$C$157,MA566)*LY$510)/10^6*$D$514</f>
        <v>949.29450427726533</v>
      </c>
      <c r="LX566" s="275" t="s">
        <v>271</v>
      </c>
      <c r="LY566" s="161" t="s">
        <v>263</v>
      </c>
      <c r="LZ566" s="161" t="s">
        <v>266</v>
      </c>
      <c r="MA566" s="429" t="s">
        <v>261</v>
      </c>
      <c r="MB566" s="276">
        <f>$H566*SUMIFS(axTER!$E$65:$E$105,axTER!$D$65:$D$105,LZ566,axTER!$C$65:$C$105,LX566)/SUMIFS(axTER!$E$108:$E$114,axTER!$C$108:$C$114,MA566)/10^9*$D$514</f>
        <v>0.25314520114060407</v>
      </c>
      <c r="MD566" s="273">
        <f t="shared" si="1018"/>
        <v>0</v>
      </c>
      <c r="ME566" s="273">
        <f t="shared" si="1016"/>
        <v>0</v>
      </c>
      <c r="MF566" s="273">
        <f>$H566*IF(MJ566&lt;&gt;LZ566,SUMIFS(axTER!$E$121:$E$128,axTER!$C$121:$C$128,LZ566,axTER!$D$121:$D$128,MJ566),SUMIFS(axTER!$E$133:$E$138,axTER!$C$133:$C$138,MJ566)*MI$510)*$D$514/10^6</f>
        <v>177.99271955198722</v>
      </c>
      <c r="MG566" s="274">
        <f>$H566*IF(MK566&lt;&gt;MA566,SUMIFS(axTER!$E$142:$E$148,axTER!$C$142:$C$148,MK566),SUMIFS(axTER!$E$151:$E$157,axTER!$C$151:$C$157,MK566)*MI$510)/10^6*$D$514</f>
        <v>332.25307649704291</v>
      </c>
      <c r="MH566" s="275" t="s">
        <v>271</v>
      </c>
      <c r="MI566" s="161" t="s">
        <v>263</v>
      </c>
      <c r="MJ566" s="161" t="s">
        <v>266</v>
      </c>
      <c r="MK566" s="161" t="s">
        <v>261</v>
      </c>
      <c r="ML566" s="276">
        <f>$H566*SUMIFS(axTER!$E$65:$E$105,axTER!$D$65:$D$105,MJ566,axTER!$C$65:$C$105,MH566)/SUMIFS(axTER!$E$108:$E$114,axTER!$C$108:$C$114,MK566)/10^9*$D$514</f>
        <v>0.25314520114060407</v>
      </c>
    </row>
    <row r="567" spans="3:350" outlineLevel="1" x14ac:dyDescent="0.3">
      <c r="C567" s="265"/>
      <c r="D567" s="289"/>
      <c r="F567" s="266"/>
      <c r="H567" s="269">
        <v>1200</v>
      </c>
      <c r="I567" s="66" t="s">
        <v>271</v>
      </c>
      <c r="J567" s="66" t="s">
        <v>263</v>
      </c>
      <c r="K567" s="66" t="s">
        <v>266</v>
      </c>
      <c r="L567" s="283" t="s">
        <v>256</v>
      </c>
      <c r="M567" s="272">
        <f>$H567*SUMIFS(axTER!$E$65:$E$105,axTER!$C$65:$C$105,I567,axTER!$D$65:$D$105,K567)/SUMIFS(axTER!$E$108:$E$114,axTER!$C$108:$C$114,L567)/10^9*$D$514</f>
        <v>0.79940589833874964</v>
      </c>
      <c r="S567" s="269">
        <v>1200</v>
      </c>
      <c r="T567" s="66" t="s">
        <v>271</v>
      </c>
      <c r="U567" s="66" t="s">
        <v>263</v>
      </c>
      <c r="V567" s="66" t="s">
        <v>266</v>
      </c>
      <c r="W567" s="283" t="s">
        <v>256</v>
      </c>
      <c r="X567" s="272">
        <f>$H567*SUMIFS(axTER!$E$65:$E$105,axTER!$C$65:$C$105,T567,axTER!$D$65:$D$105,V567)/SUMIFS(axTER!$E$108:$E$114,axTER!$C$108:$C$114,W567)/10^9*$D$514</f>
        <v>0.79940589833874964</v>
      </c>
      <c r="AB567" s="273">
        <f>$H567*IF(AF567&lt;&gt;K567,SUMIFS(axTER!$E$121:$E$128,axTER!$C$121:$C$128,K567,axTER!$D$121:$D$128,AF567),SUMIFS(axTER!$E$133:$E$138,axTER!$C$133:$C$138,AF567)*AE$510)*$D$514/10^6</f>
        <v>177.99271955198722</v>
      </c>
      <c r="AC567" s="274">
        <f>$H567*IF(AG567&lt;&gt;L567,SUMIFS(axTER!$E$142:$E$148,axTER!$C$142:$C$148,AG567),SUMIFS(axTER!$E$151:$E$157,axTER!$C$151:$C$157,AG567)*AE$510)/10^6*$D$514</f>
        <v>74.756942211834655</v>
      </c>
      <c r="AD567" s="275" t="s">
        <v>271</v>
      </c>
      <c r="AE567" s="161" t="s">
        <v>263</v>
      </c>
      <c r="AF567" s="161" t="s">
        <v>266</v>
      </c>
      <c r="AG567" s="284" t="s">
        <v>256</v>
      </c>
      <c r="AH567" s="276">
        <f>$H567*SUMIFS(axTER!$E$65:$E$105,axTER!$D$65:$D$105,AF567,axTER!$C$65:$C$105,AD567)/SUMIFS(axTER!$E$108:$E$114,axTER!$C$108:$C$114,AG567)/10^9*$D$514</f>
        <v>0.79940589833874964</v>
      </c>
      <c r="AV567" s="273">
        <f>$H567*IF(AZ567&lt;&gt;AF567,SUMIFS(axTER!$E$121:$E$128,axTER!$C$121:$C$128,AF567,axTER!$D$121:$D$128,AZ567),SUMIFS(axTER!$E$133:$E$138,axTER!$C$133:$C$138,AZ567)*AY$510)*$D$514/10^6</f>
        <v>355.98543910397444</v>
      </c>
      <c r="AW567" s="274">
        <f>$H567*IF(BA567&lt;&gt;AG567,SUMIFS(axTER!$E$142:$E$148,axTER!$C$142:$C$148,BA567),SUMIFS(axTER!$E$151:$E$157,axTER!$C$151:$C$157,BA567)*AY$510)/10^6*$D$514</f>
        <v>149.51388442366931</v>
      </c>
      <c r="AX567" s="275" t="s">
        <v>271</v>
      </c>
      <c r="AY567" s="161" t="s">
        <v>263</v>
      </c>
      <c r="AZ567" s="161" t="s">
        <v>266</v>
      </c>
      <c r="BA567" s="284" t="s">
        <v>256</v>
      </c>
      <c r="BB567" s="276">
        <f>$H567*SUMIFS(axTER!$E$65:$E$105,axTER!$D$65:$D$105,AZ567,axTER!$C$65:$C$105,AX567)/SUMIFS(axTER!$E$108:$E$114,axTER!$C$108:$C$114,BA567)/10^9*$D$514</f>
        <v>0.79940589833874964</v>
      </c>
      <c r="IG567" s="269">
        <v>1200</v>
      </c>
      <c r="IH567" s="66" t="s">
        <v>271</v>
      </c>
      <c r="II567" s="66" t="s">
        <v>263</v>
      </c>
      <c r="IJ567" s="66" t="s">
        <v>266</v>
      </c>
      <c r="IK567" s="283" t="s">
        <v>256</v>
      </c>
      <c r="IL567" s="272">
        <f>$H567*SUMIFS(axTER!$E$65:$E$105,axTER!$C$65:$C$105,IH567,axTER!$D$65:$D$105,IJ567)/SUMIFS(axTER!$E$108:$E$114,axTER!$C$108:$C$114,IK567)/10^9*$D$514</f>
        <v>0.79940589833874964</v>
      </c>
      <c r="IO567" s="273">
        <f t="shared" si="1008"/>
        <v>0</v>
      </c>
      <c r="IP567" s="273">
        <f>$H567*IF(IT567&lt;&gt;IJ567,SUMIFS(axTER!$E$121:$E$128,axTER!$C$121:$C$128,IJ567,axTER!$D$121:$D$128,IT567),SUMIFS(axTER!$E$133:$E$138,axTER!$C$133:$C$138,IT567)*IS$510)*$D$514/10^6</f>
        <v>177.99271955198722</v>
      </c>
      <c r="IQ567" s="274">
        <f>$H567*IF(IU567&lt;&gt;IK567,SUMIFS(axTER!$E$142:$E$148,axTER!$C$142:$C$148,IU567),SUMIFS(axTER!$E$151:$E$157,axTER!$C$151:$C$157,IU567)*IS$510)/10^6*$D$514</f>
        <v>74.756942211834655</v>
      </c>
      <c r="IR567" s="275" t="s">
        <v>271</v>
      </c>
      <c r="IS567" s="161" t="s">
        <v>263</v>
      </c>
      <c r="IT567" s="161" t="s">
        <v>266</v>
      </c>
      <c r="IU567" s="284" t="s">
        <v>256</v>
      </c>
      <c r="IV567" s="276">
        <f>$H567*SUMIFS(axTER!$E$65:$E$105,axTER!$D$65:$D$105,IT567,axTER!$C$65:$C$105,IR567)/SUMIFS(axTER!$E$108:$E$114,axTER!$C$108:$C$114,IU567)/10^9*$D$514</f>
        <v>0.79940589833874964</v>
      </c>
      <c r="JI567" s="273">
        <f t="shared" si="1009"/>
        <v>0</v>
      </c>
      <c r="JJ567" s="273">
        <f>$H567*IF(JN567&lt;&gt;IT567,SUMIFS(axTER!$E$121:$E$128,axTER!$C$121:$C$128,IT567,axTER!$D$121:$D$128,JN567),SUMIFS(axTER!$E$133:$E$138,axTER!$C$133:$C$138,JN567)*JM$510)*$D$514/10^6</f>
        <v>355.98543910397444</v>
      </c>
      <c r="JK567" s="274">
        <f>$H567*IF(JO567&lt;&gt;IU567,SUMIFS(axTER!$E$142:$E$148,axTER!$C$142:$C$148,JO567),SUMIFS(axTER!$E$151:$E$157,axTER!$C$151:$C$157,JO567)*JM$510)/10^6*$D$514</f>
        <v>149.51388442366931</v>
      </c>
      <c r="JL567" s="275" t="s">
        <v>271</v>
      </c>
      <c r="JM567" s="161" t="s">
        <v>263</v>
      </c>
      <c r="JN567" s="161" t="s">
        <v>266</v>
      </c>
      <c r="JO567" s="284" t="s">
        <v>256</v>
      </c>
      <c r="JP567" s="276">
        <f>$H567*SUMIFS(axTER!$E$65:$E$105,axTER!$D$65:$D$105,JN567,axTER!$C$65:$C$105,JL567)/SUMIFS(axTER!$E$108:$E$114,axTER!$C$108:$C$114,JO567)/10^9*$D$514</f>
        <v>0.79940589833874964</v>
      </c>
      <c r="JR567" s="269">
        <v>1200</v>
      </c>
      <c r="JS567" s="66" t="s">
        <v>271</v>
      </c>
      <c r="JT567" s="66" t="s">
        <v>263</v>
      </c>
      <c r="JU567" s="66" t="s">
        <v>266</v>
      </c>
      <c r="JV567" s="283" t="s">
        <v>256</v>
      </c>
      <c r="JW567" s="272">
        <f>$H567*SUMIFS(axTER!$E$65:$E$105,axTER!$C$65:$C$105,JS567,axTER!$D$65:$D$105,JU567)/SUMIFS(axTER!$E$108:$E$114,axTER!$C$108:$C$114,JV567)/10^9*$D$514</f>
        <v>0.79940589833874964</v>
      </c>
      <c r="JY567" s="273">
        <f t="shared" si="1010"/>
        <v>0</v>
      </c>
      <c r="JZ567" s="273">
        <f t="shared" si="1005"/>
        <v>0</v>
      </c>
      <c r="KA567" s="273">
        <f>$H567*IF(KE567&lt;&gt;JU567,SUMIFS(axTER!$E$121:$E$128,axTER!$C$121:$C$128,JU567,axTER!$D$121:$D$128,KE567),SUMIFS(axTER!$E$133:$E$138,axTER!$C$133:$C$138,KE567)*KD$510)*$D$514/10^6</f>
        <v>124.59490368639106</v>
      </c>
      <c r="KB567" s="274">
        <f>$H567*IF(KF567&lt;&gt;JV567,SUMIFS(axTER!$E$142:$E$148,axTER!$C$142:$C$148,KF567),SUMIFS(axTER!$E$151:$E$157,axTER!$C$151:$C$157,KF567)*KD$510)/10^6*$D$514</f>
        <v>52.329859548284254</v>
      </c>
      <c r="KC567" s="275" t="s">
        <v>271</v>
      </c>
      <c r="KD567" s="161" t="s">
        <v>263</v>
      </c>
      <c r="KE567" s="161" t="s">
        <v>266</v>
      </c>
      <c r="KF567" s="284" t="s">
        <v>256</v>
      </c>
      <c r="KG567" s="276">
        <f>$H567*SUMIFS(axTER!$E$65:$E$105,axTER!$D$65:$D$105,KE567,axTER!$C$65:$C$105,KC567)/SUMIFS(axTER!$E$108:$E$114,axTER!$C$108:$C$114,KF567)/10^9*$D$514</f>
        <v>0.79940589833874964</v>
      </c>
      <c r="KS567" s="273" t="str">
        <f t="shared" si="1011"/>
        <v>ELEC-PAC</v>
      </c>
      <c r="KT567" s="273">
        <f t="shared" si="1012"/>
        <v>0</v>
      </c>
      <c r="KU567" s="273">
        <f>$H567*IF(KY567&lt;&gt;KE567,SUMIFS(axTER!$E$121:$E$128,axTER!$C$121:$C$128,KE567,axTER!$D$121:$D$128,KY567),SUMIFS(axTER!$E$133:$E$138,axTER!$C$133:$C$138,KY567)*KX$510)*$D$514/10^6</f>
        <v>355.98543910397444</v>
      </c>
      <c r="KV567" s="274">
        <f>$H567*IF(KZ567&lt;&gt;KF567,SUMIFS(axTER!$E$142:$E$148,axTER!$C$142:$C$148,KZ567),SUMIFS(axTER!$E$151:$E$157,axTER!$C$151:$C$157,KZ567)*KX$510)/10^6*$D$514</f>
        <v>949.29450427726533</v>
      </c>
      <c r="KW567" s="275" t="s">
        <v>271</v>
      </c>
      <c r="KX567" s="161" t="s">
        <v>263</v>
      </c>
      <c r="KY567" s="161" t="s">
        <v>266</v>
      </c>
      <c r="KZ567" s="284" t="s">
        <v>261</v>
      </c>
      <c r="LA567" s="276">
        <f>$H567*SUMIFS(axTER!$E$65:$E$105,axTER!$D$65:$D$105,KY567,axTER!$C$65:$C$105,KW567)/SUMIFS(axTER!$E$108:$E$114,axTER!$C$108:$C$114,KZ567)/10^9*$D$514</f>
        <v>0.25314520114060407</v>
      </c>
      <c r="LC567" s="269">
        <v>1200</v>
      </c>
      <c r="LD567" s="66" t="s">
        <v>271</v>
      </c>
      <c r="LE567" s="66" t="s">
        <v>263</v>
      </c>
      <c r="LF567" s="66" t="s">
        <v>266</v>
      </c>
      <c r="LG567" s="283" t="s">
        <v>256</v>
      </c>
      <c r="LH567" s="272">
        <f>$H567*SUMIFS(axTER!$E$65:$E$105,axTER!$C$65:$C$105,LD567,axTER!$D$65:$D$105,LF567)/SUMIFS(axTER!$E$108:$E$114,axTER!$C$108:$C$114,LG567)/10^9*$D$514</f>
        <v>0.79940589833874964</v>
      </c>
      <c r="LJ567" s="273">
        <f t="shared" si="1013"/>
        <v>0</v>
      </c>
      <c r="LK567" s="273">
        <f t="shared" si="1017"/>
        <v>0</v>
      </c>
      <c r="LL567" s="273">
        <f>$H567*IF(LP567&lt;&gt;LF567,SUMIFS(axTER!$E$121:$E$128,axTER!$C$121:$C$128,LF567,axTER!$D$121:$D$128,LP567),SUMIFS(axTER!$E$133:$E$138,axTER!$C$133:$C$138,LP567)*LO$510)*$D$514/10^6</f>
        <v>124.59490368639106</v>
      </c>
      <c r="LM567" s="274">
        <f>$H567*IF(LQ567&lt;&gt;LG567,SUMIFS(axTER!$E$142:$E$148,axTER!$C$142:$C$148,LQ567),SUMIFS(axTER!$E$151:$E$157,axTER!$C$151:$C$157,LQ567)*LO$510)/10^6*$D$514</f>
        <v>52.329859548284254</v>
      </c>
      <c r="LN567" s="275" t="s">
        <v>271</v>
      </c>
      <c r="LO567" s="161" t="s">
        <v>263</v>
      </c>
      <c r="LP567" s="161" t="s">
        <v>266</v>
      </c>
      <c r="LQ567" s="161" t="s">
        <v>256</v>
      </c>
      <c r="LR567" s="276">
        <f>$H567*SUMIFS(axTER!$E$65:$E$105,axTER!$D$65:$D$105,LP567,axTER!$C$65:$C$105,LN567)/SUMIFS(axTER!$E$108:$E$114,axTER!$C$108:$C$114,LQ567)/10^9*$D$514</f>
        <v>0.79940589833874964</v>
      </c>
      <c r="LT567" s="273">
        <f t="shared" si="1014"/>
        <v>0</v>
      </c>
      <c r="LU567" s="273">
        <f t="shared" si="1015"/>
        <v>0</v>
      </c>
      <c r="LV567" s="273">
        <f>$H567*IF(LZ567&lt;&gt;LP567,SUMIFS(axTER!$E$121:$E$128,axTER!$C$121:$C$128,LP567,axTER!$D$121:$D$128,LZ567),SUMIFS(axTER!$E$133:$E$138,axTER!$C$133:$C$138,LZ567)*LY$510)*$D$514/10^6</f>
        <v>177.99271955198722</v>
      </c>
      <c r="LW567" s="274">
        <f>$H567*IF(MA567&lt;&gt;LQ567,SUMIFS(axTER!$E$142:$E$148,axTER!$C$142:$C$148,MA567),SUMIFS(axTER!$E$151:$E$157,axTER!$C$151:$C$157,MA567)*LY$510)/10^6*$D$514</f>
        <v>74.756942211834655</v>
      </c>
      <c r="LX567" s="275" t="s">
        <v>271</v>
      </c>
      <c r="LY567" s="161" t="s">
        <v>263</v>
      </c>
      <c r="LZ567" s="161" t="s">
        <v>266</v>
      </c>
      <c r="MA567" s="161" t="s">
        <v>256</v>
      </c>
      <c r="MB567" s="276">
        <f>$H567*SUMIFS(axTER!$E$65:$E$105,axTER!$D$65:$D$105,LZ567,axTER!$C$65:$C$105,LX567)/SUMIFS(axTER!$E$108:$E$114,axTER!$C$108:$C$114,MA567)/10^9*$D$514</f>
        <v>0.79940589833874964</v>
      </c>
      <c r="MD567" s="273" t="str">
        <f t="shared" si="1018"/>
        <v>ELEC-PAC</v>
      </c>
      <c r="ME567" s="273">
        <f t="shared" si="1016"/>
        <v>0</v>
      </c>
      <c r="MF567" s="273">
        <f>$H567*IF(MJ567&lt;&gt;LZ567,SUMIFS(axTER!$E$121:$E$128,axTER!$C$121:$C$128,LZ567,axTER!$D$121:$D$128,MJ567),SUMIFS(axTER!$E$133:$E$138,axTER!$C$133:$C$138,MJ567)*MI$510)*$D$514/10^6</f>
        <v>177.99271955198722</v>
      </c>
      <c r="MG567" s="274">
        <f>$H567*IF(MK567&lt;&gt;MA567,SUMIFS(axTER!$E$142:$E$148,axTER!$C$142:$C$148,MK567),SUMIFS(axTER!$E$151:$E$157,axTER!$C$151:$C$157,MK567)*MI$510)/10^6*$D$514</f>
        <v>949.29450427726533</v>
      </c>
      <c r="MH567" s="275" t="s">
        <v>271</v>
      </c>
      <c r="MI567" s="161" t="s">
        <v>263</v>
      </c>
      <c r="MJ567" s="161" t="s">
        <v>266</v>
      </c>
      <c r="MK567" s="161" t="s">
        <v>261</v>
      </c>
      <c r="ML567" s="276">
        <f>$H567*SUMIFS(axTER!$E$65:$E$105,axTER!$D$65:$D$105,MJ567,axTER!$C$65:$C$105,MH567)/SUMIFS(axTER!$E$108:$E$114,axTER!$C$108:$C$114,MK567)/10^9*$D$514</f>
        <v>0.25314520114060407</v>
      </c>
    </row>
    <row r="568" spans="3:350" hidden="1" outlineLevel="1" x14ac:dyDescent="0.3">
      <c r="C568" s="265"/>
      <c r="D568" s="289"/>
      <c r="F568" s="266"/>
      <c r="H568" s="269">
        <v>1200</v>
      </c>
      <c r="I568" s="66" t="s">
        <v>271</v>
      </c>
      <c r="J568" s="66" t="s">
        <v>263</v>
      </c>
      <c r="K568" s="66" t="s">
        <v>266</v>
      </c>
      <c r="L568" s="283" t="s">
        <v>270</v>
      </c>
      <c r="M568" s="272">
        <f>$H568*SUMIFS(axTER!$E$65:$E$105,axTER!$C$65:$C$105,I568,axTER!$D$65:$D$105,K568)/SUMIFS(axTER!$E$108:$E$114,axTER!$C$108:$C$114,L568)/10^9*$D$514</f>
        <v>0.75943560342181216</v>
      </c>
      <c r="S568" s="269">
        <v>1200</v>
      </c>
      <c r="T568" s="66" t="s">
        <v>271</v>
      </c>
      <c r="U568" s="66" t="s">
        <v>263</v>
      </c>
      <c r="V568" s="66" t="s">
        <v>266</v>
      </c>
      <c r="W568" s="283" t="s">
        <v>270</v>
      </c>
      <c r="X568" s="272">
        <f>$H568*SUMIFS(axTER!$E$65:$E$105,axTER!$C$65:$C$105,T568,axTER!$D$65:$D$105,V568)/SUMIFS(axTER!$E$108:$E$114,axTER!$C$108:$C$114,W568)/10^9*$D$514</f>
        <v>0.75943560342181216</v>
      </c>
      <c r="AB568" s="273">
        <f>$H568*IF(AF568&lt;&gt;K568,SUMIFS(axTER!$E$121:$E$128,axTER!$C$121:$C$128,K568,axTER!$D$121:$D$128,AF568),SUMIFS(axTER!$E$133:$E$138,axTER!$C$133:$C$138,AF568)*AE$510)*$D$514/10^6</f>
        <v>177.99271955198722</v>
      </c>
      <c r="AC568" s="274">
        <f>$H568*IF(AG568&lt;&gt;L568,SUMIFS(axTER!$E$142:$E$148,axTER!$C$142:$C$148,AG568),SUMIFS(axTER!$E$151:$E$157,axTER!$C$151:$C$157,AG568)*AE$510)/10^6*$D$514</f>
        <v>128.74806714260413</v>
      </c>
      <c r="AD568" s="275" t="s">
        <v>271</v>
      </c>
      <c r="AE568" s="161" t="s">
        <v>263</v>
      </c>
      <c r="AF568" s="161" t="s">
        <v>266</v>
      </c>
      <c r="AG568" s="284" t="s">
        <v>270</v>
      </c>
      <c r="AH568" s="276">
        <f>$H568*SUMIFS(axTER!$E$65:$E$105,axTER!$D$65:$D$105,AF568,axTER!$C$65:$C$105,AD568)/SUMIFS(axTER!$E$108:$E$114,axTER!$C$108:$C$114,AG568)/10^9*$D$514</f>
        <v>0.75943560342181216</v>
      </c>
      <c r="AV568" s="273">
        <f>$H568*IF(AZ568&lt;&gt;AF568,SUMIFS(axTER!$E$121:$E$128,axTER!$C$121:$C$128,AF568,axTER!$D$121:$D$128,AZ568),SUMIFS(axTER!$E$133:$E$138,axTER!$C$133:$C$138,AZ568)*AY$510)*$D$514/10^6</f>
        <v>355.98543910397444</v>
      </c>
      <c r="AW568" s="274">
        <f>$H568*IF(BA568&lt;&gt;AG568,SUMIFS(axTER!$E$142:$E$148,axTER!$C$142:$C$148,BA568),SUMIFS(axTER!$E$151:$E$157,axTER!$C$151:$C$157,BA568)*AY$510)/10^6*$D$514</f>
        <v>257.49613428520826</v>
      </c>
      <c r="AX568" s="275" t="s">
        <v>271</v>
      </c>
      <c r="AY568" s="161" t="s">
        <v>263</v>
      </c>
      <c r="AZ568" s="161" t="s">
        <v>266</v>
      </c>
      <c r="BA568" s="284" t="s">
        <v>270</v>
      </c>
      <c r="BB568" s="276">
        <f>$H568*SUMIFS(axTER!$E$65:$E$105,axTER!$D$65:$D$105,AZ568,axTER!$C$65:$C$105,AX568)/SUMIFS(axTER!$E$108:$E$114,axTER!$C$108:$C$114,BA568)/10^9*$D$514</f>
        <v>0.75943560342181216</v>
      </c>
      <c r="IG568" s="269">
        <v>1200</v>
      </c>
      <c r="IH568" s="66" t="s">
        <v>271</v>
      </c>
      <c r="II568" s="66" t="s">
        <v>263</v>
      </c>
      <c r="IJ568" s="66" t="s">
        <v>266</v>
      </c>
      <c r="IK568" s="283" t="s">
        <v>270</v>
      </c>
      <c r="IL568" s="272">
        <f>$H568*SUMIFS(axTER!$E$65:$E$105,axTER!$C$65:$C$105,IH568,axTER!$D$65:$D$105,IJ568)/SUMIFS(axTER!$E$108:$E$114,axTER!$C$108:$C$114,IK568)/10^9*$D$514</f>
        <v>0.75943560342181216</v>
      </c>
      <c r="IO568" s="273">
        <f t="shared" si="1008"/>
        <v>0</v>
      </c>
      <c r="IP568" s="273">
        <f>$H568*IF(IT568&lt;&gt;IJ568,SUMIFS(axTER!$E$121:$E$128,axTER!$C$121:$C$128,IJ568,axTER!$D$121:$D$128,IT568),SUMIFS(axTER!$E$133:$E$138,axTER!$C$133:$C$138,IT568)*IS$510)*$D$514/10^6</f>
        <v>177.99271955198722</v>
      </c>
      <c r="IQ568" s="274">
        <f>$H568*IF(IU568&lt;&gt;IK568,SUMIFS(axTER!$E$142:$E$148,axTER!$C$142:$C$148,IU568),SUMIFS(axTER!$E$151:$E$157,axTER!$C$151:$C$157,IU568)*IS$510)/10^6*$D$514</f>
        <v>128.74806714260413</v>
      </c>
      <c r="IR568" s="275" t="s">
        <v>271</v>
      </c>
      <c r="IS568" s="161" t="s">
        <v>263</v>
      </c>
      <c r="IT568" s="161" t="s">
        <v>266</v>
      </c>
      <c r="IU568" s="284" t="s">
        <v>270</v>
      </c>
      <c r="IV568" s="276">
        <f>$H568*SUMIFS(axTER!$E$65:$E$105,axTER!$D$65:$D$105,IT568,axTER!$C$65:$C$105,IR568)/SUMIFS(axTER!$E$108:$E$114,axTER!$C$108:$C$114,IU568)/10^9*$D$514</f>
        <v>0.75943560342181216</v>
      </c>
      <c r="JI568" s="273">
        <f t="shared" si="1009"/>
        <v>0</v>
      </c>
      <c r="JJ568" s="273">
        <f>$H568*IF(JN568&lt;&gt;IT568,SUMIFS(axTER!$E$121:$E$128,axTER!$C$121:$C$128,IT568,axTER!$D$121:$D$128,JN568),SUMIFS(axTER!$E$133:$E$138,axTER!$C$133:$C$138,JN568)*JM$510)*$D$514/10^6</f>
        <v>355.98543910397444</v>
      </c>
      <c r="JK568" s="274">
        <f>$H568*IF(JO568&lt;&gt;IU568,SUMIFS(axTER!$E$142:$E$148,axTER!$C$142:$C$148,JO568),SUMIFS(axTER!$E$151:$E$157,axTER!$C$151:$C$157,JO568)*JM$510)/10^6*$D$514</f>
        <v>257.49613428520826</v>
      </c>
      <c r="JL568" s="275" t="s">
        <v>271</v>
      </c>
      <c r="JM568" s="161" t="s">
        <v>263</v>
      </c>
      <c r="JN568" s="161" t="s">
        <v>266</v>
      </c>
      <c r="JO568" s="284" t="s">
        <v>270</v>
      </c>
      <c r="JP568" s="276">
        <f>$H568*SUMIFS(axTER!$E$65:$E$105,axTER!$D$65:$D$105,JN568,axTER!$C$65:$C$105,JL568)/SUMIFS(axTER!$E$108:$E$114,axTER!$C$108:$C$114,JO568)/10^9*$D$514</f>
        <v>0.75943560342181216</v>
      </c>
      <c r="JR568" s="269">
        <v>1200</v>
      </c>
      <c r="JS568" s="66" t="s">
        <v>271</v>
      </c>
      <c r="JT568" s="66" t="s">
        <v>263</v>
      </c>
      <c r="JU568" s="66" t="s">
        <v>266</v>
      </c>
      <c r="JV568" s="283" t="s">
        <v>270</v>
      </c>
      <c r="JW568" s="272">
        <f>$H568*SUMIFS(axTER!$E$65:$E$105,axTER!$C$65:$C$105,JS568,axTER!$D$65:$D$105,JU568)/SUMIFS(axTER!$E$108:$E$114,axTER!$C$108:$C$114,JV568)/10^9*$D$514</f>
        <v>0.75943560342181216</v>
      </c>
      <c r="JY568" s="273">
        <f t="shared" si="1010"/>
        <v>0</v>
      </c>
      <c r="JZ568" s="273">
        <f t="shared" si="1005"/>
        <v>0</v>
      </c>
      <c r="KA568" s="273">
        <f>$H568*IF(KE568&lt;&gt;JU568,SUMIFS(axTER!$E$121:$E$128,axTER!$C$121:$C$128,JU568,axTER!$D$121:$D$128,KE568),SUMIFS(axTER!$E$133:$E$138,axTER!$C$133:$C$138,KE568)*KD$510)*$D$514/10^6</f>
        <v>124.59490368639106</v>
      </c>
      <c r="KB568" s="274">
        <f>$H568*IF(KF568&lt;&gt;JV568,SUMIFS(axTER!$E$142:$E$148,axTER!$C$142:$C$148,KF568),SUMIFS(axTER!$E$151:$E$157,axTER!$C$151:$C$157,KF568)*KD$510)/10^6*$D$514</f>
        <v>90.123646999822896</v>
      </c>
      <c r="KC568" s="275" t="s">
        <v>271</v>
      </c>
      <c r="KD568" s="161" t="s">
        <v>263</v>
      </c>
      <c r="KE568" s="161" t="s">
        <v>266</v>
      </c>
      <c r="KF568" s="284" t="s">
        <v>270</v>
      </c>
      <c r="KG568" s="276">
        <f>$H568*SUMIFS(axTER!$E$65:$E$105,axTER!$D$65:$D$105,KE568,axTER!$C$65:$C$105,KC568)/SUMIFS(axTER!$E$108:$E$114,axTER!$C$108:$C$114,KF568)/10^9*$D$514</f>
        <v>0.75943560342181216</v>
      </c>
      <c r="KS568" s="273">
        <f t="shared" si="1011"/>
        <v>0</v>
      </c>
      <c r="KT568" s="273">
        <f t="shared" si="1012"/>
        <v>0</v>
      </c>
      <c r="KU568" s="273">
        <f>$H568*IF(KY568&lt;&gt;KE568,SUMIFS(axTER!$E$121:$E$128,axTER!$C$121:$C$128,KE568,axTER!$D$121:$D$128,KY568),SUMIFS(axTER!$E$133:$E$138,axTER!$C$133:$C$138,KY568)*KX$510)*$D$514/10^6</f>
        <v>355.98543910397444</v>
      </c>
      <c r="KV568" s="274">
        <f>$H568*IF(KZ568&lt;&gt;KF568,SUMIFS(axTER!$E$142:$E$148,axTER!$C$142:$C$148,KZ568),SUMIFS(axTER!$E$151:$E$157,axTER!$C$151:$C$157,KZ568)*KX$510)/10^6*$D$514</f>
        <v>257.49613428520826</v>
      </c>
      <c r="KW568" s="275" t="s">
        <v>271</v>
      </c>
      <c r="KX568" s="161" t="s">
        <v>263</v>
      </c>
      <c r="KY568" s="161" t="s">
        <v>266</v>
      </c>
      <c r="KZ568" s="284" t="s">
        <v>270</v>
      </c>
      <c r="LA568" s="276">
        <f>$H568*SUMIFS(axTER!$E$65:$E$105,axTER!$D$65:$D$105,KY568,axTER!$C$65:$C$105,KW568)/SUMIFS(axTER!$E$108:$E$114,axTER!$C$108:$C$114,KZ568)/10^9*$D$514</f>
        <v>0.75943560342181216</v>
      </c>
      <c r="LC568" s="269">
        <v>1200</v>
      </c>
      <c r="LD568" s="66" t="s">
        <v>271</v>
      </c>
      <c r="LE568" s="66" t="s">
        <v>263</v>
      </c>
      <c r="LF568" s="66" t="s">
        <v>266</v>
      </c>
      <c r="LG568" s="283" t="s">
        <v>270</v>
      </c>
      <c r="LH568" s="272">
        <f>$H568*SUMIFS(axTER!$E$65:$E$105,axTER!$C$65:$C$105,LD568,axTER!$D$65:$D$105,LF568)/SUMIFS(axTER!$E$108:$E$114,axTER!$C$108:$C$114,LG568)/10^9*$D$514</f>
        <v>0.75943560342181216</v>
      </c>
      <c r="LJ568" s="273">
        <f t="shared" si="1013"/>
        <v>0</v>
      </c>
      <c r="LK568" s="273">
        <f t="shared" si="1017"/>
        <v>0</v>
      </c>
      <c r="LL568" s="273">
        <f>$H568*IF(LP568&lt;&gt;LF568,SUMIFS(axTER!$E$121:$E$128,axTER!$C$121:$C$128,LF568,axTER!$D$121:$D$128,LP568),SUMIFS(axTER!$E$133:$E$138,axTER!$C$133:$C$138,LP568)*LO$510)*$D$514/10^6</f>
        <v>124.59490368639106</v>
      </c>
      <c r="LM568" s="274">
        <f>$H568*IF(LQ568&lt;&gt;LG568,SUMIFS(axTER!$E$142:$E$148,axTER!$C$142:$C$148,LQ568),SUMIFS(axTER!$E$151:$E$157,axTER!$C$151:$C$157,LQ568)*LO$510)/10^6*$D$514</f>
        <v>90.123646999822896</v>
      </c>
      <c r="LN568" s="275" t="s">
        <v>271</v>
      </c>
      <c r="LO568" s="161" t="s">
        <v>263</v>
      </c>
      <c r="LP568" s="161" t="s">
        <v>266</v>
      </c>
      <c r="LQ568" s="161" t="s">
        <v>270</v>
      </c>
      <c r="LR568" s="276">
        <f>$H568*SUMIFS(axTER!$E$65:$E$105,axTER!$D$65:$D$105,LP568,axTER!$C$65:$C$105,LN568)/SUMIFS(axTER!$E$108:$E$114,axTER!$C$108:$C$114,LQ568)/10^9*$D$514</f>
        <v>0.75943560342181216</v>
      </c>
      <c r="LT568" s="273">
        <f t="shared" si="1014"/>
        <v>0</v>
      </c>
      <c r="LU568" s="273">
        <f t="shared" si="1015"/>
        <v>0</v>
      </c>
      <c r="LV568" s="273">
        <f>$H568*IF(LZ568&lt;&gt;LP568,SUMIFS(axTER!$E$121:$E$128,axTER!$C$121:$C$128,LP568,axTER!$D$121:$D$128,LZ568),SUMIFS(axTER!$E$133:$E$138,axTER!$C$133:$C$138,LZ568)*LY$510)*$D$514/10^6</f>
        <v>177.99271955198722</v>
      </c>
      <c r="LW568" s="274">
        <f>$H568*IF(MA568&lt;&gt;LQ568,SUMIFS(axTER!$E$142:$E$148,axTER!$C$142:$C$148,MA568),SUMIFS(axTER!$E$151:$E$157,axTER!$C$151:$C$157,MA568)*LY$510)/10^6*$D$514</f>
        <v>128.74806714260413</v>
      </c>
      <c r="LX568" s="275" t="s">
        <v>271</v>
      </c>
      <c r="LY568" s="161" t="s">
        <v>263</v>
      </c>
      <c r="LZ568" s="161" t="s">
        <v>266</v>
      </c>
      <c r="MA568" s="161" t="s">
        <v>270</v>
      </c>
      <c r="MB568" s="276">
        <f>$H568*SUMIFS(axTER!$E$65:$E$105,axTER!$D$65:$D$105,LZ568,axTER!$C$65:$C$105,LX568)/SUMIFS(axTER!$E$108:$E$114,axTER!$C$108:$C$114,MA568)/10^9*$D$514</f>
        <v>0.75943560342181216</v>
      </c>
      <c r="MD568" s="273">
        <f t="shared" si="1018"/>
        <v>0</v>
      </c>
      <c r="ME568" s="273">
        <f t="shared" si="1016"/>
        <v>1200</v>
      </c>
      <c r="MF568" s="273">
        <f>$H568*IF(MJ568&lt;&gt;LZ568,SUMIFS(axTER!$E$121:$E$128,axTER!$C$121:$C$128,LZ568,axTER!$D$121:$D$128,MJ568),SUMIFS(axTER!$E$133:$E$138,axTER!$C$133:$C$138,MJ568)*MI$510)*$D$514/10^6</f>
        <v>4746.4725213863267</v>
      </c>
      <c r="MG568" s="274">
        <f>$H568*IF(MK568&lt;&gt;MA568,SUMIFS(axTER!$E$142:$E$148,axTER!$C$142:$C$148,MK568),SUMIFS(axTER!$E$151:$E$157,axTER!$C$151:$C$157,MK568)*MI$510)/10^6*$D$514</f>
        <v>128.74806714260413</v>
      </c>
      <c r="MH568" s="275" t="s">
        <v>271</v>
      </c>
      <c r="MI568" s="161" t="s">
        <v>263</v>
      </c>
      <c r="MJ568" s="429" t="s">
        <v>257</v>
      </c>
      <c r="MK568" s="161" t="s">
        <v>270</v>
      </c>
      <c r="ML568" s="276">
        <f>$H568*SUMIFS(axTER!$E$65:$E$105,axTER!$D$65:$D$105,MJ568,axTER!$C$65:$C$105,MH568)/SUMIFS(axTER!$E$108:$E$114,axTER!$C$108:$C$114,MK568)/10^9*$D$514</f>
        <v>0.59330906517329085</v>
      </c>
    </row>
    <row r="569" spans="3:350" hidden="1" outlineLevel="1" x14ac:dyDescent="0.3">
      <c r="C569" s="265"/>
      <c r="D569" s="289"/>
      <c r="F569" s="266"/>
      <c r="H569" s="269">
        <v>1200</v>
      </c>
      <c r="I569" s="66" t="s">
        <v>271</v>
      </c>
      <c r="J569" s="66" t="s">
        <v>263</v>
      </c>
      <c r="K569" s="66" t="s">
        <v>266</v>
      </c>
      <c r="L569" s="283" t="s">
        <v>258</v>
      </c>
      <c r="M569" s="272">
        <f>$H569*SUMIFS(axTER!$E$65:$E$105,axTER!$C$65:$C$105,I569,axTER!$D$65:$D$105,K569)/SUMIFS(axTER!$E$108:$E$114,axTER!$C$108:$C$114,L569)/10^9*$D$514</f>
        <v>0.75943560342181216</v>
      </c>
      <c r="S569" s="269">
        <v>1200</v>
      </c>
      <c r="T569" s="66" t="s">
        <v>271</v>
      </c>
      <c r="U569" s="66" t="s">
        <v>263</v>
      </c>
      <c r="V569" s="66" t="s">
        <v>266</v>
      </c>
      <c r="W569" s="283" t="s">
        <v>258</v>
      </c>
      <c r="X569" s="272">
        <f>$H569*SUMIFS(axTER!$E$65:$E$105,axTER!$C$65:$C$105,T569,axTER!$D$65:$D$105,V569)/SUMIFS(axTER!$E$108:$E$114,axTER!$C$108:$C$114,W569)/10^9*$D$514</f>
        <v>0.75943560342181216</v>
      </c>
      <c r="AB569" s="273">
        <f>$H569*IF(AF569&lt;&gt;K569,SUMIFS(axTER!$E$121:$E$128,axTER!$C$121:$C$128,K569,axTER!$D$121:$D$128,AF569),SUMIFS(axTER!$E$133:$E$138,axTER!$C$133:$C$138,AF569)*AE$510)*$D$514/10^6</f>
        <v>177.99271955198722</v>
      </c>
      <c r="AC569" s="274">
        <f>$H569*IF(AG569&lt;&gt;L569,SUMIFS(axTER!$E$142:$E$148,axTER!$C$142:$C$148,AG569),SUMIFS(axTER!$E$151:$E$157,axTER!$C$151:$C$157,AG569)*AE$510)/10^6*$D$514</f>
        <v>128.74806714260413</v>
      </c>
      <c r="AD569" s="275" t="s">
        <v>271</v>
      </c>
      <c r="AE569" s="161" t="s">
        <v>263</v>
      </c>
      <c r="AF569" s="161" t="s">
        <v>266</v>
      </c>
      <c r="AG569" s="284" t="s">
        <v>258</v>
      </c>
      <c r="AH569" s="276">
        <f>$H569*SUMIFS(axTER!$E$65:$E$105,axTER!$D$65:$D$105,AF569,axTER!$C$65:$C$105,AD569)/SUMIFS(axTER!$E$108:$E$114,axTER!$C$108:$C$114,AG569)/10^9*$D$514</f>
        <v>0.75943560342181216</v>
      </c>
      <c r="AV569" s="273">
        <f>$H569*IF(AZ569&lt;&gt;AF569,SUMIFS(axTER!$E$121:$E$128,axTER!$C$121:$C$128,AF569,axTER!$D$121:$D$128,AZ569),SUMIFS(axTER!$E$133:$E$138,axTER!$C$133:$C$138,AZ569)*AY$510)*$D$514/10^6</f>
        <v>355.98543910397444</v>
      </c>
      <c r="AW569" s="274">
        <f>$H569*IF(BA569&lt;&gt;AG569,SUMIFS(axTER!$E$142:$E$148,axTER!$C$142:$C$148,BA569),SUMIFS(axTER!$E$151:$E$157,axTER!$C$151:$C$157,BA569)*AY$510)/10^6*$D$514</f>
        <v>257.49613428520826</v>
      </c>
      <c r="AX569" s="275" t="s">
        <v>271</v>
      </c>
      <c r="AY569" s="161" t="s">
        <v>263</v>
      </c>
      <c r="AZ569" s="161" t="s">
        <v>266</v>
      </c>
      <c r="BA569" s="284" t="s">
        <v>258</v>
      </c>
      <c r="BB569" s="276">
        <f>$H569*SUMIFS(axTER!$E$65:$E$105,axTER!$D$65:$D$105,AZ569,axTER!$C$65:$C$105,AX569)/SUMIFS(axTER!$E$108:$E$114,axTER!$C$108:$C$114,BA569)/10^9*$D$514</f>
        <v>0.75943560342181216</v>
      </c>
      <c r="IG569" s="269">
        <v>1200</v>
      </c>
      <c r="IH569" s="66" t="s">
        <v>271</v>
      </c>
      <c r="II569" s="66" t="s">
        <v>263</v>
      </c>
      <c r="IJ569" s="66" t="s">
        <v>266</v>
      </c>
      <c r="IK569" s="283" t="s">
        <v>258</v>
      </c>
      <c r="IL569" s="272">
        <f>$H569*SUMIFS(axTER!$E$65:$E$105,axTER!$C$65:$C$105,IH569,axTER!$D$65:$D$105,IJ569)/SUMIFS(axTER!$E$108:$E$114,axTER!$C$108:$C$114,IK569)/10^9*$D$514</f>
        <v>0.75943560342181216</v>
      </c>
      <c r="IO569" s="273">
        <f t="shared" si="1008"/>
        <v>0</v>
      </c>
      <c r="IP569" s="273">
        <f>$H569*IF(IT569&lt;&gt;IJ569,SUMIFS(axTER!$E$121:$E$128,axTER!$C$121:$C$128,IJ569,axTER!$D$121:$D$128,IT569),SUMIFS(axTER!$E$133:$E$138,axTER!$C$133:$C$138,IT569)*IS$510)*$D$514/10^6</f>
        <v>177.99271955198722</v>
      </c>
      <c r="IQ569" s="274">
        <f>$H569*IF(IU569&lt;&gt;IK569,SUMIFS(axTER!$E$142:$E$148,axTER!$C$142:$C$148,IU569),SUMIFS(axTER!$E$151:$E$157,axTER!$C$151:$C$157,IU569)*IS$510)/10^6*$D$514</f>
        <v>128.74806714260413</v>
      </c>
      <c r="IR569" s="275" t="s">
        <v>271</v>
      </c>
      <c r="IS569" s="161" t="s">
        <v>263</v>
      </c>
      <c r="IT569" s="161" t="s">
        <v>266</v>
      </c>
      <c r="IU569" s="284" t="s">
        <v>258</v>
      </c>
      <c r="IV569" s="276">
        <f>$H569*SUMIFS(axTER!$E$65:$E$105,axTER!$D$65:$D$105,IT569,axTER!$C$65:$C$105,IR569)/SUMIFS(axTER!$E$108:$E$114,axTER!$C$108:$C$114,IU569)/10^9*$D$514</f>
        <v>0.75943560342181216</v>
      </c>
      <c r="JI569" s="273">
        <f t="shared" si="1009"/>
        <v>0</v>
      </c>
      <c r="JJ569" s="273">
        <f>$H569*IF(JN569&lt;&gt;IT569,SUMIFS(axTER!$E$121:$E$128,axTER!$C$121:$C$128,IT569,axTER!$D$121:$D$128,JN569),SUMIFS(axTER!$E$133:$E$138,axTER!$C$133:$C$138,JN569)*JM$510)*$D$514/10^6</f>
        <v>355.98543910397444</v>
      </c>
      <c r="JK569" s="274">
        <f>$H569*IF(JO569&lt;&gt;IU569,SUMIFS(axTER!$E$142:$E$148,axTER!$C$142:$C$148,JO569),SUMIFS(axTER!$E$151:$E$157,axTER!$C$151:$C$157,JO569)*JM$510)/10^6*$D$514</f>
        <v>257.49613428520826</v>
      </c>
      <c r="JL569" s="275" t="s">
        <v>271</v>
      </c>
      <c r="JM569" s="161" t="s">
        <v>263</v>
      </c>
      <c r="JN569" s="161" t="s">
        <v>266</v>
      </c>
      <c r="JO569" s="284" t="s">
        <v>258</v>
      </c>
      <c r="JP569" s="276">
        <f>$H569*SUMIFS(axTER!$E$65:$E$105,axTER!$D$65:$D$105,JN569,axTER!$C$65:$C$105,JL569)/SUMIFS(axTER!$E$108:$E$114,axTER!$C$108:$C$114,JO569)/10^9*$D$514</f>
        <v>0.75943560342181216</v>
      </c>
      <c r="JR569" s="269">
        <v>1200</v>
      </c>
      <c r="JS569" s="66" t="s">
        <v>271</v>
      </c>
      <c r="JT569" s="66" t="s">
        <v>263</v>
      </c>
      <c r="JU569" s="66" t="s">
        <v>266</v>
      </c>
      <c r="JV569" s="283" t="s">
        <v>258</v>
      </c>
      <c r="JW569" s="272">
        <f>$H569*SUMIFS(axTER!$E$65:$E$105,axTER!$C$65:$C$105,JS569,axTER!$D$65:$D$105,JU569)/SUMIFS(axTER!$E$108:$E$114,axTER!$C$108:$C$114,JV569)/10^9*$D$514</f>
        <v>0.75943560342181216</v>
      </c>
      <c r="JY569" s="273">
        <f t="shared" si="1010"/>
        <v>0</v>
      </c>
      <c r="JZ569" s="273">
        <f t="shared" si="1005"/>
        <v>0</v>
      </c>
      <c r="KA569" s="273">
        <f>$H569*IF(KE569&lt;&gt;JU569,SUMIFS(axTER!$E$121:$E$128,axTER!$C$121:$C$128,JU569,axTER!$D$121:$D$128,KE569),SUMIFS(axTER!$E$133:$E$138,axTER!$C$133:$C$138,KE569)*KD$510)*$D$514/10^6</f>
        <v>124.59490368639106</v>
      </c>
      <c r="KB569" s="274">
        <f>$H569*IF(KF569&lt;&gt;JV569,SUMIFS(axTER!$E$142:$E$148,axTER!$C$142:$C$148,KF569),SUMIFS(axTER!$E$151:$E$157,axTER!$C$151:$C$157,KF569)*KD$510)/10^6*$D$514</f>
        <v>90.123646999822896</v>
      </c>
      <c r="KC569" s="275" t="s">
        <v>271</v>
      </c>
      <c r="KD569" s="161" t="s">
        <v>263</v>
      </c>
      <c r="KE569" s="161" t="s">
        <v>266</v>
      </c>
      <c r="KF569" s="284" t="s">
        <v>258</v>
      </c>
      <c r="KG569" s="276">
        <f>$H569*SUMIFS(axTER!$E$65:$E$105,axTER!$D$65:$D$105,KE569,axTER!$C$65:$C$105,KC569)/SUMIFS(axTER!$E$108:$E$114,axTER!$C$108:$C$114,KF569)/10^9*$D$514</f>
        <v>0.75943560342181216</v>
      </c>
      <c r="KS569" s="273">
        <f t="shared" si="1011"/>
        <v>0</v>
      </c>
      <c r="KT569" s="273">
        <f t="shared" si="1012"/>
        <v>0</v>
      </c>
      <c r="KU569" s="273">
        <f>$H569*IF(KY569&lt;&gt;KE569,SUMIFS(axTER!$E$121:$E$128,axTER!$C$121:$C$128,KE569,axTER!$D$121:$D$128,KY569),SUMIFS(axTER!$E$133:$E$138,axTER!$C$133:$C$138,KY569)*KX$510)*$D$514/10^6</f>
        <v>355.98543910397444</v>
      </c>
      <c r="KV569" s="274">
        <f>$H569*IF(KZ569&lt;&gt;KF569,SUMIFS(axTER!$E$142:$E$148,axTER!$C$142:$C$148,KZ569),SUMIFS(axTER!$E$151:$E$157,axTER!$C$151:$C$157,KZ569)*KX$510)/10^6*$D$514</f>
        <v>257.49613428520826</v>
      </c>
      <c r="KW569" s="275" t="s">
        <v>271</v>
      </c>
      <c r="KX569" s="161" t="s">
        <v>263</v>
      </c>
      <c r="KY569" s="161" t="s">
        <v>266</v>
      </c>
      <c r="KZ569" s="284" t="s">
        <v>258</v>
      </c>
      <c r="LA569" s="276">
        <f>$H569*SUMIFS(axTER!$E$65:$E$105,axTER!$D$65:$D$105,KY569,axTER!$C$65:$C$105,KW569)/SUMIFS(axTER!$E$108:$E$114,axTER!$C$108:$C$114,KZ569)/10^9*$D$514</f>
        <v>0.75943560342181216</v>
      </c>
      <c r="LC569" s="269">
        <v>1200</v>
      </c>
      <c r="LD569" s="66" t="s">
        <v>271</v>
      </c>
      <c r="LE569" s="66" t="s">
        <v>263</v>
      </c>
      <c r="LF569" s="66" t="s">
        <v>266</v>
      </c>
      <c r="LG569" s="283" t="s">
        <v>258</v>
      </c>
      <c r="LH569" s="272">
        <f>$H569*SUMIFS(axTER!$E$65:$E$105,axTER!$C$65:$C$105,LD569,axTER!$D$65:$D$105,LF569)/SUMIFS(axTER!$E$108:$E$114,axTER!$C$108:$C$114,LG569)/10^9*$D$514</f>
        <v>0.75943560342181216</v>
      </c>
      <c r="LJ569" s="273">
        <f t="shared" si="1013"/>
        <v>0</v>
      </c>
      <c r="LK569" s="273">
        <f t="shared" si="1017"/>
        <v>0</v>
      </c>
      <c r="LL569" s="273">
        <f>$H569*IF(LP569&lt;&gt;LF569,SUMIFS(axTER!$E$121:$E$128,axTER!$C$121:$C$128,LF569,axTER!$D$121:$D$128,LP569),SUMIFS(axTER!$E$133:$E$138,axTER!$C$133:$C$138,LP569)*LO$510)*$D$514/10^6</f>
        <v>124.59490368639106</v>
      </c>
      <c r="LM569" s="274">
        <f>$H569*IF(LQ569&lt;&gt;LG569,SUMIFS(axTER!$E$142:$E$148,axTER!$C$142:$C$148,LQ569),SUMIFS(axTER!$E$151:$E$157,axTER!$C$151:$C$157,LQ569)*LO$510)/10^6*$D$514</f>
        <v>90.123646999822896</v>
      </c>
      <c r="LN569" s="275" t="s">
        <v>271</v>
      </c>
      <c r="LO569" s="161" t="s">
        <v>263</v>
      </c>
      <c r="LP569" s="161" t="s">
        <v>266</v>
      </c>
      <c r="LQ569" s="161" t="s">
        <v>258</v>
      </c>
      <c r="LR569" s="276">
        <f>$H569*SUMIFS(axTER!$E$65:$E$105,axTER!$D$65:$D$105,LP569,axTER!$C$65:$C$105,LN569)/SUMIFS(axTER!$E$108:$E$114,axTER!$C$108:$C$114,LQ569)/10^9*$D$514</f>
        <v>0.75943560342181216</v>
      </c>
      <c r="LT569" s="273">
        <f t="shared" si="1014"/>
        <v>0</v>
      </c>
      <c r="LU569" s="273">
        <f t="shared" si="1015"/>
        <v>1200</v>
      </c>
      <c r="LV569" s="273">
        <f>$H569*IF(LZ569&lt;&gt;LP569,SUMIFS(axTER!$E$121:$E$128,axTER!$C$121:$C$128,LP569,axTER!$D$121:$D$128,LZ569),SUMIFS(axTER!$E$133:$E$138,axTER!$C$133:$C$138,LZ569)*LY$510)*$D$514/10^6</f>
        <v>4746.4725213863267</v>
      </c>
      <c r="LW569" s="274">
        <f>$H569*IF(MA569&lt;&gt;LQ569,SUMIFS(axTER!$E$142:$E$148,axTER!$C$142:$C$148,MA569),SUMIFS(axTER!$E$151:$E$157,axTER!$C$151:$C$157,MA569)*LY$510)/10^6*$D$514</f>
        <v>128.74806714260413</v>
      </c>
      <c r="LX569" s="275" t="s">
        <v>271</v>
      </c>
      <c r="LY569" s="161" t="s">
        <v>263</v>
      </c>
      <c r="LZ569" s="429" t="s">
        <v>257</v>
      </c>
      <c r="MA569" s="161" t="s">
        <v>258</v>
      </c>
      <c r="MB569" s="276">
        <f>$H569*SUMIFS(axTER!$E$65:$E$105,axTER!$D$65:$D$105,LZ569,axTER!$C$65:$C$105,LX569)/SUMIFS(axTER!$E$108:$E$114,axTER!$C$108:$C$114,MA569)/10^9*$D$514</f>
        <v>0.59330906517329085</v>
      </c>
      <c r="MD569" s="273">
        <f t="shared" si="1018"/>
        <v>0</v>
      </c>
      <c r="ME569" s="273">
        <f t="shared" si="1016"/>
        <v>0</v>
      </c>
      <c r="MF569" s="273">
        <f>$H569*IF(MJ569&lt;&gt;LZ569,SUMIFS(axTER!$E$121:$E$128,axTER!$C$121:$C$128,LZ569,axTER!$D$121:$D$128,MJ569),SUMIFS(axTER!$E$133:$E$138,axTER!$C$133:$C$138,MJ569)*MI$510)*$D$514/10^6</f>
        <v>177.99271955198722</v>
      </c>
      <c r="MG569" s="274">
        <f>$H569*IF(MK569&lt;&gt;MA569,SUMIFS(axTER!$E$142:$E$148,axTER!$C$142:$C$148,MK569),SUMIFS(axTER!$E$151:$E$157,axTER!$C$151:$C$157,MK569)*MI$510)/10^6*$D$514</f>
        <v>128.74806714260413</v>
      </c>
      <c r="MH569" s="275" t="s">
        <v>271</v>
      </c>
      <c r="MI569" s="161" t="s">
        <v>263</v>
      </c>
      <c r="MJ569" s="429" t="s">
        <v>257</v>
      </c>
      <c r="MK569" s="161" t="s">
        <v>258</v>
      </c>
      <c r="ML569" s="276">
        <f>$H569*SUMIFS(axTER!$E$65:$E$105,axTER!$D$65:$D$105,MJ569,axTER!$C$65:$C$105,MH569)/SUMIFS(axTER!$E$108:$E$114,axTER!$C$108:$C$114,MK569)/10^9*$D$514</f>
        <v>0.59330906517329085</v>
      </c>
    </row>
    <row r="570" spans="3:350" outlineLevel="1" x14ac:dyDescent="0.3">
      <c r="C570" s="265"/>
      <c r="D570" s="289"/>
      <c r="F570" s="266"/>
      <c r="H570" s="269">
        <v>1200</v>
      </c>
      <c r="I570" s="66" t="s">
        <v>271</v>
      </c>
      <c r="J570" s="66" t="s">
        <v>263</v>
      </c>
      <c r="K570" s="66" t="s">
        <v>266</v>
      </c>
      <c r="L570" s="283" t="s">
        <v>261</v>
      </c>
      <c r="M570" s="272">
        <f>$H570*SUMIFS(axTER!$E$65:$E$105,axTER!$C$65:$C$105,I570,axTER!$D$65:$D$105,K570)/SUMIFS(axTER!$E$108:$E$114,axTER!$C$108:$C$114,L570)/10^9*$D$514</f>
        <v>0.25314520114060407</v>
      </c>
      <c r="S570" s="269">
        <v>1200</v>
      </c>
      <c r="T570" s="66" t="s">
        <v>271</v>
      </c>
      <c r="U570" s="66" t="s">
        <v>263</v>
      </c>
      <c r="V570" s="66" t="s">
        <v>266</v>
      </c>
      <c r="W570" s="283" t="s">
        <v>261</v>
      </c>
      <c r="X570" s="272">
        <f>$H570*SUMIFS(axTER!$E$65:$E$105,axTER!$C$65:$C$105,T570,axTER!$D$65:$D$105,V570)/SUMIFS(axTER!$E$108:$E$114,axTER!$C$108:$C$114,W570)/10^9*$D$514</f>
        <v>0.25314520114060407</v>
      </c>
      <c r="AB570" s="273">
        <f>$H570*IF(AF570&lt;&gt;K570,SUMIFS(axTER!$E$121:$E$128,axTER!$C$121:$C$128,K570,axTER!$D$121:$D$128,AF570),SUMIFS(axTER!$E$133:$E$138,axTER!$C$133:$C$138,AF570)*AE$510)*$D$514/10^6</f>
        <v>177.99271955198722</v>
      </c>
      <c r="AC570" s="274">
        <f>$H570*IF(AG570&lt;&gt;L570,SUMIFS(axTER!$E$142:$E$148,axTER!$C$142:$C$148,AG570),SUMIFS(axTER!$E$151:$E$157,axTER!$C$151:$C$157,AG570)*AE$510)/10^6*$D$514</f>
        <v>332.25307649704291</v>
      </c>
      <c r="AD570" s="275" t="s">
        <v>271</v>
      </c>
      <c r="AE570" s="161" t="s">
        <v>263</v>
      </c>
      <c r="AF570" s="161" t="s">
        <v>266</v>
      </c>
      <c r="AG570" s="284" t="s">
        <v>261</v>
      </c>
      <c r="AH570" s="276">
        <f>$H570*SUMIFS(axTER!$E$65:$E$105,axTER!$D$65:$D$105,AF570,axTER!$C$65:$C$105,AD570)/SUMIFS(axTER!$E$108:$E$114,axTER!$C$108:$C$114,AG570)/10^9*$D$514</f>
        <v>0.25314520114060407</v>
      </c>
      <c r="AV570" s="273">
        <f>$H570*IF(AZ570&lt;&gt;AF570,SUMIFS(axTER!$E$121:$E$128,axTER!$C$121:$C$128,AF570,axTER!$D$121:$D$128,AZ570),SUMIFS(axTER!$E$133:$E$138,axTER!$C$133:$C$138,AZ570)*AY$510)*$D$514/10^6</f>
        <v>355.98543910397444</v>
      </c>
      <c r="AW570" s="274">
        <f>$H570*IF(BA570&lt;&gt;AG570,SUMIFS(axTER!$E$142:$E$148,axTER!$C$142:$C$148,BA570),SUMIFS(axTER!$E$151:$E$157,axTER!$C$151:$C$157,BA570)*AY$510)/10^6*$D$514</f>
        <v>664.50615299408582</v>
      </c>
      <c r="AX570" s="275" t="s">
        <v>271</v>
      </c>
      <c r="AY570" s="161" t="s">
        <v>263</v>
      </c>
      <c r="AZ570" s="161" t="s">
        <v>266</v>
      </c>
      <c r="BA570" s="284" t="s">
        <v>261</v>
      </c>
      <c r="BB570" s="276">
        <f>$H570*SUMIFS(axTER!$E$65:$E$105,axTER!$D$65:$D$105,AZ570,axTER!$C$65:$C$105,AX570)/SUMIFS(axTER!$E$108:$E$114,axTER!$C$108:$C$114,BA570)/10^9*$D$514</f>
        <v>0.25314520114060407</v>
      </c>
      <c r="IG570" s="269">
        <v>1200</v>
      </c>
      <c r="IH570" s="66" t="s">
        <v>271</v>
      </c>
      <c r="II570" s="66" t="s">
        <v>263</v>
      </c>
      <c r="IJ570" s="66" t="s">
        <v>266</v>
      </c>
      <c r="IK570" s="283" t="s">
        <v>261</v>
      </c>
      <c r="IL570" s="272">
        <f>$H570*SUMIFS(axTER!$E$65:$E$105,axTER!$C$65:$C$105,IH570,axTER!$D$65:$D$105,IJ570)/SUMIFS(axTER!$E$108:$E$114,axTER!$C$108:$C$114,IK570)/10^9*$D$514</f>
        <v>0.25314520114060407</v>
      </c>
      <c r="IO570" s="273">
        <f t="shared" si="1008"/>
        <v>0</v>
      </c>
      <c r="IP570" s="273">
        <f>$H570*IF(IT570&lt;&gt;IJ570,SUMIFS(axTER!$E$121:$E$128,axTER!$C$121:$C$128,IJ570,axTER!$D$121:$D$128,IT570),SUMIFS(axTER!$E$133:$E$138,axTER!$C$133:$C$138,IT570)*IS$510)*$D$514/10^6</f>
        <v>177.99271955198722</v>
      </c>
      <c r="IQ570" s="274">
        <f>$H570*IF(IU570&lt;&gt;IK570,SUMIFS(axTER!$E$142:$E$148,axTER!$C$142:$C$148,IU570),SUMIFS(axTER!$E$151:$E$157,axTER!$C$151:$C$157,IU570)*IS$510)/10^6*$D$514</f>
        <v>332.25307649704291</v>
      </c>
      <c r="IR570" s="275" t="s">
        <v>271</v>
      </c>
      <c r="IS570" s="161" t="s">
        <v>263</v>
      </c>
      <c r="IT570" s="161" t="s">
        <v>266</v>
      </c>
      <c r="IU570" s="284" t="s">
        <v>261</v>
      </c>
      <c r="IV570" s="276">
        <f>$H570*SUMIFS(axTER!$E$65:$E$105,axTER!$D$65:$D$105,IT570,axTER!$C$65:$C$105,IR570)/SUMIFS(axTER!$E$108:$E$114,axTER!$C$108:$C$114,IU570)/10^9*$D$514</f>
        <v>0.25314520114060407</v>
      </c>
      <c r="JI570" s="273">
        <f t="shared" si="1009"/>
        <v>0</v>
      </c>
      <c r="JJ570" s="273">
        <f>$H570*IF(JN570&lt;&gt;IT570,SUMIFS(axTER!$E$121:$E$128,axTER!$C$121:$C$128,IT570,axTER!$D$121:$D$128,JN570),SUMIFS(axTER!$E$133:$E$138,axTER!$C$133:$C$138,JN570)*JM$510)*$D$514/10^6</f>
        <v>355.98543910397444</v>
      </c>
      <c r="JK570" s="274">
        <f>$H570*IF(JO570&lt;&gt;IU570,SUMIFS(axTER!$E$142:$E$148,axTER!$C$142:$C$148,JO570),SUMIFS(axTER!$E$151:$E$157,axTER!$C$151:$C$157,JO570)*JM$510)/10^6*$D$514</f>
        <v>664.50615299408582</v>
      </c>
      <c r="JL570" s="275" t="s">
        <v>271</v>
      </c>
      <c r="JM570" s="161" t="s">
        <v>263</v>
      </c>
      <c r="JN570" s="161" t="s">
        <v>266</v>
      </c>
      <c r="JO570" s="284" t="s">
        <v>261</v>
      </c>
      <c r="JP570" s="276">
        <f>$H570*SUMIFS(axTER!$E$65:$E$105,axTER!$D$65:$D$105,JN570,axTER!$C$65:$C$105,JL570)/SUMIFS(axTER!$E$108:$E$114,axTER!$C$108:$C$114,JO570)/10^9*$D$514</f>
        <v>0.25314520114060407</v>
      </c>
      <c r="JR570" s="269">
        <v>1200</v>
      </c>
      <c r="JS570" s="66" t="s">
        <v>271</v>
      </c>
      <c r="JT570" s="66" t="s">
        <v>263</v>
      </c>
      <c r="JU570" s="66" t="s">
        <v>266</v>
      </c>
      <c r="JV570" s="283" t="s">
        <v>261</v>
      </c>
      <c r="JW570" s="272">
        <f>$H570*SUMIFS(axTER!$E$65:$E$105,axTER!$C$65:$C$105,JS570,axTER!$D$65:$D$105,JU570)/SUMIFS(axTER!$E$108:$E$114,axTER!$C$108:$C$114,JV570)/10^9*$D$514</f>
        <v>0.25314520114060407</v>
      </c>
      <c r="JY570" s="273">
        <f t="shared" si="1010"/>
        <v>0</v>
      </c>
      <c r="JZ570" s="273">
        <f t="shared" si="1005"/>
        <v>0</v>
      </c>
      <c r="KA570" s="273">
        <f>$H570*IF(KE570&lt;&gt;JU570,SUMIFS(axTER!$E$121:$E$128,axTER!$C$121:$C$128,JU570,axTER!$D$121:$D$128,KE570),SUMIFS(axTER!$E$133:$E$138,axTER!$C$133:$C$138,KE570)*KD$510)*$D$514/10^6</f>
        <v>124.59490368639106</v>
      </c>
      <c r="KB570" s="274">
        <f>$H570*IF(KF570&lt;&gt;JV570,SUMIFS(axTER!$E$142:$E$148,axTER!$C$142:$C$148,KF570),SUMIFS(axTER!$E$151:$E$157,axTER!$C$151:$C$157,KF570)*KD$510)/10^6*$D$514</f>
        <v>232.57715354792998</v>
      </c>
      <c r="KC570" s="275" t="s">
        <v>271</v>
      </c>
      <c r="KD570" s="161" t="s">
        <v>263</v>
      </c>
      <c r="KE570" s="161" t="s">
        <v>266</v>
      </c>
      <c r="KF570" s="284" t="s">
        <v>261</v>
      </c>
      <c r="KG570" s="276">
        <f>$H570*SUMIFS(axTER!$E$65:$E$105,axTER!$D$65:$D$105,KE570,axTER!$C$65:$C$105,KC570)/SUMIFS(axTER!$E$108:$E$114,axTER!$C$108:$C$114,KF570)/10^9*$D$514</f>
        <v>0.25314520114060407</v>
      </c>
      <c r="KS570" s="273">
        <f t="shared" si="1011"/>
        <v>0</v>
      </c>
      <c r="KT570" s="273">
        <f t="shared" si="1012"/>
        <v>1200</v>
      </c>
      <c r="KU570" s="273">
        <f>$H570*IF(KY570&lt;&gt;KE570,SUMIFS(axTER!$E$121:$E$128,axTER!$C$121:$C$128,KE570,axTER!$D$121:$D$128,KY570),SUMIFS(axTER!$E$133:$E$138,axTER!$C$133:$C$138,KY570)*KX$510)*$D$514/10^6</f>
        <v>4746.4725213863267</v>
      </c>
      <c r="KV570" s="274">
        <f>$H570*IF(KZ570&lt;&gt;KF570,SUMIFS(axTER!$E$142:$E$148,axTER!$C$142:$C$148,KZ570),SUMIFS(axTER!$E$151:$E$157,axTER!$C$151:$C$157,KZ570)*KX$510)/10^6*$D$514</f>
        <v>664.50615299408582</v>
      </c>
      <c r="KW570" s="275" t="s">
        <v>271</v>
      </c>
      <c r="KX570" s="161" t="s">
        <v>263</v>
      </c>
      <c r="KY570" s="161" t="s">
        <v>257</v>
      </c>
      <c r="KZ570" s="284" t="s">
        <v>261</v>
      </c>
      <c r="LA570" s="276">
        <f>$H570*SUMIFS(axTER!$E$65:$E$105,axTER!$D$65:$D$105,KY570,axTER!$C$65:$C$105,KW570)/SUMIFS(axTER!$E$108:$E$114,axTER!$C$108:$C$114,KZ570)/10^9*$D$514</f>
        <v>0.19776968839109696</v>
      </c>
      <c r="LC570" s="269">
        <v>1200</v>
      </c>
      <c r="LD570" s="66" t="s">
        <v>271</v>
      </c>
      <c r="LE570" s="66" t="s">
        <v>263</v>
      </c>
      <c r="LF570" s="66" t="s">
        <v>266</v>
      </c>
      <c r="LG570" s="283" t="s">
        <v>261</v>
      </c>
      <c r="LH570" s="272">
        <f>$H570*SUMIFS(axTER!$E$65:$E$105,axTER!$C$65:$C$105,LD570,axTER!$D$65:$D$105,LF570)/SUMIFS(axTER!$E$108:$E$114,axTER!$C$108:$C$114,LG570)/10^9*$D$514</f>
        <v>0.25314520114060407</v>
      </c>
      <c r="LJ570" s="273">
        <f t="shared" si="1013"/>
        <v>0</v>
      </c>
      <c r="LK570" s="273">
        <f t="shared" si="1017"/>
        <v>0</v>
      </c>
      <c r="LL570" s="273">
        <f>$H570*IF(LP570&lt;&gt;LF570,SUMIFS(axTER!$E$121:$E$128,axTER!$C$121:$C$128,LF570,axTER!$D$121:$D$128,LP570),SUMIFS(axTER!$E$133:$E$138,axTER!$C$133:$C$138,LP570)*LO$510)*$D$514/10^6</f>
        <v>124.59490368639106</v>
      </c>
      <c r="LM570" s="274">
        <f>$H570*IF(LQ570&lt;&gt;LG570,SUMIFS(axTER!$E$142:$E$148,axTER!$C$142:$C$148,LQ570),SUMIFS(axTER!$E$151:$E$157,axTER!$C$151:$C$157,LQ570)*LO$510)/10^6*$D$514</f>
        <v>232.57715354792998</v>
      </c>
      <c r="LN570" s="275" t="s">
        <v>271</v>
      </c>
      <c r="LO570" s="161" t="s">
        <v>263</v>
      </c>
      <c r="LP570" s="161" t="s">
        <v>266</v>
      </c>
      <c r="LQ570" s="161" t="s">
        <v>261</v>
      </c>
      <c r="LR570" s="276">
        <f>$H570*SUMIFS(axTER!$E$65:$E$105,axTER!$D$65:$D$105,LP570,axTER!$C$65:$C$105,LN570)/SUMIFS(axTER!$E$108:$E$114,axTER!$C$108:$C$114,LQ570)/10^9*$D$514</f>
        <v>0.25314520114060407</v>
      </c>
      <c r="LT570" s="273">
        <f t="shared" si="1014"/>
        <v>0</v>
      </c>
      <c r="LU570" s="273">
        <f t="shared" si="1015"/>
        <v>0</v>
      </c>
      <c r="LV570" s="273">
        <f>$H570*IF(LZ570&lt;&gt;LP570,SUMIFS(axTER!$E$121:$E$128,axTER!$C$121:$C$128,LP570,axTER!$D$121:$D$128,LZ570),SUMIFS(axTER!$E$133:$E$138,axTER!$C$133:$C$138,LZ570)*LY$510)*$D$514/10^6</f>
        <v>177.99271955198722</v>
      </c>
      <c r="LW570" s="274">
        <f>$H570*IF(MA570&lt;&gt;LQ570,SUMIFS(axTER!$E$142:$E$148,axTER!$C$142:$C$148,MA570),SUMIFS(axTER!$E$151:$E$157,axTER!$C$151:$C$157,MA570)*LY$510)/10^6*$D$514</f>
        <v>332.25307649704291</v>
      </c>
      <c r="LX570" s="275" t="s">
        <v>271</v>
      </c>
      <c r="LY570" s="161" t="s">
        <v>263</v>
      </c>
      <c r="LZ570" s="161" t="s">
        <v>266</v>
      </c>
      <c r="MA570" s="161" t="s">
        <v>261</v>
      </c>
      <c r="MB570" s="276">
        <f>$H570*SUMIFS(axTER!$E$65:$E$105,axTER!$D$65:$D$105,LZ570,axTER!$C$65:$C$105,LX570)/SUMIFS(axTER!$E$108:$E$114,axTER!$C$108:$C$114,MA570)/10^9*$D$514</f>
        <v>0.25314520114060407</v>
      </c>
      <c r="MD570" s="273">
        <f t="shared" si="1018"/>
        <v>0</v>
      </c>
      <c r="ME570" s="273">
        <f t="shared" si="1016"/>
        <v>0</v>
      </c>
      <c r="MF570" s="273">
        <f>$H570*IF(MJ570&lt;&gt;LZ570,SUMIFS(axTER!$E$121:$E$128,axTER!$C$121:$C$128,LZ570,axTER!$D$121:$D$128,MJ570),SUMIFS(axTER!$E$133:$E$138,axTER!$C$133:$C$138,MJ570)*MI$510)*$D$514/10^6</f>
        <v>177.99271955198722</v>
      </c>
      <c r="MG570" s="274">
        <f>$H570*IF(MK570&lt;&gt;MA570,SUMIFS(axTER!$E$142:$E$148,axTER!$C$142:$C$148,MK570),SUMIFS(axTER!$E$151:$E$157,axTER!$C$151:$C$157,MK570)*MI$510)/10^6*$D$514</f>
        <v>332.25307649704291</v>
      </c>
      <c r="MH570" s="275" t="s">
        <v>271</v>
      </c>
      <c r="MI570" s="161" t="s">
        <v>263</v>
      </c>
      <c r="MJ570" s="161" t="s">
        <v>266</v>
      </c>
      <c r="MK570" s="161" t="s">
        <v>261</v>
      </c>
      <c r="ML570" s="276">
        <f>$H570*SUMIFS(axTER!$E$65:$E$105,axTER!$D$65:$D$105,MJ570,axTER!$C$65:$C$105,MH570)/SUMIFS(axTER!$E$108:$E$114,axTER!$C$108:$C$114,MK570)/10^9*$D$514</f>
        <v>0.25314520114060407</v>
      </c>
    </row>
    <row r="571" spans="3:350" outlineLevel="1" x14ac:dyDescent="0.3">
      <c r="C571" s="265"/>
      <c r="D571" s="289"/>
      <c r="F571" s="266"/>
      <c r="H571" s="269">
        <v>1200</v>
      </c>
      <c r="I571" s="66" t="s">
        <v>271</v>
      </c>
      <c r="J571" s="66" t="s">
        <v>263</v>
      </c>
      <c r="K571" s="66" t="s">
        <v>266</v>
      </c>
      <c r="L571" s="283" t="s">
        <v>260</v>
      </c>
      <c r="M571" s="272">
        <f>$H571*SUMIFS(axTER!$E$65:$E$105,axTER!$C$65:$C$105,I571,axTER!$D$65:$D$105,K571)/SUMIFS(axTER!$E$108:$E$114,axTER!$C$108:$C$114,L571)/10^9*$D$514</f>
        <v>0.84381733713534679</v>
      </c>
      <c r="S571" s="269">
        <v>1200</v>
      </c>
      <c r="T571" s="66" t="s">
        <v>271</v>
      </c>
      <c r="U571" s="66" t="s">
        <v>263</v>
      </c>
      <c r="V571" s="66" t="s">
        <v>266</v>
      </c>
      <c r="W571" s="283" t="s">
        <v>260</v>
      </c>
      <c r="X571" s="272">
        <f>$H571*SUMIFS(axTER!$E$65:$E$105,axTER!$C$65:$C$105,T571,axTER!$D$65:$D$105,V571)/SUMIFS(axTER!$E$108:$E$114,axTER!$C$108:$C$114,W571)/10^9*$D$514</f>
        <v>0.84381733713534679</v>
      </c>
      <c r="AB571" s="273">
        <f>$H571*IF(AF571&lt;&gt;K571,SUMIFS(axTER!$E$121:$E$128,axTER!$C$121:$C$128,K571,axTER!$D$121:$D$128,AF571),SUMIFS(axTER!$E$133:$E$138,axTER!$C$133:$C$138,AF571)*AE$510)*$D$514/10^6</f>
        <v>177.99271955198722</v>
      </c>
      <c r="AC571" s="274">
        <f>$H571*IF(AG571&lt;&gt;L571,SUMIFS(axTER!$E$142:$E$148,axTER!$C$142:$C$148,AG571),SUMIFS(axTER!$E$151:$E$157,axTER!$C$151:$C$157,AG571)*AE$510)/10^6*$D$514</f>
        <v>41.531634562130364</v>
      </c>
      <c r="AD571" s="275" t="s">
        <v>271</v>
      </c>
      <c r="AE571" s="161" t="s">
        <v>263</v>
      </c>
      <c r="AF571" s="161" t="s">
        <v>266</v>
      </c>
      <c r="AG571" s="284" t="s">
        <v>260</v>
      </c>
      <c r="AH571" s="276">
        <f>$H571*SUMIFS(axTER!$E$65:$E$105,axTER!$D$65:$D$105,AF571,axTER!$C$65:$C$105,AD571)/SUMIFS(axTER!$E$108:$E$114,axTER!$C$108:$C$114,AG571)/10^9*$D$514</f>
        <v>0.84381733713534679</v>
      </c>
      <c r="AV571" s="273">
        <f>$H571*IF(AZ571&lt;&gt;AF571,SUMIFS(axTER!$E$121:$E$128,axTER!$C$121:$C$128,AF571,axTER!$D$121:$D$128,AZ571),SUMIFS(axTER!$E$133:$E$138,axTER!$C$133:$C$138,AZ571)*AY$510)*$D$514/10^6</f>
        <v>355.98543910397444</v>
      </c>
      <c r="AW571" s="274">
        <f>$H571*IF(BA571&lt;&gt;AG571,SUMIFS(axTER!$E$142:$E$148,axTER!$C$142:$C$148,BA571),SUMIFS(axTER!$E$151:$E$157,axTER!$C$151:$C$157,BA571)*AY$510)/10^6*$D$514</f>
        <v>949.29450427726533</v>
      </c>
      <c r="AX571" s="275" t="s">
        <v>271</v>
      </c>
      <c r="AY571" s="161" t="s">
        <v>263</v>
      </c>
      <c r="AZ571" s="161" t="s">
        <v>266</v>
      </c>
      <c r="BA571" s="284" t="s">
        <v>261</v>
      </c>
      <c r="BB571" s="276">
        <f>$H571*SUMIFS(axTER!$E$65:$E$105,axTER!$D$65:$D$105,AZ571,axTER!$C$65:$C$105,AX571)/SUMIFS(axTER!$E$108:$E$114,axTER!$C$108:$C$114,BA571)/10^9*$D$514</f>
        <v>0.25314520114060407</v>
      </c>
      <c r="IG571" s="269">
        <v>1200</v>
      </c>
      <c r="IH571" s="66" t="s">
        <v>271</v>
      </c>
      <c r="II571" s="66" t="s">
        <v>263</v>
      </c>
      <c r="IJ571" s="66" t="s">
        <v>266</v>
      </c>
      <c r="IK571" s="283" t="s">
        <v>260</v>
      </c>
      <c r="IL571" s="272">
        <f>$H571*SUMIFS(axTER!$E$65:$E$105,axTER!$C$65:$C$105,IH571,axTER!$D$65:$D$105,IJ571)/SUMIFS(axTER!$E$108:$E$114,axTER!$C$108:$C$114,IK571)/10^9*$D$514</f>
        <v>0.84381733713534679</v>
      </c>
      <c r="IO571" s="273">
        <f t="shared" si="1008"/>
        <v>0</v>
      </c>
      <c r="IP571" s="273">
        <f>$H571*IF(IT571&lt;&gt;IJ571,SUMIFS(axTER!$E$121:$E$128,axTER!$C$121:$C$128,IJ571,axTER!$D$121:$D$128,IT571),SUMIFS(axTER!$E$133:$E$138,axTER!$C$133:$C$138,IT571)*IS$510)*$D$514/10^6</f>
        <v>177.99271955198722</v>
      </c>
      <c r="IQ571" s="274">
        <f>$H571*IF(IU571&lt;&gt;IK571,SUMIFS(axTER!$E$142:$E$148,axTER!$C$142:$C$148,IU571),SUMIFS(axTER!$E$151:$E$157,axTER!$C$151:$C$157,IU571)*IS$510)/10^6*$D$514</f>
        <v>41.531634562130364</v>
      </c>
      <c r="IR571" s="275" t="s">
        <v>271</v>
      </c>
      <c r="IS571" s="161" t="s">
        <v>263</v>
      </c>
      <c r="IT571" s="161" t="s">
        <v>266</v>
      </c>
      <c r="IU571" s="284" t="s">
        <v>260</v>
      </c>
      <c r="IV571" s="276">
        <f>$H571*SUMIFS(axTER!$E$65:$E$105,axTER!$D$65:$D$105,IT571,axTER!$C$65:$C$105,IR571)/SUMIFS(axTER!$E$108:$E$114,axTER!$C$108:$C$114,IU571)/10^9*$D$514</f>
        <v>0.84381733713534679</v>
      </c>
      <c r="JI571" s="273">
        <f t="shared" si="1009"/>
        <v>0</v>
      </c>
      <c r="JJ571" s="273">
        <f>$H571*IF(JN571&lt;&gt;IT571,SUMIFS(axTER!$E$121:$E$128,axTER!$C$121:$C$128,IT571,axTER!$D$121:$D$128,JN571),SUMIFS(axTER!$E$133:$E$138,axTER!$C$133:$C$138,JN571)*JM$510)*$D$514/10^6</f>
        <v>355.98543910397444</v>
      </c>
      <c r="JK571" s="274">
        <f>$H571*IF(JO571&lt;&gt;IU571,SUMIFS(axTER!$E$142:$E$148,axTER!$C$142:$C$148,JO571),SUMIFS(axTER!$E$151:$E$157,axTER!$C$151:$C$157,JO571)*JM$510)/10^6*$D$514</f>
        <v>83.063269124260728</v>
      </c>
      <c r="JL571" s="275" t="s">
        <v>271</v>
      </c>
      <c r="JM571" s="161" t="s">
        <v>263</v>
      </c>
      <c r="JN571" s="161" t="s">
        <v>266</v>
      </c>
      <c r="JO571" s="284" t="s">
        <v>260</v>
      </c>
      <c r="JP571" s="276">
        <f>$H571*SUMIFS(axTER!$E$65:$E$105,axTER!$D$65:$D$105,JN571,axTER!$C$65:$C$105,JL571)/SUMIFS(axTER!$E$108:$E$114,axTER!$C$108:$C$114,JO571)/10^9*$D$514</f>
        <v>0.84381733713534679</v>
      </c>
      <c r="JR571" s="269">
        <v>1200</v>
      </c>
      <c r="JS571" s="66" t="s">
        <v>271</v>
      </c>
      <c r="JT571" s="66" t="s">
        <v>263</v>
      </c>
      <c r="JU571" s="66" t="s">
        <v>266</v>
      </c>
      <c r="JV571" s="283" t="s">
        <v>260</v>
      </c>
      <c r="JW571" s="272">
        <f>$H571*SUMIFS(axTER!$E$65:$E$105,axTER!$C$65:$C$105,JS571,axTER!$D$65:$D$105,JU571)/SUMIFS(axTER!$E$108:$E$114,axTER!$C$108:$C$114,JV571)/10^9*$D$514</f>
        <v>0.84381733713534679</v>
      </c>
      <c r="JY571" s="273">
        <f t="shared" si="1010"/>
        <v>0</v>
      </c>
      <c r="JZ571" s="273">
        <f t="shared" si="1005"/>
        <v>0</v>
      </c>
      <c r="KA571" s="273">
        <f>$H571*IF(KE571&lt;&gt;JU571,SUMIFS(axTER!$E$121:$E$128,axTER!$C$121:$C$128,JU571,axTER!$D$121:$D$128,KE571),SUMIFS(axTER!$E$133:$E$138,axTER!$C$133:$C$138,KE571)*KD$510)*$D$514/10^6</f>
        <v>124.59490368639106</v>
      </c>
      <c r="KB571" s="274">
        <f>$H571*IF(KF571&lt;&gt;JV571,SUMIFS(axTER!$E$142:$E$148,axTER!$C$142:$C$148,KF571),SUMIFS(axTER!$E$151:$E$157,axTER!$C$151:$C$157,KF571)*KD$510)/10^6*$D$514</f>
        <v>29.072144193491248</v>
      </c>
      <c r="KC571" s="275" t="s">
        <v>271</v>
      </c>
      <c r="KD571" s="161" t="s">
        <v>263</v>
      </c>
      <c r="KE571" s="161" t="s">
        <v>266</v>
      </c>
      <c r="KF571" s="161" t="s">
        <v>260</v>
      </c>
      <c r="KG571" s="276">
        <f>$H571*SUMIFS(axTER!$E$65:$E$105,axTER!$D$65:$D$105,KE571,axTER!$C$65:$C$105,KC571)/SUMIFS(axTER!$E$108:$E$114,axTER!$C$108:$C$114,KF571)/10^9*$D$514</f>
        <v>0.84381733713534679</v>
      </c>
      <c r="KS571" s="273" t="str">
        <f t="shared" si="1011"/>
        <v>ELEC-PAC</v>
      </c>
      <c r="KT571" s="273">
        <f t="shared" si="1012"/>
        <v>0</v>
      </c>
      <c r="KU571" s="273">
        <f>$H571*IF(KY571&lt;&gt;KE571,SUMIFS(axTER!$E$121:$E$128,axTER!$C$121:$C$128,KE571,axTER!$D$121:$D$128,KY571),SUMIFS(axTER!$E$133:$E$138,axTER!$C$133:$C$138,KY571)*KX$510)*$D$514/10^6</f>
        <v>355.98543910397444</v>
      </c>
      <c r="KV571" s="274">
        <f>$H571*IF(KZ571&lt;&gt;KF571,SUMIFS(axTER!$E$142:$E$148,axTER!$C$142:$C$148,KZ571),SUMIFS(axTER!$E$151:$E$157,axTER!$C$151:$C$157,KZ571)*KX$510)/10^6*$D$514</f>
        <v>949.29450427726533</v>
      </c>
      <c r="KW571" s="275" t="s">
        <v>271</v>
      </c>
      <c r="KX571" s="161" t="s">
        <v>263</v>
      </c>
      <c r="KY571" s="161" t="s">
        <v>266</v>
      </c>
      <c r="KZ571" s="284" t="s">
        <v>261</v>
      </c>
      <c r="LA571" s="276">
        <f>$H571*SUMIFS(axTER!$E$65:$E$105,axTER!$D$65:$D$105,KY571,axTER!$C$65:$C$105,KW571)/SUMIFS(axTER!$E$108:$E$114,axTER!$C$108:$C$114,KZ571)/10^9*$D$514</f>
        <v>0.25314520114060407</v>
      </c>
      <c r="LC571" s="269">
        <v>1200</v>
      </c>
      <c r="LD571" s="66" t="s">
        <v>271</v>
      </c>
      <c r="LE571" s="66" t="s">
        <v>263</v>
      </c>
      <c r="LF571" s="66" t="s">
        <v>266</v>
      </c>
      <c r="LG571" s="283" t="s">
        <v>260</v>
      </c>
      <c r="LH571" s="272">
        <f>$H571*SUMIFS(axTER!$E$65:$E$105,axTER!$C$65:$C$105,LD571,axTER!$D$65:$D$105,LF571)/SUMIFS(axTER!$E$108:$E$114,axTER!$C$108:$C$114,LG571)/10^9*$D$514</f>
        <v>0.84381733713534679</v>
      </c>
      <c r="LJ571" s="273">
        <f t="shared" si="1013"/>
        <v>0</v>
      </c>
      <c r="LK571" s="273">
        <f t="shared" si="1017"/>
        <v>0</v>
      </c>
      <c r="LL571" s="273">
        <f>$H571*IF(LP571&lt;&gt;LF571,SUMIFS(axTER!$E$121:$E$128,axTER!$C$121:$C$128,LF571,axTER!$D$121:$D$128,LP571),SUMIFS(axTER!$E$133:$E$138,axTER!$C$133:$C$138,LP571)*LO$510)*$D$514/10^6</f>
        <v>124.59490368639106</v>
      </c>
      <c r="LM571" s="274">
        <f>$H571*IF(LQ571&lt;&gt;LG571,SUMIFS(axTER!$E$142:$E$148,axTER!$C$142:$C$148,LQ571),SUMIFS(axTER!$E$151:$E$157,axTER!$C$151:$C$157,LQ571)*LO$510)/10^6*$D$514</f>
        <v>29.072144193491248</v>
      </c>
      <c r="LN571" s="275" t="s">
        <v>271</v>
      </c>
      <c r="LO571" s="161" t="s">
        <v>263</v>
      </c>
      <c r="LP571" s="161" t="s">
        <v>266</v>
      </c>
      <c r="LQ571" s="161" t="s">
        <v>260</v>
      </c>
      <c r="LR571" s="276">
        <f>$H571*SUMIFS(axTER!$E$65:$E$105,axTER!$D$65:$D$105,LP571,axTER!$C$65:$C$105,LN571)/SUMIFS(axTER!$E$108:$E$114,axTER!$C$108:$C$114,LQ571)/10^9*$D$514</f>
        <v>0.84381733713534679</v>
      </c>
      <c r="LT571" s="273" t="str">
        <f t="shared" si="1014"/>
        <v>ELEC-PAC</v>
      </c>
      <c r="LU571" s="273">
        <f t="shared" si="1015"/>
        <v>0</v>
      </c>
      <c r="LV571" s="273">
        <f>$H571*IF(LZ571&lt;&gt;LP571,SUMIFS(axTER!$E$121:$E$128,axTER!$C$121:$C$128,LP571,axTER!$D$121:$D$128,LZ571),SUMIFS(axTER!$E$133:$E$138,axTER!$C$133:$C$138,LZ571)*LY$510)*$D$514/10^6</f>
        <v>177.99271955198722</v>
      </c>
      <c r="LW571" s="274">
        <f>$H571*IF(MA571&lt;&gt;LQ571,SUMIFS(axTER!$E$142:$E$148,axTER!$C$142:$C$148,MA571),SUMIFS(axTER!$E$151:$E$157,axTER!$C$151:$C$157,MA571)*LY$510)/10^6*$D$514</f>
        <v>949.29450427726533</v>
      </c>
      <c r="LX571" s="275" t="s">
        <v>271</v>
      </c>
      <c r="LY571" s="161" t="s">
        <v>263</v>
      </c>
      <c r="LZ571" s="161" t="s">
        <v>266</v>
      </c>
      <c r="MA571" s="429" t="s">
        <v>261</v>
      </c>
      <c r="MB571" s="276">
        <f>$H571*SUMIFS(axTER!$E$65:$E$105,axTER!$D$65:$D$105,LZ571,axTER!$C$65:$C$105,LX571)/SUMIFS(axTER!$E$108:$E$114,axTER!$C$108:$C$114,MA571)/10^9*$D$514</f>
        <v>0.25314520114060407</v>
      </c>
      <c r="MD571" s="273">
        <f t="shared" si="1018"/>
        <v>0</v>
      </c>
      <c r="ME571" s="273">
        <f t="shared" si="1016"/>
        <v>0</v>
      </c>
      <c r="MF571" s="273">
        <f>$H571*IF(MJ571&lt;&gt;LZ571,SUMIFS(axTER!$E$121:$E$128,axTER!$C$121:$C$128,LZ571,axTER!$D$121:$D$128,MJ571),SUMIFS(axTER!$E$133:$E$138,axTER!$C$133:$C$138,MJ571)*MI$510)*$D$514/10^6</f>
        <v>177.99271955198722</v>
      </c>
      <c r="MG571" s="274">
        <f>$H571*IF(MK571&lt;&gt;MA571,SUMIFS(axTER!$E$142:$E$148,axTER!$C$142:$C$148,MK571),SUMIFS(axTER!$E$151:$E$157,axTER!$C$151:$C$157,MK571)*MI$510)/10^6*$D$514</f>
        <v>332.25307649704291</v>
      </c>
      <c r="MH571" s="275" t="s">
        <v>271</v>
      </c>
      <c r="MI571" s="161" t="s">
        <v>263</v>
      </c>
      <c r="MJ571" s="161" t="s">
        <v>266</v>
      </c>
      <c r="MK571" s="161" t="s">
        <v>261</v>
      </c>
      <c r="ML571" s="276">
        <f>$H571*SUMIFS(axTER!$E$65:$E$105,axTER!$D$65:$D$105,MJ571,axTER!$C$65:$C$105,MH571)/SUMIFS(axTER!$E$108:$E$114,axTER!$C$108:$C$114,MK571)/10^9*$D$514</f>
        <v>0.25314520114060407</v>
      </c>
    </row>
    <row r="572" spans="3:350" outlineLevel="1" x14ac:dyDescent="0.3">
      <c r="C572" s="265"/>
      <c r="D572" s="289"/>
      <c r="F572" s="266"/>
      <c r="H572" s="269">
        <v>1200</v>
      </c>
      <c r="I572" s="66" t="s">
        <v>271</v>
      </c>
      <c r="J572" s="66" t="s">
        <v>263</v>
      </c>
      <c r="K572" s="66" t="s">
        <v>266</v>
      </c>
      <c r="L572" s="283" t="s">
        <v>260</v>
      </c>
      <c r="M572" s="272">
        <f>$H572*SUMIFS(axTER!$E$65:$E$105,axTER!$C$65:$C$105,I572,axTER!$D$65:$D$105,K572)/SUMIFS(axTER!$E$108:$E$114,axTER!$C$108:$C$114,L572)/10^9*$D$514</f>
        <v>0.84381733713534679</v>
      </c>
      <c r="S572" s="269">
        <v>1200</v>
      </c>
      <c r="T572" s="66" t="s">
        <v>271</v>
      </c>
      <c r="U572" s="66" t="s">
        <v>263</v>
      </c>
      <c r="V572" s="66" t="s">
        <v>266</v>
      </c>
      <c r="W572" s="283" t="s">
        <v>260</v>
      </c>
      <c r="X572" s="272">
        <f>$H572*SUMIFS(axTER!$E$65:$E$105,axTER!$C$65:$C$105,T572,axTER!$D$65:$D$105,V572)/SUMIFS(axTER!$E$108:$E$114,axTER!$C$108:$C$114,W572)/10^9*$D$514</f>
        <v>0.84381733713534679</v>
      </c>
      <c r="AB572" s="273">
        <f>$H572*IF(AF572&lt;&gt;K572,SUMIFS(axTER!$E$121:$E$128,axTER!$C$121:$C$128,K572,axTER!$D$121:$D$128,AF572),SUMIFS(axTER!$E$133:$E$138,axTER!$C$133:$C$138,AF572)*AE$510)*$D$514/10^6</f>
        <v>177.99271955198722</v>
      </c>
      <c r="AC572" s="274">
        <f>$H572*IF(AG572&lt;&gt;L572,SUMIFS(axTER!$E$142:$E$148,axTER!$C$142:$C$148,AG572),SUMIFS(axTER!$E$151:$E$157,axTER!$C$151:$C$157,AG572)*AE$510)/10^6*$D$514</f>
        <v>41.531634562130364</v>
      </c>
      <c r="AD572" s="275" t="s">
        <v>271</v>
      </c>
      <c r="AE572" s="161" t="s">
        <v>263</v>
      </c>
      <c r="AF572" s="161" t="s">
        <v>266</v>
      </c>
      <c r="AG572" s="284" t="s">
        <v>260</v>
      </c>
      <c r="AH572" s="276">
        <f>$H572*SUMIFS(axTER!$E$65:$E$105,axTER!$D$65:$D$105,AF572,axTER!$C$65:$C$105,AD572)/SUMIFS(axTER!$E$108:$E$114,axTER!$C$108:$C$114,AG572)/10^9*$D$514</f>
        <v>0.84381733713534679</v>
      </c>
      <c r="AV572" s="273">
        <f>$H572*IF(AZ572&lt;&gt;AF572,SUMIFS(axTER!$E$121:$E$128,axTER!$C$121:$C$128,AF572,axTER!$D$121:$D$128,AZ572),SUMIFS(axTER!$E$133:$E$138,axTER!$C$133:$C$138,AZ572)*AY$510)*$D$514/10^6</f>
        <v>355.98543910397444</v>
      </c>
      <c r="AW572" s="274">
        <f>$H572*IF(BA572&lt;&gt;AG572,SUMIFS(axTER!$E$142:$E$148,axTER!$C$142:$C$148,BA572),SUMIFS(axTER!$E$151:$E$157,axTER!$C$151:$C$157,BA572)*AY$510)/10^6*$D$514</f>
        <v>949.29450427726533</v>
      </c>
      <c r="AX572" s="275" t="s">
        <v>271</v>
      </c>
      <c r="AY572" s="161" t="s">
        <v>263</v>
      </c>
      <c r="AZ572" s="161" t="s">
        <v>266</v>
      </c>
      <c r="BA572" s="284" t="s">
        <v>261</v>
      </c>
      <c r="BB572" s="276">
        <f>$H572*SUMIFS(axTER!$E$65:$E$105,axTER!$D$65:$D$105,AZ572,axTER!$C$65:$C$105,AX572)/SUMIFS(axTER!$E$108:$E$114,axTER!$C$108:$C$114,BA572)/10^9*$D$514</f>
        <v>0.25314520114060407</v>
      </c>
      <c r="IG572" s="269">
        <v>1200</v>
      </c>
      <c r="IH572" s="66" t="s">
        <v>271</v>
      </c>
      <c r="II572" s="66" t="s">
        <v>263</v>
      </c>
      <c r="IJ572" s="66" t="s">
        <v>266</v>
      </c>
      <c r="IK572" s="283" t="s">
        <v>260</v>
      </c>
      <c r="IL572" s="272">
        <f>$H572*SUMIFS(axTER!$E$65:$E$105,axTER!$C$65:$C$105,IH572,axTER!$D$65:$D$105,IJ572)/SUMIFS(axTER!$E$108:$E$114,axTER!$C$108:$C$114,IK572)/10^9*$D$514</f>
        <v>0.84381733713534679</v>
      </c>
      <c r="IO572" s="273">
        <f t="shared" si="1008"/>
        <v>0</v>
      </c>
      <c r="IP572" s="273">
        <f>$H572*IF(IT572&lt;&gt;IJ572,SUMIFS(axTER!$E$121:$E$128,axTER!$C$121:$C$128,IJ572,axTER!$D$121:$D$128,IT572),SUMIFS(axTER!$E$133:$E$138,axTER!$C$133:$C$138,IT572)*IS$510)*$D$514/10^6</f>
        <v>177.99271955198722</v>
      </c>
      <c r="IQ572" s="274">
        <f>$H572*IF(IU572&lt;&gt;IK572,SUMIFS(axTER!$E$142:$E$148,axTER!$C$142:$C$148,IU572),SUMIFS(axTER!$E$151:$E$157,axTER!$C$151:$C$157,IU572)*IS$510)/10^6*$D$514</f>
        <v>41.531634562130364</v>
      </c>
      <c r="IR572" s="275" t="s">
        <v>271</v>
      </c>
      <c r="IS572" s="161" t="s">
        <v>263</v>
      </c>
      <c r="IT572" s="161" t="s">
        <v>266</v>
      </c>
      <c r="IU572" s="284" t="s">
        <v>260</v>
      </c>
      <c r="IV572" s="276">
        <f>$H572*SUMIFS(axTER!$E$65:$E$105,axTER!$D$65:$D$105,IT572,axTER!$C$65:$C$105,IR572)/SUMIFS(axTER!$E$108:$E$114,axTER!$C$108:$C$114,IU572)/10^9*$D$514</f>
        <v>0.84381733713534679</v>
      </c>
      <c r="JI572" s="273">
        <f t="shared" si="1009"/>
        <v>0</v>
      </c>
      <c r="JJ572" s="273">
        <f>$H572*IF(JN572&lt;&gt;IT572,SUMIFS(axTER!$E$121:$E$128,axTER!$C$121:$C$128,IT572,axTER!$D$121:$D$128,JN572),SUMIFS(axTER!$E$133:$E$138,axTER!$C$133:$C$138,JN572)*JM$510)*$D$514/10^6</f>
        <v>355.98543910397444</v>
      </c>
      <c r="JK572" s="274">
        <f>$H572*IF(JO572&lt;&gt;IU572,SUMIFS(axTER!$E$142:$E$148,axTER!$C$142:$C$148,JO572),SUMIFS(axTER!$E$151:$E$157,axTER!$C$151:$C$157,JO572)*JM$510)/10^6*$D$514</f>
        <v>83.063269124260728</v>
      </c>
      <c r="JL572" s="275" t="s">
        <v>271</v>
      </c>
      <c r="JM572" s="161" t="s">
        <v>263</v>
      </c>
      <c r="JN572" s="161" t="s">
        <v>266</v>
      </c>
      <c r="JO572" s="284" t="s">
        <v>260</v>
      </c>
      <c r="JP572" s="276">
        <f>$H572*SUMIFS(axTER!$E$65:$E$105,axTER!$D$65:$D$105,JN572,axTER!$C$65:$C$105,JL572)/SUMIFS(axTER!$E$108:$E$114,axTER!$C$108:$C$114,JO572)/10^9*$D$514</f>
        <v>0.84381733713534679</v>
      </c>
      <c r="JR572" s="269">
        <v>1200</v>
      </c>
      <c r="JS572" s="66" t="s">
        <v>271</v>
      </c>
      <c r="JT572" s="66" t="s">
        <v>263</v>
      </c>
      <c r="JU572" s="66" t="s">
        <v>266</v>
      </c>
      <c r="JV572" s="283" t="s">
        <v>260</v>
      </c>
      <c r="JW572" s="272">
        <f>$H572*SUMIFS(axTER!$E$65:$E$105,axTER!$C$65:$C$105,JS572,axTER!$D$65:$D$105,JU572)/SUMIFS(axTER!$E$108:$E$114,axTER!$C$108:$C$114,JV572)/10^9*$D$514</f>
        <v>0.84381733713534679</v>
      </c>
      <c r="JY572" s="273">
        <f t="shared" si="1010"/>
        <v>0</v>
      </c>
      <c r="JZ572" s="273">
        <f t="shared" si="1005"/>
        <v>0</v>
      </c>
      <c r="KA572" s="273">
        <f>$H572*IF(KE572&lt;&gt;JU572,SUMIFS(axTER!$E$121:$E$128,axTER!$C$121:$C$128,JU572,axTER!$D$121:$D$128,KE572),SUMIFS(axTER!$E$133:$E$138,axTER!$C$133:$C$138,KE572)*KD$510)*$D$514/10^6</f>
        <v>124.59490368639106</v>
      </c>
      <c r="KB572" s="274">
        <f>$H572*IF(KF572&lt;&gt;JV572,SUMIFS(axTER!$E$142:$E$148,axTER!$C$142:$C$148,KF572),SUMIFS(axTER!$E$151:$E$157,axTER!$C$151:$C$157,KF572)*KD$510)/10^6*$D$514</f>
        <v>29.072144193491248</v>
      </c>
      <c r="KC572" s="275" t="s">
        <v>271</v>
      </c>
      <c r="KD572" s="161" t="s">
        <v>263</v>
      </c>
      <c r="KE572" s="161" t="s">
        <v>266</v>
      </c>
      <c r="KF572" s="161" t="s">
        <v>260</v>
      </c>
      <c r="KG572" s="276">
        <f>$H572*SUMIFS(axTER!$E$65:$E$105,axTER!$D$65:$D$105,KE572,axTER!$C$65:$C$105,KC572)/SUMIFS(axTER!$E$108:$E$114,axTER!$C$108:$C$114,KF572)/10^9*$D$514</f>
        <v>0.84381733713534679</v>
      </c>
      <c r="KS572" s="273">
        <f t="shared" si="1011"/>
        <v>0</v>
      </c>
      <c r="KT572" s="273">
        <f t="shared" si="1012"/>
        <v>0</v>
      </c>
      <c r="KU572" s="273">
        <f>$H572*IF(KY572&lt;&gt;KE572,SUMIFS(axTER!$E$121:$E$128,axTER!$C$121:$C$128,KE572,axTER!$D$121:$D$128,KY572),SUMIFS(axTER!$E$133:$E$138,axTER!$C$133:$C$138,KY572)*KX$510)*$D$514/10^6</f>
        <v>355.98543910397444</v>
      </c>
      <c r="KV572" s="274">
        <f>$H572*IF(KZ572&lt;&gt;KF572,SUMIFS(axTER!$E$142:$E$148,axTER!$C$142:$C$148,KZ572),SUMIFS(axTER!$E$151:$E$157,axTER!$C$151:$C$157,KZ572)*KX$510)/10^6*$D$514</f>
        <v>83.063269124260728</v>
      </c>
      <c r="KW572" s="275" t="s">
        <v>271</v>
      </c>
      <c r="KX572" s="161" t="s">
        <v>263</v>
      </c>
      <c r="KY572" s="161" t="s">
        <v>266</v>
      </c>
      <c r="KZ572" s="161" t="s">
        <v>260</v>
      </c>
      <c r="LA572" s="276">
        <f>$H572*SUMIFS(axTER!$E$65:$E$105,axTER!$D$65:$D$105,KY572,axTER!$C$65:$C$105,KW572)/SUMIFS(axTER!$E$108:$E$114,axTER!$C$108:$C$114,KZ572)/10^9*$D$514</f>
        <v>0.84381733713534679</v>
      </c>
      <c r="LC572" s="269">
        <v>1200</v>
      </c>
      <c r="LD572" s="66" t="s">
        <v>271</v>
      </c>
      <c r="LE572" s="66" t="s">
        <v>263</v>
      </c>
      <c r="LF572" s="66" t="s">
        <v>266</v>
      </c>
      <c r="LG572" s="283" t="s">
        <v>260</v>
      </c>
      <c r="LH572" s="272">
        <f>$H572*SUMIFS(axTER!$E$65:$E$105,axTER!$C$65:$C$105,LD572,axTER!$D$65:$D$105,LF572)/SUMIFS(axTER!$E$108:$E$114,axTER!$C$108:$C$114,LG572)/10^9*$D$514</f>
        <v>0.84381733713534679</v>
      </c>
      <c r="LJ572" s="273">
        <f t="shared" si="1013"/>
        <v>0</v>
      </c>
      <c r="LK572" s="273">
        <f t="shared" si="1017"/>
        <v>0</v>
      </c>
      <c r="LL572" s="273">
        <f>$H572*IF(LP572&lt;&gt;LF572,SUMIFS(axTER!$E$121:$E$128,axTER!$C$121:$C$128,LF572,axTER!$D$121:$D$128,LP572),SUMIFS(axTER!$E$133:$E$138,axTER!$C$133:$C$138,LP572)*LO$510)*$D$514/10^6</f>
        <v>124.59490368639106</v>
      </c>
      <c r="LM572" s="274">
        <f>$H572*IF(LQ572&lt;&gt;LG572,SUMIFS(axTER!$E$142:$E$148,axTER!$C$142:$C$148,LQ572),SUMIFS(axTER!$E$151:$E$157,axTER!$C$151:$C$157,LQ572)*LO$510)/10^6*$D$514</f>
        <v>29.072144193491248</v>
      </c>
      <c r="LN572" s="275" t="s">
        <v>271</v>
      </c>
      <c r="LO572" s="161" t="s">
        <v>263</v>
      </c>
      <c r="LP572" s="161" t="s">
        <v>266</v>
      </c>
      <c r="LQ572" s="161" t="s">
        <v>260</v>
      </c>
      <c r="LR572" s="276">
        <f>$H572*SUMIFS(axTER!$E$65:$E$105,axTER!$D$65:$D$105,LP572,axTER!$C$65:$C$105,LN572)/SUMIFS(axTER!$E$108:$E$114,axTER!$C$108:$C$114,LQ572)/10^9*$D$514</f>
        <v>0.84381733713534679</v>
      </c>
      <c r="LT572" s="273">
        <f t="shared" si="1014"/>
        <v>0</v>
      </c>
      <c r="LU572" s="273">
        <f t="shared" si="1015"/>
        <v>0</v>
      </c>
      <c r="LV572" s="273">
        <f>$H572*IF(LZ572&lt;&gt;LP572,SUMIFS(axTER!$E$121:$E$128,axTER!$C$121:$C$128,LP572,axTER!$D$121:$D$128,LZ572),SUMIFS(axTER!$E$133:$E$138,axTER!$C$133:$C$138,LZ572)*LY$510)*$D$514/10^6</f>
        <v>177.99271955198722</v>
      </c>
      <c r="LW572" s="274">
        <f>$H572*IF(MA572&lt;&gt;LQ572,SUMIFS(axTER!$E$142:$E$148,axTER!$C$142:$C$148,MA572),SUMIFS(axTER!$E$151:$E$157,axTER!$C$151:$C$157,MA572)*LY$510)/10^6*$D$514</f>
        <v>41.531634562130364</v>
      </c>
      <c r="LX572" s="275" t="s">
        <v>271</v>
      </c>
      <c r="LY572" s="161" t="s">
        <v>263</v>
      </c>
      <c r="LZ572" s="161" t="s">
        <v>266</v>
      </c>
      <c r="MA572" s="161" t="s">
        <v>260</v>
      </c>
      <c r="MB572" s="276">
        <f>$H572*SUMIFS(axTER!$E$65:$E$105,axTER!$D$65:$D$105,LZ572,axTER!$C$65:$C$105,LX572)/SUMIFS(axTER!$E$108:$E$114,axTER!$C$108:$C$114,MA572)/10^9*$D$514</f>
        <v>0.84381733713534679</v>
      </c>
      <c r="MD572" s="273" t="str">
        <f t="shared" si="1018"/>
        <v>ELEC-PAC</v>
      </c>
      <c r="ME572" s="273">
        <f t="shared" si="1016"/>
        <v>0</v>
      </c>
      <c r="MF572" s="273">
        <f>$H572*IF(MJ572&lt;&gt;LZ572,SUMIFS(axTER!$E$121:$E$128,axTER!$C$121:$C$128,LZ572,axTER!$D$121:$D$128,MJ572),SUMIFS(axTER!$E$133:$E$138,axTER!$C$133:$C$138,MJ572)*MI$510)*$D$514/10^6</f>
        <v>177.99271955198722</v>
      </c>
      <c r="MG572" s="274">
        <f>$H572*IF(MK572&lt;&gt;MA572,SUMIFS(axTER!$E$142:$E$148,axTER!$C$142:$C$148,MK572),SUMIFS(axTER!$E$151:$E$157,axTER!$C$151:$C$157,MK572)*MI$510)/10^6*$D$514</f>
        <v>949.29450427726533</v>
      </c>
      <c r="MH572" s="275" t="s">
        <v>271</v>
      </c>
      <c r="MI572" s="161" t="s">
        <v>263</v>
      </c>
      <c r="MJ572" s="161" t="s">
        <v>266</v>
      </c>
      <c r="MK572" s="161" t="s">
        <v>261</v>
      </c>
      <c r="ML572" s="276">
        <f>$H572*SUMIFS(axTER!$E$65:$E$105,axTER!$D$65:$D$105,MJ572,axTER!$C$65:$C$105,MH572)/SUMIFS(axTER!$E$108:$E$114,axTER!$C$108:$C$114,MK572)/10^9*$D$514</f>
        <v>0.25314520114060407</v>
      </c>
    </row>
    <row r="573" spans="3:350" hidden="1" outlineLevel="1" x14ac:dyDescent="0.3">
      <c r="C573" s="265"/>
      <c r="D573" s="289"/>
      <c r="F573" s="266"/>
      <c r="H573" s="269">
        <v>1200</v>
      </c>
      <c r="I573" s="66" t="s">
        <v>271</v>
      </c>
      <c r="J573" s="66" t="s">
        <v>263</v>
      </c>
      <c r="K573" s="66" t="s">
        <v>255</v>
      </c>
      <c r="L573" s="283" t="s">
        <v>256</v>
      </c>
      <c r="M573" s="272">
        <f>$H573*SUMIFS(axTER!$E$65:$E$105,axTER!$C$65:$C$105,I573,axTER!$D$65:$D$105,K573)/SUMIFS(axTER!$E$108:$E$114,axTER!$C$108:$C$114,L573)/10^9*$D$514</f>
        <v>1.4988860593851558</v>
      </c>
      <c r="S573" s="269">
        <v>1200</v>
      </c>
      <c r="T573" s="66" t="s">
        <v>271</v>
      </c>
      <c r="U573" s="66" t="s">
        <v>263</v>
      </c>
      <c r="V573" s="66" t="s">
        <v>255</v>
      </c>
      <c r="W573" s="283" t="s">
        <v>256</v>
      </c>
      <c r="X573" s="272">
        <f>$H573*SUMIFS(axTER!$E$65:$E$105,axTER!$C$65:$C$105,T573,axTER!$D$65:$D$105,V573)/SUMIFS(axTER!$E$108:$E$114,axTER!$C$108:$C$114,W573)/10^9*$D$514</f>
        <v>1.4988860593851558</v>
      </c>
      <c r="AB573" s="273">
        <f>$H573*IF(AF573&lt;&gt;K573,SUMIFS(axTER!$E$121:$E$128,axTER!$C$121:$C$128,K573,axTER!$D$121:$D$128,AF573),SUMIFS(axTER!$E$133:$E$138,axTER!$C$133:$C$138,AF573)*AE$510)*$D$514/10^6</f>
        <v>474.64725213863267</v>
      </c>
      <c r="AC573" s="274">
        <f>$H573*IF(AG573&lt;&gt;L573,SUMIFS(axTER!$E$142:$E$148,axTER!$C$142:$C$148,AG573),SUMIFS(axTER!$E$151:$E$157,axTER!$C$151:$C$157,AG573)*AE$510)/10^6*$D$514</f>
        <v>74.756942211834655</v>
      </c>
      <c r="AD573" s="275" t="s">
        <v>271</v>
      </c>
      <c r="AE573" s="161" t="s">
        <v>263</v>
      </c>
      <c r="AF573" s="161" t="s">
        <v>255</v>
      </c>
      <c r="AG573" s="284" t="s">
        <v>256</v>
      </c>
      <c r="AH573" s="276">
        <f>$H573*SUMIFS(axTER!$E$65:$E$105,axTER!$D$65:$D$105,AF573,axTER!$C$65:$C$105,AD573)/SUMIFS(axTER!$E$108:$E$114,axTER!$C$108:$C$114,AG573)/10^9*$D$514</f>
        <v>1.4988860593851558</v>
      </c>
      <c r="AV573" s="273">
        <f>$H573*IF(AZ573&lt;&gt;AF573,SUMIFS(axTER!$E$121:$E$128,axTER!$C$121:$C$128,AF573,axTER!$D$121:$D$128,AZ573),SUMIFS(axTER!$E$133:$E$138,axTER!$C$133:$C$138,AZ573)*AY$510)*$D$514/10^6</f>
        <v>949.29450427726533</v>
      </c>
      <c r="AW573" s="274">
        <f>$H573*IF(BA573&lt;&gt;AG573,SUMIFS(axTER!$E$142:$E$148,axTER!$C$142:$C$148,BA573),SUMIFS(axTER!$E$151:$E$157,axTER!$C$151:$C$157,BA573)*AY$510)/10^6*$D$514</f>
        <v>149.51388442366931</v>
      </c>
      <c r="AX573" s="275" t="s">
        <v>271</v>
      </c>
      <c r="AY573" s="161" t="s">
        <v>263</v>
      </c>
      <c r="AZ573" s="161" t="s">
        <v>255</v>
      </c>
      <c r="BA573" s="284" t="s">
        <v>256</v>
      </c>
      <c r="BB573" s="276">
        <f>$H573*SUMIFS(axTER!$E$65:$E$105,axTER!$D$65:$D$105,AZ573,axTER!$C$65:$C$105,AX573)/SUMIFS(axTER!$E$108:$E$114,axTER!$C$108:$C$114,BA573)/10^9*$D$514</f>
        <v>1.4988860593851558</v>
      </c>
      <c r="IG573" s="269">
        <v>1200</v>
      </c>
      <c r="IH573" s="66" t="s">
        <v>271</v>
      </c>
      <c r="II573" s="66" t="s">
        <v>263</v>
      </c>
      <c r="IJ573" s="66" t="s">
        <v>255</v>
      </c>
      <c r="IK573" s="283" t="s">
        <v>256</v>
      </c>
      <c r="IL573" s="272">
        <f>$H573*SUMIFS(axTER!$E$65:$E$105,axTER!$C$65:$C$105,IH573,axTER!$D$65:$D$105,IJ573)/SUMIFS(axTER!$E$108:$E$114,axTER!$C$108:$C$114,IK573)/10^9*$D$514</f>
        <v>1.4988860593851558</v>
      </c>
      <c r="IO573" s="273">
        <f t="shared" si="1008"/>
        <v>1200</v>
      </c>
      <c r="IP573" s="273">
        <f>$H573*IF(IT573&lt;&gt;IJ573,SUMIFS(axTER!$E$121:$E$128,axTER!$C$121:$C$128,IJ573,axTER!$D$121:$D$128,IT573),SUMIFS(axTER!$E$133:$E$138,axTER!$C$133:$C$138,IT573)*IS$510)*$D$514/10^6</f>
        <v>5339.7815865596167</v>
      </c>
      <c r="IQ573" s="274">
        <f>$H573*IF(IU573&lt;&gt;IK573,SUMIFS(axTER!$E$142:$E$148,axTER!$C$142:$C$148,IU573),SUMIFS(axTER!$E$151:$E$157,axTER!$C$151:$C$157,IU573)*IS$510)/10^6*$D$514</f>
        <v>74.756942211834655</v>
      </c>
      <c r="IR573" s="275" t="s">
        <v>271</v>
      </c>
      <c r="IS573" s="161" t="s">
        <v>263</v>
      </c>
      <c r="IT573" s="277" t="s">
        <v>257</v>
      </c>
      <c r="IU573" s="284" t="s">
        <v>256</v>
      </c>
      <c r="IV573" s="276">
        <f>$H573*SUMIFS(axTER!$E$65:$E$105,axTER!$D$65:$D$105,IT573,axTER!$C$65:$C$105,IR573)/SUMIFS(axTER!$E$108:$E$114,axTER!$C$108:$C$114,IU573)/10^9*$D$514</f>
        <v>0.62453585807714818</v>
      </c>
      <c r="JI573" s="273">
        <f t="shared" si="1009"/>
        <v>1200</v>
      </c>
      <c r="JJ573" s="273">
        <f>$H573*IF(JN573&lt;&gt;IT573,SUMIFS(axTER!$E$121:$E$128,axTER!$C$121:$C$128,IT573,axTER!$D$121:$D$128,JN573),SUMIFS(axTER!$E$133:$E$138,axTER!$C$133:$C$138,JN573)*JM$510)*$D$514/10^6</f>
        <v>0</v>
      </c>
      <c r="JK573" s="274">
        <f>$H573*IF(JO573&lt;&gt;IU573,SUMIFS(axTER!$E$142:$E$148,axTER!$C$142:$C$148,JO573),SUMIFS(axTER!$E$151:$E$157,axTER!$C$151:$C$157,JO573)*JM$510)/10^6*$D$514</f>
        <v>149.51388442366931</v>
      </c>
      <c r="JL573" s="275" t="s">
        <v>271</v>
      </c>
      <c r="JM573" s="161" t="s">
        <v>263</v>
      </c>
      <c r="JN573" s="161" t="s">
        <v>255</v>
      </c>
      <c r="JO573" s="284" t="s">
        <v>256</v>
      </c>
      <c r="JP573" s="276">
        <f>$H573*SUMIFS(axTER!$E$65:$E$105,axTER!$D$65:$D$105,JN573,axTER!$C$65:$C$105,JL573)/SUMIFS(axTER!$E$108:$E$114,axTER!$C$108:$C$114,JO573)/10^9*$D$514</f>
        <v>1.4988860593851558</v>
      </c>
      <c r="JR573" s="269">
        <v>1200</v>
      </c>
      <c r="JS573" s="66" t="s">
        <v>271</v>
      </c>
      <c r="JT573" s="66" t="s">
        <v>263</v>
      </c>
      <c r="JU573" s="66" t="s">
        <v>255</v>
      </c>
      <c r="JV573" s="283" t="s">
        <v>256</v>
      </c>
      <c r="JW573" s="272">
        <f>$H573*SUMIFS(axTER!$E$65:$E$105,axTER!$C$65:$C$105,JS573,axTER!$D$65:$D$105,JU573)/SUMIFS(axTER!$E$108:$E$114,axTER!$C$108:$C$114,JV573)/10^9*$D$514</f>
        <v>1.4988860593851558</v>
      </c>
      <c r="JY573" s="273" t="str">
        <f t="shared" si="1010"/>
        <v>URBAIN</v>
      </c>
      <c r="JZ573" s="273">
        <f t="shared" si="1005"/>
        <v>1200</v>
      </c>
      <c r="KA573" s="273">
        <f>$H573*IF(KE573&lt;&gt;JU573,SUMIFS(axTER!$E$121:$E$128,axTER!$C$121:$C$128,JU573,axTER!$D$121:$D$128,KE573),SUMIFS(axTER!$E$133:$E$138,axTER!$C$133:$C$138,KE573)*KD$510)*$D$514/10^6</f>
        <v>5339.7815865596167</v>
      </c>
      <c r="KB573" s="274">
        <f>$H573*IF(KF573&lt;&gt;JV573,SUMIFS(axTER!$E$142:$E$148,axTER!$C$142:$C$148,KF573),SUMIFS(axTER!$E$151:$E$157,axTER!$C$151:$C$157,KF573)*KD$510)/10^6*$D$514</f>
        <v>367.85162040744029</v>
      </c>
      <c r="KC573" s="275" t="s">
        <v>271</v>
      </c>
      <c r="KD573" s="161" t="s">
        <v>263</v>
      </c>
      <c r="KE573" s="161" t="s">
        <v>257</v>
      </c>
      <c r="KF573" s="284" t="s">
        <v>258</v>
      </c>
      <c r="KG573" s="276">
        <f>$H573*SUMIFS(axTER!$E$65:$E$105,axTER!$D$65:$D$105,KE573,axTER!$C$65:$C$105,KC573)/SUMIFS(axTER!$E$108:$E$114,axTER!$C$108:$C$114,KF573)/10^9*$D$514</f>
        <v>0.59330906517329085</v>
      </c>
      <c r="KS573" s="273">
        <f t="shared" si="1011"/>
        <v>0</v>
      </c>
      <c r="KT573" s="273">
        <f t="shared" si="1012"/>
        <v>0</v>
      </c>
      <c r="KU573" s="273">
        <f>$H573*IF(KY573&lt;&gt;KE573,SUMIFS(axTER!$E$121:$E$128,axTER!$C$121:$C$128,KE573,axTER!$D$121:$D$128,KY573),SUMIFS(axTER!$E$133:$E$138,axTER!$C$133:$C$138,KY573)*KX$510)*$D$514/10^6</f>
        <v>355.98543910397444</v>
      </c>
      <c r="KV573" s="274">
        <f>$H573*IF(KZ573&lt;&gt;KF573,SUMIFS(axTER!$E$142:$E$148,axTER!$C$142:$C$148,KZ573),SUMIFS(axTER!$E$151:$E$157,axTER!$C$151:$C$157,KZ573)*KX$510)/10^6*$D$514</f>
        <v>257.49613428520826</v>
      </c>
      <c r="KW573" s="275" t="s">
        <v>271</v>
      </c>
      <c r="KX573" s="161" t="s">
        <v>263</v>
      </c>
      <c r="KY573" s="161" t="s">
        <v>257</v>
      </c>
      <c r="KZ573" s="284" t="s">
        <v>258</v>
      </c>
      <c r="LA573" s="276">
        <f>$H573*SUMIFS(axTER!$E$65:$E$105,axTER!$D$65:$D$105,KY573,axTER!$C$65:$C$105,KW573)/SUMIFS(axTER!$E$108:$E$114,axTER!$C$108:$C$114,KZ573)/10^9*$D$514</f>
        <v>0.59330906517329085</v>
      </c>
      <c r="LC573" s="269">
        <v>1200</v>
      </c>
      <c r="LD573" s="66" t="s">
        <v>271</v>
      </c>
      <c r="LE573" s="66" t="s">
        <v>263</v>
      </c>
      <c r="LF573" s="66" t="s">
        <v>255</v>
      </c>
      <c r="LG573" s="283" t="s">
        <v>256</v>
      </c>
      <c r="LH573" s="272">
        <f>$H573*SUMIFS(axTER!$E$65:$E$105,axTER!$C$65:$C$105,LD573,axTER!$D$65:$D$105,LF573)/SUMIFS(axTER!$E$108:$E$114,axTER!$C$108:$C$114,LG573)/10^9*$D$514</f>
        <v>1.4988860593851558</v>
      </c>
      <c r="LJ573" s="273" t="str">
        <f t="shared" si="1013"/>
        <v>URBAIN</v>
      </c>
      <c r="LK573" s="273">
        <f t="shared" si="1017"/>
        <v>0</v>
      </c>
      <c r="LL573" s="273">
        <f>$H573*IF(LP573&lt;&gt;LF573,SUMIFS(axTER!$E$121:$E$128,axTER!$C$121:$C$128,LF573,axTER!$D$121:$D$128,LP573),SUMIFS(axTER!$E$133:$E$138,axTER!$C$133:$C$138,LP573)*LO$510)*$D$514/10^6</f>
        <v>332.25307649704285</v>
      </c>
      <c r="LM573" s="274">
        <f>$H573*IF(LQ573&lt;&gt;LG573,SUMIFS(axTER!$E$142:$E$148,axTER!$C$142:$C$148,LQ573),SUMIFS(axTER!$E$151:$E$157,axTER!$C$151:$C$157,LQ573)*LO$510)/10^6*$D$514</f>
        <v>367.85162040744029</v>
      </c>
      <c r="LN573" s="275" t="s">
        <v>271</v>
      </c>
      <c r="LO573" s="161" t="s">
        <v>263</v>
      </c>
      <c r="LP573" s="161" t="s">
        <v>255</v>
      </c>
      <c r="LQ573" s="161" t="s">
        <v>258</v>
      </c>
      <c r="LR573" s="276">
        <f>$H573*SUMIFS(axTER!$E$65:$E$105,axTER!$D$65:$D$105,LP573,axTER!$C$65:$C$105,LN573)/SUMIFS(axTER!$E$108:$E$114,axTER!$C$108:$C$114,LQ573)/10^9*$D$514</f>
        <v>1.423941756415898</v>
      </c>
      <c r="LT573" s="273">
        <f t="shared" si="1014"/>
        <v>0</v>
      </c>
      <c r="LU573" s="273">
        <f t="shared" si="1015"/>
        <v>0</v>
      </c>
      <c r="LV573" s="273">
        <f>$H573*IF(LZ573&lt;&gt;LP573,SUMIFS(axTER!$E$121:$E$128,axTER!$C$121:$C$128,LP573,axTER!$D$121:$D$128,LZ573),SUMIFS(axTER!$E$133:$E$138,axTER!$C$133:$C$138,LZ573)*LY$510)*$D$514/10^6</f>
        <v>474.64725213863267</v>
      </c>
      <c r="LW573" s="274">
        <f>$H573*IF(MA573&lt;&gt;LQ573,SUMIFS(axTER!$E$142:$E$148,axTER!$C$142:$C$148,MA573),SUMIFS(axTER!$E$151:$E$157,axTER!$C$151:$C$157,MA573)*LY$510)/10^6*$D$514</f>
        <v>128.74806714260413</v>
      </c>
      <c r="LX573" s="275" t="s">
        <v>271</v>
      </c>
      <c r="LY573" s="161" t="s">
        <v>263</v>
      </c>
      <c r="LZ573" s="161" t="s">
        <v>255</v>
      </c>
      <c r="MA573" s="161" t="s">
        <v>258</v>
      </c>
      <c r="MB573" s="276">
        <f>$H573*SUMIFS(axTER!$E$65:$E$105,axTER!$D$65:$D$105,LZ573,axTER!$C$65:$C$105,LX573)/SUMIFS(axTER!$E$108:$E$114,axTER!$C$108:$C$114,MA573)/10^9*$D$514</f>
        <v>1.423941756415898</v>
      </c>
      <c r="MD573" s="273">
        <f t="shared" si="1018"/>
        <v>0</v>
      </c>
      <c r="ME573" s="273">
        <f t="shared" si="1016"/>
        <v>0</v>
      </c>
      <c r="MF573" s="273">
        <f>$H573*IF(MJ573&lt;&gt;LZ573,SUMIFS(axTER!$E$121:$E$128,axTER!$C$121:$C$128,LZ573,axTER!$D$121:$D$128,MJ573),SUMIFS(axTER!$E$133:$E$138,axTER!$C$133:$C$138,MJ573)*MI$510)*$D$514/10^6</f>
        <v>474.64725213863267</v>
      </c>
      <c r="MG573" s="274">
        <f>$H573*IF(MK573&lt;&gt;MA573,SUMIFS(axTER!$E$142:$E$148,axTER!$C$142:$C$148,MK573),SUMIFS(axTER!$E$151:$E$157,axTER!$C$151:$C$157,MK573)*MI$510)/10^6*$D$514</f>
        <v>128.74806714260413</v>
      </c>
      <c r="MH573" s="275" t="s">
        <v>271</v>
      </c>
      <c r="MI573" s="161" t="s">
        <v>263</v>
      </c>
      <c r="MJ573" s="161" t="s">
        <v>255</v>
      </c>
      <c r="MK573" s="161" t="s">
        <v>258</v>
      </c>
      <c r="ML573" s="276">
        <f>$H573*SUMIFS(axTER!$E$65:$E$105,axTER!$D$65:$D$105,MJ573,axTER!$C$65:$C$105,MH573)/SUMIFS(axTER!$E$108:$E$114,axTER!$C$108:$C$114,MK573)/10^9*$D$514</f>
        <v>1.423941756415898</v>
      </c>
    </row>
    <row r="574" spans="3:350" hidden="1" outlineLevel="1" x14ac:dyDescent="0.3">
      <c r="C574" s="265"/>
      <c r="D574" s="289"/>
      <c r="F574" s="266"/>
      <c r="H574" s="269">
        <v>1200</v>
      </c>
      <c r="I574" s="66" t="s">
        <v>271</v>
      </c>
      <c r="J574" s="66" t="s">
        <v>263</v>
      </c>
      <c r="K574" s="66" t="s">
        <v>255</v>
      </c>
      <c r="L574" s="283" t="s">
        <v>256</v>
      </c>
      <c r="M574" s="272">
        <f>$H574*SUMIFS(axTER!$E$65:$E$105,axTER!$C$65:$C$105,I574,axTER!$D$65:$D$105,K574)/SUMIFS(axTER!$E$108:$E$114,axTER!$C$108:$C$114,L574)/10^9*$D$514</f>
        <v>1.4988860593851558</v>
      </c>
      <c r="S574" s="269">
        <v>1200</v>
      </c>
      <c r="T574" s="66" t="s">
        <v>271</v>
      </c>
      <c r="U574" s="66" t="s">
        <v>263</v>
      </c>
      <c r="V574" s="66" t="s">
        <v>255</v>
      </c>
      <c r="W574" s="283" t="s">
        <v>256</v>
      </c>
      <c r="X574" s="272">
        <f>$H574*SUMIFS(axTER!$E$65:$E$105,axTER!$C$65:$C$105,T574,axTER!$D$65:$D$105,V574)/SUMIFS(axTER!$E$108:$E$114,axTER!$C$108:$C$114,W574)/10^9*$D$514</f>
        <v>1.4988860593851558</v>
      </c>
      <c r="AB574" s="273">
        <f>$H574*IF(AF574&lt;&gt;K574,SUMIFS(axTER!$E$121:$E$128,axTER!$C$121:$C$128,K574,axTER!$D$121:$D$128,AF574),SUMIFS(axTER!$E$133:$E$138,axTER!$C$133:$C$138,AF574)*AE$510)*$D$514/10^6</f>
        <v>474.64725213863267</v>
      </c>
      <c r="AC574" s="274">
        <f>$H574*IF(AG574&lt;&gt;L574,SUMIFS(axTER!$E$142:$E$148,axTER!$C$142:$C$148,AG574),SUMIFS(axTER!$E$151:$E$157,axTER!$C$151:$C$157,AG574)*AE$510)/10^6*$D$514</f>
        <v>74.756942211834655</v>
      </c>
      <c r="AD574" s="275" t="s">
        <v>271</v>
      </c>
      <c r="AE574" s="161" t="s">
        <v>263</v>
      </c>
      <c r="AF574" s="161" t="s">
        <v>255</v>
      </c>
      <c r="AG574" s="284" t="s">
        <v>256</v>
      </c>
      <c r="AH574" s="276">
        <f>$H574*SUMIFS(axTER!$E$65:$E$105,axTER!$D$65:$D$105,AF574,axTER!$C$65:$C$105,AD574)/SUMIFS(axTER!$E$108:$E$114,axTER!$C$108:$C$114,AG574)/10^9*$D$514</f>
        <v>1.4988860593851558</v>
      </c>
      <c r="AV574" s="273">
        <f>$H574*IF(AZ574&lt;&gt;AF574,SUMIFS(axTER!$E$121:$E$128,axTER!$C$121:$C$128,AF574,axTER!$D$121:$D$128,AZ574),SUMIFS(axTER!$E$133:$E$138,axTER!$C$133:$C$138,AZ574)*AY$510)*$D$514/10^6</f>
        <v>949.29450427726533</v>
      </c>
      <c r="AW574" s="274">
        <f>$H574*IF(BA574&lt;&gt;AG574,SUMIFS(axTER!$E$142:$E$148,axTER!$C$142:$C$148,BA574),SUMIFS(axTER!$E$151:$E$157,axTER!$C$151:$C$157,BA574)*AY$510)/10^6*$D$514</f>
        <v>149.51388442366931</v>
      </c>
      <c r="AX574" s="275" t="s">
        <v>271</v>
      </c>
      <c r="AY574" s="161" t="s">
        <v>263</v>
      </c>
      <c r="AZ574" s="161" t="s">
        <v>255</v>
      </c>
      <c r="BA574" s="284" t="s">
        <v>256</v>
      </c>
      <c r="BB574" s="276">
        <f>$H574*SUMIFS(axTER!$E$65:$E$105,axTER!$D$65:$D$105,AZ574,axTER!$C$65:$C$105,AX574)/SUMIFS(axTER!$E$108:$E$114,axTER!$C$108:$C$114,BA574)/10^9*$D$514</f>
        <v>1.4988860593851558</v>
      </c>
      <c r="IG574" s="269">
        <v>1200</v>
      </c>
      <c r="IH574" s="66" t="s">
        <v>271</v>
      </c>
      <c r="II574" s="66" t="s">
        <v>263</v>
      </c>
      <c r="IJ574" s="66" t="s">
        <v>255</v>
      </c>
      <c r="IK574" s="283" t="s">
        <v>256</v>
      </c>
      <c r="IL574" s="272">
        <f>$H574*SUMIFS(axTER!$E$65:$E$105,axTER!$C$65:$C$105,IH574,axTER!$D$65:$D$105,IJ574)/SUMIFS(axTER!$E$108:$E$114,axTER!$C$108:$C$114,IK574)/10^9*$D$514</f>
        <v>1.4988860593851558</v>
      </c>
      <c r="IO574" s="273">
        <f t="shared" si="1008"/>
        <v>1200</v>
      </c>
      <c r="IP574" s="273">
        <f>$H574*IF(IT574&lt;&gt;IJ574,SUMIFS(axTER!$E$121:$E$128,axTER!$C$121:$C$128,IJ574,axTER!$D$121:$D$128,IT574),SUMIFS(axTER!$E$133:$E$138,axTER!$C$133:$C$138,IT574)*IS$510)*$D$514/10^6</f>
        <v>5339.7815865596167</v>
      </c>
      <c r="IQ574" s="274">
        <f>$H574*IF(IU574&lt;&gt;IK574,SUMIFS(axTER!$E$142:$E$148,axTER!$C$142:$C$148,IU574),SUMIFS(axTER!$E$151:$E$157,axTER!$C$151:$C$157,IU574)*IS$510)/10^6*$D$514</f>
        <v>74.756942211834655</v>
      </c>
      <c r="IR574" s="275" t="s">
        <v>271</v>
      </c>
      <c r="IS574" s="161" t="s">
        <v>263</v>
      </c>
      <c r="IT574" s="277" t="s">
        <v>257</v>
      </c>
      <c r="IU574" s="284" t="s">
        <v>256</v>
      </c>
      <c r="IV574" s="276">
        <f>$H574*SUMIFS(axTER!$E$65:$E$105,axTER!$D$65:$D$105,IT574,axTER!$C$65:$C$105,IR574)/SUMIFS(axTER!$E$108:$E$114,axTER!$C$108:$C$114,IU574)/10^9*$D$514</f>
        <v>0.62453585807714818</v>
      </c>
      <c r="JI574" s="273">
        <f t="shared" si="1009"/>
        <v>1200</v>
      </c>
      <c r="JJ574" s="273">
        <f>$H574*IF(JN574&lt;&gt;IT574,SUMIFS(axTER!$E$121:$E$128,axTER!$C$121:$C$128,IT574,axTER!$D$121:$D$128,JN574),SUMIFS(axTER!$E$133:$E$138,axTER!$C$133:$C$138,JN574)*JM$510)*$D$514/10^6</f>
        <v>0</v>
      </c>
      <c r="JK574" s="274">
        <f>$H574*IF(JO574&lt;&gt;IU574,SUMIFS(axTER!$E$142:$E$148,axTER!$C$142:$C$148,JO574),SUMIFS(axTER!$E$151:$E$157,axTER!$C$151:$C$157,JO574)*JM$510)/10^6*$D$514</f>
        <v>149.51388442366931</v>
      </c>
      <c r="JL574" s="275" t="s">
        <v>271</v>
      </c>
      <c r="JM574" s="161" t="s">
        <v>263</v>
      </c>
      <c r="JN574" s="161" t="s">
        <v>255</v>
      </c>
      <c r="JO574" s="284" t="s">
        <v>256</v>
      </c>
      <c r="JP574" s="276">
        <f>$H574*SUMIFS(axTER!$E$65:$E$105,axTER!$D$65:$D$105,JN574,axTER!$C$65:$C$105,JL574)/SUMIFS(axTER!$E$108:$E$114,axTER!$C$108:$C$114,JO574)/10^9*$D$514</f>
        <v>1.4988860593851558</v>
      </c>
      <c r="JR574" s="269">
        <v>1200</v>
      </c>
      <c r="JS574" s="66" t="s">
        <v>271</v>
      </c>
      <c r="JT574" s="66" t="s">
        <v>263</v>
      </c>
      <c r="JU574" s="66" t="s">
        <v>255</v>
      </c>
      <c r="JV574" s="283" t="s">
        <v>256</v>
      </c>
      <c r="JW574" s="272">
        <f>$H574*SUMIFS(axTER!$E$65:$E$105,axTER!$C$65:$C$105,JS574,axTER!$D$65:$D$105,JU574)/SUMIFS(axTER!$E$108:$E$114,axTER!$C$108:$C$114,JV574)/10^9*$D$514</f>
        <v>1.4988860593851558</v>
      </c>
      <c r="JY574" s="273">
        <f t="shared" si="1010"/>
        <v>0</v>
      </c>
      <c r="JZ574" s="273">
        <f t="shared" si="1005"/>
        <v>0</v>
      </c>
      <c r="KA574" s="273">
        <f>$H574*IF(KE574&lt;&gt;JU574,SUMIFS(axTER!$E$121:$E$128,axTER!$C$121:$C$128,JU574,axTER!$D$121:$D$128,KE574),SUMIFS(axTER!$E$133:$E$138,axTER!$C$133:$C$138,KE574)*KD$510)*$D$514/10^6</f>
        <v>332.25307649704285</v>
      </c>
      <c r="KB574" s="274">
        <f>$H574*IF(KF574&lt;&gt;JV574,SUMIFS(axTER!$E$142:$E$148,axTER!$C$142:$C$148,KF574),SUMIFS(axTER!$E$151:$E$157,axTER!$C$151:$C$157,KF574)*KD$510)/10^6*$D$514</f>
        <v>52.329859548284254</v>
      </c>
      <c r="KC574" s="275" t="s">
        <v>271</v>
      </c>
      <c r="KD574" s="161" t="s">
        <v>263</v>
      </c>
      <c r="KE574" s="161" t="s">
        <v>255</v>
      </c>
      <c r="KF574" s="284" t="s">
        <v>256</v>
      </c>
      <c r="KG574" s="276">
        <f>$H574*SUMIFS(axTER!$E$65:$E$105,axTER!$D$65:$D$105,KE574,axTER!$C$65:$C$105,KC574)/SUMIFS(axTER!$E$108:$E$114,axTER!$C$108:$C$114,KF574)/10^9*$D$514</f>
        <v>1.4988860593851558</v>
      </c>
      <c r="KS574" s="273" t="str">
        <f t="shared" si="1011"/>
        <v>ELEC-PAC</v>
      </c>
      <c r="KT574" s="273">
        <f t="shared" si="1012"/>
        <v>1200</v>
      </c>
      <c r="KU574" s="273">
        <f>$H574*IF(KY574&lt;&gt;KE574,SUMIFS(axTER!$E$121:$E$128,axTER!$C$121:$C$128,KE574,axTER!$D$121:$D$128,KY574),SUMIFS(axTER!$E$133:$E$138,axTER!$C$133:$C$138,KY574)*KX$510)*$D$514/10^6</f>
        <v>5339.7815865596167</v>
      </c>
      <c r="KV574" s="274">
        <f>$H574*IF(KZ574&lt;&gt;KF574,SUMIFS(axTER!$E$142:$E$148,axTER!$C$142:$C$148,KZ574),SUMIFS(axTER!$E$151:$E$157,axTER!$C$151:$C$157,KZ574)*KX$510)/10^6*$D$514</f>
        <v>949.29450427726533</v>
      </c>
      <c r="KW574" s="275" t="s">
        <v>271</v>
      </c>
      <c r="KX574" s="161" t="s">
        <v>263</v>
      </c>
      <c r="KY574" s="161" t="s">
        <v>257</v>
      </c>
      <c r="KZ574" s="284" t="s">
        <v>261</v>
      </c>
      <c r="LA574" s="276">
        <f>$H574*SUMIFS(axTER!$E$65:$E$105,axTER!$D$65:$D$105,KY574,axTER!$C$65:$C$105,KW574)/SUMIFS(axTER!$E$108:$E$114,axTER!$C$108:$C$114,KZ574)/10^9*$D$514</f>
        <v>0.19776968839109696</v>
      </c>
      <c r="LC574" s="269">
        <v>1200</v>
      </c>
      <c r="LD574" s="66" t="s">
        <v>271</v>
      </c>
      <c r="LE574" s="66" t="s">
        <v>263</v>
      </c>
      <c r="LF574" s="66" t="s">
        <v>255</v>
      </c>
      <c r="LG574" s="283" t="s">
        <v>256</v>
      </c>
      <c r="LH574" s="272">
        <f>$H574*SUMIFS(axTER!$E$65:$E$105,axTER!$C$65:$C$105,LD574,axTER!$D$65:$D$105,LF574)/SUMIFS(axTER!$E$108:$E$114,axTER!$C$108:$C$114,LG574)/10^9*$D$514</f>
        <v>1.4988860593851558</v>
      </c>
      <c r="LJ574" s="273">
        <f t="shared" si="1013"/>
        <v>0</v>
      </c>
      <c r="LK574" s="273">
        <f t="shared" si="1017"/>
        <v>0</v>
      </c>
      <c r="LL574" s="273">
        <f>$H574*IF(LP574&lt;&gt;LF574,SUMIFS(axTER!$E$121:$E$128,axTER!$C$121:$C$128,LF574,axTER!$D$121:$D$128,LP574),SUMIFS(axTER!$E$133:$E$138,axTER!$C$133:$C$138,LP574)*LO$510)*$D$514/10^6</f>
        <v>332.25307649704285</v>
      </c>
      <c r="LM574" s="274">
        <f>$H574*IF(LQ574&lt;&gt;LG574,SUMIFS(axTER!$E$142:$E$148,axTER!$C$142:$C$148,LQ574),SUMIFS(axTER!$E$151:$E$157,axTER!$C$151:$C$157,LQ574)*LO$510)/10^6*$D$514</f>
        <v>52.329859548284254</v>
      </c>
      <c r="LN574" s="275" t="s">
        <v>271</v>
      </c>
      <c r="LO574" s="161" t="s">
        <v>263</v>
      </c>
      <c r="LP574" s="161" t="s">
        <v>255</v>
      </c>
      <c r="LQ574" s="161" t="s">
        <v>256</v>
      </c>
      <c r="LR574" s="276">
        <f>$H574*SUMIFS(axTER!$E$65:$E$105,axTER!$D$65:$D$105,LP574,axTER!$C$65:$C$105,LN574)/SUMIFS(axTER!$E$108:$E$114,axTER!$C$108:$C$114,LQ574)/10^9*$D$514</f>
        <v>1.4988860593851558</v>
      </c>
      <c r="LT574" s="273" t="str">
        <f t="shared" si="1014"/>
        <v>URBAIN</v>
      </c>
      <c r="LU574" s="273">
        <f t="shared" si="1015"/>
        <v>1200</v>
      </c>
      <c r="LV574" s="273">
        <f>$H574*IF(LZ574&lt;&gt;LP574,SUMIFS(axTER!$E$121:$E$128,axTER!$C$121:$C$128,LP574,axTER!$D$121:$D$128,LZ574),SUMIFS(axTER!$E$133:$E$138,axTER!$C$133:$C$138,LZ574)*LY$510)*$D$514/10^6</f>
        <v>5339.7815865596167</v>
      </c>
      <c r="LW574" s="274">
        <f>$H574*IF(MA574&lt;&gt;LQ574,SUMIFS(axTER!$E$142:$E$148,axTER!$C$142:$C$148,MA574),SUMIFS(axTER!$E$151:$E$157,axTER!$C$151:$C$157,MA574)*LY$510)/10^6*$D$514</f>
        <v>367.85162040744029</v>
      </c>
      <c r="LX574" s="275" t="s">
        <v>271</v>
      </c>
      <c r="LY574" s="161" t="s">
        <v>263</v>
      </c>
      <c r="LZ574" s="429" t="s">
        <v>257</v>
      </c>
      <c r="MA574" s="429" t="s">
        <v>258</v>
      </c>
      <c r="MB574" s="276">
        <f>$H574*SUMIFS(axTER!$E$65:$E$105,axTER!$D$65:$D$105,LZ574,axTER!$C$65:$C$105,LX574)/SUMIFS(axTER!$E$108:$E$114,axTER!$C$108:$C$114,MA574)/10^9*$D$514</f>
        <v>0.59330906517329085</v>
      </c>
      <c r="MD574" s="273">
        <f t="shared" si="1018"/>
        <v>0</v>
      </c>
      <c r="ME574" s="273">
        <f t="shared" si="1016"/>
        <v>0</v>
      </c>
      <c r="MF574" s="273">
        <f>$H574*IF(MJ574&lt;&gt;LZ574,SUMIFS(axTER!$E$121:$E$128,axTER!$C$121:$C$128,LZ574,axTER!$D$121:$D$128,MJ574),SUMIFS(axTER!$E$133:$E$138,axTER!$C$133:$C$138,MJ574)*MI$510)*$D$514/10^6</f>
        <v>177.99271955198722</v>
      </c>
      <c r="MG574" s="274">
        <f>$H574*IF(MK574&lt;&gt;MA574,SUMIFS(axTER!$E$142:$E$148,axTER!$C$142:$C$148,MK574),SUMIFS(axTER!$E$151:$E$157,axTER!$C$151:$C$157,MK574)*MI$510)/10^6*$D$514</f>
        <v>128.74806714260413</v>
      </c>
      <c r="MH574" s="275" t="s">
        <v>271</v>
      </c>
      <c r="MI574" s="161" t="s">
        <v>263</v>
      </c>
      <c r="MJ574" s="429" t="s">
        <v>257</v>
      </c>
      <c r="MK574" s="161" t="s">
        <v>258</v>
      </c>
      <c r="ML574" s="276">
        <f>$H574*SUMIFS(axTER!$E$65:$E$105,axTER!$D$65:$D$105,MJ574,axTER!$C$65:$C$105,MH574)/SUMIFS(axTER!$E$108:$E$114,axTER!$C$108:$C$114,MK574)/10^9*$D$514</f>
        <v>0.59330906517329085</v>
      </c>
    </row>
    <row r="575" spans="3:350" outlineLevel="1" x14ac:dyDescent="0.3">
      <c r="C575" s="265"/>
      <c r="D575" s="289"/>
      <c r="F575" s="266"/>
      <c r="H575" s="269">
        <v>1200</v>
      </c>
      <c r="I575" s="66" t="s">
        <v>271</v>
      </c>
      <c r="J575" s="66" t="s">
        <v>263</v>
      </c>
      <c r="K575" s="66" t="s">
        <v>255</v>
      </c>
      <c r="L575" s="283" t="s">
        <v>256</v>
      </c>
      <c r="M575" s="272">
        <f>$H575*SUMIFS(axTER!$E$65:$E$105,axTER!$C$65:$C$105,I575,axTER!$D$65:$D$105,K575)/SUMIFS(axTER!$E$108:$E$114,axTER!$C$108:$C$114,L575)/10^9*$D$514</f>
        <v>1.4988860593851558</v>
      </c>
      <c r="S575" s="269">
        <v>1200</v>
      </c>
      <c r="T575" s="66" t="s">
        <v>271</v>
      </c>
      <c r="U575" s="66" t="s">
        <v>263</v>
      </c>
      <c r="V575" s="66" t="s">
        <v>255</v>
      </c>
      <c r="W575" s="283" t="s">
        <v>256</v>
      </c>
      <c r="X575" s="272">
        <f>$H575*SUMIFS(axTER!$E$65:$E$105,axTER!$C$65:$C$105,T575,axTER!$D$65:$D$105,V575)/SUMIFS(axTER!$E$108:$E$114,axTER!$C$108:$C$114,W575)/10^9*$D$514</f>
        <v>1.4988860593851558</v>
      </c>
      <c r="AB575" s="273">
        <f>$H575*IF(AF575&lt;&gt;K575,SUMIFS(axTER!$E$121:$E$128,axTER!$C$121:$C$128,K575,axTER!$D$121:$D$128,AF575),SUMIFS(axTER!$E$133:$E$138,axTER!$C$133:$C$138,AF575)*AE$510)*$D$514/10^6</f>
        <v>474.64725213863267</v>
      </c>
      <c r="AC575" s="274">
        <f>$H575*IF(AG575&lt;&gt;L575,SUMIFS(axTER!$E$142:$E$148,axTER!$C$142:$C$148,AG575),SUMIFS(axTER!$E$151:$E$157,axTER!$C$151:$C$157,AG575)*AE$510)/10^6*$D$514</f>
        <v>74.756942211834655</v>
      </c>
      <c r="AD575" s="275" t="s">
        <v>271</v>
      </c>
      <c r="AE575" s="161" t="s">
        <v>263</v>
      </c>
      <c r="AF575" s="161" t="s">
        <v>255</v>
      </c>
      <c r="AG575" s="284" t="s">
        <v>256</v>
      </c>
      <c r="AH575" s="276">
        <f>$H575*SUMIFS(axTER!$E$65:$E$105,axTER!$D$65:$D$105,AF575,axTER!$C$65:$C$105,AD575)/SUMIFS(axTER!$E$108:$E$114,axTER!$C$108:$C$114,AG575)/10^9*$D$514</f>
        <v>1.4988860593851558</v>
      </c>
      <c r="AV575" s="273">
        <f>$H575*IF(AZ575&lt;&gt;AF575,SUMIFS(axTER!$E$121:$E$128,axTER!$C$121:$C$128,AF575,axTER!$D$121:$D$128,AZ575),SUMIFS(axTER!$E$133:$E$138,axTER!$C$133:$C$138,AZ575)*AY$510)*$D$514/10^6</f>
        <v>949.29450427726533</v>
      </c>
      <c r="AW575" s="274">
        <f>$H575*IF(BA575&lt;&gt;AG575,SUMIFS(axTER!$E$142:$E$148,axTER!$C$142:$C$148,BA575),SUMIFS(axTER!$E$151:$E$157,axTER!$C$151:$C$157,BA575)*AY$510)/10^6*$D$514</f>
        <v>149.51388442366931</v>
      </c>
      <c r="AX575" s="275" t="s">
        <v>271</v>
      </c>
      <c r="AY575" s="161" t="s">
        <v>263</v>
      </c>
      <c r="AZ575" s="161" t="s">
        <v>255</v>
      </c>
      <c r="BA575" s="284" t="s">
        <v>256</v>
      </c>
      <c r="BB575" s="276">
        <f>$H575*SUMIFS(axTER!$E$65:$E$105,axTER!$D$65:$D$105,AZ575,axTER!$C$65:$C$105,AX575)/SUMIFS(axTER!$E$108:$E$114,axTER!$C$108:$C$114,BA575)/10^9*$D$514</f>
        <v>1.4988860593851558</v>
      </c>
      <c r="IG575" s="269">
        <v>1200</v>
      </c>
      <c r="IH575" s="66" t="s">
        <v>271</v>
      </c>
      <c r="II575" s="66" t="s">
        <v>263</v>
      </c>
      <c r="IJ575" s="66" t="s">
        <v>255</v>
      </c>
      <c r="IK575" s="283" t="s">
        <v>256</v>
      </c>
      <c r="IL575" s="272">
        <f>$H575*SUMIFS(axTER!$E$65:$E$105,axTER!$C$65:$C$105,IH575,axTER!$D$65:$D$105,IJ575)/SUMIFS(axTER!$E$108:$E$114,axTER!$C$108:$C$114,IK575)/10^9*$D$514</f>
        <v>1.4988860593851558</v>
      </c>
      <c r="IO575" s="273">
        <f t="shared" si="1008"/>
        <v>1200</v>
      </c>
      <c r="IP575" s="273">
        <f>$H575*IF(IT575&lt;&gt;IJ575,SUMIFS(axTER!$E$121:$E$128,axTER!$C$121:$C$128,IJ575,axTER!$D$121:$D$128,IT575),SUMIFS(axTER!$E$133:$E$138,axTER!$C$133:$C$138,IT575)*IS$510)*$D$514/10^6</f>
        <v>5339.7815865596167</v>
      </c>
      <c r="IQ575" s="274">
        <f>$H575*IF(IU575&lt;&gt;IK575,SUMIFS(axTER!$E$142:$E$148,axTER!$C$142:$C$148,IU575),SUMIFS(axTER!$E$151:$E$157,axTER!$C$151:$C$157,IU575)*IS$510)/10^6*$D$514</f>
        <v>74.756942211834655</v>
      </c>
      <c r="IR575" s="275" t="s">
        <v>271</v>
      </c>
      <c r="IS575" s="161" t="s">
        <v>263</v>
      </c>
      <c r="IT575" s="277" t="s">
        <v>257</v>
      </c>
      <c r="IU575" s="284" t="s">
        <v>256</v>
      </c>
      <c r="IV575" s="276">
        <f>$H575*SUMIFS(axTER!$E$65:$E$105,axTER!$D$65:$D$105,IT575,axTER!$C$65:$C$105,IR575)/SUMIFS(axTER!$E$108:$E$114,axTER!$C$108:$C$114,IU575)/10^9*$D$514</f>
        <v>0.62453585807714818</v>
      </c>
      <c r="JI575" s="273">
        <f t="shared" si="1009"/>
        <v>1200</v>
      </c>
      <c r="JJ575" s="273">
        <f>$H575*IF(JN575&lt;&gt;IT575,SUMIFS(axTER!$E$121:$E$128,axTER!$C$121:$C$128,IT575,axTER!$D$121:$D$128,JN575),SUMIFS(axTER!$E$133:$E$138,axTER!$C$133:$C$138,JN575)*JM$510)*$D$514/10^6</f>
        <v>0</v>
      </c>
      <c r="JK575" s="274">
        <f>$H575*IF(JO575&lt;&gt;IU575,SUMIFS(axTER!$E$142:$E$148,axTER!$C$142:$C$148,JO575),SUMIFS(axTER!$E$151:$E$157,axTER!$C$151:$C$157,JO575)*JM$510)/10^6*$D$514</f>
        <v>149.51388442366931</v>
      </c>
      <c r="JL575" s="275" t="s">
        <v>271</v>
      </c>
      <c r="JM575" s="161" t="s">
        <v>263</v>
      </c>
      <c r="JN575" s="161" t="s">
        <v>255</v>
      </c>
      <c r="JO575" s="284" t="s">
        <v>256</v>
      </c>
      <c r="JP575" s="276">
        <f>$H575*SUMIFS(axTER!$E$65:$E$105,axTER!$D$65:$D$105,JN575,axTER!$C$65:$C$105,JL575)/SUMIFS(axTER!$E$108:$E$114,axTER!$C$108:$C$114,JO575)/10^9*$D$514</f>
        <v>1.4988860593851558</v>
      </c>
      <c r="JR575" s="269">
        <v>1200</v>
      </c>
      <c r="JS575" s="66" t="s">
        <v>271</v>
      </c>
      <c r="JT575" s="66" t="s">
        <v>263</v>
      </c>
      <c r="JU575" s="66" t="s">
        <v>255</v>
      </c>
      <c r="JV575" s="283" t="s">
        <v>256</v>
      </c>
      <c r="JW575" s="272">
        <f>$H575*SUMIFS(axTER!$E$65:$E$105,axTER!$C$65:$C$105,JS575,axTER!$D$65:$D$105,JU575)/SUMIFS(axTER!$E$108:$E$114,axTER!$C$108:$C$114,JV575)/10^9*$D$514</f>
        <v>1.4988860593851558</v>
      </c>
      <c r="JY575" s="273">
        <f t="shared" si="1010"/>
        <v>0</v>
      </c>
      <c r="JZ575" s="273">
        <f t="shared" si="1005"/>
        <v>0</v>
      </c>
      <c r="KA575" s="273">
        <f>$H575*IF(KE575&lt;&gt;JU575,SUMIFS(axTER!$E$121:$E$128,axTER!$C$121:$C$128,JU575,axTER!$D$121:$D$128,KE575),SUMIFS(axTER!$E$133:$E$138,axTER!$C$133:$C$138,KE575)*KD$510)*$D$514/10^6</f>
        <v>332.25307649704285</v>
      </c>
      <c r="KB575" s="274">
        <f>$H575*IF(KF575&lt;&gt;JV575,SUMIFS(axTER!$E$142:$E$148,axTER!$C$142:$C$148,KF575),SUMIFS(axTER!$E$151:$E$157,axTER!$C$151:$C$157,KF575)*KD$510)/10^6*$D$514</f>
        <v>52.329859548284254</v>
      </c>
      <c r="KC575" s="275" t="s">
        <v>271</v>
      </c>
      <c r="KD575" s="161" t="s">
        <v>263</v>
      </c>
      <c r="KE575" s="161" t="s">
        <v>255</v>
      </c>
      <c r="KF575" s="284" t="s">
        <v>256</v>
      </c>
      <c r="KG575" s="276">
        <f>$H575*SUMIFS(axTER!$E$65:$E$105,axTER!$D$65:$D$105,KE575,axTER!$C$65:$C$105,KC575)/SUMIFS(axTER!$E$108:$E$114,axTER!$C$108:$C$114,KF575)/10^9*$D$514</f>
        <v>1.4988860593851558</v>
      </c>
      <c r="KS575" s="273" t="str">
        <f t="shared" si="1011"/>
        <v>ELEC-PAC</v>
      </c>
      <c r="KT575" s="273">
        <f t="shared" si="1012"/>
        <v>1200</v>
      </c>
      <c r="KU575" s="273">
        <f>$H575*IF(KY575&lt;&gt;KE575,SUMIFS(axTER!$E$121:$E$128,axTER!$C$121:$C$128,KE575,axTER!$D$121:$D$128,KY575),SUMIFS(axTER!$E$133:$E$138,axTER!$C$133:$C$138,KY575)*KX$510)*$D$514/10^6</f>
        <v>2373.2362606931633</v>
      </c>
      <c r="KV575" s="274">
        <f>$H575*IF(KZ575&lt;&gt;KF575,SUMIFS(axTER!$E$142:$E$148,axTER!$C$142:$C$148,KZ575),SUMIFS(axTER!$E$151:$E$157,axTER!$C$151:$C$157,KZ575)*KX$510)/10^6*$D$514</f>
        <v>949.29450427726533</v>
      </c>
      <c r="KW575" s="275" t="s">
        <v>271</v>
      </c>
      <c r="KX575" s="161" t="s">
        <v>263</v>
      </c>
      <c r="KY575" s="161" t="s">
        <v>264</v>
      </c>
      <c r="KZ575" s="284" t="s">
        <v>261</v>
      </c>
      <c r="LA575" s="276">
        <f>$H575*SUMIFS(axTER!$E$65:$E$105,axTER!$D$65:$D$105,KY575,axTER!$C$65:$C$105,KW575)/SUMIFS(axTER!$E$108:$E$114,axTER!$C$108:$C$114,KZ575)/10^9*$D$514</f>
        <v>0.3164315014257551</v>
      </c>
      <c r="LC575" s="269">
        <v>1200</v>
      </c>
      <c r="LD575" s="66" t="s">
        <v>271</v>
      </c>
      <c r="LE575" s="66" t="s">
        <v>263</v>
      </c>
      <c r="LF575" s="66" t="s">
        <v>255</v>
      </c>
      <c r="LG575" s="283" t="s">
        <v>256</v>
      </c>
      <c r="LH575" s="272">
        <f>$H575*SUMIFS(axTER!$E$65:$E$105,axTER!$C$65:$C$105,LD575,axTER!$D$65:$D$105,LF575)/SUMIFS(axTER!$E$108:$E$114,axTER!$C$108:$C$114,LG575)/10^9*$D$514</f>
        <v>1.4988860593851558</v>
      </c>
      <c r="LJ575" s="273">
        <f t="shared" si="1013"/>
        <v>0</v>
      </c>
      <c r="LK575" s="273">
        <f t="shared" si="1017"/>
        <v>0</v>
      </c>
      <c r="LL575" s="273">
        <f>$H575*IF(LP575&lt;&gt;LF575,SUMIFS(axTER!$E$121:$E$128,axTER!$C$121:$C$128,LF575,axTER!$D$121:$D$128,LP575),SUMIFS(axTER!$E$133:$E$138,axTER!$C$133:$C$138,LP575)*LO$510)*$D$514/10^6</f>
        <v>332.25307649704285</v>
      </c>
      <c r="LM575" s="274">
        <f>$H575*IF(LQ575&lt;&gt;LG575,SUMIFS(axTER!$E$142:$E$148,axTER!$C$142:$C$148,LQ575),SUMIFS(axTER!$E$151:$E$157,axTER!$C$151:$C$157,LQ575)*LO$510)/10^6*$D$514</f>
        <v>52.329859548284254</v>
      </c>
      <c r="LN575" s="275" t="s">
        <v>271</v>
      </c>
      <c r="LO575" s="161" t="s">
        <v>263</v>
      </c>
      <c r="LP575" s="161" t="s">
        <v>255</v>
      </c>
      <c r="LQ575" s="161" t="s">
        <v>256</v>
      </c>
      <c r="LR575" s="276">
        <f>$H575*SUMIFS(axTER!$E$65:$E$105,axTER!$D$65:$D$105,LP575,axTER!$C$65:$C$105,LN575)/SUMIFS(axTER!$E$108:$E$114,axTER!$C$108:$C$114,LQ575)/10^9*$D$514</f>
        <v>1.4988860593851558</v>
      </c>
      <c r="LT575" s="273" t="str">
        <f t="shared" si="1014"/>
        <v>ELEC-PAC</v>
      </c>
      <c r="LU575" s="273">
        <f t="shared" si="1015"/>
        <v>1200</v>
      </c>
      <c r="LV575" s="273">
        <f>$H575*IF(LZ575&lt;&gt;LP575,SUMIFS(axTER!$E$121:$E$128,axTER!$C$121:$C$128,LP575,axTER!$D$121:$D$128,LZ575),SUMIFS(axTER!$E$133:$E$138,axTER!$C$133:$C$138,LZ575)*LY$510)*$D$514/10^6</f>
        <v>5339.7815865596167</v>
      </c>
      <c r="LW575" s="274">
        <f>$H575*IF(MA575&lt;&gt;LQ575,SUMIFS(axTER!$E$142:$E$148,axTER!$C$142:$C$148,MA575),SUMIFS(axTER!$E$151:$E$157,axTER!$C$151:$C$157,MA575)*LY$510)/10^6*$D$514</f>
        <v>949.29450427726533</v>
      </c>
      <c r="LX575" s="275" t="s">
        <v>271</v>
      </c>
      <c r="LY575" s="161" t="s">
        <v>263</v>
      </c>
      <c r="LZ575" s="429" t="s">
        <v>257</v>
      </c>
      <c r="MA575" s="429" t="s">
        <v>261</v>
      </c>
      <c r="MB575" s="276">
        <f>$H575*SUMIFS(axTER!$E$65:$E$105,axTER!$D$65:$D$105,LZ575,axTER!$C$65:$C$105,LX575)/SUMIFS(axTER!$E$108:$E$114,axTER!$C$108:$C$114,MA575)/10^9*$D$514</f>
        <v>0.19776968839109696</v>
      </c>
      <c r="MD575" s="273">
        <f t="shared" si="1018"/>
        <v>0</v>
      </c>
      <c r="ME575" s="273">
        <f t="shared" si="1016"/>
        <v>0</v>
      </c>
      <c r="MF575" s="273">
        <f>$H575*IF(MJ575&lt;&gt;LZ575,SUMIFS(axTER!$E$121:$E$128,axTER!$C$121:$C$128,LZ575,axTER!$D$121:$D$128,MJ575),SUMIFS(axTER!$E$133:$E$138,axTER!$C$133:$C$138,MJ575)*MI$510)*$D$514/10^6</f>
        <v>177.99271955198722</v>
      </c>
      <c r="MG575" s="274">
        <f>$H575*IF(MK575&lt;&gt;MA575,SUMIFS(axTER!$E$142:$E$148,axTER!$C$142:$C$148,MK575),SUMIFS(axTER!$E$151:$E$157,axTER!$C$151:$C$157,MK575)*MI$510)/10^6*$D$514</f>
        <v>332.25307649704291</v>
      </c>
      <c r="MH575" s="275" t="s">
        <v>271</v>
      </c>
      <c r="MI575" s="161" t="s">
        <v>263</v>
      </c>
      <c r="MJ575" s="429" t="s">
        <v>257</v>
      </c>
      <c r="MK575" s="429" t="s">
        <v>261</v>
      </c>
      <c r="ML575" s="276">
        <f>$H575*SUMIFS(axTER!$E$65:$E$105,axTER!$D$65:$D$105,MJ575,axTER!$C$65:$C$105,MH575)/SUMIFS(axTER!$E$108:$E$114,axTER!$C$108:$C$114,MK575)/10^9*$D$514</f>
        <v>0.19776968839109696</v>
      </c>
    </row>
    <row r="576" spans="3:350" outlineLevel="1" x14ac:dyDescent="0.3">
      <c r="C576" s="265"/>
      <c r="D576" s="289"/>
      <c r="F576" s="266"/>
      <c r="H576" s="269">
        <v>1200</v>
      </c>
      <c r="I576" s="66" t="s">
        <v>271</v>
      </c>
      <c r="J576" s="66" t="s">
        <v>263</v>
      </c>
      <c r="K576" s="66" t="s">
        <v>255</v>
      </c>
      <c r="L576" s="283" t="s">
        <v>256</v>
      </c>
      <c r="M576" s="272">
        <f>$H576*SUMIFS(axTER!$E$65:$E$105,axTER!$C$65:$C$105,I576,axTER!$D$65:$D$105,K576)/SUMIFS(axTER!$E$108:$E$114,axTER!$C$108:$C$114,L576)/10^9*$D$514</f>
        <v>1.4988860593851558</v>
      </c>
      <c r="S576" s="269">
        <v>1200</v>
      </c>
      <c r="T576" s="66" t="s">
        <v>271</v>
      </c>
      <c r="U576" s="66" t="s">
        <v>263</v>
      </c>
      <c r="V576" s="66" t="s">
        <v>255</v>
      </c>
      <c r="W576" s="283" t="s">
        <v>256</v>
      </c>
      <c r="X576" s="272">
        <f>$H576*SUMIFS(axTER!$E$65:$E$105,axTER!$C$65:$C$105,T576,axTER!$D$65:$D$105,V576)/SUMIFS(axTER!$E$108:$E$114,axTER!$C$108:$C$114,W576)/10^9*$D$514</f>
        <v>1.4988860593851558</v>
      </c>
      <c r="AB576" s="273">
        <f>$H576*IF(AF576&lt;&gt;K576,SUMIFS(axTER!$E$121:$E$128,axTER!$C$121:$C$128,K576,axTER!$D$121:$D$128,AF576),SUMIFS(axTER!$E$133:$E$138,axTER!$C$133:$C$138,AF576)*AE$510)*$D$514/10^6</f>
        <v>474.64725213863267</v>
      </c>
      <c r="AC576" s="274">
        <f>$H576*IF(AG576&lt;&gt;L576,SUMIFS(axTER!$E$142:$E$148,axTER!$C$142:$C$148,AG576),SUMIFS(axTER!$E$151:$E$157,axTER!$C$151:$C$157,AG576)*AE$510)/10^6*$D$514</f>
        <v>74.756942211834655</v>
      </c>
      <c r="AD576" s="275" t="s">
        <v>271</v>
      </c>
      <c r="AE576" s="161" t="s">
        <v>263</v>
      </c>
      <c r="AF576" s="161" t="s">
        <v>255</v>
      </c>
      <c r="AG576" s="284" t="s">
        <v>256</v>
      </c>
      <c r="AH576" s="276">
        <f>$H576*SUMIFS(axTER!$E$65:$E$105,axTER!$D$65:$D$105,AF576,axTER!$C$65:$C$105,AD576)/SUMIFS(axTER!$E$108:$E$114,axTER!$C$108:$C$114,AG576)/10^9*$D$514</f>
        <v>1.4988860593851558</v>
      </c>
      <c r="AV576" s="273">
        <f>$H576*IF(AZ576&lt;&gt;AF576,SUMIFS(axTER!$E$121:$E$128,axTER!$C$121:$C$128,AF576,axTER!$D$121:$D$128,AZ576),SUMIFS(axTER!$E$133:$E$138,axTER!$C$133:$C$138,AZ576)*AY$510)*$D$514/10^6</f>
        <v>949.29450427726533</v>
      </c>
      <c r="AW576" s="274">
        <f>$H576*IF(BA576&lt;&gt;AG576,SUMIFS(axTER!$E$142:$E$148,axTER!$C$142:$C$148,BA576),SUMIFS(axTER!$E$151:$E$157,axTER!$C$151:$C$157,BA576)*AY$510)/10^6*$D$514</f>
        <v>149.51388442366931</v>
      </c>
      <c r="AX576" s="275" t="s">
        <v>271</v>
      </c>
      <c r="AY576" s="161" t="s">
        <v>263</v>
      </c>
      <c r="AZ576" s="161" t="s">
        <v>255</v>
      </c>
      <c r="BA576" s="284" t="s">
        <v>256</v>
      </c>
      <c r="BB576" s="276">
        <f>$H576*SUMIFS(axTER!$E$65:$E$105,axTER!$D$65:$D$105,AZ576,axTER!$C$65:$C$105,AX576)/SUMIFS(axTER!$E$108:$E$114,axTER!$C$108:$C$114,BA576)/10^9*$D$514</f>
        <v>1.4988860593851558</v>
      </c>
      <c r="IG576" s="269">
        <v>1200</v>
      </c>
      <c r="IH576" s="66" t="s">
        <v>271</v>
      </c>
      <c r="II576" s="66" t="s">
        <v>263</v>
      </c>
      <c r="IJ576" s="66" t="s">
        <v>255</v>
      </c>
      <c r="IK576" s="283" t="s">
        <v>256</v>
      </c>
      <c r="IL576" s="272">
        <f>$H576*SUMIFS(axTER!$E$65:$E$105,axTER!$C$65:$C$105,IH576,axTER!$D$65:$D$105,IJ576)/SUMIFS(axTER!$E$108:$E$114,axTER!$C$108:$C$114,IK576)/10^9*$D$514</f>
        <v>1.4988860593851558</v>
      </c>
      <c r="IO576" s="273">
        <f t="shared" si="1008"/>
        <v>0</v>
      </c>
      <c r="IP576" s="273">
        <f>$H576*IF(IT576&lt;&gt;IJ576,SUMIFS(axTER!$E$121:$E$128,axTER!$C$121:$C$128,IJ576,axTER!$D$121:$D$128,IT576),SUMIFS(axTER!$E$133:$E$138,axTER!$C$133:$C$138,IT576)*IS$510)*$D$514/10^6</f>
        <v>474.64725213863267</v>
      </c>
      <c r="IQ576" s="274">
        <f>$H576*IF(IU576&lt;&gt;IK576,SUMIFS(axTER!$E$142:$E$148,axTER!$C$142:$C$148,IU576),SUMIFS(axTER!$E$151:$E$157,axTER!$C$151:$C$157,IU576)*IS$510)/10^6*$D$514</f>
        <v>74.756942211834655</v>
      </c>
      <c r="IR576" s="275" t="s">
        <v>271</v>
      </c>
      <c r="IS576" s="161" t="s">
        <v>263</v>
      </c>
      <c r="IT576" s="161" t="s">
        <v>255</v>
      </c>
      <c r="IU576" s="284" t="s">
        <v>256</v>
      </c>
      <c r="IV576" s="276">
        <f>$H576*SUMIFS(axTER!$E$65:$E$105,axTER!$D$65:$D$105,IT576,axTER!$C$65:$C$105,IR576)/SUMIFS(axTER!$E$108:$E$114,axTER!$C$108:$C$114,IU576)/10^9*$D$514</f>
        <v>1.4988860593851558</v>
      </c>
      <c r="JI576" s="273">
        <f t="shared" si="1009"/>
        <v>0</v>
      </c>
      <c r="JJ576" s="273">
        <f>$H576*IF(JN576&lt;&gt;IT576,SUMIFS(axTER!$E$121:$E$128,axTER!$C$121:$C$128,IT576,axTER!$D$121:$D$128,JN576),SUMIFS(axTER!$E$133:$E$138,axTER!$C$133:$C$138,JN576)*JM$510)*$D$514/10^6</f>
        <v>949.29450427726533</v>
      </c>
      <c r="JK576" s="274">
        <f>$H576*IF(JO576&lt;&gt;IU576,SUMIFS(axTER!$E$142:$E$148,axTER!$C$142:$C$148,JO576),SUMIFS(axTER!$E$151:$E$157,axTER!$C$151:$C$157,JO576)*JM$510)/10^6*$D$514</f>
        <v>149.51388442366931</v>
      </c>
      <c r="JL576" s="275" t="s">
        <v>271</v>
      </c>
      <c r="JM576" s="161" t="s">
        <v>263</v>
      </c>
      <c r="JN576" s="161" t="s">
        <v>255</v>
      </c>
      <c r="JO576" s="284" t="s">
        <v>256</v>
      </c>
      <c r="JP576" s="276">
        <f>$H576*SUMIFS(axTER!$E$65:$E$105,axTER!$D$65:$D$105,JN576,axTER!$C$65:$C$105,JL576)/SUMIFS(axTER!$E$108:$E$114,axTER!$C$108:$C$114,JO576)/10^9*$D$514</f>
        <v>1.4988860593851558</v>
      </c>
      <c r="JR576" s="269">
        <v>1200</v>
      </c>
      <c r="JS576" s="66" t="s">
        <v>271</v>
      </c>
      <c r="JT576" s="66" t="s">
        <v>263</v>
      </c>
      <c r="JU576" s="66" t="s">
        <v>255</v>
      </c>
      <c r="JV576" s="283" t="s">
        <v>256</v>
      </c>
      <c r="JW576" s="272">
        <f>$H576*SUMIFS(axTER!$E$65:$E$105,axTER!$C$65:$C$105,JS576,axTER!$D$65:$D$105,JU576)/SUMIFS(axTER!$E$108:$E$114,axTER!$C$108:$C$114,JV576)/10^9*$D$514</f>
        <v>1.4988860593851558</v>
      </c>
      <c r="JY576" s="273">
        <f t="shared" si="1010"/>
        <v>0</v>
      </c>
      <c r="JZ576" s="273">
        <f t="shared" si="1005"/>
        <v>0</v>
      </c>
      <c r="KA576" s="273">
        <f>$H576*IF(KE576&lt;&gt;JU576,SUMIFS(axTER!$E$121:$E$128,axTER!$C$121:$C$128,JU576,axTER!$D$121:$D$128,KE576),SUMIFS(axTER!$E$133:$E$138,axTER!$C$133:$C$138,KE576)*KD$510)*$D$514/10^6</f>
        <v>332.25307649704285</v>
      </c>
      <c r="KB576" s="274">
        <f>$H576*IF(KF576&lt;&gt;JV576,SUMIFS(axTER!$E$142:$E$148,axTER!$C$142:$C$148,KF576),SUMIFS(axTER!$E$151:$E$157,axTER!$C$151:$C$157,KF576)*KD$510)/10^6*$D$514</f>
        <v>52.329859548284254</v>
      </c>
      <c r="KC576" s="275" t="s">
        <v>271</v>
      </c>
      <c r="KD576" s="161" t="s">
        <v>263</v>
      </c>
      <c r="KE576" s="161" t="s">
        <v>255</v>
      </c>
      <c r="KF576" s="284" t="s">
        <v>256</v>
      </c>
      <c r="KG576" s="276">
        <f>$H576*SUMIFS(axTER!$E$65:$E$105,axTER!$D$65:$D$105,KE576,axTER!$C$65:$C$105,KC576)/SUMIFS(axTER!$E$108:$E$114,axTER!$C$108:$C$114,KF576)/10^9*$D$514</f>
        <v>1.4988860593851558</v>
      </c>
      <c r="KS576" s="273" t="str">
        <f t="shared" si="1011"/>
        <v>ELEC-PAC</v>
      </c>
      <c r="KT576" s="273">
        <f t="shared" si="1012"/>
        <v>1200</v>
      </c>
      <c r="KU576" s="273">
        <f>$H576*IF(KY576&lt;&gt;KE576,SUMIFS(axTER!$E$121:$E$128,axTER!$C$121:$C$128,KE576,axTER!$D$121:$D$128,KY576),SUMIFS(axTER!$E$133:$E$138,axTER!$C$133:$C$138,KY576)*KX$510)*$D$514/10^6</f>
        <v>2373.2362606931633</v>
      </c>
      <c r="KV576" s="274">
        <f>$H576*IF(KZ576&lt;&gt;KF576,SUMIFS(axTER!$E$142:$E$148,axTER!$C$142:$C$148,KZ576),SUMIFS(axTER!$E$151:$E$157,axTER!$C$151:$C$157,KZ576)*KX$510)/10^6*$D$514</f>
        <v>949.29450427726533</v>
      </c>
      <c r="KW576" s="275" t="s">
        <v>271</v>
      </c>
      <c r="KX576" s="161" t="s">
        <v>263</v>
      </c>
      <c r="KY576" s="161" t="s">
        <v>264</v>
      </c>
      <c r="KZ576" s="284" t="s">
        <v>261</v>
      </c>
      <c r="LA576" s="276">
        <f>$H576*SUMIFS(axTER!$E$65:$E$105,axTER!$D$65:$D$105,KY576,axTER!$C$65:$C$105,KW576)/SUMIFS(axTER!$E$108:$E$114,axTER!$C$108:$C$114,KZ576)/10^9*$D$514</f>
        <v>0.3164315014257551</v>
      </c>
      <c r="LC576" s="269">
        <v>1200</v>
      </c>
      <c r="LD576" s="66" t="s">
        <v>271</v>
      </c>
      <c r="LE576" s="66" t="s">
        <v>263</v>
      </c>
      <c r="LF576" s="66" t="s">
        <v>255</v>
      </c>
      <c r="LG576" s="283" t="s">
        <v>256</v>
      </c>
      <c r="LH576" s="272">
        <f>$H576*SUMIFS(axTER!$E$65:$E$105,axTER!$C$65:$C$105,LD576,axTER!$D$65:$D$105,LF576)/SUMIFS(axTER!$E$108:$E$114,axTER!$C$108:$C$114,LG576)/10^9*$D$514</f>
        <v>1.4988860593851558</v>
      </c>
      <c r="LJ576" s="273">
        <f t="shared" si="1013"/>
        <v>0</v>
      </c>
      <c r="LK576" s="273">
        <f t="shared" si="1017"/>
        <v>0</v>
      </c>
      <c r="LL576" s="273">
        <f>$H576*IF(LP576&lt;&gt;LF576,SUMIFS(axTER!$E$121:$E$128,axTER!$C$121:$C$128,LF576,axTER!$D$121:$D$128,LP576),SUMIFS(axTER!$E$133:$E$138,axTER!$C$133:$C$138,LP576)*LO$510)*$D$514/10^6</f>
        <v>332.25307649704285</v>
      </c>
      <c r="LM576" s="274">
        <f>$H576*IF(LQ576&lt;&gt;LG576,SUMIFS(axTER!$E$142:$E$148,axTER!$C$142:$C$148,LQ576),SUMIFS(axTER!$E$151:$E$157,axTER!$C$151:$C$157,LQ576)*LO$510)/10^6*$D$514</f>
        <v>52.329859548284254</v>
      </c>
      <c r="LN576" s="275" t="s">
        <v>271</v>
      </c>
      <c r="LO576" s="161" t="s">
        <v>263</v>
      </c>
      <c r="LP576" s="161" t="s">
        <v>255</v>
      </c>
      <c r="LQ576" s="161" t="s">
        <v>256</v>
      </c>
      <c r="LR576" s="276">
        <f>$H576*SUMIFS(axTER!$E$65:$E$105,axTER!$D$65:$D$105,LP576,axTER!$C$65:$C$105,LN576)/SUMIFS(axTER!$E$108:$E$114,axTER!$C$108:$C$114,LQ576)/10^9*$D$514</f>
        <v>1.4988860593851558</v>
      </c>
      <c r="LT576" s="273">
        <f t="shared" si="1014"/>
        <v>0</v>
      </c>
      <c r="LU576" s="273">
        <f t="shared" si="1015"/>
        <v>0</v>
      </c>
      <c r="LV576" s="273">
        <f>$H576*IF(LZ576&lt;&gt;LP576,SUMIFS(axTER!$E$121:$E$128,axTER!$C$121:$C$128,LP576,axTER!$D$121:$D$128,LZ576),SUMIFS(axTER!$E$133:$E$138,axTER!$C$133:$C$138,LZ576)*LY$510)*$D$514/10^6</f>
        <v>474.64725213863267</v>
      </c>
      <c r="LW576" s="274">
        <f>$H576*IF(MA576&lt;&gt;LQ576,SUMIFS(axTER!$E$142:$E$148,axTER!$C$142:$C$148,MA576),SUMIFS(axTER!$E$151:$E$157,axTER!$C$151:$C$157,MA576)*LY$510)/10^6*$D$514</f>
        <v>74.756942211834655</v>
      </c>
      <c r="LX576" s="275" t="s">
        <v>271</v>
      </c>
      <c r="LY576" s="161" t="s">
        <v>263</v>
      </c>
      <c r="LZ576" s="161" t="s">
        <v>255</v>
      </c>
      <c r="MA576" s="161" t="s">
        <v>256</v>
      </c>
      <c r="MB576" s="276">
        <f>$H576*SUMIFS(axTER!$E$65:$E$105,axTER!$D$65:$D$105,LZ576,axTER!$C$65:$C$105,LX576)/SUMIFS(axTER!$E$108:$E$114,axTER!$C$108:$C$114,MA576)/10^9*$D$514</f>
        <v>1.4988860593851558</v>
      </c>
      <c r="MD576" s="273" t="str">
        <f t="shared" si="1018"/>
        <v>ELEC-PAC</v>
      </c>
      <c r="ME576" s="273">
        <f t="shared" si="1016"/>
        <v>1200</v>
      </c>
      <c r="MF576" s="273">
        <f>$H576*IF(MJ576&lt;&gt;LZ576,SUMIFS(axTER!$E$121:$E$128,axTER!$C$121:$C$128,LZ576,axTER!$D$121:$D$128,MJ576),SUMIFS(axTER!$E$133:$E$138,axTER!$C$133:$C$138,MJ576)*MI$510)*$D$514/10^6</f>
        <v>5339.7815865596167</v>
      </c>
      <c r="MG576" s="274">
        <f>$H576*IF(MK576&lt;&gt;MA576,SUMIFS(axTER!$E$142:$E$148,axTER!$C$142:$C$148,MK576),SUMIFS(axTER!$E$151:$E$157,axTER!$C$151:$C$157,MK576)*MI$510)/10^6*$D$514</f>
        <v>949.29450427726533</v>
      </c>
      <c r="MH576" s="275" t="s">
        <v>271</v>
      </c>
      <c r="MI576" s="161" t="s">
        <v>263</v>
      </c>
      <c r="MJ576" s="429" t="s">
        <v>257</v>
      </c>
      <c r="MK576" s="161" t="s">
        <v>261</v>
      </c>
      <c r="ML576" s="276">
        <f>$H576*SUMIFS(axTER!$E$65:$E$105,axTER!$D$65:$D$105,MJ576,axTER!$C$65:$C$105,MH576)/SUMIFS(axTER!$E$108:$E$114,axTER!$C$108:$C$114,MK576)/10^9*$D$514</f>
        <v>0.19776968839109696</v>
      </c>
    </row>
    <row r="577" spans="3:350" outlineLevel="1" x14ac:dyDescent="0.3">
      <c r="C577" s="265"/>
      <c r="D577" s="289"/>
      <c r="F577" s="266"/>
      <c r="H577" s="269">
        <v>750</v>
      </c>
      <c r="I577" s="66" t="s">
        <v>271</v>
      </c>
      <c r="J577" s="66" t="s">
        <v>263</v>
      </c>
      <c r="K577" s="66" t="s">
        <v>255</v>
      </c>
      <c r="L577" s="283" t="s">
        <v>267</v>
      </c>
      <c r="M577" s="272">
        <f>$H577*SUMIFS(axTER!$E$65:$E$105,axTER!$C$65:$C$105,I577,axTER!$D$65:$D$105,K577)/SUMIFS(axTER!$E$108:$E$114,axTER!$C$108:$C$114,L577)/10^9*$D$514</f>
        <v>0.98884844195548471</v>
      </c>
      <c r="S577" s="269">
        <v>750</v>
      </c>
      <c r="T577" s="66" t="s">
        <v>271</v>
      </c>
      <c r="U577" s="66" t="s">
        <v>263</v>
      </c>
      <c r="V577" s="66" t="s">
        <v>255</v>
      </c>
      <c r="W577" s="283" t="s">
        <v>267</v>
      </c>
      <c r="X577" s="272">
        <f>$H577*SUMIFS(axTER!$E$65:$E$105,axTER!$C$65:$C$105,T577,axTER!$D$65:$D$105,V577)/SUMIFS(axTER!$E$108:$E$114,axTER!$C$108:$C$114,W577)/10^9*$D$514</f>
        <v>0.98884844195548471</v>
      </c>
      <c r="AB577" s="273">
        <f>$H577*IF(AF577&lt;&gt;K577,SUMIFS(axTER!$E$121:$E$128,axTER!$C$121:$C$128,K577,axTER!$D$121:$D$128,AF577),SUMIFS(axTER!$E$133:$E$138,axTER!$C$133:$C$138,AF577)*AE$510)*$D$514/10^6</f>
        <v>296.65453258664542</v>
      </c>
      <c r="AC577" s="274">
        <f>$H577*IF(AG577&lt;&gt;L577,SUMIFS(axTER!$E$142:$E$148,axTER!$C$142:$C$148,AG577),SUMIFS(axTER!$E$151:$E$157,axTER!$C$151:$C$157,AG577)*AE$510)/10^6*$D$514</f>
        <v>62.297451843195532</v>
      </c>
      <c r="AD577" s="275" t="s">
        <v>271</v>
      </c>
      <c r="AE577" s="161" t="s">
        <v>263</v>
      </c>
      <c r="AF577" s="161" t="s">
        <v>255</v>
      </c>
      <c r="AG577" s="284" t="s">
        <v>267</v>
      </c>
      <c r="AH577" s="276">
        <f>$H577*SUMIFS(axTER!$E$65:$E$105,axTER!$D$65:$D$105,AF577,axTER!$C$65:$C$105,AD577)/SUMIFS(axTER!$E$108:$E$114,axTER!$C$108:$C$114,AG577)/10^9*$D$514</f>
        <v>0.98884844195548471</v>
      </c>
      <c r="AV577" s="273">
        <f>$H577*IF(AZ577&lt;&gt;AF577,SUMIFS(axTER!$E$121:$E$128,axTER!$C$121:$C$128,AF577,axTER!$D$121:$D$128,AZ577),SUMIFS(axTER!$E$133:$E$138,axTER!$C$133:$C$138,AZ577)*AY$510)*$D$514/10^6</f>
        <v>593.30906517329083</v>
      </c>
      <c r="AW577" s="274">
        <f>$H577*IF(BA577&lt;&gt;AG577,SUMIFS(axTER!$E$142:$E$148,axTER!$C$142:$C$148,BA577),SUMIFS(axTER!$E$151:$E$157,axTER!$C$151:$C$157,BA577)*AY$510)/10^6*$D$514</f>
        <v>593.30906517329083</v>
      </c>
      <c r="AX577" s="275" t="s">
        <v>271</v>
      </c>
      <c r="AY577" s="161" t="s">
        <v>263</v>
      </c>
      <c r="AZ577" s="161" t="s">
        <v>255</v>
      </c>
      <c r="BA577" s="284" t="s">
        <v>261</v>
      </c>
      <c r="BB577" s="276">
        <f>$H577*SUMIFS(axTER!$E$65:$E$105,axTER!$D$65:$D$105,AZ577,axTER!$C$65:$C$105,AX577)/SUMIFS(axTER!$E$108:$E$114,axTER!$C$108:$C$114,BA577)/10^9*$D$514</f>
        <v>0.29665453258664543</v>
      </c>
      <c r="IG577" s="269">
        <v>750</v>
      </c>
      <c r="IH577" s="66" t="s">
        <v>271</v>
      </c>
      <c r="II577" s="66" t="s">
        <v>263</v>
      </c>
      <c r="IJ577" s="66" t="s">
        <v>255</v>
      </c>
      <c r="IK577" s="283" t="s">
        <v>267</v>
      </c>
      <c r="IL577" s="272">
        <f>$H577*SUMIFS(axTER!$E$65:$E$105,axTER!$C$65:$C$105,IH577,axTER!$D$65:$D$105,IJ577)/SUMIFS(axTER!$E$108:$E$114,axTER!$C$108:$C$114,IK577)/10^9*$D$514</f>
        <v>0.98884844195548471</v>
      </c>
      <c r="IO577" s="273">
        <f t="shared" si="1008"/>
        <v>750</v>
      </c>
      <c r="IP577" s="273">
        <f>$H577*IF(IT577&lt;&gt;IJ577,SUMIFS(axTER!$E$121:$E$128,axTER!$C$121:$C$128,IJ577,axTER!$D$121:$D$128,IT577),SUMIFS(axTER!$E$133:$E$138,axTER!$C$133:$C$138,IT577)*IS$510)*$D$514/10^6</f>
        <v>741.63633146661357</v>
      </c>
      <c r="IQ577" s="274">
        <f>$H577*IF(IU577&lt;&gt;IK577,SUMIFS(axTER!$E$142:$E$148,axTER!$C$142:$C$148,IU577),SUMIFS(axTER!$E$151:$E$157,axTER!$C$151:$C$157,IU577)*IS$510)/10^6*$D$514</f>
        <v>593.30906517329083</v>
      </c>
      <c r="IR577" s="275" t="s">
        <v>271</v>
      </c>
      <c r="IS577" s="161" t="s">
        <v>263</v>
      </c>
      <c r="IT577" s="277" t="s">
        <v>262</v>
      </c>
      <c r="IU577" s="277" t="s">
        <v>261</v>
      </c>
      <c r="IV577" s="276">
        <f>$H577*SUMIFS(axTER!$E$65:$E$105,axTER!$D$65:$D$105,IT577,axTER!$C$65:$C$105,IR577)/SUMIFS(axTER!$E$108:$E$114,axTER!$C$108:$C$114,IU577)/10^9*$D$514</f>
        <v>0.24721211048887118</v>
      </c>
      <c r="JI577" s="273">
        <f t="shared" si="1009"/>
        <v>750</v>
      </c>
      <c r="JJ577" s="273">
        <f>$H577*IF(JN577&lt;&gt;IT577,SUMIFS(axTER!$E$121:$E$128,axTER!$C$121:$C$128,IT577,axTER!$D$121:$D$128,JN577),SUMIFS(axTER!$E$133:$E$138,axTER!$C$133:$C$138,JN577)*JM$510)*$D$514/10^6</f>
        <v>0</v>
      </c>
      <c r="JK577" s="274">
        <f>$H577*IF(JO577&lt;&gt;IU577,SUMIFS(axTER!$E$142:$E$148,axTER!$C$142:$C$148,JO577),SUMIFS(axTER!$E$151:$E$157,axTER!$C$151:$C$157,JO577)*JM$510)/10^6*$D$514</f>
        <v>177.99271955198722</v>
      </c>
      <c r="JL577" s="275" t="s">
        <v>271</v>
      </c>
      <c r="JM577" s="161" t="s">
        <v>263</v>
      </c>
      <c r="JN577" s="161" t="s">
        <v>255</v>
      </c>
      <c r="JO577" s="284" t="s">
        <v>267</v>
      </c>
      <c r="JP577" s="276">
        <f>$H577*SUMIFS(axTER!$E$65:$E$105,axTER!$D$65:$D$105,JN577,axTER!$C$65:$C$105,JL577)/SUMIFS(axTER!$E$108:$E$114,axTER!$C$108:$C$114,JO577)/10^9*$D$514</f>
        <v>0.98884844195548471</v>
      </c>
      <c r="JR577" s="269">
        <v>750</v>
      </c>
      <c r="JS577" s="66" t="s">
        <v>271</v>
      </c>
      <c r="JT577" s="66" t="s">
        <v>263</v>
      </c>
      <c r="JU577" s="66" t="s">
        <v>255</v>
      </c>
      <c r="JV577" s="283" t="s">
        <v>267</v>
      </c>
      <c r="JW577" s="272">
        <f>$H577*SUMIFS(axTER!$E$65:$E$105,axTER!$C$65:$C$105,JS577,axTER!$D$65:$D$105,JU577)/SUMIFS(axTER!$E$108:$E$114,axTER!$C$108:$C$114,JV577)/10^9*$D$514</f>
        <v>0.98884844195548471</v>
      </c>
      <c r="JY577" s="273" t="str">
        <f t="shared" si="1010"/>
        <v>ELEC-PAC</v>
      </c>
      <c r="JZ577" s="273">
        <f t="shared" si="1005"/>
        <v>750</v>
      </c>
      <c r="KA577" s="273">
        <f>$H577*IF(KE577&lt;&gt;JU577,SUMIFS(axTER!$E$121:$E$128,axTER!$C$121:$C$128,JU577,axTER!$D$121:$D$128,KE577),SUMIFS(axTER!$E$133:$E$138,axTER!$C$133:$C$138,KE577)*KD$510)*$D$514/10^6</f>
        <v>741.63633146661357</v>
      </c>
      <c r="KB577" s="274">
        <f>$H577*IF(KF577&lt;&gt;JV577,SUMIFS(axTER!$E$142:$E$148,axTER!$C$142:$C$148,KF577),SUMIFS(axTER!$E$151:$E$157,axTER!$C$151:$C$157,KF577)*KD$510)/10^6*$D$514</f>
        <v>593.30906517329083</v>
      </c>
      <c r="KC577" s="275" t="s">
        <v>271</v>
      </c>
      <c r="KD577" s="161" t="s">
        <v>263</v>
      </c>
      <c r="KE577" s="161" t="s">
        <v>262</v>
      </c>
      <c r="KF577" s="284" t="s">
        <v>261</v>
      </c>
      <c r="KG577" s="276">
        <f>$H577*SUMIFS(axTER!$E$65:$E$105,axTER!$D$65:$D$105,KE577,axTER!$C$65:$C$105,KC577)/SUMIFS(axTER!$E$108:$E$114,axTER!$C$108:$C$114,KF577)/10^9*$D$514</f>
        <v>0.24721211048887118</v>
      </c>
      <c r="KS577" s="273">
        <f t="shared" si="1011"/>
        <v>0</v>
      </c>
      <c r="KT577" s="273">
        <f t="shared" si="1012"/>
        <v>0</v>
      </c>
      <c r="KU577" s="273">
        <f>$H577*IF(KY577&lt;&gt;KE577,SUMIFS(axTER!$E$121:$E$128,axTER!$C$121:$C$128,KE577,axTER!$D$121:$D$128,KY577),SUMIFS(axTER!$E$133:$E$138,axTER!$C$133:$C$138,KY577)*KX$510)*$D$514/10^6</f>
        <v>222.49089943998405</v>
      </c>
      <c r="KV577" s="274">
        <f>$H577*IF(KZ577&lt;&gt;KF577,SUMIFS(axTER!$E$142:$E$148,axTER!$C$142:$C$148,KZ577),SUMIFS(axTER!$E$151:$E$157,axTER!$C$151:$C$157,KZ577)*KX$510)/10^6*$D$514</f>
        <v>415.31634562130364</v>
      </c>
      <c r="KW577" s="275" t="s">
        <v>271</v>
      </c>
      <c r="KX577" s="161" t="s">
        <v>263</v>
      </c>
      <c r="KY577" s="161" t="s">
        <v>262</v>
      </c>
      <c r="KZ577" s="284" t="s">
        <v>261</v>
      </c>
      <c r="LA577" s="276">
        <f>$H577*SUMIFS(axTER!$E$65:$E$105,axTER!$D$65:$D$105,KY577,axTER!$C$65:$C$105,KW577)/SUMIFS(axTER!$E$108:$E$114,axTER!$C$108:$C$114,KZ577)/10^9*$D$514</f>
        <v>0.24721211048887118</v>
      </c>
      <c r="LC577" s="269">
        <v>750</v>
      </c>
      <c r="LD577" s="66" t="s">
        <v>271</v>
      </c>
      <c r="LE577" s="66" t="s">
        <v>263</v>
      </c>
      <c r="LF577" s="66" t="s">
        <v>255</v>
      </c>
      <c r="LG577" s="283" t="s">
        <v>267</v>
      </c>
      <c r="LH577" s="272">
        <f>$H577*SUMIFS(axTER!$E$65:$E$105,axTER!$C$65:$C$105,LD577,axTER!$D$65:$D$105,LF577)/SUMIFS(axTER!$E$108:$E$114,axTER!$C$108:$C$114,LG577)/10^9*$D$514</f>
        <v>0.98884844195548471</v>
      </c>
      <c r="LJ577" s="273" t="str">
        <f t="shared" si="1013"/>
        <v>ELEC-PAC</v>
      </c>
      <c r="LK577" s="273">
        <f t="shared" si="1017"/>
        <v>0</v>
      </c>
      <c r="LL577" s="273">
        <f>$H577*IF(LP577&lt;&gt;LF577,SUMIFS(axTER!$E$121:$E$128,axTER!$C$121:$C$128,LF577,axTER!$D$121:$D$128,LP577),SUMIFS(axTER!$E$133:$E$138,axTER!$C$133:$C$138,LP577)*LO$510)*$D$514/10^6</f>
        <v>207.65817281065179</v>
      </c>
      <c r="LM577" s="274">
        <f>$H577*IF(LQ577&lt;&gt;LG577,SUMIFS(axTER!$E$142:$E$148,axTER!$C$142:$C$148,LQ577),SUMIFS(axTER!$E$151:$E$157,axTER!$C$151:$C$157,LQ577)*LO$510)/10^6*$D$514</f>
        <v>593.30906517329083</v>
      </c>
      <c r="LN577" s="275" t="s">
        <v>271</v>
      </c>
      <c r="LO577" s="161" t="s">
        <v>263</v>
      </c>
      <c r="LP577" s="161" t="s">
        <v>255</v>
      </c>
      <c r="LQ577" s="161" t="s">
        <v>261</v>
      </c>
      <c r="LR577" s="276">
        <f>$H577*SUMIFS(axTER!$E$65:$E$105,axTER!$D$65:$D$105,LP577,axTER!$C$65:$C$105,LN577)/SUMIFS(axTER!$E$108:$E$114,axTER!$C$108:$C$114,LQ577)/10^9*$D$514</f>
        <v>0.29665453258664543</v>
      </c>
      <c r="LT577" s="273">
        <f t="shared" si="1014"/>
        <v>0</v>
      </c>
      <c r="LU577" s="273">
        <f t="shared" si="1015"/>
        <v>0</v>
      </c>
      <c r="LV577" s="273">
        <f>$H577*IF(LZ577&lt;&gt;LP577,SUMIFS(axTER!$E$121:$E$128,axTER!$C$121:$C$128,LP577,axTER!$D$121:$D$128,LZ577),SUMIFS(axTER!$E$133:$E$138,axTER!$C$133:$C$138,LZ577)*LY$510)*$D$514/10^6</f>
        <v>296.65453258664542</v>
      </c>
      <c r="LW577" s="274">
        <f>$H577*IF(MA577&lt;&gt;LQ577,SUMIFS(axTER!$E$142:$E$148,axTER!$C$142:$C$148,MA577),SUMIFS(axTER!$E$151:$E$157,axTER!$C$151:$C$157,MA577)*LY$510)/10^6*$D$514</f>
        <v>207.65817281065182</v>
      </c>
      <c r="LX577" s="275" t="s">
        <v>271</v>
      </c>
      <c r="LY577" s="161" t="s">
        <v>263</v>
      </c>
      <c r="LZ577" s="161" t="s">
        <v>255</v>
      </c>
      <c r="MA577" s="161" t="s">
        <v>261</v>
      </c>
      <c r="MB577" s="276">
        <f>$H577*SUMIFS(axTER!$E$65:$E$105,axTER!$D$65:$D$105,LZ577,axTER!$C$65:$C$105,LX577)/SUMIFS(axTER!$E$108:$E$114,axTER!$C$108:$C$114,MA577)/10^9*$D$514</f>
        <v>0.29665453258664543</v>
      </c>
      <c r="MD577" s="273">
        <f t="shared" ref="MD577:MD612" si="1019">IF(MK577&lt;&gt;MA577,MK577,0)</f>
        <v>0</v>
      </c>
      <c r="ME577" s="273">
        <f t="shared" si="1016"/>
        <v>0</v>
      </c>
      <c r="MF577" s="273">
        <f>$H577*IF(MJ577&lt;&gt;LZ577,SUMIFS(axTER!$E$121:$E$128,axTER!$C$121:$C$128,LZ577,axTER!$D$121:$D$128,MJ577),SUMIFS(axTER!$E$133:$E$138,axTER!$C$133:$C$138,MJ577)*MI$510)*$D$514/10^6</f>
        <v>296.65453258664542</v>
      </c>
      <c r="MG577" s="274">
        <f>$H577*IF(MK577&lt;&gt;MA577,SUMIFS(axTER!$E$142:$E$148,axTER!$C$142:$C$148,MK577),SUMIFS(axTER!$E$151:$E$157,axTER!$C$151:$C$157,MK577)*MI$510)/10^6*$D$514</f>
        <v>207.65817281065182</v>
      </c>
      <c r="MH577" s="275" t="s">
        <v>271</v>
      </c>
      <c r="MI577" s="161" t="s">
        <v>263</v>
      </c>
      <c r="MJ577" s="161" t="s">
        <v>255</v>
      </c>
      <c r="MK577" s="161" t="s">
        <v>261</v>
      </c>
      <c r="ML577" s="276">
        <f>$H577*SUMIFS(axTER!$E$65:$E$105,axTER!$D$65:$D$105,MJ577,axTER!$C$65:$C$105,MH577)/SUMIFS(axTER!$E$108:$E$114,axTER!$C$108:$C$114,MK577)/10^9*$D$514</f>
        <v>0.29665453258664543</v>
      </c>
    </row>
    <row r="578" spans="3:350" outlineLevel="1" x14ac:dyDescent="0.3">
      <c r="C578" s="265"/>
      <c r="D578" s="289"/>
      <c r="F578" s="266"/>
      <c r="H578" s="269">
        <v>750</v>
      </c>
      <c r="I578" s="66" t="s">
        <v>271</v>
      </c>
      <c r="J578" s="66" t="s">
        <v>263</v>
      </c>
      <c r="K578" s="66" t="s">
        <v>255</v>
      </c>
      <c r="L578" s="283" t="s">
        <v>267</v>
      </c>
      <c r="M578" s="272">
        <f>$H578*SUMIFS(axTER!$E$65:$E$105,axTER!$C$65:$C$105,I578,axTER!$D$65:$D$105,K578)/SUMIFS(axTER!$E$108:$E$114,axTER!$C$108:$C$114,L578)/10^9*$D$514</f>
        <v>0.98884844195548471</v>
      </c>
      <c r="S578" s="269">
        <v>750</v>
      </c>
      <c r="T578" s="66" t="s">
        <v>271</v>
      </c>
      <c r="U578" s="66" t="s">
        <v>263</v>
      </c>
      <c r="V578" s="66" t="s">
        <v>255</v>
      </c>
      <c r="W578" s="283" t="s">
        <v>267</v>
      </c>
      <c r="X578" s="272">
        <f>$H578*SUMIFS(axTER!$E$65:$E$105,axTER!$C$65:$C$105,T578,axTER!$D$65:$D$105,V578)/SUMIFS(axTER!$E$108:$E$114,axTER!$C$108:$C$114,W578)/10^9*$D$514</f>
        <v>0.98884844195548471</v>
      </c>
      <c r="AB578" s="273">
        <f>$H578*IF(AF578&lt;&gt;K578,SUMIFS(axTER!$E$121:$E$128,axTER!$C$121:$C$128,K578,axTER!$D$121:$D$128,AF578),SUMIFS(axTER!$E$133:$E$138,axTER!$C$133:$C$138,AF578)*AE$510)*$D$514/10^6</f>
        <v>296.65453258664542</v>
      </c>
      <c r="AC578" s="274">
        <f>$H578*IF(AG578&lt;&gt;L578,SUMIFS(axTER!$E$142:$E$148,axTER!$C$142:$C$148,AG578),SUMIFS(axTER!$E$151:$E$157,axTER!$C$151:$C$157,AG578)*AE$510)/10^6*$D$514</f>
        <v>62.297451843195532</v>
      </c>
      <c r="AD578" s="275" t="s">
        <v>271</v>
      </c>
      <c r="AE578" s="161" t="s">
        <v>263</v>
      </c>
      <c r="AF578" s="161" t="s">
        <v>255</v>
      </c>
      <c r="AG578" s="284" t="s">
        <v>267</v>
      </c>
      <c r="AH578" s="276">
        <f>$H578*SUMIFS(axTER!$E$65:$E$105,axTER!$D$65:$D$105,AF578,axTER!$C$65:$C$105,AD578)/SUMIFS(axTER!$E$108:$E$114,axTER!$C$108:$C$114,AG578)/10^9*$D$514</f>
        <v>0.98884844195548471</v>
      </c>
      <c r="AV578" s="273">
        <f>$H578*IF(AZ578&lt;&gt;AF578,SUMIFS(axTER!$E$121:$E$128,axTER!$C$121:$C$128,AF578,axTER!$D$121:$D$128,AZ578),SUMIFS(axTER!$E$133:$E$138,axTER!$C$133:$C$138,AZ578)*AY$510)*$D$514/10^6</f>
        <v>593.30906517329083</v>
      </c>
      <c r="AW578" s="274">
        <f>$H578*IF(BA578&lt;&gt;AG578,SUMIFS(axTER!$E$142:$E$148,axTER!$C$142:$C$148,BA578),SUMIFS(axTER!$E$151:$E$157,axTER!$C$151:$C$157,BA578)*AY$510)/10^6*$D$514</f>
        <v>593.30906517329083</v>
      </c>
      <c r="AX578" s="275" t="s">
        <v>271</v>
      </c>
      <c r="AY578" s="161" t="s">
        <v>263</v>
      </c>
      <c r="AZ578" s="161" t="s">
        <v>255</v>
      </c>
      <c r="BA578" s="284" t="s">
        <v>261</v>
      </c>
      <c r="BB578" s="276">
        <f>$H578*SUMIFS(axTER!$E$65:$E$105,axTER!$D$65:$D$105,AZ578,axTER!$C$65:$C$105,AX578)/SUMIFS(axTER!$E$108:$E$114,axTER!$C$108:$C$114,BA578)/10^9*$D$514</f>
        <v>0.29665453258664543</v>
      </c>
      <c r="IG578" s="269">
        <v>750</v>
      </c>
      <c r="IH578" s="66" t="s">
        <v>271</v>
      </c>
      <c r="II578" s="66" t="s">
        <v>263</v>
      </c>
      <c r="IJ578" s="66" t="s">
        <v>255</v>
      </c>
      <c r="IK578" s="283" t="s">
        <v>267</v>
      </c>
      <c r="IL578" s="272">
        <f>$H578*SUMIFS(axTER!$E$65:$E$105,axTER!$C$65:$C$105,IH578,axTER!$D$65:$D$105,IJ578)/SUMIFS(axTER!$E$108:$E$114,axTER!$C$108:$C$114,IK578)/10^9*$D$514</f>
        <v>0.98884844195548471</v>
      </c>
      <c r="IO578" s="273">
        <f t="shared" ref="IO578:IO612" si="1020">IF(IT578&lt;&gt;IJ578,IG578,0)</f>
        <v>750</v>
      </c>
      <c r="IP578" s="273">
        <f>$H578*IF(IT578&lt;&gt;IJ578,SUMIFS(axTER!$E$121:$E$128,axTER!$C$121:$C$128,IJ578,axTER!$D$121:$D$128,IT578),SUMIFS(axTER!$E$133:$E$138,axTER!$C$133:$C$138,IT578)*IS$510)*$D$514/10^6</f>
        <v>3337.3634915997604</v>
      </c>
      <c r="IQ578" s="274">
        <f>$H578*IF(IU578&lt;&gt;IK578,SUMIFS(axTER!$E$142:$E$148,axTER!$C$142:$C$148,IU578),SUMIFS(axTER!$E$151:$E$157,axTER!$C$151:$C$157,IU578)*IS$510)/10^6*$D$514</f>
        <v>133.49453966399042</v>
      </c>
      <c r="IR578" s="275" t="s">
        <v>271</v>
      </c>
      <c r="IS578" s="161" t="s">
        <v>263</v>
      </c>
      <c r="IT578" s="277" t="s">
        <v>257</v>
      </c>
      <c r="IU578" s="277" t="s">
        <v>256</v>
      </c>
      <c r="IV578" s="276">
        <f>$H578*SUMIFS(axTER!$E$65:$E$105,axTER!$D$65:$D$105,IT578,axTER!$C$65:$C$105,IR578)/SUMIFS(axTER!$E$108:$E$114,axTER!$C$108:$C$114,IU578)/10^9*$D$514</f>
        <v>0.39033491129821768</v>
      </c>
      <c r="JI578" s="273">
        <f t="shared" ref="JI578:JI612" si="1021">IF(JN578&lt;&gt;IT578,IG578,0)</f>
        <v>750</v>
      </c>
      <c r="JJ578" s="273">
        <f>$H578*IF(JN578&lt;&gt;IT578,SUMIFS(axTER!$E$121:$E$128,axTER!$C$121:$C$128,IT578,axTER!$D$121:$D$128,JN578),SUMIFS(axTER!$E$133:$E$138,axTER!$C$133:$C$138,JN578)*JM$510)*$D$514/10^6</f>
        <v>0</v>
      </c>
      <c r="JK578" s="274">
        <f>$H578*IF(JO578&lt;&gt;IU578,SUMIFS(axTER!$E$142:$E$148,axTER!$C$142:$C$148,JO578),SUMIFS(axTER!$E$151:$E$157,axTER!$C$151:$C$157,JO578)*JM$510)/10^6*$D$514</f>
        <v>177.99271955198722</v>
      </c>
      <c r="JL578" s="275" t="s">
        <v>271</v>
      </c>
      <c r="JM578" s="161" t="s">
        <v>263</v>
      </c>
      <c r="JN578" s="161" t="s">
        <v>255</v>
      </c>
      <c r="JO578" s="284" t="s">
        <v>267</v>
      </c>
      <c r="JP578" s="276">
        <f>$H578*SUMIFS(axTER!$E$65:$E$105,axTER!$D$65:$D$105,JN578,axTER!$C$65:$C$105,JL578)/SUMIFS(axTER!$E$108:$E$114,axTER!$C$108:$C$114,JO578)/10^9*$D$514</f>
        <v>0.98884844195548471</v>
      </c>
      <c r="JR578" s="269">
        <v>750</v>
      </c>
      <c r="JS578" s="66" t="s">
        <v>271</v>
      </c>
      <c r="JT578" s="66" t="s">
        <v>263</v>
      </c>
      <c r="JU578" s="66" t="s">
        <v>255</v>
      </c>
      <c r="JV578" s="283" t="s">
        <v>267</v>
      </c>
      <c r="JW578" s="272">
        <f>$H578*SUMIFS(axTER!$E$65:$E$105,axTER!$C$65:$C$105,JS578,axTER!$D$65:$D$105,JU578)/SUMIFS(axTER!$E$108:$E$114,axTER!$C$108:$C$114,JV578)/10^9*$D$514</f>
        <v>0.98884844195548471</v>
      </c>
      <c r="JY578" s="273" t="str">
        <f t="shared" ref="JY578:JY612" si="1022">IF(KF578&lt;&gt;JV578,KF578,0)</f>
        <v>ELEC-PAC</v>
      </c>
      <c r="JZ578" s="273">
        <f t="shared" ref="JZ578:JZ612" si="1023">IF(KE578&lt;&gt;JU578,JR578,0)</f>
        <v>750</v>
      </c>
      <c r="KA578" s="273">
        <f>$H578*IF(KE578&lt;&gt;JU578,SUMIFS(axTER!$E$121:$E$128,axTER!$C$121:$C$128,JU578,axTER!$D$121:$D$128,KE578),SUMIFS(axTER!$E$133:$E$138,axTER!$C$133:$C$138,KE578)*KD$510)*$D$514/10^6</f>
        <v>741.63633146661357</v>
      </c>
      <c r="KB578" s="274">
        <f>$H578*IF(KF578&lt;&gt;JV578,SUMIFS(axTER!$E$142:$E$148,axTER!$C$142:$C$148,KF578),SUMIFS(axTER!$E$151:$E$157,axTER!$C$151:$C$157,KF578)*KD$510)/10^6*$D$514</f>
        <v>593.30906517329083</v>
      </c>
      <c r="KC578" s="275" t="s">
        <v>271</v>
      </c>
      <c r="KD578" s="161" t="s">
        <v>263</v>
      </c>
      <c r="KE578" s="161" t="s">
        <v>262</v>
      </c>
      <c r="KF578" s="284" t="s">
        <v>261</v>
      </c>
      <c r="KG578" s="276">
        <f>$H578*SUMIFS(axTER!$E$65:$E$105,axTER!$D$65:$D$105,KE578,axTER!$C$65:$C$105,KC578)/SUMIFS(axTER!$E$108:$E$114,axTER!$C$108:$C$114,KF578)/10^9*$D$514</f>
        <v>0.24721211048887118</v>
      </c>
      <c r="KS578" s="273">
        <f t="shared" ref="KS578:KS612" si="1024">IF(KZ578&lt;&gt;KF578,KZ578,0)</f>
        <v>0</v>
      </c>
      <c r="KT578" s="273">
        <f t="shared" ref="KT578:KT612" si="1025">IF(KY578&lt;&gt;KE578,JR578,0)</f>
        <v>0</v>
      </c>
      <c r="KU578" s="273">
        <f>$H578*IF(KY578&lt;&gt;KE578,SUMIFS(axTER!$E$121:$E$128,axTER!$C$121:$C$128,KE578,axTER!$D$121:$D$128,KY578),SUMIFS(axTER!$E$133:$E$138,axTER!$C$133:$C$138,KY578)*KX$510)*$D$514/10^6</f>
        <v>222.49089943998405</v>
      </c>
      <c r="KV578" s="274">
        <f>$H578*IF(KZ578&lt;&gt;KF578,SUMIFS(axTER!$E$142:$E$148,axTER!$C$142:$C$148,KZ578),SUMIFS(axTER!$E$151:$E$157,axTER!$C$151:$C$157,KZ578)*KX$510)/10^6*$D$514</f>
        <v>415.31634562130364</v>
      </c>
      <c r="KW578" s="275" t="s">
        <v>271</v>
      </c>
      <c r="KX578" s="161" t="s">
        <v>263</v>
      </c>
      <c r="KY578" s="161" t="s">
        <v>262</v>
      </c>
      <c r="KZ578" s="284" t="s">
        <v>261</v>
      </c>
      <c r="LA578" s="276">
        <f>$H578*SUMIFS(axTER!$E$65:$E$105,axTER!$D$65:$D$105,KY578,axTER!$C$65:$C$105,KW578)/SUMIFS(axTER!$E$108:$E$114,axTER!$C$108:$C$114,KZ578)/10^9*$D$514</f>
        <v>0.24721211048887118</v>
      </c>
      <c r="LC578" s="269">
        <v>750</v>
      </c>
      <c r="LD578" s="66" t="s">
        <v>271</v>
      </c>
      <c r="LE578" s="66" t="s">
        <v>263</v>
      </c>
      <c r="LF578" s="66" t="s">
        <v>255</v>
      </c>
      <c r="LG578" s="283" t="s">
        <v>267</v>
      </c>
      <c r="LH578" s="272">
        <f>$H578*SUMIFS(axTER!$E$65:$E$105,axTER!$C$65:$C$105,LD578,axTER!$D$65:$D$105,LF578)/SUMIFS(axTER!$E$108:$E$114,axTER!$C$108:$C$114,LG578)/10^9*$D$514</f>
        <v>0.98884844195548471</v>
      </c>
      <c r="LJ578" s="273" t="str">
        <f t="shared" ref="LJ578:LJ612" si="1026">IF(LQ578&lt;&gt;LG578,LQ578,0)</f>
        <v>ELEC-PAC</v>
      </c>
      <c r="LK578" s="273">
        <f t="shared" si="1017"/>
        <v>0</v>
      </c>
      <c r="LL578" s="273">
        <f>$H578*IF(LP578&lt;&gt;LF578,SUMIFS(axTER!$E$121:$E$128,axTER!$C$121:$C$128,LF578,axTER!$D$121:$D$128,LP578),SUMIFS(axTER!$E$133:$E$138,axTER!$C$133:$C$138,LP578)*LO$510)*$D$514/10^6</f>
        <v>207.65817281065179</v>
      </c>
      <c r="LM578" s="274">
        <f>$H578*IF(LQ578&lt;&gt;LG578,SUMIFS(axTER!$E$142:$E$148,axTER!$C$142:$C$148,LQ578),SUMIFS(axTER!$E$151:$E$157,axTER!$C$151:$C$157,LQ578)*LO$510)/10^6*$D$514</f>
        <v>593.30906517329083</v>
      </c>
      <c r="LN578" s="275" t="s">
        <v>271</v>
      </c>
      <c r="LO578" s="161" t="s">
        <v>263</v>
      </c>
      <c r="LP578" s="161" t="s">
        <v>255</v>
      </c>
      <c r="LQ578" s="161" t="s">
        <v>261</v>
      </c>
      <c r="LR578" s="276">
        <f>$H578*SUMIFS(axTER!$E$65:$E$105,axTER!$D$65:$D$105,LP578,axTER!$C$65:$C$105,LN578)/SUMIFS(axTER!$E$108:$E$114,axTER!$C$108:$C$114,LQ578)/10^9*$D$514</f>
        <v>0.29665453258664543</v>
      </c>
      <c r="LT578" s="273">
        <f t="shared" ref="LT578:LT612" si="1027">IF(MA578&lt;&gt;LQ578,MA578,0)</f>
        <v>0</v>
      </c>
      <c r="LU578" s="273">
        <f t="shared" ref="LU578:LU612" si="1028">IF(LZ578&lt;&gt;LP578,LC578,0)</f>
        <v>0</v>
      </c>
      <c r="LV578" s="273">
        <f>$H578*IF(LZ578&lt;&gt;LP578,SUMIFS(axTER!$E$121:$E$128,axTER!$C$121:$C$128,LP578,axTER!$D$121:$D$128,LZ578),SUMIFS(axTER!$E$133:$E$138,axTER!$C$133:$C$138,LZ578)*LY$510)*$D$514/10^6</f>
        <v>296.65453258664542</v>
      </c>
      <c r="LW578" s="274">
        <f>$H578*IF(MA578&lt;&gt;LQ578,SUMIFS(axTER!$E$142:$E$148,axTER!$C$142:$C$148,MA578),SUMIFS(axTER!$E$151:$E$157,axTER!$C$151:$C$157,MA578)*LY$510)/10^6*$D$514</f>
        <v>207.65817281065182</v>
      </c>
      <c r="LX578" s="275" t="s">
        <v>271</v>
      </c>
      <c r="LY578" s="161" t="s">
        <v>263</v>
      </c>
      <c r="LZ578" s="161" t="s">
        <v>255</v>
      </c>
      <c r="MA578" s="161" t="s">
        <v>261</v>
      </c>
      <c r="MB578" s="276">
        <f>$H578*SUMIFS(axTER!$E$65:$E$105,axTER!$D$65:$D$105,LZ578,axTER!$C$65:$C$105,LX578)/SUMIFS(axTER!$E$108:$E$114,axTER!$C$108:$C$114,MA578)/10^9*$D$514</f>
        <v>0.29665453258664543</v>
      </c>
      <c r="MD578" s="273">
        <f t="shared" si="1019"/>
        <v>0</v>
      </c>
      <c r="ME578" s="273">
        <f t="shared" ref="ME578:ME612" si="1029">IF(MJ578&lt;&gt;LZ578,LC578,0)</f>
        <v>0</v>
      </c>
      <c r="MF578" s="273">
        <f>$H578*IF(MJ578&lt;&gt;LZ578,SUMIFS(axTER!$E$121:$E$128,axTER!$C$121:$C$128,LZ578,axTER!$D$121:$D$128,MJ578),SUMIFS(axTER!$E$133:$E$138,axTER!$C$133:$C$138,MJ578)*MI$510)*$D$514/10^6</f>
        <v>296.65453258664542</v>
      </c>
      <c r="MG578" s="274">
        <f>$H578*IF(MK578&lt;&gt;MA578,SUMIFS(axTER!$E$142:$E$148,axTER!$C$142:$C$148,MK578),SUMIFS(axTER!$E$151:$E$157,axTER!$C$151:$C$157,MK578)*MI$510)/10^6*$D$514</f>
        <v>207.65817281065182</v>
      </c>
      <c r="MH578" s="275" t="s">
        <v>271</v>
      </c>
      <c r="MI578" s="161" t="s">
        <v>263</v>
      </c>
      <c r="MJ578" s="161" t="s">
        <v>255</v>
      </c>
      <c r="MK578" s="161" t="s">
        <v>261</v>
      </c>
      <c r="ML578" s="276">
        <f>$H578*SUMIFS(axTER!$E$65:$E$105,axTER!$D$65:$D$105,MJ578,axTER!$C$65:$C$105,MH578)/SUMIFS(axTER!$E$108:$E$114,axTER!$C$108:$C$114,MK578)/10^9*$D$514</f>
        <v>0.29665453258664543</v>
      </c>
    </row>
    <row r="579" spans="3:350" outlineLevel="1" x14ac:dyDescent="0.3">
      <c r="C579" s="265"/>
      <c r="D579" s="289"/>
      <c r="F579" s="266"/>
      <c r="H579" s="269">
        <v>750</v>
      </c>
      <c r="I579" s="66" t="s">
        <v>271</v>
      </c>
      <c r="J579" s="66" t="s">
        <v>263</v>
      </c>
      <c r="K579" s="66" t="s">
        <v>255</v>
      </c>
      <c r="L579" s="283" t="s">
        <v>267</v>
      </c>
      <c r="M579" s="272">
        <f>$H579*SUMIFS(axTER!$E$65:$E$105,axTER!$C$65:$C$105,I579,axTER!$D$65:$D$105,K579)/SUMIFS(axTER!$E$108:$E$114,axTER!$C$108:$C$114,L579)/10^9*$D$514</f>
        <v>0.98884844195548471</v>
      </c>
      <c r="S579" s="269">
        <v>750</v>
      </c>
      <c r="T579" s="66" t="s">
        <v>271</v>
      </c>
      <c r="U579" s="66" t="s">
        <v>263</v>
      </c>
      <c r="V579" s="66" t="s">
        <v>255</v>
      </c>
      <c r="W579" s="283" t="s">
        <v>267</v>
      </c>
      <c r="X579" s="272">
        <f>$H579*SUMIFS(axTER!$E$65:$E$105,axTER!$C$65:$C$105,T579,axTER!$D$65:$D$105,V579)/SUMIFS(axTER!$E$108:$E$114,axTER!$C$108:$C$114,W579)/10^9*$D$514</f>
        <v>0.98884844195548471</v>
      </c>
      <c r="AB579" s="273">
        <f>$H579*IF(AF579&lt;&gt;K579,SUMIFS(axTER!$E$121:$E$128,axTER!$C$121:$C$128,K579,axTER!$D$121:$D$128,AF579),SUMIFS(axTER!$E$133:$E$138,axTER!$C$133:$C$138,AF579)*AE$510)*$D$514/10^6</f>
        <v>296.65453258664542</v>
      </c>
      <c r="AC579" s="274">
        <f>$H579*IF(AG579&lt;&gt;L579,SUMIFS(axTER!$E$142:$E$148,axTER!$C$142:$C$148,AG579),SUMIFS(axTER!$E$151:$E$157,axTER!$C$151:$C$157,AG579)*AE$510)/10^6*$D$514</f>
        <v>62.297451843195532</v>
      </c>
      <c r="AD579" s="275" t="s">
        <v>271</v>
      </c>
      <c r="AE579" s="161" t="s">
        <v>263</v>
      </c>
      <c r="AF579" s="161" t="s">
        <v>255</v>
      </c>
      <c r="AG579" s="284" t="s">
        <v>267</v>
      </c>
      <c r="AH579" s="276">
        <f>$H579*SUMIFS(axTER!$E$65:$E$105,axTER!$D$65:$D$105,AF579,axTER!$C$65:$C$105,AD579)/SUMIFS(axTER!$E$108:$E$114,axTER!$C$108:$C$114,AG579)/10^9*$D$514</f>
        <v>0.98884844195548471</v>
      </c>
      <c r="AV579" s="273">
        <f>$H579*IF(AZ579&lt;&gt;AF579,SUMIFS(axTER!$E$121:$E$128,axTER!$C$121:$C$128,AF579,axTER!$D$121:$D$128,AZ579),SUMIFS(axTER!$E$133:$E$138,axTER!$C$133:$C$138,AZ579)*AY$510)*$D$514/10^6</f>
        <v>593.30906517329083</v>
      </c>
      <c r="AW579" s="274">
        <f>$H579*IF(BA579&lt;&gt;AG579,SUMIFS(axTER!$E$142:$E$148,axTER!$C$142:$C$148,BA579),SUMIFS(axTER!$E$151:$E$157,axTER!$C$151:$C$157,BA579)*AY$510)/10^6*$D$514</f>
        <v>593.30906517329083</v>
      </c>
      <c r="AX579" s="275" t="s">
        <v>271</v>
      </c>
      <c r="AY579" s="161" t="s">
        <v>263</v>
      </c>
      <c r="AZ579" s="161" t="s">
        <v>255</v>
      </c>
      <c r="BA579" s="284" t="s">
        <v>261</v>
      </c>
      <c r="BB579" s="276">
        <f>$H579*SUMIFS(axTER!$E$65:$E$105,axTER!$D$65:$D$105,AZ579,axTER!$C$65:$C$105,AX579)/SUMIFS(axTER!$E$108:$E$114,axTER!$C$108:$C$114,BA579)/10^9*$D$514</f>
        <v>0.29665453258664543</v>
      </c>
      <c r="IG579" s="269">
        <v>750</v>
      </c>
      <c r="IH579" s="66" t="s">
        <v>271</v>
      </c>
      <c r="II579" s="66" t="s">
        <v>263</v>
      </c>
      <c r="IJ579" s="66" t="s">
        <v>255</v>
      </c>
      <c r="IK579" s="283" t="s">
        <v>267</v>
      </c>
      <c r="IL579" s="272">
        <f>$H579*SUMIFS(axTER!$E$65:$E$105,axTER!$C$65:$C$105,IH579,axTER!$D$65:$D$105,IJ579)/SUMIFS(axTER!$E$108:$E$114,axTER!$C$108:$C$114,IK579)/10^9*$D$514</f>
        <v>0.98884844195548471</v>
      </c>
      <c r="IO579" s="273">
        <f t="shared" si="1020"/>
        <v>0</v>
      </c>
      <c r="IP579" s="273">
        <f>$H579*IF(IT579&lt;&gt;IJ579,SUMIFS(axTER!$E$121:$E$128,axTER!$C$121:$C$128,IJ579,axTER!$D$121:$D$128,IT579),SUMIFS(axTER!$E$133:$E$138,axTER!$C$133:$C$138,IT579)*IS$510)*$D$514/10^6</f>
        <v>296.65453258664542</v>
      </c>
      <c r="IQ579" s="274">
        <f>$H579*IF(IU579&lt;&gt;IK579,SUMIFS(axTER!$E$142:$E$148,axTER!$C$142:$C$148,IU579),SUMIFS(axTER!$E$151:$E$157,axTER!$C$151:$C$157,IU579)*IS$510)/10^6*$D$514</f>
        <v>62.297451843195532</v>
      </c>
      <c r="IR579" s="275" t="s">
        <v>271</v>
      </c>
      <c r="IS579" s="161" t="s">
        <v>263</v>
      </c>
      <c r="IT579" s="161" t="s">
        <v>255</v>
      </c>
      <c r="IU579" s="284" t="s">
        <v>267</v>
      </c>
      <c r="IV579" s="276">
        <f>$H579*SUMIFS(axTER!$E$65:$E$105,axTER!$D$65:$D$105,IT579,axTER!$C$65:$C$105,IR579)/SUMIFS(axTER!$E$108:$E$114,axTER!$C$108:$C$114,IU579)/10^9*$D$514</f>
        <v>0.98884844195548471</v>
      </c>
      <c r="JI579" s="273">
        <f t="shared" si="1021"/>
        <v>0</v>
      </c>
      <c r="JJ579" s="273">
        <f>$H579*IF(JN579&lt;&gt;IT579,SUMIFS(axTER!$E$121:$E$128,axTER!$C$121:$C$128,IT579,axTER!$D$121:$D$128,JN579),SUMIFS(axTER!$E$133:$E$138,axTER!$C$133:$C$138,JN579)*JM$510)*$D$514/10^6</f>
        <v>593.30906517329083</v>
      </c>
      <c r="JK579" s="274">
        <f>$H579*IF(JO579&lt;&gt;IU579,SUMIFS(axTER!$E$142:$E$148,axTER!$C$142:$C$148,JO579),SUMIFS(axTER!$E$151:$E$157,axTER!$C$151:$C$157,JO579)*JM$510)/10^6*$D$514</f>
        <v>124.59490368639106</v>
      </c>
      <c r="JL579" s="275" t="s">
        <v>271</v>
      </c>
      <c r="JM579" s="161" t="s">
        <v>263</v>
      </c>
      <c r="JN579" s="161" t="s">
        <v>255</v>
      </c>
      <c r="JO579" s="284" t="s">
        <v>267</v>
      </c>
      <c r="JP579" s="276">
        <f>$H579*SUMIFS(axTER!$E$65:$E$105,axTER!$D$65:$D$105,JN579,axTER!$C$65:$C$105,JL579)/SUMIFS(axTER!$E$108:$E$114,axTER!$C$108:$C$114,JO579)/10^9*$D$514</f>
        <v>0.98884844195548471</v>
      </c>
      <c r="JR579" s="269">
        <v>750</v>
      </c>
      <c r="JS579" s="66" t="s">
        <v>271</v>
      </c>
      <c r="JT579" s="66" t="s">
        <v>263</v>
      </c>
      <c r="JU579" s="66" t="s">
        <v>255</v>
      </c>
      <c r="JV579" s="283" t="s">
        <v>267</v>
      </c>
      <c r="JW579" s="272">
        <f>$H579*SUMIFS(axTER!$E$65:$E$105,axTER!$C$65:$C$105,JS579,axTER!$D$65:$D$105,JU579)/SUMIFS(axTER!$E$108:$E$114,axTER!$C$108:$C$114,JV579)/10^9*$D$514</f>
        <v>0.98884844195548471</v>
      </c>
      <c r="JY579" s="273">
        <f t="shared" si="1022"/>
        <v>0</v>
      </c>
      <c r="JZ579" s="273">
        <f t="shared" si="1023"/>
        <v>0</v>
      </c>
      <c r="KA579" s="273">
        <f>$H579*IF(KE579&lt;&gt;JU579,SUMIFS(axTER!$E$121:$E$128,axTER!$C$121:$C$128,JU579,axTER!$D$121:$D$128,KE579),SUMIFS(axTER!$E$133:$E$138,axTER!$C$133:$C$138,KE579)*KD$510)*$D$514/10^6</f>
        <v>207.65817281065179</v>
      </c>
      <c r="KB579" s="274">
        <f>$H579*IF(KF579&lt;&gt;JV579,SUMIFS(axTER!$E$142:$E$148,axTER!$C$142:$C$148,KF579),SUMIFS(axTER!$E$151:$E$157,axTER!$C$151:$C$157,KF579)*KD$510)/10^6*$D$514</f>
        <v>43.608216290236882</v>
      </c>
      <c r="KC579" s="275" t="s">
        <v>271</v>
      </c>
      <c r="KD579" s="161" t="s">
        <v>263</v>
      </c>
      <c r="KE579" s="161" t="s">
        <v>255</v>
      </c>
      <c r="KF579" s="284" t="s">
        <v>267</v>
      </c>
      <c r="KG579" s="276">
        <f>$H579*SUMIFS(axTER!$E$65:$E$105,axTER!$D$65:$D$105,KE579,axTER!$C$65:$C$105,KC579)/SUMIFS(axTER!$E$108:$E$114,axTER!$C$108:$C$114,KF579)/10^9*$D$514</f>
        <v>0.98884844195548471</v>
      </c>
      <c r="KS579" s="273" t="str">
        <f t="shared" si="1024"/>
        <v>ELEC-PAC</v>
      </c>
      <c r="KT579" s="273">
        <f t="shared" si="1025"/>
        <v>750</v>
      </c>
      <c r="KU579" s="273">
        <f>$H579*IF(KY579&lt;&gt;KE579,SUMIFS(axTER!$E$121:$E$128,axTER!$C$121:$C$128,KE579,axTER!$D$121:$D$128,KY579),SUMIFS(axTER!$E$133:$E$138,axTER!$C$133:$C$138,KY579)*KX$510)*$D$514/10^6</f>
        <v>1483.2726629332271</v>
      </c>
      <c r="KV579" s="274">
        <f>$H579*IF(KZ579&lt;&gt;KF579,SUMIFS(axTER!$E$142:$E$148,axTER!$C$142:$C$148,KZ579),SUMIFS(axTER!$E$151:$E$157,axTER!$C$151:$C$157,KZ579)*KX$510)/10^6*$D$514</f>
        <v>593.30906517329083</v>
      </c>
      <c r="KW579" s="275" t="s">
        <v>271</v>
      </c>
      <c r="KX579" s="161" t="s">
        <v>263</v>
      </c>
      <c r="KY579" s="161" t="s">
        <v>264</v>
      </c>
      <c r="KZ579" s="284" t="s">
        <v>261</v>
      </c>
      <c r="LA579" s="276">
        <f>$H579*SUMIFS(axTER!$E$65:$E$105,axTER!$D$65:$D$105,KY579,axTER!$C$65:$C$105,KW579)/SUMIFS(axTER!$E$108:$E$114,axTER!$C$108:$C$114,KZ579)/10^9*$D$514</f>
        <v>0.19776968839109696</v>
      </c>
      <c r="LC579" s="269">
        <v>750</v>
      </c>
      <c r="LD579" s="66" t="s">
        <v>271</v>
      </c>
      <c r="LE579" s="66" t="s">
        <v>263</v>
      </c>
      <c r="LF579" s="66" t="s">
        <v>255</v>
      </c>
      <c r="LG579" s="283" t="s">
        <v>267</v>
      </c>
      <c r="LH579" s="272">
        <f>$H579*SUMIFS(axTER!$E$65:$E$105,axTER!$C$65:$C$105,LD579,axTER!$D$65:$D$105,LF579)/SUMIFS(axTER!$E$108:$E$114,axTER!$C$108:$C$114,LG579)/10^9*$D$514</f>
        <v>0.98884844195548471</v>
      </c>
      <c r="LJ579" s="273">
        <f t="shared" si="1026"/>
        <v>0</v>
      </c>
      <c r="LK579" s="273">
        <f t="shared" si="1017"/>
        <v>0</v>
      </c>
      <c r="LL579" s="273">
        <f>$H579*IF(LP579&lt;&gt;LF579,SUMIFS(axTER!$E$121:$E$128,axTER!$C$121:$C$128,LF579,axTER!$D$121:$D$128,LP579),SUMIFS(axTER!$E$133:$E$138,axTER!$C$133:$C$138,LP579)*LO$510)*$D$514/10^6</f>
        <v>207.65817281065179</v>
      </c>
      <c r="LM579" s="274">
        <f>$H579*IF(LQ579&lt;&gt;LG579,SUMIFS(axTER!$E$142:$E$148,axTER!$C$142:$C$148,LQ579),SUMIFS(axTER!$E$151:$E$157,axTER!$C$151:$C$157,LQ579)*LO$510)/10^6*$D$514</f>
        <v>43.608216290236882</v>
      </c>
      <c r="LN579" s="275" t="s">
        <v>271</v>
      </c>
      <c r="LO579" s="161" t="s">
        <v>263</v>
      </c>
      <c r="LP579" s="161" t="s">
        <v>255</v>
      </c>
      <c r="LQ579" s="161" t="s">
        <v>267</v>
      </c>
      <c r="LR579" s="276">
        <f>$H579*SUMIFS(axTER!$E$65:$E$105,axTER!$D$65:$D$105,LP579,axTER!$C$65:$C$105,LN579)/SUMIFS(axTER!$E$108:$E$114,axTER!$C$108:$C$114,LQ579)/10^9*$D$514</f>
        <v>0.98884844195548471</v>
      </c>
      <c r="LT579" s="273" t="str">
        <f t="shared" si="1027"/>
        <v>ELEC-PAC</v>
      </c>
      <c r="LU579" s="273">
        <f t="shared" si="1028"/>
        <v>0</v>
      </c>
      <c r="LV579" s="273">
        <f>$H579*IF(LZ579&lt;&gt;LP579,SUMIFS(axTER!$E$121:$E$128,axTER!$C$121:$C$128,LP579,axTER!$D$121:$D$128,LZ579),SUMIFS(axTER!$E$133:$E$138,axTER!$C$133:$C$138,LZ579)*LY$510)*$D$514/10^6</f>
        <v>296.65453258664542</v>
      </c>
      <c r="LW579" s="274">
        <f>$H579*IF(MA579&lt;&gt;LQ579,SUMIFS(axTER!$E$142:$E$148,axTER!$C$142:$C$148,MA579),SUMIFS(axTER!$E$151:$E$157,axTER!$C$151:$C$157,MA579)*LY$510)/10^6*$D$514</f>
        <v>593.30906517329083</v>
      </c>
      <c r="LX579" s="275" t="s">
        <v>271</v>
      </c>
      <c r="LY579" s="161" t="s">
        <v>263</v>
      </c>
      <c r="LZ579" s="161" t="s">
        <v>255</v>
      </c>
      <c r="MA579" s="429" t="s">
        <v>261</v>
      </c>
      <c r="MB579" s="276">
        <f>$H579*SUMIFS(axTER!$E$65:$E$105,axTER!$D$65:$D$105,LZ579,axTER!$C$65:$C$105,LX579)/SUMIFS(axTER!$E$108:$E$114,axTER!$C$108:$C$114,MA579)/10^9*$D$514</f>
        <v>0.29665453258664543</v>
      </c>
      <c r="MD579" s="273">
        <f t="shared" si="1019"/>
        <v>0</v>
      </c>
      <c r="ME579" s="273">
        <f t="shared" si="1029"/>
        <v>0</v>
      </c>
      <c r="MF579" s="273">
        <f>$H579*IF(MJ579&lt;&gt;LZ579,SUMIFS(axTER!$E$121:$E$128,axTER!$C$121:$C$128,LZ579,axTER!$D$121:$D$128,MJ579),SUMIFS(axTER!$E$133:$E$138,axTER!$C$133:$C$138,MJ579)*MI$510)*$D$514/10^6</f>
        <v>296.65453258664542</v>
      </c>
      <c r="MG579" s="274">
        <f>$H579*IF(MK579&lt;&gt;MA579,SUMIFS(axTER!$E$142:$E$148,axTER!$C$142:$C$148,MK579),SUMIFS(axTER!$E$151:$E$157,axTER!$C$151:$C$157,MK579)*MI$510)/10^6*$D$514</f>
        <v>207.65817281065182</v>
      </c>
      <c r="MH579" s="275" t="s">
        <v>271</v>
      </c>
      <c r="MI579" s="161" t="s">
        <v>263</v>
      </c>
      <c r="MJ579" s="161" t="s">
        <v>255</v>
      </c>
      <c r="MK579" s="161" t="s">
        <v>261</v>
      </c>
      <c r="ML579" s="276">
        <f>$H579*SUMIFS(axTER!$E$65:$E$105,axTER!$D$65:$D$105,MJ579,axTER!$C$65:$C$105,MH579)/SUMIFS(axTER!$E$108:$E$114,axTER!$C$108:$C$114,MK579)/10^9*$D$514</f>
        <v>0.29665453258664543</v>
      </c>
    </row>
    <row r="580" spans="3:350" hidden="1" outlineLevel="1" x14ac:dyDescent="0.3">
      <c r="C580" s="265"/>
      <c r="D580" s="289"/>
      <c r="F580" s="266"/>
      <c r="H580" s="269">
        <v>1200</v>
      </c>
      <c r="I580" s="66" t="s">
        <v>271</v>
      </c>
      <c r="J580" s="66" t="s">
        <v>265</v>
      </c>
      <c r="K580" s="66" t="s">
        <v>266</v>
      </c>
      <c r="L580" s="283" t="s">
        <v>256</v>
      </c>
      <c r="M580" s="272">
        <f>$H580*SUMIFS(axTER!$E$65:$E$105,axTER!$C$65:$C$105,I580,axTER!$D$65:$D$105,K580)/SUMIFS(axTER!$E$108:$E$114,axTER!$C$108:$C$114,L580)/10^9*$D$514</f>
        <v>0.79940589833874964</v>
      </c>
      <c r="S580" s="269">
        <v>1200</v>
      </c>
      <c r="T580" s="66" t="s">
        <v>271</v>
      </c>
      <c r="U580" s="66" t="s">
        <v>265</v>
      </c>
      <c r="V580" s="66" t="s">
        <v>266</v>
      </c>
      <c r="W580" s="283" t="s">
        <v>256</v>
      </c>
      <c r="X580" s="272">
        <f>$H580*SUMIFS(axTER!$E$65:$E$105,axTER!$C$65:$C$105,T580,axTER!$D$65:$D$105,V580)/SUMIFS(axTER!$E$108:$E$114,axTER!$C$108:$C$114,W580)/10^9*$D$514</f>
        <v>0.79940589833874964</v>
      </c>
      <c r="AB580" s="273">
        <f>$H580*IF(AF580&lt;&gt;K580,SUMIFS(axTER!$E$121:$E$128,axTER!$C$121:$C$128,K580,axTER!$D$121:$D$128,AF580),SUMIFS(axTER!$E$133:$E$138,axTER!$C$133:$C$138,AF580)*AE$510)*$D$514/10^6</f>
        <v>177.99271955198722</v>
      </c>
      <c r="AC580" s="274">
        <f>$H580*IF(AG580&lt;&gt;L580,SUMIFS(axTER!$E$142:$E$148,axTER!$C$142:$C$148,AG580),SUMIFS(axTER!$E$151:$E$157,axTER!$C$151:$C$157,AG580)*AE$510)/10^6*$D$514</f>
        <v>74.756942211834655</v>
      </c>
      <c r="AD580" s="275" t="s">
        <v>271</v>
      </c>
      <c r="AE580" s="161" t="s">
        <v>265</v>
      </c>
      <c r="AF580" s="161" t="s">
        <v>266</v>
      </c>
      <c r="AG580" s="284" t="s">
        <v>256</v>
      </c>
      <c r="AH580" s="276">
        <f>$H580*SUMIFS(axTER!$E$65:$E$105,axTER!$D$65:$D$105,AF580,axTER!$C$65:$C$105,AD580)/SUMIFS(axTER!$E$108:$E$114,axTER!$C$108:$C$114,AG580)/10^9*$D$514</f>
        <v>0.79940589833874964</v>
      </c>
      <c r="AV580" s="273">
        <f>$H580*IF(AZ580&lt;&gt;AF580,SUMIFS(axTER!$E$121:$E$128,axTER!$C$121:$C$128,AF580,axTER!$D$121:$D$128,AZ580),SUMIFS(axTER!$E$133:$E$138,axTER!$C$133:$C$138,AZ580)*AY$510)*$D$514/10^6</f>
        <v>355.98543910397444</v>
      </c>
      <c r="AW580" s="274">
        <f>$H580*IF(BA580&lt;&gt;AG580,SUMIFS(axTER!$E$142:$E$148,axTER!$C$142:$C$148,BA580),SUMIFS(axTER!$E$151:$E$157,axTER!$C$151:$C$157,BA580)*AY$510)/10^6*$D$514</f>
        <v>149.51388442366931</v>
      </c>
      <c r="AX580" s="275" t="s">
        <v>271</v>
      </c>
      <c r="AY580" s="161" t="s">
        <v>265</v>
      </c>
      <c r="AZ580" s="161" t="s">
        <v>266</v>
      </c>
      <c r="BA580" s="284" t="s">
        <v>256</v>
      </c>
      <c r="BB580" s="276">
        <f>$H580*SUMIFS(axTER!$E$65:$E$105,axTER!$D$65:$D$105,AZ580,axTER!$C$65:$C$105,AX580)/SUMIFS(axTER!$E$108:$E$114,axTER!$C$108:$C$114,BA580)/10^9*$D$514</f>
        <v>0.79940589833874964</v>
      </c>
      <c r="IG580" s="269">
        <v>1200</v>
      </c>
      <c r="IH580" s="66" t="s">
        <v>271</v>
      </c>
      <c r="II580" s="66" t="s">
        <v>265</v>
      </c>
      <c r="IJ580" s="66" t="s">
        <v>266</v>
      </c>
      <c r="IK580" s="283" t="s">
        <v>256</v>
      </c>
      <c r="IL580" s="272">
        <f>$H580*SUMIFS(axTER!$E$65:$E$105,axTER!$C$65:$C$105,IH580,axTER!$D$65:$D$105,IJ580)/SUMIFS(axTER!$E$108:$E$114,axTER!$C$108:$C$114,IK580)/10^9*$D$514</f>
        <v>0.79940589833874964</v>
      </c>
      <c r="IO580" s="273">
        <f t="shared" si="1020"/>
        <v>0</v>
      </c>
      <c r="IP580" s="273">
        <f>$H580*IF(IT580&lt;&gt;IJ580,SUMIFS(axTER!$E$121:$E$128,axTER!$C$121:$C$128,IJ580,axTER!$D$121:$D$128,IT580),SUMIFS(axTER!$E$133:$E$138,axTER!$C$133:$C$138,IT580)*IS$510)*$D$514/10^6</f>
        <v>177.99271955198722</v>
      </c>
      <c r="IQ580" s="274">
        <f>$H580*IF(IU580&lt;&gt;IK580,SUMIFS(axTER!$E$142:$E$148,axTER!$C$142:$C$148,IU580),SUMIFS(axTER!$E$151:$E$157,axTER!$C$151:$C$157,IU580)*IS$510)/10^6*$D$514</f>
        <v>74.756942211834655</v>
      </c>
      <c r="IR580" s="275" t="s">
        <v>271</v>
      </c>
      <c r="IS580" s="161" t="s">
        <v>265</v>
      </c>
      <c r="IT580" s="161" t="s">
        <v>266</v>
      </c>
      <c r="IU580" s="284" t="s">
        <v>256</v>
      </c>
      <c r="IV580" s="276">
        <f>$H580*SUMIFS(axTER!$E$65:$E$105,axTER!$D$65:$D$105,IT580,axTER!$C$65:$C$105,IR580)/SUMIFS(axTER!$E$108:$E$114,axTER!$C$108:$C$114,IU580)/10^9*$D$514</f>
        <v>0.79940589833874964</v>
      </c>
      <c r="JI580" s="273">
        <f t="shared" si="1021"/>
        <v>0</v>
      </c>
      <c r="JJ580" s="273">
        <f>$H580*IF(JN580&lt;&gt;IT580,SUMIFS(axTER!$E$121:$E$128,axTER!$C$121:$C$128,IT580,axTER!$D$121:$D$128,JN580),SUMIFS(axTER!$E$133:$E$138,axTER!$C$133:$C$138,JN580)*JM$510)*$D$514/10^6</f>
        <v>355.98543910397444</v>
      </c>
      <c r="JK580" s="274">
        <f>$H580*IF(JO580&lt;&gt;IU580,SUMIFS(axTER!$E$142:$E$148,axTER!$C$142:$C$148,JO580),SUMIFS(axTER!$E$151:$E$157,axTER!$C$151:$C$157,JO580)*JM$510)/10^6*$D$514</f>
        <v>149.51388442366931</v>
      </c>
      <c r="JL580" s="275" t="s">
        <v>271</v>
      </c>
      <c r="JM580" s="161" t="s">
        <v>265</v>
      </c>
      <c r="JN580" s="161" t="s">
        <v>266</v>
      </c>
      <c r="JO580" s="284" t="s">
        <v>256</v>
      </c>
      <c r="JP580" s="276">
        <f>$H580*SUMIFS(axTER!$E$65:$E$105,axTER!$D$65:$D$105,JN580,axTER!$C$65:$C$105,JL580)/SUMIFS(axTER!$E$108:$E$114,axTER!$C$108:$C$114,JO580)/10^9*$D$514</f>
        <v>0.79940589833874964</v>
      </c>
      <c r="JR580" s="269">
        <v>1200</v>
      </c>
      <c r="JS580" s="66" t="s">
        <v>271</v>
      </c>
      <c r="JT580" s="66" t="s">
        <v>265</v>
      </c>
      <c r="JU580" s="66" t="s">
        <v>266</v>
      </c>
      <c r="JV580" s="283" t="s">
        <v>256</v>
      </c>
      <c r="JW580" s="272">
        <f>$H580*SUMIFS(axTER!$E$65:$E$105,axTER!$C$65:$C$105,JS580,axTER!$D$65:$D$105,JU580)/SUMIFS(axTER!$E$108:$E$114,axTER!$C$108:$C$114,JV580)/10^9*$D$514</f>
        <v>0.79940589833874964</v>
      </c>
      <c r="JY580" s="273">
        <f t="shared" si="1022"/>
        <v>0</v>
      </c>
      <c r="JZ580" s="273">
        <f t="shared" si="1023"/>
        <v>0</v>
      </c>
      <c r="KA580" s="273">
        <f>$H580*IF(KE580&lt;&gt;JU580,SUMIFS(axTER!$E$121:$E$128,axTER!$C$121:$C$128,JU580,axTER!$D$121:$D$128,KE580),SUMIFS(axTER!$E$133:$E$138,axTER!$C$133:$C$138,KE580)*KD$510)*$D$514/10^6</f>
        <v>124.59490368639106</v>
      </c>
      <c r="KB580" s="274">
        <f>$H580*IF(KF580&lt;&gt;JV580,SUMIFS(axTER!$E$142:$E$148,axTER!$C$142:$C$148,KF580),SUMIFS(axTER!$E$151:$E$157,axTER!$C$151:$C$157,KF580)*KD$510)/10^6*$D$514</f>
        <v>52.329859548284254</v>
      </c>
      <c r="KC580" s="275" t="s">
        <v>271</v>
      </c>
      <c r="KD580" s="161" t="s">
        <v>265</v>
      </c>
      <c r="KE580" s="161" t="s">
        <v>266</v>
      </c>
      <c r="KF580" s="284" t="s">
        <v>256</v>
      </c>
      <c r="KG580" s="276">
        <f>$H580*SUMIFS(axTER!$E$65:$E$105,axTER!$D$65:$D$105,KE580,axTER!$C$65:$C$105,KC580)/SUMIFS(axTER!$E$108:$E$114,axTER!$C$108:$C$114,KF580)/10^9*$D$514</f>
        <v>0.79940589833874964</v>
      </c>
      <c r="KS580" s="273" t="str">
        <f t="shared" si="1024"/>
        <v>ELEC-PAC</v>
      </c>
      <c r="KT580" s="273">
        <f t="shared" si="1025"/>
        <v>0</v>
      </c>
      <c r="KU580" s="273">
        <f>$H580*IF(KY580&lt;&gt;KE580,SUMIFS(axTER!$E$121:$E$128,axTER!$C$121:$C$128,KE580,axTER!$D$121:$D$128,KY580),SUMIFS(axTER!$E$133:$E$138,axTER!$C$133:$C$138,KY580)*KX$510)*$D$514/10^6</f>
        <v>355.98543910397444</v>
      </c>
      <c r="KV580" s="274">
        <f>$H580*IF(KZ580&lt;&gt;KF580,SUMIFS(axTER!$E$142:$E$148,axTER!$C$142:$C$148,KZ580),SUMIFS(axTER!$E$151:$E$157,axTER!$C$151:$C$157,KZ580)*KX$510)/10^6*$D$514</f>
        <v>949.29450427726533</v>
      </c>
      <c r="KW580" s="275" t="s">
        <v>271</v>
      </c>
      <c r="KX580" s="161" t="s">
        <v>265</v>
      </c>
      <c r="KY580" s="161" t="s">
        <v>266</v>
      </c>
      <c r="KZ580" s="284" t="s">
        <v>261</v>
      </c>
      <c r="LA580" s="276">
        <f>$H580*SUMIFS(axTER!$E$65:$E$105,axTER!$D$65:$D$105,KY580,axTER!$C$65:$C$105,KW580)/SUMIFS(axTER!$E$108:$E$114,axTER!$C$108:$C$114,KZ580)/10^9*$D$514</f>
        <v>0.25314520114060407</v>
      </c>
      <c r="LC580" s="269">
        <v>1200</v>
      </c>
      <c r="LD580" s="66" t="s">
        <v>271</v>
      </c>
      <c r="LE580" s="66" t="s">
        <v>265</v>
      </c>
      <c r="LF580" s="66" t="s">
        <v>266</v>
      </c>
      <c r="LG580" s="283" t="s">
        <v>256</v>
      </c>
      <c r="LH580" s="272">
        <f>$H580*SUMIFS(axTER!$E$65:$E$105,axTER!$C$65:$C$105,LD580,axTER!$D$65:$D$105,LF580)/SUMIFS(axTER!$E$108:$E$114,axTER!$C$108:$C$114,LG580)/10^9*$D$514</f>
        <v>0.79940589833874964</v>
      </c>
      <c r="LJ580" s="273">
        <f t="shared" si="1026"/>
        <v>0</v>
      </c>
      <c r="LK580" s="273">
        <f t="shared" si="1017"/>
        <v>0</v>
      </c>
      <c r="LL580" s="273">
        <f>$H580*IF(LP580&lt;&gt;LF580,SUMIFS(axTER!$E$121:$E$128,axTER!$C$121:$C$128,LF580,axTER!$D$121:$D$128,LP580),SUMIFS(axTER!$E$133:$E$138,axTER!$C$133:$C$138,LP580)*LO$510)*$D$514/10^6</f>
        <v>124.59490368639106</v>
      </c>
      <c r="LM580" s="274">
        <f>$H580*IF(LQ580&lt;&gt;LG580,SUMIFS(axTER!$E$142:$E$148,axTER!$C$142:$C$148,LQ580),SUMIFS(axTER!$E$151:$E$157,axTER!$C$151:$C$157,LQ580)*LO$510)/10^6*$D$514</f>
        <v>52.329859548284254</v>
      </c>
      <c r="LN580" s="275" t="s">
        <v>271</v>
      </c>
      <c r="LO580" s="161" t="s">
        <v>265</v>
      </c>
      <c r="LP580" s="161" t="s">
        <v>266</v>
      </c>
      <c r="LQ580" s="161" t="s">
        <v>256</v>
      </c>
      <c r="LR580" s="276">
        <f>$H580*SUMIFS(axTER!$E$65:$E$105,axTER!$D$65:$D$105,LP580,axTER!$C$65:$C$105,LN580)/SUMIFS(axTER!$E$108:$E$114,axTER!$C$108:$C$114,LQ580)/10^9*$D$514</f>
        <v>0.79940589833874964</v>
      </c>
      <c r="LT580" s="273">
        <f t="shared" si="1027"/>
        <v>0</v>
      </c>
      <c r="LU580" s="273">
        <f t="shared" si="1028"/>
        <v>0</v>
      </c>
      <c r="LV580" s="273">
        <f>$H580*IF(LZ580&lt;&gt;LP580,SUMIFS(axTER!$E$121:$E$128,axTER!$C$121:$C$128,LP580,axTER!$D$121:$D$128,LZ580),SUMIFS(axTER!$E$133:$E$138,axTER!$C$133:$C$138,LZ580)*LY$510)*$D$514/10^6</f>
        <v>177.99271955198722</v>
      </c>
      <c r="LW580" s="274">
        <f>$H580*IF(MA580&lt;&gt;LQ580,SUMIFS(axTER!$E$142:$E$148,axTER!$C$142:$C$148,MA580),SUMIFS(axTER!$E$151:$E$157,axTER!$C$151:$C$157,MA580)*LY$510)/10^6*$D$514</f>
        <v>74.756942211834655</v>
      </c>
      <c r="LX580" s="275" t="s">
        <v>271</v>
      </c>
      <c r="LY580" s="161" t="s">
        <v>265</v>
      </c>
      <c r="LZ580" s="161" t="s">
        <v>266</v>
      </c>
      <c r="MA580" s="161" t="s">
        <v>256</v>
      </c>
      <c r="MB580" s="276">
        <f>$H580*SUMIFS(axTER!$E$65:$E$105,axTER!$D$65:$D$105,LZ580,axTER!$C$65:$C$105,LX580)/SUMIFS(axTER!$E$108:$E$114,axTER!$C$108:$C$114,MA580)/10^9*$D$514</f>
        <v>0.79940589833874964</v>
      </c>
      <c r="MD580" s="273">
        <f t="shared" si="1019"/>
        <v>0</v>
      </c>
      <c r="ME580" s="273">
        <f t="shared" si="1029"/>
        <v>0</v>
      </c>
      <c r="MF580" s="273">
        <f>$H580*IF(MJ580&lt;&gt;LZ580,SUMIFS(axTER!$E$121:$E$128,axTER!$C$121:$C$128,LZ580,axTER!$D$121:$D$128,MJ580),SUMIFS(axTER!$E$133:$E$138,axTER!$C$133:$C$138,MJ580)*MI$510)*$D$514/10^6</f>
        <v>177.99271955198722</v>
      </c>
      <c r="MG580" s="274">
        <f>$H580*IF(MK580&lt;&gt;MA580,SUMIFS(axTER!$E$142:$E$148,axTER!$C$142:$C$148,MK580),SUMIFS(axTER!$E$151:$E$157,axTER!$C$151:$C$157,MK580)*MI$510)/10^6*$D$514</f>
        <v>74.756942211834655</v>
      </c>
      <c r="MH580" s="275" t="s">
        <v>271</v>
      </c>
      <c r="MI580" s="161" t="s">
        <v>265</v>
      </c>
      <c r="MJ580" s="161" t="s">
        <v>266</v>
      </c>
      <c r="MK580" s="429" t="s">
        <v>256</v>
      </c>
      <c r="ML580" s="276">
        <f>$H580*SUMIFS(axTER!$E$65:$E$105,axTER!$D$65:$D$105,MJ580,axTER!$C$65:$C$105,MH580)/SUMIFS(axTER!$E$108:$E$114,axTER!$C$108:$C$114,MK580)/10^9*$D$514</f>
        <v>0.79940589833874964</v>
      </c>
    </row>
    <row r="581" spans="3:350" outlineLevel="1" x14ac:dyDescent="0.3">
      <c r="C581" s="265"/>
      <c r="D581" s="289"/>
      <c r="F581" s="266"/>
      <c r="H581" s="269">
        <v>1200</v>
      </c>
      <c r="I581" s="66" t="s">
        <v>271</v>
      </c>
      <c r="J581" s="66" t="s">
        <v>265</v>
      </c>
      <c r="K581" s="66" t="s">
        <v>266</v>
      </c>
      <c r="L581" s="283" t="s">
        <v>256</v>
      </c>
      <c r="M581" s="272">
        <f>$H581*SUMIFS(axTER!$E$65:$E$105,axTER!$C$65:$C$105,I581,axTER!$D$65:$D$105,K581)/SUMIFS(axTER!$E$108:$E$114,axTER!$C$108:$C$114,L581)/10^9*$D$514</f>
        <v>0.79940589833874964</v>
      </c>
      <c r="S581" s="269">
        <v>1200</v>
      </c>
      <c r="T581" s="66" t="s">
        <v>271</v>
      </c>
      <c r="U581" s="66" t="s">
        <v>265</v>
      </c>
      <c r="V581" s="66" t="s">
        <v>266</v>
      </c>
      <c r="W581" s="283" t="s">
        <v>256</v>
      </c>
      <c r="X581" s="272">
        <f>$H581*SUMIFS(axTER!$E$65:$E$105,axTER!$C$65:$C$105,T581,axTER!$D$65:$D$105,V581)/SUMIFS(axTER!$E$108:$E$114,axTER!$C$108:$C$114,W581)/10^9*$D$514</f>
        <v>0.79940589833874964</v>
      </c>
      <c r="AB581" s="273">
        <f>$H581*IF(AF581&lt;&gt;K581,SUMIFS(axTER!$E$121:$E$128,axTER!$C$121:$C$128,K581,axTER!$D$121:$D$128,AF581),SUMIFS(axTER!$E$133:$E$138,axTER!$C$133:$C$138,AF581)*AE$510)*$D$514/10^6</f>
        <v>177.99271955198722</v>
      </c>
      <c r="AC581" s="274">
        <f>$H581*IF(AG581&lt;&gt;L581,SUMIFS(axTER!$E$142:$E$148,axTER!$C$142:$C$148,AG581),SUMIFS(axTER!$E$151:$E$157,axTER!$C$151:$C$157,AG581)*AE$510)/10^6*$D$514</f>
        <v>74.756942211834655</v>
      </c>
      <c r="AD581" s="275" t="s">
        <v>271</v>
      </c>
      <c r="AE581" s="161" t="s">
        <v>265</v>
      </c>
      <c r="AF581" s="161" t="s">
        <v>266</v>
      </c>
      <c r="AG581" s="284" t="s">
        <v>256</v>
      </c>
      <c r="AH581" s="276">
        <f>$H581*SUMIFS(axTER!$E$65:$E$105,axTER!$D$65:$D$105,AF581,axTER!$C$65:$C$105,AD581)/SUMIFS(axTER!$E$108:$E$114,axTER!$C$108:$C$114,AG581)/10^9*$D$514</f>
        <v>0.79940589833874964</v>
      </c>
      <c r="AV581" s="273">
        <f>$H581*IF(AZ581&lt;&gt;AF581,SUMIFS(axTER!$E$121:$E$128,axTER!$C$121:$C$128,AF581,axTER!$D$121:$D$128,AZ581),SUMIFS(axTER!$E$133:$E$138,axTER!$C$133:$C$138,AZ581)*AY$510)*$D$514/10^6</f>
        <v>355.98543910397444</v>
      </c>
      <c r="AW581" s="274">
        <f>$H581*IF(BA581&lt;&gt;AG581,SUMIFS(axTER!$E$142:$E$148,axTER!$C$142:$C$148,BA581),SUMIFS(axTER!$E$151:$E$157,axTER!$C$151:$C$157,BA581)*AY$510)/10^6*$D$514</f>
        <v>149.51388442366931</v>
      </c>
      <c r="AX581" s="275" t="s">
        <v>271</v>
      </c>
      <c r="AY581" s="161" t="s">
        <v>265</v>
      </c>
      <c r="AZ581" s="161" t="s">
        <v>266</v>
      </c>
      <c r="BA581" s="284" t="s">
        <v>256</v>
      </c>
      <c r="BB581" s="276">
        <f>$H581*SUMIFS(axTER!$E$65:$E$105,axTER!$D$65:$D$105,AZ581,axTER!$C$65:$C$105,AX581)/SUMIFS(axTER!$E$108:$E$114,axTER!$C$108:$C$114,BA581)/10^9*$D$514</f>
        <v>0.79940589833874964</v>
      </c>
      <c r="IG581" s="269">
        <v>1200</v>
      </c>
      <c r="IH581" s="66" t="s">
        <v>271</v>
      </c>
      <c r="II581" s="66" t="s">
        <v>265</v>
      </c>
      <c r="IJ581" s="66" t="s">
        <v>266</v>
      </c>
      <c r="IK581" s="283" t="s">
        <v>256</v>
      </c>
      <c r="IL581" s="272">
        <f>$H581*SUMIFS(axTER!$E$65:$E$105,axTER!$C$65:$C$105,IH581,axTER!$D$65:$D$105,IJ581)/SUMIFS(axTER!$E$108:$E$114,axTER!$C$108:$C$114,IK581)/10^9*$D$514</f>
        <v>0.79940589833874964</v>
      </c>
      <c r="IO581" s="273">
        <f t="shared" si="1020"/>
        <v>0</v>
      </c>
      <c r="IP581" s="273">
        <f>$H581*IF(IT581&lt;&gt;IJ581,SUMIFS(axTER!$E$121:$E$128,axTER!$C$121:$C$128,IJ581,axTER!$D$121:$D$128,IT581),SUMIFS(axTER!$E$133:$E$138,axTER!$C$133:$C$138,IT581)*IS$510)*$D$514/10^6</f>
        <v>177.99271955198722</v>
      </c>
      <c r="IQ581" s="274">
        <f>$H581*IF(IU581&lt;&gt;IK581,SUMIFS(axTER!$E$142:$E$148,axTER!$C$142:$C$148,IU581),SUMIFS(axTER!$E$151:$E$157,axTER!$C$151:$C$157,IU581)*IS$510)/10^6*$D$514</f>
        <v>74.756942211834655</v>
      </c>
      <c r="IR581" s="275" t="s">
        <v>271</v>
      </c>
      <c r="IS581" s="161" t="s">
        <v>265</v>
      </c>
      <c r="IT581" s="161" t="s">
        <v>266</v>
      </c>
      <c r="IU581" s="284" t="s">
        <v>256</v>
      </c>
      <c r="IV581" s="276">
        <f>$H581*SUMIFS(axTER!$E$65:$E$105,axTER!$D$65:$D$105,IT581,axTER!$C$65:$C$105,IR581)/SUMIFS(axTER!$E$108:$E$114,axTER!$C$108:$C$114,IU581)/10^9*$D$514</f>
        <v>0.79940589833874964</v>
      </c>
      <c r="JI581" s="273">
        <f t="shared" si="1021"/>
        <v>0</v>
      </c>
      <c r="JJ581" s="273">
        <f>$H581*IF(JN581&lt;&gt;IT581,SUMIFS(axTER!$E$121:$E$128,axTER!$C$121:$C$128,IT581,axTER!$D$121:$D$128,JN581),SUMIFS(axTER!$E$133:$E$138,axTER!$C$133:$C$138,JN581)*JM$510)*$D$514/10^6</f>
        <v>355.98543910397444</v>
      </c>
      <c r="JK581" s="274">
        <f>$H581*IF(JO581&lt;&gt;IU581,SUMIFS(axTER!$E$142:$E$148,axTER!$C$142:$C$148,JO581),SUMIFS(axTER!$E$151:$E$157,axTER!$C$151:$C$157,JO581)*JM$510)/10^6*$D$514</f>
        <v>149.51388442366931</v>
      </c>
      <c r="JL581" s="275" t="s">
        <v>271</v>
      </c>
      <c r="JM581" s="161" t="s">
        <v>265</v>
      </c>
      <c r="JN581" s="161" t="s">
        <v>266</v>
      </c>
      <c r="JO581" s="284" t="s">
        <v>256</v>
      </c>
      <c r="JP581" s="276">
        <f>$H581*SUMIFS(axTER!$E$65:$E$105,axTER!$D$65:$D$105,JN581,axTER!$C$65:$C$105,JL581)/SUMIFS(axTER!$E$108:$E$114,axTER!$C$108:$C$114,JO581)/10^9*$D$514</f>
        <v>0.79940589833874964</v>
      </c>
      <c r="JR581" s="269">
        <v>1200</v>
      </c>
      <c r="JS581" s="66" t="s">
        <v>271</v>
      </c>
      <c r="JT581" s="66" t="s">
        <v>265</v>
      </c>
      <c r="JU581" s="66" t="s">
        <v>266</v>
      </c>
      <c r="JV581" s="283" t="s">
        <v>256</v>
      </c>
      <c r="JW581" s="272">
        <f>$H581*SUMIFS(axTER!$E$65:$E$105,axTER!$C$65:$C$105,JS581,axTER!$D$65:$D$105,JU581)/SUMIFS(axTER!$E$108:$E$114,axTER!$C$108:$C$114,JV581)/10^9*$D$514</f>
        <v>0.79940589833874964</v>
      </c>
      <c r="JY581" s="273">
        <f t="shared" si="1022"/>
        <v>0</v>
      </c>
      <c r="JZ581" s="273">
        <f t="shared" si="1023"/>
        <v>0</v>
      </c>
      <c r="KA581" s="273">
        <f>$H581*IF(KE581&lt;&gt;JU581,SUMIFS(axTER!$E$121:$E$128,axTER!$C$121:$C$128,JU581,axTER!$D$121:$D$128,KE581),SUMIFS(axTER!$E$133:$E$138,axTER!$C$133:$C$138,KE581)*KD$510)*$D$514/10^6</f>
        <v>124.59490368639106</v>
      </c>
      <c r="KB581" s="274">
        <f>$H581*IF(KF581&lt;&gt;JV581,SUMIFS(axTER!$E$142:$E$148,axTER!$C$142:$C$148,KF581),SUMIFS(axTER!$E$151:$E$157,axTER!$C$151:$C$157,KF581)*KD$510)/10^6*$D$514</f>
        <v>52.329859548284254</v>
      </c>
      <c r="KC581" s="275" t="s">
        <v>271</v>
      </c>
      <c r="KD581" s="161" t="s">
        <v>265</v>
      </c>
      <c r="KE581" s="161" t="s">
        <v>266</v>
      </c>
      <c r="KF581" s="284" t="s">
        <v>256</v>
      </c>
      <c r="KG581" s="276">
        <f>$H581*SUMIFS(axTER!$E$65:$E$105,axTER!$D$65:$D$105,KE581,axTER!$C$65:$C$105,KC581)/SUMIFS(axTER!$E$108:$E$114,axTER!$C$108:$C$114,KF581)/10^9*$D$514</f>
        <v>0.79940589833874964</v>
      </c>
      <c r="KS581" s="273">
        <f t="shared" si="1024"/>
        <v>0</v>
      </c>
      <c r="KT581" s="273">
        <f t="shared" si="1025"/>
        <v>0</v>
      </c>
      <c r="KU581" s="273">
        <f>$H581*IF(KY581&lt;&gt;KE581,SUMIFS(axTER!$E$121:$E$128,axTER!$C$121:$C$128,KE581,axTER!$D$121:$D$128,KY581),SUMIFS(axTER!$E$133:$E$138,axTER!$C$133:$C$138,KY581)*KX$510)*$D$514/10^6</f>
        <v>355.98543910397444</v>
      </c>
      <c r="KV581" s="274">
        <f>$H581*IF(KZ581&lt;&gt;KF581,SUMIFS(axTER!$E$142:$E$148,axTER!$C$142:$C$148,KZ581),SUMIFS(axTER!$E$151:$E$157,axTER!$C$151:$C$157,KZ581)*KX$510)/10^6*$D$514</f>
        <v>149.51388442366931</v>
      </c>
      <c r="KW581" s="275" t="s">
        <v>271</v>
      </c>
      <c r="KX581" s="161" t="s">
        <v>265</v>
      </c>
      <c r="KY581" s="161" t="s">
        <v>266</v>
      </c>
      <c r="KZ581" s="284" t="s">
        <v>256</v>
      </c>
      <c r="LA581" s="276">
        <f>$H581*SUMIFS(axTER!$E$65:$E$105,axTER!$D$65:$D$105,KY581,axTER!$C$65:$C$105,KW581)/SUMIFS(axTER!$E$108:$E$114,axTER!$C$108:$C$114,KZ581)/10^9*$D$514</f>
        <v>0.79940589833874964</v>
      </c>
      <c r="LC581" s="269">
        <v>1200</v>
      </c>
      <c r="LD581" s="66" t="s">
        <v>271</v>
      </c>
      <c r="LE581" s="66" t="s">
        <v>265</v>
      </c>
      <c r="LF581" s="66" t="s">
        <v>266</v>
      </c>
      <c r="LG581" s="283" t="s">
        <v>256</v>
      </c>
      <c r="LH581" s="272">
        <f>$H581*SUMIFS(axTER!$E$65:$E$105,axTER!$C$65:$C$105,LD581,axTER!$D$65:$D$105,LF581)/SUMIFS(axTER!$E$108:$E$114,axTER!$C$108:$C$114,LG581)/10^9*$D$514</f>
        <v>0.79940589833874964</v>
      </c>
      <c r="LJ581" s="273">
        <f t="shared" si="1026"/>
        <v>0</v>
      </c>
      <c r="LK581" s="273">
        <f t="shared" si="1017"/>
        <v>0</v>
      </c>
      <c r="LL581" s="273">
        <f>$H581*IF(LP581&lt;&gt;LF581,SUMIFS(axTER!$E$121:$E$128,axTER!$C$121:$C$128,LF581,axTER!$D$121:$D$128,LP581),SUMIFS(axTER!$E$133:$E$138,axTER!$C$133:$C$138,LP581)*LO$510)*$D$514/10^6</f>
        <v>124.59490368639106</v>
      </c>
      <c r="LM581" s="274">
        <f>$H581*IF(LQ581&lt;&gt;LG581,SUMIFS(axTER!$E$142:$E$148,axTER!$C$142:$C$148,LQ581),SUMIFS(axTER!$E$151:$E$157,axTER!$C$151:$C$157,LQ581)*LO$510)/10^6*$D$514</f>
        <v>52.329859548284254</v>
      </c>
      <c r="LN581" s="275" t="s">
        <v>271</v>
      </c>
      <c r="LO581" s="161" t="s">
        <v>265</v>
      </c>
      <c r="LP581" s="161" t="s">
        <v>266</v>
      </c>
      <c r="LQ581" s="161" t="s">
        <v>256</v>
      </c>
      <c r="LR581" s="276">
        <f>$H581*SUMIFS(axTER!$E$65:$E$105,axTER!$D$65:$D$105,LP581,axTER!$C$65:$C$105,LN581)/SUMIFS(axTER!$E$108:$E$114,axTER!$C$108:$C$114,LQ581)/10^9*$D$514</f>
        <v>0.79940589833874964</v>
      </c>
      <c r="LT581" s="273" t="str">
        <f t="shared" si="1027"/>
        <v>ELEC-PAC</v>
      </c>
      <c r="LU581" s="273">
        <f t="shared" si="1028"/>
        <v>0</v>
      </c>
      <c r="LV581" s="273">
        <f>$H581*IF(LZ581&lt;&gt;LP581,SUMIFS(axTER!$E$121:$E$128,axTER!$C$121:$C$128,LP581,axTER!$D$121:$D$128,LZ581),SUMIFS(axTER!$E$133:$E$138,axTER!$C$133:$C$138,LZ581)*LY$510)*$D$514/10^6</f>
        <v>177.99271955198722</v>
      </c>
      <c r="LW581" s="274">
        <f>$H581*IF(MA581&lt;&gt;LQ581,SUMIFS(axTER!$E$142:$E$148,axTER!$C$142:$C$148,MA581),SUMIFS(axTER!$E$151:$E$157,axTER!$C$151:$C$157,MA581)*LY$510)/10^6*$D$514</f>
        <v>949.29450427726533</v>
      </c>
      <c r="LX581" s="275" t="s">
        <v>271</v>
      </c>
      <c r="LY581" s="161" t="s">
        <v>265</v>
      </c>
      <c r="LZ581" s="161" t="s">
        <v>266</v>
      </c>
      <c r="MA581" s="429" t="s">
        <v>261</v>
      </c>
      <c r="MB581" s="276">
        <f>$H581*SUMIFS(axTER!$E$65:$E$105,axTER!$D$65:$D$105,LZ581,axTER!$C$65:$C$105,LX581)/SUMIFS(axTER!$E$108:$E$114,axTER!$C$108:$C$114,MA581)/10^9*$D$514</f>
        <v>0.25314520114060407</v>
      </c>
      <c r="MD581" s="273">
        <f t="shared" si="1019"/>
        <v>0</v>
      </c>
      <c r="ME581" s="273">
        <f t="shared" si="1029"/>
        <v>0</v>
      </c>
      <c r="MF581" s="273">
        <f>$H581*IF(MJ581&lt;&gt;LZ581,SUMIFS(axTER!$E$121:$E$128,axTER!$C$121:$C$128,LZ581,axTER!$D$121:$D$128,MJ581),SUMIFS(axTER!$E$133:$E$138,axTER!$C$133:$C$138,MJ581)*MI$510)*$D$514/10^6</f>
        <v>177.99271955198722</v>
      </c>
      <c r="MG581" s="274">
        <f>$H581*IF(MK581&lt;&gt;MA581,SUMIFS(axTER!$E$142:$E$148,axTER!$C$142:$C$148,MK581),SUMIFS(axTER!$E$151:$E$157,axTER!$C$151:$C$157,MK581)*MI$510)/10^6*$D$514</f>
        <v>332.25307649704291</v>
      </c>
      <c r="MH581" s="275" t="s">
        <v>271</v>
      </c>
      <c r="MI581" s="161" t="s">
        <v>265</v>
      </c>
      <c r="MJ581" s="161" t="s">
        <v>266</v>
      </c>
      <c r="MK581" s="161" t="s">
        <v>261</v>
      </c>
      <c r="ML581" s="276">
        <f>$H581*SUMIFS(axTER!$E$65:$E$105,axTER!$D$65:$D$105,MJ581,axTER!$C$65:$C$105,MH581)/SUMIFS(axTER!$E$108:$E$114,axTER!$C$108:$C$114,MK581)/10^9*$D$514</f>
        <v>0.25314520114060407</v>
      </c>
    </row>
    <row r="582" spans="3:350" outlineLevel="1" x14ac:dyDescent="0.3">
      <c r="C582" s="265"/>
      <c r="D582" s="69"/>
      <c r="F582" s="266"/>
      <c r="H582" s="269">
        <v>1200</v>
      </c>
      <c r="I582" s="66" t="s">
        <v>271</v>
      </c>
      <c r="J582" s="66" t="s">
        <v>265</v>
      </c>
      <c r="K582" s="66" t="s">
        <v>266</v>
      </c>
      <c r="L582" s="283" t="s">
        <v>267</v>
      </c>
      <c r="M582" s="272">
        <f>$H582*SUMIFS(axTER!$E$65:$E$105,axTER!$C$65:$C$105,I582,axTER!$D$65:$D$105,K582)/SUMIFS(axTER!$E$108:$E$114,axTER!$C$108:$C$114,L582)/10^9*$D$514</f>
        <v>0.84381733713534679</v>
      </c>
      <c r="S582" s="269">
        <v>1200</v>
      </c>
      <c r="T582" s="66" t="s">
        <v>271</v>
      </c>
      <c r="U582" s="66" t="s">
        <v>265</v>
      </c>
      <c r="V582" s="66" t="s">
        <v>266</v>
      </c>
      <c r="W582" s="283" t="s">
        <v>267</v>
      </c>
      <c r="X582" s="272">
        <f>$H582*SUMIFS(axTER!$E$65:$E$105,axTER!$C$65:$C$105,T582,axTER!$D$65:$D$105,V582)/SUMIFS(axTER!$E$108:$E$114,axTER!$C$108:$C$114,W582)/10^9*$D$514</f>
        <v>0.84381733713534679</v>
      </c>
      <c r="AB582" s="273">
        <f>$H582*IF(AF582&lt;&gt;K582,SUMIFS(axTER!$E$121:$E$128,axTER!$C$121:$C$128,K582,axTER!$D$121:$D$128,AF582),SUMIFS(axTER!$E$133:$E$138,axTER!$C$133:$C$138,AF582)*AE$510)*$D$514/10^6</f>
        <v>177.99271955198722</v>
      </c>
      <c r="AC582" s="274">
        <f>$H582*IF(AG582&lt;&gt;L582,SUMIFS(axTER!$E$142:$E$148,axTER!$C$142:$C$148,AG582),SUMIFS(axTER!$E$151:$E$157,axTER!$C$151:$C$157,AG582)*AE$510)/10^6*$D$514</f>
        <v>99.675922949112859</v>
      </c>
      <c r="AD582" s="275" t="s">
        <v>271</v>
      </c>
      <c r="AE582" s="161" t="s">
        <v>265</v>
      </c>
      <c r="AF582" s="161" t="s">
        <v>266</v>
      </c>
      <c r="AG582" s="284" t="s">
        <v>267</v>
      </c>
      <c r="AH582" s="276">
        <f>$H582*SUMIFS(axTER!$E$65:$E$105,axTER!$D$65:$D$105,AF582,axTER!$C$65:$C$105,AD582)/SUMIFS(axTER!$E$108:$E$114,axTER!$C$108:$C$114,AG582)/10^9*$D$514</f>
        <v>0.84381733713534679</v>
      </c>
      <c r="AV582" s="273">
        <f>$H582*IF(AZ582&lt;&gt;AF582,SUMIFS(axTER!$E$121:$E$128,axTER!$C$121:$C$128,AF582,axTER!$D$121:$D$128,AZ582),SUMIFS(axTER!$E$133:$E$138,axTER!$C$133:$C$138,AZ582)*AY$510)*$D$514/10^6</f>
        <v>355.98543910397444</v>
      </c>
      <c r="AW582" s="274">
        <f>$H582*IF(BA582&lt;&gt;AG582,SUMIFS(axTER!$E$142:$E$148,axTER!$C$142:$C$148,BA582),SUMIFS(axTER!$E$151:$E$157,axTER!$C$151:$C$157,BA582)*AY$510)/10^6*$D$514</f>
        <v>949.29450427726533</v>
      </c>
      <c r="AX582" s="275" t="s">
        <v>271</v>
      </c>
      <c r="AY582" s="161" t="s">
        <v>265</v>
      </c>
      <c r="AZ582" s="161" t="s">
        <v>266</v>
      </c>
      <c r="BA582" s="284" t="s">
        <v>261</v>
      </c>
      <c r="BB582" s="276">
        <f>$H582*SUMIFS(axTER!$E$65:$E$105,axTER!$D$65:$D$105,AZ582,axTER!$C$65:$C$105,AX582)/SUMIFS(axTER!$E$108:$E$114,axTER!$C$108:$C$114,BA582)/10^9*$D$514</f>
        <v>0.25314520114060407</v>
      </c>
      <c r="IG582" s="269">
        <v>1200</v>
      </c>
      <c r="IH582" s="66" t="s">
        <v>271</v>
      </c>
      <c r="II582" s="66" t="s">
        <v>265</v>
      </c>
      <c r="IJ582" s="66" t="s">
        <v>266</v>
      </c>
      <c r="IK582" s="283" t="s">
        <v>267</v>
      </c>
      <c r="IL582" s="272">
        <f>$H582*SUMIFS(axTER!$E$65:$E$105,axTER!$C$65:$C$105,IH582,axTER!$D$65:$D$105,IJ582)/SUMIFS(axTER!$E$108:$E$114,axTER!$C$108:$C$114,IK582)/10^9*$D$514</f>
        <v>0.84381733713534679</v>
      </c>
      <c r="IO582" s="273">
        <f t="shared" si="1020"/>
        <v>0</v>
      </c>
      <c r="IP582" s="273">
        <f>$H582*IF(IT582&lt;&gt;IJ582,SUMIFS(axTER!$E$121:$E$128,axTER!$C$121:$C$128,IJ582,axTER!$D$121:$D$128,IT582),SUMIFS(axTER!$E$133:$E$138,axTER!$C$133:$C$138,IT582)*IS$510)*$D$514/10^6</f>
        <v>177.99271955198722</v>
      </c>
      <c r="IQ582" s="274">
        <f>$H582*IF(IU582&lt;&gt;IK582,SUMIFS(axTER!$E$142:$E$148,axTER!$C$142:$C$148,IU582),SUMIFS(axTER!$E$151:$E$157,axTER!$C$151:$C$157,IU582)*IS$510)/10^6*$D$514</f>
        <v>99.675922949112859</v>
      </c>
      <c r="IR582" s="275" t="s">
        <v>271</v>
      </c>
      <c r="IS582" s="161" t="s">
        <v>265</v>
      </c>
      <c r="IT582" s="161" t="s">
        <v>266</v>
      </c>
      <c r="IU582" s="284" t="s">
        <v>267</v>
      </c>
      <c r="IV582" s="276">
        <f>$H582*SUMIFS(axTER!$E$65:$E$105,axTER!$D$65:$D$105,IT582,axTER!$C$65:$C$105,IR582)/SUMIFS(axTER!$E$108:$E$114,axTER!$C$108:$C$114,IU582)/10^9*$D$514</f>
        <v>0.84381733713534679</v>
      </c>
      <c r="JI582" s="273">
        <f t="shared" si="1021"/>
        <v>0</v>
      </c>
      <c r="JJ582" s="273">
        <f>$H582*IF(JN582&lt;&gt;IT582,SUMIFS(axTER!$E$121:$E$128,axTER!$C$121:$C$128,IT582,axTER!$D$121:$D$128,JN582),SUMIFS(axTER!$E$133:$E$138,axTER!$C$133:$C$138,JN582)*JM$510)*$D$514/10^6</f>
        <v>355.98543910397444</v>
      </c>
      <c r="JK582" s="274">
        <f>$H582*IF(JO582&lt;&gt;IU582,SUMIFS(axTER!$E$142:$E$148,axTER!$C$142:$C$148,JO582),SUMIFS(axTER!$E$151:$E$157,axTER!$C$151:$C$157,JO582)*JM$510)/10^6*$D$514</f>
        <v>199.35184589822572</v>
      </c>
      <c r="JL582" s="275" t="s">
        <v>271</v>
      </c>
      <c r="JM582" s="161" t="s">
        <v>265</v>
      </c>
      <c r="JN582" s="161" t="s">
        <v>266</v>
      </c>
      <c r="JO582" s="284" t="s">
        <v>267</v>
      </c>
      <c r="JP582" s="276">
        <f>$H582*SUMIFS(axTER!$E$65:$E$105,axTER!$D$65:$D$105,JN582,axTER!$C$65:$C$105,JL582)/SUMIFS(axTER!$E$108:$E$114,axTER!$C$108:$C$114,JO582)/10^9*$D$514</f>
        <v>0.84381733713534679</v>
      </c>
      <c r="JR582" s="269">
        <v>1200</v>
      </c>
      <c r="JS582" s="66" t="s">
        <v>271</v>
      </c>
      <c r="JT582" s="66" t="s">
        <v>265</v>
      </c>
      <c r="JU582" s="66" t="s">
        <v>266</v>
      </c>
      <c r="JV582" s="283" t="s">
        <v>267</v>
      </c>
      <c r="JW582" s="272">
        <f>$H582*SUMIFS(axTER!$E$65:$E$105,axTER!$C$65:$C$105,JS582,axTER!$D$65:$D$105,JU582)/SUMIFS(axTER!$E$108:$E$114,axTER!$C$108:$C$114,JV582)/10^9*$D$514</f>
        <v>0.84381733713534679</v>
      </c>
      <c r="JY582" s="273" t="str">
        <f t="shared" si="1022"/>
        <v>ELEC-PAC</v>
      </c>
      <c r="JZ582" s="273">
        <f t="shared" si="1023"/>
        <v>0</v>
      </c>
      <c r="KA582" s="273">
        <f>$H582*IF(KE582&lt;&gt;JU582,SUMIFS(axTER!$E$121:$E$128,axTER!$C$121:$C$128,JU582,axTER!$D$121:$D$128,KE582),SUMIFS(axTER!$E$133:$E$138,axTER!$C$133:$C$138,KE582)*KD$510)*$D$514/10^6</f>
        <v>124.59490368639106</v>
      </c>
      <c r="KB582" s="274">
        <f>$H582*IF(KF582&lt;&gt;JV582,SUMIFS(axTER!$E$142:$E$148,axTER!$C$142:$C$148,KF582),SUMIFS(axTER!$E$151:$E$157,axTER!$C$151:$C$157,KF582)*KD$510)/10^6*$D$514</f>
        <v>949.29450427726533</v>
      </c>
      <c r="KC582" s="275" t="s">
        <v>271</v>
      </c>
      <c r="KD582" s="161" t="s">
        <v>265</v>
      </c>
      <c r="KE582" s="161" t="s">
        <v>266</v>
      </c>
      <c r="KF582" s="284" t="s">
        <v>261</v>
      </c>
      <c r="KG582" s="276">
        <f>$H582*SUMIFS(axTER!$E$65:$E$105,axTER!$D$65:$D$105,KE582,axTER!$C$65:$C$105,KC582)/SUMIFS(axTER!$E$108:$E$114,axTER!$C$108:$C$114,KF582)/10^9*$D$514</f>
        <v>0.25314520114060407</v>
      </c>
      <c r="KS582" s="273">
        <f t="shared" si="1024"/>
        <v>0</v>
      </c>
      <c r="KT582" s="273">
        <f t="shared" si="1025"/>
        <v>0</v>
      </c>
      <c r="KU582" s="273">
        <f>$H582*IF(KY582&lt;&gt;KE582,SUMIFS(axTER!$E$121:$E$128,axTER!$C$121:$C$128,KE582,axTER!$D$121:$D$128,KY582),SUMIFS(axTER!$E$133:$E$138,axTER!$C$133:$C$138,KY582)*KX$510)*$D$514/10^6</f>
        <v>355.98543910397444</v>
      </c>
      <c r="KV582" s="274">
        <f>$H582*IF(KZ582&lt;&gt;KF582,SUMIFS(axTER!$E$142:$E$148,axTER!$C$142:$C$148,KZ582),SUMIFS(axTER!$E$151:$E$157,axTER!$C$151:$C$157,KZ582)*KX$510)/10^6*$D$514</f>
        <v>664.50615299408582</v>
      </c>
      <c r="KW582" s="275" t="s">
        <v>271</v>
      </c>
      <c r="KX582" s="161" t="s">
        <v>265</v>
      </c>
      <c r="KY582" s="161" t="s">
        <v>266</v>
      </c>
      <c r="KZ582" s="284" t="s">
        <v>261</v>
      </c>
      <c r="LA582" s="276">
        <f>$H582*SUMIFS(axTER!$E$65:$E$105,axTER!$D$65:$D$105,KY582,axTER!$C$65:$C$105,KW582)/SUMIFS(axTER!$E$108:$E$114,axTER!$C$108:$C$114,KZ582)/10^9*$D$514</f>
        <v>0.25314520114060407</v>
      </c>
      <c r="LC582" s="269">
        <v>1200</v>
      </c>
      <c r="LD582" s="66" t="s">
        <v>271</v>
      </c>
      <c r="LE582" s="66" t="s">
        <v>265</v>
      </c>
      <c r="LF582" s="66" t="s">
        <v>266</v>
      </c>
      <c r="LG582" s="283" t="s">
        <v>267</v>
      </c>
      <c r="LH582" s="272">
        <f>$H582*SUMIFS(axTER!$E$65:$E$105,axTER!$C$65:$C$105,LD582,axTER!$D$65:$D$105,LF582)/SUMIFS(axTER!$E$108:$E$114,axTER!$C$108:$C$114,LG582)/10^9*$D$514</f>
        <v>0.84381733713534679</v>
      </c>
      <c r="LJ582" s="273" t="str">
        <f t="shared" si="1026"/>
        <v>ELEC-PAC</v>
      </c>
      <c r="LK582" s="273">
        <f t="shared" si="1017"/>
        <v>0</v>
      </c>
      <c r="LL582" s="273">
        <f>$H582*IF(LP582&lt;&gt;LF582,SUMIFS(axTER!$E$121:$E$128,axTER!$C$121:$C$128,LF582,axTER!$D$121:$D$128,LP582),SUMIFS(axTER!$E$133:$E$138,axTER!$C$133:$C$138,LP582)*LO$510)*$D$514/10^6</f>
        <v>124.59490368639106</v>
      </c>
      <c r="LM582" s="274">
        <f>$H582*IF(LQ582&lt;&gt;LG582,SUMIFS(axTER!$E$142:$E$148,axTER!$C$142:$C$148,LQ582),SUMIFS(axTER!$E$151:$E$157,axTER!$C$151:$C$157,LQ582)*LO$510)/10^6*$D$514</f>
        <v>949.29450427726533</v>
      </c>
      <c r="LN582" s="275" t="s">
        <v>271</v>
      </c>
      <c r="LO582" s="161" t="s">
        <v>265</v>
      </c>
      <c r="LP582" s="161" t="s">
        <v>266</v>
      </c>
      <c r="LQ582" s="161" t="s">
        <v>261</v>
      </c>
      <c r="LR582" s="276">
        <f>$H582*SUMIFS(axTER!$E$65:$E$105,axTER!$D$65:$D$105,LP582,axTER!$C$65:$C$105,LN582)/SUMIFS(axTER!$E$108:$E$114,axTER!$C$108:$C$114,LQ582)/10^9*$D$514</f>
        <v>0.25314520114060407</v>
      </c>
      <c r="LT582" s="273">
        <f t="shared" si="1027"/>
        <v>0</v>
      </c>
      <c r="LU582" s="273">
        <f t="shared" si="1028"/>
        <v>0</v>
      </c>
      <c r="LV582" s="273">
        <f>$H582*IF(LZ582&lt;&gt;LP582,SUMIFS(axTER!$E$121:$E$128,axTER!$C$121:$C$128,LP582,axTER!$D$121:$D$128,LZ582),SUMIFS(axTER!$E$133:$E$138,axTER!$C$133:$C$138,LZ582)*LY$510)*$D$514/10^6</f>
        <v>177.99271955198722</v>
      </c>
      <c r="LW582" s="274">
        <f>$H582*IF(MA582&lt;&gt;LQ582,SUMIFS(axTER!$E$142:$E$148,axTER!$C$142:$C$148,MA582),SUMIFS(axTER!$E$151:$E$157,axTER!$C$151:$C$157,MA582)*LY$510)/10^6*$D$514</f>
        <v>332.25307649704291</v>
      </c>
      <c r="LX582" s="275" t="s">
        <v>271</v>
      </c>
      <c r="LY582" s="161" t="s">
        <v>265</v>
      </c>
      <c r="LZ582" s="161" t="s">
        <v>266</v>
      </c>
      <c r="MA582" s="161" t="s">
        <v>261</v>
      </c>
      <c r="MB582" s="276">
        <f>$H582*SUMIFS(axTER!$E$65:$E$105,axTER!$D$65:$D$105,LZ582,axTER!$C$65:$C$105,LX582)/SUMIFS(axTER!$E$108:$E$114,axTER!$C$108:$C$114,MA582)/10^9*$D$514</f>
        <v>0.25314520114060407</v>
      </c>
      <c r="MD582" s="273">
        <f t="shared" si="1019"/>
        <v>0</v>
      </c>
      <c r="ME582" s="273">
        <f t="shared" si="1029"/>
        <v>0</v>
      </c>
      <c r="MF582" s="273">
        <f>$H582*IF(MJ582&lt;&gt;LZ582,SUMIFS(axTER!$E$121:$E$128,axTER!$C$121:$C$128,LZ582,axTER!$D$121:$D$128,MJ582),SUMIFS(axTER!$E$133:$E$138,axTER!$C$133:$C$138,MJ582)*MI$510)*$D$514/10^6</f>
        <v>177.99271955198722</v>
      </c>
      <c r="MG582" s="274">
        <f>$H582*IF(MK582&lt;&gt;MA582,SUMIFS(axTER!$E$142:$E$148,axTER!$C$142:$C$148,MK582),SUMIFS(axTER!$E$151:$E$157,axTER!$C$151:$C$157,MK582)*MI$510)/10^6*$D$514</f>
        <v>332.25307649704291</v>
      </c>
      <c r="MH582" s="275" t="s">
        <v>271</v>
      </c>
      <c r="MI582" s="161" t="s">
        <v>265</v>
      </c>
      <c r="MJ582" s="161" t="s">
        <v>266</v>
      </c>
      <c r="MK582" s="161" t="s">
        <v>261</v>
      </c>
      <c r="ML582" s="276">
        <f>$H582*SUMIFS(axTER!$E$65:$E$105,axTER!$D$65:$D$105,MJ582,axTER!$C$65:$C$105,MH582)/SUMIFS(axTER!$E$108:$E$114,axTER!$C$108:$C$114,MK582)/10^9*$D$514</f>
        <v>0.25314520114060407</v>
      </c>
    </row>
    <row r="583" spans="3:350" outlineLevel="1" x14ac:dyDescent="0.3">
      <c r="C583" s="265"/>
      <c r="D583" s="69"/>
      <c r="F583" s="266"/>
      <c r="H583" s="269">
        <v>1200</v>
      </c>
      <c r="I583" s="66" t="s">
        <v>271</v>
      </c>
      <c r="J583" s="66" t="s">
        <v>265</v>
      </c>
      <c r="K583" s="66" t="s">
        <v>255</v>
      </c>
      <c r="L583" s="283" t="s">
        <v>261</v>
      </c>
      <c r="M583" s="272">
        <f>$H583*SUMIFS(axTER!$E$65:$E$105,axTER!$C$65:$C$105,I583,axTER!$D$65:$D$105,K583)/SUMIFS(axTER!$E$108:$E$114,axTER!$C$108:$C$114,L583)/10^9*$D$514</f>
        <v>0.47464725213863268</v>
      </c>
      <c r="S583" s="269">
        <v>1200</v>
      </c>
      <c r="T583" s="66" t="s">
        <v>271</v>
      </c>
      <c r="U583" s="66" t="s">
        <v>265</v>
      </c>
      <c r="V583" s="66" t="s">
        <v>255</v>
      </c>
      <c r="W583" s="283" t="s">
        <v>261</v>
      </c>
      <c r="X583" s="272">
        <f>$H583*SUMIFS(axTER!$E$65:$E$105,axTER!$C$65:$C$105,T583,axTER!$D$65:$D$105,V583)/SUMIFS(axTER!$E$108:$E$114,axTER!$C$108:$C$114,W583)/10^9*$D$514</f>
        <v>0.47464725213863268</v>
      </c>
      <c r="AB583" s="273">
        <f>$H583*IF(AF583&lt;&gt;K583,SUMIFS(axTER!$E$121:$E$128,axTER!$C$121:$C$128,K583,axTER!$D$121:$D$128,AF583),SUMIFS(axTER!$E$133:$E$138,axTER!$C$133:$C$138,AF583)*AE$510)*$D$514/10^6</f>
        <v>474.64725213863267</v>
      </c>
      <c r="AC583" s="274">
        <f>$H583*IF(AG583&lt;&gt;L583,SUMIFS(axTER!$E$142:$E$148,axTER!$C$142:$C$148,AG583),SUMIFS(axTER!$E$151:$E$157,axTER!$C$151:$C$157,AG583)*AE$510)/10^6*$D$514</f>
        <v>332.25307649704291</v>
      </c>
      <c r="AD583" s="275" t="s">
        <v>271</v>
      </c>
      <c r="AE583" s="161" t="s">
        <v>265</v>
      </c>
      <c r="AF583" s="161" t="s">
        <v>255</v>
      </c>
      <c r="AG583" s="284" t="s">
        <v>261</v>
      </c>
      <c r="AH583" s="276">
        <f>$H583*SUMIFS(axTER!$E$65:$E$105,axTER!$D$65:$D$105,AF583,axTER!$C$65:$C$105,AD583)/SUMIFS(axTER!$E$108:$E$114,axTER!$C$108:$C$114,AG583)/10^9*$D$514</f>
        <v>0.47464725213863268</v>
      </c>
      <c r="AV583" s="273">
        <f>$H583*IF(AZ583&lt;&gt;AF583,SUMIFS(axTER!$E$121:$E$128,axTER!$C$121:$C$128,AF583,axTER!$D$121:$D$128,AZ583),SUMIFS(axTER!$E$133:$E$138,axTER!$C$133:$C$138,AZ583)*AY$510)*$D$514/10^6</f>
        <v>949.29450427726533</v>
      </c>
      <c r="AW583" s="274">
        <f>$H583*IF(BA583&lt;&gt;AG583,SUMIFS(axTER!$E$142:$E$148,axTER!$C$142:$C$148,BA583),SUMIFS(axTER!$E$151:$E$157,axTER!$C$151:$C$157,BA583)*AY$510)/10^6*$D$514</f>
        <v>664.50615299408582</v>
      </c>
      <c r="AX583" s="275" t="s">
        <v>271</v>
      </c>
      <c r="AY583" s="161" t="s">
        <v>265</v>
      </c>
      <c r="AZ583" s="161" t="s">
        <v>255</v>
      </c>
      <c r="BA583" s="284" t="s">
        <v>261</v>
      </c>
      <c r="BB583" s="276">
        <f>$H583*SUMIFS(axTER!$E$65:$E$105,axTER!$D$65:$D$105,AZ583,axTER!$C$65:$C$105,AX583)/SUMIFS(axTER!$E$108:$E$114,axTER!$C$108:$C$114,BA583)/10^9*$D$514</f>
        <v>0.47464725213863268</v>
      </c>
      <c r="IG583" s="269">
        <v>1200</v>
      </c>
      <c r="IH583" s="66" t="s">
        <v>271</v>
      </c>
      <c r="II583" s="66" t="s">
        <v>265</v>
      </c>
      <c r="IJ583" s="66" t="s">
        <v>255</v>
      </c>
      <c r="IK583" s="283" t="s">
        <v>261</v>
      </c>
      <c r="IL583" s="272">
        <f>$H583*SUMIFS(axTER!$E$65:$E$105,axTER!$C$65:$C$105,IH583,axTER!$D$65:$D$105,IJ583)/SUMIFS(axTER!$E$108:$E$114,axTER!$C$108:$C$114,IK583)/10^9*$D$514</f>
        <v>0.47464725213863268</v>
      </c>
      <c r="IO583" s="273">
        <f t="shared" si="1020"/>
        <v>1200</v>
      </c>
      <c r="IP583" s="273">
        <f>$H583*IF(IT583&lt;&gt;IJ583,SUMIFS(axTER!$E$121:$E$128,axTER!$C$121:$C$128,IJ583,axTER!$D$121:$D$128,IT583),SUMIFS(axTER!$E$133:$E$138,axTER!$C$133:$C$138,IT583)*IS$510)*$D$514/10^6</f>
        <v>1186.6181303465817</v>
      </c>
      <c r="IQ583" s="274">
        <f>$H583*IF(IU583&lt;&gt;IK583,SUMIFS(axTER!$E$142:$E$148,axTER!$C$142:$C$148,IU583),SUMIFS(axTER!$E$151:$E$157,axTER!$C$151:$C$157,IU583)*IS$510)/10^6*$D$514</f>
        <v>332.25307649704291</v>
      </c>
      <c r="IR583" s="275" t="s">
        <v>271</v>
      </c>
      <c r="IS583" s="161" t="s">
        <v>265</v>
      </c>
      <c r="IT583" s="277" t="s">
        <v>262</v>
      </c>
      <c r="IU583" s="284" t="s">
        <v>261</v>
      </c>
      <c r="IV583" s="276">
        <f>$H583*SUMIFS(axTER!$E$65:$E$105,axTER!$D$65:$D$105,IT583,axTER!$C$65:$C$105,IR583)/SUMIFS(axTER!$E$108:$E$114,axTER!$C$108:$C$114,IU583)/10^9*$D$514</f>
        <v>0.39553937678219392</v>
      </c>
      <c r="JI583" s="273">
        <f t="shared" si="1021"/>
        <v>1200</v>
      </c>
      <c r="JJ583" s="273">
        <f>$H583*IF(JN583&lt;&gt;IT583,SUMIFS(axTER!$E$121:$E$128,axTER!$C$121:$C$128,IT583,axTER!$D$121:$D$128,JN583),SUMIFS(axTER!$E$133:$E$138,axTER!$C$133:$C$138,JN583)*JM$510)*$D$514/10^6</f>
        <v>0</v>
      </c>
      <c r="JK583" s="274">
        <f>$H583*IF(JO583&lt;&gt;IU583,SUMIFS(axTER!$E$142:$E$148,axTER!$C$142:$C$148,JO583),SUMIFS(axTER!$E$151:$E$157,axTER!$C$151:$C$157,JO583)*JM$510)/10^6*$D$514</f>
        <v>664.50615299408582</v>
      </c>
      <c r="JL583" s="275" t="s">
        <v>271</v>
      </c>
      <c r="JM583" s="161" t="s">
        <v>265</v>
      </c>
      <c r="JN583" s="161" t="s">
        <v>255</v>
      </c>
      <c r="JO583" s="284" t="s">
        <v>261</v>
      </c>
      <c r="JP583" s="276">
        <f>$H583*SUMIFS(axTER!$E$65:$E$105,axTER!$D$65:$D$105,JN583,axTER!$C$65:$C$105,JL583)/SUMIFS(axTER!$E$108:$E$114,axTER!$C$108:$C$114,JO583)/10^9*$D$514</f>
        <v>0.47464725213863268</v>
      </c>
      <c r="JR583" s="269">
        <v>1200</v>
      </c>
      <c r="JS583" s="66" t="s">
        <v>271</v>
      </c>
      <c r="JT583" s="66" t="s">
        <v>265</v>
      </c>
      <c r="JU583" s="66" t="s">
        <v>255</v>
      </c>
      <c r="JV583" s="283" t="s">
        <v>261</v>
      </c>
      <c r="JW583" s="272">
        <f>$H583*SUMIFS(axTER!$E$65:$E$105,axTER!$C$65:$C$105,JS583,axTER!$D$65:$D$105,JU583)/SUMIFS(axTER!$E$108:$E$114,axTER!$C$108:$C$114,JV583)/10^9*$D$514</f>
        <v>0.47464725213863268</v>
      </c>
      <c r="JY583" s="273">
        <f t="shared" si="1022"/>
        <v>0</v>
      </c>
      <c r="JZ583" s="273">
        <f t="shared" si="1023"/>
        <v>0</v>
      </c>
      <c r="KA583" s="273">
        <f>$H583*IF(KE583&lt;&gt;JU583,SUMIFS(axTER!$E$121:$E$128,axTER!$C$121:$C$128,JU583,axTER!$D$121:$D$128,KE583),SUMIFS(axTER!$E$133:$E$138,axTER!$C$133:$C$138,KE583)*KD$510)*$D$514/10^6</f>
        <v>332.25307649704285</v>
      </c>
      <c r="KB583" s="274">
        <f>$H583*IF(KF583&lt;&gt;JV583,SUMIFS(axTER!$E$142:$E$148,axTER!$C$142:$C$148,KF583),SUMIFS(axTER!$E$151:$E$157,axTER!$C$151:$C$157,KF583)*KD$510)/10^6*$D$514</f>
        <v>232.57715354792998</v>
      </c>
      <c r="KC583" s="275" t="s">
        <v>271</v>
      </c>
      <c r="KD583" s="161" t="s">
        <v>265</v>
      </c>
      <c r="KE583" s="161" t="s">
        <v>255</v>
      </c>
      <c r="KF583" s="284" t="s">
        <v>261</v>
      </c>
      <c r="KG583" s="276">
        <f>$H583*SUMIFS(axTER!$E$65:$E$105,axTER!$D$65:$D$105,KE583,axTER!$C$65:$C$105,KC583)/SUMIFS(axTER!$E$108:$E$114,axTER!$C$108:$C$114,KF583)/10^9*$D$514</f>
        <v>0.47464725213863268</v>
      </c>
      <c r="KS583" s="273">
        <f t="shared" si="1024"/>
        <v>0</v>
      </c>
      <c r="KT583" s="273">
        <f t="shared" si="1025"/>
        <v>1200</v>
      </c>
      <c r="KU583" s="273">
        <f>$H583*IF(KY583&lt;&gt;KE583,SUMIFS(axTER!$E$121:$E$128,axTER!$C$121:$C$128,KE583,axTER!$D$121:$D$128,KY583),SUMIFS(axTER!$E$133:$E$138,axTER!$C$133:$C$138,KY583)*KX$510)*$D$514/10^6</f>
        <v>1186.6181303465817</v>
      </c>
      <c r="KV583" s="274">
        <f>$H583*IF(KZ583&lt;&gt;KF583,SUMIFS(axTER!$E$142:$E$148,axTER!$C$142:$C$148,KZ583),SUMIFS(axTER!$E$151:$E$157,axTER!$C$151:$C$157,KZ583)*KX$510)/10^6*$D$514</f>
        <v>664.50615299408582</v>
      </c>
      <c r="KW583" s="275" t="s">
        <v>271</v>
      </c>
      <c r="KX583" s="161" t="s">
        <v>265</v>
      </c>
      <c r="KY583" s="161" t="s">
        <v>262</v>
      </c>
      <c r="KZ583" s="284" t="s">
        <v>261</v>
      </c>
      <c r="LA583" s="276">
        <f>$H583*SUMIFS(axTER!$E$65:$E$105,axTER!$D$65:$D$105,KY583,axTER!$C$65:$C$105,KW583)/SUMIFS(axTER!$E$108:$E$114,axTER!$C$108:$C$114,KZ583)/10^9*$D$514</f>
        <v>0.39553937678219392</v>
      </c>
      <c r="LC583" s="269">
        <v>1200</v>
      </c>
      <c r="LD583" s="66" t="s">
        <v>271</v>
      </c>
      <c r="LE583" s="66" t="s">
        <v>265</v>
      </c>
      <c r="LF583" s="66" t="s">
        <v>255</v>
      </c>
      <c r="LG583" s="283" t="s">
        <v>261</v>
      </c>
      <c r="LH583" s="272">
        <f>$H583*SUMIFS(axTER!$E$65:$E$105,axTER!$C$65:$C$105,LD583,axTER!$D$65:$D$105,LF583)/SUMIFS(axTER!$E$108:$E$114,axTER!$C$108:$C$114,LG583)/10^9*$D$514</f>
        <v>0.47464725213863268</v>
      </c>
      <c r="LJ583" s="273">
        <f t="shared" si="1026"/>
        <v>0</v>
      </c>
      <c r="LK583" s="273">
        <f t="shared" si="1017"/>
        <v>0</v>
      </c>
      <c r="LL583" s="273">
        <f>$H583*IF(LP583&lt;&gt;LF583,SUMIFS(axTER!$E$121:$E$128,axTER!$C$121:$C$128,LF583,axTER!$D$121:$D$128,LP583),SUMIFS(axTER!$E$133:$E$138,axTER!$C$133:$C$138,LP583)*LO$510)*$D$514/10^6</f>
        <v>332.25307649704285</v>
      </c>
      <c r="LM583" s="274">
        <f>$H583*IF(LQ583&lt;&gt;LG583,SUMIFS(axTER!$E$142:$E$148,axTER!$C$142:$C$148,LQ583),SUMIFS(axTER!$E$151:$E$157,axTER!$C$151:$C$157,LQ583)*LO$510)/10^6*$D$514</f>
        <v>232.57715354792998</v>
      </c>
      <c r="LN583" s="275" t="s">
        <v>271</v>
      </c>
      <c r="LO583" s="161" t="s">
        <v>265</v>
      </c>
      <c r="LP583" s="161" t="s">
        <v>255</v>
      </c>
      <c r="LQ583" s="161" t="s">
        <v>261</v>
      </c>
      <c r="LR583" s="276">
        <f>$H583*SUMIFS(axTER!$E$65:$E$105,axTER!$D$65:$D$105,LP583,axTER!$C$65:$C$105,LN583)/SUMIFS(axTER!$E$108:$E$114,axTER!$C$108:$C$114,LQ583)/10^9*$D$514</f>
        <v>0.47464725213863268</v>
      </c>
      <c r="LT583" s="273">
        <f t="shared" si="1027"/>
        <v>0</v>
      </c>
      <c r="LU583" s="273">
        <f t="shared" si="1028"/>
        <v>0</v>
      </c>
      <c r="LV583" s="273">
        <f>$H583*IF(LZ583&lt;&gt;LP583,SUMIFS(axTER!$E$121:$E$128,axTER!$C$121:$C$128,LP583,axTER!$D$121:$D$128,LZ583),SUMIFS(axTER!$E$133:$E$138,axTER!$C$133:$C$138,LZ583)*LY$510)*$D$514/10^6</f>
        <v>474.64725213863267</v>
      </c>
      <c r="LW583" s="274">
        <f>$H583*IF(MA583&lt;&gt;LQ583,SUMIFS(axTER!$E$142:$E$148,axTER!$C$142:$C$148,MA583),SUMIFS(axTER!$E$151:$E$157,axTER!$C$151:$C$157,MA583)*LY$510)/10^6*$D$514</f>
        <v>332.25307649704291</v>
      </c>
      <c r="LX583" s="275" t="s">
        <v>271</v>
      </c>
      <c r="LY583" s="161" t="s">
        <v>265</v>
      </c>
      <c r="LZ583" s="161" t="s">
        <v>255</v>
      </c>
      <c r="MA583" s="161" t="s">
        <v>261</v>
      </c>
      <c r="MB583" s="276">
        <f>$H583*SUMIFS(axTER!$E$65:$E$105,axTER!$D$65:$D$105,LZ583,axTER!$C$65:$C$105,LX583)/SUMIFS(axTER!$E$108:$E$114,axTER!$C$108:$C$114,MA583)/10^9*$D$514</f>
        <v>0.47464725213863268</v>
      </c>
      <c r="MD583" s="273">
        <f t="shared" si="1019"/>
        <v>0</v>
      </c>
      <c r="ME583" s="273">
        <f t="shared" si="1029"/>
        <v>0</v>
      </c>
      <c r="MF583" s="273">
        <f>$H583*IF(MJ583&lt;&gt;LZ583,SUMIFS(axTER!$E$121:$E$128,axTER!$C$121:$C$128,LZ583,axTER!$D$121:$D$128,MJ583),SUMIFS(axTER!$E$133:$E$138,axTER!$C$133:$C$138,MJ583)*MI$510)*$D$514/10^6</f>
        <v>474.64725213863267</v>
      </c>
      <c r="MG583" s="274">
        <f>$H583*IF(MK583&lt;&gt;MA583,SUMIFS(axTER!$E$142:$E$148,axTER!$C$142:$C$148,MK583),SUMIFS(axTER!$E$151:$E$157,axTER!$C$151:$C$157,MK583)*MI$510)/10^6*$D$514</f>
        <v>332.25307649704291</v>
      </c>
      <c r="MH583" s="275" t="s">
        <v>271</v>
      </c>
      <c r="MI583" s="161" t="s">
        <v>265</v>
      </c>
      <c r="MJ583" s="161" t="s">
        <v>255</v>
      </c>
      <c r="MK583" s="161" t="s">
        <v>261</v>
      </c>
      <c r="ML583" s="276">
        <f>$H583*SUMIFS(axTER!$E$65:$E$105,axTER!$D$65:$D$105,MJ583,axTER!$C$65:$C$105,MH583)/SUMIFS(axTER!$E$108:$E$114,axTER!$C$108:$C$114,MK583)/10^9*$D$514</f>
        <v>0.47464725213863268</v>
      </c>
    </row>
    <row r="584" spans="3:350" outlineLevel="1" x14ac:dyDescent="0.3">
      <c r="C584" s="267"/>
      <c r="F584" s="266"/>
      <c r="H584" s="269">
        <v>750</v>
      </c>
      <c r="I584" s="66" t="s">
        <v>271</v>
      </c>
      <c r="J584" s="66" t="s">
        <v>265</v>
      </c>
      <c r="K584" s="66" t="s">
        <v>255</v>
      </c>
      <c r="L584" s="283" t="s">
        <v>267</v>
      </c>
      <c r="M584" s="272">
        <f>$H584*SUMIFS(axTER!$E$65:$E$105,axTER!$C$65:$C$105,I584,axTER!$D$65:$D$105,K584)/SUMIFS(axTER!$E$108:$E$114,axTER!$C$108:$C$114,L584)/10^9*$D$514</f>
        <v>0.98884844195548471</v>
      </c>
      <c r="S584" s="269">
        <v>750</v>
      </c>
      <c r="T584" s="66" t="s">
        <v>271</v>
      </c>
      <c r="U584" s="66" t="s">
        <v>265</v>
      </c>
      <c r="V584" s="66" t="s">
        <v>255</v>
      </c>
      <c r="W584" s="283" t="s">
        <v>267</v>
      </c>
      <c r="X584" s="272">
        <f>$H584*SUMIFS(axTER!$E$65:$E$105,axTER!$C$65:$C$105,T584,axTER!$D$65:$D$105,V584)/SUMIFS(axTER!$E$108:$E$114,axTER!$C$108:$C$114,W584)/10^9*$D$514</f>
        <v>0.98884844195548471</v>
      </c>
      <c r="AB584" s="273">
        <f>$H584*IF(AF584&lt;&gt;K584,SUMIFS(axTER!$E$121:$E$128,axTER!$C$121:$C$128,K584,axTER!$D$121:$D$128,AF584),SUMIFS(axTER!$E$133:$E$138,axTER!$C$133:$C$138,AF584)*AE$510)*$D$514/10^6</f>
        <v>296.65453258664542</v>
      </c>
      <c r="AC584" s="274">
        <f>$H584*IF(AG584&lt;&gt;L584,SUMIFS(axTER!$E$142:$E$148,axTER!$C$142:$C$148,AG584),SUMIFS(axTER!$E$151:$E$157,axTER!$C$151:$C$157,AG584)*AE$510)/10^6*$D$514</f>
        <v>62.297451843195532</v>
      </c>
      <c r="AD584" s="275" t="s">
        <v>271</v>
      </c>
      <c r="AE584" s="161" t="s">
        <v>265</v>
      </c>
      <c r="AF584" s="161" t="s">
        <v>255</v>
      </c>
      <c r="AG584" s="284" t="s">
        <v>267</v>
      </c>
      <c r="AH584" s="276">
        <f>$H584*SUMIFS(axTER!$E$65:$E$105,axTER!$D$65:$D$105,AF584,axTER!$C$65:$C$105,AD584)/SUMIFS(axTER!$E$108:$E$114,axTER!$C$108:$C$114,AG584)/10^9*$D$514</f>
        <v>0.98884844195548471</v>
      </c>
      <c r="AV584" s="273">
        <f>$H584*IF(AZ584&lt;&gt;AF584,SUMIFS(axTER!$E$121:$E$128,axTER!$C$121:$C$128,AF584,axTER!$D$121:$D$128,AZ584),SUMIFS(axTER!$E$133:$E$138,axTER!$C$133:$C$138,AZ584)*AY$510)*$D$514/10^6</f>
        <v>593.30906517329083</v>
      </c>
      <c r="AW584" s="274">
        <f>$H584*IF(BA584&lt;&gt;AG584,SUMIFS(axTER!$E$142:$E$148,axTER!$C$142:$C$148,BA584),SUMIFS(axTER!$E$151:$E$157,axTER!$C$151:$C$157,BA584)*AY$510)/10^6*$D$514</f>
        <v>593.30906517329083</v>
      </c>
      <c r="AX584" s="275" t="s">
        <v>271</v>
      </c>
      <c r="AY584" s="161" t="s">
        <v>265</v>
      </c>
      <c r="AZ584" s="161" t="s">
        <v>255</v>
      </c>
      <c r="BA584" s="284" t="s">
        <v>261</v>
      </c>
      <c r="BB584" s="276">
        <f>$H584*SUMIFS(axTER!$E$65:$E$105,axTER!$D$65:$D$105,AZ584,axTER!$C$65:$C$105,AX584)/SUMIFS(axTER!$E$108:$E$114,axTER!$C$108:$C$114,BA584)/10^9*$D$514</f>
        <v>0.29665453258664543</v>
      </c>
      <c r="IG584" s="269">
        <v>750</v>
      </c>
      <c r="IH584" s="66" t="s">
        <v>271</v>
      </c>
      <c r="II584" s="66" t="s">
        <v>265</v>
      </c>
      <c r="IJ584" s="66" t="s">
        <v>255</v>
      </c>
      <c r="IK584" s="283" t="s">
        <v>267</v>
      </c>
      <c r="IL584" s="272">
        <f>$H584*SUMIFS(axTER!$E$65:$E$105,axTER!$C$65:$C$105,IH584,axTER!$D$65:$D$105,IJ584)/SUMIFS(axTER!$E$108:$E$114,axTER!$C$108:$C$114,IK584)/10^9*$D$514</f>
        <v>0.98884844195548471</v>
      </c>
      <c r="IO584" s="273">
        <f t="shared" si="1020"/>
        <v>0</v>
      </c>
      <c r="IP584" s="273">
        <f>$H584*IF(IT584&lt;&gt;IJ584,SUMIFS(axTER!$E$121:$E$128,axTER!$C$121:$C$128,IJ584,axTER!$D$121:$D$128,IT584),SUMIFS(axTER!$E$133:$E$138,axTER!$C$133:$C$138,IT584)*IS$510)*$D$514/10^6</f>
        <v>296.65453258664542</v>
      </c>
      <c r="IQ584" s="274">
        <f>$H584*IF(IU584&lt;&gt;IK584,SUMIFS(axTER!$E$142:$E$148,axTER!$C$142:$C$148,IU584),SUMIFS(axTER!$E$151:$E$157,axTER!$C$151:$C$157,IU584)*IS$510)/10^6*$D$514</f>
        <v>62.297451843195532</v>
      </c>
      <c r="IR584" s="275" t="s">
        <v>271</v>
      </c>
      <c r="IS584" s="161" t="s">
        <v>265</v>
      </c>
      <c r="IT584" s="161" t="s">
        <v>255</v>
      </c>
      <c r="IU584" s="284" t="s">
        <v>267</v>
      </c>
      <c r="IV584" s="276">
        <f>$H584*SUMIFS(axTER!$E$65:$E$105,axTER!$D$65:$D$105,IT584,axTER!$C$65:$C$105,IR584)/SUMIFS(axTER!$E$108:$E$114,axTER!$C$108:$C$114,IU584)/10^9*$D$514</f>
        <v>0.98884844195548471</v>
      </c>
      <c r="JI584" s="273">
        <f t="shared" si="1021"/>
        <v>0</v>
      </c>
      <c r="JJ584" s="273">
        <f>$H584*IF(JN584&lt;&gt;IT584,SUMIFS(axTER!$E$121:$E$128,axTER!$C$121:$C$128,IT584,axTER!$D$121:$D$128,JN584),SUMIFS(axTER!$E$133:$E$138,axTER!$C$133:$C$138,JN584)*JM$510)*$D$514/10^6</f>
        <v>593.30906517329083</v>
      </c>
      <c r="JK584" s="274">
        <f>$H584*IF(JO584&lt;&gt;IU584,SUMIFS(axTER!$E$142:$E$148,axTER!$C$142:$C$148,JO584),SUMIFS(axTER!$E$151:$E$157,axTER!$C$151:$C$157,JO584)*JM$510)/10^6*$D$514</f>
        <v>124.59490368639106</v>
      </c>
      <c r="JL584" s="275" t="s">
        <v>271</v>
      </c>
      <c r="JM584" s="161" t="s">
        <v>265</v>
      </c>
      <c r="JN584" s="161" t="s">
        <v>255</v>
      </c>
      <c r="JO584" s="284" t="s">
        <v>267</v>
      </c>
      <c r="JP584" s="276">
        <f>$H584*SUMIFS(axTER!$E$65:$E$105,axTER!$D$65:$D$105,JN584,axTER!$C$65:$C$105,JL584)/SUMIFS(axTER!$E$108:$E$114,axTER!$C$108:$C$114,JO584)/10^9*$D$514</f>
        <v>0.98884844195548471</v>
      </c>
      <c r="JR584" s="269">
        <v>750</v>
      </c>
      <c r="JS584" s="66" t="s">
        <v>271</v>
      </c>
      <c r="JT584" s="66" t="s">
        <v>265</v>
      </c>
      <c r="JU584" s="66" t="s">
        <v>255</v>
      </c>
      <c r="JV584" s="283" t="s">
        <v>267</v>
      </c>
      <c r="JW584" s="272">
        <f>$H584*SUMIFS(axTER!$E$65:$E$105,axTER!$C$65:$C$105,JS584,axTER!$D$65:$D$105,JU584)/SUMIFS(axTER!$E$108:$E$114,axTER!$C$108:$C$114,JV584)/10^9*$D$514</f>
        <v>0.98884844195548471</v>
      </c>
      <c r="JY584" s="273" t="str">
        <f t="shared" si="1022"/>
        <v>ELEC-PAC</v>
      </c>
      <c r="JZ584" s="273">
        <f t="shared" si="1023"/>
        <v>750</v>
      </c>
      <c r="KA584" s="273">
        <f>$H584*IF(KE584&lt;&gt;JU584,SUMIFS(axTER!$E$121:$E$128,axTER!$C$121:$C$128,JU584,axTER!$D$121:$D$128,KE584),SUMIFS(axTER!$E$133:$E$138,axTER!$C$133:$C$138,KE584)*KD$510)*$D$514/10^6</f>
        <v>741.63633146661357</v>
      </c>
      <c r="KB584" s="274">
        <f>$H584*IF(KF584&lt;&gt;JV584,SUMIFS(axTER!$E$142:$E$148,axTER!$C$142:$C$148,KF584),SUMIFS(axTER!$E$151:$E$157,axTER!$C$151:$C$157,KF584)*KD$510)/10^6*$D$514</f>
        <v>593.30906517329083</v>
      </c>
      <c r="KC584" s="275" t="s">
        <v>271</v>
      </c>
      <c r="KD584" s="161" t="s">
        <v>265</v>
      </c>
      <c r="KE584" s="161" t="s">
        <v>262</v>
      </c>
      <c r="KF584" s="284" t="s">
        <v>261</v>
      </c>
      <c r="KG584" s="276">
        <f>$H584*SUMIFS(axTER!$E$65:$E$105,axTER!$D$65:$D$105,KE584,axTER!$C$65:$C$105,KC584)/SUMIFS(axTER!$E$108:$E$114,axTER!$C$108:$C$114,KF584)/10^9*$D$514</f>
        <v>0.24721211048887118</v>
      </c>
      <c r="KS584" s="273">
        <f t="shared" si="1024"/>
        <v>0</v>
      </c>
      <c r="KT584" s="273">
        <f t="shared" si="1025"/>
        <v>0</v>
      </c>
      <c r="KU584" s="273">
        <f>$H584*IF(KY584&lt;&gt;KE584,SUMIFS(axTER!$E$121:$E$128,axTER!$C$121:$C$128,KE584,axTER!$D$121:$D$128,KY584),SUMIFS(axTER!$E$133:$E$138,axTER!$C$133:$C$138,KY584)*KX$510)*$D$514/10^6</f>
        <v>222.49089943998405</v>
      </c>
      <c r="KV584" s="274">
        <f>$H584*IF(KZ584&lt;&gt;KF584,SUMIFS(axTER!$E$142:$E$148,axTER!$C$142:$C$148,KZ584),SUMIFS(axTER!$E$151:$E$157,axTER!$C$151:$C$157,KZ584)*KX$510)/10^6*$D$514</f>
        <v>415.31634562130364</v>
      </c>
      <c r="KW584" s="275" t="s">
        <v>271</v>
      </c>
      <c r="KX584" s="161" t="s">
        <v>265</v>
      </c>
      <c r="KY584" s="161" t="s">
        <v>262</v>
      </c>
      <c r="KZ584" s="284" t="s">
        <v>261</v>
      </c>
      <c r="LA584" s="276">
        <f>$H584*SUMIFS(axTER!$E$65:$E$105,axTER!$D$65:$D$105,KY584,axTER!$C$65:$C$105,KW584)/SUMIFS(axTER!$E$108:$E$114,axTER!$C$108:$C$114,KZ584)/10^9*$D$514</f>
        <v>0.24721211048887118</v>
      </c>
      <c r="LC584" s="269">
        <v>750</v>
      </c>
      <c r="LD584" s="66" t="s">
        <v>271</v>
      </c>
      <c r="LE584" s="66" t="s">
        <v>265</v>
      </c>
      <c r="LF584" s="66" t="s">
        <v>255</v>
      </c>
      <c r="LG584" s="283" t="s">
        <v>267</v>
      </c>
      <c r="LH584" s="272">
        <f>$H584*SUMIFS(axTER!$E$65:$E$105,axTER!$C$65:$C$105,LD584,axTER!$D$65:$D$105,LF584)/SUMIFS(axTER!$E$108:$E$114,axTER!$C$108:$C$114,LG584)/10^9*$D$514</f>
        <v>0.98884844195548471</v>
      </c>
      <c r="LJ584" s="273" t="str">
        <f t="shared" si="1026"/>
        <v>ELEC-PAC</v>
      </c>
      <c r="LK584" s="273">
        <f t="shared" si="1017"/>
        <v>0</v>
      </c>
      <c r="LL584" s="273">
        <f>$H584*IF(LP584&lt;&gt;LF584,SUMIFS(axTER!$E$121:$E$128,axTER!$C$121:$C$128,LF584,axTER!$D$121:$D$128,LP584),SUMIFS(axTER!$E$133:$E$138,axTER!$C$133:$C$138,LP584)*LO$510)*$D$514/10^6</f>
        <v>207.65817281065179</v>
      </c>
      <c r="LM584" s="274">
        <f>$H584*IF(LQ584&lt;&gt;LG584,SUMIFS(axTER!$E$142:$E$148,axTER!$C$142:$C$148,LQ584),SUMIFS(axTER!$E$151:$E$157,axTER!$C$151:$C$157,LQ584)*LO$510)/10^6*$D$514</f>
        <v>593.30906517329083</v>
      </c>
      <c r="LN584" s="275" t="s">
        <v>271</v>
      </c>
      <c r="LO584" s="161" t="s">
        <v>265</v>
      </c>
      <c r="LP584" s="161" t="s">
        <v>255</v>
      </c>
      <c r="LQ584" s="161" t="s">
        <v>261</v>
      </c>
      <c r="LR584" s="276">
        <f>$H584*SUMIFS(axTER!$E$65:$E$105,axTER!$D$65:$D$105,LP584,axTER!$C$65:$C$105,LN584)/SUMIFS(axTER!$E$108:$E$114,axTER!$C$108:$C$114,LQ584)/10^9*$D$514</f>
        <v>0.29665453258664543</v>
      </c>
      <c r="LT584" s="273">
        <f t="shared" si="1027"/>
        <v>0</v>
      </c>
      <c r="LU584" s="273">
        <f t="shared" si="1028"/>
        <v>0</v>
      </c>
      <c r="LV584" s="273">
        <f>$H584*IF(LZ584&lt;&gt;LP584,SUMIFS(axTER!$E$121:$E$128,axTER!$C$121:$C$128,LP584,axTER!$D$121:$D$128,LZ584),SUMIFS(axTER!$E$133:$E$138,axTER!$C$133:$C$138,LZ584)*LY$510)*$D$514/10^6</f>
        <v>296.65453258664542</v>
      </c>
      <c r="LW584" s="274">
        <f>$H584*IF(MA584&lt;&gt;LQ584,SUMIFS(axTER!$E$142:$E$148,axTER!$C$142:$C$148,MA584),SUMIFS(axTER!$E$151:$E$157,axTER!$C$151:$C$157,MA584)*LY$510)/10^6*$D$514</f>
        <v>207.65817281065182</v>
      </c>
      <c r="LX584" s="275" t="s">
        <v>271</v>
      </c>
      <c r="LY584" s="161" t="s">
        <v>265</v>
      </c>
      <c r="LZ584" s="161" t="s">
        <v>255</v>
      </c>
      <c r="MA584" s="161" t="s">
        <v>261</v>
      </c>
      <c r="MB584" s="276">
        <f>$H584*SUMIFS(axTER!$E$65:$E$105,axTER!$D$65:$D$105,LZ584,axTER!$C$65:$C$105,LX584)/SUMIFS(axTER!$E$108:$E$114,axTER!$C$108:$C$114,MA584)/10^9*$D$514</f>
        <v>0.29665453258664543</v>
      </c>
      <c r="MD584" s="273">
        <f t="shared" si="1019"/>
        <v>0</v>
      </c>
      <c r="ME584" s="273">
        <f t="shared" si="1029"/>
        <v>0</v>
      </c>
      <c r="MF584" s="273">
        <f>$H584*IF(MJ584&lt;&gt;LZ584,SUMIFS(axTER!$E$121:$E$128,axTER!$C$121:$C$128,LZ584,axTER!$D$121:$D$128,MJ584),SUMIFS(axTER!$E$133:$E$138,axTER!$C$133:$C$138,MJ584)*MI$510)*$D$514/10^6</f>
        <v>296.65453258664542</v>
      </c>
      <c r="MG584" s="274">
        <f>$H584*IF(MK584&lt;&gt;MA584,SUMIFS(axTER!$E$142:$E$148,axTER!$C$142:$C$148,MK584),SUMIFS(axTER!$E$151:$E$157,axTER!$C$151:$C$157,MK584)*MI$510)/10^6*$D$514</f>
        <v>207.65817281065182</v>
      </c>
      <c r="MH584" s="275" t="s">
        <v>271</v>
      </c>
      <c r="MI584" s="161" t="s">
        <v>265</v>
      </c>
      <c r="MJ584" s="161" t="s">
        <v>255</v>
      </c>
      <c r="MK584" s="161" t="s">
        <v>261</v>
      </c>
      <c r="ML584" s="276">
        <f>$H584*SUMIFS(axTER!$E$65:$E$105,axTER!$D$65:$D$105,MJ584,axTER!$C$65:$C$105,MH584)/SUMIFS(axTER!$E$108:$E$114,axTER!$C$108:$C$114,MK584)/10^9*$D$514</f>
        <v>0.29665453258664543</v>
      </c>
    </row>
    <row r="585" spans="3:350" outlineLevel="1" x14ac:dyDescent="0.3">
      <c r="C585" s="267"/>
      <c r="F585" s="266"/>
      <c r="H585" s="269">
        <v>1200</v>
      </c>
      <c r="I585" s="66" t="s">
        <v>272</v>
      </c>
      <c r="J585" s="66" t="s">
        <v>263</v>
      </c>
      <c r="K585" s="66" t="s">
        <v>255</v>
      </c>
      <c r="L585" s="283" t="s">
        <v>256</v>
      </c>
      <c r="M585" s="272">
        <f>$H585*SUMIFS(axTER!$E$65:$E$105,axTER!$C$65:$C$105,I585,axTER!$D$65:$D$105,K585)/SUMIFS(axTER!$E$108:$E$114,axTER!$C$108:$C$114,L585)/10^9*$D$514</f>
        <v>1.4988860593851558</v>
      </c>
      <c r="S585" s="269">
        <v>1200</v>
      </c>
      <c r="T585" s="66" t="s">
        <v>272</v>
      </c>
      <c r="U585" s="66" t="s">
        <v>263</v>
      </c>
      <c r="V585" s="66" t="s">
        <v>255</v>
      </c>
      <c r="W585" s="283" t="s">
        <v>256</v>
      </c>
      <c r="X585" s="272">
        <f>$H585*SUMIFS(axTER!$E$65:$E$105,axTER!$C$65:$C$105,T585,axTER!$D$65:$D$105,V585)/SUMIFS(axTER!$E$108:$E$114,axTER!$C$108:$C$114,W585)/10^9*$D$514</f>
        <v>1.4988860593851558</v>
      </c>
      <c r="AB585" s="273">
        <f>$H585*IF(AF585&lt;&gt;K585,SUMIFS(axTER!$E$121:$E$128,axTER!$C$121:$C$128,K585,axTER!$D$121:$D$128,AF585),SUMIFS(axTER!$E$133:$E$138,axTER!$C$133:$C$138,AF585)*AE$510)*$D$514/10^6</f>
        <v>474.64725213863267</v>
      </c>
      <c r="AC585" s="274">
        <f>$H585*IF(AG585&lt;&gt;L585,SUMIFS(axTER!$E$142:$E$148,axTER!$C$142:$C$148,AG585),SUMIFS(axTER!$E$151:$E$157,axTER!$C$151:$C$157,AG585)*AE$510)/10^6*$D$514</f>
        <v>74.756942211834655</v>
      </c>
      <c r="AD585" s="275" t="s">
        <v>272</v>
      </c>
      <c r="AE585" s="161" t="s">
        <v>263</v>
      </c>
      <c r="AF585" s="161" t="s">
        <v>255</v>
      </c>
      <c r="AG585" s="284" t="s">
        <v>256</v>
      </c>
      <c r="AH585" s="276">
        <f>$H585*SUMIFS(axTER!$E$65:$E$105,axTER!$D$65:$D$105,AF585,axTER!$C$65:$C$105,AD585)/SUMIFS(axTER!$E$108:$E$114,axTER!$C$108:$C$114,AG585)/10^9*$D$514</f>
        <v>1.4988860593851558</v>
      </c>
      <c r="AV585" s="273">
        <f>$H585*IF(AZ585&lt;&gt;AF585,SUMIFS(axTER!$E$121:$E$128,axTER!$C$121:$C$128,AF585,axTER!$D$121:$D$128,AZ585),SUMIFS(axTER!$E$133:$E$138,axTER!$C$133:$C$138,AZ585)*AY$510)*$D$514/10^6</f>
        <v>949.29450427726533</v>
      </c>
      <c r="AW585" s="274">
        <f>$H585*IF(BA585&lt;&gt;AG585,SUMIFS(axTER!$E$142:$E$148,axTER!$C$142:$C$148,BA585),SUMIFS(axTER!$E$151:$E$157,axTER!$C$151:$C$157,BA585)*AY$510)/10^6*$D$514</f>
        <v>149.51388442366931</v>
      </c>
      <c r="AX585" s="275" t="s">
        <v>272</v>
      </c>
      <c r="AY585" s="161" t="s">
        <v>263</v>
      </c>
      <c r="AZ585" s="161" t="s">
        <v>255</v>
      </c>
      <c r="BA585" s="284" t="s">
        <v>256</v>
      </c>
      <c r="BB585" s="276">
        <f>$H585*SUMIFS(axTER!$E$65:$E$105,axTER!$D$65:$D$105,AZ585,axTER!$C$65:$C$105,AX585)/SUMIFS(axTER!$E$108:$E$114,axTER!$C$108:$C$114,BA585)/10^9*$D$514</f>
        <v>1.4988860593851558</v>
      </c>
      <c r="IG585" s="269">
        <v>1200</v>
      </c>
      <c r="IH585" s="66" t="s">
        <v>272</v>
      </c>
      <c r="II585" s="66" t="s">
        <v>263</v>
      </c>
      <c r="IJ585" s="66" t="s">
        <v>255</v>
      </c>
      <c r="IK585" s="283" t="s">
        <v>256</v>
      </c>
      <c r="IL585" s="272">
        <f>$H585*SUMIFS(axTER!$E$65:$E$105,axTER!$C$65:$C$105,IH585,axTER!$D$65:$D$105,IJ585)/SUMIFS(axTER!$E$108:$E$114,axTER!$C$108:$C$114,IK585)/10^9*$D$514</f>
        <v>1.4988860593851558</v>
      </c>
      <c r="IO585" s="273">
        <f t="shared" si="1020"/>
        <v>1200</v>
      </c>
      <c r="IP585" s="273">
        <f>$H585*IF(IT585&lt;&gt;IJ585,SUMIFS(axTER!$E$121:$E$128,axTER!$C$121:$C$128,IJ585,axTER!$D$121:$D$128,IT585),SUMIFS(axTER!$E$133:$E$138,axTER!$C$133:$C$138,IT585)*IS$510)*$D$514/10^6</f>
        <v>5339.7815865596167</v>
      </c>
      <c r="IQ585" s="274">
        <f>$H585*IF(IU585&lt;&gt;IK585,SUMIFS(axTER!$E$142:$E$148,axTER!$C$142:$C$148,IU585),SUMIFS(axTER!$E$151:$E$157,axTER!$C$151:$C$157,IU585)*IS$510)/10^6*$D$514</f>
        <v>74.756942211834655</v>
      </c>
      <c r="IR585" s="275" t="s">
        <v>272</v>
      </c>
      <c r="IS585" s="161" t="s">
        <v>263</v>
      </c>
      <c r="IT585" s="277" t="s">
        <v>257</v>
      </c>
      <c r="IU585" s="284" t="s">
        <v>256</v>
      </c>
      <c r="IV585" s="276">
        <f>$H585*SUMIFS(axTER!$E$65:$E$105,axTER!$D$65:$D$105,IT585,axTER!$C$65:$C$105,IR585)/SUMIFS(axTER!$E$108:$E$114,axTER!$C$108:$C$114,IU585)/10^9*$D$514</f>
        <v>0.62453585807714818</v>
      </c>
      <c r="JI585" s="273">
        <f t="shared" si="1021"/>
        <v>1200</v>
      </c>
      <c r="JJ585" s="273">
        <f>$H585*IF(JN585&lt;&gt;IT585,SUMIFS(axTER!$E$121:$E$128,axTER!$C$121:$C$128,IT585,axTER!$D$121:$D$128,JN585),SUMIFS(axTER!$E$133:$E$138,axTER!$C$133:$C$138,JN585)*JM$510)*$D$514/10^6</f>
        <v>0</v>
      </c>
      <c r="JK585" s="274">
        <f>$H585*IF(JO585&lt;&gt;IU585,SUMIFS(axTER!$E$142:$E$148,axTER!$C$142:$C$148,JO585),SUMIFS(axTER!$E$151:$E$157,axTER!$C$151:$C$157,JO585)*JM$510)/10^6*$D$514</f>
        <v>149.51388442366931</v>
      </c>
      <c r="JL585" s="275" t="s">
        <v>272</v>
      </c>
      <c r="JM585" s="161" t="s">
        <v>263</v>
      </c>
      <c r="JN585" s="161" t="s">
        <v>255</v>
      </c>
      <c r="JO585" s="284" t="s">
        <v>256</v>
      </c>
      <c r="JP585" s="276">
        <f>$H585*SUMIFS(axTER!$E$65:$E$105,axTER!$D$65:$D$105,JN585,axTER!$C$65:$C$105,JL585)/SUMIFS(axTER!$E$108:$E$114,axTER!$C$108:$C$114,JO585)/10^9*$D$514</f>
        <v>1.4988860593851558</v>
      </c>
      <c r="JR585" s="269">
        <v>1200</v>
      </c>
      <c r="JS585" s="66" t="s">
        <v>272</v>
      </c>
      <c r="JT585" s="66" t="s">
        <v>263</v>
      </c>
      <c r="JU585" s="66" t="s">
        <v>255</v>
      </c>
      <c r="JV585" s="283" t="s">
        <v>256</v>
      </c>
      <c r="JW585" s="272">
        <f>$H585*SUMIFS(axTER!$E$65:$E$105,axTER!$C$65:$C$105,JS585,axTER!$D$65:$D$105,JU585)/SUMIFS(axTER!$E$108:$E$114,axTER!$C$108:$C$114,JV585)/10^9*$D$514</f>
        <v>1.4988860593851558</v>
      </c>
      <c r="JY585" s="273">
        <f t="shared" si="1022"/>
        <v>0</v>
      </c>
      <c r="JZ585" s="273">
        <f t="shared" si="1023"/>
        <v>0</v>
      </c>
      <c r="KA585" s="273">
        <f>$H585*IF(KE585&lt;&gt;JU585,SUMIFS(axTER!$E$121:$E$128,axTER!$C$121:$C$128,JU585,axTER!$D$121:$D$128,KE585),SUMIFS(axTER!$E$133:$E$138,axTER!$C$133:$C$138,KE585)*KD$510)*$D$514/10^6</f>
        <v>332.25307649704285</v>
      </c>
      <c r="KB585" s="274">
        <f>$H585*IF(KF585&lt;&gt;JV585,SUMIFS(axTER!$E$142:$E$148,axTER!$C$142:$C$148,KF585),SUMIFS(axTER!$E$151:$E$157,axTER!$C$151:$C$157,KF585)*KD$510)/10^6*$D$514</f>
        <v>52.329859548284254</v>
      </c>
      <c r="KC585" s="275" t="s">
        <v>272</v>
      </c>
      <c r="KD585" s="161" t="s">
        <v>263</v>
      </c>
      <c r="KE585" s="161" t="s">
        <v>255</v>
      </c>
      <c r="KF585" s="284" t="s">
        <v>256</v>
      </c>
      <c r="KG585" s="276">
        <f>$H585*SUMIFS(axTER!$E$65:$E$105,axTER!$D$65:$D$105,KE585,axTER!$C$65:$C$105,KC585)/SUMIFS(axTER!$E$108:$E$114,axTER!$C$108:$C$114,KF585)/10^9*$D$514</f>
        <v>1.4988860593851558</v>
      </c>
      <c r="KS585" s="273" t="str">
        <f t="shared" si="1024"/>
        <v>ELEC-PAC</v>
      </c>
      <c r="KT585" s="273">
        <f t="shared" si="1025"/>
        <v>1200</v>
      </c>
      <c r="KU585" s="273">
        <f>$H585*IF(KY585&lt;&gt;KE585,SUMIFS(axTER!$E$121:$E$128,axTER!$C$121:$C$128,KE585,axTER!$D$121:$D$128,KY585),SUMIFS(axTER!$E$133:$E$138,axTER!$C$133:$C$138,KY585)*KX$510)*$D$514/10^6</f>
        <v>2373.2362606931633</v>
      </c>
      <c r="KV585" s="274">
        <f>$H585*IF(KZ585&lt;&gt;KF585,SUMIFS(axTER!$E$142:$E$148,axTER!$C$142:$C$148,KZ585),SUMIFS(axTER!$E$151:$E$157,axTER!$C$151:$C$157,KZ585)*KX$510)/10^6*$D$514</f>
        <v>949.29450427726533</v>
      </c>
      <c r="KW585" s="275" t="s">
        <v>272</v>
      </c>
      <c r="KX585" s="161" t="s">
        <v>263</v>
      </c>
      <c r="KY585" s="161" t="s">
        <v>264</v>
      </c>
      <c r="KZ585" s="284" t="s">
        <v>261</v>
      </c>
      <c r="LA585" s="276">
        <f>$H585*SUMIFS(axTER!$E$65:$E$105,axTER!$D$65:$D$105,KY585,axTER!$C$65:$C$105,KW585)/SUMIFS(axTER!$E$108:$E$114,axTER!$C$108:$C$114,KZ585)/10^9*$D$514</f>
        <v>0.3164315014257551</v>
      </c>
      <c r="LC585" s="269">
        <v>1200</v>
      </c>
      <c r="LD585" s="66" t="s">
        <v>272</v>
      </c>
      <c r="LE585" s="66" t="s">
        <v>263</v>
      </c>
      <c r="LF585" s="66" t="s">
        <v>255</v>
      </c>
      <c r="LG585" s="283" t="s">
        <v>256</v>
      </c>
      <c r="LH585" s="272">
        <f>$H585*SUMIFS(axTER!$E$65:$E$105,axTER!$C$65:$C$105,LD585,axTER!$D$65:$D$105,LF585)/SUMIFS(axTER!$E$108:$E$114,axTER!$C$108:$C$114,LG585)/10^9*$D$514</f>
        <v>1.4988860593851558</v>
      </c>
      <c r="LJ585" s="273">
        <f t="shared" si="1026"/>
        <v>0</v>
      </c>
      <c r="LK585" s="273">
        <f t="shared" si="1017"/>
        <v>0</v>
      </c>
      <c r="LL585" s="273">
        <f>$H585*IF(LP585&lt;&gt;LF585,SUMIFS(axTER!$E$121:$E$128,axTER!$C$121:$C$128,LF585,axTER!$D$121:$D$128,LP585),SUMIFS(axTER!$E$133:$E$138,axTER!$C$133:$C$138,LP585)*LO$510)*$D$514/10^6</f>
        <v>332.25307649704285</v>
      </c>
      <c r="LM585" s="274">
        <f>$H585*IF(LQ585&lt;&gt;LG585,SUMIFS(axTER!$E$142:$E$148,axTER!$C$142:$C$148,LQ585),SUMIFS(axTER!$E$151:$E$157,axTER!$C$151:$C$157,LQ585)*LO$510)/10^6*$D$514</f>
        <v>52.329859548284254</v>
      </c>
      <c r="LN585" s="275" t="s">
        <v>272</v>
      </c>
      <c r="LO585" s="161" t="s">
        <v>263</v>
      </c>
      <c r="LP585" s="161" t="s">
        <v>255</v>
      </c>
      <c r="LQ585" s="161" t="s">
        <v>256</v>
      </c>
      <c r="LR585" s="276">
        <f>$H585*SUMIFS(axTER!$E$65:$E$105,axTER!$D$65:$D$105,LP585,axTER!$C$65:$C$105,LN585)/SUMIFS(axTER!$E$108:$E$114,axTER!$C$108:$C$114,LQ585)/10^9*$D$514</f>
        <v>1.4988860593851558</v>
      </c>
      <c r="LT585" s="273" t="str">
        <f t="shared" si="1027"/>
        <v>ELEC-PAC</v>
      </c>
      <c r="LU585" s="273">
        <f t="shared" si="1028"/>
        <v>0</v>
      </c>
      <c r="LV585" s="273">
        <f>$H585*IF(LZ585&lt;&gt;LP585,SUMIFS(axTER!$E$121:$E$128,axTER!$C$121:$C$128,LP585,axTER!$D$121:$D$128,LZ585),SUMIFS(axTER!$E$133:$E$138,axTER!$C$133:$C$138,LZ585)*LY$510)*$D$514/10^6</f>
        <v>474.64725213863267</v>
      </c>
      <c r="LW585" s="274">
        <f>$H585*IF(MA585&lt;&gt;LQ585,SUMIFS(axTER!$E$142:$E$148,axTER!$C$142:$C$148,MA585),SUMIFS(axTER!$E$151:$E$157,axTER!$C$151:$C$157,MA585)*LY$510)/10^6*$D$514</f>
        <v>949.29450427726533</v>
      </c>
      <c r="LX585" s="275" t="s">
        <v>272</v>
      </c>
      <c r="LY585" s="161" t="s">
        <v>263</v>
      </c>
      <c r="LZ585" s="161" t="s">
        <v>255</v>
      </c>
      <c r="MA585" s="429" t="s">
        <v>261</v>
      </c>
      <c r="MB585" s="276">
        <f>$H585*SUMIFS(axTER!$E$65:$E$105,axTER!$D$65:$D$105,LZ585,axTER!$C$65:$C$105,LX585)/SUMIFS(axTER!$E$108:$E$114,axTER!$C$108:$C$114,MA585)/10^9*$D$514</f>
        <v>0.47464725213863268</v>
      </c>
      <c r="MD585" s="273">
        <f t="shared" si="1019"/>
        <v>0</v>
      </c>
      <c r="ME585" s="273">
        <f t="shared" si="1029"/>
        <v>0</v>
      </c>
      <c r="MF585" s="273">
        <f>$H585*IF(MJ585&lt;&gt;LZ585,SUMIFS(axTER!$E$121:$E$128,axTER!$C$121:$C$128,LZ585,axTER!$D$121:$D$128,MJ585),SUMIFS(axTER!$E$133:$E$138,axTER!$C$133:$C$138,MJ585)*MI$510)*$D$514/10^6</f>
        <v>474.64725213863267</v>
      </c>
      <c r="MG585" s="274">
        <f>$H585*IF(MK585&lt;&gt;MA585,SUMIFS(axTER!$E$142:$E$148,axTER!$C$142:$C$148,MK585),SUMIFS(axTER!$E$151:$E$157,axTER!$C$151:$C$157,MK585)*MI$510)/10^6*$D$514</f>
        <v>332.25307649704291</v>
      </c>
      <c r="MH585" s="275" t="s">
        <v>272</v>
      </c>
      <c r="MI585" s="161" t="s">
        <v>263</v>
      </c>
      <c r="MJ585" s="161" t="s">
        <v>255</v>
      </c>
      <c r="MK585" s="161" t="s">
        <v>261</v>
      </c>
      <c r="ML585" s="276">
        <f>$H585*SUMIFS(axTER!$E$65:$E$105,axTER!$D$65:$D$105,MJ585,axTER!$C$65:$C$105,MH585)/SUMIFS(axTER!$E$108:$E$114,axTER!$C$108:$C$114,MK585)/10^9*$D$514</f>
        <v>0.47464725213863268</v>
      </c>
    </row>
    <row r="586" spans="3:350" outlineLevel="1" x14ac:dyDescent="0.3">
      <c r="C586" s="267"/>
      <c r="F586" s="266"/>
      <c r="H586" s="269">
        <v>1200</v>
      </c>
      <c r="I586" s="66" t="s">
        <v>272</v>
      </c>
      <c r="J586" s="66" t="s">
        <v>265</v>
      </c>
      <c r="K586" s="66" t="s">
        <v>266</v>
      </c>
      <c r="L586" s="283" t="s">
        <v>261</v>
      </c>
      <c r="M586" s="272">
        <f>$H586*SUMIFS(axTER!$E$65:$E$105,axTER!$C$65:$C$105,I586,axTER!$D$65:$D$105,K586)/SUMIFS(axTER!$E$108:$E$114,axTER!$C$108:$C$114,L586)/10^9*$D$514</f>
        <v>0.35598543910397451</v>
      </c>
      <c r="S586" s="269">
        <v>1200</v>
      </c>
      <c r="T586" s="66" t="s">
        <v>272</v>
      </c>
      <c r="U586" s="66" t="s">
        <v>265</v>
      </c>
      <c r="V586" s="66" t="s">
        <v>266</v>
      </c>
      <c r="W586" s="283" t="s">
        <v>261</v>
      </c>
      <c r="X586" s="272">
        <f>$H586*SUMIFS(axTER!$E$65:$E$105,axTER!$C$65:$C$105,T586,axTER!$D$65:$D$105,V586)/SUMIFS(axTER!$E$108:$E$114,axTER!$C$108:$C$114,W586)/10^9*$D$514</f>
        <v>0.35598543910397451</v>
      </c>
      <c r="AB586" s="273">
        <f>$H586*IF(AF586&lt;&gt;K586,SUMIFS(axTER!$E$121:$E$128,axTER!$C$121:$C$128,K586,axTER!$D$121:$D$128,AF586),SUMIFS(axTER!$E$133:$E$138,axTER!$C$133:$C$138,AF586)*AE$510)*$D$514/10^6</f>
        <v>177.99271955198722</v>
      </c>
      <c r="AC586" s="274">
        <f>$H586*IF(AG586&lt;&gt;L586,SUMIFS(axTER!$E$142:$E$148,axTER!$C$142:$C$148,AG586),SUMIFS(axTER!$E$151:$E$157,axTER!$C$151:$C$157,AG586)*AE$510)/10^6*$D$514</f>
        <v>332.25307649704291</v>
      </c>
      <c r="AD586" s="275" t="s">
        <v>272</v>
      </c>
      <c r="AE586" s="161" t="s">
        <v>265</v>
      </c>
      <c r="AF586" s="161" t="s">
        <v>266</v>
      </c>
      <c r="AG586" s="284" t="s">
        <v>261</v>
      </c>
      <c r="AH586" s="276">
        <f>$H586*SUMIFS(axTER!$E$65:$E$105,axTER!$D$65:$D$105,AF586,axTER!$C$65:$C$105,AD586)/SUMIFS(axTER!$E$108:$E$114,axTER!$C$108:$C$114,AG586)/10^9*$D$514</f>
        <v>0.35598543910397451</v>
      </c>
      <c r="AV586" s="273">
        <f>$H586*IF(AZ586&lt;&gt;AF586,SUMIFS(axTER!$E$121:$E$128,axTER!$C$121:$C$128,AF586,axTER!$D$121:$D$128,AZ586),SUMIFS(axTER!$E$133:$E$138,axTER!$C$133:$C$138,AZ586)*AY$510)*$D$514/10^6</f>
        <v>355.98543910397444</v>
      </c>
      <c r="AW586" s="274">
        <f>$H586*IF(BA586&lt;&gt;AG586,SUMIFS(axTER!$E$142:$E$148,axTER!$C$142:$C$148,BA586),SUMIFS(axTER!$E$151:$E$157,axTER!$C$151:$C$157,BA586)*AY$510)/10^6*$D$514</f>
        <v>664.50615299408582</v>
      </c>
      <c r="AX586" s="275" t="s">
        <v>272</v>
      </c>
      <c r="AY586" s="161" t="s">
        <v>265</v>
      </c>
      <c r="AZ586" s="161" t="s">
        <v>266</v>
      </c>
      <c r="BA586" s="284" t="s">
        <v>261</v>
      </c>
      <c r="BB586" s="276">
        <f>$H586*SUMIFS(axTER!$E$65:$E$105,axTER!$D$65:$D$105,AZ586,axTER!$C$65:$C$105,AX586)/SUMIFS(axTER!$E$108:$E$114,axTER!$C$108:$C$114,BA586)/10^9*$D$514</f>
        <v>0.35598543910397451</v>
      </c>
      <c r="IG586" s="269">
        <v>1200</v>
      </c>
      <c r="IH586" s="66" t="s">
        <v>272</v>
      </c>
      <c r="II586" s="66" t="s">
        <v>265</v>
      </c>
      <c r="IJ586" s="66" t="s">
        <v>266</v>
      </c>
      <c r="IK586" s="283" t="s">
        <v>261</v>
      </c>
      <c r="IL586" s="272">
        <f>$H586*SUMIFS(axTER!$E$65:$E$105,axTER!$C$65:$C$105,IH586,axTER!$D$65:$D$105,IJ586)/SUMIFS(axTER!$E$108:$E$114,axTER!$C$108:$C$114,IK586)/10^9*$D$514</f>
        <v>0.35598543910397451</v>
      </c>
      <c r="IO586" s="273">
        <f t="shared" si="1020"/>
        <v>0</v>
      </c>
      <c r="IP586" s="273">
        <f>$H586*IF(IT586&lt;&gt;IJ586,SUMIFS(axTER!$E$121:$E$128,axTER!$C$121:$C$128,IJ586,axTER!$D$121:$D$128,IT586),SUMIFS(axTER!$E$133:$E$138,axTER!$C$133:$C$138,IT586)*IS$510)*$D$514/10^6</f>
        <v>177.99271955198722</v>
      </c>
      <c r="IQ586" s="274">
        <f>$H586*IF(IU586&lt;&gt;IK586,SUMIFS(axTER!$E$142:$E$148,axTER!$C$142:$C$148,IU586),SUMIFS(axTER!$E$151:$E$157,axTER!$C$151:$C$157,IU586)*IS$510)/10^6*$D$514</f>
        <v>332.25307649704291</v>
      </c>
      <c r="IR586" s="275" t="s">
        <v>272</v>
      </c>
      <c r="IS586" s="161" t="s">
        <v>265</v>
      </c>
      <c r="IT586" s="161" t="s">
        <v>266</v>
      </c>
      <c r="IU586" s="284" t="s">
        <v>261</v>
      </c>
      <c r="IV586" s="276">
        <f>$H586*SUMIFS(axTER!$E$65:$E$105,axTER!$D$65:$D$105,IT586,axTER!$C$65:$C$105,IR586)/SUMIFS(axTER!$E$108:$E$114,axTER!$C$108:$C$114,IU586)/10^9*$D$514</f>
        <v>0.35598543910397451</v>
      </c>
      <c r="JI586" s="273">
        <f t="shared" si="1021"/>
        <v>0</v>
      </c>
      <c r="JJ586" s="273">
        <f>$H586*IF(JN586&lt;&gt;IT586,SUMIFS(axTER!$E$121:$E$128,axTER!$C$121:$C$128,IT586,axTER!$D$121:$D$128,JN586),SUMIFS(axTER!$E$133:$E$138,axTER!$C$133:$C$138,JN586)*JM$510)*$D$514/10^6</f>
        <v>355.98543910397444</v>
      </c>
      <c r="JK586" s="274">
        <f>$H586*IF(JO586&lt;&gt;IU586,SUMIFS(axTER!$E$142:$E$148,axTER!$C$142:$C$148,JO586),SUMIFS(axTER!$E$151:$E$157,axTER!$C$151:$C$157,JO586)*JM$510)/10^6*$D$514</f>
        <v>664.50615299408582</v>
      </c>
      <c r="JL586" s="275" t="s">
        <v>272</v>
      </c>
      <c r="JM586" s="161" t="s">
        <v>265</v>
      </c>
      <c r="JN586" s="161" t="s">
        <v>266</v>
      </c>
      <c r="JO586" s="284" t="s">
        <v>261</v>
      </c>
      <c r="JP586" s="276">
        <f>$H586*SUMIFS(axTER!$E$65:$E$105,axTER!$D$65:$D$105,JN586,axTER!$C$65:$C$105,JL586)/SUMIFS(axTER!$E$108:$E$114,axTER!$C$108:$C$114,JO586)/10^9*$D$514</f>
        <v>0.35598543910397451</v>
      </c>
      <c r="JR586" s="269">
        <v>1200</v>
      </c>
      <c r="JS586" s="66" t="s">
        <v>272</v>
      </c>
      <c r="JT586" s="66" t="s">
        <v>265</v>
      </c>
      <c r="JU586" s="66" t="s">
        <v>266</v>
      </c>
      <c r="JV586" s="283" t="s">
        <v>261</v>
      </c>
      <c r="JW586" s="272">
        <f>$H586*SUMIFS(axTER!$E$65:$E$105,axTER!$C$65:$C$105,JS586,axTER!$D$65:$D$105,JU586)/SUMIFS(axTER!$E$108:$E$114,axTER!$C$108:$C$114,JV586)/10^9*$D$514</f>
        <v>0.35598543910397451</v>
      </c>
      <c r="JY586" s="273">
        <f t="shared" si="1022"/>
        <v>0</v>
      </c>
      <c r="JZ586" s="273">
        <f t="shared" si="1023"/>
        <v>0</v>
      </c>
      <c r="KA586" s="273">
        <f>$H586*IF(KE586&lt;&gt;JU586,SUMIFS(axTER!$E$121:$E$128,axTER!$C$121:$C$128,JU586,axTER!$D$121:$D$128,KE586),SUMIFS(axTER!$E$133:$E$138,axTER!$C$133:$C$138,KE586)*KD$510)*$D$514/10^6</f>
        <v>124.59490368639106</v>
      </c>
      <c r="KB586" s="274">
        <f>$H586*IF(KF586&lt;&gt;JV586,SUMIFS(axTER!$E$142:$E$148,axTER!$C$142:$C$148,KF586),SUMIFS(axTER!$E$151:$E$157,axTER!$C$151:$C$157,KF586)*KD$510)/10^6*$D$514</f>
        <v>232.57715354792998</v>
      </c>
      <c r="KC586" s="275" t="s">
        <v>272</v>
      </c>
      <c r="KD586" s="161" t="s">
        <v>265</v>
      </c>
      <c r="KE586" s="161" t="s">
        <v>266</v>
      </c>
      <c r="KF586" s="284" t="s">
        <v>261</v>
      </c>
      <c r="KG586" s="276">
        <f>$H586*SUMIFS(axTER!$E$65:$E$105,axTER!$D$65:$D$105,KE586,axTER!$C$65:$C$105,KC586)/SUMIFS(axTER!$E$108:$E$114,axTER!$C$108:$C$114,KF586)/10^9*$D$514</f>
        <v>0.35598543910397451</v>
      </c>
      <c r="KS586" s="273">
        <f t="shared" si="1024"/>
        <v>0</v>
      </c>
      <c r="KT586" s="273">
        <f t="shared" si="1025"/>
        <v>0</v>
      </c>
      <c r="KU586" s="273">
        <f>$H586*IF(KY586&lt;&gt;KE586,SUMIFS(axTER!$E$121:$E$128,axTER!$C$121:$C$128,KE586,axTER!$D$121:$D$128,KY586),SUMIFS(axTER!$E$133:$E$138,axTER!$C$133:$C$138,KY586)*KX$510)*$D$514/10^6</f>
        <v>355.98543910397444</v>
      </c>
      <c r="KV586" s="274">
        <f>$H586*IF(KZ586&lt;&gt;KF586,SUMIFS(axTER!$E$142:$E$148,axTER!$C$142:$C$148,KZ586),SUMIFS(axTER!$E$151:$E$157,axTER!$C$151:$C$157,KZ586)*KX$510)/10^6*$D$514</f>
        <v>664.50615299408582</v>
      </c>
      <c r="KW586" s="275" t="s">
        <v>272</v>
      </c>
      <c r="KX586" s="161" t="s">
        <v>265</v>
      </c>
      <c r="KY586" s="161" t="s">
        <v>266</v>
      </c>
      <c r="KZ586" s="284" t="s">
        <v>261</v>
      </c>
      <c r="LA586" s="276">
        <f>$H586*SUMIFS(axTER!$E$65:$E$105,axTER!$D$65:$D$105,KY586,axTER!$C$65:$C$105,KW586)/SUMIFS(axTER!$E$108:$E$114,axTER!$C$108:$C$114,KZ586)/10^9*$D$514</f>
        <v>0.35598543910397451</v>
      </c>
      <c r="LC586" s="269">
        <v>1200</v>
      </c>
      <c r="LD586" s="66" t="s">
        <v>272</v>
      </c>
      <c r="LE586" s="66" t="s">
        <v>265</v>
      </c>
      <c r="LF586" s="66" t="s">
        <v>266</v>
      </c>
      <c r="LG586" s="283" t="s">
        <v>261</v>
      </c>
      <c r="LH586" s="272">
        <f>$H586*SUMIFS(axTER!$E$65:$E$105,axTER!$C$65:$C$105,LD586,axTER!$D$65:$D$105,LF586)/SUMIFS(axTER!$E$108:$E$114,axTER!$C$108:$C$114,LG586)/10^9*$D$514</f>
        <v>0.35598543910397451</v>
      </c>
      <c r="LJ586" s="273">
        <f t="shared" si="1026"/>
        <v>0</v>
      </c>
      <c r="LK586" s="273">
        <f t="shared" si="1017"/>
        <v>0</v>
      </c>
      <c r="LL586" s="273">
        <f>$H586*IF(LP586&lt;&gt;LF586,SUMIFS(axTER!$E$121:$E$128,axTER!$C$121:$C$128,LF586,axTER!$D$121:$D$128,LP586),SUMIFS(axTER!$E$133:$E$138,axTER!$C$133:$C$138,LP586)*LO$510)*$D$514/10^6</f>
        <v>124.59490368639106</v>
      </c>
      <c r="LM586" s="274">
        <f>$H586*IF(LQ586&lt;&gt;LG586,SUMIFS(axTER!$E$142:$E$148,axTER!$C$142:$C$148,LQ586),SUMIFS(axTER!$E$151:$E$157,axTER!$C$151:$C$157,LQ586)*LO$510)/10^6*$D$514</f>
        <v>232.57715354792998</v>
      </c>
      <c r="LN586" s="275" t="s">
        <v>272</v>
      </c>
      <c r="LO586" s="161" t="s">
        <v>265</v>
      </c>
      <c r="LP586" s="161" t="s">
        <v>266</v>
      </c>
      <c r="LQ586" s="161" t="s">
        <v>261</v>
      </c>
      <c r="LR586" s="276">
        <f>$H586*SUMIFS(axTER!$E$65:$E$105,axTER!$D$65:$D$105,LP586,axTER!$C$65:$C$105,LN586)/SUMIFS(axTER!$E$108:$E$114,axTER!$C$108:$C$114,LQ586)/10^9*$D$514</f>
        <v>0.35598543910397451</v>
      </c>
      <c r="LT586" s="273">
        <f t="shared" si="1027"/>
        <v>0</v>
      </c>
      <c r="LU586" s="273">
        <f t="shared" si="1028"/>
        <v>0</v>
      </c>
      <c r="LV586" s="273">
        <f>$H586*IF(LZ586&lt;&gt;LP586,SUMIFS(axTER!$E$121:$E$128,axTER!$C$121:$C$128,LP586,axTER!$D$121:$D$128,LZ586),SUMIFS(axTER!$E$133:$E$138,axTER!$C$133:$C$138,LZ586)*LY$510)*$D$514/10^6</f>
        <v>177.99271955198722</v>
      </c>
      <c r="LW586" s="274">
        <f>$H586*IF(MA586&lt;&gt;LQ586,SUMIFS(axTER!$E$142:$E$148,axTER!$C$142:$C$148,MA586),SUMIFS(axTER!$E$151:$E$157,axTER!$C$151:$C$157,MA586)*LY$510)/10^6*$D$514</f>
        <v>332.25307649704291</v>
      </c>
      <c r="LX586" s="275" t="s">
        <v>272</v>
      </c>
      <c r="LY586" s="161" t="s">
        <v>265</v>
      </c>
      <c r="LZ586" s="161" t="s">
        <v>266</v>
      </c>
      <c r="MA586" s="161" t="s">
        <v>261</v>
      </c>
      <c r="MB586" s="276">
        <f>$H586*SUMIFS(axTER!$E$65:$E$105,axTER!$D$65:$D$105,LZ586,axTER!$C$65:$C$105,LX586)/SUMIFS(axTER!$E$108:$E$114,axTER!$C$108:$C$114,MA586)/10^9*$D$514</f>
        <v>0.35598543910397451</v>
      </c>
      <c r="MD586" s="273">
        <f t="shared" si="1019"/>
        <v>0</v>
      </c>
      <c r="ME586" s="273">
        <f t="shared" si="1029"/>
        <v>0</v>
      </c>
      <c r="MF586" s="273">
        <f>$H586*IF(MJ586&lt;&gt;LZ586,SUMIFS(axTER!$E$121:$E$128,axTER!$C$121:$C$128,LZ586,axTER!$D$121:$D$128,MJ586),SUMIFS(axTER!$E$133:$E$138,axTER!$C$133:$C$138,MJ586)*MI$510)*$D$514/10^6</f>
        <v>177.99271955198722</v>
      </c>
      <c r="MG586" s="274">
        <f>$H586*IF(MK586&lt;&gt;MA586,SUMIFS(axTER!$E$142:$E$148,axTER!$C$142:$C$148,MK586),SUMIFS(axTER!$E$151:$E$157,axTER!$C$151:$C$157,MK586)*MI$510)/10^6*$D$514</f>
        <v>332.25307649704291</v>
      </c>
      <c r="MH586" s="275" t="s">
        <v>272</v>
      </c>
      <c r="MI586" s="161" t="s">
        <v>265</v>
      </c>
      <c r="MJ586" s="161" t="s">
        <v>266</v>
      </c>
      <c r="MK586" s="161" t="s">
        <v>261</v>
      </c>
      <c r="ML586" s="276">
        <f>$H586*SUMIFS(axTER!$E$65:$E$105,axTER!$D$65:$D$105,MJ586,axTER!$C$65:$C$105,MH586)/SUMIFS(axTER!$E$108:$E$114,axTER!$C$108:$C$114,MK586)/10^9*$D$514</f>
        <v>0.35598543910397451</v>
      </c>
    </row>
    <row r="587" spans="3:350" outlineLevel="1" x14ac:dyDescent="0.3">
      <c r="C587" s="267"/>
      <c r="F587" s="266"/>
      <c r="H587" s="269">
        <v>1200</v>
      </c>
      <c r="I587" s="66" t="s">
        <v>272</v>
      </c>
      <c r="J587" s="66" t="s">
        <v>265</v>
      </c>
      <c r="K587" s="66" t="s">
        <v>266</v>
      </c>
      <c r="L587" s="283" t="s">
        <v>260</v>
      </c>
      <c r="M587" s="272">
        <f>$H587*SUMIFS(axTER!$E$65:$E$105,axTER!$C$65:$C$105,I587,axTER!$D$65:$D$105,K587)/SUMIFS(axTER!$E$108:$E$114,axTER!$C$108:$C$114,L587)/10^9*$D$514</f>
        <v>1.1866181303465817</v>
      </c>
      <c r="S587" s="269">
        <v>1200</v>
      </c>
      <c r="T587" s="66" t="s">
        <v>272</v>
      </c>
      <c r="U587" s="66" t="s">
        <v>265</v>
      </c>
      <c r="V587" s="66" t="s">
        <v>266</v>
      </c>
      <c r="W587" s="283" t="s">
        <v>260</v>
      </c>
      <c r="X587" s="272">
        <f>$H587*SUMIFS(axTER!$E$65:$E$105,axTER!$C$65:$C$105,T587,axTER!$D$65:$D$105,V587)/SUMIFS(axTER!$E$108:$E$114,axTER!$C$108:$C$114,W587)/10^9*$D$514</f>
        <v>1.1866181303465817</v>
      </c>
      <c r="AB587" s="273">
        <f>$H587*IF(AF587&lt;&gt;K587,SUMIFS(axTER!$E$121:$E$128,axTER!$C$121:$C$128,K587,axTER!$D$121:$D$128,AF587),SUMIFS(axTER!$E$133:$E$138,axTER!$C$133:$C$138,AF587)*AE$510)*$D$514/10^6</f>
        <v>177.99271955198722</v>
      </c>
      <c r="AC587" s="274">
        <f>$H587*IF(AG587&lt;&gt;L587,SUMIFS(axTER!$E$142:$E$148,axTER!$C$142:$C$148,AG587),SUMIFS(axTER!$E$151:$E$157,axTER!$C$151:$C$157,AG587)*AE$510)/10^6*$D$514</f>
        <v>41.531634562130364</v>
      </c>
      <c r="AD587" s="275" t="s">
        <v>272</v>
      </c>
      <c r="AE587" s="161" t="s">
        <v>265</v>
      </c>
      <c r="AF587" s="161" t="s">
        <v>266</v>
      </c>
      <c r="AG587" s="284" t="s">
        <v>260</v>
      </c>
      <c r="AH587" s="276">
        <f>$H587*SUMIFS(axTER!$E$65:$E$105,axTER!$D$65:$D$105,AF587,axTER!$C$65:$C$105,AD587)/SUMIFS(axTER!$E$108:$E$114,axTER!$C$108:$C$114,AG587)/10^9*$D$514</f>
        <v>1.1866181303465817</v>
      </c>
      <c r="AV587" s="273">
        <f>$H587*IF(AZ587&lt;&gt;AF587,SUMIFS(axTER!$E$121:$E$128,axTER!$C$121:$C$128,AF587,axTER!$D$121:$D$128,AZ587),SUMIFS(axTER!$E$133:$E$138,axTER!$C$133:$C$138,AZ587)*AY$510)*$D$514/10^6</f>
        <v>355.98543910397444</v>
      </c>
      <c r="AW587" s="274">
        <f>$H587*IF(BA587&lt;&gt;AG587,SUMIFS(axTER!$E$142:$E$148,axTER!$C$142:$C$148,BA587),SUMIFS(axTER!$E$151:$E$157,axTER!$C$151:$C$157,BA587)*AY$510)/10^6*$D$514</f>
        <v>949.29450427726533</v>
      </c>
      <c r="AX587" s="275" t="s">
        <v>272</v>
      </c>
      <c r="AY587" s="161" t="s">
        <v>265</v>
      </c>
      <c r="AZ587" s="161" t="s">
        <v>266</v>
      </c>
      <c r="BA587" s="284" t="s">
        <v>261</v>
      </c>
      <c r="BB587" s="276">
        <f>$H587*SUMIFS(axTER!$E$65:$E$105,axTER!$D$65:$D$105,AZ587,axTER!$C$65:$C$105,AX587)/SUMIFS(axTER!$E$108:$E$114,axTER!$C$108:$C$114,BA587)/10^9*$D$514</f>
        <v>0.35598543910397451</v>
      </c>
      <c r="IG587" s="269">
        <v>1200</v>
      </c>
      <c r="IH587" s="66" t="s">
        <v>272</v>
      </c>
      <c r="II587" s="66" t="s">
        <v>265</v>
      </c>
      <c r="IJ587" s="66" t="s">
        <v>266</v>
      </c>
      <c r="IK587" s="283" t="s">
        <v>260</v>
      </c>
      <c r="IL587" s="272">
        <f>$H587*SUMIFS(axTER!$E$65:$E$105,axTER!$C$65:$C$105,IH587,axTER!$D$65:$D$105,IJ587)/SUMIFS(axTER!$E$108:$E$114,axTER!$C$108:$C$114,IK587)/10^9*$D$514</f>
        <v>1.1866181303465817</v>
      </c>
      <c r="IO587" s="273">
        <f t="shared" si="1020"/>
        <v>0</v>
      </c>
      <c r="IP587" s="273">
        <f>$H587*IF(IT587&lt;&gt;IJ587,SUMIFS(axTER!$E$121:$E$128,axTER!$C$121:$C$128,IJ587,axTER!$D$121:$D$128,IT587),SUMIFS(axTER!$E$133:$E$138,axTER!$C$133:$C$138,IT587)*IS$510)*$D$514/10^6</f>
        <v>177.99271955198722</v>
      </c>
      <c r="IQ587" s="274">
        <f>$H587*IF(IU587&lt;&gt;IK587,SUMIFS(axTER!$E$142:$E$148,axTER!$C$142:$C$148,IU587),SUMIFS(axTER!$E$151:$E$157,axTER!$C$151:$C$157,IU587)*IS$510)/10^6*$D$514</f>
        <v>41.531634562130364</v>
      </c>
      <c r="IR587" s="275" t="s">
        <v>272</v>
      </c>
      <c r="IS587" s="161" t="s">
        <v>265</v>
      </c>
      <c r="IT587" s="161" t="s">
        <v>266</v>
      </c>
      <c r="IU587" s="284" t="s">
        <v>260</v>
      </c>
      <c r="IV587" s="276">
        <f>$H587*SUMIFS(axTER!$E$65:$E$105,axTER!$D$65:$D$105,IT587,axTER!$C$65:$C$105,IR587)/SUMIFS(axTER!$E$108:$E$114,axTER!$C$108:$C$114,IU587)/10^9*$D$514</f>
        <v>1.1866181303465817</v>
      </c>
      <c r="JI587" s="273">
        <f t="shared" si="1021"/>
        <v>0</v>
      </c>
      <c r="JJ587" s="273">
        <f>$H587*IF(JN587&lt;&gt;IT587,SUMIFS(axTER!$E$121:$E$128,axTER!$C$121:$C$128,IT587,axTER!$D$121:$D$128,JN587),SUMIFS(axTER!$E$133:$E$138,axTER!$C$133:$C$138,JN587)*JM$510)*$D$514/10^6</f>
        <v>355.98543910397444</v>
      </c>
      <c r="JK587" s="274">
        <f>$H587*IF(JO587&lt;&gt;IU587,SUMIFS(axTER!$E$142:$E$148,axTER!$C$142:$C$148,JO587),SUMIFS(axTER!$E$151:$E$157,axTER!$C$151:$C$157,JO587)*JM$510)/10^6*$D$514</f>
        <v>83.063269124260728</v>
      </c>
      <c r="JL587" s="275" t="s">
        <v>272</v>
      </c>
      <c r="JM587" s="161" t="s">
        <v>265</v>
      </c>
      <c r="JN587" s="161" t="s">
        <v>266</v>
      </c>
      <c r="JO587" s="284" t="s">
        <v>260</v>
      </c>
      <c r="JP587" s="276">
        <f>$H587*SUMIFS(axTER!$E$65:$E$105,axTER!$D$65:$D$105,JN587,axTER!$C$65:$C$105,JL587)/SUMIFS(axTER!$E$108:$E$114,axTER!$C$108:$C$114,JO587)/10^9*$D$514</f>
        <v>1.1866181303465817</v>
      </c>
      <c r="JR587" s="269">
        <v>1200</v>
      </c>
      <c r="JS587" s="66" t="s">
        <v>272</v>
      </c>
      <c r="JT587" s="66" t="s">
        <v>265</v>
      </c>
      <c r="JU587" s="66" t="s">
        <v>266</v>
      </c>
      <c r="JV587" s="283" t="s">
        <v>260</v>
      </c>
      <c r="JW587" s="272">
        <f>$H587*SUMIFS(axTER!$E$65:$E$105,axTER!$C$65:$C$105,JS587,axTER!$D$65:$D$105,JU587)/SUMIFS(axTER!$E$108:$E$114,axTER!$C$108:$C$114,JV587)/10^9*$D$514</f>
        <v>1.1866181303465817</v>
      </c>
      <c r="JY587" s="273">
        <f t="shared" si="1022"/>
        <v>0</v>
      </c>
      <c r="JZ587" s="273">
        <f t="shared" si="1023"/>
        <v>0</v>
      </c>
      <c r="KA587" s="273">
        <f>$H587*IF(KE587&lt;&gt;JU587,SUMIFS(axTER!$E$121:$E$128,axTER!$C$121:$C$128,JU587,axTER!$D$121:$D$128,KE587),SUMIFS(axTER!$E$133:$E$138,axTER!$C$133:$C$138,KE587)*KD$510)*$D$514/10^6</f>
        <v>124.59490368639106</v>
      </c>
      <c r="KB587" s="274">
        <f>$H587*IF(KF587&lt;&gt;JV587,SUMIFS(axTER!$E$142:$E$148,axTER!$C$142:$C$148,KF587),SUMIFS(axTER!$E$151:$E$157,axTER!$C$151:$C$157,KF587)*KD$510)/10^6*$D$514</f>
        <v>29.072144193491248</v>
      </c>
      <c r="KC587" s="275" t="s">
        <v>272</v>
      </c>
      <c r="KD587" s="161" t="s">
        <v>265</v>
      </c>
      <c r="KE587" s="161" t="s">
        <v>266</v>
      </c>
      <c r="KF587" s="161" t="s">
        <v>260</v>
      </c>
      <c r="KG587" s="276">
        <f>$H587*SUMIFS(axTER!$E$65:$E$105,axTER!$D$65:$D$105,KE587,axTER!$C$65:$C$105,KC587)/SUMIFS(axTER!$E$108:$E$114,axTER!$C$108:$C$114,KF587)/10^9*$D$514</f>
        <v>1.1866181303465817</v>
      </c>
      <c r="KS587" s="273">
        <f t="shared" si="1024"/>
        <v>0</v>
      </c>
      <c r="KT587" s="273">
        <f t="shared" si="1025"/>
        <v>0</v>
      </c>
      <c r="KU587" s="273">
        <f>$H587*IF(KY587&lt;&gt;KE587,SUMIFS(axTER!$E$121:$E$128,axTER!$C$121:$C$128,KE587,axTER!$D$121:$D$128,KY587),SUMIFS(axTER!$E$133:$E$138,axTER!$C$133:$C$138,KY587)*KX$510)*$D$514/10^6</f>
        <v>355.98543910397444</v>
      </c>
      <c r="KV587" s="274">
        <f>$H587*IF(KZ587&lt;&gt;KF587,SUMIFS(axTER!$E$142:$E$148,axTER!$C$142:$C$148,KZ587),SUMIFS(axTER!$E$151:$E$157,axTER!$C$151:$C$157,KZ587)*KX$510)/10^6*$D$514</f>
        <v>83.063269124260728</v>
      </c>
      <c r="KW587" s="275" t="s">
        <v>272</v>
      </c>
      <c r="KX587" s="161" t="s">
        <v>265</v>
      </c>
      <c r="KY587" s="161" t="s">
        <v>266</v>
      </c>
      <c r="KZ587" s="161" t="s">
        <v>260</v>
      </c>
      <c r="LA587" s="276">
        <f>$H587*SUMIFS(axTER!$E$65:$E$105,axTER!$D$65:$D$105,KY587,axTER!$C$65:$C$105,KW587)/SUMIFS(axTER!$E$108:$E$114,axTER!$C$108:$C$114,KZ587)/10^9*$D$514</f>
        <v>1.1866181303465817</v>
      </c>
      <c r="LC587" s="269">
        <v>1200</v>
      </c>
      <c r="LD587" s="66" t="s">
        <v>272</v>
      </c>
      <c r="LE587" s="66" t="s">
        <v>265</v>
      </c>
      <c r="LF587" s="66" t="s">
        <v>266</v>
      </c>
      <c r="LG587" s="283" t="s">
        <v>260</v>
      </c>
      <c r="LH587" s="272">
        <f>$H587*SUMIFS(axTER!$E$65:$E$105,axTER!$C$65:$C$105,LD587,axTER!$D$65:$D$105,LF587)/SUMIFS(axTER!$E$108:$E$114,axTER!$C$108:$C$114,LG587)/10^9*$D$514</f>
        <v>1.1866181303465817</v>
      </c>
      <c r="LJ587" s="273">
        <f t="shared" si="1026"/>
        <v>0</v>
      </c>
      <c r="LK587" s="273">
        <f t="shared" si="1017"/>
        <v>0</v>
      </c>
      <c r="LL587" s="273">
        <f>$H587*IF(LP587&lt;&gt;LF587,SUMIFS(axTER!$E$121:$E$128,axTER!$C$121:$C$128,LF587,axTER!$D$121:$D$128,LP587),SUMIFS(axTER!$E$133:$E$138,axTER!$C$133:$C$138,LP587)*LO$510)*$D$514/10^6</f>
        <v>124.59490368639106</v>
      </c>
      <c r="LM587" s="274">
        <f>$H587*IF(LQ587&lt;&gt;LG587,SUMIFS(axTER!$E$142:$E$148,axTER!$C$142:$C$148,LQ587),SUMIFS(axTER!$E$151:$E$157,axTER!$C$151:$C$157,LQ587)*LO$510)/10^6*$D$514</f>
        <v>29.072144193491248</v>
      </c>
      <c r="LN587" s="275" t="s">
        <v>272</v>
      </c>
      <c r="LO587" s="161" t="s">
        <v>265</v>
      </c>
      <c r="LP587" s="161" t="s">
        <v>266</v>
      </c>
      <c r="LQ587" s="161" t="s">
        <v>260</v>
      </c>
      <c r="LR587" s="276">
        <f>$H587*SUMIFS(axTER!$E$65:$E$105,axTER!$D$65:$D$105,LP587,axTER!$C$65:$C$105,LN587)/SUMIFS(axTER!$E$108:$E$114,axTER!$C$108:$C$114,LQ587)/10^9*$D$514</f>
        <v>1.1866181303465817</v>
      </c>
      <c r="LT587" s="273" t="str">
        <f t="shared" si="1027"/>
        <v>ELEC-PAC</v>
      </c>
      <c r="LU587" s="273">
        <f t="shared" si="1028"/>
        <v>0</v>
      </c>
      <c r="LV587" s="273">
        <f>$H587*IF(LZ587&lt;&gt;LP587,SUMIFS(axTER!$E$121:$E$128,axTER!$C$121:$C$128,LP587,axTER!$D$121:$D$128,LZ587),SUMIFS(axTER!$E$133:$E$138,axTER!$C$133:$C$138,LZ587)*LY$510)*$D$514/10^6</f>
        <v>177.99271955198722</v>
      </c>
      <c r="LW587" s="274">
        <f>$H587*IF(MA587&lt;&gt;LQ587,SUMIFS(axTER!$E$142:$E$148,axTER!$C$142:$C$148,MA587),SUMIFS(axTER!$E$151:$E$157,axTER!$C$151:$C$157,MA587)*LY$510)/10^6*$D$514</f>
        <v>949.29450427726533</v>
      </c>
      <c r="LX587" s="275" t="s">
        <v>272</v>
      </c>
      <c r="LY587" s="161" t="s">
        <v>265</v>
      </c>
      <c r="LZ587" s="161" t="s">
        <v>266</v>
      </c>
      <c r="MA587" s="429" t="s">
        <v>261</v>
      </c>
      <c r="MB587" s="276">
        <f>$H587*SUMIFS(axTER!$E$65:$E$105,axTER!$D$65:$D$105,LZ587,axTER!$C$65:$C$105,LX587)/SUMIFS(axTER!$E$108:$E$114,axTER!$C$108:$C$114,MA587)/10^9*$D$514</f>
        <v>0.35598543910397451</v>
      </c>
      <c r="MD587" s="273">
        <f t="shared" si="1019"/>
        <v>0</v>
      </c>
      <c r="ME587" s="273">
        <f t="shared" si="1029"/>
        <v>0</v>
      </c>
      <c r="MF587" s="273">
        <f>$H587*IF(MJ587&lt;&gt;LZ587,SUMIFS(axTER!$E$121:$E$128,axTER!$C$121:$C$128,LZ587,axTER!$D$121:$D$128,MJ587),SUMIFS(axTER!$E$133:$E$138,axTER!$C$133:$C$138,MJ587)*MI$510)*$D$514/10^6</f>
        <v>177.99271955198722</v>
      </c>
      <c r="MG587" s="274">
        <f>$H587*IF(MK587&lt;&gt;MA587,SUMIFS(axTER!$E$142:$E$148,axTER!$C$142:$C$148,MK587),SUMIFS(axTER!$E$151:$E$157,axTER!$C$151:$C$157,MK587)*MI$510)/10^6*$D$514</f>
        <v>332.25307649704291</v>
      </c>
      <c r="MH587" s="275" t="s">
        <v>272</v>
      </c>
      <c r="MI587" s="161" t="s">
        <v>265</v>
      </c>
      <c r="MJ587" s="161" t="s">
        <v>266</v>
      </c>
      <c r="MK587" s="161" t="s">
        <v>261</v>
      </c>
      <c r="ML587" s="276">
        <f>$H587*SUMIFS(axTER!$E$65:$E$105,axTER!$D$65:$D$105,MJ587,axTER!$C$65:$C$105,MH587)/SUMIFS(axTER!$E$108:$E$114,axTER!$C$108:$C$114,MK587)/10^9*$D$514</f>
        <v>0.35598543910397451</v>
      </c>
    </row>
    <row r="588" spans="3:350" hidden="1" outlineLevel="1" x14ac:dyDescent="0.3">
      <c r="C588" s="267"/>
      <c r="F588" s="266"/>
      <c r="H588" s="269">
        <v>1200</v>
      </c>
      <c r="I588" s="66" t="s">
        <v>272</v>
      </c>
      <c r="J588" s="66" t="s">
        <v>265</v>
      </c>
      <c r="K588" s="66" t="s">
        <v>266</v>
      </c>
      <c r="L588" s="283" t="s">
        <v>256</v>
      </c>
      <c r="M588" s="272">
        <f>$H588*SUMIFS(axTER!$E$65:$E$105,axTER!$C$65:$C$105,I588,axTER!$D$65:$D$105,K588)/SUMIFS(axTER!$E$108:$E$114,axTER!$C$108:$C$114,L588)/10^9*$D$514</f>
        <v>1.1241645445388668</v>
      </c>
      <c r="S588" s="269">
        <v>1200</v>
      </c>
      <c r="T588" s="66" t="s">
        <v>272</v>
      </c>
      <c r="U588" s="66" t="s">
        <v>265</v>
      </c>
      <c r="V588" s="66" t="s">
        <v>266</v>
      </c>
      <c r="W588" s="283" t="s">
        <v>256</v>
      </c>
      <c r="X588" s="272">
        <f>$H588*SUMIFS(axTER!$E$65:$E$105,axTER!$C$65:$C$105,T588,axTER!$D$65:$D$105,V588)/SUMIFS(axTER!$E$108:$E$114,axTER!$C$108:$C$114,W588)/10^9*$D$514</f>
        <v>1.1241645445388668</v>
      </c>
      <c r="AB588" s="273">
        <f>$H588*IF(AF588&lt;&gt;K588,SUMIFS(axTER!$E$121:$E$128,axTER!$C$121:$C$128,K588,axTER!$D$121:$D$128,AF588),SUMIFS(axTER!$E$133:$E$138,axTER!$C$133:$C$138,AF588)*AE$510)*$D$514/10^6</f>
        <v>177.99271955198722</v>
      </c>
      <c r="AC588" s="274">
        <f>$H588*IF(AG588&lt;&gt;L588,SUMIFS(axTER!$E$142:$E$148,axTER!$C$142:$C$148,AG588),SUMIFS(axTER!$E$151:$E$157,axTER!$C$151:$C$157,AG588)*AE$510)/10^6*$D$514</f>
        <v>74.756942211834655</v>
      </c>
      <c r="AD588" s="275" t="s">
        <v>272</v>
      </c>
      <c r="AE588" s="161" t="s">
        <v>265</v>
      </c>
      <c r="AF588" s="161" t="s">
        <v>266</v>
      </c>
      <c r="AG588" s="284" t="s">
        <v>256</v>
      </c>
      <c r="AH588" s="276">
        <f>$H588*SUMIFS(axTER!$E$65:$E$105,axTER!$D$65:$D$105,AF588,axTER!$C$65:$C$105,AD588)/SUMIFS(axTER!$E$108:$E$114,axTER!$C$108:$C$114,AG588)/10^9*$D$514</f>
        <v>1.1241645445388668</v>
      </c>
      <c r="AV588" s="273">
        <f>$H588*IF(AZ588&lt;&gt;AF588,SUMIFS(axTER!$E$121:$E$128,axTER!$C$121:$C$128,AF588,axTER!$D$121:$D$128,AZ588),SUMIFS(axTER!$E$133:$E$138,axTER!$C$133:$C$138,AZ588)*AY$510)*$D$514/10^6</f>
        <v>355.98543910397444</v>
      </c>
      <c r="AW588" s="274">
        <f>$H588*IF(BA588&lt;&gt;AG588,SUMIFS(axTER!$E$142:$E$148,axTER!$C$142:$C$148,BA588),SUMIFS(axTER!$E$151:$E$157,axTER!$C$151:$C$157,BA588)*AY$510)/10^6*$D$514</f>
        <v>149.51388442366931</v>
      </c>
      <c r="AX588" s="275" t="s">
        <v>272</v>
      </c>
      <c r="AY588" s="161" t="s">
        <v>265</v>
      </c>
      <c r="AZ588" s="161" t="s">
        <v>266</v>
      </c>
      <c r="BA588" s="284" t="s">
        <v>256</v>
      </c>
      <c r="BB588" s="276">
        <f>$H588*SUMIFS(axTER!$E$65:$E$105,axTER!$D$65:$D$105,AZ588,axTER!$C$65:$C$105,AX588)/SUMIFS(axTER!$E$108:$E$114,axTER!$C$108:$C$114,BA588)/10^9*$D$514</f>
        <v>1.1241645445388668</v>
      </c>
      <c r="IG588" s="269">
        <v>1200</v>
      </c>
      <c r="IH588" s="66" t="s">
        <v>272</v>
      </c>
      <c r="II588" s="66" t="s">
        <v>265</v>
      </c>
      <c r="IJ588" s="66" t="s">
        <v>266</v>
      </c>
      <c r="IK588" s="283" t="s">
        <v>256</v>
      </c>
      <c r="IL588" s="272">
        <f>$H588*SUMIFS(axTER!$E$65:$E$105,axTER!$C$65:$C$105,IH588,axTER!$D$65:$D$105,IJ588)/SUMIFS(axTER!$E$108:$E$114,axTER!$C$108:$C$114,IK588)/10^9*$D$514</f>
        <v>1.1241645445388668</v>
      </c>
      <c r="IO588" s="273">
        <f t="shared" si="1020"/>
        <v>0</v>
      </c>
      <c r="IP588" s="273">
        <f>$H588*IF(IT588&lt;&gt;IJ588,SUMIFS(axTER!$E$121:$E$128,axTER!$C$121:$C$128,IJ588,axTER!$D$121:$D$128,IT588),SUMIFS(axTER!$E$133:$E$138,axTER!$C$133:$C$138,IT588)*IS$510)*$D$514/10^6</f>
        <v>177.99271955198722</v>
      </c>
      <c r="IQ588" s="274">
        <f>$H588*IF(IU588&lt;&gt;IK588,SUMIFS(axTER!$E$142:$E$148,axTER!$C$142:$C$148,IU588),SUMIFS(axTER!$E$151:$E$157,axTER!$C$151:$C$157,IU588)*IS$510)/10^6*$D$514</f>
        <v>74.756942211834655</v>
      </c>
      <c r="IR588" s="275" t="s">
        <v>272</v>
      </c>
      <c r="IS588" s="161" t="s">
        <v>265</v>
      </c>
      <c r="IT588" s="161" t="s">
        <v>266</v>
      </c>
      <c r="IU588" s="284" t="s">
        <v>256</v>
      </c>
      <c r="IV588" s="276">
        <f>$H588*SUMIFS(axTER!$E$65:$E$105,axTER!$D$65:$D$105,IT588,axTER!$C$65:$C$105,IR588)/SUMIFS(axTER!$E$108:$E$114,axTER!$C$108:$C$114,IU588)/10^9*$D$514</f>
        <v>1.1241645445388668</v>
      </c>
      <c r="JI588" s="273">
        <f t="shared" si="1021"/>
        <v>0</v>
      </c>
      <c r="JJ588" s="273">
        <f>$H588*IF(JN588&lt;&gt;IT588,SUMIFS(axTER!$E$121:$E$128,axTER!$C$121:$C$128,IT588,axTER!$D$121:$D$128,JN588),SUMIFS(axTER!$E$133:$E$138,axTER!$C$133:$C$138,JN588)*JM$510)*$D$514/10^6</f>
        <v>355.98543910397444</v>
      </c>
      <c r="JK588" s="274">
        <f>$H588*IF(JO588&lt;&gt;IU588,SUMIFS(axTER!$E$142:$E$148,axTER!$C$142:$C$148,JO588),SUMIFS(axTER!$E$151:$E$157,axTER!$C$151:$C$157,JO588)*JM$510)/10^6*$D$514</f>
        <v>149.51388442366931</v>
      </c>
      <c r="JL588" s="275" t="s">
        <v>272</v>
      </c>
      <c r="JM588" s="161" t="s">
        <v>265</v>
      </c>
      <c r="JN588" s="161" t="s">
        <v>266</v>
      </c>
      <c r="JO588" s="284" t="s">
        <v>256</v>
      </c>
      <c r="JP588" s="276">
        <f>$H588*SUMIFS(axTER!$E$65:$E$105,axTER!$D$65:$D$105,JN588,axTER!$C$65:$C$105,JL588)/SUMIFS(axTER!$E$108:$E$114,axTER!$C$108:$C$114,JO588)/10^9*$D$514</f>
        <v>1.1241645445388668</v>
      </c>
      <c r="JR588" s="269">
        <v>1200</v>
      </c>
      <c r="JS588" s="66" t="s">
        <v>272</v>
      </c>
      <c r="JT588" s="66" t="s">
        <v>265</v>
      </c>
      <c r="JU588" s="66" t="s">
        <v>266</v>
      </c>
      <c r="JV588" s="283" t="s">
        <v>256</v>
      </c>
      <c r="JW588" s="272">
        <f>$H588*SUMIFS(axTER!$E$65:$E$105,axTER!$C$65:$C$105,JS588,axTER!$D$65:$D$105,JU588)/SUMIFS(axTER!$E$108:$E$114,axTER!$C$108:$C$114,JV588)/10^9*$D$514</f>
        <v>1.1241645445388668</v>
      </c>
      <c r="JY588" s="273">
        <f t="shared" si="1022"/>
        <v>0</v>
      </c>
      <c r="JZ588" s="273">
        <f t="shared" si="1023"/>
        <v>0</v>
      </c>
      <c r="KA588" s="273">
        <f>$H588*IF(KE588&lt;&gt;JU588,SUMIFS(axTER!$E$121:$E$128,axTER!$C$121:$C$128,JU588,axTER!$D$121:$D$128,KE588),SUMIFS(axTER!$E$133:$E$138,axTER!$C$133:$C$138,KE588)*KD$510)*$D$514/10^6</f>
        <v>124.59490368639106</v>
      </c>
      <c r="KB588" s="274">
        <f>$H588*IF(KF588&lt;&gt;JV588,SUMIFS(axTER!$E$142:$E$148,axTER!$C$142:$C$148,KF588),SUMIFS(axTER!$E$151:$E$157,axTER!$C$151:$C$157,KF588)*KD$510)/10^6*$D$514</f>
        <v>52.329859548284254</v>
      </c>
      <c r="KC588" s="275" t="s">
        <v>272</v>
      </c>
      <c r="KD588" s="161" t="s">
        <v>265</v>
      </c>
      <c r="KE588" s="161" t="s">
        <v>266</v>
      </c>
      <c r="KF588" s="284" t="s">
        <v>256</v>
      </c>
      <c r="KG588" s="276">
        <f>$H588*SUMIFS(axTER!$E$65:$E$105,axTER!$D$65:$D$105,KE588,axTER!$C$65:$C$105,KC588)/SUMIFS(axTER!$E$108:$E$114,axTER!$C$108:$C$114,KF588)/10^9*$D$514</f>
        <v>1.1241645445388668</v>
      </c>
      <c r="KS588" s="273" t="str">
        <f t="shared" si="1024"/>
        <v>ELEC-PAC</v>
      </c>
      <c r="KT588" s="273">
        <f t="shared" si="1025"/>
        <v>0</v>
      </c>
      <c r="KU588" s="273">
        <f>$H588*IF(KY588&lt;&gt;KE588,SUMIFS(axTER!$E$121:$E$128,axTER!$C$121:$C$128,KE588,axTER!$D$121:$D$128,KY588),SUMIFS(axTER!$E$133:$E$138,axTER!$C$133:$C$138,KY588)*KX$510)*$D$514/10^6</f>
        <v>355.98543910397444</v>
      </c>
      <c r="KV588" s="274">
        <f>$H588*IF(KZ588&lt;&gt;KF588,SUMIFS(axTER!$E$142:$E$148,axTER!$C$142:$C$148,KZ588),SUMIFS(axTER!$E$151:$E$157,axTER!$C$151:$C$157,KZ588)*KX$510)/10^6*$D$514</f>
        <v>949.29450427726533</v>
      </c>
      <c r="KW588" s="275" t="s">
        <v>272</v>
      </c>
      <c r="KX588" s="161" t="s">
        <v>265</v>
      </c>
      <c r="KY588" s="161" t="s">
        <v>266</v>
      </c>
      <c r="KZ588" s="284" t="s">
        <v>261</v>
      </c>
      <c r="LA588" s="276">
        <f>$H588*SUMIFS(axTER!$E$65:$E$105,axTER!$D$65:$D$105,KY588,axTER!$C$65:$C$105,KW588)/SUMIFS(axTER!$E$108:$E$114,axTER!$C$108:$C$114,KZ588)/10^9*$D$514</f>
        <v>0.35598543910397451</v>
      </c>
      <c r="LC588" s="269">
        <v>1200</v>
      </c>
      <c r="LD588" s="66" t="s">
        <v>272</v>
      </c>
      <c r="LE588" s="66" t="s">
        <v>265</v>
      </c>
      <c r="LF588" s="66" t="s">
        <v>266</v>
      </c>
      <c r="LG588" s="283" t="s">
        <v>256</v>
      </c>
      <c r="LH588" s="272">
        <f>$H588*SUMIFS(axTER!$E$65:$E$105,axTER!$C$65:$C$105,LD588,axTER!$D$65:$D$105,LF588)/SUMIFS(axTER!$E$108:$E$114,axTER!$C$108:$C$114,LG588)/10^9*$D$514</f>
        <v>1.1241645445388668</v>
      </c>
      <c r="LJ588" s="273">
        <f t="shared" si="1026"/>
        <v>0</v>
      </c>
      <c r="LK588" s="273">
        <f t="shared" si="1017"/>
        <v>0</v>
      </c>
      <c r="LL588" s="273">
        <f>$H588*IF(LP588&lt;&gt;LF588,SUMIFS(axTER!$E$121:$E$128,axTER!$C$121:$C$128,LF588,axTER!$D$121:$D$128,LP588),SUMIFS(axTER!$E$133:$E$138,axTER!$C$133:$C$138,LP588)*LO$510)*$D$514/10^6</f>
        <v>124.59490368639106</v>
      </c>
      <c r="LM588" s="274">
        <f>$H588*IF(LQ588&lt;&gt;LG588,SUMIFS(axTER!$E$142:$E$148,axTER!$C$142:$C$148,LQ588),SUMIFS(axTER!$E$151:$E$157,axTER!$C$151:$C$157,LQ588)*LO$510)/10^6*$D$514</f>
        <v>52.329859548284254</v>
      </c>
      <c r="LN588" s="275" t="s">
        <v>272</v>
      </c>
      <c r="LO588" s="161" t="s">
        <v>265</v>
      </c>
      <c r="LP588" s="161" t="s">
        <v>266</v>
      </c>
      <c r="LQ588" s="161" t="s">
        <v>256</v>
      </c>
      <c r="LR588" s="276">
        <f>$H588*SUMIFS(axTER!$E$65:$E$105,axTER!$D$65:$D$105,LP588,axTER!$C$65:$C$105,LN588)/SUMIFS(axTER!$E$108:$E$114,axTER!$C$108:$C$114,LQ588)/10^9*$D$514</f>
        <v>1.1241645445388668</v>
      </c>
      <c r="LT588" s="273">
        <f t="shared" si="1027"/>
        <v>0</v>
      </c>
      <c r="LU588" s="273">
        <f t="shared" si="1028"/>
        <v>0</v>
      </c>
      <c r="LV588" s="273">
        <f>$H588*IF(LZ588&lt;&gt;LP588,SUMIFS(axTER!$E$121:$E$128,axTER!$C$121:$C$128,LP588,axTER!$D$121:$D$128,LZ588),SUMIFS(axTER!$E$133:$E$138,axTER!$C$133:$C$138,LZ588)*LY$510)*$D$514/10^6</f>
        <v>177.99271955198722</v>
      </c>
      <c r="LW588" s="274">
        <f>$H588*IF(MA588&lt;&gt;LQ588,SUMIFS(axTER!$E$142:$E$148,axTER!$C$142:$C$148,MA588),SUMIFS(axTER!$E$151:$E$157,axTER!$C$151:$C$157,MA588)*LY$510)/10^6*$D$514</f>
        <v>74.756942211834655</v>
      </c>
      <c r="LX588" s="275" t="s">
        <v>272</v>
      </c>
      <c r="LY588" s="161" t="s">
        <v>265</v>
      </c>
      <c r="LZ588" s="161" t="s">
        <v>266</v>
      </c>
      <c r="MA588" s="161" t="s">
        <v>256</v>
      </c>
      <c r="MB588" s="276">
        <f>$H588*SUMIFS(axTER!$E$65:$E$105,axTER!$D$65:$D$105,LZ588,axTER!$C$65:$C$105,LX588)/SUMIFS(axTER!$E$108:$E$114,axTER!$C$108:$C$114,MA588)/10^9*$D$514</f>
        <v>1.1241645445388668</v>
      </c>
      <c r="MD588" s="273">
        <f t="shared" si="1019"/>
        <v>0</v>
      </c>
      <c r="ME588" s="273">
        <f t="shared" si="1029"/>
        <v>0</v>
      </c>
      <c r="MF588" s="273">
        <f>$H588*IF(MJ588&lt;&gt;LZ588,SUMIFS(axTER!$E$121:$E$128,axTER!$C$121:$C$128,LZ588,axTER!$D$121:$D$128,MJ588),SUMIFS(axTER!$E$133:$E$138,axTER!$C$133:$C$138,MJ588)*MI$510)*$D$514/10^6</f>
        <v>177.99271955198722</v>
      </c>
      <c r="MG588" s="274">
        <f>$H588*IF(MK588&lt;&gt;MA588,SUMIFS(axTER!$E$142:$E$148,axTER!$C$142:$C$148,MK588),SUMIFS(axTER!$E$151:$E$157,axTER!$C$151:$C$157,MK588)*MI$510)/10^6*$D$514</f>
        <v>74.756942211834655</v>
      </c>
      <c r="MH588" s="275" t="s">
        <v>272</v>
      </c>
      <c r="MI588" s="161" t="s">
        <v>265</v>
      </c>
      <c r="MJ588" s="161" t="s">
        <v>266</v>
      </c>
      <c r="MK588" s="429" t="s">
        <v>256</v>
      </c>
      <c r="ML588" s="276">
        <f>$H588*SUMIFS(axTER!$E$65:$E$105,axTER!$D$65:$D$105,MJ588,axTER!$C$65:$C$105,MH588)/SUMIFS(axTER!$E$108:$E$114,axTER!$C$108:$C$114,MK588)/10^9*$D$514</f>
        <v>1.1241645445388668</v>
      </c>
    </row>
    <row r="589" spans="3:350" hidden="1" outlineLevel="1" x14ac:dyDescent="0.3">
      <c r="C589" s="265"/>
      <c r="F589" s="266"/>
      <c r="H589" s="269">
        <v>1200</v>
      </c>
      <c r="I589" s="66" t="s">
        <v>272</v>
      </c>
      <c r="J589" s="66" t="s">
        <v>265</v>
      </c>
      <c r="K589" s="66" t="s">
        <v>255</v>
      </c>
      <c r="L589" s="283" t="s">
        <v>256</v>
      </c>
      <c r="M589" s="272">
        <f>$H589*SUMIFS(axTER!$E$65:$E$105,axTER!$C$65:$C$105,I589,axTER!$D$65:$D$105,K589)/SUMIFS(axTER!$E$108:$E$114,axTER!$C$108:$C$114,L589)/10^9*$D$514</f>
        <v>1.4988860593851558</v>
      </c>
      <c r="S589" s="269">
        <v>1200</v>
      </c>
      <c r="T589" s="66" t="s">
        <v>272</v>
      </c>
      <c r="U589" s="66" t="s">
        <v>265</v>
      </c>
      <c r="V589" s="66" t="s">
        <v>255</v>
      </c>
      <c r="W589" s="283" t="s">
        <v>256</v>
      </c>
      <c r="X589" s="272">
        <f>$H589*SUMIFS(axTER!$E$65:$E$105,axTER!$C$65:$C$105,T589,axTER!$D$65:$D$105,V589)/SUMIFS(axTER!$E$108:$E$114,axTER!$C$108:$C$114,W589)/10^9*$D$514</f>
        <v>1.4988860593851558</v>
      </c>
      <c r="AB589" s="273">
        <f>$H589*IF(AF589&lt;&gt;K589,SUMIFS(axTER!$E$121:$E$128,axTER!$C$121:$C$128,K589,axTER!$D$121:$D$128,AF589),SUMIFS(axTER!$E$133:$E$138,axTER!$C$133:$C$138,AF589)*AE$510)*$D$514/10^6</f>
        <v>474.64725213863267</v>
      </c>
      <c r="AC589" s="274">
        <f>$H589*IF(AG589&lt;&gt;L589,SUMIFS(axTER!$E$142:$E$148,axTER!$C$142:$C$148,AG589),SUMIFS(axTER!$E$151:$E$157,axTER!$C$151:$C$157,AG589)*AE$510)/10^6*$D$514</f>
        <v>74.756942211834655</v>
      </c>
      <c r="AD589" s="275" t="s">
        <v>272</v>
      </c>
      <c r="AE589" s="161" t="s">
        <v>265</v>
      </c>
      <c r="AF589" s="161" t="s">
        <v>255</v>
      </c>
      <c r="AG589" s="284" t="s">
        <v>256</v>
      </c>
      <c r="AH589" s="276">
        <f>$H589*SUMIFS(axTER!$E$65:$E$105,axTER!$D$65:$D$105,AF589,axTER!$C$65:$C$105,AD589)/SUMIFS(axTER!$E$108:$E$114,axTER!$C$108:$C$114,AG589)/10^9*$D$514</f>
        <v>1.4988860593851558</v>
      </c>
      <c r="AV589" s="273">
        <f>$H589*IF(AZ589&lt;&gt;AF589,SUMIFS(axTER!$E$121:$E$128,axTER!$C$121:$C$128,AF589,axTER!$D$121:$D$128,AZ589),SUMIFS(axTER!$E$133:$E$138,axTER!$C$133:$C$138,AZ589)*AY$510)*$D$514/10^6</f>
        <v>949.29450427726533</v>
      </c>
      <c r="AW589" s="274">
        <f>$H589*IF(BA589&lt;&gt;AG589,SUMIFS(axTER!$E$142:$E$148,axTER!$C$142:$C$148,BA589),SUMIFS(axTER!$E$151:$E$157,axTER!$C$151:$C$157,BA589)*AY$510)/10^6*$D$514</f>
        <v>149.51388442366931</v>
      </c>
      <c r="AX589" s="275" t="s">
        <v>272</v>
      </c>
      <c r="AY589" s="161" t="s">
        <v>265</v>
      </c>
      <c r="AZ589" s="161" t="s">
        <v>255</v>
      </c>
      <c r="BA589" s="284" t="s">
        <v>256</v>
      </c>
      <c r="BB589" s="276">
        <f>$H589*SUMIFS(axTER!$E$65:$E$105,axTER!$D$65:$D$105,AZ589,axTER!$C$65:$C$105,AX589)/SUMIFS(axTER!$E$108:$E$114,axTER!$C$108:$C$114,BA589)/10^9*$D$514</f>
        <v>1.4988860593851558</v>
      </c>
      <c r="IG589" s="269">
        <v>1200</v>
      </c>
      <c r="IH589" s="66" t="s">
        <v>272</v>
      </c>
      <c r="II589" s="66" t="s">
        <v>265</v>
      </c>
      <c r="IJ589" s="66" t="s">
        <v>255</v>
      </c>
      <c r="IK589" s="283" t="s">
        <v>256</v>
      </c>
      <c r="IL589" s="272">
        <f>$H589*SUMIFS(axTER!$E$65:$E$105,axTER!$C$65:$C$105,IH589,axTER!$D$65:$D$105,IJ589)/SUMIFS(axTER!$E$108:$E$114,axTER!$C$108:$C$114,IK589)/10^9*$D$514</f>
        <v>1.4988860593851558</v>
      </c>
      <c r="IO589" s="273">
        <f t="shared" si="1020"/>
        <v>0</v>
      </c>
      <c r="IP589" s="273">
        <f>$H589*IF(IT589&lt;&gt;IJ589,SUMIFS(axTER!$E$121:$E$128,axTER!$C$121:$C$128,IJ589,axTER!$D$121:$D$128,IT589),SUMIFS(axTER!$E$133:$E$138,axTER!$C$133:$C$138,IT589)*IS$510)*$D$514/10^6</f>
        <v>474.64725213863267</v>
      </c>
      <c r="IQ589" s="274">
        <f>$H589*IF(IU589&lt;&gt;IK589,SUMIFS(axTER!$E$142:$E$148,axTER!$C$142:$C$148,IU589),SUMIFS(axTER!$E$151:$E$157,axTER!$C$151:$C$157,IU589)*IS$510)/10^6*$D$514</f>
        <v>74.756942211834655</v>
      </c>
      <c r="IR589" s="275" t="s">
        <v>272</v>
      </c>
      <c r="IS589" s="161" t="s">
        <v>265</v>
      </c>
      <c r="IT589" s="161" t="s">
        <v>255</v>
      </c>
      <c r="IU589" s="284" t="s">
        <v>256</v>
      </c>
      <c r="IV589" s="276">
        <f>$H589*SUMIFS(axTER!$E$65:$E$105,axTER!$D$65:$D$105,IT589,axTER!$C$65:$C$105,IR589)/SUMIFS(axTER!$E$108:$E$114,axTER!$C$108:$C$114,IU589)/10^9*$D$514</f>
        <v>1.4988860593851558</v>
      </c>
      <c r="JI589" s="273">
        <f t="shared" si="1021"/>
        <v>0</v>
      </c>
      <c r="JJ589" s="273">
        <f>$H589*IF(JN589&lt;&gt;IT589,SUMIFS(axTER!$E$121:$E$128,axTER!$C$121:$C$128,IT589,axTER!$D$121:$D$128,JN589),SUMIFS(axTER!$E$133:$E$138,axTER!$C$133:$C$138,JN589)*JM$510)*$D$514/10^6</f>
        <v>949.29450427726533</v>
      </c>
      <c r="JK589" s="274">
        <f>$H589*IF(JO589&lt;&gt;IU589,SUMIFS(axTER!$E$142:$E$148,axTER!$C$142:$C$148,JO589),SUMIFS(axTER!$E$151:$E$157,axTER!$C$151:$C$157,JO589)*JM$510)/10^6*$D$514</f>
        <v>149.51388442366931</v>
      </c>
      <c r="JL589" s="275" t="s">
        <v>272</v>
      </c>
      <c r="JM589" s="161" t="s">
        <v>265</v>
      </c>
      <c r="JN589" s="161" t="s">
        <v>255</v>
      </c>
      <c r="JO589" s="284" t="s">
        <v>256</v>
      </c>
      <c r="JP589" s="276">
        <f>$H589*SUMIFS(axTER!$E$65:$E$105,axTER!$D$65:$D$105,JN589,axTER!$C$65:$C$105,JL589)/SUMIFS(axTER!$E$108:$E$114,axTER!$C$108:$C$114,JO589)/10^9*$D$514</f>
        <v>1.4988860593851558</v>
      </c>
      <c r="JR589" s="269">
        <v>1200</v>
      </c>
      <c r="JS589" s="66" t="s">
        <v>272</v>
      </c>
      <c r="JT589" s="66" t="s">
        <v>265</v>
      </c>
      <c r="JU589" s="66" t="s">
        <v>255</v>
      </c>
      <c r="JV589" s="283" t="s">
        <v>256</v>
      </c>
      <c r="JW589" s="272">
        <f>$H589*SUMIFS(axTER!$E$65:$E$105,axTER!$C$65:$C$105,JS589,axTER!$D$65:$D$105,JU589)/SUMIFS(axTER!$E$108:$E$114,axTER!$C$108:$C$114,JV589)/10^9*$D$514</f>
        <v>1.4988860593851558</v>
      </c>
      <c r="JY589" s="273">
        <f t="shared" si="1022"/>
        <v>0</v>
      </c>
      <c r="JZ589" s="273">
        <f t="shared" si="1023"/>
        <v>0</v>
      </c>
      <c r="KA589" s="273">
        <f>$H589*IF(KE589&lt;&gt;JU589,SUMIFS(axTER!$E$121:$E$128,axTER!$C$121:$C$128,JU589,axTER!$D$121:$D$128,KE589),SUMIFS(axTER!$E$133:$E$138,axTER!$C$133:$C$138,KE589)*KD$510)*$D$514/10^6</f>
        <v>332.25307649704285</v>
      </c>
      <c r="KB589" s="274">
        <f>$H589*IF(KF589&lt;&gt;JV589,SUMIFS(axTER!$E$142:$E$148,axTER!$C$142:$C$148,KF589),SUMIFS(axTER!$E$151:$E$157,axTER!$C$151:$C$157,KF589)*KD$510)/10^6*$D$514</f>
        <v>52.329859548284254</v>
      </c>
      <c r="KC589" s="275" t="s">
        <v>272</v>
      </c>
      <c r="KD589" s="161" t="s">
        <v>265</v>
      </c>
      <c r="KE589" s="161" t="s">
        <v>255</v>
      </c>
      <c r="KF589" s="284" t="s">
        <v>256</v>
      </c>
      <c r="KG589" s="276">
        <f>$H589*SUMIFS(axTER!$E$65:$E$105,axTER!$D$65:$D$105,KE589,axTER!$C$65:$C$105,KC589)/SUMIFS(axTER!$E$108:$E$114,axTER!$C$108:$C$114,KF589)/10^9*$D$514</f>
        <v>1.4988860593851558</v>
      </c>
      <c r="KS589" s="273" t="str">
        <f t="shared" si="1024"/>
        <v>ELEC-PAC</v>
      </c>
      <c r="KT589" s="273">
        <f t="shared" si="1025"/>
        <v>0</v>
      </c>
      <c r="KU589" s="273">
        <f>$H589*IF(KY589&lt;&gt;KE589,SUMIFS(axTER!$E$121:$E$128,axTER!$C$121:$C$128,KE589,axTER!$D$121:$D$128,KY589),SUMIFS(axTER!$E$133:$E$138,axTER!$C$133:$C$138,KY589)*KX$510)*$D$514/10^6</f>
        <v>949.29450427726533</v>
      </c>
      <c r="KV589" s="274">
        <f>$H589*IF(KZ589&lt;&gt;KF589,SUMIFS(axTER!$E$142:$E$148,axTER!$C$142:$C$148,KZ589),SUMIFS(axTER!$E$151:$E$157,axTER!$C$151:$C$157,KZ589)*KX$510)/10^6*$D$514</f>
        <v>949.29450427726533</v>
      </c>
      <c r="KW589" s="275" t="s">
        <v>272</v>
      </c>
      <c r="KX589" s="161" t="s">
        <v>265</v>
      </c>
      <c r="KY589" s="161" t="s">
        <v>255</v>
      </c>
      <c r="KZ589" s="284" t="s">
        <v>261</v>
      </c>
      <c r="LA589" s="276">
        <f>$H589*SUMIFS(axTER!$E$65:$E$105,axTER!$D$65:$D$105,KY589,axTER!$C$65:$C$105,KW589)/SUMIFS(axTER!$E$108:$E$114,axTER!$C$108:$C$114,KZ589)/10^9*$D$514</f>
        <v>0.47464725213863268</v>
      </c>
      <c r="LC589" s="269">
        <v>1200</v>
      </c>
      <c r="LD589" s="66" t="s">
        <v>272</v>
      </c>
      <c r="LE589" s="66" t="s">
        <v>265</v>
      </c>
      <c r="LF589" s="66" t="s">
        <v>255</v>
      </c>
      <c r="LG589" s="283" t="s">
        <v>256</v>
      </c>
      <c r="LH589" s="272">
        <f>$H589*SUMIFS(axTER!$E$65:$E$105,axTER!$C$65:$C$105,LD589,axTER!$D$65:$D$105,LF589)/SUMIFS(axTER!$E$108:$E$114,axTER!$C$108:$C$114,LG589)/10^9*$D$514</f>
        <v>1.4988860593851558</v>
      </c>
      <c r="LJ589" s="273">
        <f t="shared" si="1026"/>
        <v>0</v>
      </c>
      <c r="LK589" s="273">
        <f t="shared" si="1017"/>
        <v>0</v>
      </c>
      <c r="LL589" s="273">
        <f>$H589*IF(LP589&lt;&gt;LF589,SUMIFS(axTER!$E$121:$E$128,axTER!$C$121:$C$128,LF589,axTER!$D$121:$D$128,LP589),SUMIFS(axTER!$E$133:$E$138,axTER!$C$133:$C$138,LP589)*LO$510)*$D$514/10^6</f>
        <v>332.25307649704285</v>
      </c>
      <c r="LM589" s="274">
        <f>$H589*IF(LQ589&lt;&gt;LG589,SUMIFS(axTER!$E$142:$E$148,axTER!$C$142:$C$148,LQ589),SUMIFS(axTER!$E$151:$E$157,axTER!$C$151:$C$157,LQ589)*LO$510)/10^6*$D$514</f>
        <v>52.329859548284254</v>
      </c>
      <c r="LN589" s="275" t="s">
        <v>272</v>
      </c>
      <c r="LO589" s="161" t="s">
        <v>265</v>
      </c>
      <c r="LP589" s="161" t="s">
        <v>255</v>
      </c>
      <c r="LQ589" s="161" t="s">
        <v>256</v>
      </c>
      <c r="LR589" s="276">
        <f>$H589*SUMIFS(axTER!$E$65:$E$105,axTER!$D$65:$D$105,LP589,axTER!$C$65:$C$105,LN589)/SUMIFS(axTER!$E$108:$E$114,axTER!$C$108:$C$114,LQ589)/10^9*$D$514</f>
        <v>1.4988860593851558</v>
      </c>
      <c r="LT589" s="273">
        <f t="shared" si="1027"/>
        <v>0</v>
      </c>
      <c r="LU589" s="273">
        <f t="shared" si="1028"/>
        <v>0</v>
      </c>
      <c r="LV589" s="273">
        <f>$H589*IF(LZ589&lt;&gt;LP589,SUMIFS(axTER!$E$121:$E$128,axTER!$C$121:$C$128,LP589,axTER!$D$121:$D$128,LZ589),SUMIFS(axTER!$E$133:$E$138,axTER!$C$133:$C$138,LZ589)*LY$510)*$D$514/10^6</f>
        <v>474.64725213863267</v>
      </c>
      <c r="LW589" s="274">
        <f>$H589*IF(MA589&lt;&gt;LQ589,SUMIFS(axTER!$E$142:$E$148,axTER!$C$142:$C$148,MA589),SUMIFS(axTER!$E$151:$E$157,axTER!$C$151:$C$157,MA589)*LY$510)/10^6*$D$514</f>
        <v>74.756942211834655</v>
      </c>
      <c r="LX589" s="275" t="s">
        <v>272</v>
      </c>
      <c r="LY589" s="161" t="s">
        <v>265</v>
      </c>
      <c r="LZ589" s="161" t="s">
        <v>255</v>
      </c>
      <c r="MA589" s="161" t="s">
        <v>256</v>
      </c>
      <c r="MB589" s="276">
        <f>$H589*SUMIFS(axTER!$E$65:$E$105,axTER!$D$65:$D$105,LZ589,axTER!$C$65:$C$105,LX589)/SUMIFS(axTER!$E$108:$E$114,axTER!$C$108:$C$114,MA589)/10^9*$D$514</f>
        <v>1.4988860593851558</v>
      </c>
      <c r="MD589" s="273">
        <f t="shared" si="1019"/>
        <v>0</v>
      </c>
      <c r="ME589" s="273">
        <f t="shared" si="1029"/>
        <v>1200</v>
      </c>
      <c r="MF589" s="273">
        <f>$H589*IF(MJ589&lt;&gt;LZ589,SUMIFS(axTER!$E$121:$E$128,axTER!$C$121:$C$128,LZ589,axTER!$D$121:$D$128,MJ589),SUMIFS(axTER!$E$133:$E$138,axTER!$C$133:$C$138,MJ589)*MI$510)*$D$514/10^6</f>
        <v>1186.6181303465817</v>
      </c>
      <c r="MG589" s="274">
        <f>$H589*IF(MK589&lt;&gt;MA589,SUMIFS(axTER!$E$142:$E$148,axTER!$C$142:$C$148,MK589),SUMIFS(axTER!$E$151:$E$157,axTER!$C$151:$C$157,MK589)*MI$510)/10^6*$D$514</f>
        <v>74.756942211834655</v>
      </c>
      <c r="MH589" s="275" t="s">
        <v>272</v>
      </c>
      <c r="MI589" s="161" t="s">
        <v>265</v>
      </c>
      <c r="MJ589" s="161" t="s">
        <v>262</v>
      </c>
      <c r="MK589" s="161" t="s">
        <v>256</v>
      </c>
      <c r="ML589" s="276">
        <f>$H589*SUMIFS(axTER!$E$65:$E$105,axTER!$D$65:$D$105,MJ589,axTER!$C$65:$C$105,MH589)/SUMIFS(axTER!$E$108:$E$114,axTER!$C$108:$C$114,MK589)/10^9*$D$514</f>
        <v>1.2490717161542964</v>
      </c>
    </row>
    <row r="590" spans="3:350" outlineLevel="1" x14ac:dyDescent="0.3">
      <c r="C590" s="265"/>
      <c r="D590" s="69"/>
      <c r="F590" s="266"/>
      <c r="H590" s="269">
        <v>1200</v>
      </c>
      <c r="I590" s="66" t="s">
        <v>272</v>
      </c>
      <c r="J590" s="66" t="s">
        <v>265</v>
      </c>
      <c r="K590" s="66" t="s">
        <v>255</v>
      </c>
      <c r="L590" s="283" t="s">
        <v>267</v>
      </c>
      <c r="M590" s="272">
        <f>$H590*SUMIFS(axTER!$E$65:$E$105,axTER!$C$65:$C$105,I590,axTER!$D$65:$D$105,K590)/SUMIFS(axTER!$E$108:$E$114,axTER!$C$108:$C$114,L590)/10^9*$D$514</f>
        <v>1.5821575071287757</v>
      </c>
      <c r="S590" s="269">
        <v>1200</v>
      </c>
      <c r="T590" s="66" t="s">
        <v>272</v>
      </c>
      <c r="U590" s="66" t="s">
        <v>265</v>
      </c>
      <c r="V590" s="66" t="s">
        <v>255</v>
      </c>
      <c r="W590" s="283" t="s">
        <v>267</v>
      </c>
      <c r="X590" s="272">
        <f>$H590*SUMIFS(axTER!$E$65:$E$105,axTER!$C$65:$C$105,T590,axTER!$D$65:$D$105,V590)/SUMIFS(axTER!$E$108:$E$114,axTER!$C$108:$C$114,W590)/10^9*$D$514</f>
        <v>1.5821575071287757</v>
      </c>
      <c r="AB590" s="273">
        <f>$H590*IF(AF590&lt;&gt;K590,SUMIFS(axTER!$E$121:$E$128,axTER!$C$121:$C$128,K590,axTER!$D$121:$D$128,AF590),SUMIFS(axTER!$E$133:$E$138,axTER!$C$133:$C$138,AF590)*AE$510)*$D$514/10^6</f>
        <v>474.64725213863267</v>
      </c>
      <c r="AC590" s="274">
        <f>$H590*IF(AG590&lt;&gt;L590,SUMIFS(axTER!$E$142:$E$148,axTER!$C$142:$C$148,AG590),SUMIFS(axTER!$E$151:$E$157,axTER!$C$151:$C$157,AG590)*AE$510)/10^6*$D$514</f>
        <v>99.675922949112859</v>
      </c>
      <c r="AD590" s="275" t="s">
        <v>272</v>
      </c>
      <c r="AE590" s="161" t="s">
        <v>265</v>
      </c>
      <c r="AF590" s="161" t="s">
        <v>255</v>
      </c>
      <c r="AG590" s="284" t="s">
        <v>267</v>
      </c>
      <c r="AH590" s="276">
        <f>$H590*SUMIFS(axTER!$E$65:$E$105,axTER!$D$65:$D$105,AF590,axTER!$C$65:$C$105,AD590)/SUMIFS(axTER!$E$108:$E$114,axTER!$C$108:$C$114,AG590)/10^9*$D$514</f>
        <v>1.5821575071287757</v>
      </c>
      <c r="AV590" s="273">
        <f>$H590*IF(AZ590&lt;&gt;AF590,SUMIFS(axTER!$E$121:$E$128,axTER!$C$121:$C$128,AF590,axTER!$D$121:$D$128,AZ590),SUMIFS(axTER!$E$133:$E$138,axTER!$C$133:$C$138,AZ590)*AY$510)*$D$514/10^6</f>
        <v>949.29450427726533</v>
      </c>
      <c r="AW590" s="274">
        <f>$H590*IF(BA590&lt;&gt;AG590,SUMIFS(axTER!$E$142:$E$148,axTER!$C$142:$C$148,BA590),SUMIFS(axTER!$E$151:$E$157,axTER!$C$151:$C$157,BA590)*AY$510)/10^6*$D$514</f>
        <v>949.29450427726533</v>
      </c>
      <c r="AX590" s="275" t="s">
        <v>272</v>
      </c>
      <c r="AY590" s="161" t="s">
        <v>265</v>
      </c>
      <c r="AZ590" s="161" t="s">
        <v>255</v>
      </c>
      <c r="BA590" s="284" t="s">
        <v>261</v>
      </c>
      <c r="BB590" s="276">
        <f>$H590*SUMIFS(axTER!$E$65:$E$105,axTER!$D$65:$D$105,AZ590,axTER!$C$65:$C$105,AX590)/SUMIFS(axTER!$E$108:$E$114,axTER!$C$108:$C$114,BA590)/10^9*$D$514</f>
        <v>0.47464725213863268</v>
      </c>
      <c r="IG590" s="269">
        <v>1200</v>
      </c>
      <c r="IH590" s="66" t="s">
        <v>272</v>
      </c>
      <c r="II590" s="66" t="s">
        <v>265</v>
      </c>
      <c r="IJ590" s="66" t="s">
        <v>255</v>
      </c>
      <c r="IK590" s="283" t="s">
        <v>267</v>
      </c>
      <c r="IL590" s="272">
        <f>$H590*SUMIFS(axTER!$E$65:$E$105,axTER!$C$65:$C$105,IH590,axTER!$D$65:$D$105,IJ590)/SUMIFS(axTER!$E$108:$E$114,axTER!$C$108:$C$114,IK590)/10^9*$D$514</f>
        <v>1.5821575071287757</v>
      </c>
      <c r="IO590" s="273">
        <f t="shared" si="1020"/>
        <v>1200</v>
      </c>
      <c r="IP590" s="273">
        <f>$H590*IF(IT590&lt;&gt;IJ590,SUMIFS(axTER!$E$121:$E$128,axTER!$C$121:$C$128,IJ590,axTER!$D$121:$D$128,IT590),SUMIFS(axTER!$E$133:$E$138,axTER!$C$133:$C$138,IT590)*IS$510)*$D$514/10^6</f>
        <v>1186.6181303465817</v>
      </c>
      <c r="IQ590" s="274">
        <f>$H590*IF(IU590&lt;&gt;IK590,SUMIFS(axTER!$E$142:$E$148,axTER!$C$142:$C$148,IU590),SUMIFS(axTER!$E$151:$E$157,axTER!$C$151:$C$157,IU590)*IS$510)/10^6*$D$514</f>
        <v>99.675922949112859</v>
      </c>
      <c r="IR590" s="275" t="s">
        <v>272</v>
      </c>
      <c r="IS590" s="161" t="s">
        <v>265</v>
      </c>
      <c r="IT590" s="277" t="s">
        <v>262</v>
      </c>
      <c r="IU590" s="284" t="s">
        <v>267</v>
      </c>
      <c r="IV590" s="276">
        <f>$H590*SUMIFS(axTER!$E$65:$E$105,axTER!$D$65:$D$105,IT590,axTER!$C$65:$C$105,IR590)/SUMIFS(axTER!$E$108:$E$114,axTER!$C$108:$C$114,IU590)/10^9*$D$514</f>
        <v>1.3184645892739797</v>
      </c>
      <c r="JI590" s="273">
        <f t="shared" si="1021"/>
        <v>1200</v>
      </c>
      <c r="JJ590" s="273">
        <f>$H590*IF(JN590&lt;&gt;IT590,SUMIFS(axTER!$E$121:$E$128,axTER!$C$121:$C$128,IT590,axTER!$D$121:$D$128,JN590),SUMIFS(axTER!$E$133:$E$138,axTER!$C$133:$C$138,JN590)*JM$510)*$D$514/10^6</f>
        <v>0</v>
      </c>
      <c r="JK590" s="274">
        <f>$H590*IF(JO590&lt;&gt;IU590,SUMIFS(axTER!$E$142:$E$148,axTER!$C$142:$C$148,JO590),SUMIFS(axTER!$E$151:$E$157,axTER!$C$151:$C$157,JO590)*JM$510)/10^6*$D$514</f>
        <v>199.35184589822572</v>
      </c>
      <c r="JL590" s="275" t="s">
        <v>272</v>
      </c>
      <c r="JM590" s="161" t="s">
        <v>265</v>
      </c>
      <c r="JN590" s="161" t="s">
        <v>255</v>
      </c>
      <c r="JO590" s="284" t="s">
        <v>267</v>
      </c>
      <c r="JP590" s="276">
        <f>$H590*SUMIFS(axTER!$E$65:$E$105,axTER!$D$65:$D$105,JN590,axTER!$C$65:$C$105,JL590)/SUMIFS(axTER!$E$108:$E$114,axTER!$C$108:$C$114,JO590)/10^9*$D$514</f>
        <v>1.5821575071287757</v>
      </c>
      <c r="JR590" s="269">
        <v>1200</v>
      </c>
      <c r="JS590" s="66" t="s">
        <v>272</v>
      </c>
      <c r="JT590" s="66" t="s">
        <v>265</v>
      </c>
      <c r="JU590" s="66" t="s">
        <v>255</v>
      </c>
      <c r="JV590" s="283" t="s">
        <v>267</v>
      </c>
      <c r="JW590" s="272">
        <f>$H590*SUMIFS(axTER!$E$65:$E$105,axTER!$C$65:$C$105,JS590,axTER!$D$65:$D$105,JU590)/SUMIFS(axTER!$E$108:$E$114,axTER!$C$108:$C$114,JV590)/10^9*$D$514</f>
        <v>1.5821575071287757</v>
      </c>
      <c r="JY590" s="273" t="str">
        <f t="shared" si="1022"/>
        <v>ELEC-PAC</v>
      </c>
      <c r="JZ590" s="273">
        <f t="shared" si="1023"/>
        <v>1200</v>
      </c>
      <c r="KA590" s="273">
        <f>$H590*IF(KE590&lt;&gt;JU590,SUMIFS(axTER!$E$121:$E$128,axTER!$C$121:$C$128,JU590,axTER!$D$121:$D$128,KE590),SUMIFS(axTER!$E$133:$E$138,axTER!$C$133:$C$138,KE590)*KD$510)*$D$514/10^6</f>
        <v>1186.6181303465817</v>
      </c>
      <c r="KB590" s="274">
        <f>$H590*IF(KF590&lt;&gt;JV590,SUMIFS(axTER!$E$142:$E$148,axTER!$C$142:$C$148,KF590),SUMIFS(axTER!$E$151:$E$157,axTER!$C$151:$C$157,KF590)*KD$510)/10^6*$D$514</f>
        <v>949.29450427726533</v>
      </c>
      <c r="KC590" s="275" t="s">
        <v>272</v>
      </c>
      <c r="KD590" s="161" t="s">
        <v>265</v>
      </c>
      <c r="KE590" s="161" t="s">
        <v>262</v>
      </c>
      <c r="KF590" s="284" t="s">
        <v>261</v>
      </c>
      <c r="KG590" s="276">
        <f>$H590*SUMIFS(axTER!$E$65:$E$105,axTER!$D$65:$D$105,KE590,axTER!$C$65:$C$105,KC590)/SUMIFS(axTER!$E$108:$E$114,axTER!$C$108:$C$114,KF590)/10^9*$D$514</f>
        <v>0.39553937678219392</v>
      </c>
      <c r="KS590" s="273">
        <f t="shared" si="1024"/>
        <v>0</v>
      </c>
      <c r="KT590" s="273">
        <f t="shared" si="1025"/>
        <v>1200</v>
      </c>
      <c r="KU590" s="273">
        <f>$H590*IF(KY590&lt;&gt;KE590,SUMIFS(axTER!$E$121:$E$128,axTER!$C$121:$C$128,KE590,axTER!$D$121:$D$128,KY590),SUMIFS(axTER!$E$133:$E$138,axTER!$C$133:$C$138,KY590)*KX$510)*$D$514/10^6</f>
        <v>0</v>
      </c>
      <c r="KV590" s="274">
        <f>$H590*IF(KZ590&lt;&gt;KF590,SUMIFS(axTER!$E$142:$E$148,axTER!$C$142:$C$148,KZ590),SUMIFS(axTER!$E$151:$E$157,axTER!$C$151:$C$157,KZ590)*KX$510)/10^6*$D$514</f>
        <v>664.50615299408582</v>
      </c>
      <c r="KW590" s="275" t="s">
        <v>272</v>
      </c>
      <c r="KX590" s="161" t="s">
        <v>265</v>
      </c>
      <c r="KY590" s="161" t="s">
        <v>264</v>
      </c>
      <c r="KZ590" s="284" t="s">
        <v>261</v>
      </c>
      <c r="LA590" s="276">
        <f>$H590*SUMIFS(axTER!$E$65:$E$105,axTER!$D$65:$D$105,KY590,axTER!$C$65:$C$105,KW590)/SUMIFS(axTER!$E$108:$E$114,axTER!$C$108:$C$114,KZ590)/10^9*$D$514</f>
        <v>0.3164315014257551</v>
      </c>
      <c r="LC590" s="269">
        <v>1200</v>
      </c>
      <c r="LD590" s="66" t="s">
        <v>272</v>
      </c>
      <c r="LE590" s="66" t="s">
        <v>265</v>
      </c>
      <c r="LF590" s="66" t="s">
        <v>255</v>
      </c>
      <c r="LG590" s="283" t="s">
        <v>267</v>
      </c>
      <c r="LH590" s="272">
        <f>$H590*SUMIFS(axTER!$E$65:$E$105,axTER!$C$65:$C$105,LD590,axTER!$D$65:$D$105,LF590)/SUMIFS(axTER!$E$108:$E$114,axTER!$C$108:$C$114,LG590)/10^9*$D$514</f>
        <v>1.5821575071287757</v>
      </c>
      <c r="LJ590" s="273" t="str">
        <f t="shared" si="1026"/>
        <v>ELEC-PAC</v>
      </c>
      <c r="LK590" s="273">
        <f t="shared" si="1017"/>
        <v>0</v>
      </c>
      <c r="LL590" s="273">
        <f>$H590*IF(LP590&lt;&gt;LF590,SUMIFS(axTER!$E$121:$E$128,axTER!$C$121:$C$128,LF590,axTER!$D$121:$D$128,LP590),SUMIFS(axTER!$E$133:$E$138,axTER!$C$133:$C$138,LP590)*LO$510)*$D$514/10^6</f>
        <v>332.25307649704285</v>
      </c>
      <c r="LM590" s="274">
        <f>$H590*IF(LQ590&lt;&gt;LG590,SUMIFS(axTER!$E$142:$E$148,axTER!$C$142:$C$148,LQ590),SUMIFS(axTER!$E$151:$E$157,axTER!$C$151:$C$157,LQ590)*LO$510)/10^6*$D$514</f>
        <v>949.29450427726533</v>
      </c>
      <c r="LN590" s="275" t="s">
        <v>272</v>
      </c>
      <c r="LO590" s="161" t="s">
        <v>265</v>
      </c>
      <c r="LP590" s="161" t="s">
        <v>255</v>
      </c>
      <c r="LQ590" s="161" t="s">
        <v>261</v>
      </c>
      <c r="LR590" s="276">
        <f>$H590*SUMIFS(axTER!$E$65:$E$105,axTER!$D$65:$D$105,LP590,axTER!$C$65:$C$105,LN590)/SUMIFS(axTER!$E$108:$E$114,axTER!$C$108:$C$114,LQ590)/10^9*$D$514</f>
        <v>0.47464725213863268</v>
      </c>
      <c r="LT590" s="273">
        <f t="shared" si="1027"/>
        <v>0</v>
      </c>
      <c r="LU590" s="273">
        <f t="shared" si="1028"/>
        <v>0</v>
      </c>
      <c r="LV590" s="273">
        <f>$H590*IF(LZ590&lt;&gt;LP590,SUMIFS(axTER!$E$121:$E$128,axTER!$C$121:$C$128,LP590,axTER!$D$121:$D$128,LZ590),SUMIFS(axTER!$E$133:$E$138,axTER!$C$133:$C$138,LZ590)*LY$510)*$D$514/10^6</f>
        <v>474.64725213863267</v>
      </c>
      <c r="LW590" s="274">
        <f>$H590*IF(MA590&lt;&gt;LQ590,SUMIFS(axTER!$E$142:$E$148,axTER!$C$142:$C$148,MA590),SUMIFS(axTER!$E$151:$E$157,axTER!$C$151:$C$157,MA590)*LY$510)/10^6*$D$514</f>
        <v>332.25307649704291</v>
      </c>
      <c r="LX590" s="275" t="s">
        <v>272</v>
      </c>
      <c r="LY590" s="161" t="s">
        <v>265</v>
      </c>
      <c r="LZ590" s="161" t="s">
        <v>255</v>
      </c>
      <c r="MA590" s="161" t="s">
        <v>261</v>
      </c>
      <c r="MB590" s="276">
        <f>$H590*SUMIFS(axTER!$E$65:$E$105,axTER!$D$65:$D$105,LZ590,axTER!$C$65:$C$105,LX590)/SUMIFS(axTER!$E$108:$E$114,axTER!$C$108:$C$114,MA590)/10^9*$D$514</f>
        <v>0.47464725213863268</v>
      </c>
      <c r="MD590" s="273">
        <f t="shared" si="1019"/>
        <v>0</v>
      </c>
      <c r="ME590" s="273">
        <f t="shared" si="1029"/>
        <v>0</v>
      </c>
      <c r="MF590" s="273">
        <f>$H590*IF(MJ590&lt;&gt;LZ590,SUMIFS(axTER!$E$121:$E$128,axTER!$C$121:$C$128,LZ590,axTER!$D$121:$D$128,MJ590),SUMIFS(axTER!$E$133:$E$138,axTER!$C$133:$C$138,MJ590)*MI$510)*$D$514/10^6</f>
        <v>474.64725213863267</v>
      </c>
      <c r="MG590" s="274">
        <f>$H590*IF(MK590&lt;&gt;MA590,SUMIFS(axTER!$E$142:$E$148,axTER!$C$142:$C$148,MK590),SUMIFS(axTER!$E$151:$E$157,axTER!$C$151:$C$157,MK590)*MI$510)/10^6*$D$514</f>
        <v>332.25307649704291</v>
      </c>
      <c r="MH590" s="275" t="s">
        <v>272</v>
      </c>
      <c r="MI590" s="161" t="s">
        <v>265</v>
      </c>
      <c r="MJ590" s="161" t="s">
        <v>255</v>
      </c>
      <c r="MK590" s="161" t="s">
        <v>261</v>
      </c>
      <c r="ML590" s="276">
        <f>$H590*SUMIFS(axTER!$E$65:$E$105,axTER!$D$65:$D$105,MJ590,axTER!$C$65:$C$105,MH590)/SUMIFS(axTER!$E$108:$E$114,axTER!$C$108:$C$114,MK590)/10^9*$D$514</f>
        <v>0.47464725213863268</v>
      </c>
    </row>
    <row r="591" spans="3:350" outlineLevel="1" x14ac:dyDescent="0.3">
      <c r="C591" s="265"/>
      <c r="D591" s="69"/>
      <c r="F591" s="266"/>
      <c r="H591" s="269">
        <v>750</v>
      </c>
      <c r="I591" s="66" t="s">
        <v>272</v>
      </c>
      <c r="J591" s="66" t="s">
        <v>265</v>
      </c>
      <c r="K591" s="66" t="s">
        <v>255</v>
      </c>
      <c r="L591" s="283" t="s">
        <v>267</v>
      </c>
      <c r="M591" s="272">
        <f>$H591*SUMIFS(axTER!$E$65:$E$105,axTER!$C$65:$C$105,I591,axTER!$D$65:$D$105,K591)/SUMIFS(axTER!$E$108:$E$114,axTER!$C$108:$C$114,L591)/10^9*$D$514</f>
        <v>0.98884844195548471</v>
      </c>
      <c r="S591" s="269">
        <v>750</v>
      </c>
      <c r="T591" s="66" t="s">
        <v>272</v>
      </c>
      <c r="U591" s="66" t="s">
        <v>265</v>
      </c>
      <c r="V591" s="66" t="s">
        <v>255</v>
      </c>
      <c r="W591" s="283" t="s">
        <v>267</v>
      </c>
      <c r="X591" s="272">
        <f>$H591*SUMIFS(axTER!$E$65:$E$105,axTER!$C$65:$C$105,T591,axTER!$D$65:$D$105,V591)/SUMIFS(axTER!$E$108:$E$114,axTER!$C$108:$C$114,W591)/10^9*$D$514</f>
        <v>0.98884844195548471</v>
      </c>
      <c r="AB591" s="273">
        <f>$H591*IF(AF591&lt;&gt;K591,SUMIFS(axTER!$E$121:$E$128,axTER!$C$121:$C$128,K591,axTER!$D$121:$D$128,AF591),SUMIFS(axTER!$E$133:$E$138,axTER!$C$133:$C$138,AF591)*AE$510)*$D$514/10^6</f>
        <v>296.65453258664542</v>
      </c>
      <c r="AC591" s="274">
        <f>$H591*IF(AG591&lt;&gt;L591,SUMIFS(axTER!$E$142:$E$148,axTER!$C$142:$C$148,AG591),SUMIFS(axTER!$E$151:$E$157,axTER!$C$151:$C$157,AG591)*AE$510)/10^6*$D$514</f>
        <v>62.297451843195532</v>
      </c>
      <c r="AD591" s="275" t="s">
        <v>272</v>
      </c>
      <c r="AE591" s="161" t="s">
        <v>265</v>
      </c>
      <c r="AF591" s="161" t="s">
        <v>255</v>
      </c>
      <c r="AG591" s="284" t="s">
        <v>267</v>
      </c>
      <c r="AH591" s="276">
        <f>$H591*SUMIFS(axTER!$E$65:$E$105,axTER!$D$65:$D$105,AF591,axTER!$C$65:$C$105,AD591)/SUMIFS(axTER!$E$108:$E$114,axTER!$C$108:$C$114,AG591)/10^9*$D$514</f>
        <v>0.98884844195548471</v>
      </c>
      <c r="AV591" s="273">
        <f>$H591*IF(AZ591&lt;&gt;AF591,SUMIFS(axTER!$E$121:$E$128,axTER!$C$121:$C$128,AF591,axTER!$D$121:$D$128,AZ591),SUMIFS(axTER!$E$133:$E$138,axTER!$C$133:$C$138,AZ591)*AY$510)*$D$514/10^6</f>
        <v>593.30906517329083</v>
      </c>
      <c r="AW591" s="274">
        <f>$H591*IF(BA591&lt;&gt;AG591,SUMIFS(axTER!$E$142:$E$148,axTER!$C$142:$C$148,BA591),SUMIFS(axTER!$E$151:$E$157,axTER!$C$151:$C$157,BA591)*AY$510)/10^6*$D$514</f>
        <v>593.30906517329083</v>
      </c>
      <c r="AX591" s="275" t="s">
        <v>272</v>
      </c>
      <c r="AY591" s="161" t="s">
        <v>265</v>
      </c>
      <c r="AZ591" s="161" t="s">
        <v>255</v>
      </c>
      <c r="BA591" s="284" t="s">
        <v>261</v>
      </c>
      <c r="BB591" s="276">
        <f>$H591*SUMIFS(axTER!$E$65:$E$105,axTER!$D$65:$D$105,AZ591,axTER!$C$65:$C$105,AX591)/SUMIFS(axTER!$E$108:$E$114,axTER!$C$108:$C$114,BA591)/10^9*$D$514</f>
        <v>0.29665453258664543</v>
      </c>
      <c r="IG591" s="269">
        <v>750</v>
      </c>
      <c r="IH591" s="66" t="s">
        <v>272</v>
      </c>
      <c r="II591" s="66" t="s">
        <v>265</v>
      </c>
      <c r="IJ591" s="66" t="s">
        <v>255</v>
      </c>
      <c r="IK591" s="283" t="s">
        <v>267</v>
      </c>
      <c r="IL591" s="272">
        <f>$H591*SUMIFS(axTER!$E$65:$E$105,axTER!$C$65:$C$105,IH591,axTER!$D$65:$D$105,IJ591)/SUMIFS(axTER!$E$108:$E$114,axTER!$C$108:$C$114,IK591)/10^9*$D$514</f>
        <v>0.98884844195548471</v>
      </c>
      <c r="IO591" s="273">
        <f t="shared" si="1020"/>
        <v>0</v>
      </c>
      <c r="IP591" s="273">
        <f>$H591*IF(IT591&lt;&gt;IJ591,SUMIFS(axTER!$E$121:$E$128,axTER!$C$121:$C$128,IJ591,axTER!$D$121:$D$128,IT591),SUMIFS(axTER!$E$133:$E$138,axTER!$C$133:$C$138,IT591)*IS$510)*$D$514/10^6</f>
        <v>296.65453258664542</v>
      </c>
      <c r="IQ591" s="274">
        <f>$H591*IF(IU591&lt;&gt;IK591,SUMIFS(axTER!$E$142:$E$148,axTER!$C$142:$C$148,IU591),SUMIFS(axTER!$E$151:$E$157,axTER!$C$151:$C$157,IU591)*IS$510)/10^6*$D$514</f>
        <v>62.297451843195532</v>
      </c>
      <c r="IR591" s="275" t="s">
        <v>272</v>
      </c>
      <c r="IS591" s="161" t="s">
        <v>265</v>
      </c>
      <c r="IT591" s="161" t="s">
        <v>255</v>
      </c>
      <c r="IU591" s="284" t="s">
        <v>267</v>
      </c>
      <c r="IV591" s="276">
        <f>$H591*SUMIFS(axTER!$E$65:$E$105,axTER!$D$65:$D$105,IT591,axTER!$C$65:$C$105,IR591)/SUMIFS(axTER!$E$108:$E$114,axTER!$C$108:$C$114,IU591)/10^9*$D$514</f>
        <v>0.98884844195548471</v>
      </c>
      <c r="JI591" s="273">
        <f t="shared" si="1021"/>
        <v>0</v>
      </c>
      <c r="JJ591" s="273">
        <f>$H591*IF(JN591&lt;&gt;IT591,SUMIFS(axTER!$E$121:$E$128,axTER!$C$121:$C$128,IT591,axTER!$D$121:$D$128,JN591),SUMIFS(axTER!$E$133:$E$138,axTER!$C$133:$C$138,JN591)*JM$510)*$D$514/10^6</f>
        <v>593.30906517329083</v>
      </c>
      <c r="JK591" s="274">
        <f>$H591*IF(JO591&lt;&gt;IU591,SUMIFS(axTER!$E$142:$E$148,axTER!$C$142:$C$148,JO591),SUMIFS(axTER!$E$151:$E$157,axTER!$C$151:$C$157,JO591)*JM$510)/10^6*$D$514</f>
        <v>124.59490368639106</v>
      </c>
      <c r="JL591" s="275" t="s">
        <v>272</v>
      </c>
      <c r="JM591" s="161" t="s">
        <v>265</v>
      </c>
      <c r="JN591" s="161" t="s">
        <v>255</v>
      </c>
      <c r="JO591" s="284" t="s">
        <v>267</v>
      </c>
      <c r="JP591" s="276">
        <f>$H591*SUMIFS(axTER!$E$65:$E$105,axTER!$D$65:$D$105,JN591,axTER!$C$65:$C$105,JL591)/SUMIFS(axTER!$E$108:$E$114,axTER!$C$108:$C$114,JO591)/10^9*$D$514</f>
        <v>0.98884844195548471</v>
      </c>
      <c r="JR591" s="269">
        <v>750</v>
      </c>
      <c r="JS591" s="66" t="s">
        <v>272</v>
      </c>
      <c r="JT591" s="66" t="s">
        <v>265</v>
      </c>
      <c r="JU591" s="66" t="s">
        <v>255</v>
      </c>
      <c r="JV591" s="283" t="s">
        <v>267</v>
      </c>
      <c r="JW591" s="272">
        <f>$H591*SUMIFS(axTER!$E$65:$E$105,axTER!$C$65:$C$105,JS591,axTER!$D$65:$D$105,JU591)/SUMIFS(axTER!$E$108:$E$114,axTER!$C$108:$C$114,JV591)/10^9*$D$514</f>
        <v>0.98884844195548471</v>
      </c>
      <c r="JY591" s="273" t="str">
        <f t="shared" si="1022"/>
        <v>ELEC-PAC</v>
      </c>
      <c r="JZ591" s="273">
        <f t="shared" si="1023"/>
        <v>750</v>
      </c>
      <c r="KA591" s="273">
        <f>$H591*IF(KE591&lt;&gt;JU591,SUMIFS(axTER!$E$121:$E$128,axTER!$C$121:$C$128,JU591,axTER!$D$121:$D$128,KE591),SUMIFS(axTER!$E$133:$E$138,axTER!$C$133:$C$138,KE591)*KD$510)*$D$514/10^6</f>
        <v>741.63633146661357</v>
      </c>
      <c r="KB591" s="274">
        <f>$H591*IF(KF591&lt;&gt;JV591,SUMIFS(axTER!$E$142:$E$148,axTER!$C$142:$C$148,KF591),SUMIFS(axTER!$E$151:$E$157,axTER!$C$151:$C$157,KF591)*KD$510)/10^6*$D$514</f>
        <v>593.30906517329083</v>
      </c>
      <c r="KC591" s="275" t="s">
        <v>272</v>
      </c>
      <c r="KD591" s="161" t="s">
        <v>265</v>
      </c>
      <c r="KE591" s="161" t="s">
        <v>262</v>
      </c>
      <c r="KF591" s="284" t="s">
        <v>261</v>
      </c>
      <c r="KG591" s="276">
        <f>$H591*SUMIFS(axTER!$E$65:$E$105,axTER!$D$65:$D$105,KE591,axTER!$C$65:$C$105,KC591)/SUMIFS(axTER!$E$108:$E$114,axTER!$C$108:$C$114,KF591)/10^9*$D$514</f>
        <v>0.24721211048887118</v>
      </c>
      <c r="KS591" s="273">
        <f t="shared" si="1024"/>
        <v>0</v>
      </c>
      <c r="KT591" s="273">
        <f t="shared" si="1025"/>
        <v>0</v>
      </c>
      <c r="KU591" s="273">
        <f>$H591*IF(KY591&lt;&gt;KE591,SUMIFS(axTER!$E$121:$E$128,axTER!$C$121:$C$128,KE591,axTER!$D$121:$D$128,KY591),SUMIFS(axTER!$E$133:$E$138,axTER!$C$133:$C$138,KY591)*KX$510)*$D$514/10^6</f>
        <v>222.49089943998405</v>
      </c>
      <c r="KV591" s="274">
        <f>$H591*IF(KZ591&lt;&gt;KF591,SUMIFS(axTER!$E$142:$E$148,axTER!$C$142:$C$148,KZ591),SUMIFS(axTER!$E$151:$E$157,axTER!$C$151:$C$157,KZ591)*KX$510)/10^6*$D$514</f>
        <v>415.31634562130364</v>
      </c>
      <c r="KW591" s="275" t="s">
        <v>272</v>
      </c>
      <c r="KX591" s="161" t="s">
        <v>265</v>
      </c>
      <c r="KY591" s="161" t="s">
        <v>262</v>
      </c>
      <c r="KZ591" s="284" t="s">
        <v>261</v>
      </c>
      <c r="LA591" s="276">
        <f>$H591*SUMIFS(axTER!$E$65:$E$105,axTER!$D$65:$D$105,KY591,axTER!$C$65:$C$105,KW591)/SUMIFS(axTER!$E$108:$E$114,axTER!$C$108:$C$114,KZ591)/10^9*$D$514</f>
        <v>0.24721211048887118</v>
      </c>
      <c r="LC591" s="269">
        <v>750</v>
      </c>
      <c r="LD591" s="66" t="s">
        <v>272</v>
      </c>
      <c r="LE591" s="66" t="s">
        <v>265</v>
      </c>
      <c r="LF591" s="66" t="s">
        <v>255</v>
      </c>
      <c r="LG591" s="283" t="s">
        <v>267</v>
      </c>
      <c r="LH591" s="272">
        <f>$H591*SUMIFS(axTER!$E$65:$E$105,axTER!$C$65:$C$105,LD591,axTER!$D$65:$D$105,LF591)/SUMIFS(axTER!$E$108:$E$114,axTER!$C$108:$C$114,LG591)/10^9*$D$514</f>
        <v>0.98884844195548471</v>
      </c>
      <c r="LJ591" s="273" t="str">
        <f t="shared" si="1026"/>
        <v>ELEC-PAC</v>
      </c>
      <c r="LK591" s="273">
        <f t="shared" si="1017"/>
        <v>0</v>
      </c>
      <c r="LL591" s="273">
        <f>$H591*IF(LP591&lt;&gt;LF591,SUMIFS(axTER!$E$121:$E$128,axTER!$C$121:$C$128,LF591,axTER!$D$121:$D$128,LP591),SUMIFS(axTER!$E$133:$E$138,axTER!$C$133:$C$138,LP591)*LO$510)*$D$514/10^6</f>
        <v>207.65817281065179</v>
      </c>
      <c r="LM591" s="274">
        <f>$H591*IF(LQ591&lt;&gt;LG591,SUMIFS(axTER!$E$142:$E$148,axTER!$C$142:$C$148,LQ591),SUMIFS(axTER!$E$151:$E$157,axTER!$C$151:$C$157,LQ591)*LO$510)/10^6*$D$514</f>
        <v>593.30906517329083</v>
      </c>
      <c r="LN591" s="275" t="s">
        <v>272</v>
      </c>
      <c r="LO591" s="161" t="s">
        <v>265</v>
      </c>
      <c r="LP591" s="161" t="s">
        <v>255</v>
      </c>
      <c r="LQ591" s="161" t="s">
        <v>261</v>
      </c>
      <c r="LR591" s="276">
        <f>$H591*SUMIFS(axTER!$E$65:$E$105,axTER!$D$65:$D$105,LP591,axTER!$C$65:$C$105,LN591)/SUMIFS(axTER!$E$108:$E$114,axTER!$C$108:$C$114,LQ591)/10^9*$D$514</f>
        <v>0.29665453258664543</v>
      </c>
      <c r="LT591" s="273">
        <f t="shared" si="1027"/>
        <v>0</v>
      </c>
      <c r="LU591" s="273">
        <f t="shared" si="1028"/>
        <v>0</v>
      </c>
      <c r="LV591" s="273">
        <f>$H591*IF(LZ591&lt;&gt;LP591,SUMIFS(axTER!$E$121:$E$128,axTER!$C$121:$C$128,LP591,axTER!$D$121:$D$128,LZ591),SUMIFS(axTER!$E$133:$E$138,axTER!$C$133:$C$138,LZ591)*LY$510)*$D$514/10^6</f>
        <v>296.65453258664542</v>
      </c>
      <c r="LW591" s="274">
        <f>$H591*IF(MA591&lt;&gt;LQ591,SUMIFS(axTER!$E$142:$E$148,axTER!$C$142:$C$148,MA591),SUMIFS(axTER!$E$151:$E$157,axTER!$C$151:$C$157,MA591)*LY$510)/10^6*$D$514</f>
        <v>207.65817281065182</v>
      </c>
      <c r="LX591" s="275" t="s">
        <v>272</v>
      </c>
      <c r="LY591" s="161" t="s">
        <v>265</v>
      </c>
      <c r="LZ591" s="161" t="s">
        <v>255</v>
      </c>
      <c r="MA591" s="161" t="s">
        <v>261</v>
      </c>
      <c r="MB591" s="276">
        <f>$H591*SUMIFS(axTER!$E$65:$E$105,axTER!$D$65:$D$105,LZ591,axTER!$C$65:$C$105,LX591)/SUMIFS(axTER!$E$108:$E$114,axTER!$C$108:$C$114,MA591)/10^9*$D$514</f>
        <v>0.29665453258664543</v>
      </c>
      <c r="MD591" s="273">
        <f t="shared" si="1019"/>
        <v>0</v>
      </c>
      <c r="ME591" s="273">
        <f t="shared" si="1029"/>
        <v>0</v>
      </c>
      <c r="MF591" s="273">
        <f>$H591*IF(MJ591&lt;&gt;LZ591,SUMIFS(axTER!$E$121:$E$128,axTER!$C$121:$C$128,LZ591,axTER!$D$121:$D$128,MJ591),SUMIFS(axTER!$E$133:$E$138,axTER!$C$133:$C$138,MJ591)*MI$510)*$D$514/10^6</f>
        <v>296.65453258664542</v>
      </c>
      <c r="MG591" s="274">
        <f>$H591*IF(MK591&lt;&gt;MA591,SUMIFS(axTER!$E$142:$E$148,axTER!$C$142:$C$148,MK591),SUMIFS(axTER!$E$151:$E$157,axTER!$C$151:$C$157,MK591)*MI$510)/10^6*$D$514</f>
        <v>207.65817281065182</v>
      </c>
      <c r="MH591" s="275" t="s">
        <v>272</v>
      </c>
      <c r="MI591" s="161" t="s">
        <v>265</v>
      </c>
      <c r="MJ591" s="161" t="s">
        <v>255</v>
      </c>
      <c r="MK591" s="161" t="s">
        <v>261</v>
      </c>
      <c r="ML591" s="276">
        <f>$H591*SUMIFS(axTER!$E$65:$E$105,axTER!$D$65:$D$105,MJ591,axTER!$C$65:$C$105,MH591)/SUMIFS(axTER!$E$108:$E$114,axTER!$C$108:$C$114,MK591)/10^9*$D$514</f>
        <v>0.29665453258664543</v>
      </c>
    </row>
    <row r="592" spans="3:350" outlineLevel="1" x14ac:dyDescent="0.3">
      <c r="C592" s="265"/>
      <c r="D592" s="69"/>
      <c r="F592" s="266"/>
      <c r="H592" s="269">
        <v>1200</v>
      </c>
      <c r="I592" s="66" t="s">
        <v>273</v>
      </c>
      <c r="J592" s="66" t="s">
        <v>254</v>
      </c>
      <c r="K592" s="66" t="s">
        <v>266</v>
      </c>
      <c r="L592" s="283" t="s">
        <v>256</v>
      </c>
      <c r="M592" s="272">
        <f>$H592*SUMIFS(axTER!$E$65:$E$105,axTER!$C$65:$C$105,I592,axTER!$D$65:$D$105,K592)/SUMIFS(axTER!$E$108:$E$114,axTER!$C$108:$C$114,L592)/10^9*$D$514</f>
        <v>0.79940589833874964</v>
      </c>
      <c r="S592" s="269">
        <v>1200</v>
      </c>
      <c r="T592" s="66" t="s">
        <v>273</v>
      </c>
      <c r="U592" s="66" t="s">
        <v>254</v>
      </c>
      <c r="V592" s="66" t="s">
        <v>266</v>
      </c>
      <c r="W592" s="283" t="s">
        <v>256</v>
      </c>
      <c r="X592" s="272">
        <f>$H592*SUMIFS(axTER!$E$65:$E$105,axTER!$C$65:$C$105,T592,axTER!$D$65:$D$105,V592)/SUMIFS(axTER!$E$108:$E$114,axTER!$C$108:$C$114,W592)/10^9*$D$514</f>
        <v>0.79940589833874964</v>
      </c>
      <c r="AB592" s="273">
        <f>$H592*IF(AF592&lt;&gt;K592,SUMIFS(axTER!$E$121:$E$128,axTER!$C$121:$C$128,K592,axTER!$D$121:$D$128,AF592),SUMIFS(axTER!$E$133:$E$138,axTER!$C$133:$C$138,AF592)*AE$510)*$D$514/10^6</f>
        <v>177.99271955198722</v>
      </c>
      <c r="AC592" s="274">
        <f>$H592*IF(AG592&lt;&gt;L592,SUMIFS(axTER!$E$142:$E$148,axTER!$C$142:$C$148,AG592),SUMIFS(axTER!$E$151:$E$157,axTER!$C$151:$C$157,AG592)*AE$510)/10^6*$D$514</f>
        <v>74.756942211834655</v>
      </c>
      <c r="AD592" s="275" t="s">
        <v>273</v>
      </c>
      <c r="AE592" s="161" t="s">
        <v>254</v>
      </c>
      <c r="AF592" s="161" t="s">
        <v>266</v>
      </c>
      <c r="AG592" s="284" t="s">
        <v>256</v>
      </c>
      <c r="AH592" s="276">
        <f>$H592*SUMIFS(axTER!$E$65:$E$105,axTER!$D$65:$D$105,AF592,axTER!$C$65:$C$105,AD592)/SUMIFS(axTER!$E$108:$E$114,axTER!$C$108:$C$114,AG592)/10^9*$D$514</f>
        <v>0.79940589833874964</v>
      </c>
      <c r="AV592" s="273">
        <f>$H592*IF(AZ592&lt;&gt;AF592,SUMIFS(axTER!$E$121:$E$128,axTER!$C$121:$C$128,AF592,axTER!$D$121:$D$128,AZ592),SUMIFS(axTER!$E$133:$E$138,axTER!$C$133:$C$138,AZ592)*AY$510)*$D$514/10^6</f>
        <v>355.98543910397444</v>
      </c>
      <c r="AW592" s="274">
        <f>$H592*IF(BA592&lt;&gt;AG592,SUMIFS(axTER!$E$142:$E$148,axTER!$C$142:$C$148,BA592),SUMIFS(axTER!$E$151:$E$157,axTER!$C$151:$C$157,BA592)*AY$510)/10^6*$D$514</f>
        <v>149.51388442366931</v>
      </c>
      <c r="AX592" s="275" t="s">
        <v>273</v>
      </c>
      <c r="AY592" s="161" t="s">
        <v>254</v>
      </c>
      <c r="AZ592" s="161" t="s">
        <v>266</v>
      </c>
      <c r="BA592" s="284" t="s">
        <v>256</v>
      </c>
      <c r="BB592" s="276">
        <f>$H592*SUMIFS(axTER!$E$65:$E$105,axTER!$D$65:$D$105,AZ592,axTER!$C$65:$C$105,AX592)/SUMIFS(axTER!$E$108:$E$114,axTER!$C$108:$C$114,BA592)/10^9*$D$514</f>
        <v>0.79940589833874964</v>
      </c>
      <c r="IG592" s="269">
        <v>1200</v>
      </c>
      <c r="IH592" s="66" t="s">
        <v>273</v>
      </c>
      <c r="II592" s="66" t="s">
        <v>254</v>
      </c>
      <c r="IJ592" s="66" t="s">
        <v>266</v>
      </c>
      <c r="IK592" s="283" t="s">
        <v>256</v>
      </c>
      <c r="IL592" s="272">
        <f>$H592*SUMIFS(axTER!$E$65:$E$105,axTER!$C$65:$C$105,IH592,axTER!$D$65:$D$105,IJ592)/SUMIFS(axTER!$E$108:$E$114,axTER!$C$108:$C$114,IK592)/10^9*$D$514</f>
        <v>0.79940589833874964</v>
      </c>
      <c r="IO592" s="273">
        <f t="shared" si="1020"/>
        <v>0</v>
      </c>
      <c r="IP592" s="273">
        <f>$H592*IF(IT592&lt;&gt;IJ592,SUMIFS(axTER!$E$121:$E$128,axTER!$C$121:$C$128,IJ592,axTER!$D$121:$D$128,IT592),SUMIFS(axTER!$E$133:$E$138,axTER!$C$133:$C$138,IT592)*IS$510)*$D$514/10^6</f>
        <v>177.99271955198722</v>
      </c>
      <c r="IQ592" s="274">
        <f>$H592*IF(IU592&lt;&gt;IK592,SUMIFS(axTER!$E$142:$E$148,axTER!$C$142:$C$148,IU592),SUMIFS(axTER!$E$151:$E$157,axTER!$C$151:$C$157,IU592)*IS$510)/10^6*$D$514</f>
        <v>74.756942211834655</v>
      </c>
      <c r="IR592" s="275" t="s">
        <v>273</v>
      </c>
      <c r="IS592" s="161" t="s">
        <v>254</v>
      </c>
      <c r="IT592" s="161" t="s">
        <v>266</v>
      </c>
      <c r="IU592" s="284" t="s">
        <v>256</v>
      </c>
      <c r="IV592" s="276">
        <f>$H592*SUMIFS(axTER!$E$65:$E$105,axTER!$D$65:$D$105,IT592,axTER!$C$65:$C$105,IR592)/SUMIFS(axTER!$E$108:$E$114,axTER!$C$108:$C$114,IU592)/10^9*$D$514</f>
        <v>0.79940589833874964</v>
      </c>
      <c r="JI592" s="273">
        <f t="shared" si="1021"/>
        <v>0</v>
      </c>
      <c r="JJ592" s="273">
        <f>$H592*IF(JN592&lt;&gt;IT592,SUMIFS(axTER!$E$121:$E$128,axTER!$C$121:$C$128,IT592,axTER!$D$121:$D$128,JN592),SUMIFS(axTER!$E$133:$E$138,axTER!$C$133:$C$138,JN592)*JM$510)*$D$514/10^6</f>
        <v>355.98543910397444</v>
      </c>
      <c r="JK592" s="274">
        <f>$H592*IF(JO592&lt;&gt;IU592,SUMIFS(axTER!$E$142:$E$148,axTER!$C$142:$C$148,JO592),SUMIFS(axTER!$E$151:$E$157,axTER!$C$151:$C$157,JO592)*JM$510)/10^6*$D$514</f>
        <v>149.51388442366931</v>
      </c>
      <c r="JL592" s="275" t="s">
        <v>273</v>
      </c>
      <c r="JM592" s="161" t="s">
        <v>254</v>
      </c>
      <c r="JN592" s="161" t="s">
        <v>266</v>
      </c>
      <c r="JO592" s="284" t="s">
        <v>256</v>
      </c>
      <c r="JP592" s="276">
        <f>$H592*SUMIFS(axTER!$E$65:$E$105,axTER!$D$65:$D$105,JN592,axTER!$C$65:$C$105,JL592)/SUMIFS(axTER!$E$108:$E$114,axTER!$C$108:$C$114,JO592)/10^9*$D$514</f>
        <v>0.79940589833874964</v>
      </c>
      <c r="JR592" s="269">
        <v>1200</v>
      </c>
      <c r="JS592" s="66" t="s">
        <v>273</v>
      </c>
      <c r="JT592" s="66" t="s">
        <v>254</v>
      </c>
      <c r="JU592" s="66" t="s">
        <v>266</v>
      </c>
      <c r="JV592" s="283" t="s">
        <v>256</v>
      </c>
      <c r="JW592" s="272">
        <f>$H592*SUMIFS(axTER!$E$65:$E$105,axTER!$C$65:$C$105,JS592,axTER!$D$65:$D$105,JU592)/SUMIFS(axTER!$E$108:$E$114,axTER!$C$108:$C$114,JV592)/10^9*$D$514</f>
        <v>0.79940589833874964</v>
      </c>
      <c r="JY592" s="273">
        <f t="shared" si="1022"/>
        <v>0</v>
      </c>
      <c r="JZ592" s="273">
        <f t="shared" si="1023"/>
        <v>0</v>
      </c>
      <c r="KA592" s="273">
        <f>$H592*IF(KE592&lt;&gt;JU592,SUMIFS(axTER!$E$121:$E$128,axTER!$C$121:$C$128,JU592,axTER!$D$121:$D$128,KE592),SUMIFS(axTER!$E$133:$E$138,axTER!$C$133:$C$138,KE592)*KD$510)*$D$514/10^6</f>
        <v>124.59490368639106</v>
      </c>
      <c r="KB592" s="274">
        <f>$H592*IF(KF592&lt;&gt;JV592,SUMIFS(axTER!$E$142:$E$148,axTER!$C$142:$C$148,KF592),SUMIFS(axTER!$E$151:$E$157,axTER!$C$151:$C$157,KF592)*KD$510)/10^6*$D$514</f>
        <v>52.329859548284254</v>
      </c>
      <c r="KC592" s="275" t="s">
        <v>273</v>
      </c>
      <c r="KD592" s="161" t="s">
        <v>254</v>
      </c>
      <c r="KE592" s="161" t="s">
        <v>266</v>
      </c>
      <c r="KF592" s="284" t="s">
        <v>256</v>
      </c>
      <c r="KG592" s="276">
        <f>$H592*SUMIFS(axTER!$E$65:$E$105,axTER!$D$65:$D$105,KE592,axTER!$C$65:$C$105,KC592)/SUMIFS(axTER!$E$108:$E$114,axTER!$C$108:$C$114,KF592)/10^9*$D$514</f>
        <v>0.79940589833874964</v>
      </c>
      <c r="KS592" s="273" t="str">
        <f t="shared" si="1024"/>
        <v>ELEC-PAC</v>
      </c>
      <c r="KT592" s="273">
        <f t="shared" si="1025"/>
        <v>0</v>
      </c>
      <c r="KU592" s="273">
        <f>$H592*IF(KY592&lt;&gt;KE592,SUMIFS(axTER!$E$121:$E$128,axTER!$C$121:$C$128,KE592,axTER!$D$121:$D$128,KY592),SUMIFS(axTER!$E$133:$E$138,axTER!$C$133:$C$138,KY592)*KX$510)*$D$514/10^6</f>
        <v>355.98543910397444</v>
      </c>
      <c r="KV592" s="274">
        <f>$H592*IF(KZ592&lt;&gt;KF592,SUMIFS(axTER!$E$142:$E$148,axTER!$C$142:$C$148,KZ592),SUMIFS(axTER!$E$151:$E$157,axTER!$C$151:$C$157,KZ592)*KX$510)/10^6*$D$514</f>
        <v>949.29450427726533</v>
      </c>
      <c r="KW592" s="275" t="s">
        <v>273</v>
      </c>
      <c r="KX592" s="161" t="s">
        <v>254</v>
      </c>
      <c r="KY592" s="161" t="s">
        <v>266</v>
      </c>
      <c r="KZ592" s="284" t="s">
        <v>261</v>
      </c>
      <c r="LA592" s="276">
        <f>$H592*SUMIFS(axTER!$E$65:$E$105,axTER!$D$65:$D$105,KY592,axTER!$C$65:$C$105,KW592)/SUMIFS(axTER!$E$108:$E$114,axTER!$C$108:$C$114,KZ592)/10^9*$D$514</f>
        <v>0.25314520114060407</v>
      </c>
      <c r="LC592" s="269">
        <v>1200</v>
      </c>
      <c r="LD592" s="66" t="s">
        <v>273</v>
      </c>
      <c r="LE592" s="66" t="s">
        <v>254</v>
      </c>
      <c r="LF592" s="66" t="s">
        <v>266</v>
      </c>
      <c r="LG592" s="283" t="s">
        <v>256</v>
      </c>
      <c r="LH592" s="272">
        <f>$H592*SUMIFS(axTER!$E$65:$E$105,axTER!$C$65:$C$105,LD592,axTER!$D$65:$D$105,LF592)/SUMIFS(axTER!$E$108:$E$114,axTER!$C$108:$C$114,LG592)/10^9*$D$514</f>
        <v>0.79940589833874964</v>
      </c>
      <c r="LJ592" s="273">
        <f t="shared" si="1026"/>
        <v>0</v>
      </c>
      <c r="LK592" s="273">
        <f t="shared" ref="LK592:LK612" si="1030">IF(LP592&lt;&gt;LF592,LC592,0)</f>
        <v>0</v>
      </c>
      <c r="LL592" s="273">
        <f>$H592*IF(LP592&lt;&gt;LF592,SUMIFS(axTER!$E$121:$E$128,axTER!$C$121:$C$128,LF592,axTER!$D$121:$D$128,LP592),SUMIFS(axTER!$E$133:$E$138,axTER!$C$133:$C$138,LP592)*LO$510)*$D$514/10^6</f>
        <v>124.59490368639106</v>
      </c>
      <c r="LM592" s="274">
        <f>$H592*IF(LQ592&lt;&gt;LG592,SUMIFS(axTER!$E$142:$E$148,axTER!$C$142:$C$148,LQ592),SUMIFS(axTER!$E$151:$E$157,axTER!$C$151:$C$157,LQ592)*LO$510)/10^6*$D$514</f>
        <v>52.329859548284254</v>
      </c>
      <c r="LN592" s="275" t="s">
        <v>273</v>
      </c>
      <c r="LO592" s="161" t="s">
        <v>254</v>
      </c>
      <c r="LP592" s="161" t="s">
        <v>266</v>
      </c>
      <c r="LQ592" s="161" t="s">
        <v>256</v>
      </c>
      <c r="LR592" s="276">
        <f>$H592*SUMIFS(axTER!$E$65:$E$105,axTER!$D$65:$D$105,LP592,axTER!$C$65:$C$105,LN592)/SUMIFS(axTER!$E$108:$E$114,axTER!$C$108:$C$114,LQ592)/10^9*$D$514</f>
        <v>0.79940589833874964</v>
      </c>
      <c r="LT592" s="273" t="str">
        <f t="shared" si="1027"/>
        <v>ELEC-PAC</v>
      </c>
      <c r="LU592" s="273">
        <f t="shared" si="1028"/>
        <v>0</v>
      </c>
      <c r="LV592" s="273">
        <f>$H592*IF(LZ592&lt;&gt;LP592,SUMIFS(axTER!$E$121:$E$128,axTER!$C$121:$C$128,LP592,axTER!$D$121:$D$128,LZ592),SUMIFS(axTER!$E$133:$E$138,axTER!$C$133:$C$138,LZ592)*LY$510)*$D$514/10^6</f>
        <v>177.99271955198722</v>
      </c>
      <c r="LW592" s="274">
        <f>$H592*IF(MA592&lt;&gt;LQ592,SUMIFS(axTER!$E$142:$E$148,axTER!$C$142:$C$148,MA592),SUMIFS(axTER!$E$151:$E$157,axTER!$C$151:$C$157,MA592)*LY$510)/10^6*$D$514</f>
        <v>949.29450427726533</v>
      </c>
      <c r="LX592" s="275" t="s">
        <v>273</v>
      </c>
      <c r="LY592" s="161" t="s">
        <v>254</v>
      </c>
      <c r="LZ592" s="161" t="s">
        <v>266</v>
      </c>
      <c r="MA592" s="429" t="s">
        <v>261</v>
      </c>
      <c r="MB592" s="276">
        <f>$H592*SUMIFS(axTER!$E$65:$E$105,axTER!$D$65:$D$105,LZ592,axTER!$C$65:$C$105,LX592)/SUMIFS(axTER!$E$108:$E$114,axTER!$C$108:$C$114,MA592)/10^9*$D$514</f>
        <v>0.25314520114060407</v>
      </c>
      <c r="MD592" s="273">
        <f t="shared" si="1019"/>
        <v>0</v>
      </c>
      <c r="ME592" s="273">
        <f t="shared" si="1029"/>
        <v>0</v>
      </c>
      <c r="MF592" s="273">
        <f>$H592*IF(MJ592&lt;&gt;LZ592,SUMIFS(axTER!$E$121:$E$128,axTER!$C$121:$C$128,LZ592,axTER!$D$121:$D$128,MJ592),SUMIFS(axTER!$E$133:$E$138,axTER!$C$133:$C$138,MJ592)*MI$510)*$D$514/10^6</f>
        <v>177.99271955198722</v>
      </c>
      <c r="MG592" s="274">
        <f>$H592*IF(MK592&lt;&gt;MA592,SUMIFS(axTER!$E$142:$E$148,axTER!$C$142:$C$148,MK592),SUMIFS(axTER!$E$151:$E$157,axTER!$C$151:$C$157,MK592)*MI$510)/10^6*$D$514</f>
        <v>332.25307649704291</v>
      </c>
      <c r="MH592" s="275" t="s">
        <v>273</v>
      </c>
      <c r="MI592" s="161" t="s">
        <v>254</v>
      </c>
      <c r="MJ592" s="161" t="s">
        <v>266</v>
      </c>
      <c r="MK592" s="161" t="s">
        <v>261</v>
      </c>
      <c r="ML592" s="276">
        <f>$H592*SUMIFS(axTER!$E$65:$E$105,axTER!$D$65:$D$105,MJ592,axTER!$C$65:$C$105,MH592)/SUMIFS(axTER!$E$108:$E$114,axTER!$C$108:$C$114,MK592)/10^9*$D$514</f>
        <v>0.25314520114060407</v>
      </c>
    </row>
    <row r="593" spans="3:350" outlineLevel="1" x14ac:dyDescent="0.3">
      <c r="C593" s="265"/>
      <c r="D593" s="69"/>
      <c r="F593" s="266"/>
      <c r="H593" s="269">
        <v>1200</v>
      </c>
      <c r="I593" s="66" t="s">
        <v>273</v>
      </c>
      <c r="J593" s="66" t="s">
        <v>254</v>
      </c>
      <c r="K593" s="66" t="s">
        <v>266</v>
      </c>
      <c r="L593" s="283" t="s">
        <v>256</v>
      </c>
      <c r="M593" s="272">
        <f>$H593*SUMIFS(axTER!$E$65:$E$105,axTER!$C$65:$C$105,I593,axTER!$D$65:$D$105,K593)/SUMIFS(axTER!$E$108:$E$114,axTER!$C$108:$C$114,L593)/10^9*$D$514</f>
        <v>0.79940589833874964</v>
      </c>
      <c r="S593" s="269">
        <v>1200</v>
      </c>
      <c r="T593" s="66" t="s">
        <v>273</v>
      </c>
      <c r="U593" s="66" t="s">
        <v>254</v>
      </c>
      <c r="V593" s="66" t="s">
        <v>266</v>
      </c>
      <c r="W593" s="283" t="s">
        <v>256</v>
      </c>
      <c r="X593" s="272">
        <f>$H593*SUMIFS(axTER!$E$65:$E$105,axTER!$C$65:$C$105,T593,axTER!$D$65:$D$105,V593)/SUMIFS(axTER!$E$108:$E$114,axTER!$C$108:$C$114,W593)/10^9*$D$514</f>
        <v>0.79940589833874964</v>
      </c>
      <c r="AB593" s="273">
        <f>$H593*IF(AF593&lt;&gt;K593,SUMIFS(axTER!$E$121:$E$128,axTER!$C$121:$C$128,K593,axTER!$D$121:$D$128,AF593),SUMIFS(axTER!$E$133:$E$138,axTER!$C$133:$C$138,AF593)*AE$510)*$D$514/10^6</f>
        <v>177.99271955198722</v>
      </c>
      <c r="AC593" s="274">
        <f>$H593*IF(AG593&lt;&gt;L593,SUMIFS(axTER!$E$142:$E$148,axTER!$C$142:$C$148,AG593),SUMIFS(axTER!$E$151:$E$157,axTER!$C$151:$C$157,AG593)*AE$510)/10^6*$D$514</f>
        <v>74.756942211834655</v>
      </c>
      <c r="AD593" s="275" t="s">
        <v>273</v>
      </c>
      <c r="AE593" s="161" t="s">
        <v>254</v>
      </c>
      <c r="AF593" s="161" t="s">
        <v>266</v>
      </c>
      <c r="AG593" s="284" t="s">
        <v>256</v>
      </c>
      <c r="AH593" s="276">
        <f>$H593*SUMIFS(axTER!$E$65:$E$105,axTER!$D$65:$D$105,AF593,axTER!$C$65:$C$105,AD593)/SUMIFS(axTER!$E$108:$E$114,axTER!$C$108:$C$114,AG593)/10^9*$D$514</f>
        <v>0.79940589833874964</v>
      </c>
      <c r="AV593" s="273">
        <f>$H593*IF(AZ593&lt;&gt;AF593,SUMIFS(axTER!$E$121:$E$128,axTER!$C$121:$C$128,AF593,axTER!$D$121:$D$128,AZ593),SUMIFS(axTER!$E$133:$E$138,axTER!$C$133:$C$138,AZ593)*AY$510)*$D$514/10^6</f>
        <v>355.98543910397444</v>
      </c>
      <c r="AW593" s="274">
        <f>$H593*IF(BA593&lt;&gt;AG593,SUMIFS(axTER!$E$142:$E$148,axTER!$C$142:$C$148,BA593),SUMIFS(axTER!$E$151:$E$157,axTER!$C$151:$C$157,BA593)*AY$510)/10^6*$D$514</f>
        <v>149.51388442366931</v>
      </c>
      <c r="AX593" s="275" t="s">
        <v>273</v>
      </c>
      <c r="AY593" s="161" t="s">
        <v>254</v>
      </c>
      <c r="AZ593" s="161" t="s">
        <v>266</v>
      </c>
      <c r="BA593" s="284" t="s">
        <v>256</v>
      </c>
      <c r="BB593" s="276">
        <f>$H593*SUMIFS(axTER!$E$65:$E$105,axTER!$D$65:$D$105,AZ593,axTER!$C$65:$C$105,AX593)/SUMIFS(axTER!$E$108:$E$114,axTER!$C$108:$C$114,BA593)/10^9*$D$514</f>
        <v>0.79940589833874964</v>
      </c>
      <c r="IG593" s="269">
        <v>1200</v>
      </c>
      <c r="IH593" s="66" t="s">
        <v>273</v>
      </c>
      <c r="II593" s="66" t="s">
        <v>254</v>
      </c>
      <c r="IJ593" s="66" t="s">
        <v>266</v>
      </c>
      <c r="IK593" s="283" t="s">
        <v>256</v>
      </c>
      <c r="IL593" s="272">
        <f>$H593*SUMIFS(axTER!$E$65:$E$105,axTER!$C$65:$C$105,IH593,axTER!$D$65:$D$105,IJ593)/SUMIFS(axTER!$E$108:$E$114,axTER!$C$108:$C$114,IK593)/10^9*$D$514</f>
        <v>0.79940589833874964</v>
      </c>
      <c r="IO593" s="273">
        <f t="shared" si="1020"/>
        <v>0</v>
      </c>
      <c r="IP593" s="273">
        <f>$H593*IF(IT593&lt;&gt;IJ593,SUMIFS(axTER!$E$121:$E$128,axTER!$C$121:$C$128,IJ593,axTER!$D$121:$D$128,IT593),SUMIFS(axTER!$E$133:$E$138,axTER!$C$133:$C$138,IT593)*IS$510)*$D$514/10^6</f>
        <v>177.99271955198722</v>
      </c>
      <c r="IQ593" s="274">
        <f>$H593*IF(IU593&lt;&gt;IK593,SUMIFS(axTER!$E$142:$E$148,axTER!$C$142:$C$148,IU593),SUMIFS(axTER!$E$151:$E$157,axTER!$C$151:$C$157,IU593)*IS$510)/10^6*$D$514</f>
        <v>74.756942211834655</v>
      </c>
      <c r="IR593" s="275" t="s">
        <v>273</v>
      </c>
      <c r="IS593" s="161" t="s">
        <v>254</v>
      </c>
      <c r="IT593" s="161" t="s">
        <v>266</v>
      </c>
      <c r="IU593" s="284" t="s">
        <v>256</v>
      </c>
      <c r="IV593" s="276">
        <f>$H593*SUMIFS(axTER!$E$65:$E$105,axTER!$D$65:$D$105,IT593,axTER!$C$65:$C$105,IR593)/SUMIFS(axTER!$E$108:$E$114,axTER!$C$108:$C$114,IU593)/10^9*$D$514</f>
        <v>0.79940589833874964</v>
      </c>
      <c r="JI593" s="273">
        <f t="shared" si="1021"/>
        <v>0</v>
      </c>
      <c r="JJ593" s="273">
        <f>$H593*IF(JN593&lt;&gt;IT593,SUMIFS(axTER!$E$121:$E$128,axTER!$C$121:$C$128,IT593,axTER!$D$121:$D$128,JN593),SUMIFS(axTER!$E$133:$E$138,axTER!$C$133:$C$138,JN593)*JM$510)*$D$514/10^6</f>
        <v>355.98543910397444</v>
      </c>
      <c r="JK593" s="274">
        <f>$H593*IF(JO593&lt;&gt;IU593,SUMIFS(axTER!$E$142:$E$148,axTER!$C$142:$C$148,JO593),SUMIFS(axTER!$E$151:$E$157,axTER!$C$151:$C$157,JO593)*JM$510)/10^6*$D$514</f>
        <v>149.51388442366931</v>
      </c>
      <c r="JL593" s="275" t="s">
        <v>273</v>
      </c>
      <c r="JM593" s="161" t="s">
        <v>254</v>
      </c>
      <c r="JN593" s="161" t="s">
        <v>266</v>
      </c>
      <c r="JO593" s="284" t="s">
        <v>256</v>
      </c>
      <c r="JP593" s="276">
        <f>$H593*SUMIFS(axTER!$E$65:$E$105,axTER!$D$65:$D$105,JN593,axTER!$C$65:$C$105,JL593)/SUMIFS(axTER!$E$108:$E$114,axTER!$C$108:$C$114,JO593)/10^9*$D$514</f>
        <v>0.79940589833874964</v>
      </c>
      <c r="JR593" s="269">
        <v>1200</v>
      </c>
      <c r="JS593" s="66" t="s">
        <v>273</v>
      </c>
      <c r="JT593" s="66" t="s">
        <v>254</v>
      </c>
      <c r="JU593" s="66" t="s">
        <v>266</v>
      </c>
      <c r="JV593" s="283" t="s">
        <v>256</v>
      </c>
      <c r="JW593" s="272">
        <f>$H593*SUMIFS(axTER!$E$65:$E$105,axTER!$C$65:$C$105,JS593,axTER!$D$65:$D$105,JU593)/SUMIFS(axTER!$E$108:$E$114,axTER!$C$108:$C$114,JV593)/10^9*$D$514</f>
        <v>0.79940589833874964</v>
      </c>
      <c r="JY593" s="273">
        <f t="shared" si="1022"/>
        <v>0</v>
      </c>
      <c r="JZ593" s="273">
        <f t="shared" si="1023"/>
        <v>0</v>
      </c>
      <c r="KA593" s="273">
        <f>$H593*IF(KE593&lt;&gt;JU593,SUMIFS(axTER!$E$121:$E$128,axTER!$C$121:$C$128,JU593,axTER!$D$121:$D$128,KE593),SUMIFS(axTER!$E$133:$E$138,axTER!$C$133:$C$138,KE593)*KD$510)*$D$514/10^6</f>
        <v>124.59490368639106</v>
      </c>
      <c r="KB593" s="274">
        <f>$H593*IF(KF593&lt;&gt;JV593,SUMIFS(axTER!$E$142:$E$148,axTER!$C$142:$C$148,KF593),SUMIFS(axTER!$E$151:$E$157,axTER!$C$151:$C$157,KF593)*KD$510)/10^6*$D$514</f>
        <v>52.329859548284254</v>
      </c>
      <c r="KC593" s="275" t="s">
        <v>273</v>
      </c>
      <c r="KD593" s="161" t="s">
        <v>254</v>
      </c>
      <c r="KE593" s="161" t="s">
        <v>266</v>
      </c>
      <c r="KF593" s="284" t="s">
        <v>256</v>
      </c>
      <c r="KG593" s="276">
        <f>$H593*SUMIFS(axTER!$E$65:$E$105,axTER!$D$65:$D$105,KE593,axTER!$C$65:$C$105,KC593)/SUMIFS(axTER!$E$108:$E$114,axTER!$C$108:$C$114,KF593)/10^9*$D$514</f>
        <v>0.79940589833874964</v>
      </c>
      <c r="KS593" s="273" t="str">
        <f t="shared" si="1024"/>
        <v>ELEC-PAC</v>
      </c>
      <c r="KT593" s="273">
        <f t="shared" si="1025"/>
        <v>0</v>
      </c>
      <c r="KU593" s="273">
        <f>$H593*IF(KY593&lt;&gt;KE593,SUMIFS(axTER!$E$121:$E$128,axTER!$C$121:$C$128,KE593,axTER!$D$121:$D$128,KY593),SUMIFS(axTER!$E$133:$E$138,axTER!$C$133:$C$138,KY593)*KX$510)*$D$514/10^6</f>
        <v>355.98543910397444</v>
      </c>
      <c r="KV593" s="274">
        <f>$H593*IF(KZ593&lt;&gt;KF593,SUMIFS(axTER!$E$142:$E$148,axTER!$C$142:$C$148,KZ593),SUMIFS(axTER!$E$151:$E$157,axTER!$C$151:$C$157,KZ593)*KX$510)/10^6*$D$514</f>
        <v>949.29450427726533</v>
      </c>
      <c r="KW593" s="275" t="s">
        <v>273</v>
      </c>
      <c r="KX593" s="161" t="s">
        <v>254</v>
      </c>
      <c r="KY593" s="161" t="s">
        <v>266</v>
      </c>
      <c r="KZ593" s="284" t="s">
        <v>261</v>
      </c>
      <c r="LA593" s="276">
        <f>$H593*SUMIFS(axTER!$E$65:$E$105,axTER!$D$65:$D$105,KY593,axTER!$C$65:$C$105,KW593)/SUMIFS(axTER!$E$108:$E$114,axTER!$C$108:$C$114,KZ593)/10^9*$D$514</f>
        <v>0.25314520114060407</v>
      </c>
      <c r="LC593" s="269">
        <v>1200</v>
      </c>
      <c r="LD593" s="66" t="s">
        <v>273</v>
      </c>
      <c r="LE593" s="66" t="s">
        <v>254</v>
      </c>
      <c r="LF593" s="66" t="s">
        <v>266</v>
      </c>
      <c r="LG593" s="283" t="s">
        <v>256</v>
      </c>
      <c r="LH593" s="272">
        <f>$H593*SUMIFS(axTER!$E$65:$E$105,axTER!$C$65:$C$105,LD593,axTER!$D$65:$D$105,LF593)/SUMIFS(axTER!$E$108:$E$114,axTER!$C$108:$C$114,LG593)/10^9*$D$514</f>
        <v>0.79940589833874964</v>
      </c>
      <c r="LJ593" s="273">
        <f t="shared" si="1026"/>
        <v>0</v>
      </c>
      <c r="LK593" s="273">
        <f t="shared" si="1030"/>
        <v>0</v>
      </c>
      <c r="LL593" s="273">
        <f>$H593*IF(LP593&lt;&gt;LF593,SUMIFS(axTER!$E$121:$E$128,axTER!$C$121:$C$128,LF593,axTER!$D$121:$D$128,LP593),SUMIFS(axTER!$E$133:$E$138,axTER!$C$133:$C$138,LP593)*LO$510)*$D$514/10^6</f>
        <v>124.59490368639106</v>
      </c>
      <c r="LM593" s="274">
        <f>$H593*IF(LQ593&lt;&gt;LG593,SUMIFS(axTER!$E$142:$E$148,axTER!$C$142:$C$148,LQ593),SUMIFS(axTER!$E$151:$E$157,axTER!$C$151:$C$157,LQ593)*LO$510)/10^6*$D$514</f>
        <v>52.329859548284254</v>
      </c>
      <c r="LN593" s="275" t="s">
        <v>273</v>
      </c>
      <c r="LO593" s="161" t="s">
        <v>254</v>
      </c>
      <c r="LP593" s="161" t="s">
        <v>266</v>
      </c>
      <c r="LQ593" s="161" t="s">
        <v>256</v>
      </c>
      <c r="LR593" s="276">
        <f>$H593*SUMIFS(axTER!$E$65:$E$105,axTER!$D$65:$D$105,LP593,axTER!$C$65:$C$105,LN593)/SUMIFS(axTER!$E$108:$E$114,axTER!$C$108:$C$114,LQ593)/10^9*$D$514</f>
        <v>0.79940589833874964</v>
      </c>
      <c r="LT593" s="273">
        <f t="shared" si="1027"/>
        <v>0</v>
      </c>
      <c r="LU593" s="273">
        <f t="shared" si="1028"/>
        <v>0</v>
      </c>
      <c r="LV593" s="273">
        <f>$H593*IF(LZ593&lt;&gt;LP593,SUMIFS(axTER!$E$121:$E$128,axTER!$C$121:$C$128,LP593,axTER!$D$121:$D$128,LZ593),SUMIFS(axTER!$E$133:$E$138,axTER!$C$133:$C$138,LZ593)*LY$510)*$D$514/10^6</f>
        <v>177.99271955198722</v>
      </c>
      <c r="LW593" s="274">
        <f>$H593*IF(MA593&lt;&gt;LQ593,SUMIFS(axTER!$E$142:$E$148,axTER!$C$142:$C$148,MA593),SUMIFS(axTER!$E$151:$E$157,axTER!$C$151:$C$157,MA593)*LY$510)/10^6*$D$514</f>
        <v>74.756942211834655</v>
      </c>
      <c r="LX593" s="275" t="s">
        <v>273</v>
      </c>
      <c r="LY593" s="161" t="s">
        <v>254</v>
      </c>
      <c r="LZ593" s="161" t="s">
        <v>266</v>
      </c>
      <c r="MA593" s="161" t="s">
        <v>256</v>
      </c>
      <c r="MB593" s="276">
        <f>$H593*SUMIFS(axTER!$E$65:$E$105,axTER!$D$65:$D$105,LZ593,axTER!$C$65:$C$105,LX593)/SUMIFS(axTER!$E$108:$E$114,axTER!$C$108:$C$114,MA593)/10^9*$D$514</f>
        <v>0.79940589833874964</v>
      </c>
      <c r="MD593" s="273" t="str">
        <f t="shared" si="1019"/>
        <v>ELEC-PAC</v>
      </c>
      <c r="ME593" s="273">
        <f t="shared" si="1029"/>
        <v>0</v>
      </c>
      <c r="MF593" s="273">
        <f>$H593*IF(MJ593&lt;&gt;LZ593,SUMIFS(axTER!$E$121:$E$128,axTER!$C$121:$C$128,LZ593,axTER!$D$121:$D$128,MJ593),SUMIFS(axTER!$E$133:$E$138,axTER!$C$133:$C$138,MJ593)*MI$510)*$D$514/10^6</f>
        <v>177.99271955198722</v>
      </c>
      <c r="MG593" s="274">
        <f>$H593*IF(MK593&lt;&gt;MA593,SUMIFS(axTER!$E$142:$E$148,axTER!$C$142:$C$148,MK593),SUMIFS(axTER!$E$151:$E$157,axTER!$C$151:$C$157,MK593)*MI$510)/10^6*$D$514</f>
        <v>949.29450427726533</v>
      </c>
      <c r="MH593" s="275" t="s">
        <v>273</v>
      </c>
      <c r="MI593" s="161" t="s">
        <v>254</v>
      </c>
      <c r="MJ593" s="161" t="s">
        <v>266</v>
      </c>
      <c r="MK593" s="161" t="s">
        <v>261</v>
      </c>
      <c r="ML593" s="276">
        <f>$H593*SUMIFS(axTER!$E$65:$E$105,axTER!$D$65:$D$105,MJ593,axTER!$C$65:$C$105,MH593)/SUMIFS(axTER!$E$108:$E$114,axTER!$C$108:$C$114,MK593)/10^9*$D$514</f>
        <v>0.25314520114060407</v>
      </c>
    </row>
    <row r="594" spans="3:350" outlineLevel="1" x14ac:dyDescent="0.3">
      <c r="C594" s="265"/>
      <c r="D594" s="69"/>
      <c r="F594" s="266"/>
      <c r="H594" s="269">
        <v>1200</v>
      </c>
      <c r="I594" s="66" t="s">
        <v>273</v>
      </c>
      <c r="J594" s="66" t="s">
        <v>254</v>
      </c>
      <c r="K594" s="66" t="s">
        <v>266</v>
      </c>
      <c r="L594" s="283" t="s">
        <v>256</v>
      </c>
      <c r="M594" s="272">
        <f>$H594*SUMIFS(axTER!$E$65:$E$105,axTER!$C$65:$C$105,I594,axTER!$D$65:$D$105,K594)/SUMIFS(axTER!$E$108:$E$114,axTER!$C$108:$C$114,L594)/10^9*$D$514</f>
        <v>0.79940589833874964</v>
      </c>
      <c r="S594" s="269">
        <v>1200</v>
      </c>
      <c r="T594" s="66" t="s">
        <v>273</v>
      </c>
      <c r="U594" s="66" t="s">
        <v>254</v>
      </c>
      <c r="V594" s="66" t="s">
        <v>266</v>
      </c>
      <c r="W594" s="283" t="s">
        <v>256</v>
      </c>
      <c r="X594" s="272">
        <f>$H594*SUMIFS(axTER!$E$65:$E$105,axTER!$C$65:$C$105,T594,axTER!$D$65:$D$105,V594)/SUMIFS(axTER!$E$108:$E$114,axTER!$C$108:$C$114,W594)/10^9*$D$514</f>
        <v>0.79940589833874964</v>
      </c>
      <c r="AB594" s="273">
        <f>$H594*IF(AF594&lt;&gt;K594,SUMIFS(axTER!$E$121:$E$128,axTER!$C$121:$C$128,K594,axTER!$D$121:$D$128,AF594),SUMIFS(axTER!$E$133:$E$138,axTER!$C$133:$C$138,AF594)*AE$510)*$D$514/10^6</f>
        <v>177.99271955198722</v>
      </c>
      <c r="AC594" s="274">
        <f>$H594*IF(AG594&lt;&gt;L594,SUMIFS(axTER!$E$142:$E$148,axTER!$C$142:$C$148,AG594),SUMIFS(axTER!$E$151:$E$157,axTER!$C$151:$C$157,AG594)*AE$510)/10^6*$D$514</f>
        <v>74.756942211834655</v>
      </c>
      <c r="AD594" s="275" t="s">
        <v>273</v>
      </c>
      <c r="AE594" s="161" t="s">
        <v>254</v>
      </c>
      <c r="AF594" s="161" t="s">
        <v>266</v>
      </c>
      <c r="AG594" s="284" t="s">
        <v>256</v>
      </c>
      <c r="AH594" s="276">
        <f>$H594*SUMIFS(axTER!$E$65:$E$105,axTER!$D$65:$D$105,AF594,axTER!$C$65:$C$105,AD594)/SUMIFS(axTER!$E$108:$E$114,axTER!$C$108:$C$114,AG594)/10^9*$D$514</f>
        <v>0.79940589833874964</v>
      </c>
      <c r="AV594" s="273">
        <f>$H594*IF(AZ594&lt;&gt;AF594,SUMIFS(axTER!$E$121:$E$128,axTER!$C$121:$C$128,AF594,axTER!$D$121:$D$128,AZ594),SUMIFS(axTER!$E$133:$E$138,axTER!$C$133:$C$138,AZ594)*AY$510)*$D$514/10^6</f>
        <v>355.98543910397444</v>
      </c>
      <c r="AW594" s="274">
        <f>$H594*IF(BA594&lt;&gt;AG594,SUMIFS(axTER!$E$142:$E$148,axTER!$C$142:$C$148,BA594),SUMIFS(axTER!$E$151:$E$157,axTER!$C$151:$C$157,BA594)*AY$510)/10^6*$D$514</f>
        <v>149.51388442366931</v>
      </c>
      <c r="AX594" s="275" t="s">
        <v>273</v>
      </c>
      <c r="AY594" s="161" t="s">
        <v>254</v>
      </c>
      <c r="AZ594" s="161" t="s">
        <v>266</v>
      </c>
      <c r="BA594" s="284" t="s">
        <v>256</v>
      </c>
      <c r="BB594" s="276">
        <f>$H594*SUMIFS(axTER!$E$65:$E$105,axTER!$D$65:$D$105,AZ594,axTER!$C$65:$C$105,AX594)/SUMIFS(axTER!$E$108:$E$114,axTER!$C$108:$C$114,BA594)/10^9*$D$514</f>
        <v>0.79940589833874964</v>
      </c>
      <c r="IG594" s="269">
        <v>1200</v>
      </c>
      <c r="IH594" s="66" t="s">
        <v>273</v>
      </c>
      <c r="II594" s="66" t="s">
        <v>254</v>
      </c>
      <c r="IJ594" s="66" t="s">
        <v>266</v>
      </c>
      <c r="IK594" s="283" t="s">
        <v>256</v>
      </c>
      <c r="IL594" s="272">
        <f>$H594*SUMIFS(axTER!$E$65:$E$105,axTER!$C$65:$C$105,IH594,axTER!$D$65:$D$105,IJ594)/SUMIFS(axTER!$E$108:$E$114,axTER!$C$108:$C$114,IK594)/10^9*$D$514</f>
        <v>0.79940589833874964</v>
      </c>
      <c r="IO594" s="273">
        <f t="shared" si="1020"/>
        <v>0</v>
      </c>
      <c r="IP594" s="273">
        <f>$H594*IF(IT594&lt;&gt;IJ594,SUMIFS(axTER!$E$121:$E$128,axTER!$C$121:$C$128,IJ594,axTER!$D$121:$D$128,IT594),SUMIFS(axTER!$E$133:$E$138,axTER!$C$133:$C$138,IT594)*IS$510)*$D$514/10^6</f>
        <v>177.99271955198722</v>
      </c>
      <c r="IQ594" s="274">
        <f>$H594*IF(IU594&lt;&gt;IK594,SUMIFS(axTER!$E$142:$E$148,axTER!$C$142:$C$148,IU594),SUMIFS(axTER!$E$151:$E$157,axTER!$C$151:$C$157,IU594)*IS$510)/10^6*$D$514</f>
        <v>74.756942211834655</v>
      </c>
      <c r="IR594" s="275" t="s">
        <v>273</v>
      </c>
      <c r="IS594" s="161" t="s">
        <v>254</v>
      </c>
      <c r="IT594" s="161" t="s">
        <v>266</v>
      </c>
      <c r="IU594" s="284" t="s">
        <v>256</v>
      </c>
      <c r="IV594" s="276">
        <f>$H594*SUMIFS(axTER!$E$65:$E$105,axTER!$D$65:$D$105,IT594,axTER!$C$65:$C$105,IR594)/SUMIFS(axTER!$E$108:$E$114,axTER!$C$108:$C$114,IU594)/10^9*$D$514</f>
        <v>0.79940589833874964</v>
      </c>
      <c r="JI594" s="273">
        <f t="shared" si="1021"/>
        <v>0</v>
      </c>
      <c r="JJ594" s="273">
        <f>$H594*IF(JN594&lt;&gt;IT594,SUMIFS(axTER!$E$121:$E$128,axTER!$C$121:$C$128,IT594,axTER!$D$121:$D$128,JN594),SUMIFS(axTER!$E$133:$E$138,axTER!$C$133:$C$138,JN594)*JM$510)*$D$514/10^6</f>
        <v>355.98543910397444</v>
      </c>
      <c r="JK594" s="274">
        <f>$H594*IF(JO594&lt;&gt;IU594,SUMIFS(axTER!$E$142:$E$148,axTER!$C$142:$C$148,JO594),SUMIFS(axTER!$E$151:$E$157,axTER!$C$151:$C$157,JO594)*JM$510)/10^6*$D$514</f>
        <v>149.51388442366931</v>
      </c>
      <c r="JL594" s="275" t="s">
        <v>273</v>
      </c>
      <c r="JM594" s="161" t="s">
        <v>254</v>
      </c>
      <c r="JN594" s="161" t="s">
        <v>266</v>
      </c>
      <c r="JO594" s="284" t="s">
        <v>256</v>
      </c>
      <c r="JP594" s="276">
        <f>$H594*SUMIFS(axTER!$E$65:$E$105,axTER!$D$65:$D$105,JN594,axTER!$C$65:$C$105,JL594)/SUMIFS(axTER!$E$108:$E$114,axTER!$C$108:$C$114,JO594)/10^9*$D$514</f>
        <v>0.79940589833874964</v>
      </c>
      <c r="JR594" s="269">
        <v>1200</v>
      </c>
      <c r="JS594" s="66" t="s">
        <v>273</v>
      </c>
      <c r="JT594" s="66" t="s">
        <v>254</v>
      </c>
      <c r="JU594" s="66" t="s">
        <v>266</v>
      </c>
      <c r="JV594" s="283" t="s">
        <v>256</v>
      </c>
      <c r="JW594" s="272">
        <f>$H594*SUMIFS(axTER!$E$65:$E$105,axTER!$C$65:$C$105,JS594,axTER!$D$65:$D$105,JU594)/SUMIFS(axTER!$E$108:$E$114,axTER!$C$108:$C$114,JV594)/10^9*$D$514</f>
        <v>0.79940589833874964</v>
      </c>
      <c r="JY594" s="273">
        <f t="shared" si="1022"/>
        <v>0</v>
      </c>
      <c r="JZ594" s="273">
        <f t="shared" si="1023"/>
        <v>0</v>
      </c>
      <c r="KA594" s="273">
        <f>$H594*IF(KE594&lt;&gt;JU594,SUMIFS(axTER!$E$121:$E$128,axTER!$C$121:$C$128,JU594,axTER!$D$121:$D$128,KE594),SUMIFS(axTER!$E$133:$E$138,axTER!$C$133:$C$138,KE594)*KD$510)*$D$514/10^6</f>
        <v>124.59490368639106</v>
      </c>
      <c r="KB594" s="274">
        <f>$H594*IF(KF594&lt;&gt;JV594,SUMIFS(axTER!$E$142:$E$148,axTER!$C$142:$C$148,KF594),SUMIFS(axTER!$E$151:$E$157,axTER!$C$151:$C$157,KF594)*KD$510)/10^6*$D$514</f>
        <v>52.329859548284254</v>
      </c>
      <c r="KC594" s="275" t="s">
        <v>273</v>
      </c>
      <c r="KD594" s="161" t="s">
        <v>254</v>
      </c>
      <c r="KE594" s="161" t="s">
        <v>266</v>
      </c>
      <c r="KF594" s="284" t="s">
        <v>256</v>
      </c>
      <c r="KG594" s="276">
        <f>$H594*SUMIFS(axTER!$E$65:$E$105,axTER!$D$65:$D$105,KE594,axTER!$C$65:$C$105,KC594)/SUMIFS(axTER!$E$108:$E$114,axTER!$C$108:$C$114,KF594)/10^9*$D$514</f>
        <v>0.79940589833874964</v>
      </c>
      <c r="KS594" s="273" t="str">
        <f t="shared" si="1024"/>
        <v>ELEC-PAC</v>
      </c>
      <c r="KT594" s="273">
        <f t="shared" si="1025"/>
        <v>0</v>
      </c>
      <c r="KU594" s="273">
        <f>$H594*IF(KY594&lt;&gt;KE594,SUMIFS(axTER!$E$121:$E$128,axTER!$C$121:$C$128,KE594,axTER!$D$121:$D$128,KY594),SUMIFS(axTER!$E$133:$E$138,axTER!$C$133:$C$138,KY594)*KX$510)*$D$514/10^6</f>
        <v>355.98543910397444</v>
      </c>
      <c r="KV594" s="274">
        <f>$H594*IF(KZ594&lt;&gt;KF594,SUMIFS(axTER!$E$142:$E$148,axTER!$C$142:$C$148,KZ594),SUMIFS(axTER!$E$151:$E$157,axTER!$C$151:$C$157,KZ594)*KX$510)/10^6*$D$514</f>
        <v>949.29450427726533</v>
      </c>
      <c r="KW594" s="275" t="s">
        <v>273</v>
      </c>
      <c r="KX594" s="161" t="s">
        <v>254</v>
      </c>
      <c r="KY594" s="161" t="s">
        <v>266</v>
      </c>
      <c r="KZ594" s="284" t="s">
        <v>261</v>
      </c>
      <c r="LA594" s="276">
        <f>$H594*SUMIFS(axTER!$E$65:$E$105,axTER!$D$65:$D$105,KY594,axTER!$C$65:$C$105,KW594)/SUMIFS(axTER!$E$108:$E$114,axTER!$C$108:$C$114,KZ594)/10^9*$D$514</f>
        <v>0.25314520114060407</v>
      </c>
      <c r="LC594" s="269">
        <v>1200</v>
      </c>
      <c r="LD594" s="66" t="s">
        <v>273</v>
      </c>
      <c r="LE594" s="66" t="s">
        <v>254</v>
      </c>
      <c r="LF594" s="66" t="s">
        <v>266</v>
      </c>
      <c r="LG594" s="283" t="s">
        <v>256</v>
      </c>
      <c r="LH594" s="272">
        <f>$H594*SUMIFS(axTER!$E$65:$E$105,axTER!$C$65:$C$105,LD594,axTER!$D$65:$D$105,LF594)/SUMIFS(axTER!$E$108:$E$114,axTER!$C$108:$C$114,LG594)/10^9*$D$514</f>
        <v>0.79940589833874964</v>
      </c>
      <c r="LJ594" s="273">
        <f t="shared" si="1026"/>
        <v>0</v>
      </c>
      <c r="LK594" s="273">
        <f t="shared" si="1030"/>
        <v>0</v>
      </c>
      <c r="LL594" s="273">
        <f>$H594*IF(LP594&lt;&gt;LF594,SUMIFS(axTER!$E$121:$E$128,axTER!$C$121:$C$128,LF594,axTER!$D$121:$D$128,LP594),SUMIFS(axTER!$E$133:$E$138,axTER!$C$133:$C$138,LP594)*LO$510)*$D$514/10^6</f>
        <v>124.59490368639106</v>
      </c>
      <c r="LM594" s="274">
        <f>$H594*IF(LQ594&lt;&gt;LG594,SUMIFS(axTER!$E$142:$E$148,axTER!$C$142:$C$148,LQ594),SUMIFS(axTER!$E$151:$E$157,axTER!$C$151:$C$157,LQ594)*LO$510)/10^6*$D$514</f>
        <v>52.329859548284254</v>
      </c>
      <c r="LN594" s="275" t="s">
        <v>273</v>
      </c>
      <c r="LO594" s="161" t="s">
        <v>254</v>
      </c>
      <c r="LP594" s="161" t="s">
        <v>266</v>
      </c>
      <c r="LQ594" s="161" t="s">
        <v>256</v>
      </c>
      <c r="LR594" s="276">
        <f>$H594*SUMIFS(axTER!$E$65:$E$105,axTER!$D$65:$D$105,LP594,axTER!$C$65:$C$105,LN594)/SUMIFS(axTER!$E$108:$E$114,axTER!$C$108:$C$114,LQ594)/10^9*$D$514</f>
        <v>0.79940589833874964</v>
      </c>
      <c r="LT594" s="273" t="str">
        <f t="shared" si="1027"/>
        <v>ELEC-PAC</v>
      </c>
      <c r="LU594" s="273">
        <f t="shared" si="1028"/>
        <v>0</v>
      </c>
      <c r="LV594" s="273">
        <f>$H594*IF(LZ594&lt;&gt;LP594,SUMIFS(axTER!$E$121:$E$128,axTER!$C$121:$C$128,LP594,axTER!$D$121:$D$128,LZ594),SUMIFS(axTER!$E$133:$E$138,axTER!$C$133:$C$138,LZ594)*LY$510)*$D$514/10^6</f>
        <v>177.99271955198722</v>
      </c>
      <c r="LW594" s="274">
        <f>$H594*IF(MA594&lt;&gt;LQ594,SUMIFS(axTER!$E$142:$E$148,axTER!$C$142:$C$148,MA594),SUMIFS(axTER!$E$151:$E$157,axTER!$C$151:$C$157,MA594)*LY$510)/10^6*$D$514</f>
        <v>949.29450427726533</v>
      </c>
      <c r="LX594" s="275" t="s">
        <v>273</v>
      </c>
      <c r="LY594" s="161" t="s">
        <v>254</v>
      </c>
      <c r="LZ594" s="161" t="s">
        <v>266</v>
      </c>
      <c r="MA594" s="429" t="s">
        <v>261</v>
      </c>
      <c r="MB594" s="276">
        <f>$H594*SUMIFS(axTER!$E$65:$E$105,axTER!$D$65:$D$105,LZ594,axTER!$C$65:$C$105,LX594)/SUMIFS(axTER!$E$108:$E$114,axTER!$C$108:$C$114,MA594)/10^9*$D$514</f>
        <v>0.25314520114060407</v>
      </c>
      <c r="MD594" s="273">
        <f t="shared" si="1019"/>
        <v>0</v>
      </c>
      <c r="ME594" s="273">
        <f t="shared" si="1029"/>
        <v>0</v>
      </c>
      <c r="MF594" s="273">
        <f>$H594*IF(MJ594&lt;&gt;LZ594,SUMIFS(axTER!$E$121:$E$128,axTER!$C$121:$C$128,LZ594,axTER!$D$121:$D$128,MJ594),SUMIFS(axTER!$E$133:$E$138,axTER!$C$133:$C$138,MJ594)*MI$510)*$D$514/10^6</f>
        <v>177.99271955198722</v>
      </c>
      <c r="MG594" s="274">
        <f>$H594*IF(MK594&lt;&gt;MA594,SUMIFS(axTER!$E$142:$E$148,axTER!$C$142:$C$148,MK594),SUMIFS(axTER!$E$151:$E$157,axTER!$C$151:$C$157,MK594)*MI$510)/10^6*$D$514</f>
        <v>332.25307649704291</v>
      </c>
      <c r="MH594" s="275" t="s">
        <v>273</v>
      </c>
      <c r="MI594" s="161" t="s">
        <v>254</v>
      </c>
      <c r="MJ594" s="161" t="s">
        <v>266</v>
      </c>
      <c r="MK594" s="161" t="s">
        <v>261</v>
      </c>
      <c r="ML594" s="276">
        <f>$H594*SUMIFS(axTER!$E$65:$E$105,axTER!$D$65:$D$105,MJ594,axTER!$C$65:$C$105,MH594)/SUMIFS(axTER!$E$108:$E$114,axTER!$C$108:$C$114,MK594)/10^9*$D$514</f>
        <v>0.25314520114060407</v>
      </c>
    </row>
    <row r="595" spans="3:350" hidden="1" outlineLevel="1" x14ac:dyDescent="0.3">
      <c r="C595" s="265"/>
      <c r="D595" s="69"/>
      <c r="F595" s="266"/>
      <c r="H595" s="269">
        <v>1200</v>
      </c>
      <c r="I595" s="66" t="s">
        <v>273</v>
      </c>
      <c r="J595" s="66" t="s">
        <v>254</v>
      </c>
      <c r="K595" s="66" t="s">
        <v>255</v>
      </c>
      <c r="L595" s="283" t="s">
        <v>256</v>
      </c>
      <c r="M595" s="272">
        <f>$H595*SUMIFS(axTER!$E$65:$E$105,axTER!$C$65:$C$105,I595,axTER!$D$65:$D$105,K595)/SUMIFS(axTER!$E$108:$E$114,axTER!$C$108:$C$114,L595)/10^9*$D$514</f>
        <v>1.0991831102157807</v>
      </c>
      <c r="S595" s="269">
        <v>1200</v>
      </c>
      <c r="T595" s="66" t="s">
        <v>273</v>
      </c>
      <c r="U595" s="66" t="s">
        <v>254</v>
      </c>
      <c r="V595" s="66" t="s">
        <v>255</v>
      </c>
      <c r="W595" s="283" t="s">
        <v>256</v>
      </c>
      <c r="X595" s="272">
        <f>$H595*SUMIFS(axTER!$E$65:$E$105,axTER!$C$65:$C$105,T595,axTER!$D$65:$D$105,V595)/SUMIFS(axTER!$E$108:$E$114,axTER!$C$108:$C$114,W595)/10^9*$D$514</f>
        <v>1.0991831102157807</v>
      </c>
      <c r="AB595" s="273">
        <f>$H595*IF(AF595&lt;&gt;K595,SUMIFS(axTER!$E$121:$E$128,axTER!$C$121:$C$128,K595,axTER!$D$121:$D$128,AF595),SUMIFS(axTER!$E$133:$E$138,axTER!$C$133:$C$138,AF595)*AE$510)*$D$514/10^6</f>
        <v>474.64725213863267</v>
      </c>
      <c r="AC595" s="274">
        <f>$H595*IF(AG595&lt;&gt;L595,SUMIFS(axTER!$E$142:$E$148,axTER!$C$142:$C$148,AG595),SUMIFS(axTER!$E$151:$E$157,axTER!$C$151:$C$157,AG595)*AE$510)/10^6*$D$514</f>
        <v>74.756942211834655</v>
      </c>
      <c r="AD595" s="275" t="s">
        <v>273</v>
      </c>
      <c r="AE595" s="161" t="s">
        <v>254</v>
      </c>
      <c r="AF595" s="161" t="s">
        <v>255</v>
      </c>
      <c r="AG595" s="284" t="s">
        <v>256</v>
      </c>
      <c r="AH595" s="276">
        <f>$H595*SUMIFS(axTER!$E$65:$E$105,axTER!$D$65:$D$105,AF595,axTER!$C$65:$C$105,AD595)/SUMIFS(axTER!$E$108:$E$114,axTER!$C$108:$C$114,AG595)/10^9*$D$514</f>
        <v>1.0991831102157807</v>
      </c>
      <c r="AV595" s="273">
        <f>$H595*IF(AZ595&lt;&gt;AF595,SUMIFS(axTER!$E$121:$E$128,axTER!$C$121:$C$128,AF595,axTER!$D$121:$D$128,AZ595),SUMIFS(axTER!$E$133:$E$138,axTER!$C$133:$C$138,AZ595)*AY$510)*$D$514/10^6</f>
        <v>949.29450427726533</v>
      </c>
      <c r="AW595" s="274">
        <f>$H595*IF(BA595&lt;&gt;AG595,SUMIFS(axTER!$E$142:$E$148,axTER!$C$142:$C$148,BA595),SUMIFS(axTER!$E$151:$E$157,axTER!$C$151:$C$157,BA595)*AY$510)/10^6*$D$514</f>
        <v>149.51388442366931</v>
      </c>
      <c r="AX595" s="275" t="s">
        <v>273</v>
      </c>
      <c r="AY595" s="161" t="s">
        <v>254</v>
      </c>
      <c r="AZ595" s="161" t="s">
        <v>255</v>
      </c>
      <c r="BA595" s="284" t="s">
        <v>256</v>
      </c>
      <c r="BB595" s="276">
        <f>$H595*SUMIFS(axTER!$E$65:$E$105,axTER!$D$65:$D$105,AZ595,axTER!$C$65:$C$105,AX595)/SUMIFS(axTER!$E$108:$E$114,axTER!$C$108:$C$114,BA595)/10^9*$D$514</f>
        <v>1.0991831102157807</v>
      </c>
      <c r="IG595" s="269">
        <v>1200</v>
      </c>
      <c r="IH595" s="66" t="s">
        <v>273</v>
      </c>
      <c r="II595" s="66" t="s">
        <v>254</v>
      </c>
      <c r="IJ595" s="66" t="s">
        <v>255</v>
      </c>
      <c r="IK595" s="283" t="s">
        <v>256</v>
      </c>
      <c r="IL595" s="272">
        <f>$H595*SUMIFS(axTER!$E$65:$E$105,axTER!$C$65:$C$105,IH595,axTER!$D$65:$D$105,IJ595)/SUMIFS(axTER!$E$108:$E$114,axTER!$C$108:$C$114,IK595)/10^9*$D$514</f>
        <v>1.0991831102157807</v>
      </c>
      <c r="IO595" s="273">
        <f t="shared" si="1020"/>
        <v>1200</v>
      </c>
      <c r="IP595" s="273">
        <f>$H595*IF(IT595&lt;&gt;IJ595,SUMIFS(axTER!$E$121:$E$128,axTER!$C$121:$C$128,IJ595,axTER!$D$121:$D$128,IT595),SUMIFS(axTER!$E$133:$E$138,axTER!$C$133:$C$138,IT595)*IS$510)*$D$514/10^6</f>
        <v>5339.7815865596167</v>
      </c>
      <c r="IQ595" s="274">
        <f>$H595*IF(IU595&lt;&gt;IK595,SUMIFS(axTER!$E$142:$E$148,axTER!$C$142:$C$148,IU595),SUMIFS(axTER!$E$151:$E$157,axTER!$C$151:$C$157,IU595)*IS$510)/10^6*$D$514</f>
        <v>74.756942211834655</v>
      </c>
      <c r="IR595" s="275" t="s">
        <v>273</v>
      </c>
      <c r="IS595" s="161" t="s">
        <v>254</v>
      </c>
      <c r="IT595" s="277" t="s">
        <v>257</v>
      </c>
      <c r="IU595" s="284" t="s">
        <v>256</v>
      </c>
      <c r="IV595" s="276">
        <f>$H595*SUMIFS(axTER!$E$65:$E$105,axTER!$D$65:$D$105,IT595,axTER!$C$65:$C$105,IR595)/SUMIFS(axTER!$E$108:$E$114,axTER!$C$108:$C$114,IU595)/10^9*$D$514</f>
        <v>0.4996286864617186</v>
      </c>
      <c r="JI595" s="273">
        <f t="shared" si="1021"/>
        <v>1200</v>
      </c>
      <c r="JJ595" s="273">
        <f>$H595*IF(JN595&lt;&gt;IT595,SUMIFS(axTER!$E$121:$E$128,axTER!$C$121:$C$128,IT595,axTER!$D$121:$D$128,JN595),SUMIFS(axTER!$E$133:$E$138,axTER!$C$133:$C$138,JN595)*JM$510)*$D$514/10^6</f>
        <v>0</v>
      </c>
      <c r="JK595" s="274">
        <f>$H595*IF(JO595&lt;&gt;IU595,SUMIFS(axTER!$E$142:$E$148,axTER!$C$142:$C$148,JO595),SUMIFS(axTER!$E$151:$E$157,axTER!$C$151:$C$157,JO595)*JM$510)/10^6*$D$514</f>
        <v>149.51388442366931</v>
      </c>
      <c r="JL595" s="275" t="s">
        <v>273</v>
      </c>
      <c r="JM595" s="161" t="s">
        <v>254</v>
      </c>
      <c r="JN595" s="161" t="s">
        <v>255</v>
      </c>
      <c r="JO595" s="284" t="s">
        <v>256</v>
      </c>
      <c r="JP595" s="276">
        <f>$H595*SUMIFS(axTER!$E$65:$E$105,axTER!$D$65:$D$105,JN595,axTER!$C$65:$C$105,JL595)/SUMIFS(axTER!$E$108:$E$114,axTER!$C$108:$C$114,JO595)/10^9*$D$514</f>
        <v>1.0991831102157807</v>
      </c>
      <c r="JR595" s="269">
        <v>1200</v>
      </c>
      <c r="JS595" s="66" t="s">
        <v>273</v>
      </c>
      <c r="JT595" s="66" t="s">
        <v>254</v>
      </c>
      <c r="JU595" s="66" t="s">
        <v>255</v>
      </c>
      <c r="JV595" s="283" t="s">
        <v>256</v>
      </c>
      <c r="JW595" s="272">
        <f>$H595*SUMIFS(axTER!$E$65:$E$105,axTER!$C$65:$C$105,JS595,axTER!$D$65:$D$105,JU595)/SUMIFS(axTER!$E$108:$E$114,axTER!$C$108:$C$114,JV595)/10^9*$D$514</f>
        <v>1.0991831102157807</v>
      </c>
      <c r="JY595" s="273" t="str">
        <f t="shared" si="1022"/>
        <v>URBAIN</v>
      </c>
      <c r="JZ595" s="273">
        <f t="shared" si="1023"/>
        <v>1200</v>
      </c>
      <c r="KA595" s="273">
        <f>$H595*IF(KE595&lt;&gt;JU595,SUMIFS(axTER!$E$121:$E$128,axTER!$C$121:$C$128,JU595,axTER!$D$121:$D$128,KE595),SUMIFS(axTER!$E$133:$E$138,axTER!$C$133:$C$138,KE595)*KD$510)*$D$514/10^6</f>
        <v>5339.7815865596167</v>
      </c>
      <c r="KB595" s="274">
        <f>$H595*IF(KF595&lt;&gt;JV595,SUMIFS(axTER!$E$142:$E$148,axTER!$C$142:$C$148,KF595),SUMIFS(axTER!$E$151:$E$157,axTER!$C$151:$C$157,KF595)*KD$510)/10^6*$D$514</f>
        <v>367.85162040744029</v>
      </c>
      <c r="KC595" s="275" t="s">
        <v>273</v>
      </c>
      <c r="KD595" s="161" t="s">
        <v>254</v>
      </c>
      <c r="KE595" s="161" t="s">
        <v>257</v>
      </c>
      <c r="KF595" s="284" t="s">
        <v>258</v>
      </c>
      <c r="KG595" s="276">
        <f>$H595*SUMIFS(axTER!$E$65:$E$105,axTER!$D$65:$D$105,KE595,axTER!$C$65:$C$105,KC595)/SUMIFS(axTER!$E$108:$E$114,axTER!$C$108:$C$114,KF595)/10^9*$D$514</f>
        <v>0.47464725213863268</v>
      </c>
      <c r="KS595" s="273">
        <f t="shared" si="1024"/>
        <v>0</v>
      </c>
      <c r="KT595" s="273">
        <f t="shared" si="1025"/>
        <v>0</v>
      </c>
      <c r="KU595" s="273">
        <f>$H595*IF(KY595&lt;&gt;KE595,SUMIFS(axTER!$E$121:$E$128,axTER!$C$121:$C$128,KE595,axTER!$D$121:$D$128,KY595),SUMIFS(axTER!$E$133:$E$138,axTER!$C$133:$C$138,KY595)*KX$510)*$D$514/10^6</f>
        <v>355.98543910397444</v>
      </c>
      <c r="KV595" s="274">
        <f>$H595*IF(KZ595&lt;&gt;KF595,SUMIFS(axTER!$E$142:$E$148,axTER!$C$142:$C$148,KZ595),SUMIFS(axTER!$E$151:$E$157,axTER!$C$151:$C$157,KZ595)*KX$510)/10^6*$D$514</f>
        <v>257.49613428520826</v>
      </c>
      <c r="KW595" s="275" t="s">
        <v>273</v>
      </c>
      <c r="KX595" s="161" t="s">
        <v>254</v>
      </c>
      <c r="KY595" s="161" t="s">
        <v>257</v>
      </c>
      <c r="KZ595" s="284" t="s">
        <v>258</v>
      </c>
      <c r="LA595" s="276">
        <f>$H595*SUMIFS(axTER!$E$65:$E$105,axTER!$D$65:$D$105,KY595,axTER!$C$65:$C$105,KW595)/SUMIFS(axTER!$E$108:$E$114,axTER!$C$108:$C$114,KZ595)/10^9*$D$514</f>
        <v>0.47464725213863268</v>
      </c>
      <c r="LC595" s="269">
        <v>1200</v>
      </c>
      <c r="LD595" s="66" t="s">
        <v>273</v>
      </c>
      <c r="LE595" s="66" t="s">
        <v>254</v>
      </c>
      <c r="LF595" s="66" t="s">
        <v>255</v>
      </c>
      <c r="LG595" s="283" t="s">
        <v>256</v>
      </c>
      <c r="LH595" s="272">
        <f>$H595*SUMIFS(axTER!$E$65:$E$105,axTER!$C$65:$C$105,LD595,axTER!$D$65:$D$105,LF595)/SUMIFS(axTER!$E$108:$E$114,axTER!$C$108:$C$114,LG595)/10^9*$D$514</f>
        <v>1.0991831102157807</v>
      </c>
      <c r="LJ595" s="273" t="str">
        <f t="shared" si="1026"/>
        <v>URBAIN</v>
      </c>
      <c r="LK595" s="273">
        <f t="shared" si="1030"/>
        <v>1200</v>
      </c>
      <c r="LL595" s="273">
        <f>$H595*IF(LP595&lt;&gt;LF595,SUMIFS(axTER!$E$121:$E$128,axTER!$C$121:$C$128,LF595,axTER!$D$121:$D$128,LP595),SUMIFS(axTER!$E$133:$E$138,axTER!$C$133:$C$138,LP595)*LO$510)*$D$514/10^6</f>
        <v>5339.7815865596167</v>
      </c>
      <c r="LM595" s="274">
        <f>$H595*IF(LQ595&lt;&gt;LG595,SUMIFS(axTER!$E$142:$E$148,axTER!$C$142:$C$148,LQ595),SUMIFS(axTER!$E$151:$E$157,axTER!$C$151:$C$157,LQ595)*LO$510)/10^6*$D$514</f>
        <v>367.85162040744029</v>
      </c>
      <c r="LN595" s="275" t="s">
        <v>273</v>
      </c>
      <c r="LO595" s="161" t="s">
        <v>254</v>
      </c>
      <c r="LP595" s="161" t="s">
        <v>257</v>
      </c>
      <c r="LQ595" s="161" t="s">
        <v>258</v>
      </c>
      <c r="LR595" s="276">
        <f>$H595*SUMIFS(axTER!$E$65:$E$105,axTER!$D$65:$D$105,LP595,axTER!$C$65:$C$105,LN595)/SUMIFS(axTER!$E$108:$E$114,axTER!$C$108:$C$114,LQ595)/10^9*$D$514</f>
        <v>0.47464725213863268</v>
      </c>
      <c r="LT595" s="273">
        <f t="shared" si="1027"/>
        <v>0</v>
      </c>
      <c r="LU595" s="273">
        <f t="shared" si="1028"/>
        <v>0</v>
      </c>
      <c r="LV595" s="273">
        <f>$H595*IF(LZ595&lt;&gt;LP595,SUMIFS(axTER!$E$121:$E$128,axTER!$C$121:$C$128,LP595,axTER!$D$121:$D$128,LZ595),SUMIFS(axTER!$E$133:$E$138,axTER!$C$133:$C$138,LZ595)*LY$510)*$D$514/10^6</f>
        <v>177.99271955198722</v>
      </c>
      <c r="LW595" s="274">
        <f>$H595*IF(MA595&lt;&gt;LQ595,SUMIFS(axTER!$E$142:$E$148,axTER!$C$142:$C$148,MA595),SUMIFS(axTER!$E$151:$E$157,axTER!$C$151:$C$157,MA595)*LY$510)/10^6*$D$514</f>
        <v>128.74806714260413</v>
      </c>
      <c r="LX595" s="275" t="s">
        <v>273</v>
      </c>
      <c r="LY595" s="161" t="s">
        <v>254</v>
      </c>
      <c r="LZ595" s="161" t="s">
        <v>257</v>
      </c>
      <c r="MA595" s="161" t="s">
        <v>258</v>
      </c>
      <c r="MB595" s="276">
        <f>$H595*SUMIFS(axTER!$E$65:$E$105,axTER!$D$65:$D$105,LZ595,axTER!$C$65:$C$105,LX595)/SUMIFS(axTER!$E$108:$E$114,axTER!$C$108:$C$114,MA595)/10^9*$D$514</f>
        <v>0.47464725213863268</v>
      </c>
      <c r="MD595" s="273">
        <f t="shared" si="1019"/>
        <v>0</v>
      </c>
      <c r="ME595" s="273">
        <f t="shared" si="1029"/>
        <v>0</v>
      </c>
      <c r="MF595" s="273">
        <f>$H595*IF(MJ595&lt;&gt;LZ595,SUMIFS(axTER!$E$121:$E$128,axTER!$C$121:$C$128,LZ595,axTER!$D$121:$D$128,MJ595),SUMIFS(axTER!$E$133:$E$138,axTER!$C$133:$C$138,MJ595)*MI$510)*$D$514/10^6</f>
        <v>177.99271955198722</v>
      </c>
      <c r="MG595" s="274">
        <f>$H595*IF(MK595&lt;&gt;MA595,SUMIFS(axTER!$E$142:$E$148,axTER!$C$142:$C$148,MK595),SUMIFS(axTER!$E$151:$E$157,axTER!$C$151:$C$157,MK595)*MI$510)/10^6*$D$514</f>
        <v>128.74806714260413</v>
      </c>
      <c r="MH595" s="275" t="s">
        <v>273</v>
      </c>
      <c r="MI595" s="161" t="s">
        <v>254</v>
      </c>
      <c r="MJ595" s="161" t="s">
        <v>257</v>
      </c>
      <c r="MK595" s="161" t="s">
        <v>258</v>
      </c>
      <c r="ML595" s="276">
        <f>$H595*SUMIFS(axTER!$E$65:$E$105,axTER!$D$65:$D$105,MJ595,axTER!$C$65:$C$105,MH595)/SUMIFS(axTER!$E$108:$E$114,axTER!$C$108:$C$114,MK595)/10^9*$D$514</f>
        <v>0.47464725213863268</v>
      </c>
    </row>
    <row r="596" spans="3:350" outlineLevel="1" x14ac:dyDescent="0.3">
      <c r="C596" s="267"/>
      <c r="D596" s="69"/>
      <c r="F596" s="266"/>
      <c r="H596" s="269">
        <v>1200</v>
      </c>
      <c r="I596" s="66" t="s">
        <v>273</v>
      </c>
      <c r="J596" s="66" t="s">
        <v>254</v>
      </c>
      <c r="K596" s="66" t="s">
        <v>255</v>
      </c>
      <c r="L596" s="283" t="s">
        <v>256</v>
      </c>
      <c r="M596" s="272">
        <f>$H596*SUMIFS(axTER!$E$65:$E$105,axTER!$C$65:$C$105,I596,axTER!$D$65:$D$105,K596)/SUMIFS(axTER!$E$108:$E$114,axTER!$C$108:$C$114,L596)/10^9*$D$514</f>
        <v>1.0991831102157807</v>
      </c>
      <c r="S596" s="269">
        <v>1200</v>
      </c>
      <c r="T596" s="66" t="s">
        <v>273</v>
      </c>
      <c r="U596" s="66" t="s">
        <v>254</v>
      </c>
      <c r="V596" s="66" t="s">
        <v>255</v>
      </c>
      <c r="W596" s="283" t="s">
        <v>256</v>
      </c>
      <c r="X596" s="272">
        <f>$H596*SUMIFS(axTER!$E$65:$E$105,axTER!$C$65:$C$105,T596,axTER!$D$65:$D$105,V596)/SUMIFS(axTER!$E$108:$E$114,axTER!$C$108:$C$114,W596)/10^9*$D$514</f>
        <v>1.0991831102157807</v>
      </c>
      <c r="AB596" s="273">
        <f>$H596*IF(AF596&lt;&gt;K596,SUMIFS(axTER!$E$121:$E$128,axTER!$C$121:$C$128,K596,axTER!$D$121:$D$128,AF596),SUMIFS(axTER!$E$133:$E$138,axTER!$C$133:$C$138,AF596)*AE$510)*$D$514/10^6</f>
        <v>474.64725213863267</v>
      </c>
      <c r="AC596" s="274">
        <f>$H596*IF(AG596&lt;&gt;L596,SUMIFS(axTER!$E$142:$E$148,axTER!$C$142:$C$148,AG596),SUMIFS(axTER!$E$151:$E$157,axTER!$C$151:$C$157,AG596)*AE$510)/10^6*$D$514</f>
        <v>74.756942211834655</v>
      </c>
      <c r="AD596" s="275" t="s">
        <v>273</v>
      </c>
      <c r="AE596" s="161" t="s">
        <v>254</v>
      </c>
      <c r="AF596" s="161" t="s">
        <v>255</v>
      </c>
      <c r="AG596" s="284" t="s">
        <v>256</v>
      </c>
      <c r="AH596" s="276">
        <f>$H596*SUMIFS(axTER!$E$65:$E$105,axTER!$D$65:$D$105,AF596,axTER!$C$65:$C$105,AD596)/SUMIFS(axTER!$E$108:$E$114,axTER!$C$108:$C$114,AG596)/10^9*$D$514</f>
        <v>1.0991831102157807</v>
      </c>
      <c r="AV596" s="273">
        <f>$H596*IF(AZ596&lt;&gt;AF596,SUMIFS(axTER!$E$121:$E$128,axTER!$C$121:$C$128,AF596,axTER!$D$121:$D$128,AZ596),SUMIFS(axTER!$E$133:$E$138,axTER!$C$133:$C$138,AZ596)*AY$510)*$D$514/10^6</f>
        <v>949.29450427726533</v>
      </c>
      <c r="AW596" s="274">
        <f>$H596*IF(BA596&lt;&gt;AG596,SUMIFS(axTER!$E$142:$E$148,axTER!$C$142:$C$148,BA596),SUMIFS(axTER!$E$151:$E$157,axTER!$C$151:$C$157,BA596)*AY$510)/10^6*$D$514</f>
        <v>149.51388442366931</v>
      </c>
      <c r="AX596" s="275" t="s">
        <v>273</v>
      </c>
      <c r="AY596" s="161" t="s">
        <v>254</v>
      </c>
      <c r="AZ596" s="161" t="s">
        <v>255</v>
      </c>
      <c r="BA596" s="284" t="s">
        <v>256</v>
      </c>
      <c r="BB596" s="276">
        <f>$H596*SUMIFS(axTER!$E$65:$E$105,axTER!$D$65:$D$105,AZ596,axTER!$C$65:$C$105,AX596)/SUMIFS(axTER!$E$108:$E$114,axTER!$C$108:$C$114,BA596)/10^9*$D$514</f>
        <v>1.0991831102157807</v>
      </c>
      <c r="IG596" s="269">
        <v>1200</v>
      </c>
      <c r="IH596" s="66" t="s">
        <v>273</v>
      </c>
      <c r="II596" s="66" t="s">
        <v>254</v>
      </c>
      <c r="IJ596" s="66" t="s">
        <v>255</v>
      </c>
      <c r="IK596" s="283" t="s">
        <v>256</v>
      </c>
      <c r="IL596" s="272">
        <f>$H596*SUMIFS(axTER!$E$65:$E$105,axTER!$C$65:$C$105,IH596,axTER!$D$65:$D$105,IJ596)/SUMIFS(axTER!$E$108:$E$114,axTER!$C$108:$C$114,IK596)/10^9*$D$514</f>
        <v>1.0991831102157807</v>
      </c>
      <c r="IO596" s="273">
        <f t="shared" si="1020"/>
        <v>1200</v>
      </c>
      <c r="IP596" s="273">
        <f>$H596*IF(IT596&lt;&gt;IJ596,SUMIFS(axTER!$E$121:$E$128,axTER!$C$121:$C$128,IJ596,axTER!$D$121:$D$128,IT596),SUMIFS(axTER!$E$133:$E$138,axTER!$C$133:$C$138,IT596)*IS$510)*$D$514/10^6</f>
        <v>5339.7815865596167</v>
      </c>
      <c r="IQ596" s="274">
        <f>$H596*IF(IU596&lt;&gt;IK596,SUMIFS(axTER!$E$142:$E$148,axTER!$C$142:$C$148,IU596),SUMIFS(axTER!$E$151:$E$157,axTER!$C$151:$C$157,IU596)*IS$510)/10^6*$D$514</f>
        <v>74.756942211834655</v>
      </c>
      <c r="IR596" s="275" t="s">
        <v>273</v>
      </c>
      <c r="IS596" s="161" t="s">
        <v>254</v>
      </c>
      <c r="IT596" s="277" t="s">
        <v>257</v>
      </c>
      <c r="IU596" s="284" t="s">
        <v>256</v>
      </c>
      <c r="IV596" s="276">
        <f>$H596*SUMIFS(axTER!$E$65:$E$105,axTER!$D$65:$D$105,IT596,axTER!$C$65:$C$105,IR596)/SUMIFS(axTER!$E$108:$E$114,axTER!$C$108:$C$114,IU596)/10^9*$D$514</f>
        <v>0.4996286864617186</v>
      </c>
      <c r="JI596" s="273">
        <f t="shared" si="1021"/>
        <v>1200</v>
      </c>
      <c r="JJ596" s="273">
        <f>$H596*IF(JN596&lt;&gt;IT596,SUMIFS(axTER!$E$121:$E$128,axTER!$C$121:$C$128,IT596,axTER!$D$121:$D$128,JN596),SUMIFS(axTER!$E$133:$E$138,axTER!$C$133:$C$138,JN596)*JM$510)*$D$514/10^6</f>
        <v>0</v>
      </c>
      <c r="JK596" s="274">
        <f>$H596*IF(JO596&lt;&gt;IU596,SUMIFS(axTER!$E$142:$E$148,axTER!$C$142:$C$148,JO596),SUMIFS(axTER!$E$151:$E$157,axTER!$C$151:$C$157,JO596)*JM$510)/10^6*$D$514</f>
        <v>149.51388442366931</v>
      </c>
      <c r="JL596" s="275" t="s">
        <v>273</v>
      </c>
      <c r="JM596" s="161" t="s">
        <v>254</v>
      </c>
      <c r="JN596" s="161" t="s">
        <v>255</v>
      </c>
      <c r="JO596" s="284" t="s">
        <v>256</v>
      </c>
      <c r="JP596" s="276">
        <f>$H596*SUMIFS(axTER!$E$65:$E$105,axTER!$D$65:$D$105,JN596,axTER!$C$65:$C$105,JL596)/SUMIFS(axTER!$E$108:$E$114,axTER!$C$108:$C$114,JO596)/10^9*$D$514</f>
        <v>1.0991831102157807</v>
      </c>
      <c r="JR596" s="269">
        <v>1200</v>
      </c>
      <c r="JS596" s="66" t="s">
        <v>273</v>
      </c>
      <c r="JT596" s="66" t="s">
        <v>254</v>
      </c>
      <c r="JU596" s="66" t="s">
        <v>255</v>
      </c>
      <c r="JV596" s="283" t="s">
        <v>256</v>
      </c>
      <c r="JW596" s="272">
        <f>$H596*SUMIFS(axTER!$E$65:$E$105,axTER!$C$65:$C$105,JS596,axTER!$D$65:$D$105,JU596)/SUMIFS(axTER!$E$108:$E$114,axTER!$C$108:$C$114,JV596)/10^9*$D$514</f>
        <v>1.0991831102157807</v>
      </c>
      <c r="JY596" s="273" t="str">
        <f t="shared" si="1022"/>
        <v>URBAIN</v>
      </c>
      <c r="JZ596" s="273">
        <f t="shared" si="1023"/>
        <v>1200</v>
      </c>
      <c r="KA596" s="273">
        <f>$H596*IF(KE596&lt;&gt;JU596,SUMIFS(axTER!$E$121:$E$128,axTER!$C$121:$C$128,JU596,axTER!$D$121:$D$128,KE596),SUMIFS(axTER!$E$133:$E$138,axTER!$C$133:$C$138,KE596)*KD$510)*$D$514/10^6</f>
        <v>5339.7815865596167</v>
      </c>
      <c r="KB596" s="274">
        <f>$H596*IF(KF596&lt;&gt;JV596,SUMIFS(axTER!$E$142:$E$148,axTER!$C$142:$C$148,KF596),SUMIFS(axTER!$E$151:$E$157,axTER!$C$151:$C$157,KF596)*KD$510)/10^6*$D$514</f>
        <v>367.85162040744029</v>
      </c>
      <c r="KC596" s="275" t="s">
        <v>273</v>
      </c>
      <c r="KD596" s="161" t="s">
        <v>254</v>
      </c>
      <c r="KE596" s="161" t="s">
        <v>257</v>
      </c>
      <c r="KF596" s="284" t="s">
        <v>258</v>
      </c>
      <c r="KG596" s="276">
        <f>$H596*SUMIFS(axTER!$E$65:$E$105,axTER!$D$65:$D$105,KE596,axTER!$C$65:$C$105,KC596)/SUMIFS(axTER!$E$108:$E$114,axTER!$C$108:$C$114,KF596)/10^9*$D$514</f>
        <v>0.47464725213863268</v>
      </c>
      <c r="KS596" s="273">
        <f t="shared" si="1024"/>
        <v>0</v>
      </c>
      <c r="KT596" s="273">
        <f t="shared" si="1025"/>
        <v>0</v>
      </c>
      <c r="KU596" s="273">
        <f>$H596*IF(KY596&lt;&gt;KE596,SUMIFS(axTER!$E$121:$E$128,axTER!$C$121:$C$128,KE596,axTER!$D$121:$D$128,KY596),SUMIFS(axTER!$E$133:$E$138,axTER!$C$133:$C$138,KY596)*KX$510)*$D$514/10^6</f>
        <v>355.98543910397444</v>
      </c>
      <c r="KV596" s="274">
        <f>$H596*IF(KZ596&lt;&gt;KF596,SUMIFS(axTER!$E$142:$E$148,axTER!$C$142:$C$148,KZ596),SUMIFS(axTER!$E$151:$E$157,axTER!$C$151:$C$157,KZ596)*KX$510)/10^6*$D$514</f>
        <v>257.49613428520826</v>
      </c>
      <c r="KW596" s="275" t="s">
        <v>273</v>
      </c>
      <c r="KX596" s="161" t="s">
        <v>254</v>
      </c>
      <c r="KY596" s="161" t="s">
        <v>257</v>
      </c>
      <c r="KZ596" s="284" t="s">
        <v>258</v>
      </c>
      <c r="LA596" s="276">
        <f>$H596*SUMIFS(axTER!$E$65:$E$105,axTER!$D$65:$D$105,KY596,axTER!$C$65:$C$105,KW596)/SUMIFS(axTER!$E$108:$E$114,axTER!$C$108:$C$114,KZ596)/10^9*$D$514</f>
        <v>0.47464725213863268</v>
      </c>
      <c r="LC596" s="269">
        <v>1200</v>
      </c>
      <c r="LD596" s="66" t="s">
        <v>273</v>
      </c>
      <c r="LE596" s="66" t="s">
        <v>254</v>
      </c>
      <c r="LF596" s="66" t="s">
        <v>255</v>
      </c>
      <c r="LG596" s="283" t="s">
        <v>256</v>
      </c>
      <c r="LH596" s="272">
        <f>$H596*SUMIFS(axTER!$E$65:$E$105,axTER!$C$65:$C$105,LD596,axTER!$D$65:$D$105,LF596)/SUMIFS(axTER!$E$108:$E$114,axTER!$C$108:$C$114,LG596)/10^9*$D$514</f>
        <v>1.0991831102157807</v>
      </c>
      <c r="LJ596" s="273">
        <f t="shared" si="1026"/>
        <v>0</v>
      </c>
      <c r="LK596" s="273">
        <f t="shared" si="1030"/>
        <v>1200</v>
      </c>
      <c r="LL596" s="273">
        <f>$H596*IF(LP596&lt;&gt;LF596,SUMIFS(axTER!$E$121:$E$128,axTER!$C$121:$C$128,LF596,axTER!$D$121:$D$128,LP596),SUMIFS(axTER!$E$133:$E$138,axTER!$C$133:$C$138,LP596)*LO$510)*$D$514/10^6</f>
        <v>1186.6181303465817</v>
      </c>
      <c r="LM596" s="274">
        <f>$H596*IF(LQ596&lt;&gt;LG596,SUMIFS(axTER!$E$142:$E$148,axTER!$C$142:$C$148,LQ596),SUMIFS(axTER!$E$151:$E$157,axTER!$C$151:$C$157,LQ596)*LO$510)/10^6*$D$514</f>
        <v>52.329859548284254</v>
      </c>
      <c r="LN596" s="275" t="s">
        <v>273</v>
      </c>
      <c r="LO596" s="161" t="s">
        <v>254</v>
      </c>
      <c r="LP596" s="161" t="s">
        <v>262</v>
      </c>
      <c r="LQ596" s="161" t="s">
        <v>256</v>
      </c>
      <c r="LR596" s="276">
        <f>$H596*SUMIFS(axTER!$E$65:$E$105,axTER!$D$65:$D$105,LP596,axTER!$C$65:$C$105,LN596)/SUMIFS(axTER!$E$108:$E$114,axTER!$C$108:$C$114,LQ596)/10^9*$D$514</f>
        <v>0.99925737292343719</v>
      </c>
      <c r="LT596" s="273">
        <f t="shared" si="1027"/>
        <v>0</v>
      </c>
      <c r="LU596" s="273">
        <f t="shared" si="1028"/>
        <v>0</v>
      </c>
      <c r="LV596" s="273">
        <f>$H596*IF(LZ596&lt;&gt;LP596,SUMIFS(axTER!$E$121:$E$128,axTER!$C$121:$C$128,LP596,axTER!$D$121:$D$128,LZ596),SUMIFS(axTER!$E$133:$E$138,axTER!$C$133:$C$138,LZ596)*LY$510)*$D$514/10^6</f>
        <v>177.99271955198722</v>
      </c>
      <c r="LW596" s="274">
        <f>$H596*IF(MA596&lt;&gt;LQ596,SUMIFS(axTER!$E$142:$E$148,axTER!$C$142:$C$148,MA596),SUMIFS(axTER!$E$151:$E$157,axTER!$C$151:$C$157,MA596)*LY$510)/10^6*$D$514</f>
        <v>74.756942211834655</v>
      </c>
      <c r="LX596" s="275" t="s">
        <v>273</v>
      </c>
      <c r="LY596" s="161" t="s">
        <v>254</v>
      </c>
      <c r="LZ596" s="161" t="s">
        <v>262</v>
      </c>
      <c r="MA596" s="161" t="s">
        <v>256</v>
      </c>
      <c r="MB596" s="276">
        <f>$H596*SUMIFS(axTER!$E$65:$E$105,axTER!$D$65:$D$105,LZ596,axTER!$C$65:$C$105,LX596)/SUMIFS(axTER!$E$108:$E$114,axTER!$C$108:$C$114,MA596)/10^9*$D$514</f>
        <v>0.99925737292343719</v>
      </c>
      <c r="MD596" s="273" t="str">
        <f t="shared" si="1019"/>
        <v>ELEC-PAC</v>
      </c>
      <c r="ME596" s="273">
        <f t="shared" si="1029"/>
        <v>0</v>
      </c>
      <c r="MF596" s="273">
        <f>$H596*IF(MJ596&lt;&gt;LZ596,SUMIFS(axTER!$E$121:$E$128,axTER!$C$121:$C$128,LZ596,axTER!$D$121:$D$128,MJ596),SUMIFS(axTER!$E$133:$E$138,axTER!$C$133:$C$138,MJ596)*MI$510)*$D$514/10^6</f>
        <v>177.99271955198722</v>
      </c>
      <c r="MG596" s="274">
        <f>$H596*IF(MK596&lt;&gt;MA596,SUMIFS(axTER!$E$142:$E$148,axTER!$C$142:$C$148,MK596),SUMIFS(axTER!$E$151:$E$157,axTER!$C$151:$C$157,MK596)*MI$510)/10^6*$D$514</f>
        <v>949.29450427726533</v>
      </c>
      <c r="MH596" s="275" t="s">
        <v>273</v>
      </c>
      <c r="MI596" s="161" t="s">
        <v>254</v>
      </c>
      <c r="MJ596" s="161" t="s">
        <v>262</v>
      </c>
      <c r="MK596" s="161" t="s">
        <v>261</v>
      </c>
      <c r="ML596" s="276">
        <f>$H596*SUMIFS(axTER!$E$65:$E$105,axTER!$D$65:$D$105,MJ596,axTER!$C$65:$C$105,MH596)/SUMIFS(axTER!$E$108:$E$114,axTER!$C$108:$C$114,MK596)/10^9*$D$514</f>
        <v>0.3164315014257551</v>
      </c>
    </row>
    <row r="597" spans="3:350" hidden="1" outlineLevel="1" x14ac:dyDescent="0.3">
      <c r="C597" s="267"/>
      <c r="F597" s="266"/>
      <c r="H597" s="269">
        <v>1200</v>
      </c>
      <c r="I597" s="66" t="s">
        <v>273</v>
      </c>
      <c r="J597" s="66" t="s">
        <v>254</v>
      </c>
      <c r="K597" s="66" t="s">
        <v>255</v>
      </c>
      <c r="L597" s="283" t="s">
        <v>267</v>
      </c>
      <c r="M597" s="272">
        <f>$H597*SUMIFS(axTER!$E$65:$E$105,axTER!$C$65:$C$105,I597,axTER!$D$65:$D$105,K597)/SUMIFS(axTER!$E$108:$E$114,axTER!$C$108:$C$114,L597)/10^9*$D$514</f>
        <v>1.1602488385611021</v>
      </c>
      <c r="S597" s="269">
        <v>1200</v>
      </c>
      <c r="T597" s="66" t="s">
        <v>273</v>
      </c>
      <c r="U597" s="66" t="s">
        <v>254</v>
      </c>
      <c r="V597" s="66" t="s">
        <v>255</v>
      </c>
      <c r="W597" s="283" t="s">
        <v>267</v>
      </c>
      <c r="X597" s="272">
        <f>$H597*SUMIFS(axTER!$E$65:$E$105,axTER!$C$65:$C$105,T597,axTER!$D$65:$D$105,V597)/SUMIFS(axTER!$E$108:$E$114,axTER!$C$108:$C$114,W597)/10^9*$D$514</f>
        <v>1.1602488385611021</v>
      </c>
      <c r="AB597" s="273">
        <f>$H597*IF(AF597&lt;&gt;K597,SUMIFS(axTER!$E$121:$E$128,axTER!$C$121:$C$128,K597,axTER!$D$121:$D$128,AF597),SUMIFS(axTER!$E$133:$E$138,axTER!$C$133:$C$138,AF597)*AE$510)*$D$514/10^6</f>
        <v>474.64725213863267</v>
      </c>
      <c r="AC597" s="274">
        <f>$H597*IF(AG597&lt;&gt;L597,SUMIFS(axTER!$E$142:$E$148,axTER!$C$142:$C$148,AG597),SUMIFS(axTER!$E$151:$E$157,axTER!$C$151:$C$157,AG597)*AE$510)/10^6*$D$514</f>
        <v>99.675922949112859</v>
      </c>
      <c r="AD597" s="275" t="s">
        <v>273</v>
      </c>
      <c r="AE597" s="161" t="s">
        <v>254</v>
      </c>
      <c r="AF597" s="161" t="s">
        <v>255</v>
      </c>
      <c r="AG597" s="284" t="s">
        <v>267</v>
      </c>
      <c r="AH597" s="276">
        <f>$H597*SUMIFS(axTER!$E$65:$E$105,axTER!$D$65:$D$105,AF597,axTER!$C$65:$C$105,AD597)/SUMIFS(axTER!$E$108:$E$114,axTER!$C$108:$C$114,AG597)/10^9*$D$514</f>
        <v>1.1602488385611021</v>
      </c>
      <c r="AV597" s="273">
        <f>$H597*IF(AZ597&lt;&gt;AF597,SUMIFS(axTER!$E$121:$E$128,axTER!$C$121:$C$128,AF597,axTER!$D$121:$D$128,AZ597),SUMIFS(axTER!$E$133:$E$138,axTER!$C$133:$C$138,AZ597)*AY$510)*$D$514/10^6</f>
        <v>949.29450427726533</v>
      </c>
      <c r="AW597" s="274">
        <f>$H597*IF(BA597&lt;&gt;AG597,SUMIFS(axTER!$E$142:$E$148,axTER!$C$142:$C$148,BA597),SUMIFS(axTER!$E$151:$E$157,axTER!$C$151:$C$157,BA597)*AY$510)/10^6*$D$514</f>
        <v>949.29450427726533</v>
      </c>
      <c r="AX597" s="275" t="s">
        <v>273</v>
      </c>
      <c r="AY597" s="161" t="s">
        <v>254</v>
      </c>
      <c r="AZ597" s="161" t="s">
        <v>255</v>
      </c>
      <c r="BA597" s="284" t="s">
        <v>261</v>
      </c>
      <c r="BB597" s="276">
        <f>$H597*SUMIFS(axTER!$E$65:$E$105,axTER!$D$65:$D$105,AZ597,axTER!$C$65:$C$105,AX597)/SUMIFS(axTER!$E$108:$E$114,axTER!$C$108:$C$114,BA597)/10^9*$D$514</f>
        <v>0.34807465156833062</v>
      </c>
      <c r="IG597" s="269">
        <v>1200</v>
      </c>
      <c r="IH597" s="66" t="s">
        <v>273</v>
      </c>
      <c r="II597" s="66" t="s">
        <v>254</v>
      </c>
      <c r="IJ597" s="66" t="s">
        <v>255</v>
      </c>
      <c r="IK597" s="283" t="s">
        <v>267</v>
      </c>
      <c r="IL597" s="272">
        <f>$H597*SUMIFS(axTER!$E$65:$E$105,axTER!$C$65:$C$105,IH597,axTER!$D$65:$D$105,IJ597)/SUMIFS(axTER!$E$108:$E$114,axTER!$C$108:$C$114,IK597)/10^9*$D$514</f>
        <v>1.1602488385611021</v>
      </c>
      <c r="IO597" s="273">
        <f t="shared" si="1020"/>
        <v>1200</v>
      </c>
      <c r="IP597" s="273">
        <f>$H597*IF(IT597&lt;&gt;IJ597,SUMIFS(axTER!$E$121:$E$128,axTER!$C$121:$C$128,IJ597,axTER!$D$121:$D$128,IT597),SUMIFS(axTER!$E$133:$E$138,axTER!$C$133:$C$138,IT597)*IS$510)*$D$514/10^6</f>
        <v>1186.6181303465817</v>
      </c>
      <c r="IQ597" s="274">
        <f>$H597*IF(IU597&lt;&gt;IK597,SUMIFS(axTER!$E$142:$E$148,axTER!$C$142:$C$148,IU597),SUMIFS(axTER!$E$151:$E$157,axTER!$C$151:$C$157,IU597)*IS$510)/10^6*$D$514</f>
        <v>949.29450427726533</v>
      </c>
      <c r="IR597" s="275" t="s">
        <v>273</v>
      </c>
      <c r="IS597" s="161" t="s">
        <v>254</v>
      </c>
      <c r="IT597" s="277" t="s">
        <v>262</v>
      </c>
      <c r="IU597" s="277" t="s">
        <v>261</v>
      </c>
      <c r="IV597" s="276">
        <f>$H597*SUMIFS(axTER!$E$65:$E$105,axTER!$D$65:$D$105,IT597,axTER!$C$65:$C$105,IR597)/SUMIFS(axTER!$E$108:$E$114,axTER!$C$108:$C$114,IU597)/10^9*$D$514</f>
        <v>0.3164315014257551</v>
      </c>
      <c r="JI597" s="273">
        <f t="shared" si="1021"/>
        <v>1200</v>
      </c>
      <c r="JJ597" s="273">
        <f>$H597*IF(JN597&lt;&gt;IT597,SUMIFS(axTER!$E$121:$E$128,axTER!$C$121:$C$128,IT597,axTER!$D$121:$D$128,JN597),SUMIFS(axTER!$E$133:$E$138,axTER!$C$133:$C$138,JN597)*JM$510)*$D$514/10^6</f>
        <v>0</v>
      </c>
      <c r="JK597" s="274">
        <f>$H597*IF(JO597&lt;&gt;IU597,SUMIFS(axTER!$E$142:$E$148,axTER!$C$142:$C$148,JO597),SUMIFS(axTER!$E$151:$E$157,axTER!$C$151:$C$157,JO597)*JM$510)/10^6*$D$514</f>
        <v>284.78835128317957</v>
      </c>
      <c r="JL597" s="275" t="s">
        <v>273</v>
      </c>
      <c r="JM597" s="161" t="s">
        <v>254</v>
      </c>
      <c r="JN597" s="161" t="s">
        <v>255</v>
      </c>
      <c r="JO597" s="284" t="s">
        <v>267</v>
      </c>
      <c r="JP597" s="276">
        <f>$H597*SUMIFS(axTER!$E$65:$E$105,axTER!$D$65:$D$105,JN597,axTER!$C$65:$C$105,JL597)/SUMIFS(axTER!$E$108:$E$114,axTER!$C$108:$C$114,JO597)/10^9*$D$514</f>
        <v>1.1602488385611021</v>
      </c>
      <c r="JR597" s="269">
        <v>1200</v>
      </c>
      <c r="JS597" s="66" t="s">
        <v>273</v>
      </c>
      <c r="JT597" s="66" t="s">
        <v>254</v>
      </c>
      <c r="JU597" s="66" t="s">
        <v>255</v>
      </c>
      <c r="JV597" s="283" t="s">
        <v>267</v>
      </c>
      <c r="JW597" s="272">
        <f>$H597*SUMIFS(axTER!$E$65:$E$105,axTER!$C$65:$C$105,JS597,axTER!$D$65:$D$105,JU597)/SUMIFS(axTER!$E$108:$E$114,axTER!$C$108:$C$114,JV597)/10^9*$D$514</f>
        <v>1.1602488385611021</v>
      </c>
      <c r="JY597" s="273" t="str">
        <f t="shared" si="1022"/>
        <v>ELEC-PAC</v>
      </c>
      <c r="JZ597" s="273">
        <f t="shared" si="1023"/>
        <v>1200</v>
      </c>
      <c r="KA597" s="273">
        <f>$H597*IF(KE597&lt;&gt;JU597,SUMIFS(axTER!$E$121:$E$128,axTER!$C$121:$C$128,JU597,axTER!$D$121:$D$128,KE597),SUMIFS(axTER!$E$133:$E$138,axTER!$C$133:$C$138,KE597)*KD$510)*$D$514/10^6</f>
        <v>1186.6181303465817</v>
      </c>
      <c r="KB597" s="274">
        <f>$H597*IF(KF597&lt;&gt;JV597,SUMIFS(axTER!$E$142:$E$148,axTER!$C$142:$C$148,KF597),SUMIFS(axTER!$E$151:$E$157,axTER!$C$151:$C$157,KF597)*KD$510)/10^6*$D$514</f>
        <v>949.29450427726533</v>
      </c>
      <c r="KC597" s="275" t="s">
        <v>273</v>
      </c>
      <c r="KD597" s="161" t="s">
        <v>254</v>
      </c>
      <c r="KE597" s="161" t="s">
        <v>262</v>
      </c>
      <c r="KF597" s="284" t="s">
        <v>261</v>
      </c>
      <c r="KG597" s="276">
        <f>$H597*SUMIFS(axTER!$E$65:$E$105,axTER!$D$65:$D$105,KE597,axTER!$C$65:$C$105,KC597)/SUMIFS(axTER!$E$108:$E$114,axTER!$C$108:$C$114,KF597)/10^9*$D$514</f>
        <v>0.3164315014257551</v>
      </c>
      <c r="KS597" s="273">
        <f t="shared" si="1024"/>
        <v>0</v>
      </c>
      <c r="KT597" s="273">
        <f t="shared" si="1025"/>
        <v>0</v>
      </c>
      <c r="KU597" s="273">
        <f>$H597*IF(KY597&lt;&gt;KE597,SUMIFS(axTER!$E$121:$E$128,axTER!$C$121:$C$128,KE597,axTER!$D$121:$D$128,KY597),SUMIFS(axTER!$E$133:$E$138,axTER!$C$133:$C$138,KY597)*KX$510)*$D$514/10^6</f>
        <v>355.98543910397444</v>
      </c>
      <c r="KV597" s="274">
        <f>$H597*IF(KZ597&lt;&gt;KF597,SUMIFS(axTER!$E$142:$E$148,axTER!$C$142:$C$148,KZ597),SUMIFS(axTER!$E$151:$E$157,axTER!$C$151:$C$157,KZ597)*KX$510)/10^6*$D$514</f>
        <v>664.50615299408582</v>
      </c>
      <c r="KW597" s="275" t="s">
        <v>273</v>
      </c>
      <c r="KX597" s="161" t="s">
        <v>254</v>
      </c>
      <c r="KY597" s="161" t="s">
        <v>262</v>
      </c>
      <c r="KZ597" s="284" t="s">
        <v>261</v>
      </c>
      <c r="LA597" s="276">
        <f>$H597*SUMIFS(axTER!$E$65:$E$105,axTER!$D$65:$D$105,KY597,axTER!$C$65:$C$105,KW597)/SUMIFS(axTER!$E$108:$E$114,axTER!$C$108:$C$114,KZ597)/10^9*$D$514</f>
        <v>0.3164315014257551</v>
      </c>
      <c r="LC597" s="269">
        <v>1200</v>
      </c>
      <c r="LD597" s="66" t="s">
        <v>273</v>
      </c>
      <c r="LE597" s="66" t="s">
        <v>254</v>
      </c>
      <c r="LF597" s="66" t="s">
        <v>255</v>
      </c>
      <c r="LG597" s="283" t="s">
        <v>267</v>
      </c>
      <c r="LH597" s="272">
        <f>$H597*SUMIFS(axTER!$E$65:$E$105,axTER!$C$65:$C$105,LD597,axTER!$D$65:$D$105,LF597)/SUMIFS(axTER!$E$108:$E$114,axTER!$C$108:$C$114,LG597)/10^9*$D$514</f>
        <v>1.1602488385611021</v>
      </c>
      <c r="LJ597" s="273" t="str">
        <f t="shared" si="1026"/>
        <v>BOIS</v>
      </c>
      <c r="LK597" s="273">
        <f t="shared" si="1030"/>
        <v>1200</v>
      </c>
      <c r="LL597" s="273">
        <f>$H597*IF(LP597&lt;&gt;LF597,SUMIFS(axTER!$E$121:$E$128,axTER!$C$121:$C$128,LF597,axTER!$D$121:$D$128,LP597),SUMIFS(axTER!$E$133:$E$138,axTER!$C$133:$C$138,LP597)*LO$510)*$D$514/10^6</f>
        <v>5339.7815865596167</v>
      </c>
      <c r="LM597" s="274">
        <f>$H597*IF(LQ597&lt;&gt;LG597,SUMIFS(axTER!$E$142:$E$148,axTER!$C$142:$C$148,LQ597),SUMIFS(axTER!$E$151:$E$157,axTER!$C$151:$C$157,LQ597)*LO$510)/10^6*$D$514</f>
        <v>367.85162040744029</v>
      </c>
      <c r="LN597" s="275" t="s">
        <v>273</v>
      </c>
      <c r="LO597" s="161" t="s">
        <v>254</v>
      </c>
      <c r="LP597" s="429" t="s">
        <v>257</v>
      </c>
      <c r="LQ597" s="429" t="s">
        <v>270</v>
      </c>
      <c r="LR597" s="276">
        <f>$H597*SUMIFS(axTER!$E$65:$E$105,axTER!$D$65:$D$105,LP597,axTER!$C$65:$C$105,LN597)/SUMIFS(axTER!$E$108:$E$114,axTER!$C$108:$C$114,LQ597)/10^9*$D$514</f>
        <v>0.47464725213863268</v>
      </c>
      <c r="LT597" s="273">
        <f t="shared" si="1027"/>
        <v>0</v>
      </c>
      <c r="LU597" s="273">
        <f t="shared" si="1028"/>
        <v>0</v>
      </c>
      <c r="LV597" s="273">
        <f>$H597*IF(LZ597&lt;&gt;LP597,SUMIFS(axTER!$E$121:$E$128,axTER!$C$121:$C$128,LP597,axTER!$D$121:$D$128,LZ597),SUMIFS(axTER!$E$133:$E$138,axTER!$C$133:$C$138,LZ597)*LY$510)*$D$514/10^6</f>
        <v>177.99271955198722</v>
      </c>
      <c r="LW597" s="274">
        <f>$H597*IF(MA597&lt;&gt;LQ597,SUMIFS(axTER!$E$142:$E$148,axTER!$C$142:$C$148,MA597),SUMIFS(axTER!$E$151:$E$157,axTER!$C$151:$C$157,MA597)*LY$510)/10^6*$D$514</f>
        <v>128.74806714260413</v>
      </c>
      <c r="LX597" s="275" t="s">
        <v>273</v>
      </c>
      <c r="LY597" s="161" t="s">
        <v>254</v>
      </c>
      <c r="LZ597" s="429" t="s">
        <v>257</v>
      </c>
      <c r="MA597" s="429" t="s">
        <v>270</v>
      </c>
      <c r="MB597" s="276">
        <f>$H597*SUMIFS(axTER!$E$65:$E$105,axTER!$D$65:$D$105,LZ597,axTER!$C$65:$C$105,LX597)/SUMIFS(axTER!$E$108:$E$114,axTER!$C$108:$C$114,MA597)/10^9*$D$514</f>
        <v>0.47464725213863268</v>
      </c>
      <c r="MD597" s="273">
        <f t="shared" si="1019"/>
        <v>0</v>
      </c>
      <c r="ME597" s="273">
        <f t="shared" si="1029"/>
        <v>0</v>
      </c>
      <c r="MF597" s="273">
        <f>$H597*IF(MJ597&lt;&gt;LZ597,SUMIFS(axTER!$E$121:$E$128,axTER!$C$121:$C$128,LZ597,axTER!$D$121:$D$128,MJ597),SUMIFS(axTER!$E$133:$E$138,axTER!$C$133:$C$138,MJ597)*MI$510)*$D$514/10^6</f>
        <v>177.99271955198722</v>
      </c>
      <c r="MG597" s="274">
        <f>$H597*IF(MK597&lt;&gt;MA597,SUMIFS(axTER!$E$142:$E$148,axTER!$C$142:$C$148,MK597),SUMIFS(axTER!$E$151:$E$157,axTER!$C$151:$C$157,MK597)*MI$510)/10^6*$D$514</f>
        <v>128.74806714260413</v>
      </c>
      <c r="MH597" s="275" t="s">
        <v>273</v>
      </c>
      <c r="MI597" s="161" t="s">
        <v>254</v>
      </c>
      <c r="MJ597" s="429" t="s">
        <v>257</v>
      </c>
      <c r="MK597" s="429" t="s">
        <v>270</v>
      </c>
      <c r="ML597" s="276">
        <f>$H597*SUMIFS(axTER!$E$65:$E$105,axTER!$D$65:$D$105,MJ597,axTER!$C$65:$C$105,MH597)/SUMIFS(axTER!$E$108:$E$114,axTER!$C$108:$C$114,MK597)/10^9*$D$514</f>
        <v>0.47464725213863268</v>
      </c>
    </row>
    <row r="598" spans="3:350" hidden="1" outlineLevel="1" x14ac:dyDescent="0.3">
      <c r="C598" s="267"/>
      <c r="F598" s="266"/>
      <c r="H598" s="269">
        <v>1200</v>
      </c>
      <c r="I598" s="66" t="s">
        <v>273</v>
      </c>
      <c r="J598" s="66" t="s">
        <v>263</v>
      </c>
      <c r="K598" s="66" t="s">
        <v>266</v>
      </c>
      <c r="L598" s="283" t="s">
        <v>256</v>
      </c>
      <c r="M598" s="272">
        <f>$H598*SUMIFS(axTER!$E$65:$E$105,axTER!$C$65:$C$105,I598,axTER!$D$65:$D$105,K598)/SUMIFS(axTER!$E$108:$E$114,axTER!$C$108:$C$114,L598)/10^9*$D$514</f>
        <v>0.79940589833874964</v>
      </c>
      <c r="S598" s="269">
        <v>1200</v>
      </c>
      <c r="T598" s="66" t="s">
        <v>273</v>
      </c>
      <c r="U598" s="66" t="s">
        <v>263</v>
      </c>
      <c r="V598" s="66" t="s">
        <v>266</v>
      </c>
      <c r="W598" s="283" t="s">
        <v>256</v>
      </c>
      <c r="X598" s="272">
        <f>$H598*SUMIFS(axTER!$E$65:$E$105,axTER!$C$65:$C$105,T598,axTER!$D$65:$D$105,V598)/SUMIFS(axTER!$E$108:$E$114,axTER!$C$108:$C$114,W598)/10^9*$D$514</f>
        <v>0.79940589833874964</v>
      </c>
      <c r="AB598" s="273">
        <f>$H598*IF(AF598&lt;&gt;K598,SUMIFS(axTER!$E$121:$E$128,axTER!$C$121:$C$128,K598,axTER!$D$121:$D$128,AF598),SUMIFS(axTER!$E$133:$E$138,axTER!$C$133:$C$138,AF598)*AE$510)*$D$514/10^6</f>
        <v>177.99271955198722</v>
      </c>
      <c r="AC598" s="274">
        <f>$H598*IF(AG598&lt;&gt;L598,SUMIFS(axTER!$E$142:$E$148,axTER!$C$142:$C$148,AG598),SUMIFS(axTER!$E$151:$E$157,axTER!$C$151:$C$157,AG598)*AE$510)/10^6*$D$514</f>
        <v>74.756942211834655</v>
      </c>
      <c r="AD598" s="275" t="s">
        <v>273</v>
      </c>
      <c r="AE598" s="161" t="s">
        <v>263</v>
      </c>
      <c r="AF598" s="161" t="s">
        <v>266</v>
      </c>
      <c r="AG598" s="284" t="s">
        <v>256</v>
      </c>
      <c r="AH598" s="276">
        <f>$H598*SUMIFS(axTER!$E$65:$E$105,axTER!$D$65:$D$105,AF598,axTER!$C$65:$C$105,AD598)/SUMIFS(axTER!$E$108:$E$114,axTER!$C$108:$C$114,AG598)/10^9*$D$514</f>
        <v>0.79940589833874964</v>
      </c>
      <c r="AV598" s="273">
        <f>$H598*IF(AZ598&lt;&gt;AF598,SUMIFS(axTER!$E$121:$E$128,axTER!$C$121:$C$128,AF598,axTER!$D$121:$D$128,AZ598),SUMIFS(axTER!$E$133:$E$138,axTER!$C$133:$C$138,AZ598)*AY$510)*$D$514/10^6</f>
        <v>355.98543910397444</v>
      </c>
      <c r="AW598" s="274">
        <f>$H598*IF(BA598&lt;&gt;AG598,SUMIFS(axTER!$E$142:$E$148,axTER!$C$142:$C$148,BA598),SUMIFS(axTER!$E$151:$E$157,axTER!$C$151:$C$157,BA598)*AY$510)/10^6*$D$514</f>
        <v>149.51388442366931</v>
      </c>
      <c r="AX598" s="275" t="s">
        <v>273</v>
      </c>
      <c r="AY598" s="161" t="s">
        <v>263</v>
      </c>
      <c r="AZ598" s="161" t="s">
        <v>266</v>
      </c>
      <c r="BA598" s="284" t="s">
        <v>256</v>
      </c>
      <c r="BB598" s="276">
        <f>$H598*SUMIFS(axTER!$E$65:$E$105,axTER!$D$65:$D$105,AZ598,axTER!$C$65:$C$105,AX598)/SUMIFS(axTER!$E$108:$E$114,axTER!$C$108:$C$114,BA598)/10^9*$D$514</f>
        <v>0.79940589833874964</v>
      </c>
      <c r="IG598" s="269">
        <v>1200</v>
      </c>
      <c r="IH598" s="66" t="s">
        <v>273</v>
      </c>
      <c r="II598" s="66" t="s">
        <v>263</v>
      </c>
      <c r="IJ598" s="66" t="s">
        <v>266</v>
      </c>
      <c r="IK598" s="283" t="s">
        <v>256</v>
      </c>
      <c r="IL598" s="272">
        <f>$H598*SUMIFS(axTER!$E$65:$E$105,axTER!$C$65:$C$105,IH598,axTER!$D$65:$D$105,IJ598)/SUMIFS(axTER!$E$108:$E$114,axTER!$C$108:$C$114,IK598)/10^9*$D$514</f>
        <v>0.79940589833874964</v>
      </c>
      <c r="IO598" s="273">
        <f t="shared" si="1020"/>
        <v>0</v>
      </c>
      <c r="IP598" s="273">
        <f>$H598*IF(IT598&lt;&gt;IJ598,SUMIFS(axTER!$E$121:$E$128,axTER!$C$121:$C$128,IJ598,axTER!$D$121:$D$128,IT598),SUMIFS(axTER!$E$133:$E$138,axTER!$C$133:$C$138,IT598)*IS$510)*$D$514/10^6</f>
        <v>177.99271955198722</v>
      </c>
      <c r="IQ598" s="274">
        <f>$H598*IF(IU598&lt;&gt;IK598,SUMIFS(axTER!$E$142:$E$148,axTER!$C$142:$C$148,IU598),SUMIFS(axTER!$E$151:$E$157,axTER!$C$151:$C$157,IU598)*IS$510)/10^6*$D$514</f>
        <v>74.756942211834655</v>
      </c>
      <c r="IR598" s="275" t="s">
        <v>273</v>
      </c>
      <c r="IS598" s="161" t="s">
        <v>263</v>
      </c>
      <c r="IT598" s="161" t="s">
        <v>266</v>
      </c>
      <c r="IU598" s="284" t="s">
        <v>256</v>
      </c>
      <c r="IV598" s="276">
        <f>$H598*SUMIFS(axTER!$E$65:$E$105,axTER!$D$65:$D$105,IT598,axTER!$C$65:$C$105,IR598)/SUMIFS(axTER!$E$108:$E$114,axTER!$C$108:$C$114,IU598)/10^9*$D$514</f>
        <v>0.79940589833874964</v>
      </c>
      <c r="JI598" s="273">
        <f t="shared" si="1021"/>
        <v>0</v>
      </c>
      <c r="JJ598" s="273">
        <f>$H598*IF(JN598&lt;&gt;IT598,SUMIFS(axTER!$E$121:$E$128,axTER!$C$121:$C$128,IT598,axTER!$D$121:$D$128,JN598),SUMIFS(axTER!$E$133:$E$138,axTER!$C$133:$C$138,JN598)*JM$510)*$D$514/10^6</f>
        <v>355.98543910397444</v>
      </c>
      <c r="JK598" s="274">
        <f>$H598*IF(JO598&lt;&gt;IU598,SUMIFS(axTER!$E$142:$E$148,axTER!$C$142:$C$148,JO598),SUMIFS(axTER!$E$151:$E$157,axTER!$C$151:$C$157,JO598)*JM$510)/10^6*$D$514</f>
        <v>149.51388442366931</v>
      </c>
      <c r="JL598" s="275" t="s">
        <v>273</v>
      </c>
      <c r="JM598" s="161" t="s">
        <v>263</v>
      </c>
      <c r="JN598" s="161" t="s">
        <v>266</v>
      </c>
      <c r="JO598" s="284" t="s">
        <v>256</v>
      </c>
      <c r="JP598" s="276">
        <f>$H598*SUMIFS(axTER!$E$65:$E$105,axTER!$D$65:$D$105,JN598,axTER!$C$65:$C$105,JL598)/SUMIFS(axTER!$E$108:$E$114,axTER!$C$108:$C$114,JO598)/10^9*$D$514</f>
        <v>0.79940589833874964</v>
      </c>
      <c r="JR598" s="269">
        <v>1200</v>
      </c>
      <c r="JS598" s="66" t="s">
        <v>273</v>
      </c>
      <c r="JT598" s="66" t="s">
        <v>263</v>
      </c>
      <c r="JU598" s="66" t="s">
        <v>266</v>
      </c>
      <c r="JV598" s="283" t="s">
        <v>256</v>
      </c>
      <c r="JW598" s="272">
        <f>$H598*SUMIFS(axTER!$E$65:$E$105,axTER!$C$65:$C$105,JS598,axTER!$D$65:$D$105,JU598)/SUMIFS(axTER!$E$108:$E$114,axTER!$C$108:$C$114,JV598)/10^9*$D$514</f>
        <v>0.79940589833874964</v>
      </c>
      <c r="JY598" s="273">
        <f t="shared" si="1022"/>
        <v>0</v>
      </c>
      <c r="JZ598" s="273">
        <f t="shared" si="1023"/>
        <v>0</v>
      </c>
      <c r="KA598" s="273">
        <f>$H598*IF(KE598&lt;&gt;JU598,SUMIFS(axTER!$E$121:$E$128,axTER!$C$121:$C$128,JU598,axTER!$D$121:$D$128,KE598),SUMIFS(axTER!$E$133:$E$138,axTER!$C$133:$C$138,KE598)*KD$510)*$D$514/10^6</f>
        <v>124.59490368639106</v>
      </c>
      <c r="KB598" s="274">
        <f>$H598*IF(KF598&lt;&gt;JV598,SUMIFS(axTER!$E$142:$E$148,axTER!$C$142:$C$148,KF598),SUMIFS(axTER!$E$151:$E$157,axTER!$C$151:$C$157,KF598)*KD$510)/10^6*$D$514</f>
        <v>52.329859548284254</v>
      </c>
      <c r="KC598" s="275" t="s">
        <v>273</v>
      </c>
      <c r="KD598" s="161" t="s">
        <v>263</v>
      </c>
      <c r="KE598" s="161" t="s">
        <v>266</v>
      </c>
      <c r="KF598" s="284" t="s">
        <v>256</v>
      </c>
      <c r="KG598" s="276">
        <f>$H598*SUMIFS(axTER!$E$65:$E$105,axTER!$D$65:$D$105,KE598,axTER!$C$65:$C$105,KC598)/SUMIFS(axTER!$E$108:$E$114,axTER!$C$108:$C$114,KF598)/10^9*$D$514</f>
        <v>0.79940589833874964</v>
      </c>
      <c r="KS598" s="273">
        <f t="shared" si="1024"/>
        <v>0</v>
      </c>
      <c r="KT598" s="273">
        <f t="shared" si="1025"/>
        <v>0</v>
      </c>
      <c r="KU598" s="273">
        <f>$H598*IF(KY598&lt;&gt;KE598,SUMIFS(axTER!$E$121:$E$128,axTER!$C$121:$C$128,KE598,axTER!$D$121:$D$128,KY598),SUMIFS(axTER!$E$133:$E$138,axTER!$C$133:$C$138,KY598)*KX$510)*$D$514/10^6</f>
        <v>355.98543910397444</v>
      </c>
      <c r="KV598" s="274">
        <f>$H598*IF(KZ598&lt;&gt;KF598,SUMIFS(axTER!$E$142:$E$148,axTER!$C$142:$C$148,KZ598),SUMIFS(axTER!$E$151:$E$157,axTER!$C$151:$C$157,KZ598)*KX$510)/10^6*$D$514</f>
        <v>149.51388442366931</v>
      </c>
      <c r="KW598" s="275" t="s">
        <v>273</v>
      </c>
      <c r="KX598" s="161" t="s">
        <v>263</v>
      </c>
      <c r="KY598" s="161" t="s">
        <v>266</v>
      </c>
      <c r="KZ598" s="284" t="s">
        <v>256</v>
      </c>
      <c r="LA598" s="276">
        <f>$H598*SUMIFS(axTER!$E$65:$E$105,axTER!$D$65:$D$105,KY598,axTER!$C$65:$C$105,KW598)/SUMIFS(axTER!$E$108:$E$114,axTER!$C$108:$C$114,KZ598)/10^9*$D$514</f>
        <v>0.79940589833874964</v>
      </c>
      <c r="LC598" s="269">
        <v>1200</v>
      </c>
      <c r="LD598" s="66" t="s">
        <v>273</v>
      </c>
      <c r="LE598" s="66" t="s">
        <v>263</v>
      </c>
      <c r="LF598" s="66" t="s">
        <v>266</v>
      </c>
      <c r="LG598" s="283" t="s">
        <v>256</v>
      </c>
      <c r="LH598" s="272">
        <f>$H598*SUMIFS(axTER!$E$65:$E$105,axTER!$C$65:$C$105,LD598,axTER!$D$65:$D$105,LF598)/SUMIFS(axTER!$E$108:$E$114,axTER!$C$108:$C$114,LG598)/10^9*$D$514</f>
        <v>0.79940589833874964</v>
      </c>
      <c r="LJ598" s="273">
        <f t="shared" si="1026"/>
        <v>0</v>
      </c>
      <c r="LK598" s="273">
        <f t="shared" si="1030"/>
        <v>0</v>
      </c>
      <c r="LL598" s="273">
        <f>$H598*IF(LP598&lt;&gt;LF598,SUMIFS(axTER!$E$121:$E$128,axTER!$C$121:$C$128,LF598,axTER!$D$121:$D$128,LP598),SUMIFS(axTER!$E$133:$E$138,axTER!$C$133:$C$138,LP598)*LO$510)*$D$514/10^6</f>
        <v>124.59490368639106</v>
      </c>
      <c r="LM598" s="274">
        <f>$H598*IF(LQ598&lt;&gt;LG598,SUMIFS(axTER!$E$142:$E$148,axTER!$C$142:$C$148,LQ598),SUMIFS(axTER!$E$151:$E$157,axTER!$C$151:$C$157,LQ598)*LO$510)/10^6*$D$514</f>
        <v>52.329859548284254</v>
      </c>
      <c r="LN598" s="275" t="s">
        <v>273</v>
      </c>
      <c r="LO598" s="161" t="s">
        <v>263</v>
      </c>
      <c r="LP598" s="161" t="s">
        <v>266</v>
      </c>
      <c r="LQ598" s="161" t="s">
        <v>256</v>
      </c>
      <c r="LR598" s="276">
        <f>$H598*SUMIFS(axTER!$E$65:$E$105,axTER!$D$65:$D$105,LP598,axTER!$C$65:$C$105,LN598)/SUMIFS(axTER!$E$108:$E$114,axTER!$C$108:$C$114,LQ598)/10^9*$D$514</f>
        <v>0.79940589833874964</v>
      </c>
      <c r="LT598" s="273">
        <f t="shared" si="1027"/>
        <v>0</v>
      </c>
      <c r="LU598" s="273">
        <f t="shared" si="1028"/>
        <v>0</v>
      </c>
      <c r="LV598" s="273">
        <f>$H598*IF(LZ598&lt;&gt;LP598,SUMIFS(axTER!$E$121:$E$128,axTER!$C$121:$C$128,LP598,axTER!$D$121:$D$128,LZ598),SUMIFS(axTER!$E$133:$E$138,axTER!$C$133:$C$138,LZ598)*LY$510)*$D$514/10^6</f>
        <v>177.99271955198722</v>
      </c>
      <c r="LW598" s="274">
        <f>$H598*IF(MA598&lt;&gt;LQ598,SUMIFS(axTER!$E$142:$E$148,axTER!$C$142:$C$148,MA598),SUMIFS(axTER!$E$151:$E$157,axTER!$C$151:$C$157,MA598)*LY$510)/10^6*$D$514</f>
        <v>74.756942211834655</v>
      </c>
      <c r="LX598" s="275" t="s">
        <v>273</v>
      </c>
      <c r="LY598" s="161" t="s">
        <v>263</v>
      </c>
      <c r="LZ598" s="161" t="s">
        <v>266</v>
      </c>
      <c r="MA598" s="161" t="s">
        <v>256</v>
      </c>
      <c r="MB598" s="276">
        <f>$H598*SUMIFS(axTER!$E$65:$E$105,axTER!$D$65:$D$105,LZ598,axTER!$C$65:$C$105,LX598)/SUMIFS(axTER!$E$108:$E$114,axTER!$C$108:$C$114,MA598)/10^9*$D$514</f>
        <v>0.79940589833874964</v>
      </c>
      <c r="MD598" s="273" t="str">
        <f t="shared" si="1019"/>
        <v>BOIS</v>
      </c>
      <c r="ME598" s="273">
        <f t="shared" si="1029"/>
        <v>1200</v>
      </c>
      <c r="MF598" s="273">
        <f>$H598*IF(MJ598&lt;&gt;LZ598,SUMIFS(axTER!$E$121:$E$128,axTER!$C$121:$C$128,LZ598,axTER!$D$121:$D$128,MJ598),SUMIFS(axTER!$E$133:$E$138,axTER!$C$133:$C$138,MJ598)*MI$510)*$D$514/10^6</f>
        <v>1779.9271955198724</v>
      </c>
      <c r="MG598" s="274">
        <f>$H598*IF(MK598&lt;&gt;MA598,SUMIFS(axTER!$E$142:$E$148,axTER!$C$142:$C$148,MK598),SUMIFS(axTER!$E$151:$E$157,axTER!$C$151:$C$157,MK598)*MI$510)/10^6*$D$514</f>
        <v>367.85162040744029</v>
      </c>
      <c r="MH598" s="275" t="s">
        <v>273</v>
      </c>
      <c r="MI598" s="161" t="s">
        <v>263</v>
      </c>
      <c r="MJ598" s="429" t="s">
        <v>264</v>
      </c>
      <c r="MK598" s="161" t="s">
        <v>270</v>
      </c>
      <c r="ML598" s="276">
        <f>$H598*SUMIFS(axTER!$E$65:$E$105,axTER!$D$65:$D$105,MJ598,axTER!$C$65:$C$105,MH598)/SUMIFS(axTER!$E$108:$E$114,axTER!$C$108:$C$114,MK598)/10^9*$D$514</f>
        <v>0.71197087820794902</v>
      </c>
    </row>
    <row r="599" spans="3:350" hidden="1" outlineLevel="1" x14ac:dyDescent="0.3">
      <c r="C599" s="267"/>
      <c r="F599" s="266"/>
      <c r="H599" s="269">
        <v>1200</v>
      </c>
      <c r="I599" s="66" t="s">
        <v>273</v>
      </c>
      <c r="J599" s="66" t="s">
        <v>263</v>
      </c>
      <c r="K599" s="66" t="s">
        <v>266</v>
      </c>
      <c r="L599" s="283" t="s">
        <v>258</v>
      </c>
      <c r="M599" s="272">
        <f>$H599*SUMIFS(axTER!$E$65:$E$105,axTER!$C$65:$C$105,I599,axTER!$D$65:$D$105,K599)/SUMIFS(axTER!$E$108:$E$114,axTER!$C$108:$C$114,L599)/10^9*$D$514</f>
        <v>0.75943560342181216</v>
      </c>
      <c r="S599" s="269">
        <v>1200</v>
      </c>
      <c r="T599" s="66" t="s">
        <v>273</v>
      </c>
      <c r="U599" s="66" t="s">
        <v>263</v>
      </c>
      <c r="V599" s="66" t="s">
        <v>266</v>
      </c>
      <c r="W599" s="283" t="s">
        <v>258</v>
      </c>
      <c r="X599" s="272">
        <f>$H599*SUMIFS(axTER!$E$65:$E$105,axTER!$C$65:$C$105,T599,axTER!$D$65:$D$105,V599)/SUMIFS(axTER!$E$108:$E$114,axTER!$C$108:$C$114,W599)/10^9*$D$514</f>
        <v>0.75943560342181216</v>
      </c>
      <c r="AB599" s="273">
        <f>$H599*IF(AF599&lt;&gt;K599,SUMIFS(axTER!$E$121:$E$128,axTER!$C$121:$C$128,K599,axTER!$D$121:$D$128,AF599),SUMIFS(axTER!$E$133:$E$138,axTER!$C$133:$C$138,AF599)*AE$510)*$D$514/10^6</f>
        <v>177.99271955198722</v>
      </c>
      <c r="AC599" s="274">
        <f>$H599*IF(AG599&lt;&gt;L599,SUMIFS(axTER!$E$142:$E$148,axTER!$C$142:$C$148,AG599),SUMIFS(axTER!$E$151:$E$157,axTER!$C$151:$C$157,AG599)*AE$510)/10^6*$D$514</f>
        <v>128.74806714260413</v>
      </c>
      <c r="AD599" s="275" t="s">
        <v>273</v>
      </c>
      <c r="AE599" s="161" t="s">
        <v>263</v>
      </c>
      <c r="AF599" s="161" t="s">
        <v>266</v>
      </c>
      <c r="AG599" s="284" t="s">
        <v>258</v>
      </c>
      <c r="AH599" s="276">
        <f>$H599*SUMIFS(axTER!$E$65:$E$105,axTER!$D$65:$D$105,AF599,axTER!$C$65:$C$105,AD599)/SUMIFS(axTER!$E$108:$E$114,axTER!$C$108:$C$114,AG599)/10^9*$D$514</f>
        <v>0.75943560342181216</v>
      </c>
      <c r="AV599" s="273">
        <f>$H599*IF(AZ599&lt;&gt;AF599,SUMIFS(axTER!$E$121:$E$128,axTER!$C$121:$C$128,AF599,axTER!$D$121:$D$128,AZ599),SUMIFS(axTER!$E$133:$E$138,axTER!$C$133:$C$138,AZ599)*AY$510)*$D$514/10^6</f>
        <v>355.98543910397444</v>
      </c>
      <c r="AW599" s="274">
        <f>$H599*IF(BA599&lt;&gt;AG599,SUMIFS(axTER!$E$142:$E$148,axTER!$C$142:$C$148,BA599),SUMIFS(axTER!$E$151:$E$157,axTER!$C$151:$C$157,BA599)*AY$510)/10^6*$D$514</f>
        <v>257.49613428520826</v>
      </c>
      <c r="AX599" s="275" t="s">
        <v>273</v>
      </c>
      <c r="AY599" s="161" t="s">
        <v>263</v>
      </c>
      <c r="AZ599" s="161" t="s">
        <v>266</v>
      </c>
      <c r="BA599" s="284" t="s">
        <v>258</v>
      </c>
      <c r="BB599" s="276">
        <f>$H599*SUMIFS(axTER!$E$65:$E$105,axTER!$D$65:$D$105,AZ599,axTER!$C$65:$C$105,AX599)/SUMIFS(axTER!$E$108:$E$114,axTER!$C$108:$C$114,BA599)/10^9*$D$514</f>
        <v>0.75943560342181216</v>
      </c>
      <c r="IG599" s="269">
        <v>1200</v>
      </c>
      <c r="IH599" s="66" t="s">
        <v>273</v>
      </c>
      <c r="II599" s="66" t="s">
        <v>263</v>
      </c>
      <c r="IJ599" s="66" t="s">
        <v>266</v>
      </c>
      <c r="IK599" s="283" t="s">
        <v>258</v>
      </c>
      <c r="IL599" s="272">
        <f>$H599*SUMIFS(axTER!$E$65:$E$105,axTER!$C$65:$C$105,IH599,axTER!$D$65:$D$105,IJ599)/SUMIFS(axTER!$E$108:$E$114,axTER!$C$108:$C$114,IK599)/10^9*$D$514</f>
        <v>0.75943560342181216</v>
      </c>
      <c r="IO599" s="273">
        <f t="shared" si="1020"/>
        <v>0</v>
      </c>
      <c r="IP599" s="273">
        <f>$H599*IF(IT599&lt;&gt;IJ599,SUMIFS(axTER!$E$121:$E$128,axTER!$C$121:$C$128,IJ599,axTER!$D$121:$D$128,IT599),SUMIFS(axTER!$E$133:$E$138,axTER!$C$133:$C$138,IT599)*IS$510)*$D$514/10^6</f>
        <v>177.99271955198722</v>
      </c>
      <c r="IQ599" s="274">
        <f>$H599*IF(IU599&lt;&gt;IK599,SUMIFS(axTER!$E$142:$E$148,axTER!$C$142:$C$148,IU599),SUMIFS(axTER!$E$151:$E$157,axTER!$C$151:$C$157,IU599)*IS$510)/10^6*$D$514</f>
        <v>128.74806714260413</v>
      </c>
      <c r="IR599" s="275" t="s">
        <v>273</v>
      </c>
      <c r="IS599" s="161" t="s">
        <v>263</v>
      </c>
      <c r="IT599" s="161" t="s">
        <v>266</v>
      </c>
      <c r="IU599" s="284" t="s">
        <v>258</v>
      </c>
      <c r="IV599" s="276">
        <f>$H599*SUMIFS(axTER!$E$65:$E$105,axTER!$D$65:$D$105,IT599,axTER!$C$65:$C$105,IR599)/SUMIFS(axTER!$E$108:$E$114,axTER!$C$108:$C$114,IU599)/10^9*$D$514</f>
        <v>0.75943560342181216</v>
      </c>
      <c r="JI599" s="273">
        <f t="shared" si="1021"/>
        <v>0</v>
      </c>
      <c r="JJ599" s="273">
        <f>$H599*IF(JN599&lt;&gt;IT599,SUMIFS(axTER!$E$121:$E$128,axTER!$C$121:$C$128,IT599,axTER!$D$121:$D$128,JN599),SUMIFS(axTER!$E$133:$E$138,axTER!$C$133:$C$138,JN599)*JM$510)*$D$514/10^6</f>
        <v>355.98543910397444</v>
      </c>
      <c r="JK599" s="274">
        <f>$H599*IF(JO599&lt;&gt;IU599,SUMIFS(axTER!$E$142:$E$148,axTER!$C$142:$C$148,JO599),SUMIFS(axTER!$E$151:$E$157,axTER!$C$151:$C$157,JO599)*JM$510)/10^6*$D$514</f>
        <v>257.49613428520826</v>
      </c>
      <c r="JL599" s="275" t="s">
        <v>273</v>
      </c>
      <c r="JM599" s="161" t="s">
        <v>263</v>
      </c>
      <c r="JN599" s="161" t="s">
        <v>266</v>
      </c>
      <c r="JO599" s="284" t="s">
        <v>258</v>
      </c>
      <c r="JP599" s="276">
        <f>$H599*SUMIFS(axTER!$E$65:$E$105,axTER!$D$65:$D$105,JN599,axTER!$C$65:$C$105,JL599)/SUMIFS(axTER!$E$108:$E$114,axTER!$C$108:$C$114,JO599)/10^9*$D$514</f>
        <v>0.75943560342181216</v>
      </c>
      <c r="JR599" s="269">
        <v>1200</v>
      </c>
      <c r="JS599" s="66" t="s">
        <v>273</v>
      </c>
      <c r="JT599" s="66" t="s">
        <v>263</v>
      </c>
      <c r="JU599" s="66" t="s">
        <v>266</v>
      </c>
      <c r="JV599" s="283" t="s">
        <v>258</v>
      </c>
      <c r="JW599" s="272">
        <f>$H599*SUMIFS(axTER!$E$65:$E$105,axTER!$C$65:$C$105,JS599,axTER!$D$65:$D$105,JU599)/SUMIFS(axTER!$E$108:$E$114,axTER!$C$108:$C$114,JV599)/10^9*$D$514</f>
        <v>0.75943560342181216</v>
      </c>
      <c r="JY599" s="273">
        <f t="shared" si="1022"/>
        <v>0</v>
      </c>
      <c r="JZ599" s="273">
        <f t="shared" si="1023"/>
        <v>0</v>
      </c>
      <c r="KA599" s="273">
        <f>$H599*IF(KE599&lt;&gt;JU599,SUMIFS(axTER!$E$121:$E$128,axTER!$C$121:$C$128,JU599,axTER!$D$121:$D$128,KE599),SUMIFS(axTER!$E$133:$E$138,axTER!$C$133:$C$138,KE599)*KD$510)*$D$514/10^6</f>
        <v>124.59490368639106</v>
      </c>
      <c r="KB599" s="274">
        <f>$H599*IF(KF599&lt;&gt;JV599,SUMIFS(axTER!$E$142:$E$148,axTER!$C$142:$C$148,KF599),SUMIFS(axTER!$E$151:$E$157,axTER!$C$151:$C$157,KF599)*KD$510)/10^6*$D$514</f>
        <v>90.123646999822896</v>
      </c>
      <c r="KC599" s="275" t="s">
        <v>273</v>
      </c>
      <c r="KD599" s="161" t="s">
        <v>263</v>
      </c>
      <c r="KE599" s="161" t="s">
        <v>266</v>
      </c>
      <c r="KF599" s="284" t="s">
        <v>258</v>
      </c>
      <c r="KG599" s="276">
        <f>$H599*SUMIFS(axTER!$E$65:$E$105,axTER!$D$65:$D$105,KE599,axTER!$C$65:$C$105,KC599)/SUMIFS(axTER!$E$108:$E$114,axTER!$C$108:$C$114,KF599)/10^9*$D$514</f>
        <v>0.75943560342181216</v>
      </c>
      <c r="KS599" s="273">
        <f t="shared" si="1024"/>
        <v>0</v>
      </c>
      <c r="KT599" s="273">
        <f t="shared" si="1025"/>
        <v>0</v>
      </c>
      <c r="KU599" s="273">
        <f>$H599*IF(KY599&lt;&gt;KE599,SUMIFS(axTER!$E$121:$E$128,axTER!$C$121:$C$128,KE599,axTER!$D$121:$D$128,KY599),SUMIFS(axTER!$E$133:$E$138,axTER!$C$133:$C$138,KY599)*KX$510)*$D$514/10^6</f>
        <v>355.98543910397444</v>
      </c>
      <c r="KV599" s="274">
        <f>$H599*IF(KZ599&lt;&gt;KF599,SUMIFS(axTER!$E$142:$E$148,axTER!$C$142:$C$148,KZ599),SUMIFS(axTER!$E$151:$E$157,axTER!$C$151:$C$157,KZ599)*KX$510)/10^6*$D$514</f>
        <v>257.49613428520826</v>
      </c>
      <c r="KW599" s="275" t="s">
        <v>273</v>
      </c>
      <c r="KX599" s="161" t="s">
        <v>263</v>
      </c>
      <c r="KY599" s="161" t="s">
        <v>266</v>
      </c>
      <c r="KZ599" s="284" t="s">
        <v>258</v>
      </c>
      <c r="LA599" s="276">
        <f>$H599*SUMIFS(axTER!$E$65:$E$105,axTER!$D$65:$D$105,KY599,axTER!$C$65:$C$105,KW599)/SUMIFS(axTER!$E$108:$E$114,axTER!$C$108:$C$114,KZ599)/10^9*$D$514</f>
        <v>0.75943560342181216</v>
      </c>
      <c r="LC599" s="269">
        <v>1200</v>
      </c>
      <c r="LD599" s="66" t="s">
        <v>273</v>
      </c>
      <c r="LE599" s="66" t="s">
        <v>263</v>
      </c>
      <c r="LF599" s="66" t="s">
        <v>266</v>
      </c>
      <c r="LG599" s="283" t="s">
        <v>258</v>
      </c>
      <c r="LH599" s="272">
        <f>$H599*SUMIFS(axTER!$E$65:$E$105,axTER!$C$65:$C$105,LD599,axTER!$D$65:$D$105,LF599)/SUMIFS(axTER!$E$108:$E$114,axTER!$C$108:$C$114,LG599)/10^9*$D$514</f>
        <v>0.75943560342181216</v>
      </c>
      <c r="LJ599" s="273">
        <f t="shared" si="1026"/>
        <v>0</v>
      </c>
      <c r="LK599" s="273">
        <f t="shared" si="1030"/>
        <v>0</v>
      </c>
      <c r="LL599" s="273">
        <f>$H599*IF(LP599&lt;&gt;LF599,SUMIFS(axTER!$E$121:$E$128,axTER!$C$121:$C$128,LF599,axTER!$D$121:$D$128,LP599),SUMIFS(axTER!$E$133:$E$138,axTER!$C$133:$C$138,LP599)*LO$510)*$D$514/10^6</f>
        <v>124.59490368639106</v>
      </c>
      <c r="LM599" s="274">
        <f>$H599*IF(LQ599&lt;&gt;LG599,SUMIFS(axTER!$E$142:$E$148,axTER!$C$142:$C$148,LQ599),SUMIFS(axTER!$E$151:$E$157,axTER!$C$151:$C$157,LQ599)*LO$510)/10^6*$D$514</f>
        <v>90.123646999822896</v>
      </c>
      <c r="LN599" s="275" t="s">
        <v>273</v>
      </c>
      <c r="LO599" s="161" t="s">
        <v>263</v>
      </c>
      <c r="LP599" s="161" t="s">
        <v>266</v>
      </c>
      <c r="LQ599" s="161" t="s">
        <v>258</v>
      </c>
      <c r="LR599" s="276">
        <f>$H599*SUMIFS(axTER!$E$65:$E$105,axTER!$D$65:$D$105,LP599,axTER!$C$65:$C$105,LN599)/SUMIFS(axTER!$E$108:$E$114,axTER!$C$108:$C$114,LQ599)/10^9*$D$514</f>
        <v>0.75943560342181216</v>
      </c>
      <c r="LT599" s="273">
        <f t="shared" si="1027"/>
        <v>0</v>
      </c>
      <c r="LU599" s="273">
        <f t="shared" si="1028"/>
        <v>0</v>
      </c>
      <c r="LV599" s="273">
        <f>$H599*IF(LZ599&lt;&gt;LP599,SUMIFS(axTER!$E$121:$E$128,axTER!$C$121:$C$128,LP599,axTER!$D$121:$D$128,LZ599),SUMIFS(axTER!$E$133:$E$138,axTER!$C$133:$C$138,LZ599)*LY$510)*$D$514/10^6</f>
        <v>177.99271955198722</v>
      </c>
      <c r="LW599" s="274">
        <f>$H599*IF(MA599&lt;&gt;LQ599,SUMIFS(axTER!$E$142:$E$148,axTER!$C$142:$C$148,MA599),SUMIFS(axTER!$E$151:$E$157,axTER!$C$151:$C$157,MA599)*LY$510)/10^6*$D$514</f>
        <v>128.74806714260413</v>
      </c>
      <c r="LX599" s="275" t="s">
        <v>273</v>
      </c>
      <c r="LY599" s="161" t="s">
        <v>263</v>
      </c>
      <c r="LZ599" s="161" t="s">
        <v>266</v>
      </c>
      <c r="MA599" s="161" t="s">
        <v>258</v>
      </c>
      <c r="MB599" s="276">
        <f>$H599*SUMIFS(axTER!$E$65:$E$105,axTER!$D$65:$D$105,LZ599,axTER!$C$65:$C$105,LX599)/SUMIFS(axTER!$E$108:$E$114,axTER!$C$108:$C$114,MA599)/10^9*$D$514</f>
        <v>0.75943560342181216</v>
      </c>
      <c r="MD599" s="273">
        <f t="shared" si="1019"/>
        <v>0</v>
      </c>
      <c r="ME599" s="273">
        <f t="shared" si="1029"/>
        <v>0</v>
      </c>
      <c r="MF599" s="273">
        <f>$H599*IF(MJ599&lt;&gt;LZ599,SUMIFS(axTER!$E$121:$E$128,axTER!$C$121:$C$128,LZ599,axTER!$D$121:$D$128,MJ599),SUMIFS(axTER!$E$133:$E$138,axTER!$C$133:$C$138,MJ599)*MI$510)*$D$514/10^6</f>
        <v>177.99271955198722</v>
      </c>
      <c r="MG599" s="274">
        <f>$H599*IF(MK599&lt;&gt;MA599,SUMIFS(axTER!$E$142:$E$148,axTER!$C$142:$C$148,MK599),SUMIFS(axTER!$E$151:$E$157,axTER!$C$151:$C$157,MK599)*MI$510)/10^6*$D$514</f>
        <v>128.74806714260413</v>
      </c>
      <c r="MH599" s="275" t="s">
        <v>273</v>
      </c>
      <c r="MI599" s="161" t="s">
        <v>263</v>
      </c>
      <c r="MJ599" s="161" t="s">
        <v>266</v>
      </c>
      <c r="MK599" s="161" t="s">
        <v>258</v>
      </c>
      <c r="ML599" s="276">
        <f>$H599*SUMIFS(axTER!$E$65:$E$105,axTER!$D$65:$D$105,MJ599,axTER!$C$65:$C$105,MH599)/SUMIFS(axTER!$E$108:$E$114,axTER!$C$108:$C$114,MK599)/10^9*$D$514</f>
        <v>0.75943560342181216</v>
      </c>
    </row>
    <row r="600" spans="3:350" outlineLevel="1" x14ac:dyDescent="0.3">
      <c r="C600" s="267"/>
      <c r="F600" s="266"/>
      <c r="H600" s="269">
        <v>1200</v>
      </c>
      <c r="I600" s="66" t="s">
        <v>273</v>
      </c>
      <c r="J600" s="66" t="s">
        <v>263</v>
      </c>
      <c r="K600" s="66" t="s">
        <v>255</v>
      </c>
      <c r="L600" s="283" t="s">
        <v>261</v>
      </c>
      <c r="M600" s="272">
        <f>$H600*SUMIFS(axTER!$E$65:$E$105,axTER!$C$65:$C$105,I600,axTER!$D$65:$D$105,K600)/SUMIFS(axTER!$E$108:$E$114,axTER!$C$108:$C$114,L600)/10^9*$D$514</f>
        <v>0.34807465156833062</v>
      </c>
      <c r="S600" s="269">
        <v>1200</v>
      </c>
      <c r="T600" s="66" t="s">
        <v>273</v>
      </c>
      <c r="U600" s="66" t="s">
        <v>263</v>
      </c>
      <c r="V600" s="66" t="s">
        <v>255</v>
      </c>
      <c r="W600" s="283" t="s">
        <v>261</v>
      </c>
      <c r="X600" s="272">
        <f>$H600*SUMIFS(axTER!$E$65:$E$105,axTER!$C$65:$C$105,T600,axTER!$D$65:$D$105,V600)/SUMIFS(axTER!$E$108:$E$114,axTER!$C$108:$C$114,W600)/10^9*$D$514</f>
        <v>0.34807465156833062</v>
      </c>
      <c r="AB600" s="273">
        <f>$H600*IF(AF600&lt;&gt;K600,SUMIFS(axTER!$E$121:$E$128,axTER!$C$121:$C$128,K600,axTER!$D$121:$D$128,AF600),SUMIFS(axTER!$E$133:$E$138,axTER!$C$133:$C$138,AF600)*AE$510)*$D$514/10^6</f>
        <v>474.64725213863267</v>
      </c>
      <c r="AC600" s="274">
        <f>$H600*IF(AG600&lt;&gt;L600,SUMIFS(axTER!$E$142:$E$148,axTER!$C$142:$C$148,AG600),SUMIFS(axTER!$E$151:$E$157,axTER!$C$151:$C$157,AG600)*AE$510)/10^6*$D$514</f>
        <v>332.25307649704291</v>
      </c>
      <c r="AD600" s="275" t="s">
        <v>273</v>
      </c>
      <c r="AE600" s="161" t="s">
        <v>263</v>
      </c>
      <c r="AF600" s="161" t="s">
        <v>255</v>
      </c>
      <c r="AG600" s="284" t="s">
        <v>261</v>
      </c>
      <c r="AH600" s="276">
        <f>$H600*SUMIFS(axTER!$E$65:$E$105,axTER!$D$65:$D$105,AF600,axTER!$C$65:$C$105,AD600)/SUMIFS(axTER!$E$108:$E$114,axTER!$C$108:$C$114,AG600)/10^9*$D$514</f>
        <v>0.34807465156833062</v>
      </c>
      <c r="AV600" s="273">
        <f>$H600*IF(AZ600&lt;&gt;AF600,SUMIFS(axTER!$E$121:$E$128,axTER!$C$121:$C$128,AF600,axTER!$D$121:$D$128,AZ600),SUMIFS(axTER!$E$133:$E$138,axTER!$C$133:$C$138,AZ600)*AY$510)*$D$514/10^6</f>
        <v>949.29450427726533</v>
      </c>
      <c r="AW600" s="274">
        <f>$H600*IF(BA600&lt;&gt;AG600,SUMIFS(axTER!$E$142:$E$148,axTER!$C$142:$C$148,BA600),SUMIFS(axTER!$E$151:$E$157,axTER!$C$151:$C$157,BA600)*AY$510)/10^6*$D$514</f>
        <v>664.50615299408582</v>
      </c>
      <c r="AX600" s="275" t="s">
        <v>273</v>
      </c>
      <c r="AY600" s="161" t="s">
        <v>263</v>
      </c>
      <c r="AZ600" s="161" t="s">
        <v>255</v>
      </c>
      <c r="BA600" s="284" t="s">
        <v>261</v>
      </c>
      <c r="BB600" s="276">
        <f>$H600*SUMIFS(axTER!$E$65:$E$105,axTER!$D$65:$D$105,AZ600,axTER!$C$65:$C$105,AX600)/SUMIFS(axTER!$E$108:$E$114,axTER!$C$108:$C$114,BA600)/10^9*$D$514</f>
        <v>0.34807465156833062</v>
      </c>
      <c r="IG600" s="269">
        <v>1200</v>
      </c>
      <c r="IH600" s="66" t="s">
        <v>273</v>
      </c>
      <c r="II600" s="66" t="s">
        <v>263</v>
      </c>
      <c r="IJ600" s="66" t="s">
        <v>255</v>
      </c>
      <c r="IK600" s="283" t="s">
        <v>261</v>
      </c>
      <c r="IL600" s="272">
        <f>$H600*SUMIFS(axTER!$E$65:$E$105,axTER!$C$65:$C$105,IH600,axTER!$D$65:$D$105,IJ600)/SUMIFS(axTER!$E$108:$E$114,axTER!$C$108:$C$114,IK600)/10^9*$D$514</f>
        <v>0.34807465156833062</v>
      </c>
      <c r="IO600" s="273">
        <f t="shared" si="1020"/>
        <v>1200</v>
      </c>
      <c r="IP600" s="273">
        <f>$H600*IF(IT600&lt;&gt;IJ600,SUMIFS(axTER!$E$121:$E$128,axTER!$C$121:$C$128,IJ600,axTER!$D$121:$D$128,IT600),SUMIFS(axTER!$E$133:$E$138,axTER!$C$133:$C$138,IT600)*IS$510)*$D$514/10^6</f>
        <v>1186.6181303465817</v>
      </c>
      <c r="IQ600" s="274">
        <f>$H600*IF(IU600&lt;&gt;IK600,SUMIFS(axTER!$E$142:$E$148,axTER!$C$142:$C$148,IU600),SUMIFS(axTER!$E$151:$E$157,axTER!$C$151:$C$157,IU600)*IS$510)/10^6*$D$514</f>
        <v>332.25307649704291</v>
      </c>
      <c r="IR600" s="275" t="s">
        <v>273</v>
      </c>
      <c r="IS600" s="161" t="s">
        <v>263</v>
      </c>
      <c r="IT600" s="277" t="s">
        <v>262</v>
      </c>
      <c r="IU600" s="284" t="s">
        <v>261</v>
      </c>
      <c r="IV600" s="276">
        <f>$H600*SUMIFS(axTER!$E$65:$E$105,axTER!$D$65:$D$105,IT600,axTER!$C$65:$C$105,IR600)/SUMIFS(axTER!$E$108:$E$114,axTER!$C$108:$C$114,IU600)/10^9*$D$514</f>
        <v>0.3164315014257551</v>
      </c>
      <c r="JI600" s="273">
        <f t="shared" si="1021"/>
        <v>1200</v>
      </c>
      <c r="JJ600" s="273">
        <f>$H600*IF(JN600&lt;&gt;IT600,SUMIFS(axTER!$E$121:$E$128,axTER!$C$121:$C$128,IT600,axTER!$D$121:$D$128,JN600),SUMIFS(axTER!$E$133:$E$138,axTER!$C$133:$C$138,JN600)*JM$510)*$D$514/10^6</f>
        <v>0</v>
      </c>
      <c r="JK600" s="274">
        <f>$H600*IF(JO600&lt;&gt;IU600,SUMIFS(axTER!$E$142:$E$148,axTER!$C$142:$C$148,JO600),SUMIFS(axTER!$E$151:$E$157,axTER!$C$151:$C$157,JO600)*JM$510)/10^6*$D$514</f>
        <v>664.50615299408582</v>
      </c>
      <c r="JL600" s="275" t="s">
        <v>273</v>
      </c>
      <c r="JM600" s="161" t="s">
        <v>263</v>
      </c>
      <c r="JN600" s="161" t="s">
        <v>255</v>
      </c>
      <c r="JO600" s="284" t="s">
        <v>261</v>
      </c>
      <c r="JP600" s="276">
        <f>$H600*SUMIFS(axTER!$E$65:$E$105,axTER!$D$65:$D$105,JN600,axTER!$C$65:$C$105,JL600)/SUMIFS(axTER!$E$108:$E$114,axTER!$C$108:$C$114,JO600)/10^9*$D$514</f>
        <v>0.34807465156833062</v>
      </c>
      <c r="JR600" s="269">
        <v>1200</v>
      </c>
      <c r="JS600" s="66" t="s">
        <v>273</v>
      </c>
      <c r="JT600" s="66" t="s">
        <v>263</v>
      </c>
      <c r="JU600" s="66" t="s">
        <v>255</v>
      </c>
      <c r="JV600" s="283" t="s">
        <v>261</v>
      </c>
      <c r="JW600" s="272">
        <f>$H600*SUMIFS(axTER!$E$65:$E$105,axTER!$C$65:$C$105,JS600,axTER!$D$65:$D$105,JU600)/SUMIFS(axTER!$E$108:$E$114,axTER!$C$108:$C$114,JV600)/10^9*$D$514</f>
        <v>0.34807465156833062</v>
      </c>
      <c r="JY600" s="273">
        <f t="shared" si="1022"/>
        <v>0</v>
      </c>
      <c r="JZ600" s="273">
        <f t="shared" si="1023"/>
        <v>0</v>
      </c>
      <c r="KA600" s="273">
        <f>$H600*IF(KE600&lt;&gt;JU600,SUMIFS(axTER!$E$121:$E$128,axTER!$C$121:$C$128,JU600,axTER!$D$121:$D$128,KE600),SUMIFS(axTER!$E$133:$E$138,axTER!$C$133:$C$138,KE600)*KD$510)*$D$514/10^6</f>
        <v>332.25307649704285</v>
      </c>
      <c r="KB600" s="274">
        <f>$H600*IF(KF600&lt;&gt;JV600,SUMIFS(axTER!$E$142:$E$148,axTER!$C$142:$C$148,KF600),SUMIFS(axTER!$E$151:$E$157,axTER!$C$151:$C$157,KF600)*KD$510)/10^6*$D$514</f>
        <v>232.57715354792998</v>
      </c>
      <c r="KC600" s="275" t="s">
        <v>273</v>
      </c>
      <c r="KD600" s="161" t="s">
        <v>263</v>
      </c>
      <c r="KE600" s="161" t="s">
        <v>255</v>
      </c>
      <c r="KF600" s="284" t="s">
        <v>261</v>
      </c>
      <c r="KG600" s="276">
        <f>$H600*SUMIFS(axTER!$E$65:$E$105,axTER!$D$65:$D$105,KE600,axTER!$C$65:$C$105,KC600)/SUMIFS(axTER!$E$108:$E$114,axTER!$C$108:$C$114,KF600)/10^9*$D$514</f>
        <v>0.34807465156833062</v>
      </c>
      <c r="KS600" s="273">
        <f t="shared" si="1024"/>
        <v>0</v>
      </c>
      <c r="KT600" s="273">
        <f t="shared" si="1025"/>
        <v>1200</v>
      </c>
      <c r="KU600" s="273">
        <f>$H600*IF(KY600&lt;&gt;KE600,SUMIFS(axTER!$E$121:$E$128,axTER!$C$121:$C$128,KE600,axTER!$D$121:$D$128,KY600),SUMIFS(axTER!$E$133:$E$138,axTER!$C$133:$C$138,KY600)*KX$510)*$D$514/10^6</f>
        <v>1186.6181303465817</v>
      </c>
      <c r="KV600" s="274">
        <f>$H600*IF(KZ600&lt;&gt;KF600,SUMIFS(axTER!$E$142:$E$148,axTER!$C$142:$C$148,KZ600),SUMIFS(axTER!$E$151:$E$157,axTER!$C$151:$C$157,KZ600)*KX$510)/10^6*$D$514</f>
        <v>664.50615299408582</v>
      </c>
      <c r="KW600" s="275" t="s">
        <v>273</v>
      </c>
      <c r="KX600" s="161" t="s">
        <v>263</v>
      </c>
      <c r="KY600" s="161" t="s">
        <v>262</v>
      </c>
      <c r="KZ600" s="284" t="s">
        <v>261</v>
      </c>
      <c r="LA600" s="276">
        <f>$H600*SUMIFS(axTER!$E$65:$E$105,axTER!$D$65:$D$105,KY600,axTER!$C$65:$C$105,KW600)/SUMIFS(axTER!$E$108:$E$114,axTER!$C$108:$C$114,KZ600)/10^9*$D$514</f>
        <v>0.3164315014257551</v>
      </c>
      <c r="LC600" s="269">
        <v>1200</v>
      </c>
      <c r="LD600" s="66" t="s">
        <v>273</v>
      </c>
      <c r="LE600" s="66" t="s">
        <v>263</v>
      </c>
      <c r="LF600" s="66" t="s">
        <v>255</v>
      </c>
      <c r="LG600" s="283" t="s">
        <v>261</v>
      </c>
      <c r="LH600" s="272">
        <f>$H600*SUMIFS(axTER!$E$65:$E$105,axTER!$C$65:$C$105,LD600,axTER!$D$65:$D$105,LF600)/SUMIFS(axTER!$E$108:$E$114,axTER!$C$108:$C$114,LG600)/10^9*$D$514</f>
        <v>0.34807465156833062</v>
      </c>
      <c r="LJ600" s="273">
        <f t="shared" si="1026"/>
        <v>0</v>
      </c>
      <c r="LK600" s="273">
        <f t="shared" si="1030"/>
        <v>0</v>
      </c>
      <c r="LL600" s="273">
        <f>$H600*IF(LP600&lt;&gt;LF600,SUMIFS(axTER!$E$121:$E$128,axTER!$C$121:$C$128,LF600,axTER!$D$121:$D$128,LP600),SUMIFS(axTER!$E$133:$E$138,axTER!$C$133:$C$138,LP600)*LO$510)*$D$514/10^6</f>
        <v>332.25307649704285</v>
      </c>
      <c r="LM600" s="274">
        <f>$H600*IF(LQ600&lt;&gt;LG600,SUMIFS(axTER!$E$142:$E$148,axTER!$C$142:$C$148,LQ600),SUMIFS(axTER!$E$151:$E$157,axTER!$C$151:$C$157,LQ600)*LO$510)/10^6*$D$514</f>
        <v>232.57715354792998</v>
      </c>
      <c r="LN600" s="275" t="s">
        <v>273</v>
      </c>
      <c r="LO600" s="161" t="s">
        <v>263</v>
      </c>
      <c r="LP600" s="161" t="s">
        <v>255</v>
      </c>
      <c r="LQ600" s="161" t="s">
        <v>261</v>
      </c>
      <c r="LR600" s="276">
        <f>$H600*SUMIFS(axTER!$E$65:$E$105,axTER!$D$65:$D$105,LP600,axTER!$C$65:$C$105,LN600)/SUMIFS(axTER!$E$108:$E$114,axTER!$C$108:$C$114,LQ600)/10^9*$D$514</f>
        <v>0.34807465156833062</v>
      </c>
      <c r="LT600" s="273">
        <f t="shared" si="1027"/>
        <v>0</v>
      </c>
      <c r="LU600" s="273">
        <f t="shared" si="1028"/>
        <v>0</v>
      </c>
      <c r="LV600" s="273">
        <f>$H600*IF(LZ600&lt;&gt;LP600,SUMIFS(axTER!$E$121:$E$128,axTER!$C$121:$C$128,LP600,axTER!$D$121:$D$128,LZ600),SUMIFS(axTER!$E$133:$E$138,axTER!$C$133:$C$138,LZ600)*LY$510)*$D$514/10^6</f>
        <v>474.64725213863267</v>
      </c>
      <c r="LW600" s="274">
        <f>$H600*IF(MA600&lt;&gt;LQ600,SUMIFS(axTER!$E$142:$E$148,axTER!$C$142:$C$148,MA600),SUMIFS(axTER!$E$151:$E$157,axTER!$C$151:$C$157,MA600)*LY$510)/10^6*$D$514</f>
        <v>332.25307649704291</v>
      </c>
      <c r="LX600" s="275" t="s">
        <v>273</v>
      </c>
      <c r="LY600" s="161" t="s">
        <v>263</v>
      </c>
      <c r="LZ600" s="161" t="s">
        <v>255</v>
      </c>
      <c r="MA600" s="161" t="s">
        <v>261</v>
      </c>
      <c r="MB600" s="276">
        <f>$H600*SUMIFS(axTER!$E$65:$E$105,axTER!$D$65:$D$105,LZ600,axTER!$C$65:$C$105,LX600)/SUMIFS(axTER!$E$108:$E$114,axTER!$C$108:$C$114,MA600)/10^9*$D$514</f>
        <v>0.34807465156833062</v>
      </c>
      <c r="MD600" s="273">
        <f t="shared" si="1019"/>
        <v>0</v>
      </c>
      <c r="ME600" s="273">
        <f t="shared" si="1029"/>
        <v>0</v>
      </c>
      <c r="MF600" s="273">
        <f>$H600*IF(MJ600&lt;&gt;LZ600,SUMIFS(axTER!$E$121:$E$128,axTER!$C$121:$C$128,LZ600,axTER!$D$121:$D$128,MJ600),SUMIFS(axTER!$E$133:$E$138,axTER!$C$133:$C$138,MJ600)*MI$510)*$D$514/10^6</f>
        <v>474.64725213863267</v>
      </c>
      <c r="MG600" s="274">
        <f>$H600*IF(MK600&lt;&gt;MA600,SUMIFS(axTER!$E$142:$E$148,axTER!$C$142:$C$148,MK600),SUMIFS(axTER!$E$151:$E$157,axTER!$C$151:$C$157,MK600)*MI$510)/10^6*$D$514</f>
        <v>332.25307649704291</v>
      </c>
      <c r="MH600" s="275" t="s">
        <v>273</v>
      </c>
      <c r="MI600" s="161" t="s">
        <v>263</v>
      </c>
      <c r="MJ600" s="161" t="s">
        <v>255</v>
      </c>
      <c r="MK600" s="161" t="s">
        <v>261</v>
      </c>
      <c r="ML600" s="276">
        <f>$H600*SUMIFS(axTER!$E$65:$E$105,axTER!$D$65:$D$105,MJ600,axTER!$C$65:$C$105,MH600)/SUMIFS(axTER!$E$108:$E$114,axTER!$C$108:$C$114,MK600)/10^9*$D$514</f>
        <v>0.34807465156833062</v>
      </c>
    </row>
    <row r="601" spans="3:350" outlineLevel="1" x14ac:dyDescent="0.3">
      <c r="C601" s="267"/>
      <c r="F601" s="266"/>
      <c r="H601" s="269">
        <v>750</v>
      </c>
      <c r="I601" s="66" t="s">
        <v>273</v>
      </c>
      <c r="J601" s="66" t="s">
        <v>263</v>
      </c>
      <c r="K601" s="66" t="s">
        <v>255</v>
      </c>
      <c r="L601" s="283" t="s">
        <v>267</v>
      </c>
      <c r="M601" s="272">
        <f>$H601*SUMIFS(axTER!$E$65:$E$105,axTER!$C$65:$C$105,I601,axTER!$D$65:$D$105,K601)/SUMIFS(axTER!$E$108:$E$114,axTER!$C$108:$C$114,L601)/10^9*$D$514</f>
        <v>0.72515552410068873</v>
      </c>
      <c r="S601" s="269">
        <v>750</v>
      </c>
      <c r="T601" s="66" t="s">
        <v>273</v>
      </c>
      <c r="U601" s="66" t="s">
        <v>263</v>
      </c>
      <c r="V601" s="66" t="s">
        <v>255</v>
      </c>
      <c r="W601" s="283" t="s">
        <v>267</v>
      </c>
      <c r="X601" s="272">
        <f>$H601*SUMIFS(axTER!$E$65:$E$105,axTER!$C$65:$C$105,T601,axTER!$D$65:$D$105,V601)/SUMIFS(axTER!$E$108:$E$114,axTER!$C$108:$C$114,W601)/10^9*$D$514</f>
        <v>0.72515552410068873</v>
      </c>
      <c r="AB601" s="273">
        <f>$H601*IF(AF601&lt;&gt;K601,SUMIFS(axTER!$E$121:$E$128,axTER!$C$121:$C$128,K601,axTER!$D$121:$D$128,AF601),SUMIFS(axTER!$E$133:$E$138,axTER!$C$133:$C$138,AF601)*AE$510)*$D$514/10^6</f>
        <v>296.65453258664542</v>
      </c>
      <c r="AC601" s="274">
        <f>$H601*IF(AG601&lt;&gt;L601,SUMIFS(axTER!$E$142:$E$148,axTER!$C$142:$C$148,AG601),SUMIFS(axTER!$E$151:$E$157,axTER!$C$151:$C$157,AG601)*AE$510)/10^6*$D$514</f>
        <v>62.297451843195532</v>
      </c>
      <c r="AD601" s="275" t="s">
        <v>273</v>
      </c>
      <c r="AE601" s="161" t="s">
        <v>263</v>
      </c>
      <c r="AF601" s="161" t="s">
        <v>255</v>
      </c>
      <c r="AG601" s="284" t="s">
        <v>267</v>
      </c>
      <c r="AH601" s="276">
        <f>$H601*SUMIFS(axTER!$E$65:$E$105,axTER!$D$65:$D$105,AF601,axTER!$C$65:$C$105,AD601)/SUMIFS(axTER!$E$108:$E$114,axTER!$C$108:$C$114,AG601)/10^9*$D$514</f>
        <v>0.72515552410068873</v>
      </c>
      <c r="AV601" s="273">
        <f>$H601*IF(AZ601&lt;&gt;AF601,SUMIFS(axTER!$E$121:$E$128,axTER!$C$121:$C$128,AF601,axTER!$D$121:$D$128,AZ601),SUMIFS(axTER!$E$133:$E$138,axTER!$C$133:$C$138,AZ601)*AY$510)*$D$514/10^6</f>
        <v>593.30906517329083</v>
      </c>
      <c r="AW601" s="274">
        <f>$H601*IF(BA601&lt;&gt;AG601,SUMIFS(axTER!$E$142:$E$148,axTER!$C$142:$C$148,BA601),SUMIFS(axTER!$E$151:$E$157,axTER!$C$151:$C$157,BA601)*AY$510)/10^6*$D$514</f>
        <v>593.30906517329083</v>
      </c>
      <c r="AX601" s="275" t="s">
        <v>273</v>
      </c>
      <c r="AY601" s="161" t="s">
        <v>263</v>
      </c>
      <c r="AZ601" s="161" t="s">
        <v>255</v>
      </c>
      <c r="BA601" s="284" t="s">
        <v>261</v>
      </c>
      <c r="BB601" s="276">
        <f>$H601*SUMIFS(axTER!$E$65:$E$105,axTER!$D$65:$D$105,AZ601,axTER!$C$65:$C$105,AX601)/SUMIFS(axTER!$E$108:$E$114,axTER!$C$108:$C$114,BA601)/10^9*$D$514</f>
        <v>0.21754665723020661</v>
      </c>
      <c r="IG601" s="269">
        <v>750</v>
      </c>
      <c r="IH601" s="66" t="s">
        <v>273</v>
      </c>
      <c r="II601" s="66" t="s">
        <v>263</v>
      </c>
      <c r="IJ601" s="66" t="s">
        <v>255</v>
      </c>
      <c r="IK601" s="283" t="s">
        <v>267</v>
      </c>
      <c r="IL601" s="272">
        <f>$H601*SUMIFS(axTER!$E$65:$E$105,axTER!$C$65:$C$105,IH601,axTER!$D$65:$D$105,IJ601)/SUMIFS(axTER!$E$108:$E$114,axTER!$C$108:$C$114,IK601)/10^9*$D$514</f>
        <v>0.72515552410068873</v>
      </c>
      <c r="IO601" s="273">
        <f t="shared" si="1020"/>
        <v>750</v>
      </c>
      <c r="IP601" s="273">
        <f>$H601*IF(IT601&lt;&gt;IJ601,SUMIFS(axTER!$E$121:$E$128,axTER!$C$121:$C$128,IJ601,axTER!$D$121:$D$128,IT601),SUMIFS(axTER!$E$133:$E$138,axTER!$C$133:$C$138,IT601)*IS$510)*$D$514/10^6</f>
        <v>741.63633146661357</v>
      </c>
      <c r="IQ601" s="274">
        <f>$H601*IF(IU601&lt;&gt;IK601,SUMIFS(axTER!$E$142:$E$148,axTER!$C$142:$C$148,IU601),SUMIFS(axTER!$E$151:$E$157,axTER!$C$151:$C$157,IU601)*IS$510)/10^6*$D$514</f>
        <v>593.30906517329083</v>
      </c>
      <c r="IR601" s="275" t="s">
        <v>273</v>
      </c>
      <c r="IS601" s="161" t="s">
        <v>263</v>
      </c>
      <c r="IT601" s="277" t="s">
        <v>262</v>
      </c>
      <c r="IU601" s="285" t="s">
        <v>261</v>
      </c>
      <c r="IV601" s="276">
        <f>$H601*SUMIFS(axTER!$E$65:$E$105,axTER!$D$65:$D$105,IT601,axTER!$C$65:$C$105,IR601)/SUMIFS(axTER!$E$108:$E$114,axTER!$C$108:$C$114,IU601)/10^9*$D$514</f>
        <v>0.19776968839109696</v>
      </c>
      <c r="JI601" s="273">
        <f t="shared" si="1021"/>
        <v>750</v>
      </c>
      <c r="JJ601" s="273">
        <f>$H601*IF(JN601&lt;&gt;IT601,SUMIFS(axTER!$E$121:$E$128,axTER!$C$121:$C$128,IT601,axTER!$D$121:$D$128,JN601),SUMIFS(axTER!$E$133:$E$138,axTER!$C$133:$C$138,JN601)*JM$510)*$D$514/10^6</f>
        <v>0</v>
      </c>
      <c r="JK601" s="274">
        <f>$H601*IF(JO601&lt;&gt;IU601,SUMIFS(axTER!$E$142:$E$148,axTER!$C$142:$C$148,JO601),SUMIFS(axTER!$E$151:$E$157,axTER!$C$151:$C$157,JO601)*JM$510)/10^6*$D$514</f>
        <v>177.99271955198722</v>
      </c>
      <c r="JL601" s="275" t="s">
        <v>273</v>
      </c>
      <c r="JM601" s="161" t="s">
        <v>263</v>
      </c>
      <c r="JN601" s="161" t="s">
        <v>255</v>
      </c>
      <c r="JO601" s="284" t="s">
        <v>267</v>
      </c>
      <c r="JP601" s="276">
        <f>$H601*SUMIFS(axTER!$E$65:$E$105,axTER!$D$65:$D$105,JN601,axTER!$C$65:$C$105,JL601)/SUMIFS(axTER!$E$108:$E$114,axTER!$C$108:$C$114,JO601)/10^9*$D$514</f>
        <v>0.72515552410068873</v>
      </c>
      <c r="JR601" s="269">
        <v>750</v>
      </c>
      <c r="JS601" s="66" t="s">
        <v>273</v>
      </c>
      <c r="JT601" s="66" t="s">
        <v>263</v>
      </c>
      <c r="JU601" s="66" t="s">
        <v>255</v>
      </c>
      <c r="JV601" s="283" t="s">
        <v>267</v>
      </c>
      <c r="JW601" s="272">
        <f>$H601*SUMIFS(axTER!$E$65:$E$105,axTER!$C$65:$C$105,JS601,axTER!$D$65:$D$105,JU601)/SUMIFS(axTER!$E$108:$E$114,axTER!$C$108:$C$114,JV601)/10^9*$D$514</f>
        <v>0.72515552410068873</v>
      </c>
      <c r="JY601" s="273" t="str">
        <f t="shared" si="1022"/>
        <v>ELEC-PAC</v>
      </c>
      <c r="JZ601" s="273">
        <f t="shared" si="1023"/>
        <v>750</v>
      </c>
      <c r="KA601" s="273">
        <f>$H601*IF(KE601&lt;&gt;JU601,SUMIFS(axTER!$E$121:$E$128,axTER!$C$121:$C$128,JU601,axTER!$D$121:$D$128,KE601),SUMIFS(axTER!$E$133:$E$138,axTER!$C$133:$C$138,KE601)*KD$510)*$D$514/10^6</f>
        <v>741.63633146661357</v>
      </c>
      <c r="KB601" s="274">
        <f>$H601*IF(KF601&lt;&gt;JV601,SUMIFS(axTER!$E$142:$E$148,axTER!$C$142:$C$148,KF601),SUMIFS(axTER!$E$151:$E$157,axTER!$C$151:$C$157,KF601)*KD$510)/10^6*$D$514</f>
        <v>593.30906517329083</v>
      </c>
      <c r="KC601" s="275" t="s">
        <v>273</v>
      </c>
      <c r="KD601" s="161" t="s">
        <v>263</v>
      </c>
      <c r="KE601" s="161" t="s">
        <v>262</v>
      </c>
      <c r="KF601" s="284" t="s">
        <v>261</v>
      </c>
      <c r="KG601" s="276">
        <f>$H601*SUMIFS(axTER!$E$65:$E$105,axTER!$D$65:$D$105,KE601,axTER!$C$65:$C$105,KC601)/SUMIFS(axTER!$E$108:$E$114,axTER!$C$108:$C$114,KF601)/10^9*$D$514</f>
        <v>0.19776968839109696</v>
      </c>
      <c r="KS601" s="273">
        <f t="shared" si="1024"/>
        <v>0</v>
      </c>
      <c r="KT601" s="273">
        <f t="shared" si="1025"/>
        <v>0</v>
      </c>
      <c r="KU601" s="273">
        <f>$H601*IF(KY601&lt;&gt;KE601,SUMIFS(axTER!$E$121:$E$128,axTER!$C$121:$C$128,KE601,axTER!$D$121:$D$128,KY601),SUMIFS(axTER!$E$133:$E$138,axTER!$C$133:$C$138,KY601)*KX$510)*$D$514/10^6</f>
        <v>222.49089943998405</v>
      </c>
      <c r="KV601" s="274">
        <f>$H601*IF(KZ601&lt;&gt;KF601,SUMIFS(axTER!$E$142:$E$148,axTER!$C$142:$C$148,KZ601),SUMIFS(axTER!$E$151:$E$157,axTER!$C$151:$C$157,KZ601)*KX$510)/10^6*$D$514</f>
        <v>415.31634562130364</v>
      </c>
      <c r="KW601" s="275" t="s">
        <v>273</v>
      </c>
      <c r="KX601" s="161" t="s">
        <v>263</v>
      </c>
      <c r="KY601" s="161" t="s">
        <v>262</v>
      </c>
      <c r="KZ601" s="284" t="s">
        <v>261</v>
      </c>
      <c r="LA601" s="276">
        <f>$H601*SUMIFS(axTER!$E$65:$E$105,axTER!$D$65:$D$105,KY601,axTER!$C$65:$C$105,KW601)/SUMIFS(axTER!$E$108:$E$114,axTER!$C$108:$C$114,KZ601)/10^9*$D$514</f>
        <v>0.19776968839109696</v>
      </c>
      <c r="LC601" s="269">
        <v>750</v>
      </c>
      <c r="LD601" s="66" t="s">
        <v>273</v>
      </c>
      <c r="LE601" s="66" t="s">
        <v>263</v>
      </c>
      <c r="LF601" s="66" t="s">
        <v>255</v>
      </c>
      <c r="LG601" s="283" t="s">
        <v>267</v>
      </c>
      <c r="LH601" s="272">
        <f>$H601*SUMIFS(axTER!$E$65:$E$105,axTER!$C$65:$C$105,LD601,axTER!$D$65:$D$105,LF601)/SUMIFS(axTER!$E$108:$E$114,axTER!$C$108:$C$114,LG601)/10^9*$D$514</f>
        <v>0.72515552410068873</v>
      </c>
      <c r="LJ601" s="273" t="str">
        <f t="shared" si="1026"/>
        <v>ELEC-PAC</v>
      </c>
      <c r="LK601" s="273">
        <f t="shared" si="1030"/>
        <v>0</v>
      </c>
      <c r="LL601" s="273">
        <f>$H601*IF(LP601&lt;&gt;LF601,SUMIFS(axTER!$E$121:$E$128,axTER!$C$121:$C$128,LF601,axTER!$D$121:$D$128,LP601),SUMIFS(axTER!$E$133:$E$138,axTER!$C$133:$C$138,LP601)*LO$510)*$D$514/10^6</f>
        <v>207.65817281065179</v>
      </c>
      <c r="LM601" s="274">
        <f>$H601*IF(LQ601&lt;&gt;LG601,SUMIFS(axTER!$E$142:$E$148,axTER!$C$142:$C$148,LQ601),SUMIFS(axTER!$E$151:$E$157,axTER!$C$151:$C$157,LQ601)*LO$510)/10^6*$D$514</f>
        <v>593.30906517329083</v>
      </c>
      <c r="LN601" s="275" t="s">
        <v>273</v>
      </c>
      <c r="LO601" s="161" t="s">
        <v>263</v>
      </c>
      <c r="LP601" s="161" t="s">
        <v>255</v>
      </c>
      <c r="LQ601" s="161" t="s">
        <v>261</v>
      </c>
      <c r="LR601" s="276">
        <f>$H601*SUMIFS(axTER!$E$65:$E$105,axTER!$D$65:$D$105,LP601,axTER!$C$65:$C$105,LN601)/SUMIFS(axTER!$E$108:$E$114,axTER!$C$108:$C$114,LQ601)/10^9*$D$514</f>
        <v>0.21754665723020661</v>
      </c>
      <c r="LT601" s="273">
        <f t="shared" si="1027"/>
        <v>0</v>
      </c>
      <c r="LU601" s="273">
        <f t="shared" si="1028"/>
        <v>0</v>
      </c>
      <c r="LV601" s="273">
        <f>$H601*IF(LZ601&lt;&gt;LP601,SUMIFS(axTER!$E$121:$E$128,axTER!$C$121:$C$128,LP601,axTER!$D$121:$D$128,LZ601),SUMIFS(axTER!$E$133:$E$138,axTER!$C$133:$C$138,LZ601)*LY$510)*$D$514/10^6</f>
        <v>296.65453258664542</v>
      </c>
      <c r="LW601" s="274">
        <f>$H601*IF(MA601&lt;&gt;LQ601,SUMIFS(axTER!$E$142:$E$148,axTER!$C$142:$C$148,MA601),SUMIFS(axTER!$E$151:$E$157,axTER!$C$151:$C$157,MA601)*LY$510)/10^6*$D$514</f>
        <v>207.65817281065182</v>
      </c>
      <c r="LX601" s="275" t="s">
        <v>273</v>
      </c>
      <c r="LY601" s="161" t="s">
        <v>263</v>
      </c>
      <c r="LZ601" s="161" t="s">
        <v>255</v>
      </c>
      <c r="MA601" s="161" t="s">
        <v>261</v>
      </c>
      <c r="MB601" s="276">
        <f>$H601*SUMIFS(axTER!$E$65:$E$105,axTER!$D$65:$D$105,LZ601,axTER!$C$65:$C$105,LX601)/SUMIFS(axTER!$E$108:$E$114,axTER!$C$108:$C$114,MA601)/10^9*$D$514</f>
        <v>0.21754665723020661</v>
      </c>
      <c r="MD601" s="273">
        <f t="shared" si="1019"/>
        <v>0</v>
      </c>
      <c r="ME601" s="273">
        <f t="shared" si="1029"/>
        <v>0</v>
      </c>
      <c r="MF601" s="273">
        <f>$H601*IF(MJ601&lt;&gt;LZ601,SUMIFS(axTER!$E$121:$E$128,axTER!$C$121:$C$128,LZ601,axTER!$D$121:$D$128,MJ601),SUMIFS(axTER!$E$133:$E$138,axTER!$C$133:$C$138,MJ601)*MI$510)*$D$514/10^6</f>
        <v>296.65453258664542</v>
      </c>
      <c r="MG601" s="274">
        <f>$H601*IF(MK601&lt;&gt;MA601,SUMIFS(axTER!$E$142:$E$148,axTER!$C$142:$C$148,MK601),SUMIFS(axTER!$E$151:$E$157,axTER!$C$151:$C$157,MK601)*MI$510)/10^6*$D$514</f>
        <v>207.65817281065182</v>
      </c>
      <c r="MH601" s="275" t="s">
        <v>273</v>
      </c>
      <c r="MI601" s="161" t="s">
        <v>263</v>
      </c>
      <c r="MJ601" s="161" t="s">
        <v>255</v>
      </c>
      <c r="MK601" s="161" t="s">
        <v>261</v>
      </c>
      <c r="ML601" s="276">
        <f>$H601*SUMIFS(axTER!$E$65:$E$105,axTER!$D$65:$D$105,MJ601,axTER!$C$65:$C$105,MH601)/SUMIFS(axTER!$E$108:$E$114,axTER!$C$108:$C$114,MK601)/10^9*$D$514</f>
        <v>0.21754665723020661</v>
      </c>
    </row>
    <row r="602" spans="3:350" outlineLevel="1" x14ac:dyDescent="0.3">
      <c r="C602" s="267"/>
      <c r="F602" s="266"/>
      <c r="H602" s="269">
        <v>1200</v>
      </c>
      <c r="I602" s="66" t="s">
        <v>273</v>
      </c>
      <c r="J602" s="66" t="s">
        <v>265</v>
      </c>
      <c r="K602" s="66" t="s">
        <v>255</v>
      </c>
      <c r="L602" s="283" t="s">
        <v>261</v>
      </c>
      <c r="M602" s="272">
        <f>$H602*SUMIFS(axTER!$E$65:$E$105,axTER!$C$65:$C$105,I602,axTER!$D$65:$D$105,K602)/SUMIFS(axTER!$E$108:$E$114,axTER!$C$108:$C$114,L602)/10^9*$D$514</f>
        <v>0.34807465156833062</v>
      </c>
      <c r="S602" s="269">
        <v>1200</v>
      </c>
      <c r="T602" s="66" t="s">
        <v>273</v>
      </c>
      <c r="U602" s="66" t="s">
        <v>265</v>
      </c>
      <c r="V602" s="66" t="s">
        <v>255</v>
      </c>
      <c r="W602" s="283" t="s">
        <v>261</v>
      </c>
      <c r="X602" s="272">
        <f>$H602*SUMIFS(axTER!$E$65:$E$105,axTER!$C$65:$C$105,T602,axTER!$D$65:$D$105,V602)/SUMIFS(axTER!$E$108:$E$114,axTER!$C$108:$C$114,W602)/10^9*$D$514</f>
        <v>0.34807465156833062</v>
      </c>
      <c r="AB602" s="273">
        <f>$H602*IF(AF602&lt;&gt;K602,SUMIFS(axTER!$E$121:$E$128,axTER!$C$121:$C$128,K602,axTER!$D$121:$D$128,AF602),SUMIFS(axTER!$E$133:$E$138,axTER!$C$133:$C$138,AF602)*AE$510)*$D$514/10^6</f>
        <v>474.64725213863267</v>
      </c>
      <c r="AC602" s="274">
        <f>$H602*IF(AG602&lt;&gt;L602,SUMIFS(axTER!$E$142:$E$148,axTER!$C$142:$C$148,AG602),SUMIFS(axTER!$E$151:$E$157,axTER!$C$151:$C$157,AG602)*AE$510)/10^6*$D$514</f>
        <v>332.25307649704291</v>
      </c>
      <c r="AD602" s="275" t="s">
        <v>273</v>
      </c>
      <c r="AE602" s="161" t="s">
        <v>265</v>
      </c>
      <c r="AF602" s="161" t="s">
        <v>255</v>
      </c>
      <c r="AG602" s="284" t="s">
        <v>261</v>
      </c>
      <c r="AH602" s="276">
        <f>$H602*SUMIFS(axTER!$E$65:$E$105,axTER!$D$65:$D$105,AF602,axTER!$C$65:$C$105,AD602)/SUMIFS(axTER!$E$108:$E$114,axTER!$C$108:$C$114,AG602)/10^9*$D$514</f>
        <v>0.34807465156833062</v>
      </c>
      <c r="AV602" s="273">
        <f>$H602*IF(AZ602&lt;&gt;AF602,SUMIFS(axTER!$E$121:$E$128,axTER!$C$121:$C$128,AF602,axTER!$D$121:$D$128,AZ602),SUMIFS(axTER!$E$133:$E$138,axTER!$C$133:$C$138,AZ602)*AY$510)*$D$514/10^6</f>
        <v>949.29450427726533</v>
      </c>
      <c r="AW602" s="274">
        <f>$H602*IF(BA602&lt;&gt;AG602,SUMIFS(axTER!$E$142:$E$148,axTER!$C$142:$C$148,BA602),SUMIFS(axTER!$E$151:$E$157,axTER!$C$151:$C$157,BA602)*AY$510)/10^6*$D$514</f>
        <v>664.50615299408582</v>
      </c>
      <c r="AX602" s="275" t="s">
        <v>273</v>
      </c>
      <c r="AY602" s="161" t="s">
        <v>265</v>
      </c>
      <c r="AZ602" s="161" t="s">
        <v>255</v>
      </c>
      <c r="BA602" s="284" t="s">
        <v>261</v>
      </c>
      <c r="BB602" s="276">
        <f>$H602*SUMIFS(axTER!$E$65:$E$105,axTER!$D$65:$D$105,AZ602,axTER!$C$65:$C$105,AX602)/SUMIFS(axTER!$E$108:$E$114,axTER!$C$108:$C$114,BA602)/10^9*$D$514</f>
        <v>0.34807465156833062</v>
      </c>
      <c r="IG602" s="269">
        <v>1200</v>
      </c>
      <c r="IH602" s="66" t="s">
        <v>273</v>
      </c>
      <c r="II602" s="66" t="s">
        <v>265</v>
      </c>
      <c r="IJ602" s="66" t="s">
        <v>255</v>
      </c>
      <c r="IK602" s="283" t="s">
        <v>261</v>
      </c>
      <c r="IL602" s="272">
        <f>$H602*SUMIFS(axTER!$E$65:$E$105,axTER!$C$65:$C$105,IH602,axTER!$D$65:$D$105,IJ602)/SUMIFS(axTER!$E$108:$E$114,axTER!$C$108:$C$114,IK602)/10^9*$D$514</f>
        <v>0.34807465156833062</v>
      </c>
      <c r="IO602" s="273">
        <f t="shared" si="1020"/>
        <v>0</v>
      </c>
      <c r="IP602" s="273">
        <f>$H602*IF(IT602&lt;&gt;IJ602,SUMIFS(axTER!$E$121:$E$128,axTER!$C$121:$C$128,IJ602,axTER!$D$121:$D$128,IT602),SUMIFS(axTER!$E$133:$E$138,axTER!$C$133:$C$138,IT602)*IS$510)*$D$514/10^6</f>
        <v>474.64725213863267</v>
      </c>
      <c r="IQ602" s="274">
        <f>$H602*IF(IU602&lt;&gt;IK602,SUMIFS(axTER!$E$142:$E$148,axTER!$C$142:$C$148,IU602),SUMIFS(axTER!$E$151:$E$157,axTER!$C$151:$C$157,IU602)*IS$510)/10^6*$D$514</f>
        <v>332.25307649704291</v>
      </c>
      <c r="IR602" s="275" t="s">
        <v>273</v>
      </c>
      <c r="IS602" s="161" t="s">
        <v>265</v>
      </c>
      <c r="IT602" s="161" t="s">
        <v>255</v>
      </c>
      <c r="IU602" s="284" t="s">
        <v>261</v>
      </c>
      <c r="IV602" s="276">
        <f>$H602*SUMIFS(axTER!$E$65:$E$105,axTER!$D$65:$D$105,IT602,axTER!$C$65:$C$105,IR602)/SUMIFS(axTER!$E$108:$E$114,axTER!$C$108:$C$114,IU602)/10^9*$D$514</f>
        <v>0.34807465156833062</v>
      </c>
      <c r="JI602" s="273">
        <f t="shared" si="1021"/>
        <v>0</v>
      </c>
      <c r="JJ602" s="273">
        <f>$H602*IF(JN602&lt;&gt;IT602,SUMIFS(axTER!$E$121:$E$128,axTER!$C$121:$C$128,IT602,axTER!$D$121:$D$128,JN602),SUMIFS(axTER!$E$133:$E$138,axTER!$C$133:$C$138,JN602)*JM$510)*$D$514/10^6</f>
        <v>949.29450427726533</v>
      </c>
      <c r="JK602" s="274">
        <f>$H602*IF(JO602&lt;&gt;IU602,SUMIFS(axTER!$E$142:$E$148,axTER!$C$142:$C$148,JO602),SUMIFS(axTER!$E$151:$E$157,axTER!$C$151:$C$157,JO602)*JM$510)/10^6*$D$514</f>
        <v>664.50615299408582</v>
      </c>
      <c r="JL602" s="275" t="s">
        <v>273</v>
      </c>
      <c r="JM602" s="161" t="s">
        <v>265</v>
      </c>
      <c r="JN602" s="161" t="s">
        <v>255</v>
      </c>
      <c r="JO602" s="284" t="s">
        <v>261</v>
      </c>
      <c r="JP602" s="276">
        <f>$H602*SUMIFS(axTER!$E$65:$E$105,axTER!$D$65:$D$105,JN602,axTER!$C$65:$C$105,JL602)/SUMIFS(axTER!$E$108:$E$114,axTER!$C$108:$C$114,JO602)/10^9*$D$514</f>
        <v>0.34807465156833062</v>
      </c>
      <c r="JR602" s="269">
        <v>1200</v>
      </c>
      <c r="JS602" s="66" t="s">
        <v>273</v>
      </c>
      <c r="JT602" s="66" t="s">
        <v>265</v>
      </c>
      <c r="JU602" s="66" t="s">
        <v>255</v>
      </c>
      <c r="JV602" s="283" t="s">
        <v>261</v>
      </c>
      <c r="JW602" s="272">
        <f>$H602*SUMIFS(axTER!$E$65:$E$105,axTER!$C$65:$C$105,JS602,axTER!$D$65:$D$105,JU602)/SUMIFS(axTER!$E$108:$E$114,axTER!$C$108:$C$114,JV602)/10^9*$D$514</f>
        <v>0.34807465156833062</v>
      </c>
      <c r="JY602" s="273">
        <f t="shared" si="1022"/>
        <v>0</v>
      </c>
      <c r="JZ602" s="273">
        <f t="shared" si="1023"/>
        <v>0</v>
      </c>
      <c r="KA602" s="273">
        <f>$H602*IF(KE602&lt;&gt;JU602,SUMIFS(axTER!$E$121:$E$128,axTER!$C$121:$C$128,JU602,axTER!$D$121:$D$128,KE602),SUMIFS(axTER!$E$133:$E$138,axTER!$C$133:$C$138,KE602)*KD$510)*$D$514/10^6</f>
        <v>332.25307649704285</v>
      </c>
      <c r="KB602" s="274">
        <f>$H602*IF(KF602&lt;&gt;JV602,SUMIFS(axTER!$E$142:$E$148,axTER!$C$142:$C$148,KF602),SUMIFS(axTER!$E$151:$E$157,axTER!$C$151:$C$157,KF602)*KD$510)/10^6*$D$514</f>
        <v>232.57715354792998</v>
      </c>
      <c r="KC602" s="275" t="s">
        <v>273</v>
      </c>
      <c r="KD602" s="161" t="s">
        <v>265</v>
      </c>
      <c r="KE602" s="161" t="s">
        <v>255</v>
      </c>
      <c r="KF602" s="284" t="s">
        <v>261</v>
      </c>
      <c r="KG602" s="276">
        <f>$H602*SUMIFS(axTER!$E$65:$E$105,axTER!$D$65:$D$105,KE602,axTER!$C$65:$C$105,KC602)/SUMIFS(axTER!$E$108:$E$114,axTER!$C$108:$C$114,KF602)/10^9*$D$514</f>
        <v>0.34807465156833062</v>
      </c>
      <c r="KS602" s="273">
        <f t="shared" si="1024"/>
        <v>0</v>
      </c>
      <c r="KT602" s="273">
        <f t="shared" si="1025"/>
        <v>1200</v>
      </c>
      <c r="KU602" s="273">
        <f>$H602*IF(KY602&lt;&gt;KE602,SUMIFS(axTER!$E$121:$E$128,axTER!$C$121:$C$128,KE602,axTER!$D$121:$D$128,KY602),SUMIFS(axTER!$E$133:$E$138,axTER!$C$133:$C$138,KY602)*KX$510)*$D$514/10^6</f>
        <v>1186.6181303465817</v>
      </c>
      <c r="KV602" s="274">
        <f>$H602*IF(KZ602&lt;&gt;KF602,SUMIFS(axTER!$E$142:$E$148,axTER!$C$142:$C$148,KZ602),SUMIFS(axTER!$E$151:$E$157,axTER!$C$151:$C$157,KZ602)*KX$510)/10^6*$D$514</f>
        <v>664.50615299408582</v>
      </c>
      <c r="KW602" s="275" t="s">
        <v>273</v>
      </c>
      <c r="KX602" s="161" t="s">
        <v>265</v>
      </c>
      <c r="KY602" s="161" t="s">
        <v>262</v>
      </c>
      <c r="KZ602" s="284" t="s">
        <v>261</v>
      </c>
      <c r="LA602" s="276">
        <f>$H602*SUMIFS(axTER!$E$65:$E$105,axTER!$D$65:$D$105,KY602,axTER!$C$65:$C$105,KW602)/SUMIFS(axTER!$E$108:$E$114,axTER!$C$108:$C$114,KZ602)/10^9*$D$514</f>
        <v>0.3164315014257551</v>
      </c>
      <c r="LC602" s="269">
        <v>1200</v>
      </c>
      <c r="LD602" s="66" t="s">
        <v>273</v>
      </c>
      <c r="LE602" s="66" t="s">
        <v>265</v>
      </c>
      <c r="LF602" s="66" t="s">
        <v>255</v>
      </c>
      <c r="LG602" s="283" t="s">
        <v>261</v>
      </c>
      <c r="LH602" s="272">
        <f>$H602*SUMIFS(axTER!$E$65:$E$105,axTER!$C$65:$C$105,LD602,axTER!$D$65:$D$105,LF602)/SUMIFS(axTER!$E$108:$E$114,axTER!$C$108:$C$114,LG602)/10^9*$D$514</f>
        <v>0.34807465156833062</v>
      </c>
      <c r="LJ602" s="273">
        <f t="shared" si="1026"/>
        <v>0</v>
      </c>
      <c r="LK602" s="273">
        <f t="shared" si="1030"/>
        <v>0</v>
      </c>
      <c r="LL602" s="273">
        <f>$H602*IF(LP602&lt;&gt;LF602,SUMIFS(axTER!$E$121:$E$128,axTER!$C$121:$C$128,LF602,axTER!$D$121:$D$128,LP602),SUMIFS(axTER!$E$133:$E$138,axTER!$C$133:$C$138,LP602)*LO$510)*$D$514/10^6</f>
        <v>332.25307649704285</v>
      </c>
      <c r="LM602" s="274">
        <f>$H602*IF(LQ602&lt;&gt;LG602,SUMIFS(axTER!$E$142:$E$148,axTER!$C$142:$C$148,LQ602),SUMIFS(axTER!$E$151:$E$157,axTER!$C$151:$C$157,LQ602)*LO$510)/10^6*$D$514</f>
        <v>232.57715354792998</v>
      </c>
      <c r="LN602" s="275" t="s">
        <v>273</v>
      </c>
      <c r="LO602" s="161" t="s">
        <v>265</v>
      </c>
      <c r="LP602" s="161" t="s">
        <v>255</v>
      </c>
      <c r="LQ602" s="161" t="s">
        <v>261</v>
      </c>
      <c r="LR602" s="276">
        <f>$H602*SUMIFS(axTER!$E$65:$E$105,axTER!$D$65:$D$105,LP602,axTER!$C$65:$C$105,LN602)/SUMIFS(axTER!$E$108:$E$114,axTER!$C$108:$C$114,LQ602)/10^9*$D$514</f>
        <v>0.34807465156833062</v>
      </c>
      <c r="LT602" s="273">
        <f t="shared" si="1027"/>
        <v>0</v>
      </c>
      <c r="LU602" s="273">
        <f t="shared" si="1028"/>
        <v>0</v>
      </c>
      <c r="LV602" s="273">
        <f>$H602*IF(LZ602&lt;&gt;LP602,SUMIFS(axTER!$E$121:$E$128,axTER!$C$121:$C$128,LP602,axTER!$D$121:$D$128,LZ602),SUMIFS(axTER!$E$133:$E$138,axTER!$C$133:$C$138,LZ602)*LY$510)*$D$514/10^6</f>
        <v>474.64725213863267</v>
      </c>
      <c r="LW602" s="274">
        <f>$H602*IF(MA602&lt;&gt;LQ602,SUMIFS(axTER!$E$142:$E$148,axTER!$C$142:$C$148,MA602),SUMIFS(axTER!$E$151:$E$157,axTER!$C$151:$C$157,MA602)*LY$510)/10^6*$D$514</f>
        <v>332.25307649704291</v>
      </c>
      <c r="LX602" s="275" t="s">
        <v>273</v>
      </c>
      <c r="LY602" s="161" t="s">
        <v>265</v>
      </c>
      <c r="LZ602" s="161" t="s">
        <v>255</v>
      </c>
      <c r="MA602" s="161" t="s">
        <v>261</v>
      </c>
      <c r="MB602" s="276">
        <f>$H602*SUMIFS(axTER!$E$65:$E$105,axTER!$D$65:$D$105,LZ602,axTER!$C$65:$C$105,LX602)/SUMIFS(axTER!$E$108:$E$114,axTER!$C$108:$C$114,MA602)/10^9*$D$514</f>
        <v>0.34807465156833062</v>
      </c>
      <c r="MD602" s="273">
        <f t="shared" si="1019"/>
        <v>0</v>
      </c>
      <c r="ME602" s="273">
        <f t="shared" si="1029"/>
        <v>0</v>
      </c>
      <c r="MF602" s="273">
        <f>$H602*IF(MJ602&lt;&gt;LZ602,SUMIFS(axTER!$E$121:$E$128,axTER!$C$121:$C$128,LZ602,axTER!$D$121:$D$128,MJ602),SUMIFS(axTER!$E$133:$E$138,axTER!$C$133:$C$138,MJ602)*MI$510)*$D$514/10^6</f>
        <v>474.64725213863267</v>
      </c>
      <c r="MG602" s="274">
        <f>$H602*IF(MK602&lt;&gt;MA602,SUMIFS(axTER!$E$142:$E$148,axTER!$C$142:$C$148,MK602),SUMIFS(axTER!$E$151:$E$157,axTER!$C$151:$C$157,MK602)*MI$510)/10^6*$D$514</f>
        <v>332.25307649704291</v>
      </c>
      <c r="MH602" s="275" t="s">
        <v>273</v>
      </c>
      <c r="MI602" s="161" t="s">
        <v>265</v>
      </c>
      <c r="MJ602" s="161" t="s">
        <v>255</v>
      </c>
      <c r="MK602" s="161" t="s">
        <v>261</v>
      </c>
      <c r="ML602" s="276">
        <f>$H602*SUMIFS(axTER!$E$65:$E$105,axTER!$D$65:$D$105,MJ602,axTER!$C$65:$C$105,MH602)/SUMIFS(axTER!$E$108:$E$114,axTER!$C$108:$C$114,MK602)/10^9*$D$514</f>
        <v>0.34807465156833062</v>
      </c>
    </row>
    <row r="603" spans="3:350" hidden="1" outlineLevel="1" x14ac:dyDescent="0.3">
      <c r="C603" s="267"/>
      <c r="F603" s="266"/>
      <c r="H603" s="269">
        <v>1200</v>
      </c>
      <c r="I603" s="66" t="s">
        <v>274</v>
      </c>
      <c r="J603" s="66" t="s">
        <v>254</v>
      </c>
      <c r="K603" s="66" t="s">
        <v>255</v>
      </c>
      <c r="L603" s="283" t="s">
        <v>256</v>
      </c>
      <c r="M603" s="272">
        <f>$H603*SUMIFS(axTER!$E$65:$E$105,axTER!$C$65:$C$105,I603,axTER!$D$65:$D$105,K603)/SUMIFS(axTER!$E$108:$E$114,axTER!$C$108:$C$114,L603)/10^9*$D$514</f>
        <v>1.0991831102157807</v>
      </c>
      <c r="S603" s="269">
        <v>1200</v>
      </c>
      <c r="T603" s="66" t="s">
        <v>274</v>
      </c>
      <c r="U603" s="66" t="s">
        <v>254</v>
      </c>
      <c r="V603" s="66" t="s">
        <v>255</v>
      </c>
      <c r="W603" s="283" t="s">
        <v>256</v>
      </c>
      <c r="X603" s="272">
        <f>$H603*SUMIFS(axTER!$E$65:$E$105,axTER!$C$65:$C$105,T603,axTER!$D$65:$D$105,V603)/SUMIFS(axTER!$E$108:$E$114,axTER!$C$108:$C$114,W603)/10^9*$D$514</f>
        <v>1.0991831102157807</v>
      </c>
      <c r="AB603" s="273">
        <f>$H603*IF(AF603&lt;&gt;K603,SUMIFS(axTER!$E$121:$E$128,axTER!$C$121:$C$128,K603,axTER!$D$121:$D$128,AF603),SUMIFS(axTER!$E$133:$E$138,axTER!$C$133:$C$138,AF603)*AE$510)*$D$514/10^6</f>
        <v>474.64725213863267</v>
      </c>
      <c r="AC603" s="274">
        <f>$H603*IF(AG603&lt;&gt;L603,SUMIFS(axTER!$E$142:$E$148,axTER!$C$142:$C$148,AG603),SUMIFS(axTER!$E$151:$E$157,axTER!$C$151:$C$157,AG603)*AE$510)/10^6*$D$514</f>
        <v>74.756942211834655</v>
      </c>
      <c r="AD603" s="275" t="s">
        <v>274</v>
      </c>
      <c r="AE603" s="161" t="s">
        <v>254</v>
      </c>
      <c r="AF603" s="161" t="s">
        <v>255</v>
      </c>
      <c r="AG603" s="284" t="s">
        <v>256</v>
      </c>
      <c r="AH603" s="276">
        <f>$H603*SUMIFS(axTER!$E$65:$E$105,axTER!$D$65:$D$105,AF603,axTER!$C$65:$C$105,AD603)/SUMIFS(axTER!$E$108:$E$114,axTER!$C$108:$C$114,AG603)/10^9*$D$514</f>
        <v>1.0991831102157807</v>
      </c>
      <c r="AV603" s="273">
        <f>$H603*IF(AZ603&lt;&gt;AF603,SUMIFS(axTER!$E$121:$E$128,axTER!$C$121:$C$128,AF603,axTER!$D$121:$D$128,AZ603),SUMIFS(axTER!$E$133:$E$138,axTER!$C$133:$C$138,AZ603)*AY$510)*$D$514/10^6</f>
        <v>949.29450427726533</v>
      </c>
      <c r="AW603" s="274">
        <f>$H603*IF(BA603&lt;&gt;AG603,SUMIFS(axTER!$E$142:$E$148,axTER!$C$142:$C$148,BA603),SUMIFS(axTER!$E$151:$E$157,axTER!$C$151:$C$157,BA603)*AY$510)/10^6*$D$514</f>
        <v>149.51388442366931</v>
      </c>
      <c r="AX603" s="275" t="s">
        <v>274</v>
      </c>
      <c r="AY603" s="161" t="s">
        <v>254</v>
      </c>
      <c r="AZ603" s="161" t="s">
        <v>255</v>
      </c>
      <c r="BA603" s="284" t="s">
        <v>256</v>
      </c>
      <c r="BB603" s="276">
        <f>$H603*SUMIFS(axTER!$E$65:$E$105,axTER!$D$65:$D$105,AZ603,axTER!$C$65:$C$105,AX603)/SUMIFS(axTER!$E$108:$E$114,axTER!$C$108:$C$114,BA603)/10^9*$D$514</f>
        <v>1.0991831102157807</v>
      </c>
      <c r="IG603" s="269">
        <v>1200</v>
      </c>
      <c r="IH603" s="66" t="s">
        <v>274</v>
      </c>
      <c r="II603" s="66" t="s">
        <v>254</v>
      </c>
      <c r="IJ603" s="66" t="s">
        <v>255</v>
      </c>
      <c r="IK603" s="283" t="s">
        <v>256</v>
      </c>
      <c r="IL603" s="272">
        <f>$H603*SUMIFS(axTER!$E$65:$E$105,axTER!$C$65:$C$105,IH603,axTER!$D$65:$D$105,IJ603)/SUMIFS(axTER!$E$108:$E$114,axTER!$C$108:$C$114,IK603)/10^9*$D$514</f>
        <v>1.0991831102157807</v>
      </c>
      <c r="IO603" s="273">
        <f t="shared" si="1020"/>
        <v>0</v>
      </c>
      <c r="IP603" s="273">
        <f>$H603*IF(IT603&lt;&gt;IJ603,SUMIFS(axTER!$E$121:$E$128,axTER!$C$121:$C$128,IJ603,axTER!$D$121:$D$128,IT603),SUMIFS(axTER!$E$133:$E$138,axTER!$C$133:$C$138,IT603)*IS$510)*$D$514/10^6</f>
        <v>474.64725213863267</v>
      </c>
      <c r="IQ603" s="274">
        <f>$H603*IF(IU603&lt;&gt;IK603,SUMIFS(axTER!$E$142:$E$148,axTER!$C$142:$C$148,IU603),SUMIFS(axTER!$E$151:$E$157,axTER!$C$151:$C$157,IU603)*IS$510)/10^6*$D$514</f>
        <v>74.756942211834655</v>
      </c>
      <c r="IR603" s="275" t="s">
        <v>274</v>
      </c>
      <c r="IS603" s="161" t="s">
        <v>254</v>
      </c>
      <c r="IT603" s="161" t="s">
        <v>255</v>
      </c>
      <c r="IU603" s="284" t="s">
        <v>256</v>
      </c>
      <c r="IV603" s="276">
        <f>$H603*SUMIFS(axTER!$E$65:$E$105,axTER!$D$65:$D$105,IT603,axTER!$C$65:$C$105,IR603)/SUMIFS(axTER!$E$108:$E$114,axTER!$C$108:$C$114,IU603)/10^9*$D$514</f>
        <v>1.0991831102157807</v>
      </c>
      <c r="JI603" s="273">
        <f t="shared" si="1021"/>
        <v>0</v>
      </c>
      <c r="JJ603" s="273">
        <f>$H603*IF(JN603&lt;&gt;IT603,SUMIFS(axTER!$E$121:$E$128,axTER!$C$121:$C$128,IT603,axTER!$D$121:$D$128,JN603),SUMIFS(axTER!$E$133:$E$138,axTER!$C$133:$C$138,JN603)*JM$510)*$D$514/10^6</f>
        <v>949.29450427726533</v>
      </c>
      <c r="JK603" s="274">
        <f>$H603*IF(JO603&lt;&gt;IU603,SUMIFS(axTER!$E$142:$E$148,axTER!$C$142:$C$148,JO603),SUMIFS(axTER!$E$151:$E$157,axTER!$C$151:$C$157,JO603)*JM$510)/10^6*$D$514</f>
        <v>149.51388442366931</v>
      </c>
      <c r="JL603" s="275" t="s">
        <v>274</v>
      </c>
      <c r="JM603" s="161" t="s">
        <v>254</v>
      </c>
      <c r="JN603" s="161" t="s">
        <v>255</v>
      </c>
      <c r="JO603" s="284" t="s">
        <v>256</v>
      </c>
      <c r="JP603" s="276">
        <f>$H603*SUMIFS(axTER!$E$65:$E$105,axTER!$D$65:$D$105,JN603,axTER!$C$65:$C$105,JL603)/SUMIFS(axTER!$E$108:$E$114,axTER!$C$108:$C$114,JO603)/10^9*$D$514</f>
        <v>1.0991831102157807</v>
      </c>
      <c r="JR603" s="269">
        <v>1200</v>
      </c>
      <c r="JS603" s="66" t="s">
        <v>274</v>
      </c>
      <c r="JT603" s="66" t="s">
        <v>254</v>
      </c>
      <c r="JU603" s="66" t="s">
        <v>255</v>
      </c>
      <c r="JV603" s="283" t="s">
        <v>256</v>
      </c>
      <c r="JW603" s="272">
        <f>$H603*SUMIFS(axTER!$E$65:$E$105,axTER!$C$65:$C$105,JS603,axTER!$D$65:$D$105,JU603)/SUMIFS(axTER!$E$108:$E$114,axTER!$C$108:$C$114,JV603)/10^9*$D$514</f>
        <v>1.0991831102157807</v>
      </c>
      <c r="JY603" s="273">
        <f t="shared" si="1022"/>
        <v>0</v>
      </c>
      <c r="JZ603" s="273">
        <f t="shared" si="1023"/>
        <v>0</v>
      </c>
      <c r="KA603" s="273">
        <f>$H603*IF(KE603&lt;&gt;JU603,SUMIFS(axTER!$E$121:$E$128,axTER!$C$121:$C$128,JU603,axTER!$D$121:$D$128,KE603),SUMIFS(axTER!$E$133:$E$138,axTER!$C$133:$C$138,KE603)*KD$510)*$D$514/10^6</f>
        <v>332.25307649704285</v>
      </c>
      <c r="KB603" s="274">
        <f>$H603*IF(KF603&lt;&gt;JV603,SUMIFS(axTER!$E$142:$E$148,axTER!$C$142:$C$148,KF603),SUMIFS(axTER!$E$151:$E$157,axTER!$C$151:$C$157,KF603)*KD$510)/10^6*$D$514</f>
        <v>52.329859548284254</v>
      </c>
      <c r="KC603" s="275" t="s">
        <v>274</v>
      </c>
      <c r="KD603" s="161" t="s">
        <v>254</v>
      </c>
      <c r="KE603" s="161" t="s">
        <v>255</v>
      </c>
      <c r="KF603" s="284" t="s">
        <v>256</v>
      </c>
      <c r="KG603" s="276">
        <f>$H603*SUMIFS(axTER!$E$65:$E$105,axTER!$D$65:$D$105,KE603,axTER!$C$65:$C$105,KC603)/SUMIFS(axTER!$E$108:$E$114,axTER!$C$108:$C$114,KF603)/10^9*$D$514</f>
        <v>1.0991831102157807</v>
      </c>
      <c r="KS603" s="273" t="str">
        <f t="shared" si="1024"/>
        <v>ELEC-PAC</v>
      </c>
      <c r="KT603" s="273">
        <f t="shared" si="1025"/>
        <v>1200</v>
      </c>
      <c r="KU603" s="273">
        <f>$H603*IF(KY603&lt;&gt;KE603,SUMIFS(axTER!$E$121:$E$128,axTER!$C$121:$C$128,KE603,axTER!$D$121:$D$128,KY603),SUMIFS(axTER!$E$133:$E$138,axTER!$C$133:$C$138,KY603)*KX$510)*$D$514/10^6</f>
        <v>2373.2362606931633</v>
      </c>
      <c r="KV603" s="274">
        <f>$H603*IF(KZ603&lt;&gt;KF603,SUMIFS(axTER!$E$142:$E$148,axTER!$C$142:$C$148,KZ603),SUMIFS(axTER!$E$151:$E$157,axTER!$C$151:$C$157,KZ603)*KX$510)/10^6*$D$514</f>
        <v>949.29450427726533</v>
      </c>
      <c r="KW603" s="275" t="s">
        <v>274</v>
      </c>
      <c r="KX603" s="161" t="s">
        <v>254</v>
      </c>
      <c r="KY603" s="161" t="s">
        <v>264</v>
      </c>
      <c r="KZ603" s="284" t="s">
        <v>261</v>
      </c>
      <c r="LA603" s="276">
        <f>$H603*SUMIFS(axTER!$E$65:$E$105,axTER!$D$65:$D$105,KY603,axTER!$C$65:$C$105,KW603)/SUMIFS(axTER!$E$108:$E$114,axTER!$C$108:$C$114,KZ603)/10^9*$D$514</f>
        <v>0.23732362606931634</v>
      </c>
      <c r="LC603" s="269">
        <v>1200</v>
      </c>
      <c r="LD603" s="66" t="s">
        <v>274</v>
      </c>
      <c r="LE603" s="66" t="s">
        <v>254</v>
      </c>
      <c r="LF603" s="66" t="s">
        <v>255</v>
      </c>
      <c r="LG603" s="283" t="s">
        <v>256</v>
      </c>
      <c r="LH603" s="272">
        <f>$H603*SUMIFS(axTER!$E$65:$E$105,axTER!$C$65:$C$105,LD603,axTER!$D$65:$D$105,LF603)/SUMIFS(axTER!$E$108:$E$114,axTER!$C$108:$C$114,LG603)/10^9*$D$514</f>
        <v>1.0991831102157807</v>
      </c>
      <c r="LJ603" s="273">
        <f t="shared" si="1026"/>
        <v>0</v>
      </c>
      <c r="LK603" s="273">
        <f t="shared" si="1030"/>
        <v>0</v>
      </c>
      <c r="LL603" s="273">
        <f>$H603*IF(LP603&lt;&gt;LF603,SUMIFS(axTER!$E$121:$E$128,axTER!$C$121:$C$128,LF603,axTER!$D$121:$D$128,LP603),SUMIFS(axTER!$E$133:$E$138,axTER!$C$133:$C$138,LP603)*LO$510)*$D$514/10^6</f>
        <v>332.25307649704285</v>
      </c>
      <c r="LM603" s="274">
        <f>$H603*IF(LQ603&lt;&gt;LG603,SUMIFS(axTER!$E$142:$E$148,axTER!$C$142:$C$148,LQ603),SUMIFS(axTER!$E$151:$E$157,axTER!$C$151:$C$157,LQ603)*LO$510)/10^6*$D$514</f>
        <v>52.329859548284254</v>
      </c>
      <c r="LN603" s="275" t="s">
        <v>274</v>
      </c>
      <c r="LO603" s="161" t="s">
        <v>254</v>
      </c>
      <c r="LP603" s="161" t="s">
        <v>255</v>
      </c>
      <c r="LQ603" s="161" t="s">
        <v>256</v>
      </c>
      <c r="LR603" s="276">
        <f>$H603*SUMIFS(axTER!$E$65:$E$105,axTER!$D$65:$D$105,LP603,axTER!$C$65:$C$105,LN603)/SUMIFS(axTER!$E$108:$E$114,axTER!$C$108:$C$114,LQ603)/10^9*$D$514</f>
        <v>1.0991831102157807</v>
      </c>
      <c r="LT603" s="273" t="str">
        <f t="shared" si="1027"/>
        <v>URBAIN</v>
      </c>
      <c r="LU603" s="273">
        <f t="shared" si="1028"/>
        <v>1200</v>
      </c>
      <c r="LV603" s="273">
        <f>$H603*IF(LZ603&lt;&gt;LP603,SUMIFS(axTER!$E$121:$E$128,axTER!$C$121:$C$128,LP603,axTER!$D$121:$D$128,LZ603),SUMIFS(axTER!$E$133:$E$138,axTER!$C$133:$C$138,LZ603)*LY$510)*$D$514/10^6</f>
        <v>1186.6181303465817</v>
      </c>
      <c r="LW603" s="274">
        <f>$H603*IF(MA603&lt;&gt;LQ603,SUMIFS(axTER!$E$142:$E$148,axTER!$C$142:$C$148,MA603),SUMIFS(axTER!$E$151:$E$157,axTER!$C$151:$C$157,MA603)*LY$510)/10^6*$D$514</f>
        <v>367.85162040744029</v>
      </c>
      <c r="LX603" s="275" t="s">
        <v>274</v>
      </c>
      <c r="LY603" s="161" t="s">
        <v>254</v>
      </c>
      <c r="LZ603" s="429" t="s">
        <v>262</v>
      </c>
      <c r="MA603" s="429" t="s">
        <v>258</v>
      </c>
      <c r="MB603" s="276">
        <f>$H603*SUMIFS(axTER!$E$65:$E$105,axTER!$D$65:$D$105,LZ603,axTER!$C$65:$C$105,LX603)/SUMIFS(axTER!$E$108:$E$114,axTER!$C$108:$C$114,MA603)/10^9*$D$514</f>
        <v>0.94929450427726536</v>
      </c>
      <c r="MD603" s="273">
        <f t="shared" si="1019"/>
        <v>0</v>
      </c>
      <c r="ME603" s="273">
        <f t="shared" si="1029"/>
        <v>0</v>
      </c>
      <c r="MF603" s="273">
        <f>$H603*IF(MJ603&lt;&gt;LZ603,SUMIFS(axTER!$E$121:$E$128,axTER!$C$121:$C$128,LZ603,axTER!$D$121:$D$128,MJ603),SUMIFS(axTER!$E$133:$E$138,axTER!$C$133:$C$138,MJ603)*MI$510)*$D$514/10^6</f>
        <v>177.99271955198722</v>
      </c>
      <c r="MG603" s="274">
        <f>$H603*IF(MK603&lt;&gt;MA603,SUMIFS(axTER!$E$142:$E$148,axTER!$C$142:$C$148,MK603),SUMIFS(axTER!$E$151:$E$157,axTER!$C$151:$C$157,MK603)*MI$510)/10^6*$D$514</f>
        <v>128.74806714260413</v>
      </c>
      <c r="MH603" s="275" t="s">
        <v>274</v>
      </c>
      <c r="MI603" s="161" t="s">
        <v>254</v>
      </c>
      <c r="MJ603" s="429" t="s">
        <v>262</v>
      </c>
      <c r="MK603" s="161" t="s">
        <v>258</v>
      </c>
      <c r="ML603" s="276">
        <f>$H603*SUMIFS(axTER!$E$65:$E$105,axTER!$D$65:$D$105,MJ603,axTER!$C$65:$C$105,MH603)/SUMIFS(axTER!$E$108:$E$114,axTER!$C$108:$C$114,MK603)/10^9*$D$514</f>
        <v>0.94929450427726536</v>
      </c>
    </row>
    <row r="604" spans="3:350" hidden="1" outlineLevel="1" x14ac:dyDescent="0.3">
      <c r="C604" s="267"/>
      <c r="F604" s="266"/>
      <c r="H604" s="269">
        <v>1200</v>
      </c>
      <c r="I604" s="66" t="s">
        <v>274</v>
      </c>
      <c r="J604" s="66" t="s">
        <v>263</v>
      </c>
      <c r="K604" s="66" t="s">
        <v>255</v>
      </c>
      <c r="L604" s="283" t="s">
        <v>258</v>
      </c>
      <c r="M604" s="272">
        <f>$H604*SUMIFS(axTER!$E$65:$E$105,axTER!$C$65:$C$105,I604,axTER!$D$65:$D$105,K604)/SUMIFS(axTER!$E$108:$E$114,axTER!$C$108:$C$114,L604)/10^9*$D$514</f>
        <v>1.0442239547049919</v>
      </c>
      <c r="S604" s="269">
        <v>1200</v>
      </c>
      <c r="T604" s="66" t="s">
        <v>274</v>
      </c>
      <c r="U604" s="66" t="s">
        <v>263</v>
      </c>
      <c r="V604" s="66" t="s">
        <v>255</v>
      </c>
      <c r="W604" s="283" t="s">
        <v>258</v>
      </c>
      <c r="X604" s="272">
        <f>$H604*SUMIFS(axTER!$E$65:$E$105,axTER!$C$65:$C$105,T604,axTER!$D$65:$D$105,V604)/SUMIFS(axTER!$E$108:$E$114,axTER!$C$108:$C$114,W604)/10^9*$D$514</f>
        <v>1.0442239547049919</v>
      </c>
      <c r="AB604" s="273">
        <f>$H604*IF(AF604&lt;&gt;K604,SUMIFS(axTER!$E$121:$E$128,axTER!$C$121:$C$128,K604,axTER!$D$121:$D$128,AF604),SUMIFS(axTER!$E$133:$E$138,axTER!$C$133:$C$138,AF604)*AE$510)*$D$514/10^6</f>
        <v>474.64725213863267</v>
      </c>
      <c r="AC604" s="274">
        <f>$H604*IF(AG604&lt;&gt;L604,SUMIFS(axTER!$E$142:$E$148,axTER!$C$142:$C$148,AG604),SUMIFS(axTER!$E$151:$E$157,axTER!$C$151:$C$157,AG604)*AE$510)/10^6*$D$514</f>
        <v>128.74806714260413</v>
      </c>
      <c r="AD604" s="275" t="s">
        <v>274</v>
      </c>
      <c r="AE604" s="161" t="s">
        <v>263</v>
      </c>
      <c r="AF604" s="161" t="s">
        <v>255</v>
      </c>
      <c r="AG604" s="284" t="s">
        <v>258</v>
      </c>
      <c r="AH604" s="276">
        <f>$H604*SUMIFS(axTER!$E$65:$E$105,axTER!$D$65:$D$105,AF604,axTER!$C$65:$C$105,AD604)/SUMIFS(axTER!$E$108:$E$114,axTER!$C$108:$C$114,AG604)/10^9*$D$514</f>
        <v>1.0442239547049919</v>
      </c>
      <c r="AV604" s="273">
        <f>$H604*IF(AZ604&lt;&gt;AF604,SUMIFS(axTER!$E$121:$E$128,axTER!$C$121:$C$128,AF604,axTER!$D$121:$D$128,AZ604),SUMIFS(axTER!$E$133:$E$138,axTER!$C$133:$C$138,AZ604)*AY$510)*$D$514/10^6</f>
        <v>949.29450427726533</v>
      </c>
      <c r="AW604" s="274">
        <f>$H604*IF(BA604&lt;&gt;AG604,SUMIFS(axTER!$E$142:$E$148,axTER!$C$142:$C$148,BA604),SUMIFS(axTER!$E$151:$E$157,axTER!$C$151:$C$157,BA604)*AY$510)/10^6*$D$514</f>
        <v>257.49613428520826</v>
      </c>
      <c r="AX604" s="275" t="s">
        <v>274</v>
      </c>
      <c r="AY604" s="161" t="s">
        <v>263</v>
      </c>
      <c r="AZ604" s="161" t="s">
        <v>255</v>
      </c>
      <c r="BA604" s="284" t="s">
        <v>258</v>
      </c>
      <c r="BB604" s="276">
        <f>$H604*SUMIFS(axTER!$E$65:$E$105,axTER!$D$65:$D$105,AZ604,axTER!$C$65:$C$105,AX604)/SUMIFS(axTER!$E$108:$E$114,axTER!$C$108:$C$114,BA604)/10^9*$D$514</f>
        <v>1.0442239547049919</v>
      </c>
      <c r="IG604" s="269">
        <v>1200</v>
      </c>
      <c r="IH604" s="66" t="s">
        <v>274</v>
      </c>
      <c r="II604" s="66" t="s">
        <v>263</v>
      </c>
      <c r="IJ604" s="66" t="s">
        <v>255</v>
      </c>
      <c r="IK604" s="283" t="s">
        <v>258</v>
      </c>
      <c r="IL604" s="272">
        <f>$H604*SUMIFS(axTER!$E$65:$E$105,axTER!$C$65:$C$105,IH604,axTER!$D$65:$D$105,IJ604)/SUMIFS(axTER!$E$108:$E$114,axTER!$C$108:$C$114,IK604)/10^9*$D$514</f>
        <v>1.0442239547049919</v>
      </c>
      <c r="IO604" s="273">
        <f t="shared" si="1020"/>
        <v>1200</v>
      </c>
      <c r="IP604" s="273">
        <f>$H604*IF(IT604&lt;&gt;IJ604,SUMIFS(axTER!$E$121:$E$128,axTER!$C$121:$C$128,IJ604,axTER!$D$121:$D$128,IT604),SUMIFS(axTER!$E$133:$E$138,axTER!$C$133:$C$138,IT604)*IS$510)*$D$514/10^6</f>
        <v>5339.7815865596167</v>
      </c>
      <c r="IQ604" s="274">
        <f>$H604*IF(IU604&lt;&gt;IK604,SUMIFS(axTER!$E$142:$E$148,axTER!$C$142:$C$148,IU604),SUMIFS(axTER!$E$151:$E$157,axTER!$C$151:$C$157,IU604)*IS$510)/10^6*$D$514</f>
        <v>128.74806714260413</v>
      </c>
      <c r="IR604" s="275" t="s">
        <v>274</v>
      </c>
      <c r="IS604" s="161" t="s">
        <v>263</v>
      </c>
      <c r="IT604" s="277" t="s">
        <v>257</v>
      </c>
      <c r="IU604" s="284" t="s">
        <v>258</v>
      </c>
      <c r="IV604" s="276">
        <f>$H604*SUMIFS(axTER!$E$65:$E$105,axTER!$D$65:$D$105,IT604,axTER!$C$65:$C$105,IR604)/SUMIFS(axTER!$E$108:$E$114,axTER!$C$108:$C$114,IU604)/10^9*$D$514</f>
        <v>0.47464725213863268</v>
      </c>
      <c r="JI604" s="273">
        <f t="shared" si="1021"/>
        <v>1200</v>
      </c>
      <c r="JJ604" s="273">
        <f>$H604*IF(JN604&lt;&gt;IT604,SUMIFS(axTER!$E$121:$E$128,axTER!$C$121:$C$128,IT604,axTER!$D$121:$D$128,JN604),SUMIFS(axTER!$E$133:$E$138,axTER!$C$133:$C$138,JN604)*JM$510)*$D$514/10^6</f>
        <v>0</v>
      </c>
      <c r="JK604" s="274">
        <f>$H604*IF(JO604&lt;&gt;IU604,SUMIFS(axTER!$E$142:$E$148,axTER!$C$142:$C$148,JO604),SUMIFS(axTER!$E$151:$E$157,axTER!$C$151:$C$157,JO604)*JM$510)/10^6*$D$514</f>
        <v>257.49613428520826</v>
      </c>
      <c r="JL604" s="275" t="s">
        <v>274</v>
      </c>
      <c r="JM604" s="161" t="s">
        <v>263</v>
      </c>
      <c r="JN604" s="161" t="s">
        <v>255</v>
      </c>
      <c r="JO604" s="284" t="s">
        <v>258</v>
      </c>
      <c r="JP604" s="276">
        <f>$H604*SUMIFS(axTER!$E$65:$E$105,axTER!$D$65:$D$105,JN604,axTER!$C$65:$C$105,JL604)/SUMIFS(axTER!$E$108:$E$114,axTER!$C$108:$C$114,JO604)/10^9*$D$514</f>
        <v>1.0442239547049919</v>
      </c>
      <c r="JR604" s="269">
        <v>1200</v>
      </c>
      <c r="JS604" s="66" t="s">
        <v>274</v>
      </c>
      <c r="JT604" s="66" t="s">
        <v>263</v>
      </c>
      <c r="JU604" s="66" t="s">
        <v>255</v>
      </c>
      <c r="JV604" s="283" t="s">
        <v>258</v>
      </c>
      <c r="JW604" s="272">
        <f>$H604*SUMIFS(axTER!$E$65:$E$105,axTER!$C$65:$C$105,JS604,axTER!$D$65:$D$105,JU604)/SUMIFS(axTER!$E$108:$E$114,axTER!$C$108:$C$114,JV604)/10^9*$D$514</f>
        <v>1.0442239547049919</v>
      </c>
      <c r="JY604" s="273">
        <f t="shared" si="1022"/>
        <v>0</v>
      </c>
      <c r="JZ604" s="273">
        <f t="shared" si="1023"/>
        <v>1200</v>
      </c>
      <c r="KA604" s="273">
        <f>$H604*IF(KE604&lt;&gt;JU604,SUMIFS(axTER!$E$121:$E$128,axTER!$C$121:$C$128,JU604,axTER!$D$121:$D$128,KE604),SUMIFS(axTER!$E$133:$E$138,axTER!$C$133:$C$138,KE604)*KD$510)*$D$514/10^6</f>
        <v>5339.7815865596167</v>
      </c>
      <c r="KB604" s="274">
        <f>$H604*IF(KF604&lt;&gt;JV604,SUMIFS(axTER!$E$142:$E$148,axTER!$C$142:$C$148,KF604),SUMIFS(axTER!$E$151:$E$157,axTER!$C$151:$C$157,KF604)*KD$510)/10^6*$D$514</f>
        <v>90.123646999822896</v>
      </c>
      <c r="KC604" s="275" t="s">
        <v>274</v>
      </c>
      <c r="KD604" s="161" t="s">
        <v>263</v>
      </c>
      <c r="KE604" s="161" t="s">
        <v>257</v>
      </c>
      <c r="KF604" s="284" t="s">
        <v>258</v>
      </c>
      <c r="KG604" s="276">
        <f>$H604*SUMIFS(axTER!$E$65:$E$105,axTER!$D$65:$D$105,KE604,axTER!$C$65:$C$105,KC604)/SUMIFS(axTER!$E$108:$E$114,axTER!$C$108:$C$114,KF604)/10^9*$D$514</f>
        <v>0.47464725213863268</v>
      </c>
      <c r="KS604" s="273">
        <f t="shared" si="1024"/>
        <v>0</v>
      </c>
      <c r="KT604" s="273">
        <f t="shared" si="1025"/>
        <v>0</v>
      </c>
      <c r="KU604" s="273">
        <f>$H604*IF(KY604&lt;&gt;KE604,SUMIFS(axTER!$E$121:$E$128,axTER!$C$121:$C$128,KE604,axTER!$D$121:$D$128,KY604),SUMIFS(axTER!$E$133:$E$138,axTER!$C$133:$C$138,KY604)*KX$510)*$D$514/10^6</f>
        <v>355.98543910397444</v>
      </c>
      <c r="KV604" s="274">
        <f>$H604*IF(KZ604&lt;&gt;KF604,SUMIFS(axTER!$E$142:$E$148,axTER!$C$142:$C$148,KZ604),SUMIFS(axTER!$E$151:$E$157,axTER!$C$151:$C$157,KZ604)*KX$510)/10^6*$D$514</f>
        <v>257.49613428520826</v>
      </c>
      <c r="KW604" s="275" t="s">
        <v>274</v>
      </c>
      <c r="KX604" s="161" t="s">
        <v>263</v>
      </c>
      <c r="KY604" s="161" t="s">
        <v>257</v>
      </c>
      <c r="KZ604" s="284" t="s">
        <v>258</v>
      </c>
      <c r="LA604" s="276">
        <f>$H604*SUMIFS(axTER!$E$65:$E$105,axTER!$D$65:$D$105,KY604,axTER!$C$65:$C$105,KW604)/SUMIFS(axTER!$E$108:$E$114,axTER!$C$108:$C$114,KZ604)/10^9*$D$514</f>
        <v>0.47464725213863268</v>
      </c>
      <c r="LC604" s="269">
        <v>1200</v>
      </c>
      <c r="LD604" s="66" t="s">
        <v>274</v>
      </c>
      <c r="LE604" s="66" t="s">
        <v>263</v>
      </c>
      <c r="LF604" s="66" t="s">
        <v>255</v>
      </c>
      <c r="LG604" s="283" t="s">
        <v>258</v>
      </c>
      <c r="LH604" s="272">
        <f>$H604*SUMIFS(axTER!$E$65:$E$105,axTER!$C$65:$C$105,LD604,axTER!$D$65:$D$105,LF604)/SUMIFS(axTER!$E$108:$E$114,axTER!$C$108:$C$114,LG604)/10^9*$D$514</f>
        <v>1.0442239547049919</v>
      </c>
      <c r="LJ604" s="273">
        <f t="shared" si="1026"/>
        <v>0</v>
      </c>
      <c r="LK604" s="273">
        <f t="shared" si="1030"/>
        <v>0</v>
      </c>
      <c r="LL604" s="273">
        <f>$H604*IF(LP604&lt;&gt;LF604,SUMIFS(axTER!$E$121:$E$128,axTER!$C$121:$C$128,LF604,axTER!$D$121:$D$128,LP604),SUMIFS(axTER!$E$133:$E$138,axTER!$C$133:$C$138,LP604)*LO$510)*$D$514/10^6</f>
        <v>332.25307649704285</v>
      </c>
      <c r="LM604" s="274">
        <f>$H604*IF(LQ604&lt;&gt;LG604,SUMIFS(axTER!$E$142:$E$148,axTER!$C$142:$C$148,LQ604),SUMIFS(axTER!$E$151:$E$157,axTER!$C$151:$C$157,LQ604)*LO$510)/10^6*$D$514</f>
        <v>90.123646999822896</v>
      </c>
      <c r="LN604" s="275" t="s">
        <v>274</v>
      </c>
      <c r="LO604" s="161" t="s">
        <v>263</v>
      </c>
      <c r="LP604" s="161" t="s">
        <v>255</v>
      </c>
      <c r="LQ604" s="161" t="s">
        <v>258</v>
      </c>
      <c r="LR604" s="276">
        <f>$H604*SUMIFS(axTER!$E$65:$E$105,axTER!$D$65:$D$105,LP604,axTER!$C$65:$C$105,LN604)/SUMIFS(axTER!$E$108:$E$114,axTER!$C$108:$C$114,LQ604)/10^9*$D$514</f>
        <v>1.0442239547049919</v>
      </c>
      <c r="LT604" s="273">
        <f t="shared" si="1027"/>
        <v>0</v>
      </c>
      <c r="LU604" s="273">
        <f t="shared" si="1028"/>
        <v>0</v>
      </c>
      <c r="LV604" s="273">
        <f>$H604*IF(LZ604&lt;&gt;LP604,SUMIFS(axTER!$E$121:$E$128,axTER!$C$121:$C$128,LP604,axTER!$D$121:$D$128,LZ604),SUMIFS(axTER!$E$133:$E$138,axTER!$C$133:$C$138,LZ604)*LY$510)*$D$514/10^6</f>
        <v>474.64725213863267</v>
      </c>
      <c r="LW604" s="274">
        <f>$H604*IF(MA604&lt;&gt;LQ604,SUMIFS(axTER!$E$142:$E$148,axTER!$C$142:$C$148,MA604),SUMIFS(axTER!$E$151:$E$157,axTER!$C$151:$C$157,MA604)*LY$510)/10^6*$D$514</f>
        <v>128.74806714260413</v>
      </c>
      <c r="LX604" s="275" t="s">
        <v>274</v>
      </c>
      <c r="LY604" s="161" t="s">
        <v>263</v>
      </c>
      <c r="LZ604" s="161" t="s">
        <v>255</v>
      </c>
      <c r="MA604" s="161" t="s">
        <v>258</v>
      </c>
      <c r="MB604" s="276">
        <f>$H604*SUMIFS(axTER!$E$65:$E$105,axTER!$D$65:$D$105,LZ604,axTER!$C$65:$C$105,LX604)/SUMIFS(axTER!$E$108:$E$114,axTER!$C$108:$C$114,MA604)/10^9*$D$514</f>
        <v>1.0442239547049919</v>
      </c>
      <c r="MD604" s="273">
        <f t="shared" si="1019"/>
        <v>0</v>
      </c>
      <c r="ME604" s="273">
        <f t="shared" si="1029"/>
        <v>1200</v>
      </c>
      <c r="MF604" s="273">
        <f>$H604*IF(MJ604&lt;&gt;LZ604,SUMIFS(axTER!$E$121:$E$128,axTER!$C$121:$C$128,LZ604,axTER!$D$121:$D$128,MJ604),SUMIFS(axTER!$E$133:$E$138,axTER!$C$133:$C$138,MJ604)*MI$510)*$D$514/10^6</f>
        <v>2373.2362606931633</v>
      </c>
      <c r="MG604" s="274">
        <f>$H604*IF(MK604&lt;&gt;MA604,SUMIFS(axTER!$E$142:$E$148,axTER!$C$142:$C$148,MK604),SUMIFS(axTER!$E$151:$E$157,axTER!$C$151:$C$157,MK604)*MI$510)/10^6*$D$514</f>
        <v>128.74806714260413</v>
      </c>
      <c r="MH604" s="275" t="s">
        <v>274</v>
      </c>
      <c r="MI604" s="161" t="s">
        <v>263</v>
      </c>
      <c r="MJ604" s="161" t="s">
        <v>264</v>
      </c>
      <c r="MK604" s="161" t="s">
        <v>258</v>
      </c>
      <c r="ML604" s="276">
        <f>$H604*SUMIFS(axTER!$E$65:$E$105,axTER!$D$65:$D$105,MJ604,axTER!$C$65:$C$105,MH604)/SUMIFS(axTER!$E$108:$E$114,axTER!$C$108:$C$114,MK604)/10^9*$D$514</f>
        <v>0.71197087820794902</v>
      </c>
    </row>
    <row r="605" spans="3:350" outlineLevel="1" x14ac:dyDescent="0.3">
      <c r="C605" s="267"/>
      <c r="F605" s="266"/>
      <c r="H605" s="269">
        <v>1200</v>
      </c>
      <c r="I605" s="66" t="s">
        <v>274</v>
      </c>
      <c r="J605" s="66" t="s">
        <v>265</v>
      </c>
      <c r="K605" s="66" t="s">
        <v>266</v>
      </c>
      <c r="L605" s="283" t="s">
        <v>256</v>
      </c>
      <c r="M605" s="272">
        <f>$H605*SUMIFS(axTER!$E$65:$E$105,axTER!$C$65:$C$105,I605,axTER!$D$65:$D$105,K605)/SUMIFS(axTER!$E$108:$E$114,axTER!$C$108:$C$114,L605)/10^9*$D$514</f>
        <v>0.79940589833874964</v>
      </c>
      <c r="S605" s="269">
        <v>1200</v>
      </c>
      <c r="T605" s="66" t="s">
        <v>274</v>
      </c>
      <c r="U605" s="66" t="s">
        <v>265</v>
      </c>
      <c r="V605" s="66" t="s">
        <v>266</v>
      </c>
      <c r="W605" s="283" t="s">
        <v>256</v>
      </c>
      <c r="X605" s="272">
        <f>$H605*SUMIFS(axTER!$E$65:$E$105,axTER!$C$65:$C$105,T605,axTER!$D$65:$D$105,V605)/SUMIFS(axTER!$E$108:$E$114,axTER!$C$108:$C$114,W605)/10^9*$D$514</f>
        <v>0.79940589833874964</v>
      </c>
      <c r="AB605" s="273">
        <f>$H605*IF(AF605&lt;&gt;K605,SUMIFS(axTER!$E$121:$E$128,axTER!$C$121:$C$128,K605,axTER!$D$121:$D$128,AF605),SUMIFS(axTER!$E$133:$E$138,axTER!$C$133:$C$138,AF605)*AE$510)*$D$514/10^6</f>
        <v>177.99271955198722</v>
      </c>
      <c r="AC605" s="274">
        <f>$H605*IF(AG605&lt;&gt;L605,SUMIFS(axTER!$E$142:$E$148,axTER!$C$142:$C$148,AG605),SUMIFS(axTER!$E$151:$E$157,axTER!$C$151:$C$157,AG605)*AE$510)/10^6*$D$514</f>
        <v>74.756942211834655</v>
      </c>
      <c r="AD605" s="275" t="s">
        <v>274</v>
      </c>
      <c r="AE605" s="161" t="s">
        <v>265</v>
      </c>
      <c r="AF605" s="161" t="s">
        <v>266</v>
      </c>
      <c r="AG605" s="284" t="s">
        <v>256</v>
      </c>
      <c r="AH605" s="276">
        <f>$H605*SUMIFS(axTER!$E$65:$E$105,axTER!$D$65:$D$105,AF605,axTER!$C$65:$C$105,AD605)/SUMIFS(axTER!$E$108:$E$114,axTER!$C$108:$C$114,AG605)/10^9*$D$514</f>
        <v>0.79940589833874964</v>
      </c>
      <c r="AV605" s="273">
        <f>$H605*IF(AZ605&lt;&gt;AF605,SUMIFS(axTER!$E$121:$E$128,axTER!$C$121:$C$128,AF605,axTER!$D$121:$D$128,AZ605),SUMIFS(axTER!$E$133:$E$138,axTER!$C$133:$C$138,AZ605)*AY$510)*$D$514/10^6</f>
        <v>355.98543910397444</v>
      </c>
      <c r="AW605" s="274">
        <f>$H605*IF(BA605&lt;&gt;AG605,SUMIFS(axTER!$E$142:$E$148,axTER!$C$142:$C$148,BA605),SUMIFS(axTER!$E$151:$E$157,axTER!$C$151:$C$157,BA605)*AY$510)/10^6*$D$514</f>
        <v>149.51388442366931</v>
      </c>
      <c r="AX605" s="275" t="s">
        <v>274</v>
      </c>
      <c r="AY605" s="161" t="s">
        <v>265</v>
      </c>
      <c r="AZ605" s="161" t="s">
        <v>266</v>
      </c>
      <c r="BA605" s="284" t="s">
        <v>256</v>
      </c>
      <c r="BB605" s="276">
        <f>$H605*SUMIFS(axTER!$E$65:$E$105,axTER!$D$65:$D$105,AZ605,axTER!$C$65:$C$105,AX605)/SUMIFS(axTER!$E$108:$E$114,axTER!$C$108:$C$114,BA605)/10^9*$D$514</f>
        <v>0.79940589833874964</v>
      </c>
      <c r="IG605" s="269">
        <v>1200</v>
      </c>
      <c r="IH605" s="66" t="s">
        <v>274</v>
      </c>
      <c r="II605" s="66" t="s">
        <v>265</v>
      </c>
      <c r="IJ605" s="66" t="s">
        <v>266</v>
      </c>
      <c r="IK605" s="283" t="s">
        <v>256</v>
      </c>
      <c r="IL605" s="272">
        <f>$H605*SUMIFS(axTER!$E$65:$E$105,axTER!$C$65:$C$105,IH605,axTER!$D$65:$D$105,IJ605)/SUMIFS(axTER!$E$108:$E$114,axTER!$C$108:$C$114,IK605)/10^9*$D$514</f>
        <v>0.79940589833874964</v>
      </c>
      <c r="IO605" s="273">
        <f t="shared" si="1020"/>
        <v>0</v>
      </c>
      <c r="IP605" s="273">
        <f>$H605*IF(IT605&lt;&gt;IJ605,SUMIFS(axTER!$E$121:$E$128,axTER!$C$121:$C$128,IJ605,axTER!$D$121:$D$128,IT605),SUMIFS(axTER!$E$133:$E$138,axTER!$C$133:$C$138,IT605)*IS$510)*$D$514/10^6</f>
        <v>177.99271955198722</v>
      </c>
      <c r="IQ605" s="274">
        <f>$H605*IF(IU605&lt;&gt;IK605,SUMIFS(axTER!$E$142:$E$148,axTER!$C$142:$C$148,IU605),SUMIFS(axTER!$E$151:$E$157,axTER!$C$151:$C$157,IU605)*IS$510)/10^6*$D$514</f>
        <v>74.756942211834655</v>
      </c>
      <c r="IR605" s="275" t="s">
        <v>274</v>
      </c>
      <c r="IS605" s="161" t="s">
        <v>265</v>
      </c>
      <c r="IT605" s="161" t="s">
        <v>266</v>
      </c>
      <c r="IU605" s="284" t="s">
        <v>256</v>
      </c>
      <c r="IV605" s="276">
        <f>$H605*SUMIFS(axTER!$E$65:$E$105,axTER!$D$65:$D$105,IT605,axTER!$C$65:$C$105,IR605)/SUMIFS(axTER!$E$108:$E$114,axTER!$C$108:$C$114,IU605)/10^9*$D$514</f>
        <v>0.79940589833874964</v>
      </c>
      <c r="JI605" s="273">
        <f t="shared" si="1021"/>
        <v>0</v>
      </c>
      <c r="JJ605" s="273">
        <f>$H605*IF(JN605&lt;&gt;IT605,SUMIFS(axTER!$E$121:$E$128,axTER!$C$121:$C$128,IT605,axTER!$D$121:$D$128,JN605),SUMIFS(axTER!$E$133:$E$138,axTER!$C$133:$C$138,JN605)*JM$510)*$D$514/10^6</f>
        <v>355.98543910397444</v>
      </c>
      <c r="JK605" s="274">
        <f>$H605*IF(JO605&lt;&gt;IU605,SUMIFS(axTER!$E$142:$E$148,axTER!$C$142:$C$148,JO605),SUMIFS(axTER!$E$151:$E$157,axTER!$C$151:$C$157,JO605)*JM$510)/10^6*$D$514</f>
        <v>149.51388442366931</v>
      </c>
      <c r="JL605" s="275" t="s">
        <v>274</v>
      </c>
      <c r="JM605" s="161" t="s">
        <v>265</v>
      </c>
      <c r="JN605" s="161" t="s">
        <v>266</v>
      </c>
      <c r="JO605" s="284" t="s">
        <v>256</v>
      </c>
      <c r="JP605" s="276">
        <f>$H605*SUMIFS(axTER!$E$65:$E$105,axTER!$D$65:$D$105,JN605,axTER!$C$65:$C$105,JL605)/SUMIFS(axTER!$E$108:$E$114,axTER!$C$108:$C$114,JO605)/10^9*$D$514</f>
        <v>0.79940589833874964</v>
      </c>
      <c r="JR605" s="269">
        <v>1200</v>
      </c>
      <c r="JS605" s="66" t="s">
        <v>274</v>
      </c>
      <c r="JT605" s="66" t="s">
        <v>265</v>
      </c>
      <c r="JU605" s="66" t="s">
        <v>266</v>
      </c>
      <c r="JV605" s="283" t="s">
        <v>256</v>
      </c>
      <c r="JW605" s="272">
        <f>$H605*SUMIFS(axTER!$E$65:$E$105,axTER!$C$65:$C$105,JS605,axTER!$D$65:$D$105,JU605)/SUMIFS(axTER!$E$108:$E$114,axTER!$C$108:$C$114,JV605)/10^9*$D$514</f>
        <v>0.79940589833874964</v>
      </c>
      <c r="JY605" s="273">
        <f t="shared" si="1022"/>
        <v>0</v>
      </c>
      <c r="JZ605" s="273">
        <f t="shared" si="1023"/>
        <v>0</v>
      </c>
      <c r="KA605" s="273">
        <f>$H605*IF(KE605&lt;&gt;JU605,SUMIFS(axTER!$E$121:$E$128,axTER!$C$121:$C$128,JU605,axTER!$D$121:$D$128,KE605),SUMIFS(axTER!$E$133:$E$138,axTER!$C$133:$C$138,KE605)*KD$510)*$D$514/10^6</f>
        <v>124.59490368639106</v>
      </c>
      <c r="KB605" s="274">
        <f>$H605*IF(KF605&lt;&gt;JV605,SUMIFS(axTER!$E$142:$E$148,axTER!$C$142:$C$148,KF605),SUMIFS(axTER!$E$151:$E$157,axTER!$C$151:$C$157,KF605)*KD$510)/10^6*$D$514</f>
        <v>52.329859548284254</v>
      </c>
      <c r="KC605" s="275" t="s">
        <v>274</v>
      </c>
      <c r="KD605" s="161" t="s">
        <v>265</v>
      </c>
      <c r="KE605" s="161" t="s">
        <v>266</v>
      </c>
      <c r="KF605" s="284" t="s">
        <v>256</v>
      </c>
      <c r="KG605" s="276">
        <f>$H605*SUMIFS(axTER!$E$65:$E$105,axTER!$D$65:$D$105,KE605,axTER!$C$65:$C$105,KC605)/SUMIFS(axTER!$E$108:$E$114,axTER!$C$108:$C$114,KF605)/10^9*$D$514</f>
        <v>0.79940589833874964</v>
      </c>
      <c r="KS605" s="273">
        <f t="shared" si="1024"/>
        <v>0</v>
      </c>
      <c r="KT605" s="273">
        <f t="shared" si="1025"/>
        <v>0</v>
      </c>
      <c r="KU605" s="273">
        <f>$H605*IF(KY605&lt;&gt;KE605,SUMIFS(axTER!$E$121:$E$128,axTER!$C$121:$C$128,KE605,axTER!$D$121:$D$128,KY605),SUMIFS(axTER!$E$133:$E$138,axTER!$C$133:$C$138,KY605)*KX$510)*$D$514/10^6</f>
        <v>355.98543910397444</v>
      </c>
      <c r="KV605" s="274">
        <f>$H605*IF(KZ605&lt;&gt;KF605,SUMIFS(axTER!$E$142:$E$148,axTER!$C$142:$C$148,KZ605),SUMIFS(axTER!$E$151:$E$157,axTER!$C$151:$C$157,KZ605)*KX$510)/10^6*$D$514</f>
        <v>149.51388442366931</v>
      </c>
      <c r="KW605" s="275" t="s">
        <v>274</v>
      </c>
      <c r="KX605" s="161" t="s">
        <v>265</v>
      </c>
      <c r="KY605" s="161" t="s">
        <v>266</v>
      </c>
      <c r="KZ605" s="284" t="s">
        <v>256</v>
      </c>
      <c r="LA605" s="276">
        <f>$H605*SUMIFS(axTER!$E$65:$E$105,axTER!$D$65:$D$105,KY605,axTER!$C$65:$C$105,KW605)/SUMIFS(axTER!$E$108:$E$114,axTER!$C$108:$C$114,KZ605)/10^9*$D$514</f>
        <v>0.79940589833874964</v>
      </c>
      <c r="LC605" s="269">
        <v>1200</v>
      </c>
      <c r="LD605" s="66" t="s">
        <v>274</v>
      </c>
      <c r="LE605" s="66" t="s">
        <v>265</v>
      </c>
      <c r="LF605" s="66" t="s">
        <v>266</v>
      </c>
      <c r="LG605" s="283" t="s">
        <v>256</v>
      </c>
      <c r="LH605" s="272">
        <f>$H605*SUMIFS(axTER!$E$65:$E$105,axTER!$C$65:$C$105,LD605,axTER!$D$65:$D$105,LF605)/SUMIFS(axTER!$E$108:$E$114,axTER!$C$108:$C$114,LG605)/10^9*$D$514</f>
        <v>0.79940589833874964</v>
      </c>
      <c r="LJ605" s="273">
        <f t="shared" si="1026"/>
        <v>0</v>
      </c>
      <c r="LK605" s="273">
        <f t="shared" si="1030"/>
        <v>0</v>
      </c>
      <c r="LL605" s="273">
        <f>$H605*IF(LP605&lt;&gt;LF605,SUMIFS(axTER!$E$121:$E$128,axTER!$C$121:$C$128,LF605,axTER!$D$121:$D$128,LP605),SUMIFS(axTER!$E$133:$E$138,axTER!$C$133:$C$138,LP605)*LO$510)*$D$514/10^6</f>
        <v>124.59490368639106</v>
      </c>
      <c r="LM605" s="274">
        <f>$H605*IF(LQ605&lt;&gt;LG605,SUMIFS(axTER!$E$142:$E$148,axTER!$C$142:$C$148,LQ605),SUMIFS(axTER!$E$151:$E$157,axTER!$C$151:$C$157,LQ605)*LO$510)/10^6*$D$514</f>
        <v>52.329859548284254</v>
      </c>
      <c r="LN605" s="275" t="s">
        <v>274</v>
      </c>
      <c r="LO605" s="161" t="s">
        <v>265</v>
      </c>
      <c r="LP605" s="161" t="s">
        <v>266</v>
      </c>
      <c r="LQ605" s="161" t="s">
        <v>256</v>
      </c>
      <c r="LR605" s="276">
        <f>$H605*SUMIFS(axTER!$E$65:$E$105,axTER!$D$65:$D$105,LP605,axTER!$C$65:$C$105,LN605)/SUMIFS(axTER!$E$108:$E$114,axTER!$C$108:$C$114,LQ605)/10^9*$D$514</f>
        <v>0.79940589833874964</v>
      </c>
      <c r="LT605" s="273">
        <f t="shared" si="1027"/>
        <v>0</v>
      </c>
      <c r="LU605" s="273">
        <f t="shared" si="1028"/>
        <v>0</v>
      </c>
      <c r="LV605" s="273">
        <f>$H605*IF(LZ605&lt;&gt;LP605,SUMIFS(axTER!$E$121:$E$128,axTER!$C$121:$C$128,LP605,axTER!$D$121:$D$128,LZ605),SUMIFS(axTER!$E$133:$E$138,axTER!$C$133:$C$138,LZ605)*LY$510)*$D$514/10^6</f>
        <v>177.99271955198722</v>
      </c>
      <c r="LW605" s="274">
        <f>$H605*IF(MA605&lt;&gt;LQ605,SUMIFS(axTER!$E$142:$E$148,axTER!$C$142:$C$148,MA605),SUMIFS(axTER!$E$151:$E$157,axTER!$C$151:$C$157,MA605)*LY$510)/10^6*$D$514</f>
        <v>74.756942211834655</v>
      </c>
      <c r="LX605" s="275" t="s">
        <v>274</v>
      </c>
      <c r="LY605" s="161" t="s">
        <v>265</v>
      </c>
      <c r="LZ605" s="161" t="s">
        <v>266</v>
      </c>
      <c r="MA605" s="161" t="s">
        <v>256</v>
      </c>
      <c r="MB605" s="276">
        <f>$H605*SUMIFS(axTER!$E$65:$E$105,axTER!$D$65:$D$105,LZ605,axTER!$C$65:$C$105,LX605)/SUMIFS(axTER!$E$108:$E$114,axTER!$C$108:$C$114,MA605)/10^9*$D$514</f>
        <v>0.79940589833874964</v>
      </c>
      <c r="MD605" s="273" t="str">
        <f t="shared" si="1019"/>
        <v>ELEC-PAC</v>
      </c>
      <c r="ME605" s="273">
        <f t="shared" si="1029"/>
        <v>0</v>
      </c>
      <c r="MF605" s="273">
        <f>$H605*IF(MJ605&lt;&gt;LZ605,SUMIFS(axTER!$E$121:$E$128,axTER!$C$121:$C$128,LZ605,axTER!$D$121:$D$128,MJ605),SUMIFS(axTER!$E$133:$E$138,axTER!$C$133:$C$138,MJ605)*MI$510)*$D$514/10^6</f>
        <v>177.99271955198722</v>
      </c>
      <c r="MG605" s="274">
        <f>$H605*IF(MK605&lt;&gt;MA605,SUMIFS(axTER!$E$142:$E$148,axTER!$C$142:$C$148,MK605),SUMIFS(axTER!$E$151:$E$157,axTER!$C$151:$C$157,MK605)*MI$510)/10^6*$D$514</f>
        <v>949.29450427726533</v>
      </c>
      <c r="MH605" s="275" t="s">
        <v>274</v>
      </c>
      <c r="MI605" s="161" t="s">
        <v>265</v>
      </c>
      <c r="MJ605" s="161" t="s">
        <v>266</v>
      </c>
      <c r="MK605" s="161" t="s">
        <v>261</v>
      </c>
      <c r="ML605" s="276">
        <f>$H605*SUMIFS(axTER!$E$65:$E$105,axTER!$D$65:$D$105,MJ605,axTER!$C$65:$C$105,MH605)/SUMIFS(axTER!$E$108:$E$114,axTER!$C$108:$C$114,MK605)/10^9*$D$514</f>
        <v>0.25314520114060407</v>
      </c>
    </row>
    <row r="606" spans="3:350" outlineLevel="1" x14ac:dyDescent="0.3">
      <c r="C606" s="267"/>
      <c r="F606" s="266"/>
      <c r="H606" s="269">
        <v>750</v>
      </c>
      <c r="I606" s="66" t="s">
        <v>274</v>
      </c>
      <c r="J606" s="66" t="s">
        <v>265</v>
      </c>
      <c r="K606" s="66" t="s">
        <v>266</v>
      </c>
      <c r="L606" s="283" t="s">
        <v>261</v>
      </c>
      <c r="M606" s="272">
        <f>$H606*SUMIFS(axTER!$E$65:$E$105,axTER!$C$65:$C$105,I606,axTER!$D$65:$D$105,K606)/SUMIFS(axTER!$E$108:$E$114,axTER!$C$108:$C$114,L606)/10^9*$D$514</f>
        <v>0.15821575071287755</v>
      </c>
      <c r="S606" s="269">
        <v>750</v>
      </c>
      <c r="T606" s="66" t="s">
        <v>274</v>
      </c>
      <c r="U606" s="66" t="s">
        <v>265</v>
      </c>
      <c r="V606" s="66" t="s">
        <v>266</v>
      </c>
      <c r="W606" s="283" t="s">
        <v>261</v>
      </c>
      <c r="X606" s="272">
        <f>$H606*SUMIFS(axTER!$E$65:$E$105,axTER!$C$65:$C$105,T606,axTER!$D$65:$D$105,V606)/SUMIFS(axTER!$E$108:$E$114,axTER!$C$108:$C$114,W606)/10^9*$D$514</f>
        <v>0.15821575071287755</v>
      </c>
      <c r="AB606" s="273">
        <f>$H606*IF(AF606&lt;&gt;K606,SUMIFS(axTER!$E$121:$E$128,axTER!$C$121:$C$128,K606,axTER!$D$121:$D$128,AF606),SUMIFS(axTER!$E$133:$E$138,axTER!$C$133:$C$138,AF606)*AE$510)*$D$514/10^6</f>
        <v>111.24544971999202</v>
      </c>
      <c r="AC606" s="274">
        <f>$H606*IF(AG606&lt;&gt;L606,SUMIFS(axTER!$E$142:$E$148,axTER!$C$142:$C$148,AG606),SUMIFS(axTER!$E$151:$E$157,axTER!$C$151:$C$157,AG606)*AE$510)/10^6*$D$514</f>
        <v>207.65817281065182</v>
      </c>
      <c r="AD606" s="275" t="s">
        <v>274</v>
      </c>
      <c r="AE606" s="161" t="s">
        <v>265</v>
      </c>
      <c r="AF606" s="161" t="s">
        <v>266</v>
      </c>
      <c r="AG606" s="284" t="s">
        <v>261</v>
      </c>
      <c r="AH606" s="276">
        <f>$H606*SUMIFS(axTER!$E$65:$E$105,axTER!$D$65:$D$105,AF606,axTER!$C$65:$C$105,AD606)/SUMIFS(axTER!$E$108:$E$114,axTER!$C$108:$C$114,AG606)/10^9*$D$514</f>
        <v>0.15821575071287755</v>
      </c>
      <c r="AV606" s="273">
        <f>$H606*IF(AZ606&lt;&gt;AF606,SUMIFS(axTER!$E$121:$E$128,axTER!$C$121:$C$128,AF606,axTER!$D$121:$D$128,AZ606),SUMIFS(axTER!$E$133:$E$138,axTER!$C$133:$C$138,AZ606)*AY$510)*$D$514/10^6</f>
        <v>222.49089943998405</v>
      </c>
      <c r="AW606" s="274">
        <f>$H606*IF(BA606&lt;&gt;AG606,SUMIFS(axTER!$E$142:$E$148,axTER!$C$142:$C$148,BA606),SUMIFS(axTER!$E$151:$E$157,axTER!$C$151:$C$157,BA606)*AY$510)/10^6*$D$514</f>
        <v>415.31634562130364</v>
      </c>
      <c r="AX606" s="275" t="s">
        <v>274</v>
      </c>
      <c r="AY606" s="161" t="s">
        <v>265</v>
      </c>
      <c r="AZ606" s="161" t="s">
        <v>266</v>
      </c>
      <c r="BA606" s="284" t="s">
        <v>261</v>
      </c>
      <c r="BB606" s="276">
        <f>$H606*SUMIFS(axTER!$E$65:$E$105,axTER!$D$65:$D$105,AZ606,axTER!$C$65:$C$105,AX606)/SUMIFS(axTER!$E$108:$E$114,axTER!$C$108:$C$114,BA606)/10^9*$D$514</f>
        <v>0.15821575071287755</v>
      </c>
      <c r="IG606" s="269">
        <v>750</v>
      </c>
      <c r="IH606" s="66" t="s">
        <v>274</v>
      </c>
      <c r="II606" s="66" t="s">
        <v>265</v>
      </c>
      <c r="IJ606" s="66" t="s">
        <v>266</v>
      </c>
      <c r="IK606" s="283" t="s">
        <v>261</v>
      </c>
      <c r="IL606" s="272">
        <f>$H606*SUMIFS(axTER!$E$65:$E$105,axTER!$C$65:$C$105,IH606,axTER!$D$65:$D$105,IJ606)/SUMIFS(axTER!$E$108:$E$114,axTER!$C$108:$C$114,IK606)/10^9*$D$514</f>
        <v>0.15821575071287755</v>
      </c>
      <c r="IO606" s="273">
        <f t="shared" si="1020"/>
        <v>0</v>
      </c>
      <c r="IP606" s="273">
        <f>$H606*IF(IT606&lt;&gt;IJ606,SUMIFS(axTER!$E$121:$E$128,axTER!$C$121:$C$128,IJ606,axTER!$D$121:$D$128,IT606),SUMIFS(axTER!$E$133:$E$138,axTER!$C$133:$C$138,IT606)*IS$510)*$D$514/10^6</f>
        <v>111.24544971999202</v>
      </c>
      <c r="IQ606" s="274">
        <f>$H606*IF(IU606&lt;&gt;IK606,SUMIFS(axTER!$E$142:$E$148,axTER!$C$142:$C$148,IU606),SUMIFS(axTER!$E$151:$E$157,axTER!$C$151:$C$157,IU606)*IS$510)/10^6*$D$514</f>
        <v>207.65817281065182</v>
      </c>
      <c r="IR606" s="275" t="s">
        <v>274</v>
      </c>
      <c r="IS606" s="161" t="s">
        <v>265</v>
      </c>
      <c r="IT606" s="161" t="s">
        <v>266</v>
      </c>
      <c r="IU606" s="284" t="s">
        <v>261</v>
      </c>
      <c r="IV606" s="276">
        <f>$H606*SUMIFS(axTER!$E$65:$E$105,axTER!$D$65:$D$105,IT606,axTER!$C$65:$C$105,IR606)/SUMIFS(axTER!$E$108:$E$114,axTER!$C$108:$C$114,IU606)/10^9*$D$514</f>
        <v>0.15821575071287755</v>
      </c>
      <c r="JI606" s="273">
        <f t="shared" si="1021"/>
        <v>0</v>
      </c>
      <c r="JJ606" s="273">
        <f>$H606*IF(JN606&lt;&gt;IT606,SUMIFS(axTER!$E$121:$E$128,axTER!$C$121:$C$128,IT606,axTER!$D$121:$D$128,JN606),SUMIFS(axTER!$E$133:$E$138,axTER!$C$133:$C$138,JN606)*JM$510)*$D$514/10^6</f>
        <v>222.49089943998405</v>
      </c>
      <c r="JK606" s="274">
        <f>$H606*IF(JO606&lt;&gt;IU606,SUMIFS(axTER!$E$142:$E$148,axTER!$C$142:$C$148,JO606),SUMIFS(axTER!$E$151:$E$157,axTER!$C$151:$C$157,JO606)*JM$510)/10^6*$D$514</f>
        <v>415.31634562130364</v>
      </c>
      <c r="JL606" s="275" t="s">
        <v>274</v>
      </c>
      <c r="JM606" s="161" t="s">
        <v>265</v>
      </c>
      <c r="JN606" s="161" t="s">
        <v>266</v>
      </c>
      <c r="JO606" s="284" t="s">
        <v>261</v>
      </c>
      <c r="JP606" s="276">
        <f>$H606*SUMIFS(axTER!$E$65:$E$105,axTER!$D$65:$D$105,JN606,axTER!$C$65:$C$105,JL606)/SUMIFS(axTER!$E$108:$E$114,axTER!$C$108:$C$114,JO606)/10^9*$D$514</f>
        <v>0.15821575071287755</v>
      </c>
      <c r="JR606" s="269">
        <v>750</v>
      </c>
      <c r="JS606" s="66" t="s">
        <v>274</v>
      </c>
      <c r="JT606" s="66" t="s">
        <v>265</v>
      </c>
      <c r="JU606" s="66" t="s">
        <v>266</v>
      </c>
      <c r="JV606" s="283" t="s">
        <v>261</v>
      </c>
      <c r="JW606" s="272">
        <f>$H606*SUMIFS(axTER!$E$65:$E$105,axTER!$C$65:$C$105,JS606,axTER!$D$65:$D$105,JU606)/SUMIFS(axTER!$E$108:$E$114,axTER!$C$108:$C$114,JV606)/10^9*$D$514</f>
        <v>0.15821575071287755</v>
      </c>
      <c r="JY606" s="273">
        <f t="shared" si="1022"/>
        <v>0</v>
      </c>
      <c r="JZ606" s="273">
        <f t="shared" si="1023"/>
        <v>0</v>
      </c>
      <c r="KA606" s="273">
        <f>$H606*IF(KE606&lt;&gt;JU606,SUMIFS(axTER!$E$121:$E$128,axTER!$C$121:$C$128,JU606,axTER!$D$121:$D$128,KE606),SUMIFS(axTER!$E$133:$E$138,axTER!$C$133:$C$138,KE606)*KD$510)*$D$514/10^6</f>
        <v>77.871814803994411</v>
      </c>
      <c r="KB606" s="274">
        <f>$H606*IF(KF606&lt;&gt;JV606,SUMIFS(axTER!$E$142:$E$148,axTER!$C$142:$C$148,KF606),SUMIFS(axTER!$E$151:$E$157,axTER!$C$151:$C$157,KF606)*KD$510)/10^6*$D$514</f>
        <v>145.36072096745625</v>
      </c>
      <c r="KC606" s="275" t="s">
        <v>274</v>
      </c>
      <c r="KD606" s="161" t="s">
        <v>265</v>
      </c>
      <c r="KE606" s="161" t="s">
        <v>266</v>
      </c>
      <c r="KF606" s="284" t="s">
        <v>261</v>
      </c>
      <c r="KG606" s="276">
        <f>$H606*SUMIFS(axTER!$E$65:$E$105,axTER!$D$65:$D$105,KE606,axTER!$C$65:$C$105,KC606)/SUMIFS(axTER!$E$108:$E$114,axTER!$C$108:$C$114,KF606)/10^9*$D$514</f>
        <v>0.15821575071287755</v>
      </c>
      <c r="KS606" s="273">
        <f t="shared" si="1024"/>
        <v>0</v>
      </c>
      <c r="KT606" s="273">
        <f t="shared" si="1025"/>
        <v>0</v>
      </c>
      <c r="KU606" s="273">
        <f>$H606*IF(KY606&lt;&gt;KE606,SUMIFS(axTER!$E$121:$E$128,axTER!$C$121:$C$128,KE606,axTER!$D$121:$D$128,KY606),SUMIFS(axTER!$E$133:$E$138,axTER!$C$133:$C$138,KY606)*KX$510)*$D$514/10^6</f>
        <v>222.49089943998405</v>
      </c>
      <c r="KV606" s="274">
        <f>$H606*IF(KZ606&lt;&gt;KF606,SUMIFS(axTER!$E$142:$E$148,axTER!$C$142:$C$148,KZ606),SUMIFS(axTER!$E$151:$E$157,axTER!$C$151:$C$157,KZ606)*KX$510)/10^6*$D$514</f>
        <v>415.31634562130364</v>
      </c>
      <c r="KW606" s="275" t="s">
        <v>274</v>
      </c>
      <c r="KX606" s="161" t="s">
        <v>265</v>
      </c>
      <c r="KY606" s="161" t="s">
        <v>266</v>
      </c>
      <c r="KZ606" s="284" t="s">
        <v>261</v>
      </c>
      <c r="LA606" s="276">
        <f>$H606*SUMIFS(axTER!$E$65:$E$105,axTER!$D$65:$D$105,KY606,axTER!$C$65:$C$105,KW606)/SUMIFS(axTER!$E$108:$E$114,axTER!$C$108:$C$114,KZ606)/10^9*$D$514</f>
        <v>0.15821575071287755</v>
      </c>
      <c r="LC606" s="269">
        <v>750</v>
      </c>
      <c r="LD606" s="66" t="s">
        <v>274</v>
      </c>
      <c r="LE606" s="66" t="s">
        <v>265</v>
      </c>
      <c r="LF606" s="66" t="s">
        <v>266</v>
      </c>
      <c r="LG606" s="283" t="s">
        <v>261</v>
      </c>
      <c r="LH606" s="272">
        <f>$H606*SUMIFS(axTER!$E$65:$E$105,axTER!$C$65:$C$105,LD606,axTER!$D$65:$D$105,LF606)/SUMIFS(axTER!$E$108:$E$114,axTER!$C$108:$C$114,LG606)/10^9*$D$514</f>
        <v>0.15821575071287755</v>
      </c>
      <c r="LJ606" s="273">
        <f t="shared" si="1026"/>
        <v>0</v>
      </c>
      <c r="LK606" s="273">
        <f t="shared" si="1030"/>
        <v>0</v>
      </c>
      <c r="LL606" s="273">
        <f>$H606*IF(LP606&lt;&gt;LF606,SUMIFS(axTER!$E$121:$E$128,axTER!$C$121:$C$128,LF606,axTER!$D$121:$D$128,LP606),SUMIFS(axTER!$E$133:$E$138,axTER!$C$133:$C$138,LP606)*LO$510)*$D$514/10^6</f>
        <v>77.871814803994411</v>
      </c>
      <c r="LM606" s="274">
        <f>$H606*IF(LQ606&lt;&gt;LG606,SUMIFS(axTER!$E$142:$E$148,axTER!$C$142:$C$148,LQ606),SUMIFS(axTER!$E$151:$E$157,axTER!$C$151:$C$157,LQ606)*LO$510)/10^6*$D$514</f>
        <v>145.36072096745625</v>
      </c>
      <c r="LN606" s="275" t="s">
        <v>274</v>
      </c>
      <c r="LO606" s="161" t="s">
        <v>265</v>
      </c>
      <c r="LP606" s="161" t="s">
        <v>266</v>
      </c>
      <c r="LQ606" s="161" t="s">
        <v>261</v>
      </c>
      <c r="LR606" s="276">
        <f>$H606*SUMIFS(axTER!$E$65:$E$105,axTER!$D$65:$D$105,LP606,axTER!$C$65:$C$105,LN606)/SUMIFS(axTER!$E$108:$E$114,axTER!$C$108:$C$114,LQ606)/10^9*$D$514</f>
        <v>0.15821575071287755</v>
      </c>
      <c r="LT606" s="273">
        <f t="shared" si="1027"/>
        <v>0</v>
      </c>
      <c r="LU606" s="273">
        <f t="shared" si="1028"/>
        <v>0</v>
      </c>
      <c r="LV606" s="273">
        <f>$H606*IF(LZ606&lt;&gt;LP606,SUMIFS(axTER!$E$121:$E$128,axTER!$C$121:$C$128,LP606,axTER!$D$121:$D$128,LZ606),SUMIFS(axTER!$E$133:$E$138,axTER!$C$133:$C$138,LZ606)*LY$510)*$D$514/10^6</f>
        <v>111.24544971999202</v>
      </c>
      <c r="LW606" s="274">
        <f>$H606*IF(MA606&lt;&gt;LQ606,SUMIFS(axTER!$E$142:$E$148,axTER!$C$142:$C$148,MA606),SUMIFS(axTER!$E$151:$E$157,axTER!$C$151:$C$157,MA606)*LY$510)/10^6*$D$514</f>
        <v>207.65817281065182</v>
      </c>
      <c r="LX606" s="275" t="s">
        <v>274</v>
      </c>
      <c r="LY606" s="161" t="s">
        <v>265</v>
      </c>
      <c r="LZ606" s="161" t="s">
        <v>266</v>
      </c>
      <c r="MA606" s="161" t="s">
        <v>261</v>
      </c>
      <c r="MB606" s="276">
        <f>$H606*SUMIFS(axTER!$E$65:$E$105,axTER!$D$65:$D$105,LZ606,axTER!$C$65:$C$105,LX606)/SUMIFS(axTER!$E$108:$E$114,axTER!$C$108:$C$114,MA606)/10^9*$D$514</f>
        <v>0.15821575071287755</v>
      </c>
      <c r="MD606" s="273">
        <f t="shared" si="1019"/>
        <v>0</v>
      </c>
      <c r="ME606" s="273">
        <f t="shared" si="1029"/>
        <v>0</v>
      </c>
      <c r="MF606" s="273">
        <f>$H606*IF(MJ606&lt;&gt;LZ606,SUMIFS(axTER!$E$121:$E$128,axTER!$C$121:$C$128,LZ606,axTER!$D$121:$D$128,MJ606),SUMIFS(axTER!$E$133:$E$138,axTER!$C$133:$C$138,MJ606)*MI$510)*$D$514/10^6</f>
        <v>111.24544971999202</v>
      </c>
      <c r="MG606" s="274">
        <f>$H606*IF(MK606&lt;&gt;MA606,SUMIFS(axTER!$E$142:$E$148,axTER!$C$142:$C$148,MK606),SUMIFS(axTER!$E$151:$E$157,axTER!$C$151:$C$157,MK606)*MI$510)/10^6*$D$514</f>
        <v>207.65817281065182</v>
      </c>
      <c r="MH606" s="275" t="s">
        <v>274</v>
      </c>
      <c r="MI606" s="161" t="s">
        <v>265</v>
      </c>
      <c r="MJ606" s="161" t="s">
        <v>266</v>
      </c>
      <c r="MK606" s="161" t="s">
        <v>261</v>
      </c>
      <c r="ML606" s="276">
        <f>$H606*SUMIFS(axTER!$E$65:$E$105,axTER!$D$65:$D$105,MJ606,axTER!$C$65:$C$105,MH606)/SUMIFS(axTER!$E$108:$E$114,axTER!$C$108:$C$114,MK606)/10^9*$D$514</f>
        <v>0.15821575071287755</v>
      </c>
    </row>
    <row r="607" spans="3:350" outlineLevel="1" x14ac:dyDescent="0.3">
      <c r="C607" s="267"/>
      <c r="F607" s="266"/>
      <c r="H607" s="269">
        <v>750</v>
      </c>
      <c r="I607" s="66" t="s">
        <v>274</v>
      </c>
      <c r="J607" s="66" t="s">
        <v>265</v>
      </c>
      <c r="K607" s="66" t="s">
        <v>266</v>
      </c>
      <c r="L607" s="283" t="s">
        <v>261</v>
      </c>
      <c r="M607" s="272">
        <f>$H607*SUMIFS(axTER!$E$65:$E$105,axTER!$C$65:$C$105,I607,axTER!$D$65:$D$105,K607)/SUMIFS(axTER!$E$108:$E$114,axTER!$C$108:$C$114,L607)/10^9*$D$514</f>
        <v>0.15821575071287755</v>
      </c>
      <c r="S607" s="269">
        <v>750</v>
      </c>
      <c r="T607" s="66" t="s">
        <v>274</v>
      </c>
      <c r="U607" s="66" t="s">
        <v>265</v>
      </c>
      <c r="V607" s="66" t="s">
        <v>266</v>
      </c>
      <c r="W607" s="283" t="s">
        <v>261</v>
      </c>
      <c r="X607" s="272">
        <f>$H607*SUMIFS(axTER!$E$65:$E$105,axTER!$C$65:$C$105,T607,axTER!$D$65:$D$105,V607)/SUMIFS(axTER!$E$108:$E$114,axTER!$C$108:$C$114,W607)/10^9*$D$514</f>
        <v>0.15821575071287755</v>
      </c>
      <c r="AB607" s="273">
        <f>$H607*IF(AF607&lt;&gt;K607,SUMIFS(axTER!$E$121:$E$128,axTER!$C$121:$C$128,K607,axTER!$D$121:$D$128,AF607),SUMIFS(axTER!$E$133:$E$138,axTER!$C$133:$C$138,AF607)*AE$510)*$D$514/10^6</f>
        <v>111.24544971999202</v>
      </c>
      <c r="AC607" s="274">
        <f>$H607*IF(AG607&lt;&gt;L607,SUMIFS(axTER!$E$142:$E$148,axTER!$C$142:$C$148,AG607),SUMIFS(axTER!$E$151:$E$157,axTER!$C$151:$C$157,AG607)*AE$510)/10^6*$D$514</f>
        <v>207.65817281065182</v>
      </c>
      <c r="AD607" s="275" t="s">
        <v>274</v>
      </c>
      <c r="AE607" s="161" t="s">
        <v>265</v>
      </c>
      <c r="AF607" s="161" t="s">
        <v>266</v>
      </c>
      <c r="AG607" s="284" t="s">
        <v>261</v>
      </c>
      <c r="AH607" s="276">
        <f>$H607*SUMIFS(axTER!$E$65:$E$105,axTER!$D$65:$D$105,AF607,axTER!$C$65:$C$105,AD607)/SUMIFS(axTER!$E$108:$E$114,axTER!$C$108:$C$114,AG607)/10^9*$D$514</f>
        <v>0.15821575071287755</v>
      </c>
      <c r="AV607" s="273">
        <f>$H607*IF(AZ607&lt;&gt;AF607,SUMIFS(axTER!$E$121:$E$128,axTER!$C$121:$C$128,AF607,axTER!$D$121:$D$128,AZ607),SUMIFS(axTER!$E$133:$E$138,axTER!$C$133:$C$138,AZ607)*AY$510)*$D$514/10^6</f>
        <v>222.49089943998405</v>
      </c>
      <c r="AW607" s="274">
        <f>$H607*IF(BA607&lt;&gt;AG607,SUMIFS(axTER!$E$142:$E$148,axTER!$C$142:$C$148,BA607),SUMIFS(axTER!$E$151:$E$157,axTER!$C$151:$C$157,BA607)*AY$510)/10^6*$D$514</f>
        <v>415.31634562130364</v>
      </c>
      <c r="AX607" s="275" t="s">
        <v>274</v>
      </c>
      <c r="AY607" s="161" t="s">
        <v>265</v>
      </c>
      <c r="AZ607" s="161" t="s">
        <v>266</v>
      </c>
      <c r="BA607" s="284" t="s">
        <v>261</v>
      </c>
      <c r="BB607" s="276">
        <f>$H607*SUMIFS(axTER!$E$65:$E$105,axTER!$D$65:$D$105,AZ607,axTER!$C$65:$C$105,AX607)/SUMIFS(axTER!$E$108:$E$114,axTER!$C$108:$C$114,BA607)/10^9*$D$514</f>
        <v>0.15821575071287755</v>
      </c>
      <c r="IG607" s="269">
        <v>750</v>
      </c>
      <c r="IH607" s="66" t="s">
        <v>274</v>
      </c>
      <c r="II607" s="66" t="s">
        <v>265</v>
      </c>
      <c r="IJ607" s="66" t="s">
        <v>266</v>
      </c>
      <c r="IK607" s="283" t="s">
        <v>261</v>
      </c>
      <c r="IL607" s="272">
        <f>$H607*SUMIFS(axTER!$E$65:$E$105,axTER!$C$65:$C$105,IH607,axTER!$D$65:$D$105,IJ607)/SUMIFS(axTER!$E$108:$E$114,axTER!$C$108:$C$114,IK607)/10^9*$D$514</f>
        <v>0.15821575071287755</v>
      </c>
      <c r="IO607" s="273">
        <f t="shared" si="1020"/>
        <v>0</v>
      </c>
      <c r="IP607" s="273">
        <f>$H607*IF(IT607&lt;&gt;IJ607,SUMIFS(axTER!$E$121:$E$128,axTER!$C$121:$C$128,IJ607,axTER!$D$121:$D$128,IT607),SUMIFS(axTER!$E$133:$E$138,axTER!$C$133:$C$138,IT607)*IS$510)*$D$514/10^6</f>
        <v>111.24544971999202</v>
      </c>
      <c r="IQ607" s="274">
        <f>$H607*IF(IU607&lt;&gt;IK607,SUMIFS(axTER!$E$142:$E$148,axTER!$C$142:$C$148,IU607),SUMIFS(axTER!$E$151:$E$157,axTER!$C$151:$C$157,IU607)*IS$510)/10^6*$D$514</f>
        <v>207.65817281065182</v>
      </c>
      <c r="IR607" s="275" t="s">
        <v>274</v>
      </c>
      <c r="IS607" s="161" t="s">
        <v>265</v>
      </c>
      <c r="IT607" s="161" t="s">
        <v>266</v>
      </c>
      <c r="IU607" s="284" t="s">
        <v>261</v>
      </c>
      <c r="IV607" s="276">
        <f>$H607*SUMIFS(axTER!$E$65:$E$105,axTER!$D$65:$D$105,IT607,axTER!$C$65:$C$105,IR607)/SUMIFS(axTER!$E$108:$E$114,axTER!$C$108:$C$114,IU607)/10^9*$D$514</f>
        <v>0.15821575071287755</v>
      </c>
      <c r="JI607" s="273">
        <f t="shared" si="1021"/>
        <v>0</v>
      </c>
      <c r="JJ607" s="273">
        <f>$H607*IF(JN607&lt;&gt;IT607,SUMIFS(axTER!$E$121:$E$128,axTER!$C$121:$C$128,IT607,axTER!$D$121:$D$128,JN607),SUMIFS(axTER!$E$133:$E$138,axTER!$C$133:$C$138,JN607)*JM$510)*$D$514/10^6</f>
        <v>222.49089943998405</v>
      </c>
      <c r="JK607" s="274">
        <f>$H607*IF(JO607&lt;&gt;IU607,SUMIFS(axTER!$E$142:$E$148,axTER!$C$142:$C$148,JO607),SUMIFS(axTER!$E$151:$E$157,axTER!$C$151:$C$157,JO607)*JM$510)/10^6*$D$514</f>
        <v>415.31634562130364</v>
      </c>
      <c r="JL607" s="275" t="s">
        <v>274</v>
      </c>
      <c r="JM607" s="161" t="s">
        <v>265</v>
      </c>
      <c r="JN607" s="161" t="s">
        <v>266</v>
      </c>
      <c r="JO607" s="284" t="s">
        <v>261</v>
      </c>
      <c r="JP607" s="276">
        <f>$H607*SUMIFS(axTER!$E$65:$E$105,axTER!$D$65:$D$105,JN607,axTER!$C$65:$C$105,JL607)/SUMIFS(axTER!$E$108:$E$114,axTER!$C$108:$C$114,JO607)/10^9*$D$514</f>
        <v>0.15821575071287755</v>
      </c>
      <c r="JR607" s="269">
        <v>750</v>
      </c>
      <c r="JS607" s="66" t="s">
        <v>274</v>
      </c>
      <c r="JT607" s="66" t="s">
        <v>265</v>
      </c>
      <c r="JU607" s="66" t="s">
        <v>266</v>
      </c>
      <c r="JV607" s="283" t="s">
        <v>261</v>
      </c>
      <c r="JW607" s="272">
        <f>$H607*SUMIFS(axTER!$E$65:$E$105,axTER!$C$65:$C$105,JS607,axTER!$D$65:$D$105,JU607)/SUMIFS(axTER!$E$108:$E$114,axTER!$C$108:$C$114,JV607)/10^9*$D$514</f>
        <v>0.15821575071287755</v>
      </c>
      <c r="JY607" s="273">
        <f t="shared" si="1022"/>
        <v>0</v>
      </c>
      <c r="JZ607" s="273">
        <f t="shared" si="1023"/>
        <v>0</v>
      </c>
      <c r="KA607" s="273">
        <f>$H607*IF(KE607&lt;&gt;JU607,SUMIFS(axTER!$E$121:$E$128,axTER!$C$121:$C$128,JU607,axTER!$D$121:$D$128,KE607),SUMIFS(axTER!$E$133:$E$138,axTER!$C$133:$C$138,KE607)*KD$510)*$D$514/10^6</f>
        <v>77.871814803994411</v>
      </c>
      <c r="KB607" s="274">
        <f>$H607*IF(KF607&lt;&gt;JV607,SUMIFS(axTER!$E$142:$E$148,axTER!$C$142:$C$148,KF607),SUMIFS(axTER!$E$151:$E$157,axTER!$C$151:$C$157,KF607)*KD$510)/10^6*$D$514</f>
        <v>145.36072096745625</v>
      </c>
      <c r="KC607" s="275" t="s">
        <v>274</v>
      </c>
      <c r="KD607" s="161" t="s">
        <v>265</v>
      </c>
      <c r="KE607" s="161" t="s">
        <v>266</v>
      </c>
      <c r="KF607" s="284" t="s">
        <v>261</v>
      </c>
      <c r="KG607" s="276">
        <f>$H607*SUMIFS(axTER!$E$65:$E$105,axTER!$D$65:$D$105,KE607,axTER!$C$65:$C$105,KC607)/SUMIFS(axTER!$E$108:$E$114,axTER!$C$108:$C$114,KF607)/10^9*$D$514</f>
        <v>0.15821575071287755</v>
      </c>
      <c r="KS607" s="273">
        <f t="shared" si="1024"/>
        <v>0</v>
      </c>
      <c r="KT607" s="273">
        <f t="shared" si="1025"/>
        <v>0</v>
      </c>
      <c r="KU607" s="273">
        <f>$H607*IF(KY607&lt;&gt;KE607,SUMIFS(axTER!$E$121:$E$128,axTER!$C$121:$C$128,KE607,axTER!$D$121:$D$128,KY607),SUMIFS(axTER!$E$133:$E$138,axTER!$C$133:$C$138,KY607)*KX$510)*$D$514/10^6</f>
        <v>222.49089943998405</v>
      </c>
      <c r="KV607" s="274">
        <f>$H607*IF(KZ607&lt;&gt;KF607,SUMIFS(axTER!$E$142:$E$148,axTER!$C$142:$C$148,KZ607),SUMIFS(axTER!$E$151:$E$157,axTER!$C$151:$C$157,KZ607)*KX$510)/10^6*$D$514</f>
        <v>415.31634562130364</v>
      </c>
      <c r="KW607" s="275" t="s">
        <v>274</v>
      </c>
      <c r="KX607" s="161" t="s">
        <v>265</v>
      </c>
      <c r="KY607" s="161" t="s">
        <v>266</v>
      </c>
      <c r="KZ607" s="284" t="s">
        <v>261</v>
      </c>
      <c r="LA607" s="276">
        <f>$H607*SUMIFS(axTER!$E$65:$E$105,axTER!$D$65:$D$105,KY607,axTER!$C$65:$C$105,KW607)/SUMIFS(axTER!$E$108:$E$114,axTER!$C$108:$C$114,KZ607)/10^9*$D$514</f>
        <v>0.15821575071287755</v>
      </c>
      <c r="LC607" s="269">
        <v>750</v>
      </c>
      <c r="LD607" s="66" t="s">
        <v>274</v>
      </c>
      <c r="LE607" s="66" t="s">
        <v>265</v>
      </c>
      <c r="LF607" s="66" t="s">
        <v>266</v>
      </c>
      <c r="LG607" s="283" t="s">
        <v>261</v>
      </c>
      <c r="LH607" s="272">
        <f>$H607*SUMIFS(axTER!$E$65:$E$105,axTER!$C$65:$C$105,LD607,axTER!$D$65:$D$105,LF607)/SUMIFS(axTER!$E$108:$E$114,axTER!$C$108:$C$114,LG607)/10^9*$D$514</f>
        <v>0.15821575071287755</v>
      </c>
      <c r="LJ607" s="273">
        <f t="shared" si="1026"/>
        <v>0</v>
      </c>
      <c r="LK607" s="273">
        <f t="shared" si="1030"/>
        <v>0</v>
      </c>
      <c r="LL607" s="273">
        <f>$H607*IF(LP607&lt;&gt;LF607,SUMIFS(axTER!$E$121:$E$128,axTER!$C$121:$C$128,LF607,axTER!$D$121:$D$128,LP607),SUMIFS(axTER!$E$133:$E$138,axTER!$C$133:$C$138,LP607)*LO$510)*$D$514/10^6</f>
        <v>77.871814803994411</v>
      </c>
      <c r="LM607" s="274">
        <f>$H607*IF(LQ607&lt;&gt;LG607,SUMIFS(axTER!$E$142:$E$148,axTER!$C$142:$C$148,LQ607),SUMIFS(axTER!$E$151:$E$157,axTER!$C$151:$C$157,LQ607)*LO$510)/10^6*$D$514</f>
        <v>145.36072096745625</v>
      </c>
      <c r="LN607" s="275" t="s">
        <v>274</v>
      </c>
      <c r="LO607" s="161" t="s">
        <v>265</v>
      </c>
      <c r="LP607" s="161" t="s">
        <v>266</v>
      </c>
      <c r="LQ607" s="161" t="s">
        <v>261</v>
      </c>
      <c r="LR607" s="276">
        <f>$H607*SUMIFS(axTER!$E$65:$E$105,axTER!$D$65:$D$105,LP607,axTER!$C$65:$C$105,LN607)/SUMIFS(axTER!$E$108:$E$114,axTER!$C$108:$C$114,LQ607)/10^9*$D$514</f>
        <v>0.15821575071287755</v>
      </c>
      <c r="LT607" s="273">
        <f t="shared" si="1027"/>
        <v>0</v>
      </c>
      <c r="LU607" s="273">
        <f t="shared" si="1028"/>
        <v>0</v>
      </c>
      <c r="LV607" s="273">
        <f>$H607*IF(LZ607&lt;&gt;LP607,SUMIFS(axTER!$E$121:$E$128,axTER!$C$121:$C$128,LP607,axTER!$D$121:$D$128,LZ607),SUMIFS(axTER!$E$133:$E$138,axTER!$C$133:$C$138,LZ607)*LY$510)*$D$514/10^6</f>
        <v>111.24544971999202</v>
      </c>
      <c r="LW607" s="274">
        <f>$H607*IF(MA607&lt;&gt;LQ607,SUMIFS(axTER!$E$142:$E$148,axTER!$C$142:$C$148,MA607),SUMIFS(axTER!$E$151:$E$157,axTER!$C$151:$C$157,MA607)*LY$510)/10^6*$D$514</f>
        <v>207.65817281065182</v>
      </c>
      <c r="LX607" s="275" t="s">
        <v>274</v>
      </c>
      <c r="LY607" s="161" t="s">
        <v>265</v>
      </c>
      <c r="LZ607" s="161" t="s">
        <v>266</v>
      </c>
      <c r="MA607" s="161" t="s">
        <v>261</v>
      </c>
      <c r="MB607" s="276">
        <f>$H607*SUMIFS(axTER!$E$65:$E$105,axTER!$D$65:$D$105,LZ607,axTER!$C$65:$C$105,LX607)/SUMIFS(axTER!$E$108:$E$114,axTER!$C$108:$C$114,MA607)/10^9*$D$514</f>
        <v>0.15821575071287755</v>
      </c>
      <c r="MD607" s="273">
        <f t="shared" si="1019"/>
        <v>0</v>
      </c>
      <c r="ME607" s="273">
        <f t="shared" si="1029"/>
        <v>0</v>
      </c>
      <c r="MF607" s="273">
        <f>$H607*IF(MJ607&lt;&gt;LZ607,SUMIFS(axTER!$E$121:$E$128,axTER!$C$121:$C$128,LZ607,axTER!$D$121:$D$128,MJ607),SUMIFS(axTER!$E$133:$E$138,axTER!$C$133:$C$138,MJ607)*MI$510)*$D$514/10^6</f>
        <v>111.24544971999202</v>
      </c>
      <c r="MG607" s="274">
        <f>$H607*IF(MK607&lt;&gt;MA607,SUMIFS(axTER!$E$142:$E$148,axTER!$C$142:$C$148,MK607),SUMIFS(axTER!$E$151:$E$157,axTER!$C$151:$C$157,MK607)*MI$510)/10^6*$D$514</f>
        <v>207.65817281065182</v>
      </c>
      <c r="MH607" s="275" t="s">
        <v>274</v>
      </c>
      <c r="MI607" s="161" t="s">
        <v>265</v>
      </c>
      <c r="MJ607" s="161" t="s">
        <v>266</v>
      </c>
      <c r="MK607" s="161" t="s">
        <v>261</v>
      </c>
      <c r="ML607" s="276">
        <f>$H607*SUMIFS(axTER!$E$65:$E$105,axTER!$D$65:$D$105,MJ607,axTER!$C$65:$C$105,MH607)/SUMIFS(axTER!$E$108:$E$114,axTER!$C$108:$C$114,MK607)/10^9*$D$514</f>
        <v>0.15821575071287755</v>
      </c>
    </row>
    <row r="608" spans="3:350" hidden="1" outlineLevel="1" x14ac:dyDescent="0.3">
      <c r="C608" s="267"/>
      <c r="F608" s="266"/>
      <c r="H608" s="269">
        <v>750</v>
      </c>
      <c r="I608" s="66" t="s">
        <v>274</v>
      </c>
      <c r="J608" s="66" t="s">
        <v>265</v>
      </c>
      <c r="K608" s="66" t="s">
        <v>255</v>
      </c>
      <c r="L608" s="283" t="s">
        <v>260</v>
      </c>
      <c r="M608" s="272">
        <f>$H608*SUMIFS(axTER!$E$65:$E$105,axTER!$C$65:$C$105,I608,axTER!$D$65:$D$105,K608)/SUMIFS(axTER!$E$108:$E$114,axTER!$C$108:$C$114,L608)/10^9*$D$514</f>
        <v>0.72515552410068873</v>
      </c>
      <c r="S608" s="269">
        <v>750</v>
      </c>
      <c r="T608" s="66" t="s">
        <v>274</v>
      </c>
      <c r="U608" s="66" t="s">
        <v>265</v>
      </c>
      <c r="V608" s="66" t="s">
        <v>255</v>
      </c>
      <c r="W608" s="283" t="s">
        <v>260</v>
      </c>
      <c r="X608" s="272">
        <f>$H608*SUMIFS(axTER!$E$65:$E$105,axTER!$C$65:$C$105,T608,axTER!$D$65:$D$105,V608)/SUMIFS(axTER!$E$108:$E$114,axTER!$C$108:$C$114,W608)/10^9*$D$514</f>
        <v>0.72515552410068873</v>
      </c>
      <c r="AB608" s="273">
        <f>$H608*IF(AF608&lt;&gt;K608,SUMIFS(axTER!$E$121:$E$128,axTER!$C$121:$C$128,K608,axTER!$D$121:$D$128,AF608),SUMIFS(axTER!$E$133:$E$138,axTER!$C$133:$C$138,AF608)*AE$510)*$D$514/10^6</f>
        <v>296.65453258664542</v>
      </c>
      <c r="AC608" s="274">
        <f>$H608*IF(AG608&lt;&gt;L608,SUMIFS(axTER!$E$142:$E$148,axTER!$C$142:$C$148,AG608),SUMIFS(axTER!$E$151:$E$157,axTER!$C$151:$C$157,AG608)*AE$510)/10^6*$D$514</f>
        <v>25.957271601331477</v>
      </c>
      <c r="AD608" s="275" t="s">
        <v>274</v>
      </c>
      <c r="AE608" s="161" t="s">
        <v>265</v>
      </c>
      <c r="AF608" s="161" t="s">
        <v>255</v>
      </c>
      <c r="AG608" s="284" t="s">
        <v>260</v>
      </c>
      <c r="AH608" s="276">
        <f>$H608*SUMIFS(axTER!$E$65:$E$105,axTER!$D$65:$D$105,AF608,axTER!$C$65:$C$105,AD608)/SUMIFS(axTER!$E$108:$E$114,axTER!$C$108:$C$114,AG608)/10^9*$D$514</f>
        <v>0.72515552410068873</v>
      </c>
      <c r="AV608" s="273">
        <f>$H608*IF(AZ608&lt;&gt;AF608,SUMIFS(axTER!$E$121:$E$128,axTER!$C$121:$C$128,AF608,axTER!$D$121:$D$128,AZ608),SUMIFS(axTER!$E$133:$E$138,axTER!$C$133:$C$138,AZ608)*AY$510)*$D$514/10^6</f>
        <v>593.30906517329083</v>
      </c>
      <c r="AW608" s="274">
        <f>$H608*IF(BA608&lt;&gt;AG608,SUMIFS(axTER!$E$142:$E$148,axTER!$C$142:$C$148,BA608),SUMIFS(axTER!$E$151:$E$157,axTER!$C$151:$C$157,BA608)*AY$510)/10^6*$D$514</f>
        <v>593.30906517329083</v>
      </c>
      <c r="AX608" s="275" t="s">
        <v>274</v>
      </c>
      <c r="AY608" s="161" t="s">
        <v>265</v>
      </c>
      <c r="AZ608" s="161" t="s">
        <v>255</v>
      </c>
      <c r="BA608" s="284" t="s">
        <v>261</v>
      </c>
      <c r="BB608" s="276">
        <f>$H608*SUMIFS(axTER!$E$65:$E$105,axTER!$D$65:$D$105,AZ608,axTER!$C$65:$C$105,AX608)/SUMIFS(axTER!$E$108:$E$114,axTER!$C$108:$C$114,BA608)/10^9*$D$514</f>
        <v>0.21754665723020661</v>
      </c>
      <c r="IG608" s="269">
        <v>750</v>
      </c>
      <c r="IH608" s="66" t="s">
        <v>274</v>
      </c>
      <c r="II608" s="66" t="s">
        <v>265</v>
      </c>
      <c r="IJ608" s="66" t="s">
        <v>255</v>
      </c>
      <c r="IK608" s="283" t="s">
        <v>260</v>
      </c>
      <c r="IL608" s="272">
        <f>$H608*SUMIFS(axTER!$E$65:$E$105,axTER!$C$65:$C$105,IH608,axTER!$D$65:$D$105,IJ608)/SUMIFS(axTER!$E$108:$E$114,axTER!$C$108:$C$114,IK608)/10^9*$D$514</f>
        <v>0.72515552410068873</v>
      </c>
      <c r="IO608" s="273">
        <f t="shared" si="1020"/>
        <v>0</v>
      </c>
      <c r="IP608" s="273">
        <f>$H608*IF(IT608&lt;&gt;IJ608,SUMIFS(axTER!$E$121:$E$128,axTER!$C$121:$C$128,IJ608,axTER!$D$121:$D$128,IT608),SUMIFS(axTER!$E$133:$E$138,axTER!$C$133:$C$138,IT608)*IS$510)*$D$514/10^6</f>
        <v>296.65453258664542</v>
      </c>
      <c r="IQ608" s="274">
        <f>$H608*IF(IU608&lt;&gt;IK608,SUMIFS(axTER!$E$142:$E$148,axTER!$C$142:$C$148,IU608),SUMIFS(axTER!$E$151:$E$157,axTER!$C$151:$C$157,IU608)*IS$510)/10^6*$D$514</f>
        <v>25.957271601331477</v>
      </c>
      <c r="IR608" s="275" t="s">
        <v>274</v>
      </c>
      <c r="IS608" s="161" t="s">
        <v>265</v>
      </c>
      <c r="IT608" s="161" t="s">
        <v>255</v>
      </c>
      <c r="IU608" s="284" t="s">
        <v>260</v>
      </c>
      <c r="IV608" s="276">
        <f>$H608*SUMIFS(axTER!$E$65:$E$105,axTER!$D$65:$D$105,IT608,axTER!$C$65:$C$105,IR608)/SUMIFS(axTER!$E$108:$E$114,axTER!$C$108:$C$114,IU608)/10^9*$D$514</f>
        <v>0.72515552410068873</v>
      </c>
      <c r="JI608" s="273">
        <f t="shared" si="1021"/>
        <v>0</v>
      </c>
      <c r="JJ608" s="273">
        <f>$H608*IF(JN608&lt;&gt;IT608,SUMIFS(axTER!$E$121:$E$128,axTER!$C$121:$C$128,IT608,axTER!$D$121:$D$128,JN608),SUMIFS(axTER!$E$133:$E$138,axTER!$C$133:$C$138,JN608)*JM$510)*$D$514/10^6</f>
        <v>593.30906517329083</v>
      </c>
      <c r="JK608" s="274">
        <f>$H608*IF(JO608&lt;&gt;IU608,SUMIFS(axTER!$E$142:$E$148,axTER!$C$142:$C$148,JO608),SUMIFS(axTER!$E$151:$E$157,axTER!$C$151:$C$157,JO608)*JM$510)/10^6*$D$514</f>
        <v>51.914543202662955</v>
      </c>
      <c r="JL608" s="275" t="s">
        <v>274</v>
      </c>
      <c r="JM608" s="161" t="s">
        <v>265</v>
      </c>
      <c r="JN608" s="161" t="s">
        <v>255</v>
      </c>
      <c r="JO608" s="284" t="s">
        <v>260</v>
      </c>
      <c r="JP608" s="276">
        <f>$H608*SUMIFS(axTER!$E$65:$E$105,axTER!$D$65:$D$105,JN608,axTER!$C$65:$C$105,JL608)/SUMIFS(axTER!$E$108:$E$114,axTER!$C$108:$C$114,JO608)/10^9*$D$514</f>
        <v>0.72515552410068873</v>
      </c>
      <c r="JR608" s="269">
        <v>750</v>
      </c>
      <c r="JS608" s="66" t="s">
        <v>274</v>
      </c>
      <c r="JT608" s="66" t="s">
        <v>265</v>
      </c>
      <c r="JU608" s="66" t="s">
        <v>255</v>
      </c>
      <c r="JV608" s="283" t="s">
        <v>260</v>
      </c>
      <c r="JW608" s="272">
        <f>$H608*SUMIFS(axTER!$E$65:$E$105,axTER!$C$65:$C$105,JS608,axTER!$D$65:$D$105,JU608)/SUMIFS(axTER!$E$108:$E$114,axTER!$C$108:$C$114,JV608)/10^9*$D$514</f>
        <v>0.72515552410068873</v>
      </c>
      <c r="JY608" s="273">
        <f t="shared" si="1022"/>
        <v>0</v>
      </c>
      <c r="JZ608" s="273">
        <f t="shared" si="1023"/>
        <v>0</v>
      </c>
      <c r="KA608" s="273">
        <f>$H608*IF(KE608&lt;&gt;JU608,SUMIFS(axTER!$E$121:$E$128,axTER!$C$121:$C$128,JU608,axTER!$D$121:$D$128,KE608),SUMIFS(axTER!$E$133:$E$138,axTER!$C$133:$C$138,KE608)*KD$510)*$D$514/10^6</f>
        <v>207.65817281065179</v>
      </c>
      <c r="KB608" s="274">
        <f>$H608*IF(KF608&lt;&gt;JV608,SUMIFS(axTER!$E$142:$E$148,axTER!$C$142:$C$148,KF608),SUMIFS(axTER!$E$151:$E$157,axTER!$C$151:$C$157,KF608)*KD$510)/10^6*$D$514</f>
        <v>18.170090120932031</v>
      </c>
      <c r="KC608" s="275" t="s">
        <v>274</v>
      </c>
      <c r="KD608" s="161" t="s">
        <v>265</v>
      </c>
      <c r="KE608" s="161" t="s">
        <v>255</v>
      </c>
      <c r="KF608" s="161" t="s">
        <v>260</v>
      </c>
      <c r="KG608" s="276">
        <f>$H608*SUMIFS(axTER!$E$65:$E$105,axTER!$D$65:$D$105,KE608,axTER!$C$65:$C$105,KC608)/SUMIFS(axTER!$E$108:$E$114,axTER!$C$108:$C$114,KF608)/10^9*$D$514</f>
        <v>0.72515552410068873</v>
      </c>
      <c r="KS608" s="273">
        <f t="shared" si="1024"/>
        <v>0</v>
      </c>
      <c r="KT608" s="273">
        <f t="shared" si="1025"/>
        <v>0</v>
      </c>
      <c r="KU608" s="273">
        <f>$H608*IF(KY608&lt;&gt;KE608,SUMIFS(axTER!$E$121:$E$128,axTER!$C$121:$C$128,KE608,axTER!$D$121:$D$128,KY608),SUMIFS(axTER!$E$133:$E$138,axTER!$C$133:$C$138,KY608)*KX$510)*$D$514/10^6</f>
        <v>593.30906517329083</v>
      </c>
      <c r="KV608" s="274">
        <f>$H608*IF(KZ608&lt;&gt;KF608,SUMIFS(axTER!$E$142:$E$148,axTER!$C$142:$C$148,KZ608),SUMIFS(axTER!$E$151:$E$157,axTER!$C$151:$C$157,KZ608)*KX$510)/10^6*$D$514</f>
        <v>51.914543202662955</v>
      </c>
      <c r="KW608" s="275" t="s">
        <v>274</v>
      </c>
      <c r="KX608" s="161" t="s">
        <v>265</v>
      </c>
      <c r="KY608" s="161" t="s">
        <v>255</v>
      </c>
      <c r="KZ608" s="161" t="s">
        <v>260</v>
      </c>
      <c r="LA608" s="276">
        <f>$H608*SUMIFS(axTER!$E$65:$E$105,axTER!$D$65:$D$105,KY608,axTER!$C$65:$C$105,KW608)/SUMIFS(axTER!$E$108:$E$114,axTER!$C$108:$C$114,KZ608)/10^9*$D$514</f>
        <v>0.72515552410068873</v>
      </c>
      <c r="LC608" s="269">
        <v>750</v>
      </c>
      <c r="LD608" s="66" t="s">
        <v>274</v>
      </c>
      <c r="LE608" s="66" t="s">
        <v>265</v>
      </c>
      <c r="LF608" s="66" t="s">
        <v>255</v>
      </c>
      <c r="LG608" s="283" t="s">
        <v>260</v>
      </c>
      <c r="LH608" s="272">
        <f>$H608*SUMIFS(axTER!$E$65:$E$105,axTER!$C$65:$C$105,LD608,axTER!$D$65:$D$105,LF608)/SUMIFS(axTER!$E$108:$E$114,axTER!$C$108:$C$114,LG608)/10^9*$D$514</f>
        <v>0.72515552410068873</v>
      </c>
      <c r="LJ608" s="273">
        <f t="shared" si="1026"/>
        <v>0</v>
      </c>
      <c r="LK608" s="273">
        <f t="shared" si="1030"/>
        <v>0</v>
      </c>
      <c r="LL608" s="273">
        <f>$H608*IF(LP608&lt;&gt;LF608,SUMIFS(axTER!$E$121:$E$128,axTER!$C$121:$C$128,LF608,axTER!$D$121:$D$128,LP608),SUMIFS(axTER!$E$133:$E$138,axTER!$C$133:$C$138,LP608)*LO$510)*$D$514/10^6</f>
        <v>207.65817281065179</v>
      </c>
      <c r="LM608" s="274">
        <f>$H608*IF(LQ608&lt;&gt;LG608,SUMIFS(axTER!$E$142:$E$148,axTER!$C$142:$C$148,LQ608),SUMIFS(axTER!$E$151:$E$157,axTER!$C$151:$C$157,LQ608)*LO$510)/10^6*$D$514</f>
        <v>18.170090120932031</v>
      </c>
      <c r="LN608" s="275" t="s">
        <v>274</v>
      </c>
      <c r="LO608" s="161" t="s">
        <v>265</v>
      </c>
      <c r="LP608" s="161" t="s">
        <v>255</v>
      </c>
      <c r="LQ608" s="161" t="s">
        <v>260</v>
      </c>
      <c r="LR608" s="276">
        <f>$H608*SUMIFS(axTER!$E$65:$E$105,axTER!$D$65:$D$105,LP608,axTER!$C$65:$C$105,LN608)/SUMIFS(axTER!$E$108:$E$114,axTER!$C$108:$C$114,LQ608)/10^9*$D$514</f>
        <v>0.72515552410068873</v>
      </c>
      <c r="LT608" s="273">
        <f t="shared" si="1027"/>
        <v>0</v>
      </c>
      <c r="LU608" s="273">
        <f t="shared" si="1028"/>
        <v>0</v>
      </c>
      <c r="LV608" s="273">
        <f>$H608*IF(LZ608&lt;&gt;LP608,SUMIFS(axTER!$E$121:$E$128,axTER!$C$121:$C$128,LP608,axTER!$D$121:$D$128,LZ608),SUMIFS(axTER!$E$133:$E$138,axTER!$C$133:$C$138,LZ608)*LY$510)*$D$514/10^6</f>
        <v>296.65453258664542</v>
      </c>
      <c r="LW608" s="274">
        <f>$H608*IF(MA608&lt;&gt;LQ608,SUMIFS(axTER!$E$142:$E$148,axTER!$C$142:$C$148,MA608),SUMIFS(axTER!$E$151:$E$157,axTER!$C$151:$C$157,MA608)*LY$510)/10^6*$D$514</f>
        <v>25.957271601331477</v>
      </c>
      <c r="LX608" s="275" t="s">
        <v>274</v>
      </c>
      <c r="LY608" s="161" t="s">
        <v>265</v>
      </c>
      <c r="LZ608" s="161" t="s">
        <v>255</v>
      </c>
      <c r="MA608" s="161" t="s">
        <v>260</v>
      </c>
      <c r="MB608" s="276">
        <f>$H608*SUMIFS(axTER!$E$65:$E$105,axTER!$D$65:$D$105,LZ608,axTER!$C$65:$C$105,LX608)/SUMIFS(axTER!$E$108:$E$114,axTER!$C$108:$C$114,MA608)/10^9*$D$514</f>
        <v>0.72515552410068873</v>
      </c>
      <c r="MD608" s="273">
        <f t="shared" si="1019"/>
        <v>0</v>
      </c>
      <c r="ME608" s="273">
        <f t="shared" si="1029"/>
        <v>0</v>
      </c>
      <c r="MF608" s="273">
        <f>$H608*IF(MJ608&lt;&gt;LZ608,SUMIFS(axTER!$E$121:$E$128,axTER!$C$121:$C$128,LZ608,axTER!$D$121:$D$128,MJ608),SUMIFS(axTER!$E$133:$E$138,axTER!$C$133:$C$138,MJ608)*MI$510)*$D$514/10^6</f>
        <v>296.65453258664542</v>
      </c>
      <c r="MG608" s="274">
        <f>$H608*IF(MK608&lt;&gt;MA608,SUMIFS(axTER!$E$142:$E$148,axTER!$C$142:$C$148,MK608),SUMIFS(axTER!$E$151:$E$157,axTER!$C$151:$C$157,MK608)*MI$510)/10^6*$D$514</f>
        <v>25.957271601331477</v>
      </c>
      <c r="MH608" s="275" t="s">
        <v>274</v>
      </c>
      <c r="MI608" s="161" t="s">
        <v>265</v>
      </c>
      <c r="MJ608" s="161" t="s">
        <v>255</v>
      </c>
      <c r="MK608" s="161" t="s">
        <v>260</v>
      </c>
      <c r="ML608" s="276">
        <f>$H608*SUMIFS(axTER!$E$65:$E$105,axTER!$D$65:$D$105,MJ608,axTER!$C$65:$C$105,MH608)/SUMIFS(axTER!$E$108:$E$114,axTER!$C$108:$C$114,MK608)/10^9*$D$514</f>
        <v>0.72515552410068873</v>
      </c>
    </row>
    <row r="609" spans="3:360" outlineLevel="1" x14ac:dyDescent="0.3">
      <c r="C609" s="265"/>
      <c r="F609" s="266"/>
      <c r="H609" s="269">
        <v>400</v>
      </c>
      <c r="I609" s="66" t="s">
        <v>274</v>
      </c>
      <c r="J609" s="66" t="s">
        <v>265</v>
      </c>
      <c r="K609" s="66" t="s">
        <v>255</v>
      </c>
      <c r="L609" s="283" t="s">
        <v>256</v>
      </c>
      <c r="M609" s="272">
        <f>$H609*SUMIFS(axTER!$E$65:$E$105,axTER!$C$65:$C$105,I609,axTER!$D$65:$D$105,K609)/SUMIFS(axTER!$E$108:$E$114,axTER!$C$108:$C$114,L609)/10^9*$D$514</f>
        <v>0.36639437007192699</v>
      </c>
      <c r="S609" s="269">
        <v>400</v>
      </c>
      <c r="T609" s="66" t="s">
        <v>274</v>
      </c>
      <c r="U609" s="66" t="s">
        <v>265</v>
      </c>
      <c r="V609" s="66" t="s">
        <v>255</v>
      </c>
      <c r="W609" s="283" t="s">
        <v>256</v>
      </c>
      <c r="X609" s="272">
        <f>$H609*SUMIFS(axTER!$E$65:$E$105,axTER!$C$65:$C$105,T609,axTER!$D$65:$D$105,V609)/SUMIFS(axTER!$E$108:$E$114,axTER!$C$108:$C$114,W609)/10^9*$D$514</f>
        <v>0.36639437007192699</v>
      </c>
      <c r="AB609" s="273">
        <f>$H609*IF(AF609&lt;&gt;K609,SUMIFS(axTER!$E$121:$E$128,axTER!$C$121:$C$128,K609,axTER!$D$121:$D$128,AF609),SUMIFS(axTER!$E$133:$E$138,axTER!$C$133:$C$138,AF609)*AE$510)*$D$514/10^6</f>
        <v>158.21575071287754</v>
      </c>
      <c r="AC609" s="274">
        <f>$H609*IF(AG609&lt;&gt;L609,SUMIFS(axTER!$E$142:$E$148,axTER!$C$142:$C$148,AG609),SUMIFS(axTER!$E$151:$E$157,axTER!$C$151:$C$157,AG609)*AE$510)/10^6*$D$514</f>
        <v>24.918980737278218</v>
      </c>
      <c r="AD609" s="275" t="s">
        <v>274</v>
      </c>
      <c r="AE609" s="161" t="s">
        <v>265</v>
      </c>
      <c r="AF609" s="161" t="s">
        <v>255</v>
      </c>
      <c r="AG609" s="284" t="s">
        <v>256</v>
      </c>
      <c r="AH609" s="276">
        <f>$H609*SUMIFS(axTER!$E$65:$E$105,axTER!$D$65:$D$105,AF609,axTER!$C$65:$C$105,AD609)/SUMIFS(axTER!$E$108:$E$114,axTER!$C$108:$C$114,AG609)/10^9*$D$514</f>
        <v>0.36639437007192699</v>
      </c>
      <c r="AV609" s="273">
        <f>$H609*IF(AZ609&lt;&gt;AF609,SUMIFS(axTER!$E$121:$E$128,axTER!$C$121:$C$128,AF609,axTER!$D$121:$D$128,AZ609),SUMIFS(axTER!$E$133:$E$138,axTER!$C$133:$C$138,AZ609)*AY$510)*$D$514/10^6</f>
        <v>316.43150142575507</v>
      </c>
      <c r="AW609" s="274">
        <f>$H609*IF(BA609&lt;&gt;AG609,SUMIFS(axTER!$E$142:$E$148,axTER!$C$142:$C$148,BA609),SUMIFS(axTER!$E$151:$E$157,axTER!$C$151:$C$157,BA609)*AY$510)/10^6*$D$514</f>
        <v>49.837961474556437</v>
      </c>
      <c r="AX609" s="275" t="s">
        <v>274</v>
      </c>
      <c r="AY609" s="161" t="s">
        <v>265</v>
      </c>
      <c r="AZ609" s="161" t="s">
        <v>255</v>
      </c>
      <c r="BA609" s="284" t="s">
        <v>256</v>
      </c>
      <c r="BB609" s="276">
        <f>$H609*SUMIFS(axTER!$E$65:$E$105,axTER!$D$65:$D$105,AZ609,axTER!$C$65:$C$105,AX609)/SUMIFS(axTER!$E$108:$E$114,axTER!$C$108:$C$114,BA609)/10^9*$D$514</f>
        <v>0.36639437007192699</v>
      </c>
      <c r="IG609" s="269">
        <v>400</v>
      </c>
      <c r="IH609" s="66" t="s">
        <v>274</v>
      </c>
      <c r="II609" s="66" t="s">
        <v>265</v>
      </c>
      <c r="IJ609" s="66" t="s">
        <v>255</v>
      </c>
      <c r="IK609" s="283" t="s">
        <v>256</v>
      </c>
      <c r="IL609" s="272">
        <f>$H609*SUMIFS(axTER!$E$65:$E$105,axTER!$C$65:$C$105,IH609,axTER!$D$65:$D$105,IJ609)/SUMIFS(axTER!$E$108:$E$114,axTER!$C$108:$C$114,IK609)/10^9*$D$514</f>
        <v>0.36639437007192699</v>
      </c>
      <c r="IO609" s="273">
        <f t="shared" si="1020"/>
        <v>0</v>
      </c>
      <c r="IP609" s="273">
        <f>$H609*IF(IT609&lt;&gt;IJ609,SUMIFS(axTER!$E$121:$E$128,axTER!$C$121:$C$128,IJ609,axTER!$D$121:$D$128,IT609),SUMIFS(axTER!$E$133:$E$138,axTER!$C$133:$C$138,IT609)*IS$510)*$D$514/10^6</f>
        <v>158.21575071287754</v>
      </c>
      <c r="IQ609" s="274">
        <f>$H609*IF(IU609&lt;&gt;IK609,SUMIFS(axTER!$E$142:$E$148,axTER!$C$142:$C$148,IU609),SUMIFS(axTER!$E$151:$E$157,axTER!$C$151:$C$157,IU609)*IS$510)/10^6*$D$514</f>
        <v>24.918980737278218</v>
      </c>
      <c r="IR609" s="275" t="s">
        <v>274</v>
      </c>
      <c r="IS609" s="161" t="s">
        <v>265</v>
      </c>
      <c r="IT609" s="161" t="s">
        <v>255</v>
      </c>
      <c r="IU609" s="284" t="s">
        <v>256</v>
      </c>
      <c r="IV609" s="276">
        <f>$H609*SUMIFS(axTER!$E$65:$E$105,axTER!$D$65:$D$105,IT609,axTER!$C$65:$C$105,IR609)/SUMIFS(axTER!$E$108:$E$114,axTER!$C$108:$C$114,IU609)/10^9*$D$514</f>
        <v>0.36639437007192699</v>
      </c>
      <c r="JI609" s="273">
        <f t="shared" si="1021"/>
        <v>0</v>
      </c>
      <c r="JJ609" s="273">
        <f>$H609*IF(JN609&lt;&gt;IT609,SUMIFS(axTER!$E$121:$E$128,axTER!$C$121:$C$128,IT609,axTER!$D$121:$D$128,JN609),SUMIFS(axTER!$E$133:$E$138,axTER!$C$133:$C$138,JN609)*JM$510)*$D$514/10^6</f>
        <v>316.43150142575507</v>
      </c>
      <c r="JK609" s="274">
        <f>$H609*IF(JO609&lt;&gt;IU609,SUMIFS(axTER!$E$142:$E$148,axTER!$C$142:$C$148,JO609),SUMIFS(axTER!$E$151:$E$157,axTER!$C$151:$C$157,JO609)*JM$510)/10^6*$D$514</f>
        <v>49.837961474556437</v>
      </c>
      <c r="JL609" s="275" t="s">
        <v>274</v>
      </c>
      <c r="JM609" s="161" t="s">
        <v>265</v>
      </c>
      <c r="JN609" s="161" t="s">
        <v>255</v>
      </c>
      <c r="JO609" s="284" t="s">
        <v>256</v>
      </c>
      <c r="JP609" s="276">
        <f>$H609*SUMIFS(axTER!$E$65:$E$105,axTER!$D$65:$D$105,JN609,axTER!$C$65:$C$105,JL609)/SUMIFS(axTER!$E$108:$E$114,axTER!$C$108:$C$114,JO609)/10^9*$D$514</f>
        <v>0.36639437007192699</v>
      </c>
      <c r="JR609" s="269">
        <v>400</v>
      </c>
      <c r="JS609" s="66" t="s">
        <v>274</v>
      </c>
      <c r="JT609" s="66" t="s">
        <v>265</v>
      </c>
      <c r="JU609" s="66" t="s">
        <v>255</v>
      </c>
      <c r="JV609" s="283" t="s">
        <v>256</v>
      </c>
      <c r="JW609" s="272">
        <f>$H609*SUMIFS(axTER!$E$65:$E$105,axTER!$C$65:$C$105,JS609,axTER!$D$65:$D$105,JU609)/SUMIFS(axTER!$E$108:$E$114,axTER!$C$108:$C$114,JV609)/10^9*$D$514</f>
        <v>0.36639437007192699</v>
      </c>
      <c r="JY609" s="273">
        <f t="shared" si="1022"/>
        <v>0</v>
      </c>
      <c r="JZ609" s="273">
        <f t="shared" si="1023"/>
        <v>0</v>
      </c>
      <c r="KA609" s="273">
        <f>$H609*IF(KE609&lt;&gt;JU609,SUMIFS(axTER!$E$121:$E$128,axTER!$C$121:$C$128,JU609,axTER!$D$121:$D$128,KE609),SUMIFS(axTER!$E$133:$E$138,axTER!$C$133:$C$138,KE609)*KD$510)*$D$514/10^6</f>
        <v>110.75102549901429</v>
      </c>
      <c r="KB609" s="274">
        <f>$H609*IF(KF609&lt;&gt;JV609,SUMIFS(axTER!$E$142:$E$148,axTER!$C$142:$C$148,KF609),SUMIFS(axTER!$E$151:$E$157,axTER!$C$151:$C$157,KF609)*KD$510)/10^6*$D$514</f>
        <v>17.443286516094755</v>
      </c>
      <c r="KC609" s="275" t="s">
        <v>274</v>
      </c>
      <c r="KD609" s="161" t="s">
        <v>265</v>
      </c>
      <c r="KE609" s="161" t="s">
        <v>255</v>
      </c>
      <c r="KF609" s="284" t="s">
        <v>256</v>
      </c>
      <c r="KG609" s="276">
        <f>$H609*SUMIFS(axTER!$E$65:$E$105,axTER!$D$65:$D$105,KE609,axTER!$C$65:$C$105,KC609)/SUMIFS(axTER!$E$108:$E$114,axTER!$C$108:$C$114,KF609)/10^9*$D$514</f>
        <v>0.36639437007192699</v>
      </c>
      <c r="KS609" s="273" t="str">
        <f t="shared" si="1024"/>
        <v>BOIS</v>
      </c>
      <c r="KT609" s="273">
        <f t="shared" si="1025"/>
        <v>0</v>
      </c>
      <c r="KU609" s="273">
        <f>$H609*IF(KY609&lt;&gt;KE609,SUMIFS(axTER!$E$121:$E$128,axTER!$C$121:$C$128,KE609,axTER!$D$121:$D$128,KY609),SUMIFS(axTER!$E$133:$E$138,axTER!$C$133:$C$138,KY609)*KX$510)*$D$514/10^6</f>
        <v>316.43150142575507</v>
      </c>
      <c r="KV609" s="274">
        <f>$H609*IF(KZ609&lt;&gt;KF609,SUMIFS(axTER!$E$142:$E$148,axTER!$C$142:$C$148,KZ609),SUMIFS(axTER!$E$151:$E$157,axTER!$C$151:$C$157,KZ609)*KX$510)/10^6*$D$514</f>
        <v>122.6172068024801</v>
      </c>
      <c r="KW609" s="275" t="s">
        <v>274</v>
      </c>
      <c r="KX609" s="161" t="s">
        <v>265</v>
      </c>
      <c r="KY609" s="161" t="s">
        <v>255</v>
      </c>
      <c r="KZ609" s="284" t="s">
        <v>270</v>
      </c>
      <c r="LA609" s="276">
        <f>$H609*SUMIFS(axTER!$E$65:$E$105,axTER!$D$65:$D$105,KY609,axTER!$C$65:$C$105,KW609)/SUMIFS(axTER!$E$108:$E$114,axTER!$C$108:$C$114,KZ609)/10^9*$D$514</f>
        <v>0.34807465156833062</v>
      </c>
      <c r="LC609" s="269">
        <v>400</v>
      </c>
      <c r="LD609" s="66" t="s">
        <v>274</v>
      </c>
      <c r="LE609" s="66" t="s">
        <v>265</v>
      </c>
      <c r="LF609" s="66" t="s">
        <v>255</v>
      </c>
      <c r="LG609" s="283" t="s">
        <v>256</v>
      </c>
      <c r="LH609" s="272">
        <f>$H609*SUMIFS(axTER!$E$65:$E$105,axTER!$C$65:$C$105,LD609,axTER!$D$65:$D$105,LF609)/SUMIFS(axTER!$E$108:$E$114,axTER!$C$108:$C$114,LG609)/10^9*$D$514</f>
        <v>0.36639437007192699</v>
      </c>
      <c r="LJ609" s="273">
        <f t="shared" si="1026"/>
        <v>0</v>
      </c>
      <c r="LK609" s="273">
        <f t="shared" si="1030"/>
        <v>0</v>
      </c>
      <c r="LL609" s="273">
        <f>$H609*IF(LP609&lt;&gt;LF609,SUMIFS(axTER!$E$121:$E$128,axTER!$C$121:$C$128,LF609,axTER!$D$121:$D$128,LP609),SUMIFS(axTER!$E$133:$E$138,axTER!$C$133:$C$138,LP609)*LO$510)*$D$514/10^6</f>
        <v>110.75102549901429</v>
      </c>
      <c r="LM609" s="274">
        <f>$H609*IF(LQ609&lt;&gt;LG609,SUMIFS(axTER!$E$142:$E$148,axTER!$C$142:$C$148,LQ609),SUMIFS(axTER!$E$151:$E$157,axTER!$C$151:$C$157,LQ609)*LO$510)/10^6*$D$514</f>
        <v>17.443286516094755</v>
      </c>
      <c r="LN609" s="275" t="s">
        <v>274</v>
      </c>
      <c r="LO609" s="161" t="s">
        <v>265</v>
      </c>
      <c r="LP609" s="161" t="s">
        <v>255</v>
      </c>
      <c r="LQ609" s="161" t="s">
        <v>256</v>
      </c>
      <c r="LR609" s="276">
        <f>$H609*SUMIFS(axTER!$E$65:$E$105,axTER!$D$65:$D$105,LP609,axTER!$C$65:$C$105,LN609)/SUMIFS(axTER!$E$108:$E$114,axTER!$C$108:$C$114,LQ609)/10^9*$D$514</f>
        <v>0.36639437007192699</v>
      </c>
      <c r="LT609" s="273" t="str">
        <f t="shared" si="1027"/>
        <v>ELEC-PAC</v>
      </c>
      <c r="LU609" s="273">
        <f t="shared" si="1028"/>
        <v>400</v>
      </c>
      <c r="LV609" s="273">
        <f>$H609*IF(LZ609&lt;&gt;LP609,SUMIFS(axTER!$E$121:$E$128,axTER!$C$121:$C$128,LP609,axTER!$D$121:$D$128,LZ609),SUMIFS(axTER!$E$133:$E$138,axTER!$C$133:$C$138,LZ609)*LY$510)*$D$514/10^6</f>
        <v>791.07875356438763</v>
      </c>
      <c r="LW609" s="274">
        <f>$H609*IF(MA609&lt;&gt;LQ609,SUMIFS(axTER!$E$142:$E$148,axTER!$C$142:$C$148,MA609),SUMIFS(axTER!$E$151:$E$157,axTER!$C$151:$C$157,MA609)*LY$510)/10^6*$D$514</f>
        <v>316.43150142575507</v>
      </c>
      <c r="LX609" s="275" t="s">
        <v>274</v>
      </c>
      <c r="LY609" s="161" t="s">
        <v>265</v>
      </c>
      <c r="LZ609" s="429" t="s">
        <v>264</v>
      </c>
      <c r="MA609" s="429" t="s">
        <v>261</v>
      </c>
      <c r="MB609" s="276">
        <f>$H609*SUMIFS(axTER!$E$65:$E$105,axTER!$D$65:$D$105,LZ609,axTER!$C$65:$C$105,LX609)/SUMIFS(axTER!$E$108:$E$114,axTER!$C$108:$C$114,MA609)/10^9*$D$514</f>
        <v>7.9107875356438775E-2</v>
      </c>
      <c r="MD609" s="273">
        <f t="shared" si="1019"/>
        <v>0</v>
      </c>
      <c r="ME609" s="273">
        <f t="shared" si="1029"/>
        <v>0</v>
      </c>
      <c r="MF609" s="273">
        <f>$H609*IF(MJ609&lt;&gt;LZ609,SUMIFS(axTER!$E$121:$E$128,axTER!$C$121:$C$128,LZ609,axTER!$D$121:$D$128,MJ609),SUMIFS(axTER!$E$133:$E$138,axTER!$C$133:$C$138,MJ609)*MI$510)*$D$514/10^6</f>
        <v>59.330906517329083</v>
      </c>
      <c r="MG609" s="274">
        <f>$H609*IF(MK609&lt;&gt;MA609,SUMIFS(axTER!$E$142:$E$148,axTER!$C$142:$C$148,MK609),SUMIFS(axTER!$E$151:$E$157,axTER!$C$151:$C$157,MK609)*MI$510)/10^6*$D$514</f>
        <v>110.7510254990143</v>
      </c>
      <c r="MH609" s="275" t="s">
        <v>274</v>
      </c>
      <c r="MI609" s="161" t="s">
        <v>265</v>
      </c>
      <c r="MJ609" s="161" t="s">
        <v>264</v>
      </c>
      <c r="MK609" s="161" t="s">
        <v>261</v>
      </c>
      <c r="ML609" s="276">
        <f>$H609*SUMIFS(axTER!$E$65:$E$105,axTER!$D$65:$D$105,MJ609,axTER!$C$65:$C$105,MH609)/SUMIFS(axTER!$E$108:$E$114,axTER!$C$108:$C$114,MK609)/10^9*$D$514</f>
        <v>7.9107875356438775E-2</v>
      </c>
    </row>
    <row r="610" spans="3:360" outlineLevel="1" x14ac:dyDescent="0.3">
      <c r="C610" s="265"/>
      <c r="F610" s="266"/>
      <c r="H610" s="269">
        <v>400</v>
      </c>
      <c r="I610" s="66" t="s">
        <v>274</v>
      </c>
      <c r="J610" s="66" t="s">
        <v>265</v>
      </c>
      <c r="K610" s="66" t="s">
        <v>255</v>
      </c>
      <c r="L610" s="283" t="s">
        <v>267</v>
      </c>
      <c r="M610" s="272">
        <f>$H610*SUMIFS(axTER!$E$65:$E$105,axTER!$C$65:$C$105,I610,axTER!$D$65:$D$105,K610)/SUMIFS(axTER!$E$108:$E$114,axTER!$C$108:$C$114,L610)/10^9*$D$514</f>
        <v>0.38674961285370063</v>
      </c>
      <c r="S610" s="269">
        <v>400</v>
      </c>
      <c r="T610" s="66" t="s">
        <v>274</v>
      </c>
      <c r="U610" s="66" t="s">
        <v>265</v>
      </c>
      <c r="V610" s="66" t="s">
        <v>255</v>
      </c>
      <c r="W610" s="283" t="s">
        <v>267</v>
      </c>
      <c r="X610" s="272">
        <f>$H610*SUMIFS(axTER!$E$65:$E$105,axTER!$C$65:$C$105,T610,axTER!$D$65:$D$105,V610)/SUMIFS(axTER!$E$108:$E$114,axTER!$C$108:$C$114,W610)/10^9*$D$514</f>
        <v>0.38674961285370063</v>
      </c>
      <c r="AB610" s="273">
        <f>$H610*IF(AF610&lt;&gt;K610,SUMIFS(axTER!$E$121:$E$128,axTER!$C$121:$C$128,K610,axTER!$D$121:$D$128,AF610),SUMIFS(axTER!$E$133:$E$138,axTER!$C$133:$C$138,AF610)*AE$510)*$D$514/10^6</f>
        <v>158.21575071287754</v>
      </c>
      <c r="AC610" s="274">
        <f>$H610*IF(AG610&lt;&gt;L610,SUMIFS(axTER!$E$142:$E$148,axTER!$C$142:$C$148,AG610),SUMIFS(axTER!$E$151:$E$157,axTER!$C$151:$C$157,AG610)*AE$510)/10^6*$D$514</f>
        <v>33.225307649704284</v>
      </c>
      <c r="AD610" s="275" t="s">
        <v>274</v>
      </c>
      <c r="AE610" s="161" t="s">
        <v>265</v>
      </c>
      <c r="AF610" s="161" t="s">
        <v>255</v>
      </c>
      <c r="AG610" s="284" t="s">
        <v>267</v>
      </c>
      <c r="AH610" s="276">
        <f>$H610*SUMIFS(axTER!$E$65:$E$105,axTER!$D$65:$D$105,AF610,axTER!$C$65:$C$105,AD610)/SUMIFS(axTER!$E$108:$E$114,axTER!$C$108:$C$114,AG610)/10^9*$D$514</f>
        <v>0.38674961285370063</v>
      </c>
      <c r="AV610" s="273">
        <f>$H610*IF(AZ610&lt;&gt;AF610,SUMIFS(axTER!$E$121:$E$128,axTER!$C$121:$C$128,AF610,axTER!$D$121:$D$128,AZ610),SUMIFS(axTER!$E$133:$E$138,axTER!$C$133:$C$138,AZ610)*AY$510)*$D$514/10^6</f>
        <v>316.43150142575507</v>
      </c>
      <c r="AW610" s="274">
        <f>$H610*IF(BA610&lt;&gt;AG610,SUMIFS(axTER!$E$142:$E$148,axTER!$C$142:$C$148,BA610),SUMIFS(axTER!$E$151:$E$157,axTER!$C$151:$C$157,BA610)*AY$510)/10^6*$D$514</f>
        <v>316.43150142575507</v>
      </c>
      <c r="AX610" s="275" t="s">
        <v>274</v>
      </c>
      <c r="AY610" s="161" t="s">
        <v>265</v>
      </c>
      <c r="AZ610" s="161" t="s">
        <v>255</v>
      </c>
      <c r="BA610" s="284" t="s">
        <v>261</v>
      </c>
      <c r="BB610" s="276">
        <f>$H610*SUMIFS(axTER!$E$65:$E$105,axTER!$D$65:$D$105,AZ610,axTER!$C$65:$C$105,AX610)/SUMIFS(axTER!$E$108:$E$114,axTER!$C$108:$C$114,BA610)/10^9*$D$514</f>
        <v>0.11602488385611021</v>
      </c>
      <c r="IG610" s="269">
        <v>400</v>
      </c>
      <c r="IH610" s="66" t="s">
        <v>274</v>
      </c>
      <c r="II610" s="66" t="s">
        <v>265</v>
      </c>
      <c r="IJ610" s="66" t="s">
        <v>255</v>
      </c>
      <c r="IK610" s="283" t="s">
        <v>267</v>
      </c>
      <c r="IL610" s="272">
        <f>$H610*SUMIFS(axTER!$E$65:$E$105,axTER!$C$65:$C$105,IH610,axTER!$D$65:$D$105,IJ610)/SUMIFS(axTER!$E$108:$E$114,axTER!$C$108:$C$114,IK610)/10^9*$D$514</f>
        <v>0.38674961285370063</v>
      </c>
      <c r="IO610" s="273">
        <f t="shared" si="1020"/>
        <v>0</v>
      </c>
      <c r="IP610" s="273">
        <f>$H610*IF(IT610&lt;&gt;IJ610,SUMIFS(axTER!$E$121:$E$128,axTER!$C$121:$C$128,IJ610,axTER!$D$121:$D$128,IT610),SUMIFS(axTER!$E$133:$E$138,axTER!$C$133:$C$138,IT610)*IS$510)*$D$514/10^6</f>
        <v>158.21575071287754</v>
      </c>
      <c r="IQ610" s="274">
        <f>$H610*IF(IU610&lt;&gt;IK610,SUMIFS(axTER!$E$142:$E$148,axTER!$C$142:$C$148,IU610),SUMIFS(axTER!$E$151:$E$157,axTER!$C$151:$C$157,IU610)*IS$510)/10^6*$D$514</f>
        <v>33.225307649704284</v>
      </c>
      <c r="IR610" s="275" t="s">
        <v>274</v>
      </c>
      <c r="IS610" s="161" t="s">
        <v>265</v>
      </c>
      <c r="IT610" s="161" t="s">
        <v>255</v>
      </c>
      <c r="IU610" s="284" t="s">
        <v>267</v>
      </c>
      <c r="IV610" s="276">
        <f>$H610*SUMIFS(axTER!$E$65:$E$105,axTER!$D$65:$D$105,IT610,axTER!$C$65:$C$105,IR610)/SUMIFS(axTER!$E$108:$E$114,axTER!$C$108:$C$114,IU610)/10^9*$D$514</f>
        <v>0.38674961285370063</v>
      </c>
      <c r="JI610" s="273">
        <f t="shared" si="1021"/>
        <v>0</v>
      </c>
      <c r="JJ610" s="273">
        <f>$H610*IF(JN610&lt;&gt;IT610,SUMIFS(axTER!$E$121:$E$128,axTER!$C$121:$C$128,IT610,axTER!$D$121:$D$128,JN610),SUMIFS(axTER!$E$133:$E$138,axTER!$C$133:$C$138,JN610)*JM$510)*$D$514/10^6</f>
        <v>316.43150142575507</v>
      </c>
      <c r="JK610" s="274">
        <f>$H610*IF(JO610&lt;&gt;IU610,SUMIFS(axTER!$E$142:$E$148,axTER!$C$142:$C$148,JO610),SUMIFS(axTER!$E$151:$E$157,axTER!$C$151:$C$157,JO610)*JM$510)/10^6*$D$514</f>
        <v>66.450615299408568</v>
      </c>
      <c r="JL610" s="275" t="s">
        <v>274</v>
      </c>
      <c r="JM610" s="161" t="s">
        <v>265</v>
      </c>
      <c r="JN610" s="161" t="s">
        <v>255</v>
      </c>
      <c r="JO610" s="284" t="s">
        <v>267</v>
      </c>
      <c r="JP610" s="276">
        <f>$H610*SUMIFS(axTER!$E$65:$E$105,axTER!$D$65:$D$105,JN610,axTER!$C$65:$C$105,JL610)/SUMIFS(axTER!$E$108:$E$114,axTER!$C$108:$C$114,JO610)/10^9*$D$514</f>
        <v>0.38674961285370063</v>
      </c>
      <c r="JR610" s="269">
        <v>400</v>
      </c>
      <c r="JS610" s="66" t="s">
        <v>274</v>
      </c>
      <c r="JT610" s="66" t="s">
        <v>265</v>
      </c>
      <c r="JU610" s="66" t="s">
        <v>255</v>
      </c>
      <c r="JV610" s="283" t="s">
        <v>267</v>
      </c>
      <c r="JW610" s="272">
        <f>$H610*SUMIFS(axTER!$E$65:$E$105,axTER!$C$65:$C$105,JS610,axTER!$D$65:$D$105,JU610)/SUMIFS(axTER!$E$108:$E$114,axTER!$C$108:$C$114,JV610)/10^9*$D$514</f>
        <v>0.38674961285370063</v>
      </c>
      <c r="JY610" s="273" t="str">
        <f t="shared" si="1022"/>
        <v>BOIS</v>
      </c>
      <c r="JZ610" s="273">
        <f t="shared" si="1023"/>
        <v>400</v>
      </c>
      <c r="KA610" s="273">
        <f>$H610*IF(KE610&lt;&gt;JU610,SUMIFS(axTER!$E$121:$E$128,axTER!$C$121:$C$128,JU610,axTER!$D$121:$D$128,KE610),SUMIFS(axTER!$E$133:$E$138,axTER!$C$133:$C$138,KE610)*KD$510)*$D$514/10^6</f>
        <v>395.53937678219381</v>
      </c>
      <c r="KB610" s="274">
        <f>$H610*IF(KF610&lt;&gt;JV610,SUMIFS(axTER!$E$142:$E$148,axTER!$C$142:$C$148,KF610),SUMIFS(axTER!$E$151:$E$157,axTER!$C$151:$C$157,KF610)*KD$510)/10^6*$D$514</f>
        <v>122.6172068024801</v>
      </c>
      <c r="KC610" s="275" t="s">
        <v>274</v>
      </c>
      <c r="KD610" s="161" t="s">
        <v>265</v>
      </c>
      <c r="KE610" s="161" t="s">
        <v>262</v>
      </c>
      <c r="KF610" s="284" t="s">
        <v>270</v>
      </c>
      <c r="KG610" s="276">
        <f>$H610*SUMIFS(axTER!$E$65:$E$105,axTER!$D$65:$D$105,KE610,axTER!$C$65:$C$105,KC610)/SUMIFS(axTER!$E$108:$E$114,axTER!$C$108:$C$114,KF610)/10^9*$D$514</f>
        <v>0.3164315014257551</v>
      </c>
      <c r="KS610" s="273">
        <f t="shared" si="1024"/>
        <v>0</v>
      </c>
      <c r="KT610" s="273">
        <f t="shared" si="1025"/>
        <v>0</v>
      </c>
      <c r="KU610" s="273">
        <f>$H610*IF(KY610&lt;&gt;KE610,SUMIFS(axTER!$E$121:$E$128,axTER!$C$121:$C$128,KE610,axTER!$D$121:$D$128,KY610),SUMIFS(axTER!$E$133:$E$138,axTER!$C$133:$C$138,KY610)*KX$510)*$D$514/10^6</f>
        <v>118.66181303465817</v>
      </c>
      <c r="KV610" s="274">
        <f>$H610*IF(KZ610&lt;&gt;KF610,SUMIFS(axTER!$E$142:$E$148,axTER!$C$142:$C$148,KZ610),SUMIFS(axTER!$E$151:$E$157,axTER!$C$151:$C$157,KZ610)*KX$510)/10^6*$D$514</f>
        <v>85.832044761736086</v>
      </c>
      <c r="KW610" s="275" t="s">
        <v>274</v>
      </c>
      <c r="KX610" s="161" t="s">
        <v>265</v>
      </c>
      <c r="KY610" s="161" t="s">
        <v>262</v>
      </c>
      <c r="KZ610" s="284" t="s">
        <v>270</v>
      </c>
      <c r="LA610" s="276">
        <f>$H610*SUMIFS(axTER!$E$65:$E$105,axTER!$D$65:$D$105,KY610,axTER!$C$65:$C$105,KW610)/SUMIFS(axTER!$E$108:$E$114,axTER!$C$108:$C$114,KZ610)/10^9*$D$514</f>
        <v>0.3164315014257551</v>
      </c>
      <c r="LC610" s="269">
        <v>400</v>
      </c>
      <c r="LD610" s="66" t="s">
        <v>274</v>
      </c>
      <c r="LE610" s="66" t="s">
        <v>265</v>
      </c>
      <c r="LF610" s="66" t="s">
        <v>255</v>
      </c>
      <c r="LG610" s="283" t="s">
        <v>267</v>
      </c>
      <c r="LH610" s="272">
        <f>$H610*SUMIFS(axTER!$E$65:$E$105,axTER!$C$65:$C$105,LD610,axTER!$D$65:$D$105,LF610)/SUMIFS(axTER!$E$108:$E$114,axTER!$C$108:$C$114,LG610)/10^9*$D$514</f>
        <v>0.38674961285370063</v>
      </c>
      <c r="LJ610" s="273">
        <f t="shared" si="1026"/>
        <v>0</v>
      </c>
      <c r="LK610" s="273">
        <f t="shared" si="1030"/>
        <v>0</v>
      </c>
      <c r="LL610" s="273">
        <f>$H610*IF(LP610&lt;&gt;LF610,SUMIFS(axTER!$E$121:$E$128,axTER!$C$121:$C$128,LF610,axTER!$D$121:$D$128,LP610),SUMIFS(axTER!$E$133:$E$138,axTER!$C$133:$C$138,LP610)*LO$510)*$D$514/10^6</f>
        <v>110.75102549901429</v>
      </c>
      <c r="LM610" s="274">
        <f>$H610*IF(LQ610&lt;&gt;LG610,SUMIFS(axTER!$E$142:$E$148,axTER!$C$142:$C$148,LQ610),SUMIFS(axTER!$E$151:$E$157,axTER!$C$151:$C$157,LQ610)*LO$510)/10^6*$D$514</f>
        <v>23.257715354793003</v>
      </c>
      <c r="LN610" s="275" t="s">
        <v>274</v>
      </c>
      <c r="LO610" s="161" t="s">
        <v>265</v>
      </c>
      <c r="LP610" s="429" t="s">
        <v>255</v>
      </c>
      <c r="LQ610" s="430" t="s">
        <v>267</v>
      </c>
      <c r="LR610" s="276">
        <f>$H610*SUMIFS(axTER!$E$65:$E$105,axTER!$D$65:$D$105,LP610,axTER!$C$65:$C$105,LN610)/SUMIFS(axTER!$E$108:$E$114,axTER!$C$108:$C$114,LQ610)/10^9*$D$514</f>
        <v>0.38674961285370063</v>
      </c>
      <c r="LT610" s="273" t="str">
        <f t="shared" si="1027"/>
        <v>ELEC-PAC</v>
      </c>
      <c r="LU610" s="273">
        <f t="shared" si="1028"/>
        <v>400</v>
      </c>
      <c r="LV610" s="273">
        <f>$H610*IF(LZ610&lt;&gt;LP610,SUMIFS(axTER!$E$121:$E$128,axTER!$C$121:$C$128,LP610,axTER!$D$121:$D$128,LZ610),SUMIFS(axTER!$E$133:$E$138,axTER!$C$133:$C$138,LZ610)*LY$510)*$D$514/10^6</f>
        <v>1779.9271955198724</v>
      </c>
      <c r="LW610" s="274">
        <f>$H610*IF(MA610&lt;&gt;LQ610,SUMIFS(axTER!$E$142:$E$148,axTER!$C$142:$C$148,MA610),SUMIFS(axTER!$E$151:$E$157,axTER!$C$151:$C$157,MA610)*LY$510)/10^6*$D$514</f>
        <v>316.43150142575507</v>
      </c>
      <c r="LX610" s="275" t="s">
        <v>274</v>
      </c>
      <c r="LY610" s="161" t="s">
        <v>265</v>
      </c>
      <c r="LZ610" s="429" t="s">
        <v>257</v>
      </c>
      <c r="MA610" s="430" t="s">
        <v>261</v>
      </c>
      <c r="MB610" s="276">
        <f>$H610*SUMIFS(axTER!$E$65:$E$105,axTER!$D$65:$D$105,LZ610,axTER!$C$65:$C$105,LX610)/SUMIFS(axTER!$E$108:$E$114,axTER!$C$108:$C$114,MA610)/10^9*$D$514</f>
        <v>5.2738583570959174E-2</v>
      </c>
      <c r="MD610" s="273">
        <f t="shared" si="1019"/>
        <v>0</v>
      </c>
      <c r="ME610" s="273">
        <f t="shared" si="1029"/>
        <v>0</v>
      </c>
      <c r="MF610" s="273">
        <f>$H610*IF(MJ610&lt;&gt;LZ610,SUMIFS(axTER!$E$121:$E$128,axTER!$C$121:$C$128,LZ610,axTER!$D$121:$D$128,MJ610),SUMIFS(axTER!$E$133:$E$138,axTER!$C$133:$C$138,MJ610)*MI$510)*$D$514/10^6</f>
        <v>59.330906517329083</v>
      </c>
      <c r="MG610" s="274">
        <f>$H610*IF(MK610&lt;&gt;MA610,SUMIFS(axTER!$E$142:$E$148,axTER!$C$142:$C$148,MK610),SUMIFS(axTER!$E$151:$E$157,axTER!$C$151:$C$157,MK610)*MI$510)/10^6*$D$514</f>
        <v>110.7510254990143</v>
      </c>
      <c r="MH610" s="275" t="s">
        <v>274</v>
      </c>
      <c r="MI610" s="161" t="s">
        <v>265</v>
      </c>
      <c r="MJ610" s="429" t="s">
        <v>257</v>
      </c>
      <c r="MK610" s="430" t="s">
        <v>261</v>
      </c>
      <c r="ML610" s="276">
        <f>$H610*SUMIFS(axTER!$E$65:$E$105,axTER!$D$65:$D$105,MJ610,axTER!$C$65:$C$105,MH610)/SUMIFS(axTER!$E$108:$E$114,axTER!$C$108:$C$114,MK610)/10^9*$D$514</f>
        <v>5.2738583570959174E-2</v>
      </c>
    </row>
    <row r="611" spans="3:360" outlineLevel="1" x14ac:dyDescent="0.3">
      <c r="C611" s="265"/>
      <c r="D611" s="69"/>
      <c r="F611" s="266"/>
      <c r="H611" s="269">
        <v>1200</v>
      </c>
      <c r="I611" s="66" t="s">
        <v>275</v>
      </c>
      <c r="J611" s="66" t="s">
        <v>254</v>
      </c>
      <c r="K611" s="66" t="s">
        <v>255</v>
      </c>
      <c r="L611" s="283" t="s">
        <v>256</v>
      </c>
      <c r="M611" s="272">
        <f>$H611*SUMIFS(axTER!$E$65:$E$105,axTER!$C$65:$C$105,I611,axTER!$D$65:$D$105,K611)/SUMIFS(axTER!$E$108:$E$114,axTER!$C$108:$C$114,L611)/10^9*$D$514</f>
        <v>1.0991831102157807</v>
      </c>
      <c r="S611" s="269">
        <v>1200</v>
      </c>
      <c r="T611" s="66" t="s">
        <v>275</v>
      </c>
      <c r="U611" s="66" t="s">
        <v>254</v>
      </c>
      <c r="V611" s="66" t="s">
        <v>255</v>
      </c>
      <c r="W611" s="283" t="s">
        <v>256</v>
      </c>
      <c r="X611" s="272">
        <f>$H611*SUMIFS(axTER!$E$65:$E$105,axTER!$C$65:$C$105,T611,axTER!$D$65:$D$105,V611)/SUMIFS(axTER!$E$108:$E$114,axTER!$C$108:$C$114,W611)/10^9*$D$514</f>
        <v>1.0991831102157807</v>
      </c>
      <c r="AB611" s="273">
        <f>$H611*IF(AF611&lt;&gt;K611,SUMIFS(axTER!$E$121:$E$128,axTER!$C$121:$C$128,K611,axTER!$D$121:$D$128,AF611),SUMIFS(axTER!$E$133:$E$138,axTER!$C$133:$C$138,AF611)*AE$510)*$D$514/10^6</f>
        <v>474.64725213863267</v>
      </c>
      <c r="AC611" s="274">
        <f>$H611*IF(AG611&lt;&gt;L611,SUMIFS(axTER!$E$142:$E$148,axTER!$C$142:$C$148,AG611),SUMIFS(axTER!$E$151:$E$157,axTER!$C$151:$C$157,AG611)*AE$510)/10^6*$D$514</f>
        <v>74.756942211834655</v>
      </c>
      <c r="AD611" s="275" t="s">
        <v>275</v>
      </c>
      <c r="AE611" s="161" t="s">
        <v>254</v>
      </c>
      <c r="AF611" s="161" t="s">
        <v>255</v>
      </c>
      <c r="AG611" s="284" t="s">
        <v>256</v>
      </c>
      <c r="AH611" s="276">
        <f>$H611*SUMIFS(axTER!$E$65:$E$105,axTER!$D$65:$D$105,AF611,axTER!$C$65:$C$105,AD611)/SUMIFS(axTER!$E$108:$E$114,axTER!$C$108:$C$114,AG611)/10^9*$D$514</f>
        <v>1.0991831102157807</v>
      </c>
      <c r="AV611" s="273">
        <f>$H611*IF(AZ611&lt;&gt;AF611,SUMIFS(axTER!$E$121:$E$128,axTER!$C$121:$C$128,AF611,axTER!$D$121:$D$128,AZ611),SUMIFS(axTER!$E$133:$E$138,axTER!$C$133:$C$138,AZ611)*AY$510)*$D$514/10^6</f>
        <v>949.29450427726533</v>
      </c>
      <c r="AW611" s="274">
        <f>$H611*IF(BA611&lt;&gt;AG611,SUMIFS(axTER!$E$142:$E$148,axTER!$C$142:$C$148,BA611),SUMIFS(axTER!$E$151:$E$157,axTER!$C$151:$C$157,BA611)*AY$510)/10^6*$D$514</f>
        <v>149.51388442366931</v>
      </c>
      <c r="AX611" s="275" t="s">
        <v>275</v>
      </c>
      <c r="AY611" s="161" t="s">
        <v>254</v>
      </c>
      <c r="AZ611" s="161" t="s">
        <v>255</v>
      </c>
      <c r="BA611" s="284" t="s">
        <v>256</v>
      </c>
      <c r="BB611" s="276">
        <f>$H611*SUMIFS(axTER!$E$65:$E$105,axTER!$D$65:$D$105,AZ611,axTER!$C$65:$C$105,AX611)/SUMIFS(axTER!$E$108:$E$114,axTER!$C$108:$C$114,BA611)/10^9*$D$514</f>
        <v>1.0991831102157807</v>
      </c>
      <c r="IG611" s="269">
        <v>1200</v>
      </c>
      <c r="IH611" s="66" t="s">
        <v>275</v>
      </c>
      <c r="II611" s="66" t="s">
        <v>254</v>
      </c>
      <c r="IJ611" s="66" t="s">
        <v>255</v>
      </c>
      <c r="IK611" s="283" t="s">
        <v>256</v>
      </c>
      <c r="IL611" s="272">
        <f>$H611*SUMIFS(axTER!$E$65:$E$105,axTER!$C$65:$C$105,IH611,axTER!$D$65:$D$105,IJ611)/SUMIFS(axTER!$E$108:$E$114,axTER!$C$108:$C$114,IK611)/10^9*$D$514</f>
        <v>1.0991831102157807</v>
      </c>
      <c r="IO611" s="273">
        <f t="shared" si="1020"/>
        <v>0</v>
      </c>
      <c r="IP611" s="273">
        <f>$H611*IF(IT611&lt;&gt;IJ611,SUMIFS(axTER!$E$121:$E$128,axTER!$C$121:$C$128,IJ611,axTER!$D$121:$D$128,IT611),SUMIFS(axTER!$E$133:$E$138,axTER!$C$133:$C$138,IT611)*IS$510)*$D$514/10^6</f>
        <v>474.64725213863267</v>
      </c>
      <c r="IQ611" s="274">
        <f>$H611*IF(IU611&lt;&gt;IK611,SUMIFS(axTER!$E$142:$E$148,axTER!$C$142:$C$148,IU611),SUMIFS(axTER!$E$151:$E$157,axTER!$C$151:$C$157,IU611)*IS$510)/10^6*$D$514</f>
        <v>74.756942211834655</v>
      </c>
      <c r="IR611" s="275" t="s">
        <v>275</v>
      </c>
      <c r="IS611" s="161" t="s">
        <v>254</v>
      </c>
      <c r="IT611" s="161" t="s">
        <v>255</v>
      </c>
      <c r="IU611" s="284" t="s">
        <v>256</v>
      </c>
      <c r="IV611" s="276">
        <f>$H611*SUMIFS(axTER!$E$65:$E$105,axTER!$D$65:$D$105,IT611,axTER!$C$65:$C$105,IR611)/SUMIFS(axTER!$E$108:$E$114,axTER!$C$108:$C$114,IU611)/10^9*$D$514</f>
        <v>1.0991831102157807</v>
      </c>
      <c r="JI611" s="273">
        <f t="shared" si="1021"/>
        <v>0</v>
      </c>
      <c r="JJ611" s="273">
        <f>$H611*IF(JN611&lt;&gt;IT611,SUMIFS(axTER!$E$121:$E$128,axTER!$C$121:$C$128,IT611,axTER!$D$121:$D$128,JN611),SUMIFS(axTER!$E$133:$E$138,axTER!$C$133:$C$138,JN611)*JM$510)*$D$514/10^6</f>
        <v>949.29450427726533</v>
      </c>
      <c r="JK611" s="274">
        <f>$H611*IF(JO611&lt;&gt;IU611,SUMIFS(axTER!$E$142:$E$148,axTER!$C$142:$C$148,JO611),SUMIFS(axTER!$E$151:$E$157,axTER!$C$151:$C$157,JO611)*JM$510)/10^6*$D$514</f>
        <v>149.51388442366931</v>
      </c>
      <c r="JL611" s="275" t="s">
        <v>275</v>
      </c>
      <c r="JM611" s="161" t="s">
        <v>254</v>
      </c>
      <c r="JN611" s="161" t="s">
        <v>255</v>
      </c>
      <c r="JO611" s="284" t="s">
        <v>256</v>
      </c>
      <c r="JP611" s="276">
        <f>$H611*SUMIFS(axTER!$E$65:$E$105,axTER!$D$65:$D$105,JN611,axTER!$C$65:$C$105,JL611)/SUMIFS(axTER!$E$108:$E$114,axTER!$C$108:$C$114,JO611)/10^9*$D$514</f>
        <v>1.0991831102157807</v>
      </c>
      <c r="JR611" s="269">
        <v>1200</v>
      </c>
      <c r="JS611" s="66" t="s">
        <v>275</v>
      </c>
      <c r="JT611" s="66" t="s">
        <v>254</v>
      </c>
      <c r="JU611" s="66" t="s">
        <v>255</v>
      </c>
      <c r="JV611" s="283" t="s">
        <v>256</v>
      </c>
      <c r="JW611" s="272">
        <f>$H611*SUMIFS(axTER!$E$65:$E$105,axTER!$C$65:$C$105,JS611,axTER!$D$65:$D$105,JU611)/SUMIFS(axTER!$E$108:$E$114,axTER!$C$108:$C$114,JV611)/10^9*$D$514</f>
        <v>1.0991831102157807</v>
      </c>
      <c r="JY611" s="273">
        <f t="shared" si="1022"/>
        <v>0</v>
      </c>
      <c r="JZ611" s="273">
        <f t="shared" si="1023"/>
        <v>0</v>
      </c>
      <c r="KA611" s="273">
        <f>$H611*IF(KE611&lt;&gt;JU611,SUMIFS(axTER!$E$121:$E$128,axTER!$C$121:$C$128,JU611,axTER!$D$121:$D$128,KE611),SUMIFS(axTER!$E$133:$E$138,axTER!$C$133:$C$138,KE611)*KD$510)*$D$514/10^6</f>
        <v>332.25307649704285</v>
      </c>
      <c r="KB611" s="274">
        <f>$H611*IF(KF611&lt;&gt;JV611,SUMIFS(axTER!$E$142:$E$148,axTER!$C$142:$C$148,KF611),SUMIFS(axTER!$E$151:$E$157,axTER!$C$151:$C$157,KF611)*KD$510)/10^6*$D$514</f>
        <v>52.329859548284254</v>
      </c>
      <c r="KC611" s="275" t="s">
        <v>275</v>
      </c>
      <c r="KD611" s="161" t="s">
        <v>254</v>
      </c>
      <c r="KE611" s="161" t="s">
        <v>255</v>
      </c>
      <c r="KF611" s="284" t="s">
        <v>256</v>
      </c>
      <c r="KG611" s="276">
        <f>$H611*SUMIFS(axTER!$E$65:$E$105,axTER!$D$65:$D$105,KE611,axTER!$C$65:$C$105,KC611)/SUMIFS(axTER!$E$108:$E$114,axTER!$C$108:$C$114,KF611)/10^9*$D$514</f>
        <v>1.0991831102157807</v>
      </c>
      <c r="KS611" s="273" t="str">
        <f t="shared" si="1024"/>
        <v>ELEC-PAC</v>
      </c>
      <c r="KT611" s="273">
        <f t="shared" si="1025"/>
        <v>1200</v>
      </c>
      <c r="KU611" s="273">
        <f>$H611*IF(KY611&lt;&gt;KE611,SUMIFS(axTER!$E$121:$E$128,axTER!$C$121:$C$128,KE611,axTER!$D$121:$D$128,KY611),SUMIFS(axTER!$E$133:$E$138,axTER!$C$133:$C$138,KY611)*KX$510)*$D$514/10^6</f>
        <v>2373.2362606931633</v>
      </c>
      <c r="KV611" s="274">
        <f>$H611*IF(KZ611&lt;&gt;KF611,SUMIFS(axTER!$E$142:$E$148,axTER!$C$142:$C$148,KZ611),SUMIFS(axTER!$E$151:$E$157,axTER!$C$151:$C$157,KZ611)*KX$510)/10^6*$D$514</f>
        <v>949.29450427726533</v>
      </c>
      <c r="KW611" s="275" t="s">
        <v>275</v>
      </c>
      <c r="KX611" s="161" t="s">
        <v>254</v>
      </c>
      <c r="KY611" s="161" t="s">
        <v>264</v>
      </c>
      <c r="KZ611" s="284" t="s">
        <v>261</v>
      </c>
      <c r="LA611" s="276">
        <f>$H611*SUMIFS(axTER!$E$65:$E$105,axTER!$D$65:$D$105,KY611,axTER!$C$65:$C$105,KW611)/SUMIFS(axTER!$E$108:$E$114,axTER!$C$108:$C$114,KZ611)/10^9*$D$514</f>
        <v>0.23732362606931634</v>
      </c>
      <c r="LC611" s="269">
        <v>1200</v>
      </c>
      <c r="LD611" s="66" t="s">
        <v>275</v>
      </c>
      <c r="LE611" s="66" t="s">
        <v>254</v>
      </c>
      <c r="LF611" s="66" t="s">
        <v>255</v>
      </c>
      <c r="LG611" s="283" t="s">
        <v>256</v>
      </c>
      <c r="LH611" s="272">
        <f>$H611*SUMIFS(axTER!$E$65:$E$105,axTER!$C$65:$C$105,LD611,axTER!$D$65:$D$105,LF611)/SUMIFS(axTER!$E$108:$E$114,axTER!$C$108:$C$114,LG611)/10^9*$D$514</f>
        <v>1.0991831102157807</v>
      </c>
      <c r="LJ611" s="273">
        <f t="shared" si="1026"/>
        <v>0</v>
      </c>
      <c r="LK611" s="273">
        <f t="shared" si="1030"/>
        <v>0</v>
      </c>
      <c r="LL611" s="273">
        <f>$H611*IF(LP611&lt;&gt;LF611,SUMIFS(axTER!$E$121:$E$128,axTER!$C$121:$C$128,LF611,axTER!$D$121:$D$128,LP611),SUMIFS(axTER!$E$133:$E$138,axTER!$C$133:$C$138,LP611)*LO$510)*$D$514/10^6</f>
        <v>332.25307649704285</v>
      </c>
      <c r="LM611" s="274">
        <f>$H611*IF(LQ611&lt;&gt;LG611,SUMIFS(axTER!$E$142:$E$148,axTER!$C$142:$C$148,LQ611),SUMIFS(axTER!$E$151:$E$157,axTER!$C$151:$C$157,LQ611)*LO$510)/10^6*$D$514</f>
        <v>52.329859548284254</v>
      </c>
      <c r="LN611" s="275" t="s">
        <v>275</v>
      </c>
      <c r="LO611" s="161" t="s">
        <v>254</v>
      </c>
      <c r="LP611" s="161" t="s">
        <v>255</v>
      </c>
      <c r="LQ611" s="161" t="s">
        <v>256</v>
      </c>
      <c r="LR611" s="276">
        <f>$H611*SUMIFS(axTER!$E$65:$E$105,axTER!$D$65:$D$105,LP611,axTER!$C$65:$C$105,LN611)/SUMIFS(axTER!$E$108:$E$114,axTER!$C$108:$C$114,LQ611)/10^9*$D$514</f>
        <v>1.0991831102157807</v>
      </c>
      <c r="LT611" s="273" t="str">
        <f t="shared" si="1027"/>
        <v>ELEC-PAC</v>
      </c>
      <c r="LU611" s="273">
        <f t="shared" si="1028"/>
        <v>0</v>
      </c>
      <c r="LV611" s="273">
        <f>$H611*IF(LZ611&lt;&gt;LP611,SUMIFS(axTER!$E$121:$E$128,axTER!$C$121:$C$128,LP611,axTER!$D$121:$D$128,LZ611),SUMIFS(axTER!$E$133:$E$138,axTER!$C$133:$C$138,LZ611)*LY$510)*$D$514/10^6</f>
        <v>474.64725213863267</v>
      </c>
      <c r="LW611" s="274">
        <f>$H611*IF(MA611&lt;&gt;LQ611,SUMIFS(axTER!$E$142:$E$148,axTER!$C$142:$C$148,MA611),SUMIFS(axTER!$E$151:$E$157,axTER!$C$151:$C$157,MA611)*LY$510)/10^6*$D$514</f>
        <v>949.29450427726533</v>
      </c>
      <c r="LX611" s="275" t="s">
        <v>275</v>
      </c>
      <c r="LY611" s="161" t="s">
        <v>254</v>
      </c>
      <c r="LZ611" s="161" t="s">
        <v>255</v>
      </c>
      <c r="MA611" s="429" t="s">
        <v>261</v>
      </c>
      <c r="MB611" s="276">
        <f>$H611*SUMIFS(axTER!$E$65:$E$105,axTER!$D$65:$D$105,LZ611,axTER!$C$65:$C$105,LX611)/SUMIFS(axTER!$E$108:$E$114,axTER!$C$108:$C$114,MA611)/10^9*$D$514</f>
        <v>0.34807465156833062</v>
      </c>
      <c r="MD611" s="273">
        <f t="shared" si="1019"/>
        <v>0</v>
      </c>
      <c r="ME611" s="273">
        <f t="shared" si="1029"/>
        <v>0</v>
      </c>
      <c r="MF611" s="273">
        <f>$H611*IF(MJ611&lt;&gt;LZ611,SUMIFS(axTER!$E$121:$E$128,axTER!$C$121:$C$128,LZ611,axTER!$D$121:$D$128,MJ611),SUMIFS(axTER!$E$133:$E$138,axTER!$C$133:$C$138,MJ611)*MI$510)*$D$514/10^6</f>
        <v>474.64725213863267</v>
      </c>
      <c r="MG611" s="274">
        <f>$H611*IF(MK611&lt;&gt;MA611,SUMIFS(axTER!$E$142:$E$148,axTER!$C$142:$C$148,MK611),SUMIFS(axTER!$E$151:$E$157,axTER!$C$151:$C$157,MK611)*MI$510)/10^6*$D$514</f>
        <v>332.25307649704291</v>
      </c>
      <c r="MH611" s="275" t="s">
        <v>275</v>
      </c>
      <c r="MI611" s="161" t="s">
        <v>254</v>
      </c>
      <c r="MJ611" s="161" t="s">
        <v>255</v>
      </c>
      <c r="MK611" s="161" t="s">
        <v>261</v>
      </c>
      <c r="ML611" s="276">
        <f>$H611*SUMIFS(axTER!$E$65:$E$105,axTER!$D$65:$D$105,MJ611,axTER!$C$65:$C$105,MH611)/SUMIFS(axTER!$E$108:$E$114,axTER!$C$108:$C$114,MK611)/10^9*$D$514</f>
        <v>0.34807465156833062</v>
      </c>
    </row>
    <row r="612" spans="3:360" outlineLevel="1" x14ac:dyDescent="0.3">
      <c r="C612" s="265"/>
      <c r="D612" s="286"/>
      <c r="F612" s="266"/>
      <c r="H612" s="269">
        <v>1200</v>
      </c>
      <c r="I612" s="66" t="s">
        <v>275</v>
      </c>
      <c r="J612" s="66" t="s">
        <v>265</v>
      </c>
      <c r="K612" s="66" t="s">
        <v>255</v>
      </c>
      <c r="L612" s="283" t="s">
        <v>261</v>
      </c>
      <c r="M612" s="272">
        <f>$H612*SUMIFS(axTER!$E$65:$E$105,axTER!$C$65:$C$105,I612,axTER!$D$65:$D$105,K612)/SUMIFS(axTER!$E$108:$E$114,axTER!$C$108:$C$114,L612)/10^9*$D$514</f>
        <v>0.34807465156833062</v>
      </c>
      <c r="S612" s="269">
        <v>1200</v>
      </c>
      <c r="T612" s="66" t="s">
        <v>275</v>
      </c>
      <c r="U612" s="66" t="s">
        <v>265</v>
      </c>
      <c r="V612" s="66" t="s">
        <v>255</v>
      </c>
      <c r="W612" s="283" t="s">
        <v>261</v>
      </c>
      <c r="X612" s="272">
        <f>$H612*SUMIFS(axTER!$E$65:$E$105,axTER!$C$65:$C$105,T612,axTER!$D$65:$D$105,V612)/SUMIFS(axTER!$E$108:$E$114,axTER!$C$108:$C$114,W612)/10^9*$D$514</f>
        <v>0.34807465156833062</v>
      </c>
      <c r="AB612" s="273">
        <f>$H612*IF(AF612&lt;&gt;K612,SUMIFS(axTER!$E$121:$E$128,axTER!$C$121:$C$128,K612,axTER!$D$121:$D$128,AF612),SUMIFS(axTER!$E$133:$E$138,axTER!$C$133:$C$138,AF612)*AE$510)*$D$514/10^6</f>
        <v>474.64725213863267</v>
      </c>
      <c r="AC612" s="274">
        <f>$H612*IF(AG612&lt;&gt;L612,SUMIFS(axTER!$E$142:$E$148,axTER!$C$142:$C$148,AG612),SUMIFS(axTER!$E$151:$E$157,axTER!$C$151:$C$157,AG612)*AE$510)/10^6*$D$514</f>
        <v>332.25307649704291</v>
      </c>
      <c r="AD612" s="275" t="s">
        <v>275</v>
      </c>
      <c r="AE612" s="161" t="s">
        <v>265</v>
      </c>
      <c r="AF612" s="161" t="s">
        <v>255</v>
      </c>
      <c r="AG612" s="284" t="s">
        <v>261</v>
      </c>
      <c r="AH612" s="276">
        <f>$H612*SUMIFS(axTER!$E$65:$E$105,axTER!$D$65:$D$105,AF612,axTER!$C$65:$C$105,AD612)/SUMIFS(axTER!$E$108:$E$114,axTER!$C$108:$C$114,AG612)/10^9*$D$514</f>
        <v>0.34807465156833062</v>
      </c>
      <c r="AV612" s="273">
        <f>$H612*IF(AZ612&lt;&gt;AF612,SUMIFS(axTER!$E$121:$E$128,axTER!$C$121:$C$128,AF612,axTER!$D$121:$D$128,AZ612),SUMIFS(axTER!$E$133:$E$138,axTER!$C$133:$C$138,AZ612)*AY$510)*$D$514/10^6</f>
        <v>949.29450427726533</v>
      </c>
      <c r="AW612" s="274">
        <f>$H612*IF(BA612&lt;&gt;AG612,SUMIFS(axTER!$E$142:$E$148,axTER!$C$142:$C$148,BA612),SUMIFS(axTER!$E$151:$E$157,axTER!$C$151:$C$157,BA612)*AY$510)/10^6*$D$514</f>
        <v>664.50615299408582</v>
      </c>
      <c r="AX612" s="275" t="s">
        <v>275</v>
      </c>
      <c r="AY612" s="161" t="s">
        <v>265</v>
      </c>
      <c r="AZ612" s="161" t="s">
        <v>255</v>
      </c>
      <c r="BA612" s="284" t="s">
        <v>261</v>
      </c>
      <c r="BB612" s="276">
        <f>$H612*SUMIFS(axTER!$E$65:$E$105,axTER!$D$65:$D$105,AZ612,axTER!$C$65:$C$105,AX612)/SUMIFS(axTER!$E$108:$E$114,axTER!$C$108:$C$114,BA612)/10^9*$D$514</f>
        <v>0.34807465156833062</v>
      </c>
      <c r="IG612" s="269">
        <v>1200</v>
      </c>
      <c r="IH612" s="66" t="s">
        <v>275</v>
      </c>
      <c r="II612" s="66" t="s">
        <v>265</v>
      </c>
      <c r="IJ612" s="66" t="s">
        <v>255</v>
      </c>
      <c r="IK612" s="283" t="s">
        <v>261</v>
      </c>
      <c r="IL612" s="272">
        <f>$H612*SUMIFS(axTER!$E$65:$E$105,axTER!$C$65:$C$105,IH612,axTER!$D$65:$D$105,IJ612)/SUMIFS(axTER!$E$108:$E$114,axTER!$C$108:$C$114,IK612)/10^9*$D$514</f>
        <v>0.34807465156833062</v>
      </c>
      <c r="IO612" s="273">
        <f t="shared" si="1020"/>
        <v>0</v>
      </c>
      <c r="IP612" s="273">
        <f>$H612*IF(IT612&lt;&gt;IJ612,SUMIFS(axTER!$E$121:$E$128,axTER!$C$121:$C$128,IJ612,axTER!$D$121:$D$128,IT612),SUMIFS(axTER!$E$133:$E$138,axTER!$C$133:$C$138,IT612)*IS$510)*$D$514/10^6</f>
        <v>474.64725213863267</v>
      </c>
      <c r="IQ612" s="274">
        <f>$H612*IF(IU612&lt;&gt;IK612,SUMIFS(axTER!$E$142:$E$148,axTER!$C$142:$C$148,IU612),SUMIFS(axTER!$E$151:$E$157,axTER!$C$151:$C$157,IU612)*IS$510)/10^6*$D$514</f>
        <v>332.25307649704291</v>
      </c>
      <c r="IR612" s="275" t="s">
        <v>275</v>
      </c>
      <c r="IS612" s="161" t="s">
        <v>265</v>
      </c>
      <c r="IT612" s="161" t="s">
        <v>255</v>
      </c>
      <c r="IU612" s="284" t="s">
        <v>261</v>
      </c>
      <c r="IV612" s="276">
        <f>$H612*SUMIFS(axTER!$E$65:$E$105,axTER!$D$65:$D$105,IT612,axTER!$C$65:$C$105,IR612)/SUMIFS(axTER!$E$108:$E$114,axTER!$C$108:$C$114,IU612)/10^9*$D$514</f>
        <v>0.34807465156833062</v>
      </c>
      <c r="JI612" s="273">
        <f t="shared" si="1021"/>
        <v>0</v>
      </c>
      <c r="JJ612" s="273">
        <f>$H612*IF(JN612&lt;&gt;IT612,SUMIFS(axTER!$E$121:$E$128,axTER!$C$121:$C$128,IT612,axTER!$D$121:$D$128,JN612),SUMIFS(axTER!$E$133:$E$138,axTER!$C$133:$C$138,JN612)*JM$510)*$D$514/10^6</f>
        <v>949.29450427726533</v>
      </c>
      <c r="JK612" s="274">
        <f>$H612*IF(JO612&lt;&gt;IU612,SUMIFS(axTER!$E$142:$E$148,axTER!$C$142:$C$148,JO612),SUMIFS(axTER!$E$151:$E$157,axTER!$C$151:$C$157,JO612)*JM$510)/10^6*$D$514</f>
        <v>664.50615299408582</v>
      </c>
      <c r="JL612" s="275" t="s">
        <v>275</v>
      </c>
      <c r="JM612" s="161" t="s">
        <v>265</v>
      </c>
      <c r="JN612" s="161" t="s">
        <v>255</v>
      </c>
      <c r="JO612" s="284" t="s">
        <v>261</v>
      </c>
      <c r="JP612" s="276">
        <f>$H612*SUMIFS(axTER!$E$65:$E$105,axTER!$D$65:$D$105,JN612,axTER!$C$65:$C$105,JL612)/SUMIFS(axTER!$E$108:$E$114,axTER!$C$108:$C$114,JO612)/10^9*$D$514</f>
        <v>0.34807465156833062</v>
      </c>
      <c r="JR612" s="269">
        <v>1200</v>
      </c>
      <c r="JS612" s="66" t="s">
        <v>275</v>
      </c>
      <c r="JT612" s="66" t="s">
        <v>265</v>
      </c>
      <c r="JU612" s="66" t="s">
        <v>255</v>
      </c>
      <c r="JV612" s="283" t="s">
        <v>261</v>
      </c>
      <c r="JW612" s="272">
        <f>$H612*SUMIFS(axTER!$E$65:$E$105,axTER!$C$65:$C$105,JS612,axTER!$D$65:$D$105,JU612)/SUMIFS(axTER!$E$108:$E$114,axTER!$C$108:$C$114,JV612)/10^9*$D$514</f>
        <v>0.34807465156833062</v>
      </c>
      <c r="JY612" s="273">
        <f t="shared" si="1022"/>
        <v>0</v>
      </c>
      <c r="JZ612" s="273">
        <f t="shared" si="1023"/>
        <v>0</v>
      </c>
      <c r="KA612" s="273">
        <f>$H612*IF(KE612&lt;&gt;JU612,SUMIFS(axTER!$E$121:$E$128,axTER!$C$121:$C$128,JU612,axTER!$D$121:$D$128,KE612),SUMIFS(axTER!$E$133:$E$138,axTER!$C$133:$C$138,KE612)*KD$510)*$D$514/10^6</f>
        <v>332.25307649704285</v>
      </c>
      <c r="KB612" s="274">
        <f>$H612*IF(KF612&lt;&gt;JV612,SUMIFS(axTER!$E$142:$E$148,axTER!$C$142:$C$148,KF612),SUMIFS(axTER!$E$151:$E$157,axTER!$C$151:$C$157,KF612)*KD$510)/10^6*$D$514</f>
        <v>232.57715354792998</v>
      </c>
      <c r="KC612" s="275" t="s">
        <v>275</v>
      </c>
      <c r="KD612" s="161" t="s">
        <v>265</v>
      </c>
      <c r="KE612" s="161" t="s">
        <v>255</v>
      </c>
      <c r="KF612" s="284" t="s">
        <v>261</v>
      </c>
      <c r="KG612" s="276">
        <f>$H612*SUMIFS(axTER!$E$65:$E$105,axTER!$D$65:$D$105,KE612,axTER!$C$65:$C$105,KC612)/SUMIFS(axTER!$E$108:$E$114,axTER!$C$108:$C$114,KF612)/10^9*$D$514</f>
        <v>0.34807465156833062</v>
      </c>
      <c r="KS612" s="273">
        <f t="shared" si="1024"/>
        <v>0</v>
      </c>
      <c r="KT612" s="273">
        <f t="shared" si="1025"/>
        <v>1200</v>
      </c>
      <c r="KU612" s="273">
        <f>$H612*IF(KY612&lt;&gt;KE612,SUMIFS(axTER!$E$121:$E$128,axTER!$C$121:$C$128,KE612,axTER!$D$121:$D$128,KY612),SUMIFS(axTER!$E$133:$E$138,axTER!$C$133:$C$138,KY612)*KX$510)*$D$514/10^6</f>
        <v>1186.6181303465817</v>
      </c>
      <c r="KV612" s="274">
        <f>$H612*IF(KZ612&lt;&gt;KF612,SUMIFS(axTER!$E$142:$E$148,axTER!$C$142:$C$148,KZ612),SUMIFS(axTER!$E$151:$E$157,axTER!$C$151:$C$157,KZ612)*KX$510)/10^6*$D$514</f>
        <v>664.50615299408582</v>
      </c>
      <c r="KW612" s="275" t="s">
        <v>275</v>
      </c>
      <c r="KX612" s="161" t="s">
        <v>265</v>
      </c>
      <c r="KY612" s="161" t="s">
        <v>262</v>
      </c>
      <c r="KZ612" s="284" t="s">
        <v>261</v>
      </c>
      <c r="LA612" s="276">
        <f>$H612*SUMIFS(axTER!$E$65:$E$105,axTER!$D$65:$D$105,KY612,axTER!$C$65:$C$105,KW612)/SUMIFS(axTER!$E$108:$E$114,axTER!$C$108:$C$114,KZ612)/10^9*$D$514</f>
        <v>0.3164315014257551</v>
      </c>
      <c r="LC612" s="269">
        <v>1200</v>
      </c>
      <c r="LD612" s="66" t="s">
        <v>275</v>
      </c>
      <c r="LE612" s="66" t="s">
        <v>265</v>
      </c>
      <c r="LF612" s="66" t="s">
        <v>255</v>
      </c>
      <c r="LG612" s="283" t="s">
        <v>261</v>
      </c>
      <c r="LH612" s="272">
        <f>$H612*SUMIFS(axTER!$E$65:$E$105,axTER!$C$65:$C$105,LD612,axTER!$D$65:$D$105,LF612)/SUMIFS(axTER!$E$108:$E$114,axTER!$C$108:$C$114,LG612)/10^9*$D$514</f>
        <v>0.34807465156833062</v>
      </c>
      <c r="LJ612" s="273">
        <f t="shared" si="1026"/>
        <v>0</v>
      </c>
      <c r="LK612" s="273">
        <f t="shared" si="1030"/>
        <v>0</v>
      </c>
      <c r="LL612" s="273">
        <f>$H612*IF(LP612&lt;&gt;LF612,SUMIFS(axTER!$E$121:$E$128,axTER!$C$121:$C$128,LF612,axTER!$D$121:$D$128,LP612),SUMIFS(axTER!$E$133:$E$138,axTER!$C$133:$C$138,LP612)*LO$510)*$D$514/10^6</f>
        <v>332.25307649704285</v>
      </c>
      <c r="LM612" s="274">
        <f>$H612*IF(LQ612&lt;&gt;LG612,SUMIFS(axTER!$E$142:$E$148,axTER!$C$142:$C$148,LQ612),SUMIFS(axTER!$E$151:$E$157,axTER!$C$151:$C$157,LQ612)*LO$510)/10^6*$D$514</f>
        <v>232.57715354792998</v>
      </c>
      <c r="LN612" s="275" t="s">
        <v>275</v>
      </c>
      <c r="LO612" s="161" t="s">
        <v>265</v>
      </c>
      <c r="LP612" s="161" t="s">
        <v>255</v>
      </c>
      <c r="LQ612" s="161" t="s">
        <v>261</v>
      </c>
      <c r="LR612" s="276">
        <f>$H612*SUMIFS(axTER!$E$65:$E$105,axTER!$D$65:$D$105,LP612,axTER!$C$65:$C$105,LN612)/SUMIFS(axTER!$E$108:$E$114,axTER!$C$108:$C$114,LQ612)/10^9*$D$514</f>
        <v>0.34807465156833062</v>
      </c>
      <c r="LT612" s="273">
        <f t="shared" si="1027"/>
        <v>0</v>
      </c>
      <c r="LU612" s="273">
        <f t="shared" si="1028"/>
        <v>0</v>
      </c>
      <c r="LV612" s="273">
        <f>$H612*IF(LZ612&lt;&gt;LP612,SUMIFS(axTER!$E$121:$E$128,axTER!$C$121:$C$128,LP612,axTER!$D$121:$D$128,LZ612),SUMIFS(axTER!$E$133:$E$138,axTER!$C$133:$C$138,LZ612)*LY$510)*$D$514/10^6</f>
        <v>474.64725213863267</v>
      </c>
      <c r="LW612" s="274">
        <f>$H612*IF(MA612&lt;&gt;LQ612,SUMIFS(axTER!$E$142:$E$148,axTER!$C$142:$C$148,MA612),SUMIFS(axTER!$E$151:$E$157,axTER!$C$151:$C$157,MA612)*LY$510)/10^6*$D$514</f>
        <v>332.25307649704291</v>
      </c>
      <c r="LX612" s="275" t="s">
        <v>275</v>
      </c>
      <c r="LY612" s="161" t="s">
        <v>265</v>
      </c>
      <c r="LZ612" s="161" t="s">
        <v>255</v>
      </c>
      <c r="MA612" s="161" t="s">
        <v>261</v>
      </c>
      <c r="MB612" s="276">
        <f>$H612*SUMIFS(axTER!$E$65:$E$105,axTER!$D$65:$D$105,LZ612,axTER!$C$65:$C$105,LX612)/SUMIFS(axTER!$E$108:$E$114,axTER!$C$108:$C$114,MA612)/10^9*$D$514</f>
        <v>0.34807465156833062</v>
      </c>
      <c r="MD612" s="273">
        <f t="shared" si="1019"/>
        <v>0</v>
      </c>
      <c r="ME612" s="273">
        <f t="shared" si="1029"/>
        <v>0</v>
      </c>
      <c r="MF612" s="273">
        <f>$H612*IF(MJ612&lt;&gt;LZ612,SUMIFS(axTER!$E$121:$E$128,axTER!$C$121:$C$128,LZ612,axTER!$D$121:$D$128,MJ612),SUMIFS(axTER!$E$133:$E$138,axTER!$C$133:$C$138,MJ612)*MI$510)*$D$514/10^6</f>
        <v>474.64725213863267</v>
      </c>
      <c r="MG612" s="274">
        <f>$H612*IF(MK612&lt;&gt;MA612,SUMIFS(axTER!$E$142:$E$148,axTER!$C$142:$C$148,MK612),SUMIFS(axTER!$E$151:$E$157,axTER!$C$151:$C$157,MK612)*MI$510)/10^6*$D$514</f>
        <v>332.25307649704291</v>
      </c>
      <c r="MH612" s="275" t="s">
        <v>275</v>
      </c>
      <c r="MI612" s="161" t="s">
        <v>265</v>
      </c>
      <c r="MJ612" s="161" t="s">
        <v>255</v>
      </c>
      <c r="MK612" s="161" t="s">
        <v>261</v>
      </c>
      <c r="ML612" s="276">
        <f>$H612*SUMIFS(axTER!$E$65:$E$105,axTER!$D$65:$D$105,MJ612,axTER!$C$65:$C$105,MH612)/SUMIFS(axTER!$E$108:$E$114,axTER!$C$108:$C$114,MK612)/10^9*$D$514</f>
        <v>0.34807465156833062</v>
      </c>
    </row>
    <row r="613" spans="3:360" x14ac:dyDescent="0.3">
      <c r="C613" s="290"/>
      <c r="D613" s="291"/>
      <c r="E613" s="166"/>
      <c r="F613" s="212"/>
      <c r="H613" s="292"/>
      <c r="I613" s="166"/>
      <c r="J613" s="200"/>
      <c r="K613" s="200"/>
      <c r="L613" s="200"/>
      <c r="M613" s="293"/>
      <c r="S613" s="292"/>
      <c r="T613" s="166"/>
      <c r="U613" s="200"/>
      <c r="V613" s="200"/>
      <c r="W613" s="200"/>
      <c r="X613" s="293"/>
      <c r="AB613" s="211"/>
      <c r="AC613" s="212"/>
      <c r="AD613" s="292"/>
      <c r="AE613" s="200"/>
      <c r="AF613" s="200"/>
      <c r="AG613" s="200"/>
      <c r="AH613" s="293"/>
      <c r="AV613" s="211"/>
      <c r="AW613" s="212"/>
      <c r="AX613" s="292"/>
      <c r="AY613" s="200"/>
      <c r="AZ613" s="200"/>
      <c r="BA613" s="200"/>
      <c r="BB613" s="293"/>
      <c r="IG613" s="292"/>
      <c r="IH613" s="166"/>
      <c r="II613" s="200"/>
      <c r="IJ613" s="200"/>
      <c r="IK613" s="200"/>
      <c r="IL613" s="293"/>
      <c r="IO613" s="211"/>
      <c r="IP613" s="211"/>
      <c r="IQ613" s="212"/>
      <c r="IR613" s="292"/>
      <c r="IS613" s="200"/>
      <c r="IT613" s="200"/>
      <c r="IU613" s="200"/>
      <c r="IV613" s="293"/>
      <c r="JI613" s="211"/>
      <c r="JJ613" s="211"/>
      <c r="JK613" s="212"/>
      <c r="JL613" s="292"/>
      <c r="JM613" s="200"/>
      <c r="JN613" s="200"/>
      <c r="JO613" s="200"/>
      <c r="JP613" s="293"/>
      <c r="JR613" s="292"/>
      <c r="JS613" s="166"/>
      <c r="JT613" s="200"/>
      <c r="JU613" s="200"/>
      <c r="JV613" s="200"/>
      <c r="JW613" s="293"/>
      <c r="JY613" s="294"/>
      <c r="JZ613" s="211"/>
      <c r="KA613" s="211"/>
      <c r="KB613" s="212"/>
      <c r="KC613" s="292"/>
      <c r="KD613" s="200"/>
      <c r="KE613" s="200"/>
      <c r="KF613" s="200"/>
      <c r="KG613" s="293"/>
      <c r="KS613" s="294"/>
      <c r="KT613" s="211"/>
      <c r="KU613" s="211"/>
      <c r="KV613" s="212"/>
      <c r="KW613" s="292"/>
      <c r="KX613" s="200"/>
      <c r="KY613" s="200"/>
      <c r="KZ613" s="200"/>
      <c r="LA613" s="293"/>
      <c r="LC613" s="292"/>
      <c r="LD613" s="166"/>
      <c r="LE613" s="200"/>
      <c r="LF613" s="200"/>
      <c r="LG613" s="200"/>
      <c r="LH613" s="293"/>
      <c r="LJ613" s="423"/>
      <c r="LK613" s="424"/>
      <c r="LL613" s="211"/>
      <c r="LM613" s="212"/>
      <c r="LN613" s="292"/>
      <c r="LO613" s="200"/>
      <c r="LP613" s="200"/>
      <c r="LQ613" s="200"/>
      <c r="LR613" s="293"/>
      <c r="LT613" s="423"/>
      <c r="LU613" s="424"/>
      <c r="LV613" s="211"/>
      <c r="LW613" s="212"/>
      <c r="LX613" s="292"/>
      <c r="LY613" s="200"/>
      <c r="LZ613" s="200"/>
      <c r="MA613" s="200"/>
      <c r="MB613" s="293"/>
      <c r="MD613" s="423"/>
      <c r="ME613" s="424"/>
      <c r="MF613" s="211"/>
      <c r="MG613" s="212"/>
      <c r="MH613" s="292"/>
      <c r="MI613" s="200"/>
      <c r="MJ613" s="200"/>
      <c r="MK613" s="200"/>
      <c r="ML613" s="293"/>
    </row>
    <row r="614" spans="3:360" x14ac:dyDescent="0.3">
      <c r="C614" s="69"/>
      <c r="D614" s="286"/>
    </row>
    <row r="616" spans="3:360" x14ac:dyDescent="0.3">
      <c r="JR616" s="258" t="s">
        <v>276</v>
      </c>
      <c r="JS616" s="295" t="s">
        <v>124</v>
      </c>
      <c r="JT616" s="295" t="s">
        <v>243</v>
      </c>
      <c r="JU616" s="295" t="s">
        <v>244</v>
      </c>
      <c r="JV616" s="295" t="s">
        <v>245</v>
      </c>
      <c r="JW616" s="295" t="s">
        <v>277</v>
      </c>
      <c r="JX616" s="295"/>
      <c r="JY616" s="295"/>
      <c r="JZ616" s="295"/>
      <c r="KA616" s="295"/>
      <c r="KB616" s="171"/>
      <c r="KC616" s="171"/>
      <c r="KD616" s="171"/>
      <c r="KE616" s="171"/>
      <c r="KF616" s="171"/>
      <c r="KG616" s="252"/>
    </row>
    <row r="617" spans="3:360" x14ac:dyDescent="0.3">
      <c r="JR617" s="139">
        <f>SUMIFS(JR$512:JR$613,$JS$512:$JS$613,JS$617,$JT$512:$JT$613,JT$617,$JU$512:$JU$613,JU$617,$JV$512:$JV$613,JV$617)*$D$514/10^3</f>
        <v>262539.26133918116</v>
      </c>
      <c r="JS617" s="161" t="s">
        <v>278</v>
      </c>
      <c r="JT617" s="161" t="s">
        <v>263</v>
      </c>
      <c r="JU617" s="161" t="s">
        <v>278</v>
      </c>
      <c r="JV617" s="161" t="s">
        <v>278</v>
      </c>
      <c r="JW617" s="296">
        <f>SUMIFS(JW$512:JW$613,$JS$512:$JS$613,JS$617,$JT$512:$JT$613,JT$617,$JU$512:$JU$613,JU$617,$JV$512:$JV$613,JV$617)</f>
        <v>23.779827332145501</v>
      </c>
      <c r="KG617" s="266"/>
    </row>
    <row r="618" spans="3:360" x14ac:dyDescent="0.3">
      <c r="JR618" s="267"/>
      <c r="KG618" s="266"/>
    </row>
    <row r="619" spans="3:360" x14ac:dyDescent="0.3">
      <c r="JR619" s="267"/>
      <c r="KB619" s="66" t="s">
        <v>276</v>
      </c>
      <c r="KC619" s="66" t="s">
        <v>124</v>
      </c>
      <c r="KD619" s="66" t="s">
        <v>243</v>
      </c>
      <c r="KE619" s="66" t="s">
        <v>244</v>
      </c>
      <c r="KF619" s="66" t="s">
        <v>245</v>
      </c>
      <c r="KG619" s="268" t="s">
        <v>277</v>
      </c>
    </row>
    <row r="620" spans="3:360" x14ac:dyDescent="0.3">
      <c r="JR620" s="267"/>
      <c r="JU620" s="161" t="s">
        <v>278</v>
      </c>
      <c r="JV620" s="161" t="s">
        <v>278</v>
      </c>
      <c r="KB620" s="297">
        <f>SUMIFS(JR$512:JR$613,$JU$512:$JU$613,JU$620,$JV$512:$JV$613,JV$620,$KC$512:$KC$613,KC$620,$KD$512:$KD$613,KD$620,$KE$512:$KE$613,KE$620,$KF$512:$KF$613,KF$620)*$D$514/10^3</f>
        <v>35598.54391039745</v>
      </c>
      <c r="KC620" s="161" t="s">
        <v>278</v>
      </c>
      <c r="KD620" s="161" t="s">
        <v>263</v>
      </c>
      <c r="KE620" s="161" t="s">
        <v>257</v>
      </c>
      <c r="KF620" s="161" t="s">
        <v>278</v>
      </c>
      <c r="KG620" s="298">
        <f>SUMIFS(KG$512:KG$613,$JU$512:$JU$613,JU$620,$JV$512:$JV$613,JV$620,$KC$512:$KC$613,KC$620,$KD$512:$KD$613,KD$620,$KE$512:$KE$613,KE$620,$KF$512:$KF$613,KF$620)</f>
        <v>1.6612653824852144</v>
      </c>
    </row>
    <row r="621" spans="3:360" x14ac:dyDescent="0.3">
      <c r="JR621" s="211"/>
      <c r="JS621" s="166"/>
      <c r="JT621" s="166"/>
      <c r="JU621" s="166"/>
      <c r="JV621" s="166"/>
      <c r="JW621" s="166"/>
      <c r="JX621" s="166"/>
      <c r="JY621" s="166"/>
      <c r="JZ621" s="166"/>
      <c r="KA621" s="166"/>
      <c r="KB621" s="299">
        <f>KB620/JR617</f>
        <v>0.13559322033898308</v>
      </c>
      <c r="KC621" s="166"/>
      <c r="KD621" s="166"/>
      <c r="KE621" s="166"/>
      <c r="KF621" s="166"/>
      <c r="KG621" s="293"/>
    </row>
    <row r="623" spans="3:360" x14ac:dyDescent="0.3">
      <c r="C623" s="120" t="s">
        <v>279</v>
      </c>
      <c r="H623" s="121" t="s">
        <v>100</v>
      </c>
      <c r="S623" s="122" t="s">
        <v>5</v>
      </c>
      <c r="BD623" s="123" t="s">
        <v>6</v>
      </c>
      <c r="CO623" s="124" t="s">
        <v>7</v>
      </c>
      <c r="DZ623" s="125" t="s">
        <v>8</v>
      </c>
      <c r="FK623" s="126" t="s">
        <v>9</v>
      </c>
      <c r="GV623" s="127" t="s">
        <v>10</v>
      </c>
      <c r="IG623" s="128" t="s">
        <v>11</v>
      </c>
      <c r="JR623" s="129" t="str">
        <f>JR$4</f>
        <v>AMS2 2023</v>
      </c>
      <c r="LC623" s="130" t="str">
        <f>LC$4</f>
        <v>AMS3 2025</v>
      </c>
    </row>
    <row r="624" spans="3:360" s="4" customFormat="1" ht="18" customHeight="1" x14ac:dyDescent="0.3">
      <c r="C624" s="131"/>
      <c r="D624" s="132"/>
      <c r="E624" s="133" t="s">
        <v>101</v>
      </c>
      <c r="F624" s="134" t="s">
        <v>102</v>
      </c>
      <c r="H624" s="135">
        <f t="shared" ref="H624:Q624" si="1031">H$1</f>
        <v>2015</v>
      </c>
      <c r="I624" s="133">
        <f t="shared" si="1031"/>
        <v>2016</v>
      </c>
      <c r="J624" s="133">
        <f t="shared" si="1031"/>
        <v>2017</v>
      </c>
      <c r="K624" s="133">
        <f t="shared" si="1031"/>
        <v>2018</v>
      </c>
      <c r="L624" s="133">
        <f t="shared" si="1031"/>
        <v>2019</v>
      </c>
      <c r="M624" s="133">
        <f t="shared" si="1031"/>
        <v>2020</v>
      </c>
      <c r="N624" s="133">
        <f t="shared" si="1031"/>
        <v>2021</v>
      </c>
      <c r="O624" s="133">
        <f t="shared" si="1031"/>
        <v>2022</v>
      </c>
      <c r="P624" s="133">
        <f t="shared" si="1031"/>
        <v>2023</v>
      </c>
      <c r="Q624" s="134">
        <f t="shared" si="1031"/>
        <v>2024</v>
      </c>
      <c r="S624" s="135">
        <f t="shared" ref="S624:BB624" si="1032">S$1</f>
        <v>2015</v>
      </c>
      <c r="T624" s="133">
        <f t="shared" si="1032"/>
        <v>2016</v>
      </c>
      <c r="U624" s="133">
        <f t="shared" si="1032"/>
        <v>2017</v>
      </c>
      <c r="V624" s="133">
        <f t="shared" si="1032"/>
        <v>2018</v>
      </c>
      <c r="W624" s="133">
        <f t="shared" si="1032"/>
        <v>2019</v>
      </c>
      <c r="X624" s="133">
        <f t="shared" si="1032"/>
        <v>2020</v>
      </c>
      <c r="Y624" s="133">
        <f t="shared" si="1032"/>
        <v>2021</v>
      </c>
      <c r="Z624" s="133">
        <f t="shared" si="1032"/>
        <v>2022</v>
      </c>
      <c r="AA624" s="133">
        <f t="shared" si="1032"/>
        <v>2023</v>
      </c>
      <c r="AB624" s="133">
        <f t="shared" si="1032"/>
        <v>2024</v>
      </c>
      <c r="AC624" s="133">
        <f t="shared" si="1032"/>
        <v>2025</v>
      </c>
      <c r="AD624" s="133">
        <f t="shared" si="1032"/>
        <v>2026</v>
      </c>
      <c r="AE624" s="133">
        <f t="shared" si="1032"/>
        <v>2027</v>
      </c>
      <c r="AF624" s="133">
        <f t="shared" si="1032"/>
        <v>2028</v>
      </c>
      <c r="AG624" s="133">
        <f t="shared" si="1032"/>
        <v>2029</v>
      </c>
      <c r="AH624" s="133">
        <f t="shared" si="1032"/>
        <v>2030</v>
      </c>
      <c r="AI624" s="133">
        <f t="shared" si="1032"/>
        <v>2031</v>
      </c>
      <c r="AJ624" s="133">
        <f t="shared" si="1032"/>
        <v>2032</v>
      </c>
      <c r="AK624" s="133">
        <f t="shared" si="1032"/>
        <v>2033</v>
      </c>
      <c r="AL624" s="133">
        <f t="shared" si="1032"/>
        <v>2034</v>
      </c>
      <c r="AM624" s="133">
        <f t="shared" si="1032"/>
        <v>2035</v>
      </c>
      <c r="AN624" s="133">
        <f t="shared" si="1032"/>
        <v>2036</v>
      </c>
      <c r="AO624" s="133">
        <f t="shared" si="1032"/>
        <v>2037</v>
      </c>
      <c r="AP624" s="133">
        <f t="shared" si="1032"/>
        <v>2038</v>
      </c>
      <c r="AQ624" s="133">
        <f t="shared" si="1032"/>
        <v>2039</v>
      </c>
      <c r="AR624" s="133">
        <f t="shared" si="1032"/>
        <v>2040</v>
      </c>
      <c r="AS624" s="133">
        <f t="shared" si="1032"/>
        <v>2041</v>
      </c>
      <c r="AT624" s="133">
        <f t="shared" si="1032"/>
        <v>2042</v>
      </c>
      <c r="AU624" s="133">
        <f t="shared" si="1032"/>
        <v>2043</v>
      </c>
      <c r="AV624" s="133">
        <f t="shared" si="1032"/>
        <v>2044</v>
      </c>
      <c r="AW624" s="133">
        <f t="shared" si="1032"/>
        <v>2045</v>
      </c>
      <c r="AX624" s="133">
        <f t="shared" si="1032"/>
        <v>2046</v>
      </c>
      <c r="AY624" s="133">
        <f t="shared" si="1032"/>
        <v>2047</v>
      </c>
      <c r="AZ624" s="133">
        <f t="shared" si="1032"/>
        <v>2048</v>
      </c>
      <c r="BA624" s="133">
        <f t="shared" si="1032"/>
        <v>2049</v>
      </c>
      <c r="BB624" s="134">
        <f t="shared" si="1032"/>
        <v>2050</v>
      </c>
      <c r="BD624" s="135">
        <f t="shared" ref="BD624:CM624" si="1033">BD$1</f>
        <v>2015</v>
      </c>
      <c r="BE624" s="133">
        <f t="shared" si="1033"/>
        <v>2016</v>
      </c>
      <c r="BF624" s="133">
        <f t="shared" si="1033"/>
        <v>2017</v>
      </c>
      <c r="BG624" s="133">
        <f t="shared" si="1033"/>
        <v>2018</v>
      </c>
      <c r="BH624" s="133">
        <f t="shared" si="1033"/>
        <v>2019</v>
      </c>
      <c r="BI624" s="133">
        <f t="shared" si="1033"/>
        <v>2020</v>
      </c>
      <c r="BJ624" s="133">
        <f t="shared" si="1033"/>
        <v>2021</v>
      </c>
      <c r="BK624" s="133">
        <f t="shared" si="1033"/>
        <v>2022</v>
      </c>
      <c r="BL624" s="133">
        <f t="shared" si="1033"/>
        <v>2023</v>
      </c>
      <c r="BM624" s="133">
        <f t="shared" si="1033"/>
        <v>2024</v>
      </c>
      <c r="BN624" s="133">
        <f t="shared" si="1033"/>
        <v>2025</v>
      </c>
      <c r="BO624" s="133">
        <f t="shared" si="1033"/>
        <v>2026</v>
      </c>
      <c r="BP624" s="133">
        <f t="shared" si="1033"/>
        <v>2027</v>
      </c>
      <c r="BQ624" s="133">
        <f t="shared" si="1033"/>
        <v>2028</v>
      </c>
      <c r="BR624" s="133">
        <f t="shared" si="1033"/>
        <v>2029</v>
      </c>
      <c r="BS624" s="133">
        <f t="shared" si="1033"/>
        <v>2030</v>
      </c>
      <c r="BT624" s="133">
        <f t="shared" si="1033"/>
        <v>2031</v>
      </c>
      <c r="BU624" s="133">
        <f t="shared" si="1033"/>
        <v>2032</v>
      </c>
      <c r="BV624" s="133">
        <f t="shared" si="1033"/>
        <v>2033</v>
      </c>
      <c r="BW624" s="133">
        <f t="shared" si="1033"/>
        <v>2034</v>
      </c>
      <c r="BX624" s="133">
        <f t="shared" si="1033"/>
        <v>2035</v>
      </c>
      <c r="BY624" s="133">
        <f t="shared" si="1033"/>
        <v>2036</v>
      </c>
      <c r="BZ624" s="133">
        <f t="shared" si="1033"/>
        <v>2037</v>
      </c>
      <c r="CA624" s="133">
        <f t="shared" si="1033"/>
        <v>2038</v>
      </c>
      <c r="CB624" s="133">
        <f t="shared" si="1033"/>
        <v>2039</v>
      </c>
      <c r="CC624" s="133">
        <f t="shared" si="1033"/>
        <v>2040</v>
      </c>
      <c r="CD624" s="133">
        <f t="shared" si="1033"/>
        <v>2041</v>
      </c>
      <c r="CE624" s="133">
        <f t="shared" si="1033"/>
        <v>2042</v>
      </c>
      <c r="CF624" s="133">
        <f t="shared" si="1033"/>
        <v>2043</v>
      </c>
      <c r="CG624" s="133">
        <f t="shared" si="1033"/>
        <v>2044</v>
      </c>
      <c r="CH624" s="133">
        <f t="shared" si="1033"/>
        <v>2045</v>
      </c>
      <c r="CI624" s="133">
        <f t="shared" si="1033"/>
        <v>2046</v>
      </c>
      <c r="CJ624" s="133">
        <f t="shared" si="1033"/>
        <v>2047</v>
      </c>
      <c r="CK624" s="133">
        <f t="shared" si="1033"/>
        <v>2048</v>
      </c>
      <c r="CL624" s="133">
        <f t="shared" si="1033"/>
        <v>2049</v>
      </c>
      <c r="CM624" s="134">
        <f t="shared" si="1033"/>
        <v>2050</v>
      </c>
      <c r="CO624" s="135">
        <f t="shared" ref="CO624:DX624" si="1034">CO$1</f>
        <v>2015</v>
      </c>
      <c r="CP624" s="133">
        <f t="shared" si="1034"/>
        <v>2016</v>
      </c>
      <c r="CQ624" s="133">
        <f t="shared" si="1034"/>
        <v>2017</v>
      </c>
      <c r="CR624" s="133">
        <f t="shared" si="1034"/>
        <v>2018</v>
      </c>
      <c r="CS624" s="133">
        <f t="shared" si="1034"/>
        <v>2019</v>
      </c>
      <c r="CT624" s="133">
        <f t="shared" si="1034"/>
        <v>2020</v>
      </c>
      <c r="CU624" s="133">
        <f t="shared" si="1034"/>
        <v>2021</v>
      </c>
      <c r="CV624" s="133">
        <f t="shared" si="1034"/>
        <v>2022</v>
      </c>
      <c r="CW624" s="133">
        <f t="shared" si="1034"/>
        <v>2023</v>
      </c>
      <c r="CX624" s="133">
        <f t="shared" si="1034"/>
        <v>2024</v>
      </c>
      <c r="CY624" s="133">
        <f t="shared" si="1034"/>
        <v>2025</v>
      </c>
      <c r="CZ624" s="133">
        <f t="shared" si="1034"/>
        <v>2026</v>
      </c>
      <c r="DA624" s="133">
        <f t="shared" si="1034"/>
        <v>2027</v>
      </c>
      <c r="DB624" s="133">
        <f t="shared" si="1034"/>
        <v>2028</v>
      </c>
      <c r="DC624" s="133">
        <f t="shared" si="1034"/>
        <v>2029</v>
      </c>
      <c r="DD624" s="133">
        <f t="shared" si="1034"/>
        <v>2030</v>
      </c>
      <c r="DE624" s="133">
        <f t="shared" si="1034"/>
        <v>2031</v>
      </c>
      <c r="DF624" s="133">
        <f t="shared" si="1034"/>
        <v>2032</v>
      </c>
      <c r="DG624" s="133">
        <f t="shared" si="1034"/>
        <v>2033</v>
      </c>
      <c r="DH624" s="133">
        <f t="shared" si="1034"/>
        <v>2034</v>
      </c>
      <c r="DI624" s="133">
        <f t="shared" si="1034"/>
        <v>2035</v>
      </c>
      <c r="DJ624" s="133">
        <f t="shared" si="1034"/>
        <v>2036</v>
      </c>
      <c r="DK624" s="133">
        <f t="shared" si="1034"/>
        <v>2037</v>
      </c>
      <c r="DL624" s="133">
        <f t="shared" si="1034"/>
        <v>2038</v>
      </c>
      <c r="DM624" s="133">
        <f t="shared" si="1034"/>
        <v>2039</v>
      </c>
      <c r="DN624" s="133">
        <f t="shared" si="1034"/>
        <v>2040</v>
      </c>
      <c r="DO624" s="133">
        <f t="shared" si="1034"/>
        <v>2041</v>
      </c>
      <c r="DP624" s="133">
        <f t="shared" si="1034"/>
        <v>2042</v>
      </c>
      <c r="DQ624" s="133">
        <f t="shared" si="1034"/>
        <v>2043</v>
      </c>
      <c r="DR624" s="133">
        <f t="shared" si="1034"/>
        <v>2044</v>
      </c>
      <c r="DS624" s="133">
        <f t="shared" si="1034"/>
        <v>2045</v>
      </c>
      <c r="DT624" s="133">
        <f t="shared" si="1034"/>
        <v>2046</v>
      </c>
      <c r="DU624" s="133">
        <f t="shared" si="1034"/>
        <v>2047</v>
      </c>
      <c r="DV624" s="133">
        <f t="shared" si="1034"/>
        <v>2048</v>
      </c>
      <c r="DW624" s="133">
        <f t="shared" si="1034"/>
        <v>2049</v>
      </c>
      <c r="DX624" s="134">
        <f t="shared" si="1034"/>
        <v>2050</v>
      </c>
      <c r="DZ624" s="135">
        <f t="shared" ref="DZ624:FI624" si="1035">DZ$1</f>
        <v>2015</v>
      </c>
      <c r="EA624" s="133">
        <f t="shared" si="1035"/>
        <v>2016</v>
      </c>
      <c r="EB624" s="133">
        <f t="shared" si="1035"/>
        <v>2017</v>
      </c>
      <c r="EC624" s="133">
        <f t="shared" si="1035"/>
        <v>2018</v>
      </c>
      <c r="ED624" s="133">
        <f t="shared" si="1035"/>
        <v>2019</v>
      </c>
      <c r="EE624" s="133">
        <f t="shared" si="1035"/>
        <v>2020</v>
      </c>
      <c r="EF624" s="133">
        <f t="shared" si="1035"/>
        <v>2021</v>
      </c>
      <c r="EG624" s="133">
        <f t="shared" si="1035"/>
        <v>2022</v>
      </c>
      <c r="EH624" s="133">
        <f t="shared" si="1035"/>
        <v>2023</v>
      </c>
      <c r="EI624" s="133">
        <f t="shared" si="1035"/>
        <v>2024</v>
      </c>
      <c r="EJ624" s="133">
        <f t="shared" si="1035"/>
        <v>2025</v>
      </c>
      <c r="EK624" s="133">
        <f t="shared" si="1035"/>
        <v>2026</v>
      </c>
      <c r="EL624" s="133">
        <f t="shared" si="1035"/>
        <v>2027</v>
      </c>
      <c r="EM624" s="133">
        <f t="shared" si="1035"/>
        <v>2028</v>
      </c>
      <c r="EN624" s="133">
        <f t="shared" si="1035"/>
        <v>2029</v>
      </c>
      <c r="EO624" s="133">
        <f t="shared" si="1035"/>
        <v>2030</v>
      </c>
      <c r="EP624" s="133">
        <f t="shared" si="1035"/>
        <v>2031</v>
      </c>
      <c r="EQ624" s="133">
        <f t="shared" si="1035"/>
        <v>2032</v>
      </c>
      <c r="ER624" s="133">
        <f t="shared" si="1035"/>
        <v>2033</v>
      </c>
      <c r="ES624" s="133">
        <f t="shared" si="1035"/>
        <v>2034</v>
      </c>
      <c r="ET624" s="133">
        <f t="shared" si="1035"/>
        <v>2035</v>
      </c>
      <c r="EU624" s="133">
        <f t="shared" si="1035"/>
        <v>2036</v>
      </c>
      <c r="EV624" s="133">
        <f t="shared" si="1035"/>
        <v>2037</v>
      </c>
      <c r="EW624" s="133">
        <f t="shared" si="1035"/>
        <v>2038</v>
      </c>
      <c r="EX624" s="133">
        <f t="shared" si="1035"/>
        <v>2039</v>
      </c>
      <c r="EY624" s="133">
        <f t="shared" si="1035"/>
        <v>2040</v>
      </c>
      <c r="EZ624" s="133">
        <f t="shared" si="1035"/>
        <v>2041</v>
      </c>
      <c r="FA624" s="133">
        <f t="shared" si="1035"/>
        <v>2042</v>
      </c>
      <c r="FB624" s="133">
        <f t="shared" si="1035"/>
        <v>2043</v>
      </c>
      <c r="FC624" s="133">
        <f t="shared" si="1035"/>
        <v>2044</v>
      </c>
      <c r="FD624" s="133">
        <f t="shared" si="1035"/>
        <v>2045</v>
      </c>
      <c r="FE624" s="133">
        <f t="shared" si="1035"/>
        <v>2046</v>
      </c>
      <c r="FF624" s="133">
        <f t="shared" si="1035"/>
        <v>2047</v>
      </c>
      <c r="FG624" s="133">
        <f t="shared" si="1035"/>
        <v>2048</v>
      </c>
      <c r="FH624" s="133">
        <f t="shared" si="1035"/>
        <v>2049</v>
      </c>
      <c r="FI624" s="134">
        <f t="shared" si="1035"/>
        <v>2050</v>
      </c>
      <c r="FK624" s="135">
        <f t="shared" ref="FK624:GT624" si="1036">FK$1</f>
        <v>2015</v>
      </c>
      <c r="FL624" s="133">
        <f t="shared" si="1036"/>
        <v>2016</v>
      </c>
      <c r="FM624" s="133">
        <f t="shared" si="1036"/>
        <v>2017</v>
      </c>
      <c r="FN624" s="133">
        <f t="shared" si="1036"/>
        <v>2018</v>
      </c>
      <c r="FO624" s="133">
        <f t="shared" si="1036"/>
        <v>2019</v>
      </c>
      <c r="FP624" s="133">
        <f t="shared" si="1036"/>
        <v>2020</v>
      </c>
      <c r="FQ624" s="133">
        <f t="shared" si="1036"/>
        <v>2021</v>
      </c>
      <c r="FR624" s="133">
        <f t="shared" si="1036"/>
        <v>2022</v>
      </c>
      <c r="FS624" s="133">
        <f t="shared" si="1036"/>
        <v>2023</v>
      </c>
      <c r="FT624" s="133">
        <f t="shared" si="1036"/>
        <v>2024</v>
      </c>
      <c r="FU624" s="133">
        <f t="shared" si="1036"/>
        <v>2025</v>
      </c>
      <c r="FV624" s="133">
        <f t="shared" si="1036"/>
        <v>2026</v>
      </c>
      <c r="FW624" s="133">
        <f t="shared" si="1036"/>
        <v>2027</v>
      </c>
      <c r="FX624" s="133">
        <f t="shared" si="1036"/>
        <v>2028</v>
      </c>
      <c r="FY624" s="133">
        <f t="shared" si="1036"/>
        <v>2029</v>
      </c>
      <c r="FZ624" s="133">
        <f t="shared" si="1036"/>
        <v>2030</v>
      </c>
      <c r="GA624" s="133">
        <f t="shared" si="1036"/>
        <v>2031</v>
      </c>
      <c r="GB624" s="133">
        <f t="shared" si="1036"/>
        <v>2032</v>
      </c>
      <c r="GC624" s="133">
        <f t="shared" si="1036"/>
        <v>2033</v>
      </c>
      <c r="GD624" s="133">
        <f t="shared" si="1036"/>
        <v>2034</v>
      </c>
      <c r="GE624" s="133">
        <f t="shared" si="1036"/>
        <v>2035</v>
      </c>
      <c r="GF624" s="133">
        <f t="shared" si="1036"/>
        <v>2036</v>
      </c>
      <c r="GG624" s="133">
        <f t="shared" si="1036"/>
        <v>2037</v>
      </c>
      <c r="GH624" s="133">
        <f t="shared" si="1036"/>
        <v>2038</v>
      </c>
      <c r="GI624" s="133">
        <f t="shared" si="1036"/>
        <v>2039</v>
      </c>
      <c r="GJ624" s="133">
        <f t="shared" si="1036"/>
        <v>2040</v>
      </c>
      <c r="GK624" s="133">
        <f t="shared" si="1036"/>
        <v>2041</v>
      </c>
      <c r="GL624" s="133">
        <f t="shared" si="1036"/>
        <v>2042</v>
      </c>
      <c r="GM624" s="133">
        <f t="shared" si="1036"/>
        <v>2043</v>
      </c>
      <c r="GN624" s="133">
        <f t="shared" si="1036"/>
        <v>2044</v>
      </c>
      <c r="GO624" s="133">
        <f t="shared" si="1036"/>
        <v>2045</v>
      </c>
      <c r="GP624" s="133">
        <f t="shared" si="1036"/>
        <v>2046</v>
      </c>
      <c r="GQ624" s="133">
        <f t="shared" si="1036"/>
        <v>2047</v>
      </c>
      <c r="GR624" s="133">
        <f t="shared" si="1036"/>
        <v>2048</v>
      </c>
      <c r="GS624" s="133">
        <f t="shared" si="1036"/>
        <v>2049</v>
      </c>
      <c r="GT624" s="134">
        <f t="shared" si="1036"/>
        <v>2050</v>
      </c>
      <c r="GV624" s="135">
        <f t="shared" ref="GV624:IE624" si="1037">GV$1</f>
        <v>2015</v>
      </c>
      <c r="GW624" s="133">
        <f t="shared" si="1037"/>
        <v>2016</v>
      </c>
      <c r="GX624" s="133">
        <f t="shared" si="1037"/>
        <v>2017</v>
      </c>
      <c r="GY624" s="133">
        <f t="shared" si="1037"/>
        <v>2018</v>
      </c>
      <c r="GZ624" s="133">
        <f t="shared" si="1037"/>
        <v>2019</v>
      </c>
      <c r="HA624" s="133">
        <f t="shared" si="1037"/>
        <v>2020</v>
      </c>
      <c r="HB624" s="133">
        <f t="shared" si="1037"/>
        <v>2021</v>
      </c>
      <c r="HC624" s="133">
        <f t="shared" si="1037"/>
        <v>2022</v>
      </c>
      <c r="HD624" s="133">
        <f t="shared" si="1037"/>
        <v>2023</v>
      </c>
      <c r="HE624" s="133">
        <f t="shared" si="1037"/>
        <v>2024</v>
      </c>
      <c r="HF624" s="133">
        <f t="shared" si="1037"/>
        <v>2025</v>
      </c>
      <c r="HG624" s="133">
        <f t="shared" si="1037"/>
        <v>2026</v>
      </c>
      <c r="HH624" s="133">
        <f t="shared" si="1037"/>
        <v>2027</v>
      </c>
      <c r="HI624" s="133">
        <f t="shared" si="1037"/>
        <v>2028</v>
      </c>
      <c r="HJ624" s="133">
        <f t="shared" si="1037"/>
        <v>2029</v>
      </c>
      <c r="HK624" s="133">
        <f t="shared" si="1037"/>
        <v>2030</v>
      </c>
      <c r="HL624" s="133">
        <f t="shared" si="1037"/>
        <v>2031</v>
      </c>
      <c r="HM624" s="133">
        <f t="shared" si="1037"/>
        <v>2032</v>
      </c>
      <c r="HN624" s="133">
        <f t="shared" si="1037"/>
        <v>2033</v>
      </c>
      <c r="HO624" s="133">
        <f t="shared" si="1037"/>
        <v>2034</v>
      </c>
      <c r="HP624" s="133">
        <f t="shared" si="1037"/>
        <v>2035</v>
      </c>
      <c r="HQ624" s="133">
        <f t="shared" si="1037"/>
        <v>2036</v>
      </c>
      <c r="HR624" s="133">
        <f t="shared" si="1037"/>
        <v>2037</v>
      </c>
      <c r="HS624" s="133">
        <f t="shared" si="1037"/>
        <v>2038</v>
      </c>
      <c r="HT624" s="133">
        <f t="shared" si="1037"/>
        <v>2039</v>
      </c>
      <c r="HU624" s="133">
        <f t="shared" si="1037"/>
        <v>2040</v>
      </c>
      <c r="HV624" s="133">
        <f t="shared" si="1037"/>
        <v>2041</v>
      </c>
      <c r="HW624" s="133">
        <f t="shared" si="1037"/>
        <v>2042</v>
      </c>
      <c r="HX624" s="133">
        <f t="shared" si="1037"/>
        <v>2043</v>
      </c>
      <c r="HY624" s="133">
        <f t="shared" si="1037"/>
        <v>2044</v>
      </c>
      <c r="HZ624" s="133">
        <f t="shared" si="1037"/>
        <v>2045</v>
      </c>
      <c r="IA624" s="133">
        <f t="shared" si="1037"/>
        <v>2046</v>
      </c>
      <c r="IB624" s="133">
        <f t="shared" si="1037"/>
        <v>2047</v>
      </c>
      <c r="IC624" s="133">
        <f t="shared" si="1037"/>
        <v>2048</v>
      </c>
      <c r="ID624" s="133">
        <f t="shared" si="1037"/>
        <v>2049</v>
      </c>
      <c r="IE624" s="134">
        <f t="shared" si="1037"/>
        <v>2050</v>
      </c>
      <c r="IG624" s="135">
        <f t="shared" ref="IG624:JP624" si="1038">IG$1</f>
        <v>2015</v>
      </c>
      <c r="IH624" s="133">
        <f t="shared" si="1038"/>
        <v>2016</v>
      </c>
      <c r="II624" s="133">
        <f t="shared" si="1038"/>
        <v>2017</v>
      </c>
      <c r="IJ624" s="133">
        <f t="shared" si="1038"/>
        <v>2018</v>
      </c>
      <c r="IK624" s="133">
        <f t="shared" si="1038"/>
        <v>2019</v>
      </c>
      <c r="IL624" s="133">
        <f t="shared" si="1038"/>
        <v>2020</v>
      </c>
      <c r="IM624" s="133">
        <f t="shared" si="1038"/>
        <v>2021</v>
      </c>
      <c r="IN624" s="133">
        <f t="shared" si="1038"/>
        <v>2022</v>
      </c>
      <c r="IO624" s="133">
        <f t="shared" si="1038"/>
        <v>2023</v>
      </c>
      <c r="IP624" s="133">
        <f t="shared" si="1038"/>
        <v>2024</v>
      </c>
      <c r="IQ624" s="133">
        <f t="shared" si="1038"/>
        <v>2025</v>
      </c>
      <c r="IR624" s="133">
        <f t="shared" si="1038"/>
        <v>2026</v>
      </c>
      <c r="IS624" s="133">
        <f t="shared" si="1038"/>
        <v>2027</v>
      </c>
      <c r="IT624" s="133">
        <f t="shared" si="1038"/>
        <v>2028</v>
      </c>
      <c r="IU624" s="133">
        <f t="shared" si="1038"/>
        <v>2029</v>
      </c>
      <c r="IV624" s="133">
        <f t="shared" si="1038"/>
        <v>2030</v>
      </c>
      <c r="IW624" s="133">
        <f t="shared" si="1038"/>
        <v>2031</v>
      </c>
      <c r="IX624" s="133">
        <f t="shared" si="1038"/>
        <v>2032</v>
      </c>
      <c r="IY624" s="133">
        <f t="shared" si="1038"/>
        <v>2033</v>
      </c>
      <c r="IZ624" s="133">
        <f t="shared" si="1038"/>
        <v>2034</v>
      </c>
      <c r="JA624" s="133">
        <f t="shared" si="1038"/>
        <v>2035</v>
      </c>
      <c r="JB624" s="133">
        <f t="shared" si="1038"/>
        <v>2036</v>
      </c>
      <c r="JC624" s="133">
        <f t="shared" si="1038"/>
        <v>2037</v>
      </c>
      <c r="JD624" s="133">
        <f t="shared" si="1038"/>
        <v>2038</v>
      </c>
      <c r="JE624" s="133">
        <f t="shared" si="1038"/>
        <v>2039</v>
      </c>
      <c r="JF624" s="133">
        <f t="shared" si="1038"/>
        <v>2040</v>
      </c>
      <c r="JG624" s="133">
        <f t="shared" si="1038"/>
        <v>2041</v>
      </c>
      <c r="JH624" s="133">
        <f t="shared" si="1038"/>
        <v>2042</v>
      </c>
      <c r="JI624" s="133">
        <f t="shared" si="1038"/>
        <v>2043</v>
      </c>
      <c r="JJ624" s="133">
        <f t="shared" si="1038"/>
        <v>2044</v>
      </c>
      <c r="JK624" s="133">
        <f t="shared" si="1038"/>
        <v>2045</v>
      </c>
      <c r="JL624" s="133">
        <f t="shared" si="1038"/>
        <v>2046</v>
      </c>
      <c r="JM624" s="133">
        <f t="shared" si="1038"/>
        <v>2047</v>
      </c>
      <c r="JN624" s="133">
        <f t="shared" si="1038"/>
        <v>2048</v>
      </c>
      <c r="JO624" s="133">
        <f t="shared" si="1038"/>
        <v>2049</v>
      </c>
      <c r="JP624" s="134">
        <f t="shared" si="1038"/>
        <v>2050</v>
      </c>
      <c r="JR624" s="135">
        <f t="shared" ref="JR624:LA624" si="1039">JR$1</f>
        <v>2015</v>
      </c>
      <c r="JS624" s="133">
        <f t="shared" si="1039"/>
        <v>2016</v>
      </c>
      <c r="JT624" s="133">
        <f t="shared" si="1039"/>
        <v>2017</v>
      </c>
      <c r="JU624" s="133">
        <f t="shared" si="1039"/>
        <v>2018</v>
      </c>
      <c r="JV624" s="133">
        <f t="shared" si="1039"/>
        <v>2019</v>
      </c>
      <c r="JW624" s="133">
        <f t="shared" si="1039"/>
        <v>2020</v>
      </c>
      <c r="JX624" s="133">
        <f t="shared" si="1039"/>
        <v>2021</v>
      </c>
      <c r="JY624" s="133">
        <f t="shared" si="1039"/>
        <v>2022</v>
      </c>
      <c r="JZ624" s="133">
        <f t="shared" si="1039"/>
        <v>2023</v>
      </c>
      <c r="KA624" s="133">
        <f t="shared" si="1039"/>
        <v>2024</v>
      </c>
      <c r="KB624" s="133">
        <f t="shared" si="1039"/>
        <v>2025</v>
      </c>
      <c r="KC624" s="133">
        <f t="shared" si="1039"/>
        <v>2026</v>
      </c>
      <c r="KD624" s="133">
        <f t="shared" si="1039"/>
        <v>2027</v>
      </c>
      <c r="KE624" s="133">
        <f t="shared" si="1039"/>
        <v>2028</v>
      </c>
      <c r="KF624" s="133">
        <f t="shared" si="1039"/>
        <v>2029</v>
      </c>
      <c r="KG624" s="133">
        <f t="shared" si="1039"/>
        <v>2030</v>
      </c>
      <c r="KH624" s="133">
        <f t="shared" si="1039"/>
        <v>2031</v>
      </c>
      <c r="KI624" s="133">
        <f t="shared" si="1039"/>
        <v>2032</v>
      </c>
      <c r="KJ624" s="133">
        <f t="shared" si="1039"/>
        <v>2033</v>
      </c>
      <c r="KK624" s="133">
        <f t="shared" si="1039"/>
        <v>2034</v>
      </c>
      <c r="KL624" s="133">
        <f t="shared" si="1039"/>
        <v>2035</v>
      </c>
      <c r="KM624" s="133">
        <f t="shared" si="1039"/>
        <v>2036</v>
      </c>
      <c r="KN624" s="133">
        <f t="shared" si="1039"/>
        <v>2037</v>
      </c>
      <c r="KO624" s="133">
        <f t="shared" si="1039"/>
        <v>2038</v>
      </c>
      <c r="KP624" s="133">
        <f t="shared" si="1039"/>
        <v>2039</v>
      </c>
      <c r="KQ624" s="133">
        <f t="shared" si="1039"/>
        <v>2040</v>
      </c>
      <c r="KR624" s="133">
        <f t="shared" si="1039"/>
        <v>2041</v>
      </c>
      <c r="KS624" s="133">
        <f t="shared" si="1039"/>
        <v>2042</v>
      </c>
      <c r="KT624" s="133">
        <f t="shared" si="1039"/>
        <v>2043</v>
      </c>
      <c r="KU624" s="133">
        <f t="shared" si="1039"/>
        <v>2044</v>
      </c>
      <c r="KV624" s="133">
        <f t="shared" si="1039"/>
        <v>2045</v>
      </c>
      <c r="KW624" s="133">
        <f t="shared" si="1039"/>
        <v>2046</v>
      </c>
      <c r="KX624" s="133">
        <f t="shared" si="1039"/>
        <v>2047</v>
      </c>
      <c r="KY624" s="133">
        <f t="shared" si="1039"/>
        <v>2048</v>
      </c>
      <c r="KZ624" s="133">
        <f t="shared" si="1039"/>
        <v>2049</v>
      </c>
      <c r="LA624" s="134">
        <f t="shared" si="1039"/>
        <v>2050</v>
      </c>
      <c r="LC624" s="135">
        <f t="shared" ref="LC624:ML624" si="1040">LC$1</f>
        <v>2015</v>
      </c>
      <c r="LD624" s="133">
        <f t="shared" si="1040"/>
        <v>2016</v>
      </c>
      <c r="LE624" s="133">
        <f t="shared" si="1040"/>
        <v>2017</v>
      </c>
      <c r="LF624" s="133">
        <f t="shared" si="1040"/>
        <v>2018</v>
      </c>
      <c r="LG624" s="133">
        <f t="shared" si="1040"/>
        <v>2019</v>
      </c>
      <c r="LH624" s="133">
        <f t="shared" si="1040"/>
        <v>2020</v>
      </c>
      <c r="LI624" s="133">
        <f t="shared" si="1040"/>
        <v>2021</v>
      </c>
      <c r="LJ624" s="133">
        <f t="shared" si="1040"/>
        <v>2022</v>
      </c>
      <c r="LK624" s="133">
        <f t="shared" si="1040"/>
        <v>2023</v>
      </c>
      <c r="LL624" s="133">
        <f t="shared" si="1040"/>
        <v>2024</v>
      </c>
      <c r="LM624" s="133">
        <f t="shared" si="1040"/>
        <v>2025</v>
      </c>
      <c r="LN624" s="133">
        <f t="shared" si="1040"/>
        <v>2026</v>
      </c>
      <c r="LO624" s="133">
        <f t="shared" si="1040"/>
        <v>2027</v>
      </c>
      <c r="LP624" s="133">
        <f t="shared" si="1040"/>
        <v>2028</v>
      </c>
      <c r="LQ624" s="133">
        <f t="shared" si="1040"/>
        <v>2029</v>
      </c>
      <c r="LR624" s="133">
        <f t="shared" si="1040"/>
        <v>2030</v>
      </c>
      <c r="LS624" s="133">
        <f t="shared" si="1040"/>
        <v>2031</v>
      </c>
      <c r="LT624" s="133">
        <f t="shared" si="1040"/>
        <v>2032</v>
      </c>
      <c r="LU624" s="133">
        <f t="shared" si="1040"/>
        <v>2033</v>
      </c>
      <c r="LV624" s="133">
        <f t="shared" si="1040"/>
        <v>2034</v>
      </c>
      <c r="LW624" s="133">
        <f t="shared" si="1040"/>
        <v>2035</v>
      </c>
      <c r="LX624" s="133">
        <f t="shared" si="1040"/>
        <v>2036</v>
      </c>
      <c r="LY624" s="133">
        <f t="shared" si="1040"/>
        <v>2037</v>
      </c>
      <c r="LZ624" s="133">
        <f t="shared" si="1040"/>
        <v>2038</v>
      </c>
      <c r="MA624" s="133">
        <f t="shared" si="1040"/>
        <v>2039</v>
      </c>
      <c r="MB624" s="133">
        <f t="shared" si="1040"/>
        <v>2040</v>
      </c>
      <c r="MC624" s="133">
        <f t="shared" si="1040"/>
        <v>2041</v>
      </c>
      <c r="MD624" s="133">
        <f t="shared" si="1040"/>
        <v>2042</v>
      </c>
      <c r="ME624" s="133">
        <f t="shared" si="1040"/>
        <v>2043</v>
      </c>
      <c r="MF624" s="133">
        <f t="shared" si="1040"/>
        <v>2044</v>
      </c>
      <c r="MG624" s="133">
        <f t="shared" si="1040"/>
        <v>2045</v>
      </c>
      <c r="MH624" s="133">
        <f t="shared" si="1040"/>
        <v>2046</v>
      </c>
      <c r="MI624" s="133">
        <f t="shared" si="1040"/>
        <v>2047</v>
      </c>
      <c r="MJ624" s="133">
        <f t="shared" si="1040"/>
        <v>2048</v>
      </c>
      <c r="MK624" s="133">
        <f t="shared" si="1040"/>
        <v>2049</v>
      </c>
      <c r="ML624" s="134">
        <f t="shared" si="1040"/>
        <v>2050</v>
      </c>
      <c r="MO624"/>
      <c r="MP624"/>
      <c r="MQ624"/>
      <c r="MR624"/>
      <c r="MS624"/>
      <c r="MT624"/>
      <c r="MU624"/>
      <c r="MV624"/>
    </row>
    <row r="625" spans="3:360" s="4" customFormat="1" ht="18" customHeight="1" x14ac:dyDescent="0.3">
      <c r="C625" s="204" t="s">
        <v>280</v>
      </c>
      <c r="E625" s="1"/>
      <c r="F625" s="138"/>
      <c r="H625" s="300"/>
      <c r="I625" s="171"/>
      <c r="J625" s="171"/>
      <c r="K625" s="171"/>
      <c r="L625" s="171"/>
      <c r="M625" s="171"/>
      <c r="N625" s="9"/>
      <c r="O625" s="9"/>
      <c r="P625" s="9"/>
      <c r="Q625" s="10"/>
      <c r="S625" s="245"/>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38"/>
      <c r="BD625" s="245"/>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38"/>
      <c r="CO625" s="245"/>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38"/>
      <c r="DZ625" s="245"/>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38"/>
      <c r="FK625" s="245"/>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38"/>
      <c r="GV625" s="245"/>
      <c r="GW625" s="1"/>
      <c r="GX625" s="1"/>
      <c r="GY625" s="1"/>
      <c r="GZ625" s="1"/>
      <c r="HA625" s="1"/>
      <c r="HB625" s="1"/>
      <c r="HC625" s="1"/>
      <c r="HD625" s="1"/>
      <c r="HE625" s="1"/>
      <c r="HF625" s="1"/>
      <c r="HG625" s="1"/>
      <c r="HH625" s="1"/>
      <c r="HI625" s="1"/>
      <c r="HJ625" s="1"/>
      <c r="HK625" s="1"/>
      <c r="HL625" s="1"/>
      <c r="HM625" s="1"/>
      <c r="HN625" s="1"/>
      <c r="HO625" s="1"/>
      <c r="HP625" s="1"/>
      <c r="HQ625" s="1"/>
      <c r="HR625" s="1"/>
      <c r="HS625" s="1"/>
      <c r="HT625" s="1"/>
      <c r="HU625" s="1"/>
      <c r="HV625" s="1"/>
      <c r="HW625" s="1"/>
      <c r="HX625" s="1"/>
      <c r="HY625" s="1"/>
      <c r="HZ625" s="1"/>
      <c r="IA625" s="1"/>
      <c r="IB625" s="1"/>
      <c r="IC625" s="1"/>
      <c r="ID625" s="1"/>
      <c r="IE625" s="138"/>
      <c r="IG625" s="245"/>
      <c r="IH625" s="1"/>
      <c r="II625" s="1"/>
      <c r="IJ625" s="1"/>
      <c r="IK625" s="1"/>
      <c r="IL625" s="1"/>
      <c r="IM625" s="1"/>
      <c r="IN625" s="1"/>
      <c r="IO625" s="1"/>
      <c r="IP625" s="1"/>
      <c r="IQ625" s="1"/>
      <c r="IR625" s="1"/>
      <c r="IS625" s="1"/>
      <c r="IT625" s="1"/>
      <c r="IU625" s="1"/>
      <c r="IV625" s="1"/>
      <c r="IW625" s="1"/>
      <c r="IX625" s="1"/>
      <c r="IY625" s="1"/>
      <c r="IZ625" s="1"/>
      <c r="JA625" s="1"/>
      <c r="JB625" s="1"/>
      <c r="JC625" s="1"/>
      <c r="JD625" s="1"/>
      <c r="JE625" s="1"/>
      <c r="JF625" s="1"/>
      <c r="JG625" s="1"/>
      <c r="JH625" s="1"/>
      <c r="JI625" s="1"/>
      <c r="JJ625" s="1"/>
      <c r="JK625" s="1"/>
      <c r="JL625" s="1"/>
      <c r="JM625" s="1"/>
      <c r="JN625" s="1"/>
      <c r="JO625" s="1"/>
      <c r="JP625" s="138"/>
      <c r="JR625" s="245"/>
      <c r="JS625" s="1"/>
      <c r="JT625" s="1"/>
      <c r="JU625" s="1"/>
      <c r="JV625" s="1"/>
      <c r="JW625" s="1"/>
      <c r="JX625" s="1"/>
      <c r="JY625" s="1"/>
      <c r="JZ625" s="1"/>
      <c r="KA625" s="1"/>
      <c r="KB625" s="1"/>
      <c r="KC625" s="1"/>
      <c r="KD625" s="1"/>
      <c r="KE625" s="1"/>
      <c r="KF625" s="1"/>
      <c r="KG625" s="1"/>
      <c r="KH625" s="1"/>
      <c r="KI625" s="1"/>
      <c r="KJ625" s="1"/>
      <c r="KK625" s="1"/>
      <c r="KL625" s="1"/>
      <c r="KM625" s="1"/>
      <c r="KN625" s="1"/>
      <c r="KO625" s="1"/>
      <c r="KP625" s="1"/>
      <c r="KQ625" s="1"/>
      <c r="KR625" s="1"/>
      <c r="KS625" s="1"/>
      <c r="KT625" s="1"/>
      <c r="KU625" s="1"/>
      <c r="KV625" s="1"/>
      <c r="KW625" s="1"/>
      <c r="KX625" s="1"/>
      <c r="KY625" s="1"/>
      <c r="KZ625" s="1"/>
      <c r="LA625" s="138"/>
      <c r="LC625" s="245"/>
      <c r="LD625" s="1"/>
      <c r="LE625" s="1"/>
      <c r="LF625" s="1"/>
      <c r="LG625" s="1"/>
      <c r="LH625" s="1"/>
      <c r="LI625" s="1"/>
      <c r="LJ625" s="1"/>
      <c r="LK625" s="1"/>
      <c r="LL625" s="1"/>
      <c r="LM625" s="1"/>
      <c r="LN625" s="1"/>
      <c r="LO625" s="1"/>
      <c r="LP625" s="1"/>
      <c r="LQ625" s="1"/>
      <c r="LR625" s="1"/>
      <c r="LS625" s="1"/>
      <c r="LT625" s="1"/>
      <c r="LU625" s="1"/>
      <c r="LV625" s="1"/>
      <c r="LW625" s="1"/>
      <c r="LX625" s="1"/>
      <c r="LY625" s="1"/>
      <c r="LZ625" s="1"/>
      <c r="MA625" s="1"/>
      <c r="MB625" s="1"/>
      <c r="MC625" s="1"/>
      <c r="MD625" s="1"/>
      <c r="ME625" s="1"/>
      <c r="MF625" s="1"/>
      <c r="MG625" s="1"/>
      <c r="MH625" s="1"/>
      <c r="MI625" s="1"/>
      <c r="MJ625" s="1"/>
      <c r="MK625" s="1"/>
      <c r="ML625" s="138"/>
      <c r="MO625"/>
      <c r="MP625"/>
      <c r="MQ625"/>
      <c r="MR625"/>
      <c r="MS625"/>
      <c r="MT625"/>
      <c r="MU625"/>
      <c r="MV625"/>
    </row>
    <row r="626" spans="3:360" s="4" customFormat="1" ht="18" customHeight="1" x14ac:dyDescent="0.3">
      <c r="C626" s="136" t="s">
        <v>76</v>
      </c>
      <c r="E626" s="137" t="s">
        <v>103</v>
      </c>
      <c r="F626" s="186" t="s">
        <v>253</v>
      </c>
      <c r="H626" s="267"/>
      <c r="I626"/>
      <c r="J626"/>
      <c r="K626"/>
      <c r="L626"/>
      <c r="M626" s="140">
        <f>SUMIFS($H$512:$H$613,I$512:I$613,$F626)*$D$514/10^3</f>
        <v>216557.80878825113</v>
      </c>
      <c r="N626" s="237"/>
      <c r="O626" s="237"/>
      <c r="P626" s="237"/>
      <c r="Q626" s="236"/>
      <c r="R626" s="140"/>
      <c r="S626" s="139"/>
      <c r="T626" s="140"/>
      <c r="U626" s="140"/>
      <c r="V626" s="140"/>
      <c r="W626" s="140"/>
      <c r="X626" s="140">
        <f t="shared" ref="X626:X632" si="1041">SUMIFS(S$512:S$613,T$512:T$613,$F626)*$D$514/10^3</f>
        <v>216557.80878825113</v>
      </c>
      <c r="Y626" s="140"/>
      <c r="Z626" s="140"/>
      <c r="AA626" s="140"/>
      <c r="AB626" s="140"/>
      <c r="AC626" s="140"/>
      <c r="AD626" s="140"/>
      <c r="AE626" s="140"/>
      <c r="AF626" s="140"/>
      <c r="AG626" s="140"/>
      <c r="AH626" s="140">
        <f t="shared" ref="AH626:AH632" si="1042">SUMIFS(S$512:S$613,AD$512:AD$613,$F626)*$D$514/10^3</f>
        <v>216557.80878825113</v>
      </c>
      <c r="AI626" s="140"/>
      <c r="AJ626" s="140"/>
      <c r="AK626" s="140"/>
      <c r="AL626" s="140"/>
      <c r="AM626" s="140"/>
      <c r="AN626" s="140"/>
      <c r="AO626" s="140"/>
      <c r="AP626" s="140"/>
      <c r="AQ626" s="140"/>
      <c r="AR626" s="140"/>
      <c r="AS626" s="140"/>
      <c r="AT626" s="140"/>
      <c r="AU626" s="140"/>
      <c r="AV626" s="140"/>
      <c r="AW626" s="140"/>
      <c r="AX626" s="140"/>
      <c r="AY626" s="140"/>
      <c r="AZ626" s="140"/>
      <c r="BA626" s="140"/>
      <c r="BB626" s="141">
        <f t="shared" ref="BB626:BB632" si="1043">SUMIFS(S$512:S$613,AX$512:AX$613,$F626)*$D$514/10^3</f>
        <v>216557.80878825113</v>
      </c>
      <c r="BC626" s="140"/>
      <c r="BD626" s="139"/>
      <c r="BE626" s="140"/>
      <c r="BF626" s="140"/>
      <c r="BG626" s="140"/>
      <c r="BH626" s="140"/>
      <c r="BI626" s="219"/>
      <c r="BJ626" s="234"/>
      <c r="BK626" s="234"/>
      <c r="BL626" s="234"/>
      <c r="BM626" s="234"/>
      <c r="BN626" s="234"/>
      <c r="BO626" s="234"/>
      <c r="BP626" s="234"/>
      <c r="BQ626" s="234"/>
      <c r="BR626" s="234"/>
      <c r="BS626" s="234"/>
      <c r="BT626" s="234"/>
      <c r="BU626" s="234"/>
      <c r="BV626" s="234"/>
      <c r="BW626" s="234"/>
      <c r="BX626" s="234"/>
      <c r="BY626" s="234"/>
      <c r="BZ626" s="234"/>
      <c r="CA626" s="234"/>
      <c r="CB626" s="234"/>
      <c r="CC626" s="234"/>
      <c r="CD626" s="234"/>
      <c r="CE626" s="234"/>
      <c r="CF626" s="234"/>
      <c r="CG626" s="234"/>
      <c r="CH626" s="234"/>
      <c r="CI626" s="234"/>
      <c r="CJ626" s="234"/>
      <c r="CK626" s="234"/>
      <c r="CL626" s="234"/>
      <c r="CM626" s="189"/>
      <c r="CN626" s="140"/>
      <c r="CO626" s="139"/>
      <c r="CP626" s="140"/>
      <c r="CQ626" s="140"/>
      <c r="CR626" s="140"/>
      <c r="CS626" s="140"/>
      <c r="CT626" s="219"/>
      <c r="CU626" s="234"/>
      <c r="CV626" s="234"/>
      <c r="CW626" s="234"/>
      <c r="CX626" s="234"/>
      <c r="CY626" s="234"/>
      <c r="CZ626" s="234"/>
      <c r="DA626" s="234"/>
      <c r="DB626" s="234"/>
      <c r="DC626" s="234"/>
      <c r="DD626" s="234"/>
      <c r="DE626" s="234"/>
      <c r="DF626" s="234"/>
      <c r="DG626" s="234"/>
      <c r="DH626" s="234"/>
      <c r="DI626" s="234"/>
      <c r="DJ626" s="234"/>
      <c r="DK626" s="234"/>
      <c r="DL626" s="234"/>
      <c r="DM626" s="234"/>
      <c r="DN626" s="234"/>
      <c r="DO626" s="234"/>
      <c r="DP626" s="234"/>
      <c r="DQ626" s="234"/>
      <c r="DR626" s="234"/>
      <c r="DS626" s="234"/>
      <c r="DT626" s="234"/>
      <c r="DU626" s="234"/>
      <c r="DV626" s="234"/>
      <c r="DW626" s="234"/>
      <c r="DX626" s="189"/>
      <c r="DY626" s="140"/>
      <c r="DZ626" s="139"/>
      <c r="EA626" s="140"/>
      <c r="EB626" s="140"/>
      <c r="EC626" s="140"/>
      <c r="ED626" s="140"/>
      <c r="EE626" s="219"/>
      <c r="EF626" s="234"/>
      <c r="EG626" s="234"/>
      <c r="EH626" s="234"/>
      <c r="EI626" s="234"/>
      <c r="EJ626" s="234"/>
      <c r="EK626" s="234"/>
      <c r="EL626" s="234"/>
      <c r="EM626" s="234"/>
      <c r="EN626" s="234"/>
      <c r="EO626" s="234"/>
      <c r="EP626" s="234"/>
      <c r="EQ626" s="234"/>
      <c r="ER626" s="234"/>
      <c r="ES626" s="234"/>
      <c r="ET626" s="234"/>
      <c r="EU626" s="234"/>
      <c r="EV626" s="234"/>
      <c r="EW626" s="234"/>
      <c r="EX626" s="234"/>
      <c r="EY626" s="234"/>
      <c r="EZ626" s="234"/>
      <c r="FA626" s="234"/>
      <c r="FB626" s="234"/>
      <c r="FC626" s="234"/>
      <c r="FD626" s="234"/>
      <c r="FE626" s="234"/>
      <c r="FF626" s="234"/>
      <c r="FG626" s="234"/>
      <c r="FH626" s="234"/>
      <c r="FI626" s="189"/>
      <c r="FJ626" s="140"/>
      <c r="FK626" s="139"/>
      <c r="FL626" s="140"/>
      <c r="FM626" s="140"/>
      <c r="FN626" s="140"/>
      <c r="FO626" s="140"/>
      <c r="FP626" s="219"/>
      <c r="FQ626" s="234"/>
      <c r="FR626" s="234"/>
      <c r="FS626" s="234"/>
      <c r="FT626" s="234"/>
      <c r="FU626" s="234"/>
      <c r="FV626" s="234"/>
      <c r="FW626" s="234"/>
      <c r="FX626" s="234"/>
      <c r="FY626" s="234"/>
      <c r="FZ626" s="234"/>
      <c r="GA626" s="234"/>
      <c r="GB626" s="234"/>
      <c r="GC626" s="234"/>
      <c r="GD626" s="234"/>
      <c r="GE626" s="234"/>
      <c r="GF626" s="234"/>
      <c r="GG626" s="234"/>
      <c r="GH626" s="234"/>
      <c r="GI626" s="234"/>
      <c r="GJ626" s="234"/>
      <c r="GK626" s="234"/>
      <c r="GL626" s="234"/>
      <c r="GM626" s="234"/>
      <c r="GN626" s="234"/>
      <c r="GO626" s="234"/>
      <c r="GP626" s="234"/>
      <c r="GQ626" s="234"/>
      <c r="GR626" s="234"/>
      <c r="GS626" s="234"/>
      <c r="GT626" s="189"/>
      <c r="GU626" s="140"/>
      <c r="GV626" s="139"/>
      <c r="GW626" s="140"/>
      <c r="GX626" s="140"/>
      <c r="GY626" s="140"/>
      <c r="GZ626" s="140"/>
      <c r="HA626" s="219"/>
      <c r="HB626" s="234"/>
      <c r="HC626" s="234"/>
      <c r="HD626" s="234"/>
      <c r="HE626" s="234"/>
      <c r="HF626" s="234"/>
      <c r="HG626" s="234"/>
      <c r="HH626" s="234"/>
      <c r="HI626" s="234"/>
      <c r="HJ626" s="234"/>
      <c r="HK626" s="234"/>
      <c r="HL626" s="234"/>
      <c r="HM626" s="234"/>
      <c r="HN626" s="234"/>
      <c r="HO626" s="234"/>
      <c r="HP626" s="234"/>
      <c r="HQ626" s="234"/>
      <c r="HR626" s="234"/>
      <c r="HS626" s="234"/>
      <c r="HT626" s="234"/>
      <c r="HU626" s="234"/>
      <c r="HV626" s="234"/>
      <c r="HW626" s="234"/>
      <c r="HX626" s="234"/>
      <c r="HY626" s="234"/>
      <c r="HZ626" s="234"/>
      <c r="IA626" s="234"/>
      <c r="IB626" s="234"/>
      <c r="IC626" s="234"/>
      <c r="ID626" s="234"/>
      <c r="IE626" s="189"/>
      <c r="IF626" s="140"/>
      <c r="IG626" s="139"/>
      <c r="IH626" s="140"/>
      <c r="II626" s="140"/>
      <c r="IJ626" s="140"/>
      <c r="IK626" s="140"/>
      <c r="IL626" s="140">
        <f t="shared" ref="IL626:IL632" si="1044">SUMIFS(IG$512:IG$613,IH$512:IH$613,$F626)*$D$514/10^3</f>
        <v>216557.80878825113</v>
      </c>
      <c r="IM626" s="140"/>
      <c r="IN626" s="140"/>
      <c r="IO626" s="140"/>
      <c r="IP626" s="140"/>
      <c r="IQ626" s="140"/>
      <c r="IR626" s="140"/>
      <c r="IS626" s="140"/>
      <c r="IT626" s="140"/>
      <c r="IU626" s="140"/>
      <c r="IV626" s="140">
        <f t="shared" ref="IV626:IV632" si="1045">SUMIFS(IG$512:IG$613,IR$512:IR$613,$F626)*$D$514/10^3</f>
        <v>216557.80878825113</v>
      </c>
      <c r="IW626" s="140"/>
      <c r="IX626" s="140"/>
      <c r="IY626" s="140"/>
      <c r="IZ626" s="140"/>
      <c r="JA626" s="140"/>
      <c r="JB626" s="140"/>
      <c r="JC626" s="140"/>
      <c r="JD626" s="140"/>
      <c r="JE626" s="140"/>
      <c r="JF626" s="140"/>
      <c r="JG626" s="140"/>
      <c r="JH626" s="140"/>
      <c r="JI626" s="140"/>
      <c r="JJ626" s="140"/>
      <c r="JK626" s="140"/>
      <c r="JL626" s="140"/>
      <c r="JM626" s="140"/>
      <c r="JN626" s="140"/>
      <c r="JO626" s="140"/>
      <c r="JP626" s="141">
        <f t="shared" ref="JP626:JP632" si="1046">SUMIFS(IG$512:IG$613,JL$512:JL$613,$F626)*$D$514/10^3</f>
        <v>216557.80878825113</v>
      </c>
      <c r="JQ626" s="140"/>
      <c r="JR626" s="139"/>
      <c r="JS626" s="140"/>
      <c r="JT626" s="140"/>
      <c r="JU626" s="140"/>
      <c r="JV626" s="140"/>
      <c r="JW626" s="140">
        <f t="shared" ref="JW626:JW632" si="1047">SUMIFS(JR$512:JR$613,JS$512:JS$613,$F626)*$D$514/10^3</f>
        <v>216557.80878825113</v>
      </c>
      <c r="JX626" s="140"/>
      <c r="JY626" s="140"/>
      <c r="JZ626" s="140"/>
      <c r="KA626" s="140"/>
      <c r="KB626" s="140"/>
      <c r="KC626" s="140"/>
      <c r="KD626" s="140"/>
      <c r="KE626" s="140"/>
      <c r="KF626" s="140"/>
      <c r="KG626" s="140">
        <f>SUMIFS(JR$512:JR$613,KC$512:KC$613,$F626)*$D$514/10^3</f>
        <v>216557.80878825113</v>
      </c>
      <c r="KH626" s="140"/>
      <c r="KI626" s="140"/>
      <c r="KJ626" s="140"/>
      <c r="KK626" s="140"/>
      <c r="KL626" s="140"/>
      <c r="KM626" s="140"/>
      <c r="KN626" s="140"/>
      <c r="KO626" s="140"/>
      <c r="KP626" s="140"/>
      <c r="KQ626" s="140"/>
      <c r="KR626" s="140"/>
      <c r="KS626" s="140"/>
      <c r="KT626" s="140"/>
      <c r="KU626" s="140"/>
      <c r="KV626" s="140"/>
      <c r="KW626" s="140"/>
      <c r="KX626" s="140"/>
      <c r="KY626" s="140"/>
      <c r="KZ626" s="140"/>
      <c r="LA626" s="141">
        <f t="shared" ref="LA626:LA632" si="1048">SUMIFS(JR$512:JR$613,KW$512:KW$613,$F626)*$D$514/10^3</f>
        <v>216557.80878825113</v>
      </c>
      <c r="LB626" s="140"/>
      <c r="LC626" s="139"/>
      <c r="LD626" s="140"/>
      <c r="LE626" s="140"/>
      <c r="LF626" s="140"/>
      <c r="LG626" s="140"/>
      <c r="LH626" s="140">
        <f t="shared" ref="LH626:LH632" si="1049">SUMIFS(LC$512:LC$613,LD$512:LD$613,$F626)*$D$514/10^3</f>
        <v>216557.80878825113</v>
      </c>
      <c r="LI626" s="140"/>
      <c r="LJ626" s="140"/>
      <c r="LK626" s="140"/>
      <c r="LL626" s="140"/>
      <c r="LM626" s="140"/>
      <c r="LN626" s="140"/>
      <c r="LO626" s="140"/>
      <c r="LP626" s="140"/>
      <c r="LQ626" s="140"/>
      <c r="LR626" s="140">
        <f t="shared" ref="LR626:LR632" si="1050">SUMIFS(LC$512:LC$613,LN$512:LN$613,$F626)*$D$514/10^3</f>
        <v>216557.80878825113</v>
      </c>
      <c r="LS626" s="140"/>
      <c r="LT626" s="140"/>
      <c r="LU626" s="140"/>
      <c r="LV626" s="140"/>
      <c r="LW626" s="140"/>
      <c r="LX626" s="140"/>
      <c r="LY626" s="140"/>
      <c r="LZ626" s="140"/>
      <c r="MA626" s="140"/>
      <c r="MB626" s="140">
        <f t="shared" ref="MB626:MB632" si="1051">SUMIFS(LM$512:LM$613,LX$512:LX$613,$F626)*$D$514/10^3</f>
        <v>65829.957200589983</v>
      </c>
      <c r="MC626" s="140"/>
      <c r="MD626" s="140"/>
      <c r="ME626" s="140"/>
      <c r="MF626" s="140"/>
      <c r="MG626" s="140"/>
      <c r="MH626" s="140"/>
      <c r="MI626" s="140"/>
      <c r="MJ626" s="140"/>
      <c r="MK626" s="140"/>
      <c r="ML626" s="141">
        <f t="shared" ref="ML626:ML632" si="1052">SUMIFS(LC$512:LC$613,MH$512:MH$613,$F626)*$D$514/10^3</f>
        <v>216557.80878825113</v>
      </c>
      <c r="MO626"/>
      <c r="MP626"/>
      <c r="MQ626"/>
      <c r="MR626"/>
      <c r="MS626"/>
      <c r="MT626"/>
      <c r="MU626"/>
      <c r="MV626"/>
    </row>
    <row r="627" spans="3:360" s="4" customFormat="1" ht="18" customHeight="1" x14ac:dyDescent="0.3">
      <c r="C627" s="136" t="s">
        <v>77</v>
      </c>
      <c r="E627" s="137" t="s">
        <v>105</v>
      </c>
      <c r="F627" s="186" t="s">
        <v>268</v>
      </c>
      <c r="H627" s="267"/>
      <c r="I627"/>
      <c r="J627"/>
      <c r="K627"/>
      <c r="L627"/>
      <c r="M627" s="140">
        <f t="shared" ref="M627:M632" si="1053">SUMIFS($H$512:$H$613,I$512:I$613,$F627)*$D$514/10^3</f>
        <v>58836.482296351336</v>
      </c>
      <c r="N627" s="237"/>
      <c r="O627" s="237"/>
      <c r="P627" s="237"/>
      <c r="Q627" s="236"/>
      <c r="R627" s="140"/>
      <c r="S627" s="139"/>
      <c r="T627" s="140"/>
      <c r="U627" s="140"/>
      <c r="V627" s="140"/>
      <c r="W627" s="140"/>
      <c r="X627" s="140">
        <f t="shared" si="1041"/>
        <v>58836.482296351336</v>
      </c>
      <c r="Y627" s="140"/>
      <c r="Z627" s="140"/>
      <c r="AA627" s="140"/>
      <c r="AB627" s="140"/>
      <c r="AC627" s="140"/>
      <c r="AD627" s="140"/>
      <c r="AE627" s="140"/>
      <c r="AF627" s="140"/>
      <c r="AG627" s="140"/>
      <c r="AH627" s="140">
        <f t="shared" si="1042"/>
        <v>58836.482296351336</v>
      </c>
      <c r="AI627" s="140"/>
      <c r="AJ627" s="140"/>
      <c r="AK627" s="140"/>
      <c r="AL627" s="140"/>
      <c r="AM627" s="140"/>
      <c r="AN627" s="140"/>
      <c r="AO627" s="140"/>
      <c r="AP627" s="140"/>
      <c r="AQ627" s="140"/>
      <c r="AR627" s="140"/>
      <c r="AS627" s="140"/>
      <c r="AT627" s="140"/>
      <c r="AU627" s="140"/>
      <c r="AV627" s="140"/>
      <c r="AW627" s="140"/>
      <c r="AX627" s="140"/>
      <c r="AY627" s="140"/>
      <c r="AZ627" s="140"/>
      <c r="BA627" s="140"/>
      <c r="BB627" s="141">
        <f t="shared" si="1043"/>
        <v>58836.482296351336</v>
      </c>
      <c r="BC627" s="140"/>
      <c r="BD627" s="139"/>
      <c r="BE627" s="140"/>
      <c r="BF627" s="140"/>
      <c r="BG627" s="140"/>
      <c r="BH627" s="140"/>
      <c r="BI627" s="219"/>
      <c r="BJ627" s="234"/>
      <c r="BK627" s="234"/>
      <c r="BL627" s="234"/>
      <c r="BM627" s="234"/>
      <c r="BN627" s="234"/>
      <c r="BO627" s="234"/>
      <c r="BP627" s="234"/>
      <c r="BQ627" s="234"/>
      <c r="BR627" s="234"/>
      <c r="BS627" s="234"/>
      <c r="BT627" s="234"/>
      <c r="BU627" s="234"/>
      <c r="BV627" s="234"/>
      <c r="BW627" s="234"/>
      <c r="BX627" s="234"/>
      <c r="BY627" s="234"/>
      <c r="BZ627" s="234"/>
      <c r="CA627" s="234"/>
      <c r="CB627" s="234"/>
      <c r="CC627" s="234"/>
      <c r="CD627" s="234"/>
      <c r="CE627" s="234"/>
      <c r="CF627" s="234"/>
      <c r="CG627" s="234"/>
      <c r="CH627" s="234"/>
      <c r="CI627" s="234"/>
      <c r="CJ627" s="234"/>
      <c r="CK627" s="234"/>
      <c r="CL627" s="234"/>
      <c r="CM627" s="189"/>
      <c r="CN627" s="140"/>
      <c r="CO627" s="139"/>
      <c r="CP627" s="140"/>
      <c r="CQ627" s="140"/>
      <c r="CR627" s="140"/>
      <c r="CS627" s="140"/>
      <c r="CT627" s="219"/>
      <c r="CU627" s="234"/>
      <c r="CV627" s="234"/>
      <c r="CW627" s="234"/>
      <c r="CX627" s="234"/>
      <c r="CY627" s="234"/>
      <c r="CZ627" s="234"/>
      <c r="DA627" s="234"/>
      <c r="DB627" s="234"/>
      <c r="DC627" s="234"/>
      <c r="DD627" s="234"/>
      <c r="DE627" s="234"/>
      <c r="DF627" s="234"/>
      <c r="DG627" s="234"/>
      <c r="DH627" s="234"/>
      <c r="DI627" s="234"/>
      <c r="DJ627" s="234"/>
      <c r="DK627" s="234"/>
      <c r="DL627" s="234"/>
      <c r="DM627" s="234"/>
      <c r="DN627" s="234"/>
      <c r="DO627" s="234"/>
      <c r="DP627" s="234"/>
      <c r="DQ627" s="234"/>
      <c r="DR627" s="234"/>
      <c r="DS627" s="234"/>
      <c r="DT627" s="234"/>
      <c r="DU627" s="234"/>
      <c r="DV627" s="234"/>
      <c r="DW627" s="234"/>
      <c r="DX627" s="189"/>
      <c r="DY627" s="140"/>
      <c r="DZ627" s="139"/>
      <c r="EA627" s="140"/>
      <c r="EB627" s="140"/>
      <c r="EC627" s="140"/>
      <c r="ED627" s="140"/>
      <c r="EE627" s="219"/>
      <c r="EF627" s="234"/>
      <c r="EG627" s="234"/>
      <c r="EH627" s="234"/>
      <c r="EI627" s="234"/>
      <c r="EJ627" s="234"/>
      <c r="EK627" s="234"/>
      <c r="EL627" s="234"/>
      <c r="EM627" s="234"/>
      <c r="EN627" s="234"/>
      <c r="EO627" s="234"/>
      <c r="EP627" s="234"/>
      <c r="EQ627" s="234"/>
      <c r="ER627" s="234"/>
      <c r="ES627" s="234"/>
      <c r="ET627" s="234"/>
      <c r="EU627" s="234"/>
      <c r="EV627" s="234"/>
      <c r="EW627" s="234"/>
      <c r="EX627" s="234"/>
      <c r="EY627" s="234"/>
      <c r="EZ627" s="234"/>
      <c r="FA627" s="234"/>
      <c r="FB627" s="234"/>
      <c r="FC627" s="234"/>
      <c r="FD627" s="234"/>
      <c r="FE627" s="234"/>
      <c r="FF627" s="234"/>
      <c r="FG627" s="234"/>
      <c r="FH627" s="234"/>
      <c r="FI627" s="189"/>
      <c r="FJ627" s="140"/>
      <c r="FK627" s="139"/>
      <c r="FL627" s="140"/>
      <c r="FM627" s="140"/>
      <c r="FN627" s="140"/>
      <c r="FO627" s="140"/>
      <c r="FP627" s="219"/>
      <c r="FQ627" s="234"/>
      <c r="FR627" s="234"/>
      <c r="FS627" s="234"/>
      <c r="FT627" s="234"/>
      <c r="FU627" s="234"/>
      <c r="FV627" s="234"/>
      <c r="FW627" s="234"/>
      <c r="FX627" s="234"/>
      <c r="FY627" s="234"/>
      <c r="FZ627" s="234"/>
      <c r="GA627" s="234"/>
      <c r="GB627" s="234"/>
      <c r="GC627" s="234"/>
      <c r="GD627" s="234"/>
      <c r="GE627" s="234"/>
      <c r="GF627" s="234"/>
      <c r="GG627" s="234"/>
      <c r="GH627" s="234"/>
      <c r="GI627" s="234"/>
      <c r="GJ627" s="234"/>
      <c r="GK627" s="234"/>
      <c r="GL627" s="234"/>
      <c r="GM627" s="234"/>
      <c r="GN627" s="234"/>
      <c r="GO627" s="234"/>
      <c r="GP627" s="234"/>
      <c r="GQ627" s="234"/>
      <c r="GR627" s="234"/>
      <c r="GS627" s="234"/>
      <c r="GT627" s="189"/>
      <c r="GU627" s="140"/>
      <c r="GV627" s="139"/>
      <c r="GW627" s="140"/>
      <c r="GX627" s="140"/>
      <c r="GY627" s="140"/>
      <c r="GZ627" s="140"/>
      <c r="HA627" s="219"/>
      <c r="HB627" s="234"/>
      <c r="HC627" s="234"/>
      <c r="HD627" s="234"/>
      <c r="HE627" s="234"/>
      <c r="HF627" s="234"/>
      <c r="HG627" s="234"/>
      <c r="HH627" s="234"/>
      <c r="HI627" s="234"/>
      <c r="HJ627" s="234"/>
      <c r="HK627" s="234"/>
      <c r="HL627" s="234"/>
      <c r="HM627" s="234"/>
      <c r="HN627" s="234"/>
      <c r="HO627" s="234"/>
      <c r="HP627" s="234"/>
      <c r="HQ627" s="234"/>
      <c r="HR627" s="234"/>
      <c r="HS627" s="234"/>
      <c r="HT627" s="234"/>
      <c r="HU627" s="234"/>
      <c r="HV627" s="234"/>
      <c r="HW627" s="234"/>
      <c r="HX627" s="234"/>
      <c r="HY627" s="234"/>
      <c r="HZ627" s="234"/>
      <c r="IA627" s="234"/>
      <c r="IB627" s="234"/>
      <c r="IC627" s="234"/>
      <c r="ID627" s="234"/>
      <c r="IE627" s="189"/>
      <c r="IF627" s="140"/>
      <c r="IG627" s="139"/>
      <c r="IH627" s="140"/>
      <c r="II627" s="140"/>
      <c r="IJ627" s="140"/>
      <c r="IK627" s="140"/>
      <c r="IL627" s="140">
        <f t="shared" si="1044"/>
        <v>58836.482296351336</v>
      </c>
      <c r="IM627" s="140"/>
      <c r="IN627" s="140"/>
      <c r="IO627" s="140"/>
      <c r="IP627" s="140"/>
      <c r="IQ627" s="140"/>
      <c r="IR627" s="140"/>
      <c r="IS627" s="140"/>
      <c r="IT627" s="140"/>
      <c r="IU627" s="140"/>
      <c r="IV627" s="140">
        <f t="shared" si="1045"/>
        <v>58836.482296351336</v>
      </c>
      <c r="IW627" s="140"/>
      <c r="IX627" s="140"/>
      <c r="IY627" s="140"/>
      <c r="IZ627" s="140"/>
      <c r="JA627" s="140"/>
      <c r="JB627" s="140"/>
      <c r="JC627" s="140"/>
      <c r="JD627" s="140"/>
      <c r="JE627" s="140"/>
      <c r="JF627" s="140"/>
      <c r="JG627" s="140"/>
      <c r="JH627" s="140"/>
      <c r="JI627" s="140"/>
      <c r="JJ627" s="140"/>
      <c r="JK627" s="140"/>
      <c r="JL627" s="140"/>
      <c r="JM627" s="140"/>
      <c r="JN627" s="140"/>
      <c r="JO627" s="140"/>
      <c r="JP627" s="141">
        <f t="shared" si="1046"/>
        <v>58836.482296351336</v>
      </c>
      <c r="JQ627" s="140"/>
      <c r="JR627" s="139"/>
      <c r="JS627" s="140"/>
      <c r="JT627" s="140"/>
      <c r="JU627" s="140"/>
      <c r="JV627" s="140"/>
      <c r="JW627" s="140">
        <f t="shared" si="1047"/>
        <v>58836.482296351336</v>
      </c>
      <c r="JX627" s="140"/>
      <c r="JY627" s="140"/>
      <c r="JZ627" s="140"/>
      <c r="KA627" s="140"/>
      <c r="KB627" s="140"/>
      <c r="KC627" s="140"/>
      <c r="KD627" s="140"/>
      <c r="KE627" s="140"/>
      <c r="KF627" s="140"/>
      <c r="KG627" s="140">
        <f t="shared" ref="KG627:KG632" si="1054">SUMIFS(JR$512:JR$613,KC$512:KC$613,$F627)*$D$514/10^3</f>
        <v>58836.482296351336</v>
      </c>
      <c r="KH627" s="140"/>
      <c r="KI627" s="140"/>
      <c r="KJ627" s="140"/>
      <c r="KK627" s="140"/>
      <c r="KL627" s="140"/>
      <c r="KM627" s="140"/>
      <c r="KN627" s="140"/>
      <c r="KO627" s="140"/>
      <c r="KP627" s="140"/>
      <c r="KQ627" s="140"/>
      <c r="KR627" s="140"/>
      <c r="KS627" s="140"/>
      <c r="KT627" s="140"/>
      <c r="KU627" s="140"/>
      <c r="KV627" s="140"/>
      <c r="KW627" s="140"/>
      <c r="KX627" s="140"/>
      <c r="KY627" s="140"/>
      <c r="KZ627" s="140"/>
      <c r="LA627" s="141">
        <f t="shared" si="1048"/>
        <v>58836.482296351336</v>
      </c>
      <c r="LB627" s="140"/>
      <c r="LC627" s="139"/>
      <c r="LD627" s="140"/>
      <c r="LE627" s="140"/>
      <c r="LF627" s="140"/>
      <c r="LG627" s="140"/>
      <c r="LH627" s="140">
        <f t="shared" si="1049"/>
        <v>58836.482296351336</v>
      </c>
      <c r="LI627" s="140"/>
      <c r="LJ627" s="140"/>
      <c r="LK627" s="140"/>
      <c r="LL627" s="140"/>
      <c r="LM627" s="140"/>
      <c r="LN627" s="140"/>
      <c r="LO627" s="140"/>
      <c r="LP627" s="140"/>
      <c r="LQ627" s="140"/>
      <c r="LR627" s="140">
        <f t="shared" si="1050"/>
        <v>58836.482296351336</v>
      </c>
      <c r="LS627" s="140"/>
      <c r="LT627" s="140"/>
      <c r="LU627" s="140"/>
      <c r="LV627" s="140"/>
      <c r="LW627" s="140"/>
      <c r="LX627" s="140"/>
      <c r="LY627" s="140"/>
      <c r="LZ627" s="140"/>
      <c r="MA627" s="140"/>
      <c r="MB627" s="140">
        <f t="shared" si="1051"/>
        <v>15714.320711336548</v>
      </c>
      <c r="MC627" s="140"/>
      <c r="MD627" s="140"/>
      <c r="ME627" s="140"/>
      <c r="MF627" s="140"/>
      <c r="MG627" s="140"/>
      <c r="MH627" s="140"/>
      <c r="MI627" s="140"/>
      <c r="MJ627" s="140"/>
      <c r="MK627" s="140"/>
      <c r="ML627" s="141">
        <f t="shared" si="1052"/>
        <v>58836.482296351336</v>
      </c>
      <c r="MO627"/>
      <c r="MP627"/>
      <c r="MQ627"/>
      <c r="MR627"/>
      <c r="MS627"/>
      <c r="MT627"/>
      <c r="MU627"/>
      <c r="MV627"/>
    </row>
    <row r="628" spans="3:360" s="4" customFormat="1" ht="18" customHeight="1" x14ac:dyDescent="0.3">
      <c r="C628" s="136" t="s">
        <v>78</v>
      </c>
      <c r="E628" s="137" t="s">
        <v>105</v>
      </c>
      <c r="F628" s="186" t="s">
        <v>269</v>
      </c>
      <c r="H628" s="267"/>
      <c r="I628"/>
      <c r="J628"/>
      <c r="K628"/>
      <c r="L628"/>
      <c r="M628" s="140">
        <f t="shared" si="1053"/>
        <v>179970.41643589822</v>
      </c>
      <c r="N628" s="237"/>
      <c r="O628" s="237"/>
      <c r="P628" s="237"/>
      <c r="Q628" s="236"/>
      <c r="R628" s="140"/>
      <c r="S628" s="139"/>
      <c r="T628" s="140"/>
      <c r="U628" s="140"/>
      <c r="V628" s="140"/>
      <c r="W628" s="140"/>
      <c r="X628" s="140">
        <f t="shared" si="1041"/>
        <v>179970.41643589822</v>
      </c>
      <c r="Y628" s="140"/>
      <c r="Z628" s="140"/>
      <c r="AA628" s="140"/>
      <c r="AB628" s="140"/>
      <c r="AC628" s="140"/>
      <c r="AD628" s="140"/>
      <c r="AE628" s="140"/>
      <c r="AF628" s="140"/>
      <c r="AG628" s="140"/>
      <c r="AH628" s="140">
        <f t="shared" si="1042"/>
        <v>179970.41643589822</v>
      </c>
      <c r="AI628" s="140"/>
      <c r="AJ628" s="140"/>
      <c r="AK628" s="140"/>
      <c r="AL628" s="140"/>
      <c r="AM628" s="140"/>
      <c r="AN628" s="140"/>
      <c r="AO628" s="140"/>
      <c r="AP628" s="140"/>
      <c r="AQ628" s="140"/>
      <c r="AR628" s="140"/>
      <c r="AS628" s="140"/>
      <c r="AT628" s="140"/>
      <c r="AU628" s="140"/>
      <c r="AV628" s="140"/>
      <c r="AW628" s="140"/>
      <c r="AX628" s="140"/>
      <c r="AY628" s="140"/>
      <c r="AZ628" s="140"/>
      <c r="BA628" s="140"/>
      <c r="BB628" s="141">
        <f t="shared" si="1043"/>
        <v>179970.41643589822</v>
      </c>
      <c r="BC628" s="140"/>
      <c r="BD628" s="139"/>
      <c r="BE628" s="140"/>
      <c r="BF628" s="140"/>
      <c r="BG628" s="140"/>
      <c r="BH628" s="140"/>
      <c r="BI628" s="219"/>
      <c r="BJ628" s="234"/>
      <c r="BK628" s="234"/>
      <c r="BL628" s="234"/>
      <c r="BM628" s="234"/>
      <c r="BN628" s="234"/>
      <c r="BO628" s="234"/>
      <c r="BP628" s="234"/>
      <c r="BQ628" s="234"/>
      <c r="BR628" s="234"/>
      <c r="BS628" s="234"/>
      <c r="BT628" s="234"/>
      <c r="BU628" s="234"/>
      <c r="BV628" s="234"/>
      <c r="BW628" s="234"/>
      <c r="BX628" s="234"/>
      <c r="BY628" s="234"/>
      <c r="BZ628" s="234"/>
      <c r="CA628" s="234"/>
      <c r="CB628" s="234"/>
      <c r="CC628" s="234"/>
      <c r="CD628" s="234"/>
      <c r="CE628" s="234"/>
      <c r="CF628" s="234"/>
      <c r="CG628" s="234"/>
      <c r="CH628" s="234"/>
      <c r="CI628" s="234"/>
      <c r="CJ628" s="234"/>
      <c r="CK628" s="234"/>
      <c r="CL628" s="234"/>
      <c r="CM628" s="189"/>
      <c r="CN628" s="140"/>
      <c r="CO628" s="139"/>
      <c r="CP628" s="140"/>
      <c r="CQ628" s="140"/>
      <c r="CR628" s="140"/>
      <c r="CS628" s="140"/>
      <c r="CT628" s="219"/>
      <c r="CU628" s="234"/>
      <c r="CV628" s="234"/>
      <c r="CW628" s="234"/>
      <c r="CX628" s="234"/>
      <c r="CY628" s="234"/>
      <c r="CZ628" s="234"/>
      <c r="DA628" s="234"/>
      <c r="DB628" s="234"/>
      <c r="DC628" s="234"/>
      <c r="DD628" s="234"/>
      <c r="DE628" s="234"/>
      <c r="DF628" s="234"/>
      <c r="DG628" s="234"/>
      <c r="DH628" s="234"/>
      <c r="DI628" s="234"/>
      <c r="DJ628" s="234"/>
      <c r="DK628" s="234"/>
      <c r="DL628" s="234"/>
      <c r="DM628" s="234"/>
      <c r="DN628" s="234"/>
      <c r="DO628" s="234"/>
      <c r="DP628" s="234"/>
      <c r="DQ628" s="234"/>
      <c r="DR628" s="234"/>
      <c r="DS628" s="234"/>
      <c r="DT628" s="234"/>
      <c r="DU628" s="234"/>
      <c r="DV628" s="234"/>
      <c r="DW628" s="234"/>
      <c r="DX628" s="189"/>
      <c r="DY628" s="140"/>
      <c r="DZ628" s="139"/>
      <c r="EA628" s="140"/>
      <c r="EB628" s="140"/>
      <c r="EC628" s="140"/>
      <c r="ED628" s="140"/>
      <c r="EE628" s="219"/>
      <c r="EF628" s="234"/>
      <c r="EG628" s="234"/>
      <c r="EH628" s="234"/>
      <c r="EI628" s="234"/>
      <c r="EJ628" s="234"/>
      <c r="EK628" s="234"/>
      <c r="EL628" s="234"/>
      <c r="EM628" s="234"/>
      <c r="EN628" s="234"/>
      <c r="EO628" s="234"/>
      <c r="EP628" s="234"/>
      <c r="EQ628" s="234"/>
      <c r="ER628" s="234"/>
      <c r="ES628" s="234"/>
      <c r="ET628" s="234"/>
      <c r="EU628" s="234"/>
      <c r="EV628" s="234"/>
      <c r="EW628" s="234"/>
      <c r="EX628" s="234"/>
      <c r="EY628" s="234"/>
      <c r="EZ628" s="234"/>
      <c r="FA628" s="234"/>
      <c r="FB628" s="234"/>
      <c r="FC628" s="234"/>
      <c r="FD628" s="234"/>
      <c r="FE628" s="234"/>
      <c r="FF628" s="234"/>
      <c r="FG628" s="234"/>
      <c r="FH628" s="234"/>
      <c r="FI628" s="189"/>
      <c r="FJ628" s="140"/>
      <c r="FK628" s="139"/>
      <c r="FL628" s="140"/>
      <c r="FM628" s="140"/>
      <c r="FN628" s="140"/>
      <c r="FO628" s="140"/>
      <c r="FP628" s="219"/>
      <c r="FQ628" s="234"/>
      <c r="FR628" s="234"/>
      <c r="FS628" s="234"/>
      <c r="FT628" s="234"/>
      <c r="FU628" s="234"/>
      <c r="FV628" s="234"/>
      <c r="FW628" s="234"/>
      <c r="FX628" s="234"/>
      <c r="FY628" s="234"/>
      <c r="FZ628" s="234"/>
      <c r="GA628" s="234"/>
      <c r="GB628" s="234"/>
      <c r="GC628" s="234"/>
      <c r="GD628" s="234"/>
      <c r="GE628" s="234"/>
      <c r="GF628" s="234"/>
      <c r="GG628" s="234"/>
      <c r="GH628" s="234"/>
      <c r="GI628" s="234"/>
      <c r="GJ628" s="234"/>
      <c r="GK628" s="234"/>
      <c r="GL628" s="234"/>
      <c r="GM628" s="234"/>
      <c r="GN628" s="234"/>
      <c r="GO628" s="234"/>
      <c r="GP628" s="234"/>
      <c r="GQ628" s="234"/>
      <c r="GR628" s="234"/>
      <c r="GS628" s="234"/>
      <c r="GT628" s="189"/>
      <c r="GU628" s="140"/>
      <c r="GV628" s="139"/>
      <c r="GW628" s="140"/>
      <c r="GX628" s="140"/>
      <c r="GY628" s="140"/>
      <c r="GZ628" s="140"/>
      <c r="HA628" s="219"/>
      <c r="HB628" s="234"/>
      <c r="HC628" s="234"/>
      <c r="HD628" s="234"/>
      <c r="HE628" s="234"/>
      <c r="HF628" s="234"/>
      <c r="HG628" s="234"/>
      <c r="HH628" s="234"/>
      <c r="HI628" s="234"/>
      <c r="HJ628" s="234"/>
      <c r="HK628" s="234"/>
      <c r="HL628" s="234"/>
      <c r="HM628" s="234"/>
      <c r="HN628" s="234"/>
      <c r="HO628" s="234"/>
      <c r="HP628" s="234"/>
      <c r="HQ628" s="234"/>
      <c r="HR628" s="234"/>
      <c r="HS628" s="234"/>
      <c r="HT628" s="234"/>
      <c r="HU628" s="234"/>
      <c r="HV628" s="234"/>
      <c r="HW628" s="234"/>
      <c r="HX628" s="234"/>
      <c r="HY628" s="234"/>
      <c r="HZ628" s="234"/>
      <c r="IA628" s="234"/>
      <c r="IB628" s="234"/>
      <c r="IC628" s="234"/>
      <c r="ID628" s="234"/>
      <c r="IE628" s="189"/>
      <c r="IF628" s="140"/>
      <c r="IG628" s="139"/>
      <c r="IH628" s="140"/>
      <c r="II628" s="140"/>
      <c r="IJ628" s="140"/>
      <c r="IK628" s="140"/>
      <c r="IL628" s="140">
        <f t="shared" si="1044"/>
        <v>179970.41643589822</v>
      </c>
      <c r="IM628" s="140"/>
      <c r="IN628" s="140"/>
      <c r="IO628" s="140"/>
      <c r="IP628" s="140"/>
      <c r="IQ628" s="140"/>
      <c r="IR628" s="140"/>
      <c r="IS628" s="140"/>
      <c r="IT628" s="140"/>
      <c r="IU628" s="140"/>
      <c r="IV628" s="140">
        <f t="shared" si="1045"/>
        <v>179970.41643589822</v>
      </c>
      <c r="IW628" s="140"/>
      <c r="IX628" s="140"/>
      <c r="IY628" s="140"/>
      <c r="IZ628" s="140"/>
      <c r="JA628" s="140"/>
      <c r="JB628" s="140"/>
      <c r="JC628" s="140"/>
      <c r="JD628" s="140"/>
      <c r="JE628" s="140"/>
      <c r="JF628" s="140"/>
      <c r="JG628" s="140"/>
      <c r="JH628" s="140"/>
      <c r="JI628" s="140"/>
      <c r="JJ628" s="140"/>
      <c r="JK628" s="140"/>
      <c r="JL628" s="140"/>
      <c r="JM628" s="140"/>
      <c r="JN628" s="140"/>
      <c r="JO628" s="140"/>
      <c r="JP628" s="141">
        <f t="shared" si="1046"/>
        <v>179970.41643589822</v>
      </c>
      <c r="JQ628" s="140"/>
      <c r="JR628" s="139"/>
      <c r="JS628" s="140"/>
      <c r="JT628" s="140"/>
      <c r="JU628" s="140"/>
      <c r="JV628" s="140"/>
      <c r="JW628" s="140">
        <f t="shared" si="1047"/>
        <v>179970.41643589822</v>
      </c>
      <c r="JX628" s="140"/>
      <c r="JY628" s="140"/>
      <c r="JZ628" s="140"/>
      <c r="KA628" s="140"/>
      <c r="KB628" s="140"/>
      <c r="KC628" s="140"/>
      <c r="KD628" s="140"/>
      <c r="KE628" s="140"/>
      <c r="KF628" s="140"/>
      <c r="KG628" s="140">
        <f t="shared" si="1054"/>
        <v>179970.41643589822</v>
      </c>
      <c r="KH628" s="140"/>
      <c r="KI628" s="140"/>
      <c r="KJ628" s="140"/>
      <c r="KK628" s="140"/>
      <c r="KL628" s="140"/>
      <c r="KM628" s="140"/>
      <c r="KN628" s="140"/>
      <c r="KO628" s="140"/>
      <c r="KP628" s="140"/>
      <c r="KQ628" s="140"/>
      <c r="KR628" s="140"/>
      <c r="KS628" s="140"/>
      <c r="KT628" s="140"/>
      <c r="KU628" s="140"/>
      <c r="KV628" s="140"/>
      <c r="KW628" s="140"/>
      <c r="KX628" s="140"/>
      <c r="KY628" s="140"/>
      <c r="KZ628" s="140"/>
      <c r="LA628" s="141">
        <f t="shared" si="1048"/>
        <v>179970.41643589822</v>
      </c>
      <c r="LB628" s="140"/>
      <c r="LC628" s="139"/>
      <c r="LD628" s="140"/>
      <c r="LE628" s="140"/>
      <c r="LF628" s="140"/>
      <c r="LG628" s="140"/>
      <c r="LH628" s="140">
        <f t="shared" si="1049"/>
        <v>179970.41643589822</v>
      </c>
      <c r="LI628" s="140"/>
      <c r="LJ628" s="140"/>
      <c r="LK628" s="140"/>
      <c r="LL628" s="140"/>
      <c r="LM628" s="140"/>
      <c r="LN628" s="140"/>
      <c r="LO628" s="140"/>
      <c r="LP628" s="140"/>
      <c r="LQ628" s="140"/>
      <c r="LR628" s="140">
        <f t="shared" si="1050"/>
        <v>179970.41643589822</v>
      </c>
      <c r="LS628" s="140"/>
      <c r="LT628" s="140"/>
      <c r="LU628" s="140"/>
      <c r="LV628" s="140"/>
      <c r="LW628" s="140"/>
      <c r="LX628" s="140"/>
      <c r="LY628" s="140"/>
      <c r="LZ628" s="140"/>
      <c r="MA628" s="140"/>
      <c r="MB628" s="140">
        <f t="shared" si="1051"/>
        <v>31939.455239053917</v>
      </c>
      <c r="MC628" s="140"/>
      <c r="MD628" s="140"/>
      <c r="ME628" s="140"/>
      <c r="MF628" s="140"/>
      <c r="MG628" s="140"/>
      <c r="MH628" s="140"/>
      <c r="MI628" s="140"/>
      <c r="MJ628" s="140"/>
      <c r="MK628" s="140"/>
      <c r="ML628" s="141">
        <f t="shared" si="1052"/>
        <v>179970.41643589822</v>
      </c>
      <c r="MO628"/>
      <c r="MP628"/>
      <c r="MQ628"/>
      <c r="MR628"/>
      <c r="MS628"/>
      <c r="MT628"/>
      <c r="MU628"/>
      <c r="MV628"/>
    </row>
    <row r="629" spans="3:360" s="4" customFormat="1" ht="18" customHeight="1" x14ac:dyDescent="0.3">
      <c r="C629" s="136" t="s">
        <v>79</v>
      </c>
      <c r="E629" s="137" t="s">
        <v>105</v>
      </c>
      <c r="F629" s="186" t="s">
        <v>271</v>
      </c>
      <c r="H629" s="267"/>
      <c r="I629"/>
      <c r="J629"/>
      <c r="K629"/>
      <c r="L629"/>
      <c r="M629" s="140">
        <f>SUMIFS($H$512:$H$613,I$512:I$613,$F629)*$D$514/10^3</f>
        <v>255122.89802451505</v>
      </c>
      <c r="N629" s="237"/>
      <c r="O629" s="237"/>
      <c r="P629" s="237"/>
      <c r="Q629" s="236"/>
      <c r="R629" s="140"/>
      <c r="S629" s="139"/>
      <c r="T629" s="140"/>
      <c r="U629" s="140"/>
      <c r="V629" s="140"/>
      <c r="W629" s="140"/>
      <c r="X629" s="140">
        <f t="shared" si="1041"/>
        <v>255122.89802451505</v>
      </c>
      <c r="Y629" s="140"/>
      <c r="Z629" s="140"/>
      <c r="AA629" s="140"/>
      <c r="AB629" s="140"/>
      <c r="AC629" s="140"/>
      <c r="AD629" s="140"/>
      <c r="AE629" s="140"/>
      <c r="AF629" s="140"/>
      <c r="AG629" s="140"/>
      <c r="AH629" s="140">
        <f t="shared" si="1042"/>
        <v>255122.89802451505</v>
      </c>
      <c r="AI629" s="140"/>
      <c r="AJ629" s="140"/>
      <c r="AK629" s="140"/>
      <c r="AL629" s="140"/>
      <c r="AM629" s="140"/>
      <c r="AN629" s="140"/>
      <c r="AO629" s="140"/>
      <c r="AP629" s="140"/>
      <c r="AQ629" s="140"/>
      <c r="AR629" s="140"/>
      <c r="AS629" s="140"/>
      <c r="AT629" s="140"/>
      <c r="AU629" s="140"/>
      <c r="AV629" s="140"/>
      <c r="AW629" s="140"/>
      <c r="AX629" s="140"/>
      <c r="AY629" s="140"/>
      <c r="AZ629" s="140"/>
      <c r="BA629" s="140"/>
      <c r="BB629" s="141">
        <f t="shared" si="1043"/>
        <v>255122.89802451505</v>
      </c>
      <c r="BC629" s="140"/>
      <c r="BD629" s="139"/>
      <c r="BE629" s="140"/>
      <c r="BF629" s="140"/>
      <c r="BG629" s="140"/>
      <c r="BH629" s="140"/>
      <c r="BI629" s="219"/>
      <c r="BJ629" s="234"/>
      <c r="BK629" s="234"/>
      <c r="BL629" s="234"/>
      <c r="BM629" s="234"/>
      <c r="BN629" s="234"/>
      <c r="BO629" s="234"/>
      <c r="BP629" s="234"/>
      <c r="BQ629" s="234"/>
      <c r="BR629" s="234"/>
      <c r="BS629" s="234"/>
      <c r="BT629" s="234"/>
      <c r="BU629" s="234"/>
      <c r="BV629" s="234"/>
      <c r="BW629" s="234"/>
      <c r="BX629" s="234"/>
      <c r="BY629" s="234"/>
      <c r="BZ629" s="234"/>
      <c r="CA629" s="234"/>
      <c r="CB629" s="234"/>
      <c r="CC629" s="234"/>
      <c r="CD629" s="234"/>
      <c r="CE629" s="234"/>
      <c r="CF629" s="234"/>
      <c r="CG629" s="234"/>
      <c r="CH629" s="234"/>
      <c r="CI629" s="234"/>
      <c r="CJ629" s="234"/>
      <c r="CK629" s="234"/>
      <c r="CL629" s="234"/>
      <c r="CM629" s="189"/>
      <c r="CN629" s="140"/>
      <c r="CO629" s="139"/>
      <c r="CP629" s="140"/>
      <c r="CQ629" s="140"/>
      <c r="CR629" s="140"/>
      <c r="CS629" s="140"/>
      <c r="CT629" s="219"/>
      <c r="CU629" s="234"/>
      <c r="CV629" s="234"/>
      <c r="CW629" s="234"/>
      <c r="CX629" s="234"/>
      <c r="CY629" s="234"/>
      <c r="CZ629" s="234"/>
      <c r="DA629" s="234"/>
      <c r="DB629" s="234"/>
      <c r="DC629" s="234"/>
      <c r="DD629" s="234"/>
      <c r="DE629" s="234"/>
      <c r="DF629" s="234"/>
      <c r="DG629" s="234"/>
      <c r="DH629" s="234"/>
      <c r="DI629" s="234"/>
      <c r="DJ629" s="234"/>
      <c r="DK629" s="234"/>
      <c r="DL629" s="234"/>
      <c r="DM629" s="234"/>
      <c r="DN629" s="234"/>
      <c r="DO629" s="234"/>
      <c r="DP629" s="234"/>
      <c r="DQ629" s="234"/>
      <c r="DR629" s="234"/>
      <c r="DS629" s="234"/>
      <c r="DT629" s="234"/>
      <c r="DU629" s="234"/>
      <c r="DV629" s="234"/>
      <c r="DW629" s="234"/>
      <c r="DX629" s="189"/>
      <c r="DY629" s="140"/>
      <c r="DZ629" s="139"/>
      <c r="EA629" s="140"/>
      <c r="EB629" s="140"/>
      <c r="EC629" s="140"/>
      <c r="ED629" s="140"/>
      <c r="EE629" s="219"/>
      <c r="EF629" s="234"/>
      <c r="EG629" s="234"/>
      <c r="EH629" s="234"/>
      <c r="EI629" s="234"/>
      <c r="EJ629" s="234"/>
      <c r="EK629" s="234"/>
      <c r="EL629" s="234"/>
      <c r="EM629" s="234"/>
      <c r="EN629" s="234"/>
      <c r="EO629" s="234"/>
      <c r="EP629" s="234"/>
      <c r="EQ629" s="234"/>
      <c r="ER629" s="234"/>
      <c r="ES629" s="234"/>
      <c r="ET629" s="234"/>
      <c r="EU629" s="234"/>
      <c r="EV629" s="234"/>
      <c r="EW629" s="234"/>
      <c r="EX629" s="234"/>
      <c r="EY629" s="234"/>
      <c r="EZ629" s="234"/>
      <c r="FA629" s="234"/>
      <c r="FB629" s="234"/>
      <c r="FC629" s="234"/>
      <c r="FD629" s="234"/>
      <c r="FE629" s="234"/>
      <c r="FF629" s="234"/>
      <c r="FG629" s="234"/>
      <c r="FH629" s="234"/>
      <c r="FI629" s="189"/>
      <c r="FJ629" s="140"/>
      <c r="FK629" s="139"/>
      <c r="FL629" s="140"/>
      <c r="FM629" s="140"/>
      <c r="FN629" s="140"/>
      <c r="FO629" s="140"/>
      <c r="FP629" s="219"/>
      <c r="FQ629" s="234"/>
      <c r="FR629" s="234"/>
      <c r="FS629" s="234"/>
      <c r="FT629" s="234"/>
      <c r="FU629" s="234"/>
      <c r="FV629" s="234"/>
      <c r="FW629" s="234"/>
      <c r="FX629" s="234"/>
      <c r="FY629" s="234"/>
      <c r="FZ629" s="234"/>
      <c r="GA629" s="234"/>
      <c r="GB629" s="234"/>
      <c r="GC629" s="234"/>
      <c r="GD629" s="234"/>
      <c r="GE629" s="234"/>
      <c r="GF629" s="234"/>
      <c r="GG629" s="234"/>
      <c r="GH629" s="234"/>
      <c r="GI629" s="234"/>
      <c r="GJ629" s="234"/>
      <c r="GK629" s="234"/>
      <c r="GL629" s="234"/>
      <c r="GM629" s="234"/>
      <c r="GN629" s="234"/>
      <c r="GO629" s="234"/>
      <c r="GP629" s="234"/>
      <c r="GQ629" s="234"/>
      <c r="GR629" s="234"/>
      <c r="GS629" s="234"/>
      <c r="GT629" s="189"/>
      <c r="GU629" s="140"/>
      <c r="GV629" s="139"/>
      <c r="GW629" s="140"/>
      <c r="GX629" s="140"/>
      <c r="GY629" s="140"/>
      <c r="GZ629" s="140"/>
      <c r="HA629" s="219"/>
      <c r="HB629" s="234"/>
      <c r="HC629" s="234"/>
      <c r="HD629" s="234"/>
      <c r="HE629" s="234"/>
      <c r="HF629" s="234"/>
      <c r="HG629" s="234"/>
      <c r="HH629" s="234"/>
      <c r="HI629" s="234"/>
      <c r="HJ629" s="234"/>
      <c r="HK629" s="234"/>
      <c r="HL629" s="234"/>
      <c r="HM629" s="234"/>
      <c r="HN629" s="234"/>
      <c r="HO629" s="234"/>
      <c r="HP629" s="234"/>
      <c r="HQ629" s="234"/>
      <c r="HR629" s="234"/>
      <c r="HS629" s="234"/>
      <c r="HT629" s="234"/>
      <c r="HU629" s="234"/>
      <c r="HV629" s="234"/>
      <c r="HW629" s="234"/>
      <c r="HX629" s="234"/>
      <c r="HY629" s="234"/>
      <c r="HZ629" s="234"/>
      <c r="IA629" s="234"/>
      <c r="IB629" s="234"/>
      <c r="IC629" s="234"/>
      <c r="ID629" s="234"/>
      <c r="IE629" s="189"/>
      <c r="IF629" s="140"/>
      <c r="IG629" s="139"/>
      <c r="IH629" s="140"/>
      <c r="II629" s="140"/>
      <c r="IJ629" s="140"/>
      <c r="IK629" s="140"/>
      <c r="IL629" s="140">
        <f t="shared" si="1044"/>
        <v>255122.89802451505</v>
      </c>
      <c r="IM629" s="140"/>
      <c r="IN629" s="140"/>
      <c r="IO629" s="140"/>
      <c r="IP629" s="140"/>
      <c r="IQ629" s="140"/>
      <c r="IR629" s="140"/>
      <c r="IS629" s="140"/>
      <c r="IT629" s="140"/>
      <c r="IU629" s="140"/>
      <c r="IV629" s="140">
        <f t="shared" si="1045"/>
        <v>255122.89802451505</v>
      </c>
      <c r="IW629" s="140"/>
      <c r="IX629" s="140"/>
      <c r="IY629" s="140"/>
      <c r="IZ629" s="140"/>
      <c r="JA629" s="140"/>
      <c r="JB629" s="140"/>
      <c r="JC629" s="140"/>
      <c r="JD629" s="140"/>
      <c r="JE629" s="140"/>
      <c r="JF629" s="140"/>
      <c r="JG629" s="140"/>
      <c r="JH629" s="140"/>
      <c r="JI629" s="140"/>
      <c r="JJ629" s="140"/>
      <c r="JK629" s="140"/>
      <c r="JL629" s="140"/>
      <c r="JM629" s="140"/>
      <c r="JN629" s="140"/>
      <c r="JO629" s="140"/>
      <c r="JP629" s="141">
        <f t="shared" si="1046"/>
        <v>255122.89802451505</v>
      </c>
      <c r="JQ629" s="140"/>
      <c r="JR629" s="139"/>
      <c r="JS629" s="140"/>
      <c r="JT629" s="140"/>
      <c r="JU629" s="140"/>
      <c r="JV629" s="140"/>
      <c r="JW629" s="140">
        <f t="shared" si="1047"/>
        <v>255122.89802451505</v>
      </c>
      <c r="JX629" s="140"/>
      <c r="JY629" s="140"/>
      <c r="JZ629" s="140"/>
      <c r="KA629" s="140"/>
      <c r="KB629" s="140"/>
      <c r="KC629" s="140"/>
      <c r="KD629" s="140"/>
      <c r="KE629" s="140"/>
      <c r="KF629" s="140"/>
      <c r="KG629" s="140">
        <f t="shared" si="1054"/>
        <v>255122.89802451505</v>
      </c>
      <c r="KH629" s="140"/>
      <c r="KI629" s="140"/>
      <c r="KJ629" s="140"/>
      <c r="KK629" s="140"/>
      <c r="KL629" s="140"/>
      <c r="KM629" s="140"/>
      <c r="KN629" s="140"/>
      <c r="KO629" s="140"/>
      <c r="KP629" s="140"/>
      <c r="KQ629" s="140"/>
      <c r="KR629" s="140"/>
      <c r="KS629" s="140"/>
      <c r="KT629" s="140"/>
      <c r="KU629" s="140"/>
      <c r="KV629" s="140"/>
      <c r="KW629" s="140"/>
      <c r="KX629" s="140"/>
      <c r="KY629" s="140"/>
      <c r="KZ629" s="140"/>
      <c r="LA629" s="141">
        <f t="shared" si="1048"/>
        <v>255122.89802451505</v>
      </c>
      <c r="LB629" s="140"/>
      <c r="LC629" s="139"/>
      <c r="LD629" s="140"/>
      <c r="LE629" s="140"/>
      <c r="LF629" s="140"/>
      <c r="LG629" s="140"/>
      <c r="LH629" s="140">
        <f t="shared" si="1049"/>
        <v>255122.89802451505</v>
      </c>
      <c r="LI629" s="140"/>
      <c r="LJ629" s="140"/>
      <c r="LK629" s="140"/>
      <c r="LL629" s="140"/>
      <c r="LM629" s="140"/>
      <c r="LN629" s="140"/>
      <c r="LO629" s="140"/>
      <c r="LP629" s="140"/>
      <c r="LQ629" s="140"/>
      <c r="LR629" s="140">
        <f t="shared" si="1050"/>
        <v>255122.89802451505</v>
      </c>
      <c r="LS629" s="140"/>
      <c r="LT629" s="140"/>
      <c r="LU629" s="140"/>
      <c r="LV629" s="140"/>
      <c r="LW629" s="140"/>
      <c r="LX629" s="140"/>
      <c r="LY629" s="140"/>
      <c r="LZ629" s="140"/>
      <c r="MA629" s="140"/>
      <c r="MB629" s="140">
        <f t="shared" si="1051"/>
        <v>46825.708032315997</v>
      </c>
      <c r="MC629" s="140"/>
      <c r="MD629" s="140"/>
      <c r="ME629" s="140"/>
      <c r="MF629" s="140"/>
      <c r="MG629" s="140"/>
      <c r="MH629" s="140"/>
      <c r="MI629" s="140"/>
      <c r="MJ629" s="140"/>
      <c r="MK629" s="140"/>
      <c r="ML629" s="141">
        <f t="shared" si="1052"/>
        <v>255122.89802451505</v>
      </c>
      <c r="MO629"/>
      <c r="MP629"/>
      <c r="MQ629"/>
      <c r="MR629"/>
      <c r="MS629"/>
      <c r="MT629"/>
      <c r="MU629"/>
      <c r="MV629"/>
    </row>
    <row r="630" spans="3:360" s="4" customFormat="1" ht="18" customHeight="1" x14ac:dyDescent="0.3">
      <c r="C630" s="136" t="s">
        <v>80</v>
      </c>
      <c r="E630" s="137" t="s">
        <v>105</v>
      </c>
      <c r="F630" s="186" t="s">
        <v>272</v>
      </c>
      <c r="H630" s="267"/>
      <c r="I630"/>
      <c r="J630"/>
      <c r="K630"/>
      <c r="L630"/>
      <c r="M630" s="140">
        <f t="shared" si="1053"/>
        <v>78613.451135461029</v>
      </c>
      <c r="N630" s="237"/>
      <c r="O630" s="237"/>
      <c r="P630" s="237"/>
      <c r="Q630" s="236"/>
      <c r="R630" s="140"/>
      <c r="S630" s="139"/>
      <c r="T630" s="140"/>
      <c r="U630" s="140"/>
      <c r="V630" s="140"/>
      <c r="W630" s="140"/>
      <c r="X630" s="140">
        <f t="shared" si="1041"/>
        <v>78613.451135461029</v>
      </c>
      <c r="Y630" s="140"/>
      <c r="Z630" s="140"/>
      <c r="AA630" s="140"/>
      <c r="AB630" s="140"/>
      <c r="AC630" s="140"/>
      <c r="AD630" s="140"/>
      <c r="AE630" s="140"/>
      <c r="AF630" s="140"/>
      <c r="AG630" s="140"/>
      <c r="AH630" s="140">
        <f t="shared" si="1042"/>
        <v>78613.451135461029</v>
      </c>
      <c r="AI630" s="140"/>
      <c r="AJ630" s="140"/>
      <c r="AK630" s="140"/>
      <c r="AL630" s="140"/>
      <c r="AM630" s="140"/>
      <c r="AN630" s="140"/>
      <c r="AO630" s="140"/>
      <c r="AP630" s="140"/>
      <c r="AQ630" s="140"/>
      <c r="AR630" s="140"/>
      <c r="AS630" s="140"/>
      <c r="AT630" s="140"/>
      <c r="AU630" s="140"/>
      <c r="AV630" s="140"/>
      <c r="AW630" s="140"/>
      <c r="AX630" s="140"/>
      <c r="AY630" s="140"/>
      <c r="AZ630" s="140"/>
      <c r="BA630" s="140"/>
      <c r="BB630" s="141">
        <f t="shared" si="1043"/>
        <v>78613.451135461029</v>
      </c>
      <c r="BC630" s="140"/>
      <c r="BD630" s="177"/>
      <c r="BE630" s="178"/>
      <c r="BF630" s="178"/>
      <c r="BG630" s="178"/>
      <c r="BH630" s="178"/>
      <c r="BI630" s="219"/>
      <c r="BJ630" s="234"/>
      <c r="BK630" s="234"/>
      <c r="BL630" s="234"/>
      <c r="BM630" s="234"/>
      <c r="BN630" s="234"/>
      <c r="BO630" s="234"/>
      <c r="BP630" s="234"/>
      <c r="BQ630" s="234"/>
      <c r="BR630" s="234"/>
      <c r="BS630" s="234"/>
      <c r="BT630" s="234"/>
      <c r="BU630" s="234"/>
      <c r="BV630" s="234"/>
      <c r="BW630" s="234"/>
      <c r="BX630" s="234"/>
      <c r="BY630" s="234"/>
      <c r="BZ630" s="234"/>
      <c r="CA630" s="234"/>
      <c r="CB630" s="234"/>
      <c r="CC630" s="234"/>
      <c r="CD630" s="234"/>
      <c r="CE630" s="234"/>
      <c r="CF630" s="234"/>
      <c r="CG630" s="234"/>
      <c r="CH630" s="234"/>
      <c r="CI630" s="234"/>
      <c r="CJ630" s="234"/>
      <c r="CK630" s="234"/>
      <c r="CL630" s="234"/>
      <c r="CM630" s="189"/>
      <c r="CN630" s="140"/>
      <c r="CO630" s="177"/>
      <c r="CP630" s="178"/>
      <c r="CQ630" s="178"/>
      <c r="CR630" s="178"/>
      <c r="CS630" s="178"/>
      <c r="CT630" s="219"/>
      <c r="CU630" s="234"/>
      <c r="CV630" s="234"/>
      <c r="CW630" s="234"/>
      <c r="CX630" s="234"/>
      <c r="CY630" s="234"/>
      <c r="CZ630" s="234"/>
      <c r="DA630" s="234"/>
      <c r="DB630" s="234"/>
      <c r="DC630" s="234"/>
      <c r="DD630" s="234"/>
      <c r="DE630" s="234"/>
      <c r="DF630" s="234"/>
      <c r="DG630" s="234"/>
      <c r="DH630" s="234"/>
      <c r="DI630" s="234"/>
      <c r="DJ630" s="234"/>
      <c r="DK630" s="234"/>
      <c r="DL630" s="234"/>
      <c r="DM630" s="234"/>
      <c r="DN630" s="234"/>
      <c r="DO630" s="234"/>
      <c r="DP630" s="234"/>
      <c r="DQ630" s="234"/>
      <c r="DR630" s="234"/>
      <c r="DS630" s="234"/>
      <c r="DT630" s="234"/>
      <c r="DU630" s="234"/>
      <c r="DV630" s="234"/>
      <c r="DW630" s="234"/>
      <c r="DX630" s="189"/>
      <c r="DY630" s="140"/>
      <c r="DZ630" s="177"/>
      <c r="EA630" s="178"/>
      <c r="EB630" s="178"/>
      <c r="EC630" s="178"/>
      <c r="ED630" s="178"/>
      <c r="EE630" s="219"/>
      <c r="EF630" s="234"/>
      <c r="EG630" s="234"/>
      <c r="EH630" s="234"/>
      <c r="EI630" s="234"/>
      <c r="EJ630" s="234"/>
      <c r="EK630" s="234"/>
      <c r="EL630" s="234"/>
      <c r="EM630" s="234"/>
      <c r="EN630" s="234"/>
      <c r="EO630" s="234"/>
      <c r="EP630" s="234"/>
      <c r="EQ630" s="234"/>
      <c r="ER630" s="234"/>
      <c r="ES630" s="234"/>
      <c r="ET630" s="234"/>
      <c r="EU630" s="234"/>
      <c r="EV630" s="234"/>
      <c r="EW630" s="234"/>
      <c r="EX630" s="234"/>
      <c r="EY630" s="234"/>
      <c r="EZ630" s="234"/>
      <c r="FA630" s="234"/>
      <c r="FB630" s="234"/>
      <c r="FC630" s="234"/>
      <c r="FD630" s="234"/>
      <c r="FE630" s="234"/>
      <c r="FF630" s="234"/>
      <c r="FG630" s="234"/>
      <c r="FH630" s="234"/>
      <c r="FI630" s="189"/>
      <c r="FJ630" s="140"/>
      <c r="FK630" s="177"/>
      <c r="FL630" s="178"/>
      <c r="FM630" s="178"/>
      <c r="FN630" s="178"/>
      <c r="FO630" s="178"/>
      <c r="FP630" s="219"/>
      <c r="FQ630" s="234"/>
      <c r="FR630" s="234"/>
      <c r="FS630" s="234"/>
      <c r="FT630" s="234"/>
      <c r="FU630" s="234"/>
      <c r="FV630" s="234"/>
      <c r="FW630" s="234"/>
      <c r="FX630" s="234"/>
      <c r="FY630" s="234"/>
      <c r="FZ630" s="234"/>
      <c r="GA630" s="234"/>
      <c r="GB630" s="234"/>
      <c r="GC630" s="234"/>
      <c r="GD630" s="234"/>
      <c r="GE630" s="234"/>
      <c r="GF630" s="234"/>
      <c r="GG630" s="234"/>
      <c r="GH630" s="234"/>
      <c r="GI630" s="234"/>
      <c r="GJ630" s="234"/>
      <c r="GK630" s="234"/>
      <c r="GL630" s="234"/>
      <c r="GM630" s="234"/>
      <c r="GN630" s="234"/>
      <c r="GO630" s="234"/>
      <c r="GP630" s="234"/>
      <c r="GQ630" s="234"/>
      <c r="GR630" s="234"/>
      <c r="GS630" s="234"/>
      <c r="GT630" s="189"/>
      <c r="GU630" s="140"/>
      <c r="GV630" s="177"/>
      <c r="GW630" s="178"/>
      <c r="GX630" s="178"/>
      <c r="GY630" s="178"/>
      <c r="GZ630" s="178"/>
      <c r="HA630" s="219"/>
      <c r="HB630" s="234"/>
      <c r="HC630" s="234"/>
      <c r="HD630" s="234"/>
      <c r="HE630" s="234"/>
      <c r="HF630" s="234"/>
      <c r="HG630" s="234"/>
      <c r="HH630" s="234"/>
      <c r="HI630" s="234"/>
      <c r="HJ630" s="234"/>
      <c r="HK630" s="234"/>
      <c r="HL630" s="234"/>
      <c r="HM630" s="234"/>
      <c r="HN630" s="234"/>
      <c r="HO630" s="234"/>
      <c r="HP630" s="234"/>
      <c r="HQ630" s="234"/>
      <c r="HR630" s="234"/>
      <c r="HS630" s="234"/>
      <c r="HT630" s="234"/>
      <c r="HU630" s="234"/>
      <c r="HV630" s="234"/>
      <c r="HW630" s="234"/>
      <c r="HX630" s="234"/>
      <c r="HY630" s="234"/>
      <c r="HZ630" s="234"/>
      <c r="IA630" s="234"/>
      <c r="IB630" s="234"/>
      <c r="IC630" s="234"/>
      <c r="ID630" s="234"/>
      <c r="IE630" s="189"/>
      <c r="IF630" s="140"/>
      <c r="IG630" s="139"/>
      <c r="IH630" s="140"/>
      <c r="II630" s="140"/>
      <c r="IJ630" s="140"/>
      <c r="IK630" s="140"/>
      <c r="IL630" s="140">
        <f t="shared" si="1044"/>
        <v>78613.451135461029</v>
      </c>
      <c r="IM630" s="140"/>
      <c r="IN630" s="140"/>
      <c r="IO630" s="140"/>
      <c r="IP630" s="140"/>
      <c r="IQ630" s="140"/>
      <c r="IR630" s="140"/>
      <c r="IS630" s="140"/>
      <c r="IT630" s="140"/>
      <c r="IU630" s="140"/>
      <c r="IV630" s="140">
        <f t="shared" si="1045"/>
        <v>78613.451135461029</v>
      </c>
      <c r="IW630" s="140"/>
      <c r="IX630" s="140"/>
      <c r="IY630" s="140"/>
      <c r="IZ630" s="140"/>
      <c r="JA630" s="140"/>
      <c r="JB630" s="140"/>
      <c r="JC630" s="140"/>
      <c r="JD630" s="140"/>
      <c r="JE630" s="140"/>
      <c r="JF630" s="140"/>
      <c r="JG630" s="140"/>
      <c r="JH630" s="140"/>
      <c r="JI630" s="140"/>
      <c r="JJ630" s="140"/>
      <c r="JK630" s="140"/>
      <c r="JL630" s="140"/>
      <c r="JM630" s="140"/>
      <c r="JN630" s="140"/>
      <c r="JO630" s="140"/>
      <c r="JP630" s="141">
        <f t="shared" si="1046"/>
        <v>78613.451135461029</v>
      </c>
      <c r="JQ630" s="140"/>
      <c r="JR630" s="139"/>
      <c r="JS630" s="140"/>
      <c r="JT630" s="140"/>
      <c r="JU630" s="140"/>
      <c r="JV630" s="140"/>
      <c r="JW630" s="140">
        <f t="shared" si="1047"/>
        <v>78613.451135461029</v>
      </c>
      <c r="JX630" s="140"/>
      <c r="JY630" s="140"/>
      <c r="JZ630" s="140"/>
      <c r="KA630" s="140"/>
      <c r="KB630" s="140"/>
      <c r="KC630" s="140"/>
      <c r="KD630" s="140"/>
      <c r="KE630" s="140"/>
      <c r="KF630" s="140"/>
      <c r="KG630" s="140">
        <f t="shared" si="1054"/>
        <v>78613.451135461029</v>
      </c>
      <c r="KH630" s="140"/>
      <c r="KI630" s="140"/>
      <c r="KJ630" s="140"/>
      <c r="KK630" s="140"/>
      <c r="KL630" s="140"/>
      <c r="KM630" s="140"/>
      <c r="KN630" s="140"/>
      <c r="KO630" s="140"/>
      <c r="KP630" s="140"/>
      <c r="KQ630" s="140"/>
      <c r="KR630" s="140"/>
      <c r="KS630" s="140"/>
      <c r="KT630" s="140"/>
      <c r="KU630" s="140"/>
      <c r="KV630" s="140"/>
      <c r="KW630" s="140"/>
      <c r="KX630" s="140"/>
      <c r="KY630" s="140"/>
      <c r="KZ630" s="140"/>
      <c r="LA630" s="141">
        <f t="shared" si="1048"/>
        <v>78613.451135461029</v>
      </c>
      <c r="LB630" s="140"/>
      <c r="LC630" s="139"/>
      <c r="LD630" s="140"/>
      <c r="LE630" s="140"/>
      <c r="LF630" s="140"/>
      <c r="LG630" s="140"/>
      <c r="LH630" s="140">
        <f t="shared" si="1049"/>
        <v>78613.451135461029</v>
      </c>
      <c r="LI630" s="140"/>
      <c r="LJ630" s="140"/>
      <c r="LK630" s="140"/>
      <c r="LL630" s="140"/>
      <c r="LM630" s="140"/>
      <c r="LN630" s="140"/>
      <c r="LO630" s="140"/>
      <c r="LP630" s="140"/>
      <c r="LQ630" s="140"/>
      <c r="LR630" s="140">
        <f t="shared" si="1050"/>
        <v>78613.451135461029</v>
      </c>
      <c r="LS630" s="140"/>
      <c r="LT630" s="140"/>
      <c r="LU630" s="140"/>
      <c r="LV630" s="140"/>
      <c r="LW630" s="140"/>
      <c r="LX630" s="140"/>
      <c r="LY630" s="140"/>
      <c r="LZ630" s="140"/>
      <c r="MA630" s="140"/>
      <c r="MB630" s="140">
        <f t="shared" si="1051"/>
        <v>19393.715368627134</v>
      </c>
      <c r="MC630" s="140"/>
      <c r="MD630" s="140"/>
      <c r="ME630" s="140"/>
      <c r="MF630" s="140"/>
      <c r="MG630" s="140"/>
      <c r="MH630" s="140"/>
      <c r="MI630" s="140"/>
      <c r="MJ630" s="140"/>
      <c r="MK630" s="140"/>
      <c r="ML630" s="141">
        <f t="shared" si="1052"/>
        <v>78613.451135461029</v>
      </c>
      <c r="MO630"/>
      <c r="MP630"/>
      <c r="MQ630"/>
      <c r="MR630"/>
      <c r="MS630"/>
      <c r="MT630"/>
      <c r="MU630"/>
      <c r="MV630"/>
    </row>
    <row r="631" spans="3:360" s="4" customFormat="1" ht="18" customHeight="1" x14ac:dyDescent="0.3">
      <c r="C631" s="136" t="s">
        <v>81</v>
      </c>
      <c r="E631" s="137" t="s">
        <v>105</v>
      </c>
      <c r="F631" s="186" t="s">
        <v>273</v>
      </c>
      <c r="H631" s="267"/>
      <c r="I631"/>
      <c r="J631"/>
      <c r="K631"/>
      <c r="L631"/>
      <c r="M631" s="140">
        <f t="shared" si="1053"/>
        <v>126078.17634932431</v>
      </c>
      <c r="N631" s="237"/>
      <c r="O631" s="237"/>
      <c r="P631" s="237"/>
      <c r="Q631" s="236"/>
      <c r="R631" s="140"/>
      <c r="S631" s="139"/>
      <c r="T631" s="140"/>
      <c r="U631" s="140"/>
      <c r="V631" s="140"/>
      <c r="W631" s="140"/>
      <c r="X631" s="140">
        <f t="shared" si="1041"/>
        <v>126078.17634932431</v>
      </c>
      <c r="Y631" s="140"/>
      <c r="Z631" s="140"/>
      <c r="AA631" s="140"/>
      <c r="AB631" s="140"/>
      <c r="AC631" s="140"/>
      <c r="AD631" s="140"/>
      <c r="AE631" s="140"/>
      <c r="AF631" s="140"/>
      <c r="AG631" s="140"/>
      <c r="AH631" s="140">
        <f t="shared" si="1042"/>
        <v>126078.17634932431</v>
      </c>
      <c r="AI631" s="140"/>
      <c r="AJ631" s="140"/>
      <c r="AK631" s="140"/>
      <c r="AL631" s="140"/>
      <c r="AM631" s="140"/>
      <c r="AN631" s="140"/>
      <c r="AO631" s="140"/>
      <c r="AP631" s="140"/>
      <c r="AQ631" s="140"/>
      <c r="AR631" s="140"/>
      <c r="AS631" s="140"/>
      <c r="AT631" s="140"/>
      <c r="AU631" s="140"/>
      <c r="AV631" s="140"/>
      <c r="AW631" s="140"/>
      <c r="AX631" s="140"/>
      <c r="AY631" s="140"/>
      <c r="AZ631" s="140"/>
      <c r="BA631" s="140"/>
      <c r="BB631" s="141">
        <f t="shared" si="1043"/>
        <v>126078.17634932431</v>
      </c>
      <c r="BC631" s="140"/>
      <c r="BD631" s="177"/>
      <c r="BE631" s="178"/>
      <c r="BF631" s="178"/>
      <c r="BG631" s="178"/>
      <c r="BH631" s="178"/>
      <c r="BI631" s="219"/>
      <c r="BJ631" s="234"/>
      <c r="BK631" s="234"/>
      <c r="BL631" s="234"/>
      <c r="BM631" s="234"/>
      <c r="BN631" s="234"/>
      <c r="BO631" s="234"/>
      <c r="BP631" s="234"/>
      <c r="BQ631" s="234"/>
      <c r="BR631" s="234"/>
      <c r="BS631" s="234"/>
      <c r="BT631" s="234"/>
      <c r="BU631" s="234"/>
      <c r="BV631" s="234"/>
      <c r="BW631" s="234"/>
      <c r="BX631" s="234"/>
      <c r="BY631" s="234"/>
      <c r="BZ631" s="234"/>
      <c r="CA631" s="234"/>
      <c r="CB631" s="234"/>
      <c r="CC631" s="234"/>
      <c r="CD631" s="234"/>
      <c r="CE631" s="234"/>
      <c r="CF631" s="234"/>
      <c r="CG631" s="234"/>
      <c r="CH631" s="234"/>
      <c r="CI631" s="234"/>
      <c r="CJ631" s="234"/>
      <c r="CK631" s="234"/>
      <c r="CL631" s="234"/>
      <c r="CM631" s="189"/>
      <c r="CN631" s="140"/>
      <c r="CO631" s="177"/>
      <c r="CP631" s="178"/>
      <c r="CQ631" s="178"/>
      <c r="CR631" s="178"/>
      <c r="CS631" s="178"/>
      <c r="CT631" s="219"/>
      <c r="CU631" s="234"/>
      <c r="CV631" s="234"/>
      <c r="CW631" s="234"/>
      <c r="CX631" s="234"/>
      <c r="CY631" s="234"/>
      <c r="CZ631" s="234"/>
      <c r="DA631" s="234"/>
      <c r="DB631" s="234"/>
      <c r="DC631" s="234"/>
      <c r="DD631" s="234"/>
      <c r="DE631" s="234"/>
      <c r="DF631" s="234"/>
      <c r="DG631" s="234"/>
      <c r="DH631" s="234"/>
      <c r="DI631" s="234"/>
      <c r="DJ631" s="234"/>
      <c r="DK631" s="234"/>
      <c r="DL631" s="234"/>
      <c r="DM631" s="234"/>
      <c r="DN631" s="234"/>
      <c r="DO631" s="234"/>
      <c r="DP631" s="234"/>
      <c r="DQ631" s="234"/>
      <c r="DR631" s="234"/>
      <c r="DS631" s="234"/>
      <c r="DT631" s="234"/>
      <c r="DU631" s="234"/>
      <c r="DV631" s="234"/>
      <c r="DW631" s="234"/>
      <c r="DX631" s="189"/>
      <c r="DY631" s="140"/>
      <c r="DZ631" s="177"/>
      <c r="EA631" s="178"/>
      <c r="EB631" s="178"/>
      <c r="EC631" s="178"/>
      <c r="ED631" s="178"/>
      <c r="EE631" s="219"/>
      <c r="EF631" s="234"/>
      <c r="EG631" s="234"/>
      <c r="EH631" s="234"/>
      <c r="EI631" s="234"/>
      <c r="EJ631" s="234"/>
      <c r="EK631" s="234"/>
      <c r="EL631" s="234"/>
      <c r="EM631" s="234"/>
      <c r="EN631" s="234"/>
      <c r="EO631" s="234"/>
      <c r="EP631" s="234"/>
      <c r="EQ631" s="234"/>
      <c r="ER631" s="234"/>
      <c r="ES631" s="234"/>
      <c r="ET631" s="234"/>
      <c r="EU631" s="234"/>
      <c r="EV631" s="234"/>
      <c r="EW631" s="234"/>
      <c r="EX631" s="234"/>
      <c r="EY631" s="234"/>
      <c r="EZ631" s="234"/>
      <c r="FA631" s="234"/>
      <c r="FB631" s="234"/>
      <c r="FC631" s="234"/>
      <c r="FD631" s="234"/>
      <c r="FE631" s="234"/>
      <c r="FF631" s="234"/>
      <c r="FG631" s="234"/>
      <c r="FH631" s="234"/>
      <c r="FI631" s="189"/>
      <c r="FJ631" s="140"/>
      <c r="FK631" s="177"/>
      <c r="FL631" s="178"/>
      <c r="FM631" s="178"/>
      <c r="FN631" s="178"/>
      <c r="FO631" s="178"/>
      <c r="FP631" s="219"/>
      <c r="FQ631" s="234"/>
      <c r="FR631" s="234"/>
      <c r="FS631" s="234"/>
      <c r="FT631" s="234"/>
      <c r="FU631" s="234"/>
      <c r="FV631" s="234"/>
      <c r="FW631" s="234"/>
      <c r="FX631" s="234"/>
      <c r="FY631" s="234"/>
      <c r="FZ631" s="234"/>
      <c r="GA631" s="234"/>
      <c r="GB631" s="234"/>
      <c r="GC631" s="234"/>
      <c r="GD631" s="234"/>
      <c r="GE631" s="234"/>
      <c r="GF631" s="234"/>
      <c r="GG631" s="234"/>
      <c r="GH631" s="234"/>
      <c r="GI631" s="234"/>
      <c r="GJ631" s="234"/>
      <c r="GK631" s="234"/>
      <c r="GL631" s="234"/>
      <c r="GM631" s="234"/>
      <c r="GN631" s="234"/>
      <c r="GO631" s="234"/>
      <c r="GP631" s="234"/>
      <c r="GQ631" s="234"/>
      <c r="GR631" s="234"/>
      <c r="GS631" s="234"/>
      <c r="GT631" s="189"/>
      <c r="GU631" s="140"/>
      <c r="GV631" s="177"/>
      <c r="GW631" s="178"/>
      <c r="GX631" s="178"/>
      <c r="GY631" s="178"/>
      <c r="GZ631" s="178"/>
      <c r="HA631" s="219"/>
      <c r="HB631" s="234"/>
      <c r="HC631" s="234"/>
      <c r="HD631" s="234"/>
      <c r="HE631" s="234"/>
      <c r="HF631" s="234"/>
      <c r="HG631" s="234"/>
      <c r="HH631" s="234"/>
      <c r="HI631" s="234"/>
      <c r="HJ631" s="234"/>
      <c r="HK631" s="234"/>
      <c r="HL631" s="234"/>
      <c r="HM631" s="234"/>
      <c r="HN631" s="234"/>
      <c r="HO631" s="234"/>
      <c r="HP631" s="234"/>
      <c r="HQ631" s="234"/>
      <c r="HR631" s="234"/>
      <c r="HS631" s="234"/>
      <c r="HT631" s="234"/>
      <c r="HU631" s="234"/>
      <c r="HV631" s="234"/>
      <c r="HW631" s="234"/>
      <c r="HX631" s="234"/>
      <c r="HY631" s="234"/>
      <c r="HZ631" s="234"/>
      <c r="IA631" s="234"/>
      <c r="IB631" s="234"/>
      <c r="IC631" s="234"/>
      <c r="ID631" s="234"/>
      <c r="IE631" s="189"/>
      <c r="IF631" s="140"/>
      <c r="IG631" s="139"/>
      <c r="IH631" s="140"/>
      <c r="II631" s="140"/>
      <c r="IJ631" s="140"/>
      <c r="IK631" s="140"/>
      <c r="IL631" s="140">
        <f t="shared" si="1044"/>
        <v>126078.17634932431</v>
      </c>
      <c r="IM631" s="140"/>
      <c r="IN631" s="140"/>
      <c r="IO631" s="140"/>
      <c r="IP631" s="140"/>
      <c r="IQ631" s="140"/>
      <c r="IR631" s="140"/>
      <c r="IS631" s="140"/>
      <c r="IT631" s="140"/>
      <c r="IU631" s="140"/>
      <c r="IV631" s="140">
        <f t="shared" si="1045"/>
        <v>126078.17634932431</v>
      </c>
      <c r="IW631" s="140"/>
      <c r="IX631" s="140"/>
      <c r="IY631" s="140"/>
      <c r="IZ631" s="140"/>
      <c r="JA631" s="140"/>
      <c r="JB631" s="140"/>
      <c r="JC631" s="140"/>
      <c r="JD631" s="140"/>
      <c r="JE631" s="140"/>
      <c r="JF631" s="140"/>
      <c r="JG631" s="140"/>
      <c r="JH631" s="140"/>
      <c r="JI631" s="140"/>
      <c r="JJ631" s="140"/>
      <c r="JK631" s="140"/>
      <c r="JL631" s="140"/>
      <c r="JM631" s="140"/>
      <c r="JN631" s="140"/>
      <c r="JO631" s="140"/>
      <c r="JP631" s="141">
        <f t="shared" si="1046"/>
        <v>126078.17634932431</v>
      </c>
      <c r="JQ631" s="140"/>
      <c r="JR631" s="139"/>
      <c r="JS631" s="140"/>
      <c r="JT631" s="140"/>
      <c r="JU631" s="140"/>
      <c r="JV631" s="140"/>
      <c r="JW631" s="140">
        <f t="shared" si="1047"/>
        <v>126078.17634932431</v>
      </c>
      <c r="JX631" s="140"/>
      <c r="JY631" s="140"/>
      <c r="JZ631" s="140"/>
      <c r="KA631" s="140"/>
      <c r="KB631" s="140"/>
      <c r="KC631" s="140"/>
      <c r="KD631" s="140"/>
      <c r="KE631" s="140"/>
      <c r="KF631" s="140"/>
      <c r="KG631" s="140">
        <f t="shared" si="1054"/>
        <v>126078.17634932431</v>
      </c>
      <c r="KH631" s="140"/>
      <c r="KI631" s="140"/>
      <c r="KJ631" s="140"/>
      <c r="KK631" s="140"/>
      <c r="KL631" s="140"/>
      <c r="KM631" s="140"/>
      <c r="KN631" s="140"/>
      <c r="KO631" s="140"/>
      <c r="KP631" s="140"/>
      <c r="KQ631" s="140"/>
      <c r="KR631" s="140"/>
      <c r="KS631" s="140"/>
      <c r="KT631" s="140"/>
      <c r="KU631" s="140"/>
      <c r="KV631" s="140"/>
      <c r="KW631" s="140"/>
      <c r="KX631" s="140"/>
      <c r="KY631" s="140"/>
      <c r="KZ631" s="140"/>
      <c r="LA631" s="141">
        <f t="shared" si="1048"/>
        <v>126078.17634932431</v>
      </c>
      <c r="LB631" s="140"/>
      <c r="LC631" s="139"/>
      <c r="LD631" s="140"/>
      <c r="LE631" s="140"/>
      <c r="LF631" s="140"/>
      <c r="LG631" s="140"/>
      <c r="LH631" s="140">
        <f t="shared" si="1049"/>
        <v>126078.17634932431</v>
      </c>
      <c r="LI631" s="140"/>
      <c r="LJ631" s="140"/>
      <c r="LK631" s="140"/>
      <c r="LL631" s="140"/>
      <c r="LM631" s="140"/>
      <c r="LN631" s="140"/>
      <c r="LO631" s="140"/>
      <c r="LP631" s="140"/>
      <c r="LQ631" s="140"/>
      <c r="LR631" s="140">
        <f t="shared" si="1050"/>
        <v>126078.17634932431</v>
      </c>
      <c r="LS631" s="140"/>
      <c r="LT631" s="140"/>
      <c r="LU631" s="140"/>
      <c r="LV631" s="140"/>
      <c r="LW631" s="140"/>
      <c r="LX631" s="140"/>
      <c r="LY631" s="140"/>
      <c r="LZ631" s="140"/>
      <c r="MA631" s="140"/>
      <c r="MB631" s="140">
        <f t="shared" si="1051"/>
        <v>21220.089882861655</v>
      </c>
      <c r="MC631" s="140"/>
      <c r="MD631" s="140"/>
      <c r="ME631" s="140"/>
      <c r="MF631" s="140"/>
      <c r="MG631" s="140"/>
      <c r="MH631" s="140"/>
      <c r="MI631" s="140"/>
      <c r="MJ631" s="140"/>
      <c r="MK631" s="140"/>
      <c r="ML631" s="141">
        <f t="shared" si="1052"/>
        <v>126078.17634932431</v>
      </c>
      <c r="MO631"/>
      <c r="MP631"/>
      <c r="MQ631"/>
      <c r="MR631"/>
      <c r="MS631"/>
      <c r="MT631"/>
      <c r="MU631"/>
      <c r="MV631"/>
    </row>
    <row r="632" spans="3:360" s="4" customFormat="1" ht="18" customHeight="1" x14ac:dyDescent="0.3">
      <c r="C632" s="136" t="s">
        <v>82</v>
      </c>
      <c r="E632" s="137" t="s">
        <v>105</v>
      </c>
      <c r="F632" s="186" t="s">
        <v>274</v>
      </c>
      <c r="H632" s="267"/>
      <c r="I632"/>
      <c r="J632"/>
      <c r="K632"/>
      <c r="L632"/>
      <c r="M632" s="140">
        <f t="shared" si="1053"/>
        <v>65758.42139003973</v>
      </c>
      <c r="N632" s="237"/>
      <c r="O632" s="237"/>
      <c r="P632" s="237"/>
      <c r="Q632" s="236"/>
      <c r="R632" s="140"/>
      <c r="S632" s="139"/>
      <c r="T632" s="140"/>
      <c r="U632" s="140"/>
      <c r="V632" s="140"/>
      <c r="W632" s="140"/>
      <c r="X632" s="140">
        <f t="shared" si="1041"/>
        <v>65758.42139003973</v>
      </c>
      <c r="Y632" s="140"/>
      <c r="Z632" s="140"/>
      <c r="AA632" s="140"/>
      <c r="AB632" s="140"/>
      <c r="AC632" s="140"/>
      <c r="AD632" s="140"/>
      <c r="AE632" s="140"/>
      <c r="AF632" s="140"/>
      <c r="AG632" s="140"/>
      <c r="AH632" s="140">
        <f t="shared" si="1042"/>
        <v>65758.42139003973</v>
      </c>
      <c r="AI632" s="140"/>
      <c r="AJ632" s="140"/>
      <c r="AK632" s="140"/>
      <c r="AL632" s="140"/>
      <c r="AM632" s="140"/>
      <c r="AN632" s="140"/>
      <c r="AO632" s="140"/>
      <c r="AP632" s="140"/>
      <c r="AQ632" s="140"/>
      <c r="AR632" s="140"/>
      <c r="AS632" s="140"/>
      <c r="AT632" s="140"/>
      <c r="AU632" s="140"/>
      <c r="AV632" s="140"/>
      <c r="AW632" s="140"/>
      <c r="AX632" s="140"/>
      <c r="AY632" s="140"/>
      <c r="AZ632" s="140"/>
      <c r="BA632" s="140"/>
      <c r="BB632" s="141">
        <f t="shared" si="1043"/>
        <v>65758.42139003973</v>
      </c>
      <c r="BC632" s="140"/>
      <c r="BD632" s="177"/>
      <c r="BE632" s="178"/>
      <c r="BF632" s="178"/>
      <c r="BG632" s="178"/>
      <c r="BH632" s="178"/>
      <c r="BI632" s="219"/>
      <c r="BJ632" s="234"/>
      <c r="BK632" s="234"/>
      <c r="BL632" s="234"/>
      <c r="BM632" s="234"/>
      <c r="BN632" s="234"/>
      <c r="BO632" s="234"/>
      <c r="BP632" s="234"/>
      <c r="BQ632" s="234"/>
      <c r="BR632" s="234"/>
      <c r="BS632" s="234"/>
      <c r="BT632" s="234"/>
      <c r="BU632" s="234"/>
      <c r="BV632" s="234"/>
      <c r="BW632" s="234"/>
      <c r="BX632" s="234"/>
      <c r="BY632" s="234"/>
      <c r="BZ632" s="234"/>
      <c r="CA632" s="234"/>
      <c r="CB632" s="234"/>
      <c r="CC632" s="234"/>
      <c r="CD632" s="234"/>
      <c r="CE632" s="234"/>
      <c r="CF632" s="234"/>
      <c r="CG632" s="234"/>
      <c r="CH632" s="234"/>
      <c r="CI632" s="234"/>
      <c r="CJ632" s="234"/>
      <c r="CK632" s="234"/>
      <c r="CL632" s="234"/>
      <c r="CM632" s="189"/>
      <c r="CN632" s="140"/>
      <c r="CO632" s="177"/>
      <c r="CP632" s="178"/>
      <c r="CQ632" s="178"/>
      <c r="CR632" s="178"/>
      <c r="CS632" s="178"/>
      <c r="CT632" s="219"/>
      <c r="CU632" s="234"/>
      <c r="CV632" s="234"/>
      <c r="CW632" s="234"/>
      <c r="CX632" s="234"/>
      <c r="CY632" s="234"/>
      <c r="CZ632" s="234"/>
      <c r="DA632" s="234"/>
      <c r="DB632" s="234"/>
      <c r="DC632" s="234"/>
      <c r="DD632" s="234"/>
      <c r="DE632" s="234"/>
      <c r="DF632" s="234"/>
      <c r="DG632" s="234"/>
      <c r="DH632" s="234"/>
      <c r="DI632" s="234"/>
      <c r="DJ632" s="234"/>
      <c r="DK632" s="234"/>
      <c r="DL632" s="234"/>
      <c r="DM632" s="234"/>
      <c r="DN632" s="234"/>
      <c r="DO632" s="234"/>
      <c r="DP632" s="234"/>
      <c r="DQ632" s="234"/>
      <c r="DR632" s="234"/>
      <c r="DS632" s="234"/>
      <c r="DT632" s="234"/>
      <c r="DU632" s="234"/>
      <c r="DV632" s="234"/>
      <c r="DW632" s="234"/>
      <c r="DX632" s="189"/>
      <c r="DY632" s="140"/>
      <c r="DZ632" s="177"/>
      <c r="EA632" s="178"/>
      <c r="EB632" s="178"/>
      <c r="EC632" s="178"/>
      <c r="ED632" s="178"/>
      <c r="EE632" s="219"/>
      <c r="EF632" s="234"/>
      <c r="EG632" s="234"/>
      <c r="EH632" s="234"/>
      <c r="EI632" s="234"/>
      <c r="EJ632" s="234"/>
      <c r="EK632" s="234"/>
      <c r="EL632" s="234"/>
      <c r="EM632" s="234"/>
      <c r="EN632" s="234"/>
      <c r="EO632" s="234"/>
      <c r="EP632" s="234"/>
      <c r="EQ632" s="234"/>
      <c r="ER632" s="234"/>
      <c r="ES632" s="234"/>
      <c r="ET632" s="234"/>
      <c r="EU632" s="234"/>
      <c r="EV632" s="234"/>
      <c r="EW632" s="234"/>
      <c r="EX632" s="234"/>
      <c r="EY632" s="234"/>
      <c r="EZ632" s="234"/>
      <c r="FA632" s="234"/>
      <c r="FB632" s="234"/>
      <c r="FC632" s="234"/>
      <c r="FD632" s="234"/>
      <c r="FE632" s="234"/>
      <c r="FF632" s="234"/>
      <c r="FG632" s="234"/>
      <c r="FH632" s="234"/>
      <c r="FI632" s="189"/>
      <c r="FJ632" s="140"/>
      <c r="FK632" s="177"/>
      <c r="FL632" s="178"/>
      <c r="FM632" s="178"/>
      <c r="FN632" s="178"/>
      <c r="FO632" s="178"/>
      <c r="FP632" s="219"/>
      <c r="FQ632" s="234"/>
      <c r="FR632" s="234"/>
      <c r="FS632" s="234"/>
      <c r="FT632" s="234"/>
      <c r="FU632" s="234"/>
      <c r="FV632" s="234"/>
      <c r="FW632" s="234"/>
      <c r="FX632" s="234"/>
      <c r="FY632" s="234"/>
      <c r="FZ632" s="234"/>
      <c r="GA632" s="234"/>
      <c r="GB632" s="234"/>
      <c r="GC632" s="234"/>
      <c r="GD632" s="234"/>
      <c r="GE632" s="234"/>
      <c r="GF632" s="234"/>
      <c r="GG632" s="234"/>
      <c r="GH632" s="234"/>
      <c r="GI632" s="234"/>
      <c r="GJ632" s="234"/>
      <c r="GK632" s="234"/>
      <c r="GL632" s="234"/>
      <c r="GM632" s="234"/>
      <c r="GN632" s="234"/>
      <c r="GO632" s="234"/>
      <c r="GP632" s="234"/>
      <c r="GQ632" s="234"/>
      <c r="GR632" s="234"/>
      <c r="GS632" s="234"/>
      <c r="GT632" s="189"/>
      <c r="GU632" s="140"/>
      <c r="GV632" s="177"/>
      <c r="GW632" s="178"/>
      <c r="GX632" s="178"/>
      <c r="GY632" s="178"/>
      <c r="GZ632" s="178"/>
      <c r="HA632" s="219"/>
      <c r="HB632" s="234"/>
      <c r="HC632" s="234"/>
      <c r="HD632" s="234"/>
      <c r="HE632" s="234"/>
      <c r="HF632" s="234"/>
      <c r="HG632" s="234"/>
      <c r="HH632" s="234"/>
      <c r="HI632" s="234"/>
      <c r="HJ632" s="234"/>
      <c r="HK632" s="234"/>
      <c r="HL632" s="234"/>
      <c r="HM632" s="234"/>
      <c r="HN632" s="234"/>
      <c r="HO632" s="234"/>
      <c r="HP632" s="234"/>
      <c r="HQ632" s="234"/>
      <c r="HR632" s="234"/>
      <c r="HS632" s="234"/>
      <c r="HT632" s="234"/>
      <c r="HU632" s="234"/>
      <c r="HV632" s="234"/>
      <c r="HW632" s="234"/>
      <c r="HX632" s="234"/>
      <c r="HY632" s="234"/>
      <c r="HZ632" s="234"/>
      <c r="IA632" s="234"/>
      <c r="IB632" s="234"/>
      <c r="IC632" s="234"/>
      <c r="ID632" s="234"/>
      <c r="IE632" s="189"/>
      <c r="IF632" s="140"/>
      <c r="IG632" s="139"/>
      <c r="IH632" s="140"/>
      <c r="II632" s="140"/>
      <c r="IJ632" s="140"/>
      <c r="IK632" s="140"/>
      <c r="IL632" s="140">
        <f t="shared" si="1044"/>
        <v>65758.42139003973</v>
      </c>
      <c r="IM632" s="140"/>
      <c r="IN632" s="140"/>
      <c r="IO632" s="140"/>
      <c r="IP632" s="140"/>
      <c r="IQ632" s="140"/>
      <c r="IR632" s="140"/>
      <c r="IS632" s="140"/>
      <c r="IT632" s="140"/>
      <c r="IU632" s="140"/>
      <c r="IV632" s="140">
        <f t="shared" si="1045"/>
        <v>65758.42139003973</v>
      </c>
      <c r="IW632" s="140"/>
      <c r="IX632" s="140"/>
      <c r="IY632" s="140"/>
      <c r="IZ632" s="140"/>
      <c r="JA632" s="140"/>
      <c r="JB632" s="140"/>
      <c r="JC632" s="140"/>
      <c r="JD632" s="140"/>
      <c r="JE632" s="140"/>
      <c r="JF632" s="140"/>
      <c r="JG632" s="140"/>
      <c r="JH632" s="140"/>
      <c r="JI632" s="140"/>
      <c r="JJ632" s="140"/>
      <c r="JK632" s="140"/>
      <c r="JL632" s="140"/>
      <c r="JM632" s="140"/>
      <c r="JN632" s="140"/>
      <c r="JO632" s="140"/>
      <c r="JP632" s="141">
        <f t="shared" si="1046"/>
        <v>65758.42139003973</v>
      </c>
      <c r="JQ632" s="140"/>
      <c r="JR632" s="139"/>
      <c r="JS632" s="140"/>
      <c r="JT632" s="140"/>
      <c r="JU632" s="140"/>
      <c r="JV632" s="140"/>
      <c r="JW632" s="140">
        <f t="shared" si="1047"/>
        <v>65758.42139003973</v>
      </c>
      <c r="JX632" s="140"/>
      <c r="JY632" s="140"/>
      <c r="JZ632" s="140"/>
      <c r="KA632" s="140"/>
      <c r="KB632" s="140"/>
      <c r="KC632" s="140"/>
      <c r="KD632" s="140"/>
      <c r="KE632" s="140"/>
      <c r="KF632" s="140"/>
      <c r="KG632" s="140">
        <f t="shared" si="1054"/>
        <v>65758.42139003973</v>
      </c>
      <c r="KH632" s="140"/>
      <c r="KI632" s="140"/>
      <c r="KJ632" s="140"/>
      <c r="KK632" s="140"/>
      <c r="KL632" s="140"/>
      <c r="KM632" s="140"/>
      <c r="KN632" s="140"/>
      <c r="KO632" s="140"/>
      <c r="KP632" s="140"/>
      <c r="KQ632" s="140"/>
      <c r="KR632" s="140"/>
      <c r="KS632" s="140"/>
      <c r="KT632" s="140"/>
      <c r="KU632" s="140"/>
      <c r="KV632" s="140"/>
      <c r="KW632" s="140"/>
      <c r="KX632" s="140"/>
      <c r="KY632" s="140"/>
      <c r="KZ632" s="140"/>
      <c r="LA632" s="141">
        <f t="shared" si="1048"/>
        <v>65758.42139003973</v>
      </c>
      <c r="LB632" s="140"/>
      <c r="LC632" s="139"/>
      <c r="LD632" s="140"/>
      <c r="LE632" s="140"/>
      <c r="LF632" s="140"/>
      <c r="LG632" s="140"/>
      <c r="LH632" s="140">
        <f t="shared" si="1049"/>
        <v>65758.42139003973</v>
      </c>
      <c r="LI632" s="140"/>
      <c r="LJ632" s="140"/>
      <c r="LK632" s="140"/>
      <c r="LL632" s="140"/>
      <c r="LM632" s="140"/>
      <c r="LN632" s="140"/>
      <c r="LO632" s="140"/>
      <c r="LP632" s="140"/>
      <c r="LQ632" s="140"/>
      <c r="LR632" s="140">
        <f t="shared" si="1050"/>
        <v>65758.42139003973</v>
      </c>
      <c r="LS632" s="140"/>
      <c r="LT632" s="140"/>
      <c r="LU632" s="140"/>
      <c r="LV632" s="140"/>
      <c r="LW632" s="140"/>
      <c r="LX632" s="140"/>
      <c r="LY632" s="140"/>
      <c r="LZ632" s="140"/>
      <c r="MA632" s="140"/>
      <c r="MB632" s="140">
        <f t="shared" si="1051"/>
        <v>5383.0526057598072</v>
      </c>
      <c r="MC632" s="140"/>
      <c r="MD632" s="140"/>
      <c r="ME632" s="140"/>
      <c r="MF632" s="140"/>
      <c r="MG632" s="140"/>
      <c r="MH632" s="140"/>
      <c r="MI632" s="140"/>
      <c r="MJ632" s="140"/>
      <c r="MK632" s="140"/>
      <c r="ML632" s="141">
        <f t="shared" si="1052"/>
        <v>65758.42139003973</v>
      </c>
      <c r="MO632"/>
      <c r="MP632"/>
      <c r="MQ632"/>
      <c r="MR632"/>
      <c r="MS632"/>
      <c r="MT632"/>
      <c r="MU632"/>
      <c r="MV632"/>
    </row>
    <row r="633" spans="3:360" s="4" customFormat="1" ht="18" customHeight="1" x14ac:dyDescent="0.3">
      <c r="C633" s="136" t="s">
        <v>83</v>
      </c>
      <c r="E633" s="137" t="s">
        <v>105</v>
      </c>
      <c r="F633" s="186" t="s">
        <v>275</v>
      </c>
      <c r="H633" s="267"/>
      <c r="I633"/>
      <c r="J633"/>
      <c r="K633"/>
      <c r="L633"/>
      <c r="M633"/>
      <c r="N633" s="237"/>
      <c r="O633" s="237"/>
      <c r="P633" s="237"/>
      <c r="Q633" s="236"/>
      <c r="R633" s="140"/>
      <c r="S633" s="139"/>
      <c r="T633" s="140"/>
      <c r="U633" s="140"/>
      <c r="V633" s="140"/>
      <c r="W633" s="140"/>
      <c r="X633"/>
      <c r="Y633" s="140"/>
      <c r="Z633" s="140"/>
      <c r="AA633" s="140"/>
      <c r="AB633" s="140"/>
      <c r="AC633" s="140"/>
      <c r="AD633" s="140"/>
      <c r="AE633" s="140"/>
      <c r="AF633" s="140"/>
      <c r="AG633" s="140"/>
      <c r="AH633"/>
      <c r="AI633" s="140"/>
      <c r="AJ633" s="140"/>
      <c r="AK633" s="140"/>
      <c r="AL633" s="140"/>
      <c r="AM633" s="140"/>
      <c r="AN633" s="140"/>
      <c r="AO633" s="140"/>
      <c r="AP633" s="140"/>
      <c r="AQ633" s="140"/>
      <c r="AR633" s="140"/>
      <c r="AS633" s="140"/>
      <c r="AT633" s="140"/>
      <c r="AU633" s="140"/>
      <c r="AV633" s="140"/>
      <c r="AW633" s="140"/>
      <c r="AX633" s="140"/>
      <c r="AY633" s="140"/>
      <c r="AZ633" s="140"/>
      <c r="BA633" s="140"/>
      <c r="BB633" s="266"/>
      <c r="BC633" s="140"/>
      <c r="BD633" s="177"/>
      <c r="BE633" s="178"/>
      <c r="BF633" s="178"/>
      <c r="BG633" s="178"/>
      <c r="BH633" s="178"/>
      <c r="BI633" s="219"/>
      <c r="BJ633" s="234"/>
      <c r="BK633" s="234"/>
      <c r="BL633" s="234"/>
      <c r="BM633" s="234"/>
      <c r="BN633" s="234"/>
      <c r="BO633" s="234"/>
      <c r="BP633" s="234"/>
      <c r="BQ633" s="234"/>
      <c r="BR633" s="234"/>
      <c r="BS633" s="234"/>
      <c r="BT633" s="234"/>
      <c r="BU633" s="234"/>
      <c r="BV633" s="234"/>
      <c r="BW633" s="234"/>
      <c r="BX633" s="234"/>
      <c r="BY633" s="234"/>
      <c r="BZ633" s="234"/>
      <c r="CA633" s="234"/>
      <c r="CB633" s="234"/>
      <c r="CC633" s="234"/>
      <c r="CD633" s="234"/>
      <c r="CE633" s="234"/>
      <c r="CF633" s="234"/>
      <c r="CG633" s="234"/>
      <c r="CH633" s="234"/>
      <c r="CI633" s="234"/>
      <c r="CJ633" s="234"/>
      <c r="CK633" s="234"/>
      <c r="CL633" s="234"/>
      <c r="CM633" s="189"/>
      <c r="CN633" s="140"/>
      <c r="CO633" s="177"/>
      <c r="CP633" s="178"/>
      <c r="CQ633" s="178"/>
      <c r="CR633" s="178"/>
      <c r="CS633" s="178"/>
      <c r="CT633" s="219"/>
      <c r="CU633" s="234"/>
      <c r="CV633" s="234"/>
      <c r="CW633" s="234"/>
      <c r="CX633" s="234"/>
      <c r="CY633" s="234"/>
      <c r="CZ633" s="234"/>
      <c r="DA633" s="234"/>
      <c r="DB633" s="234"/>
      <c r="DC633" s="234"/>
      <c r="DD633" s="234"/>
      <c r="DE633" s="234"/>
      <c r="DF633" s="234"/>
      <c r="DG633" s="234"/>
      <c r="DH633" s="234"/>
      <c r="DI633" s="234"/>
      <c r="DJ633" s="234"/>
      <c r="DK633" s="234"/>
      <c r="DL633" s="234"/>
      <c r="DM633" s="234"/>
      <c r="DN633" s="234"/>
      <c r="DO633" s="234"/>
      <c r="DP633" s="234"/>
      <c r="DQ633" s="234"/>
      <c r="DR633" s="234"/>
      <c r="DS633" s="234"/>
      <c r="DT633" s="234"/>
      <c r="DU633" s="234"/>
      <c r="DV633" s="234"/>
      <c r="DW633" s="234"/>
      <c r="DX633" s="189"/>
      <c r="DY633" s="140"/>
      <c r="DZ633" s="177"/>
      <c r="EA633" s="178"/>
      <c r="EB633" s="178"/>
      <c r="EC633" s="178"/>
      <c r="ED633" s="178"/>
      <c r="EE633" s="219"/>
      <c r="EF633" s="234"/>
      <c r="EG633" s="234"/>
      <c r="EH633" s="234"/>
      <c r="EI633" s="234"/>
      <c r="EJ633" s="234"/>
      <c r="EK633" s="234"/>
      <c r="EL633" s="234"/>
      <c r="EM633" s="234"/>
      <c r="EN633" s="234"/>
      <c r="EO633" s="234"/>
      <c r="EP633" s="234"/>
      <c r="EQ633" s="234"/>
      <c r="ER633" s="234"/>
      <c r="ES633" s="234"/>
      <c r="ET633" s="234"/>
      <c r="EU633" s="234"/>
      <c r="EV633" s="234"/>
      <c r="EW633" s="234"/>
      <c r="EX633" s="234"/>
      <c r="EY633" s="234"/>
      <c r="EZ633" s="234"/>
      <c r="FA633" s="234"/>
      <c r="FB633" s="234"/>
      <c r="FC633" s="234"/>
      <c r="FD633" s="234"/>
      <c r="FE633" s="234"/>
      <c r="FF633" s="234"/>
      <c r="FG633" s="234"/>
      <c r="FH633" s="234"/>
      <c r="FI633" s="189"/>
      <c r="FJ633" s="140"/>
      <c r="FK633" s="177"/>
      <c r="FL633" s="178"/>
      <c r="FM633" s="178"/>
      <c r="FN633" s="178"/>
      <c r="FO633" s="178"/>
      <c r="FP633" s="219"/>
      <c r="FQ633" s="234"/>
      <c r="FR633" s="234"/>
      <c r="FS633" s="234"/>
      <c r="FT633" s="234"/>
      <c r="FU633" s="234"/>
      <c r="FV633" s="234"/>
      <c r="FW633" s="234"/>
      <c r="FX633" s="234"/>
      <c r="FY633" s="234"/>
      <c r="FZ633" s="234"/>
      <c r="GA633" s="234"/>
      <c r="GB633" s="234"/>
      <c r="GC633" s="234"/>
      <c r="GD633" s="234"/>
      <c r="GE633" s="234"/>
      <c r="GF633" s="234"/>
      <c r="GG633" s="234"/>
      <c r="GH633" s="234"/>
      <c r="GI633" s="234"/>
      <c r="GJ633" s="234"/>
      <c r="GK633" s="234"/>
      <c r="GL633" s="234"/>
      <c r="GM633" s="234"/>
      <c r="GN633" s="234"/>
      <c r="GO633" s="234"/>
      <c r="GP633" s="234"/>
      <c r="GQ633" s="234"/>
      <c r="GR633" s="234"/>
      <c r="GS633" s="234"/>
      <c r="GT633" s="189"/>
      <c r="GU633" s="140"/>
      <c r="GV633" s="177"/>
      <c r="GW633" s="178"/>
      <c r="GX633" s="178"/>
      <c r="GY633" s="178"/>
      <c r="GZ633" s="178"/>
      <c r="HA633" s="219"/>
      <c r="HB633" s="234"/>
      <c r="HC633" s="234"/>
      <c r="HD633" s="234"/>
      <c r="HE633" s="234"/>
      <c r="HF633" s="234"/>
      <c r="HG633" s="234"/>
      <c r="HH633" s="234"/>
      <c r="HI633" s="234"/>
      <c r="HJ633" s="234"/>
      <c r="HK633" s="234"/>
      <c r="HL633" s="234"/>
      <c r="HM633" s="234"/>
      <c r="HN633" s="234"/>
      <c r="HO633" s="234"/>
      <c r="HP633" s="234"/>
      <c r="HQ633" s="234"/>
      <c r="HR633" s="234"/>
      <c r="HS633" s="234"/>
      <c r="HT633" s="234"/>
      <c r="HU633" s="234"/>
      <c r="HV633" s="234"/>
      <c r="HW633" s="234"/>
      <c r="HX633" s="234"/>
      <c r="HY633" s="234"/>
      <c r="HZ633" s="234"/>
      <c r="IA633" s="234"/>
      <c r="IB633" s="234"/>
      <c r="IC633" s="234"/>
      <c r="ID633" s="234"/>
      <c r="IE633" s="189"/>
      <c r="IF633" s="140"/>
      <c r="IG633" s="139"/>
      <c r="IH633" s="140"/>
      <c r="II633" s="140"/>
      <c r="IJ633" s="140"/>
      <c r="IK633" s="140"/>
      <c r="IL633"/>
      <c r="IM633" s="140"/>
      <c r="IN633" s="140"/>
      <c r="IO633" s="140"/>
      <c r="IP633" s="140"/>
      <c r="IQ633" s="140"/>
      <c r="IR633" s="140"/>
      <c r="IS633" s="140"/>
      <c r="IT633" s="140"/>
      <c r="IU633" s="140"/>
      <c r="IV633"/>
      <c r="IW633" s="140"/>
      <c r="IX633" s="140"/>
      <c r="IY633" s="140"/>
      <c r="IZ633" s="140"/>
      <c r="JA633" s="140"/>
      <c r="JB633" s="140"/>
      <c r="JC633" s="140"/>
      <c r="JD633" s="140"/>
      <c r="JE633" s="140"/>
      <c r="JF633" s="140"/>
      <c r="JG633" s="140"/>
      <c r="JH633" s="140"/>
      <c r="JI633" s="140"/>
      <c r="JJ633" s="140"/>
      <c r="JK633" s="140"/>
      <c r="JL633" s="140"/>
      <c r="JM633" s="140"/>
      <c r="JN633" s="140"/>
      <c r="JO633" s="140"/>
      <c r="JP633" s="266"/>
      <c r="JQ633" s="140"/>
      <c r="JR633" s="139"/>
      <c r="JS633" s="140"/>
      <c r="JT633" s="140"/>
      <c r="JU633" s="140"/>
      <c r="JV633" s="140"/>
      <c r="JW633"/>
      <c r="JX633" s="140"/>
      <c r="JY633" s="140"/>
      <c r="JZ633" s="140"/>
      <c r="KA633" s="140"/>
      <c r="KB633" s="140"/>
      <c r="KC633" s="140"/>
      <c r="KD633" s="140"/>
      <c r="KE633" s="140"/>
      <c r="KF633" s="140"/>
      <c r="KG633"/>
      <c r="KH633" s="140"/>
      <c r="KI633" s="140"/>
      <c r="KJ633" s="140"/>
      <c r="KK633" s="140"/>
      <c r="KL633" s="140"/>
      <c r="KM633" s="140"/>
      <c r="KN633" s="140"/>
      <c r="KO633" s="140"/>
      <c r="KP633" s="140"/>
      <c r="KQ633" s="140"/>
      <c r="KR633" s="140"/>
      <c r="KS633" s="140"/>
      <c r="KT633" s="140"/>
      <c r="KU633" s="140"/>
      <c r="KV633" s="140"/>
      <c r="KW633" s="140"/>
      <c r="KX633" s="140"/>
      <c r="KY633" s="140"/>
      <c r="KZ633" s="140"/>
      <c r="LA633" s="266"/>
      <c r="LB633" s="140"/>
      <c r="LC633" s="139"/>
      <c r="LD633" s="140"/>
      <c r="LE633" s="140"/>
      <c r="LF633" s="140"/>
      <c r="LG633" s="140"/>
      <c r="LH633"/>
      <c r="LI633" s="140"/>
      <c r="LJ633" s="140"/>
      <c r="LK633" s="140"/>
      <c r="LL633" s="140"/>
      <c r="LM633" s="140"/>
      <c r="LN633" s="140"/>
      <c r="LO633" s="140"/>
      <c r="LP633" s="140"/>
      <c r="LQ633" s="140"/>
      <c r="LR633"/>
      <c r="LS633" s="140"/>
      <c r="LT633" s="140"/>
      <c r="LU633" s="140"/>
      <c r="LV633" s="140"/>
      <c r="LW633" s="140"/>
      <c r="LX633" s="140"/>
      <c r="LY633" s="140"/>
      <c r="LZ633" s="140"/>
      <c r="MA633" s="140"/>
      <c r="MB633"/>
      <c r="MC633" s="140"/>
      <c r="MD633" s="140"/>
      <c r="ME633" s="140"/>
      <c r="MF633" s="140"/>
      <c r="MG633" s="140"/>
      <c r="MH633" s="140"/>
      <c r="MI633" s="140"/>
      <c r="MJ633" s="140"/>
      <c r="MK633" s="140"/>
      <c r="ML633" s="266"/>
      <c r="MO633"/>
      <c r="MP633"/>
      <c r="MQ633"/>
      <c r="MR633"/>
      <c r="MS633"/>
      <c r="MT633"/>
      <c r="MU633"/>
      <c r="MV633"/>
    </row>
    <row r="634" spans="3:360" s="4" customFormat="1" ht="18" customHeight="1" x14ac:dyDescent="0.3">
      <c r="C634" s="204" t="s">
        <v>281</v>
      </c>
      <c r="E634" s="137"/>
      <c r="F634" s="138"/>
      <c r="H634" s="300"/>
      <c r="I634" s="171"/>
      <c r="J634" s="171"/>
      <c r="K634" s="171"/>
      <c r="L634" s="171"/>
      <c r="M634" s="171"/>
      <c r="N634" s="9"/>
      <c r="O634" s="9"/>
      <c r="P634" s="9"/>
      <c r="Q634" s="10"/>
      <c r="S634" s="245"/>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38"/>
      <c r="BD634" s="245"/>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38"/>
      <c r="CO634" s="245"/>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38"/>
      <c r="DZ634" s="245"/>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38"/>
      <c r="FK634" s="245"/>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38"/>
      <c r="GV634" s="245"/>
      <c r="GW634" s="1"/>
      <c r="GX634" s="1"/>
      <c r="GY634" s="1"/>
      <c r="GZ634" s="1"/>
      <c r="HA634" s="1"/>
      <c r="HB634" s="1"/>
      <c r="HC634" s="1"/>
      <c r="HD634" s="1"/>
      <c r="HE634" s="1"/>
      <c r="HF634" s="1"/>
      <c r="HG634" s="1"/>
      <c r="HH634" s="1"/>
      <c r="HI634" s="1"/>
      <c r="HJ634" s="1"/>
      <c r="HK634" s="1"/>
      <c r="HL634" s="1"/>
      <c r="HM634" s="1"/>
      <c r="HN634" s="1"/>
      <c r="HO634" s="1"/>
      <c r="HP634" s="1"/>
      <c r="HQ634" s="1"/>
      <c r="HR634" s="1"/>
      <c r="HS634" s="1"/>
      <c r="HT634" s="1"/>
      <c r="HU634" s="1"/>
      <c r="HV634" s="1"/>
      <c r="HW634" s="1"/>
      <c r="HX634" s="1"/>
      <c r="HY634" s="1"/>
      <c r="HZ634" s="1"/>
      <c r="IA634" s="1"/>
      <c r="IB634" s="1"/>
      <c r="IC634" s="1"/>
      <c r="ID634" s="1"/>
      <c r="IE634" s="138"/>
      <c r="IG634" s="245"/>
      <c r="IH634" s="1"/>
      <c r="II634" s="1"/>
      <c r="IJ634" s="1"/>
      <c r="IK634" s="1"/>
      <c r="IL634" s="1"/>
      <c r="IM634" s="1"/>
      <c r="IN634" s="1"/>
      <c r="IO634" s="1"/>
      <c r="IP634" s="1"/>
      <c r="IQ634" s="1"/>
      <c r="IR634" s="1"/>
      <c r="IS634" s="1"/>
      <c r="IT634" s="1"/>
      <c r="IU634" s="1"/>
      <c r="IV634" s="1"/>
      <c r="IW634" s="1"/>
      <c r="IX634" s="1"/>
      <c r="IY634" s="1"/>
      <c r="IZ634" s="1"/>
      <c r="JA634" s="1"/>
      <c r="JB634" s="1"/>
      <c r="JC634" s="1"/>
      <c r="JD634" s="1"/>
      <c r="JE634" s="1"/>
      <c r="JF634" s="1"/>
      <c r="JG634" s="1"/>
      <c r="JH634" s="1"/>
      <c r="JI634" s="1"/>
      <c r="JJ634" s="1"/>
      <c r="JK634" s="1"/>
      <c r="JL634" s="1"/>
      <c r="JM634" s="1"/>
      <c r="JN634" s="1"/>
      <c r="JO634" s="1"/>
      <c r="JP634" s="138"/>
      <c r="JR634" s="245"/>
      <c r="JS634" s="1"/>
      <c r="JT634" s="1"/>
      <c r="JU634" s="1"/>
      <c r="JV634" s="1"/>
      <c r="JW634" s="1"/>
      <c r="JX634" s="1"/>
      <c r="JY634" s="1"/>
      <c r="JZ634" s="1"/>
      <c r="KA634" s="1"/>
      <c r="KB634" s="1"/>
      <c r="KC634" s="1"/>
      <c r="KD634" s="1"/>
      <c r="KE634" s="1"/>
      <c r="KF634" s="1"/>
      <c r="KG634" s="1"/>
      <c r="KH634" s="1"/>
      <c r="KI634" s="1"/>
      <c r="KJ634" s="1"/>
      <c r="KK634" s="1"/>
      <c r="KL634" s="1"/>
      <c r="KM634" s="1"/>
      <c r="KN634" s="1"/>
      <c r="KO634" s="1"/>
      <c r="KP634" s="1"/>
      <c r="KQ634" s="1"/>
      <c r="KR634" s="1"/>
      <c r="KS634" s="1"/>
      <c r="KT634" s="1"/>
      <c r="KU634" s="1"/>
      <c r="KV634" s="1"/>
      <c r="KW634" s="1"/>
      <c r="KX634" s="1"/>
      <c r="KY634" s="1"/>
      <c r="KZ634" s="1"/>
      <c r="LA634" s="138"/>
      <c r="LC634" s="245"/>
      <c r="LD634" s="1"/>
      <c r="LE634" s="1"/>
      <c r="LF634" s="1"/>
      <c r="LG634" s="1"/>
      <c r="LH634" s="1"/>
      <c r="LI634" s="1"/>
      <c r="LJ634" s="1"/>
      <c r="LK634" s="1"/>
      <c r="LL634" s="1"/>
      <c r="LM634" s="1"/>
      <c r="LN634" s="1"/>
      <c r="LO634" s="1"/>
      <c r="LP634" s="1"/>
      <c r="LQ634" s="1"/>
      <c r="LR634" s="1"/>
      <c r="LS634" s="1"/>
      <c r="LT634" s="1"/>
      <c r="LU634" s="1"/>
      <c r="LV634" s="1"/>
      <c r="LW634" s="1"/>
      <c r="LX634" s="1"/>
      <c r="LY634" s="1"/>
      <c r="LZ634" s="1"/>
      <c r="MA634" s="1"/>
      <c r="MB634" s="1"/>
      <c r="MC634" s="1"/>
      <c r="MD634" s="1"/>
      <c r="ME634" s="1"/>
      <c r="MF634" s="1"/>
      <c r="MG634" s="1"/>
      <c r="MH634" s="1"/>
      <c r="MI634" s="1"/>
      <c r="MJ634" s="1"/>
      <c r="MK634" s="1"/>
      <c r="ML634" s="138"/>
      <c r="MO634"/>
      <c r="MP634"/>
      <c r="MQ634"/>
      <c r="MR634"/>
      <c r="MS634"/>
      <c r="MT634"/>
      <c r="MU634"/>
      <c r="MV634"/>
    </row>
    <row r="635" spans="3:360" s="4" customFormat="1" ht="18" customHeight="1" x14ac:dyDescent="0.3">
      <c r="C635" s="136" t="s">
        <v>282</v>
      </c>
      <c r="E635" s="137" t="s">
        <v>103</v>
      </c>
      <c r="F635" s="186" t="s">
        <v>254</v>
      </c>
      <c r="H635" s="267"/>
      <c r="I635"/>
      <c r="J635"/>
      <c r="K635"/>
      <c r="L635"/>
      <c r="M635" s="140">
        <f>SUMIFS($H$512:$H$613,J$512:J$613,$F635)*$D$514/10^3</f>
        <v>137944.35765279009</v>
      </c>
      <c r="N635" s="218"/>
      <c r="O635" s="218"/>
      <c r="P635" s="218"/>
      <c r="Q635" s="236"/>
      <c r="R635" s="140"/>
      <c r="S635" s="139"/>
      <c r="T635" s="140"/>
      <c r="U635" s="140"/>
      <c r="V635" s="140"/>
      <c r="W635" s="140"/>
      <c r="X635" s="140">
        <f>SUMIFS(S$512:S$613,U$512:U$613,$F635)*$D$514/10^3</f>
        <v>137944.35765279009</v>
      </c>
      <c r="Y635" s="140"/>
      <c r="Z635" s="140"/>
      <c r="AA635" s="140"/>
      <c r="AB635" s="140"/>
      <c r="AC635" s="140"/>
      <c r="AD635" s="140"/>
      <c r="AE635" s="140"/>
      <c r="AF635" s="140"/>
      <c r="AG635" s="140"/>
      <c r="AH635" s="140">
        <f>SUMIFS(S$512:S$613,AE$512:AE$613,$F635)*$D$514/10^3</f>
        <v>137944.35765279009</v>
      </c>
      <c r="AI635" s="140"/>
      <c r="AJ635" s="140"/>
      <c r="AK635" s="140"/>
      <c r="AL635" s="140"/>
      <c r="AM635" s="140"/>
      <c r="AN635" s="140"/>
      <c r="AO635" s="140"/>
      <c r="AP635" s="140"/>
      <c r="AQ635" s="140"/>
      <c r="AR635" s="140"/>
      <c r="AS635" s="140"/>
      <c r="AT635" s="140"/>
      <c r="AU635" s="140"/>
      <c r="AV635" s="140"/>
      <c r="AW635" s="140"/>
      <c r="AX635" s="140"/>
      <c r="AY635" s="140"/>
      <c r="AZ635" s="140"/>
      <c r="BA635" s="140"/>
      <c r="BB635" s="141">
        <f>SUMIFS(S$512:S$613,AY$512:AY$613,$F635)*$D$514/10^3</f>
        <v>137944.35765279009</v>
      </c>
      <c r="BC635" s="140"/>
      <c r="BD635" s="139"/>
      <c r="BE635" s="140"/>
      <c r="BF635" s="140"/>
      <c r="BG635" s="140"/>
      <c r="BH635" s="140"/>
      <c r="BI635" s="218"/>
      <c r="BJ635" s="301"/>
      <c r="BK635" s="301"/>
      <c r="BL635" s="301"/>
      <c r="BM635" s="301"/>
      <c r="BN635" s="301"/>
      <c r="BO635" s="301"/>
      <c r="BP635" s="301"/>
      <c r="BQ635" s="301"/>
      <c r="BR635" s="301"/>
      <c r="BS635" s="301"/>
      <c r="BT635" s="301"/>
      <c r="BU635" s="301"/>
      <c r="BV635" s="301"/>
      <c r="BW635" s="301"/>
      <c r="BX635" s="301"/>
      <c r="BY635" s="301"/>
      <c r="BZ635" s="301"/>
      <c r="CA635" s="301"/>
      <c r="CB635" s="301"/>
      <c r="CC635" s="301"/>
      <c r="CD635" s="301"/>
      <c r="CE635" s="301"/>
      <c r="CF635" s="301"/>
      <c r="CG635" s="301"/>
      <c r="CH635" s="301"/>
      <c r="CI635" s="301"/>
      <c r="CJ635" s="301"/>
      <c r="CK635" s="301"/>
      <c r="CL635" s="301"/>
      <c r="CM635" s="302"/>
      <c r="CN635" s="140"/>
      <c r="CO635" s="139"/>
      <c r="CP635" s="140"/>
      <c r="CQ635" s="140"/>
      <c r="CR635" s="140"/>
      <c r="CS635" s="140"/>
      <c r="CT635" s="218"/>
      <c r="CU635" s="301"/>
      <c r="CV635" s="301"/>
      <c r="CW635" s="301"/>
      <c r="CX635" s="301"/>
      <c r="CY635" s="301"/>
      <c r="CZ635" s="301"/>
      <c r="DA635" s="301"/>
      <c r="DB635" s="301"/>
      <c r="DC635" s="301"/>
      <c r="DD635" s="301"/>
      <c r="DE635" s="301"/>
      <c r="DF635" s="301"/>
      <c r="DG635" s="301"/>
      <c r="DH635" s="301"/>
      <c r="DI635" s="301"/>
      <c r="DJ635" s="301"/>
      <c r="DK635" s="301"/>
      <c r="DL635" s="301"/>
      <c r="DM635" s="301"/>
      <c r="DN635" s="301"/>
      <c r="DO635" s="301"/>
      <c r="DP635" s="301"/>
      <c r="DQ635" s="301"/>
      <c r="DR635" s="301"/>
      <c r="DS635" s="301"/>
      <c r="DT635" s="301"/>
      <c r="DU635" s="301"/>
      <c r="DV635" s="301"/>
      <c r="DW635" s="301"/>
      <c r="DX635" s="302"/>
      <c r="DY635" s="140"/>
      <c r="DZ635" s="139"/>
      <c r="EA635" s="140"/>
      <c r="EB635" s="140"/>
      <c r="EC635" s="140"/>
      <c r="ED635" s="140"/>
      <c r="EE635" s="218"/>
      <c r="EF635" s="301"/>
      <c r="EG635" s="301"/>
      <c r="EH635" s="301"/>
      <c r="EI635" s="301"/>
      <c r="EJ635" s="301"/>
      <c r="EK635" s="301"/>
      <c r="EL635" s="301"/>
      <c r="EM635" s="301"/>
      <c r="EN635" s="301"/>
      <c r="EO635" s="301"/>
      <c r="EP635" s="301"/>
      <c r="EQ635" s="301"/>
      <c r="ER635" s="301"/>
      <c r="ES635" s="301"/>
      <c r="ET635" s="301"/>
      <c r="EU635" s="301"/>
      <c r="EV635" s="301"/>
      <c r="EW635" s="301"/>
      <c r="EX635" s="301"/>
      <c r="EY635" s="301"/>
      <c r="EZ635" s="301"/>
      <c r="FA635" s="301"/>
      <c r="FB635" s="301"/>
      <c r="FC635" s="301"/>
      <c r="FD635" s="301"/>
      <c r="FE635" s="301"/>
      <c r="FF635" s="301"/>
      <c r="FG635" s="301"/>
      <c r="FH635" s="301"/>
      <c r="FI635" s="302"/>
      <c r="FJ635" s="140"/>
      <c r="FK635" s="139"/>
      <c r="FL635" s="140"/>
      <c r="FM635" s="140"/>
      <c r="FN635" s="140"/>
      <c r="FO635" s="140"/>
      <c r="FP635" s="218"/>
      <c r="FQ635" s="301"/>
      <c r="FR635" s="301"/>
      <c r="FS635" s="301"/>
      <c r="FT635" s="301"/>
      <c r="FU635" s="301"/>
      <c r="FV635" s="301"/>
      <c r="FW635" s="301"/>
      <c r="FX635" s="301"/>
      <c r="FY635" s="301"/>
      <c r="FZ635" s="301"/>
      <c r="GA635" s="301"/>
      <c r="GB635" s="301"/>
      <c r="GC635" s="301"/>
      <c r="GD635" s="301"/>
      <c r="GE635" s="301"/>
      <c r="GF635" s="301"/>
      <c r="GG635" s="301"/>
      <c r="GH635" s="301"/>
      <c r="GI635" s="301"/>
      <c r="GJ635" s="301"/>
      <c r="GK635" s="301"/>
      <c r="GL635" s="301"/>
      <c r="GM635" s="301"/>
      <c r="GN635" s="301"/>
      <c r="GO635" s="301"/>
      <c r="GP635" s="301"/>
      <c r="GQ635" s="301"/>
      <c r="GR635" s="301"/>
      <c r="GS635" s="301"/>
      <c r="GT635" s="302"/>
      <c r="GU635" s="140"/>
      <c r="GV635" s="139"/>
      <c r="GW635" s="140"/>
      <c r="GX635" s="140"/>
      <c r="GY635" s="140"/>
      <c r="GZ635" s="140"/>
      <c r="HA635" s="218"/>
      <c r="HB635" s="301"/>
      <c r="HC635" s="301"/>
      <c r="HD635" s="301"/>
      <c r="HE635" s="301"/>
      <c r="HF635" s="301"/>
      <c r="HG635" s="301"/>
      <c r="HH635" s="301"/>
      <c r="HI635" s="301"/>
      <c r="HJ635" s="301"/>
      <c r="HK635" s="301"/>
      <c r="HL635" s="301"/>
      <c r="HM635" s="301"/>
      <c r="HN635" s="301"/>
      <c r="HO635" s="301"/>
      <c r="HP635" s="301"/>
      <c r="HQ635" s="301"/>
      <c r="HR635" s="301"/>
      <c r="HS635" s="301"/>
      <c r="HT635" s="301"/>
      <c r="HU635" s="301"/>
      <c r="HV635" s="301"/>
      <c r="HW635" s="301"/>
      <c r="HX635" s="301"/>
      <c r="HY635" s="301"/>
      <c r="HZ635" s="301"/>
      <c r="IA635" s="301"/>
      <c r="IB635" s="301"/>
      <c r="IC635" s="301"/>
      <c r="ID635" s="301"/>
      <c r="IE635" s="302"/>
      <c r="IF635" s="140"/>
      <c r="IG635" s="139"/>
      <c r="IH635" s="140"/>
      <c r="II635" s="140"/>
      <c r="IJ635" s="140"/>
      <c r="IK635" s="140"/>
      <c r="IL635" s="140">
        <f>SUMIFS(IG$512:IG$613,II$512:II$613,$F635)*$D$514/10^3</f>
        <v>137944.35765279009</v>
      </c>
      <c r="IM635" s="140"/>
      <c r="IN635" s="140"/>
      <c r="IO635" s="140"/>
      <c r="IP635" s="140"/>
      <c r="IQ635" s="140"/>
      <c r="IR635" s="140"/>
      <c r="IS635" s="140"/>
      <c r="IT635" s="140"/>
      <c r="IU635" s="140"/>
      <c r="IV635" s="140">
        <f>SUMIFS(IG$512:IG$613,IS$512:IS$613,$F635)*$D$514/10^3</f>
        <v>137944.35765279009</v>
      </c>
      <c r="IW635" s="140"/>
      <c r="IX635" s="140"/>
      <c r="IY635" s="140"/>
      <c r="IZ635" s="140"/>
      <c r="JA635" s="140"/>
      <c r="JB635" s="140"/>
      <c r="JC635" s="140"/>
      <c r="JD635" s="140"/>
      <c r="JE635" s="140"/>
      <c r="JF635" s="140"/>
      <c r="JG635" s="140"/>
      <c r="JH635" s="140"/>
      <c r="JI635" s="140"/>
      <c r="JJ635" s="140"/>
      <c r="JK635" s="140"/>
      <c r="JL635" s="140"/>
      <c r="JM635" s="140"/>
      <c r="JN635" s="140"/>
      <c r="JO635" s="140"/>
      <c r="JP635" s="141">
        <f>SUMIFS(IG$512:IG$613,JM$512:JM$613,$F635)*$D$514/10^3</f>
        <v>137944.35765279009</v>
      </c>
      <c r="JQ635" s="140"/>
      <c r="JR635" s="139"/>
      <c r="JS635" s="140"/>
      <c r="JT635" s="140"/>
      <c r="JU635" s="140"/>
      <c r="JV635" s="140"/>
      <c r="JW635" s="140">
        <f>SUMIFS(JR$512:JR$613,JT$512:JT$613,$F635)*$D$514/10^3</f>
        <v>137944.35765279009</v>
      </c>
      <c r="JX635" s="140"/>
      <c r="JY635" s="140"/>
      <c r="JZ635" s="140"/>
      <c r="KA635" s="140"/>
      <c r="KB635" s="140"/>
      <c r="KC635" s="140"/>
      <c r="KD635" s="140"/>
      <c r="KE635" s="140"/>
      <c r="KF635" s="140"/>
      <c r="KG635" s="140">
        <f>SUMIFS(JR$512:JR$613,KD$512:KD$613,$F635)*$D$514/10^3</f>
        <v>137944.35765279009</v>
      </c>
      <c r="KH635" s="140"/>
      <c r="KI635" s="140"/>
      <c r="KJ635" s="140"/>
      <c r="KK635" s="140"/>
      <c r="KL635" s="140"/>
      <c r="KM635" s="140"/>
      <c r="KN635" s="140"/>
      <c r="KO635" s="140"/>
      <c r="KP635" s="140"/>
      <c r="KQ635" s="140"/>
      <c r="KR635" s="140"/>
      <c r="KS635" s="140"/>
      <c r="KT635" s="140"/>
      <c r="KU635" s="140"/>
      <c r="KV635" s="140"/>
      <c r="KW635" s="140"/>
      <c r="KX635" s="140"/>
      <c r="KY635" s="140"/>
      <c r="KZ635" s="140"/>
      <c r="LA635" s="141">
        <f>SUMIFS(JR$512:JR$613,KX$512:KX$613,$F635)*$D$514/10^3</f>
        <v>137944.35765279009</v>
      </c>
      <c r="LB635" s="140"/>
      <c r="LC635" s="139"/>
      <c r="LD635" s="140"/>
      <c r="LE635" s="140"/>
      <c r="LF635" s="140"/>
      <c r="LG635" s="140"/>
      <c r="LH635" s="140">
        <f>SUMIFS($LC$512:$LC$613,LE$512:LE$613,$F635)*$D$514/10^3</f>
        <v>137944.35765279009</v>
      </c>
      <c r="LI635" s="140"/>
      <c r="LJ635" s="140"/>
      <c r="LK635" s="140"/>
      <c r="LL635" s="140"/>
      <c r="LM635" s="140"/>
      <c r="LN635" s="140"/>
      <c r="LO635" s="140"/>
      <c r="LP635" s="140"/>
      <c r="LQ635" s="140"/>
      <c r="LR635" s="140">
        <f>SUMIFS($LC$512:$LC$613,LO$512:LO$613,$F635)*$D$514/10^3</f>
        <v>137944.35765279009</v>
      </c>
      <c r="LS635" s="140"/>
      <c r="LT635" s="140"/>
      <c r="LU635" s="140"/>
      <c r="LV635" s="140"/>
      <c r="LW635" s="140"/>
      <c r="LX635" s="140"/>
      <c r="LY635" s="140"/>
      <c r="LZ635" s="140"/>
      <c r="MA635" s="140"/>
      <c r="MB635" s="140">
        <f>SUMIFS($LC$512:$LC$613,LY$512:LY$613,$F635)*$D$514/10^3</f>
        <v>137944.35765279009</v>
      </c>
      <c r="MC635" s="140"/>
      <c r="MD635" s="140"/>
      <c r="ME635" s="140"/>
      <c r="MF635" s="140"/>
      <c r="MG635" s="140"/>
      <c r="MH635" s="140"/>
      <c r="MI635" s="140"/>
      <c r="MJ635" s="140"/>
      <c r="MK635" s="140"/>
      <c r="ML635" s="141">
        <f>SUMIFS($LC$512:$LC$613,MI$512:MI$613,$F635)*$D$514/10^3</f>
        <v>137944.35765279009</v>
      </c>
      <c r="MO635"/>
      <c r="MP635"/>
      <c r="MQ635"/>
      <c r="MR635"/>
      <c r="MS635"/>
      <c r="MT635"/>
      <c r="MU635"/>
      <c r="MV635"/>
    </row>
    <row r="636" spans="3:360" s="4" customFormat="1" ht="18" customHeight="1" x14ac:dyDescent="0.3">
      <c r="C636" s="136" t="s">
        <v>283</v>
      </c>
      <c r="E636" s="137" t="s">
        <v>105</v>
      </c>
      <c r="F636" s="186" t="s">
        <v>263</v>
      </c>
      <c r="H636" s="267"/>
      <c r="I636"/>
      <c r="J636"/>
      <c r="K636"/>
      <c r="L636"/>
      <c r="M636" s="140">
        <f>SUMIFS($H$512:$H$613,J$512:J$613,$F636)*$D$514/10^3</f>
        <v>262539.26133918116</v>
      </c>
      <c r="N636" s="218"/>
      <c r="O636" s="218"/>
      <c r="P636" s="218"/>
      <c r="Q636" s="236"/>
      <c r="R636" s="140"/>
      <c r="S636" s="139"/>
      <c r="T636" s="140"/>
      <c r="U636" s="140"/>
      <c r="V636" s="140"/>
      <c r="W636" s="140"/>
      <c r="X636" s="140">
        <f>SUMIFS(S$512:S$613,U$512:U$613,$F636)*$D$514/10^3</f>
        <v>262539.26133918116</v>
      </c>
      <c r="Y636" s="140"/>
      <c r="Z636" s="140"/>
      <c r="AA636" s="140"/>
      <c r="AB636" s="140"/>
      <c r="AC636" s="140"/>
      <c r="AD636" s="140"/>
      <c r="AE636" s="140"/>
      <c r="AF636" s="140"/>
      <c r="AG636" s="140"/>
      <c r="AH636" s="140">
        <f>SUMIFS(S$512:S$613,AE$512:AE$613,$F636)*$D$514/10^3</f>
        <v>262539.26133918116</v>
      </c>
      <c r="AI636" s="140"/>
      <c r="AJ636" s="140"/>
      <c r="AK636" s="140"/>
      <c r="AL636" s="140"/>
      <c r="AM636" s="140"/>
      <c r="AN636" s="140"/>
      <c r="AO636" s="140"/>
      <c r="AP636" s="140"/>
      <c r="AQ636" s="140"/>
      <c r="AR636" s="140"/>
      <c r="AS636" s="140"/>
      <c r="AT636" s="140"/>
      <c r="AU636" s="140"/>
      <c r="AV636" s="140"/>
      <c r="AW636" s="140"/>
      <c r="AX636" s="140"/>
      <c r="AY636" s="140"/>
      <c r="AZ636" s="140"/>
      <c r="BA636" s="140"/>
      <c r="BB636" s="141">
        <f>SUMIFS(S$512:S$613,AY$512:AY$613,$F636)*$D$514/10^3</f>
        <v>262539.26133918116</v>
      </c>
      <c r="BC636" s="140"/>
      <c r="BD636" s="139"/>
      <c r="BE636" s="140"/>
      <c r="BF636" s="140"/>
      <c r="BG636" s="140"/>
      <c r="BH636" s="140"/>
      <c r="BI636" s="218"/>
      <c r="BJ636" s="301"/>
      <c r="BK636" s="301"/>
      <c r="BL636" s="301"/>
      <c r="BM636" s="301"/>
      <c r="BN636" s="301"/>
      <c r="BO636" s="301"/>
      <c r="BP636" s="301"/>
      <c r="BQ636" s="301"/>
      <c r="BR636" s="301"/>
      <c r="BS636" s="301"/>
      <c r="BT636" s="301"/>
      <c r="BU636" s="301"/>
      <c r="BV636" s="301"/>
      <c r="BW636" s="301"/>
      <c r="BX636" s="301"/>
      <c r="BY636" s="301"/>
      <c r="BZ636" s="301"/>
      <c r="CA636" s="301"/>
      <c r="CB636" s="301"/>
      <c r="CC636" s="301"/>
      <c r="CD636" s="301"/>
      <c r="CE636" s="301"/>
      <c r="CF636" s="301"/>
      <c r="CG636" s="301"/>
      <c r="CH636" s="301"/>
      <c r="CI636" s="301"/>
      <c r="CJ636" s="301"/>
      <c r="CK636" s="301"/>
      <c r="CL636" s="301"/>
      <c r="CM636" s="302"/>
      <c r="CN636" s="140"/>
      <c r="CO636" s="139"/>
      <c r="CP636" s="140"/>
      <c r="CQ636" s="140"/>
      <c r="CR636" s="140"/>
      <c r="CS636" s="140"/>
      <c r="CT636" s="218"/>
      <c r="CU636" s="301"/>
      <c r="CV636" s="301"/>
      <c r="CW636" s="301"/>
      <c r="CX636" s="301"/>
      <c r="CY636" s="301"/>
      <c r="CZ636" s="301"/>
      <c r="DA636" s="301"/>
      <c r="DB636" s="301"/>
      <c r="DC636" s="301"/>
      <c r="DD636" s="301"/>
      <c r="DE636" s="301"/>
      <c r="DF636" s="301"/>
      <c r="DG636" s="301"/>
      <c r="DH636" s="301"/>
      <c r="DI636" s="301"/>
      <c r="DJ636" s="301"/>
      <c r="DK636" s="301"/>
      <c r="DL636" s="301"/>
      <c r="DM636" s="301"/>
      <c r="DN636" s="301"/>
      <c r="DO636" s="301"/>
      <c r="DP636" s="301"/>
      <c r="DQ636" s="301"/>
      <c r="DR636" s="301"/>
      <c r="DS636" s="301"/>
      <c r="DT636" s="301"/>
      <c r="DU636" s="301"/>
      <c r="DV636" s="301"/>
      <c r="DW636" s="301"/>
      <c r="DX636" s="302"/>
      <c r="DY636" s="140"/>
      <c r="DZ636" s="139"/>
      <c r="EA636" s="140"/>
      <c r="EB636" s="140"/>
      <c r="EC636" s="140"/>
      <c r="ED636" s="140"/>
      <c r="EE636" s="218"/>
      <c r="EF636" s="301"/>
      <c r="EG636" s="301"/>
      <c r="EH636" s="301"/>
      <c r="EI636" s="301"/>
      <c r="EJ636" s="301"/>
      <c r="EK636" s="301"/>
      <c r="EL636" s="301"/>
      <c r="EM636" s="301"/>
      <c r="EN636" s="301"/>
      <c r="EO636" s="301"/>
      <c r="EP636" s="301"/>
      <c r="EQ636" s="301"/>
      <c r="ER636" s="301"/>
      <c r="ES636" s="301"/>
      <c r="ET636" s="301"/>
      <c r="EU636" s="301"/>
      <c r="EV636" s="301"/>
      <c r="EW636" s="301"/>
      <c r="EX636" s="301"/>
      <c r="EY636" s="301"/>
      <c r="EZ636" s="301"/>
      <c r="FA636" s="301"/>
      <c r="FB636" s="301"/>
      <c r="FC636" s="301"/>
      <c r="FD636" s="301"/>
      <c r="FE636" s="301"/>
      <c r="FF636" s="301"/>
      <c r="FG636" s="301"/>
      <c r="FH636" s="301"/>
      <c r="FI636" s="302"/>
      <c r="FJ636" s="140"/>
      <c r="FK636" s="139"/>
      <c r="FL636" s="140"/>
      <c r="FM636" s="140"/>
      <c r="FN636" s="140"/>
      <c r="FO636" s="140"/>
      <c r="FP636" s="218"/>
      <c r="FQ636" s="301"/>
      <c r="FR636" s="301"/>
      <c r="FS636" s="301"/>
      <c r="FT636" s="301"/>
      <c r="FU636" s="301"/>
      <c r="FV636" s="301"/>
      <c r="FW636" s="301"/>
      <c r="FX636" s="301"/>
      <c r="FY636" s="301"/>
      <c r="FZ636" s="301"/>
      <c r="GA636" s="301"/>
      <c r="GB636" s="301"/>
      <c r="GC636" s="301"/>
      <c r="GD636" s="301"/>
      <c r="GE636" s="301"/>
      <c r="GF636" s="301"/>
      <c r="GG636" s="301"/>
      <c r="GH636" s="301"/>
      <c r="GI636" s="301"/>
      <c r="GJ636" s="301"/>
      <c r="GK636" s="301"/>
      <c r="GL636" s="301"/>
      <c r="GM636" s="301"/>
      <c r="GN636" s="301"/>
      <c r="GO636" s="301"/>
      <c r="GP636" s="301"/>
      <c r="GQ636" s="301"/>
      <c r="GR636" s="301"/>
      <c r="GS636" s="301"/>
      <c r="GT636" s="302"/>
      <c r="GU636" s="140"/>
      <c r="GV636" s="139"/>
      <c r="GW636" s="140"/>
      <c r="GX636" s="140"/>
      <c r="GY636" s="140"/>
      <c r="GZ636" s="140"/>
      <c r="HA636" s="218"/>
      <c r="HB636" s="301"/>
      <c r="HC636" s="301"/>
      <c r="HD636" s="301"/>
      <c r="HE636" s="301"/>
      <c r="HF636" s="301"/>
      <c r="HG636" s="301"/>
      <c r="HH636" s="301"/>
      <c r="HI636" s="301"/>
      <c r="HJ636" s="301"/>
      <c r="HK636" s="301"/>
      <c r="HL636" s="301"/>
      <c r="HM636" s="301"/>
      <c r="HN636" s="301"/>
      <c r="HO636" s="301"/>
      <c r="HP636" s="301"/>
      <c r="HQ636" s="301"/>
      <c r="HR636" s="301"/>
      <c r="HS636" s="301"/>
      <c r="HT636" s="301"/>
      <c r="HU636" s="301"/>
      <c r="HV636" s="301"/>
      <c r="HW636" s="301"/>
      <c r="HX636" s="301"/>
      <c r="HY636" s="301"/>
      <c r="HZ636" s="301"/>
      <c r="IA636" s="301"/>
      <c r="IB636" s="301"/>
      <c r="IC636" s="301"/>
      <c r="ID636" s="301"/>
      <c r="IE636" s="302"/>
      <c r="IF636" s="140"/>
      <c r="IG636" s="139"/>
      <c r="IH636" s="140"/>
      <c r="II636" s="140"/>
      <c r="IJ636" s="140"/>
      <c r="IK636" s="140"/>
      <c r="IL636" s="140">
        <f>SUMIFS(IG$512:IG$613,II$512:II$613,$F636)*$D$514/10^3</f>
        <v>262539.26133918116</v>
      </c>
      <c r="IM636" s="140"/>
      <c r="IN636" s="140"/>
      <c r="IO636" s="140"/>
      <c r="IP636" s="140"/>
      <c r="IQ636" s="140"/>
      <c r="IR636" s="140"/>
      <c r="IS636" s="140"/>
      <c r="IT636" s="140"/>
      <c r="IU636" s="140"/>
      <c r="IV636" s="140">
        <f>SUMIFS(IG$512:IG$613,IS$512:IS$613,$F636)*$D$514/10^3</f>
        <v>262539.26133918116</v>
      </c>
      <c r="IW636" s="140"/>
      <c r="IX636" s="140"/>
      <c r="IY636" s="140"/>
      <c r="IZ636" s="140"/>
      <c r="JA636" s="140"/>
      <c r="JB636" s="140"/>
      <c r="JC636" s="140"/>
      <c r="JD636" s="140"/>
      <c r="JE636" s="140"/>
      <c r="JF636" s="140"/>
      <c r="JG636" s="140"/>
      <c r="JH636" s="140"/>
      <c r="JI636" s="140"/>
      <c r="JJ636" s="140"/>
      <c r="JK636" s="140"/>
      <c r="JL636" s="140"/>
      <c r="JM636" s="140"/>
      <c r="JN636" s="140"/>
      <c r="JO636" s="140"/>
      <c r="JP636" s="141">
        <f>SUMIFS(IG$512:IG$613,JM$512:JM$613,$F636)*$D$514/10^3</f>
        <v>262539.26133918116</v>
      </c>
      <c r="JQ636" s="140"/>
      <c r="JR636" s="139"/>
      <c r="JS636" s="140"/>
      <c r="JT636" s="140"/>
      <c r="JU636" s="140"/>
      <c r="JV636" s="140"/>
      <c r="JW636" s="140">
        <f>SUMIFS(JR$512:JR$613,JT$512:JT$613,$F636)*$D$514/10^3</f>
        <v>262539.26133918116</v>
      </c>
      <c r="JX636" s="140"/>
      <c r="JY636" s="140"/>
      <c r="JZ636" s="140"/>
      <c r="KA636" s="140"/>
      <c r="KB636" s="140"/>
      <c r="KC636" s="140"/>
      <c r="KD636" s="140"/>
      <c r="KE636" s="140"/>
      <c r="KF636" s="140"/>
      <c r="KG636" s="140">
        <f>SUMIFS(JR$512:JR$613,KD$512:KD$613,$F636)*$D$514/10^3</f>
        <v>262539.26133918116</v>
      </c>
      <c r="KH636" s="140"/>
      <c r="KI636" s="140"/>
      <c r="KJ636" s="140"/>
      <c r="KK636" s="140"/>
      <c r="KL636" s="140"/>
      <c r="KM636" s="140"/>
      <c r="KN636" s="140"/>
      <c r="KO636" s="140"/>
      <c r="KP636" s="140"/>
      <c r="KQ636" s="140"/>
      <c r="KR636" s="140"/>
      <c r="KS636" s="140"/>
      <c r="KT636" s="140"/>
      <c r="KU636" s="140"/>
      <c r="KV636" s="140"/>
      <c r="KW636" s="140"/>
      <c r="KX636" s="140"/>
      <c r="KY636" s="140"/>
      <c r="KZ636" s="140"/>
      <c r="LA636" s="141">
        <f>SUMIFS(JR$512:JR$613,KX$512:KX$613,$F636)*$D$514/10^3</f>
        <v>262539.26133918116</v>
      </c>
      <c r="LB636" s="140"/>
      <c r="LC636" s="139"/>
      <c r="LD636" s="140"/>
      <c r="LE636" s="140"/>
      <c r="LF636" s="140"/>
      <c r="LG636" s="140"/>
      <c r="LH636" s="140">
        <f t="shared" ref="LH636:LH637" si="1055">SUMIFS($LC$512:$LC$613,LE$512:LE$613,$F636)*$D$514/10^3</f>
        <v>262539.26133918116</v>
      </c>
      <c r="LI636" s="140"/>
      <c r="LJ636" s="140"/>
      <c r="LK636" s="140"/>
      <c r="LL636" s="140"/>
      <c r="LM636" s="140"/>
      <c r="LN636" s="140"/>
      <c r="LO636" s="140"/>
      <c r="LP636" s="140"/>
      <c r="LQ636" s="140"/>
      <c r="LR636" s="140">
        <f t="shared" ref="LR636:LR637" si="1056">SUMIFS($LC$512:$LC$613,LO$512:LO$613,$F636)*$D$514/10^3</f>
        <v>262539.26133918116</v>
      </c>
      <c r="LS636" s="140"/>
      <c r="LT636" s="140"/>
      <c r="LU636" s="140"/>
      <c r="LV636" s="140"/>
      <c r="LW636" s="140"/>
      <c r="LX636" s="140"/>
      <c r="LY636" s="140"/>
      <c r="LZ636" s="140"/>
      <c r="MA636" s="140"/>
      <c r="MB636" s="140">
        <f t="shared" ref="MB636:MB637" si="1057">SUMIFS($LC$512:$LC$613,LY$512:LY$613,$F636)*$D$514/10^3</f>
        <v>262539.26133918116</v>
      </c>
      <c r="MC636" s="140"/>
      <c r="MD636" s="140"/>
      <c r="ME636" s="140"/>
      <c r="MF636" s="140"/>
      <c r="MG636" s="140"/>
      <c r="MH636" s="140"/>
      <c r="MI636" s="140"/>
      <c r="MJ636" s="140"/>
      <c r="MK636" s="140"/>
      <c r="ML636" s="141">
        <f t="shared" ref="ML636:ML637" si="1058">SUMIFS($LC$512:$LC$613,MI$512:MI$613,$F636)*$D$514/10^3</f>
        <v>262539.26133918116</v>
      </c>
      <c r="MO636"/>
      <c r="MP636"/>
      <c r="MQ636"/>
      <c r="MR636"/>
      <c r="MS636"/>
      <c r="MT636"/>
      <c r="MU636"/>
      <c r="MV636"/>
    </row>
    <row r="637" spans="3:360" s="4" customFormat="1" ht="18" customHeight="1" x14ac:dyDescent="0.3">
      <c r="C637" s="136" t="s">
        <v>284</v>
      </c>
      <c r="E637" s="137" t="s">
        <v>105</v>
      </c>
      <c r="F637" s="186" t="s">
        <v>265</v>
      </c>
      <c r="H637" s="267"/>
      <c r="I637"/>
      <c r="J637"/>
      <c r="K637"/>
      <c r="L637"/>
      <c r="M637" s="140">
        <f>SUMIFS($H$512:$H$613,J$512:J$613,$F637)*$D$514/10^3</f>
        <v>604186.39803480112</v>
      </c>
      <c r="N637" s="218"/>
      <c r="O637" s="218"/>
      <c r="P637" s="218"/>
      <c r="Q637" s="236"/>
      <c r="R637" s="140"/>
      <c r="S637" s="139"/>
      <c r="T637" s="140"/>
      <c r="U637" s="140"/>
      <c r="V637" s="140"/>
      <c r="W637" s="140"/>
      <c r="X637" s="140">
        <f>SUMIFS(S$512:S$613,U$512:U$613,$F637)*$D$514/10^3</f>
        <v>604186.39803480112</v>
      </c>
      <c r="Y637" s="140"/>
      <c r="Z637" s="140"/>
      <c r="AA637" s="140"/>
      <c r="AB637" s="140"/>
      <c r="AC637" s="140"/>
      <c r="AD637" s="140"/>
      <c r="AE637" s="140"/>
      <c r="AF637" s="140"/>
      <c r="AG637" s="140"/>
      <c r="AH637" s="140">
        <f>SUMIFS(S$512:S$613,AE$512:AE$613,$F637)*$D$514/10^3</f>
        <v>604186.39803480112</v>
      </c>
      <c r="AI637" s="140"/>
      <c r="AJ637" s="140"/>
      <c r="AK637" s="140"/>
      <c r="AL637" s="140"/>
      <c r="AM637" s="140"/>
      <c r="AN637" s="140"/>
      <c r="AO637" s="140"/>
      <c r="AP637" s="140"/>
      <c r="AQ637" s="140"/>
      <c r="AR637" s="140"/>
      <c r="AS637" s="140"/>
      <c r="AT637" s="140"/>
      <c r="AU637" s="140"/>
      <c r="AV637" s="140"/>
      <c r="AW637" s="140"/>
      <c r="AX637" s="140"/>
      <c r="AY637" s="140"/>
      <c r="AZ637" s="140"/>
      <c r="BA637" s="140"/>
      <c r="BB637" s="141">
        <f>SUMIFS(S$512:S$613,AY$512:AY$613,$F637)*$D$514/10^3</f>
        <v>604186.39803480112</v>
      </c>
      <c r="BC637" s="140"/>
      <c r="BD637" s="139"/>
      <c r="BE637" s="140"/>
      <c r="BF637" s="140"/>
      <c r="BG637" s="140"/>
      <c r="BH637" s="140"/>
      <c r="BI637" s="218"/>
      <c r="BJ637" s="301"/>
      <c r="BK637" s="301"/>
      <c r="BL637" s="301"/>
      <c r="BM637" s="301"/>
      <c r="BN637" s="301"/>
      <c r="BO637" s="301"/>
      <c r="BP637" s="301"/>
      <c r="BQ637" s="301"/>
      <c r="BR637" s="301"/>
      <c r="BS637" s="301"/>
      <c r="BT637" s="301"/>
      <c r="BU637" s="301"/>
      <c r="BV637" s="301"/>
      <c r="BW637" s="301"/>
      <c r="BX637" s="301"/>
      <c r="BY637" s="301"/>
      <c r="BZ637" s="301"/>
      <c r="CA637" s="301"/>
      <c r="CB637" s="301"/>
      <c r="CC637" s="301"/>
      <c r="CD637" s="301"/>
      <c r="CE637" s="301"/>
      <c r="CF637" s="301"/>
      <c r="CG637" s="301"/>
      <c r="CH637" s="301"/>
      <c r="CI637" s="301"/>
      <c r="CJ637" s="301"/>
      <c r="CK637" s="301"/>
      <c r="CL637" s="301"/>
      <c r="CM637" s="302"/>
      <c r="CN637" s="140"/>
      <c r="CO637" s="139"/>
      <c r="CP637" s="140"/>
      <c r="CQ637" s="140"/>
      <c r="CR637" s="140"/>
      <c r="CS637" s="140"/>
      <c r="CT637" s="218"/>
      <c r="CU637" s="301"/>
      <c r="CV637" s="301"/>
      <c r="CW637" s="301"/>
      <c r="CX637" s="301"/>
      <c r="CY637" s="301"/>
      <c r="CZ637" s="301"/>
      <c r="DA637" s="301"/>
      <c r="DB637" s="301"/>
      <c r="DC637" s="301"/>
      <c r="DD637" s="301"/>
      <c r="DE637" s="301"/>
      <c r="DF637" s="301"/>
      <c r="DG637" s="301"/>
      <c r="DH637" s="301"/>
      <c r="DI637" s="301"/>
      <c r="DJ637" s="301"/>
      <c r="DK637" s="301"/>
      <c r="DL637" s="301"/>
      <c r="DM637" s="301"/>
      <c r="DN637" s="301"/>
      <c r="DO637" s="301"/>
      <c r="DP637" s="301"/>
      <c r="DQ637" s="301"/>
      <c r="DR637" s="301"/>
      <c r="DS637" s="301"/>
      <c r="DT637" s="301"/>
      <c r="DU637" s="301"/>
      <c r="DV637" s="301"/>
      <c r="DW637" s="301"/>
      <c r="DX637" s="302"/>
      <c r="DY637" s="140"/>
      <c r="DZ637" s="139"/>
      <c r="EA637" s="140"/>
      <c r="EB637" s="140"/>
      <c r="EC637" s="140"/>
      <c r="ED637" s="140"/>
      <c r="EE637" s="218"/>
      <c r="EF637" s="301"/>
      <c r="EG637" s="301"/>
      <c r="EH637" s="301"/>
      <c r="EI637" s="301"/>
      <c r="EJ637" s="301"/>
      <c r="EK637" s="301"/>
      <c r="EL637" s="301"/>
      <c r="EM637" s="301"/>
      <c r="EN637" s="301"/>
      <c r="EO637" s="301"/>
      <c r="EP637" s="301"/>
      <c r="EQ637" s="301"/>
      <c r="ER637" s="301"/>
      <c r="ES637" s="301"/>
      <c r="ET637" s="301"/>
      <c r="EU637" s="301"/>
      <c r="EV637" s="301"/>
      <c r="EW637" s="301"/>
      <c r="EX637" s="301"/>
      <c r="EY637" s="301"/>
      <c r="EZ637" s="301"/>
      <c r="FA637" s="301"/>
      <c r="FB637" s="301"/>
      <c r="FC637" s="301"/>
      <c r="FD637" s="301"/>
      <c r="FE637" s="301"/>
      <c r="FF637" s="301"/>
      <c r="FG637" s="301"/>
      <c r="FH637" s="301"/>
      <c r="FI637" s="302"/>
      <c r="FJ637" s="140"/>
      <c r="FK637" s="139"/>
      <c r="FL637" s="140"/>
      <c r="FM637" s="140"/>
      <c r="FN637" s="140"/>
      <c r="FO637" s="140"/>
      <c r="FP637" s="218"/>
      <c r="FQ637" s="301"/>
      <c r="FR637" s="301"/>
      <c r="FS637" s="301"/>
      <c r="FT637" s="301"/>
      <c r="FU637" s="301"/>
      <c r="FV637" s="301"/>
      <c r="FW637" s="301"/>
      <c r="FX637" s="301"/>
      <c r="FY637" s="301"/>
      <c r="FZ637" s="301"/>
      <c r="GA637" s="301"/>
      <c r="GB637" s="301"/>
      <c r="GC637" s="301"/>
      <c r="GD637" s="301"/>
      <c r="GE637" s="301"/>
      <c r="GF637" s="301"/>
      <c r="GG637" s="301"/>
      <c r="GH637" s="301"/>
      <c r="GI637" s="301"/>
      <c r="GJ637" s="301"/>
      <c r="GK637" s="301"/>
      <c r="GL637" s="301"/>
      <c r="GM637" s="301"/>
      <c r="GN637" s="301"/>
      <c r="GO637" s="301"/>
      <c r="GP637" s="301"/>
      <c r="GQ637" s="301"/>
      <c r="GR637" s="301"/>
      <c r="GS637" s="301"/>
      <c r="GT637" s="302"/>
      <c r="GU637" s="140"/>
      <c r="GV637" s="139"/>
      <c r="GW637" s="140"/>
      <c r="GX637" s="140"/>
      <c r="GY637" s="140"/>
      <c r="GZ637" s="140"/>
      <c r="HA637" s="218"/>
      <c r="HB637" s="301"/>
      <c r="HC637" s="301"/>
      <c r="HD637" s="301"/>
      <c r="HE637" s="301"/>
      <c r="HF637" s="301"/>
      <c r="HG637" s="301"/>
      <c r="HH637" s="301"/>
      <c r="HI637" s="301"/>
      <c r="HJ637" s="301"/>
      <c r="HK637" s="301"/>
      <c r="HL637" s="301"/>
      <c r="HM637" s="301"/>
      <c r="HN637" s="301"/>
      <c r="HO637" s="301"/>
      <c r="HP637" s="301"/>
      <c r="HQ637" s="301"/>
      <c r="HR637" s="301"/>
      <c r="HS637" s="301"/>
      <c r="HT637" s="301"/>
      <c r="HU637" s="301"/>
      <c r="HV637" s="301"/>
      <c r="HW637" s="301"/>
      <c r="HX637" s="301"/>
      <c r="HY637" s="301"/>
      <c r="HZ637" s="301"/>
      <c r="IA637" s="301"/>
      <c r="IB637" s="301"/>
      <c r="IC637" s="301"/>
      <c r="ID637" s="301"/>
      <c r="IE637" s="302"/>
      <c r="IF637" s="140"/>
      <c r="IG637" s="139"/>
      <c r="IH637" s="140"/>
      <c r="II637" s="140"/>
      <c r="IJ637" s="140"/>
      <c r="IK637" s="140"/>
      <c r="IL637" s="140">
        <f>SUMIFS(IG$512:IG$613,II$512:II$613,$F637)*$D$514/10^3</f>
        <v>604186.39803480112</v>
      </c>
      <c r="IM637" s="140"/>
      <c r="IN637" s="140"/>
      <c r="IO637" s="140"/>
      <c r="IP637" s="140"/>
      <c r="IQ637" s="140"/>
      <c r="IR637" s="140"/>
      <c r="IS637" s="140"/>
      <c r="IT637" s="140"/>
      <c r="IU637" s="140"/>
      <c r="IV637" s="140">
        <f>SUMIFS(IG$512:IG$613,IS$512:IS$613,$F637)*$D$514/10^3</f>
        <v>604186.39803480112</v>
      </c>
      <c r="IW637" s="140"/>
      <c r="IX637" s="140"/>
      <c r="IY637" s="140"/>
      <c r="IZ637" s="140"/>
      <c r="JA637" s="140"/>
      <c r="JB637" s="140"/>
      <c r="JC637" s="140"/>
      <c r="JD637" s="140"/>
      <c r="JE637" s="140"/>
      <c r="JF637" s="140"/>
      <c r="JG637" s="140"/>
      <c r="JH637" s="140"/>
      <c r="JI637" s="140"/>
      <c r="JJ637" s="140"/>
      <c r="JK637" s="140"/>
      <c r="JL637" s="140"/>
      <c r="JM637" s="140"/>
      <c r="JN637" s="140"/>
      <c r="JO637" s="140"/>
      <c r="JP637" s="141">
        <f>SUMIFS(IG$512:IG$613,JM$512:JM$613,$F637)*$D$514/10^3</f>
        <v>604186.39803480112</v>
      </c>
      <c r="JQ637" s="140"/>
      <c r="JR637" s="139"/>
      <c r="JS637" s="140"/>
      <c r="JT637" s="140"/>
      <c r="JU637" s="140"/>
      <c r="JV637" s="140"/>
      <c r="JW637" s="140">
        <f>SUMIFS(JR$512:JR$613,JT$512:JT$613,$F637)*$D$514/10^3</f>
        <v>604186.39803480112</v>
      </c>
      <c r="JX637" s="140"/>
      <c r="JY637" s="140"/>
      <c r="JZ637" s="140"/>
      <c r="KA637" s="140"/>
      <c r="KB637" s="140"/>
      <c r="KC637" s="140"/>
      <c r="KD637" s="140"/>
      <c r="KE637" s="140"/>
      <c r="KF637" s="140"/>
      <c r="KG637" s="140">
        <f>SUMIFS(JR$512:JR$613,KD$512:KD$613,$F637)*$D$514/10^3</f>
        <v>604186.39803480112</v>
      </c>
      <c r="KH637" s="140"/>
      <c r="KI637" s="140"/>
      <c r="KJ637" s="140"/>
      <c r="KK637" s="140"/>
      <c r="KL637" s="140"/>
      <c r="KM637" s="140"/>
      <c r="KN637" s="140"/>
      <c r="KO637" s="140"/>
      <c r="KP637" s="140"/>
      <c r="KQ637" s="140"/>
      <c r="KR637" s="140"/>
      <c r="KS637" s="140"/>
      <c r="KT637" s="140"/>
      <c r="KU637" s="140"/>
      <c r="KV637" s="140"/>
      <c r="KW637" s="140"/>
      <c r="KX637" s="140"/>
      <c r="KY637" s="140"/>
      <c r="KZ637" s="140"/>
      <c r="LA637" s="141">
        <f>SUMIFS(JR$512:JR$613,KX$512:KX$613,$F637)*$D$514/10^3</f>
        <v>604186.39803480112</v>
      </c>
      <c r="LB637" s="140"/>
      <c r="LC637" s="139"/>
      <c r="LD637" s="140"/>
      <c r="LE637" s="140"/>
      <c r="LF637" s="140"/>
      <c r="LG637" s="140"/>
      <c r="LH637" s="140">
        <f t="shared" si="1055"/>
        <v>604186.39803480112</v>
      </c>
      <c r="LI637" s="140"/>
      <c r="LJ637" s="140"/>
      <c r="LK637" s="140"/>
      <c r="LL637" s="140"/>
      <c r="LM637" s="140"/>
      <c r="LN637" s="140"/>
      <c r="LO637" s="140"/>
      <c r="LP637" s="140"/>
      <c r="LQ637" s="140"/>
      <c r="LR637" s="140">
        <f t="shared" si="1056"/>
        <v>604186.39803480112</v>
      </c>
      <c r="LS637" s="140"/>
      <c r="LT637" s="140"/>
      <c r="LU637" s="140"/>
      <c r="LV637" s="140"/>
      <c r="LW637" s="140"/>
      <c r="LX637" s="140"/>
      <c r="LY637" s="140"/>
      <c r="LZ637" s="140"/>
      <c r="MA637" s="140"/>
      <c r="MB637" s="140">
        <f t="shared" si="1057"/>
        <v>604186.39803480112</v>
      </c>
      <c r="MC637" s="140"/>
      <c r="MD637" s="140"/>
      <c r="ME637" s="140"/>
      <c r="MF637" s="140"/>
      <c r="MG637" s="140"/>
      <c r="MH637" s="140"/>
      <c r="MI637" s="140"/>
      <c r="MJ637" s="140"/>
      <c r="MK637" s="140"/>
      <c r="ML637" s="141">
        <f t="shared" si="1058"/>
        <v>604186.39803480112</v>
      </c>
      <c r="MO637"/>
      <c r="MP637"/>
      <c r="MQ637"/>
      <c r="MR637"/>
      <c r="MS637"/>
      <c r="MT637"/>
      <c r="MU637"/>
      <c r="MV637"/>
    </row>
    <row r="638" spans="3:360" s="4" customFormat="1" ht="18" customHeight="1" x14ac:dyDescent="0.3">
      <c r="C638" s="204" t="s">
        <v>244</v>
      </c>
      <c r="E638" s="1"/>
      <c r="F638" s="138"/>
      <c r="H638" s="267"/>
      <c r="I638"/>
      <c r="J638"/>
      <c r="K638"/>
      <c r="L638"/>
      <c r="M638"/>
      <c r="N638" s="1"/>
      <c r="O638" s="1"/>
      <c r="P638" s="1"/>
      <c r="Q638" s="138"/>
      <c r="S638" s="245"/>
      <c r="T638" s="1"/>
      <c r="U638" s="1"/>
      <c r="V638" s="1"/>
      <c r="W638" s="1"/>
      <c r="X638"/>
      <c r="Y638" s="1"/>
      <c r="Z638" s="1"/>
      <c r="AA638" s="1"/>
      <c r="AB638" s="1"/>
      <c r="AC638" s="1"/>
      <c r="AD638" s="1"/>
      <c r="AE638" s="1"/>
      <c r="AF638" s="1"/>
      <c r="AG638" s="1"/>
      <c r="AH638"/>
      <c r="AI638" s="1"/>
      <c r="AJ638" s="1"/>
      <c r="AK638" s="1"/>
      <c r="AL638" s="1"/>
      <c r="AM638" s="1"/>
      <c r="AN638" s="1"/>
      <c r="AO638" s="1"/>
      <c r="AP638" s="1"/>
      <c r="AQ638" s="1"/>
      <c r="AR638" s="1"/>
      <c r="AS638" s="1"/>
      <c r="AT638" s="1"/>
      <c r="AU638" s="1"/>
      <c r="AV638" s="1"/>
      <c r="AW638" s="1"/>
      <c r="AX638" s="1"/>
      <c r="AY638" s="1"/>
      <c r="AZ638" s="1"/>
      <c r="BA638" s="1"/>
      <c r="BB638" s="266"/>
      <c r="BD638" s="245"/>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38"/>
      <c r="CO638" s="245"/>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38"/>
      <c r="DZ638" s="245"/>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38"/>
      <c r="FK638" s="245"/>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38"/>
      <c r="GV638" s="245"/>
      <c r="GW638" s="1"/>
      <c r="GX638" s="1"/>
      <c r="GY638" s="1"/>
      <c r="GZ638" s="1"/>
      <c r="HA638" s="1"/>
      <c r="HB638" s="1"/>
      <c r="HC638" s="1"/>
      <c r="HD638" s="1"/>
      <c r="HE638" s="1"/>
      <c r="HF638" s="1"/>
      <c r="HG638" s="1"/>
      <c r="HH638" s="1"/>
      <c r="HI638" s="1"/>
      <c r="HJ638" s="1"/>
      <c r="HK638" s="1"/>
      <c r="HL638" s="1"/>
      <c r="HM638" s="1"/>
      <c r="HN638" s="1"/>
      <c r="HO638" s="1"/>
      <c r="HP638" s="1"/>
      <c r="HQ638" s="1"/>
      <c r="HR638" s="1"/>
      <c r="HS638" s="1"/>
      <c r="HT638" s="1"/>
      <c r="HU638" s="1"/>
      <c r="HV638" s="1"/>
      <c r="HW638" s="1"/>
      <c r="HX638" s="1"/>
      <c r="HY638" s="1"/>
      <c r="HZ638" s="1"/>
      <c r="IA638" s="1"/>
      <c r="IB638" s="1"/>
      <c r="IC638" s="1"/>
      <c r="ID638" s="1"/>
      <c r="IE638" s="138"/>
      <c r="IG638" s="245"/>
      <c r="IH638" s="1"/>
      <c r="II638" s="1"/>
      <c r="IJ638" s="1"/>
      <c r="IK638" s="1"/>
      <c r="IL638"/>
      <c r="IM638" s="1"/>
      <c r="IN638" s="1"/>
      <c r="IO638" s="1"/>
      <c r="IP638" s="1"/>
      <c r="IQ638" s="1"/>
      <c r="IR638" s="1"/>
      <c r="IS638" s="1"/>
      <c r="IT638" s="1"/>
      <c r="IU638" s="1"/>
      <c r="IV638"/>
      <c r="IW638" s="1"/>
      <c r="IX638" s="1"/>
      <c r="IY638" s="1"/>
      <c r="IZ638" s="1"/>
      <c r="JA638" s="1"/>
      <c r="JB638" s="1"/>
      <c r="JC638" s="1"/>
      <c r="JD638" s="1"/>
      <c r="JE638" s="1"/>
      <c r="JF638" s="1"/>
      <c r="JG638" s="1"/>
      <c r="JH638" s="1"/>
      <c r="JI638" s="1"/>
      <c r="JJ638" s="1"/>
      <c r="JK638" s="1"/>
      <c r="JL638" s="1"/>
      <c r="JM638" s="1"/>
      <c r="JN638" s="1"/>
      <c r="JO638" s="1"/>
      <c r="JP638" s="266"/>
      <c r="JR638" s="245"/>
      <c r="JS638" s="1"/>
      <c r="JT638" s="1"/>
      <c r="JU638" s="1"/>
      <c r="JV638" s="1"/>
      <c r="JW638"/>
      <c r="JX638" s="1"/>
      <c r="JY638" s="1"/>
      <c r="JZ638" s="1"/>
      <c r="KA638" s="1"/>
      <c r="KB638" s="1"/>
      <c r="KC638" s="1"/>
      <c r="KD638" s="1"/>
      <c r="KE638" s="1"/>
      <c r="KF638" s="1"/>
      <c r="KG638"/>
      <c r="KH638" s="1"/>
      <c r="KI638" s="1"/>
      <c r="KJ638" s="1"/>
      <c r="KK638" s="1"/>
      <c r="KL638" s="1"/>
      <c r="KM638" s="1"/>
      <c r="KN638" s="1"/>
      <c r="KO638" s="1"/>
      <c r="KP638" s="1"/>
      <c r="KQ638" s="1"/>
      <c r="KR638" s="1"/>
      <c r="KS638" s="1"/>
      <c r="KT638" s="1"/>
      <c r="KU638" s="1"/>
      <c r="KV638" s="1"/>
      <c r="KW638" s="1"/>
      <c r="KX638" s="1"/>
      <c r="KY638" s="1"/>
      <c r="KZ638" s="1"/>
      <c r="LA638" s="266"/>
      <c r="LC638" s="245"/>
      <c r="LD638" s="1"/>
      <c r="LE638" s="1"/>
      <c r="LF638" s="1"/>
      <c r="LG638" s="1"/>
      <c r="LH638"/>
      <c r="LI638" s="1"/>
      <c r="LJ638" s="1"/>
      <c r="LK638" s="1"/>
      <c r="LL638" s="1"/>
      <c r="LM638" s="1"/>
      <c r="LN638" s="1"/>
      <c r="LO638" s="1"/>
      <c r="LP638" s="1"/>
      <c r="LQ638" s="1"/>
      <c r="LR638"/>
      <c r="LS638" s="1"/>
      <c r="LT638" s="1"/>
      <c r="LU638" s="1"/>
      <c r="LV638" s="1"/>
      <c r="LW638" s="1"/>
      <c r="LX638" s="1"/>
      <c r="LY638" s="1"/>
      <c r="LZ638" s="1"/>
      <c r="MA638" s="1"/>
      <c r="MB638"/>
      <c r="MC638" s="1"/>
      <c r="MD638" s="1"/>
      <c r="ME638" s="1"/>
      <c r="MF638" s="1"/>
      <c r="MG638" s="1"/>
      <c r="MH638" s="1"/>
      <c r="MI638" s="1"/>
      <c r="MJ638" s="1"/>
      <c r="MK638" s="1"/>
      <c r="ML638" s="266"/>
      <c r="MO638"/>
      <c r="MP638"/>
      <c r="MQ638"/>
      <c r="MR638"/>
      <c r="MS638"/>
      <c r="MT638"/>
      <c r="MU638"/>
      <c r="MV638"/>
    </row>
    <row r="639" spans="3:360" s="4" customFormat="1" ht="18" customHeight="1" x14ac:dyDescent="0.3">
      <c r="C639" s="136" t="s">
        <v>285</v>
      </c>
      <c r="E639" s="137" t="s">
        <v>103</v>
      </c>
      <c r="F639" s="186" t="s">
        <v>255</v>
      </c>
      <c r="H639" s="267"/>
      <c r="I639"/>
      <c r="J639"/>
      <c r="K639"/>
      <c r="L639"/>
      <c r="M639" s="140">
        <f>SUMIFS(H$512:H$613,K$512:K$613,$F639)*$D$514/10^3</f>
        <v>531011.61333009531</v>
      </c>
      <c r="N639" s="237"/>
      <c r="O639" s="237"/>
      <c r="P639" s="237"/>
      <c r="Q639" s="236"/>
      <c r="R639" s="140"/>
      <c r="S639" s="139"/>
      <c r="T639" s="140"/>
      <c r="U639" s="140"/>
      <c r="V639" s="140"/>
      <c r="W639" s="140"/>
      <c r="X639" s="140">
        <f>SUMIFS(S$512:S$613,V$512:V$613,$F639)*$D$514/10^3</f>
        <v>531011.61333009531</v>
      </c>
      <c r="Y639" s="140"/>
      <c r="Z639" s="140"/>
      <c r="AA639" s="140"/>
      <c r="AB639" s="140"/>
      <c r="AC639" s="140"/>
      <c r="AD639" s="140"/>
      <c r="AE639" s="140"/>
      <c r="AF639" s="140"/>
      <c r="AG639" s="140"/>
      <c r="AH639" s="140">
        <f>SUMIFS(S$512:S$613,AF$512:AF$613,$F639)*$D$514/10^3</f>
        <v>531011.61333009531</v>
      </c>
      <c r="AI639" s="140"/>
      <c r="AJ639" s="140"/>
      <c r="AK639" s="140"/>
      <c r="AL639" s="140"/>
      <c r="AM639" s="140"/>
      <c r="AN639" s="140"/>
      <c r="AO639" s="140"/>
      <c r="AP639" s="140"/>
      <c r="AQ639" s="140"/>
      <c r="AR639" s="140"/>
      <c r="AS639" s="140"/>
      <c r="AT639" s="140"/>
      <c r="AU639" s="140"/>
      <c r="AV639" s="140"/>
      <c r="AW639" s="140"/>
      <c r="AX639" s="140"/>
      <c r="AY639" s="140"/>
      <c r="AZ639" s="140"/>
      <c r="BA639" s="140"/>
      <c r="BB639" s="141">
        <f>SUMIFS(S$512:S$613,AZ$512:AZ$613,$F639)*$D$514/10^3</f>
        <v>531011.61333009531</v>
      </c>
      <c r="BC639" s="140"/>
      <c r="BD639" s="139"/>
      <c r="BE639" s="140"/>
      <c r="BF639" s="140"/>
      <c r="BG639" s="140"/>
      <c r="BH639" s="140"/>
      <c r="BI639" s="219"/>
      <c r="BJ639" s="234"/>
      <c r="BK639" s="234"/>
      <c r="BL639" s="234"/>
      <c r="BM639" s="234"/>
      <c r="BN639" s="234"/>
      <c r="BO639" s="234"/>
      <c r="BP639" s="234"/>
      <c r="BQ639" s="234"/>
      <c r="BR639" s="234"/>
      <c r="BS639" s="234"/>
      <c r="BT639" s="234"/>
      <c r="BU639" s="234"/>
      <c r="BV639" s="234"/>
      <c r="BW639" s="234"/>
      <c r="BX639" s="234"/>
      <c r="BY639" s="234"/>
      <c r="BZ639" s="234"/>
      <c r="CA639" s="234"/>
      <c r="CB639" s="234"/>
      <c r="CC639" s="234"/>
      <c r="CD639" s="234"/>
      <c r="CE639" s="234"/>
      <c r="CF639" s="234"/>
      <c r="CG639" s="234"/>
      <c r="CH639" s="234"/>
      <c r="CI639" s="234"/>
      <c r="CJ639" s="234"/>
      <c r="CK639" s="234"/>
      <c r="CL639" s="234"/>
      <c r="CM639" s="189"/>
      <c r="CN639" s="140"/>
      <c r="CO639" s="139"/>
      <c r="CP639" s="140"/>
      <c r="CQ639" s="140"/>
      <c r="CR639" s="140"/>
      <c r="CS639" s="140"/>
      <c r="CT639" s="219"/>
      <c r="CU639" s="234"/>
      <c r="CV639" s="234"/>
      <c r="CW639" s="234"/>
      <c r="CX639" s="234"/>
      <c r="CY639" s="234"/>
      <c r="CZ639" s="234"/>
      <c r="DA639" s="234"/>
      <c r="DB639" s="234"/>
      <c r="DC639" s="234"/>
      <c r="DD639" s="234"/>
      <c r="DE639" s="234"/>
      <c r="DF639" s="234"/>
      <c r="DG639" s="234"/>
      <c r="DH639" s="234"/>
      <c r="DI639" s="234"/>
      <c r="DJ639" s="234"/>
      <c r="DK639" s="234"/>
      <c r="DL639" s="234"/>
      <c r="DM639" s="234"/>
      <c r="DN639" s="234"/>
      <c r="DO639" s="234"/>
      <c r="DP639" s="234"/>
      <c r="DQ639" s="234"/>
      <c r="DR639" s="234"/>
      <c r="DS639" s="234"/>
      <c r="DT639" s="234"/>
      <c r="DU639" s="234"/>
      <c r="DV639" s="234"/>
      <c r="DW639" s="234"/>
      <c r="DX639" s="189"/>
      <c r="DY639" s="140"/>
      <c r="DZ639" s="139"/>
      <c r="EA639" s="140"/>
      <c r="EB639" s="140"/>
      <c r="EC639" s="140"/>
      <c r="ED639" s="140"/>
      <c r="EE639" s="219"/>
      <c r="EF639" s="234"/>
      <c r="EG639" s="234"/>
      <c r="EH639" s="234"/>
      <c r="EI639" s="234"/>
      <c r="EJ639" s="234"/>
      <c r="EK639" s="234"/>
      <c r="EL639" s="234"/>
      <c r="EM639" s="234"/>
      <c r="EN639" s="234"/>
      <c r="EO639" s="234"/>
      <c r="EP639" s="234"/>
      <c r="EQ639" s="234"/>
      <c r="ER639" s="234"/>
      <c r="ES639" s="234"/>
      <c r="ET639" s="234"/>
      <c r="EU639" s="234"/>
      <c r="EV639" s="234"/>
      <c r="EW639" s="234"/>
      <c r="EX639" s="234"/>
      <c r="EY639" s="234"/>
      <c r="EZ639" s="234"/>
      <c r="FA639" s="234"/>
      <c r="FB639" s="234"/>
      <c r="FC639" s="234"/>
      <c r="FD639" s="234"/>
      <c r="FE639" s="234"/>
      <c r="FF639" s="234"/>
      <c r="FG639" s="234"/>
      <c r="FH639" s="234"/>
      <c r="FI639" s="189"/>
      <c r="FJ639" s="140"/>
      <c r="FK639" s="139"/>
      <c r="FL639" s="140"/>
      <c r="FM639" s="140"/>
      <c r="FN639" s="140"/>
      <c r="FO639" s="140"/>
      <c r="FP639" s="219"/>
      <c r="FQ639" s="234"/>
      <c r="FR639" s="234"/>
      <c r="FS639" s="234"/>
      <c r="FT639" s="234"/>
      <c r="FU639" s="234"/>
      <c r="FV639" s="234"/>
      <c r="FW639" s="234"/>
      <c r="FX639" s="234"/>
      <c r="FY639" s="234"/>
      <c r="FZ639" s="234"/>
      <c r="GA639" s="234"/>
      <c r="GB639" s="234"/>
      <c r="GC639" s="234"/>
      <c r="GD639" s="234"/>
      <c r="GE639" s="234"/>
      <c r="GF639" s="234"/>
      <c r="GG639" s="234"/>
      <c r="GH639" s="234"/>
      <c r="GI639" s="234"/>
      <c r="GJ639" s="234"/>
      <c r="GK639" s="234"/>
      <c r="GL639" s="234"/>
      <c r="GM639" s="234"/>
      <c r="GN639" s="234"/>
      <c r="GO639" s="234"/>
      <c r="GP639" s="234"/>
      <c r="GQ639" s="234"/>
      <c r="GR639" s="234"/>
      <c r="GS639" s="234"/>
      <c r="GT639" s="189"/>
      <c r="GU639" s="140"/>
      <c r="GV639" s="139"/>
      <c r="GW639" s="140"/>
      <c r="GX639" s="140"/>
      <c r="GY639" s="140"/>
      <c r="GZ639" s="140"/>
      <c r="HA639" s="219"/>
      <c r="HB639" s="234"/>
      <c r="HC639" s="234"/>
      <c r="HD639" s="234"/>
      <c r="HE639" s="234"/>
      <c r="HF639" s="234"/>
      <c r="HG639" s="234"/>
      <c r="HH639" s="234"/>
      <c r="HI639" s="234"/>
      <c r="HJ639" s="234"/>
      <c r="HK639" s="234"/>
      <c r="HL639" s="234"/>
      <c r="HM639" s="234"/>
      <c r="HN639" s="234"/>
      <c r="HO639" s="234"/>
      <c r="HP639" s="234"/>
      <c r="HQ639" s="234"/>
      <c r="HR639" s="234"/>
      <c r="HS639" s="234"/>
      <c r="HT639" s="234"/>
      <c r="HU639" s="234"/>
      <c r="HV639" s="234"/>
      <c r="HW639" s="234"/>
      <c r="HX639" s="234"/>
      <c r="HY639" s="234"/>
      <c r="HZ639" s="234"/>
      <c r="IA639" s="234"/>
      <c r="IB639" s="234"/>
      <c r="IC639" s="234"/>
      <c r="ID639" s="234"/>
      <c r="IE639" s="189"/>
      <c r="IF639" s="140"/>
      <c r="IG639" s="139"/>
      <c r="IH639" s="140"/>
      <c r="II639" s="140"/>
      <c r="IJ639" s="140"/>
      <c r="IK639" s="140"/>
      <c r="IL639" s="140">
        <f>SUMIFS(IG$512:IG$613,IJ$512:IJ$613,$F639)*$D$514/10^3</f>
        <v>531011.61333009531</v>
      </c>
      <c r="IM639" s="140"/>
      <c r="IN639" s="140"/>
      <c r="IO639" s="140"/>
      <c r="IP639" s="140"/>
      <c r="IQ639" s="140"/>
      <c r="IR639" s="140"/>
      <c r="IS639" s="140"/>
      <c r="IT639" s="140"/>
      <c r="IU639" s="140"/>
      <c r="IV639" s="140">
        <f>SUMIFS(IG$512:IG$613,IT$512:IT$613,$F639)*$D$514/10^3</f>
        <v>240784.59561616051</v>
      </c>
      <c r="IW639" s="140"/>
      <c r="IX639" s="140"/>
      <c r="IY639" s="140"/>
      <c r="IZ639" s="140"/>
      <c r="JA639" s="140"/>
      <c r="JB639" s="140"/>
      <c r="JC639" s="140"/>
      <c r="JD639" s="140"/>
      <c r="JE639" s="140"/>
      <c r="JF639" s="140"/>
      <c r="JG639" s="140"/>
      <c r="JH639" s="140"/>
      <c r="JI639" s="140"/>
      <c r="JJ639" s="140"/>
      <c r="JK639" s="140"/>
      <c r="JL639" s="140"/>
      <c r="JM639" s="140"/>
      <c r="JN639" s="140"/>
      <c r="JO639" s="140"/>
      <c r="JP639" s="141">
        <f>SUMIFS(IG$512:IG$613,JN$512:JN$613,$F639)*$D$514/10^3</f>
        <v>531011.61333009531</v>
      </c>
      <c r="JQ639" s="140"/>
      <c r="JR639" s="139"/>
      <c r="JS639" s="140"/>
      <c r="JT639" s="140"/>
      <c r="JU639" s="140"/>
      <c r="JV639" s="140"/>
      <c r="JW639" s="140">
        <f>SUMIFS(JR$512:JR$613,JU$512:JU$613,$F639)*$D$514/10^3</f>
        <v>531011.61333009531</v>
      </c>
      <c r="JX639" s="140"/>
      <c r="JY639" s="140"/>
      <c r="JZ639" s="140"/>
      <c r="KA639" s="140"/>
      <c r="KB639" s="140"/>
      <c r="KC639" s="140"/>
      <c r="KD639" s="140"/>
      <c r="KE639" s="140"/>
      <c r="KF639" s="140"/>
      <c r="KG639" s="140">
        <f>SUMIFS(JR$512:JR$613,KE$512:KE$613,$F639)*$D$514/10^3</f>
        <v>269955.62465384736</v>
      </c>
      <c r="KH639" s="140"/>
      <c r="KI639" s="140"/>
      <c r="KJ639" s="140"/>
      <c r="KK639" s="140"/>
      <c r="KL639" s="140"/>
      <c r="KM639" s="140"/>
      <c r="KN639" s="140"/>
      <c r="KO639" s="140"/>
      <c r="KP639" s="140"/>
      <c r="KQ639" s="140"/>
      <c r="KR639" s="140"/>
      <c r="KS639" s="140"/>
      <c r="KT639" s="140"/>
      <c r="KU639" s="140"/>
      <c r="KV639" s="140"/>
      <c r="KW639" s="140"/>
      <c r="KX639" s="140"/>
      <c r="KY639" s="140"/>
      <c r="KZ639" s="140"/>
      <c r="LA639" s="141">
        <f>SUMIFS(JR$512:JR$613,KY$512:KY$613,$F639)*$D$514/10^3</f>
        <v>38070.665015286162</v>
      </c>
      <c r="LB639" s="140"/>
      <c r="LC639" s="139"/>
      <c r="LD639" s="140"/>
      <c r="LE639" s="140"/>
      <c r="LF639" s="140"/>
      <c r="LG639" s="140"/>
      <c r="LH639" s="140">
        <f t="shared" ref="LH639:LH640" si="1059">SUMIFS($LC$512:$LC$613,LF$512:LF$613,$F639)*$D$514/10^3</f>
        <v>531011.61333009531</v>
      </c>
      <c r="LI639" s="140"/>
      <c r="LJ639" s="140"/>
      <c r="LK639" s="140"/>
      <c r="LL639" s="140"/>
      <c r="LM639" s="140"/>
      <c r="LN639" s="140"/>
      <c r="LO639" s="140"/>
      <c r="LP639" s="140"/>
      <c r="LQ639" s="140"/>
      <c r="LR639" s="140">
        <f t="shared" ref="LR639:LR640" si="1060">SUMIFS($LC$512:$LC$613,LP$512:LP$613,$F639)*$D$514/10^3</f>
        <v>447948.34420583455</v>
      </c>
      <c r="LS639" s="140"/>
      <c r="LT639" s="140"/>
      <c r="LU639" s="140"/>
      <c r="LV639" s="140"/>
      <c r="LW639" s="140"/>
      <c r="LX639" s="140"/>
      <c r="LY639" s="140"/>
      <c r="LZ639" s="140"/>
      <c r="MA639" s="140"/>
      <c r="MB639" s="140">
        <f t="shared" ref="MB639:MB640" si="1061">SUMIFS($LC$512:$LC$613,LZ$512:LZ$613,$F639)*$D$514/10^3</f>
        <v>380706.65015286161</v>
      </c>
      <c r="MC639" s="140"/>
      <c r="MD639" s="140"/>
      <c r="ME639" s="140"/>
      <c r="MF639" s="140"/>
      <c r="MG639" s="140"/>
      <c r="MH639" s="140"/>
      <c r="MI639" s="140"/>
      <c r="MJ639" s="140"/>
      <c r="MK639" s="140"/>
      <c r="ML639" s="141">
        <f t="shared" ref="ML639:ML640" si="1062">SUMIFS($LC$512:$LC$613,MJ$512:MJ$613,$F639)*$D$514/10^3</f>
        <v>333241.92493899836</v>
      </c>
      <c r="MO639"/>
      <c r="MP639"/>
      <c r="MQ639"/>
      <c r="MR639"/>
      <c r="MS639"/>
      <c r="MT639"/>
      <c r="MU639"/>
      <c r="MV639"/>
    </row>
    <row r="640" spans="3:360" s="4" customFormat="1" ht="18" customHeight="1" x14ac:dyDescent="0.3">
      <c r="C640" s="136" t="s">
        <v>286</v>
      </c>
      <c r="E640" s="137" t="s">
        <v>105</v>
      </c>
      <c r="F640" s="186" t="s">
        <v>266</v>
      </c>
      <c r="H640" s="267"/>
      <c r="I640"/>
      <c r="J640"/>
      <c r="K640"/>
      <c r="L640"/>
      <c r="M640" s="140">
        <f t="shared" ref="M640:M643" si="1063">SUMIFS(H$512:H$613,K$512:K$613,$F640)*$D$514/10^3</f>
        <v>473658.40369667712</v>
      </c>
      <c r="N640" s="237"/>
      <c r="O640" s="237"/>
      <c r="P640" s="237"/>
      <c r="Q640" s="236"/>
      <c r="R640" s="140"/>
      <c r="S640" s="139"/>
      <c r="T640" s="140"/>
      <c r="U640" s="140"/>
      <c r="V640" s="140"/>
      <c r="W640" s="140"/>
      <c r="X640" s="140">
        <f>SUMIFS(S$512:S$613,V$512:V$613,$F640)*$D$514/10^3</f>
        <v>473658.40369667712</v>
      </c>
      <c r="Y640" s="140"/>
      <c r="Z640" s="140"/>
      <c r="AA640" s="140"/>
      <c r="AB640" s="140"/>
      <c r="AC640" s="140"/>
      <c r="AD640" s="140"/>
      <c r="AE640" s="140"/>
      <c r="AF640" s="140"/>
      <c r="AG640" s="140"/>
      <c r="AH640" s="140">
        <f>SUMIFS(S$512:S$613,AF$512:AF$613,$F640)*$D$514/10^3</f>
        <v>473658.40369667712</v>
      </c>
      <c r="AI640" s="140"/>
      <c r="AJ640" s="140"/>
      <c r="AK640" s="140"/>
      <c r="AL640" s="140"/>
      <c r="AM640" s="140"/>
      <c r="AN640" s="140"/>
      <c r="AO640" s="140"/>
      <c r="AP640" s="140"/>
      <c r="AQ640" s="140"/>
      <c r="AR640" s="140"/>
      <c r="AS640" s="140"/>
      <c r="AT640" s="140"/>
      <c r="AU640" s="140"/>
      <c r="AV640" s="140"/>
      <c r="AW640" s="140"/>
      <c r="AX640" s="140"/>
      <c r="AY640" s="140"/>
      <c r="AZ640" s="140"/>
      <c r="BA640" s="140"/>
      <c r="BB640" s="141">
        <f>SUMIFS(S$512:S$613,AZ$512:AZ$613,$F640)*$D$514/10^3</f>
        <v>473658.40369667712</v>
      </c>
      <c r="BC640" s="140"/>
      <c r="BD640" s="139"/>
      <c r="BE640" s="140"/>
      <c r="BF640" s="140"/>
      <c r="BG640" s="140"/>
      <c r="BH640" s="140"/>
      <c r="BI640" s="219"/>
      <c r="BJ640" s="234"/>
      <c r="BK640" s="234"/>
      <c r="BL640" s="234"/>
      <c r="BM640" s="234"/>
      <c r="BN640" s="234"/>
      <c r="BO640" s="234"/>
      <c r="BP640" s="234"/>
      <c r="BQ640" s="234"/>
      <c r="BR640" s="234"/>
      <c r="BS640" s="234"/>
      <c r="BT640" s="234"/>
      <c r="BU640" s="234"/>
      <c r="BV640" s="234"/>
      <c r="BW640" s="234"/>
      <c r="BX640" s="234"/>
      <c r="BY640" s="234"/>
      <c r="BZ640" s="234"/>
      <c r="CA640" s="234"/>
      <c r="CB640" s="234"/>
      <c r="CC640" s="234"/>
      <c r="CD640" s="234"/>
      <c r="CE640" s="234"/>
      <c r="CF640" s="234"/>
      <c r="CG640" s="234"/>
      <c r="CH640" s="234"/>
      <c r="CI640" s="234"/>
      <c r="CJ640" s="234"/>
      <c r="CK640" s="234"/>
      <c r="CL640" s="234"/>
      <c r="CM640" s="189"/>
      <c r="CN640" s="140"/>
      <c r="CO640" s="139"/>
      <c r="CP640" s="140"/>
      <c r="CQ640" s="140"/>
      <c r="CR640" s="140"/>
      <c r="CS640" s="140"/>
      <c r="CT640" s="219"/>
      <c r="CU640" s="234"/>
      <c r="CV640" s="234"/>
      <c r="CW640" s="234"/>
      <c r="CX640" s="234"/>
      <c r="CY640" s="234"/>
      <c r="CZ640" s="234"/>
      <c r="DA640" s="234"/>
      <c r="DB640" s="234"/>
      <c r="DC640" s="234"/>
      <c r="DD640" s="234"/>
      <c r="DE640" s="234"/>
      <c r="DF640" s="234"/>
      <c r="DG640" s="234"/>
      <c r="DH640" s="234"/>
      <c r="DI640" s="234"/>
      <c r="DJ640" s="234"/>
      <c r="DK640" s="234"/>
      <c r="DL640" s="234"/>
      <c r="DM640" s="234"/>
      <c r="DN640" s="234"/>
      <c r="DO640" s="234"/>
      <c r="DP640" s="234"/>
      <c r="DQ640" s="234"/>
      <c r="DR640" s="234"/>
      <c r="DS640" s="234"/>
      <c r="DT640" s="234"/>
      <c r="DU640" s="234"/>
      <c r="DV640" s="234"/>
      <c r="DW640" s="234"/>
      <c r="DX640" s="189"/>
      <c r="DY640" s="140"/>
      <c r="DZ640" s="139"/>
      <c r="EA640" s="140"/>
      <c r="EB640" s="140"/>
      <c r="EC640" s="140"/>
      <c r="ED640" s="140"/>
      <c r="EE640" s="219"/>
      <c r="EF640" s="234"/>
      <c r="EG640" s="234"/>
      <c r="EH640" s="234"/>
      <c r="EI640" s="234"/>
      <c r="EJ640" s="234"/>
      <c r="EK640" s="234"/>
      <c r="EL640" s="234"/>
      <c r="EM640" s="234"/>
      <c r="EN640" s="234"/>
      <c r="EO640" s="234"/>
      <c r="EP640" s="234"/>
      <c r="EQ640" s="234"/>
      <c r="ER640" s="234"/>
      <c r="ES640" s="234"/>
      <c r="ET640" s="234"/>
      <c r="EU640" s="234"/>
      <c r="EV640" s="234"/>
      <c r="EW640" s="234"/>
      <c r="EX640" s="234"/>
      <c r="EY640" s="234"/>
      <c r="EZ640" s="234"/>
      <c r="FA640" s="234"/>
      <c r="FB640" s="234"/>
      <c r="FC640" s="234"/>
      <c r="FD640" s="234"/>
      <c r="FE640" s="234"/>
      <c r="FF640" s="234"/>
      <c r="FG640" s="234"/>
      <c r="FH640" s="234"/>
      <c r="FI640" s="189"/>
      <c r="FJ640" s="140"/>
      <c r="FK640" s="139"/>
      <c r="FL640" s="140"/>
      <c r="FM640" s="140"/>
      <c r="FN640" s="140"/>
      <c r="FO640" s="140"/>
      <c r="FP640" s="219"/>
      <c r="FQ640" s="234"/>
      <c r="FR640" s="234"/>
      <c r="FS640" s="234"/>
      <c r="FT640" s="234"/>
      <c r="FU640" s="234"/>
      <c r="FV640" s="234"/>
      <c r="FW640" s="234"/>
      <c r="FX640" s="234"/>
      <c r="FY640" s="234"/>
      <c r="FZ640" s="234"/>
      <c r="GA640" s="234"/>
      <c r="GB640" s="234"/>
      <c r="GC640" s="234"/>
      <c r="GD640" s="234"/>
      <c r="GE640" s="234"/>
      <c r="GF640" s="234"/>
      <c r="GG640" s="234"/>
      <c r="GH640" s="234"/>
      <c r="GI640" s="234"/>
      <c r="GJ640" s="234"/>
      <c r="GK640" s="234"/>
      <c r="GL640" s="234"/>
      <c r="GM640" s="234"/>
      <c r="GN640" s="234"/>
      <c r="GO640" s="234"/>
      <c r="GP640" s="234"/>
      <c r="GQ640" s="234"/>
      <c r="GR640" s="234"/>
      <c r="GS640" s="234"/>
      <c r="GT640" s="189"/>
      <c r="GU640" s="140"/>
      <c r="GV640" s="139"/>
      <c r="GW640" s="140"/>
      <c r="GX640" s="140"/>
      <c r="GY640" s="140"/>
      <c r="GZ640" s="140"/>
      <c r="HA640" s="219"/>
      <c r="HB640" s="234"/>
      <c r="HC640" s="234"/>
      <c r="HD640" s="234"/>
      <c r="HE640" s="234"/>
      <c r="HF640" s="234"/>
      <c r="HG640" s="234"/>
      <c r="HH640" s="234"/>
      <c r="HI640" s="234"/>
      <c r="HJ640" s="234"/>
      <c r="HK640" s="234"/>
      <c r="HL640" s="234"/>
      <c r="HM640" s="234"/>
      <c r="HN640" s="234"/>
      <c r="HO640" s="234"/>
      <c r="HP640" s="234"/>
      <c r="HQ640" s="234"/>
      <c r="HR640" s="234"/>
      <c r="HS640" s="234"/>
      <c r="HT640" s="234"/>
      <c r="HU640" s="234"/>
      <c r="HV640" s="234"/>
      <c r="HW640" s="234"/>
      <c r="HX640" s="234"/>
      <c r="HY640" s="234"/>
      <c r="HZ640" s="234"/>
      <c r="IA640" s="234"/>
      <c r="IB640" s="234"/>
      <c r="IC640" s="234"/>
      <c r="ID640" s="234"/>
      <c r="IE640" s="189"/>
      <c r="IF640" s="140"/>
      <c r="IG640" s="139"/>
      <c r="IH640" s="140"/>
      <c r="II640" s="140"/>
      <c r="IJ640" s="140"/>
      <c r="IK640" s="140"/>
      <c r="IL640" s="140">
        <f>SUMIFS(IG$512:IG$613,IJ$512:IJ$613,$F640)*$D$514/10^3</f>
        <v>473658.40369667712</v>
      </c>
      <c r="IM640" s="140"/>
      <c r="IN640" s="140"/>
      <c r="IO640" s="140"/>
      <c r="IP640" s="140"/>
      <c r="IQ640" s="140"/>
      <c r="IR640" s="140"/>
      <c r="IS640" s="140"/>
      <c r="IT640" s="140"/>
      <c r="IU640" s="140"/>
      <c r="IV640" s="140">
        <f>SUMIFS(IG$512:IG$613,IT$512:IT$613,$F640)*$D$514/10^3</f>
        <v>473658.40369667712</v>
      </c>
      <c r="IW640" s="140"/>
      <c r="IX640" s="140"/>
      <c r="IY640" s="140"/>
      <c r="IZ640" s="140"/>
      <c r="JA640" s="140"/>
      <c r="JB640" s="140"/>
      <c r="JC640" s="140"/>
      <c r="JD640" s="140"/>
      <c r="JE640" s="140"/>
      <c r="JF640" s="140"/>
      <c r="JG640" s="140"/>
      <c r="JH640" s="140"/>
      <c r="JI640" s="140"/>
      <c r="JJ640" s="140"/>
      <c r="JK640" s="140"/>
      <c r="JL640" s="140"/>
      <c r="JM640" s="140"/>
      <c r="JN640" s="140"/>
      <c r="JO640" s="140"/>
      <c r="JP640" s="141">
        <f>SUMIFS(IG$512:IG$613,JN$512:JN$613,$F640)*$D$514/10^3</f>
        <v>473658.40369667712</v>
      </c>
      <c r="JQ640" s="140"/>
      <c r="JR640" s="139"/>
      <c r="JS640" s="140"/>
      <c r="JT640" s="140"/>
      <c r="JU640" s="140"/>
      <c r="JV640" s="140"/>
      <c r="JW640" s="140">
        <f>SUMIFS(JR$512:JR$613,JU$512:JU$613,$F640)*$D$514/10^3</f>
        <v>473658.40369667712</v>
      </c>
      <c r="JX640" s="140"/>
      <c r="JY640" s="140"/>
      <c r="JZ640" s="140"/>
      <c r="KA640" s="140"/>
      <c r="KB640" s="140"/>
      <c r="KC640" s="140"/>
      <c r="KD640" s="140"/>
      <c r="KE640" s="140"/>
      <c r="KF640" s="140"/>
      <c r="KG640" s="140">
        <f>SUMIFS(JR$512:JR$613,KE$512:KE$613,$F640)*$D$514/10^3</f>
        <v>473658.40369667712</v>
      </c>
      <c r="KH640" s="140"/>
      <c r="KI640" s="140"/>
      <c r="KJ640" s="140"/>
      <c r="KK640" s="140"/>
      <c r="KL640" s="140"/>
      <c r="KM640" s="140"/>
      <c r="KN640" s="140"/>
      <c r="KO640" s="140"/>
      <c r="KP640" s="140"/>
      <c r="KQ640" s="140"/>
      <c r="KR640" s="140"/>
      <c r="KS640" s="140"/>
      <c r="KT640" s="140"/>
      <c r="KU640" s="140"/>
      <c r="KV640" s="140"/>
      <c r="KW640" s="140"/>
      <c r="KX640" s="140"/>
      <c r="KY640" s="140"/>
      <c r="KZ640" s="140"/>
      <c r="LA640" s="141">
        <f>SUMIFS(JR$512:JR$613,KY$512:KY$613,$F640)*$D$514/10^3</f>
        <v>414327.49717934808</v>
      </c>
      <c r="LB640" s="140"/>
      <c r="LC640" s="139"/>
      <c r="LD640" s="140"/>
      <c r="LE640" s="140"/>
      <c r="LF640" s="140"/>
      <c r="LG640" s="140"/>
      <c r="LH640" s="140">
        <f t="shared" si="1059"/>
        <v>473658.40369667712</v>
      </c>
      <c r="LI640" s="140"/>
      <c r="LJ640" s="140"/>
      <c r="LK640" s="140"/>
      <c r="LL640" s="140"/>
      <c r="LM640" s="140"/>
      <c r="LN640" s="140"/>
      <c r="LO640" s="140"/>
      <c r="LP640" s="140"/>
      <c r="LQ640" s="140"/>
      <c r="LR640" s="140">
        <f t="shared" si="1060"/>
        <v>473658.40369667712</v>
      </c>
      <c r="LS640" s="140"/>
      <c r="LT640" s="140"/>
      <c r="LU640" s="140"/>
      <c r="LV640" s="140"/>
      <c r="LW640" s="140"/>
      <c r="LX640" s="140"/>
      <c r="LY640" s="140"/>
      <c r="LZ640" s="140"/>
      <c r="MA640" s="140"/>
      <c r="MB640" s="140">
        <f t="shared" si="1061"/>
        <v>461792.22239321138</v>
      </c>
      <c r="MC640" s="140"/>
      <c r="MD640" s="140"/>
      <c r="ME640" s="140"/>
      <c r="MF640" s="140"/>
      <c r="MG640" s="140"/>
      <c r="MH640" s="140"/>
      <c r="MI640" s="140"/>
      <c r="MJ640" s="140"/>
      <c r="MK640" s="140"/>
      <c r="ML640" s="141">
        <f t="shared" si="1062"/>
        <v>438059.85978627967</v>
      </c>
    </row>
    <row r="641" spans="3:350" s="4" customFormat="1" ht="18" customHeight="1" x14ac:dyDescent="0.3">
      <c r="C641" s="136" t="s">
        <v>287</v>
      </c>
      <c r="E641" s="137" t="s">
        <v>105</v>
      </c>
      <c r="F641" s="186" t="s">
        <v>262</v>
      </c>
      <c r="H641" s="267"/>
      <c r="I641"/>
      <c r="J641"/>
      <c r="K641"/>
      <c r="L641"/>
      <c r="M641" s="140">
        <f t="shared" si="1063"/>
        <v>0</v>
      </c>
      <c r="N641" s="237"/>
      <c r="O641" s="237"/>
      <c r="P641" s="237"/>
      <c r="Q641" s="236"/>
      <c r="R641" s="140"/>
      <c r="S641" s="139"/>
      <c r="T641" s="140"/>
      <c r="U641" s="140"/>
      <c r="V641" s="140"/>
      <c r="W641" s="140"/>
      <c r="X641" s="140">
        <f>SUMIFS(S$512:S$613,V$512:V$613,$F641)*$D$514/10^3</f>
        <v>0</v>
      </c>
      <c r="Y641" s="140"/>
      <c r="Z641" s="140"/>
      <c r="AA641" s="140"/>
      <c r="AB641" s="140"/>
      <c r="AC641" s="140"/>
      <c r="AD641" s="140"/>
      <c r="AE641" s="140"/>
      <c r="AF641" s="140"/>
      <c r="AG641" s="140"/>
      <c r="AH641" s="140">
        <f>SUMIFS(S$512:S$613,AF$512:AF$613,$F641)*$D$514/10^3</f>
        <v>0</v>
      </c>
      <c r="AI641" s="140"/>
      <c r="AJ641" s="140"/>
      <c r="AK641" s="140"/>
      <c r="AL641" s="140"/>
      <c r="AM641" s="140"/>
      <c r="AN641" s="140"/>
      <c r="AO641" s="140"/>
      <c r="AP641" s="140"/>
      <c r="AQ641" s="140"/>
      <c r="AR641" s="140"/>
      <c r="AS641" s="140"/>
      <c r="AT641" s="140"/>
      <c r="AU641" s="140"/>
      <c r="AV641" s="140"/>
      <c r="AW641" s="140"/>
      <c r="AX641" s="140"/>
      <c r="AY641" s="140"/>
      <c r="AZ641" s="140"/>
      <c r="BA641" s="140"/>
      <c r="BB641" s="141">
        <f>SUMIFS(S$512:S$613,AZ$512:AZ$613,$F641)*$D$514/10^3</f>
        <v>0</v>
      </c>
      <c r="BC641" s="140"/>
      <c r="BD641" s="139"/>
      <c r="BE641" s="140"/>
      <c r="BF641" s="140"/>
      <c r="BG641" s="140"/>
      <c r="BH641" s="140"/>
      <c r="BI641" s="219"/>
      <c r="BJ641" s="234"/>
      <c r="BK641" s="234"/>
      <c r="BL641" s="234"/>
      <c r="BM641" s="234"/>
      <c r="BN641" s="234"/>
      <c r="BO641" s="234"/>
      <c r="BP641" s="234"/>
      <c r="BQ641" s="234"/>
      <c r="BR641" s="234"/>
      <c r="BS641" s="234"/>
      <c r="BT641" s="234"/>
      <c r="BU641" s="234"/>
      <c r="BV641" s="234"/>
      <c r="BW641" s="234"/>
      <c r="BX641" s="234"/>
      <c r="BY641" s="234"/>
      <c r="BZ641" s="234"/>
      <c r="CA641" s="234"/>
      <c r="CB641" s="234"/>
      <c r="CC641" s="234"/>
      <c r="CD641" s="234"/>
      <c r="CE641" s="234"/>
      <c r="CF641" s="234"/>
      <c r="CG641" s="234"/>
      <c r="CH641" s="234"/>
      <c r="CI641" s="234"/>
      <c r="CJ641" s="234"/>
      <c r="CK641" s="234"/>
      <c r="CL641" s="234"/>
      <c r="CM641" s="189"/>
      <c r="CN641" s="140"/>
      <c r="CO641" s="139"/>
      <c r="CP641" s="140"/>
      <c r="CQ641" s="140"/>
      <c r="CR641" s="140"/>
      <c r="CS641" s="140"/>
      <c r="CT641" s="219"/>
      <c r="CU641" s="234"/>
      <c r="CV641" s="234"/>
      <c r="CW641" s="234"/>
      <c r="CX641" s="234"/>
      <c r="CY641" s="234"/>
      <c r="CZ641" s="234"/>
      <c r="DA641" s="234"/>
      <c r="DB641" s="234"/>
      <c r="DC641" s="234"/>
      <c r="DD641" s="234"/>
      <c r="DE641" s="234"/>
      <c r="DF641" s="234"/>
      <c r="DG641" s="234"/>
      <c r="DH641" s="234"/>
      <c r="DI641" s="234"/>
      <c r="DJ641" s="234"/>
      <c r="DK641" s="234"/>
      <c r="DL641" s="234"/>
      <c r="DM641" s="234"/>
      <c r="DN641" s="234"/>
      <c r="DO641" s="234"/>
      <c r="DP641" s="234"/>
      <c r="DQ641" s="234"/>
      <c r="DR641" s="234"/>
      <c r="DS641" s="234"/>
      <c r="DT641" s="234"/>
      <c r="DU641" s="234"/>
      <c r="DV641" s="234"/>
      <c r="DW641" s="234"/>
      <c r="DX641" s="189"/>
      <c r="DY641" s="140"/>
      <c r="DZ641" s="139"/>
      <c r="EA641" s="140"/>
      <c r="EB641" s="140"/>
      <c r="EC641" s="140"/>
      <c r="ED641" s="140"/>
      <c r="EE641" s="219"/>
      <c r="EF641" s="234"/>
      <c r="EG641" s="234"/>
      <c r="EH641" s="234"/>
      <c r="EI641" s="234"/>
      <c r="EJ641" s="234"/>
      <c r="EK641" s="234"/>
      <c r="EL641" s="234"/>
      <c r="EM641" s="234"/>
      <c r="EN641" s="234"/>
      <c r="EO641" s="234"/>
      <c r="EP641" s="234"/>
      <c r="EQ641" s="234"/>
      <c r="ER641" s="234"/>
      <c r="ES641" s="234"/>
      <c r="ET641" s="234"/>
      <c r="EU641" s="234"/>
      <c r="EV641" s="234"/>
      <c r="EW641" s="234"/>
      <c r="EX641" s="234"/>
      <c r="EY641" s="234"/>
      <c r="EZ641" s="234"/>
      <c r="FA641" s="234"/>
      <c r="FB641" s="234"/>
      <c r="FC641" s="234"/>
      <c r="FD641" s="234"/>
      <c r="FE641" s="234"/>
      <c r="FF641" s="234"/>
      <c r="FG641" s="234"/>
      <c r="FH641" s="234"/>
      <c r="FI641" s="189"/>
      <c r="FJ641" s="140"/>
      <c r="FK641" s="139"/>
      <c r="FL641" s="140"/>
      <c r="FM641" s="140"/>
      <c r="FN641" s="140"/>
      <c r="FO641" s="140"/>
      <c r="FP641" s="219"/>
      <c r="FQ641" s="234"/>
      <c r="FR641" s="234"/>
      <c r="FS641" s="234"/>
      <c r="FT641" s="234"/>
      <c r="FU641" s="234"/>
      <c r="FV641" s="234"/>
      <c r="FW641" s="234"/>
      <c r="FX641" s="234"/>
      <c r="FY641" s="234"/>
      <c r="FZ641" s="234"/>
      <c r="GA641" s="234"/>
      <c r="GB641" s="234"/>
      <c r="GC641" s="234"/>
      <c r="GD641" s="234"/>
      <c r="GE641" s="234"/>
      <c r="GF641" s="234"/>
      <c r="GG641" s="234"/>
      <c r="GH641" s="234"/>
      <c r="GI641" s="234"/>
      <c r="GJ641" s="234"/>
      <c r="GK641" s="234"/>
      <c r="GL641" s="234"/>
      <c r="GM641" s="234"/>
      <c r="GN641" s="234"/>
      <c r="GO641" s="234"/>
      <c r="GP641" s="234"/>
      <c r="GQ641" s="234"/>
      <c r="GR641" s="234"/>
      <c r="GS641" s="234"/>
      <c r="GT641" s="189"/>
      <c r="GU641" s="140"/>
      <c r="GV641" s="139"/>
      <c r="GW641" s="140"/>
      <c r="GX641" s="140"/>
      <c r="GY641" s="140"/>
      <c r="GZ641" s="140"/>
      <c r="HA641" s="219"/>
      <c r="HB641" s="234"/>
      <c r="HC641" s="234"/>
      <c r="HD641" s="234"/>
      <c r="HE641" s="234"/>
      <c r="HF641" s="234"/>
      <c r="HG641" s="234"/>
      <c r="HH641" s="234"/>
      <c r="HI641" s="234"/>
      <c r="HJ641" s="234"/>
      <c r="HK641" s="234"/>
      <c r="HL641" s="234"/>
      <c r="HM641" s="234"/>
      <c r="HN641" s="234"/>
      <c r="HO641" s="234"/>
      <c r="HP641" s="234"/>
      <c r="HQ641" s="234"/>
      <c r="HR641" s="234"/>
      <c r="HS641" s="234"/>
      <c r="HT641" s="234"/>
      <c r="HU641" s="234"/>
      <c r="HV641" s="234"/>
      <c r="HW641" s="234"/>
      <c r="HX641" s="234"/>
      <c r="HY641" s="234"/>
      <c r="HZ641" s="234"/>
      <c r="IA641" s="234"/>
      <c r="IB641" s="234"/>
      <c r="IC641" s="234"/>
      <c r="ID641" s="234"/>
      <c r="IE641" s="189"/>
      <c r="IF641" s="140"/>
      <c r="IG641" s="139"/>
      <c r="IH641" s="140"/>
      <c r="II641" s="140"/>
      <c r="IJ641" s="140"/>
      <c r="IK641" s="140"/>
      <c r="IL641" s="140">
        <f>SUMIFS(IG$512:IG$613,IJ$512:IJ$613,$F641)*$D$514/10^3</f>
        <v>0</v>
      </c>
      <c r="IM641" s="140"/>
      <c r="IN641" s="140"/>
      <c r="IO641" s="140"/>
      <c r="IP641" s="140"/>
      <c r="IQ641" s="140"/>
      <c r="IR641" s="140"/>
      <c r="IS641" s="140"/>
      <c r="IT641" s="140"/>
      <c r="IU641" s="140"/>
      <c r="IV641" s="140">
        <f>SUMIFS(IG$512:IG$613,IT$512:IT$613,$F641)*$D$514/10^3</f>
        <v>93446.177764793305</v>
      </c>
      <c r="IW641" s="140"/>
      <c r="IX641" s="140"/>
      <c r="IY641" s="140"/>
      <c r="IZ641" s="140"/>
      <c r="JA641" s="140"/>
      <c r="JB641" s="140"/>
      <c r="JC641" s="140"/>
      <c r="JD641" s="140"/>
      <c r="JE641" s="140"/>
      <c r="JF641" s="140"/>
      <c r="JG641" s="140"/>
      <c r="JH641" s="140"/>
      <c r="JI641" s="140"/>
      <c r="JJ641" s="140"/>
      <c r="JK641" s="140"/>
      <c r="JL641" s="140"/>
      <c r="JM641" s="140"/>
      <c r="JN641" s="140"/>
      <c r="JO641" s="140"/>
      <c r="JP641" s="141">
        <f>SUMIFS(IG$512:IG$613,JN$512:JN$613,$F641)*$D$514/10^3</f>
        <v>0</v>
      </c>
      <c r="JQ641" s="140"/>
      <c r="JR641" s="139"/>
      <c r="JS641" s="140"/>
      <c r="JT641" s="140"/>
      <c r="JU641" s="140"/>
      <c r="JV641" s="140"/>
      <c r="JW641" s="140">
        <f>SUMIFS(JR$512:JR$613,JU$512:JU$613,$F641)*$D$514/10^3</f>
        <v>0</v>
      </c>
      <c r="JX641" s="140"/>
      <c r="JY641" s="140"/>
      <c r="JZ641" s="140"/>
      <c r="KA641" s="140"/>
      <c r="KB641" s="140"/>
      <c r="KC641" s="140"/>
      <c r="KD641" s="140"/>
      <c r="KE641" s="140"/>
      <c r="KF641" s="140"/>
      <c r="KG641" s="140">
        <f>SUMIFS(JR$512:JR$613,KE$512:KE$613,$F641)*$D$514/10^3</f>
        <v>142394.1756415898</v>
      </c>
      <c r="KH641" s="140"/>
      <c r="KI641" s="140"/>
      <c r="KJ641" s="140"/>
      <c r="KK641" s="140"/>
      <c r="KL641" s="140"/>
      <c r="KM641" s="140"/>
      <c r="KN641" s="140"/>
      <c r="KO641" s="140"/>
      <c r="KP641" s="140"/>
      <c r="KQ641" s="140"/>
      <c r="KR641" s="140"/>
      <c r="KS641" s="140"/>
      <c r="KT641" s="140"/>
      <c r="KU641" s="140"/>
      <c r="KV641" s="140"/>
      <c r="KW641" s="140"/>
      <c r="KX641" s="140"/>
      <c r="KY641" s="140"/>
      <c r="KZ641" s="140"/>
      <c r="LA641" s="141">
        <f>SUMIFS(JR$512:JR$613,KY$512:KY$613,$F641)*$D$514/10^3</f>
        <v>221502.05099802857</v>
      </c>
      <c r="LB641" s="140"/>
      <c r="LC641" s="139"/>
      <c r="LD641" s="140"/>
      <c r="LE641" s="140"/>
      <c r="LF641" s="140"/>
      <c r="LG641" s="140"/>
      <c r="LH641" s="140">
        <f>SUMIFS($LC$512:$LC$613,LF$512:LF$613,$F641)*$D$514/10^3</f>
        <v>0</v>
      </c>
      <c r="LI641" s="140"/>
      <c r="LJ641" s="140"/>
      <c r="LK641" s="140"/>
      <c r="LL641" s="140"/>
      <c r="LM641" s="140"/>
      <c r="LN641" s="140"/>
      <c r="LO641" s="140"/>
      <c r="LP641" s="140"/>
      <c r="LQ641" s="140"/>
      <c r="LR641" s="140">
        <f>SUMIFS($LC$512:$LC$613,LP$512:LP$613,$F641)*$D$514/10^3</f>
        <v>35598.54391039745</v>
      </c>
      <c r="LS641" s="140"/>
      <c r="LT641" s="140"/>
      <c r="LU641" s="140"/>
      <c r="LV641" s="140"/>
      <c r="LW641" s="140"/>
      <c r="LX641" s="140"/>
      <c r="LY641" s="140"/>
      <c r="LZ641" s="140"/>
      <c r="MA641" s="140"/>
      <c r="MB641" s="140">
        <f>SUMIFS($LC$512:$LC$613,LZ$512:LZ$613,$F641)*$D$514/10^3</f>
        <v>47464.725213863261</v>
      </c>
      <c r="MC641" s="140"/>
      <c r="MD641" s="140"/>
      <c r="ME641" s="140"/>
      <c r="MF641" s="140"/>
      <c r="MG641" s="140"/>
      <c r="MH641" s="140"/>
      <c r="MI641" s="140"/>
      <c r="MJ641" s="140"/>
      <c r="MK641" s="140"/>
      <c r="ML641" s="141">
        <f>SUMIFS($LC$512:$LC$613,MJ$512:MJ$613,$F641)*$D$514/10^3</f>
        <v>59330.90651732908</v>
      </c>
    </row>
    <row r="642" spans="3:350" s="4" customFormat="1" ht="18" customHeight="1" x14ac:dyDescent="0.3">
      <c r="C642" s="136" t="s">
        <v>288</v>
      </c>
      <c r="E642" s="137" t="s">
        <v>105</v>
      </c>
      <c r="F642" s="186" t="s">
        <v>264</v>
      </c>
      <c r="H642" s="267"/>
      <c r="I642"/>
      <c r="J642"/>
      <c r="K642"/>
      <c r="L642"/>
      <c r="M642" s="140">
        <f t="shared" si="1063"/>
        <v>0</v>
      </c>
      <c r="N642" s="237"/>
      <c r="O642" s="237"/>
      <c r="P642" s="237"/>
      <c r="Q642" s="236"/>
      <c r="R642" s="140"/>
      <c r="S642" s="139"/>
      <c r="T642" s="140"/>
      <c r="U642" s="140"/>
      <c r="V642" s="140"/>
      <c r="W642" s="140"/>
      <c r="X642" s="140">
        <f>SUMIFS(S$512:S$613,V$512:V$613,$F642)*$D$514/10^3</f>
        <v>0</v>
      </c>
      <c r="Y642" s="140"/>
      <c r="Z642" s="140"/>
      <c r="AA642" s="140"/>
      <c r="AB642" s="140"/>
      <c r="AC642" s="140"/>
      <c r="AD642" s="140"/>
      <c r="AE642" s="140"/>
      <c r="AF642" s="140"/>
      <c r="AG642" s="140"/>
      <c r="AH642" s="140">
        <f>SUMIFS(S$512:S$613,AF$512:AF$613,$F642)*$D$514/10^3</f>
        <v>0</v>
      </c>
      <c r="AI642" s="140"/>
      <c r="AJ642" s="140"/>
      <c r="AK642" s="140"/>
      <c r="AL642" s="140"/>
      <c r="AM642" s="140"/>
      <c r="AN642" s="140"/>
      <c r="AO642" s="140"/>
      <c r="AP642" s="140"/>
      <c r="AQ642" s="140"/>
      <c r="AR642" s="140"/>
      <c r="AS642" s="140"/>
      <c r="AT642" s="140"/>
      <c r="AU642" s="140"/>
      <c r="AV642" s="140"/>
      <c r="AW642" s="140"/>
      <c r="AX642" s="140"/>
      <c r="AY642" s="140"/>
      <c r="AZ642" s="140"/>
      <c r="BA642" s="140"/>
      <c r="BB642" s="141">
        <f>SUMIFS(S$512:S$613,AZ$512:AZ$613,$F642)*$D$514/10^3</f>
        <v>0</v>
      </c>
      <c r="BC642" s="140"/>
      <c r="BD642" s="139"/>
      <c r="BE642" s="140"/>
      <c r="BF642" s="140"/>
      <c r="BG642" s="140"/>
      <c r="BH642" s="140"/>
      <c r="BI642" s="219"/>
      <c r="BJ642" s="234"/>
      <c r="BK642" s="234"/>
      <c r="BL642" s="234"/>
      <c r="BM642" s="234"/>
      <c r="BN642" s="234"/>
      <c r="BO642" s="234"/>
      <c r="BP642" s="234"/>
      <c r="BQ642" s="234"/>
      <c r="BR642" s="234"/>
      <c r="BS642" s="234"/>
      <c r="BT642" s="234"/>
      <c r="BU642" s="234"/>
      <c r="BV642" s="234"/>
      <c r="BW642" s="234"/>
      <c r="BX642" s="234"/>
      <c r="BY642" s="234"/>
      <c r="BZ642" s="234"/>
      <c r="CA642" s="234"/>
      <c r="CB642" s="234"/>
      <c r="CC642" s="234"/>
      <c r="CD642" s="234"/>
      <c r="CE642" s="234"/>
      <c r="CF642" s="234"/>
      <c r="CG642" s="234"/>
      <c r="CH642" s="234"/>
      <c r="CI642" s="234"/>
      <c r="CJ642" s="234"/>
      <c r="CK642" s="234"/>
      <c r="CL642" s="234"/>
      <c r="CM642" s="189"/>
      <c r="CN642" s="140"/>
      <c r="CO642" s="139"/>
      <c r="CP642" s="140"/>
      <c r="CQ642" s="140"/>
      <c r="CR642" s="140"/>
      <c r="CS642" s="140"/>
      <c r="CT642" s="219"/>
      <c r="CU642" s="234"/>
      <c r="CV642" s="234"/>
      <c r="CW642" s="234"/>
      <c r="CX642" s="234"/>
      <c r="CY642" s="234"/>
      <c r="CZ642" s="234"/>
      <c r="DA642" s="234"/>
      <c r="DB642" s="234"/>
      <c r="DC642" s="234"/>
      <c r="DD642" s="234"/>
      <c r="DE642" s="234"/>
      <c r="DF642" s="234"/>
      <c r="DG642" s="234"/>
      <c r="DH642" s="234"/>
      <c r="DI642" s="234"/>
      <c r="DJ642" s="234"/>
      <c r="DK642" s="234"/>
      <c r="DL642" s="234"/>
      <c r="DM642" s="234"/>
      <c r="DN642" s="234"/>
      <c r="DO642" s="234"/>
      <c r="DP642" s="234"/>
      <c r="DQ642" s="234"/>
      <c r="DR642" s="234"/>
      <c r="DS642" s="234"/>
      <c r="DT642" s="234"/>
      <c r="DU642" s="234"/>
      <c r="DV642" s="234"/>
      <c r="DW642" s="234"/>
      <c r="DX642" s="189"/>
      <c r="DY642" s="140"/>
      <c r="DZ642" s="139"/>
      <c r="EA642" s="140"/>
      <c r="EB642" s="140"/>
      <c r="EC642" s="140"/>
      <c r="ED642" s="140"/>
      <c r="EE642" s="219"/>
      <c r="EF642" s="234"/>
      <c r="EG642" s="234"/>
      <c r="EH642" s="234"/>
      <c r="EI642" s="234"/>
      <c r="EJ642" s="234"/>
      <c r="EK642" s="234"/>
      <c r="EL642" s="234"/>
      <c r="EM642" s="234"/>
      <c r="EN642" s="234"/>
      <c r="EO642" s="234"/>
      <c r="EP642" s="234"/>
      <c r="EQ642" s="234"/>
      <c r="ER642" s="234"/>
      <c r="ES642" s="234"/>
      <c r="ET642" s="234"/>
      <c r="EU642" s="234"/>
      <c r="EV642" s="234"/>
      <c r="EW642" s="234"/>
      <c r="EX642" s="234"/>
      <c r="EY642" s="234"/>
      <c r="EZ642" s="234"/>
      <c r="FA642" s="234"/>
      <c r="FB642" s="234"/>
      <c r="FC642" s="234"/>
      <c r="FD642" s="234"/>
      <c r="FE642" s="234"/>
      <c r="FF642" s="234"/>
      <c r="FG642" s="234"/>
      <c r="FH642" s="234"/>
      <c r="FI642" s="189"/>
      <c r="FJ642" s="140"/>
      <c r="FK642" s="139"/>
      <c r="FL642" s="140"/>
      <c r="FM642" s="140"/>
      <c r="FN642" s="140"/>
      <c r="FO642" s="140"/>
      <c r="FP642" s="219"/>
      <c r="FQ642" s="234"/>
      <c r="FR642" s="234"/>
      <c r="FS642" s="234"/>
      <c r="FT642" s="234"/>
      <c r="FU642" s="234"/>
      <c r="FV642" s="234"/>
      <c r="FW642" s="234"/>
      <c r="FX642" s="234"/>
      <c r="FY642" s="234"/>
      <c r="FZ642" s="234"/>
      <c r="GA642" s="234"/>
      <c r="GB642" s="234"/>
      <c r="GC642" s="234"/>
      <c r="GD642" s="234"/>
      <c r="GE642" s="234"/>
      <c r="GF642" s="234"/>
      <c r="GG642" s="234"/>
      <c r="GH642" s="234"/>
      <c r="GI642" s="234"/>
      <c r="GJ642" s="234"/>
      <c r="GK642" s="234"/>
      <c r="GL642" s="234"/>
      <c r="GM642" s="234"/>
      <c r="GN642" s="234"/>
      <c r="GO642" s="234"/>
      <c r="GP642" s="234"/>
      <c r="GQ642" s="234"/>
      <c r="GR642" s="234"/>
      <c r="GS642" s="234"/>
      <c r="GT642" s="189"/>
      <c r="GU642" s="140"/>
      <c r="GV642" s="139"/>
      <c r="GW642" s="140"/>
      <c r="GX642" s="140"/>
      <c r="GY642" s="140"/>
      <c r="GZ642" s="140"/>
      <c r="HA642" s="219"/>
      <c r="HB642" s="234"/>
      <c r="HC642" s="234"/>
      <c r="HD642" s="234"/>
      <c r="HE642" s="234"/>
      <c r="HF642" s="234"/>
      <c r="HG642" s="234"/>
      <c r="HH642" s="234"/>
      <c r="HI642" s="234"/>
      <c r="HJ642" s="234"/>
      <c r="HK642" s="234"/>
      <c r="HL642" s="234"/>
      <c r="HM642" s="234"/>
      <c r="HN642" s="234"/>
      <c r="HO642" s="234"/>
      <c r="HP642" s="234"/>
      <c r="HQ642" s="234"/>
      <c r="HR642" s="234"/>
      <c r="HS642" s="234"/>
      <c r="HT642" s="234"/>
      <c r="HU642" s="234"/>
      <c r="HV642" s="234"/>
      <c r="HW642" s="234"/>
      <c r="HX642" s="234"/>
      <c r="HY642" s="234"/>
      <c r="HZ642" s="234"/>
      <c r="IA642" s="234"/>
      <c r="IB642" s="234"/>
      <c r="IC642" s="234"/>
      <c r="ID642" s="234"/>
      <c r="IE642" s="189"/>
      <c r="IF642" s="140"/>
      <c r="IG642" s="139"/>
      <c r="IH642" s="140"/>
      <c r="II642" s="140"/>
      <c r="IJ642" s="140"/>
      <c r="IK642" s="140"/>
      <c r="IL642" s="140">
        <f>SUMIFS(IG$512:IG$613,IJ$512:IJ$613,$F642)*$D$514/10^3</f>
        <v>0</v>
      </c>
      <c r="IM642" s="140"/>
      <c r="IN642" s="140"/>
      <c r="IO642" s="140"/>
      <c r="IP642" s="140"/>
      <c r="IQ642" s="140"/>
      <c r="IR642" s="140"/>
      <c r="IS642" s="140"/>
      <c r="IT642" s="140"/>
      <c r="IU642" s="140"/>
      <c r="IV642" s="140">
        <f>SUMIFS(IG$512:IG$613,IT$512:IT$613,$F642)*$D$514/10^3</f>
        <v>0</v>
      </c>
      <c r="IW642" s="140"/>
      <c r="IX642" s="140"/>
      <c r="IY642" s="140"/>
      <c r="IZ642" s="140"/>
      <c r="JA642" s="140"/>
      <c r="JB642" s="140"/>
      <c r="JC642" s="140"/>
      <c r="JD642" s="140"/>
      <c r="JE642" s="140"/>
      <c r="JF642" s="140"/>
      <c r="JG642" s="140"/>
      <c r="JH642" s="140"/>
      <c r="JI642" s="140"/>
      <c r="JJ642" s="140"/>
      <c r="JK642" s="140"/>
      <c r="JL642" s="140"/>
      <c r="JM642" s="140"/>
      <c r="JN642" s="140"/>
      <c r="JO642" s="140"/>
      <c r="JP642" s="141">
        <f>SUMIFS(IG$512:IG$613,JN$512:JN$613,$F642)*$D$514/10^3</f>
        <v>0</v>
      </c>
      <c r="JQ642" s="140"/>
      <c r="JR642" s="139"/>
      <c r="JS642" s="140"/>
      <c r="JT642" s="140"/>
      <c r="JU642" s="140"/>
      <c r="JV642" s="140"/>
      <c r="JW642" s="140">
        <f>SUMIFS(JR$512:JR$613,JU$512:JU$613,$F642)*$D$514/10^3</f>
        <v>0</v>
      </c>
      <c r="JX642" s="140"/>
      <c r="JY642" s="140"/>
      <c r="JZ642" s="140"/>
      <c r="KA642" s="140"/>
      <c r="KB642" s="140"/>
      <c r="KC642" s="140"/>
      <c r="KD642" s="140"/>
      <c r="KE642" s="140"/>
      <c r="KF642" s="140"/>
      <c r="KG642" s="140">
        <f>SUMIFS(JR$512:JR$613,KE$512:KE$613,$F642)*$D$514/10^3</f>
        <v>0</v>
      </c>
      <c r="KH642" s="140"/>
      <c r="KI642" s="140"/>
      <c r="KJ642" s="140"/>
      <c r="KK642" s="140"/>
      <c r="KL642" s="140"/>
      <c r="KM642" s="140"/>
      <c r="KN642" s="140"/>
      <c r="KO642" s="140"/>
      <c r="KP642" s="140"/>
      <c r="KQ642" s="140"/>
      <c r="KR642" s="140"/>
      <c r="KS642" s="140"/>
      <c r="KT642" s="140"/>
      <c r="KU642" s="140"/>
      <c r="KV642" s="140"/>
      <c r="KW642" s="140"/>
      <c r="KX642" s="140"/>
      <c r="KY642" s="140"/>
      <c r="KZ642" s="140"/>
      <c r="LA642" s="141">
        <f>SUMIFS(JR$512:JR$613,KY$512:KY$613,$F642)*$D$514/10^3</f>
        <v>152777.08428212238</v>
      </c>
      <c r="LB642" s="140"/>
      <c r="LC642" s="139"/>
      <c r="LD642" s="140"/>
      <c r="LE642" s="140"/>
      <c r="LF642" s="140"/>
      <c r="LG642" s="140"/>
      <c r="LH642" s="140">
        <f t="shared" ref="LH642:LH643" si="1064">SUMIFS($LC$512:$LC$613,LF$512:LF$613,$F642)*$D$514/10^3</f>
        <v>0</v>
      </c>
      <c r="LI642" s="140"/>
      <c r="LJ642" s="140"/>
      <c r="LK642" s="140"/>
      <c r="LL642" s="140"/>
      <c r="LM642" s="140"/>
      <c r="LN642" s="140"/>
      <c r="LO642" s="140"/>
      <c r="LP642" s="140"/>
      <c r="LQ642" s="140"/>
      <c r="LR642" s="140">
        <f t="shared" ref="LR642:LR643" si="1065">SUMIFS($LC$512:$LC$613,LP$512:LP$613,$F642)*$D$514/10^3</f>
        <v>0</v>
      </c>
      <c r="LS642" s="140"/>
      <c r="LT642" s="140"/>
      <c r="LU642" s="140"/>
      <c r="LV642" s="140"/>
      <c r="LW642" s="140"/>
      <c r="LX642" s="140"/>
      <c r="LY642" s="140"/>
      <c r="LZ642" s="140"/>
      <c r="MA642" s="140"/>
      <c r="MB642" s="140">
        <f t="shared" ref="MB642:MB643" si="1066">SUMIFS($LC$512:$LC$613,LZ$512:LZ$613,$F642)*$D$514/10^3</f>
        <v>15821.575071287754</v>
      </c>
      <c r="MC642" s="140"/>
      <c r="MD642" s="140"/>
      <c r="ME642" s="140"/>
      <c r="MF642" s="140"/>
      <c r="MG642" s="140"/>
      <c r="MH642" s="140"/>
      <c r="MI642" s="140"/>
      <c r="MJ642" s="140"/>
      <c r="MK642" s="140"/>
      <c r="ML642" s="141">
        <f t="shared" ref="ML642:ML643" si="1067">SUMIFS($LC$512:$LC$613,MJ$512:MJ$613,$F642)*$D$514/10^3</f>
        <v>51420.118981685206</v>
      </c>
    </row>
    <row r="643" spans="3:350" s="4" customFormat="1" ht="18" customHeight="1" x14ac:dyDescent="0.3">
      <c r="C643" s="136" t="s">
        <v>289</v>
      </c>
      <c r="E643" s="137" t="s">
        <v>105</v>
      </c>
      <c r="F643" s="186" t="s">
        <v>257</v>
      </c>
      <c r="H643" s="267"/>
      <c r="I643"/>
      <c r="J643"/>
      <c r="K643"/>
      <c r="L643"/>
      <c r="M643" s="140">
        <f t="shared" si="1063"/>
        <v>0</v>
      </c>
      <c r="N643" s="237"/>
      <c r="O643" s="237"/>
      <c r="P643" s="237"/>
      <c r="Q643" s="236"/>
      <c r="R643" s="140"/>
      <c r="S643" s="139"/>
      <c r="T643" s="140"/>
      <c r="U643" s="140"/>
      <c r="V643" s="140"/>
      <c r="W643" s="140"/>
      <c r="X643" s="140">
        <f>SUMIFS(S$512:S$613,V$512:V$613,$F643)*$D$514/10^3</f>
        <v>0</v>
      </c>
      <c r="Y643" s="140"/>
      <c r="Z643" s="140"/>
      <c r="AA643" s="140"/>
      <c r="AB643" s="140"/>
      <c r="AC643" s="140"/>
      <c r="AD643" s="140"/>
      <c r="AE643" s="140"/>
      <c r="AF643" s="140"/>
      <c r="AG643" s="140"/>
      <c r="AH643" s="140">
        <f>SUMIFS(S$512:S$613,AF$512:AF$613,$F643)*$D$514/10^3</f>
        <v>0</v>
      </c>
      <c r="AI643" s="140"/>
      <c r="AJ643" s="140"/>
      <c r="AK643" s="140"/>
      <c r="AL643" s="140"/>
      <c r="AM643" s="140"/>
      <c r="AN643" s="140"/>
      <c r="AO643" s="140"/>
      <c r="AP643" s="140"/>
      <c r="AQ643" s="140"/>
      <c r="AR643" s="140"/>
      <c r="AS643" s="140"/>
      <c r="AT643" s="140"/>
      <c r="AU643" s="140"/>
      <c r="AV643" s="140"/>
      <c r="AW643" s="140"/>
      <c r="AX643" s="140"/>
      <c r="AY643" s="140"/>
      <c r="AZ643" s="140"/>
      <c r="BA643" s="140"/>
      <c r="BB643" s="141">
        <f>SUMIFS(S$512:S$613,AZ$512:AZ$613,$F643)*$D$514/10^3</f>
        <v>0</v>
      </c>
      <c r="BC643" s="140"/>
      <c r="BD643" s="177"/>
      <c r="BE643" s="178"/>
      <c r="BF643" s="178"/>
      <c r="BG643" s="178"/>
      <c r="BH643" s="178"/>
      <c r="BI643" s="219"/>
      <c r="BJ643" s="234"/>
      <c r="BK643" s="234"/>
      <c r="BL643" s="234"/>
      <c r="BM643" s="234"/>
      <c r="BN643" s="234"/>
      <c r="BO643" s="234"/>
      <c r="BP643" s="234"/>
      <c r="BQ643" s="234"/>
      <c r="BR643" s="234"/>
      <c r="BS643" s="234"/>
      <c r="BT643" s="234"/>
      <c r="BU643" s="234"/>
      <c r="BV643" s="234"/>
      <c r="BW643" s="234"/>
      <c r="BX643" s="234"/>
      <c r="BY643" s="234"/>
      <c r="BZ643" s="234"/>
      <c r="CA643" s="234"/>
      <c r="CB643" s="234"/>
      <c r="CC643" s="234"/>
      <c r="CD643" s="234"/>
      <c r="CE643" s="234"/>
      <c r="CF643" s="234"/>
      <c r="CG643" s="234"/>
      <c r="CH643" s="234"/>
      <c r="CI643" s="234"/>
      <c r="CJ643" s="234"/>
      <c r="CK643" s="234"/>
      <c r="CL643" s="234"/>
      <c r="CM643" s="189"/>
      <c r="CN643" s="140"/>
      <c r="CO643" s="177"/>
      <c r="CP643" s="178"/>
      <c r="CQ643" s="178"/>
      <c r="CR643" s="178"/>
      <c r="CS643" s="178"/>
      <c r="CT643" s="219"/>
      <c r="CU643" s="234"/>
      <c r="CV643" s="234"/>
      <c r="CW643" s="234"/>
      <c r="CX643" s="234"/>
      <c r="CY643" s="234"/>
      <c r="CZ643" s="234"/>
      <c r="DA643" s="234"/>
      <c r="DB643" s="234"/>
      <c r="DC643" s="234"/>
      <c r="DD643" s="234"/>
      <c r="DE643" s="234"/>
      <c r="DF643" s="234"/>
      <c r="DG643" s="234"/>
      <c r="DH643" s="234"/>
      <c r="DI643" s="234"/>
      <c r="DJ643" s="234"/>
      <c r="DK643" s="234"/>
      <c r="DL643" s="234"/>
      <c r="DM643" s="234"/>
      <c r="DN643" s="234"/>
      <c r="DO643" s="234"/>
      <c r="DP643" s="234"/>
      <c r="DQ643" s="234"/>
      <c r="DR643" s="234"/>
      <c r="DS643" s="234"/>
      <c r="DT643" s="234"/>
      <c r="DU643" s="234"/>
      <c r="DV643" s="234"/>
      <c r="DW643" s="234"/>
      <c r="DX643" s="189"/>
      <c r="DY643" s="140"/>
      <c r="DZ643" s="177"/>
      <c r="EA643" s="178"/>
      <c r="EB643" s="178"/>
      <c r="EC643" s="178"/>
      <c r="ED643" s="178"/>
      <c r="EE643" s="219"/>
      <c r="EF643" s="234"/>
      <c r="EG643" s="234"/>
      <c r="EH643" s="234"/>
      <c r="EI643" s="234"/>
      <c r="EJ643" s="234"/>
      <c r="EK643" s="234"/>
      <c r="EL643" s="234"/>
      <c r="EM643" s="234"/>
      <c r="EN643" s="234"/>
      <c r="EO643" s="234"/>
      <c r="EP643" s="234"/>
      <c r="EQ643" s="234"/>
      <c r="ER643" s="234"/>
      <c r="ES643" s="234"/>
      <c r="ET643" s="234"/>
      <c r="EU643" s="234"/>
      <c r="EV643" s="234"/>
      <c r="EW643" s="234"/>
      <c r="EX643" s="234"/>
      <c r="EY643" s="234"/>
      <c r="EZ643" s="234"/>
      <c r="FA643" s="234"/>
      <c r="FB643" s="234"/>
      <c r="FC643" s="234"/>
      <c r="FD643" s="234"/>
      <c r="FE643" s="234"/>
      <c r="FF643" s="234"/>
      <c r="FG643" s="234"/>
      <c r="FH643" s="234"/>
      <c r="FI643" s="189"/>
      <c r="FJ643" s="140"/>
      <c r="FK643" s="177"/>
      <c r="FL643" s="178"/>
      <c r="FM643" s="178"/>
      <c r="FN643" s="178"/>
      <c r="FO643" s="178"/>
      <c r="FP643" s="219"/>
      <c r="FQ643" s="234"/>
      <c r="FR643" s="234"/>
      <c r="FS643" s="234"/>
      <c r="FT643" s="234"/>
      <c r="FU643" s="234"/>
      <c r="FV643" s="234"/>
      <c r="FW643" s="234"/>
      <c r="FX643" s="234"/>
      <c r="FY643" s="234"/>
      <c r="FZ643" s="234"/>
      <c r="GA643" s="234"/>
      <c r="GB643" s="234"/>
      <c r="GC643" s="234"/>
      <c r="GD643" s="234"/>
      <c r="GE643" s="234"/>
      <c r="GF643" s="234"/>
      <c r="GG643" s="234"/>
      <c r="GH643" s="234"/>
      <c r="GI643" s="234"/>
      <c r="GJ643" s="234"/>
      <c r="GK643" s="234"/>
      <c r="GL643" s="234"/>
      <c r="GM643" s="234"/>
      <c r="GN643" s="234"/>
      <c r="GO643" s="234"/>
      <c r="GP643" s="234"/>
      <c r="GQ643" s="234"/>
      <c r="GR643" s="234"/>
      <c r="GS643" s="234"/>
      <c r="GT643" s="189"/>
      <c r="GU643" s="140"/>
      <c r="GV643" s="177"/>
      <c r="GW643" s="178"/>
      <c r="GX643" s="178"/>
      <c r="GY643" s="178"/>
      <c r="GZ643" s="178"/>
      <c r="HA643" s="219"/>
      <c r="HB643" s="234"/>
      <c r="HC643" s="234"/>
      <c r="HD643" s="234"/>
      <c r="HE643" s="234"/>
      <c r="HF643" s="234"/>
      <c r="HG643" s="234"/>
      <c r="HH643" s="234"/>
      <c r="HI643" s="234"/>
      <c r="HJ643" s="234"/>
      <c r="HK643" s="234"/>
      <c r="HL643" s="234"/>
      <c r="HM643" s="234"/>
      <c r="HN643" s="234"/>
      <c r="HO643" s="234"/>
      <c r="HP643" s="234"/>
      <c r="HQ643" s="234"/>
      <c r="HR643" s="234"/>
      <c r="HS643" s="234"/>
      <c r="HT643" s="234"/>
      <c r="HU643" s="234"/>
      <c r="HV643" s="234"/>
      <c r="HW643" s="234"/>
      <c r="HX643" s="234"/>
      <c r="HY643" s="234"/>
      <c r="HZ643" s="234"/>
      <c r="IA643" s="234"/>
      <c r="IB643" s="234"/>
      <c r="IC643" s="234"/>
      <c r="ID643" s="234"/>
      <c r="IE643" s="189"/>
      <c r="IF643" s="140"/>
      <c r="IG643" s="139"/>
      <c r="IH643" s="140"/>
      <c r="II643" s="140"/>
      <c r="IJ643" s="140"/>
      <c r="IK643" s="140"/>
      <c r="IL643" s="140">
        <f>SUMIFS(IG$512:IG$613,IJ$512:IJ$613,$F643)*$D$514/10^3</f>
        <v>0</v>
      </c>
      <c r="IM643" s="140"/>
      <c r="IN643" s="140"/>
      <c r="IO643" s="140"/>
      <c r="IP643" s="140"/>
      <c r="IQ643" s="140"/>
      <c r="IR643" s="140"/>
      <c r="IS643" s="140"/>
      <c r="IT643" s="140"/>
      <c r="IU643" s="140"/>
      <c r="IV643" s="140">
        <f>SUMIFS(IG$512:IG$613,IT$512:IT$613,$F643)*$D$514/10^3</f>
        <v>196780.83994914143</v>
      </c>
      <c r="IW643" s="140"/>
      <c r="IX643" s="140"/>
      <c r="IY643" s="140"/>
      <c r="IZ643" s="140"/>
      <c r="JA643" s="140"/>
      <c r="JB643" s="140"/>
      <c r="JC643" s="140"/>
      <c r="JD643" s="140"/>
      <c r="JE643" s="140"/>
      <c r="JF643" s="140"/>
      <c r="JG643" s="140"/>
      <c r="JH643" s="140"/>
      <c r="JI643" s="140"/>
      <c r="JJ643" s="140"/>
      <c r="JK643" s="140"/>
      <c r="JL643" s="140"/>
      <c r="JM643" s="140"/>
      <c r="JN643" s="140"/>
      <c r="JO643" s="140"/>
      <c r="JP643" s="141">
        <f>SUMIFS(IG$512:IG$613,JN$512:JN$613,$F643)*$D$514/10^3</f>
        <v>0</v>
      </c>
      <c r="JQ643" s="140"/>
      <c r="JR643" s="139"/>
      <c r="JS643" s="140"/>
      <c r="JT643" s="140"/>
      <c r="JU643" s="140"/>
      <c r="JV643" s="140"/>
      <c r="JW643" s="140">
        <f>SUMIFS(JR$512:JR$613,JU$512:JU$613,$F643)*$D$514/10^3</f>
        <v>0</v>
      </c>
      <c r="JX643" s="140"/>
      <c r="JY643" s="140"/>
      <c r="JZ643" s="140"/>
      <c r="KA643" s="140"/>
      <c r="KB643" s="140"/>
      <c r="KC643" s="140"/>
      <c r="KD643" s="140"/>
      <c r="KE643" s="140"/>
      <c r="KF643" s="140"/>
      <c r="KG643" s="140">
        <f>SUMIFS(JR$512:JR$613,KE$512:KE$613,$F643)*$D$514/10^3</f>
        <v>118661.81303465816</v>
      </c>
      <c r="KH643" s="140"/>
      <c r="KI643" s="140"/>
      <c r="KJ643" s="140"/>
      <c r="KK643" s="140"/>
      <c r="KL643" s="140"/>
      <c r="KM643" s="140"/>
      <c r="KN643" s="140"/>
      <c r="KO643" s="140"/>
      <c r="KP643" s="140"/>
      <c r="KQ643" s="140"/>
      <c r="KR643" s="140"/>
      <c r="KS643" s="140"/>
      <c r="KT643" s="140"/>
      <c r="KU643" s="140"/>
      <c r="KV643" s="140"/>
      <c r="KW643" s="140"/>
      <c r="KX643" s="140"/>
      <c r="KY643" s="140"/>
      <c r="KZ643" s="140"/>
      <c r="LA643" s="141">
        <f>SUMIFS(JR$512:JR$613,KY$512:KY$613,$F643)*$D$514/10^3</f>
        <v>177992.71955198722</v>
      </c>
      <c r="LB643" s="140"/>
      <c r="LC643" s="139"/>
      <c r="LD643" s="140"/>
      <c r="LE643" s="140"/>
      <c r="LF643" s="140"/>
      <c r="LG643" s="140"/>
      <c r="LH643" s="140">
        <f t="shared" si="1064"/>
        <v>0</v>
      </c>
      <c r="LI643" s="140"/>
      <c r="LJ643" s="140"/>
      <c r="LK643" s="140"/>
      <c r="LL643" s="140"/>
      <c r="LM643" s="140"/>
      <c r="LN643" s="140"/>
      <c r="LO643" s="140"/>
      <c r="LP643" s="140"/>
      <c r="LQ643" s="140"/>
      <c r="LR643" s="140">
        <f t="shared" si="1065"/>
        <v>47464.725213863261</v>
      </c>
      <c r="LS643" s="140"/>
      <c r="LT643" s="140"/>
      <c r="LU643" s="140"/>
      <c r="LV643" s="140"/>
      <c r="LW643" s="140"/>
      <c r="LX643" s="140"/>
      <c r="LY643" s="140"/>
      <c r="LZ643" s="140"/>
      <c r="MA643" s="140"/>
      <c r="MB643" s="140">
        <f t="shared" si="1066"/>
        <v>98884.84419554846</v>
      </c>
      <c r="MC643" s="140"/>
      <c r="MD643" s="140"/>
      <c r="ME643" s="140"/>
      <c r="MF643" s="140"/>
      <c r="MG643" s="140"/>
      <c r="MH643" s="140"/>
      <c r="MI643" s="140"/>
      <c r="MJ643" s="140"/>
      <c r="MK643" s="140"/>
      <c r="ML643" s="141">
        <f t="shared" si="1067"/>
        <v>122617.2068024801</v>
      </c>
    </row>
    <row r="644" spans="3:350" s="4" customFormat="1" ht="18" customHeight="1" x14ac:dyDescent="0.3">
      <c r="C644" s="136" t="s">
        <v>290</v>
      </c>
      <c r="E644" s="137"/>
      <c r="F644" s="186"/>
      <c r="H644" s="267"/>
      <c r="I644"/>
      <c r="J644"/>
      <c r="K644"/>
      <c r="L644"/>
      <c r="M644" s="140"/>
      <c r="N644" s="218"/>
      <c r="O644" s="218"/>
      <c r="P644" s="218"/>
      <c r="Q644" s="236"/>
      <c r="R644" s="140"/>
      <c r="S644" s="139"/>
      <c r="T644" s="140"/>
      <c r="U644" s="140"/>
      <c r="V644" s="140"/>
      <c r="W644" s="140"/>
      <c r="X644" s="140"/>
      <c r="Y644" s="140"/>
      <c r="Z644" s="140"/>
      <c r="AA644" s="140"/>
      <c r="AB644" s="140"/>
      <c r="AC644" s="140"/>
      <c r="AD644" s="140"/>
      <c r="AE644" s="140"/>
      <c r="AF644" s="140"/>
      <c r="AG644" s="140"/>
      <c r="AH644" s="140"/>
      <c r="AI644" s="140"/>
      <c r="AJ644" s="140"/>
      <c r="AK644" s="140"/>
      <c r="AL644" s="140"/>
      <c r="AM644" s="140"/>
      <c r="AN644" s="140"/>
      <c r="AO644" s="140"/>
      <c r="AP644" s="140"/>
      <c r="AQ644" s="140"/>
      <c r="AR644" s="140"/>
      <c r="AS644" s="140"/>
      <c r="AT644" s="140"/>
      <c r="AU644" s="140"/>
      <c r="AV644" s="140"/>
      <c r="AW644" s="140"/>
      <c r="AX644" s="140"/>
      <c r="AY644" s="140"/>
      <c r="AZ644" s="140"/>
      <c r="BA644" s="140"/>
      <c r="BB644" s="141"/>
      <c r="BC644" s="140"/>
      <c r="BD644" s="235"/>
      <c r="BE644" s="218"/>
      <c r="BF644" s="218"/>
      <c r="BG644" s="218"/>
      <c r="BH644" s="218"/>
      <c r="BI644" s="218"/>
      <c r="BJ644" s="301"/>
      <c r="BK644" s="301"/>
      <c r="BL644" s="301"/>
      <c r="BM644" s="301"/>
      <c r="BN644" s="301"/>
      <c r="BO644" s="301"/>
      <c r="BP644" s="301"/>
      <c r="BQ644" s="301"/>
      <c r="BR644" s="301"/>
      <c r="BS644" s="301"/>
      <c r="BT644" s="301"/>
      <c r="BU644" s="301"/>
      <c r="BV644" s="301"/>
      <c r="BW644" s="301"/>
      <c r="BX644" s="301"/>
      <c r="BY644" s="301"/>
      <c r="BZ644" s="301"/>
      <c r="CA644" s="301"/>
      <c r="CB644" s="301"/>
      <c r="CC644" s="301"/>
      <c r="CD644" s="301"/>
      <c r="CE644" s="301"/>
      <c r="CF644" s="301"/>
      <c r="CG644" s="301"/>
      <c r="CH644" s="301"/>
      <c r="CI644" s="301"/>
      <c r="CJ644" s="301"/>
      <c r="CK644" s="301"/>
      <c r="CL644" s="301"/>
      <c r="CM644" s="302"/>
      <c r="CN644" s="140"/>
      <c r="CO644" s="235"/>
      <c r="CP644" s="218"/>
      <c r="CQ644" s="218"/>
      <c r="CR644" s="218"/>
      <c r="CS644" s="218"/>
      <c r="CT644" s="218"/>
      <c r="CU644" s="301"/>
      <c r="CV644" s="301"/>
      <c r="CW644" s="301"/>
      <c r="CX644" s="301"/>
      <c r="CY644" s="301"/>
      <c r="CZ644" s="301"/>
      <c r="DA644" s="301"/>
      <c r="DB644" s="301"/>
      <c r="DC644" s="301"/>
      <c r="DD644" s="301"/>
      <c r="DE644" s="301"/>
      <c r="DF644" s="301"/>
      <c r="DG644" s="301"/>
      <c r="DH644" s="301"/>
      <c r="DI644" s="301"/>
      <c r="DJ644" s="301"/>
      <c r="DK644" s="301"/>
      <c r="DL644" s="301"/>
      <c r="DM644" s="301"/>
      <c r="DN644" s="301"/>
      <c r="DO644" s="301"/>
      <c r="DP644" s="301"/>
      <c r="DQ644" s="301"/>
      <c r="DR644" s="301"/>
      <c r="DS644" s="301"/>
      <c r="DT644" s="301"/>
      <c r="DU644" s="301"/>
      <c r="DV644" s="301"/>
      <c r="DW644" s="301"/>
      <c r="DX644" s="302"/>
      <c r="DY644" s="140"/>
      <c r="DZ644" s="235"/>
      <c r="EA644" s="218"/>
      <c r="EB644" s="218"/>
      <c r="EC644" s="218"/>
      <c r="ED644" s="218"/>
      <c r="EE644" s="218"/>
      <c r="EF644" s="301"/>
      <c r="EG644" s="301"/>
      <c r="EH644" s="301"/>
      <c r="EI644" s="301"/>
      <c r="EJ644" s="301"/>
      <c r="EK644" s="301"/>
      <c r="EL644" s="301"/>
      <c r="EM644" s="301"/>
      <c r="EN644" s="301"/>
      <c r="EO644" s="301"/>
      <c r="EP644" s="301"/>
      <c r="EQ644" s="301"/>
      <c r="ER644" s="301"/>
      <c r="ES644" s="301"/>
      <c r="ET644" s="301"/>
      <c r="EU644" s="301"/>
      <c r="EV644" s="301"/>
      <c r="EW644" s="301"/>
      <c r="EX644" s="301"/>
      <c r="EY644" s="301"/>
      <c r="EZ644" s="301"/>
      <c r="FA644" s="301"/>
      <c r="FB644" s="301"/>
      <c r="FC644" s="301"/>
      <c r="FD644" s="301"/>
      <c r="FE644" s="301"/>
      <c r="FF644" s="301"/>
      <c r="FG644" s="301"/>
      <c r="FH644" s="301"/>
      <c r="FI644" s="302"/>
      <c r="FJ644" s="140"/>
      <c r="FK644" s="235"/>
      <c r="FL644" s="218"/>
      <c r="FM644" s="218"/>
      <c r="FN644" s="218"/>
      <c r="FO644" s="218"/>
      <c r="FP644" s="218"/>
      <c r="FQ644" s="301"/>
      <c r="FR644" s="301"/>
      <c r="FS644" s="301"/>
      <c r="FT644" s="301"/>
      <c r="FU644" s="301"/>
      <c r="FV644" s="301"/>
      <c r="FW644" s="301"/>
      <c r="FX644" s="301"/>
      <c r="FY644" s="301"/>
      <c r="FZ644" s="301"/>
      <c r="GA644" s="301"/>
      <c r="GB644" s="301"/>
      <c r="GC644" s="301"/>
      <c r="GD644" s="301"/>
      <c r="GE644" s="301"/>
      <c r="GF644" s="301"/>
      <c r="GG644" s="301"/>
      <c r="GH644" s="301"/>
      <c r="GI644" s="301"/>
      <c r="GJ644" s="301"/>
      <c r="GK644" s="301"/>
      <c r="GL644" s="301"/>
      <c r="GM644" s="301"/>
      <c r="GN644" s="301"/>
      <c r="GO644" s="301"/>
      <c r="GP644" s="301"/>
      <c r="GQ644" s="301"/>
      <c r="GR644" s="301"/>
      <c r="GS644" s="301"/>
      <c r="GT644" s="302"/>
      <c r="GU644" s="140"/>
      <c r="GV644" s="235"/>
      <c r="GW644" s="218"/>
      <c r="GX644" s="218"/>
      <c r="GY644" s="218"/>
      <c r="GZ644" s="218"/>
      <c r="HA644" s="218"/>
      <c r="HB644" s="301"/>
      <c r="HC644" s="301"/>
      <c r="HD644" s="301"/>
      <c r="HE644" s="301"/>
      <c r="HF644" s="301"/>
      <c r="HG644" s="301"/>
      <c r="HH644" s="301"/>
      <c r="HI644" s="301"/>
      <c r="HJ644" s="301"/>
      <c r="HK644" s="301"/>
      <c r="HL644" s="301"/>
      <c r="HM644" s="301"/>
      <c r="HN644" s="301"/>
      <c r="HO644" s="301"/>
      <c r="HP644" s="301"/>
      <c r="HQ644" s="301"/>
      <c r="HR644" s="301"/>
      <c r="HS644" s="301"/>
      <c r="HT644" s="301"/>
      <c r="HU644" s="301"/>
      <c r="HV644" s="301"/>
      <c r="HW644" s="301"/>
      <c r="HX644" s="301"/>
      <c r="HY644" s="301"/>
      <c r="HZ644" s="301"/>
      <c r="IA644" s="301"/>
      <c r="IB644" s="301"/>
      <c r="IC644" s="301"/>
      <c r="ID644" s="301"/>
      <c r="IE644" s="302"/>
      <c r="IF644" s="140"/>
      <c r="IG644" s="139"/>
      <c r="IH644" s="140"/>
      <c r="II644" s="140"/>
      <c r="IJ644" s="140"/>
      <c r="IK644" s="140"/>
      <c r="IL644" s="140"/>
      <c r="IM644" s="140"/>
      <c r="IN644" s="140"/>
      <c r="IO644" s="140"/>
      <c r="IP644" s="140"/>
      <c r="IQ644" s="140"/>
      <c r="IR644" s="140"/>
      <c r="IS644" s="140"/>
      <c r="IT644" s="140"/>
      <c r="IU644" s="140"/>
      <c r="IV644" s="218">
        <f>(SUMIFS($JR$513:$JR$613,IS$513:IS$613,"CT",IT$513:IT$613,"COMPLETE"))/SUMIFS($JR$513:$JR$613,IS$513:IS$613,"CT")</f>
        <v>0.29943502824858759</v>
      </c>
      <c r="IW644" s="140"/>
      <c r="IX644" s="140"/>
      <c r="IY644" s="140"/>
      <c r="IZ644" s="140"/>
      <c r="JA644" s="140"/>
      <c r="JB644" s="140"/>
      <c r="JC644" s="140"/>
      <c r="JD644" s="140"/>
      <c r="JE644" s="140"/>
      <c r="JF644" s="140"/>
      <c r="JG644" s="140"/>
      <c r="JH644" s="140"/>
      <c r="JI644" s="140"/>
      <c r="JJ644" s="140"/>
      <c r="JK644" s="140"/>
      <c r="JL644" s="140"/>
      <c r="JM644" s="140"/>
      <c r="JN644" s="140"/>
      <c r="JO644" s="140"/>
      <c r="JP644" s="236">
        <f>(SUMIFS($JR$513:$JR$613,JM$513:JM$613,"CT",JN$513:JN$613,"COMPLETE"))/SUMIFS($JR$513:$JR$613,JM$513:JM$613,"CT")</f>
        <v>0</v>
      </c>
      <c r="JQ644" s="140"/>
      <c r="JR644" s="139"/>
      <c r="JS644" s="140"/>
      <c r="JT644" s="140"/>
      <c r="JU644" s="140"/>
      <c r="JV644" s="140"/>
      <c r="JW644" s="140"/>
      <c r="JX644" s="140"/>
      <c r="JY644" s="140"/>
      <c r="JZ644" s="140"/>
      <c r="KA644" s="140"/>
      <c r="KB644" s="140"/>
      <c r="KC644" s="140"/>
      <c r="KD644" s="140"/>
      <c r="KE644" s="140"/>
      <c r="KF644" s="218"/>
      <c r="KG644" s="140">
        <f>(SUMIFS($JR$513:$JR$613,KD$513:KD$613,"CT",JY$513:JY$613,"&lt;&gt;0")+SUMIFS($JR$513:$JR$613,KD$513:KD$613,"CT",JZ$513:JZ$613,"&gt;0")-SUMIFS($JR$513:$JR$613,KD$513:KD$613,"CT",JY$513:JY$613,"&lt;&gt;0",JZ$513:JZ$613,"&gt;0"))*$D$514/10^3</f>
        <v>57847.633854395848</v>
      </c>
      <c r="KH644" s="140"/>
      <c r="KI644" s="140"/>
      <c r="KJ644" s="140"/>
      <c r="KK644" s="140"/>
      <c r="KL644" s="140"/>
      <c r="KM644" s="140"/>
      <c r="KN644" s="140"/>
      <c r="KO644" s="140"/>
      <c r="KP644" s="140"/>
      <c r="KQ644" s="140"/>
      <c r="KR644" s="140"/>
      <c r="KS644" s="140"/>
      <c r="KT644" s="140"/>
      <c r="KU644" s="140"/>
      <c r="KV644" s="140"/>
      <c r="KW644" s="140"/>
      <c r="KX644" s="140"/>
      <c r="KY644" s="140"/>
      <c r="KZ644" s="140"/>
      <c r="LA644" s="141">
        <f>(SUMIFS($JR$513:$JR$613,KX$513:KX$613,"CT",KS$513:KS$613,"&lt;&gt;0")+SUMIFS($JR$513:$JR$613,KX$513:KX$613,"CT",KT$513:KT$613,"&gt;0")-SUMIFS($JR$513:$JR$613,KX$513:KX$613,"CT",KS$513:KS$613,"&lt;&gt;0",KT$513:KT$613,"&gt;0"))*$D$514/10^3</f>
        <v>145360.72096745626</v>
      </c>
      <c r="LB644" s="140"/>
      <c r="LC644" s="139"/>
      <c r="LD644" s="140"/>
      <c r="LE644" s="140"/>
      <c r="LF644" s="140"/>
      <c r="LG644" s="140"/>
      <c r="LH644" s="140"/>
      <c r="LI644" s="140"/>
      <c r="LJ644" s="140"/>
      <c r="LK644" s="140"/>
      <c r="LL644" s="140"/>
      <c r="LM644" s="140"/>
      <c r="LN644" s="140"/>
      <c r="LO644" s="140"/>
      <c r="LP644" s="140"/>
      <c r="LQ644" s="140"/>
      <c r="LR644" s="218">
        <f>(SUMIFS($LC$513:$LC$613,$LC$513:$LC$613,"&gt;1000",LO$513:LO$613,"ETAT",LP$513:LP$613,"COMPLETE")+SUMIFS($LC$513:$LC$613,$LC$513:$LC$613,"&gt;1000",LO$513:LO$613,"CT",LP$513:LP$613,"COMPLETE"))/SUMIFS($LC$513:$LC$613,$LC$513:$LC$613,"&gt;1000",LO$513:LO$613,"&lt;&gt;PRIVE")</f>
        <v>0.13333333333333333</v>
      </c>
      <c r="LS644" s="140"/>
      <c r="LT644" s="140"/>
      <c r="LU644" s="140"/>
      <c r="LV644" s="140"/>
      <c r="LW644" s="140"/>
      <c r="LX644" s="140"/>
      <c r="LY644" s="140"/>
      <c r="LZ644" s="140"/>
      <c r="MA644" s="140"/>
      <c r="MB644" s="218">
        <f>(SUMIFS($LC$513:$LC$613,$LC$513:$LC$613,"&gt;1000",LY$513:LY$613,"ETAT",LZ$513:LZ$613,"COMPLETE")+SUMIFS($LC$513:$LC$613,$LC$513:$LC$613,"&gt;1000",LY$513:LY$613,"CT",LZ$513:LZ$613,"COMPLETE"))/SUMIFS($LC$513:$LC$613,$LC$513:$LC$613,"&gt;1000",LY$513:LY$613,"&lt;&gt;PRIVE")</f>
        <v>0.26666666666666666</v>
      </c>
      <c r="MC644" s="140"/>
      <c r="MD644" s="140"/>
      <c r="ME644" s="140"/>
      <c r="MF644" s="140"/>
      <c r="MG644" s="140"/>
      <c r="MH644" s="140"/>
      <c r="MI644" s="140"/>
      <c r="MJ644" s="140"/>
      <c r="MK644" s="140"/>
      <c r="ML644" s="236">
        <f>(SUMIFS($LC$513:$LC$613,$LC$513:$LC$613,"&gt;1000",MI$513:MI$613,"ETAT",MJ$513:MJ$613,"COMPLETE")+SUMIFS($LC$513:$LC$613,$LC$513:$LC$613,"&gt;1000",MI$513:MI$613,"CT",MJ$513:MJ$613,"COMPLETE"))/SUMIFS($LC$513:$LC$613,$LC$513:$LC$613,"&gt;1000",MI$513:MI$613,"&lt;&gt;PRIVE")</f>
        <v>0.33333333333333331</v>
      </c>
    </row>
    <row r="645" spans="3:350" s="4" customFormat="1" ht="18" customHeight="1" x14ac:dyDescent="0.3">
      <c r="C645" s="185" t="s">
        <v>291</v>
      </c>
      <c r="E645" s="137"/>
      <c r="F645" s="186"/>
      <c r="H645" s="267"/>
      <c r="I645"/>
      <c r="J645"/>
      <c r="K645"/>
      <c r="L645"/>
      <c r="M645" s="140"/>
      <c r="N645" s="237"/>
      <c r="O645" s="237"/>
      <c r="P645" s="237"/>
      <c r="Q645" s="236"/>
      <c r="R645" s="140"/>
      <c r="S645" s="139"/>
      <c r="T645" s="140"/>
      <c r="U645" s="140"/>
      <c r="V645" s="140"/>
      <c r="W645" s="140"/>
      <c r="X645" s="140"/>
      <c r="Y645" s="140"/>
      <c r="Z645" s="140"/>
      <c r="AA645" s="140"/>
      <c r="AB645" s="140"/>
      <c r="AC645" s="140"/>
      <c r="AD645" s="140"/>
      <c r="AE645" s="140"/>
      <c r="AF645" s="140"/>
      <c r="AG645" s="140"/>
      <c r="AH645" s="140"/>
      <c r="AI645" s="140"/>
      <c r="AJ645" s="140"/>
      <c r="AK645" s="140"/>
      <c r="AL645" s="140"/>
      <c r="AM645" s="140"/>
      <c r="AN645" s="140"/>
      <c r="AO645" s="140"/>
      <c r="AP645" s="140"/>
      <c r="AQ645" s="140"/>
      <c r="AR645" s="140"/>
      <c r="AS645" s="140"/>
      <c r="AT645" s="140"/>
      <c r="AU645" s="140"/>
      <c r="AV645" s="140"/>
      <c r="AW645" s="140"/>
      <c r="AX645" s="140"/>
      <c r="AY645" s="140"/>
      <c r="AZ645" s="140"/>
      <c r="BA645" s="140"/>
      <c r="BB645" s="141"/>
      <c r="BC645" s="140"/>
      <c r="BD645" s="177"/>
      <c r="BE645" s="178"/>
      <c r="BF645" s="178"/>
      <c r="BG645" s="178"/>
      <c r="BH645" s="178"/>
      <c r="BI645" s="219"/>
      <c r="BJ645" s="234"/>
      <c r="BK645" s="234"/>
      <c r="BL645" s="234"/>
      <c r="BM645" s="234"/>
      <c r="BN645" s="234"/>
      <c r="BO645" s="234"/>
      <c r="BP645" s="234"/>
      <c r="BQ645" s="234"/>
      <c r="BR645" s="234"/>
      <c r="BS645" s="234"/>
      <c r="BT645" s="234"/>
      <c r="BU645" s="234"/>
      <c r="BV645" s="234"/>
      <c r="BW645" s="234"/>
      <c r="BX645" s="234"/>
      <c r="BY645" s="234"/>
      <c r="BZ645" s="234"/>
      <c r="CA645" s="234"/>
      <c r="CB645" s="234"/>
      <c r="CC645" s="234"/>
      <c r="CD645" s="234"/>
      <c r="CE645" s="234"/>
      <c r="CF645" s="234"/>
      <c r="CG645" s="234"/>
      <c r="CH645" s="234"/>
      <c r="CI645" s="234"/>
      <c r="CJ645" s="234"/>
      <c r="CK645" s="234"/>
      <c r="CL645" s="234"/>
      <c r="CM645" s="189"/>
      <c r="CN645" s="140"/>
      <c r="CO645" s="177"/>
      <c r="CP645" s="178"/>
      <c r="CQ645" s="178"/>
      <c r="CR645" s="178"/>
      <c r="CS645" s="178"/>
      <c r="CT645" s="219"/>
      <c r="CU645" s="234"/>
      <c r="CV645" s="234"/>
      <c r="CW645" s="234"/>
      <c r="CX645" s="234"/>
      <c r="CY645" s="234"/>
      <c r="CZ645" s="234"/>
      <c r="DA645" s="234"/>
      <c r="DB645" s="234"/>
      <c r="DC645" s="234"/>
      <c r="DD645" s="234"/>
      <c r="DE645" s="234"/>
      <c r="DF645" s="234"/>
      <c r="DG645" s="234"/>
      <c r="DH645" s="234"/>
      <c r="DI645" s="234"/>
      <c r="DJ645" s="234"/>
      <c r="DK645" s="234"/>
      <c r="DL645" s="234"/>
      <c r="DM645" s="234"/>
      <c r="DN645" s="234"/>
      <c r="DO645" s="234"/>
      <c r="DP645" s="234"/>
      <c r="DQ645" s="234"/>
      <c r="DR645" s="234"/>
      <c r="DS645" s="234"/>
      <c r="DT645" s="234"/>
      <c r="DU645" s="234"/>
      <c r="DV645" s="234"/>
      <c r="DW645" s="234"/>
      <c r="DX645" s="189"/>
      <c r="DY645" s="140"/>
      <c r="DZ645" s="177"/>
      <c r="EA645" s="178"/>
      <c r="EB645" s="178"/>
      <c r="EC645" s="178"/>
      <c r="ED645" s="178"/>
      <c r="EE645" s="219"/>
      <c r="EF645" s="234"/>
      <c r="EG645" s="234"/>
      <c r="EH645" s="234"/>
      <c r="EI645" s="234"/>
      <c r="EJ645" s="234"/>
      <c r="EK645" s="234"/>
      <c r="EL645" s="234"/>
      <c r="EM645" s="234"/>
      <c r="EN645" s="234"/>
      <c r="EO645" s="234"/>
      <c r="EP645" s="234"/>
      <c r="EQ645" s="234"/>
      <c r="ER645" s="234"/>
      <c r="ES645" s="234"/>
      <c r="ET645" s="234"/>
      <c r="EU645" s="234"/>
      <c r="EV645" s="234"/>
      <c r="EW645" s="234"/>
      <c r="EX645" s="234"/>
      <c r="EY645" s="234"/>
      <c r="EZ645" s="234"/>
      <c r="FA645" s="234"/>
      <c r="FB645" s="234"/>
      <c r="FC645" s="234"/>
      <c r="FD645" s="234"/>
      <c r="FE645" s="234"/>
      <c r="FF645" s="234"/>
      <c r="FG645" s="234"/>
      <c r="FH645" s="234"/>
      <c r="FI645" s="189"/>
      <c r="FJ645" s="140"/>
      <c r="FK645" s="177"/>
      <c r="FL645" s="178"/>
      <c r="FM645" s="178"/>
      <c r="FN645" s="178"/>
      <c r="FO645" s="178"/>
      <c r="FP645" s="219"/>
      <c r="FQ645" s="234"/>
      <c r="FR645" s="234"/>
      <c r="FS645" s="234"/>
      <c r="FT645" s="234"/>
      <c r="FU645" s="234"/>
      <c r="FV645" s="234"/>
      <c r="FW645" s="234"/>
      <c r="FX645" s="234"/>
      <c r="FY645" s="234"/>
      <c r="FZ645" s="234"/>
      <c r="GA645" s="234"/>
      <c r="GB645" s="234"/>
      <c r="GC645" s="234"/>
      <c r="GD645" s="234"/>
      <c r="GE645" s="234"/>
      <c r="GF645" s="234"/>
      <c r="GG645" s="234"/>
      <c r="GH645" s="234"/>
      <c r="GI645" s="234"/>
      <c r="GJ645" s="234"/>
      <c r="GK645" s="234"/>
      <c r="GL645" s="234"/>
      <c r="GM645" s="234"/>
      <c r="GN645" s="234"/>
      <c r="GO645" s="234"/>
      <c r="GP645" s="234"/>
      <c r="GQ645" s="234"/>
      <c r="GR645" s="234"/>
      <c r="GS645" s="234"/>
      <c r="GT645" s="189"/>
      <c r="GU645" s="140"/>
      <c r="GV645" s="177"/>
      <c r="GW645" s="178"/>
      <c r="GX645" s="178"/>
      <c r="GY645" s="178"/>
      <c r="GZ645" s="178"/>
      <c r="HA645" s="219"/>
      <c r="HB645" s="234"/>
      <c r="HC645" s="234"/>
      <c r="HD645" s="234"/>
      <c r="HE645" s="234"/>
      <c r="HF645" s="234"/>
      <c r="HG645" s="234"/>
      <c r="HH645" s="234"/>
      <c r="HI645" s="234"/>
      <c r="HJ645" s="234"/>
      <c r="HK645" s="234"/>
      <c r="HL645" s="234"/>
      <c r="HM645" s="234"/>
      <c r="HN645" s="234"/>
      <c r="HO645" s="234"/>
      <c r="HP645" s="234"/>
      <c r="HQ645" s="234"/>
      <c r="HR645" s="234"/>
      <c r="HS645" s="234"/>
      <c r="HT645" s="234"/>
      <c r="HU645" s="234"/>
      <c r="HV645" s="234"/>
      <c r="HW645" s="234"/>
      <c r="HX645" s="234"/>
      <c r="HY645" s="234"/>
      <c r="HZ645" s="234"/>
      <c r="IA645" s="234"/>
      <c r="IB645" s="234"/>
      <c r="IC645" s="234"/>
      <c r="ID645" s="234"/>
      <c r="IE645" s="189"/>
      <c r="IF645" s="140"/>
      <c r="IG645" s="139"/>
      <c r="IH645" s="140"/>
      <c r="II645" s="140"/>
      <c r="IJ645" s="140"/>
      <c r="IK645" s="140"/>
      <c r="IL645" s="140"/>
      <c r="IM645" s="140"/>
      <c r="IN645" s="140"/>
      <c r="IO645" s="140"/>
      <c r="IP645" s="140"/>
      <c r="IQ645" s="140"/>
      <c r="IR645" s="140"/>
      <c r="IS645" s="140"/>
      <c r="IT645" s="140"/>
      <c r="IU645" s="140"/>
      <c r="IV645" s="140"/>
      <c r="IW645" s="140"/>
      <c r="IX645" s="140"/>
      <c r="IY645" s="140"/>
      <c r="IZ645" s="140"/>
      <c r="JA645" s="140"/>
      <c r="JB645" s="140"/>
      <c r="JC645" s="140"/>
      <c r="JD645" s="140"/>
      <c r="JE645" s="140"/>
      <c r="JF645" s="140"/>
      <c r="JG645" s="140"/>
      <c r="JH645" s="140"/>
      <c r="JI645" s="140"/>
      <c r="JJ645" s="140"/>
      <c r="JK645" s="140"/>
      <c r="JL645" s="140"/>
      <c r="JM645" s="140"/>
      <c r="JN645" s="140"/>
      <c r="JO645" s="140"/>
      <c r="JP645" s="141"/>
      <c r="JQ645" s="140"/>
      <c r="JR645" s="139"/>
      <c r="JS645" s="140"/>
      <c r="JT645" s="140"/>
      <c r="JU645" s="140"/>
      <c r="JV645" s="140"/>
      <c r="JW645" s="140"/>
      <c r="JX645" s="140"/>
      <c r="JY645" s="140"/>
      <c r="JZ645" s="140"/>
      <c r="KA645" s="140"/>
      <c r="KB645" s="140"/>
      <c r="KC645" s="140"/>
      <c r="KD645" s="140"/>
      <c r="KE645" s="140"/>
      <c r="KF645" s="140"/>
      <c r="KG645" s="140"/>
      <c r="KH645" s="140"/>
      <c r="KI645" s="140"/>
      <c r="KJ645" s="140"/>
      <c r="KK645" s="140"/>
      <c r="KL645" s="140"/>
      <c r="KM645" s="140"/>
      <c r="KN645" s="140"/>
      <c r="KO645" s="140"/>
      <c r="KP645" s="140"/>
      <c r="KQ645" s="140"/>
      <c r="KR645" s="140"/>
      <c r="KS645" s="140"/>
      <c r="KT645" s="140"/>
      <c r="KU645" s="140"/>
      <c r="KV645" s="140"/>
      <c r="KW645" s="140"/>
      <c r="KX645" s="140"/>
      <c r="KY645" s="140"/>
      <c r="KZ645" s="140"/>
      <c r="LA645" s="141"/>
      <c r="LB645" s="140"/>
      <c r="LC645" s="139"/>
      <c r="LD645" s="140"/>
      <c r="LE645" s="140"/>
      <c r="LF645" s="140"/>
      <c r="LG645" s="140"/>
      <c r="LH645" s="140"/>
      <c r="LI645" s="140"/>
      <c r="LJ645" s="140"/>
      <c r="LK645" s="140"/>
      <c r="LL645" s="140"/>
      <c r="LM645" s="140"/>
      <c r="LN645" s="140"/>
      <c r="LO645" s="140"/>
      <c r="LP645" s="140"/>
      <c r="LQ645" s="140"/>
      <c r="LR645" s="140"/>
      <c r="LS645" s="140"/>
      <c r="LT645" s="140"/>
      <c r="LU645" s="140"/>
      <c r="LV645" s="140"/>
      <c r="LW645" s="140"/>
      <c r="LX645" s="140"/>
      <c r="LY645" s="140"/>
      <c r="LZ645" s="140"/>
      <c r="MA645" s="140"/>
      <c r="MB645" s="140"/>
      <c r="MC645" s="140"/>
      <c r="MD645" s="140"/>
      <c r="ME645" s="140"/>
      <c r="MF645" s="140"/>
      <c r="MG645" s="140"/>
      <c r="MH645" s="140"/>
      <c r="MI645" s="140"/>
      <c r="MJ645" s="140"/>
      <c r="MK645" s="140"/>
      <c r="ML645" s="141"/>
    </row>
    <row r="646" spans="3:350" s="4" customFormat="1" ht="18" customHeight="1" x14ac:dyDescent="0.3">
      <c r="C646" s="185" t="s">
        <v>163</v>
      </c>
      <c r="E646" s="137" t="s">
        <v>292</v>
      </c>
      <c r="F646" s="186"/>
      <c r="H646" s="267"/>
      <c r="I646"/>
      <c r="J646"/>
      <c r="K646"/>
      <c r="L646"/>
      <c r="M646" s="140"/>
      <c r="N646" s="237"/>
      <c r="O646" s="237"/>
      <c r="P646" s="237"/>
      <c r="Q646" s="236"/>
      <c r="R646" s="140"/>
      <c r="S646" s="139"/>
      <c r="T646" s="140"/>
      <c r="U646" s="140"/>
      <c r="V646" s="140"/>
      <c r="W646" s="140"/>
      <c r="X646" s="140"/>
      <c r="Y646" s="140"/>
      <c r="Z646" s="140"/>
      <c r="AA646" s="140"/>
      <c r="AB646" s="140"/>
      <c r="AC646" s="140"/>
      <c r="AD646" s="140"/>
      <c r="AE646" s="140"/>
      <c r="AF646" s="140"/>
      <c r="AG646" s="140"/>
      <c r="AH646" s="140"/>
      <c r="AI646" s="140"/>
      <c r="AJ646" s="140"/>
      <c r="AK646" s="140"/>
      <c r="AL646" s="140"/>
      <c r="AM646" s="140"/>
      <c r="AN646" s="140"/>
      <c r="AO646" s="140"/>
      <c r="AP646" s="140"/>
      <c r="AQ646" s="140"/>
      <c r="AR646" s="140"/>
      <c r="AS646" s="140"/>
      <c r="AT646" s="140"/>
      <c r="AU646" s="140"/>
      <c r="AV646" s="140"/>
      <c r="AW646" s="140"/>
      <c r="AX646" s="140"/>
      <c r="AY646" s="140"/>
      <c r="AZ646" s="140"/>
      <c r="BA646" s="140"/>
      <c r="BB646" s="141"/>
      <c r="BC646" s="140"/>
      <c r="BD646" s="177"/>
      <c r="BE646" s="178"/>
      <c r="BF646" s="178"/>
      <c r="BG646" s="178"/>
      <c r="BH646" s="178"/>
      <c r="BI646" s="219"/>
      <c r="BJ646" s="234"/>
      <c r="BK646" s="234"/>
      <c r="BL646" s="234"/>
      <c r="BM646" s="234"/>
      <c r="BN646" s="234"/>
      <c r="BO646" s="234"/>
      <c r="BP646" s="234"/>
      <c r="BQ646" s="234"/>
      <c r="BR646" s="234"/>
      <c r="BS646" s="234"/>
      <c r="BT646" s="234"/>
      <c r="BU646" s="234"/>
      <c r="BV646" s="234"/>
      <c r="BW646" s="234"/>
      <c r="BX646" s="234"/>
      <c r="BY646" s="234"/>
      <c r="BZ646" s="234"/>
      <c r="CA646" s="234"/>
      <c r="CB646" s="234"/>
      <c r="CC646" s="234"/>
      <c r="CD646" s="234"/>
      <c r="CE646" s="234"/>
      <c r="CF646" s="234"/>
      <c r="CG646" s="234"/>
      <c r="CH646" s="234"/>
      <c r="CI646" s="234"/>
      <c r="CJ646" s="234"/>
      <c r="CK646" s="234"/>
      <c r="CL646" s="234"/>
      <c r="CM646" s="189"/>
      <c r="CN646" s="140"/>
      <c r="CO646" s="177"/>
      <c r="CP646" s="178"/>
      <c r="CQ646" s="178"/>
      <c r="CR646" s="178"/>
      <c r="CS646" s="178"/>
      <c r="CT646" s="219"/>
      <c r="CU646" s="234"/>
      <c r="CV646" s="234"/>
      <c r="CW646" s="234"/>
      <c r="CX646" s="234"/>
      <c r="CY646" s="234"/>
      <c r="CZ646" s="234"/>
      <c r="DA646" s="234"/>
      <c r="DB646" s="234"/>
      <c r="DC646" s="234"/>
      <c r="DD646" s="234"/>
      <c r="DE646" s="234"/>
      <c r="DF646" s="234"/>
      <c r="DG646" s="234"/>
      <c r="DH646" s="234"/>
      <c r="DI646" s="234"/>
      <c r="DJ646" s="234"/>
      <c r="DK646" s="234"/>
      <c r="DL646" s="234"/>
      <c r="DM646" s="234"/>
      <c r="DN646" s="234"/>
      <c r="DO646" s="234"/>
      <c r="DP646" s="234"/>
      <c r="DQ646" s="234"/>
      <c r="DR646" s="234"/>
      <c r="DS646" s="234"/>
      <c r="DT646" s="234"/>
      <c r="DU646" s="234"/>
      <c r="DV646" s="234"/>
      <c r="DW646" s="234"/>
      <c r="DX646" s="189"/>
      <c r="DY646" s="140"/>
      <c r="DZ646" s="177"/>
      <c r="EA646" s="178"/>
      <c r="EB646" s="178"/>
      <c r="EC646" s="178"/>
      <c r="ED646" s="178"/>
      <c r="EE646" s="219"/>
      <c r="EF646" s="234"/>
      <c r="EG646" s="234"/>
      <c r="EH646" s="234"/>
      <c r="EI646" s="234"/>
      <c r="EJ646" s="234"/>
      <c r="EK646" s="234"/>
      <c r="EL646" s="234"/>
      <c r="EM646" s="234"/>
      <c r="EN646" s="234"/>
      <c r="EO646" s="234"/>
      <c r="EP646" s="234"/>
      <c r="EQ646" s="234"/>
      <c r="ER646" s="234"/>
      <c r="ES646" s="234"/>
      <c r="ET646" s="234"/>
      <c r="EU646" s="234"/>
      <c r="EV646" s="234"/>
      <c r="EW646" s="234"/>
      <c r="EX646" s="234"/>
      <c r="EY646" s="234"/>
      <c r="EZ646" s="234"/>
      <c r="FA646" s="234"/>
      <c r="FB646" s="234"/>
      <c r="FC646" s="234"/>
      <c r="FD646" s="234"/>
      <c r="FE646" s="234"/>
      <c r="FF646" s="234"/>
      <c r="FG646" s="234"/>
      <c r="FH646" s="234"/>
      <c r="FI646" s="189"/>
      <c r="FJ646" s="140"/>
      <c r="FK646" s="177"/>
      <c r="FL646" s="178"/>
      <c r="FM646" s="178"/>
      <c r="FN646" s="178"/>
      <c r="FO646" s="178"/>
      <c r="FP646" s="219"/>
      <c r="FQ646" s="234"/>
      <c r="FR646" s="234"/>
      <c r="FS646" s="234"/>
      <c r="FT646" s="234"/>
      <c r="FU646" s="234"/>
      <c r="FV646" s="234"/>
      <c r="FW646" s="234"/>
      <c r="FX646" s="234"/>
      <c r="FY646" s="234"/>
      <c r="FZ646" s="234"/>
      <c r="GA646" s="234"/>
      <c r="GB646" s="234"/>
      <c r="GC646" s="234"/>
      <c r="GD646" s="234"/>
      <c r="GE646" s="234"/>
      <c r="GF646" s="234"/>
      <c r="GG646" s="234"/>
      <c r="GH646" s="234"/>
      <c r="GI646" s="234"/>
      <c r="GJ646" s="234"/>
      <c r="GK646" s="234"/>
      <c r="GL646" s="234"/>
      <c r="GM646" s="234"/>
      <c r="GN646" s="234"/>
      <c r="GO646" s="234"/>
      <c r="GP646" s="234"/>
      <c r="GQ646" s="234"/>
      <c r="GR646" s="234"/>
      <c r="GS646" s="234"/>
      <c r="GT646" s="189"/>
      <c r="GU646" s="140"/>
      <c r="GV646" s="177"/>
      <c r="GW646" s="178"/>
      <c r="GX646" s="178"/>
      <c r="GY646" s="178"/>
      <c r="GZ646" s="178"/>
      <c r="HA646" s="219"/>
      <c r="HB646" s="234"/>
      <c r="HC646" s="234"/>
      <c r="HD646" s="234"/>
      <c r="HE646" s="234"/>
      <c r="HF646" s="234"/>
      <c r="HG646" s="234"/>
      <c r="HH646" s="234"/>
      <c r="HI646" s="234"/>
      <c r="HJ646" s="234"/>
      <c r="HK646" s="234"/>
      <c r="HL646" s="234"/>
      <c r="HM646" s="234"/>
      <c r="HN646" s="234"/>
      <c r="HO646" s="234"/>
      <c r="HP646" s="234"/>
      <c r="HQ646" s="234"/>
      <c r="HR646" s="234"/>
      <c r="HS646" s="234"/>
      <c r="HT646" s="234"/>
      <c r="HU646" s="234"/>
      <c r="HV646" s="234"/>
      <c r="HW646" s="234"/>
      <c r="HX646" s="234"/>
      <c r="HY646" s="234"/>
      <c r="HZ646" s="234"/>
      <c r="IA646" s="234"/>
      <c r="IB646" s="234"/>
      <c r="IC646" s="234"/>
      <c r="ID646" s="234"/>
      <c r="IE646" s="189"/>
      <c r="IF646" s="140"/>
      <c r="IG646" s="139"/>
      <c r="IH646" s="140"/>
      <c r="II646" s="140"/>
      <c r="IJ646" s="140"/>
      <c r="IK646" s="140"/>
      <c r="IL646" s="140"/>
      <c r="IM646" s="140"/>
      <c r="IN646" s="140"/>
      <c r="IO646" s="140"/>
      <c r="IP646" s="140"/>
      <c r="IQ646" s="140"/>
      <c r="IR646" s="140"/>
      <c r="IS646" s="140"/>
      <c r="IT646" s="140"/>
      <c r="IU646" s="140"/>
      <c r="IV646" s="140">
        <f>SUM(IO513:IO613)/(IV1-IP1+1)</f>
        <v>4192.8571428571431</v>
      </c>
      <c r="IW646" s="140"/>
      <c r="IX646" s="140"/>
      <c r="IY646" s="140"/>
      <c r="IZ646" s="140"/>
      <c r="JA646" s="140"/>
      <c r="JB646" s="140"/>
      <c r="JC646" s="140"/>
      <c r="JD646" s="140"/>
      <c r="JE646" s="140"/>
      <c r="JF646" s="140"/>
      <c r="JG646" s="140"/>
      <c r="JH646" s="140"/>
      <c r="JI646" s="140"/>
      <c r="JJ646" s="140"/>
      <c r="JK646" s="140"/>
      <c r="JL646" s="140"/>
      <c r="JM646" s="140"/>
      <c r="JN646" s="140"/>
      <c r="JO646" s="140"/>
      <c r="JP646" s="141">
        <f>SUM(JI513:JI613)/(JP1-IV1+1)</f>
        <v>1397.6190476190477</v>
      </c>
      <c r="JQ646" s="140"/>
      <c r="JR646" s="139"/>
      <c r="JS646" s="140"/>
      <c r="JT646" s="140"/>
      <c r="JU646" s="140"/>
      <c r="JV646" s="140"/>
      <c r="JW646" s="140"/>
      <c r="JX646" s="140"/>
      <c r="JY646" s="140"/>
      <c r="JZ646" s="140"/>
      <c r="KA646" s="140"/>
      <c r="KB646" s="140"/>
      <c r="KC646" s="140"/>
      <c r="KD646" s="140"/>
      <c r="KE646" s="140"/>
      <c r="KF646" s="140"/>
      <c r="KG646" s="140">
        <f>SUM(JZ513:JZ613)/(KG1-KA1+1)</f>
        <v>3771.4285714285716</v>
      </c>
      <c r="KH646" s="140"/>
      <c r="KI646" s="140"/>
      <c r="KJ646" s="140"/>
      <c r="KK646" s="140"/>
      <c r="KL646" s="140"/>
      <c r="KM646" s="140"/>
      <c r="KN646" s="140"/>
      <c r="KO646" s="140"/>
      <c r="KP646" s="140"/>
      <c r="KQ646" s="140"/>
      <c r="KR646" s="140"/>
      <c r="KS646" s="140"/>
      <c r="KT646" s="140"/>
      <c r="KU646" s="140"/>
      <c r="KV646" s="140"/>
      <c r="KW646" s="140"/>
      <c r="KX646" s="140"/>
      <c r="KY646" s="140"/>
      <c r="KZ646" s="140"/>
      <c r="LA646" s="141">
        <f>SUM(KT513:KT613)/(LA1-KG1+1)</f>
        <v>1516.6666666666667</v>
      </c>
      <c r="LB646" s="140"/>
      <c r="LC646" s="139"/>
      <c r="LD646" s="140"/>
      <c r="LE646" s="140"/>
      <c r="LF646" s="140"/>
      <c r="LG646" s="140"/>
      <c r="LH646" s="140"/>
      <c r="LI646" s="140"/>
      <c r="LJ646" s="140"/>
      <c r="LK646" s="140"/>
      <c r="LL646" s="140"/>
      <c r="LM646" s="140"/>
      <c r="LN646" s="140"/>
      <c r="LO646" s="140"/>
      <c r="LP646" s="140"/>
      <c r="LQ646" s="140"/>
      <c r="LR646" s="140"/>
      <c r="LS646" s="140"/>
      <c r="LT646" s="140"/>
      <c r="LU646" s="140"/>
      <c r="LV646" s="140"/>
      <c r="LW646" s="140"/>
      <c r="LX646" s="140"/>
      <c r="LY646" s="140"/>
      <c r="LZ646" s="140"/>
      <c r="MA646" s="140"/>
      <c r="MB646" s="140"/>
      <c r="MC646" s="140"/>
      <c r="MD646" s="140"/>
      <c r="ME646" s="140"/>
      <c r="MF646" s="140"/>
      <c r="MG646" s="140"/>
      <c r="MH646" s="140"/>
      <c r="MI646" s="140"/>
      <c r="MJ646" s="140"/>
      <c r="MK646" s="140"/>
      <c r="ML646" s="141"/>
    </row>
    <row r="647" spans="3:350" s="4" customFormat="1" ht="18" customHeight="1" x14ac:dyDescent="0.3">
      <c r="C647" s="136" t="s">
        <v>293</v>
      </c>
      <c r="E647" s="137"/>
      <c r="F647" s="186"/>
      <c r="H647" s="267"/>
      <c r="I647"/>
      <c r="J647"/>
      <c r="K647"/>
      <c r="L647"/>
      <c r="M647" s="140"/>
      <c r="N647" s="237"/>
      <c r="O647" s="237"/>
      <c r="P647" s="237"/>
      <c r="Q647" s="236"/>
      <c r="R647" s="140"/>
      <c r="S647" s="139"/>
      <c r="T647" s="140"/>
      <c r="U647" s="140"/>
      <c r="V647" s="140"/>
      <c r="W647" s="140"/>
      <c r="X647" s="140"/>
      <c r="Y647" s="140"/>
      <c r="Z647" s="140"/>
      <c r="AA647" s="140"/>
      <c r="AB647" s="140"/>
      <c r="AC647" s="140"/>
      <c r="AD647" s="140"/>
      <c r="AE647" s="140"/>
      <c r="AF647" s="140"/>
      <c r="AG647" s="140"/>
      <c r="AH647" s="140"/>
      <c r="AI647" s="140"/>
      <c r="AJ647" s="140"/>
      <c r="AK647" s="140"/>
      <c r="AL647" s="140"/>
      <c r="AM647" s="140"/>
      <c r="AN647" s="140"/>
      <c r="AO647" s="140"/>
      <c r="AP647" s="140"/>
      <c r="AQ647" s="140"/>
      <c r="AR647" s="140"/>
      <c r="AS647" s="140"/>
      <c r="AT647" s="140"/>
      <c r="AU647" s="140"/>
      <c r="AV647" s="140"/>
      <c r="AW647" s="140"/>
      <c r="AX647" s="140"/>
      <c r="AY647" s="140"/>
      <c r="AZ647" s="140"/>
      <c r="BA647" s="140"/>
      <c r="BB647" s="141"/>
      <c r="BC647" s="140"/>
      <c r="BD647" s="177"/>
      <c r="BE647" s="178"/>
      <c r="BF647" s="178"/>
      <c r="BG647" s="178"/>
      <c r="BH647" s="178"/>
      <c r="BI647" s="219"/>
      <c r="BJ647" s="234"/>
      <c r="BK647" s="234"/>
      <c r="BL647" s="234"/>
      <c r="BM647" s="234"/>
      <c r="BN647" s="234"/>
      <c r="BO647" s="234"/>
      <c r="BP647" s="234"/>
      <c r="BQ647" s="234"/>
      <c r="BR647" s="234"/>
      <c r="BS647" s="234"/>
      <c r="BT647" s="234"/>
      <c r="BU647" s="234"/>
      <c r="BV647" s="234"/>
      <c r="BW647" s="234"/>
      <c r="BX647" s="234"/>
      <c r="BY647" s="234"/>
      <c r="BZ647" s="234"/>
      <c r="CA647" s="234"/>
      <c r="CB647" s="234"/>
      <c r="CC647" s="234"/>
      <c r="CD647" s="234"/>
      <c r="CE647" s="234"/>
      <c r="CF647" s="234"/>
      <c r="CG647" s="234"/>
      <c r="CH647" s="234"/>
      <c r="CI647" s="234"/>
      <c r="CJ647" s="234"/>
      <c r="CK647" s="234"/>
      <c r="CL647" s="234"/>
      <c r="CM647" s="189"/>
      <c r="CN647" s="140"/>
      <c r="CO647" s="177"/>
      <c r="CP647" s="178"/>
      <c r="CQ647" s="178"/>
      <c r="CR647" s="178"/>
      <c r="CS647" s="178"/>
      <c r="CT647" s="219"/>
      <c r="CU647" s="234"/>
      <c r="CV647" s="234"/>
      <c r="CW647" s="234"/>
      <c r="CX647" s="234"/>
      <c r="CY647" s="234"/>
      <c r="CZ647" s="234"/>
      <c r="DA647" s="234"/>
      <c r="DB647" s="234"/>
      <c r="DC647" s="234"/>
      <c r="DD647" s="234"/>
      <c r="DE647" s="234"/>
      <c r="DF647" s="234"/>
      <c r="DG647" s="234"/>
      <c r="DH647" s="234"/>
      <c r="DI647" s="234"/>
      <c r="DJ647" s="234"/>
      <c r="DK647" s="234"/>
      <c r="DL647" s="234"/>
      <c r="DM647" s="234"/>
      <c r="DN647" s="234"/>
      <c r="DO647" s="234"/>
      <c r="DP647" s="234"/>
      <c r="DQ647" s="234"/>
      <c r="DR647" s="234"/>
      <c r="DS647" s="234"/>
      <c r="DT647" s="234"/>
      <c r="DU647" s="234"/>
      <c r="DV647" s="234"/>
      <c r="DW647" s="234"/>
      <c r="DX647" s="189"/>
      <c r="DY647" s="140"/>
      <c r="DZ647" s="177"/>
      <c r="EA647" s="178"/>
      <c r="EB647" s="178"/>
      <c r="EC647" s="178"/>
      <c r="ED647" s="178"/>
      <c r="EE647" s="219"/>
      <c r="EF647" s="234"/>
      <c r="EG647" s="234"/>
      <c r="EH647" s="234"/>
      <c r="EI647" s="234"/>
      <c r="EJ647" s="234"/>
      <c r="EK647" s="234"/>
      <c r="EL647" s="234"/>
      <c r="EM647" s="234"/>
      <c r="EN647" s="234"/>
      <c r="EO647" s="234"/>
      <c r="EP647" s="234"/>
      <c r="EQ647" s="234"/>
      <c r="ER647" s="234"/>
      <c r="ES647" s="234"/>
      <c r="ET647" s="234"/>
      <c r="EU647" s="234"/>
      <c r="EV647" s="234"/>
      <c r="EW647" s="234"/>
      <c r="EX647" s="234"/>
      <c r="EY647" s="234"/>
      <c r="EZ647" s="234"/>
      <c r="FA647" s="234"/>
      <c r="FB647" s="234"/>
      <c r="FC647" s="234"/>
      <c r="FD647" s="234"/>
      <c r="FE647" s="234"/>
      <c r="FF647" s="234"/>
      <c r="FG647" s="234"/>
      <c r="FH647" s="234"/>
      <c r="FI647" s="189"/>
      <c r="FJ647" s="140"/>
      <c r="FK647" s="177"/>
      <c r="FL647" s="178"/>
      <c r="FM647" s="178"/>
      <c r="FN647" s="178"/>
      <c r="FO647" s="178"/>
      <c r="FP647" s="219"/>
      <c r="FQ647" s="234"/>
      <c r="FR647" s="234"/>
      <c r="FS647" s="234"/>
      <c r="FT647" s="234"/>
      <c r="FU647" s="234"/>
      <c r="FV647" s="234"/>
      <c r="FW647" s="234"/>
      <c r="FX647" s="234"/>
      <c r="FY647" s="234"/>
      <c r="FZ647" s="234"/>
      <c r="GA647" s="234"/>
      <c r="GB647" s="234"/>
      <c r="GC647" s="234"/>
      <c r="GD647" s="234"/>
      <c r="GE647" s="234"/>
      <c r="GF647" s="234"/>
      <c r="GG647" s="234"/>
      <c r="GH647" s="234"/>
      <c r="GI647" s="234"/>
      <c r="GJ647" s="234"/>
      <c r="GK647" s="234"/>
      <c r="GL647" s="234"/>
      <c r="GM647" s="234"/>
      <c r="GN647" s="234"/>
      <c r="GO647" s="234"/>
      <c r="GP647" s="234"/>
      <c r="GQ647" s="234"/>
      <c r="GR647" s="234"/>
      <c r="GS647" s="234"/>
      <c r="GT647" s="189"/>
      <c r="GU647" s="140"/>
      <c r="GV647" s="177"/>
      <c r="GW647" s="178"/>
      <c r="GX647" s="178"/>
      <c r="GY647" s="178"/>
      <c r="GZ647" s="178"/>
      <c r="HA647" s="219"/>
      <c r="HB647" s="234"/>
      <c r="HC647" s="234"/>
      <c r="HD647" s="234"/>
      <c r="HE647" s="234"/>
      <c r="HF647" s="234"/>
      <c r="HG647" s="234"/>
      <c r="HH647" s="234"/>
      <c r="HI647" s="234"/>
      <c r="HJ647" s="234"/>
      <c r="HK647" s="234"/>
      <c r="HL647" s="234"/>
      <c r="HM647" s="234"/>
      <c r="HN647" s="234"/>
      <c r="HO647" s="234"/>
      <c r="HP647" s="234"/>
      <c r="HQ647" s="234"/>
      <c r="HR647" s="234"/>
      <c r="HS647" s="234"/>
      <c r="HT647" s="234"/>
      <c r="HU647" s="234"/>
      <c r="HV647" s="234"/>
      <c r="HW647" s="234"/>
      <c r="HX647" s="234"/>
      <c r="HY647" s="234"/>
      <c r="HZ647" s="234"/>
      <c r="IA647" s="234"/>
      <c r="IB647" s="234"/>
      <c r="IC647" s="234"/>
      <c r="ID647" s="234"/>
      <c r="IE647" s="189"/>
      <c r="IF647" s="140"/>
      <c r="IG647" s="139"/>
      <c r="IH647" s="140"/>
      <c r="II647" s="140"/>
      <c r="IJ647" s="140"/>
      <c r="IK647" s="140"/>
      <c r="IL647" s="140"/>
      <c r="IM647" s="140"/>
      <c r="IN647" s="140"/>
      <c r="IO647" s="140"/>
      <c r="IP647" s="140"/>
      <c r="IQ647" s="140"/>
      <c r="IR647" s="140"/>
      <c r="IS647" s="140"/>
      <c r="IT647" s="140"/>
      <c r="IU647" s="140"/>
      <c r="IV647" s="218">
        <f>(SUMIFS($JR$513:$JR$613,$JR$513:$JR$613,"&gt;1000",IT$513:IT$613,"SIMPLE")+SUMIFS($JR$513:$JR$613,$JR$513:$JR$613,"&gt;1000",IT$513:IT$613,"MOYENNE")+SUMIFS($JR$513:$JR$613,$JR$513:$JR$613,"&gt;1000",IT$513:IT$613,"COMPLETE"))/SUMIFS($JR$513:$JR$613,$JR$513:$JR$613,"&gt;1000")</f>
        <v>0.3</v>
      </c>
      <c r="IW647" s="140"/>
      <c r="IX647" s="140"/>
      <c r="IY647" s="140"/>
      <c r="IZ647" s="140"/>
      <c r="JA647" s="140"/>
      <c r="JB647" s="140"/>
      <c r="JC647" s="140"/>
      <c r="JD647" s="140"/>
      <c r="JE647" s="140"/>
      <c r="JF647" s="140"/>
      <c r="JG647" s="140"/>
      <c r="JH647" s="140"/>
      <c r="JI647" s="140"/>
      <c r="JJ647" s="140"/>
      <c r="JK647" s="140"/>
      <c r="JL647" s="140"/>
      <c r="JM647" s="140"/>
      <c r="JN647" s="140"/>
      <c r="JO647" s="140"/>
      <c r="JP647" s="141"/>
      <c r="JQ647" s="140"/>
      <c r="JR647" s="139"/>
      <c r="JS647" s="140"/>
      <c r="JT647" s="140"/>
      <c r="JU647" s="140"/>
      <c r="JV647" s="140"/>
      <c r="JW647" s="140"/>
      <c r="JX647" s="140"/>
      <c r="JY647" s="140"/>
      <c r="JZ647" s="140"/>
      <c r="KA647" s="140"/>
      <c r="KB647" s="140"/>
      <c r="KC647" s="140"/>
      <c r="KD647" s="140"/>
      <c r="KE647" s="140"/>
      <c r="KF647" s="140"/>
      <c r="KG647" s="218">
        <f>(SUMIFS($JR$513:$JR$613,$JR$513:$JR$613,"&gt;1000",KE$513:KE$613,"SIMPLE")+SUMIFS($JR$513:$JR$613,$JR$513:$JR$613,"&gt;1000",KE$513:KE$613,"MOYENNE")+SUMIFS($JR$513:$JR$613,$JR$513:$JR$613,"&gt;1000",KE$513:KE$613,"COMPLETE"))/SUMIFS($JR$513:$JR$613,$JR$513:$JR$613,"&gt;1000")</f>
        <v>0.21428571428571427</v>
      </c>
      <c r="KH647" s="140"/>
      <c r="KI647" s="140"/>
      <c r="KJ647" s="140"/>
      <c r="KK647" s="140"/>
      <c r="KL647" s="140"/>
      <c r="KM647" s="140"/>
      <c r="KN647" s="140"/>
      <c r="KO647" s="140"/>
      <c r="KP647" s="140"/>
      <c r="KQ647" s="140"/>
      <c r="KR647" s="140"/>
      <c r="KS647" s="140"/>
      <c r="KT647" s="140"/>
      <c r="KU647" s="140"/>
      <c r="KV647" s="140"/>
      <c r="KW647" s="140"/>
      <c r="KX647" s="140"/>
      <c r="KY647" s="140"/>
      <c r="KZ647" s="140"/>
      <c r="LA647" s="236">
        <f>(SUMIFS($JR$513:$JR$613,$JR$513:$JR$613,"&gt;1000",KY$513:KY$613,"SIMPLE")+SUMIFS($JR$513:$JR$613,$JR$513:$JR$613,"&gt;1000",KY$513:KY$613,"MOYENNE")+SUMIFS($JR$513:$JR$613,$JR$513:$JR$613,"&gt;1000",KY$513:KY$613,"COMPLETE"))/SUMIFS($JR$513:$JR$613,$JR$513:$JR$613,"&gt;1000")</f>
        <v>0.52857142857142858</v>
      </c>
      <c r="LB647" s="140"/>
      <c r="LC647" s="139"/>
      <c r="LD647" s="140"/>
      <c r="LE647" s="140"/>
      <c r="LF647" s="140"/>
      <c r="LG647" s="140"/>
      <c r="LH647" s="140"/>
      <c r="LI647" s="140"/>
      <c r="LJ647" s="140"/>
      <c r="LK647" s="140"/>
      <c r="LL647" s="140"/>
      <c r="LM647" s="140"/>
      <c r="LN647" s="140"/>
      <c r="LO647" s="140"/>
      <c r="LP647" s="140"/>
      <c r="LQ647" s="140"/>
      <c r="LR647" s="218">
        <f>(SUMIFS($LC$513:$LC$613,$LC$513:$LC$613,"&gt;1000",LP$513:LP$613,"SIMPLE")+SUMIFS($LC$513:$LC$613,$LC$513:$LC$613,"&gt;1000",LP$513:LP$613,"MOYENNE")+SUMIFS($LC$513:$LC$613,$LC$513:$LC$613,"&gt;1000",LP$513:LP$613,"COMPLETE"))/SUMIFS($LC$513:$LC$613,$LC$513:$LC$613,"&gt;1000")</f>
        <v>0.1</v>
      </c>
      <c r="LS647" s="140"/>
      <c r="LT647" s="140"/>
      <c r="LU647" s="140"/>
      <c r="LV647" s="140"/>
      <c r="LW647" s="140"/>
      <c r="LX647" s="140"/>
      <c r="LY647" s="140"/>
      <c r="LZ647" s="140"/>
      <c r="MA647" s="140"/>
      <c r="MB647" s="218">
        <f>(SUMIFS($LC$513:$LC$613,$LC$513:$LC$613,"&gt;1000",LZ$513:LZ$613,"SIMPLE")+SUMIFS($LC$513:$LC$613,$LC$513:$LC$613,"&gt;1000",LZ$513:LZ$613,"MOYENNE")+SUMIFS($LC$513:$LC$613,$LC$513:$LC$613,"&gt;1000",LZ$513:LZ$613,"COMPLETE"))/SUMIFS($LC$513:$LC$613,$LC$513:$LC$613,"&gt;1000")</f>
        <v>0.18571428571428572</v>
      </c>
      <c r="MC647" s="140"/>
      <c r="MD647" s="140"/>
      <c r="ME647" s="140"/>
      <c r="MF647" s="140"/>
      <c r="MG647" s="140"/>
      <c r="MH647" s="140"/>
      <c r="MI647" s="140"/>
      <c r="MJ647" s="140"/>
      <c r="MK647" s="140"/>
      <c r="ML647" s="236">
        <f>(SUMIFS($LC$513:$LC$613,$LC$513:$LC$613,"&gt;1000",MJ$513:MJ$613,"SIMPLE")+SUMIFS($LC$513:$LC$613,$LC$513:$LC$613,"&gt;1000",MJ$513:MJ$613,"MOYENNE")+SUMIFS($LC$513:$LC$613,$LC$513:$LC$613,"&gt;1000",MJ$513:MJ$613,"COMPLETE"))/SUMIFS($LC$513:$LC$613,$LC$513:$LC$613,"&gt;1000")</f>
        <v>0.27142857142857141</v>
      </c>
    </row>
    <row r="648" spans="3:350" s="4" customFormat="1" ht="18" customHeight="1" x14ac:dyDescent="0.3">
      <c r="C648" s="136" t="s">
        <v>294</v>
      </c>
      <c r="E648" s="137"/>
      <c r="F648" s="186"/>
      <c r="H648" s="267"/>
      <c r="I648"/>
      <c r="J648"/>
      <c r="K648"/>
      <c r="L648"/>
      <c r="M648" s="140"/>
      <c r="N648" s="218"/>
      <c r="O648" s="218"/>
      <c r="P648" s="218"/>
      <c r="Q648" s="236"/>
      <c r="R648" s="140"/>
      <c r="S648" s="139"/>
      <c r="T648" s="140"/>
      <c r="U648" s="140"/>
      <c r="V648" s="140"/>
      <c r="W648" s="140"/>
      <c r="X648" s="140"/>
      <c r="Y648" s="140"/>
      <c r="Z648" s="140"/>
      <c r="AA648" s="140"/>
      <c r="AB648" s="140"/>
      <c r="AC648" s="140"/>
      <c r="AD648" s="140"/>
      <c r="AE648" s="140"/>
      <c r="AF648" s="140"/>
      <c r="AG648" s="140"/>
      <c r="AH648" s="140"/>
      <c r="AI648" s="140"/>
      <c r="AJ648" s="140"/>
      <c r="AK648" s="140"/>
      <c r="AL648" s="140"/>
      <c r="AM648" s="140"/>
      <c r="AN648" s="140"/>
      <c r="AO648" s="140"/>
      <c r="AP648" s="140"/>
      <c r="AQ648" s="140"/>
      <c r="AR648" s="140"/>
      <c r="AS648" s="140"/>
      <c r="AT648" s="140"/>
      <c r="AU648" s="140"/>
      <c r="AV648" s="140"/>
      <c r="AW648" s="140"/>
      <c r="AX648" s="140"/>
      <c r="AY648" s="140"/>
      <c r="AZ648" s="140"/>
      <c r="BA648" s="140"/>
      <c r="BB648" s="141"/>
      <c r="BC648" s="140"/>
      <c r="BD648" s="235"/>
      <c r="BE648" s="218"/>
      <c r="BF648" s="218"/>
      <c r="BG648" s="218"/>
      <c r="BH648" s="218"/>
      <c r="BI648" s="218"/>
      <c r="BJ648" s="301"/>
      <c r="BK648" s="301"/>
      <c r="BL648" s="301"/>
      <c r="BM648" s="301"/>
      <c r="BN648" s="301"/>
      <c r="BO648" s="301"/>
      <c r="BP648" s="301"/>
      <c r="BQ648" s="301"/>
      <c r="BR648" s="301"/>
      <c r="BS648" s="301"/>
      <c r="BT648" s="301"/>
      <c r="BU648" s="301"/>
      <c r="BV648" s="301"/>
      <c r="BW648" s="301"/>
      <c r="BX648" s="301"/>
      <c r="BY648" s="301"/>
      <c r="BZ648" s="301"/>
      <c r="CA648" s="301"/>
      <c r="CB648" s="301"/>
      <c r="CC648" s="301"/>
      <c r="CD648" s="301"/>
      <c r="CE648" s="301"/>
      <c r="CF648" s="301"/>
      <c r="CG648" s="301"/>
      <c r="CH648" s="301"/>
      <c r="CI648" s="301"/>
      <c r="CJ648" s="301"/>
      <c r="CK648" s="301"/>
      <c r="CL648" s="301"/>
      <c r="CM648" s="302"/>
      <c r="CN648" s="140"/>
      <c r="CO648" s="235"/>
      <c r="CP648" s="218"/>
      <c r="CQ648" s="218"/>
      <c r="CR648" s="218"/>
      <c r="CS648" s="218"/>
      <c r="CT648" s="218"/>
      <c r="CU648" s="301"/>
      <c r="CV648" s="301"/>
      <c r="CW648" s="301"/>
      <c r="CX648" s="301"/>
      <c r="CY648" s="301"/>
      <c r="CZ648" s="301"/>
      <c r="DA648" s="301"/>
      <c r="DB648" s="301"/>
      <c r="DC648" s="301"/>
      <c r="DD648" s="301"/>
      <c r="DE648" s="301"/>
      <c r="DF648" s="301"/>
      <c r="DG648" s="301"/>
      <c r="DH648" s="301"/>
      <c r="DI648" s="301"/>
      <c r="DJ648" s="301"/>
      <c r="DK648" s="301"/>
      <c r="DL648" s="301"/>
      <c r="DM648" s="301"/>
      <c r="DN648" s="301"/>
      <c r="DO648" s="301"/>
      <c r="DP648" s="301"/>
      <c r="DQ648" s="301"/>
      <c r="DR648" s="301"/>
      <c r="DS648" s="301"/>
      <c r="DT648" s="301"/>
      <c r="DU648" s="301"/>
      <c r="DV648" s="301"/>
      <c r="DW648" s="301"/>
      <c r="DX648" s="302"/>
      <c r="DY648" s="140"/>
      <c r="DZ648" s="235"/>
      <c r="EA648" s="218"/>
      <c r="EB648" s="218"/>
      <c r="EC648" s="218"/>
      <c r="ED648" s="218"/>
      <c r="EE648" s="218"/>
      <c r="EF648" s="301"/>
      <c r="EG648" s="301"/>
      <c r="EH648" s="301"/>
      <c r="EI648" s="301"/>
      <c r="EJ648" s="301"/>
      <c r="EK648" s="301"/>
      <c r="EL648" s="301"/>
      <c r="EM648" s="301"/>
      <c r="EN648" s="301"/>
      <c r="EO648" s="301"/>
      <c r="EP648" s="301"/>
      <c r="EQ648" s="301"/>
      <c r="ER648" s="301"/>
      <c r="ES648" s="301"/>
      <c r="ET648" s="301"/>
      <c r="EU648" s="301"/>
      <c r="EV648" s="301"/>
      <c r="EW648" s="301"/>
      <c r="EX648" s="301"/>
      <c r="EY648" s="301"/>
      <c r="EZ648" s="301"/>
      <c r="FA648" s="301"/>
      <c r="FB648" s="301"/>
      <c r="FC648" s="301"/>
      <c r="FD648" s="301"/>
      <c r="FE648" s="301"/>
      <c r="FF648" s="301"/>
      <c r="FG648" s="301"/>
      <c r="FH648" s="301"/>
      <c r="FI648" s="302"/>
      <c r="FJ648" s="140"/>
      <c r="FK648" s="235"/>
      <c r="FL648" s="218"/>
      <c r="FM648" s="218"/>
      <c r="FN648" s="218"/>
      <c r="FO648" s="218"/>
      <c r="FP648" s="218"/>
      <c r="FQ648" s="301"/>
      <c r="FR648" s="301"/>
      <c r="FS648" s="301"/>
      <c r="FT648" s="301"/>
      <c r="FU648" s="301"/>
      <c r="FV648" s="301"/>
      <c r="FW648" s="301"/>
      <c r="FX648" s="301"/>
      <c r="FY648" s="301"/>
      <c r="FZ648" s="301"/>
      <c r="GA648" s="301"/>
      <c r="GB648" s="301"/>
      <c r="GC648" s="301"/>
      <c r="GD648" s="301"/>
      <c r="GE648" s="301"/>
      <c r="GF648" s="301"/>
      <c r="GG648" s="301"/>
      <c r="GH648" s="301"/>
      <c r="GI648" s="301"/>
      <c r="GJ648" s="301"/>
      <c r="GK648" s="301"/>
      <c r="GL648" s="301"/>
      <c r="GM648" s="301"/>
      <c r="GN648" s="301"/>
      <c r="GO648" s="301"/>
      <c r="GP648" s="301"/>
      <c r="GQ648" s="301"/>
      <c r="GR648" s="301"/>
      <c r="GS648" s="301"/>
      <c r="GT648" s="302"/>
      <c r="GU648" s="140"/>
      <c r="GV648" s="235"/>
      <c r="GW648" s="218"/>
      <c r="GX648" s="218"/>
      <c r="GY648" s="218"/>
      <c r="GZ648" s="218"/>
      <c r="HA648" s="218"/>
      <c r="HB648" s="301"/>
      <c r="HC648" s="301"/>
      <c r="HD648" s="301"/>
      <c r="HE648" s="301"/>
      <c r="HF648" s="301"/>
      <c r="HG648" s="301"/>
      <c r="HH648" s="301"/>
      <c r="HI648" s="301"/>
      <c r="HJ648" s="301"/>
      <c r="HK648" s="301"/>
      <c r="HL648" s="301"/>
      <c r="HM648" s="301"/>
      <c r="HN648" s="301"/>
      <c r="HO648" s="301"/>
      <c r="HP648" s="301"/>
      <c r="HQ648" s="301"/>
      <c r="HR648" s="301"/>
      <c r="HS648" s="301"/>
      <c r="HT648" s="301"/>
      <c r="HU648" s="301"/>
      <c r="HV648" s="301"/>
      <c r="HW648" s="301"/>
      <c r="HX648" s="301"/>
      <c r="HY648" s="301"/>
      <c r="HZ648" s="301"/>
      <c r="IA648" s="301"/>
      <c r="IB648" s="301"/>
      <c r="IC648" s="301"/>
      <c r="ID648" s="301"/>
      <c r="IE648" s="302"/>
      <c r="IF648" s="140"/>
      <c r="IG648" s="139"/>
      <c r="IH648" s="140"/>
      <c r="II648" s="140"/>
      <c r="IJ648" s="140"/>
      <c r="IK648" s="140"/>
      <c r="IL648" s="140"/>
      <c r="IM648" s="140"/>
      <c r="IN648" s="140"/>
      <c r="IO648" s="140"/>
      <c r="IP648" s="140"/>
      <c r="IQ648" s="140"/>
      <c r="IR648" s="140"/>
      <c r="IS648" s="140"/>
      <c r="IT648" s="140"/>
      <c r="IU648" s="140"/>
      <c r="IV648" s="218">
        <f>(SUMIFS($JR$513:$JR$613,$JR$513:$JR$613,"&lt;=1000",$JR$513:$JR$613,"&gt;500",IT$513:IT$613,"SIMPLE")+SUMIFS($JR$513:$JR$613,$JR$513:$JR$613,"&lt;=1000",$JR$513:$JR$613,"&gt;500",IT$513:IT$613,"MOYENNE")+SUMIFS($JR$513:$JR$613,$JR$513:$JR$613,"&lt;=1000",$JR$513:$JR$613,"&gt;500",IT$513:IT$613,"COMPLETE"))/SUMIFS($JR$513:$JR$613,$JR$513:$JR$613,"&lt;=1000",$JR$513:$JR$613,"&gt;500")</f>
        <v>0.3125</v>
      </c>
      <c r="IW648" s="140"/>
      <c r="IX648" s="140"/>
      <c r="IY648" s="140"/>
      <c r="IZ648" s="140"/>
      <c r="JA648" s="140"/>
      <c r="JB648" s="140"/>
      <c r="JC648" s="140"/>
      <c r="JD648" s="140"/>
      <c r="JE648" s="140"/>
      <c r="JF648" s="140"/>
      <c r="JG648" s="140"/>
      <c r="JH648" s="140"/>
      <c r="JI648" s="140"/>
      <c r="JJ648" s="140"/>
      <c r="JK648" s="140"/>
      <c r="JL648" s="140"/>
      <c r="JM648" s="140"/>
      <c r="JN648" s="140"/>
      <c r="JO648" s="140"/>
      <c r="JP648" s="141"/>
      <c r="JQ648" s="140"/>
      <c r="JR648" s="139"/>
      <c r="JS648" s="140"/>
      <c r="JT648" s="140"/>
      <c r="JU648" s="140"/>
      <c r="JV648" s="140"/>
      <c r="JW648" s="140"/>
      <c r="JX648" s="140"/>
      <c r="JY648" s="140"/>
      <c r="JZ648" s="140"/>
      <c r="KA648" s="140"/>
      <c r="KB648" s="140"/>
      <c r="KC648" s="140"/>
      <c r="KD648" s="140"/>
      <c r="KE648" s="140"/>
      <c r="KF648" s="140"/>
      <c r="KG648" s="218">
        <f>(SUMIFS($JR$513:$JR$613,$JR$513:$JR$613,"&lt;=1000",$JR$513:$JR$613,"&gt;500",KE$513:KE$613,"SIMPLE")+SUMIFS($JR$513:$JR$613,$JR$513:$JR$613,"&lt;=1000",$JR$513:$JR$613,"&gt;500",KE$513:KE$613,"MOYENNE")+SUMIFS($JR$513:$JR$613,$JR$513:$JR$613,"&lt;=1000",$JR$513:$JR$613,"&gt;500",KE$513:KE$613,"COMPLETE"))/SUMIFS($JR$513:$JR$613,$JR$513:$JR$613,"&lt;=1000",$JR$513:$JR$613,"&gt;500")</f>
        <v>0.5</v>
      </c>
      <c r="KH648" s="140"/>
      <c r="KI648" s="140"/>
      <c r="KJ648" s="140"/>
      <c r="KK648" s="140"/>
      <c r="KL648" s="140"/>
      <c r="KM648" s="140"/>
      <c r="KN648" s="140"/>
      <c r="KO648" s="140"/>
      <c r="KP648" s="140"/>
      <c r="KQ648" s="140"/>
      <c r="KR648" s="140"/>
      <c r="KS648" s="140"/>
      <c r="KT648" s="140"/>
      <c r="KU648" s="140"/>
      <c r="KV648" s="140"/>
      <c r="KW648" s="140"/>
      <c r="KX648" s="140"/>
      <c r="KY648" s="140"/>
      <c r="KZ648" s="140"/>
      <c r="LA648" s="236">
        <f>(SUMIFS($JR$513:$JR$613,$JR$513:$JR$613,"&lt;=1000",$JR$513:$JR$613,"&gt;500",KY$513:KY$613,"SIMPLE")+SUMIFS($JR$513:$JR$613,$JR$513:$JR$613,"&lt;=1000",$JR$513:$JR$613,"&gt;500",KY$513:KY$613,"MOYENNE")+SUMIFS($JR$513:$JR$613,$JR$513:$JR$613,"&lt;=1000",$JR$513:$JR$613,"&gt;500",KY$513:KY$613,"COMPLETE"))/SUMIFS($JR$513:$JR$613,$JR$513:$JR$613,"&lt;=1000",$JR$513:$JR$613,"&gt;500")</f>
        <v>0.6875</v>
      </c>
      <c r="LB648" s="140"/>
      <c r="LC648" s="139"/>
      <c r="LD648" s="140"/>
      <c r="LE648" s="140"/>
      <c r="LF648" s="140"/>
      <c r="LG648" s="140"/>
      <c r="LH648" s="140"/>
      <c r="LI648" s="140"/>
      <c r="LJ648" s="140"/>
      <c r="LK648" s="140"/>
      <c r="LL648" s="140"/>
      <c r="LM648" s="140"/>
      <c r="LN648" s="140"/>
      <c r="LO648" s="140"/>
      <c r="LP648" s="140"/>
      <c r="LQ648" s="140"/>
      <c r="LR648" s="218">
        <f>(SUMIFS($LC$513:$LC$613,$LC$513:$LC$613,"&gt;1000",LP$513:LP$613,"SIMPLE")+SUMIFS($LC$513:$LC$613,$LC$513:$LC$613,"&gt;1000",LP$513:LP$613,"MOYENNE")+SUMIFS($LC$513:$LC$613,$LC$513:$LC$613,"&gt;1000",LP$513:LP$613,"COMPLETE"))/SUMIFS($LC$513:$LC$613,$LC$513:$LC$613,"&gt;1000")</f>
        <v>0.1</v>
      </c>
      <c r="LS648" s="140"/>
      <c r="LT648" s="140"/>
      <c r="LU648" s="140"/>
      <c r="LV648" s="140"/>
      <c r="LW648" s="140"/>
      <c r="LX648" s="140"/>
      <c r="LY648" s="140"/>
      <c r="LZ648" s="140"/>
      <c r="MA648" s="140"/>
      <c r="MB648" s="218">
        <f>(SUMIFS($LC$513:$LC$613,$LC$513:$LC$613,"&gt;1000",LZ$513:LZ$613,"SIMPLE")+SUMIFS($LC$513:$LC$613,$LC$513:$LC$613,"&gt;1000",LZ$513:LZ$613,"MOYENNE")+SUMIFS($LC$513:$LC$613,$LC$513:$LC$613,"&gt;1000",LZ$513:LZ$613,"COMPLETE"))/SUMIFS($LC$513:$LC$613,$LC$513:$LC$613,"&gt;1000")</f>
        <v>0.18571428571428572</v>
      </c>
      <c r="MC648" s="140"/>
      <c r="MD648" s="140"/>
      <c r="ME648" s="140"/>
      <c r="MF648" s="140"/>
      <c r="MG648" s="140"/>
      <c r="MH648" s="140"/>
      <c r="MI648" s="140"/>
      <c r="MJ648" s="140"/>
      <c r="MK648" s="140"/>
      <c r="ML648" s="236">
        <f>(SUMIFS($LC$513:$LC$613,$LC$513:$LC$613,"&gt;1000",MJ$513:MJ$613,"SIMPLE")+SUMIFS($LC$513:$LC$613,$LC$513:$LC$613,"&gt;1000",MJ$513:MJ$613,"MOYENNE")+SUMIFS($LC$513:$LC$613,$LC$513:$LC$613,"&gt;1000",MJ$513:MJ$613,"COMPLETE"))/SUMIFS($LC$513:$LC$613,$LC$513:$LC$613,"&gt;1000")</f>
        <v>0.27142857142857141</v>
      </c>
    </row>
    <row r="649" spans="3:350" s="4" customFormat="1" ht="18" customHeight="1" x14ac:dyDescent="0.3">
      <c r="C649" s="136" t="s">
        <v>295</v>
      </c>
      <c r="E649" s="137"/>
      <c r="F649" s="186"/>
      <c r="H649" s="267"/>
      <c r="I649"/>
      <c r="J649"/>
      <c r="K649"/>
      <c r="L649"/>
      <c r="M649" s="140"/>
      <c r="N649" s="237"/>
      <c r="O649" s="237"/>
      <c r="P649" s="237"/>
      <c r="Q649" s="236"/>
      <c r="R649" s="140"/>
      <c r="S649" s="139"/>
      <c r="T649" s="140"/>
      <c r="U649" s="140"/>
      <c r="V649" s="140"/>
      <c r="W649" s="140"/>
      <c r="X649" s="140"/>
      <c r="Y649" s="140"/>
      <c r="Z649" s="140"/>
      <c r="AA649" s="140"/>
      <c r="AB649" s="140"/>
      <c r="AC649" s="140"/>
      <c r="AD649" s="140"/>
      <c r="AE649" s="140"/>
      <c r="AF649" s="140"/>
      <c r="AG649" s="140"/>
      <c r="AH649" s="140"/>
      <c r="AI649" s="140"/>
      <c r="AJ649" s="140"/>
      <c r="AK649" s="140"/>
      <c r="AL649" s="140"/>
      <c r="AM649" s="140"/>
      <c r="AN649" s="140"/>
      <c r="AO649" s="140"/>
      <c r="AP649" s="140"/>
      <c r="AQ649" s="140"/>
      <c r="AR649" s="140"/>
      <c r="AS649" s="140"/>
      <c r="AT649" s="140"/>
      <c r="AU649" s="140"/>
      <c r="AV649" s="140"/>
      <c r="AW649" s="140"/>
      <c r="AX649" s="140"/>
      <c r="AY649" s="140"/>
      <c r="AZ649" s="140"/>
      <c r="BA649" s="140"/>
      <c r="BB649" s="141"/>
      <c r="BC649" s="140"/>
      <c r="BD649" s="177"/>
      <c r="BE649" s="178"/>
      <c r="BF649" s="178"/>
      <c r="BG649" s="178"/>
      <c r="BH649" s="178"/>
      <c r="BI649" s="219"/>
      <c r="BJ649" s="234"/>
      <c r="BK649" s="234"/>
      <c r="BL649" s="234"/>
      <c r="BM649" s="234"/>
      <c r="BN649" s="234"/>
      <c r="BO649" s="234"/>
      <c r="BP649" s="234"/>
      <c r="BQ649" s="234"/>
      <c r="BR649" s="234"/>
      <c r="BS649" s="234"/>
      <c r="BT649" s="234"/>
      <c r="BU649" s="234"/>
      <c r="BV649" s="234"/>
      <c r="BW649" s="234"/>
      <c r="BX649" s="234"/>
      <c r="BY649" s="234"/>
      <c r="BZ649" s="234"/>
      <c r="CA649" s="234"/>
      <c r="CB649" s="234"/>
      <c r="CC649" s="234"/>
      <c r="CD649" s="234"/>
      <c r="CE649" s="234"/>
      <c r="CF649" s="234"/>
      <c r="CG649" s="234"/>
      <c r="CH649" s="234"/>
      <c r="CI649" s="234"/>
      <c r="CJ649" s="234"/>
      <c r="CK649" s="234"/>
      <c r="CL649" s="234"/>
      <c r="CM649" s="189"/>
      <c r="CN649" s="140"/>
      <c r="CO649" s="177"/>
      <c r="CP649" s="178"/>
      <c r="CQ649" s="178"/>
      <c r="CR649" s="178"/>
      <c r="CS649" s="178"/>
      <c r="CT649" s="219"/>
      <c r="CU649" s="234"/>
      <c r="CV649" s="234"/>
      <c r="CW649" s="234"/>
      <c r="CX649" s="234"/>
      <c r="CY649" s="234"/>
      <c r="CZ649" s="234"/>
      <c r="DA649" s="234"/>
      <c r="DB649" s="234"/>
      <c r="DC649" s="234"/>
      <c r="DD649" s="234"/>
      <c r="DE649" s="234"/>
      <c r="DF649" s="234"/>
      <c r="DG649" s="234"/>
      <c r="DH649" s="234"/>
      <c r="DI649" s="234"/>
      <c r="DJ649" s="234"/>
      <c r="DK649" s="234"/>
      <c r="DL649" s="234"/>
      <c r="DM649" s="234"/>
      <c r="DN649" s="234"/>
      <c r="DO649" s="234"/>
      <c r="DP649" s="234"/>
      <c r="DQ649" s="234"/>
      <c r="DR649" s="234"/>
      <c r="DS649" s="234"/>
      <c r="DT649" s="234"/>
      <c r="DU649" s="234"/>
      <c r="DV649" s="234"/>
      <c r="DW649" s="234"/>
      <c r="DX649" s="189"/>
      <c r="DY649" s="140"/>
      <c r="DZ649" s="177"/>
      <c r="EA649" s="178"/>
      <c r="EB649" s="178"/>
      <c r="EC649" s="178"/>
      <c r="ED649" s="178"/>
      <c r="EE649" s="219"/>
      <c r="EF649" s="234"/>
      <c r="EG649" s="234"/>
      <c r="EH649" s="234"/>
      <c r="EI649" s="234"/>
      <c r="EJ649" s="234"/>
      <c r="EK649" s="234"/>
      <c r="EL649" s="234"/>
      <c r="EM649" s="234"/>
      <c r="EN649" s="234"/>
      <c r="EO649" s="234"/>
      <c r="EP649" s="234"/>
      <c r="EQ649" s="234"/>
      <c r="ER649" s="234"/>
      <c r="ES649" s="234"/>
      <c r="ET649" s="234"/>
      <c r="EU649" s="234"/>
      <c r="EV649" s="234"/>
      <c r="EW649" s="234"/>
      <c r="EX649" s="234"/>
      <c r="EY649" s="234"/>
      <c r="EZ649" s="234"/>
      <c r="FA649" s="234"/>
      <c r="FB649" s="234"/>
      <c r="FC649" s="234"/>
      <c r="FD649" s="234"/>
      <c r="FE649" s="234"/>
      <c r="FF649" s="234"/>
      <c r="FG649" s="234"/>
      <c r="FH649" s="234"/>
      <c r="FI649" s="189"/>
      <c r="FJ649" s="140"/>
      <c r="FK649" s="177"/>
      <c r="FL649" s="178"/>
      <c r="FM649" s="178"/>
      <c r="FN649" s="178"/>
      <c r="FO649" s="178"/>
      <c r="FP649" s="219"/>
      <c r="FQ649" s="234"/>
      <c r="FR649" s="234"/>
      <c r="FS649" s="234"/>
      <c r="FT649" s="234"/>
      <c r="FU649" s="234"/>
      <c r="FV649" s="234"/>
      <c r="FW649" s="234"/>
      <c r="FX649" s="234"/>
      <c r="FY649" s="234"/>
      <c r="FZ649" s="234"/>
      <c r="GA649" s="234"/>
      <c r="GB649" s="234"/>
      <c r="GC649" s="234"/>
      <c r="GD649" s="234"/>
      <c r="GE649" s="234"/>
      <c r="GF649" s="234"/>
      <c r="GG649" s="234"/>
      <c r="GH649" s="234"/>
      <c r="GI649" s="234"/>
      <c r="GJ649" s="234"/>
      <c r="GK649" s="234"/>
      <c r="GL649" s="234"/>
      <c r="GM649" s="234"/>
      <c r="GN649" s="234"/>
      <c r="GO649" s="234"/>
      <c r="GP649" s="234"/>
      <c r="GQ649" s="234"/>
      <c r="GR649" s="234"/>
      <c r="GS649" s="234"/>
      <c r="GT649" s="189"/>
      <c r="GU649" s="140"/>
      <c r="GV649" s="177"/>
      <c r="GW649" s="178"/>
      <c r="GX649" s="178"/>
      <c r="GY649" s="178"/>
      <c r="GZ649" s="178"/>
      <c r="HA649" s="219"/>
      <c r="HB649" s="234"/>
      <c r="HC649" s="234"/>
      <c r="HD649" s="234"/>
      <c r="HE649" s="234"/>
      <c r="HF649" s="234"/>
      <c r="HG649" s="234"/>
      <c r="HH649" s="234"/>
      <c r="HI649" s="234"/>
      <c r="HJ649" s="234"/>
      <c r="HK649" s="234"/>
      <c r="HL649" s="234"/>
      <c r="HM649" s="234"/>
      <c r="HN649" s="234"/>
      <c r="HO649" s="234"/>
      <c r="HP649" s="234"/>
      <c r="HQ649" s="234"/>
      <c r="HR649" s="234"/>
      <c r="HS649" s="234"/>
      <c r="HT649" s="234"/>
      <c r="HU649" s="234"/>
      <c r="HV649" s="234"/>
      <c r="HW649" s="234"/>
      <c r="HX649" s="234"/>
      <c r="HY649" s="234"/>
      <c r="HZ649" s="234"/>
      <c r="IA649" s="234"/>
      <c r="IB649" s="234"/>
      <c r="IC649" s="234"/>
      <c r="ID649" s="234"/>
      <c r="IE649" s="189"/>
      <c r="IF649" s="140"/>
      <c r="IG649" s="139"/>
      <c r="IH649" s="140"/>
      <c r="II649" s="140"/>
      <c r="IJ649" s="140"/>
      <c r="IK649" s="140"/>
      <c r="IL649" s="140"/>
      <c r="IM649" s="140"/>
      <c r="IN649" s="140"/>
      <c r="IO649" s="140"/>
      <c r="IP649" s="140"/>
      <c r="IQ649" s="140"/>
      <c r="IR649" s="140"/>
      <c r="IS649" s="140"/>
      <c r="IT649" s="140"/>
      <c r="IU649" s="140"/>
      <c r="IV649" s="218">
        <f>SUMIFS($JR$513:$JR$613,$JR$513:$JR$613,"&gt;1000",IT$513:IT$613,"COMPLETE")/SUMIFS($JR$513:$JR$613,$JR$513:$JR$613,"&gt;1000")</f>
        <v>0.21428571428571427</v>
      </c>
      <c r="IW649" s="140"/>
      <c r="IX649" s="140"/>
      <c r="IY649" s="140"/>
      <c r="IZ649" s="140"/>
      <c r="JA649" s="140"/>
      <c r="JB649" s="140"/>
      <c r="JC649" s="140"/>
      <c r="JD649" s="140"/>
      <c r="JE649" s="140"/>
      <c r="JF649" s="140"/>
      <c r="JG649" s="140"/>
      <c r="JH649" s="140"/>
      <c r="JI649" s="140"/>
      <c r="JJ649" s="140"/>
      <c r="JK649" s="140"/>
      <c r="JL649" s="140"/>
      <c r="JM649" s="140"/>
      <c r="JN649" s="140"/>
      <c r="JO649" s="140"/>
      <c r="JP649" s="141"/>
      <c r="JQ649" s="140"/>
      <c r="JR649" s="139"/>
      <c r="JS649" s="140"/>
      <c r="JT649" s="140"/>
      <c r="JU649" s="140"/>
      <c r="JV649" s="140"/>
      <c r="JW649" s="140"/>
      <c r="JX649" s="140"/>
      <c r="JY649" s="140"/>
      <c r="JZ649" s="140"/>
      <c r="KA649" s="140"/>
      <c r="KB649" s="140"/>
      <c r="KC649" s="140"/>
      <c r="KD649" s="140"/>
      <c r="KE649" s="140"/>
      <c r="KF649" s="140"/>
      <c r="KG649" s="218">
        <f>SUMIFS($JR$513:$JR$613,$JR$513:$JR$613,"&gt;1000",KE$513:KE$613,"COMPLETE")/SUMIFS($JR$513:$JR$613,$JR$513:$JR$613,"&gt;1000")</f>
        <v>0.14285714285714285</v>
      </c>
      <c r="KH649" s="140"/>
      <c r="KI649" s="140"/>
      <c r="KJ649" s="140"/>
      <c r="KK649" s="140"/>
      <c r="KL649" s="140"/>
      <c r="KM649" s="140"/>
      <c r="KN649" s="140"/>
      <c r="KO649" s="140"/>
      <c r="KP649" s="140"/>
      <c r="KQ649" s="140"/>
      <c r="KR649" s="140"/>
      <c r="KS649" s="140"/>
      <c r="KT649" s="140"/>
      <c r="KU649" s="140"/>
      <c r="KV649" s="140"/>
      <c r="KW649" s="140"/>
      <c r="KX649" s="140"/>
      <c r="KY649" s="140"/>
      <c r="KZ649" s="140"/>
      <c r="LA649" s="236">
        <f>SUMIFS($JR$513:$JR$613,$JR$513:$JR$613,"&gt;1000",KY$513:KY$613,"COMPLETE")/SUMIFS($JR$513:$JR$613,$JR$513:$JR$613,"&gt;1000")</f>
        <v>0.21428571428571427</v>
      </c>
      <c r="LB649" s="140"/>
      <c r="LC649" s="139"/>
      <c r="LD649" s="140"/>
      <c r="LE649" s="140"/>
      <c r="LF649" s="140"/>
      <c r="LG649" s="140"/>
      <c r="LH649" s="140"/>
      <c r="LI649" s="140"/>
      <c r="LJ649" s="140"/>
      <c r="LK649" s="140"/>
      <c r="LL649" s="140"/>
      <c r="LM649" s="140"/>
      <c r="LN649" s="140"/>
      <c r="LO649" s="140"/>
      <c r="LP649" s="140"/>
      <c r="LQ649" s="140"/>
      <c r="LR649" s="218">
        <f>SUMIFS($LC$513:$LC$613,$LC$513:$LC$613,"&gt;1000",LP$513:LP$613,"COMPLETE")/SUMIFS($LC$513:$LC$613,$LC$513:$LC$613,"&gt;1000")</f>
        <v>5.7142857142857141E-2</v>
      </c>
      <c r="LS649" s="140"/>
      <c r="LT649" s="140"/>
      <c r="LU649" s="140"/>
      <c r="LV649" s="140"/>
      <c r="LW649" s="140"/>
      <c r="LX649" s="140"/>
      <c r="LY649" s="140"/>
      <c r="LZ649" s="140"/>
      <c r="MA649" s="140"/>
      <c r="MB649" s="218">
        <f>SUMIFS($LC$513:$LC$613,$LC$513:$LC$613,"&gt;1000",LZ$513:LZ$613,"COMPLETE")/SUMIFS($LC$513:$LC$613,$LC$513:$LC$613,"&gt;1000")</f>
        <v>0.11428571428571428</v>
      </c>
      <c r="MC649" s="140"/>
      <c r="MD649" s="140"/>
      <c r="ME649" s="140"/>
      <c r="MF649" s="140"/>
      <c r="MG649" s="140"/>
      <c r="MH649" s="140"/>
      <c r="MI649" s="140"/>
      <c r="MJ649" s="140"/>
      <c r="MK649" s="140"/>
      <c r="ML649" s="236">
        <f>SUMIFS($LC$513:$LC$613,$LC$513:$LC$613,"&gt;1000",MJ$513:MJ$613,"COMPLETE")/SUMIFS($LC$513:$LC$613,$LC$513:$LC$613,"&gt;1000")</f>
        <v>0.14285714285714285</v>
      </c>
    </row>
    <row r="650" spans="3:350" s="4" customFormat="1" ht="18" customHeight="1" x14ac:dyDescent="0.3">
      <c r="C650" s="136" t="s">
        <v>296</v>
      </c>
      <c r="E650" s="137"/>
      <c r="F650" s="186"/>
      <c r="H650" s="267"/>
      <c r="I650"/>
      <c r="J650"/>
      <c r="K650"/>
      <c r="L650"/>
      <c r="M650" s="140"/>
      <c r="N650" s="237"/>
      <c r="O650" s="237"/>
      <c r="P650" s="237"/>
      <c r="Q650" s="236"/>
      <c r="R650" s="140"/>
      <c r="S650" s="139"/>
      <c r="T650" s="140"/>
      <c r="U650" s="140"/>
      <c r="V650" s="140"/>
      <c r="W650" s="140"/>
      <c r="X650" s="140"/>
      <c r="Y650" s="140"/>
      <c r="Z650" s="140"/>
      <c r="AA650" s="140"/>
      <c r="AB650" s="140"/>
      <c r="AC650" s="140"/>
      <c r="AD650" s="140"/>
      <c r="AE650" s="140"/>
      <c r="AF650" s="140"/>
      <c r="AG650" s="140"/>
      <c r="AH650" s="140"/>
      <c r="AI650" s="140"/>
      <c r="AJ650" s="140"/>
      <c r="AK650" s="140"/>
      <c r="AL650" s="140"/>
      <c r="AM650" s="140"/>
      <c r="AN650" s="140"/>
      <c r="AO650" s="140"/>
      <c r="AP650" s="140"/>
      <c r="AQ650" s="140"/>
      <c r="AR650" s="140"/>
      <c r="AS650" s="140"/>
      <c r="AT650" s="140"/>
      <c r="AU650" s="140"/>
      <c r="AV650" s="140"/>
      <c r="AW650" s="140"/>
      <c r="AX650" s="140"/>
      <c r="AY650" s="140"/>
      <c r="AZ650" s="140"/>
      <c r="BA650" s="140"/>
      <c r="BB650" s="141"/>
      <c r="BC650" s="140"/>
      <c r="BD650" s="177"/>
      <c r="BE650" s="178"/>
      <c r="BF650" s="178"/>
      <c r="BG650" s="178"/>
      <c r="BH650" s="178"/>
      <c r="BI650" s="219"/>
      <c r="BJ650" s="234"/>
      <c r="BK650" s="234"/>
      <c r="BL650" s="234"/>
      <c r="BM650" s="234"/>
      <c r="BN650" s="234"/>
      <c r="BO650" s="234"/>
      <c r="BP650" s="234"/>
      <c r="BQ650" s="234"/>
      <c r="BR650" s="234"/>
      <c r="BS650" s="234"/>
      <c r="BT650" s="234"/>
      <c r="BU650" s="234"/>
      <c r="BV650" s="234"/>
      <c r="BW650" s="234"/>
      <c r="BX650" s="234"/>
      <c r="BY650" s="234"/>
      <c r="BZ650" s="234"/>
      <c r="CA650" s="234"/>
      <c r="CB650" s="234"/>
      <c r="CC650" s="234"/>
      <c r="CD650" s="234"/>
      <c r="CE650" s="234"/>
      <c r="CF650" s="234"/>
      <c r="CG650" s="234"/>
      <c r="CH650" s="234"/>
      <c r="CI650" s="234"/>
      <c r="CJ650" s="234"/>
      <c r="CK650" s="234"/>
      <c r="CL650" s="234"/>
      <c r="CM650" s="189"/>
      <c r="CN650" s="140"/>
      <c r="CO650" s="177"/>
      <c r="CP650" s="178"/>
      <c r="CQ650" s="178"/>
      <c r="CR650" s="178"/>
      <c r="CS650" s="178"/>
      <c r="CT650" s="219"/>
      <c r="CU650" s="234"/>
      <c r="CV650" s="234"/>
      <c r="CW650" s="234"/>
      <c r="CX650" s="234"/>
      <c r="CY650" s="234"/>
      <c r="CZ650" s="234"/>
      <c r="DA650" s="234"/>
      <c r="DB650" s="234"/>
      <c r="DC650" s="234"/>
      <c r="DD650" s="234"/>
      <c r="DE650" s="234"/>
      <c r="DF650" s="234"/>
      <c r="DG650" s="234"/>
      <c r="DH650" s="234"/>
      <c r="DI650" s="234"/>
      <c r="DJ650" s="234"/>
      <c r="DK650" s="234"/>
      <c r="DL650" s="234"/>
      <c r="DM650" s="234"/>
      <c r="DN650" s="234"/>
      <c r="DO650" s="234"/>
      <c r="DP650" s="234"/>
      <c r="DQ650" s="234"/>
      <c r="DR650" s="234"/>
      <c r="DS650" s="234"/>
      <c r="DT650" s="234"/>
      <c r="DU650" s="234"/>
      <c r="DV650" s="234"/>
      <c r="DW650" s="234"/>
      <c r="DX650" s="189"/>
      <c r="DY650" s="140"/>
      <c r="DZ650" s="177"/>
      <c r="EA650" s="178"/>
      <c r="EB650" s="178"/>
      <c r="EC650" s="178"/>
      <c r="ED650" s="178"/>
      <c r="EE650" s="219"/>
      <c r="EF650" s="234"/>
      <c r="EG650" s="234"/>
      <c r="EH650" s="234"/>
      <c r="EI650" s="234"/>
      <c r="EJ650" s="234"/>
      <c r="EK650" s="234"/>
      <c r="EL650" s="234"/>
      <c r="EM650" s="234"/>
      <c r="EN650" s="234"/>
      <c r="EO650" s="234"/>
      <c r="EP650" s="234"/>
      <c r="EQ650" s="234"/>
      <c r="ER650" s="234"/>
      <c r="ES650" s="234"/>
      <c r="ET650" s="234"/>
      <c r="EU650" s="234"/>
      <c r="EV650" s="234"/>
      <c r="EW650" s="234"/>
      <c r="EX650" s="234"/>
      <c r="EY650" s="234"/>
      <c r="EZ650" s="234"/>
      <c r="FA650" s="234"/>
      <c r="FB650" s="234"/>
      <c r="FC650" s="234"/>
      <c r="FD650" s="234"/>
      <c r="FE650" s="234"/>
      <c r="FF650" s="234"/>
      <c r="FG650" s="234"/>
      <c r="FH650" s="234"/>
      <c r="FI650" s="189"/>
      <c r="FJ650" s="140"/>
      <c r="FK650" s="177"/>
      <c r="FL650" s="178"/>
      <c r="FM650" s="178"/>
      <c r="FN650" s="178"/>
      <c r="FO650" s="178"/>
      <c r="FP650" s="219"/>
      <c r="FQ650" s="234"/>
      <c r="FR650" s="234"/>
      <c r="FS650" s="234"/>
      <c r="FT650" s="234"/>
      <c r="FU650" s="234"/>
      <c r="FV650" s="234"/>
      <c r="FW650" s="234"/>
      <c r="FX650" s="234"/>
      <c r="FY650" s="234"/>
      <c r="FZ650" s="234"/>
      <c r="GA650" s="234"/>
      <c r="GB650" s="234"/>
      <c r="GC650" s="234"/>
      <c r="GD650" s="234"/>
      <c r="GE650" s="234"/>
      <c r="GF650" s="234"/>
      <c r="GG650" s="234"/>
      <c r="GH650" s="234"/>
      <c r="GI650" s="234"/>
      <c r="GJ650" s="234"/>
      <c r="GK650" s="234"/>
      <c r="GL650" s="234"/>
      <c r="GM650" s="234"/>
      <c r="GN650" s="234"/>
      <c r="GO650" s="234"/>
      <c r="GP650" s="234"/>
      <c r="GQ650" s="234"/>
      <c r="GR650" s="234"/>
      <c r="GS650" s="234"/>
      <c r="GT650" s="189"/>
      <c r="GU650" s="140"/>
      <c r="GV650" s="177"/>
      <c r="GW650" s="178"/>
      <c r="GX650" s="178"/>
      <c r="GY650" s="178"/>
      <c r="GZ650" s="178"/>
      <c r="HA650" s="219"/>
      <c r="HB650" s="234"/>
      <c r="HC650" s="234"/>
      <c r="HD650" s="234"/>
      <c r="HE650" s="234"/>
      <c r="HF650" s="234"/>
      <c r="HG650" s="234"/>
      <c r="HH650" s="234"/>
      <c r="HI650" s="234"/>
      <c r="HJ650" s="234"/>
      <c r="HK650" s="234"/>
      <c r="HL650" s="234"/>
      <c r="HM650" s="234"/>
      <c r="HN650" s="234"/>
      <c r="HO650" s="234"/>
      <c r="HP650" s="234"/>
      <c r="HQ650" s="234"/>
      <c r="HR650" s="234"/>
      <c r="HS650" s="234"/>
      <c r="HT650" s="234"/>
      <c r="HU650" s="234"/>
      <c r="HV650" s="234"/>
      <c r="HW650" s="234"/>
      <c r="HX650" s="234"/>
      <c r="HY650" s="234"/>
      <c r="HZ650" s="234"/>
      <c r="IA650" s="234"/>
      <c r="IB650" s="234"/>
      <c r="IC650" s="234"/>
      <c r="ID650" s="234"/>
      <c r="IE650" s="189"/>
      <c r="IF650" s="140"/>
      <c r="IG650" s="139"/>
      <c r="IH650" s="140"/>
      <c r="II650" s="140"/>
      <c r="IJ650" s="140"/>
      <c r="IK650" s="140"/>
      <c r="IL650" s="140"/>
      <c r="IM650" s="140"/>
      <c r="IN650" s="140"/>
      <c r="IO650" s="140"/>
      <c r="IP650" s="140"/>
      <c r="IQ650" s="140"/>
      <c r="IR650" s="140"/>
      <c r="IS650" s="140"/>
      <c r="IT650" s="140"/>
      <c r="IU650" s="140"/>
      <c r="IV650" s="218">
        <f>(SUMIFS($JR$513:$JR$613,$JR$513:$JR$613,"&gt;1000",IS$513:IS$613,"ETAT",IT$513:IT$613,"COMPLETE")+SUMIFS($JR$513:$JR$613,$JR$513:$JR$613,"&gt;1000",IS$513:IS$613,"CT",IT$513:IT$613,"COMPLETE"))/SUMIFS($JR$513:$JR$613,$JR$513:$JR$613,"&gt;1000",IS$513:IS$613,"&lt;&gt;PRIVE")</f>
        <v>0.33333333333333331</v>
      </c>
      <c r="IW650" s="140"/>
      <c r="IX650" s="140"/>
      <c r="IY650" s="140"/>
      <c r="IZ650" s="140"/>
      <c r="JA650" s="140"/>
      <c r="JB650" s="140"/>
      <c r="JC650" s="140"/>
      <c r="JD650" s="140"/>
      <c r="JE650" s="140"/>
      <c r="JF650" s="140"/>
      <c r="JG650" s="140"/>
      <c r="JH650" s="140"/>
      <c r="JI650" s="140"/>
      <c r="JJ650" s="140"/>
      <c r="JK650" s="140"/>
      <c r="JL650" s="140"/>
      <c r="JM650" s="140"/>
      <c r="JN650" s="140"/>
      <c r="JO650" s="140"/>
      <c r="JP650" s="141"/>
      <c r="JQ650" s="140"/>
      <c r="JR650" s="139"/>
      <c r="JS650" s="140"/>
      <c r="JT650" s="140"/>
      <c r="JU650" s="140"/>
      <c r="JV650" s="140"/>
      <c r="JW650" s="140"/>
      <c r="JX650" s="140"/>
      <c r="JY650" s="140"/>
      <c r="JZ650" s="140"/>
      <c r="KA650" s="140"/>
      <c r="KB650" s="140"/>
      <c r="KC650" s="140"/>
      <c r="KD650" s="140"/>
      <c r="KE650" s="140"/>
      <c r="KF650" s="140"/>
      <c r="KG650" s="218">
        <f>(SUMIFS($JR$513:$JR$613,$JR$513:$JR$613,"&gt;1000",KD$513:KD$613,"ETAT",KE$513:KE$613,"COMPLETE")+SUMIFS($JR$513:$JR$613,$JR$513:$JR$613,"&gt;1000",KD$513:KD$613,"CT",KE$513:KE$613,"COMPLETE"))/SUMIFS($JR$513:$JR$613,$JR$513:$JR$613,"&gt;1000",KD$513:KD$613,"&lt;&gt;PRIVE")</f>
        <v>0.23333333333333334</v>
      </c>
      <c r="KH650" s="140"/>
      <c r="KI650" s="140"/>
      <c r="KJ650" s="140"/>
      <c r="KK650" s="140"/>
      <c r="KL650" s="140"/>
      <c r="KM650" s="140"/>
      <c r="KN650" s="140"/>
      <c r="KO650" s="140"/>
      <c r="KP650" s="140"/>
      <c r="KQ650" s="140"/>
      <c r="KR650" s="140"/>
      <c r="KS650" s="140"/>
      <c r="KT650" s="140"/>
      <c r="KU650" s="140"/>
      <c r="KV650" s="140"/>
      <c r="KW650" s="140"/>
      <c r="KX650" s="140"/>
      <c r="KY650" s="140"/>
      <c r="KZ650" s="140"/>
      <c r="LA650" s="236">
        <f>(SUMIFS($JR$513:$JR$613,$JR$513:$JR$613,"&gt;1000",KX$513:KX$613,"ETAT",KY$513:KY$613,"COMPLETE")+SUMIFS($JR$513:$JR$613,$JR$513:$JR$613,"&gt;1000",KX$513:KX$613,"CT",KY$513:KY$613,"COMPLETE"))/SUMIFS($JR$513:$JR$613,$JR$513:$JR$613,"&gt;1000",KX$513:KX$613,"&lt;&gt;PRIVE")</f>
        <v>0.4</v>
      </c>
      <c r="LB650" s="140"/>
      <c r="LC650" s="139"/>
      <c r="LD650" s="140"/>
      <c r="LE650" s="140"/>
      <c r="LF650" s="140"/>
      <c r="LG650" s="140"/>
      <c r="LH650" s="140"/>
      <c r="LI650" s="140"/>
      <c r="LJ650" s="140"/>
      <c r="LK650" s="140"/>
      <c r="LL650" s="140"/>
      <c r="LM650" s="140"/>
      <c r="LN650" s="140"/>
      <c r="LO650" s="140"/>
      <c r="LP650" s="140"/>
      <c r="LQ650" s="140"/>
      <c r="LR650" s="218">
        <f>(SUMIFS($LC$513:$LC$613,$LC$513:$LC$613,"&gt;1000",LO$513:LO$613,"ETAT",LP$513:LP$613,"COMPLETE")+SUMIFS($LC$513:$LC$613,$LC$513:$LC$613,"&gt;1000",LO$513:LO$613,"CT",LP$513:LP$613,"COMPLETE"))/SUMIFS($LC$513:$LC$613,$LC$513:$LC$613,"&gt;1000",LO$513:LO$613,"&lt;&gt;PRIVE")</f>
        <v>0.13333333333333333</v>
      </c>
      <c r="LS650" s="140"/>
      <c r="LT650" s="140"/>
      <c r="LU650" s="140"/>
      <c r="LV650" s="140"/>
      <c r="LW650" s="140"/>
      <c r="LX650" s="140"/>
      <c r="LY650" s="140"/>
      <c r="LZ650" s="140"/>
      <c r="MA650" s="140"/>
      <c r="MB650" s="218">
        <f>(SUMIFS($LC$513:$LC$613,$LC$513:$LC$613,"&gt;1000",LY$513:LY$613,"ETAT",LZ$513:LZ$613,"COMPLETE")+SUMIFS($LC$513:$LC$613,$LC$513:$LC$613,"&gt;1000",LY$513:LY$613,"CT",LZ$513:LZ$613,"COMPLETE"))/SUMIFS($LC$513:$LC$613,$LC$513:$LC$613,"&gt;1000",LY$513:LY$613,"&lt;&gt;PRIVE")</f>
        <v>0.26666666666666666</v>
      </c>
      <c r="MC650" s="140"/>
      <c r="MD650" s="140"/>
      <c r="ME650" s="140"/>
      <c r="MF650" s="140"/>
      <c r="MG650" s="140"/>
      <c r="MH650" s="140"/>
      <c r="MI650" s="140"/>
      <c r="MJ650" s="140"/>
      <c r="MK650" s="140"/>
      <c r="ML650" s="236">
        <f>(SUMIFS($LC$513:$LC$613,$LC$513:$LC$613,"&gt;1000",MI$513:MI$613,"ETAT",MJ$513:MJ$613,"COMPLETE")+SUMIFS($LC$513:$LC$613,$LC$513:$LC$613,"&gt;1000",MI$513:MI$613,"CT",MJ$513:MJ$613,"COMPLETE"))/SUMIFS($LC$513:$LC$613,$LC$513:$LC$613,"&gt;1000",MI$513:MI$613,"&lt;&gt;PRIVE")</f>
        <v>0.33333333333333331</v>
      </c>
    </row>
    <row r="651" spans="3:350" s="4" customFormat="1" ht="18" customHeight="1" x14ac:dyDescent="0.3">
      <c r="C651" s="204" t="s">
        <v>297</v>
      </c>
      <c r="E651" s="1"/>
      <c r="F651" s="138"/>
      <c r="H651" s="267"/>
      <c r="I651"/>
      <c r="J651"/>
      <c r="K651"/>
      <c r="L651"/>
      <c r="M651"/>
      <c r="N651" s="1"/>
      <c r="O651" s="1"/>
      <c r="P651" s="1"/>
      <c r="Q651" s="138"/>
      <c r="S651" s="245"/>
      <c r="T651" s="1"/>
      <c r="U651" s="1"/>
      <c r="V651" s="1"/>
      <c r="W651" s="1"/>
      <c r="X651"/>
      <c r="Y651" s="1"/>
      <c r="Z651" s="1"/>
      <c r="AA651" s="1"/>
      <c r="AB651" s="1"/>
      <c r="AC651" s="1"/>
      <c r="AD651" s="1"/>
      <c r="AE651" s="1"/>
      <c r="AF651" s="1"/>
      <c r="AG651" s="1"/>
      <c r="AH651"/>
      <c r="AI651" s="1"/>
      <c r="AJ651" s="1"/>
      <c r="AK651" s="1"/>
      <c r="AL651" s="1"/>
      <c r="AM651" s="1"/>
      <c r="AN651" s="1"/>
      <c r="AO651" s="1"/>
      <c r="AP651" s="1"/>
      <c r="AQ651" s="1"/>
      <c r="AR651" s="1"/>
      <c r="AS651" s="1"/>
      <c r="AT651" s="1"/>
      <c r="AU651" s="1"/>
      <c r="AV651" s="1"/>
      <c r="AW651" s="1"/>
      <c r="AX651" s="1"/>
      <c r="AY651" s="1"/>
      <c r="AZ651" s="1"/>
      <c r="BA651" s="1"/>
      <c r="BB651" s="266"/>
      <c r="BD651" s="245"/>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38"/>
      <c r="CO651" s="245"/>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38"/>
      <c r="DZ651" s="245"/>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38"/>
      <c r="FK651" s="245"/>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38"/>
      <c r="GV651" s="245"/>
      <c r="GW651" s="1"/>
      <c r="GX651" s="1"/>
      <c r="GY651" s="1"/>
      <c r="GZ651" s="1"/>
      <c r="HA651" s="1"/>
      <c r="HB651" s="1"/>
      <c r="HC651" s="1"/>
      <c r="HD651" s="1"/>
      <c r="HE651" s="1"/>
      <c r="HF651" s="1"/>
      <c r="HG651" s="1"/>
      <c r="HH651" s="1"/>
      <c r="HI651" s="1"/>
      <c r="HJ651" s="1"/>
      <c r="HK651" s="1"/>
      <c r="HL651" s="1"/>
      <c r="HM651" s="1"/>
      <c r="HN651" s="1"/>
      <c r="HO651" s="1"/>
      <c r="HP651" s="1"/>
      <c r="HQ651" s="1"/>
      <c r="HR651" s="1"/>
      <c r="HS651" s="1"/>
      <c r="HT651" s="1"/>
      <c r="HU651" s="1"/>
      <c r="HV651" s="1"/>
      <c r="HW651" s="1"/>
      <c r="HX651" s="1"/>
      <c r="HY651" s="1"/>
      <c r="HZ651" s="1"/>
      <c r="IA651" s="1"/>
      <c r="IB651" s="1"/>
      <c r="IC651" s="1"/>
      <c r="ID651" s="1"/>
      <c r="IE651" s="138"/>
      <c r="IG651" s="245"/>
      <c r="IH651" s="1"/>
      <c r="II651" s="1"/>
      <c r="IJ651" s="1"/>
      <c r="IK651" s="1"/>
      <c r="IL651"/>
      <c r="IM651" s="1"/>
      <c r="IN651" s="1"/>
      <c r="IO651" s="1"/>
      <c r="IP651" s="1"/>
      <c r="IQ651" s="1"/>
      <c r="IR651" s="1"/>
      <c r="IS651" s="1"/>
      <c r="IT651" s="1"/>
      <c r="IU651" s="1"/>
      <c r="IV651"/>
      <c r="IW651" s="1"/>
      <c r="IX651" s="1"/>
      <c r="IY651" s="1"/>
      <c r="IZ651" s="1"/>
      <c r="JA651" s="1"/>
      <c r="JB651" s="1"/>
      <c r="JC651" s="1"/>
      <c r="JD651" s="1"/>
      <c r="JE651" s="1"/>
      <c r="JF651" s="1"/>
      <c r="JG651" s="1"/>
      <c r="JH651" s="1"/>
      <c r="JI651" s="1"/>
      <c r="JJ651" s="1"/>
      <c r="JK651" s="1"/>
      <c r="JL651" s="1"/>
      <c r="JM651" s="1"/>
      <c r="JN651" s="1"/>
      <c r="JO651" s="1"/>
      <c r="JP651" s="266"/>
      <c r="JR651" s="245"/>
      <c r="JS651" s="1"/>
      <c r="JT651" s="1"/>
      <c r="JU651" s="1"/>
      <c r="JV651" s="1"/>
      <c r="JW651"/>
      <c r="JX651" s="1"/>
      <c r="JY651" s="1"/>
      <c r="JZ651" s="1"/>
      <c r="KA651" s="1"/>
      <c r="KB651" s="1"/>
      <c r="KC651" s="1"/>
      <c r="KD651" s="1"/>
      <c r="KE651" s="1"/>
      <c r="KF651" s="1"/>
      <c r="KG651"/>
      <c r="KH651" s="1"/>
      <c r="KI651" s="1"/>
      <c r="KJ651" s="1"/>
      <c r="KK651" s="1"/>
      <c r="KL651" s="1"/>
      <c r="KM651" s="1"/>
      <c r="KN651" s="1"/>
      <c r="KO651" s="1"/>
      <c r="KP651" s="1"/>
      <c r="KQ651" s="1"/>
      <c r="KR651" s="1"/>
      <c r="KS651" s="1"/>
      <c r="KT651" s="1"/>
      <c r="KU651" s="1"/>
      <c r="KV651" s="1"/>
      <c r="KW651" s="1"/>
      <c r="KX651" s="1"/>
      <c r="KY651" s="1"/>
      <c r="KZ651" s="1"/>
      <c r="LA651" s="266"/>
      <c r="LC651" s="245"/>
      <c r="LD651" s="1"/>
      <c r="LE651" s="1"/>
      <c r="LF651" s="1"/>
      <c r="LG651" s="1"/>
      <c r="LH651"/>
      <c r="LI651" s="1"/>
      <c r="LJ651" s="1"/>
      <c r="LK651" s="1"/>
      <c r="LL651" s="1"/>
      <c r="LM651" s="1"/>
      <c r="LN651" s="1"/>
      <c r="LO651" s="1"/>
      <c r="LP651" s="1"/>
      <c r="LQ651" s="1"/>
      <c r="LR651"/>
      <c r="LS651" s="1"/>
      <c r="LT651" s="1"/>
      <c r="LU651" s="1"/>
      <c r="LV651" s="1"/>
      <c r="LW651" s="1"/>
      <c r="LX651" s="1"/>
      <c r="LY651" s="1"/>
      <c r="LZ651" s="1"/>
      <c r="MA651" s="1"/>
      <c r="MB651"/>
      <c r="MC651" s="1"/>
      <c r="MD651" s="1"/>
      <c r="ME651" s="1"/>
      <c r="MF651" s="1"/>
      <c r="MG651" s="1"/>
      <c r="MH651" s="1"/>
      <c r="MI651" s="1"/>
      <c r="MJ651" s="1"/>
      <c r="MK651" s="1"/>
      <c r="ML651" s="266"/>
    </row>
    <row r="652" spans="3:350" s="4" customFormat="1" ht="18" customHeight="1" x14ac:dyDescent="0.3">
      <c r="C652" s="136" t="s">
        <v>298</v>
      </c>
      <c r="E652" s="137" t="s">
        <v>103</v>
      </c>
      <c r="F652" s="186" t="s">
        <v>256</v>
      </c>
      <c r="H652" s="267"/>
      <c r="I652"/>
      <c r="J652"/>
      <c r="K652"/>
      <c r="L652"/>
      <c r="M652" s="140">
        <f>SUMIFS(H$512:H$613,L$512:L$613,$F652)*$D$514/10^3</f>
        <v>497885.19052458653</v>
      </c>
      <c r="N652" s="237"/>
      <c r="O652" s="237"/>
      <c r="P652" s="237"/>
      <c r="Q652" s="236"/>
      <c r="R652" s="140"/>
      <c r="S652" s="139"/>
      <c r="T652" s="140"/>
      <c r="U652" s="140"/>
      <c r="V652" s="140"/>
      <c r="W652" s="140"/>
      <c r="X652" s="140">
        <f t="shared" ref="X652:X657" si="1068">SUMIFS(S$512:S$613,W$512:W$613,$F652)*$D$514/10^3</f>
        <v>497885.19052458653</v>
      </c>
      <c r="Y652" s="140"/>
      <c r="Z652" s="140"/>
      <c r="AA652" s="140"/>
      <c r="AB652" s="140"/>
      <c r="AC652" s="140"/>
      <c r="AD652" s="140"/>
      <c r="AE652" s="140"/>
      <c r="AF652" s="140"/>
      <c r="AG652" s="140"/>
      <c r="AH652" s="140">
        <f t="shared" ref="AH652:AH657" si="1069">SUMIFS(S$512:S$613,AG$512:AG$613,$F652)*$D$514/10^3</f>
        <v>497885.19052458653</v>
      </c>
      <c r="AI652" s="140"/>
      <c r="AJ652" s="140"/>
      <c r="AK652" s="140"/>
      <c r="AL652" s="140"/>
      <c r="AM652" s="140"/>
      <c r="AN652" s="140"/>
      <c r="AO652" s="140"/>
      <c r="AP652" s="140"/>
      <c r="AQ652" s="140"/>
      <c r="AR652" s="140"/>
      <c r="AS652" s="140"/>
      <c r="AT652" s="140"/>
      <c r="AU652" s="140"/>
      <c r="AV652" s="140"/>
      <c r="AW652" s="140"/>
      <c r="AX652" s="140"/>
      <c r="AY652" s="140"/>
      <c r="AZ652" s="140"/>
      <c r="BA652" s="140"/>
      <c r="BB652" s="141">
        <f t="shared" ref="BB652:BB657" si="1070">SUMIFS(S$512:S$613,BA$512:BA$613,$F652)*$D$514/10^3</f>
        <v>497885.19052458653</v>
      </c>
      <c r="BC652" s="140"/>
      <c r="BD652" s="139"/>
      <c r="BE652" s="140"/>
      <c r="BF652" s="140"/>
      <c r="BG652" s="140"/>
      <c r="BH652" s="140"/>
      <c r="BI652" s="219"/>
      <c r="BJ652" s="234"/>
      <c r="BK652" s="234"/>
      <c r="BL652" s="234"/>
      <c r="BM652" s="234"/>
      <c r="BN652" s="234"/>
      <c r="BO652" s="234"/>
      <c r="BP652" s="234"/>
      <c r="BQ652" s="234"/>
      <c r="BR652" s="234"/>
      <c r="BS652" s="234"/>
      <c r="BT652" s="234"/>
      <c r="BU652" s="234"/>
      <c r="BV652" s="234"/>
      <c r="BW652" s="234"/>
      <c r="BX652" s="234"/>
      <c r="BY652" s="234"/>
      <c r="BZ652" s="234"/>
      <c r="CA652" s="234"/>
      <c r="CB652" s="234"/>
      <c r="CC652" s="234"/>
      <c r="CD652" s="234"/>
      <c r="CE652" s="234"/>
      <c r="CF652" s="234"/>
      <c r="CG652" s="234"/>
      <c r="CH652" s="234"/>
      <c r="CI652" s="234"/>
      <c r="CJ652" s="234"/>
      <c r="CK652" s="234"/>
      <c r="CL652" s="234"/>
      <c r="CM652" s="189"/>
      <c r="CN652" s="140"/>
      <c r="CO652" s="139"/>
      <c r="CP652" s="140"/>
      <c r="CQ652" s="140"/>
      <c r="CR652" s="140"/>
      <c r="CS652" s="140"/>
      <c r="CT652" s="219"/>
      <c r="CU652" s="234"/>
      <c r="CV652" s="234"/>
      <c r="CW652" s="234"/>
      <c r="CX652" s="234"/>
      <c r="CY652" s="234"/>
      <c r="CZ652" s="234"/>
      <c r="DA652" s="234"/>
      <c r="DB652" s="234"/>
      <c r="DC652" s="234"/>
      <c r="DD652" s="234"/>
      <c r="DE652" s="234"/>
      <c r="DF652" s="234"/>
      <c r="DG652" s="234"/>
      <c r="DH652" s="234"/>
      <c r="DI652" s="234"/>
      <c r="DJ652" s="234"/>
      <c r="DK652" s="234"/>
      <c r="DL652" s="234"/>
      <c r="DM652" s="234"/>
      <c r="DN652" s="234"/>
      <c r="DO652" s="234"/>
      <c r="DP652" s="234"/>
      <c r="DQ652" s="234"/>
      <c r="DR652" s="234"/>
      <c r="DS652" s="234"/>
      <c r="DT652" s="234"/>
      <c r="DU652" s="234"/>
      <c r="DV652" s="234"/>
      <c r="DW652" s="234"/>
      <c r="DX652" s="189"/>
      <c r="DY652" s="140"/>
      <c r="DZ652" s="139"/>
      <c r="EA652" s="140"/>
      <c r="EB652" s="140"/>
      <c r="EC652" s="140"/>
      <c r="ED652" s="140"/>
      <c r="EE652" s="219"/>
      <c r="EF652" s="234"/>
      <c r="EG652" s="234"/>
      <c r="EH652" s="234"/>
      <c r="EI652" s="234"/>
      <c r="EJ652" s="234"/>
      <c r="EK652" s="234"/>
      <c r="EL652" s="234"/>
      <c r="EM652" s="234"/>
      <c r="EN652" s="234"/>
      <c r="EO652" s="234"/>
      <c r="EP652" s="234"/>
      <c r="EQ652" s="234"/>
      <c r="ER652" s="234"/>
      <c r="ES652" s="234"/>
      <c r="ET652" s="234"/>
      <c r="EU652" s="234"/>
      <c r="EV652" s="234"/>
      <c r="EW652" s="234"/>
      <c r="EX652" s="234"/>
      <c r="EY652" s="234"/>
      <c r="EZ652" s="234"/>
      <c r="FA652" s="234"/>
      <c r="FB652" s="234"/>
      <c r="FC652" s="234"/>
      <c r="FD652" s="234"/>
      <c r="FE652" s="234"/>
      <c r="FF652" s="234"/>
      <c r="FG652" s="234"/>
      <c r="FH652" s="234"/>
      <c r="FI652" s="189"/>
      <c r="FJ652" s="140"/>
      <c r="FK652" s="139"/>
      <c r="FL652" s="140"/>
      <c r="FM652" s="140"/>
      <c r="FN652" s="140"/>
      <c r="FO652" s="140"/>
      <c r="FP652" s="219"/>
      <c r="FQ652" s="234"/>
      <c r="FR652" s="234"/>
      <c r="FS652" s="234"/>
      <c r="FT652" s="234"/>
      <c r="FU652" s="234"/>
      <c r="FV652" s="234"/>
      <c r="FW652" s="234"/>
      <c r="FX652" s="234"/>
      <c r="FY652" s="234"/>
      <c r="FZ652" s="234"/>
      <c r="GA652" s="234"/>
      <c r="GB652" s="234"/>
      <c r="GC652" s="234"/>
      <c r="GD652" s="234"/>
      <c r="GE652" s="234"/>
      <c r="GF652" s="234"/>
      <c r="GG652" s="234"/>
      <c r="GH652" s="234"/>
      <c r="GI652" s="234"/>
      <c r="GJ652" s="234"/>
      <c r="GK652" s="234"/>
      <c r="GL652" s="234"/>
      <c r="GM652" s="234"/>
      <c r="GN652" s="234"/>
      <c r="GO652" s="234"/>
      <c r="GP652" s="234"/>
      <c r="GQ652" s="234"/>
      <c r="GR652" s="234"/>
      <c r="GS652" s="234"/>
      <c r="GT652" s="189"/>
      <c r="GU652" s="140"/>
      <c r="GV652" s="139"/>
      <c r="GW652" s="140"/>
      <c r="GX652" s="140"/>
      <c r="GY652" s="140"/>
      <c r="GZ652" s="140"/>
      <c r="HA652" s="219"/>
      <c r="HB652" s="234"/>
      <c r="HC652" s="234"/>
      <c r="HD652" s="234"/>
      <c r="HE652" s="234"/>
      <c r="HF652" s="234"/>
      <c r="HG652" s="234"/>
      <c r="HH652" s="234"/>
      <c r="HI652" s="234"/>
      <c r="HJ652" s="234"/>
      <c r="HK652" s="234"/>
      <c r="HL652" s="234"/>
      <c r="HM652" s="234"/>
      <c r="HN652" s="234"/>
      <c r="HO652" s="234"/>
      <c r="HP652" s="234"/>
      <c r="HQ652" s="234"/>
      <c r="HR652" s="234"/>
      <c r="HS652" s="234"/>
      <c r="HT652" s="234"/>
      <c r="HU652" s="234"/>
      <c r="HV652" s="234"/>
      <c r="HW652" s="234"/>
      <c r="HX652" s="234"/>
      <c r="HY652" s="234"/>
      <c r="HZ652" s="234"/>
      <c r="IA652" s="234"/>
      <c r="IB652" s="234"/>
      <c r="IC652" s="234"/>
      <c r="ID652" s="234"/>
      <c r="IE652" s="189"/>
      <c r="IF652" s="140"/>
      <c r="IG652" s="139"/>
      <c r="IH652" s="140"/>
      <c r="II652" s="140"/>
      <c r="IJ652" s="140"/>
      <c r="IK652" s="140"/>
      <c r="IL652" s="140">
        <f t="shared" ref="IL652:IL657" si="1071">SUMIFS(IG$512:IG$613,IK$512:IK$613,$F652)*$D$514/10^3</f>
        <v>497885.19052458653</v>
      </c>
      <c r="IM652" s="140"/>
      <c r="IN652" s="140"/>
      <c r="IO652" s="140"/>
      <c r="IP652" s="140"/>
      <c r="IQ652" s="140"/>
      <c r="IR652" s="140"/>
      <c r="IS652" s="140"/>
      <c r="IT652" s="140"/>
      <c r="IU652" s="140"/>
      <c r="IV652" s="140">
        <f t="shared" ref="IV652:IV657" si="1072">SUMIFS(IG$512:IG$613,IU$512:IU$613,$F652)*$D$514/10^3</f>
        <v>516673.31092174072</v>
      </c>
      <c r="IW652" s="140"/>
      <c r="IX652" s="140"/>
      <c r="IY652" s="140"/>
      <c r="IZ652" s="140"/>
      <c r="JA652" s="140"/>
      <c r="JB652" s="140"/>
      <c r="JC652" s="140"/>
      <c r="JD652" s="140"/>
      <c r="JE652" s="140"/>
      <c r="JF652" s="140"/>
      <c r="JG652" s="140"/>
      <c r="JH652" s="140"/>
      <c r="JI652" s="140"/>
      <c r="JJ652" s="140"/>
      <c r="JK652" s="140"/>
      <c r="JL652" s="140"/>
      <c r="JM652" s="140"/>
      <c r="JN652" s="140"/>
      <c r="JO652" s="140"/>
      <c r="JP652" s="141">
        <f t="shared" ref="JP652:JP657" si="1073">SUMIFS(IG$512:IG$613,JO$512:JO$613,$F652)*$D$514/10^3</f>
        <v>497885.19052458653</v>
      </c>
      <c r="JQ652" s="140"/>
      <c r="JR652" s="139"/>
      <c r="JS652" s="140"/>
      <c r="JT652" s="140"/>
      <c r="JU652" s="140"/>
      <c r="JV652" s="140"/>
      <c r="JW652" s="140">
        <f t="shared" ref="JW652:JW657" si="1074">SUMIFS(JR$512:JR$613,JV$512:JV$613,$F652)*$D$514/10^3</f>
        <v>497885.19052458653</v>
      </c>
      <c r="JX652" s="140"/>
      <c r="JY652" s="140"/>
      <c r="JZ652" s="140"/>
      <c r="KA652" s="140"/>
      <c r="KB652" s="140"/>
      <c r="KC652" s="140"/>
      <c r="KD652" s="140"/>
      <c r="KE652" s="140"/>
      <c r="KF652" s="140"/>
      <c r="KG652" s="140">
        <f>SUMIFS(JR$512:JR$613,KF$512:KF$613,$F652)*$D$514/10^3</f>
        <v>399000.34632903809</v>
      </c>
      <c r="KH652" s="140"/>
      <c r="KI652" s="140"/>
      <c r="KJ652" s="140"/>
      <c r="KK652" s="140"/>
      <c r="KL652" s="140"/>
      <c r="KM652" s="140"/>
      <c r="KN652" s="140"/>
      <c r="KO652" s="140"/>
      <c r="KP652" s="140"/>
      <c r="KQ652" s="140"/>
      <c r="KR652" s="140"/>
      <c r="KS652" s="140"/>
      <c r="KT652" s="140"/>
      <c r="KU652" s="140"/>
      <c r="KV652" s="140"/>
      <c r="KW652" s="140"/>
      <c r="KX652" s="140"/>
      <c r="KY652" s="140"/>
      <c r="KZ652" s="140"/>
      <c r="LA652" s="141">
        <f t="shared" ref="LA652:LA657" si="1075">SUMIFS(JR$512:JR$613,KZ$512:KZ$613,$F652)*$D$514/10^3</f>
        <v>59330.90651732908</v>
      </c>
      <c r="LB652" s="140"/>
      <c r="LC652" s="139"/>
      <c r="LD652" s="140"/>
      <c r="LE652" s="140"/>
      <c r="LF652" s="140"/>
      <c r="LG652" s="140"/>
      <c r="LH652" s="140">
        <f>SUMIFS($LC$512:$LC$613,LG$512:LG$613,$F652)*$D$514/10^3</f>
        <v>497885.19052458653</v>
      </c>
      <c r="LI652" s="140"/>
      <c r="LJ652" s="140"/>
      <c r="LK652" s="140"/>
      <c r="LL652" s="140"/>
      <c r="LM652" s="140"/>
      <c r="LN652" s="140"/>
      <c r="LO652" s="140"/>
      <c r="LP652" s="140"/>
      <c r="LQ652" s="140"/>
      <c r="LR652" s="140">
        <f>SUMIFS($LC$512:$LC$613,LQ$512:LQ$613,$F652)*$D$514/10^3</f>
        <v>395044.95256121614</v>
      </c>
      <c r="LS652" s="140"/>
      <c r="LT652" s="140"/>
      <c r="LU652" s="140"/>
      <c r="LV652" s="140"/>
      <c r="LW652" s="140"/>
      <c r="LX652" s="140"/>
      <c r="LY652" s="140"/>
      <c r="LZ652" s="140"/>
      <c r="MA652" s="140"/>
      <c r="MB652" s="140">
        <f>SUMIFS($LC$512:$LC$613,MA$512:MA$613,$F652)*$D$514/10^3</f>
        <v>213096.83924140694</v>
      </c>
      <c r="MC652" s="140"/>
      <c r="MD652" s="140"/>
      <c r="ME652" s="140"/>
      <c r="MF652" s="140"/>
      <c r="MG652" s="140"/>
      <c r="MH652" s="140"/>
      <c r="MI652" s="140"/>
      <c r="MJ652" s="140"/>
      <c r="MK652" s="140"/>
      <c r="ML652" s="141">
        <f>SUMIFS($LC$512:$LC$613,MK$512:MK$613,$F652)*$D$514/10^3</f>
        <v>71197.087820794899</v>
      </c>
    </row>
    <row r="653" spans="3:350" s="4" customFormat="1" ht="18" customHeight="1" x14ac:dyDescent="0.3">
      <c r="C653" s="136" t="s">
        <v>299</v>
      </c>
      <c r="E653" s="137" t="s">
        <v>105</v>
      </c>
      <c r="F653" s="186" t="s">
        <v>267</v>
      </c>
      <c r="H653" s="267"/>
      <c r="I653"/>
      <c r="J653"/>
      <c r="K653"/>
      <c r="L653"/>
      <c r="M653" s="140">
        <f t="shared" ref="M653:M657" si="1076">SUMIFS(H$512:H$613,L$512:L$613,$F653)*$D$514/10^3</f>
        <v>130527.99433812397</v>
      </c>
      <c r="N653" s="237"/>
      <c r="O653" s="237"/>
      <c r="P653" s="237"/>
      <c r="Q653" s="236"/>
      <c r="R653" s="140"/>
      <c r="S653" s="139"/>
      <c r="T653" s="140"/>
      <c r="U653" s="140"/>
      <c r="V653" s="140"/>
      <c r="W653" s="140"/>
      <c r="X653" s="140">
        <f t="shared" si="1068"/>
        <v>130527.99433812397</v>
      </c>
      <c r="Y653" s="140"/>
      <c r="Z653" s="140"/>
      <c r="AA653" s="140"/>
      <c r="AB653" s="140"/>
      <c r="AC653" s="140"/>
      <c r="AD653" s="140"/>
      <c r="AE653" s="140"/>
      <c r="AF653" s="140"/>
      <c r="AG653" s="140"/>
      <c r="AH653" s="140">
        <f t="shared" si="1069"/>
        <v>130527.99433812397</v>
      </c>
      <c r="AI653" s="140"/>
      <c r="AJ653" s="140"/>
      <c r="AK653" s="140"/>
      <c r="AL653" s="140"/>
      <c r="AM653" s="140"/>
      <c r="AN653" s="140"/>
      <c r="AO653" s="140"/>
      <c r="AP653" s="140"/>
      <c r="AQ653" s="140"/>
      <c r="AR653" s="140"/>
      <c r="AS653" s="140"/>
      <c r="AT653" s="140"/>
      <c r="AU653" s="140"/>
      <c r="AV653" s="140"/>
      <c r="AW653" s="140"/>
      <c r="AX653" s="140"/>
      <c r="AY653" s="140"/>
      <c r="AZ653" s="140"/>
      <c r="BA653" s="140"/>
      <c r="BB653" s="141">
        <f t="shared" si="1070"/>
        <v>0</v>
      </c>
      <c r="BC653" s="140"/>
      <c r="BD653" s="139"/>
      <c r="BE653" s="140"/>
      <c r="BF653" s="140"/>
      <c r="BG653" s="140"/>
      <c r="BH653" s="140"/>
      <c r="BI653" s="219"/>
      <c r="BJ653" s="234"/>
      <c r="BK653" s="234"/>
      <c r="BL653" s="234"/>
      <c r="BM653" s="234"/>
      <c r="BN653" s="234"/>
      <c r="BO653" s="234"/>
      <c r="BP653" s="234"/>
      <c r="BQ653" s="234"/>
      <c r="BR653" s="234"/>
      <c r="BS653" s="234"/>
      <c r="BT653" s="234"/>
      <c r="BU653" s="234"/>
      <c r="BV653" s="234"/>
      <c r="BW653" s="234"/>
      <c r="BX653" s="234"/>
      <c r="BY653" s="234"/>
      <c r="BZ653" s="234"/>
      <c r="CA653" s="234"/>
      <c r="CB653" s="234"/>
      <c r="CC653" s="234"/>
      <c r="CD653" s="234"/>
      <c r="CE653" s="234"/>
      <c r="CF653" s="234"/>
      <c r="CG653" s="234"/>
      <c r="CH653" s="234"/>
      <c r="CI653" s="234"/>
      <c r="CJ653" s="234"/>
      <c r="CK653" s="234"/>
      <c r="CL653" s="234"/>
      <c r="CM653" s="189"/>
      <c r="CN653" s="140"/>
      <c r="CO653" s="139"/>
      <c r="CP653" s="140"/>
      <c r="CQ653" s="140"/>
      <c r="CR653" s="140"/>
      <c r="CS653" s="140"/>
      <c r="CT653" s="219"/>
      <c r="CU653" s="234"/>
      <c r="CV653" s="234"/>
      <c r="CW653" s="234"/>
      <c r="CX653" s="234"/>
      <c r="CY653" s="234"/>
      <c r="CZ653" s="234"/>
      <c r="DA653" s="234"/>
      <c r="DB653" s="234"/>
      <c r="DC653" s="234"/>
      <c r="DD653" s="234"/>
      <c r="DE653" s="234"/>
      <c r="DF653" s="234"/>
      <c r="DG653" s="234"/>
      <c r="DH653" s="234"/>
      <c r="DI653" s="234"/>
      <c r="DJ653" s="234"/>
      <c r="DK653" s="234"/>
      <c r="DL653" s="234"/>
      <c r="DM653" s="234"/>
      <c r="DN653" s="234"/>
      <c r="DO653" s="234"/>
      <c r="DP653" s="234"/>
      <c r="DQ653" s="234"/>
      <c r="DR653" s="234"/>
      <c r="DS653" s="234"/>
      <c r="DT653" s="234"/>
      <c r="DU653" s="234"/>
      <c r="DV653" s="234"/>
      <c r="DW653" s="234"/>
      <c r="DX653" s="189"/>
      <c r="DY653" s="140"/>
      <c r="DZ653" s="139"/>
      <c r="EA653" s="140"/>
      <c r="EB653" s="140"/>
      <c r="EC653" s="140"/>
      <c r="ED653" s="140"/>
      <c r="EE653" s="219"/>
      <c r="EF653" s="234"/>
      <c r="EG653" s="234"/>
      <c r="EH653" s="234"/>
      <c r="EI653" s="234"/>
      <c r="EJ653" s="234"/>
      <c r="EK653" s="234"/>
      <c r="EL653" s="234"/>
      <c r="EM653" s="234"/>
      <c r="EN653" s="234"/>
      <c r="EO653" s="234"/>
      <c r="EP653" s="234"/>
      <c r="EQ653" s="234"/>
      <c r="ER653" s="234"/>
      <c r="ES653" s="234"/>
      <c r="ET653" s="234"/>
      <c r="EU653" s="234"/>
      <c r="EV653" s="234"/>
      <c r="EW653" s="234"/>
      <c r="EX653" s="234"/>
      <c r="EY653" s="234"/>
      <c r="EZ653" s="234"/>
      <c r="FA653" s="234"/>
      <c r="FB653" s="234"/>
      <c r="FC653" s="234"/>
      <c r="FD653" s="234"/>
      <c r="FE653" s="234"/>
      <c r="FF653" s="234"/>
      <c r="FG653" s="234"/>
      <c r="FH653" s="234"/>
      <c r="FI653" s="189"/>
      <c r="FJ653" s="140"/>
      <c r="FK653" s="139"/>
      <c r="FL653" s="140"/>
      <c r="FM653" s="140"/>
      <c r="FN653" s="140"/>
      <c r="FO653" s="140"/>
      <c r="FP653" s="219"/>
      <c r="FQ653" s="234"/>
      <c r="FR653" s="234"/>
      <c r="FS653" s="234"/>
      <c r="FT653" s="234"/>
      <c r="FU653" s="234"/>
      <c r="FV653" s="234"/>
      <c r="FW653" s="234"/>
      <c r="FX653" s="234"/>
      <c r="FY653" s="234"/>
      <c r="FZ653" s="234"/>
      <c r="GA653" s="234"/>
      <c r="GB653" s="234"/>
      <c r="GC653" s="234"/>
      <c r="GD653" s="234"/>
      <c r="GE653" s="234"/>
      <c r="GF653" s="234"/>
      <c r="GG653" s="234"/>
      <c r="GH653" s="234"/>
      <c r="GI653" s="234"/>
      <c r="GJ653" s="234"/>
      <c r="GK653" s="234"/>
      <c r="GL653" s="234"/>
      <c r="GM653" s="234"/>
      <c r="GN653" s="234"/>
      <c r="GO653" s="234"/>
      <c r="GP653" s="234"/>
      <c r="GQ653" s="234"/>
      <c r="GR653" s="234"/>
      <c r="GS653" s="234"/>
      <c r="GT653" s="189"/>
      <c r="GU653" s="140"/>
      <c r="GV653" s="139"/>
      <c r="GW653" s="140"/>
      <c r="GX653" s="140"/>
      <c r="GY653" s="140"/>
      <c r="GZ653" s="140"/>
      <c r="HA653" s="219"/>
      <c r="HB653" s="234"/>
      <c r="HC653" s="234"/>
      <c r="HD653" s="234"/>
      <c r="HE653" s="234"/>
      <c r="HF653" s="234"/>
      <c r="HG653" s="234"/>
      <c r="HH653" s="234"/>
      <c r="HI653" s="234"/>
      <c r="HJ653" s="234"/>
      <c r="HK653" s="234"/>
      <c r="HL653" s="234"/>
      <c r="HM653" s="234"/>
      <c r="HN653" s="234"/>
      <c r="HO653" s="234"/>
      <c r="HP653" s="234"/>
      <c r="HQ653" s="234"/>
      <c r="HR653" s="234"/>
      <c r="HS653" s="234"/>
      <c r="HT653" s="234"/>
      <c r="HU653" s="234"/>
      <c r="HV653" s="234"/>
      <c r="HW653" s="234"/>
      <c r="HX653" s="234"/>
      <c r="HY653" s="234"/>
      <c r="HZ653" s="234"/>
      <c r="IA653" s="234"/>
      <c r="IB653" s="234"/>
      <c r="IC653" s="234"/>
      <c r="ID653" s="234"/>
      <c r="IE653" s="189"/>
      <c r="IF653" s="140"/>
      <c r="IG653" s="139"/>
      <c r="IH653" s="140"/>
      <c r="II653" s="140"/>
      <c r="IJ653" s="140"/>
      <c r="IK653" s="140"/>
      <c r="IL653" s="140">
        <f t="shared" si="1071"/>
        <v>130527.99433812397</v>
      </c>
      <c r="IM653" s="140"/>
      <c r="IN653" s="140"/>
      <c r="IO653" s="140"/>
      <c r="IP653" s="140"/>
      <c r="IQ653" s="140"/>
      <c r="IR653" s="140"/>
      <c r="IS653" s="140"/>
      <c r="IT653" s="140"/>
      <c r="IU653" s="140"/>
      <c r="IV653" s="140">
        <f t="shared" si="1072"/>
        <v>85040.966008171672</v>
      </c>
      <c r="IW653" s="140"/>
      <c r="IX653" s="140"/>
      <c r="IY653" s="140"/>
      <c r="IZ653" s="140"/>
      <c r="JA653" s="140"/>
      <c r="JB653" s="140"/>
      <c r="JC653" s="140"/>
      <c r="JD653" s="140"/>
      <c r="JE653" s="140"/>
      <c r="JF653" s="140"/>
      <c r="JG653" s="140"/>
      <c r="JH653" s="140"/>
      <c r="JI653" s="140"/>
      <c r="JJ653" s="140"/>
      <c r="JK653" s="140"/>
      <c r="JL653" s="140"/>
      <c r="JM653" s="140"/>
      <c r="JN653" s="140"/>
      <c r="JO653" s="140"/>
      <c r="JP653" s="141">
        <f t="shared" si="1073"/>
        <v>130527.99433812397</v>
      </c>
      <c r="JQ653" s="140"/>
      <c r="JR653" s="139"/>
      <c r="JS653" s="140"/>
      <c r="JT653" s="140"/>
      <c r="JU653" s="140"/>
      <c r="JV653" s="140"/>
      <c r="JW653" s="140">
        <f t="shared" si="1074"/>
        <v>130527.99433812397</v>
      </c>
      <c r="JX653" s="140"/>
      <c r="JY653" s="140"/>
      <c r="JZ653" s="140"/>
      <c r="KA653" s="140"/>
      <c r="KB653" s="140"/>
      <c r="KC653" s="140"/>
      <c r="KD653" s="140"/>
      <c r="KE653" s="140"/>
      <c r="KF653" s="140"/>
      <c r="KG653" s="140">
        <f>SUMIFS(JR$512:JR$613,KF$512:KF$613,$F653)*$D$514/10^3</f>
        <v>7416.363314666135</v>
      </c>
      <c r="KH653" s="140"/>
      <c r="KI653" s="140"/>
      <c r="KJ653" s="140"/>
      <c r="KK653" s="140"/>
      <c r="KL653" s="140"/>
      <c r="KM653" s="140"/>
      <c r="KN653" s="140"/>
      <c r="KO653" s="140"/>
      <c r="KP653" s="140"/>
      <c r="KQ653" s="140"/>
      <c r="KR653" s="140"/>
      <c r="KS653" s="140"/>
      <c r="KT653" s="140"/>
      <c r="KU653" s="140"/>
      <c r="KV653" s="140"/>
      <c r="KW653" s="140"/>
      <c r="KX653" s="140"/>
      <c r="KY653" s="140"/>
      <c r="KZ653" s="140"/>
      <c r="LA653" s="141">
        <f t="shared" si="1075"/>
        <v>0</v>
      </c>
      <c r="LB653" s="140"/>
      <c r="LC653" s="139"/>
      <c r="LD653" s="140"/>
      <c r="LE653" s="140"/>
      <c r="LF653" s="140"/>
      <c r="LG653" s="140"/>
      <c r="LH653" s="140">
        <f t="shared" ref="LH653:LH657" si="1077">SUMIFS($LC$512:$LC$613,LG$512:LG$613,$F653)*$D$514/10^3</f>
        <v>130527.99433812397</v>
      </c>
      <c r="LI653" s="140"/>
      <c r="LJ653" s="140"/>
      <c r="LK653" s="140"/>
      <c r="LL653" s="140"/>
      <c r="LM653" s="140"/>
      <c r="LN653" s="140"/>
      <c r="LO653" s="140"/>
      <c r="LP653" s="140"/>
      <c r="LQ653" s="140"/>
      <c r="LR653" s="140">
        <f t="shared" ref="LR653:LR657" si="1078">SUMIFS($LC$512:$LC$613,LQ$512:LQ$613,$F653)*$D$514/10^3</f>
        <v>11371.757082488073</v>
      </c>
      <c r="LS653" s="140"/>
      <c r="LT653" s="140"/>
      <c r="LU653" s="140"/>
      <c r="LV653" s="140"/>
      <c r="LW653" s="140"/>
      <c r="LX653" s="140"/>
      <c r="LY653" s="140"/>
      <c r="LZ653" s="140"/>
      <c r="MA653" s="140"/>
      <c r="MB653" s="140">
        <f t="shared" ref="MB653:MB657" si="1079">SUMIFS($LC$512:$LC$613,MA$512:MA$613,$F653)*$D$514/10^3</f>
        <v>0</v>
      </c>
      <c r="MC653" s="140"/>
      <c r="MD653" s="140"/>
      <c r="ME653" s="140"/>
      <c r="MF653" s="140"/>
      <c r="MG653" s="140"/>
      <c r="MH653" s="140"/>
      <c r="MI653" s="140"/>
      <c r="MJ653" s="140"/>
      <c r="MK653" s="140"/>
      <c r="ML653" s="141">
        <f t="shared" ref="ML653:ML657" si="1080">SUMIFS($LC$512:$LC$613,MK$512:MK$613,$F653)*$D$514/10^3</f>
        <v>0</v>
      </c>
    </row>
    <row r="654" spans="3:350" s="4" customFormat="1" ht="18" customHeight="1" x14ac:dyDescent="0.3">
      <c r="C654" s="136" t="s">
        <v>300</v>
      </c>
      <c r="E654" s="137" t="s">
        <v>105</v>
      </c>
      <c r="F654" s="186" t="s">
        <v>260</v>
      </c>
      <c r="H654" s="267"/>
      <c r="I654"/>
      <c r="J654"/>
      <c r="K654"/>
      <c r="L654"/>
      <c r="M654" s="140">
        <f t="shared" si="1076"/>
        <v>128055.87323323527</v>
      </c>
      <c r="N654" s="237"/>
      <c r="O654" s="237"/>
      <c r="P654" s="237"/>
      <c r="Q654" s="236"/>
      <c r="R654" s="140"/>
      <c r="S654" s="139"/>
      <c r="T654" s="140"/>
      <c r="U654" s="140"/>
      <c r="V654" s="140"/>
      <c r="W654" s="140"/>
      <c r="X654" s="140">
        <f t="shared" si="1068"/>
        <v>128055.87323323527</v>
      </c>
      <c r="Y654" s="140"/>
      <c r="Z654" s="140"/>
      <c r="AA654" s="140"/>
      <c r="AB654" s="140"/>
      <c r="AC654" s="140"/>
      <c r="AD654" s="140"/>
      <c r="AE654" s="140"/>
      <c r="AF654" s="140"/>
      <c r="AG654" s="140"/>
      <c r="AH654" s="140">
        <f t="shared" si="1069"/>
        <v>128055.87323323527</v>
      </c>
      <c r="AI654" s="140"/>
      <c r="AJ654" s="140"/>
      <c r="AK654" s="140"/>
      <c r="AL654" s="140"/>
      <c r="AM654" s="140"/>
      <c r="AN654" s="140"/>
      <c r="AO654" s="140"/>
      <c r="AP654" s="140"/>
      <c r="AQ654" s="140"/>
      <c r="AR654" s="140"/>
      <c r="AS654" s="140"/>
      <c r="AT654" s="140"/>
      <c r="AU654" s="140"/>
      <c r="AV654" s="140"/>
      <c r="AW654" s="140"/>
      <c r="AX654" s="140"/>
      <c r="AY654" s="140"/>
      <c r="AZ654" s="140"/>
      <c r="BA654" s="140"/>
      <c r="BB654" s="141">
        <f t="shared" si="1070"/>
        <v>0</v>
      </c>
      <c r="BC654" s="140"/>
      <c r="BD654" s="139"/>
      <c r="BE654" s="140"/>
      <c r="BF654" s="140"/>
      <c r="BG654" s="140"/>
      <c r="BH654" s="140"/>
      <c r="BI654" s="219"/>
      <c r="BJ654" s="234"/>
      <c r="BK654" s="234"/>
      <c r="BL654" s="234"/>
      <c r="BM654" s="234"/>
      <c r="BN654" s="234"/>
      <c r="BO654" s="234"/>
      <c r="BP654" s="234"/>
      <c r="BQ654" s="234"/>
      <c r="BR654" s="234"/>
      <c r="BS654" s="234"/>
      <c r="BT654" s="234"/>
      <c r="BU654" s="234"/>
      <c r="BV654" s="234"/>
      <c r="BW654" s="234"/>
      <c r="BX654" s="234"/>
      <c r="BY654" s="234"/>
      <c r="BZ654" s="234"/>
      <c r="CA654" s="234"/>
      <c r="CB654" s="234"/>
      <c r="CC654" s="234"/>
      <c r="CD654" s="234"/>
      <c r="CE654" s="234"/>
      <c r="CF654" s="234"/>
      <c r="CG654" s="234"/>
      <c r="CH654" s="234"/>
      <c r="CI654" s="234"/>
      <c r="CJ654" s="234"/>
      <c r="CK654" s="234"/>
      <c r="CL654" s="234"/>
      <c r="CM654" s="189"/>
      <c r="CN654" s="140"/>
      <c r="CO654" s="139"/>
      <c r="CP654" s="140"/>
      <c r="CQ654" s="140"/>
      <c r="CR654" s="140"/>
      <c r="CS654" s="140"/>
      <c r="CT654" s="219"/>
      <c r="CU654" s="234"/>
      <c r="CV654" s="234"/>
      <c r="CW654" s="234"/>
      <c r="CX654" s="234"/>
      <c r="CY654" s="234"/>
      <c r="CZ654" s="234"/>
      <c r="DA654" s="234"/>
      <c r="DB654" s="234"/>
      <c r="DC654" s="234"/>
      <c r="DD654" s="234"/>
      <c r="DE654" s="234"/>
      <c r="DF654" s="234"/>
      <c r="DG654" s="234"/>
      <c r="DH654" s="234"/>
      <c r="DI654" s="234"/>
      <c r="DJ654" s="234"/>
      <c r="DK654" s="234"/>
      <c r="DL654" s="234"/>
      <c r="DM654" s="234"/>
      <c r="DN654" s="234"/>
      <c r="DO654" s="234"/>
      <c r="DP654" s="234"/>
      <c r="DQ654" s="234"/>
      <c r="DR654" s="234"/>
      <c r="DS654" s="234"/>
      <c r="DT654" s="234"/>
      <c r="DU654" s="234"/>
      <c r="DV654" s="234"/>
      <c r="DW654" s="234"/>
      <c r="DX654" s="189"/>
      <c r="DY654" s="140"/>
      <c r="DZ654" s="139"/>
      <c r="EA654" s="140"/>
      <c r="EB654" s="140"/>
      <c r="EC654" s="140"/>
      <c r="ED654" s="140"/>
      <c r="EE654" s="219"/>
      <c r="EF654" s="234"/>
      <c r="EG654" s="234"/>
      <c r="EH654" s="234"/>
      <c r="EI654" s="234"/>
      <c r="EJ654" s="234"/>
      <c r="EK654" s="234"/>
      <c r="EL654" s="234"/>
      <c r="EM654" s="234"/>
      <c r="EN654" s="234"/>
      <c r="EO654" s="234"/>
      <c r="EP654" s="234"/>
      <c r="EQ654" s="234"/>
      <c r="ER654" s="234"/>
      <c r="ES654" s="234"/>
      <c r="ET654" s="234"/>
      <c r="EU654" s="234"/>
      <c r="EV654" s="234"/>
      <c r="EW654" s="234"/>
      <c r="EX654" s="234"/>
      <c r="EY654" s="234"/>
      <c r="EZ654" s="234"/>
      <c r="FA654" s="234"/>
      <c r="FB654" s="234"/>
      <c r="FC654" s="234"/>
      <c r="FD654" s="234"/>
      <c r="FE654" s="234"/>
      <c r="FF654" s="234"/>
      <c r="FG654" s="234"/>
      <c r="FH654" s="234"/>
      <c r="FI654" s="189"/>
      <c r="FJ654" s="140"/>
      <c r="FK654" s="139"/>
      <c r="FL654" s="140"/>
      <c r="FM654" s="140"/>
      <c r="FN654" s="140"/>
      <c r="FO654" s="140"/>
      <c r="FP654" s="219"/>
      <c r="FQ654" s="234"/>
      <c r="FR654" s="234"/>
      <c r="FS654" s="234"/>
      <c r="FT654" s="234"/>
      <c r="FU654" s="234"/>
      <c r="FV654" s="234"/>
      <c r="FW654" s="234"/>
      <c r="FX654" s="234"/>
      <c r="FY654" s="234"/>
      <c r="FZ654" s="234"/>
      <c r="GA654" s="234"/>
      <c r="GB654" s="234"/>
      <c r="GC654" s="234"/>
      <c r="GD654" s="234"/>
      <c r="GE654" s="234"/>
      <c r="GF654" s="234"/>
      <c r="GG654" s="234"/>
      <c r="GH654" s="234"/>
      <c r="GI654" s="234"/>
      <c r="GJ654" s="234"/>
      <c r="GK654" s="234"/>
      <c r="GL654" s="234"/>
      <c r="GM654" s="234"/>
      <c r="GN654" s="234"/>
      <c r="GO654" s="234"/>
      <c r="GP654" s="234"/>
      <c r="GQ654" s="234"/>
      <c r="GR654" s="234"/>
      <c r="GS654" s="234"/>
      <c r="GT654" s="189"/>
      <c r="GU654" s="140"/>
      <c r="GV654" s="139"/>
      <c r="GW654" s="140"/>
      <c r="GX654" s="140"/>
      <c r="GY654" s="140"/>
      <c r="GZ654" s="140"/>
      <c r="HA654" s="219"/>
      <c r="HB654" s="234"/>
      <c r="HC654" s="234"/>
      <c r="HD654" s="234"/>
      <c r="HE654" s="234"/>
      <c r="HF654" s="234"/>
      <c r="HG654" s="234"/>
      <c r="HH654" s="234"/>
      <c r="HI654" s="234"/>
      <c r="HJ654" s="234"/>
      <c r="HK654" s="234"/>
      <c r="HL654" s="234"/>
      <c r="HM654" s="234"/>
      <c r="HN654" s="234"/>
      <c r="HO654" s="234"/>
      <c r="HP654" s="234"/>
      <c r="HQ654" s="234"/>
      <c r="HR654" s="234"/>
      <c r="HS654" s="234"/>
      <c r="HT654" s="234"/>
      <c r="HU654" s="234"/>
      <c r="HV654" s="234"/>
      <c r="HW654" s="234"/>
      <c r="HX654" s="234"/>
      <c r="HY654" s="234"/>
      <c r="HZ654" s="234"/>
      <c r="IA654" s="234"/>
      <c r="IB654" s="234"/>
      <c r="IC654" s="234"/>
      <c r="ID654" s="234"/>
      <c r="IE654" s="189"/>
      <c r="IF654" s="140"/>
      <c r="IG654" s="139"/>
      <c r="IH654" s="140"/>
      <c r="II654" s="140"/>
      <c r="IJ654" s="140"/>
      <c r="IK654" s="140"/>
      <c r="IL654" s="140">
        <f t="shared" si="1071"/>
        <v>128055.87323323527</v>
      </c>
      <c r="IM654" s="140"/>
      <c r="IN654" s="140"/>
      <c r="IO654" s="140"/>
      <c r="IP654" s="140"/>
      <c r="IQ654" s="140"/>
      <c r="IR654" s="140"/>
      <c r="IS654" s="140"/>
      <c r="IT654" s="140"/>
      <c r="IU654" s="140"/>
      <c r="IV654" s="140">
        <f t="shared" si="1072"/>
        <v>108773.32861510332</v>
      </c>
      <c r="IW654" s="140"/>
      <c r="IX654" s="140"/>
      <c r="IY654" s="140"/>
      <c r="IZ654" s="140"/>
      <c r="JA654" s="140"/>
      <c r="JB654" s="140"/>
      <c r="JC654" s="140"/>
      <c r="JD654" s="140"/>
      <c r="JE654" s="140"/>
      <c r="JF654" s="140"/>
      <c r="JG654" s="140"/>
      <c r="JH654" s="140"/>
      <c r="JI654" s="140"/>
      <c r="JJ654" s="140"/>
      <c r="JK654" s="140"/>
      <c r="JL654" s="140"/>
      <c r="JM654" s="140"/>
      <c r="JN654" s="140"/>
      <c r="JO654" s="140"/>
      <c r="JP654" s="141">
        <f t="shared" si="1073"/>
        <v>128055.87323323527</v>
      </c>
      <c r="JQ654" s="140"/>
      <c r="JR654" s="139"/>
      <c r="JS654" s="140"/>
      <c r="JT654" s="140"/>
      <c r="JU654" s="140"/>
      <c r="JV654" s="140"/>
      <c r="JW654" s="140">
        <f t="shared" si="1074"/>
        <v>128055.87323323527</v>
      </c>
      <c r="JX654" s="140"/>
      <c r="JY654" s="140"/>
      <c r="JZ654" s="140"/>
      <c r="KA654" s="140"/>
      <c r="KB654" s="140"/>
      <c r="KC654" s="140"/>
      <c r="KD654" s="140"/>
      <c r="KE654" s="140"/>
      <c r="KF654" s="140"/>
      <c r="KG654" s="140">
        <f t="shared" ref="KG654:KG657" si="1081">SUMIFS(JR$512:JR$613,KF$512:KF$613,$F654)*$D$514/10^3</f>
        <v>85040.966008171672</v>
      </c>
      <c r="KH654" s="140"/>
      <c r="KI654" s="140"/>
      <c r="KJ654" s="140"/>
      <c r="KK654" s="140"/>
      <c r="KL654" s="140"/>
      <c r="KM654" s="140"/>
      <c r="KN654" s="140"/>
      <c r="KO654" s="140"/>
      <c r="KP654" s="140"/>
      <c r="KQ654" s="140"/>
      <c r="KR654" s="140"/>
      <c r="KS654" s="140"/>
      <c r="KT654" s="140"/>
      <c r="KU654" s="140"/>
      <c r="KV654" s="140"/>
      <c r="KW654" s="140"/>
      <c r="KX654" s="140"/>
      <c r="KY654" s="140"/>
      <c r="KZ654" s="140"/>
      <c r="LA654" s="141">
        <f t="shared" si="1075"/>
        <v>65758.42139003973</v>
      </c>
      <c r="LB654" s="140"/>
      <c r="LC654" s="139"/>
      <c r="LD654" s="140"/>
      <c r="LE654" s="140"/>
      <c r="LF654" s="140"/>
      <c r="LG654" s="140"/>
      <c r="LH654" s="140">
        <f t="shared" si="1077"/>
        <v>128055.87323323527</v>
      </c>
      <c r="LI654" s="140"/>
      <c r="LJ654" s="140"/>
      <c r="LK654" s="140"/>
      <c r="LL654" s="140"/>
      <c r="LM654" s="140"/>
      <c r="LN654" s="140"/>
      <c r="LO654" s="140"/>
      <c r="LP654" s="140"/>
      <c r="LQ654" s="140"/>
      <c r="LR654" s="140">
        <f t="shared" si="1078"/>
        <v>112234.2981619475</v>
      </c>
      <c r="LS654" s="140"/>
      <c r="LT654" s="140"/>
      <c r="LU654" s="140"/>
      <c r="LV654" s="140"/>
      <c r="LW654" s="140"/>
      <c r="LX654" s="140"/>
      <c r="LY654" s="140"/>
      <c r="LZ654" s="140"/>
      <c r="MA654" s="140"/>
      <c r="MB654" s="140">
        <f t="shared" si="1079"/>
        <v>73669.208925683604</v>
      </c>
      <c r="MC654" s="140"/>
      <c r="MD654" s="140"/>
      <c r="ME654" s="140"/>
      <c r="MF654" s="140"/>
      <c r="MG654" s="140"/>
      <c r="MH654" s="140"/>
      <c r="MI654" s="140"/>
      <c r="MJ654" s="140"/>
      <c r="MK654" s="140"/>
      <c r="ML654" s="141">
        <f t="shared" si="1080"/>
        <v>42520.483004085836</v>
      </c>
    </row>
    <row r="655" spans="3:350" s="4" customFormat="1" ht="18" customHeight="1" x14ac:dyDescent="0.3">
      <c r="C655" s="136" t="s">
        <v>301</v>
      </c>
      <c r="E655" s="137" t="s">
        <v>105</v>
      </c>
      <c r="F655" s="186" t="s">
        <v>261</v>
      </c>
      <c r="H655" s="267"/>
      <c r="I655"/>
      <c r="J655"/>
      <c r="K655"/>
      <c r="L655"/>
      <c r="M655" s="140">
        <f t="shared" si="1076"/>
        <v>169093.08357438789</v>
      </c>
      <c r="N655" s="237"/>
      <c r="O655" s="237"/>
      <c r="P655" s="237"/>
      <c r="Q655" s="236"/>
      <c r="R655" s="140"/>
      <c r="S655" s="139"/>
      <c r="T655" s="140"/>
      <c r="U655" s="140"/>
      <c r="V655" s="140"/>
      <c r="W655" s="140"/>
      <c r="X655" s="140">
        <f t="shared" si="1068"/>
        <v>169093.08357438789</v>
      </c>
      <c r="Y655" s="140"/>
      <c r="Z655" s="140"/>
      <c r="AA655" s="140"/>
      <c r="AB655" s="140"/>
      <c r="AC655" s="140"/>
      <c r="AD655" s="140"/>
      <c r="AE655" s="140"/>
      <c r="AF655" s="140"/>
      <c r="AG655" s="140"/>
      <c r="AH655" s="140">
        <f t="shared" si="1069"/>
        <v>169093.08357438789</v>
      </c>
      <c r="AI655" s="140"/>
      <c r="AJ655" s="140"/>
      <c r="AK655" s="140"/>
      <c r="AL655" s="140"/>
      <c r="AM655" s="140"/>
      <c r="AN655" s="140"/>
      <c r="AO655" s="140"/>
      <c r="AP655" s="140"/>
      <c r="AQ655" s="140"/>
      <c r="AR655" s="140"/>
      <c r="AS655" s="140"/>
      <c r="AT655" s="140"/>
      <c r="AU655" s="140"/>
      <c r="AV655" s="140"/>
      <c r="AW655" s="140"/>
      <c r="AX655" s="140"/>
      <c r="AY655" s="140"/>
      <c r="AZ655" s="140"/>
      <c r="BA655" s="140"/>
      <c r="BB655" s="141">
        <f t="shared" si="1070"/>
        <v>427676.95114574715</v>
      </c>
      <c r="BC655" s="140"/>
      <c r="BD655" s="139"/>
      <c r="BE655" s="140"/>
      <c r="BF655" s="140"/>
      <c r="BG655" s="140"/>
      <c r="BH655" s="140"/>
      <c r="BI655" s="219"/>
      <c r="BJ655" s="234"/>
      <c r="BK655" s="234"/>
      <c r="BL655" s="234"/>
      <c r="BM655" s="234"/>
      <c r="BN655" s="234"/>
      <c r="BO655" s="234"/>
      <c r="BP655" s="234"/>
      <c r="BQ655" s="234"/>
      <c r="BR655" s="234"/>
      <c r="BS655" s="234"/>
      <c r="BT655" s="234"/>
      <c r="BU655" s="234"/>
      <c r="BV655" s="234"/>
      <c r="BW655" s="234"/>
      <c r="BX655" s="234"/>
      <c r="BY655" s="234"/>
      <c r="BZ655" s="234"/>
      <c r="CA655" s="234"/>
      <c r="CB655" s="234"/>
      <c r="CC655" s="234"/>
      <c r="CD655" s="234"/>
      <c r="CE655" s="234"/>
      <c r="CF655" s="234"/>
      <c r="CG655" s="234"/>
      <c r="CH655" s="234"/>
      <c r="CI655" s="234"/>
      <c r="CJ655" s="234"/>
      <c r="CK655" s="234"/>
      <c r="CL655" s="234"/>
      <c r="CM655" s="189"/>
      <c r="CN655" s="140"/>
      <c r="CO655" s="139"/>
      <c r="CP655" s="140"/>
      <c r="CQ655" s="140"/>
      <c r="CR655" s="140"/>
      <c r="CS655" s="140"/>
      <c r="CT655" s="219"/>
      <c r="CU655" s="234"/>
      <c r="CV655" s="234"/>
      <c r="CW655" s="234"/>
      <c r="CX655" s="234"/>
      <c r="CY655" s="234"/>
      <c r="CZ655" s="234"/>
      <c r="DA655" s="234"/>
      <c r="DB655" s="234"/>
      <c r="DC655" s="234"/>
      <c r="DD655" s="234"/>
      <c r="DE655" s="234"/>
      <c r="DF655" s="234"/>
      <c r="DG655" s="234"/>
      <c r="DH655" s="234"/>
      <c r="DI655" s="234"/>
      <c r="DJ655" s="234"/>
      <c r="DK655" s="234"/>
      <c r="DL655" s="234"/>
      <c r="DM655" s="234"/>
      <c r="DN655" s="234"/>
      <c r="DO655" s="234"/>
      <c r="DP655" s="234"/>
      <c r="DQ655" s="234"/>
      <c r="DR655" s="234"/>
      <c r="DS655" s="234"/>
      <c r="DT655" s="234"/>
      <c r="DU655" s="234"/>
      <c r="DV655" s="234"/>
      <c r="DW655" s="234"/>
      <c r="DX655" s="189"/>
      <c r="DY655" s="140"/>
      <c r="DZ655" s="139"/>
      <c r="EA655" s="140"/>
      <c r="EB655" s="140"/>
      <c r="EC655" s="140"/>
      <c r="ED655" s="140"/>
      <c r="EE655" s="219"/>
      <c r="EF655" s="234"/>
      <c r="EG655" s="234"/>
      <c r="EH655" s="234"/>
      <c r="EI655" s="234"/>
      <c r="EJ655" s="234"/>
      <c r="EK655" s="234"/>
      <c r="EL655" s="234"/>
      <c r="EM655" s="234"/>
      <c r="EN655" s="234"/>
      <c r="EO655" s="234"/>
      <c r="EP655" s="234"/>
      <c r="EQ655" s="234"/>
      <c r="ER655" s="234"/>
      <c r="ES655" s="234"/>
      <c r="ET655" s="234"/>
      <c r="EU655" s="234"/>
      <c r="EV655" s="234"/>
      <c r="EW655" s="234"/>
      <c r="EX655" s="234"/>
      <c r="EY655" s="234"/>
      <c r="EZ655" s="234"/>
      <c r="FA655" s="234"/>
      <c r="FB655" s="234"/>
      <c r="FC655" s="234"/>
      <c r="FD655" s="234"/>
      <c r="FE655" s="234"/>
      <c r="FF655" s="234"/>
      <c r="FG655" s="234"/>
      <c r="FH655" s="234"/>
      <c r="FI655" s="189"/>
      <c r="FJ655" s="140"/>
      <c r="FK655" s="139"/>
      <c r="FL655" s="140"/>
      <c r="FM655" s="140"/>
      <c r="FN655" s="140"/>
      <c r="FO655" s="140"/>
      <c r="FP655" s="219"/>
      <c r="FQ655" s="234"/>
      <c r="FR655" s="234"/>
      <c r="FS655" s="234"/>
      <c r="FT655" s="234"/>
      <c r="FU655" s="234"/>
      <c r="FV655" s="234"/>
      <c r="FW655" s="234"/>
      <c r="FX655" s="234"/>
      <c r="FY655" s="234"/>
      <c r="FZ655" s="234"/>
      <c r="GA655" s="234"/>
      <c r="GB655" s="234"/>
      <c r="GC655" s="234"/>
      <c r="GD655" s="234"/>
      <c r="GE655" s="234"/>
      <c r="GF655" s="234"/>
      <c r="GG655" s="234"/>
      <c r="GH655" s="234"/>
      <c r="GI655" s="234"/>
      <c r="GJ655" s="234"/>
      <c r="GK655" s="234"/>
      <c r="GL655" s="234"/>
      <c r="GM655" s="234"/>
      <c r="GN655" s="234"/>
      <c r="GO655" s="234"/>
      <c r="GP655" s="234"/>
      <c r="GQ655" s="234"/>
      <c r="GR655" s="234"/>
      <c r="GS655" s="234"/>
      <c r="GT655" s="189"/>
      <c r="GU655" s="140"/>
      <c r="GV655" s="139"/>
      <c r="GW655" s="140"/>
      <c r="GX655" s="140"/>
      <c r="GY655" s="140"/>
      <c r="GZ655" s="140"/>
      <c r="HA655" s="219"/>
      <c r="HB655" s="234"/>
      <c r="HC655" s="234"/>
      <c r="HD655" s="234"/>
      <c r="HE655" s="234"/>
      <c r="HF655" s="234"/>
      <c r="HG655" s="234"/>
      <c r="HH655" s="234"/>
      <c r="HI655" s="234"/>
      <c r="HJ655" s="234"/>
      <c r="HK655" s="234"/>
      <c r="HL655" s="234"/>
      <c r="HM655" s="234"/>
      <c r="HN655" s="234"/>
      <c r="HO655" s="234"/>
      <c r="HP655" s="234"/>
      <c r="HQ655" s="234"/>
      <c r="HR655" s="234"/>
      <c r="HS655" s="234"/>
      <c r="HT655" s="234"/>
      <c r="HU655" s="234"/>
      <c r="HV655" s="234"/>
      <c r="HW655" s="234"/>
      <c r="HX655" s="234"/>
      <c r="HY655" s="234"/>
      <c r="HZ655" s="234"/>
      <c r="IA655" s="234"/>
      <c r="IB655" s="234"/>
      <c r="IC655" s="234"/>
      <c r="ID655" s="234"/>
      <c r="IE655" s="189"/>
      <c r="IF655" s="140"/>
      <c r="IG655" s="139"/>
      <c r="IH655" s="140"/>
      <c r="II655" s="140"/>
      <c r="IJ655" s="140"/>
      <c r="IK655" s="140"/>
      <c r="IL655" s="140">
        <f t="shared" si="1071"/>
        <v>169093.08357438789</v>
      </c>
      <c r="IM655" s="140"/>
      <c r="IN655" s="140"/>
      <c r="IO655" s="140"/>
      <c r="IP655" s="140"/>
      <c r="IQ655" s="140"/>
      <c r="IR655" s="140"/>
      <c r="IS655" s="140"/>
      <c r="IT655" s="140"/>
      <c r="IU655" s="140"/>
      <c r="IV655" s="140">
        <f t="shared" si="1072"/>
        <v>215074.53612531791</v>
      </c>
      <c r="IW655" s="140"/>
      <c r="IX655" s="140"/>
      <c r="IY655" s="140"/>
      <c r="IZ655" s="140"/>
      <c r="JA655" s="140"/>
      <c r="JB655" s="140"/>
      <c r="JC655" s="140"/>
      <c r="JD655" s="140"/>
      <c r="JE655" s="140"/>
      <c r="JF655" s="140"/>
      <c r="JG655" s="140"/>
      <c r="JH655" s="140"/>
      <c r="JI655" s="140"/>
      <c r="JJ655" s="140"/>
      <c r="JK655" s="140"/>
      <c r="JL655" s="140"/>
      <c r="JM655" s="140"/>
      <c r="JN655" s="140"/>
      <c r="JO655" s="140"/>
      <c r="JP655" s="141">
        <f t="shared" si="1073"/>
        <v>169093.08357438789</v>
      </c>
      <c r="JQ655" s="140"/>
      <c r="JR655" s="139"/>
      <c r="JS655" s="140"/>
      <c r="JT655" s="140"/>
      <c r="JU655" s="140"/>
      <c r="JV655" s="140"/>
      <c r="JW655" s="140">
        <f t="shared" si="1074"/>
        <v>169093.08357438789</v>
      </c>
      <c r="JX655" s="140"/>
      <c r="JY655" s="140"/>
      <c r="JZ655" s="140"/>
      <c r="KA655" s="140"/>
      <c r="KB655" s="140"/>
      <c r="KC655" s="140"/>
      <c r="KD655" s="140"/>
      <c r="KE655" s="140"/>
      <c r="KF655" s="140"/>
      <c r="KG655" s="140">
        <f t="shared" si="1081"/>
        <v>331264.22805508738</v>
      </c>
      <c r="KH655" s="140"/>
      <c r="KI655" s="140"/>
      <c r="KJ655" s="140"/>
      <c r="KK655" s="140"/>
      <c r="KL655" s="140"/>
      <c r="KM655" s="140"/>
      <c r="KN655" s="140"/>
      <c r="KO655" s="140"/>
      <c r="KP655" s="140"/>
      <c r="KQ655" s="140"/>
      <c r="KR655" s="140"/>
      <c r="KS655" s="140"/>
      <c r="KT655" s="140"/>
      <c r="KU655" s="140"/>
      <c r="KV655" s="140"/>
      <c r="KW655" s="140"/>
      <c r="KX655" s="140"/>
      <c r="KY655" s="140"/>
      <c r="KZ655" s="140"/>
      <c r="LA655" s="141">
        <f t="shared" si="1075"/>
        <v>693677.18203177245</v>
      </c>
      <c r="LB655" s="140"/>
      <c r="LC655" s="139"/>
      <c r="LD655" s="140"/>
      <c r="LE655" s="140"/>
      <c r="LF655" s="140"/>
      <c r="LG655" s="140"/>
      <c r="LH655" s="140">
        <f t="shared" si="1077"/>
        <v>169093.08357438789</v>
      </c>
      <c r="LI655" s="140"/>
      <c r="LJ655" s="140"/>
      <c r="LK655" s="140"/>
      <c r="LL655" s="140"/>
      <c r="LM655" s="140"/>
      <c r="LN655" s="140"/>
      <c r="LO655" s="140"/>
      <c r="LP655" s="140"/>
      <c r="LQ655" s="140"/>
      <c r="LR655" s="140">
        <f t="shared" si="1078"/>
        <v>327803.25850824313</v>
      </c>
      <c r="LS655" s="140"/>
      <c r="LT655" s="140"/>
      <c r="LU655" s="140"/>
      <c r="LV655" s="140"/>
      <c r="LW655" s="140"/>
      <c r="LX655" s="140"/>
      <c r="LY655" s="140"/>
      <c r="LZ655" s="140"/>
      <c r="MA655" s="140"/>
      <c r="MB655" s="140">
        <f t="shared" si="1079"/>
        <v>535955.85553987266</v>
      </c>
      <c r="MC655" s="140"/>
      <c r="MD655" s="140"/>
      <c r="ME655" s="140"/>
      <c r="MF655" s="140"/>
      <c r="MG655" s="140"/>
      <c r="MH655" s="140"/>
      <c r="MI655" s="140"/>
      <c r="MJ655" s="140"/>
      <c r="MK655" s="140"/>
      <c r="ML655" s="141">
        <f t="shared" si="1080"/>
        <v>709004.33288208244</v>
      </c>
    </row>
    <row r="656" spans="3:350" s="4" customFormat="1" ht="18" customHeight="1" x14ac:dyDescent="0.3">
      <c r="C656" s="136" t="s">
        <v>302</v>
      </c>
      <c r="E656" s="137" t="s">
        <v>105</v>
      </c>
      <c r="F656" s="186" t="s">
        <v>258</v>
      </c>
      <c r="H656" s="267"/>
      <c r="I656"/>
      <c r="J656"/>
      <c r="K656"/>
      <c r="L656"/>
      <c r="M656" s="140">
        <f>SUMIFS(H$512:H$613,L$512:L$613,$F656)*$D$514/10^3</f>
        <v>63286.300285151017</v>
      </c>
      <c r="N656" s="237"/>
      <c r="O656" s="237"/>
      <c r="P656" s="237"/>
      <c r="Q656" s="236"/>
      <c r="R656" s="140"/>
      <c r="S656" s="139"/>
      <c r="T656" s="140"/>
      <c r="U656" s="140"/>
      <c r="V656" s="140"/>
      <c r="W656" s="140"/>
      <c r="X656" s="140">
        <f t="shared" si="1068"/>
        <v>63286.300285151017</v>
      </c>
      <c r="Y656" s="140"/>
      <c r="Z656" s="140"/>
      <c r="AA656" s="140"/>
      <c r="AB656" s="140"/>
      <c r="AC656" s="140"/>
      <c r="AD656" s="140"/>
      <c r="AE656" s="140"/>
      <c r="AF656" s="140"/>
      <c r="AG656" s="140"/>
      <c r="AH656" s="140">
        <f t="shared" si="1069"/>
        <v>63286.300285151017</v>
      </c>
      <c r="AI656" s="140"/>
      <c r="AJ656" s="140"/>
      <c r="AK656" s="140"/>
      <c r="AL656" s="140"/>
      <c r="AM656" s="140"/>
      <c r="AN656" s="140"/>
      <c r="AO656" s="140"/>
      <c r="AP656" s="140"/>
      <c r="AQ656" s="140"/>
      <c r="AR656" s="140"/>
      <c r="AS656" s="140"/>
      <c r="AT656" s="140"/>
      <c r="AU656" s="140"/>
      <c r="AV656" s="140"/>
      <c r="AW656" s="140"/>
      <c r="AX656" s="140"/>
      <c r="AY656" s="140"/>
      <c r="AZ656" s="140"/>
      <c r="BA656" s="140"/>
      <c r="BB656" s="141">
        <f t="shared" si="1070"/>
        <v>63286.300285151017</v>
      </c>
      <c r="BC656" s="140"/>
      <c r="BD656" s="177"/>
      <c r="BE656" s="178"/>
      <c r="BF656" s="178"/>
      <c r="BG656" s="178"/>
      <c r="BH656" s="178"/>
      <c r="BI656" s="219"/>
      <c r="BJ656" s="234"/>
      <c r="BK656" s="234"/>
      <c r="BL656" s="234"/>
      <c r="BM656" s="234"/>
      <c r="BN656" s="234"/>
      <c r="BO656" s="234"/>
      <c r="BP656" s="234"/>
      <c r="BQ656" s="234"/>
      <c r="BR656" s="234"/>
      <c r="BS656" s="234"/>
      <c r="BT656" s="234"/>
      <c r="BU656" s="234"/>
      <c r="BV656" s="234"/>
      <c r="BW656" s="234"/>
      <c r="BX656" s="234"/>
      <c r="BY656" s="234"/>
      <c r="BZ656" s="234"/>
      <c r="CA656" s="234"/>
      <c r="CB656" s="234"/>
      <c r="CC656" s="234"/>
      <c r="CD656" s="234"/>
      <c r="CE656" s="234"/>
      <c r="CF656" s="234"/>
      <c r="CG656" s="234"/>
      <c r="CH656" s="234"/>
      <c r="CI656" s="234"/>
      <c r="CJ656" s="234"/>
      <c r="CK656" s="234"/>
      <c r="CL656" s="234"/>
      <c r="CM656" s="189"/>
      <c r="CN656" s="140"/>
      <c r="CO656" s="177"/>
      <c r="CP656" s="178"/>
      <c r="CQ656" s="178"/>
      <c r="CR656" s="178"/>
      <c r="CS656" s="178"/>
      <c r="CT656" s="219"/>
      <c r="CU656" s="234"/>
      <c r="CV656" s="234"/>
      <c r="CW656" s="234"/>
      <c r="CX656" s="234"/>
      <c r="CY656" s="234"/>
      <c r="CZ656" s="234"/>
      <c r="DA656" s="234"/>
      <c r="DB656" s="234"/>
      <c r="DC656" s="234"/>
      <c r="DD656" s="234"/>
      <c r="DE656" s="234"/>
      <c r="DF656" s="234"/>
      <c r="DG656" s="234"/>
      <c r="DH656" s="234"/>
      <c r="DI656" s="234"/>
      <c r="DJ656" s="234"/>
      <c r="DK656" s="234"/>
      <c r="DL656" s="234"/>
      <c r="DM656" s="234"/>
      <c r="DN656" s="234"/>
      <c r="DO656" s="234"/>
      <c r="DP656" s="234"/>
      <c r="DQ656" s="234"/>
      <c r="DR656" s="234"/>
      <c r="DS656" s="234"/>
      <c r="DT656" s="234"/>
      <c r="DU656" s="234"/>
      <c r="DV656" s="234"/>
      <c r="DW656" s="234"/>
      <c r="DX656" s="189"/>
      <c r="DY656" s="140"/>
      <c r="DZ656" s="177"/>
      <c r="EA656" s="178"/>
      <c r="EB656" s="178"/>
      <c r="EC656" s="178"/>
      <c r="ED656" s="178"/>
      <c r="EE656" s="219"/>
      <c r="EF656" s="234"/>
      <c r="EG656" s="234"/>
      <c r="EH656" s="234"/>
      <c r="EI656" s="234"/>
      <c r="EJ656" s="234"/>
      <c r="EK656" s="234"/>
      <c r="EL656" s="234"/>
      <c r="EM656" s="234"/>
      <c r="EN656" s="234"/>
      <c r="EO656" s="234"/>
      <c r="EP656" s="234"/>
      <c r="EQ656" s="234"/>
      <c r="ER656" s="234"/>
      <c r="ES656" s="234"/>
      <c r="ET656" s="234"/>
      <c r="EU656" s="234"/>
      <c r="EV656" s="234"/>
      <c r="EW656" s="234"/>
      <c r="EX656" s="234"/>
      <c r="EY656" s="234"/>
      <c r="EZ656" s="234"/>
      <c r="FA656" s="234"/>
      <c r="FB656" s="234"/>
      <c r="FC656" s="234"/>
      <c r="FD656" s="234"/>
      <c r="FE656" s="234"/>
      <c r="FF656" s="234"/>
      <c r="FG656" s="234"/>
      <c r="FH656" s="234"/>
      <c r="FI656" s="189"/>
      <c r="FJ656" s="140"/>
      <c r="FK656" s="177"/>
      <c r="FL656" s="178"/>
      <c r="FM656" s="178"/>
      <c r="FN656" s="178"/>
      <c r="FO656" s="178"/>
      <c r="FP656" s="219"/>
      <c r="FQ656" s="234"/>
      <c r="FR656" s="234"/>
      <c r="FS656" s="234"/>
      <c r="FT656" s="234"/>
      <c r="FU656" s="234"/>
      <c r="FV656" s="234"/>
      <c r="FW656" s="234"/>
      <c r="FX656" s="234"/>
      <c r="FY656" s="234"/>
      <c r="FZ656" s="234"/>
      <c r="GA656" s="234"/>
      <c r="GB656" s="234"/>
      <c r="GC656" s="234"/>
      <c r="GD656" s="234"/>
      <c r="GE656" s="234"/>
      <c r="GF656" s="234"/>
      <c r="GG656" s="234"/>
      <c r="GH656" s="234"/>
      <c r="GI656" s="234"/>
      <c r="GJ656" s="234"/>
      <c r="GK656" s="234"/>
      <c r="GL656" s="234"/>
      <c r="GM656" s="234"/>
      <c r="GN656" s="234"/>
      <c r="GO656" s="234"/>
      <c r="GP656" s="234"/>
      <c r="GQ656" s="234"/>
      <c r="GR656" s="234"/>
      <c r="GS656" s="234"/>
      <c r="GT656" s="189"/>
      <c r="GU656" s="140"/>
      <c r="GV656" s="177"/>
      <c r="GW656" s="178"/>
      <c r="GX656" s="178"/>
      <c r="GY656" s="178"/>
      <c r="GZ656" s="178"/>
      <c r="HA656" s="219"/>
      <c r="HB656" s="234"/>
      <c r="HC656" s="234"/>
      <c r="HD656" s="234"/>
      <c r="HE656" s="234"/>
      <c r="HF656" s="234"/>
      <c r="HG656" s="234"/>
      <c r="HH656" s="234"/>
      <c r="HI656" s="234"/>
      <c r="HJ656" s="234"/>
      <c r="HK656" s="234"/>
      <c r="HL656" s="234"/>
      <c r="HM656" s="234"/>
      <c r="HN656" s="234"/>
      <c r="HO656" s="234"/>
      <c r="HP656" s="234"/>
      <c r="HQ656" s="234"/>
      <c r="HR656" s="234"/>
      <c r="HS656" s="234"/>
      <c r="HT656" s="234"/>
      <c r="HU656" s="234"/>
      <c r="HV656" s="234"/>
      <c r="HW656" s="234"/>
      <c r="HX656" s="234"/>
      <c r="HY656" s="234"/>
      <c r="HZ656" s="234"/>
      <c r="IA656" s="234"/>
      <c r="IB656" s="234"/>
      <c r="IC656" s="234"/>
      <c r="ID656" s="234"/>
      <c r="IE656" s="189"/>
      <c r="IF656" s="140"/>
      <c r="IG656" s="139"/>
      <c r="IH656" s="140"/>
      <c r="II656" s="140"/>
      <c r="IJ656" s="140"/>
      <c r="IK656" s="140"/>
      <c r="IL656" s="140">
        <f t="shared" si="1071"/>
        <v>63286.300285151017</v>
      </c>
      <c r="IM656" s="140"/>
      <c r="IN656" s="140"/>
      <c r="IO656" s="140"/>
      <c r="IP656" s="140"/>
      <c r="IQ656" s="140"/>
      <c r="IR656" s="140"/>
      <c r="IS656" s="140"/>
      <c r="IT656" s="140"/>
      <c r="IU656" s="140"/>
      <c r="IV656" s="140">
        <f t="shared" si="1072"/>
        <v>63286.300285151017</v>
      </c>
      <c r="IW656" s="140"/>
      <c r="IX656" s="140"/>
      <c r="IY656" s="140"/>
      <c r="IZ656" s="140"/>
      <c r="JA656" s="140"/>
      <c r="JB656" s="140"/>
      <c r="JC656" s="140"/>
      <c r="JD656" s="140"/>
      <c r="JE656" s="140"/>
      <c r="JF656" s="140"/>
      <c r="JG656" s="140"/>
      <c r="JH656" s="140"/>
      <c r="JI656" s="140"/>
      <c r="JJ656" s="140"/>
      <c r="JK656" s="140"/>
      <c r="JL656" s="140"/>
      <c r="JM656" s="140"/>
      <c r="JN656" s="140"/>
      <c r="JO656" s="140"/>
      <c r="JP656" s="141">
        <f t="shared" si="1073"/>
        <v>63286.300285151017</v>
      </c>
      <c r="JQ656" s="140"/>
      <c r="JR656" s="139"/>
      <c r="JS656" s="140"/>
      <c r="JT656" s="140"/>
      <c r="JU656" s="140"/>
      <c r="JV656" s="140"/>
      <c r="JW656" s="140">
        <f t="shared" si="1074"/>
        <v>63286.300285151017</v>
      </c>
      <c r="JX656" s="140"/>
      <c r="JY656" s="140"/>
      <c r="JZ656" s="140"/>
      <c r="KA656" s="140"/>
      <c r="KB656" s="140"/>
      <c r="KC656" s="140"/>
      <c r="KD656" s="140"/>
      <c r="KE656" s="140"/>
      <c r="KF656" s="140"/>
      <c r="KG656" s="140">
        <f>SUMIFS(JR$512:JR$613,KF$512:KF$613,$F656)*$D$514/10^3</f>
        <v>162171.14448069947</v>
      </c>
      <c r="KH656" s="140"/>
      <c r="KI656" s="140"/>
      <c r="KJ656" s="140"/>
      <c r="KK656" s="140"/>
      <c r="KL656" s="140"/>
      <c r="KM656" s="140"/>
      <c r="KN656" s="140"/>
      <c r="KO656" s="140"/>
      <c r="KP656" s="140"/>
      <c r="KQ656" s="140"/>
      <c r="KR656" s="140"/>
      <c r="KS656" s="140"/>
      <c r="KT656" s="140"/>
      <c r="KU656" s="140"/>
      <c r="KV656" s="140"/>
      <c r="KW656" s="140"/>
      <c r="KX656" s="140"/>
      <c r="KY656" s="140"/>
      <c r="KZ656" s="140"/>
      <c r="LA656" s="141">
        <f t="shared" si="1075"/>
        <v>162171.14448069947</v>
      </c>
      <c r="LB656" s="140"/>
      <c r="LC656" s="139"/>
      <c r="LD656" s="140"/>
      <c r="LE656" s="140"/>
      <c r="LF656" s="140"/>
      <c r="LG656" s="140"/>
      <c r="LH656" s="140">
        <f t="shared" si="1077"/>
        <v>63286.300285151017</v>
      </c>
      <c r="LI656" s="140"/>
      <c r="LJ656" s="140"/>
      <c r="LK656" s="140"/>
      <c r="LL656" s="140"/>
      <c r="LM656" s="140"/>
      <c r="LN656" s="140"/>
      <c r="LO656" s="140"/>
      <c r="LP656" s="140"/>
      <c r="LQ656" s="140"/>
      <c r="LR656" s="140">
        <f t="shared" si="1078"/>
        <v>130527.99433812397</v>
      </c>
      <c r="LS656" s="140"/>
      <c r="LT656" s="140"/>
      <c r="LU656" s="140"/>
      <c r="LV656" s="140"/>
      <c r="LW656" s="140"/>
      <c r="LX656" s="140"/>
      <c r="LY656" s="140"/>
      <c r="LZ656" s="140"/>
      <c r="MA656" s="140"/>
      <c r="MB656" s="140">
        <f t="shared" si="1079"/>
        <v>154260.3569450556</v>
      </c>
      <c r="MC656" s="140"/>
      <c r="MD656" s="140"/>
      <c r="ME656" s="140"/>
      <c r="MF656" s="140"/>
      <c r="MG656" s="140"/>
      <c r="MH656" s="140"/>
      <c r="MI656" s="140"/>
      <c r="MJ656" s="140"/>
      <c r="MK656" s="140"/>
      <c r="ML656" s="141">
        <f t="shared" si="1080"/>
        <v>142394.1756415898</v>
      </c>
    </row>
    <row r="657" spans="3:350" s="4" customFormat="1" ht="18" customHeight="1" x14ac:dyDescent="0.3">
      <c r="C657" s="136" t="s">
        <v>303</v>
      </c>
      <c r="E657" s="137" t="s">
        <v>105</v>
      </c>
      <c r="F657" s="186" t="s">
        <v>270</v>
      </c>
      <c r="H657" s="267"/>
      <c r="I657"/>
      <c r="J657"/>
      <c r="K657"/>
      <c r="L657"/>
      <c r="M657" s="140">
        <f t="shared" si="1076"/>
        <v>15821.575071287754</v>
      </c>
      <c r="N657" s="237"/>
      <c r="O657" s="237"/>
      <c r="P657" s="237"/>
      <c r="Q657" s="236"/>
      <c r="R657" s="140"/>
      <c r="S657" s="139"/>
      <c r="T657" s="140"/>
      <c r="U657" s="140"/>
      <c r="V657" s="140"/>
      <c r="W657" s="140"/>
      <c r="X657" s="140">
        <f t="shared" si="1068"/>
        <v>15821.575071287754</v>
      </c>
      <c r="Y657" s="140"/>
      <c r="Z657" s="140"/>
      <c r="AA657" s="140"/>
      <c r="AB657" s="140"/>
      <c r="AC657" s="140"/>
      <c r="AD657" s="140"/>
      <c r="AE657" s="140"/>
      <c r="AF657" s="140"/>
      <c r="AG657" s="140"/>
      <c r="AH657" s="140">
        <f t="shared" si="1069"/>
        <v>15821.575071287754</v>
      </c>
      <c r="AI657" s="140"/>
      <c r="AJ657" s="140"/>
      <c r="AK657" s="140"/>
      <c r="AL657" s="140"/>
      <c r="AM657" s="140"/>
      <c r="AN657" s="140"/>
      <c r="AO657" s="140"/>
      <c r="AP657" s="140"/>
      <c r="AQ657" s="140"/>
      <c r="AR657" s="140"/>
      <c r="AS657" s="140"/>
      <c r="AT657" s="140"/>
      <c r="AU657" s="140"/>
      <c r="AV657" s="140"/>
      <c r="AW657" s="140"/>
      <c r="AX657" s="140"/>
      <c r="AY657" s="140"/>
      <c r="AZ657" s="140"/>
      <c r="BA657" s="140"/>
      <c r="BB657" s="141">
        <f t="shared" si="1070"/>
        <v>15821.575071287754</v>
      </c>
      <c r="BC657" s="140"/>
      <c r="BD657" s="177"/>
      <c r="BE657" s="178"/>
      <c r="BF657" s="178"/>
      <c r="BG657" s="178"/>
      <c r="BH657" s="178"/>
      <c r="BI657" s="219"/>
      <c r="BJ657" s="234"/>
      <c r="BK657" s="234"/>
      <c r="BL657" s="234"/>
      <c r="BM657" s="234"/>
      <c r="BN657" s="234"/>
      <c r="BO657" s="234"/>
      <c r="BP657" s="234"/>
      <c r="BQ657" s="234"/>
      <c r="BR657" s="234"/>
      <c r="BS657" s="234"/>
      <c r="BT657" s="234"/>
      <c r="BU657" s="234"/>
      <c r="BV657" s="234"/>
      <c r="BW657" s="234"/>
      <c r="BX657" s="234"/>
      <c r="BY657" s="234"/>
      <c r="BZ657" s="234"/>
      <c r="CA657" s="234"/>
      <c r="CB657" s="234"/>
      <c r="CC657" s="234"/>
      <c r="CD657" s="234"/>
      <c r="CE657" s="234"/>
      <c r="CF657" s="234"/>
      <c r="CG657" s="234"/>
      <c r="CH657" s="234"/>
      <c r="CI657" s="234"/>
      <c r="CJ657" s="234"/>
      <c r="CK657" s="234"/>
      <c r="CL657" s="234"/>
      <c r="CM657" s="189"/>
      <c r="CN657" s="140"/>
      <c r="CO657" s="177"/>
      <c r="CP657" s="178"/>
      <c r="CQ657" s="178"/>
      <c r="CR657" s="178"/>
      <c r="CS657" s="178"/>
      <c r="CT657" s="219"/>
      <c r="CU657" s="234"/>
      <c r="CV657" s="234"/>
      <c r="CW657" s="234"/>
      <c r="CX657" s="234"/>
      <c r="CY657" s="234"/>
      <c r="CZ657" s="234"/>
      <c r="DA657" s="234"/>
      <c r="DB657" s="234"/>
      <c r="DC657" s="234"/>
      <c r="DD657" s="234"/>
      <c r="DE657" s="234"/>
      <c r="DF657" s="234"/>
      <c r="DG657" s="234"/>
      <c r="DH657" s="234"/>
      <c r="DI657" s="234"/>
      <c r="DJ657" s="234"/>
      <c r="DK657" s="234"/>
      <c r="DL657" s="234"/>
      <c r="DM657" s="234"/>
      <c r="DN657" s="234"/>
      <c r="DO657" s="234"/>
      <c r="DP657" s="234"/>
      <c r="DQ657" s="234"/>
      <c r="DR657" s="234"/>
      <c r="DS657" s="234"/>
      <c r="DT657" s="234"/>
      <c r="DU657" s="234"/>
      <c r="DV657" s="234"/>
      <c r="DW657" s="234"/>
      <c r="DX657" s="189"/>
      <c r="DY657" s="140"/>
      <c r="DZ657" s="177"/>
      <c r="EA657" s="178"/>
      <c r="EB657" s="178"/>
      <c r="EC657" s="178"/>
      <c r="ED657" s="178"/>
      <c r="EE657" s="219"/>
      <c r="EF657" s="234"/>
      <c r="EG657" s="234"/>
      <c r="EH657" s="234"/>
      <c r="EI657" s="234"/>
      <c r="EJ657" s="234"/>
      <c r="EK657" s="234"/>
      <c r="EL657" s="234"/>
      <c r="EM657" s="234"/>
      <c r="EN657" s="234"/>
      <c r="EO657" s="234"/>
      <c r="EP657" s="234"/>
      <c r="EQ657" s="234"/>
      <c r="ER657" s="234"/>
      <c r="ES657" s="234"/>
      <c r="ET657" s="234"/>
      <c r="EU657" s="234"/>
      <c r="EV657" s="234"/>
      <c r="EW657" s="234"/>
      <c r="EX657" s="234"/>
      <c r="EY657" s="234"/>
      <c r="EZ657" s="234"/>
      <c r="FA657" s="234"/>
      <c r="FB657" s="234"/>
      <c r="FC657" s="234"/>
      <c r="FD657" s="234"/>
      <c r="FE657" s="234"/>
      <c r="FF657" s="234"/>
      <c r="FG657" s="234"/>
      <c r="FH657" s="234"/>
      <c r="FI657" s="189"/>
      <c r="FJ657" s="140"/>
      <c r="FK657" s="177"/>
      <c r="FL657" s="178"/>
      <c r="FM657" s="178"/>
      <c r="FN657" s="178"/>
      <c r="FO657" s="178"/>
      <c r="FP657" s="219"/>
      <c r="FQ657" s="234"/>
      <c r="FR657" s="234"/>
      <c r="FS657" s="234"/>
      <c r="FT657" s="234"/>
      <c r="FU657" s="234"/>
      <c r="FV657" s="234"/>
      <c r="FW657" s="234"/>
      <c r="FX657" s="234"/>
      <c r="FY657" s="234"/>
      <c r="FZ657" s="234"/>
      <c r="GA657" s="234"/>
      <c r="GB657" s="234"/>
      <c r="GC657" s="234"/>
      <c r="GD657" s="234"/>
      <c r="GE657" s="234"/>
      <c r="GF657" s="234"/>
      <c r="GG657" s="234"/>
      <c r="GH657" s="234"/>
      <c r="GI657" s="234"/>
      <c r="GJ657" s="234"/>
      <c r="GK657" s="234"/>
      <c r="GL657" s="234"/>
      <c r="GM657" s="234"/>
      <c r="GN657" s="234"/>
      <c r="GO657" s="234"/>
      <c r="GP657" s="234"/>
      <c r="GQ657" s="234"/>
      <c r="GR657" s="234"/>
      <c r="GS657" s="234"/>
      <c r="GT657" s="189"/>
      <c r="GU657" s="140"/>
      <c r="GV657" s="177"/>
      <c r="GW657" s="178"/>
      <c r="GX657" s="178"/>
      <c r="GY657" s="178"/>
      <c r="GZ657" s="178"/>
      <c r="HA657" s="219"/>
      <c r="HB657" s="234"/>
      <c r="HC657" s="234"/>
      <c r="HD657" s="234"/>
      <c r="HE657" s="234"/>
      <c r="HF657" s="234"/>
      <c r="HG657" s="234"/>
      <c r="HH657" s="234"/>
      <c r="HI657" s="234"/>
      <c r="HJ657" s="234"/>
      <c r="HK657" s="234"/>
      <c r="HL657" s="234"/>
      <c r="HM657" s="234"/>
      <c r="HN657" s="234"/>
      <c r="HO657" s="234"/>
      <c r="HP657" s="234"/>
      <c r="HQ657" s="234"/>
      <c r="HR657" s="234"/>
      <c r="HS657" s="234"/>
      <c r="HT657" s="234"/>
      <c r="HU657" s="234"/>
      <c r="HV657" s="234"/>
      <c r="HW657" s="234"/>
      <c r="HX657" s="234"/>
      <c r="HY657" s="234"/>
      <c r="HZ657" s="234"/>
      <c r="IA657" s="234"/>
      <c r="IB657" s="234"/>
      <c r="IC657" s="234"/>
      <c r="ID657" s="234"/>
      <c r="IE657" s="189"/>
      <c r="IF657" s="140"/>
      <c r="IG657" s="139"/>
      <c r="IH657" s="140"/>
      <c r="II657" s="140"/>
      <c r="IJ657" s="140"/>
      <c r="IK657" s="140"/>
      <c r="IL657" s="140">
        <f t="shared" si="1071"/>
        <v>15821.575071287754</v>
      </c>
      <c r="IM657" s="140"/>
      <c r="IN657" s="303" t="s">
        <v>304</v>
      </c>
      <c r="IO657" s="140"/>
      <c r="IP657" s="140"/>
      <c r="IQ657" s="140"/>
      <c r="IR657" s="140"/>
      <c r="IS657" s="140"/>
      <c r="IT657" s="140"/>
      <c r="IU657" s="140"/>
      <c r="IV657" s="140">
        <f t="shared" si="1072"/>
        <v>15821.575071287754</v>
      </c>
      <c r="IW657" s="140"/>
      <c r="IX657" s="303" t="s">
        <v>304</v>
      </c>
      <c r="IY657" s="140"/>
      <c r="IZ657" s="140"/>
      <c r="JA657" s="140"/>
      <c r="JB657" s="140"/>
      <c r="JC657" s="140"/>
      <c r="JD657" s="140"/>
      <c r="JE657" s="140"/>
      <c r="JF657" s="140"/>
      <c r="JG657" s="140"/>
      <c r="JH657" s="140"/>
      <c r="JI657" s="140"/>
      <c r="JJ657" s="140"/>
      <c r="JK657" s="140"/>
      <c r="JL657" s="140"/>
      <c r="JM657" s="140"/>
      <c r="JN657" s="140"/>
      <c r="JO657" s="140"/>
      <c r="JP657" s="141">
        <f t="shared" si="1073"/>
        <v>15821.575071287754</v>
      </c>
      <c r="JQ657" s="140"/>
      <c r="JR657" s="139"/>
      <c r="JS657" s="140"/>
      <c r="JT657" s="140"/>
      <c r="JU657" s="140"/>
      <c r="JV657" s="140"/>
      <c r="JW657" s="140">
        <f t="shared" si="1074"/>
        <v>15821.575071287754</v>
      </c>
      <c r="JX657" s="140"/>
      <c r="JY657" s="303" t="s">
        <v>304</v>
      </c>
      <c r="JZ657" s="140"/>
      <c r="KA657" s="140"/>
      <c r="KB657" s="140"/>
      <c r="KC657" s="140"/>
      <c r="KD657" s="140"/>
      <c r="KE657" s="140"/>
      <c r="KF657" s="140"/>
      <c r="KG657" s="140">
        <f t="shared" si="1081"/>
        <v>19776.968839109693</v>
      </c>
      <c r="KH657" s="140"/>
      <c r="KI657" s="303" t="s">
        <v>304</v>
      </c>
      <c r="KJ657" s="140"/>
      <c r="KK657" s="140"/>
      <c r="KL657" s="140"/>
      <c r="KM657" s="140"/>
      <c r="KN657" s="140"/>
      <c r="KO657" s="140"/>
      <c r="KP657" s="140"/>
      <c r="KQ657" s="140"/>
      <c r="KR657" s="140"/>
      <c r="KS657" s="140"/>
      <c r="KT657" s="140"/>
      <c r="KU657" s="140"/>
      <c r="KV657" s="140"/>
      <c r="KW657" s="140"/>
      <c r="KX657" s="140"/>
      <c r="KY657" s="303" t="s">
        <v>304</v>
      </c>
      <c r="KZ657" s="140"/>
      <c r="LA657" s="141">
        <f t="shared" si="1075"/>
        <v>23732.362606931631</v>
      </c>
      <c r="LB657" s="140"/>
      <c r="LC657" s="139"/>
      <c r="LD657" s="140"/>
      <c r="LE657" s="140"/>
      <c r="LF657" s="140"/>
      <c r="LG657" s="140"/>
      <c r="LH657" s="140">
        <f t="shared" si="1077"/>
        <v>15821.575071287754</v>
      </c>
      <c r="LI657" s="140"/>
      <c r="LJ657" s="140"/>
      <c r="LK657" s="140"/>
      <c r="LL657" s="140"/>
      <c r="LM657" s="140"/>
      <c r="LN657" s="140"/>
      <c r="LO657" s="140"/>
      <c r="LP657" s="140"/>
      <c r="LQ657" s="140"/>
      <c r="LR657" s="140">
        <f t="shared" si="1078"/>
        <v>27687.756374753571</v>
      </c>
      <c r="LS657" s="140"/>
      <c r="LT657" s="140"/>
      <c r="LU657" s="140"/>
      <c r="LV657" s="140"/>
      <c r="LW657" s="140"/>
      <c r="LX657" s="140"/>
      <c r="LY657" s="140"/>
      <c r="LZ657" s="140"/>
      <c r="MA657" s="140"/>
      <c r="MB657" s="140">
        <f t="shared" si="1079"/>
        <v>27687.756374753571</v>
      </c>
      <c r="MC657" s="140"/>
      <c r="MD657" s="140"/>
      <c r="ME657" s="140"/>
      <c r="MF657" s="140"/>
      <c r="MG657" s="140"/>
      <c r="MH657" s="140"/>
      <c r="MI657" s="140"/>
      <c r="MJ657" s="140"/>
      <c r="MK657" s="140"/>
      <c r="ML657" s="141">
        <f t="shared" si="1080"/>
        <v>39553.937678219387</v>
      </c>
    </row>
    <row r="658" spans="3:350" s="4" customFormat="1" ht="18" customHeight="1" x14ac:dyDescent="0.3">
      <c r="C658" s="204" t="s">
        <v>305</v>
      </c>
      <c r="E658" s="1"/>
      <c r="F658" s="138"/>
      <c r="H658" s="267"/>
      <c r="I658"/>
      <c r="J658"/>
      <c r="K658"/>
      <c r="M658" s="66"/>
      <c r="N658" s="66"/>
      <c r="O658" s="1"/>
      <c r="P658" s="237"/>
      <c r="Q658" s="138"/>
      <c r="S658" s="245"/>
      <c r="T658" s="1"/>
      <c r="U658" s="1"/>
      <c r="V658" s="1"/>
      <c r="W658" s="1"/>
      <c r="X658" s="66"/>
      <c r="Y658" s="1"/>
      <c r="Z658" s="1"/>
      <c r="AA658" s="1"/>
      <c r="AB658" s="1"/>
      <c r="AC658" s="1"/>
      <c r="AD658" s="1"/>
      <c r="AE658" s="1"/>
      <c r="AF658" s="1"/>
      <c r="AG658" s="1"/>
      <c r="AH658" s="66"/>
      <c r="AI658" s="1"/>
      <c r="AJ658" s="1"/>
      <c r="AK658" s="1"/>
      <c r="AL658" s="1"/>
      <c r="AM658" s="1"/>
      <c r="AN658" s="1"/>
      <c r="AO658" s="1"/>
      <c r="AP658" s="1"/>
      <c r="AQ658" s="1"/>
      <c r="AR658" s="1"/>
      <c r="AS658" s="1"/>
      <c r="AT658" s="1"/>
      <c r="AU658" s="1"/>
      <c r="AV658" s="1"/>
      <c r="AW658" s="1"/>
      <c r="AX658" s="1"/>
      <c r="AY658" s="1"/>
      <c r="AZ658" s="1"/>
      <c r="BA658" s="1"/>
      <c r="BB658" s="268"/>
      <c r="BD658" s="245"/>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38"/>
      <c r="CO658" s="245"/>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38"/>
      <c r="DZ658" s="245"/>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38"/>
      <c r="FK658" s="245"/>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38"/>
      <c r="GV658" s="245"/>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38"/>
      <c r="IG658" s="245"/>
      <c r="IH658" s="1"/>
      <c r="II658" s="1"/>
      <c r="IJ658" s="1"/>
      <c r="IK658" s="1"/>
      <c r="IL658" s="66"/>
      <c r="IM658" s="1"/>
      <c r="IN658" s="304" t="s">
        <v>306</v>
      </c>
      <c r="IO658" s="305" t="s">
        <v>307</v>
      </c>
      <c r="IP658" s="1"/>
      <c r="IQ658" s="1"/>
      <c r="IR658" s="1"/>
      <c r="IS658" s="1"/>
      <c r="IT658" s="1"/>
      <c r="IU658" s="1"/>
      <c r="IV658" s="66"/>
      <c r="IW658" s="1"/>
      <c r="IX658" s="304" t="s">
        <v>306</v>
      </c>
      <c r="IY658" s="305" t="s">
        <v>307</v>
      </c>
      <c r="IZ658" s="1"/>
      <c r="JA658" s="1"/>
      <c r="JB658" s="1"/>
      <c r="JC658" s="1"/>
      <c r="JD658" s="1"/>
      <c r="JE658" s="1"/>
      <c r="JF658" s="1"/>
      <c r="JG658" s="1"/>
      <c r="JH658" s="1"/>
      <c r="JI658" s="1"/>
      <c r="JJ658" s="1"/>
      <c r="JK658" s="1"/>
      <c r="JL658" s="1"/>
      <c r="JM658" s="1"/>
      <c r="JN658" s="1"/>
      <c r="JO658" s="1"/>
      <c r="JP658" s="268"/>
      <c r="JR658" s="245"/>
      <c r="JS658" s="1"/>
      <c r="JT658" s="1"/>
      <c r="JU658" s="1"/>
      <c r="JV658" s="1"/>
      <c r="JW658" s="66"/>
      <c r="JX658" s="1"/>
      <c r="JY658" s="304" t="s">
        <v>306</v>
      </c>
      <c r="JZ658" s="305" t="s">
        <v>307</v>
      </c>
      <c r="KA658" s="1"/>
      <c r="KB658" s="1"/>
      <c r="KC658" s="1"/>
      <c r="KD658" s="1"/>
      <c r="KE658" s="1"/>
      <c r="KF658" s="1"/>
      <c r="KG658" s="66"/>
      <c r="KH658" s="1"/>
      <c r="KI658" s="304" t="s">
        <v>306</v>
      </c>
      <c r="KJ658" s="305" t="s">
        <v>307</v>
      </c>
      <c r="KK658" s="1"/>
      <c r="KL658" s="1"/>
      <c r="KM658" s="1"/>
      <c r="KN658" s="1"/>
      <c r="KO658" s="1"/>
      <c r="KP658" s="1"/>
      <c r="KQ658" s="1"/>
      <c r="KR658" s="1"/>
      <c r="KS658" s="1"/>
      <c r="KT658" s="1"/>
      <c r="KU658" s="1"/>
      <c r="KV658" s="1"/>
      <c r="KW658" s="305" t="s">
        <v>307</v>
      </c>
      <c r="KX658" s="1"/>
      <c r="KY658" s="304" t="s">
        <v>306</v>
      </c>
      <c r="KZ658" s="1"/>
      <c r="LA658" s="268"/>
      <c r="LC658" s="245"/>
      <c r="LD658" s="1"/>
      <c r="LE658" s="1"/>
      <c r="LF658" s="1"/>
      <c r="LG658" s="1"/>
      <c r="LH658" s="66"/>
      <c r="LI658" s="1"/>
      <c r="LJ658" s="1"/>
      <c r="LK658" s="1"/>
      <c r="LL658" s="1"/>
      <c r="LM658" s="1"/>
      <c r="LN658" s="1"/>
      <c r="LO658" s="1"/>
      <c r="LP658" s="1"/>
      <c r="LQ658" s="1"/>
      <c r="LR658" s="66"/>
      <c r="LS658" s="1"/>
      <c r="LT658" s="1"/>
      <c r="LU658" s="1"/>
      <c r="LV658" s="1"/>
      <c r="LW658" s="1"/>
      <c r="LX658" s="1"/>
      <c r="LY658" s="1"/>
      <c r="LZ658" s="1"/>
      <c r="MA658" s="1"/>
      <c r="MB658" s="66"/>
      <c r="MC658" s="1"/>
      <c r="MD658" s="1"/>
      <c r="ME658" s="1"/>
      <c r="MF658" s="1"/>
      <c r="MG658" s="1"/>
      <c r="MH658" s="1"/>
      <c r="MI658" s="1"/>
      <c r="MJ658" s="1"/>
      <c r="MK658" s="1"/>
      <c r="ML658" s="268"/>
    </row>
    <row r="659" spans="3:350" s="4" customFormat="1" ht="18" customHeight="1" x14ac:dyDescent="0.3">
      <c r="C659" s="136" t="s">
        <v>298</v>
      </c>
      <c r="E659" s="137" t="s">
        <v>308</v>
      </c>
      <c r="F659" s="186" t="s">
        <v>256</v>
      </c>
      <c r="H659" s="267"/>
      <c r="I659"/>
      <c r="J659"/>
      <c r="K659"/>
      <c r="M659" s="306">
        <f>SUMIFS(M$512:M$613,L$512:L$613,$F659)</f>
        <v>48.284948974137933</v>
      </c>
      <c r="N659" s="307">
        <v>48.002624684443475</v>
      </c>
      <c r="O659" s="1"/>
      <c r="P659" s="237"/>
      <c r="Q659" s="236"/>
      <c r="R659" s="140"/>
      <c r="S659" s="139"/>
      <c r="T659" s="140"/>
      <c r="U659" s="140"/>
      <c r="V659" s="140"/>
      <c r="W659" s="140"/>
      <c r="X659" s="296">
        <f>SUMIFS(X$512:X$613,W$512:W$613,$F659)</f>
        <v>48.284948974137933</v>
      </c>
      <c r="Y659" s="140"/>
      <c r="Z659" s="140"/>
      <c r="AA659" s="140"/>
      <c r="AB659" s="140"/>
      <c r="AC659" s="140"/>
      <c r="AD659" s="140"/>
      <c r="AE659" s="140"/>
      <c r="AF659" s="140"/>
      <c r="AG659" s="140"/>
      <c r="AH659" s="296">
        <f>SUMIFS(AH$512:AH$613,AG$512:AG$613,$F659)</f>
        <v>48.284948974137933</v>
      </c>
      <c r="AI659" s="140"/>
      <c r="AJ659" s="140"/>
      <c r="AK659" s="140"/>
      <c r="AL659" s="140"/>
      <c r="AM659" s="140"/>
      <c r="AN659" s="140"/>
      <c r="AO659" s="140"/>
      <c r="AP659" s="140"/>
      <c r="AQ659" s="140"/>
      <c r="AR659" s="140"/>
      <c r="AS659" s="140"/>
      <c r="AT659" s="140"/>
      <c r="AU659" s="140"/>
      <c r="AV659" s="140"/>
      <c r="AW659" s="140"/>
      <c r="AX659" s="140"/>
      <c r="AY659" s="140"/>
      <c r="AZ659" s="140"/>
      <c r="BA659" s="140"/>
      <c r="BB659" s="308">
        <f>SUMIFS(BB$512:BB$613,BA$512:BA$613,$F659)</f>
        <v>48.284948974137933</v>
      </c>
      <c r="BC659" s="140"/>
      <c r="BD659" s="139"/>
      <c r="BE659" s="140"/>
      <c r="BF659" s="140"/>
      <c r="BG659" s="140"/>
      <c r="BH659" s="140"/>
      <c r="BI659" s="219"/>
      <c r="BJ659" s="234"/>
      <c r="BK659" s="234"/>
      <c r="BL659" s="234"/>
      <c r="BM659" s="234"/>
      <c r="BN659" s="234"/>
      <c r="BO659" s="234"/>
      <c r="BP659" s="234"/>
      <c r="BQ659" s="234"/>
      <c r="BR659" s="234"/>
      <c r="BS659" s="234"/>
      <c r="BT659" s="234"/>
      <c r="BU659" s="234"/>
      <c r="BV659" s="234"/>
      <c r="BW659" s="234"/>
      <c r="BX659" s="234"/>
      <c r="BY659" s="234"/>
      <c r="BZ659" s="234"/>
      <c r="CA659" s="234"/>
      <c r="CB659" s="234"/>
      <c r="CC659" s="234"/>
      <c r="CD659" s="234"/>
      <c r="CE659" s="234"/>
      <c r="CF659" s="234"/>
      <c r="CG659" s="234"/>
      <c r="CH659" s="234"/>
      <c r="CI659" s="234"/>
      <c r="CJ659" s="234"/>
      <c r="CK659" s="234"/>
      <c r="CL659" s="234"/>
      <c r="CM659" s="189"/>
      <c r="CN659" s="140"/>
      <c r="CO659" s="139"/>
      <c r="CP659" s="140"/>
      <c r="CQ659" s="140"/>
      <c r="CR659" s="140"/>
      <c r="CS659" s="140"/>
      <c r="CT659" s="219"/>
      <c r="CU659" s="234"/>
      <c r="CV659" s="234"/>
      <c r="CW659" s="234"/>
      <c r="CX659" s="234"/>
      <c r="CY659" s="234"/>
      <c r="CZ659" s="234"/>
      <c r="DA659" s="234"/>
      <c r="DB659" s="234"/>
      <c r="DC659" s="234"/>
      <c r="DD659" s="234"/>
      <c r="DE659" s="234"/>
      <c r="DF659" s="234"/>
      <c r="DG659" s="234"/>
      <c r="DH659" s="234"/>
      <c r="DI659" s="234"/>
      <c r="DJ659" s="234"/>
      <c r="DK659" s="234"/>
      <c r="DL659" s="234"/>
      <c r="DM659" s="234"/>
      <c r="DN659" s="234"/>
      <c r="DO659" s="234"/>
      <c r="DP659" s="234"/>
      <c r="DQ659" s="234"/>
      <c r="DR659" s="234"/>
      <c r="DS659" s="234"/>
      <c r="DT659" s="234"/>
      <c r="DU659" s="234"/>
      <c r="DV659" s="234"/>
      <c r="DW659" s="234"/>
      <c r="DX659" s="189"/>
      <c r="DY659" s="140"/>
      <c r="DZ659" s="139"/>
      <c r="EA659" s="140"/>
      <c r="EB659" s="140"/>
      <c r="EC659" s="140"/>
      <c r="ED659" s="140"/>
      <c r="EE659" s="219"/>
      <c r="EF659" s="234"/>
      <c r="EG659" s="234"/>
      <c r="EH659" s="234"/>
      <c r="EI659" s="234"/>
      <c r="EJ659" s="234"/>
      <c r="EK659" s="234"/>
      <c r="EL659" s="234"/>
      <c r="EM659" s="234"/>
      <c r="EN659" s="234"/>
      <c r="EO659" s="234"/>
      <c r="EP659" s="234"/>
      <c r="EQ659" s="234"/>
      <c r="ER659" s="234"/>
      <c r="ES659" s="234"/>
      <c r="ET659" s="234"/>
      <c r="EU659" s="234"/>
      <c r="EV659" s="234"/>
      <c r="EW659" s="234"/>
      <c r="EX659" s="234"/>
      <c r="EY659" s="234"/>
      <c r="EZ659" s="234"/>
      <c r="FA659" s="234"/>
      <c r="FB659" s="234"/>
      <c r="FC659" s="234"/>
      <c r="FD659" s="234"/>
      <c r="FE659" s="234"/>
      <c r="FF659" s="234"/>
      <c r="FG659" s="234"/>
      <c r="FH659" s="234"/>
      <c r="FI659" s="189"/>
      <c r="FJ659" s="140"/>
      <c r="FK659" s="139"/>
      <c r="FL659" s="140"/>
      <c r="FM659" s="140"/>
      <c r="FN659" s="140"/>
      <c r="FO659" s="140"/>
      <c r="FP659" s="219"/>
      <c r="FQ659" s="234"/>
      <c r="FR659" s="234"/>
      <c r="FS659" s="234"/>
      <c r="FT659" s="234"/>
      <c r="FU659" s="234"/>
      <c r="FV659" s="234"/>
      <c r="FW659" s="234"/>
      <c r="FX659" s="234"/>
      <c r="FY659" s="234"/>
      <c r="FZ659" s="234"/>
      <c r="GA659" s="234"/>
      <c r="GB659" s="234"/>
      <c r="GC659" s="234"/>
      <c r="GD659" s="234"/>
      <c r="GE659" s="234"/>
      <c r="GF659" s="234"/>
      <c r="GG659" s="234"/>
      <c r="GH659" s="234"/>
      <c r="GI659" s="234"/>
      <c r="GJ659" s="234"/>
      <c r="GK659" s="234"/>
      <c r="GL659" s="234"/>
      <c r="GM659" s="234"/>
      <c r="GN659" s="234"/>
      <c r="GO659" s="234"/>
      <c r="GP659" s="234"/>
      <c r="GQ659" s="234"/>
      <c r="GR659" s="234"/>
      <c r="GS659" s="234"/>
      <c r="GT659" s="189"/>
      <c r="GU659" s="140"/>
      <c r="GV659" s="139"/>
      <c r="GW659" s="140"/>
      <c r="GX659" s="140"/>
      <c r="GY659" s="140"/>
      <c r="GZ659" s="140"/>
      <c r="HA659" s="219"/>
      <c r="HB659" s="234"/>
      <c r="HC659" s="234"/>
      <c r="HD659" s="234"/>
      <c r="HE659" s="234"/>
      <c r="HF659" s="234"/>
      <c r="HG659" s="234"/>
      <c r="HH659" s="234"/>
      <c r="HI659" s="234"/>
      <c r="HJ659" s="234"/>
      <c r="HK659" s="234"/>
      <c r="HL659" s="234"/>
      <c r="HM659" s="234"/>
      <c r="HN659" s="234"/>
      <c r="HO659" s="234"/>
      <c r="HP659" s="234"/>
      <c r="HQ659" s="234"/>
      <c r="HR659" s="234"/>
      <c r="HS659" s="234"/>
      <c r="HT659" s="234"/>
      <c r="HU659" s="234"/>
      <c r="HV659" s="234"/>
      <c r="HW659" s="234"/>
      <c r="HX659" s="234"/>
      <c r="HY659" s="234"/>
      <c r="HZ659" s="234"/>
      <c r="IA659" s="234"/>
      <c r="IB659" s="234"/>
      <c r="IC659" s="234"/>
      <c r="ID659" s="234"/>
      <c r="IE659" s="189"/>
      <c r="IF659" s="140"/>
      <c r="IG659" s="139"/>
      <c r="IH659" s="140"/>
      <c r="II659" s="140"/>
      <c r="IJ659" s="140"/>
      <c r="IK659" s="140"/>
      <c r="IL659" s="296">
        <f t="shared" ref="IL659:IL666" si="1082">SUMIFS(IL$512:IL$613,IK$512:IK$613,$F659)</f>
        <v>48.284948974137933</v>
      </c>
      <c r="IM659" s="140"/>
      <c r="IN659" s="309">
        <v>55.781687621801701</v>
      </c>
      <c r="IO659" s="310">
        <f t="shared" ref="IO659:IO666" si="1083">IL659/IN659</f>
        <v>0.86560573967407639</v>
      </c>
      <c r="IP659" s="140"/>
      <c r="IQ659" s="140"/>
      <c r="IR659" s="140"/>
      <c r="IS659" s="140"/>
      <c r="IT659" s="140"/>
      <c r="IU659" s="140"/>
      <c r="IV659" s="296">
        <f t="shared" ref="IV659:IV666" si="1084">SUMIFS(IV$512:IV$613,IU$512:IU$613,$F659)</f>
        <v>36.533265911319603</v>
      </c>
      <c r="IW659" s="140"/>
      <c r="IX659" s="309">
        <v>42.0024578226203</v>
      </c>
      <c r="IY659" s="310">
        <f t="shared" ref="IY659:IY667" si="1085">IV659/IX659</f>
        <v>0.86978876487662871</v>
      </c>
      <c r="IZ659" s="140"/>
      <c r="JA659" s="140"/>
      <c r="JB659" s="140"/>
      <c r="JC659" s="140"/>
      <c r="JD659" s="140"/>
      <c r="JE659" s="140"/>
      <c r="JF659" s="140"/>
      <c r="JG659" s="140"/>
      <c r="JH659" s="140"/>
      <c r="JI659" s="140"/>
      <c r="JJ659" s="140"/>
      <c r="JK659" s="140"/>
      <c r="JL659" s="140"/>
      <c r="JM659" s="140"/>
      <c r="JN659" s="140"/>
      <c r="JO659" s="140"/>
      <c r="JP659" s="308">
        <f t="shared" ref="JP659:JP666" si="1086">SUMIFS(JP$512:JP$613,JO$512:JO$613,$F659)</f>
        <v>48.284948974137933</v>
      </c>
      <c r="JQ659" s="140"/>
      <c r="JR659" s="139"/>
      <c r="JS659" s="140"/>
      <c r="JT659" s="140"/>
      <c r="JU659" s="140"/>
      <c r="JV659" s="140"/>
      <c r="JW659" s="296">
        <f t="shared" ref="JW659:JW666" si="1087">SUMIFS(JW$512:JW$613,JV$512:JV$613,$F659)</f>
        <v>48.284948974137933</v>
      </c>
      <c r="JX659" s="140"/>
      <c r="JY659" s="309">
        <v>55.781687621801701</v>
      </c>
      <c r="JZ659" s="310">
        <f t="shared" ref="JZ659:JZ666" si="1088">JW659/JY659</f>
        <v>0.86560573967407639</v>
      </c>
      <c r="KA659" s="140"/>
      <c r="KB659" s="140"/>
      <c r="KC659" s="140"/>
      <c r="KD659" s="140"/>
      <c r="KE659" s="140"/>
      <c r="KF659" s="140"/>
      <c r="KG659" s="296">
        <f>SUMIFS(KG$512:KG$613,KF$512:KF$613,$F659)</f>
        <v>35.169695954517827</v>
      </c>
      <c r="KH659" s="140"/>
      <c r="KI659" s="309">
        <v>38.700098102229802</v>
      </c>
      <c r="KJ659" s="310">
        <f t="shared" ref="KJ659:KJ667" si="1089">KG659/KI659</f>
        <v>0.90877536955110294</v>
      </c>
      <c r="KK659" s="140"/>
      <c r="KL659" s="140"/>
      <c r="KM659" s="140"/>
      <c r="KN659" s="140"/>
      <c r="KO659" s="140"/>
      <c r="KP659" s="140"/>
      <c r="KQ659" s="140"/>
      <c r="KR659" s="140"/>
      <c r="KS659" s="140"/>
      <c r="KT659" s="140"/>
      <c r="KU659" s="140"/>
      <c r="KV659" s="140"/>
      <c r="KW659" s="310">
        <f>LA659/KY659</f>
        <v>0.91000234809644343</v>
      </c>
      <c r="KX659" s="140"/>
      <c r="KY659" s="309">
        <v>4.008</v>
      </c>
      <c r="KZ659" s="140"/>
      <c r="LA659" s="308">
        <f t="shared" ref="LA659:LA666" si="1090">SUMIFS(LA$512:LA$613,KZ$512:KZ$613,$F659)</f>
        <v>3.6472894111705454</v>
      </c>
      <c r="LB659" s="140"/>
      <c r="LC659" s="139"/>
      <c r="LD659" s="140"/>
      <c r="LE659" s="140"/>
      <c r="LF659" s="140"/>
      <c r="LG659" s="140"/>
      <c r="LH659" s="296">
        <f t="shared" ref="LH659:LH666" si="1091">SUMIFS(LH$512:LH$613,LG$512:LG$613,$F659)</f>
        <v>48.284948974137933</v>
      </c>
      <c r="LI659" s="140"/>
      <c r="LJ659" s="140"/>
      <c r="LK659" s="140"/>
      <c r="LL659" s="140"/>
      <c r="LM659" s="140"/>
      <c r="LN659" s="140"/>
      <c r="LO659" s="140"/>
      <c r="LP659" s="140"/>
      <c r="LQ659" s="140"/>
      <c r="LR659" s="296">
        <f t="shared" ref="LR659:LR666" si="1092">SUMIFS(LR$512:LR$613,LQ$512:LQ$613,$F659)</f>
        <v>35.894157549887325</v>
      </c>
      <c r="LS659" s="140"/>
      <c r="LT659" s="140"/>
      <c r="LU659" s="140"/>
      <c r="LV659" s="140"/>
      <c r="LW659" s="140"/>
      <c r="LX659" s="140"/>
      <c r="LY659" s="140"/>
      <c r="LZ659" s="140"/>
      <c r="MA659" s="140"/>
      <c r="MB659" s="296">
        <f t="shared" ref="MB659:MB666" si="1093">SUMIFS(MB$512:MB$613,MA$512:MA$613,$F659)</f>
        <v>18.740239314701629</v>
      </c>
      <c r="MC659" s="140"/>
      <c r="MD659" s="140"/>
      <c r="ME659" s="140"/>
      <c r="MF659" s="140"/>
      <c r="MG659" s="140"/>
      <c r="MH659" s="140"/>
      <c r="MI659" s="140"/>
      <c r="MJ659" s="140"/>
      <c r="MK659" s="140"/>
      <c r="ML659" s="308">
        <f t="shared" ref="ML659:ML666" si="1094">SUMIFS(ML$512:ML$613,MK$512:MK$613,$F659)</f>
        <v>5.6208227226943341</v>
      </c>
    </row>
    <row r="660" spans="3:350" s="4" customFormat="1" ht="18" customHeight="1" x14ac:dyDescent="0.3">
      <c r="C660" s="136" t="s">
        <v>299</v>
      </c>
      <c r="E660" s="137" t="s">
        <v>105</v>
      </c>
      <c r="F660" s="186" t="s">
        <v>267</v>
      </c>
      <c r="H660" s="267"/>
      <c r="I660"/>
      <c r="J660"/>
      <c r="K660"/>
      <c r="M660" s="311">
        <f t="shared" ref="M660:M666" si="1095">SUMIFS(M$512:M$613,L$512:L$613,$F660)</f>
        <v>15.830364835216248</v>
      </c>
      <c r="N660" s="312">
        <v>16.547886498922388</v>
      </c>
      <c r="O660" s="1"/>
      <c r="P660" s="237"/>
      <c r="Q660" s="236"/>
      <c r="R660" s="140"/>
      <c r="S660" s="139"/>
      <c r="T660" s="140"/>
      <c r="U660" s="140"/>
      <c r="V660" s="140"/>
      <c r="W660" s="140"/>
      <c r="X660" s="296">
        <f t="shared" ref="X660:X666" si="1096">SUMIFS(X$512:X$613,W$512:W$613,$F660)</f>
        <v>15.830364835216248</v>
      </c>
      <c r="Y660" s="140"/>
      <c r="Z660" s="140"/>
      <c r="AA660" s="140"/>
      <c r="AB660" s="140"/>
      <c r="AC660" s="140"/>
      <c r="AD660" s="140"/>
      <c r="AE660" s="140"/>
      <c r="AF660" s="140"/>
      <c r="AG660" s="140"/>
      <c r="AH660" s="296">
        <f t="shared" ref="AH660:AH666" si="1097">SUMIFS(AH$512:AH$613,AG$512:AG$613,$F660)</f>
        <v>15.830364835216248</v>
      </c>
      <c r="AI660" s="140"/>
      <c r="AJ660" s="140"/>
      <c r="AK660" s="140"/>
      <c r="AL660" s="140"/>
      <c r="AM660" s="140"/>
      <c r="AN660" s="140"/>
      <c r="AO660" s="140"/>
      <c r="AP660" s="140"/>
      <c r="AQ660" s="140"/>
      <c r="AR660" s="140"/>
      <c r="AS660" s="140"/>
      <c r="AT660" s="140"/>
      <c r="AU660" s="140"/>
      <c r="AV660" s="140"/>
      <c r="AW660" s="140"/>
      <c r="AX660" s="140"/>
      <c r="AY660" s="140"/>
      <c r="AZ660" s="140"/>
      <c r="BA660" s="140"/>
      <c r="BB660" s="308">
        <f t="shared" ref="BB660:BB666" si="1098">SUMIFS(BB$512:BB$613,BA$512:BA$613,$F660)</f>
        <v>0</v>
      </c>
      <c r="BC660" s="140"/>
      <c r="BD660" s="139"/>
      <c r="BE660" s="140"/>
      <c r="BF660" s="140"/>
      <c r="BG660" s="140"/>
      <c r="BH660" s="140"/>
      <c r="BI660" s="219"/>
      <c r="BJ660" s="234"/>
      <c r="BK660" s="234"/>
      <c r="BL660" s="234"/>
      <c r="BM660" s="234"/>
      <c r="BN660" s="234"/>
      <c r="BO660" s="234"/>
      <c r="BP660" s="234"/>
      <c r="BQ660" s="234"/>
      <c r="BR660" s="234"/>
      <c r="BS660" s="234"/>
      <c r="BT660" s="234"/>
      <c r="BU660" s="234"/>
      <c r="BV660" s="234"/>
      <c r="BW660" s="234"/>
      <c r="BX660" s="234"/>
      <c r="BY660" s="234"/>
      <c r="BZ660" s="234"/>
      <c r="CA660" s="234"/>
      <c r="CB660" s="234"/>
      <c r="CC660" s="234"/>
      <c r="CD660" s="234"/>
      <c r="CE660" s="234"/>
      <c r="CF660" s="234"/>
      <c r="CG660" s="234"/>
      <c r="CH660" s="234"/>
      <c r="CI660" s="234"/>
      <c r="CJ660" s="234"/>
      <c r="CK660" s="234"/>
      <c r="CL660" s="234"/>
      <c r="CM660" s="189"/>
      <c r="CN660" s="140"/>
      <c r="CO660" s="139"/>
      <c r="CP660" s="140"/>
      <c r="CQ660" s="140"/>
      <c r="CR660" s="140"/>
      <c r="CS660" s="140"/>
      <c r="CT660" s="219"/>
      <c r="CU660" s="234"/>
      <c r="CV660" s="234"/>
      <c r="CW660" s="234"/>
      <c r="CX660" s="234"/>
      <c r="CY660" s="234"/>
      <c r="CZ660" s="234"/>
      <c r="DA660" s="234"/>
      <c r="DB660" s="234"/>
      <c r="DC660" s="234"/>
      <c r="DD660" s="234"/>
      <c r="DE660" s="234"/>
      <c r="DF660" s="234"/>
      <c r="DG660" s="234"/>
      <c r="DH660" s="234"/>
      <c r="DI660" s="234"/>
      <c r="DJ660" s="234"/>
      <c r="DK660" s="234"/>
      <c r="DL660" s="234"/>
      <c r="DM660" s="234"/>
      <c r="DN660" s="234"/>
      <c r="DO660" s="234"/>
      <c r="DP660" s="234"/>
      <c r="DQ660" s="234"/>
      <c r="DR660" s="234"/>
      <c r="DS660" s="234"/>
      <c r="DT660" s="234"/>
      <c r="DU660" s="234"/>
      <c r="DV660" s="234"/>
      <c r="DW660" s="234"/>
      <c r="DX660" s="189"/>
      <c r="DY660" s="140"/>
      <c r="DZ660" s="139"/>
      <c r="EA660" s="140"/>
      <c r="EB660" s="140"/>
      <c r="EC660" s="140"/>
      <c r="ED660" s="140"/>
      <c r="EE660" s="219"/>
      <c r="EF660" s="234"/>
      <c r="EG660" s="234"/>
      <c r="EH660" s="234"/>
      <c r="EI660" s="234"/>
      <c r="EJ660" s="234"/>
      <c r="EK660" s="234"/>
      <c r="EL660" s="234"/>
      <c r="EM660" s="234"/>
      <c r="EN660" s="234"/>
      <c r="EO660" s="234"/>
      <c r="EP660" s="234"/>
      <c r="EQ660" s="234"/>
      <c r="ER660" s="234"/>
      <c r="ES660" s="234"/>
      <c r="ET660" s="234"/>
      <c r="EU660" s="234"/>
      <c r="EV660" s="234"/>
      <c r="EW660" s="234"/>
      <c r="EX660" s="234"/>
      <c r="EY660" s="234"/>
      <c r="EZ660" s="234"/>
      <c r="FA660" s="234"/>
      <c r="FB660" s="234"/>
      <c r="FC660" s="234"/>
      <c r="FD660" s="234"/>
      <c r="FE660" s="234"/>
      <c r="FF660" s="234"/>
      <c r="FG660" s="234"/>
      <c r="FH660" s="234"/>
      <c r="FI660" s="189"/>
      <c r="FJ660" s="140"/>
      <c r="FK660" s="139"/>
      <c r="FL660" s="140"/>
      <c r="FM660" s="140"/>
      <c r="FN660" s="140"/>
      <c r="FO660" s="140"/>
      <c r="FP660" s="219"/>
      <c r="FQ660" s="234"/>
      <c r="FR660" s="234"/>
      <c r="FS660" s="234"/>
      <c r="FT660" s="234"/>
      <c r="FU660" s="234"/>
      <c r="FV660" s="234"/>
      <c r="FW660" s="234"/>
      <c r="FX660" s="234"/>
      <c r="FY660" s="234"/>
      <c r="FZ660" s="234"/>
      <c r="GA660" s="234"/>
      <c r="GB660" s="234"/>
      <c r="GC660" s="234"/>
      <c r="GD660" s="234"/>
      <c r="GE660" s="234"/>
      <c r="GF660" s="234"/>
      <c r="GG660" s="234"/>
      <c r="GH660" s="234"/>
      <c r="GI660" s="234"/>
      <c r="GJ660" s="234"/>
      <c r="GK660" s="234"/>
      <c r="GL660" s="234"/>
      <c r="GM660" s="234"/>
      <c r="GN660" s="234"/>
      <c r="GO660" s="234"/>
      <c r="GP660" s="234"/>
      <c r="GQ660" s="234"/>
      <c r="GR660" s="234"/>
      <c r="GS660" s="234"/>
      <c r="GT660" s="189"/>
      <c r="GU660" s="140"/>
      <c r="GV660" s="139"/>
      <c r="GW660" s="140"/>
      <c r="GX660" s="140"/>
      <c r="GY660" s="140"/>
      <c r="GZ660" s="140"/>
      <c r="HA660" s="219"/>
      <c r="HB660" s="234"/>
      <c r="HC660" s="234"/>
      <c r="HD660" s="234"/>
      <c r="HE660" s="234"/>
      <c r="HF660" s="234"/>
      <c r="HG660" s="234"/>
      <c r="HH660" s="234"/>
      <c r="HI660" s="234"/>
      <c r="HJ660" s="234"/>
      <c r="HK660" s="234"/>
      <c r="HL660" s="234"/>
      <c r="HM660" s="234"/>
      <c r="HN660" s="234"/>
      <c r="HO660" s="234"/>
      <c r="HP660" s="234"/>
      <c r="HQ660" s="234"/>
      <c r="HR660" s="234"/>
      <c r="HS660" s="234"/>
      <c r="HT660" s="234"/>
      <c r="HU660" s="234"/>
      <c r="HV660" s="234"/>
      <c r="HW660" s="234"/>
      <c r="HX660" s="234"/>
      <c r="HY660" s="234"/>
      <c r="HZ660" s="234"/>
      <c r="IA660" s="234"/>
      <c r="IB660" s="234"/>
      <c r="IC660" s="234"/>
      <c r="ID660" s="234"/>
      <c r="IE660" s="189"/>
      <c r="IF660" s="140"/>
      <c r="IG660" s="139"/>
      <c r="IH660" s="140"/>
      <c r="II660" s="140"/>
      <c r="IJ660" s="140"/>
      <c r="IK660" s="140"/>
      <c r="IL660" s="296">
        <f t="shared" si="1082"/>
        <v>15.830364835216248</v>
      </c>
      <c r="IM660" s="140"/>
      <c r="IN660" s="309">
        <v>17.616951122329301</v>
      </c>
      <c r="IO660" s="310">
        <f t="shared" si="1083"/>
        <v>0.89858708951922028</v>
      </c>
      <c r="IP660" s="140"/>
      <c r="IQ660" s="140"/>
      <c r="IR660" s="140"/>
      <c r="IS660" s="140"/>
      <c r="IT660" s="140"/>
      <c r="IU660" s="140"/>
      <c r="IV660" s="296">
        <f t="shared" si="1084"/>
        <v>10.279628914372793</v>
      </c>
      <c r="IW660" s="140"/>
      <c r="IX660" s="309">
        <v>11.297468250807601</v>
      </c>
      <c r="IY660" s="310">
        <f t="shared" si="1085"/>
        <v>0.90990553690097364</v>
      </c>
      <c r="IZ660" s="140"/>
      <c r="JA660" s="140"/>
      <c r="JB660" s="140"/>
      <c r="JC660" s="140"/>
      <c r="JD660" s="140"/>
      <c r="JE660" s="140"/>
      <c r="JF660" s="140"/>
      <c r="JG660" s="140"/>
      <c r="JH660" s="140"/>
      <c r="JI660" s="140"/>
      <c r="JJ660" s="140"/>
      <c r="JK660" s="140"/>
      <c r="JL660" s="140"/>
      <c r="JM660" s="140"/>
      <c r="JN660" s="140"/>
      <c r="JO660" s="140"/>
      <c r="JP660" s="308">
        <f t="shared" si="1086"/>
        <v>15.830364835216248</v>
      </c>
      <c r="JQ660" s="140"/>
      <c r="JR660" s="139"/>
      <c r="JS660" s="140"/>
      <c r="JT660" s="140"/>
      <c r="JU660" s="140"/>
      <c r="JV660" s="140"/>
      <c r="JW660" s="296">
        <f t="shared" si="1087"/>
        <v>15.830364835216248</v>
      </c>
      <c r="JX660" s="140"/>
      <c r="JY660" s="309">
        <v>17.616951122329301</v>
      </c>
      <c r="JZ660" s="310">
        <f t="shared" si="1088"/>
        <v>0.89858708951922028</v>
      </c>
      <c r="KA660" s="140"/>
      <c r="KB660" s="140"/>
      <c r="KC660" s="140"/>
      <c r="KD660" s="140"/>
      <c r="KE660" s="140"/>
      <c r="KF660" s="140"/>
      <c r="KG660" s="296">
        <f t="shared" ref="KG660:KG666" si="1099">SUMIFS(KG$512:KG$613,KF$512:KF$613,$F660)</f>
        <v>0.98884844195548471</v>
      </c>
      <c r="KH660" s="140"/>
      <c r="KI660" s="309">
        <v>1.4260443342909099</v>
      </c>
      <c r="KJ660" s="310">
        <f t="shared" si="1089"/>
        <v>0.69342054673719689</v>
      </c>
      <c r="KK660" s="140"/>
      <c r="KL660" s="140"/>
      <c r="KM660" s="140"/>
      <c r="KN660" s="140"/>
      <c r="KO660" s="140"/>
      <c r="KP660" s="140"/>
      <c r="KQ660" s="140"/>
      <c r="KR660" s="140"/>
      <c r="KS660" s="140"/>
      <c r="KT660" s="140"/>
      <c r="KU660" s="140"/>
      <c r="KV660" s="140"/>
      <c r="KW660" s="310">
        <v>0</v>
      </c>
      <c r="KX660" s="140"/>
      <c r="KY660" s="309">
        <v>0</v>
      </c>
      <c r="KZ660" s="140"/>
      <c r="LA660" s="308">
        <f t="shared" si="1090"/>
        <v>0</v>
      </c>
      <c r="LB660" s="140"/>
      <c r="LC660" s="139"/>
      <c r="LD660" s="140"/>
      <c r="LE660" s="140"/>
      <c r="LF660" s="140"/>
      <c r="LG660" s="140"/>
      <c r="LH660" s="296">
        <f t="shared" si="1091"/>
        <v>15.830364835216248</v>
      </c>
      <c r="LI660" s="140"/>
      <c r="LJ660" s="140"/>
      <c r="LK660" s="140"/>
      <c r="LL660" s="140"/>
      <c r="LM660" s="140"/>
      <c r="LN660" s="140"/>
      <c r="LO660" s="140"/>
      <c r="LP660" s="140"/>
      <c r="LQ660" s="140"/>
      <c r="LR660" s="296">
        <f t="shared" si="1092"/>
        <v>1.3755980548091853</v>
      </c>
      <c r="LS660" s="140"/>
      <c r="LT660" s="140"/>
      <c r="LU660" s="140"/>
      <c r="LV660" s="140"/>
      <c r="LW660" s="140"/>
      <c r="LX660" s="140"/>
      <c r="LY660" s="140"/>
      <c r="LZ660" s="140"/>
      <c r="MA660" s="140"/>
      <c r="MB660" s="296">
        <f t="shared" si="1093"/>
        <v>0</v>
      </c>
      <c r="MC660" s="140"/>
      <c r="MD660" s="140"/>
      <c r="ME660" s="140"/>
      <c r="MF660" s="140"/>
      <c r="MG660" s="140"/>
      <c r="MH660" s="140"/>
      <c r="MI660" s="140"/>
      <c r="MJ660" s="140"/>
      <c r="MK660" s="140"/>
      <c r="ML660" s="308">
        <f t="shared" si="1094"/>
        <v>0</v>
      </c>
    </row>
    <row r="661" spans="3:350" s="4" customFormat="1" ht="18" customHeight="1" x14ac:dyDescent="0.3">
      <c r="C661" s="136" t="s">
        <v>309</v>
      </c>
      <c r="E661" s="137" t="s">
        <v>105</v>
      </c>
      <c r="F661" s="186" t="s">
        <v>310</v>
      </c>
      <c r="H661" s="267"/>
      <c r="I661"/>
      <c r="J661"/>
      <c r="K661"/>
      <c r="M661" s="311">
        <f t="shared" si="1095"/>
        <v>20.515309009103131</v>
      </c>
      <c r="N661" s="312">
        <v>19.991936350434084</v>
      </c>
      <c r="O661" s="1"/>
      <c r="P661" s="237"/>
      <c r="Q661" s="236"/>
      <c r="R661" s="140"/>
      <c r="S661" s="139"/>
      <c r="T661" s="140"/>
      <c r="U661" s="140"/>
      <c r="V661" s="140"/>
      <c r="W661" s="140"/>
      <c r="X661" s="296">
        <f t="shared" si="1096"/>
        <v>20.515309009103131</v>
      </c>
      <c r="Y661" s="140"/>
      <c r="Z661" s="140"/>
      <c r="AA661" s="140"/>
      <c r="AB661" s="140"/>
      <c r="AC661" s="140"/>
      <c r="AD661" s="140"/>
      <c r="AE661" s="140"/>
      <c r="AF661" s="140"/>
      <c r="AG661" s="140"/>
      <c r="AH661" s="296">
        <f t="shared" si="1097"/>
        <v>20.515309009103131</v>
      </c>
      <c r="AI661" s="140"/>
      <c r="AJ661" s="140"/>
      <c r="AK661" s="140"/>
      <c r="AL661" s="140"/>
      <c r="AM661" s="140"/>
      <c r="AN661" s="140"/>
      <c r="AO661" s="140"/>
      <c r="AP661" s="140"/>
      <c r="AQ661" s="140"/>
      <c r="AR661" s="140"/>
      <c r="AS661" s="140"/>
      <c r="AT661" s="140"/>
      <c r="AU661" s="140"/>
      <c r="AV661" s="140"/>
      <c r="AW661" s="140"/>
      <c r="AX661" s="140"/>
      <c r="AY661" s="140"/>
      <c r="AZ661" s="140"/>
      <c r="BA661" s="140"/>
      <c r="BB661" s="308">
        <f t="shared" si="1098"/>
        <v>13.921667598143948</v>
      </c>
      <c r="BC661" s="140"/>
      <c r="BD661" s="139"/>
      <c r="BE661" s="140"/>
      <c r="BF661" s="140"/>
      <c r="BG661" s="140"/>
      <c r="BH661" s="140"/>
      <c r="BI661" s="219"/>
      <c r="BJ661" s="234"/>
      <c r="BK661" s="234"/>
      <c r="BL661" s="234"/>
      <c r="BM661" s="234"/>
      <c r="BN661" s="234"/>
      <c r="BO661" s="234"/>
      <c r="BP661" s="234"/>
      <c r="BQ661" s="234"/>
      <c r="BR661" s="234"/>
      <c r="BS661" s="234"/>
      <c r="BT661" s="234"/>
      <c r="BU661" s="234"/>
      <c r="BV661" s="234"/>
      <c r="BW661" s="234"/>
      <c r="BX661" s="234"/>
      <c r="BY661" s="234"/>
      <c r="BZ661" s="234"/>
      <c r="CA661" s="234"/>
      <c r="CB661" s="234"/>
      <c r="CC661" s="234"/>
      <c r="CD661" s="234"/>
      <c r="CE661" s="234"/>
      <c r="CF661" s="234"/>
      <c r="CG661" s="234"/>
      <c r="CH661" s="234"/>
      <c r="CI661" s="234"/>
      <c r="CJ661" s="234"/>
      <c r="CK661" s="234"/>
      <c r="CL661" s="234"/>
      <c r="CM661" s="189"/>
      <c r="CN661" s="140"/>
      <c r="CO661" s="139"/>
      <c r="CP661" s="140"/>
      <c r="CQ661" s="140"/>
      <c r="CR661" s="140"/>
      <c r="CS661" s="140"/>
      <c r="CT661" s="219"/>
      <c r="CU661" s="234"/>
      <c r="CV661" s="234"/>
      <c r="CW661" s="234"/>
      <c r="CX661" s="234"/>
      <c r="CY661" s="234"/>
      <c r="CZ661" s="234"/>
      <c r="DA661" s="234"/>
      <c r="DB661" s="234"/>
      <c r="DC661" s="234"/>
      <c r="DD661" s="234"/>
      <c r="DE661" s="234"/>
      <c r="DF661" s="234"/>
      <c r="DG661" s="234"/>
      <c r="DH661" s="234"/>
      <c r="DI661" s="234"/>
      <c r="DJ661" s="234"/>
      <c r="DK661" s="234"/>
      <c r="DL661" s="234"/>
      <c r="DM661" s="234"/>
      <c r="DN661" s="234"/>
      <c r="DO661" s="234"/>
      <c r="DP661" s="234"/>
      <c r="DQ661" s="234"/>
      <c r="DR661" s="234"/>
      <c r="DS661" s="234"/>
      <c r="DT661" s="234"/>
      <c r="DU661" s="234"/>
      <c r="DV661" s="234"/>
      <c r="DW661" s="234"/>
      <c r="DX661" s="189"/>
      <c r="DY661" s="140"/>
      <c r="DZ661" s="139"/>
      <c r="EA661" s="140"/>
      <c r="EB661" s="140"/>
      <c r="EC661" s="140"/>
      <c r="ED661" s="140"/>
      <c r="EE661" s="219"/>
      <c r="EF661" s="234"/>
      <c r="EG661" s="234"/>
      <c r="EH661" s="234"/>
      <c r="EI661" s="234"/>
      <c r="EJ661" s="234"/>
      <c r="EK661" s="234"/>
      <c r="EL661" s="234"/>
      <c r="EM661" s="234"/>
      <c r="EN661" s="234"/>
      <c r="EO661" s="234"/>
      <c r="EP661" s="234"/>
      <c r="EQ661" s="234"/>
      <c r="ER661" s="234"/>
      <c r="ES661" s="234"/>
      <c r="ET661" s="234"/>
      <c r="EU661" s="234"/>
      <c r="EV661" s="234"/>
      <c r="EW661" s="234"/>
      <c r="EX661" s="234"/>
      <c r="EY661" s="234"/>
      <c r="EZ661" s="234"/>
      <c r="FA661" s="234"/>
      <c r="FB661" s="234"/>
      <c r="FC661" s="234"/>
      <c r="FD661" s="234"/>
      <c r="FE661" s="234"/>
      <c r="FF661" s="234"/>
      <c r="FG661" s="234"/>
      <c r="FH661" s="234"/>
      <c r="FI661" s="189"/>
      <c r="FJ661" s="140"/>
      <c r="FK661" s="139"/>
      <c r="FL661" s="140"/>
      <c r="FM661" s="140"/>
      <c r="FN661" s="140"/>
      <c r="FO661" s="140"/>
      <c r="FP661" s="219"/>
      <c r="FQ661" s="234"/>
      <c r="FR661" s="234"/>
      <c r="FS661" s="234"/>
      <c r="FT661" s="234"/>
      <c r="FU661" s="234"/>
      <c r="FV661" s="234"/>
      <c r="FW661" s="234"/>
      <c r="FX661" s="234"/>
      <c r="FY661" s="234"/>
      <c r="FZ661" s="234"/>
      <c r="GA661" s="234"/>
      <c r="GB661" s="234"/>
      <c r="GC661" s="234"/>
      <c r="GD661" s="234"/>
      <c r="GE661" s="234"/>
      <c r="GF661" s="234"/>
      <c r="GG661" s="234"/>
      <c r="GH661" s="234"/>
      <c r="GI661" s="234"/>
      <c r="GJ661" s="234"/>
      <c r="GK661" s="234"/>
      <c r="GL661" s="234"/>
      <c r="GM661" s="234"/>
      <c r="GN661" s="234"/>
      <c r="GO661" s="234"/>
      <c r="GP661" s="234"/>
      <c r="GQ661" s="234"/>
      <c r="GR661" s="234"/>
      <c r="GS661" s="234"/>
      <c r="GT661" s="189"/>
      <c r="GU661" s="140"/>
      <c r="GV661" s="139"/>
      <c r="GW661" s="140"/>
      <c r="GX661" s="140"/>
      <c r="GY661" s="140"/>
      <c r="GZ661" s="140"/>
      <c r="HA661" s="219"/>
      <c r="HB661" s="234"/>
      <c r="HC661" s="234"/>
      <c r="HD661" s="234"/>
      <c r="HE661" s="234"/>
      <c r="HF661" s="234"/>
      <c r="HG661" s="234"/>
      <c r="HH661" s="234"/>
      <c r="HI661" s="234"/>
      <c r="HJ661" s="234"/>
      <c r="HK661" s="234"/>
      <c r="HL661" s="234"/>
      <c r="HM661" s="234"/>
      <c r="HN661" s="234"/>
      <c r="HO661" s="234"/>
      <c r="HP661" s="234"/>
      <c r="HQ661" s="234"/>
      <c r="HR661" s="234"/>
      <c r="HS661" s="234"/>
      <c r="HT661" s="234"/>
      <c r="HU661" s="234"/>
      <c r="HV661" s="234"/>
      <c r="HW661" s="234"/>
      <c r="HX661" s="234"/>
      <c r="HY661" s="234"/>
      <c r="HZ661" s="234"/>
      <c r="IA661" s="234"/>
      <c r="IB661" s="234"/>
      <c r="IC661" s="234"/>
      <c r="ID661" s="234"/>
      <c r="IE661" s="189"/>
      <c r="IF661" s="140"/>
      <c r="IG661" s="139"/>
      <c r="IH661" s="140"/>
      <c r="II661" s="140"/>
      <c r="IJ661" s="140"/>
      <c r="IK661" s="140"/>
      <c r="IL661" s="296">
        <f t="shared" si="1082"/>
        <v>20.515309009103131</v>
      </c>
      <c r="IM661" s="140"/>
      <c r="IN661" s="309">
        <v>20.556954243693198</v>
      </c>
      <c r="IO661" s="310">
        <f t="shared" si="1083"/>
        <v>0.99797415346182206</v>
      </c>
      <c r="IP661" s="313" t="s">
        <v>311</v>
      </c>
      <c r="IQ661" s="140"/>
      <c r="IR661" s="140"/>
      <c r="IS661" s="140"/>
      <c r="IT661" s="140"/>
      <c r="IU661" s="140"/>
      <c r="IV661" s="296">
        <f t="shared" si="1084"/>
        <v>18.852065929734003</v>
      </c>
      <c r="IW661" s="140"/>
      <c r="IX661" s="309">
        <v>19.0279883630628</v>
      </c>
      <c r="IY661" s="310">
        <f t="shared" si="1085"/>
        <v>0.99075454378192185</v>
      </c>
      <c r="IZ661" s="313" t="s">
        <v>312</v>
      </c>
      <c r="JA661" s="140"/>
      <c r="JB661" s="140"/>
      <c r="JC661" s="140"/>
      <c r="JD661" s="140"/>
      <c r="JE661" s="140"/>
      <c r="JF661" s="140"/>
      <c r="JG661" s="140"/>
      <c r="JH661" s="140"/>
      <c r="JI661" s="140"/>
      <c r="JJ661" s="140"/>
      <c r="JK661" s="140"/>
      <c r="JL661" s="140"/>
      <c r="JM661" s="140"/>
      <c r="JN661" s="140"/>
      <c r="JO661" s="140"/>
      <c r="JP661" s="308">
        <f t="shared" si="1086"/>
        <v>20.515309009103131</v>
      </c>
      <c r="JQ661" s="140"/>
      <c r="JR661" s="139"/>
      <c r="JS661" s="140"/>
      <c r="JT661" s="140"/>
      <c r="JU661" s="140"/>
      <c r="JV661" s="140"/>
      <c r="JW661" s="296">
        <f t="shared" si="1087"/>
        <v>20.515309009103131</v>
      </c>
      <c r="JX661" s="140"/>
      <c r="JY661" s="309">
        <v>20.556954243693198</v>
      </c>
      <c r="JZ661" s="310">
        <f t="shared" si="1088"/>
        <v>0.99797415346182206</v>
      </c>
      <c r="KA661" s="313" t="s">
        <v>311</v>
      </c>
      <c r="KB661" s="140"/>
      <c r="KC661" s="140"/>
      <c r="KD661" s="140"/>
      <c r="KE661" s="140"/>
      <c r="KF661" s="140"/>
      <c r="KG661" s="296">
        <f t="shared" si="1099"/>
        <v>19.229806034560998</v>
      </c>
      <c r="KH661" s="140"/>
      <c r="KI661" s="309">
        <v>19.4789473444831</v>
      </c>
      <c r="KJ661" s="310">
        <f t="shared" si="1089"/>
        <v>0.98720971387641931</v>
      </c>
      <c r="KK661" s="313" t="s">
        <v>313</v>
      </c>
      <c r="KL661" s="140"/>
      <c r="KM661" s="140"/>
      <c r="KN661" s="140"/>
      <c r="KO661" s="140"/>
      <c r="KP661" s="140"/>
      <c r="KQ661" s="140"/>
      <c r="KR661" s="140"/>
      <c r="KS661" s="140"/>
      <c r="KT661" s="140"/>
      <c r="KU661" s="140"/>
      <c r="KV661" s="303" t="s">
        <v>314</v>
      </c>
      <c r="KW661" s="310">
        <f>LA661/KY661</f>
        <v>0.99699643546812056</v>
      </c>
      <c r="KX661" s="140"/>
      <c r="KY661" s="309">
        <v>24.879000000000001</v>
      </c>
      <c r="KZ661" s="140"/>
      <c r="LA661" s="308">
        <f t="shared" si="1090"/>
        <v>24.804274318011373</v>
      </c>
      <c r="LB661" s="140"/>
      <c r="LC661" s="139"/>
      <c r="LD661" s="140"/>
      <c r="LE661" s="140"/>
      <c r="LF661" s="140"/>
      <c r="LG661" s="140"/>
      <c r="LH661" s="296">
        <f t="shared" si="1091"/>
        <v>20.515309009103131</v>
      </c>
      <c r="LI661" s="140"/>
      <c r="LJ661" s="140"/>
      <c r="LK661" s="140"/>
      <c r="LL661" s="140"/>
      <c r="LM661" s="140"/>
      <c r="LN661" s="140"/>
      <c r="LO661" s="140"/>
      <c r="LP661" s="140"/>
      <c r="LQ661" s="140"/>
      <c r="LR661" s="296">
        <f t="shared" si="1092"/>
        <v>24.036927927053934</v>
      </c>
      <c r="LS661" s="140"/>
      <c r="LT661" s="140"/>
      <c r="LU661" s="140"/>
      <c r="LV661" s="140"/>
      <c r="LW661" s="140"/>
      <c r="LX661" s="140"/>
      <c r="LY661" s="140"/>
      <c r="LZ661" s="140"/>
      <c r="MA661" s="140"/>
      <c r="MB661" s="296">
        <f t="shared" si="1093"/>
        <v>25.180036725954484</v>
      </c>
      <c r="MC661" s="140"/>
      <c r="MD661" s="140"/>
      <c r="ME661" s="140"/>
      <c r="MF661" s="140"/>
      <c r="MG661" s="140"/>
      <c r="MH661" s="140"/>
      <c r="MI661" s="140"/>
      <c r="MJ661" s="140"/>
      <c r="MK661" s="140"/>
      <c r="ML661" s="308">
        <f t="shared" si="1094"/>
        <v>26.468176629675167</v>
      </c>
    </row>
    <row r="662" spans="3:350" s="4" customFormat="1" ht="18" customHeight="1" x14ac:dyDescent="0.35">
      <c r="C662" s="405" t="s">
        <v>525</v>
      </c>
      <c r="D662" s="406"/>
      <c r="E662" s="407" t="s">
        <v>105</v>
      </c>
      <c r="F662" s="408" t="s">
        <v>260</v>
      </c>
      <c r="G662" s="406"/>
      <c r="H662" s="409"/>
      <c r="I662" s="410"/>
      <c r="J662" s="410"/>
      <c r="K662" s="410"/>
      <c r="L662" s="406"/>
      <c r="M662" s="411">
        <f t="shared" si="1095"/>
        <v>16.20392980217721</v>
      </c>
      <c r="N662" s="412"/>
      <c r="O662" s="1"/>
      <c r="P662" s="413"/>
      <c r="Q662" s="414"/>
      <c r="R662" s="303"/>
      <c r="S662" s="415"/>
      <c r="T662" s="303"/>
      <c r="U662" s="303"/>
      <c r="V662" s="303"/>
      <c r="W662" s="303"/>
      <c r="X662" s="309"/>
      <c r="Y662" s="303"/>
      <c r="Z662" s="303"/>
      <c r="AA662" s="303"/>
      <c r="AB662" s="303"/>
      <c r="AC662" s="303"/>
      <c r="AD662" s="303"/>
      <c r="AE662" s="303"/>
      <c r="AF662" s="303"/>
      <c r="AG662" s="303"/>
      <c r="AH662" s="309"/>
      <c r="AI662" s="303"/>
      <c r="AJ662" s="303"/>
      <c r="AK662" s="303"/>
      <c r="AL662" s="303"/>
      <c r="AM662" s="303"/>
      <c r="AN662" s="303"/>
      <c r="AO662" s="303"/>
      <c r="AP662" s="303"/>
      <c r="AQ662" s="303"/>
      <c r="AR662" s="303"/>
      <c r="AS662" s="303"/>
      <c r="AT662" s="303"/>
      <c r="AU662" s="303"/>
      <c r="AV662" s="303"/>
      <c r="AW662" s="303"/>
      <c r="AX662" s="303"/>
      <c r="AY662" s="303"/>
      <c r="AZ662" s="303"/>
      <c r="BA662" s="303"/>
      <c r="BB662" s="416"/>
      <c r="BC662" s="303"/>
      <c r="BD662" s="415"/>
      <c r="BE662" s="303"/>
      <c r="BF662" s="303"/>
      <c r="BG662" s="303"/>
      <c r="BH662" s="303"/>
      <c r="BI662" s="417"/>
      <c r="BJ662" s="418"/>
      <c r="BK662" s="418"/>
      <c r="BL662" s="418"/>
      <c r="BM662" s="418"/>
      <c r="BN662" s="418"/>
      <c r="BO662" s="418"/>
      <c r="BP662" s="418"/>
      <c r="BQ662" s="418"/>
      <c r="BR662" s="418"/>
      <c r="BS662" s="418"/>
      <c r="BT662" s="418"/>
      <c r="BU662" s="418"/>
      <c r="BV662" s="418"/>
      <c r="BW662" s="418"/>
      <c r="BX662" s="418"/>
      <c r="BY662" s="418"/>
      <c r="BZ662" s="418"/>
      <c r="CA662" s="418"/>
      <c r="CB662" s="418"/>
      <c r="CC662" s="418"/>
      <c r="CD662" s="418"/>
      <c r="CE662" s="418"/>
      <c r="CF662" s="418"/>
      <c r="CG662" s="418"/>
      <c r="CH662" s="418"/>
      <c r="CI662" s="418"/>
      <c r="CJ662" s="418"/>
      <c r="CK662" s="418"/>
      <c r="CL662" s="418"/>
      <c r="CM662" s="419"/>
      <c r="CN662" s="303"/>
      <c r="CO662" s="415"/>
      <c r="CP662" s="303"/>
      <c r="CQ662" s="303"/>
      <c r="CR662" s="303"/>
      <c r="CS662" s="303"/>
      <c r="CT662" s="417"/>
      <c r="CU662" s="418"/>
      <c r="CV662" s="418"/>
      <c r="CW662" s="418"/>
      <c r="CX662" s="418"/>
      <c r="CY662" s="418"/>
      <c r="CZ662" s="418"/>
      <c r="DA662" s="418"/>
      <c r="DB662" s="418"/>
      <c r="DC662" s="418"/>
      <c r="DD662" s="418"/>
      <c r="DE662" s="418"/>
      <c r="DF662" s="418"/>
      <c r="DG662" s="418"/>
      <c r="DH662" s="418"/>
      <c r="DI662" s="418"/>
      <c r="DJ662" s="418"/>
      <c r="DK662" s="418"/>
      <c r="DL662" s="418"/>
      <c r="DM662" s="418"/>
      <c r="DN662" s="418"/>
      <c r="DO662" s="418"/>
      <c r="DP662" s="418"/>
      <c r="DQ662" s="418"/>
      <c r="DR662" s="418"/>
      <c r="DS662" s="418"/>
      <c r="DT662" s="418"/>
      <c r="DU662" s="418"/>
      <c r="DV662" s="418"/>
      <c r="DW662" s="418"/>
      <c r="DX662" s="419"/>
      <c r="DY662" s="303"/>
      <c r="DZ662" s="415"/>
      <c r="EA662" s="303"/>
      <c r="EB662" s="303"/>
      <c r="EC662" s="303"/>
      <c r="ED662" s="303"/>
      <c r="EE662" s="417"/>
      <c r="EF662" s="418"/>
      <c r="EG662" s="418"/>
      <c r="EH662" s="418"/>
      <c r="EI662" s="418"/>
      <c r="EJ662" s="418"/>
      <c r="EK662" s="418"/>
      <c r="EL662" s="418"/>
      <c r="EM662" s="418"/>
      <c r="EN662" s="418"/>
      <c r="EO662" s="418"/>
      <c r="EP662" s="418"/>
      <c r="EQ662" s="418"/>
      <c r="ER662" s="418"/>
      <c r="ES662" s="418"/>
      <c r="ET662" s="418"/>
      <c r="EU662" s="418"/>
      <c r="EV662" s="418"/>
      <c r="EW662" s="418"/>
      <c r="EX662" s="418"/>
      <c r="EY662" s="418"/>
      <c r="EZ662" s="418"/>
      <c r="FA662" s="418"/>
      <c r="FB662" s="418"/>
      <c r="FC662" s="418"/>
      <c r="FD662" s="418"/>
      <c r="FE662" s="418"/>
      <c r="FF662" s="418"/>
      <c r="FG662" s="418"/>
      <c r="FH662" s="418"/>
      <c r="FI662" s="419"/>
      <c r="FJ662" s="303"/>
      <c r="FK662" s="415"/>
      <c r="FL662" s="303"/>
      <c r="FM662" s="303"/>
      <c r="FN662" s="303"/>
      <c r="FO662" s="303"/>
      <c r="FP662" s="417"/>
      <c r="FQ662" s="418"/>
      <c r="FR662" s="418"/>
      <c r="FS662" s="418"/>
      <c r="FT662" s="418"/>
      <c r="FU662" s="418"/>
      <c r="FV662" s="418"/>
      <c r="FW662" s="418"/>
      <c r="FX662" s="418"/>
      <c r="FY662" s="418"/>
      <c r="FZ662" s="418"/>
      <c r="GA662" s="418"/>
      <c r="GB662" s="418"/>
      <c r="GC662" s="418"/>
      <c r="GD662" s="418"/>
      <c r="GE662" s="418"/>
      <c r="GF662" s="418"/>
      <c r="GG662" s="418"/>
      <c r="GH662" s="418"/>
      <c r="GI662" s="418"/>
      <c r="GJ662" s="418"/>
      <c r="GK662" s="418"/>
      <c r="GL662" s="418"/>
      <c r="GM662" s="418"/>
      <c r="GN662" s="418"/>
      <c r="GO662" s="418"/>
      <c r="GP662" s="418"/>
      <c r="GQ662" s="418"/>
      <c r="GR662" s="418"/>
      <c r="GS662" s="418"/>
      <c r="GT662" s="419"/>
      <c r="GU662" s="303"/>
      <c r="GV662" s="415"/>
      <c r="GW662" s="303"/>
      <c r="GX662" s="303"/>
      <c r="GY662" s="303"/>
      <c r="GZ662" s="303"/>
      <c r="HA662" s="417"/>
      <c r="HB662" s="418"/>
      <c r="HC662" s="418"/>
      <c r="HD662" s="418"/>
      <c r="HE662" s="418"/>
      <c r="HF662" s="418"/>
      <c r="HG662" s="418"/>
      <c r="HH662" s="418"/>
      <c r="HI662" s="418"/>
      <c r="HJ662" s="418"/>
      <c r="HK662" s="418"/>
      <c r="HL662" s="418"/>
      <c r="HM662" s="418"/>
      <c r="HN662" s="418"/>
      <c r="HO662" s="418"/>
      <c r="HP662" s="418"/>
      <c r="HQ662" s="418"/>
      <c r="HR662" s="418"/>
      <c r="HS662" s="418"/>
      <c r="HT662" s="418"/>
      <c r="HU662" s="418"/>
      <c r="HV662" s="418"/>
      <c r="HW662" s="418"/>
      <c r="HX662" s="418"/>
      <c r="HY662" s="418"/>
      <c r="HZ662" s="418"/>
      <c r="IA662" s="418"/>
      <c r="IB662" s="418"/>
      <c r="IC662" s="418"/>
      <c r="ID662" s="418"/>
      <c r="IE662" s="419"/>
      <c r="IF662" s="303"/>
      <c r="IG662" s="415"/>
      <c r="IH662" s="303"/>
      <c r="II662" s="303"/>
      <c r="IJ662" s="303"/>
      <c r="IK662" s="303"/>
      <c r="IL662" s="309"/>
      <c r="IM662" s="303"/>
      <c r="IN662" s="309"/>
      <c r="IO662" s="310"/>
      <c r="IP662" s="313"/>
      <c r="IQ662" s="303"/>
      <c r="IR662" s="303"/>
      <c r="IS662" s="303"/>
      <c r="IT662" s="303"/>
      <c r="IU662" s="303"/>
      <c r="IV662" s="309"/>
      <c r="IW662" s="303"/>
      <c r="IX662" s="309"/>
      <c r="IY662" s="310"/>
      <c r="IZ662" s="313"/>
      <c r="JA662" s="303"/>
      <c r="JB662" s="303"/>
      <c r="JC662" s="303"/>
      <c r="JD662" s="303"/>
      <c r="JE662" s="303"/>
      <c r="JF662" s="303"/>
      <c r="JG662" s="303"/>
      <c r="JH662" s="303"/>
      <c r="JI662" s="303"/>
      <c r="JJ662" s="303"/>
      <c r="JK662" s="303"/>
      <c r="JL662" s="303"/>
      <c r="JM662" s="303"/>
      <c r="JN662" s="303"/>
      <c r="JO662" s="303"/>
      <c r="JP662" s="416"/>
      <c r="JQ662" s="303"/>
      <c r="JR662" s="415"/>
      <c r="JS662" s="303"/>
      <c r="JT662" s="303"/>
      <c r="JU662" s="303"/>
      <c r="JV662" s="303"/>
      <c r="JW662" s="309">
        <f t="shared" si="1087"/>
        <v>16.20392980217721</v>
      </c>
      <c r="JX662" s="303"/>
      <c r="JY662" s="309"/>
      <c r="JZ662" s="310"/>
      <c r="KA662" s="313"/>
      <c r="KB662" s="303"/>
      <c r="KC662" s="303"/>
      <c r="KD662" s="303"/>
      <c r="KE662" s="303"/>
      <c r="KF662" s="303"/>
      <c r="KG662" s="309">
        <f t="shared" si="1099"/>
        <v>9.4270218133089543</v>
      </c>
      <c r="KH662" s="303"/>
      <c r="KI662" s="309"/>
      <c r="KJ662" s="310"/>
      <c r="KK662" s="313"/>
      <c r="KL662" s="303"/>
      <c r="KM662" s="303"/>
      <c r="KN662" s="303"/>
      <c r="KO662" s="303"/>
      <c r="KP662" s="303"/>
      <c r="KQ662" s="303"/>
      <c r="KR662" s="303"/>
      <c r="KS662" s="303"/>
      <c r="KT662" s="303"/>
      <c r="KU662" s="303"/>
      <c r="KV662" s="303"/>
      <c r="KW662" s="310"/>
      <c r="KX662" s="303"/>
      <c r="KY662" s="309"/>
      <c r="KZ662" s="303"/>
      <c r="LA662" s="416">
        <f t="shared" si="1090"/>
        <v>6.9746776772593524</v>
      </c>
      <c r="LB662" s="303"/>
      <c r="LC662" s="415"/>
      <c r="LD662" s="303"/>
      <c r="LE662" s="303"/>
      <c r="LF662" s="303"/>
      <c r="LG662" s="303"/>
      <c r="LH662" s="309">
        <f t="shared" si="1091"/>
        <v>16.20392980217721</v>
      </c>
      <c r="LI662" s="303"/>
      <c r="LJ662" s="303"/>
      <c r="LK662" s="303"/>
      <c r="LL662" s="303"/>
      <c r="LM662" s="303"/>
      <c r="LN662" s="303"/>
      <c r="LO662" s="303"/>
      <c r="LP662" s="303"/>
      <c r="LQ662" s="303"/>
      <c r="LR662" s="309">
        <f t="shared" si="1092"/>
        <v>13.672477790771172</v>
      </c>
      <c r="LS662" s="303"/>
      <c r="LT662" s="303"/>
      <c r="LU662" s="303"/>
      <c r="LV662" s="303"/>
      <c r="LW662" s="303"/>
      <c r="LX662" s="303"/>
      <c r="LY662" s="303"/>
      <c r="LZ662" s="303"/>
      <c r="MA662" s="303"/>
      <c r="MB662" s="309">
        <f t="shared" si="1093"/>
        <v>9.2688060625960773</v>
      </c>
      <c r="MC662" s="303"/>
      <c r="MD662" s="303"/>
      <c r="ME662" s="303"/>
      <c r="MF662" s="303"/>
      <c r="MG662" s="303"/>
      <c r="MH662" s="303"/>
      <c r="MI662" s="303"/>
      <c r="MJ662" s="303"/>
      <c r="MK662" s="303"/>
      <c r="ML662" s="416">
        <f t="shared" si="1094"/>
        <v>5.84079813048373</v>
      </c>
    </row>
    <row r="663" spans="3:350" s="4" customFormat="1" ht="18" customHeight="1" x14ac:dyDescent="0.35">
      <c r="C663" s="405" t="s">
        <v>526</v>
      </c>
      <c r="D663" s="406"/>
      <c r="E663" s="407" t="s">
        <v>105</v>
      </c>
      <c r="F663" s="408" t="s">
        <v>261</v>
      </c>
      <c r="G663" s="406"/>
      <c r="H663" s="409"/>
      <c r="I663" s="410"/>
      <c r="J663" s="410"/>
      <c r="K663" s="410"/>
      <c r="L663" s="406"/>
      <c r="M663" s="411">
        <f t="shared" si="1095"/>
        <v>4.3113792069259125</v>
      </c>
      <c r="N663" s="412"/>
      <c r="O663" s="1"/>
      <c r="P663" s="413"/>
      <c r="Q663" s="414"/>
      <c r="R663" s="303"/>
      <c r="S663" s="415"/>
      <c r="T663" s="303"/>
      <c r="U663" s="303"/>
      <c r="V663" s="303"/>
      <c r="W663" s="303"/>
      <c r="X663" s="309"/>
      <c r="Y663" s="303"/>
      <c r="Z663" s="303"/>
      <c r="AA663" s="303"/>
      <c r="AB663" s="303"/>
      <c r="AC663" s="303"/>
      <c r="AD663" s="303"/>
      <c r="AE663" s="303"/>
      <c r="AF663" s="303"/>
      <c r="AG663" s="303"/>
      <c r="AH663" s="309"/>
      <c r="AI663" s="303"/>
      <c r="AJ663" s="303"/>
      <c r="AK663" s="303"/>
      <c r="AL663" s="303"/>
      <c r="AM663" s="303"/>
      <c r="AN663" s="303"/>
      <c r="AO663" s="303"/>
      <c r="AP663" s="303"/>
      <c r="AQ663" s="303"/>
      <c r="AR663" s="303"/>
      <c r="AS663" s="303"/>
      <c r="AT663" s="303"/>
      <c r="AU663" s="303"/>
      <c r="AV663" s="303"/>
      <c r="AW663" s="303"/>
      <c r="AX663" s="303"/>
      <c r="AY663" s="303"/>
      <c r="AZ663" s="303"/>
      <c r="BA663" s="303"/>
      <c r="BB663" s="416"/>
      <c r="BC663" s="303"/>
      <c r="BD663" s="415"/>
      <c r="BE663" s="303"/>
      <c r="BF663" s="303"/>
      <c r="BG663" s="303"/>
      <c r="BH663" s="303"/>
      <c r="BI663" s="417"/>
      <c r="BJ663" s="418"/>
      <c r="BK663" s="418"/>
      <c r="BL663" s="418"/>
      <c r="BM663" s="418"/>
      <c r="BN663" s="418"/>
      <c r="BO663" s="418"/>
      <c r="BP663" s="418"/>
      <c r="BQ663" s="418"/>
      <c r="BR663" s="418"/>
      <c r="BS663" s="418"/>
      <c r="BT663" s="418"/>
      <c r="BU663" s="418"/>
      <c r="BV663" s="418"/>
      <c r="BW663" s="418"/>
      <c r="BX663" s="418"/>
      <c r="BY663" s="418"/>
      <c r="BZ663" s="418"/>
      <c r="CA663" s="418"/>
      <c r="CB663" s="418"/>
      <c r="CC663" s="418"/>
      <c r="CD663" s="418"/>
      <c r="CE663" s="418"/>
      <c r="CF663" s="418"/>
      <c r="CG663" s="418"/>
      <c r="CH663" s="418"/>
      <c r="CI663" s="418"/>
      <c r="CJ663" s="418"/>
      <c r="CK663" s="418"/>
      <c r="CL663" s="418"/>
      <c r="CM663" s="419"/>
      <c r="CN663" s="303"/>
      <c r="CO663" s="415"/>
      <c r="CP663" s="303"/>
      <c r="CQ663" s="303"/>
      <c r="CR663" s="303"/>
      <c r="CS663" s="303"/>
      <c r="CT663" s="417"/>
      <c r="CU663" s="418"/>
      <c r="CV663" s="418"/>
      <c r="CW663" s="418"/>
      <c r="CX663" s="418"/>
      <c r="CY663" s="418"/>
      <c r="CZ663" s="418"/>
      <c r="DA663" s="418"/>
      <c r="DB663" s="418"/>
      <c r="DC663" s="418"/>
      <c r="DD663" s="418"/>
      <c r="DE663" s="418"/>
      <c r="DF663" s="418"/>
      <c r="DG663" s="418"/>
      <c r="DH663" s="418"/>
      <c r="DI663" s="418"/>
      <c r="DJ663" s="418"/>
      <c r="DK663" s="418"/>
      <c r="DL663" s="418"/>
      <c r="DM663" s="418"/>
      <c r="DN663" s="418"/>
      <c r="DO663" s="418"/>
      <c r="DP663" s="418"/>
      <c r="DQ663" s="418"/>
      <c r="DR663" s="418"/>
      <c r="DS663" s="418"/>
      <c r="DT663" s="418"/>
      <c r="DU663" s="418"/>
      <c r="DV663" s="418"/>
      <c r="DW663" s="418"/>
      <c r="DX663" s="419"/>
      <c r="DY663" s="303"/>
      <c r="DZ663" s="415"/>
      <c r="EA663" s="303"/>
      <c r="EB663" s="303"/>
      <c r="EC663" s="303"/>
      <c r="ED663" s="303"/>
      <c r="EE663" s="417"/>
      <c r="EF663" s="418"/>
      <c r="EG663" s="418"/>
      <c r="EH663" s="418"/>
      <c r="EI663" s="418"/>
      <c r="EJ663" s="418"/>
      <c r="EK663" s="418"/>
      <c r="EL663" s="418"/>
      <c r="EM663" s="418"/>
      <c r="EN663" s="418"/>
      <c r="EO663" s="418"/>
      <c r="EP663" s="418"/>
      <c r="EQ663" s="418"/>
      <c r="ER663" s="418"/>
      <c r="ES663" s="418"/>
      <c r="ET663" s="418"/>
      <c r="EU663" s="418"/>
      <c r="EV663" s="418"/>
      <c r="EW663" s="418"/>
      <c r="EX663" s="418"/>
      <c r="EY663" s="418"/>
      <c r="EZ663" s="418"/>
      <c r="FA663" s="418"/>
      <c r="FB663" s="418"/>
      <c r="FC663" s="418"/>
      <c r="FD663" s="418"/>
      <c r="FE663" s="418"/>
      <c r="FF663" s="418"/>
      <c r="FG663" s="418"/>
      <c r="FH663" s="418"/>
      <c r="FI663" s="419"/>
      <c r="FJ663" s="303"/>
      <c r="FK663" s="415"/>
      <c r="FL663" s="303"/>
      <c r="FM663" s="303"/>
      <c r="FN663" s="303"/>
      <c r="FO663" s="303"/>
      <c r="FP663" s="417"/>
      <c r="FQ663" s="418"/>
      <c r="FR663" s="418"/>
      <c r="FS663" s="418"/>
      <c r="FT663" s="418"/>
      <c r="FU663" s="418"/>
      <c r="FV663" s="418"/>
      <c r="FW663" s="418"/>
      <c r="FX663" s="418"/>
      <c r="FY663" s="418"/>
      <c r="FZ663" s="418"/>
      <c r="GA663" s="418"/>
      <c r="GB663" s="418"/>
      <c r="GC663" s="418"/>
      <c r="GD663" s="418"/>
      <c r="GE663" s="418"/>
      <c r="GF663" s="418"/>
      <c r="GG663" s="418"/>
      <c r="GH663" s="418"/>
      <c r="GI663" s="418"/>
      <c r="GJ663" s="418"/>
      <c r="GK663" s="418"/>
      <c r="GL663" s="418"/>
      <c r="GM663" s="418"/>
      <c r="GN663" s="418"/>
      <c r="GO663" s="418"/>
      <c r="GP663" s="418"/>
      <c r="GQ663" s="418"/>
      <c r="GR663" s="418"/>
      <c r="GS663" s="418"/>
      <c r="GT663" s="419"/>
      <c r="GU663" s="303"/>
      <c r="GV663" s="415"/>
      <c r="GW663" s="303"/>
      <c r="GX663" s="303"/>
      <c r="GY663" s="303"/>
      <c r="GZ663" s="303"/>
      <c r="HA663" s="417"/>
      <c r="HB663" s="418"/>
      <c r="HC663" s="418"/>
      <c r="HD663" s="418"/>
      <c r="HE663" s="418"/>
      <c r="HF663" s="418"/>
      <c r="HG663" s="418"/>
      <c r="HH663" s="418"/>
      <c r="HI663" s="418"/>
      <c r="HJ663" s="418"/>
      <c r="HK663" s="418"/>
      <c r="HL663" s="418"/>
      <c r="HM663" s="418"/>
      <c r="HN663" s="418"/>
      <c r="HO663" s="418"/>
      <c r="HP663" s="418"/>
      <c r="HQ663" s="418"/>
      <c r="HR663" s="418"/>
      <c r="HS663" s="418"/>
      <c r="HT663" s="418"/>
      <c r="HU663" s="418"/>
      <c r="HV663" s="418"/>
      <c r="HW663" s="418"/>
      <c r="HX663" s="418"/>
      <c r="HY663" s="418"/>
      <c r="HZ663" s="418"/>
      <c r="IA663" s="418"/>
      <c r="IB663" s="418"/>
      <c r="IC663" s="418"/>
      <c r="ID663" s="418"/>
      <c r="IE663" s="419"/>
      <c r="IF663" s="303"/>
      <c r="IG663" s="415"/>
      <c r="IH663" s="303"/>
      <c r="II663" s="303"/>
      <c r="IJ663" s="303"/>
      <c r="IK663" s="303"/>
      <c r="IL663" s="309"/>
      <c r="IM663" s="303"/>
      <c r="IN663" s="309"/>
      <c r="IO663" s="310"/>
      <c r="IP663" s="313"/>
      <c r="IQ663" s="303"/>
      <c r="IR663" s="303"/>
      <c r="IS663" s="303"/>
      <c r="IT663" s="303"/>
      <c r="IU663" s="303"/>
      <c r="IV663" s="309"/>
      <c r="IW663" s="303"/>
      <c r="IX663" s="309"/>
      <c r="IY663" s="310"/>
      <c r="IZ663" s="313"/>
      <c r="JA663" s="303"/>
      <c r="JB663" s="303"/>
      <c r="JC663" s="303"/>
      <c r="JD663" s="303"/>
      <c r="JE663" s="303"/>
      <c r="JF663" s="303"/>
      <c r="JG663" s="303"/>
      <c r="JH663" s="303"/>
      <c r="JI663" s="303"/>
      <c r="JJ663" s="303"/>
      <c r="JK663" s="303"/>
      <c r="JL663" s="303"/>
      <c r="JM663" s="303"/>
      <c r="JN663" s="303"/>
      <c r="JO663" s="303"/>
      <c r="JP663" s="416"/>
      <c r="JQ663" s="303"/>
      <c r="JR663" s="415"/>
      <c r="JS663" s="303"/>
      <c r="JT663" s="303"/>
      <c r="JU663" s="303"/>
      <c r="JV663" s="303"/>
      <c r="JW663" s="309">
        <f t="shared" si="1087"/>
        <v>4.3113792069259125</v>
      </c>
      <c r="JX663" s="303"/>
      <c r="JY663" s="309"/>
      <c r="JZ663" s="310"/>
      <c r="KA663" s="313"/>
      <c r="KB663" s="303"/>
      <c r="KC663" s="303"/>
      <c r="KD663" s="303"/>
      <c r="KE663" s="303"/>
      <c r="KF663" s="303"/>
      <c r="KG663" s="309">
        <f t="shared" si="1099"/>
        <v>9.8027842212520362</v>
      </c>
      <c r="KH663" s="303"/>
      <c r="KI663" s="309"/>
      <c r="KJ663" s="310"/>
      <c r="KK663" s="313"/>
      <c r="KL663" s="303"/>
      <c r="KM663" s="303"/>
      <c r="KN663" s="303"/>
      <c r="KO663" s="303"/>
      <c r="KP663" s="303"/>
      <c r="KQ663" s="303"/>
      <c r="KR663" s="303"/>
      <c r="KS663" s="303"/>
      <c r="KT663" s="303"/>
      <c r="KU663" s="303"/>
      <c r="KV663" s="303"/>
      <c r="KW663" s="310"/>
      <c r="KX663" s="303"/>
      <c r="KY663" s="309"/>
      <c r="KZ663" s="303"/>
      <c r="LA663" s="416">
        <f t="shared" si="1090"/>
        <v>17.829596640752023</v>
      </c>
      <c r="LB663" s="303"/>
      <c r="LC663" s="415"/>
      <c r="LD663" s="303"/>
      <c r="LE663" s="303"/>
      <c r="LF663" s="303"/>
      <c r="LG663" s="303"/>
      <c r="LH663" s="309">
        <f t="shared" si="1091"/>
        <v>4.3113792069259125</v>
      </c>
      <c r="LI663" s="303"/>
      <c r="LJ663" s="303"/>
      <c r="LK663" s="303"/>
      <c r="LL663" s="303"/>
      <c r="LM663" s="303"/>
      <c r="LN663" s="303"/>
      <c r="LO663" s="303"/>
      <c r="LP663" s="303"/>
      <c r="LQ663" s="303"/>
      <c r="LR663" s="309">
        <f t="shared" si="1092"/>
        <v>10.36445013628275</v>
      </c>
      <c r="LS663" s="303"/>
      <c r="LT663" s="303"/>
      <c r="LU663" s="303"/>
      <c r="LV663" s="303"/>
      <c r="LW663" s="303"/>
      <c r="LX663" s="303"/>
      <c r="LY663" s="303"/>
      <c r="LZ663" s="303"/>
      <c r="MA663" s="303"/>
      <c r="MB663" s="309">
        <f t="shared" si="1093"/>
        <v>15.911230663358387</v>
      </c>
      <c r="MC663" s="303"/>
      <c r="MD663" s="303"/>
      <c r="ME663" s="303"/>
      <c r="MF663" s="303"/>
      <c r="MG663" s="303"/>
      <c r="MH663" s="303"/>
      <c r="MI663" s="303"/>
      <c r="MJ663" s="303"/>
      <c r="MK663" s="303"/>
      <c r="ML663" s="416">
        <f t="shared" si="1094"/>
        <v>20.627378499191423</v>
      </c>
    </row>
    <row r="664" spans="3:350" s="4" customFormat="1" ht="18" customHeight="1" x14ac:dyDescent="0.3">
      <c r="C664" s="136" t="s">
        <v>302</v>
      </c>
      <c r="E664" s="137" t="s">
        <v>105</v>
      </c>
      <c r="F664" s="186" t="s">
        <v>258</v>
      </c>
      <c r="H664" s="267"/>
      <c r="I664"/>
      <c r="J664"/>
      <c r="K664"/>
      <c r="M664" s="311">
        <f t="shared" si="1095"/>
        <v>4.5249704703882978</v>
      </c>
      <c r="N664" s="312">
        <v>4.9723147372789001</v>
      </c>
      <c r="O664" s="1"/>
      <c r="P664" s="237"/>
      <c r="Q664" s="236"/>
      <c r="R664" s="140"/>
      <c r="S664" s="139"/>
      <c r="T664" s="140"/>
      <c r="U664" s="140"/>
      <c r="V664" s="140"/>
      <c r="W664" s="140"/>
      <c r="X664" s="296">
        <f t="shared" si="1096"/>
        <v>4.5249704703882978</v>
      </c>
      <c r="Y664" s="140"/>
      <c r="Z664" s="140"/>
      <c r="AA664" s="140"/>
      <c r="AB664" s="140"/>
      <c r="AC664" s="140"/>
      <c r="AD664" s="140"/>
      <c r="AE664" s="140"/>
      <c r="AF664" s="140"/>
      <c r="AG664" s="140"/>
      <c r="AH664" s="296">
        <f t="shared" si="1097"/>
        <v>4.5249704703882978</v>
      </c>
      <c r="AI664" s="140"/>
      <c r="AJ664" s="140"/>
      <c r="AK664" s="140"/>
      <c r="AL664" s="140"/>
      <c r="AM664" s="140"/>
      <c r="AN664" s="140"/>
      <c r="AO664" s="140"/>
      <c r="AP664" s="140"/>
      <c r="AQ664" s="140"/>
      <c r="AR664" s="140"/>
      <c r="AS664" s="140"/>
      <c r="AT664" s="140"/>
      <c r="AU664" s="140"/>
      <c r="AV664" s="140"/>
      <c r="AW664" s="140"/>
      <c r="AX664" s="140"/>
      <c r="AY664" s="140"/>
      <c r="AZ664" s="140"/>
      <c r="BA664" s="140"/>
      <c r="BB664" s="308">
        <f t="shared" si="1098"/>
        <v>4.5249704703882978</v>
      </c>
      <c r="BC664" s="140"/>
      <c r="BD664" s="139"/>
      <c r="BE664" s="140"/>
      <c r="BF664" s="140"/>
      <c r="BG664" s="140"/>
      <c r="BH664" s="140"/>
      <c r="BI664" s="219"/>
      <c r="BJ664" s="234"/>
      <c r="BK664" s="234"/>
      <c r="BL664" s="234"/>
      <c r="BM664" s="234"/>
      <c r="BN664" s="234"/>
      <c r="BO664" s="234"/>
      <c r="BP664" s="234"/>
      <c r="BQ664" s="234"/>
      <c r="BR664" s="234"/>
      <c r="BS664" s="234"/>
      <c r="BT664" s="234"/>
      <c r="BU664" s="234"/>
      <c r="BV664" s="234"/>
      <c r="BW664" s="234"/>
      <c r="BX664" s="234"/>
      <c r="BY664" s="234"/>
      <c r="BZ664" s="234"/>
      <c r="CA664" s="234"/>
      <c r="CB664" s="234"/>
      <c r="CC664" s="234"/>
      <c r="CD664" s="234"/>
      <c r="CE664" s="234"/>
      <c r="CF664" s="234"/>
      <c r="CG664" s="234"/>
      <c r="CH664" s="234"/>
      <c r="CI664" s="234"/>
      <c r="CJ664" s="234"/>
      <c r="CK664" s="234"/>
      <c r="CL664" s="234"/>
      <c r="CM664" s="189"/>
      <c r="CN664" s="140"/>
      <c r="CO664" s="139"/>
      <c r="CP664" s="140"/>
      <c r="CQ664" s="140"/>
      <c r="CR664" s="140"/>
      <c r="CS664" s="140"/>
      <c r="CT664" s="219"/>
      <c r="CU664" s="234"/>
      <c r="CV664" s="234"/>
      <c r="CW664" s="234"/>
      <c r="CX664" s="234"/>
      <c r="CY664" s="234"/>
      <c r="CZ664" s="234"/>
      <c r="DA664" s="234"/>
      <c r="DB664" s="234"/>
      <c r="DC664" s="234"/>
      <c r="DD664" s="234"/>
      <c r="DE664" s="234"/>
      <c r="DF664" s="234"/>
      <c r="DG664" s="234"/>
      <c r="DH664" s="234"/>
      <c r="DI664" s="234"/>
      <c r="DJ664" s="234"/>
      <c r="DK664" s="234"/>
      <c r="DL664" s="234"/>
      <c r="DM664" s="234"/>
      <c r="DN664" s="234"/>
      <c r="DO664" s="234"/>
      <c r="DP664" s="234"/>
      <c r="DQ664" s="234"/>
      <c r="DR664" s="234"/>
      <c r="DS664" s="234"/>
      <c r="DT664" s="234"/>
      <c r="DU664" s="234"/>
      <c r="DV664" s="234"/>
      <c r="DW664" s="234"/>
      <c r="DX664" s="189"/>
      <c r="DY664" s="140"/>
      <c r="DZ664" s="139"/>
      <c r="EA664" s="140"/>
      <c r="EB664" s="140"/>
      <c r="EC664" s="140"/>
      <c r="ED664" s="140"/>
      <c r="EE664" s="219"/>
      <c r="EF664" s="234"/>
      <c r="EG664" s="234"/>
      <c r="EH664" s="234"/>
      <c r="EI664" s="234"/>
      <c r="EJ664" s="234"/>
      <c r="EK664" s="234"/>
      <c r="EL664" s="234"/>
      <c r="EM664" s="234"/>
      <c r="EN664" s="234"/>
      <c r="EO664" s="234"/>
      <c r="EP664" s="234"/>
      <c r="EQ664" s="234"/>
      <c r="ER664" s="234"/>
      <c r="ES664" s="234"/>
      <c r="ET664" s="234"/>
      <c r="EU664" s="234"/>
      <c r="EV664" s="234"/>
      <c r="EW664" s="234"/>
      <c r="EX664" s="234"/>
      <c r="EY664" s="234"/>
      <c r="EZ664" s="234"/>
      <c r="FA664" s="234"/>
      <c r="FB664" s="234"/>
      <c r="FC664" s="234"/>
      <c r="FD664" s="234"/>
      <c r="FE664" s="234"/>
      <c r="FF664" s="234"/>
      <c r="FG664" s="234"/>
      <c r="FH664" s="234"/>
      <c r="FI664" s="189"/>
      <c r="FJ664" s="140"/>
      <c r="FK664" s="139"/>
      <c r="FL664" s="140"/>
      <c r="FM664" s="140"/>
      <c r="FN664" s="140"/>
      <c r="FO664" s="140"/>
      <c r="FP664" s="219"/>
      <c r="FQ664" s="234"/>
      <c r="FR664" s="234"/>
      <c r="FS664" s="234"/>
      <c r="FT664" s="234"/>
      <c r="FU664" s="234"/>
      <c r="FV664" s="234"/>
      <c r="FW664" s="234"/>
      <c r="FX664" s="234"/>
      <c r="FY664" s="234"/>
      <c r="FZ664" s="234"/>
      <c r="GA664" s="234"/>
      <c r="GB664" s="234"/>
      <c r="GC664" s="234"/>
      <c r="GD664" s="234"/>
      <c r="GE664" s="234"/>
      <c r="GF664" s="234"/>
      <c r="GG664" s="234"/>
      <c r="GH664" s="234"/>
      <c r="GI664" s="234"/>
      <c r="GJ664" s="234"/>
      <c r="GK664" s="234"/>
      <c r="GL664" s="234"/>
      <c r="GM664" s="234"/>
      <c r="GN664" s="234"/>
      <c r="GO664" s="234"/>
      <c r="GP664" s="234"/>
      <c r="GQ664" s="234"/>
      <c r="GR664" s="234"/>
      <c r="GS664" s="234"/>
      <c r="GT664" s="189"/>
      <c r="GU664" s="140"/>
      <c r="GV664" s="139"/>
      <c r="GW664" s="140"/>
      <c r="GX664" s="140"/>
      <c r="GY664" s="140"/>
      <c r="GZ664" s="140"/>
      <c r="HA664" s="219"/>
      <c r="HB664" s="234"/>
      <c r="HC664" s="234"/>
      <c r="HD664" s="234"/>
      <c r="HE664" s="234"/>
      <c r="HF664" s="234"/>
      <c r="HG664" s="234"/>
      <c r="HH664" s="234"/>
      <c r="HI664" s="234"/>
      <c r="HJ664" s="234"/>
      <c r="HK664" s="234"/>
      <c r="HL664" s="234"/>
      <c r="HM664" s="234"/>
      <c r="HN664" s="234"/>
      <c r="HO664" s="234"/>
      <c r="HP664" s="234"/>
      <c r="HQ664" s="234"/>
      <c r="HR664" s="234"/>
      <c r="HS664" s="234"/>
      <c r="HT664" s="234"/>
      <c r="HU664" s="234"/>
      <c r="HV664" s="234"/>
      <c r="HW664" s="234"/>
      <c r="HX664" s="234"/>
      <c r="HY664" s="234"/>
      <c r="HZ664" s="234"/>
      <c r="IA664" s="234"/>
      <c r="IB664" s="234"/>
      <c r="IC664" s="234"/>
      <c r="ID664" s="234"/>
      <c r="IE664" s="189"/>
      <c r="IF664" s="140"/>
      <c r="IG664" s="139"/>
      <c r="IH664" s="140"/>
      <c r="II664" s="140"/>
      <c r="IJ664" s="140"/>
      <c r="IK664" s="140"/>
      <c r="IL664" s="296">
        <f t="shared" si="1082"/>
        <v>4.5249704703882978</v>
      </c>
      <c r="IM664" s="140"/>
      <c r="IN664" s="309">
        <v>7.4038673734344602</v>
      </c>
      <c r="IO664" s="310">
        <f t="shared" si="1083"/>
        <v>0.61116309114668577</v>
      </c>
      <c r="IP664" s="140"/>
      <c r="IQ664" s="140"/>
      <c r="IR664" s="140"/>
      <c r="IS664" s="140"/>
      <c r="IT664" s="140"/>
      <c r="IU664" s="140"/>
      <c r="IV664" s="296">
        <f t="shared" si="1084"/>
        <v>3.9553937678219384</v>
      </c>
      <c r="IW664" s="140"/>
      <c r="IX664" s="309">
        <v>7.00230709104585</v>
      </c>
      <c r="IY664" s="310">
        <f t="shared" si="1085"/>
        <v>0.56487008015970475</v>
      </c>
      <c r="IZ664" s="140"/>
      <c r="JA664" s="140"/>
      <c r="JB664" s="140"/>
      <c r="JC664" s="140"/>
      <c r="JD664" s="140"/>
      <c r="JE664" s="140"/>
      <c r="JF664" s="140"/>
      <c r="JG664" s="140"/>
      <c r="JH664" s="140"/>
      <c r="JI664" s="140"/>
      <c r="JJ664" s="140"/>
      <c r="JK664" s="140"/>
      <c r="JL664" s="140"/>
      <c r="JM664" s="140"/>
      <c r="JN664" s="140"/>
      <c r="JO664" s="140"/>
      <c r="JP664" s="308">
        <f t="shared" si="1086"/>
        <v>4.5249704703882978</v>
      </c>
      <c r="JQ664" s="140"/>
      <c r="JR664" s="139"/>
      <c r="JS664" s="140"/>
      <c r="JT664" s="140"/>
      <c r="JU664" s="140"/>
      <c r="JV664" s="140"/>
      <c r="JW664" s="296">
        <f t="shared" si="1087"/>
        <v>4.5249704703882978</v>
      </c>
      <c r="JX664" s="140"/>
      <c r="JY664" s="309">
        <v>7.4038673734344602</v>
      </c>
      <c r="JZ664" s="310">
        <f t="shared" si="1088"/>
        <v>0.61116309114668577</v>
      </c>
      <c r="KA664" s="140"/>
      <c r="KB664" s="140"/>
      <c r="KC664" s="140"/>
      <c r="KD664" s="140"/>
      <c r="KE664" s="140"/>
      <c r="KF664" s="140"/>
      <c r="KG664" s="296">
        <f t="shared" si="1099"/>
        <v>9.2714429917746219</v>
      </c>
      <c r="KH664" s="140"/>
      <c r="KI664" s="309">
        <v>15.1303621808405</v>
      </c>
      <c r="KJ664" s="310">
        <f t="shared" si="1089"/>
        <v>0.61277072425371304</v>
      </c>
      <c r="KK664" s="140"/>
      <c r="KL664" s="140"/>
      <c r="KM664" s="140"/>
      <c r="KN664" s="140"/>
      <c r="KO664" s="140"/>
      <c r="KP664" s="140"/>
      <c r="KQ664" s="140"/>
      <c r="KR664" s="140"/>
      <c r="KS664" s="140"/>
      <c r="KT664" s="140"/>
      <c r="KU664" s="140"/>
      <c r="KV664" s="140"/>
      <c r="KW664" s="310">
        <f>LA664/KY664</f>
        <v>0.60235466422652173</v>
      </c>
      <c r="KX664" s="140"/>
      <c r="KY664" s="309">
        <v>15.391999999999999</v>
      </c>
      <c r="KZ664" s="140"/>
      <c r="LA664" s="308">
        <f t="shared" si="1090"/>
        <v>9.2714429917746219</v>
      </c>
      <c r="LB664" s="140"/>
      <c r="LC664" s="139"/>
      <c r="LD664" s="140"/>
      <c r="LE664" s="140"/>
      <c r="LF664" s="140"/>
      <c r="LG664" s="140"/>
      <c r="LH664" s="296">
        <f t="shared" si="1091"/>
        <v>4.5249704703882978</v>
      </c>
      <c r="LI664" s="140"/>
      <c r="LJ664" s="140"/>
      <c r="LK664" s="140"/>
      <c r="LL664" s="140"/>
      <c r="LM664" s="140"/>
      <c r="LN664" s="140"/>
      <c r="LO664" s="140"/>
      <c r="LP664" s="140"/>
      <c r="LQ664" s="140"/>
      <c r="LR664" s="296">
        <f t="shared" si="1092"/>
        <v>9.2951753543815556</v>
      </c>
      <c r="LS664" s="140"/>
      <c r="LT664" s="140"/>
      <c r="LU664" s="140"/>
      <c r="LV664" s="140"/>
      <c r="LW664" s="140"/>
      <c r="LX664" s="140"/>
      <c r="LY664" s="140"/>
      <c r="LZ664" s="140"/>
      <c r="MA664" s="140"/>
      <c r="MB664" s="296">
        <f t="shared" si="1093"/>
        <v>10.67165238558359</v>
      </c>
      <c r="MC664" s="140"/>
      <c r="MD664" s="140"/>
      <c r="ME664" s="140"/>
      <c r="MF664" s="140"/>
      <c r="MG664" s="140"/>
      <c r="MH664" s="140"/>
      <c r="MI664" s="140"/>
      <c r="MJ664" s="140"/>
      <c r="MK664" s="140"/>
      <c r="ML664" s="308">
        <f t="shared" si="1094"/>
        <v>9.4850342552370108</v>
      </c>
    </row>
    <row r="665" spans="3:350" s="4" customFormat="1" ht="18" customHeight="1" x14ac:dyDescent="0.3">
      <c r="C665" s="136" t="s">
        <v>303</v>
      </c>
      <c r="E665" s="137" t="s">
        <v>105</v>
      </c>
      <c r="F665" s="186" t="s">
        <v>270</v>
      </c>
      <c r="H665" s="267"/>
      <c r="I665"/>
      <c r="J665"/>
      <c r="K665"/>
      <c r="M665" s="311">
        <f t="shared" si="1095"/>
        <v>1.0125808045624163</v>
      </c>
      <c r="N665" s="312">
        <v>5.3476888069018962</v>
      </c>
      <c r="O665" s="1"/>
      <c r="P665" s="237"/>
      <c r="Q665" s="236"/>
      <c r="R665" s="140"/>
      <c r="S665" s="139"/>
      <c r="T665" s="140"/>
      <c r="U665" s="140"/>
      <c r="V665" s="140"/>
      <c r="W665" s="140"/>
      <c r="X665" s="296">
        <f t="shared" si="1096"/>
        <v>1.0125808045624163</v>
      </c>
      <c r="Y665" s="140"/>
      <c r="Z665" s="140"/>
      <c r="AA665" s="140"/>
      <c r="AB665" s="140"/>
      <c r="AC665" s="140"/>
      <c r="AD665" s="140"/>
      <c r="AE665" s="140"/>
      <c r="AF665" s="140"/>
      <c r="AG665" s="140"/>
      <c r="AH665" s="296">
        <f t="shared" si="1097"/>
        <v>1.0125808045624163</v>
      </c>
      <c r="AI665" s="140"/>
      <c r="AJ665" s="140"/>
      <c r="AK665" s="140"/>
      <c r="AL665" s="140"/>
      <c r="AM665" s="140"/>
      <c r="AN665" s="140"/>
      <c r="AO665" s="140"/>
      <c r="AP665" s="140"/>
      <c r="AQ665" s="140"/>
      <c r="AR665" s="140"/>
      <c r="AS665" s="140"/>
      <c r="AT665" s="140"/>
      <c r="AU665" s="140"/>
      <c r="AV665" s="140"/>
      <c r="AW665" s="140"/>
      <c r="AX665" s="140"/>
      <c r="AY665" s="140"/>
      <c r="AZ665" s="140"/>
      <c r="BA665" s="140"/>
      <c r="BB665" s="308">
        <f t="shared" si="1098"/>
        <v>1.0125808045624163</v>
      </c>
      <c r="BC665" s="140"/>
      <c r="BD665" s="177"/>
      <c r="BE665" s="178"/>
      <c r="BF665" s="178"/>
      <c r="BG665" s="178"/>
      <c r="BH665" s="178"/>
      <c r="BI665" s="219"/>
      <c r="BJ665" s="234"/>
      <c r="BK665" s="234"/>
      <c r="BL665" s="234"/>
      <c r="BM665" s="234"/>
      <c r="BN665" s="234"/>
      <c r="BO665" s="234"/>
      <c r="BP665" s="234"/>
      <c r="BQ665" s="234"/>
      <c r="BR665" s="234"/>
      <c r="BS665" s="234"/>
      <c r="BT665" s="234"/>
      <c r="BU665" s="234"/>
      <c r="BV665" s="234"/>
      <c r="BW665" s="234"/>
      <c r="BX665" s="234"/>
      <c r="BY665" s="234"/>
      <c r="BZ665" s="234"/>
      <c r="CA665" s="234"/>
      <c r="CB665" s="234"/>
      <c r="CC665" s="234"/>
      <c r="CD665" s="234"/>
      <c r="CE665" s="234"/>
      <c r="CF665" s="234"/>
      <c r="CG665" s="234"/>
      <c r="CH665" s="234"/>
      <c r="CI665" s="234"/>
      <c r="CJ665" s="234"/>
      <c r="CK665" s="234"/>
      <c r="CL665" s="234"/>
      <c r="CM665" s="189"/>
      <c r="CN665" s="140"/>
      <c r="CO665" s="177"/>
      <c r="CP665" s="178"/>
      <c r="CQ665" s="178"/>
      <c r="CR665" s="178"/>
      <c r="CS665" s="178"/>
      <c r="CT665" s="219"/>
      <c r="CU665" s="234"/>
      <c r="CV665" s="234"/>
      <c r="CW665" s="234"/>
      <c r="CX665" s="234"/>
      <c r="CY665" s="234"/>
      <c r="CZ665" s="234"/>
      <c r="DA665" s="234"/>
      <c r="DB665" s="234"/>
      <c r="DC665" s="234"/>
      <c r="DD665" s="234"/>
      <c r="DE665" s="234"/>
      <c r="DF665" s="234"/>
      <c r="DG665" s="234"/>
      <c r="DH665" s="234"/>
      <c r="DI665" s="234"/>
      <c r="DJ665" s="234"/>
      <c r="DK665" s="234"/>
      <c r="DL665" s="234"/>
      <c r="DM665" s="234"/>
      <c r="DN665" s="234"/>
      <c r="DO665" s="234"/>
      <c r="DP665" s="234"/>
      <c r="DQ665" s="234"/>
      <c r="DR665" s="234"/>
      <c r="DS665" s="234"/>
      <c r="DT665" s="234"/>
      <c r="DU665" s="234"/>
      <c r="DV665" s="234"/>
      <c r="DW665" s="234"/>
      <c r="DX665" s="189"/>
      <c r="DY665" s="140"/>
      <c r="DZ665" s="177"/>
      <c r="EA665" s="178"/>
      <c r="EB665" s="178"/>
      <c r="EC665" s="178"/>
      <c r="ED665" s="178"/>
      <c r="EE665" s="219"/>
      <c r="EF665" s="234"/>
      <c r="EG665" s="234"/>
      <c r="EH665" s="234"/>
      <c r="EI665" s="234"/>
      <c r="EJ665" s="234"/>
      <c r="EK665" s="234"/>
      <c r="EL665" s="234"/>
      <c r="EM665" s="234"/>
      <c r="EN665" s="234"/>
      <c r="EO665" s="234"/>
      <c r="EP665" s="234"/>
      <c r="EQ665" s="234"/>
      <c r="ER665" s="234"/>
      <c r="ES665" s="234"/>
      <c r="ET665" s="234"/>
      <c r="EU665" s="234"/>
      <c r="EV665" s="234"/>
      <c r="EW665" s="234"/>
      <c r="EX665" s="234"/>
      <c r="EY665" s="234"/>
      <c r="EZ665" s="234"/>
      <c r="FA665" s="234"/>
      <c r="FB665" s="234"/>
      <c r="FC665" s="234"/>
      <c r="FD665" s="234"/>
      <c r="FE665" s="234"/>
      <c r="FF665" s="234"/>
      <c r="FG665" s="234"/>
      <c r="FH665" s="234"/>
      <c r="FI665" s="189"/>
      <c r="FJ665" s="140"/>
      <c r="FK665" s="177"/>
      <c r="FL665" s="178"/>
      <c r="FM665" s="178"/>
      <c r="FN665" s="178"/>
      <c r="FO665" s="178"/>
      <c r="FP665" s="219"/>
      <c r="FQ665" s="234"/>
      <c r="FR665" s="234"/>
      <c r="FS665" s="234"/>
      <c r="FT665" s="234"/>
      <c r="FU665" s="234"/>
      <c r="FV665" s="234"/>
      <c r="FW665" s="234"/>
      <c r="FX665" s="234"/>
      <c r="FY665" s="234"/>
      <c r="FZ665" s="234"/>
      <c r="GA665" s="234"/>
      <c r="GB665" s="234"/>
      <c r="GC665" s="234"/>
      <c r="GD665" s="234"/>
      <c r="GE665" s="234"/>
      <c r="GF665" s="234"/>
      <c r="GG665" s="234"/>
      <c r="GH665" s="234"/>
      <c r="GI665" s="234"/>
      <c r="GJ665" s="234"/>
      <c r="GK665" s="234"/>
      <c r="GL665" s="234"/>
      <c r="GM665" s="234"/>
      <c r="GN665" s="234"/>
      <c r="GO665" s="234"/>
      <c r="GP665" s="234"/>
      <c r="GQ665" s="234"/>
      <c r="GR665" s="234"/>
      <c r="GS665" s="234"/>
      <c r="GT665" s="189"/>
      <c r="GU665" s="140"/>
      <c r="GV665" s="177"/>
      <c r="GW665" s="178"/>
      <c r="GX665" s="178"/>
      <c r="GY665" s="178"/>
      <c r="GZ665" s="178"/>
      <c r="HA665" s="219"/>
      <c r="HB665" s="234"/>
      <c r="HC665" s="234"/>
      <c r="HD665" s="234"/>
      <c r="HE665" s="234"/>
      <c r="HF665" s="234"/>
      <c r="HG665" s="234"/>
      <c r="HH665" s="234"/>
      <c r="HI665" s="234"/>
      <c r="HJ665" s="234"/>
      <c r="HK665" s="234"/>
      <c r="HL665" s="234"/>
      <c r="HM665" s="234"/>
      <c r="HN665" s="234"/>
      <c r="HO665" s="234"/>
      <c r="HP665" s="234"/>
      <c r="HQ665" s="234"/>
      <c r="HR665" s="234"/>
      <c r="HS665" s="234"/>
      <c r="HT665" s="234"/>
      <c r="HU665" s="234"/>
      <c r="HV665" s="234"/>
      <c r="HW665" s="234"/>
      <c r="HX665" s="234"/>
      <c r="HY665" s="234"/>
      <c r="HZ665" s="234"/>
      <c r="IA665" s="234"/>
      <c r="IB665" s="234"/>
      <c r="IC665" s="234"/>
      <c r="ID665" s="234"/>
      <c r="IE665" s="189"/>
      <c r="IF665" s="140"/>
      <c r="IG665" s="139"/>
      <c r="IH665" s="140"/>
      <c r="II665" s="140"/>
      <c r="IJ665" s="140"/>
      <c r="IK665" s="140"/>
      <c r="IL665" s="296">
        <f t="shared" si="1082"/>
        <v>1.0125808045624163</v>
      </c>
      <c r="IM665" s="140"/>
      <c r="IN665" s="309">
        <v>1.3200978712202001</v>
      </c>
      <c r="IO665" s="310">
        <f t="shared" si="1083"/>
        <v>0.76704979732030176</v>
      </c>
      <c r="IP665" s="140"/>
      <c r="IQ665" s="140"/>
      <c r="IR665" s="140"/>
      <c r="IS665" s="140"/>
      <c r="IT665" s="140"/>
      <c r="IU665" s="140"/>
      <c r="IV665" s="296">
        <f t="shared" si="1084"/>
        <v>1.0125808045624163</v>
      </c>
      <c r="IW665" s="140"/>
      <c r="IX665" s="309">
        <v>1.26339166592406</v>
      </c>
      <c r="IY665" s="310">
        <f t="shared" si="1085"/>
        <v>0.80147814163535924</v>
      </c>
      <c r="IZ665" s="140"/>
      <c r="JA665" s="140"/>
      <c r="JB665" s="140"/>
      <c r="JC665" s="140"/>
      <c r="JD665" s="140"/>
      <c r="JE665" s="140"/>
      <c r="JF665" s="140"/>
      <c r="JG665" s="140"/>
      <c r="JH665" s="140"/>
      <c r="JI665" s="140"/>
      <c r="JJ665" s="140"/>
      <c r="JK665" s="140"/>
      <c r="JL665" s="140"/>
      <c r="JM665" s="140"/>
      <c r="JN665" s="140"/>
      <c r="JO665" s="140"/>
      <c r="JP665" s="308">
        <f t="shared" si="1086"/>
        <v>1.0125808045624163</v>
      </c>
      <c r="JQ665" s="140"/>
      <c r="JR665" s="139"/>
      <c r="JS665" s="140"/>
      <c r="JT665" s="140"/>
      <c r="JU665" s="140"/>
      <c r="JV665" s="140"/>
      <c r="JW665" s="296">
        <f t="shared" si="1087"/>
        <v>1.0125808045624163</v>
      </c>
      <c r="JX665" s="140"/>
      <c r="JY665" s="309">
        <v>1.3200978712202001</v>
      </c>
      <c r="JZ665" s="310">
        <f t="shared" si="1088"/>
        <v>0.76704979732030176</v>
      </c>
      <c r="KA665" s="140"/>
      <c r="KB665" s="140"/>
      <c r="KC665" s="140"/>
      <c r="KD665" s="140"/>
      <c r="KE665" s="140"/>
      <c r="KF665" s="140"/>
      <c r="KG665" s="296">
        <f t="shared" si="1099"/>
        <v>1.3290123059881713</v>
      </c>
      <c r="KH665" s="140"/>
      <c r="KI665" s="309">
        <v>1.5628097539039401</v>
      </c>
      <c r="KJ665" s="310">
        <f t="shared" si="1089"/>
        <v>0.85039929055232955</v>
      </c>
      <c r="KK665" s="140"/>
      <c r="KL665" s="140"/>
      <c r="KM665" s="140"/>
      <c r="KN665" s="140"/>
      <c r="KO665" s="140"/>
      <c r="KP665" s="140"/>
      <c r="KQ665" s="140"/>
      <c r="KR665" s="140"/>
      <c r="KS665" s="140"/>
      <c r="KT665" s="140"/>
      <c r="KU665" s="140"/>
      <c r="KV665" s="140"/>
      <c r="KW665" s="310">
        <f>LA665/KY665</f>
        <v>0.81372487023605145</v>
      </c>
      <c r="KX665" s="140"/>
      <c r="KY665" s="309">
        <v>2.0609999999999999</v>
      </c>
      <c r="KZ665" s="140"/>
      <c r="LA665" s="308">
        <f t="shared" si="1090"/>
        <v>1.6770869575565019</v>
      </c>
      <c r="LB665" s="140"/>
      <c r="LC665" s="139"/>
      <c r="LD665" s="140"/>
      <c r="LE665" s="140"/>
      <c r="LF665" s="140"/>
      <c r="LG665" s="140"/>
      <c r="LH665" s="296">
        <f t="shared" si="1091"/>
        <v>1.0125808045624163</v>
      </c>
      <c r="LI665" s="140"/>
      <c r="LJ665" s="140"/>
      <c r="LK665" s="140"/>
      <c r="LL665" s="140"/>
      <c r="LM665" s="140"/>
      <c r="LN665" s="140"/>
      <c r="LO665" s="140"/>
      <c r="LP665" s="140"/>
      <c r="LQ665" s="140"/>
      <c r="LR665" s="296">
        <f t="shared" si="1092"/>
        <v>1.487228056701049</v>
      </c>
      <c r="LS665" s="140"/>
      <c r="LT665" s="140"/>
      <c r="LU665" s="140"/>
      <c r="LV665" s="140"/>
      <c r="LW665" s="140"/>
      <c r="LX665" s="140"/>
      <c r="LY665" s="140"/>
      <c r="LZ665" s="140"/>
      <c r="MA665" s="140"/>
      <c r="MB665" s="296">
        <f t="shared" si="1093"/>
        <v>1.487228056701049</v>
      </c>
      <c r="MC665" s="140"/>
      <c r="MD665" s="140"/>
      <c r="ME665" s="140"/>
      <c r="MF665" s="140"/>
      <c r="MG665" s="140"/>
      <c r="MH665" s="140"/>
      <c r="MI665" s="140"/>
      <c r="MJ665" s="140"/>
      <c r="MK665" s="140"/>
      <c r="ML665" s="308">
        <f t="shared" si="1094"/>
        <v>2.0330723966604767</v>
      </c>
    </row>
    <row r="666" spans="3:350" s="4" customFormat="1" ht="18" customHeight="1" x14ac:dyDescent="0.3">
      <c r="C666" s="185" t="s">
        <v>106</v>
      </c>
      <c r="E666" s="137" t="s">
        <v>105</v>
      </c>
      <c r="F666" s="186" t="s">
        <v>278</v>
      </c>
      <c r="H666" s="267"/>
      <c r="I666"/>
      <c r="J666"/>
      <c r="K666"/>
      <c r="M666" s="314">
        <f t="shared" si="1095"/>
        <v>90.168174093407956</v>
      </c>
      <c r="N666" s="315">
        <v>94.862451077980765</v>
      </c>
      <c r="O666" s="1"/>
      <c r="P666" s="237"/>
      <c r="Q666" s="236"/>
      <c r="R666" s="140"/>
      <c r="S666" s="139"/>
      <c r="T666" s="140"/>
      <c r="U666" s="140"/>
      <c r="V666" s="140"/>
      <c r="W666" s="140"/>
      <c r="X666" s="296">
        <f t="shared" si="1096"/>
        <v>90.168174093407956</v>
      </c>
      <c r="Y666" s="140"/>
      <c r="Z666" s="140"/>
      <c r="AA666" s="140"/>
      <c r="AB666" s="140"/>
      <c r="AC666" s="140"/>
      <c r="AD666" s="140"/>
      <c r="AE666" s="140"/>
      <c r="AF666" s="140"/>
      <c r="AG666" s="140"/>
      <c r="AH666" s="296">
        <f t="shared" si="1097"/>
        <v>90.168174093407956</v>
      </c>
      <c r="AI666" s="140"/>
      <c r="AJ666" s="140"/>
      <c r="AK666" s="140"/>
      <c r="AL666" s="140"/>
      <c r="AM666" s="140"/>
      <c r="AN666" s="140"/>
      <c r="AO666" s="140"/>
      <c r="AP666" s="140"/>
      <c r="AQ666" s="140"/>
      <c r="AR666" s="140"/>
      <c r="AS666" s="140"/>
      <c r="AT666" s="140"/>
      <c r="AU666" s="140"/>
      <c r="AV666" s="140"/>
      <c r="AW666" s="140"/>
      <c r="AX666" s="140"/>
      <c r="AY666" s="140"/>
      <c r="AZ666" s="140"/>
      <c r="BA666" s="140"/>
      <c r="BB666" s="308">
        <f t="shared" si="1098"/>
        <v>67.744167847232575</v>
      </c>
      <c r="BC666" s="140"/>
      <c r="BD666" s="177"/>
      <c r="BE666" s="178"/>
      <c r="BF666" s="178"/>
      <c r="BG666" s="178"/>
      <c r="BH666" s="178"/>
      <c r="BI666" s="219"/>
      <c r="BJ666" s="234"/>
      <c r="BK666" s="234"/>
      <c r="BL666" s="234"/>
      <c r="BM666" s="234"/>
      <c r="BN666" s="234"/>
      <c r="BO666" s="234"/>
      <c r="BP666" s="234"/>
      <c r="BQ666" s="234"/>
      <c r="BR666" s="234"/>
      <c r="BS666" s="234"/>
      <c r="BT666" s="234"/>
      <c r="BU666" s="234"/>
      <c r="BV666" s="234"/>
      <c r="BW666" s="234"/>
      <c r="BX666" s="234"/>
      <c r="BY666" s="234"/>
      <c r="BZ666" s="234"/>
      <c r="CA666" s="234"/>
      <c r="CB666" s="234"/>
      <c r="CC666" s="234"/>
      <c r="CD666" s="234"/>
      <c r="CE666" s="234"/>
      <c r="CF666" s="234"/>
      <c r="CG666" s="234"/>
      <c r="CH666" s="234"/>
      <c r="CI666" s="234"/>
      <c r="CJ666" s="234"/>
      <c r="CK666" s="234"/>
      <c r="CL666" s="234"/>
      <c r="CM666" s="189"/>
      <c r="CN666" s="140"/>
      <c r="CO666" s="177"/>
      <c r="CP666" s="178"/>
      <c r="CQ666" s="178"/>
      <c r="CR666" s="178"/>
      <c r="CS666" s="178"/>
      <c r="CT666" s="219"/>
      <c r="CU666" s="234"/>
      <c r="CV666" s="234"/>
      <c r="CW666" s="234"/>
      <c r="CX666" s="234"/>
      <c r="CY666" s="234"/>
      <c r="CZ666" s="234"/>
      <c r="DA666" s="234"/>
      <c r="DB666" s="234"/>
      <c r="DC666" s="234"/>
      <c r="DD666" s="234"/>
      <c r="DE666" s="234"/>
      <c r="DF666" s="234"/>
      <c r="DG666" s="234"/>
      <c r="DH666" s="234"/>
      <c r="DI666" s="234"/>
      <c r="DJ666" s="234"/>
      <c r="DK666" s="234"/>
      <c r="DL666" s="234"/>
      <c r="DM666" s="234"/>
      <c r="DN666" s="234"/>
      <c r="DO666" s="234"/>
      <c r="DP666" s="234"/>
      <c r="DQ666" s="234"/>
      <c r="DR666" s="234"/>
      <c r="DS666" s="234"/>
      <c r="DT666" s="234"/>
      <c r="DU666" s="234"/>
      <c r="DV666" s="234"/>
      <c r="DW666" s="234"/>
      <c r="DX666" s="189"/>
      <c r="DY666" s="140"/>
      <c r="DZ666" s="177"/>
      <c r="EA666" s="178"/>
      <c r="EB666" s="178"/>
      <c r="EC666" s="178"/>
      <c r="ED666" s="178"/>
      <c r="EE666" s="219"/>
      <c r="EF666" s="234"/>
      <c r="EG666" s="234"/>
      <c r="EH666" s="234"/>
      <c r="EI666" s="234"/>
      <c r="EJ666" s="234"/>
      <c r="EK666" s="234"/>
      <c r="EL666" s="234"/>
      <c r="EM666" s="234"/>
      <c r="EN666" s="234"/>
      <c r="EO666" s="234"/>
      <c r="EP666" s="234"/>
      <c r="EQ666" s="234"/>
      <c r="ER666" s="234"/>
      <c r="ES666" s="234"/>
      <c r="ET666" s="234"/>
      <c r="EU666" s="234"/>
      <c r="EV666" s="234"/>
      <c r="EW666" s="234"/>
      <c r="EX666" s="234"/>
      <c r="EY666" s="234"/>
      <c r="EZ666" s="234"/>
      <c r="FA666" s="234"/>
      <c r="FB666" s="234"/>
      <c r="FC666" s="234"/>
      <c r="FD666" s="234"/>
      <c r="FE666" s="234"/>
      <c r="FF666" s="234"/>
      <c r="FG666" s="234"/>
      <c r="FH666" s="234"/>
      <c r="FI666" s="189"/>
      <c r="FJ666" s="140"/>
      <c r="FK666" s="177"/>
      <c r="FL666" s="178"/>
      <c r="FM666" s="178"/>
      <c r="FN666" s="178"/>
      <c r="FO666" s="178"/>
      <c r="FP666" s="219"/>
      <c r="FQ666" s="234"/>
      <c r="FR666" s="234"/>
      <c r="FS666" s="234"/>
      <c r="FT666" s="234"/>
      <c r="FU666" s="234"/>
      <c r="FV666" s="234"/>
      <c r="FW666" s="234"/>
      <c r="FX666" s="234"/>
      <c r="FY666" s="234"/>
      <c r="FZ666" s="234"/>
      <c r="GA666" s="234"/>
      <c r="GB666" s="234"/>
      <c r="GC666" s="234"/>
      <c r="GD666" s="234"/>
      <c r="GE666" s="234"/>
      <c r="GF666" s="234"/>
      <c r="GG666" s="234"/>
      <c r="GH666" s="234"/>
      <c r="GI666" s="234"/>
      <c r="GJ666" s="234"/>
      <c r="GK666" s="234"/>
      <c r="GL666" s="234"/>
      <c r="GM666" s="234"/>
      <c r="GN666" s="234"/>
      <c r="GO666" s="234"/>
      <c r="GP666" s="234"/>
      <c r="GQ666" s="234"/>
      <c r="GR666" s="234"/>
      <c r="GS666" s="234"/>
      <c r="GT666" s="189"/>
      <c r="GU666" s="140"/>
      <c r="GV666" s="177"/>
      <c r="GW666" s="178"/>
      <c r="GX666" s="178"/>
      <c r="GY666" s="178"/>
      <c r="GZ666" s="178"/>
      <c r="HA666" s="219"/>
      <c r="HB666" s="234"/>
      <c r="HC666" s="234"/>
      <c r="HD666" s="234"/>
      <c r="HE666" s="234"/>
      <c r="HF666" s="234"/>
      <c r="HG666" s="234"/>
      <c r="HH666" s="234"/>
      <c r="HI666" s="234"/>
      <c r="HJ666" s="234"/>
      <c r="HK666" s="234"/>
      <c r="HL666" s="234"/>
      <c r="HM666" s="234"/>
      <c r="HN666" s="234"/>
      <c r="HO666" s="234"/>
      <c r="HP666" s="234"/>
      <c r="HQ666" s="234"/>
      <c r="HR666" s="234"/>
      <c r="HS666" s="234"/>
      <c r="HT666" s="234"/>
      <c r="HU666" s="234"/>
      <c r="HV666" s="234"/>
      <c r="HW666" s="234"/>
      <c r="HX666" s="234"/>
      <c r="HY666" s="234"/>
      <c r="HZ666" s="234"/>
      <c r="IA666" s="234"/>
      <c r="IB666" s="234"/>
      <c r="IC666" s="234"/>
      <c r="ID666" s="234"/>
      <c r="IE666" s="189"/>
      <c r="IF666" s="140"/>
      <c r="IG666" s="139"/>
      <c r="IH666" s="140"/>
      <c r="II666" s="140"/>
      <c r="IJ666" s="140"/>
      <c r="IK666" s="140"/>
      <c r="IL666" s="296">
        <f t="shared" si="1082"/>
        <v>90.168174093407956</v>
      </c>
      <c r="IM666" s="140"/>
      <c r="IN666" s="309">
        <f>SUM(IN659:IN665)</f>
        <v>102.67955823247887</v>
      </c>
      <c r="IO666" s="310">
        <f t="shared" si="1083"/>
        <v>0.87815116899175161</v>
      </c>
      <c r="IP666" s="140"/>
      <c r="IQ666" s="140"/>
      <c r="IR666" s="140"/>
      <c r="IS666" s="140"/>
      <c r="IT666" s="140"/>
      <c r="IU666" s="140"/>
      <c r="IV666" s="296">
        <f t="shared" si="1084"/>
        <v>70.632935327810699</v>
      </c>
      <c r="IW666" s="140"/>
      <c r="IX666" s="309">
        <f>SUM(IX659:IX665)</f>
        <v>80.593613193460612</v>
      </c>
      <c r="IY666" s="310">
        <f t="shared" si="1085"/>
        <v>0.87640859528484172</v>
      </c>
      <c r="IZ666" s="140"/>
      <c r="JA666" s="140"/>
      <c r="JB666" s="140"/>
      <c r="JC666" s="140"/>
      <c r="JD666" s="140"/>
      <c r="JE666" s="140"/>
      <c r="JF666" s="140"/>
      <c r="JG666" s="140"/>
      <c r="JH666" s="140"/>
      <c r="JI666" s="140"/>
      <c r="JJ666" s="140"/>
      <c r="JK666" s="140"/>
      <c r="JL666" s="140"/>
      <c r="JM666" s="140"/>
      <c r="JN666" s="140"/>
      <c r="JO666" s="140"/>
      <c r="JP666" s="308">
        <f t="shared" si="1086"/>
        <v>90.168174093407956</v>
      </c>
      <c r="JQ666" s="140"/>
      <c r="JR666" s="139"/>
      <c r="JS666" s="140"/>
      <c r="JT666" s="140"/>
      <c r="JU666" s="140"/>
      <c r="JV666" s="140"/>
      <c r="JW666" s="296">
        <f t="shared" si="1087"/>
        <v>90.168174093407956</v>
      </c>
      <c r="JX666" s="140"/>
      <c r="JY666" s="309">
        <f>SUM(JY659:JY665)</f>
        <v>102.67955823247887</v>
      </c>
      <c r="JZ666" s="310">
        <f t="shared" si="1088"/>
        <v>0.87815116899175161</v>
      </c>
      <c r="KA666" s="140"/>
      <c r="KB666" s="140"/>
      <c r="KC666" s="140"/>
      <c r="KD666" s="140"/>
      <c r="KE666" s="140"/>
      <c r="KF666" s="140"/>
      <c r="KG666" s="296">
        <f t="shared" si="1099"/>
        <v>65.988805728797075</v>
      </c>
      <c r="KH666" s="140"/>
      <c r="KI666" s="309">
        <f>SUM(KI659:KI665)</f>
        <v>76.298261715748254</v>
      </c>
      <c r="KJ666" s="310">
        <f t="shared" si="1089"/>
        <v>0.86487954305748926</v>
      </c>
      <c r="KK666" s="140"/>
      <c r="KL666" s="140"/>
      <c r="KM666" s="140"/>
      <c r="KN666" s="140"/>
      <c r="KO666" s="140"/>
      <c r="KP666" s="140"/>
      <c r="KQ666" s="140"/>
      <c r="KR666" s="140"/>
      <c r="KS666" s="140"/>
      <c r="KT666" s="140"/>
      <c r="KU666" s="140"/>
      <c r="KV666" s="140"/>
      <c r="KW666" s="310">
        <f>LA666/KY666</f>
        <v>0.85023939746467503</v>
      </c>
      <c r="KX666" s="140"/>
      <c r="KY666" s="309">
        <f>SUM(KY659:KY665)</f>
        <v>46.339999999999996</v>
      </c>
      <c r="KZ666" s="140"/>
      <c r="LA666" s="308">
        <f t="shared" si="1090"/>
        <v>39.400093678513038</v>
      </c>
      <c r="LB666" s="140"/>
      <c r="LC666" s="139"/>
      <c r="LD666" s="140"/>
      <c r="LE666" s="140"/>
      <c r="LF666" s="140"/>
      <c r="LG666" s="140"/>
      <c r="LH666" s="296">
        <f t="shared" si="1091"/>
        <v>90.168174093407956</v>
      </c>
      <c r="LI666" s="140"/>
      <c r="LJ666" s="140"/>
      <c r="LK666" s="140"/>
      <c r="LL666" s="140"/>
      <c r="LM666" s="140"/>
      <c r="LN666" s="140"/>
      <c r="LO666" s="140"/>
      <c r="LP666" s="140"/>
      <c r="LQ666" s="140"/>
      <c r="LR666" s="296">
        <f t="shared" si="1092"/>
        <v>72.089086942832978</v>
      </c>
      <c r="LS666" s="140"/>
      <c r="LT666" s="140"/>
      <c r="LU666" s="140"/>
      <c r="LV666" s="140"/>
      <c r="LW666" s="140"/>
      <c r="LX666" s="140"/>
      <c r="LY666" s="140"/>
      <c r="LZ666" s="140"/>
      <c r="MA666" s="140"/>
      <c r="MB666" s="296">
        <f t="shared" si="1093"/>
        <v>56.079156482940732</v>
      </c>
      <c r="MC666" s="140"/>
      <c r="MD666" s="140"/>
      <c r="ME666" s="140"/>
      <c r="MF666" s="140"/>
      <c r="MG666" s="140"/>
      <c r="MH666" s="140"/>
      <c r="MI666" s="140"/>
      <c r="MJ666" s="140"/>
      <c r="MK666" s="140"/>
      <c r="ML666" s="308">
        <f t="shared" si="1094"/>
        <v>43.607106004266974</v>
      </c>
    </row>
    <row r="667" spans="3:350" s="4" customFormat="1" ht="18" customHeight="1" x14ac:dyDescent="0.3">
      <c r="C667" s="136" t="s">
        <v>315</v>
      </c>
      <c r="E667" s="137"/>
      <c r="F667" s="186"/>
      <c r="H667" s="267"/>
      <c r="I667"/>
      <c r="J667"/>
      <c r="K667"/>
      <c r="L667"/>
      <c r="M667" s="1" t="s">
        <v>316</v>
      </c>
      <c r="N667" s="316" t="s">
        <v>317</v>
      </c>
      <c r="O667" s="1"/>
      <c r="P667" s="237"/>
      <c r="Q667" s="236"/>
      <c r="R667" s="140"/>
      <c r="S667" s="139"/>
      <c r="T667" s="140"/>
      <c r="U667" s="140"/>
      <c r="V667" s="140"/>
      <c r="W667" s="140"/>
      <c r="X667"/>
      <c r="Y667" s="140"/>
      <c r="Z667" s="140"/>
      <c r="AA667" s="140"/>
      <c r="AB667" s="140"/>
      <c r="AC667" s="140"/>
      <c r="AD667" s="140"/>
      <c r="AE667" s="140"/>
      <c r="AF667" s="140"/>
      <c r="AG667" s="140"/>
      <c r="AH667" s="140"/>
      <c r="AI667" s="140"/>
      <c r="AJ667" s="140"/>
      <c r="AK667" s="140"/>
      <c r="AL667" s="140"/>
      <c r="AM667" s="140"/>
      <c r="AN667" s="140"/>
      <c r="AO667" s="140"/>
      <c r="AP667" s="140"/>
      <c r="AQ667" s="140"/>
      <c r="AR667" s="140"/>
      <c r="AS667" s="140"/>
      <c r="AT667" s="140"/>
      <c r="AU667" s="140"/>
      <c r="AV667" s="140"/>
      <c r="AW667" s="140"/>
      <c r="AX667" s="140"/>
      <c r="AY667" s="140"/>
      <c r="AZ667" s="140"/>
      <c r="BA667" s="140"/>
      <c r="BB667" s="141"/>
      <c r="BC667" s="140"/>
      <c r="BD667" s="177"/>
      <c r="BE667" s="178"/>
      <c r="BF667" s="178"/>
      <c r="BG667" s="178"/>
      <c r="BH667" s="178"/>
      <c r="BI667" s="219"/>
      <c r="BJ667" s="234"/>
      <c r="BK667" s="234"/>
      <c r="BL667" s="234"/>
      <c r="BM667" s="234"/>
      <c r="BN667" s="234"/>
      <c r="BO667" s="234"/>
      <c r="BP667" s="234"/>
      <c r="BQ667" s="234"/>
      <c r="BR667" s="234"/>
      <c r="BS667" s="234"/>
      <c r="BT667" s="234"/>
      <c r="BU667" s="234"/>
      <c r="BV667" s="234"/>
      <c r="BW667" s="234"/>
      <c r="BX667" s="234"/>
      <c r="BY667" s="234"/>
      <c r="BZ667" s="234"/>
      <c r="CA667" s="234"/>
      <c r="CB667" s="234"/>
      <c r="CC667" s="234"/>
      <c r="CD667" s="234"/>
      <c r="CE667" s="234"/>
      <c r="CF667" s="234"/>
      <c r="CG667" s="234"/>
      <c r="CH667" s="234"/>
      <c r="CI667" s="234"/>
      <c r="CJ667" s="234"/>
      <c r="CK667" s="234"/>
      <c r="CL667" s="234"/>
      <c r="CM667" s="189"/>
      <c r="CN667" s="140"/>
      <c r="CO667" s="177"/>
      <c r="CP667" s="178"/>
      <c r="CQ667" s="178"/>
      <c r="CR667" s="178"/>
      <c r="CS667" s="178"/>
      <c r="CT667" s="219"/>
      <c r="CU667" s="234"/>
      <c r="CV667" s="234"/>
      <c r="CW667" s="234"/>
      <c r="CX667" s="234"/>
      <c r="CY667" s="234"/>
      <c r="CZ667" s="234"/>
      <c r="DA667" s="234"/>
      <c r="DB667" s="234"/>
      <c r="DC667" s="234"/>
      <c r="DD667" s="234"/>
      <c r="DE667" s="234"/>
      <c r="DF667" s="234"/>
      <c r="DG667" s="234"/>
      <c r="DH667" s="234"/>
      <c r="DI667" s="234"/>
      <c r="DJ667" s="234"/>
      <c r="DK667" s="234"/>
      <c r="DL667" s="234"/>
      <c r="DM667" s="234"/>
      <c r="DN667" s="234"/>
      <c r="DO667" s="234"/>
      <c r="DP667" s="234"/>
      <c r="DQ667" s="234"/>
      <c r="DR667" s="234"/>
      <c r="DS667" s="234"/>
      <c r="DT667" s="234"/>
      <c r="DU667" s="234"/>
      <c r="DV667" s="234"/>
      <c r="DW667" s="234"/>
      <c r="DX667" s="189"/>
      <c r="DY667" s="140"/>
      <c r="DZ667" s="177"/>
      <c r="EA667" s="178"/>
      <c r="EB667" s="178"/>
      <c r="EC667" s="178"/>
      <c r="ED667" s="178"/>
      <c r="EE667" s="219"/>
      <c r="EF667" s="234"/>
      <c r="EG667" s="234"/>
      <c r="EH667" s="234"/>
      <c r="EI667" s="234"/>
      <c r="EJ667" s="234"/>
      <c r="EK667" s="234"/>
      <c r="EL667" s="234"/>
      <c r="EM667" s="234"/>
      <c r="EN667" s="234"/>
      <c r="EO667" s="234"/>
      <c r="EP667" s="234"/>
      <c r="EQ667" s="234"/>
      <c r="ER667" s="234"/>
      <c r="ES667" s="234"/>
      <c r="ET667" s="234"/>
      <c r="EU667" s="234"/>
      <c r="EV667" s="234"/>
      <c r="EW667" s="234"/>
      <c r="EX667" s="234"/>
      <c r="EY667" s="234"/>
      <c r="EZ667" s="234"/>
      <c r="FA667" s="234"/>
      <c r="FB667" s="234"/>
      <c r="FC667" s="234"/>
      <c r="FD667" s="234"/>
      <c r="FE667" s="234"/>
      <c r="FF667" s="234"/>
      <c r="FG667" s="234"/>
      <c r="FH667" s="234"/>
      <c r="FI667" s="189"/>
      <c r="FJ667" s="140"/>
      <c r="FK667" s="177"/>
      <c r="FL667" s="178"/>
      <c r="FM667" s="178"/>
      <c r="FN667" s="178"/>
      <c r="FO667" s="178"/>
      <c r="FP667" s="219"/>
      <c r="FQ667" s="234"/>
      <c r="FR667" s="234"/>
      <c r="FS667" s="234"/>
      <c r="FT667" s="234"/>
      <c r="FU667" s="234"/>
      <c r="FV667" s="234"/>
      <c r="FW667" s="234"/>
      <c r="FX667" s="234"/>
      <c r="FY667" s="234"/>
      <c r="FZ667" s="234"/>
      <c r="GA667" s="234"/>
      <c r="GB667" s="234"/>
      <c r="GC667" s="234"/>
      <c r="GD667" s="234"/>
      <c r="GE667" s="234"/>
      <c r="GF667" s="234"/>
      <c r="GG667" s="234"/>
      <c r="GH667" s="234"/>
      <c r="GI667" s="234"/>
      <c r="GJ667" s="234"/>
      <c r="GK667" s="234"/>
      <c r="GL667" s="234"/>
      <c r="GM667" s="234"/>
      <c r="GN667" s="234"/>
      <c r="GO667" s="234"/>
      <c r="GP667" s="234"/>
      <c r="GQ667" s="234"/>
      <c r="GR667" s="234"/>
      <c r="GS667" s="234"/>
      <c r="GT667" s="189"/>
      <c r="GU667" s="140"/>
      <c r="GV667" s="177"/>
      <c r="GW667" s="178"/>
      <c r="GX667" s="178"/>
      <c r="GY667" s="178"/>
      <c r="GZ667" s="178"/>
      <c r="HA667" s="219"/>
      <c r="HB667" s="234"/>
      <c r="HC667" s="234"/>
      <c r="HD667" s="234"/>
      <c r="HE667" s="234"/>
      <c r="HF667" s="234"/>
      <c r="HG667" s="234"/>
      <c r="HH667" s="234"/>
      <c r="HI667" s="234"/>
      <c r="HJ667" s="234"/>
      <c r="HK667" s="234"/>
      <c r="HL667" s="234"/>
      <c r="HM667" s="234"/>
      <c r="HN667" s="234"/>
      <c r="HO667" s="234"/>
      <c r="HP667" s="234"/>
      <c r="HQ667" s="234"/>
      <c r="HR667" s="234"/>
      <c r="HS667" s="234"/>
      <c r="HT667" s="234"/>
      <c r="HU667" s="234"/>
      <c r="HV667" s="234"/>
      <c r="HW667" s="234"/>
      <c r="HX667" s="234"/>
      <c r="HY667" s="234"/>
      <c r="HZ667" s="234"/>
      <c r="IA667" s="234"/>
      <c r="IB667" s="234"/>
      <c r="IC667" s="234"/>
      <c r="ID667" s="234"/>
      <c r="IE667" s="189"/>
      <c r="IF667" s="140"/>
      <c r="IG667" s="139"/>
      <c r="IH667" s="140"/>
      <c r="II667" s="140"/>
      <c r="IJ667" s="140"/>
      <c r="IK667" s="140"/>
      <c r="IL667"/>
      <c r="IM667" s="140"/>
      <c r="IN667" s="140"/>
      <c r="IO667" s="140"/>
      <c r="IP667" s="140"/>
      <c r="IQ667" s="140"/>
      <c r="IR667" s="140"/>
      <c r="IS667" s="140"/>
      <c r="IT667" s="140"/>
      <c r="IU667" s="140"/>
      <c r="IV667" s="218">
        <f>(IV666-IL666)/$JW666</f>
        <v>-0.21665336979498007</v>
      </c>
      <c r="IW667" s="140"/>
      <c r="IX667" s="317">
        <f>IX666/IN666-1</f>
        <v>-0.21509583230785845</v>
      </c>
      <c r="IY667" s="317">
        <f t="shared" si="1085"/>
        <v>1.00724113280304</v>
      </c>
      <c r="IZ667" s="140"/>
      <c r="JA667" s="140"/>
      <c r="JB667" s="140"/>
      <c r="JC667" s="140"/>
      <c r="JD667" s="140"/>
      <c r="JE667" s="140"/>
      <c r="JF667" s="140"/>
      <c r="JG667" s="140"/>
      <c r="JH667" s="140"/>
      <c r="JI667" s="140"/>
      <c r="JJ667" s="140"/>
      <c r="JK667" s="140"/>
      <c r="JL667" s="140"/>
      <c r="JM667" s="140"/>
      <c r="JN667" s="140"/>
      <c r="JO667" s="140"/>
      <c r="JP667" s="141"/>
      <c r="JQ667" s="140"/>
      <c r="JR667" s="139"/>
      <c r="JS667" s="140"/>
      <c r="JT667" s="140"/>
      <c r="JU667" s="140"/>
      <c r="JV667" s="140"/>
      <c r="JW667"/>
      <c r="JX667" s="140"/>
      <c r="JY667" s="303"/>
      <c r="JZ667" s="303"/>
      <c r="KA667" s="140"/>
      <c r="KB667" s="140"/>
      <c r="KC667" s="140"/>
      <c r="KD667" s="140"/>
      <c r="KE667" s="140"/>
      <c r="KF667" s="140"/>
      <c r="KG667" s="218">
        <f>(KG666-JW666)/$JW666</f>
        <v>-0.26815856711884545</v>
      </c>
      <c r="KH667" s="140"/>
      <c r="KI667" s="317">
        <f>KI666/JY666-1</f>
        <v>-0.25692841857578108</v>
      </c>
      <c r="KJ667" s="317">
        <f t="shared" si="1089"/>
        <v>1.0437092502468817</v>
      </c>
      <c r="KK667" s="140"/>
      <c r="KL667" s="140"/>
      <c r="KM667" s="140"/>
      <c r="KN667" s="140"/>
      <c r="KO667" s="140"/>
      <c r="KP667" s="140"/>
      <c r="KQ667" s="140"/>
      <c r="KR667" s="140"/>
      <c r="KS667" s="140"/>
      <c r="KT667" s="140"/>
      <c r="KU667" s="140"/>
      <c r="KV667" s="140"/>
      <c r="KW667" s="310">
        <f>LA667/KY667</f>
        <v>1.026143318259727</v>
      </c>
      <c r="KX667" s="140"/>
      <c r="KY667" s="317">
        <f>KY666/JY666-1</f>
        <v>-0.5486930329883124</v>
      </c>
      <c r="KZ667" s="140"/>
      <c r="LA667" s="236">
        <f>(LA666-$JW666)/$JW666</f>
        <v>-0.5630376895766207</v>
      </c>
      <c r="LB667" s="140"/>
      <c r="LC667" s="139"/>
      <c r="LD667" s="140"/>
      <c r="LE667" s="140"/>
      <c r="LF667" s="140"/>
      <c r="LG667" s="140"/>
      <c r="LH667"/>
      <c r="LI667" s="140"/>
      <c r="LJ667" s="140"/>
      <c r="LK667" s="140"/>
      <c r="LL667" s="140"/>
      <c r="LM667" s="140"/>
      <c r="LN667" s="140"/>
      <c r="LO667" s="140"/>
      <c r="LP667" s="140"/>
      <c r="LQ667" s="140"/>
      <c r="LR667" s="218">
        <f>(LR666-LH666)/$JW666</f>
        <v>-0.20050408397808189</v>
      </c>
      <c r="LS667" s="140"/>
      <c r="LT667" s="140"/>
      <c r="LU667" s="140"/>
      <c r="LV667" s="140"/>
      <c r="LW667" s="140"/>
      <c r="LX667" s="140"/>
      <c r="LY667" s="140"/>
      <c r="LZ667" s="140"/>
      <c r="MA667" s="140"/>
      <c r="MB667" s="218">
        <f>(MB666-LR666)/$JW666</f>
        <v>-0.17755633427052733</v>
      </c>
      <c r="MC667" s="140"/>
      <c r="MD667" s="140"/>
      <c r="ME667" s="140"/>
      <c r="MF667" s="140"/>
      <c r="MG667" s="140"/>
      <c r="MH667" s="140"/>
      <c r="MI667" s="140"/>
      <c r="MJ667" s="140"/>
      <c r="MK667" s="140"/>
      <c r="ML667" s="141"/>
    </row>
    <row r="668" spans="3:350" s="4" customFormat="1" ht="18" customHeight="1" x14ac:dyDescent="0.3">
      <c r="C668" s="136" t="s">
        <v>318</v>
      </c>
      <c r="E668" s="137"/>
      <c r="F668" s="186"/>
      <c r="H668" s="267"/>
      <c r="I668"/>
      <c r="J668"/>
      <c r="K668"/>
      <c r="L668"/>
      <c r="M668"/>
      <c r="N668" s="237"/>
      <c r="O668" s="237"/>
      <c r="P668" s="237"/>
      <c r="Q668" s="236"/>
      <c r="R668" s="140"/>
      <c r="S668" s="139"/>
      <c r="T668" s="140"/>
      <c r="U668" s="140"/>
      <c r="V668" s="140"/>
      <c r="W668" s="140"/>
      <c r="X668"/>
      <c r="Y668" s="140"/>
      <c r="Z668" s="140"/>
      <c r="AA668" s="140"/>
      <c r="AB668" s="140"/>
      <c r="AC668" s="140"/>
      <c r="AD668" s="140"/>
      <c r="AE668" s="140"/>
      <c r="AF668" s="140"/>
      <c r="AG668" s="140"/>
      <c r="AH668" s="140"/>
      <c r="AI668" s="140"/>
      <c r="AJ668" s="140"/>
      <c r="AK668" s="140"/>
      <c r="AL668" s="140"/>
      <c r="AM668" s="140"/>
      <c r="AN668" s="140"/>
      <c r="AO668" s="140"/>
      <c r="AP668" s="140"/>
      <c r="AQ668" s="140"/>
      <c r="AR668" s="140"/>
      <c r="AS668" s="140"/>
      <c r="AT668" s="140"/>
      <c r="AU668" s="140"/>
      <c r="AV668" s="140"/>
      <c r="AW668" s="140"/>
      <c r="AX668" s="140"/>
      <c r="AY668" s="140"/>
      <c r="AZ668" s="140"/>
      <c r="BA668" s="140"/>
      <c r="BB668" s="141"/>
      <c r="BC668" s="140"/>
      <c r="BD668" s="177"/>
      <c r="BE668" s="178"/>
      <c r="BF668" s="178"/>
      <c r="BG668" s="178"/>
      <c r="BH668" s="178"/>
      <c r="BI668" s="219"/>
      <c r="BJ668" s="234"/>
      <c r="BK668" s="234"/>
      <c r="BL668" s="234"/>
      <c r="BM668" s="234"/>
      <c r="BN668" s="234"/>
      <c r="BO668" s="234"/>
      <c r="BP668" s="234"/>
      <c r="BQ668" s="234"/>
      <c r="BR668" s="234"/>
      <c r="BS668" s="234"/>
      <c r="BT668" s="234"/>
      <c r="BU668" s="234"/>
      <c r="BV668" s="234"/>
      <c r="BW668" s="234"/>
      <c r="BX668" s="234"/>
      <c r="BY668" s="234"/>
      <c r="BZ668" s="234"/>
      <c r="CA668" s="234"/>
      <c r="CB668" s="234"/>
      <c r="CC668" s="234"/>
      <c r="CD668" s="234"/>
      <c r="CE668" s="234"/>
      <c r="CF668" s="234"/>
      <c r="CG668" s="234"/>
      <c r="CH668" s="234"/>
      <c r="CI668" s="234"/>
      <c r="CJ668" s="234"/>
      <c r="CK668" s="234"/>
      <c r="CL668" s="234"/>
      <c r="CM668" s="189"/>
      <c r="CN668" s="140"/>
      <c r="CO668" s="177"/>
      <c r="CP668" s="178"/>
      <c r="CQ668" s="178"/>
      <c r="CR668" s="178"/>
      <c r="CS668" s="178"/>
      <c r="CT668" s="219"/>
      <c r="CU668" s="234"/>
      <c r="CV668" s="234"/>
      <c r="CW668" s="234"/>
      <c r="CX668" s="234"/>
      <c r="CY668" s="234"/>
      <c r="CZ668" s="234"/>
      <c r="DA668" s="234"/>
      <c r="DB668" s="234"/>
      <c r="DC668" s="234"/>
      <c r="DD668" s="234"/>
      <c r="DE668" s="234"/>
      <c r="DF668" s="234"/>
      <c r="DG668" s="234"/>
      <c r="DH668" s="234"/>
      <c r="DI668" s="234"/>
      <c r="DJ668" s="234"/>
      <c r="DK668" s="234"/>
      <c r="DL668" s="234"/>
      <c r="DM668" s="234"/>
      <c r="DN668" s="234"/>
      <c r="DO668" s="234"/>
      <c r="DP668" s="234"/>
      <c r="DQ668" s="234"/>
      <c r="DR668" s="234"/>
      <c r="DS668" s="234"/>
      <c r="DT668" s="234"/>
      <c r="DU668" s="234"/>
      <c r="DV668" s="234"/>
      <c r="DW668" s="234"/>
      <c r="DX668" s="189"/>
      <c r="DY668" s="140"/>
      <c r="DZ668" s="177"/>
      <c r="EA668" s="178"/>
      <c r="EB668" s="178"/>
      <c r="EC668" s="178"/>
      <c r="ED668" s="178"/>
      <c r="EE668" s="219"/>
      <c r="EF668" s="234"/>
      <c r="EG668" s="234"/>
      <c r="EH668" s="234"/>
      <c r="EI668" s="234"/>
      <c r="EJ668" s="234"/>
      <c r="EK668" s="234"/>
      <c r="EL668" s="234"/>
      <c r="EM668" s="234"/>
      <c r="EN668" s="234"/>
      <c r="EO668" s="234"/>
      <c r="EP668" s="234"/>
      <c r="EQ668" s="234"/>
      <c r="ER668" s="234"/>
      <c r="ES668" s="234"/>
      <c r="ET668" s="234"/>
      <c r="EU668" s="234"/>
      <c r="EV668" s="234"/>
      <c r="EW668" s="234"/>
      <c r="EX668" s="234"/>
      <c r="EY668" s="234"/>
      <c r="EZ668" s="234"/>
      <c r="FA668" s="234"/>
      <c r="FB668" s="234"/>
      <c r="FC668" s="234"/>
      <c r="FD668" s="234"/>
      <c r="FE668" s="234"/>
      <c r="FF668" s="234"/>
      <c r="FG668" s="234"/>
      <c r="FH668" s="234"/>
      <c r="FI668" s="189"/>
      <c r="FJ668" s="140"/>
      <c r="FK668" s="177"/>
      <c r="FL668" s="178"/>
      <c r="FM668" s="178"/>
      <c r="FN668" s="178"/>
      <c r="FO668" s="178"/>
      <c r="FP668" s="219"/>
      <c r="FQ668" s="234"/>
      <c r="FR668" s="234"/>
      <c r="FS668" s="234"/>
      <c r="FT668" s="234"/>
      <c r="FU668" s="234"/>
      <c r="FV668" s="234"/>
      <c r="FW668" s="234"/>
      <c r="FX668" s="234"/>
      <c r="FY668" s="234"/>
      <c r="FZ668" s="234"/>
      <c r="GA668" s="234"/>
      <c r="GB668" s="234"/>
      <c r="GC668" s="234"/>
      <c r="GD668" s="234"/>
      <c r="GE668" s="234"/>
      <c r="GF668" s="234"/>
      <c r="GG668" s="234"/>
      <c r="GH668" s="234"/>
      <c r="GI668" s="234"/>
      <c r="GJ668" s="234"/>
      <c r="GK668" s="234"/>
      <c r="GL668" s="234"/>
      <c r="GM668" s="234"/>
      <c r="GN668" s="234"/>
      <c r="GO668" s="234"/>
      <c r="GP668" s="234"/>
      <c r="GQ668" s="234"/>
      <c r="GR668" s="234"/>
      <c r="GS668" s="234"/>
      <c r="GT668" s="189"/>
      <c r="GU668" s="140"/>
      <c r="GV668" s="177"/>
      <c r="GW668" s="178"/>
      <c r="GX668" s="178"/>
      <c r="GY668" s="178"/>
      <c r="GZ668" s="178"/>
      <c r="HA668" s="219"/>
      <c r="HB668" s="234"/>
      <c r="HC668" s="234"/>
      <c r="HD668" s="234"/>
      <c r="HE668" s="234"/>
      <c r="HF668" s="234"/>
      <c r="HG668" s="234"/>
      <c r="HH668" s="234"/>
      <c r="HI668" s="234"/>
      <c r="HJ668" s="234"/>
      <c r="HK668" s="234"/>
      <c r="HL668" s="234"/>
      <c r="HM668" s="234"/>
      <c r="HN668" s="234"/>
      <c r="HO668" s="234"/>
      <c r="HP668" s="234"/>
      <c r="HQ668" s="234"/>
      <c r="HR668" s="234"/>
      <c r="HS668" s="234"/>
      <c r="HT668" s="234"/>
      <c r="HU668" s="234"/>
      <c r="HV668" s="234"/>
      <c r="HW668" s="234"/>
      <c r="HX668" s="234"/>
      <c r="HY668" s="234"/>
      <c r="HZ668" s="234"/>
      <c r="IA668" s="234"/>
      <c r="IB668" s="234"/>
      <c r="IC668" s="234"/>
      <c r="ID668" s="234"/>
      <c r="IE668" s="189"/>
      <c r="IF668" s="140"/>
      <c r="IG668" s="139"/>
      <c r="IH668" s="140"/>
      <c r="II668" s="140"/>
      <c r="IJ668" s="140"/>
      <c r="IK668" s="140"/>
      <c r="IL668"/>
      <c r="IM668" s="140"/>
      <c r="IN668" s="140"/>
      <c r="IO668" s="140"/>
      <c r="IP668" s="140"/>
      <c r="IQ668" s="140"/>
      <c r="IR668" s="140"/>
      <c r="IS668" s="140"/>
      <c r="IT668" s="140"/>
      <c r="IU668" s="140"/>
      <c r="IV668" s="218">
        <f>SUMIFS(IV$513:IV$613,$JR$513:$JR$613,"&gt;1000")/SUMIFS(IL$513:IL$613,$JR$513:$JR$613,"&gt;1000")-1</f>
        <v>-0.22544410381938074</v>
      </c>
      <c r="IW668" s="140"/>
      <c r="IX668" s="140"/>
      <c r="IY668" s="140"/>
      <c r="IZ668" s="140"/>
      <c r="JA668" s="140"/>
      <c r="JB668" s="140"/>
      <c r="JC668" s="140"/>
      <c r="JD668" s="140"/>
      <c r="JE668" s="140"/>
      <c r="JF668" s="140"/>
      <c r="JG668" s="140"/>
      <c r="JH668" s="140"/>
      <c r="JI668" s="140"/>
      <c r="JJ668" s="140"/>
      <c r="JK668" s="140"/>
      <c r="JL668" s="140"/>
      <c r="JM668" s="140"/>
      <c r="JN668" s="140"/>
      <c r="JO668" s="140"/>
      <c r="JP668" s="141"/>
      <c r="JQ668" s="140"/>
      <c r="JR668" s="139"/>
      <c r="JS668" s="140"/>
      <c r="JT668" s="140"/>
      <c r="JU668" s="140"/>
      <c r="JV668" s="140"/>
      <c r="JW668"/>
      <c r="JX668" s="140"/>
      <c r="JY668" s="140"/>
      <c r="JZ668" s="140"/>
      <c r="KA668" s="140"/>
      <c r="KB668" s="140"/>
      <c r="KC668" s="140"/>
      <c r="KD668" s="140"/>
      <c r="KE668" s="140"/>
      <c r="KF668" s="140"/>
      <c r="KG668" s="218">
        <f>SUMIFS(KG$513:KG$613,$JR$513:$JR$613,"&gt;1000")/SUMIFS(JW$513:JW$613,$JR$513:$JR$613,"&gt;1000")-1</f>
        <v>-0.23321113981253161</v>
      </c>
      <c r="KH668" s="140"/>
      <c r="KI668" s="140"/>
      <c r="KJ668" s="140"/>
      <c r="KK668" s="140"/>
      <c r="KL668" s="140"/>
      <c r="KM668" s="140"/>
      <c r="KN668" s="140"/>
      <c r="KO668" s="140"/>
      <c r="KP668" s="140"/>
      <c r="KQ668" s="140"/>
      <c r="KR668" s="140"/>
      <c r="KS668" s="140"/>
      <c r="KT668" s="140"/>
      <c r="KU668" s="140"/>
      <c r="KV668" s="140"/>
      <c r="KW668" s="140"/>
      <c r="KX668" s="140"/>
      <c r="KY668" s="140"/>
      <c r="KZ668" s="140"/>
      <c r="LA668" s="236">
        <f>SUMIFS(LA$513:LA$613,$JR$513:$JR$613,"&gt;1000")/SUMIFS(JW$513:JW$613,$JR$513:$JR$613,"&gt;1000")-1</f>
        <v>-0.56290024262180594</v>
      </c>
      <c r="LB668" s="140"/>
      <c r="LC668" s="139"/>
      <c r="LD668" s="140"/>
      <c r="LE668" s="140"/>
      <c r="LF668" s="140"/>
      <c r="LG668" s="140"/>
      <c r="LH668"/>
      <c r="LI668" s="140"/>
      <c r="LJ668" s="140"/>
      <c r="LK668" s="140"/>
      <c r="LL668" s="140"/>
      <c r="LM668" s="140"/>
      <c r="LN668" s="140"/>
      <c r="LO668" s="140"/>
      <c r="LP668" s="140"/>
      <c r="LQ668" s="140"/>
      <c r="LR668" s="218">
        <f>SUMIFS(LR$513:LR$613,$JR$513:$JR$613,"&gt;1000")/SUMIFS(LH$513:LH$613,$JR$513:$JR$613,"&gt;1000")-1</f>
        <v>-0.16007939636792945</v>
      </c>
      <c r="LS668" s="140"/>
      <c r="LT668" s="140"/>
      <c r="LU668" s="140"/>
      <c r="LV668" s="140"/>
      <c r="LW668" s="140"/>
      <c r="LX668" s="140"/>
      <c r="LY668" s="140"/>
      <c r="LZ668" s="140"/>
      <c r="MA668" s="140"/>
      <c r="MB668" s="218">
        <f>SUMIFS(MB$513:MB$613,$JR$513:$JR$613,"&gt;1000")/SUMIFS(LR$513:LR$613,$JR$513:$JR$613,"&gt;1000")-1</f>
        <v>-0.21932788611753939</v>
      </c>
      <c r="MC668" s="140"/>
      <c r="MD668" s="140"/>
      <c r="ME668" s="140"/>
      <c r="MF668" s="140"/>
      <c r="MG668" s="140"/>
      <c r="MH668" s="140"/>
      <c r="MI668" s="140"/>
      <c r="MJ668" s="140"/>
      <c r="MK668" s="140"/>
      <c r="ML668" s="141"/>
    </row>
    <row r="669" spans="3:350" s="4" customFormat="1" ht="18" customHeight="1" x14ac:dyDescent="0.3">
      <c r="C669" s="185"/>
      <c r="E669" s="137"/>
      <c r="F669" s="186"/>
      <c r="H669" s="267"/>
      <c r="I669"/>
      <c r="J669"/>
      <c r="K669"/>
      <c r="L669"/>
      <c r="M669"/>
      <c r="N669" s="237"/>
      <c r="O669" s="237"/>
      <c r="P669" s="237"/>
      <c r="Q669" s="236"/>
      <c r="R669" s="140"/>
      <c r="S669" s="139"/>
      <c r="T669" s="140"/>
      <c r="U669" s="140"/>
      <c r="V669" s="140"/>
      <c r="W669" s="140"/>
      <c r="X669" s="140"/>
      <c r="Y669" s="140"/>
      <c r="Z669" s="140"/>
      <c r="AA669" s="140"/>
      <c r="AB669" s="140"/>
      <c r="AC669" s="140"/>
      <c r="AD669" s="140"/>
      <c r="AE669" s="140"/>
      <c r="AF669" s="140"/>
      <c r="AG669" s="140"/>
      <c r="AH669" s="140"/>
      <c r="AI669" s="140"/>
      <c r="AJ669" s="140"/>
      <c r="AK669" s="140"/>
      <c r="AL669" s="140"/>
      <c r="AM669" s="140"/>
      <c r="AN669" s="140"/>
      <c r="AO669" s="140"/>
      <c r="AP669" s="140"/>
      <c r="AQ669" s="140"/>
      <c r="AR669" s="140"/>
      <c r="AS669" s="140"/>
      <c r="AT669" s="140"/>
      <c r="AU669" s="140"/>
      <c r="AV669" s="140"/>
      <c r="AW669" s="140"/>
      <c r="AX669" s="140"/>
      <c r="AY669" s="140"/>
      <c r="AZ669" s="140"/>
      <c r="BA669" s="140"/>
      <c r="BB669" s="141"/>
      <c r="BC669" s="140"/>
      <c r="BD669" s="177"/>
      <c r="BE669" s="178"/>
      <c r="BF669" s="178"/>
      <c r="BG669" s="178"/>
      <c r="BH669" s="178"/>
      <c r="BI669" s="219"/>
      <c r="BJ669" s="234"/>
      <c r="BK669" s="234"/>
      <c r="BL669" s="234"/>
      <c r="BM669" s="234"/>
      <c r="BN669" s="234"/>
      <c r="BO669" s="234"/>
      <c r="BP669" s="234"/>
      <c r="BQ669" s="234"/>
      <c r="BR669" s="234"/>
      <c r="BS669" s="234"/>
      <c r="BT669" s="234"/>
      <c r="BU669" s="234"/>
      <c r="BV669" s="234"/>
      <c r="BW669" s="234"/>
      <c r="BX669" s="234"/>
      <c r="BY669" s="234"/>
      <c r="BZ669" s="234"/>
      <c r="CA669" s="234"/>
      <c r="CB669" s="234"/>
      <c r="CC669" s="234"/>
      <c r="CD669" s="234"/>
      <c r="CE669" s="234"/>
      <c r="CF669" s="234"/>
      <c r="CG669" s="234"/>
      <c r="CH669" s="234"/>
      <c r="CI669" s="234"/>
      <c r="CJ669" s="234"/>
      <c r="CK669" s="234"/>
      <c r="CL669" s="234"/>
      <c r="CM669" s="189"/>
      <c r="CN669" s="140"/>
      <c r="CO669" s="177"/>
      <c r="CP669" s="178"/>
      <c r="CQ669" s="178"/>
      <c r="CR669" s="178"/>
      <c r="CS669" s="178"/>
      <c r="CT669" s="219"/>
      <c r="CU669" s="234"/>
      <c r="CV669" s="234"/>
      <c r="CW669" s="234"/>
      <c r="CX669" s="234"/>
      <c r="CY669" s="234"/>
      <c r="CZ669" s="234"/>
      <c r="DA669" s="234"/>
      <c r="DB669" s="234"/>
      <c r="DC669" s="234"/>
      <c r="DD669" s="234"/>
      <c r="DE669" s="234"/>
      <c r="DF669" s="234"/>
      <c r="DG669" s="234"/>
      <c r="DH669" s="234"/>
      <c r="DI669" s="234"/>
      <c r="DJ669" s="234"/>
      <c r="DK669" s="234"/>
      <c r="DL669" s="234"/>
      <c r="DM669" s="234"/>
      <c r="DN669" s="234"/>
      <c r="DO669" s="234"/>
      <c r="DP669" s="234"/>
      <c r="DQ669" s="234"/>
      <c r="DR669" s="234"/>
      <c r="DS669" s="234"/>
      <c r="DT669" s="234"/>
      <c r="DU669" s="234"/>
      <c r="DV669" s="234"/>
      <c r="DW669" s="234"/>
      <c r="DX669" s="189"/>
      <c r="DY669" s="140"/>
      <c r="DZ669" s="177"/>
      <c r="EA669" s="178"/>
      <c r="EB669" s="178"/>
      <c r="EC669" s="178"/>
      <c r="ED669" s="178"/>
      <c r="EE669" s="219"/>
      <c r="EF669" s="234"/>
      <c r="EG669" s="234"/>
      <c r="EH669" s="234"/>
      <c r="EI669" s="234"/>
      <c r="EJ669" s="234"/>
      <c r="EK669" s="234"/>
      <c r="EL669" s="234"/>
      <c r="EM669" s="234"/>
      <c r="EN669" s="234"/>
      <c r="EO669" s="234"/>
      <c r="EP669" s="234"/>
      <c r="EQ669" s="234"/>
      <c r="ER669" s="234"/>
      <c r="ES669" s="234"/>
      <c r="ET669" s="234"/>
      <c r="EU669" s="234"/>
      <c r="EV669" s="234"/>
      <c r="EW669" s="234"/>
      <c r="EX669" s="234"/>
      <c r="EY669" s="234"/>
      <c r="EZ669" s="234"/>
      <c r="FA669" s="234"/>
      <c r="FB669" s="234"/>
      <c r="FC669" s="234"/>
      <c r="FD669" s="234"/>
      <c r="FE669" s="234"/>
      <c r="FF669" s="234"/>
      <c r="FG669" s="234"/>
      <c r="FH669" s="234"/>
      <c r="FI669" s="189"/>
      <c r="FJ669" s="140"/>
      <c r="FK669" s="177"/>
      <c r="FL669" s="178"/>
      <c r="FM669" s="178"/>
      <c r="FN669" s="178"/>
      <c r="FO669" s="178"/>
      <c r="FP669" s="219"/>
      <c r="FQ669" s="234"/>
      <c r="FR669" s="234"/>
      <c r="FS669" s="234"/>
      <c r="FT669" s="234"/>
      <c r="FU669" s="234"/>
      <c r="FV669" s="234"/>
      <c r="FW669" s="234"/>
      <c r="FX669" s="234"/>
      <c r="FY669" s="234"/>
      <c r="FZ669" s="234"/>
      <c r="GA669" s="234"/>
      <c r="GB669" s="234"/>
      <c r="GC669" s="234"/>
      <c r="GD669" s="234"/>
      <c r="GE669" s="234"/>
      <c r="GF669" s="234"/>
      <c r="GG669" s="234"/>
      <c r="GH669" s="234"/>
      <c r="GI669" s="234"/>
      <c r="GJ669" s="234"/>
      <c r="GK669" s="234"/>
      <c r="GL669" s="234"/>
      <c r="GM669" s="234"/>
      <c r="GN669" s="234"/>
      <c r="GO669" s="234"/>
      <c r="GP669" s="234"/>
      <c r="GQ669" s="234"/>
      <c r="GR669" s="234"/>
      <c r="GS669" s="234"/>
      <c r="GT669" s="189"/>
      <c r="GU669" s="140"/>
      <c r="GV669" s="177"/>
      <c r="GW669" s="178"/>
      <c r="GX669" s="178"/>
      <c r="GY669" s="178"/>
      <c r="GZ669" s="178"/>
      <c r="HA669" s="219"/>
      <c r="HB669" s="234"/>
      <c r="HC669" s="234"/>
      <c r="HD669" s="234"/>
      <c r="HE669" s="234"/>
      <c r="HF669" s="234"/>
      <c r="HG669" s="234"/>
      <c r="HH669" s="234"/>
      <c r="HI669" s="234"/>
      <c r="HJ669" s="234"/>
      <c r="HK669" s="234"/>
      <c r="HL669" s="234"/>
      <c r="HM669" s="234"/>
      <c r="HN669" s="234"/>
      <c r="HO669" s="234"/>
      <c r="HP669" s="234"/>
      <c r="HQ669" s="234"/>
      <c r="HR669" s="234"/>
      <c r="HS669" s="234"/>
      <c r="HT669" s="234"/>
      <c r="HU669" s="234"/>
      <c r="HV669" s="234"/>
      <c r="HW669" s="234"/>
      <c r="HX669" s="234"/>
      <c r="HY669" s="234"/>
      <c r="HZ669" s="234"/>
      <c r="IA669" s="234"/>
      <c r="IB669" s="234"/>
      <c r="IC669" s="234"/>
      <c r="ID669" s="234"/>
      <c r="IE669" s="189"/>
      <c r="IF669" s="140"/>
      <c r="IG669" s="139"/>
      <c r="IH669" s="140"/>
      <c r="II669" s="140"/>
      <c r="IJ669" s="140"/>
      <c r="IK669" s="140"/>
      <c r="IL669" s="140"/>
      <c r="IM669" s="140"/>
      <c r="IN669" s="140"/>
      <c r="IO669" s="140"/>
      <c r="IP669" s="140"/>
      <c r="IQ669" s="140"/>
      <c r="IR669" s="140"/>
      <c r="IS669" s="140"/>
      <c r="IT669" s="140"/>
      <c r="IU669" s="140"/>
      <c r="IV669" s="140"/>
      <c r="IW669" s="140"/>
      <c r="IX669" s="140"/>
      <c r="IY669" s="140"/>
      <c r="IZ669" s="140"/>
      <c r="JA669" s="140"/>
      <c r="JB669" s="140"/>
      <c r="JC669" s="140"/>
      <c r="JD669" s="140"/>
      <c r="JE669" s="140"/>
      <c r="JF669" s="140"/>
      <c r="JG669" s="140"/>
      <c r="JH669" s="140"/>
      <c r="JI669" s="140"/>
      <c r="JJ669" s="140"/>
      <c r="JK669" s="140"/>
      <c r="JL669" s="140"/>
      <c r="JM669" s="140"/>
      <c r="JN669" s="140"/>
      <c r="JO669" s="140"/>
      <c r="JP669" s="141"/>
      <c r="JQ669" s="140"/>
      <c r="JR669" s="139"/>
      <c r="JS669" s="140"/>
      <c r="JT669" s="140"/>
      <c r="JU669" s="140"/>
      <c r="JV669" s="140"/>
      <c r="JW669" s="140"/>
      <c r="JX669" s="140"/>
      <c r="JY669" s="140"/>
      <c r="JZ669" s="140"/>
      <c r="KA669" s="140"/>
      <c r="KB669" s="140"/>
      <c r="KC669" s="140"/>
      <c r="KD669" s="140"/>
      <c r="KE669" s="140"/>
      <c r="KF669" s="140"/>
      <c r="KG669" s="140"/>
      <c r="KH669" s="140"/>
      <c r="KI669" s="140"/>
      <c r="KJ669" s="140"/>
      <c r="KK669" s="140"/>
      <c r="KL669" s="140"/>
      <c r="KM669" s="140"/>
      <c r="KN669" s="140"/>
      <c r="KO669" s="140"/>
      <c r="KP669" s="140"/>
      <c r="KQ669" s="140"/>
      <c r="KR669" s="140"/>
      <c r="KS669" s="140"/>
      <c r="KT669" s="140"/>
      <c r="KU669" s="140"/>
      <c r="KV669" s="140"/>
      <c r="KW669" s="140"/>
      <c r="KX669" s="140"/>
      <c r="KY669" s="140"/>
      <c r="KZ669" s="140"/>
      <c r="LA669" s="141"/>
      <c r="LB669" s="140"/>
      <c r="LC669" s="139"/>
      <c r="LD669" s="140"/>
      <c r="LE669" s="140"/>
      <c r="LF669" s="140"/>
      <c r="LG669" s="140"/>
      <c r="LH669" s="140"/>
      <c r="LI669" s="140"/>
      <c r="LJ669" s="140"/>
      <c r="LK669" s="140"/>
      <c r="LL669" s="140"/>
      <c r="LM669" s="140"/>
      <c r="LN669" s="140"/>
      <c r="LO669" s="140"/>
      <c r="LP669" s="140"/>
      <c r="LQ669" s="140"/>
      <c r="LR669" s="140"/>
      <c r="LS669" s="140"/>
      <c r="LT669" s="140"/>
      <c r="LU669" s="140"/>
      <c r="LV669" s="140"/>
      <c r="LW669" s="140"/>
      <c r="LX669" s="140"/>
      <c r="LY669" s="140"/>
      <c r="LZ669" s="140"/>
      <c r="MA669" s="140"/>
      <c r="MB669" s="140"/>
      <c r="MC669" s="140"/>
      <c r="MD669" s="140"/>
      <c r="ME669" s="140"/>
      <c r="MF669" s="140"/>
      <c r="MG669" s="140"/>
      <c r="MH669" s="140"/>
      <c r="MI669" s="140"/>
      <c r="MJ669" s="140"/>
      <c r="MK669" s="140"/>
      <c r="ML669" s="141"/>
    </row>
    <row r="670" spans="3:350" s="4" customFormat="1" ht="18" customHeight="1" x14ac:dyDescent="0.3">
      <c r="C670" s="318" t="s">
        <v>319</v>
      </c>
      <c r="D670" s="156"/>
      <c r="E670" s="9" t="s">
        <v>320</v>
      </c>
      <c r="F670" s="10"/>
      <c r="H670" s="300"/>
      <c r="I670" s="171"/>
      <c r="J670" s="171"/>
      <c r="K670" s="171"/>
      <c r="L670" s="171"/>
      <c r="M670" s="171"/>
      <c r="N670" s="9"/>
      <c r="O670" s="9"/>
      <c r="P670" s="9"/>
      <c r="Q670" s="10"/>
      <c r="S670" s="8"/>
      <c r="T670" s="9"/>
      <c r="U670" s="9"/>
      <c r="V670" s="9"/>
      <c r="W670" s="9"/>
      <c r="X670" s="157"/>
      <c r="Y670" s="157"/>
      <c r="Z670" s="157"/>
      <c r="AA670" s="157"/>
      <c r="AB670" s="157"/>
      <c r="AC670" s="157"/>
      <c r="AD670" s="157"/>
      <c r="AE670" s="157"/>
      <c r="AF670" s="157"/>
      <c r="AG670" s="157"/>
      <c r="AH670" s="157">
        <f>SUM(AB513:AC612)/AE$510</f>
        <v>3861.957478541568</v>
      </c>
      <c r="AI670" s="157">
        <f t="shared" ref="AI670:AQ670" si="1100">$AH670+($BB670-$AH670)*(AI$1-$AH$1)/($BB$1-$AH$1)</f>
        <v>3905.9510985120569</v>
      </c>
      <c r="AJ670" s="157">
        <f t="shared" si="1100"/>
        <v>3949.9447184825458</v>
      </c>
      <c r="AK670" s="157">
        <f t="shared" si="1100"/>
        <v>3993.9383384530342</v>
      </c>
      <c r="AL670" s="157">
        <f t="shared" si="1100"/>
        <v>4037.9319584235232</v>
      </c>
      <c r="AM670" s="157">
        <f t="shared" si="1100"/>
        <v>4081.9255783940121</v>
      </c>
      <c r="AN670" s="157">
        <f t="shared" si="1100"/>
        <v>4125.9191983645005</v>
      </c>
      <c r="AO670" s="157">
        <f t="shared" si="1100"/>
        <v>4169.9128183349894</v>
      </c>
      <c r="AP670" s="157">
        <f t="shared" si="1100"/>
        <v>4213.9064383054783</v>
      </c>
      <c r="AQ670" s="157">
        <f t="shared" si="1100"/>
        <v>4257.9000582759672</v>
      </c>
      <c r="AR670" s="157"/>
      <c r="AS670" s="157"/>
      <c r="AT670" s="157"/>
      <c r="AU670" s="157"/>
      <c r="AV670" s="157"/>
      <c r="AW670" s="157"/>
      <c r="AX670" s="157"/>
      <c r="AY670" s="157"/>
      <c r="AZ670" s="157"/>
      <c r="BA670" s="157"/>
      <c r="BB670" s="319">
        <f>SUM(AV513:AW612)/AY$510</f>
        <v>4741.8298779513443</v>
      </c>
      <c r="BD670" s="245"/>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38"/>
      <c r="CO670" s="245"/>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38"/>
      <c r="DZ670" s="245"/>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38"/>
      <c r="FK670" s="245"/>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38"/>
      <c r="GV670" s="245"/>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38"/>
      <c r="IG670" s="8"/>
      <c r="IH670" s="9"/>
      <c r="II670" s="9"/>
      <c r="IJ670" s="9"/>
      <c r="IK670" s="9"/>
      <c r="IL670" s="157"/>
      <c r="IM670" s="157"/>
      <c r="IN670" s="157"/>
      <c r="IO670" s="157"/>
      <c r="IP670" s="157"/>
      <c r="IQ670" s="157"/>
      <c r="IR670" s="157"/>
      <c r="IS670" s="157"/>
      <c r="IT670" s="157"/>
      <c r="IU670" s="157"/>
      <c r="IV670" s="157">
        <f>SUM(IP513:IQ612)/IS$510</f>
        <v>12847.361225753939</v>
      </c>
      <c r="IW670" s="157"/>
      <c r="IX670" s="157"/>
      <c r="IY670" s="157"/>
      <c r="IZ670" s="157"/>
      <c r="JA670" s="157"/>
      <c r="JB670" s="157"/>
      <c r="JC670" s="157"/>
      <c r="JD670" s="157"/>
      <c r="JE670" s="157"/>
      <c r="JF670" s="157"/>
      <c r="JG670" s="157"/>
      <c r="JH670" s="157"/>
      <c r="JI670" s="157"/>
      <c r="JJ670" s="157"/>
      <c r="JK670" s="157"/>
      <c r="JL670" s="157"/>
      <c r="JM670" s="157"/>
      <c r="JN670" s="157"/>
      <c r="JO670" s="157"/>
      <c r="JP670" s="319">
        <f>SUM(JJ513:JK612)/JM$510</f>
        <v>2720.3171195773293</v>
      </c>
      <c r="JR670" s="8"/>
      <c r="JS670" s="9"/>
      <c r="JT670" s="9"/>
      <c r="JU670" s="9"/>
      <c r="JV670" s="9"/>
      <c r="JW670" s="157"/>
      <c r="JX670" s="157"/>
      <c r="JY670" s="157"/>
      <c r="JZ670" s="157"/>
      <c r="KA670" s="157"/>
      <c r="KB670" s="157"/>
      <c r="KC670" s="157"/>
      <c r="KD670" s="157"/>
      <c r="KE670" s="157"/>
      <c r="KF670" s="157"/>
      <c r="KG670" s="157">
        <f>SUM(KA513:KB612)/KD$510</f>
        <v>14608.248850844253</v>
      </c>
      <c r="KH670" s="157"/>
      <c r="KI670" s="157"/>
      <c r="KJ670" s="157"/>
      <c r="KK670" s="157"/>
      <c r="KL670" s="157"/>
      <c r="KM670" s="157"/>
      <c r="KN670" s="157"/>
      <c r="KO670" s="157"/>
      <c r="KP670" s="157"/>
      <c r="KQ670" s="157"/>
      <c r="KR670" s="157"/>
      <c r="KS670" s="157"/>
      <c r="KT670" s="157"/>
      <c r="KU670" s="157"/>
      <c r="KV670" s="157"/>
      <c r="KW670" s="157"/>
      <c r="KX670" s="157"/>
      <c r="KY670" s="157"/>
      <c r="KZ670" s="157"/>
      <c r="LA670" s="319">
        <f>SUM(KU513:KV612)/KX$510</f>
        <v>6768.0891088467442</v>
      </c>
      <c r="LC670" s="8"/>
      <c r="LD670" s="9"/>
      <c r="LE670" s="9"/>
      <c r="LF670" s="9"/>
      <c r="LG670" s="9"/>
      <c r="LH670" s="157"/>
      <c r="LI670" s="157"/>
      <c r="LJ670" s="157"/>
      <c r="LK670" s="157"/>
      <c r="LL670" s="157"/>
      <c r="LM670" s="157"/>
      <c r="LN670" s="157"/>
      <c r="LO670" s="157"/>
      <c r="LP670" s="157"/>
      <c r="LQ670" s="157"/>
      <c r="LR670" s="157">
        <f>SUM(LL513:LM612)/LO$510</f>
        <v>9083.3060998488036</v>
      </c>
      <c r="LS670" s="157"/>
      <c r="LT670" s="157"/>
      <c r="LU670" s="157"/>
      <c r="LV670" s="157"/>
      <c r="LW670" s="157"/>
      <c r="LX670" s="157"/>
      <c r="LY670" s="157"/>
      <c r="LZ670" s="157"/>
      <c r="MA670" s="157"/>
      <c r="MB670" s="157">
        <f>SUM(LV513:LW612)/LY$510</f>
        <v>8018.1171455337262</v>
      </c>
      <c r="MC670" s="157"/>
      <c r="MD670" s="157"/>
      <c r="ME670" s="157"/>
      <c r="MF670" s="157"/>
      <c r="MG670" s="157"/>
      <c r="MH670" s="157"/>
      <c r="MI670" s="157"/>
      <c r="MJ670" s="157"/>
      <c r="MK670" s="157"/>
      <c r="ML670" s="319">
        <f>SUM(MF513:MG612)/MI$510</f>
        <v>7179.3660085826614</v>
      </c>
    </row>
    <row r="671" spans="3:350" s="4" customFormat="1" ht="18" customHeight="1" x14ac:dyDescent="0.3">
      <c r="C671" s="185" t="s">
        <v>244</v>
      </c>
      <c r="E671" s="1"/>
      <c r="F671" s="186"/>
      <c r="H671" s="267"/>
      <c r="I671"/>
      <c r="J671"/>
      <c r="K671"/>
      <c r="L671"/>
      <c r="M671"/>
      <c r="N671" s="237"/>
      <c r="O671" s="237"/>
      <c r="P671" s="237"/>
      <c r="Q671" s="236"/>
      <c r="R671" s="140"/>
      <c r="S671" s="139"/>
      <c r="T671" s="140"/>
      <c r="U671" s="140"/>
      <c r="V671" s="140"/>
      <c r="W671" s="140"/>
      <c r="X671" s="140"/>
      <c r="Y671" s="140"/>
      <c r="Z671" s="140"/>
      <c r="AA671" s="140"/>
      <c r="AB671" s="140"/>
      <c r="AC671" s="140"/>
      <c r="AD671" s="140"/>
      <c r="AE671" s="140"/>
      <c r="AF671" s="140"/>
      <c r="AG671" s="140"/>
      <c r="AH671" s="140"/>
      <c r="AI671" s="140"/>
      <c r="AJ671" s="140"/>
      <c r="AK671" s="140"/>
      <c r="AL671" s="140"/>
      <c r="AM671" s="140"/>
      <c r="AN671" s="140"/>
      <c r="AO671" s="140"/>
      <c r="AP671" s="140"/>
      <c r="AQ671" s="140"/>
      <c r="AR671" s="140"/>
      <c r="AS671" s="140"/>
      <c r="AT671" s="140"/>
      <c r="AU671" s="140"/>
      <c r="AV671" s="140"/>
      <c r="AW671" s="140"/>
      <c r="AX671" s="140"/>
      <c r="AY671" s="140"/>
      <c r="AZ671" s="140"/>
      <c r="BA671" s="140"/>
      <c r="BB671" s="141"/>
      <c r="BC671" s="140"/>
      <c r="BD671" s="139"/>
      <c r="BE671" s="140"/>
      <c r="BF671" s="140"/>
      <c r="BG671" s="140"/>
      <c r="BH671" s="140"/>
      <c r="BI671" s="219"/>
      <c r="BJ671" s="234"/>
      <c r="BK671" s="234"/>
      <c r="BL671" s="234"/>
      <c r="BM671" s="234"/>
      <c r="BN671" s="234"/>
      <c r="BO671" s="234"/>
      <c r="BP671" s="234"/>
      <c r="BQ671" s="234"/>
      <c r="BR671" s="234"/>
      <c r="BS671" s="234"/>
      <c r="BT671" s="234"/>
      <c r="BU671" s="234"/>
      <c r="BV671" s="234"/>
      <c r="BW671" s="234"/>
      <c r="BX671" s="234"/>
      <c r="BY671" s="234"/>
      <c r="BZ671" s="234"/>
      <c r="CA671" s="234"/>
      <c r="CB671" s="234"/>
      <c r="CC671" s="234"/>
      <c r="CD671" s="234"/>
      <c r="CE671" s="234"/>
      <c r="CF671" s="234"/>
      <c r="CG671" s="234"/>
      <c r="CH671" s="234"/>
      <c r="CI671" s="234"/>
      <c r="CJ671" s="234"/>
      <c r="CK671" s="234"/>
      <c r="CL671" s="234"/>
      <c r="CM671" s="189"/>
      <c r="CN671" s="140"/>
      <c r="CO671" s="139"/>
      <c r="CP671" s="140"/>
      <c r="CQ671" s="140"/>
      <c r="CR671" s="140"/>
      <c r="CS671" s="140"/>
      <c r="CT671" s="219"/>
      <c r="CU671" s="234"/>
      <c r="CV671" s="234"/>
      <c r="CW671" s="234"/>
      <c r="CX671" s="234"/>
      <c r="CY671" s="234"/>
      <c r="CZ671" s="234"/>
      <c r="DA671" s="234"/>
      <c r="DB671" s="234"/>
      <c r="DC671" s="234"/>
      <c r="DD671" s="234"/>
      <c r="DE671" s="234"/>
      <c r="DF671" s="234"/>
      <c r="DG671" s="234"/>
      <c r="DH671" s="234"/>
      <c r="DI671" s="234"/>
      <c r="DJ671" s="234"/>
      <c r="DK671" s="234"/>
      <c r="DL671" s="234"/>
      <c r="DM671" s="234"/>
      <c r="DN671" s="234"/>
      <c r="DO671" s="234"/>
      <c r="DP671" s="234"/>
      <c r="DQ671" s="234"/>
      <c r="DR671" s="234"/>
      <c r="DS671" s="234"/>
      <c r="DT671" s="234"/>
      <c r="DU671" s="234"/>
      <c r="DV671" s="234"/>
      <c r="DW671" s="234"/>
      <c r="DX671" s="189"/>
      <c r="DY671" s="140"/>
      <c r="DZ671" s="139"/>
      <c r="EA671" s="140"/>
      <c r="EB671" s="140"/>
      <c r="EC671" s="140"/>
      <c r="ED671" s="140"/>
      <c r="EE671" s="219"/>
      <c r="EF671" s="234"/>
      <c r="EG671" s="234"/>
      <c r="EH671" s="234"/>
      <c r="EI671" s="234"/>
      <c r="EJ671" s="234"/>
      <c r="EK671" s="234"/>
      <c r="EL671" s="234"/>
      <c r="EM671" s="234"/>
      <c r="EN671" s="234"/>
      <c r="EO671" s="234"/>
      <c r="EP671" s="234"/>
      <c r="EQ671" s="234"/>
      <c r="ER671" s="234"/>
      <c r="ES671" s="234"/>
      <c r="ET671" s="234"/>
      <c r="EU671" s="234"/>
      <c r="EV671" s="234"/>
      <c r="EW671" s="234"/>
      <c r="EX671" s="234"/>
      <c r="EY671" s="234"/>
      <c r="EZ671" s="234"/>
      <c r="FA671" s="234"/>
      <c r="FB671" s="234"/>
      <c r="FC671" s="234"/>
      <c r="FD671" s="234"/>
      <c r="FE671" s="234"/>
      <c r="FF671" s="234"/>
      <c r="FG671" s="234"/>
      <c r="FH671" s="234"/>
      <c r="FI671" s="189"/>
      <c r="FJ671" s="140"/>
      <c r="FK671" s="139"/>
      <c r="FL671" s="140"/>
      <c r="FM671" s="140"/>
      <c r="FN671" s="140"/>
      <c r="FO671" s="140"/>
      <c r="FP671" s="219"/>
      <c r="FQ671" s="234"/>
      <c r="FR671" s="234"/>
      <c r="FS671" s="234"/>
      <c r="FT671" s="234"/>
      <c r="FU671" s="234"/>
      <c r="FV671" s="234"/>
      <c r="FW671" s="234"/>
      <c r="FX671" s="234"/>
      <c r="FY671" s="234"/>
      <c r="FZ671" s="234"/>
      <c r="GA671" s="234"/>
      <c r="GB671" s="234"/>
      <c r="GC671" s="234"/>
      <c r="GD671" s="234"/>
      <c r="GE671" s="234"/>
      <c r="GF671" s="234"/>
      <c r="GG671" s="234"/>
      <c r="GH671" s="234"/>
      <c r="GI671" s="234"/>
      <c r="GJ671" s="234"/>
      <c r="GK671" s="234"/>
      <c r="GL671" s="234"/>
      <c r="GM671" s="234"/>
      <c r="GN671" s="234"/>
      <c r="GO671" s="234"/>
      <c r="GP671" s="234"/>
      <c r="GQ671" s="234"/>
      <c r="GR671" s="234"/>
      <c r="GS671" s="234"/>
      <c r="GT671" s="189"/>
      <c r="GU671" s="140"/>
      <c r="GV671" s="139"/>
      <c r="GW671" s="140"/>
      <c r="GX671" s="140"/>
      <c r="GY671" s="140"/>
      <c r="GZ671" s="140"/>
      <c r="HA671" s="219"/>
      <c r="HB671" s="234"/>
      <c r="HC671" s="234"/>
      <c r="HD671" s="234"/>
      <c r="HE671" s="234"/>
      <c r="HF671" s="234"/>
      <c r="HG671" s="234"/>
      <c r="HH671" s="234"/>
      <c r="HI671" s="234"/>
      <c r="HJ671" s="234"/>
      <c r="HK671" s="234"/>
      <c r="HL671" s="234"/>
      <c r="HM671" s="234"/>
      <c r="HN671" s="234"/>
      <c r="HO671" s="234"/>
      <c r="HP671" s="234"/>
      <c r="HQ671" s="234"/>
      <c r="HR671" s="234"/>
      <c r="HS671" s="234"/>
      <c r="HT671" s="234"/>
      <c r="HU671" s="234"/>
      <c r="HV671" s="234"/>
      <c r="HW671" s="234"/>
      <c r="HX671" s="234"/>
      <c r="HY671" s="234"/>
      <c r="HZ671" s="234"/>
      <c r="IA671" s="234"/>
      <c r="IB671" s="234"/>
      <c r="IC671" s="234"/>
      <c r="ID671" s="234"/>
      <c r="IE671" s="189"/>
      <c r="IF671" s="140"/>
      <c r="IG671" s="139"/>
      <c r="IH671" s="140"/>
      <c r="II671" s="140"/>
      <c r="IJ671" s="140"/>
      <c r="IK671" s="140"/>
      <c r="IL671" s="140"/>
      <c r="IM671" s="140"/>
      <c r="IN671" s="140"/>
      <c r="IO671" s="140"/>
      <c r="IP671" s="140"/>
      <c r="IQ671" s="140"/>
      <c r="IR671" s="140"/>
      <c r="IS671" s="140"/>
      <c r="IT671" s="140"/>
      <c r="IU671" s="140"/>
      <c r="IV671" s="140"/>
      <c r="IW671" s="140"/>
      <c r="IX671" s="140"/>
      <c r="IY671" s="140"/>
      <c r="IZ671" s="140"/>
      <c r="JA671" s="140"/>
      <c r="JB671" s="140"/>
      <c r="JC671" s="140"/>
      <c r="JD671" s="140"/>
      <c r="JE671" s="140"/>
      <c r="JF671" s="140"/>
      <c r="JG671" s="140"/>
      <c r="JH671" s="140"/>
      <c r="JI671" s="140"/>
      <c r="JJ671" s="140"/>
      <c r="JK671" s="140"/>
      <c r="JL671" s="140"/>
      <c r="JM671" s="140"/>
      <c r="JN671" s="140"/>
      <c r="JO671" s="140"/>
      <c r="JP671" s="141"/>
      <c r="JQ671" s="140"/>
      <c r="JR671" s="139"/>
      <c r="JS671" s="140"/>
      <c r="JT671" s="140"/>
      <c r="JU671" s="140"/>
      <c r="JV671" s="140"/>
      <c r="JW671" s="140"/>
      <c r="JX671" s="140"/>
      <c r="JY671" s="140"/>
      <c r="JZ671" s="140"/>
      <c r="KA671" s="140"/>
      <c r="KB671" s="140"/>
      <c r="KC671" s="140"/>
      <c r="KD671" s="140"/>
      <c r="KE671" s="140"/>
      <c r="KF671" s="140"/>
      <c r="KG671" s="140"/>
      <c r="KH671" s="140"/>
      <c r="KI671" s="140"/>
      <c r="KJ671" s="140"/>
      <c r="KK671" s="140"/>
      <c r="KL671" s="140"/>
      <c r="KM671" s="140"/>
      <c r="KN671" s="140"/>
      <c r="KO671" s="140"/>
      <c r="KP671" s="140"/>
      <c r="KQ671" s="140"/>
      <c r="KR671" s="140"/>
      <c r="KS671" s="140"/>
      <c r="KT671" s="140"/>
      <c r="KU671" s="140"/>
      <c r="KV671" s="140"/>
      <c r="KW671" s="140"/>
      <c r="KX671" s="140"/>
      <c r="KY671" s="140"/>
      <c r="KZ671" s="140"/>
      <c r="LA671" s="141"/>
      <c r="LB671" s="140"/>
      <c r="LC671" s="139"/>
      <c r="LD671" s="140"/>
      <c r="LE671" s="140"/>
      <c r="LF671" s="140"/>
      <c r="LG671" s="140"/>
      <c r="LH671" s="140"/>
      <c r="LI671" s="140"/>
      <c r="LJ671" s="140"/>
      <c r="LK671" s="140"/>
      <c r="LL671" s="140"/>
      <c r="LM671" s="140"/>
      <c r="LN671" s="140"/>
      <c r="LO671" s="140"/>
      <c r="LP671" s="140"/>
      <c r="LQ671" s="140"/>
      <c r="LR671" s="140"/>
      <c r="LS671" s="140"/>
      <c r="LT671" s="140"/>
      <c r="LU671" s="140"/>
      <c r="LV671" s="140"/>
      <c r="LW671" s="140"/>
      <c r="LX671" s="140"/>
      <c r="LY671" s="140"/>
      <c r="LZ671" s="140"/>
      <c r="MA671" s="140"/>
      <c r="MB671" s="140"/>
      <c r="MC671" s="140"/>
      <c r="MD671" s="140"/>
      <c r="ME671" s="140"/>
      <c r="MF671" s="140"/>
      <c r="MG671" s="140"/>
      <c r="MH671" s="140"/>
      <c r="MI671" s="140"/>
      <c r="MJ671" s="140"/>
      <c r="MK671" s="140"/>
      <c r="ML671" s="141"/>
    </row>
    <row r="672" spans="3:350" s="4" customFormat="1" ht="18" customHeight="1" x14ac:dyDescent="0.3">
      <c r="C672" s="136" t="s">
        <v>321</v>
      </c>
      <c r="E672" s="1" t="s">
        <v>320</v>
      </c>
      <c r="F672" s="186" t="s">
        <v>262</v>
      </c>
      <c r="H672" s="267"/>
      <c r="I672"/>
      <c r="J672"/>
      <c r="K672"/>
      <c r="L672"/>
      <c r="M672"/>
      <c r="N672" s="237"/>
      <c r="O672" s="237"/>
      <c r="P672" s="237"/>
      <c r="Q672" s="236"/>
      <c r="R672" s="140"/>
      <c r="S672" s="139"/>
      <c r="T672" s="140"/>
      <c r="U672" s="140"/>
      <c r="V672" s="140"/>
      <c r="W672" s="140"/>
      <c r="X672" s="140"/>
      <c r="Y672" s="140"/>
      <c r="Z672" s="140"/>
      <c r="AA672" s="140"/>
      <c r="AB672" s="140"/>
      <c r="AC672" s="140"/>
      <c r="AD672" s="140"/>
      <c r="AE672" s="140"/>
      <c r="AF672" s="140"/>
      <c r="AG672" s="140"/>
      <c r="AH672" s="140">
        <f>SUMIFS(AB$512:AB$613,AF$512:AF$613,$F672)/AE$510</f>
        <v>0</v>
      </c>
      <c r="AI672" s="140"/>
      <c r="AJ672" s="140"/>
      <c r="AK672" s="140"/>
      <c r="AL672" s="140"/>
      <c r="AM672" s="140"/>
      <c r="AN672" s="140"/>
      <c r="AO672" s="140"/>
      <c r="AP672" s="140"/>
      <c r="AQ672" s="140"/>
      <c r="AR672" s="140"/>
      <c r="AS672" s="140"/>
      <c r="AT672" s="140"/>
      <c r="AU672" s="140"/>
      <c r="AV672" s="140"/>
      <c r="AW672" s="140"/>
      <c r="AX672" s="140"/>
      <c r="AY672" s="140"/>
      <c r="AZ672" s="140"/>
      <c r="BA672" s="140"/>
      <c r="BB672" s="141">
        <f>SUMIFS(AV$512:AV$613,AZ$512:AZ$613,$F672)/AY$510</f>
        <v>0</v>
      </c>
      <c r="BC672" s="140"/>
      <c r="BD672" s="139"/>
      <c r="BE672" s="140"/>
      <c r="BF672" s="140"/>
      <c r="BG672" s="140"/>
      <c r="BH672" s="140"/>
      <c r="BI672" s="219"/>
      <c r="BJ672" s="234"/>
      <c r="BK672" s="234"/>
      <c r="BL672" s="234"/>
      <c r="BM672" s="234"/>
      <c r="BN672" s="234"/>
      <c r="BO672" s="234"/>
      <c r="BP672" s="234"/>
      <c r="BQ672" s="234"/>
      <c r="BR672" s="234"/>
      <c r="BS672" s="234"/>
      <c r="BT672" s="234"/>
      <c r="BU672" s="234"/>
      <c r="BV672" s="234"/>
      <c r="BW672" s="234"/>
      <c r="BX672" s="234"/>
      <c r="BY672" s="234"/>
      <c r="BZ672" s="234"/>
      <c r="CA672" s="234"/>
      <c r="CB672" s="234"/>
      <c r="CC672" s="234"/>
      <c r="CD672" s="234"/>
      <c r="CE672" s="234"/>
      <c r="CF672" s="234"/>
      <c r="CG672" s="234"/>
      <c r="CH672" s="234"/>
      <c r="CI672" s="234"/>
      <c r="CJ672" s="234"/>
      <c r="CK672" s="234"/>
      <c r="CL672" s="234"/>
      <c r="CM672" s="189"/>
      <c r="CN672" s="140"/>
      <c r="CO672" s="139"/>
      <c r="CP672" s="140"/>
      <c r="CQ672" s="140"/>
      <c r="CR672" s="140"/>
      <c r="CS672" s="140"/>
      <c r="CT672" s="219"/>
      <c r="CU672" s="234"/>
      <c r="CV672" s="234"/>
      <c r="CW672" s="234"/>
      <c r="CX672" s="234"/>
      <c r="CY672" s="234"/>
      <c r="CZ672" s="234"/>
      <c r="DA672" s="234"/>
      <c r="DB672" s="234"/>
      <c r="DC672" s="234"/>
      <c r="DD672" s="234"/>
      <c r="DE672" s="234"/>
      <c r="DF672" s="234"/>
      <c r="DG672" s="234"/>
      <c r="DH672" s="234"/>
      <c r="DI672" s="234"/>
      <c r="DJ672" s="234"/>
      <c r="DK672" s="234"/>
      <c r="DL672" s="234"/>
      <c r="DM672" s="234"/>
      <c r="DN672" s="234"/>
      <c r="DO672" s="234"/>
      <c r="DP672" s="234"/>
      <c r="DQ672" s="234"/>
      <c r="DR672" s="234"/>
      <c r="DS672" s="234"/>
      <c r="DT672" s="234"/>
      <c r="DU672" s="234"/>
      <c r="DV672" s="234"/>
      <c r="DW672" s="234"/>
      <c r="DX672" s="189"/>
      <c r="DY672" s="140"/>
      <c r="DZ672" s="139"/>
      <c r="EA672" s="140"/>
      <c r="EB672" s="140"/>
      <c r="EC672" s="140"/>
      <c r="ED672" s="140"/>
      <c r="EE672" s="219"/>
      <c r="EF672" s="234"/>
      <c r="EG672" s="234"/>
      <c r="EH672" s="234"/>
      <c r="EI672" s="234"/>
      <c r="EJ672" s="234"/>
      <c r="EK672" s="234"/>
      <c r="EL672" s="234"/>
      <c r="EM672" s="234"/>
      <c r="EN672" s="234"/>
      <c r="EO672" s="234"/>
      <c r="EP672" s="234"/>
      <c r="EQ672" s="234"/>
      <c r="ER672" s="234"/>
      <c r="ES672" s="234"/>
      <c r="ET672" s="234"/>
      <c r="EU672" s="234"/>
      <c r="EV672" s="234"/>
      <c r="EW672" s="234"/>
      <c r="EX672" s="234"/>
      <c r="EY672" s="234"/>
      <c r="EZ672" s="234"/>
      <c r="FA672" s="234"/>
      <c r="FB672" s="234"/>
      <c r="FC672" s="234"/>
      <c r="FD672" s="234"/>
      <c r="FE672" s="234"/>
      <c r="FF672" s="234"/>
      <c r="FG672" s="234"/>
      <c r="FH672" s="234"/>
      <c r="FI672" s="189"/>
      <c r="FJ672" s="140"/>
      <c r="FK672" s="139"/>
      <c r="FL672" s="140"/>
      <c r="FM672" s="140"/>
      <c r="FN672" s="140"/>
      <c r="FO672" s="140"/>
      <c r="FP672" s="219"/>
      <c r="FQ672" s="234"/>
      <c r="FR672" s="234"/>
      <c r="FS672" s="234"/>
      <c r="FT672" s="234"/>
      <c r="FU672" s="234"/>
      <c r="FV672" s="234"/>
      <c r="FW672" s="234"/>
      <c r="FX672" s="234"/>
      <c r="FY672" s="234"/>
      <c r="FZ672" s="234"/>
      <c r="GA672" s="234"/>
      <c r="GB672" s="234"/>
      <c r="GC672" s="234"/>
      <c r="GD672" s="234"/>
      <c r="GE672" s="234"/>
      <c r="GF672" s="234"/>
      <c r="GG672" s="234"/>
      <c r="GH672" s="234"/>
      <c r="GI672" s="234"/>
      <c r="GJ672" s="234"/>
      <c r="GK672" s="234"/>
      <c r="GL672" s="234"/>
      <c r="GM672" s="234"/>
      <c r="GN672" s="234"/>
      <c r="GO672" s="234"/>
      <c r="GP672" s="234"/>
      <c r="GQ672" s="234"/>
      <c r="GR672" s="234"/>
      <c r="GS672" s="234"/>
      <c r="GT672" s="189"/>
      <c r="GU672" s="140"/>
      <c r="GV672" s="139"/>
      <c r="GW672" s="140"/>
      <c r="GX672" s="140"/>
      <c r="GY672" s="140"/>
      <c r="GZ672" s="140"/>
      <c r="HA672" s="219"/>
      <c r="HB672" s="234"/>
      <c r="HC672" s="234"/>
      <c r="HD672" s="234"/>
      <c r="HE672" s="234"/>
      <c r="HF672" s="234"/>
      <c r="HG672" s="234"/>
      <c r="HH672" s="234"/>
      <c r="HI672" s="234"/>
      <c r="HJ672" s="234"/>
      <c r="HK672" s="234"/>
      <c r="HL672" s="234"/>
      <c r="HM672" s="234"/>
      <c r="HN672" s="234"/>
      <c r="HO672" s="234"/>
      <c r="HP672" s="234"/>
      <c r="HQ672" s="234"/>
      <c r="HR672" s="234"/>
      <c r="HS672" s="234"/>
      <c r="HT672" s="234"/>
      <c r="HU672" s="234"/>
      <c r="HV672" s="234"/>
      <c r="HW672" s="234"/>
      <c r="HX672" s="234"/>
      <c r="HY672" s="234"/>
      <c r="HZ672" s="234"/>
      <c r="IA672" s="234"/>
      <c r="IB672" s="234"/>
      <c r="IC672" s="234"/>
      <c r="ID672" s="234"/>
      <c r="IE672" s="189"/>
      <c r="IF672" s="140"/>
      <c r="IG672" s="139"/>
      <c r="IH672" s="140"/>
      <c r="II672" s="140"/>
      <c r="IJ672" s="140"/>
      <c r="IK672" s="140"/>
      <c r="IL672" s="140"/>
      <c r="IM672" s="140"/>
      <c r="IN672" s="140"/>
      <c r="IO672" s="140"/>
      <c r="IP672" s="140"/>
      <c r="IQ672" s="140"/>
      <c r="IR672" s="140"/>
      <c r="IS672" s="140"/>
      <c r="IT672" s="140"/>
      <c r="IU672" s="140"/>
      <c r="IV672" s="140">
        <f>SUMIFS(IP$512:IP$613,IT$512:IT$613,$F672)/IS$510</f>
        <v>934.46177764793322</v>
      </c>
      <c r="IW672" s="140"/>
      <c r="IX672" s="140"/>
      <c r="IY672" s="140"/>
      <c r="IZ672" s="140"/>
      <c r="JA672" s="140"/>
      <c r="JB672" s="140"/>
      <c r="JC672" s="140"/>
      <c r="JD672" s="140"/>
      <c r="JE672" s="140"/>
      <c r="JF672" s="140"/>
      <c r="JG672" s="140"/>
      <c r="JH672" s="140"/>
      <c r="JI672" s="140"/>
      <c r="JJ672" s="140"/>
      <c r="JK672" s="140"/>
      <c r="JL672" s="140"/>
      <c r="JM672" s="140"/>
      <c r="JN672" s="140"/>
      <c r="JO672" s="140"/>
      <c r="JP672" s="141">
        <f>SUMIFS(JJ$512:JJ$613,JN$512:JN$613,$F672)/JM$510</f>
        <v>0</v>
      </c>
      <c r="JQ672" s="140"/>
      <c r="JR672" s="139"/>
      <c r="JS672" s="140"/>
      <c r="JT672" s="140"/>
      <c r="JU672" s="140"/>
      <c r="JV672" s="140"/>
      <c r="JW672" s="140"/>
      <c r="JX672" s="140"/>
      <c r="JY672" s="140"/>
      <c r="JZ672" s="140"/>
      <c r="KA672" s="140"/>
      <c r="KB672" s="140"/>
      <c r="KC672" s="140"/>
      <c r="KD672" s="140"/>
      <c r="KE672" s="140"/>
      <c r="KF672" s="140"/>
      <c r="KG672" s="140">
        <f>SUMIFS(KA$512:KA$613,KE$512:KE$613,$F672)/KD$510</f>
        <v>2034.2025091655687</v>
      </c>
      <c r="KH672" s="140"/>
      <c r="KI672" s="140"/>
      <c r="KJ672" s="140"/>
      <c r="KK672" s="140"/>
      <c r="KL672" s="140"/>
      <c r="KM672" s="140"/>
      <c r="KN672" s="140"/>
      <c r="KO672" s="140"/>
      <c r="KP672" s="140"/>
      <c r="KQ672" s="140"/>
      <c r="KR672" s="140"/>
      <c r="KS672" s="140"/>
      <c r="KT672" s="140"/>
      <c r="KU672" s="140"/>
      <c r="KV672" s="140"/>
      <c r="KW672" s="140"/>
      <c r="KX672" s="140"/>
      <c r="KY672" s="140"/>
      <c r="KZ672" s="140"/>
      <c r="LA672" s="141">
        <f>SUMIFS(KU$512:KU$613,KY$512:KY$613,$F672)/KX$510</f>
        <v>668.4615467619077</v>
      </c>
      <c r="LB672" s="140"/>
      <c r="LC672" s="139"/>
      <c r="LD672" s="140"/>
      <c r="LE672" s="140"/>
      <c r="LF672" s="140"/>
      <c r="LG672" s="140"/>
      <c r="LH672" s="140"/>
      <c r="LI672" s="140"/>
      <c r="LJ672" s="140"/>
      <c r="LK672" s="140"/>
      <c r="LL672" s="140"/>
      <c r="LM672" s="140"/>
      <c r="LN672" s="140"/>
      <c r="LO672" s="140"/>
      <c r="LP672" s="140"/>
      <c r="LQ672" s="140"/>
      <c r="LR672" s="140">
        <f>SUMIFS(LL$512:LL$613,LP$512:LP$613,$F672)/LO$510</f>
        <v>508.55062729139212</v>
      </c>
      <c r="LS672" s="140"/>
      <c r="LT672" s="140"/>
      <c r="LU672" s="140"/>
      <c r="LV672" s="140"/>
      <c r="LW672" s="140"/>
      <c r="LX672" s="140"/>
      <c r="LY672" s="140"/>
      <c r="LZ672" s="140"/>
      <c r="MA672" s="140"/>
      <c r="MB672" s="140">
        <f>SUMIFS(LV$512:LV$613,LZ$512:LZ$613,$F672)/LY$510</f>
        <v>172.05962890025435</v>
      </c>
      <c r="MC672" s="140"/>
      <c r="MD672" s="140"/>
      <c r="ME672" s="140"/>
      <c r="MF672" s="140"/>
      <c r="MG672" s="140"/>
      <c r="MH672" s="140"/>
      <c r="MI672" s="140"/>
      <c r="MJ672" s="140"/>
      <c r="MK672" s="140"/>
      <c r="ML672" s="141">
        <f>SUMIFS(MF$512:MF$613,MJ$512:MJ$613,$F672)/MI$510</f>
        <v>189.85890085545304</v>
      </c>
    </row>
    <row r="673" spans="3:350" s="4" customFormat="1" ht="18" customHeight="1" x14ac:dyDescent="0.3">
      <c r="C673" s="136" t="s">
        <v>322</v>
      </c>
      <c r="E673" s="137" t="s">
        <v>105</v>
      </c>
      <c r="F673" s="186" t="s">
        <v>264</v>
      </c>
      <c r="H673" s="267"/>
      <c r="I673"/>
      <c r="J673"/>
      <c r="K673"/>
      <c r="L673"/>
      <c r="M673"/>
      <c r="N673" s="237"/>
      <c r="O673" s="237"/>
      <c r="P673" s="237"/>
      <c r="Q673" s="236"/>
      <c r="R673" s="140"/>
      <c r="S673" s="139"/>
      <c r="T673" s="140"/>
      <c r="U673" s="140"/>
      <c r="V673" s="140"/>
      <c r="W673" s="140"/>
      <c r="X673" s="140"/>
      <c r="Y673" s="140"/>
      <c r="Z673" s="140"/>
      <c r="AA673" s="140"/>
      <c r="AB673" s="140"/>
      <c r="AC673" s="140"/>
      <c r="AD673" s="140"/>
      <c r="AE673" s="140"/>
      <c r="AF673" s="140"/>
      <c r="AG673" s="140"/>
      <c r="AH673" s="140">
        <f t="shared" ref="AH673:AH676" si="1101">SUMIFS(AB$512:AB$613,AF$512:AF$613,$F673)/AE$510</f>
        <v>0</v>
      </c>
      <c r="AI673" s="140"/>
      <c r="AJ673" s="140"/>
      <c r="AK673" s="140"/>
      <c r="AL673" s="140"/>
      <c r="AM673" s="140"/>
      <c r="AN673" s="140"/>
      <c r="AO673" s="140"/>
      <c r="AP673" s="140"/>
      <c r="AQ673" s="140"/>
      <c r="AR673" s="140"/>
      <c r="AS673" s="140"/>
      <c r="AT673" s="140"/>
      <c r="AU673" s="140"/>
      <c r="AV673" s="140"/>
      <c r="AW673" s="140"/>
      <c r="AX673" s="140"/>
      <c r="AY673" s="140"/>
      <c r="AZ673" s="140"/>
      <c r="BA673" s="140"/>
      <c r="BB673" s="141">
        <f t="shared" ref="BB673:BB676" si="1102">SUMIFS(AV$512:AV$613,AZ$512:AZ$613,$F673)/AY$510</f>
        <v>0</v>
      </c>
      <c r="BC673" s="140"/>
      <c r="BD673" s="139"/>
      <c r="BE673" s="140"/>
      <c r="BF673" s="140"/>
      <c r="BG673" s="140"/>
      <c r="BH673" s="140"/>
      <c r="BI673" s="219"/>
      <c r="BJ673" s="234"/>
      <c r="BK673" s="234"/>
      <c r="BL673" s="234"/>
      <c r="BM673" s="234"/>
      <c r="BN673" s="234"/>
      <c r="BO673" s="234"/>
      <c r="BP673" s="234"/>
      <c r="BQ673" s="234"/>
      <c r="BR673" s="234"/>
      <c r="BS673" s="234"/>
      <c r="BT673" s="234"/>
      <c r="BU673" s="234"/>
      <c r="BV673" s="234"/>
      <c r="BW673" s="234"/>
      <c r="BX673" s="234"/>
      <c r="BY673" s="234"/>
      <c r="BZ673" s="234"/>
      <c r="CA673" s="234"/>
      <c r="CB673" s="234"/>
      <c r="CC673" s="234"/>
      <c r="CD673" s="234"/>
      <c r="CE673" s="234"/>
      <c r="CF673" s="234"/>
      <c r="CG673" s="234"/>
      <c r="CH673" s="234"/>
      <c r="CI673" s="234"/>
      <c r="CJ673" s="234"/>
      <c r="CK673" s="234"/>
      <c r="CL673" s="234"/>
      <c r="CM673" s="189"/>
      <c r="CN673" s="140"/>
      <c r="CO673" s="139"/>
      <c r="CP673" s="140"/>
      <c r="CQ673" s="140"/>
      <c r="CR673" s="140"/>
      <c r="CS673" s="140"/>
      <c r="CT673" s="219"/>
      <c r="CU673" s="234"/>
      <c r="CV673" s="234"/>
      <c r="CW673" s="234"/>
      <c r="CX673" s="234"/>
      <c r="CY673" s="234"/>
      <c r="CZ673" s="234"/>
      <c r="DA673" s="234"/>
      <c r="DB673" s="234"/>
      <c r="DC673" s="234"/>
      <c r="DD673" s="234"/>
      <c r="DE673" s="234"/>
      <c r="DF673" s="234"/>
      <c r="DG673" s="234"/>
      <c r="DH673" s="234"/>
      <c r="DI673" s="234"/>
      <c r="DJ673" s="234"/>
      <c r="DK673" s="234"/>
      <c r="DL673" s="234"/>
      <c r="DM673" s="234"/>
      <c r="DN673" s="234"/>
      <c r="DO673" s="234"/>
      <c r="DP673" s="234"/>
      <c r="DQ673" s="234"/>
      <c r="DR673" s="234"/>
      <c r="DS673" s="234"/>
      <c r="DT673" s="234"/>
      <c r="DU673" s="234"/>
      <c r="DV673" s="234"/>
      <c r="DW673" s="234"/>
      <c r="DX673" s="189"/>
      <c r="DY673" s="140"/>
      <c r="DZ673" s="139"/>
      <c r="EA673" s="140"/>
      <c r="EB673" s="140"/>
      <c r="EC673" s="140"/>
      <c r="ED673" s="140"/>
      <c r="EE673" s="219"/>
      <c r="EF673" s="234"/>
      <c r="EG673" s="234"/>
      <c r="EH673" s="234"/>
      <c r="EI673" s="234"/>
      <c r="EJ673" s="234"/>
      <c r="EK673" s="234"/>
      <c r="EL673" s="234"/>
      <c r="EM673" s="234"/>
      <c r="EN673" s="234"/>
      <c r="EO673" s="234"/>
      <c r="EP673" s="234"/>
      <c r="EQ673" s="234"/>
      <c r="ER673" s="234"/>
      <c r="ES673" s="234"/>
      <c r="ET673" s="234"/>
      <c r="EU673" s="234"/>
      <c r="EV673" s="234"/>
      <c r="EW673" s="234"/>
      <c r="EX673" s="234"/>
      <c r="EY673" s="234"/>
      <c r="EZ673" s="234"/>
      <c r="FA673" s="234"/>
      <c r="FB673" s="234"/>
      <c r="FC673" s="234"/>
      <c r="FD673" s="234"/>
      <c r="FE673" s="234"/>
      <c r="FF673" s="234"/>
      <c r="FG673" s="234"/>
      <c r="FH673" s="234"/>
      <c r="FI673" s="189"/>
      <c r="FJ673" s="140"/>
      <c r="FK673" s="139"/>
      <c r="FL673" s="140"/>
      <c r="FM673" s="140"/>
      <c r="FN673" s="140"/>
      <c r="FO673" s="140"/>
      <c r="FP673" s="219"/>
      <c r="FQ673" s="234"/>
      <c r="FR673" s="234"/>
      <c r="FS673" s="234"/>
      <c r="FT673" s="234"/>
      <c r="FU673" s="234"/>
      <c r="FV673" s="234"/>
      <c r="FW673" s="234"/>
      <c r="FX673" s="234"/>
      <c r="FY673" s="234"/>
      <c r="FZ673" s="234"/>
      <c r="GA673" s="234"/>
      <c r="GB673" s="234"/>
      <c r="GC673" s="234"/>
      <c r="GD673" s="234"/>
      <c r="GE673" s="234"/>
      <c r="GF673" s="234"/>
      <c r="GG673" s="234"/>
      <c r="GH673" s="234"/>
      <c r="GI673" s="234"/>
      <c r="GJ673" s="234"/>
      <c r="GK673" s="234"/>
      <c r="GL673" s="234"/>
      <c r="GM673" s="234"/>
      <c r="GN673" s="234"/>
      <c r="GO673" s="234"/>
      <c r="GP673" s="234"/>
      <c r="GQ673" s="234"/>
      <c r="GR673" s="234"/>
      <c r="GS673" s="234"/>
      <c r="GT673" s="189"/>
      <c r="GU673" s="140"/>
      <c r="GV673" s="139"/>
      <c r="GW673" s="140"/>
      <c r="GX673" s="140"/>
      <c r="GY673" s="140"/>
      <c r="GZ673" s="140"/>
      <c r="HA673" s="219"/>
      <c r="HB673" s="234"/>
      <c r="HC673" s="234"/>
      <c r="HD673" s="234"/>
      <c r="HE673" s="234"/>
      <c r="HF673" s="234"/>
      <c r="HG673" s="234"/>
      <c r="HH673" s="234"/>
      <c r="HI673" s="234"/>
      <c r="HJ673" s="234"/>
      <c r="HK673" s="234"/>
      <c r="HL673" s="234"/>
      <c r="HM673" s="234"/>
      <c r="HN673" s="234"/>
      <c r="HO673" s="234"/>
      <c r="HP673" s="234"/>
      <c r="HQ673" s="234"/>
      <c r="HR673" s="234"/>
      <c r="HS673" s="234"/>
      <c r="HT673" s="234"/>
      <c r="HU673" s="234"/>
      <c r="HV673" s="234"/>
      <c r="HW673" s="234"/>
      <c r="HX673" s="234"/>
      <c r="HY673" s="234"/>
      <c r="HZ673" s="234"/>
      <c r="IA673" s="234"/>
      <c r="IB673" s="234"/>
      <c r="IC673" s="234"/>
      <c r="ID673" s="234"/>
      <c r="IE673" s="189"/>
      <c r="IF673" s="140"/>
      <c r="IG673" s="139"/>
      <c r="IH673" s="140"/>
      <c r="II673" s="140"/>
      <c r="IJ673" s="140"/>
      <c r="IK673" s="140"/>
      <c r="IL673" s="140"/>
      <c r="IM673" s="140"/>
      <c r="IN673" s="140"/>
      <c r="IO673" s="140"/>
      <c r="IP673" s="140"/>
      <c r="IQ673" s="140"/>
      <c r="IR673" s="140"/>
      <c r="IS673" s="140"/>
      <c r="IT673" s="140"/>
      <c r="IU673" s="140"/>
      <c r="IV673" s="140">
        <f>SUMIFS(IP$512:IP$613,IT$512:IT$613,$F673)/IS$510</f>
        <v>0</v>
      </c>
      <c r="IW673" s="140"/>
      <c r="IX673" s="140"/>
      <c r="IY673" s="140"/>
      <c r="IZ673" s="140"/>
      <c r="JA673" s="140"/>
      <c r="JB673" s="140"/>
      <c r="JC673" s="140"/>
      <c r="JD673" s="140"/>
      <c r="JE673" s="140"/>
      <c r="JF673" s="140"/>
      <c r="JG673" s="140"/>
      <c r="JH673" s="140"/>
      <c r="JI673" s="140"/>
      <c r="JJ673" s="140"/>
      <c r="JK673" s="140"/>
      <c r="JL673" s="140"/>
      <c r="JM673" s="140"/>
      <c r="JN673" s="140"/>
      <c r="JO673" s="140"/>
      <c r="JP673" s="141">
        <f>SUMIFS(JJ$512:JJ$613,JN$512:JN$613,$F673)/JM$510</f>
        <v>0</v>
      </c>
      <c r="JQ673" s="140"/>
      <c r="JR673" s="139"/>
      <c r="JS673" s="140"/>
      <c r="JT673" s="140"/>
      <c r="JU673" s="140"/>
      <c r="JV673" s="140"/>
      <c r="JW673" s="140"/>
      <c r="JX673" s="140"/>
      <c r="JY673" s="140"/>
      <c r="JZ673" s="140"/>
      <c r="KA673" s="140"/>
      <c r="KB673" s="140"/>
      <c r="KC673" s="140"/>
      <c r="KD673" s="140"/>
      <c r="KE673" s="140"/>
      <c r="KF673" s="140"/>
      <c r="KG673" s="140">
        <f>SUMIFS(KA$512:KA$613,KE$512:KE$613,$F673)/KD$510</f>
        <v>0</v>
      </c>
      <c r="KH673" s="140"/>
      <c r="KI673" s="140"/>
      <c r="KJ673" s="140"/>
      <c r="KK673" s="140"/>
      <c r="KL673" s="140"/>
      <c r="KM673" s="140"/>
      <c r="KN673" s="140"/>
      <c r="KO673" s="140"/>
      <c r="KP673" s="140"/>
      <c r="KQ673" s="140"/>
      <c r="KR673" s="140"/>
      <c r="KS673" s="140"/>
      <c r="KT673" s="140"/>
      <c r="KU673" s="140"/>
      <c r="KV673" s="140"/>
      <c r="KW673" s="140"/>
      <c r="KX673" s="140"/>
      <c r="KY673" s="140"/>
      <c r="KZ673" s="140"/>
      <c r="LA673" s="141">
        <f>SUMIFS(KU$512:KU$613,KY$512:KY$613,$F673)/KX$510</f>
        <v>1290.4472167519077</v>
      </c>
      <c r="LB673" s="140"/>
      <c r="LC673" s="139"/>
      <c r="LD673" s="140"/>
      <c r="LE673" s="140"/>
      <c r="LF673" s="140"/>
      <c r="LG673" s="140"/>
      <c r="LH673" s="140"/>
      <c r="LI673" s="140"/>
      <c r="LJ673" s="140"/>
      <c r="LK673" s="140"/>
      <c r="LL673" s="140"/>
      <c r="LM673" s="140"/>
      <c r="LN673" s="140"/>
      <c r="LO673" s="140"/>
      <c r="LP673" s="140"/>
      <c r="LQ673" s="140"/>
      <c r="LR673" s="140">
        <f>SUMIFS(LL$512:LL$613,LP$512:LP$613,$F673)/LO$510</f>
        <v>0</v>
      </c>
      <c r="LS673" s="140"/>
      <c r="LT673" s="140"/>
      <c r="LU673" s="140"/>
      <c r="LV673" s="140"/>
      <c r="LW673" s="140"/>
      <c r="LX673" s="140"/>
      <c r="LY673" s="140"/>
      <c r="LZ673" s="140"/>
      <c r="MA673" s="140"/>
      <c r="MB673" s="140">
        <f>SUMIFS(LV$512:LV$613,LZ$512:LZ$613,$F673)/LY$510</f>
        <v>316.43150142575507</v>
      </c>
      <c r="MC673" s="140"/>
      <c r="MD673" s="140"/>
      <c r="ME673" s="140"/>
      <c r="MF673" s="140"/>
      <c r="MG673" s="140"/>
      <c r="MH673" s="140"/>
      <c r="MI673" s="140"/>
      <c r="MJ673" s="140"/>
      <c r="MK673" s="140"/>
      <c r="ML673" s="141">
        <f>SUMIFS(MF$512:MF$613,MJ$512:MJ$613,$F673)/MI$510</f>
        <v>676.37233429755156</v>
      </c>
    </row>
    <row r="674" spans="3:350" s="4" customFormat="1" ht="18" customHeight="1" x14ac:dyDescent="0.3">
      <c r="C674" s="136" t="s">
        <v>323</v>
      </c>
      <c r="E674" s="137" t="s">
        <v>105</v>
      </c>
      <c r="F674" s="186" t="s">
        <v>257</v>
      </c>
      <c r="H674" s="267"/>
      <c r="I674"/>
      <c r="J674"/>
      <c r="K674"/>
      <c r="L674"/>
      <c r="M674"/>
      <c r="N674" s="237"/>
      <c r="O674" s="237"/>
      <c r="P674" s="237"/>
      <c r="Q674" s="236"/>
      <c r="R674" s="140"/>
      <c r="S674" s="139"/>
      <c r="T674" s="140"/>
      <c r="U674" s="140"/>
      <c r="V674" s="140"/>
      <c r="W674" s="140"/>
      <c r="X674" s="140"/>
      <c r="Y674" s="140"/>
      <c r="Z674" s="140"/>
      <c r="AA674" s="140"/>
      <c r="AB674" s="140"/>
      <c r="AC674" s="140"/>
      <c r="AD674" s="140"/>
      <c r="AE674" s="140"/>
      <c r="AF674" s="140"/>
      <c r="AG674" s="140"/>
      <c r="AH674" s="140">
        <f t="shared" si="1101"/>
        <v>0</v>
      </c>
      <c r="AI674" s="140"/>
      <c r="AJ674" s="140"/>
      <c r="AK674" s="140"/>
      <c r="AL674" s="140"/>
      <c r="AM674" s="140"/>
      <c r="AN674" s="140"/>
      <c r="AO674" s="140"/>
      <c r="AP674" s="140"/>
      <c r="AQ674" s="140"/>
      <c r="AR674" s="140"/>
      <c r="AS674" s="140"/>
      <c r="AT674" s="140"/>
      <c r="AU674" s="140"/>
      <c r="AV674" s="140"/>
      <c r="AW674" s="140"/>
      <c r="AX674" s="140"/>
      <c r="AY674" s="140"/>
      <c r="AZ674" s="140"/>
      <c r="BA674" s="140"/>
      <c r="BB674" s="141">
        <f t="shared" si="1102"/>
        <v>0</v>
      </c>
      <c r="BC674" s="140"/>
      <c r="BD674" s="139"/>
      <c r="BE674" s="140"/>
      <c r="BF674" s="140"/>
      <c r="BG674" s="140"/>
      <c r="BH674" s="140"/>
      <c r="BI674" s="219"/>
      <c r="BJ674" s="234"/>
      <c r="BK674" s="234"/>
      <c r="BL674" s="234"/>
      <c r="BM674" s="234"/>
      <c r="BN674" s="234"/>
      <c r="BO674" s="234"/>
      <c r="BP674" s="234"/>
      <c r="BQ674" s="234"/>
      <c r="BR674" s="234"/>
      <c r="BS674" s="234"/>
      <c r="BT674" s="234"/>
      <c r="BU674" s="234"/>
      <c r="BV674" s="234"/>
      <c r="BW674" s="234"/>
      <c r="BX674" s="234"/>
      <c r="BY674" s="234"/>
      <c r="BZ674" s="234"/>
      <c r="CA674" s="234"/>
      <c r="CB674" s="234"/>
      <c r="CC674" s="234"/>
      <c r="CD674" s="234"/>
      <c r="CE674" s="234"/>
      <c r="CF674" s="234"/>
      <c r="CG674" s="234"/>
      <c r="CH674" s="234"/>
      <c r="CI674" s="234"/>
      <c r="CJ674" s="234"/>
      <c r="CK674" s="234"/>
      <c r="CL674" s="234"/>
      <c r="CM674" s="189"/>
      <c r="CN674" s="140"/>
      <c r="CO674" s="139"/>
      <c r="CP674" s="140"/>
      <c r="CQ674" s="140"/>
      <c r="CR674" s="140"/>
      <c r="CS674" s="140"/>
      <c r="CT674" s="219"/>
      <c r="CU674" s="234"/>
      <c r="CV674" s="234"/>
      <c r="CW674" s="234"/>
      <c r="CX674" s="234"/>
      <c r="CY674" s="234"/>
      <c r="CZ674" s="234"/>
      <c r="DA674" s="234"/>
      <c r="DB674" s="234"/>
      <c r="DC674" s="234"/>
      <c r="DD674" s="234"/>
      <c r="DE674" s="234"/>
      <c r="DF674" s="234"/>
      <c r="DG674" s="234"/>
      <c r="DH674" s="234"/>
      <c r="DI674" s="234"/>
      <c r="DJ674" s="234"/>
      <c r="DK674" s="234"/>
      <c r="DL674" s="234"/>
      <c r="DM674" s="234"/>
      <c r="DN674" s="234"/>
      <c r="DO674" s="234"/>
      <c r="DP674" s="234"/>
      <c r="DQ674" s="234"/>
      <c r="DR674" s="234"/>
      <c r="DS674" s="234"/>
      <c r="DT674" s="234"/>
      <c r="DU674" s="234"/>
      <c r="DV674" s="234"/>
      <c r="DW674" s="234"/>
      <c r="DX674" s="189"/>
      <c r="DY674" s="140"/>
      <c r="DZ674" s="139"/>
      <c r="EA674" s="140"/>
      <c r="EB674" s="140"/>
      <c r="EC674" s="140"/>
      <c r="ED674" s="140"/>
      <c r="EE674" s="219"/>
      <c r="EF674" s="234"/>
      <c r="EG674" s="234"/>
      <c r="EH674" s="234"/>
      <c r="EI674" s="234"/>
      <c r="EJ674" s="234"/>
      <c r="EK674" s="234"/>
      <c r="EL674" s="234"/>
      <c r="EM674" s="234"/>
      <c r="EN674" s="234"/>
      <c r="EO674" s="234"/>
      <c r="EP674" s="234"/>
      <c r="EQ674" s="234"/>
      <c r="ER674" s="234"/>
      <c r="ES674" s="234"/>
      <c r="ET674" s="234"/>
      <c r="EU674" s="234"/>
      <c r="EV674" s="234"/>
      <c r="EW674" s="234"/>
      <c r="EX674" s="234"/>
      <c r="EY674" s="234"/>
      <c r="EZ674" s="234"/>
      <c r="FA674" s="234"/>
      <c r="FB674" s="234"/>
      <c r="FC674" s="234"/>
      <c r="FD674" s="234"/>
      <c r="FE674" s="234"/>
      <c r="FF674" s="234"/>
      <c r="FG674" s="234"/>
      <c r="FH674" s="234"/>
      <c r="FI674" s="189"/>
      <c r="FJ674" s="140"/>
      <c r="FK674" s="139"/>
      <c r="FL674" s="140"/>
      <c r="FM674" s="140"/>
      <c r="FN674" s="140"/>
      <c r="FO674" s="140"/>
      <c r="FP674" s="219"/>
      <c r="FQ674" s="234"/>
      <c r="FR674" s="234"/>
      <c r="FS674" s="234"/>
      <c r="FT674" s="234"/>
      <c r="FU674" s="234"/>
      <c r="FV674" s="234"/>
      <c r="FW674" s="234"/>
      <c r="FX674" s="234"/>
      <c r="FY674" s="234"/>
      <c r="FZ674" s="234"/>
      <c r="GA674" s="234"/>
      <c r="GB674" s="234"/>
      <c r="GC674" s="234"/>
      <c r="GD674" s="234"/>
      <c r="GE674" s="234"/>
      <c r="GF674" s="234"/>
      <c r="GG674" s="234"/>
      <c r="GH674" s="234"/>
      <c r="GI674" s="234"/>
      <c r="GJ674" s="234"/>
      <c r="GK674" s="234"/>
      <c r="GL674" s="234"/>
      <c r="GM674" s="234"/>
      <c r="GN674" s="234"/>
      <c r="GO674" s="234"/>
      <c r="GP674" s="234"/>
      <c r="GQ674" s="234"/>
      <c r="GR674" s="234"/>
      <c r="GS674" s="234"/>
      <c r="GT674" s="189"/>
      <c r="GU674" s="140"/>
      <c r="GV674" s="139"/>
      <c r="GW674" s="140"/>
      <c r="GX674" s="140"/>
      <c r="GY674" s="140"/>
      <c r="GZ674" s="140"/>
      <c r="HA674" s="219"/>
      <c r="HB674" s="234"/>
      <c r="HC674" s="234"/>
      <c r="HD674" s="234"/>
      <c r="HE674" s="234"/>
      <c r="HF674" s="234"/>
      <c r="HG674" s="234"/>
      <c r="HH674" s="234"/>
      <c r="HI674" s="234"/>
      <c r="HJ674" s="234"/>
      <c r="HK674" s="234"/>
      <c r="HL674" s="234"/>
      <c r="HM674" s="234"/>
      <c r="HN674" s="234"/>
      <c r="HO674" s="234"/>
      <c r="HP674" s="234"/>
      <c r="HQ674" s="234"/>
      <c r="HR674" s="234"/>
      <c r="HS674" s="234"/>
      <c r="HT674" s="234"/>
      <c r="HU674" s="234"/>
      <c r="HV674" s="234"/>
      <c r="HW674" s="234"/>
      <c r="HX674" s="234"/>
      <c r="HY674" s="234"/>
      <c r="HZ674" s="234"/>
      <c r="IA674" s="234"/>
      <c r="IB674" s="234"/>
      <c r="IC674" s="234"/>
      <c r="ID674" s="234"/>
      <c r="IE674" s="189"/>
      <c r="IF674" s="140"/>
      <c r="IG674" s="139"/>
      <c r="IH674" s="140"/>
      <c r="II674" s="140"/>
      <c r="IJ674" s="140"/>
      <c r="IK674" s="140"/>
      <c r="IL674" s="140"/>
      <c r="IM674" s="140"/>
      <c r="IN674" s="140"/>
      <c r="IO674" s="140"/>
      <c r="IP674" s="140"/>
      <c r="IQ674" s="140"/>
      <c r="IR674" s="140"/>
      <c r="IS674" s="140"/>
      <c r="IT674" s="140"/>
      <c r="IU674" s="140"/>
      <c r="IV674" s="140">
        <f>SUMIFS(IP$512:IP$613,IT$512:IT$613,$F674)/IS$510</f>
        <v>8855.1377977113661</v>
      </c>
      <c r="IW674" s="140"/>
      <c r="IX674" s="140"/>
      <c r="IY674" s="140"/>
      <c r="IZ674" s="140"/>
      <c r="JA674" s="140"/>
      <c r="JB674" s="140"/>
      <c r="JC674" s="140"/>
      <c r="JD674" s="140"/>
      <c r="JE674" s="140"/>
      <c r="JF674" s="140"/>
      <c r="JG674" s="140"/>
      <c r="JH674" s="140"/>
      <c r="JI674" s="140"/>
      <c r="JJ674" s="140"/>
      <c r="JK674" s="140"/>
      <c r="JL674" s="140"/>
      <c r="JM674" s="140"/>
      <c r="JN674" s="140"/>
      <c r="JO674" s="140"/>
      <c r="JP674" s="141">
        <f>SUMIFS(JJ$512:JJ$613,JN$512:JN$613,$F674)/JM$510</f>
        <v>0</v>
      </c>
      <c r="JQ674" s="140"/>
      <c r="JR674" s="139"/>
      <c r="JS674" s="140"/>
      <c r="JT674" s="140"/>
      <c r="JU674" s="140"/>
      <c r="JV674" s="140"/>
      <c r="JW674" s="140"/>
      <c r="JX674" s="140"/>
      <c r="JY674" s="140"/>
      <c r="JZ674" s="140"/>
      <c r="KA674" s="140"/>
      <c r="KB674" s="140"/>
      <c r="KC674" s="140"/>
      <c r="KD674" s="140"/>
      <c r="KE674" s="140"/>
      <c r="KF674" s="140"/>
      <c r="KG674" s="140">
        <f>SUMIFS(KA$512:KA$613,KE$512:KE$613,$F674)/KD$510</f>
        <v>7628.2594093708822</v>
      </c>
      <c r="KH674" s="140"/>
      <c r="KI674" s="140"/>
      <c r="KJ674" s="140"/>
      <c r="KK674" s="140"/>
      <c r="KL674" s="140"/>
      <c r="KM674" s="140"/>
      <c r="KN674" s="140"/>
      <c r="KO674" s="140"/>
      <c r="KP674" s="140"/>
      <c r="KQ674" s="140"/>
      <c r="KR674" s="140"/>
      <c r="KS674" s="140"/>
      <c r="KT674" s="140"/>
      <c r="KU674" s="140"/>
      <c r="KV674" s="140"/>
      <c r="KW674" s="140"/>
      <c r="KX674" s="140"/>
      <c r="KY674" s="140"/>
      <c r="KZ674" s="140"/>
      <c r="LA674" s="141">
        <f>SUMIFS(KU$512:KU$613,KY$512:KY$613,$F674)/KX$510</f>
        <v>1394.2763031572333</v>
      </c>
      <c r="LB674" s="140"/>
      <c r="LC674" s="139"/>
      <c r="LD674" s="140"/>
      <c r="LE674" s="140"/>
      <c r="LF674" s="140"/>
      <c r="LG674" s="140"/>
      <c r="LH674" s="140"/>
      <c r="LI674" s="140"/>
      <c r="LJ674" s="140"/>
      <c r="LK674" s="140"/>
      <c r="LL674" s="140"/>
      <c r="LM674" s="140"/>
      <c r="LN674" s="140"/>
      <c r="LO674" s="140"/>
      <c r="LP674" s="140"/>
      <c r="LQ674" s="140"/>
      <c r="LR674" s="140">
        <f>SUMIFS(LL$512:LL$613,LP$512:LP$613,$F674)/LO$510</f>
        <v>3051.3037637483526</v>
      </c>
      <c r="LS674" s="140"/>
      <c r="LT674" s="140"/>
      <c r="LU674" s="140"/>
      <c r="LV674" s="140"/>
      <c r="LW674" s="140"/>
      <c r="LX674" s="140"/>
      <c r="LY674" s="140"/>
      <c r="LZ674" s="140"/>
      <c r="MA674" s="140"/>
      <c r="MB674" s="140">
        <f>SUMIFS(LV$512:LV$613,LZ$512:LZ$613,$F674)/LY$510</f>
        <v>2325.7715354792999</v>
      </c>
      <c r="MC674" s="140"/>
      <c r="MD674" s="140"/>
      <c r="ME674" s="140"/>
      <c r="MF674" s="140"/>
      <c r="MG674" s="140"/>
      <c r="MH674" s="140"/>
      <c r="MI674" s="140"/>
      <c r="MJ674" s="140"/>
      <c r="MK674" s="140"/>
      <c r="ML674" s="141">
        <f>SUMIFS(MF$512:MF$613,MJ$512:MJ$613,$F674)/MI$510</f>
        <v>1156.952677087917</v>
      </c>
    </row>
    <row r="675" spans="3:350" s="4" customFormat="1" ht="18" customHeight="1" x14ac:dyDescent="0.3">
      <c r="C675" s="136" t="s">
        <v>324</v>
      </c>
      <c r="E675" s="137" t="s">
        <v>105</v>
      </c>
      <c r="F675" s="186" t="s">
        <v>255</v>
      </c>
      <c r="H675" s="267"/>
      <c r="I675"/>
      <c r="J675"/>
      <c r="K675"/>
      <c r="L675"/>
      <c r="M675"/>
      <c r="N675" s="237"/>
      <c r="O675" s="237"/>
      <c r="P675" s="237"/>
      <c r="Q675" s="236"/>
      <c r="R675" s="140"/>
      <c r="S675" s="139"/>
      <c r="T675" s="140"/>
      <c r="U675" s="140"/>
      <c r="V675" s="140"/>
      <c r="W675" s="140"/>
      <c r="X675" s="140"/>
      <c r="Y675" s="140"/>
      <c r="Z675" s="140"/>
      <c r="AA675" s="140"/>
      <c r="AB675" s="140"/>
      <c r="AC675" s="140"/>
      <c r="AD675" s="140"/>
      <c r="AE675" s="140"/>
      <c r="AF675" s="140"/>
      <c r="AG675" s="140"/>
      <c r="AH675" s="140">
        <f t="shared" si="1101"/>
        <v>2124.0464533203799</v>
      </c>
      <c r="AI675" s="140"/>
      <c r="AJ675" s="140"/>
      <c r="AK675" s="140"/>
      <c r="AL675" s="140"/>
      <c r="AM675" s="140"/>
      <c r="AN675" s="140"/>
      <c r="AO675" s="140"/>
      <c r="AP675" s="140"/>
      <c r="AQ675" s="140"/>
      <c r="AR675" s="140"/>
      <c r="AS675" s="140"/>
      <c r="AT675" s="140"/>
      <c r="AU675" s="140"/>
      <c r="AV675" s="140"/>
      <c r="AW675" s="140"/>
      <c r="AX675" s="140"/>
      <c r="AY675" s="140"/>
      <c r="AZ675" s="140"/>
      <c r="BA675" s="140"/>
      <c r="BB675" s="141">
        <f t="shared" si="1102"/>
        <v>2124.0464533203799</v>
      </c>
      <c r="BC675" s="140"/>
      <c r="BD675" s="139"/>
      <c r="BE675" s="140"/>
      <c r="BF675" s="140"/>
      <c r="BG675" s="140"/>
      <c r="BH675" s="140"/>
      <c r="BI675" s="219"/>
      <c r="BJ675" s="234"/>
      <c r="BK675" s="234"/>
      <c r="BL675" s="234"/>
      <c r="BM675" s="234"/>
      <c r="BN675" s="234"/>
      <c r="BO675" s="234"/>
      <c r="BP675" s="234"/>
      <c r="BQ675" s="234"/>
      <c r="BR675" s="234"/>
      <c r="BS675" s="234"/>
      <c r="BT675" s="234"/>
      <c r="BU675" s="234"/>
      <c r="BV675" s="234"/>
      <c r="BW675" s="234"/>
      <c r="BX675" s="234"/>
      <c r="BY675" s="234"/>
      <c r="BZ675" s="234"/>
      <c r="CA675" s="234"/>
      <c r="CB675" s="234"/>
      <c r="CC675" s="234"/>
      <c r="CD675" s="234"/>
      <c r="CE675" s="234"/>
      <c r="CF675" s="234"/>
      <c r="CG675" s="234"/>
      <c r="CH675" s="234"/>
      <c r="CI675" s="234"/>
      <c r="CJ675" s="234"/>
      <c r="CK675" s="234"/>
      <c r="CL675" s="234"/>
      <c r="CM675" s="189"/>
      <c r="CN675" s="140"/>
      <c r="CO675" s="139"/>
      <c r="CP675" s="140"/>
      <c r="CQ675" s="140"/>
      <c r="CR675" s="140"/>
      <c r="CS675" s="140"/>
      <c r="CT675" s="219"/>
      <c r="CU675" s="234"/>
      <c r="CV675" s="234"/>
      <c r="CW675" s="234"/>
      <c r="CX675" s="234"/>
      <c r="CY675" s="234"/>
      <c r="CZ675" s="234"/>
      <c r="DA675" s="234"/>
      <c r="DB675" s="234"/>
      <c r="DC675" s="234"/>
      <c r="DD675" s="234"/>
      <c r="DE675" s="234"/>
      <c r="DF675" s="234"/>
      <c r="DG675" s="234"/>
      <c r="DH675" s="234"/>
      <c r="DI675" s="234"/>
      <c r="DJ675" s="234"/>
      <c r="DK675" s="234"/>
      <c r="DL675" s="234"/>
      <c r="DM675" s="234"/>
      <c r="DN675" s="234"/>
      <c r="DO675" s="234"/>
      <c r="DP675" s="234"/>
      <c r="DQ675" s="234"/>
      <c r="DR675" s="234"/>
      <c r="DS675" s="234"/>
      <c r="DT675" s="234"/>
      <c r="DU675" s="234"/>
      <c r="DV675" s="234"/>
      <c r="DW675" s="234"/>
      <c r="DX675" s="189"/>
      <c r="DY675" s="140"/>
      <c r="DZ675" s="139"/>
      <c r="EA675" s="140"/>
      <c r="EB675" s="140"/>
      <c r="EC675" s="140"/>
      <c r="ED675" s="140"/>
      <c r="EE675" s="219"/>
      <c r="EF675" s="234"/>
      <c r="EG675" s="234"/>
      <c r="EH675" s="234"/>
      <c r="EI675" s="234"/>
      <c r="EJ675" s="234"/>
      <c r="EK675" s="234"/>
      <c r="EL675" s="234"/>
      <c r="EM675" s="234"/>
      <c r="EN675" s="234"/>
      <c r="EO675" s="234"/>
      <c r="EP675" s="234"/>
      <c r="EQ675" s="234"/>
      <c r="ER675" s="234"/>
      <c r="ES675" s="234"/>
      <c r="ET675" s="234"/>
      <c r="EU675" s="234"/>
      <c r="EV675" s="234"/>
      <c r="EW675" s="234"/>
      <c r="EX675" s="234"/>
      <c r="EY675" s="234"/>
      <c r="EZ675" s="234"/>
      <c r="FA675" s="234"/>
      <c r="FB675" s="234"/>
      <c r="FC675" s="234"/>
      <c r="FD675" s="234"/>
      <c r="FE675" s="234"/>
      <c r="FF675" s="234"/>
      <c r="FG675" s="234"/>
      <c r="FH675" s="234"/>
      <c r="FI675" s="189"/>
      <c r="FJ675" s="140"/>
      <c r="FK675" s="139"/>
      <c r="FL675" s="140"/>
      <c r="FM675" s="140"/>
      <c r="FN675" s="140"/>
      <c r="FO675" s="140"/>
      <c r="FP675" s="219"/>
      <c r="FQ675" s="234"/>
      <c r="FR675" s="234"/>
      <c r="FS675" s="234"/>
      <c r="FT675" s="234"/>
      <c r="FU675" s="234"/>
      <c r="FV675" s="234"/>
      <c r="FW675" s="234"/>
      <c r="FX675" s="234"/>
      <c r="FY675" s="234"/>
      <c r="FZ675" s="234"/>
      <c r="GA675" s="234"/>
      <c r="GB675" s="234"/>
      <c r="GC675" s="234"/>
      <c r="GD675" s="234"/>
      <c r="GE675" s="234"/>
      <c r="GF675" s="234"/>
      <c r="GG675" s="234"/>
      <c r="GH675" s="234"/>
      <c r="GI675" s="234"/>
      <c r="GJ675" s="234"/>
      <c r="GK675" s="234"/>
      <c r="GL675" s="234"/>
      <c r="GM675" s="234"/>
      <c r="GN675" s="234"/>
      <c r="GO675" s="234"/>
      <c r="GP675" s="234"/>
      <c r="GQ675" s="234"/>
      <c r="GR675" s="234"/>
      <c r="GS675" s="234"/>
      <c r="GT675" s="189"/>
      <c r="GU675" s="140"/>
      <c r="GV675" s="139"/>
      <c r="GW675" s="140"/>
      <c r="GX675" s="140"/>
      <c r="GY675" s="140"/>
      <c r="GZ675" s="140"/>
      <c r="HA675" s="219"/>
      <c r="HB675" s="234"/>
      <c r="HC675" s="234"/>
      <c r="HD675" s="234"/>
      <c r="HE675" s="234"/>
      <c r="HF675" s="234"/>
      <c r="HG675" s="234"/>
      <c r="HH675" s="234"/>
      <c r="HI675" s="234"/>
      <c r="HJ675" s="234"/>
      <c r="HK675" s="234"/>
      <c r="HL675" s="234"/>
      <c r="HM675" s="234"/>
      <c r="HN675" s="234"/>
      <c r="HO675" s="234"/>
      <c r="HP675" s="234"/>
      <c r="HQ675" s="234"/>
      <c r="HR675" s="234"/>
      <c r="HS675" s="234"/>
      <c r="HT675" s="234"/>
      <c r="HU675" s="234"/>
      <c r="HV675" s="234"/>
      <c r="HW675" s="234"/>
      <c r="HX675" s="234"/>
      <c r="HY675" s="234"/>
      <c r="HZ675" s="234"/>
      <c r="IA675" s="234"/>
      <c r="IB675" s="234"/>
      <c r="IC675" s="234"/>
      <c r="ID675" s="234"/>
      <c r="IE675" s="189"/>
      <c r="IF675" s="140"/>
      <c r="IG675" s="139"/>
      <c r="IH675" s="140"/>
      <c r="II675" s="140"/>
      <c r="IJ675" s="140"/>
      <c r="IK675" s="140"/>
      <c r="IL675" s="140"/>
      <c r="IM675" s="140"/>
      <c r="IN675" s="140"/>
      <c r="IO675" s="140"/>
      <c r="IP675" s="140"/>
      <c r="IQ675" s="140"/>
      <c r="IR675" s="140"/>
      <c r="IS675" s="140"/>
      <c r="IT675" s="140"/>
      <c r="IU675" s="140"/>
      <c r="IV675" s="140">
        <f>SUMIFS(IP$512:IP$613,IT$512:IT$613,$F675)/IS$510</f>
        <v>963.13838246464218</v>
      </c>
      <c r="IW675" s="140"/>
      <c r="IX675" s="140"/>
      <c r="IY675" s="140"/>
      <c r="IZ675" s="140"/>
      <c r="JA675" s="140"/>
      <c r="JB675" s="140"/>
      <c r="JC675" s="140"/>
      <c r="JD675" s="140"/>
      <c r="JE675" s="140"/>
      <c r="JF675" s="140"/>
      <c r="JG675" s="140"/>
      <c r="JH675" s="140"/>
      <c r="JI675" s="140"/>
      <c r="JJ675" s="140"/>
      <c r="JK675" s="140"/>
      <c r="JL675" s="140"/>
      <c r="JM675" s="140"/>
      <c r="JN675" s="140"/>
      <c r="JO675" s="140"/>
      <c r="JP675" s="141">
        <f>SUMIFS(JJ$512:JJ$613,JN$512:JN$613,$F675)/JM$510</f>
        <v>963.13838246464218</v>
      </c>
      <c r="JQ675" s="140"/>
      <c r="JR675" s="139"/>
      <c r="JS675" s="140"/>
      <c r="JT675" s="140"/>
      <c r="JU675" s="140"/>
      <c r="JV675" s="140"/>
      <c r="JW675" s="140"/>
      <c r="JX675" s="140"/>
      <c r="JY675" s="140"/>
      <c r="JZ675" s="140"/>
      <c r="KA675" s="140"/>
      <c r="KB675" s="140"/>
      <c r="KC675" s="140"/>
      <c r="KD675" s="140"/>
      <c r="KE675" s="140"/>
      <c r="KF675" s="140"/>
      <c r="KG675" s="140">
        <f>SUMIFS(KA$512:KA$613,KE$512:KE$613,$F675)/KD$510</f>
        <v>1079.8224986153889</v>
      </c>
      <c r="KH675" s="140"/>
      <c r="KI675" s="140"/>
      <c r="KJ675" s="140"/>
      <c r="KK675" s="140"/>
      <c r="KL675" s="140"/>
      <c r="KM675" s="140"/>
      <c r="KN675" s="140"/>
      <c r="KO675" s="140"/>
      <c r="KP675" s="140"/>
      <c r="KQ675" s="140"/>
      <c r="KR675" s="140"/>
      <c r="KS675" s="140"/>
      <c r="KT675" s="140"/>
      <c r="KU675" s="140"/>
      <c r="KV675" s="140"/>
      <c r="KW675" s="140"/>
      <c r="KX675" s="140"/>
      <c r="KY675" s="140"/>
      <c r="KZ675" s="140"/>
      <c r="LA675" s="141">
        <f>SUMIFS(KU$512:KU$613,KY$512:KY$613,$F675)/KX$510</f>
        <v>152.28266006114467</v>
      </c>
      <c r="LB675" s="140"/>
      <c r="LC675" s="139"/>
      <c r="LD675" s="140"/>
      <c r="LE675" s="140"/>
      <c r="LF675" s="140"/>
      <c r="LG675" s="140"/>
      <c r="LH675" s="140"/>
      <c r="LI675" s="140"/>
      <c r="LJ675" s="140"/>
      <c r="LK675" s="140"/>
      <c r="LL675" s="140"/>
      <c r="LM675" s="140"/>
      <c r="LN675" s="140"/>
      <c r="LO675" s="140"/>
      <c r="LP675" s="140"/>
      <c r="LQ675" s="140"/>
      <c r="LR675" s="140">
        <f>SUMIFS(LL$512:LL$613,LP$512:LP$613,$F675)/LO$510</f>
        <v>1791.7933768233386</v>
      </c>
      <c r="LS675" s="140"/>
      <c r="LT675" s="140"/>
      <c r="LU675" s="140"/>
      <c r="LV675" s="140"/>
      <c r="LW675" s="140"/>
      <c r="LX675" s="140"/>
      <c r="LY675" s="140"/>
      <c r="LZ675" s="140"/>
      <c r="MA675" s="140"/>
      <c r="MB675" s="140">
        <f>SUMIFS(LV$512:LV$613,LZ$512:LZ$613,$F675)/LY$510</f>
        <v>1522.8266006114466</v>
      </c>
      <c r="MC675" s="140"/>
      <c r="MD675" s="140"/>
      <c r="ME675" s="140"/>
      <c r="MF675" s="140"/>
      <c r="MG675" s="140"/>
      <c r="MH675" s="140"/>
      <c r="MI675" s="140"/>
      <c r="MJ675" s="140"/>
      <c r="MK675" s="140"/>
      <c r="ML675" s="141">
        <f>SUMIFS(MF$512:MF$613,MJ$512:MJ$613,$F675)/MI$510</f>
        <v>1332.9676997559932</v>
      </c>
    </row>
    <row r="676" spans="3:350" s="4" customFormat="1" ht="18" customHeight="1" x14ac:dyDescent="0.3">
      <c r="C676" s="136" t="s">
        <v>325</v>
      </c>
      <c r="E676" s="137" t="s">
        <v>105</v>
      </c>
      <c r="F676" s="186" t="s">
        <v>266</v>
      </c>
      <c r="H676" s="267"/>
      <c r="I676"/>
      <c r="J676"/>
      <c r="K676"/>
      <c r="L676"/>
      <c r="M676"/>
      <c r="N676" s="237"/>
      <c r="O676" s="237"/>
      <c r="P676" s="237"/>
      <c r="Q676" s="236"/>
      <c r="R676" s="140"/>
      <c r="S676" s="139"/>
      <c r="T676" s="140"/>
      <c r="U676" s="140"/>
      <c r="V676" s="140"/>
      <c r="W676" s="140"/>
      <c r="X676" s="140"/>
      <c r="Y676" s="140"/>
      <c r="Z676" s="140"/>
      <c r="AA676" s="140"/>
      <c r="AB676" s="140"/>
      <c r="AC676" s="140"/>
      <c r="AD676" s="140"/>
      <c r="AE676" s="140"/>
      <c r="AF676" s="140"/>
      <c r="AG676" s="140"/>
      <c r="AH676" s="140">
        <f t="shared" si="1101"/>
        <v>710.48760554501632</v>
      </c>
      <c r="AI676" s="140"/>
      <c r="AJ676" s="140"/>
      <c r="AK676" s="140"/>
      <c r="AL676" s="140"/>
      <c r="AM676" s="140"/>
      <c r="AN676" s="140"/>
      <c r="AO676" s="140"/>
      <c r="AP676" s="140"/>
      <c r="AQ676" s="140"/>
      <c r="AR676" s="140"/>
      <c r="AS676" s="140"/>
      <c r="AT676" s="140"/>
      <c r="AU676" s="140"/>
      <c r="AV676" s="140"/>
      <c r="AW676" s="140"/>
      <c r="AX676" s="140"/>
      <c r="AY676" s="140"/>
      <c r="AZ676" s="140"/>
      <c r="BA676" s="140"/>
      <c r="BB676" s="141">
        <f t="shared" si="1102"/>
        <v>710.48760554501632</v>
      </c>
      <c r="BC676" s="140"/>
      <c r="BD676" s="139"/>
      <c r="BE676" s="140"/>
      <c r="BF676" s="140"/>
      <c r="BG676" s="140"/>
      <c r="BH676" s="140"/>
      <c r="BI676" s="219"/>
      <c r="BJ676" s="234"/>
      <c r="BK676" s="234"/>
      <c r="BL676" s="234"/>
      <c r="BM676" s="234"/>
      <c r="BN676" s="234"/>
      <c r="BO676" s="234"/>
      <c r="BP676" s="234"/>
      <c r="BQ676" s="234"/>
      <c r="BR676" s="234"/>
      <c r="BS676" s="234"/>
      <c r="BT676" s="234"/>
      <c r="BU676" s="234"/>
      <c r="BV676" s="234"/>
      <c r="BW676" s="234"/>
      <c r="BX676" s="234"/>
      <c r="BY676" s="234"/>
      <c r="BZ676" s="234"/>
      <c r="CA676" s="234"/>
      <c r="CB676" s="234"/>
      <c r="CC676" s="234"/>
      <c r="CD676" s="234"/>
      <c r="CE676" s="234"/>
      <c r="CF676" s="234"/>
      <c r="CG676" s="234"/>
      <c r="CH676" s="234"/>
      <c r="CI676" s="234"/>
      <c r="CJ676" s="234"/>
      <c r="CK676" s="234"/>
      <c r="CL676" s="234"/>
      <c r="CM676" s="189"/>
      <c r="CN676" s="140"/>
      <c r="CO676" s="139"/>
      <c r="CP676" s="140"/>
      <c r="CQ676" s="140"/>
      <c r="CR676" s="140"/>
      <c r="CS676" s="140"/>
      <c r="CT676" s="219"/>
      <c r="CU676" s="234"/>
      <c r="CV676" s="234"/>
      <c r="CW676" s="234"/>
      <c r="CX676" s="234"/>
      <c r="CY676" s="234"/>
      <c r="CZ676" s="234"/>
      <c r="DA676" s="234"/>
      <c r="DB676" s="234"/>
      <c r="DC676" s="234"/>
      <c r="DD676" s="234"/>
      <c r="DE676" s="234"/>
      <c r="DF676" s="234"/>
      <c r="DG676" s="234"/>
      <c r="DH676" s="234"/>
      <c r="DI676" s="234"/>
      <c r="DJ676" s="234"/>
      <c r="DK676" s="234"/>
      <c r="DL676" s="234"/>
      <c r="DM676" s="234"/>
      <c r="DN676" s="234"/>
      <c r="DO676" s="234"/>
      <c r="DP676" s="234"/>
      <c r="DQ676" s="234"/>
      <c r="DR676" s="234"/>
      <c r="DS676" s="234"/>
      <c r="DT676" s="234"/>
      <c r="DU676" s="234"/>
      <c r="DV676" s="234"/>
      <c r="DW676" s="234"/>
      <c r="DX676" s="189"/>
      <c r="DY676" s="140"/>
      <c r="DZ676" s="139"/>
      <c r="EA676" s="140"/>
      <c r="EB676" s="140"/>
      <c r="EC676" s="140"/>
      <c r="ED676" s="140"/>
      <c r="EE676" s="219"/>
      <c r="EF676" s="234"/>
      <c r="EG676" s="234"/>
      <c r="EH676" s="234"/>
      <c r="EI676" s="234"/>
      <c r="EJ676" s="234"/>
      <c r="EK676" s="234"/>
      <c r="EL676" s="234"/>
      <c r="EM676" s="234"/>
      <c r="EN676" s="234"/>
      <c r="EO676" s="234"/>
      <c r="EP676" s="234"/>
      <c r="EQ676" s="234"/>
      <c r="ER676" s="234"/>
      <c r="ES676" s="234"/>
      <c r="ET676" s="234"/>
      <c r="EU676" s="234"/>
      <c r="EV676" s="234"/>
      <c r="EW676" s="234"/>
      <c r="EX676" s="234"/>
      <c r="EY676" s="234"/>
      <c r="EZ676" s="234"/>
      <c r="FA676" s="234"/>
      <c r="FB676" s="234"/>
      <c r="FC676" s="234"/>
      <c r="FD676" s="234"/>
      <c r="FE676" s="234"/>
      <c r="FF676" s="234"/>
      <c r="FG676" s="234"/>
      <c r="FH676" s="234"/>
      <c r="FI676" s="189"/>
      <c r="FJ676" s="140"/>
      <c r="FK676" s="139"/>
      <c r="FL676" s="140"/>
      <c r="FM676" s="140"/>
      <c r="FN676" s="140"/>
      <c r="FO676" s="140"/>
      <c r="FP676" s="219"/>
      <c r="FQ676" s="234"/>
      <c r="FR676" s="234"/>
      <c r="FS676" s="234"/>
      <c r="FT676" s="234"/>
      <c r="FU676" s="234"/>
      <c r="FV676" s="234"/>
      <c r="FW676" s="234"/>
      <c r="FX676" s="234"/>
      <c r="FY676" s="234"/>
      <c r="FZ676" s="234"/>
      <c r="GA676" s="234"/>
      <c r="GB676" s="234"/>
      <c r="GC676" s="234"/>
      <c r="GD676" s="234"/>
      <c r="GE676" s="234"/>
      <c r="GF676" s="234"/>
      <c r="GG676" s="234"/>
      <c r="GH676" s="234"/>
      <c r="GI676" s="234"/>
      <c r="GJ676" s="234"/>
      <c r="GK676" s="234"/>
      <c r="GL676" s="234"/>
      <c r="GM676" s="234"/>
      <c r="GN676" s="234"/>
      <c r="GO676" s="234"/>
      <c r="GP676" s="234"/>
      <c r="GQ676" s="234"/>
      <c r="GR676" s="234"/>
      <c r="GS676" s="234"/>
      <c r="GT676" s="189"/>
      <c r="GU676" s="140"/>
      <c r="GV676" s="139"/>
      <c r="GW676" s="140"/>
      <c r="GX676" s="140"/>
      <c r="GY676" s="140"/>
      <c r="GZ676" s="140"/>
      <c r="HA676" s="219"/>
      <c r="HB676" s="234"/>
      <c r="HC676" s="234"/>
      <c r="HD676" s="234"/>
      <c r="HE676" s="234"/>
      <c r="HF676" s="234"/>
      <c r="HG676" s="234"/>
      <c r="HH676" s="234"/>
      <c r="HI676" s="234"/>
      <c r="HJ676" s="234"/>
      <c r="HK676" s="234"/>
      <c r="HL676" s="234"/>
      <c r="HM676" s="234"/>
      <c r="HN676" s="234"/>
      <c r="HO676" s="234"/>
      <c r="HP676" s="234"/>
      <c r="HQ676" s="234"/>
      <c r="HR676" s="234"/>
      <c r="HS676" s="234"/>
      <c r="HT676" s="234"/>
      <c r="HU676" s="234"/>
      <c r="HV676" s="234"/>
      <c r="HW676" s="234"/>
      <c r="HX676" s="234"/>
      <c r="HY676" s="234"/>
      <c r="HZ676" s="234"/>
      <c r="IA676" s="234"/>
      <c r="IB676" s="234"/>
      <c r="IC676" s="234"/>
      <c r="ID676" s="234"/>
      <c r="IE676" s="189"/>
      <c r="IF676" s="140"/>
      <c r="IG676" s="139"/>
      <c r="IH676" s="140"/>
      <c r="II676" s="140"/>
      <c r="IJ676" s="140"/>
      <c r="IK676" s="140"/>
      <c r="IL676" s="140"/>
      <c r="IM676" s="140"/>
      <c r="IN676" s="140"/>
      <c r="IO676" s="140"/>
      <c r="IP676" s="140"/>
      <c r="IQ676" s="140"/>
      <c r="IR676" s="140"/>
      <c r="IS676" s="140"/>
      <c r="IT676" s="140"/>
      <c r="IU676" s="140"/>
      <c r="IV676" s="140">
        <f>SUMIFS(IP$512:IP$613,IT$512:IT$613,$F676)/IS$510</f>
        <v>710.48760554501632</v>
      </c>
      <c r="IW676" s="140"/>
      <c r="IX676" s="140"/>
      <c r="IY676" s="140"/>
      <c r="IZ676" s="140"/>
      <c r="JA676" s="140"/>
      <c r="JB676" s="140"/>
      <c r="JC676" s="140"/>
      <c r="JD676" s="140"/>
      <c r="JE676" s="140"/>
      <c r="JF676" s="140"/>
      <c r="JG676" s="140"/>
      <c r="JH676" s="140"/>
      <c r="JI676" s="140"/>
      <c r="JJ676" s="140"/>
      <c r="JK676" s="140"/>
      <c r="JL676" s="140"/>
      <c r="JM676" s="140"/>
      <c r="JN676" s="140"/>
      <c r="JO676" s="140"/>
      <c r="JP676" s="141">
        <f>SUMIFS(JJ$512:JJ$613,JN$512:JN$613,$F676)/JM$510</f>
        <v>710.48760554501632</v>
      </c>
      <c r="JQ676" s="140"/>
      <c r="JR676" s="139"/>
      <c r="JS676" s="140"/>
      <c r="JT676" s="140"/>
      <c r="JU676" s="140"/>
      <c r="JV676" s="140"/>
      <c r="JW676" s="140"/>
      <c r="JX676" s="140"/>
      <c r="JY676" s="140"/>
      <c r="JZ676" s="140"/>
      <c r="KA676" s="140"/>
      <c r="KB676" s="140"/>
      <c r="KC676" s="140"/>
      <c r="KD676" s="140"/>
      <c r="KE676" s="140"/>
      <c r="KF676" s="140"/>
      <c r="KG676" s="140">
        <f>SUMIFS(KA$512:KA$613,KE$512:KE$613,$F676)/KD$510</f>
        <v>710.48760554501621</v>
      </c>
      <c r="KH676" s="140"/>
      <c r="KI676" s="140"/>
      <c r="KJ676" s="140"/>
      <c r="KK676" s="140"/>
      <c r="KL676" s="140"/>
      <c r="KM676" s="140"/>
      <c r="KN676" s="140"/>
      <c r="KO676" s="140"/>
      <c r="KP676" s="140"/>
      <c r="KQ676" s="140"/>
      <c r="KR676" s="140"/>
      <c r="KS676" s="140"/>
      <c r="KT676" s="140"/>
      <c r="KU676" s="140"/>
      <c r="KV676" s="140"/>
      <c r="KW676" s="140"/>
      <c r="KX676" s="140"/>
      <c r="KY676" s="140"/>
      <c r="KZ676" s="140"/>
      <c r="LA676" s="141">
        <f>SUMIFS(KU$512:KU$613,KY$512:KY$613,$F676)/KX$510</f>
        <v>621.4912457690225</v>
      </c>
      <c r="LB676" s="140"/>
      <c r="LC676" s="139"/>
      <c r="LD676" s="140"/>
      <c r="LE676" s="140"/>
      <c r="LF676" s="140"/>
      <c r="LG676" s="140"/>
      <c r="LH676" s="140"/>
      <c r="LI676" s="140"/>
      <c r="LJ676" s="140"/>
      <c r="LK676" s="140"/>
      <c r="LL676" s="140"/>
      <c r="LM676" s="140"/>
      <c r="LN676" s="140"/>
      <c r="LO676" s="140"/>
      <c r="LP676" s="140"/>
      <c r="LQ676" s="140"/>
      <c r="LR676" s="140">
        <f>SUMIFS(LL$512:LL$613,LP$512:LP$613,$F676)/LO$510</f>
        <v>710.48760554501621</v>
      </c>
      <c r="LS676" s="140"/>
      <c r="LT676" s="140"/>
      <c r="LU676" s="140"/>
      <c r="LV676" s="140"/>
      <c r="LW676" s="140"/>
      <c r="LX676" s="140"/>
      <c r="LY676" s="140"/>
      <c r="LZ676" s="140"/>
      <c r="MA676" s="140"/>
      <c r="MB676" s="140">
        <f>SUMIFS(LV$512:LV$613,LZ$512:LZ$613,$F676)/LY$510</f>
        <v>692.6883335898176</v>
      </c>
      <c r="MC676" s="140"/>
      <c r="MD676" s="140"/>
      <c r="ME676" s="140"/>
      <c r="MF676" s="140"/>
      <c r="MG676" s="140"/>
      <c r="MH676" s="140"/>
      <c r="MI676" s="140"/>
      <c r="MJ676" s="140"/>
      <c r="MK676" s="140"/>
      <c r="ML676" s="141">
        <f>SUMIFS(MF$512:MF$613,MJ$512:MJ$613,$F676)/MI$510</f>
        <v>657.08978967942005</v>
      </c>
    </row>
    <row r="677" spans="3:350" s="4" customFormat="1" ht="18" customHeight="1" x14ac:dyDescent="0.3">
      <c r="C677" s="185" t="s">
        <v>297</v>
      </c>
      <c r="E677" s="137"/>
      <c r="F677" s="186"/>
      <c r="H677" s="267"/>
      <c r="I677"/>
      <c r="J677"/>
      <c r="K677"/>
      <c r="L677"/>
      <c r="M677"/>
      <c r="N677" s="237"/>
      <c r="O677" s="237"/>
      <c r="P677" s="237"/>
      <c r="Q677" s="236"/>
      <c r="R677" s="140"/>
      <c r="S677" s="139"/>
      <c r="T677" s="140"/>
      <c r="U677" s="140"/>
      <c r="V677" s="140"/>
      <c r="W677" s="140"/>
      <c r="X677" s="140"/>
      <c r="Y677" s="140"/>
      <c r="Z677" s="140"/>
      <c r="AA677" s="140"/>
      <c r="AB677" s="140"/>
      <c r="AC677" s="140"/>
      <c r="AD677" s="140"/>
      <c r="AE677" s="140"/>
      <c r="AF677" s="140"/>
      <c r="AG677" s="140"/>
      <c r="AH677" s="140"/>
      <c r="AI677" s="140"/>
      <c r="AJ677" s="140"/>
      <c r="AK677" s="140"/>
      <c r="AL677" s="140"/>
      <c r="AM677" s="140"/>
      <c r="AN677" s="140"/>
      <c r="AO677" s="140"/>
      <c r="AP677" s="140"/>
      <c r="AQ677" s="140"/>
      <c r="AR677" s="140"/>
      <c r="AS677" s="140"/>
      <c r="AT677" s="140"/>
      <c r="AU677" s="140"/>
      <c r="AV677" s="140"/>
      <c r="AW677" s="140"/>
      <c r="AX677" s="140"/>
      <c r="AY677" s="140"/>
      <c r="AZ677" s="140"/>
      <c r="BA677" s="140"/>
      <c r="BB677" s="141"/>
      <c r="BC677" s="140"/>
      <c r="BD677" s="139"/>
      <c r="BE677" s="140"/>
      <c r="BF677" s="140"/>
      <c r="BG677" s="140"/>
      <c r="BH677" s="140"/>
      <c r="BI677" s="219"/>
      <c r="BJ677" s="234"/>
      <c r="BK677" s="234"/>
      <c r="BL677" s="234"/>
      <c r="BM677" s="234"/>
      <c r="BN677" s="234"/>
      <c r="BO677" s="234"/>
      <c r="BP677" s="234"/>
      <c r="BQ677" s="234"/>
      <c r="BR677" s="234"/>
      <c r="BS677" s="234"/>
      <c r="BT677" s="234"/>
      <c r="BU677" s="234"/>
      <c r="BV677" s="234"/>
      <c r="BW677" s="234"/>
      <c r="BX677" s="234"/>
      <c r="BY677" s="234"/>
      <c r="BZ677" s="234"/>
      <c r="CA677" s="234"/>
      <c r="CB677" s="234"/>
      <c r="CC677" s="234"/>
      <c r="CD677" s="234"/>
      <c r="CE677" s="234"/>
      <c r="CF677" s="234"/>
      <c r="CG677" s="234"/>
      <c r="CH677" s="234"/>
      <c r="CI677" s="234"/>
      <c r="CJ677" s="234"/>
      <c r="CK677" s="234"/>
      <c r="CL677" s="234"/>
      <c r="CM677" s="189"/>
      <c r="CN677" s="140"/>
      <c r="CO677" s="139"/>
      <c r="CP677" s="140"/>
      <c r="CQ677" s="140"/>
      <c r="CR677" s="140"/>
      <c r="CS677" s="140"/>
      <c r="CT677" s="219"/>
      <c r="CU677" s="234"/>
      <c r="CV677" s="234"/>
      <c r="CW677" s="234"/>
      <c r="CX677" s="234"/>
      <c r="CY677" s="234"/>
      <c r="CZ677" s="234"/>
      <c r="DA677" s="234"/>
      <c r="DB677" s="234"/>
      <c r="DC677" s="234"/>
      <c r="DD677" s="234"/>
      <c r="DE677" s="234"/>
      <c r="DF677" s="234"/>
      <c r="DG677" s="234"/>
      <c r="DH677" s="234"/>
      <c r="DI677" s="234"/>
      <c r="DJ677" s="234"/>
      <c r="DK677" s="234"/>
      <c r="DL677" s="234"/>
      <c r="DM677" s="234"/>
      <c r="DN677" s="234"/>
      <c r="DO677" s="234"/>
      <c r="DP677" s="234"/>
      <c r="DQ677" s="234"/>
      <c r="DR677" s="234"/>
      <c r="DS677" s="234"/>
      <c r="DT677" s="234"/>
      <c r="DU677" s="234"/>
      <c r="DV677" s="234"/>
      <c r="DW677" s="234"/>
      <c r="DX677" s="189"/>
      <c r="DY677" s="140"/>
      <c r="DZ677" s="139"/>
      <c r="EA677" s="140"/>
      <c r="EB677" s="140"/>
      <c r="EC677" s="140"/>
      <c r="ED677" s="140"/>
      <c r="EE677" s="219"/>
      <c r="EF677" s="234"/>
      <c r="EG677" s="234"/>
      <c r="EH677" s="234"/>
      <c r="EI677" s="234"/>
      <c r="EJ677" s="234"/>
      <c r="EK677" s="234"/>
      <c r="EL677" s="234"/>
      <c r="EM677" s="234"/>
      <c r="EN677" s="234"/>
      <c r="EO677" s="234"/>
      <c r="EP677" s="234"/>
      <c r="EQ677" s="234"/>
      <c r="ER677" s="234"/>
      <c r="ES677" s="234"/>
      <c r="ET677" s="234"/>
      <c r="EU677" s="234"/>
      <c r="EV677" s="234"/>
      <c r="EW677" s="234"/>
      <c r="EX677" s="234"/>
      <c r="EY677" s="234"/>
      <c r="EZ677" s="234"/>
      <c r="FA677" s="234"/>
      <c r="FB677" s="234"/>
      <c r="FC677" s="234"/>
      <c r="FD677" s="234"/>
      <c r="FE677" s="234"/>
      <c r="FF677" s="234"/>
      <c r="FG677" s="234"/>
      <c r="FH677" s="234"/>
      <c r="FI677" s="189"/>
      <c r="FJ677" s="140"/>
      <c r="FK677" s="139"/>
      <c r="FL677" s="140"/>
      <c r="FM677" s="140"/>
      <c r="FN677" s="140"/>
      <c r="FO677" s="140"/>
      <c r="FP677" s="219"/>
      <c r="FQ677" s="234"/>
      <c r="FR677" s="234"/>
      <c r="FS677" s="234"/>
      <c r="FT677" s="234"/>
      <c r="FU677" s="234"/>
      <c r="FV677" s="234"/>
      <c r="FW677" s="234"/>
      <c r="FX677" s="234"/>
      <c r="FY677" s="234"/>
      <c r="FZ677" s="234"/>
      <c r="GA677" s="234"/>
      <c r="GB677" s="234"/>
      <c r="GC677" s="234"/>
      <c r="GD677" s="234"/>
      <c r="GE677" s="234"/>
      <c r="GF677" s="234"/>
      <c r="GG677" s="234"/>
      <c r="GH677" s="234"/>
      <c r="GI677" s="234"/>
      <c r="GJ677" s="234"/>
      <c r="GK677" s="234"/>
      <c r="GL677" s="234"/>
      <c r="GM677" s="234"/>
      <c r="GN677" s="234"/>
      <c r="GO677" s="234"/>
      <c r="GP677" s="234"/>
      <c r="GQ677" s="234"/>
      <c r="GR677" s="234"/>
      <c r="GS677" s="234"/>
      <c r="GT677" s="189"/>
      <c r="GU677" s="140"/>
      <c r="GV677" s="139"/>
      <c r="GW677" s="140"/>
      <c r="GX677" s="140"/>
      <c r="GY677" s="140"/>
      <c r="GZ677" s="140"/>
      <c r="HA677" s="219"/>
      <c r="HB677" s="234"/>
      <c r="HC677" s="234"/>
      <c r="HD677" s="234"/>
      <c r="HE677" s="234"/>
      <c r="HF677" s="234"/>
      <c r="HG677" s="234"/>
      <c r="HH677" s="234"/>
      <c r="HI677" s="234"/>
      <c r="HJ677" s="234"/>
      <c r="HK677" s="234"/>
      <c r="HL677" s="234"/>
      <c r="HM677" s="234"/>
      <c r="HN677" s="234"/>
      <c r="HO677" s="234"/>
      <c r="HP677" s="234"/>
      <c r="HQ677" s="234"/>
      <c r="HR677" s="234"/>
      <c r="HS677" s="234"/>
      <c r="HT677" s="234"/>
      <c r="HU677" s="234"/>
      <c r="HV677" s="234"/>
      <c r="HW677" s="234"/>
      <c r="HX677" s="234"/>
      <c r="HY677" s="234"/>
      <c r="HZ677" s="234"/>
      <c r="IA677" s="234"/>
      <c r="IB677" s="234"/>
      <c r="IC677" s="234"/>
      <c r="ID677" s="234"/>
      <c r="IE677" s="189"/>
      <c r="IF677" s="140"/>
      <c r="IG677" s="139"/>
      <c r="IH677" s="140"/>
      <c r="II677" s="140"/>
      <c r="IJ677" s="140"/>
      <c r="IK677" s="140"/>
      <c r="IL677" s="140"/>
      <c r="IM677" s="140"/>
      <c r="IN677" s="140"/>
      <c r="IO677" s="140"/>
      <c r="IP677" s="140"/>
      <c r="IQ677" s="140"/>
      <c r="IR677" s="140"/>
      <c r="IS677" s="140"/>
      <c r="IT677" s="140"/>
      <c r="IU677" s="140"/>
      <c r="IV677" s="140"/>
      <c r="IW677" s="140"/>
      <c r="IX677" s="140"/>
      <c r="IY677" s="140"/>
      <c r="IZ677" s="140"/>
      <c r="JA677" s="140"/>
      <c r="JB677" s="140"/>
      <c r="JC677" s="140"/>
      <c r="JD677" s="140"/>
      <c r="JE677" s="140"/>
      <c r="JF677" s="140"/>
      <c r="JG677" s="140"/>
      <c r="JH677" s="140"/>
      <c r="JI677" s="140"/>
      <c r="JJ677" s="140"/>
      <c r="JK677" s="140"/>
      <c r="JL677" s="140"/>
      <c r="JM677" s="140"/>
      <c r="JN677" s="140"/>
      <c r="JO677" s="140"/>
      <c r="JP677" s="141"/>
      <c r="JQ677" s="140"/>
      <c r="JR677" s="139"/>
      <c r="JS677" s="140"/>
      <c r="JT677" s="140"/>
      <c r="JU677" s="140"/>
      <c r="JV677" s="140"/>
      <c r="JW677" s="140"/>
      <c r="JX677" s="140"/>
      <c r="JY677" s="140"/>
      <c r="JZ677" s="140"/>
      <c r="KA677" s="140"/>
      <c r="KB677" s="140"/>
      <c r="KC677" s="140"/>
      <c r="KD677" s="140"/>
      <c r="KE677" s="140"/>
      <c r="KF677" s="140"/>
      <c r="KG677" s="140"/>
      <c r="KH677" s="140"/>
      <c r="KI677" s="140"/>
      <c r="KJ677" s="140"/>
      <c r="KK677" s="140"/>
      <c r="KL677" s="140"/>
      <c r="KM677" s="140"/>
      <c r="KN677" s="140"/>
      <c r="KO677" s="140"/>
      <c r="KP677" s="140"/>
      <c r="KQ677" s="140"/>
      <c r="KR677" s="140"/>
      <c r="KS677" s="140"/>
      <c r="KT677" s="140"/>
      <c r="KU677" s="140"/>
      <c r="KV677" s="140"/>
      <c r="KW677" s="140"/>
      <c r="KX677" s="140"/>
      <c r="KY677" s="140"/>
      <c r="KZ677" s="140"/>
      <c r="LA677" s="141"/>
      <c r="LB677" s="140"/>
      <c r="LC677" s="139"/>
      <c r="LD677" s="140"/>
      <c r="LE677" s="140"/>
      <c r="LF677" s="140"/>
      <c r="LG677" s="140"/>
      <c r="LH677" s="140"/>
      <c r="LI677" s="140"/>
      <c r="LJ677" s="140"/>
      <c r="LK677" s="140"/>
      <c r="LL677" s="140"/>
      <c r="LM677" s="140"/>
      <c r="LN677" s="140"/>
      <c r="LO677" s="140"/>
      <c r="LP677" s="140"/>
      <c r="LQ677" s="140"/>
      <c r="LR677" s="140"/>
      <c r="LS677" s="140"/>
      <c r="LT677" s="140"/>
      <c r="LU677" s="140"/>
      <c r="LV677" s="140"/>
      <c r="LW677" s="140"/>
      <c r="LX677" s="140"/>
      <c r="LY677" s="140"/>
      <c r="LZ677" s="140"/>
      <c r="MA677" s="140"/>
      <c r="MB677" s="140"/>
      <c r="MC677" s="140"/>
      <c r="MD677" s="140"/>
      <c r="ME677" s="140"/>
      <c r="MF677" s="140"/>
      <c r="MG677" s="140"/>
      <c r="MH677" s="140"/>
      <c r="MI677" s="140"/>
      <c r="MJ677" s="140"/>
      <c r="MK677" s="140"/>
      <c r="ML677" s="141"/>
    </row>
    <row r="678" spans="3:350" s="4" customFormat="1" ht="18" customHeight="1" x14ac:dyDescent="0.3">
      <c r="C678" s="136" t="s">
        <v>326</v>
      </c>
      <c r="E678" s="1" t="s">
        <v>320</v>
      </c>
      <c r="F678" s="186" t="s">
        <v>256</v>
      </c>
      <c r="H678" s="267"/>
      <c r="I678"/>
      <c r="J678"/>
      <c r="K678"/>
      <c r="L678"/>
      <c r="M678"/>
      <c r="N678" s="237"/>
      <c r="O678" s="237"/>
      <c r="P678" s="237"/>
      <c r="Q678" s="236"/>
      <c r="R678" s="140"/>
      <c r="S678" s="139"/>
      <c r="T678" s="140"/>
      <c r="U678" s="140"/>
      <c r="V678" s="140"/>
      <c r="W678" s="140"/>
      <c r="X678" s="140"/>
      <c r="Y678" s="140"/>
      <c r="Z678" s="140"/>
      <c r="AA678" s="140"/>
      <c r="AB678" s="140"/>
      <c r="AC678" s="140"/>
      <c r="AD678" s="140"/>
      <c r="AE678" s="140"/>
      <c r="AF678" s="140"/>
      <c r="AG678" s="140"/>
      <c r="AH678" s="140">
        <f>SUMIFS(AC$512:AC$613,AG$512:AG$613,$F678)/AE$510</f>
        <v>313.66767003048938</v>
      </c>
      <c r="AI678" s="140"/>
      <c r="AJ678" s="140"/>
      <c r="AK678" s="140"/>
      <c r="AL678" s="140"/>
      <c r="AM678" s="140"/>
      <c r="AN678" s="140"/>
      <c r="AO678" s="140"/>
      <c r="AP678" s="140"/>
      <c r="AQ678" s="140"/>
      <c r="AR678" s="140"/>
      <c r="AS678" s="140"/>
      <c r="AT678" s="140"/>
      <c r="AU678" s="140"/>
      <c r="AV678" s="140"/>
      <c r="AW678" s="140"/>
      <c r="AX678" s="140"/>
      <c r="AY678" s="140"/>
      <c r="AZ678" s="140"/>
      <c r="BA678" s="140"/>
      <c r="BB678" s="141">
        <f>SUMIFS(AW$512:AW$613,BA$512:BA$613,$F678)/AY$510</f>
        <v>313.66767003048938</v>
      </c>
      <c r="BC678" s="140"/>
      <c r="BD678" s="139"/>
      <c r="BE678" s="140"/>
      <c r="BF678" s="140"/>
      <c r="BG678" s="140"/>
      <c r="BH678" s="140"/>
      <c r="BI678" s="219"/>
      <c r="BJ678" s="234"/>
      <c r="BK678" s="234"/>
      <c r="BL678" s="234"/>
      <c r="BM678" s="234"/>
      <c r="BN678" s="234"/>
      <c r="BO678" s="234"/>
      <c r="BP678" s="234"/>
      <c r="BQ678" s="234"/>
      <c r="BR678" s="234"/>
      <c r="BS678" s="234"/>
      <c r="BT678" s="234"/>
      <c r="BU678" s="234"/>
      <c r="BV678" s="234"/>
      <c r="BW678" s="234"/>
      <c r="BX678" s="234"/>
      <c r="BY678" s="234"/>
      <c r="BZ678" s="234"/>
      <c r="CA678" s="234"/>
      <c r="CB678" s="234"/>
      <c r="CC678" s="234"/>
      <c r="CD678" s="234"/>
      <c r="CE678" s="234"/>
      <c r="CF678" s="234"/>
      <c r="CG678" s="234"/>
      <c r="CH678" s="234"/>
      <c r="CI678" s="234"/>
      <c r="CJ678" s="234"/>
      <c r="CK678" s="234"/>
      <c r="CL678" s="234"/>
      <c r="CM678" s="189"/>
      <c r="CN678" s="140"/>
      <c r="CO678" s="139"/>
      <c r="CP678" s="140"/>
      <c r="CQ678" s="140"/>
      <c r="CR678" s="140"/>
      <c r="CS678" s="140"/>
      <c r="CT678" s="219"/>
      <c r="CU678" s="234"/>
      <c r="CV678" s="234"/>
      <c r="CW678" s="234"/>
      <c r="CX678" s="234"/>
      <c r="CY678" s="234"/>
      <c r="CZ678" s="234"/>
      <c r="DA678" s="234"/>
      <c r="DB678" s="234"/>
      <c r="DC678" s="234"/>
      <c r="DD678" s="234"/>
      <c r="DE678" s="234"/>
      <c r="DF678" s="234"/>
      <c r="DG678" s="234"/>
      <c r="DH678" s="234"/>
      <c r="DI678" s="234"/>
      <c r="DJ678" s="234"/>
      <c r="DK678" s="234"/>
      <c r="DL678" s="234"/>
      <c r="DM678" s="234"/>
      <c r="DN678" s="234"/>
      <c r="DO678" s="234"/>
      <c r="DP678" s="234"/>
      <c r="DQ678" s="234"/>
      <c r="DR678" s="234"/>
      <c r="DS678" s="234"/>
      <c r="DT678" s="234"/>
      <c r="DU678" s="234"/>
      <c r="DV678" s="234"/>
      <c r="DW678" s="234"/>
      <c r="DX678" s="189"/>
      <c r="DY678" s="140"/>
      <c r="DZ678" s="139"/>
      <c r="EA678" s="140"/>
      <c r="EB678" s="140"/>
      <c r="EC678" s="140"/>
      <c r="ED678" s="140"/>
      <c r="EE678" s="219"/>
      <c r="EF678" s="234"/>
      <c r="EG678" s="234"/>
      <c r="EH678" s="234"/>
      <c r="EI678" s="234"/>
      <c r="EJ678" s="234"/>
      <c r="EK678" s="234"/>
      <c r="EL678" s="234"/>
      <c r="EM678" s="234"/>
      <c r="EN678" s="234"/>
      <c r="EO678" s="234"/>
      <c r="EP678" s="234"/>
      <c r="EQ678" s="234"/>
      <c r="ER678" s="234"/>
      <c r="ES678" s="234"/>
      <c r="ET678" s="234"/>
      <c r="EU678" s="234"/>
      <c r="EV678" s="234"/>
      <c r="EW678" s="234"/>
      <c r="EX678" s="234"/>
      <c r="EY678" s="234"/>
      <c r="EZ678" s="234"/>
      <c r="FA678" s="234"/>
      <c r="FB678" s="234"/>
      <c r="FC678" s="234"/>
      <c r="FD678" s="234"/>
      <c r="FE678" s="234"/>
      <c r="FF678" s="234"/>
      <c r="FG678" s="234"/>
      <c r="FH678" s="234"/>
      <c r="FI678" s="189"/>
      <c r="FJ678" s="140"/>
      <c r="FK678" s="139"/>
      <c r="FL678" s="140"/>
      <c r="FM678" s="140"/>
      <c r="FN678" s="140"/>
      <c r="FO678" s="140"/>
      <c r="FP678" s="219"/>
      <c r="FQ678" s="234"/>
      <c r="FR678" s="234"/>
      <c r="FS678" s="234"/>
      <c r="FT678" s="234"/>
      <c r="FU678" s="234"/>
      <c r="FV678" s="234"/>
      <c r="FW678" s="234"/>
      <c r="FX678" s="234"/>
      <c r="FY678" s="234"/>
      <c r="FZ678" s="234"/>
      <c r="GA678" s="234"/>
      <c r="GB678" s="234"/>
      <c r="GC678" s="234"/>
      <c r="GD678" s="234"/>
      <c r="GE678" s="234"/>
      <c r="GF678" s="234"/>
      <c r="GG678" s="234"/>
      <c r="GH678" s="234"/>
      <c r="GI678" s="234"/>
      <c r="GJ678" s="234"/>
      <c r="GK678" s="234"/>
      <c r="GL678" s="234"/>
      <c r="GM678" s="234"/>
      <c r="GN678" s="234"/>
      <c r="GO678" s="234"/>
      <c r="GP678" s="234"/>
      <c r="GQ678" s="234"/>
      <c r="GR678" s="234"/>
      <c r="GS678" s="234"/>
      <c r="GT678" s="189"/>
      <c r="GU678" s="140"/>
      <c r="GV678" s="139"/>
      <c r="GW678" s="140"/>
      <c r="GX678" s="140"/>
      <c r="GY678" s="140"/>
      <c r="GZ678" s="140"/>
      <c r="HA678" s="219"/>
      <c r="HB678" s="234"/>
      <c r="HC678" s="234"/>
      <c r="HD678" s="234"/>
      <c r="HE678" s="234"/>
      <c r="HF678" s="234"/>
      <c r="HG678" s="234"/>
      <c r="HH678" s="234"/>
      <c r="HI678" s="234"/>
      <c r="HJ678" s="234"/>
      <c r="HK678" s="234"/>
      <c r="HL678" s="234"/>
      <c r="HM678" s="234"/>
      <c r="HN678" s="234"/>
      <c r="HO678" s="234"/>
      <c r="HP678" s="234"/>
      <c r="HQ678" s="234"/>
      <c r="HR678" s="234"/>
      <c r="HS678" s="234"/>
      <c r="HT678" s="234"/>
      <c r="HU678" s="234"/>
      <c r="HV678" s="234"/>
      <c r="HW678" s="234"/>
      <c r="HX678" s="234"/>
      <c r="HY678" s="234"/>
      <c r="HZ678" s="234"/>
      <c r="IA678" s="234"/>
      <c r="IB678" s="234"/>
      <c r="IC678" s="234"/>
      <c r="ID678" s="234"/>
      <c r="IE678" s="189"/>
      <c r="IF678" s="140"/>
      <c r="IG678" s="139"/>
      <c r="IH678" s="140"/>
      <c r="II678" s="140"/>
      <c r="IJ678" s="140"/>
      <c r="IK678" s="140"/>
      <c r="IL678" s="140"/>
      <c r="IM678" s="140"/>
      <c r="IN678" s="140"/>
      <c r="IO678" s="140"/>
      <c r="IP678" s="140"/>
      <c r="IQ678" s="140"/>
      <c r="IR678" s="140"/>
      <c r="IS678" s="140"/>
      <c r="IT678" s="140"/>
      <c r="IU678" s="140"/>
      <c r="IV678" s="140">
        <f t="shared" ref="IV678:IV683" si="1103">SUMIFS(IQ$512:IQ$613,IU$512:IU$613,$F678)/IS$510</f>
        <v>347.48628674536695</v>
      </c>
      <c r="IW678" s="140"/>
      <c r="IX678" s="140"/>
      <c r="IY678" s="140"/>
      <c r="IZ678" s="140"/>
      <c r="JA678" s="140"/>
      <c r="JB678" s="140"/>
      <c r="JC678" s="140"/>
      <c r="JD678" s="140"/>
      <c r="JE678" s="140"/>
      <c r="JF678" s="140"/>
      <c r="JG678" s="140"/>
      <c r="JH678" s="140"/>
      <c r="JI678" s="140"/>
      <c r="JJ678" s="140"/>
      <c r="JK678" s="140"/>
      <c r="JL678" s="140"/>
      <c r="JM678" s="140"/>
      <c r="JN678" s="140"/>
      <c r="JO678" s="140"/>
      <c r="JP678" s="141">
        <f t="shared" ref="JP678:JP683" si="1104">SUMIFS(JK$512:JK$613,JO$512:JO$613,$F678)/JM$510</f>
        <v>313.66767003048938</v>
      </c>
      <c r="JQ678" s="140"/>
      <c r="JR678" s="139"/>
      <c r="JS678" s="140"/>
      <c r="JT678" s="140"/>
      <c r="JU678" s="140"/>
      <c r="JV678" s="140"/>
      <c r="JW678" s="140"/>
      <c r="JX678" s="140"/>
      <c r="JY678" s="140"/>
      <c r="JZ678" s="140"/>
      <c r="KA678" s="140"/>
      <c r="KB678" s="140"/>
      <c r="KC678" s="140"/>
      <c r="KD678" s="140"/>
      <c r="KE678" s="140"/>
      <c r="KF678" s="140"/>
      <c r="KG678" s="140">
        <f t="shared" ref="KG678:KG683" si="1105">SUMIFS(KB$512:KB$613,KF$512:KF$613,$F678)/KD$510</f>
        <v>251.37021818729409</v>
      </c>
      <c r="KH678" s="140"/>
      <c r="KI678" s="140"/>
      <c r="KJ678" s="140"/>
      <c r="KK678" s="140"/>
      <c r="KL678" s="140"/>
      <c r="KM678" s="140"/>
      <c r="KN678" s="140"/>
      <c r="KO678" s="140"/>
      <c r="KP678" s="140"/>
      <c r="KQ678" s="140"/>
      <c r="KR678" s="140"/>
      <c r="KS678" s="140"/>
      <c r="KT678" s="140"/>
      <c r="KU678" s="140"/>
      <c r="KV678" s="140"/>
      <c r="KW678" s="140"/>
      <c r="KX678" s="140"/>
      <c r="KY678" s="140"/>
      <c r="KZ678" s="140"/>
      <c r="LA678" s="141">
        <f t="shared" ref="LA678:LA683" si="1106">SUMIFS(KV$512:KV$613,KZ$512:KZ$613,$F678)/KX$510</f>
        <v>37.378471105917328</v>
      </c>
      <c r="LB678" s="140"/>
      <c r="LC678" s="139"/>
      <c r="LD678" s="140"/>
      <c r="LE678" s="140"/>
      <c r="LF678" s="140"/>
      <c r="LG678" s="140"/>
      <c r="LH678" s="140"/>
      <c r="LI678" s="140"/>
      <c r="LJ678" s="140"/>
      <c r="LK678" s="140"/>
      <c r="LL678" s="140"/>
      <c r="LM678" s="140"/>
      <c r="LN678" s="140"/>
      <c r="LO678" s="140"/>
      <c r="LP678" s="140"/>
      <c r="LQ678" s="140"/>
      <c r="LR678" s="140">
        <f t="shared" ref="LR678:LR683" si="1107">SUMIFS(LM$512:LM$613,LQ$512:LQ$613,$F678)/LO$510</f>
        <v>248.87832011356628</v>
      </c>
      <c r="LS678" s="140"/>
      <c r="LT678" s="140"/>
      <c r="LU678" s="140"/>
      <c r="LV678" s="140"/>
      <c r="LW678" s="140"/>
      <c r="LX678" s="140"/>
      <c r="LY678" s="140"/>
      <c r="LZ678" s="140"/>
      <c r="MA678" s="140"/>
      <c r="MB678" s="140">
        <f t="shared" ref="MB678:MB683" si="1108">SUMIFS(LW$512:LW$613,MA$512:MA$613,$F678)/LY$510</f>
        <v>134.25100872208645</v>
      </c>
      <c r="MC678" s="140"/>
      <c r="MD678" s="140"/>
      <c r="ME678" s="140"/>
      <c r="MF678" s="140"/>
      <c r="MG678" s="140"/>
      <c r="MH678" s="140"/>
      <c r="MI678" s="140"/>
      <c r="MJ678" s="140"/>
      <c r="MK678" s="140"/>
      <c r="ML678" s="141">
        <f t="shared" ref="ML678:ML683" si="1109">SUMIFS(MG$512:MG$613,MK$512:MK$613,$F678)/MI$510</f>
        <v>44.854165327100795</v>
      </c>
    </row>
    <row r="679" spans="3:350" s="4" customFormat="1" ht="18" customHeight="1" x14ac:dyDescent="0.3">
      <c r="C679" s="136" t="s">
        <v>327</v>
      </c>
      <c r="E679" s="137" t="s">
        <v>105</v>
      </c>
      <c r="F679" s="186" t="s">
        <v>267</v>
      </c>
      <c r="H679" s="267"/>
      <c r="I679"/>
      <c r="J679"/>
      <c r="K679"/>
      <c r="L679"/>
      <c r="M679"/>
      <c r="N679" s="237"/>
      <c r="O679" s="237"/>
      <c r="P679" s="237"/>
      <c r="Q679" s="236"/>
      <c r="R679" s="140"/>
      <c r="S679" s="139"/>
      <c r="T679" s="140"/>
      <c r="U679" s="140"/>
      <c r="V679" s="140"/>
      <c r="W679" s="140"/>
      <c r="X679" s="140"/>
      <c r="Y679" s="140"/>
      <c r="Z679" s="140"/>
      <c r="AA679" s="140"/>
      <c r="AB679" s="140"/>
      <c r="AC679" s="140"/>
      <c r="AD679" s="140"/>
      <c r="AE679" s="140"/>
      <c r="AF679" s="140"/>
      <c r="AG679" s="140"/>
      <c r="AH679" s="140">
        <f t="shared" ref="AH679:AH683" si="1110">SUMIFS(AC$512:AC$613,AG$512:AG$613,$F679)/AE$510</f>
        <v>109.64351524402414</v>
      </c>
      <c r="AI679" s="140"/>
      <c r="AJ679" s="140"/>
      <c r="AK679" s="140"/>
      <c r="AL679" s="140"/>
      <c r="AM679" s="140"/>
      <c r="AN679" s="140"/>
      <c r="AO679" s="140"/>
      <c r="AP679" s="140"/>
      <c r="AQ679" s="140"/>
      <c r="AR679" s="140"/>
      <c r="AS679" s="140"/>
      <c r="AT679" s="140"/>
      <c r="AU679" s="140"/>
      <c r="AV679" s="140"/>
      <c r="AW679" s="140"/>
      <c r="AX679" s="140"/>
      <c r="AY679" s="140"/>
      <c r="AZ679" s="140"/>
      <c r="BA679" s="140"/>
      <c r="BB679" s="141">
        <f t="shared" ref="BB679:BB683" si="1111">SUMIFS(AW$512:AW$613,BA$512:BA$613,$F679)/AY$510</f>
        <v>0</v>
      </c>
      <c r="BC679" s="140"/>
      <c r="BD679" s="139"/>
      <c r="BE679" s="140"/>
      <c r="BF679" s="140"/>
      <c r="BG679" s="140"/>
      <c r="BH679" s="140"/>
      <c r="BI679" s="219"/>
      <c r="BJ679" s="234"/>
      <c r="BK679" s="234"/>
      <c r="BL679" s="234"/>
      <c r="BM679" s="234"/>
      <c r="BN679" s="234"/>
      <c r="BO679" s="234"/>
      <c r="BP679" s="234"/>
      <c r="BQ679" s="234"/>
      <c r="BR679" s="234"/>
      <c r="BS679" s="234"/>
      <c r="BT679" s="234"/>
      <c r="BU679" s="234"/>
      <c r="BV679" s="234"/>
      <c r="BW679" s="234"/>
      <c r="BX679" s="234"/>
      <c r="BY679" s="234"/>
      <c r="BZ679" s="234"/>
      <c r="CA679" s="234"/>
      <c r="CB679" s="234"/>
      <c r="CC679" s="234"/>
      <c r="CD679" s="234"/>
      <c r="CE679" s="234"/>
      <c r="CF679" s="234"/>
      <c r="CG679" s="234"/>
      <c r="CH679" s="234"/>
      <c r="CI679" s="234"/>
      <c r="CJ679" s="234"/>
      <c r="CK679" s="234"/>
      <c r="CL679" s="234"/>
      <c r="CM679" s="189"/>
      <c r="CN679" s="140"/>
      <c r="CO679" s="139"/>
      <c r="CP679" s="140"/>
      <c r="CQ679" s="140"/>
      <c r="CR679" s="140"/>
      <c r="CS679" s="140"/>
      <c r="CT679" s="219"/>
      <c r="CU679" s="234"/>
      <c r="CV679" s="234"/>
      <c r="CW679" s="234"/>
      <c r="CX679" s="234"/>
      <c r="CY679" s="234"/>
      <c r="CZ679" s="234"/>
      <c r="DA679" s="234"/>
      <c r="DB679" s="234"/>
      <c r="DC679" s="234"/>
      <c r="DD679" s="234"/>
      <c r="DE679" s="234"/>
      <c r="DF679" s="234"/>
      <c r="DG679" s="234"/>
      <c r="DH679" s="234"/>
      <c r="DI679" s="234"/>
      <c r="DJ679" s="234"/>
      <c r="DK679" s="234"/>
      <c r="DL679" s="234"/>
      <c r="DM679" s="234"/>
      <c r="DN679" s="234"/>
      <c r="DO679" s="234"/>
      <c r="DP679" s="234"/>
      <c r="DQ679" s="234"/>
      <c r="DR679" s="234"/>
      <c r="DS679" s="234"/>
      <c r="DT679" s="234"/>
      <c r="DU679" s="234"/>
      <c r="DV679" s="234"/>
      <c r="DW679" s="234"/>
      <c r="DX679" s="189"/>
      <c r="DY679" s="140"/>
      <c r="DZ679" s="139"/>
      <c r="EA679" s="140"/>
      <c r="EB679" s="140"/>
      <c r="EC679" s="140"/>
      <c r="ED679" s="140"/>
      <c r="EE679" s="219"/>
      <c r="EF679" s="234"/>
      <c r="EG679" s="234"/>
      <c r="EH679" s="234"/>
      <c r="EI679" s="234"/>
      <c r="EJ679" s="234"/>
      <c r="EK679" s="234"/>
      <c r="EL679" s="234"/>
      <c r="EM679" s="234"/>
      <c r="EN679" s="234"/>
      <c r="EO679" s="234"/>
      <c r="EP679" s="234"/>
      <c r="EQ679" s="234"/>
      <c r="ER679" s="234"/>
      <c r="ES679" s="234"/>
      <c r="ET679" s="234"/>
      <c r="EU679" s="234"/>
      <c r="EV679" s="234"/>
      <c r="EW679" s="234"/>
      <c r="EX679" s="234"/>
      <c r="EY679" s="234"/>
      <c r="EZ679" s="234"/>
      <c r="FA679" s="234"/>
      <c r="FB679" s="234"/>
      <c r="FC679" s="234"/>
      <c r="FD679" s="234"/>
      <c r="FE679" s="234"/>
      <c r="FF679" s="234"/>
      <c r="FG679" s="234"/>
      <c r="FH679" s="234"/>
      <c r="FI679" s="189"/>
      <c r="FJ679" s="140"/>
      <c r="FK679" s="139"/>
      <c r="FL679" s="140"/>
      <c r="FM679" s="140"/>
      <c r="FN679" s="140"/>
      <c r="FO679" s="140"/>
      <c r="FP679" s="219"/>
      <c r="FQ679" s="234"/>
      <c r="FR679" s="234"/>
      <c r="FS679" s="234"/>
      <c r="FT679" s="234"/>
      <c r="FU679" s="234"/>
      <c r="FV679" s="234"/>
      <c r="FW679" s="234"/>
      <c r="FX679" s="234"/>
      <c r="FY679" s="234"/>
      <c r="FZ679" s="234"/>
      <c r="GA679" s="234"/>
      <c r="GB679" s="234"/>
      <c r="GC679" s="234"/>
      <c r="GD679" s="234"/>
      <c r="GE679" s="234"/>
      <c r="GF679" s="234"/>
      <c r="GG679" s="234"/>
      <c r="GH679" s="234"/>
      <c r="GI679" s="234"/>
      <c r="GJ679" s="234"/>
      <c r="GK679" s="234"/>
      <c r="GL679" s="234"/>
      <c r="GM679" s="234"/>
      <c r="GN679" s="234"/>
      <c r="GO679" s="234"/>
      <c r="GP679" s="234"/>
      <c r="GQ679" s="234"/>
      <c r="GR679" s="234"/>
      <c r="GS679" s="234"/>
      <c r="GT679" s="189"/>
      <c r="GU679" s="140"/>
      <c r="GV679" s="139"/>
      <c r="GW679" s="140"/>
      <c r="GX679" s="140"/>
      <c r="GY679" s="140"/>
      <c r="GZ679" s="140"/>
      <c r="HA679" s="219"/>
      <c r="HB679" s="234"/>
      <c r="HC679" s="234"/>
      <c r="HD679" s="234"/>
      <c r="HE679" s="234"/>
      <c r="HF679" s="234"/>
      <c r="HG679" s="234"/>
      <c r="HH679" s="234"/>
      <c r="HI679" s="234"/>
      <c r="HJ679" s="234"/>
      <c r="HK679" s="234"/>
      <c r="HL679" s="234"/>
      <c r="HM679" s="234"/>
      <c r="HN679" s="234"/>
      <c r="HO679" s="234"/>
      <c r="HP679" s="234"/>
      <c r="HQ679" s="234"/>
      <c r="HR679" s="234"/>
      <c r="HS679" s="234"/>
      <c r="HT679" s="234"/>
      <c r="HU679" s="234"/>
      <c r="HV679" s="234"/>
      <c r="HW679" s="234"/>
      <c r="HX679" s="234"/>
      <c r="HY679" s="234"/>
      <c r="HZ679" s="234"/>
      <c r="IA679" s="234"/>
      <c r="IB679" s="234"/>
      <c r="IC679" s="234"/>
      <c r="ID679" s="234"/>
      <c r="IE679" s="189"/>
      <c r="IF679" s="140"/>
      <c r="IG679" s="139"/>
      <c r="IH679" s="140"/>
      <c r="II679" s="140"/>
      <c r="IJ679" s="140"/>
      <c r="IK679" s="140"/>
      <c r="IL679" s="140"/>
      <c r="IM679" s="140"/>
      <c r="IN679" s="140"/>
      <c r="IO679" s="140"/>
      <c r="IP679" s="140"/>
      <c r="IQ679" s="140"/>
      <c r="IR679" s="140"/>
      <c r="IS679" s="140"/>
      <c r="IT679" s="140"/>
      <c r="IU679" s="140"/>
      <c r="IV679" s="140">
        <f t="shared" si="1103"/>
        <v>71.434411446864218</v>
      </c>
      <c r="IW679" s="140"/>
      <c r="IX679" s="140"/>
      <c r="IY679" s="140"/>
      <c r="IZ679" s="140"/>
      <c r="JA679" s="140"/>
      <c r="JB679" s="140"/>
      <c r="JC679" s="140"/>
      <c r="JD679" s="140"/>
      <c r="JE679" s="140"/>
      <c r="JF679" s="140"/>
      <c r="JG679" s="140"/>
      <c r="JH679" s="140"/>
      <c r="JI679" s="140"/>
      <c r="JJ679" s="140"/>
      <c r="JK679" s="140"/>
      <c r="JL679" s="140"/>
      <c r="JM679" s="140"/>
      <c r="JN679" s="140"/>
      <c r="JO679" s="140"/>
      <c r="JP679" s="141">
        <f t="shared" si="1104"/>
        <v>126.01884544280696</v>
      </c>
      <c r="JQ679" s="140"/>
      <c r="JR679" s="139"/>
      <c r="JS679" s="140"/>
      <c r="JT679" s="140"/>
      <c r="JU679" s="140"/>
      <c r="JV679" s="140"/>
      <c r="JW679" s="140"/>
      <c r="JX679" s="140"/>
      <c r="JY679" s="140"/>
      <c r="JZ679" s="140"/>
      <c r="KA679" s="140"/>
      <c r="KB679" s="140"/>
      <c r="KC679" s="140"/>
      <c r="KD679" s="140"/>
      <c r="KE679" s="140"/>
      <c r="KF679" s="140"/>
      <c r="KG679" s="140">
        <f t="shared" si="1105"/>
        <v>6.2297451843195546</v>
      </c>
      <c r="KH679" s="140"/>
      <c r="KI679" s="140"/>
      <c r="KJ679" s="140"/>
      <c r="KK679" s="140"/>
      <c r="KL679" s="140"/>
      <c r="KM679" s="140"/>
      <c r="KN679" s="140"/>
      <c r="KO679" s="140"/>
      <c r="KP679" s="140"/>
      <c r="KQ679" s="140"/>
      <c r="KR679" s="140"/>
      <c r="KS679" s="140"/>
      <c r="KT679" s="140"/>
      <c r="KU679" s="140"/>
      <c r="KV679" s="140"/>
      <c r="KW679" s="140"/>
      <c r="KX679" s="140"/>
      <c r="KY679" s="140"/>
      <c r="KZ679" s="140"/>
      <c r="LA679" s="141">
        <f t="shared" si="1106"/>
        <v>0</v>
      </c>
      <c r="LB679" s="140"/>
      <c r="LC679" s="139"/>
      <c r="LD679" s="140"/>
      <c r="LE679" s="140"/>
      <c r="LF679" s="140"/>
      <c r="LG679" s="140"/>
      <c r="LH679" s="140"/>
      <c r="LI679" s="140"/>
      <c r="LJ679" s="140"/>
      <c r="LK679" s="140"/>
      <c r="LL679" s="140"/>
      <c r="LM679" s="140"/>
      <c r="LN679" s="140"/>
      <c r="LO679" s="140"/>
      <c r="LP679" s="140"/>
      <c r="LQ679" s="140"/>
      <c r="LR679" s="140">
        <f t="shared" si="1107"/>
        <v>9.5522759492899834</v>
      </c>
      <c r="LS679" s="140"/>
      <c r="LT679" s="140"/>
      <c r="LU679" s="140"/>
      <c r="LV679" s="140"/>
      <c r="LW679" s="140"/>
      <c r="LX679" s="140"/>
      <c r="LY679" s="140"/>
      <c r="LZ679" s="140"/>
      <c r="MA679" s="140"/>
      <c r="MB679" s="140">
        <f t="shared" si="1108"/>
        <v>0</v>
      </c>
      <c r="MC679" s="140"/>
      <c r="MD679" s="140"/>
      <c r="ME679" s="140"/>
      <c r="MF679" s="140"/>
      <c r="MG679" s="140"/>
      <c r="MH679" s="140"/>
      <c r="MI679" s="140"/>
      <c r="MJ679" s="140"/>
      <c r="MK679" s="140"/>
      <c r="ML679" s="141">
        <f t="shared" si="1109"/>
        <v>0</v>
      </c>
    </row>
    <row r="680" spans="3:350" s="4" customFormat="1" ht="18" customHeight="1" x14ac:dyDescent="0.3">
      <c r="C680" s="136" t="s">
        <v>328</v>
      </c>
      <c r="E680" s="137" t="s">
        <v>105</v>
      </c>
      <c r="F680" s="186" t="s">
        <v>260</v>
      </c>
      <c r="H680" s="267"/>
      <c r="I680"/>
      <c r="J680"/>
      <c r="K680"/>
      <c r="L680"/>
      <c r="M680"/>
      <c r="N680" s="237"/>
      <c r="O680" s="237"/>
      <c r="P680" s="237"/>
      <c r="Q680" s="236"/>
      <c r="R680" s="140"/>
      <c r="S680" s="139"/>
      <c r="T680" s="140"/>
      <c r="U680" s="140"/>
      <c r="V680" s="140"/>
      <c r="W680" s="140"/>
      <c r="X680" s="140"/>
      <c r="Y680" s="140"/>
      <c r="Z680" s="140"/>
      <c r="AA680" s="140"/>
      <c r="AB680" s="140"/>
      <c r="AC680" s="140"/>
      <c r="AD680" s="140"/>
      <c r="AE680" s="140"/>
      <c r="AF680" s="140"/>
      <c r="AG680" s="140"/>
      <c r="AH680" s="140">
        <f t="shared" si="1110"/>
        <v>44.819555631632348</v>
      </c>
      <c r="AI680" s="140"/>
      <c r="AJ680" s="140"/>
      <c r="AK680" s="140"/>
      <c r="AL680" s="140"/>
      <c r="AM680" s="140"/>
      <c r="AN680" s="140"/>
      <c r="AO680" s="140"/>
      <c r="AP680" s="140"/>
      <c r="AQ680" s="140"/>
      <c r="AR680" s="140"/>
      <c r="AS680" s="140"/>
      <c r="AT680" s="140"/>
      <c r="AU680" s="140"/>
      <c r="AV680" s="140"/>
      <c r="AW680" s="140"/>
      <c r="AX680" s="140"/>
      <c r="AY680" s="140"/>
      <c r="AZ680" s="140"/>
      <c r="BA680" s="140"/>
      <c r="BB680" s="141">
        <f t="shared" si="1111"/>
        <v>0</v>
      </c>
      <c r="BC680" s="140"/>
      <c r="BD680" s="139"/>
      <c r="BE680" s="140"/>
      <c r="BF680" s="140"/>
      <c r="BG680" s="140"/>
      <c r="BH680" s="140"/>
      <c r="BI680" s="219"/>
      <c r="BJ680" s="234"/>
      <c r="BK680" s="234"/>
      <c r="BL680" s="234"/>
      <c r="BM680" s="234"/>
      <c r="BN680" s="234"/>
      <c r="BO680" s="234"/>
      <c r="BP680" s="234"/>
      <c r="BQ680" s="234"/>
      <c r="BR680" s="234"/>
      <c r="BS680" s="234"/>
      <c r="BT680" s="234"/>
      <c r="BU680" s="234"/>
      <c r="BV680" s="234"/>
      <c r="BW680" s="234"/>
      <c r="BX680" s="234"/>
      <c r="BY680" s="234"/>
      <c r="BZ680" s="234"/>
      <c r="CA680" s="234"/>
      <c r="CB680" s="234"/>
      <c r="CC680" s="234"/>
      <c r="CD680" s="234"/>
      <c r="CE680" s="234"/>
      <c r="CF680" s="234"/>
      <c r="CG680" s="234"/>
      <c r="CH680" s="234"/>
      <c r="CI680" s="234"/>
      <c r="CJ680" s="234"/>
      <c r="CK680" s="234"/>
      <c r="CL680" s="234"/>
      <c r="CM680" s="189"/>
      <c r="CN680" s="140"/>
      <c r="CO680" s="139"/>
      <c r="CP680" s="140"/>
      <c r="CQ680" s="140"/>
      <c r="CR680" s="140"/>
      <c r="CS680" s="140"/>
      <c r="CT680" s="219"/>
      <c r="CU680" s="234"/>
      <c r="CV680" s="234"/>
      <c r="CW680" s="234"/>
      <c r="CX680" s="234"/>
      <c r="CY680" s="234"/>
      <c r="CZ680" s="234"/>
      <c r="DA680" s="234"/>
      <c r="DB680" s="234"/>
      <c r="DC680" s="234"/>
      <c r="DD680" s="234"/>
      <c r="DE680" s="234"/>
      <c r="DF680" s="234"/>
      <c r="DG680" s="234"/>
      <c r="DH680" s="234"/>
      <c r="DI680" s="234"/>
      <c r="DJ680" s="234"/>
      <c r="DK680" s="234"/>
      <c r="DL680" s="234"/>
      <c r="DM680" s="234"/>
      <c r="DN680" s="234"/>
      <c r="DO680" s="234"/>
      <c r="DP680" s="234"/>
      <c r="DQ680" s="234"/>
      <c r="DR680" s="234"/>
      <c r="DS680" s="234"/>
      <c r="DT680" s="234"/>
      <c r="DU680" s="234"/>
      <c r="DV680" s="234"/>
      <c r="DW680" s="234"/>
      <c r="DX680" s="189"/>
      <c r="DY680" s="140"/>
      <c r="DZ680" s="139"/>
      <c r="EA680" s="140"/>
      <c r="EB680" s="140"/>
      <c r="EC680" s="140"/>
      <c r="ED680" s="140"/>
      <c r="EE680" s="219"/>
      <c r="EF680" s="234"/>
      <c r="EG680" s="234"/>
      <c r="EH680" s="234"/>
      <c r="EI680" s="234"/>
      <c r="EJ680" s="234"/>
      <c r="EK680" s="234"/>
      <c r="EL680" s="234"/>
      <c r="EM680" s="234"/>
      <c r="EN680" s="234"/>
      <c r="EO680" s="234"/>
      <c r="EP680" s="234"/>
      <c r="EQ680" s="234"/>
      <c r="ER680" s="234"/>
      <c r="ES680" s="234"/>
      <c r="ET680" s="234"/>
      <c r="EU680" s="234"/>
      <c r="EV680" s="234"/>
      <c r="EW680" s="234"/>
      <c r="EX680" s="234"/>
      <c r="EY680" s="234"/>
      <c r="EZ680" s="234"/>
      <c r="FA680" s="234"/>
      <c r="FB680" s="234"/>
      <c r="FC680" s="234"/>
      <c r="FD680" s="234"/>
      <c r="FE680" s="234"/>
      <c r="FF680" s="234"/>
      <c r="FG680" s="234"/>
      <c r="FH680" s="234"/>
      <c r="FI680" s="189"/>
      <c r="FJ680" s="140"/>
      <c r="FK680" s="139"/>
      <c r="FL680" s="140"/>
      <c r="FM680" s="140"/>
      <c r="FN680" s="140"/>
      <c r="FO680" s="140"/>
      <c r="FP680" s="219"/>
      <c r="FQ680" s="234"/>
      <c r="FR680" s="234"/>
      <c r="FS680" s="234"/>
      <c r="FT680" s="234"/>
      <c r="FU680" s="234"/>
      <c r="FV680" s="234"/>
      <c r="FW680" s="234"/>
      <c r="FX680" s="234"/>
      <c r="FY680" s="234"/>
      <c r="FZ680" s="234"/>
      <c r="GA680" s="234"/>
      <c r="GB680" s="234"/>
      <c r="GC680" s="234"/>
      <c r="GD680" s="234"/>
      <c r="GE680" s="234"/>
      <c r="GF680" s="234"/>
      <c r="GG680" s="234"/>
      <c r="GH680" s="234"/>
      <c r="GI680" s="234"/>
      <c r="GJ680" s="234"/>
      <c r="GK680" s="234"/>
      <c r="GL680" s="234"/>
      <c r="GM680" s="234"/>
      <c r="GN680" s="234"/>
      <c r="GO680" s="234"/>
      <c r="GP680" s="234"/>
      <c r="GQ680" s="234"/>
      <c r="GR680" s="234"/>
      <c r="GS680" s="234"/>
      <c r="GT680" s="189"/>
      <c r="GU680" s="140"/>
      <c r="GV680" s="139"/>
      <c r="GW680" s="140"/>
      <c r="GX680" s="140"/>
      <c r="GY680" s="140"/>
      <c r="GZ680" s="140"/>
      <c r="HA680" s="219"/>
      <c r="HB680" s="234"/>
      <c r="HC680" s="234"/>
      <c r="HD680" s="234"/>
      <c r="HE680" s="234"/>
      <c r="HF680" s="234"/>
      <c r="HG680" s="234"/>
      <c r="HH680" s="234"/>
      <c r="HI680" s="234"/>
      <c r="HJ680" s="234"/>
      <c r="HK680" s="234"/>
      <c r="HL680" s="234"/>
      <c r="HM680" s="234"/>
      <c r="HN680" s="234"/>
      <c r="HO680" s="234"/>
      <c r="HP680" s="234"/>
      <c r="HQ680" s="234"/>
      <c r="HR680" s="234"/>
      <c r="HS680" s="234"/>
      <c r="HT680" s="234"/>
      <c r="HU680" s="234"/>
      <c r="HV680" s="234"/>
      <c r="HW680" s="234"/>
      <c r="HX680" s="234"/>
      <c r="HY680" s="234"/>
      <c r="HZ680" s="234"/>
      <c r="IA680" s="234"/>
      <c r="IB680" s="234"/>
      <c r="IC680" s="234"/>
      <c r="ID680" s="234"/>
      <c r="IE680" s="189"/>
      <c r="IF680" s="140"/>
      <c r="IG680" s="139"/>
      <c r="IH680" s="140"/>
      <c r="II680" s="140"/>
      <c r="IJ680" s="140"/>
      <c r="IK680" s="140"/>
      <c r="IL680" s="140"/>
      <c r="IM680" s="140"/>
      <c r="IN680" s="140"/>
      <c r="IO680" s="140"/>
      <c r="IP680" s="140"/>
      <c r="IQ680" s="140"/>
      <c r="IR680" s="140"/>
      <c r="IS680" s="140"/>
      <c r="IT680" s="140"/>
      <c r="IU680" s="140"/>
      <c r="IV680" s="140">
        <f t="shared" si="1103"/>
        <v>38.070665015286167</v>
      </c>
      <c r="IW680" s="140"/>
      <c r="IX680" s="140"/>
      <c r="IY680" s="140"/>
      <c r="IZ680" s="140"/>
      <c r="JA680" s="140"/>
      <c r="JB680" s="140"/>
      <c r="JC680" s="140"/>
      <c r="JD680" s="140"/>
      <c r="JE680" s="140"/>
      <c r="JF680" s="140"/>
      <c r="JG680" s="140"/>
      <c r="JH680" s="140"/>
      <c r="JI680" s="140"/>
      <c r="JJ680" s="140"/>
      <c r="JK680" s="140"/>
      <c r="JL680" s="140"/>
      <c r="JM680" s="140"/>
      <c r="JN680" s="140"/>
      <c r="JO680" s="140"/>
      <c r="JP680" s="141">
        <f t="shared" si="1104"/>
        <v>47.711937324352135</v>
      </c>
      <c r="JQ680" s="140"/>
      <c r="JR680" s="139"/>
      <c r="JS680" s="140"/>
      <c r="JT680" s="140"/>
      <c r="JU680" s="140"/>
      <c r="JV680" s="140"/>
      <c r="JW680" s="140"/>
      <c r="JX680" s="140"/>
      <c r="JY680" s="140"/>
      <c r="JZ680" s="140"/>
      <c r="KA680" s="140"/>
      <c r="KB680" s="140"/>
      <c r="KC680" s="140"/>
      <c r="KD680" s="140"/>
      <c r="KE680" s="140"/>
      <c r="KF680" s="140"/>
      <c r="KG680" s="140">
        <f t="shared" si="1105"/>
        <v>29.764338102860091</v>
      </c>
      <c r="KH680" s="140"/>
      <c r="KI680" s="140"/>
      <c r="KJ680" s="140"/>
      <c r="KK680" s="140"/>
      <c r="KL680" s="140"/>
      <c r="KM680" s="140"/>
      <c r="KN680" s="140"/>
      <c r="KO680" s="140"/>
      <c r="KP680" s="140"/>
      <c r="KQ680" s="140"/>
      <c r="KR680" s="140"/>
      <c r="KS680" s="140"/>
      <c r="KT680" s="140"/>
      <c r="KU680" s="140"/>
      <c r="KV680" s="140"/>
      <c r="KW680" s="140"/>
      <c r="KX680" s="140"/>
      <c r="KY680" s="140"/>
      <c r="KZ680" s="140"/>
      <c r="LA680" s="141">
        <f t="shared" si="1106"/>
        <v>23.015447486513914</v>
      </c>
      <c r="LB680" s="140"/>
      <c r="LC680" s="139"/>
      <c r="LD680" s="140"/>
      <c r="LE680" s="140"/>
      <c r="LF680" s="140"/>
      <c r="LG680" s="140"/>
      <c r="LH680" s="140"/>
      <c r="LI680" s="140"/>
      <c r="LJ680" s="140"/>
      <c r="LK680" s="140"/>
      <c r="LL680" s="140"/>
      <c r="LM680" s="140"/>
      <c r="LN680" s="140"/>
      <c r="LO680" s="140"/>
      <c r="LP680" s="140"/>
      <c r="LQ680" s="140"/>
      <c r="LR680" s="140">
        <f t="shared" si="1107"/>
        <v>39.282004356681632</v>
      </c>
      <c r="LS680" s="140"/>
      <c r="LT680" s="140"/>
      <c r="LU680" s="140"/>
      <c r="LV680" s="140"/>
      <c r="LW680" s="140"/>
      <c r="LX680" s="140"/>
      <c r="LY680" s="140"/>
      <c r="LZ680" s="140"/>
      <c r="MA680" s="140"/>
      <c r="MB680" s="140">
        <f t="shared" si="1108"/>
        <v>25.784223123989268</v>
      </c>
      <c r="MC680" s="140"/>
      <c r="MD680" s="140"/>
      <c r="ME680" s="140"/>
      <c r="MF680" s="140"/>
      <c r="MG680" s="140"/>
      <c r="MH680" s="140"/>
      <c r="MI680" s="140"/>
      <c r="MJ680" s="140"/>
      <c r="MK680" s="140"/>
      <c r="ML680" s="141">
        <f t="shared" si="1109"/>
        <v>14.882169051430049</v>
      </c>
    </row>
    <row r="681" spans="3:350" s="4" customFormat="1" ht="18" customHeight="1" x14ac:dyDescent="0.3">
      <c r="C681" s="136" t="s">
        <v>329</v>
      </c>
      <c r="E681" s="137" t="s">
        <v>105</v>
      </c>
      <c r="F681" s="186" t="s">
        <v>261</v>
      </c>
      <c r="H681" s="267"/>
      <c r="I681"/>
      <c r="J681"/>
      <c r="K681"/>
      <c r="L681"/>
      <c r="M681"/>
      <c r="N681" s="237"/>
      <c r="O681" s="237"/>
      <c r="P681" s="237"/>
      <c r="Q681" s="236"/>
      <c r="R681" s="140"/>
      <c r="S681" s="139"/>
      <c r="T681" s="140"/>
      <c r="U681" s="140"/>
      <c r="V681" s="140"/>
      <c r="W681" s="140"/>
      <c r="X681" s="140"/>
      <c r="Y681" s="140"/>
      <c r="Z681" s="140"/>
      <c r="AA681" s="140"/>
      <c r="AB681" s="140"/>
      <c r="AC681" s="140"/>
      <c r="AD681" s="140"/>
      <c r="AE681" s="140"/>
      <c r="AF681" s="140"/>
      <c r="AG681" s="140"/>
      <c r="AH681" s="140">
        <f t="shared" si="1110"/>
        <v>473.46063400828626</v>
      </c>
      <c r="AI681" s="140"/>
      <c r="AJ681" s="140"/>
      <c r="AK681" s="140"/>
      <c r="AL681" s="140"/>
      <c r="AM681" s="140"/>
      <c r="AN681" s="140"/>
      <c r="AO681" s="140"/>
      <c r="AP681" s="140"/>
      <c r="AQ681" s="140"/>
      <c r="AR681" s="140"/>
      <c r="AS681" s="140"/>
      <c r="AT681" s="140"/>
      <c r="AU681" s="140"/>
      <c r="AV681" s="140"/>
      <c r="AW681" s="140"/>
      <c r="AX681" s="140"/>
      <c r="AY681" s="140"/>
      <c r="AZ681" s="140"/>
      <c r="BA681" s="140"/>
      <c r="BB681" s="141">
        <f t="shared" si="1111"/>
        <v>1507.7961042937236</v>
      </c>
      <c r="BC681" s="140"/>
      <c r="BD681" s="139"/>
      <c r="BE681" s="140"/>
      <c r="BF681" s="140"/>
      <c r="BG681" s="140"/>
      <c r="BH681" s="140"/>
      <c r="BI681" s="219"/>
      <c r="BJ681" s="234"/>
      <c r="BK681" s="234"/>
      <c r="BL681" s="234"/>
      <c r="BM681" s="234"/>
      <c r="BN681" s="234"/>
      <c r="BO681" s="234"/>
      <c r="BP681" s="234"/>
      <c r="BQ681" s="234"/>
      <c r="BR681" s="234"/>
      <c r="BS681" s="234"/>
      <c r="BT681" s="234"/>
      <c r="BU681" s="234"/>
      <c r="BV681" s="234"/>
      <c r="BW681" s="234"/>
      <c r="BX681" s="234"/>
      <c r="BY681" s="234"/>
      <c r="BZ681" s="234"/>
      <c r="CA681" s="234"/>
      <c r="CB681" s="234"/>
      <c r="CC681" s="234"/>
      <c r="CD681" s="234"/>
      <c r="CE681" s="234"/>
      <c r="CF681" s="234"/>
      <c r="CG681" s="234"/>
      <c r="CH681" s="234"/>
      <c r="CI681" s="234"/>
      <c r="CJ681" s="234"/>
      <c r="CK681" s="234"/>
      <c r="CL681" s="234"/>
      <c r="CM681" s="189"/>
      <c r="CN681" s="140"/>
      <c r="CO681" s="139"/>
      <c r="CP681" s="140"/>
      <c r="CQ681" s="140"/>
      <c r="CR681" s="140"/>
      <c r="CS681" s="140"/>
      <c r="CT681" s="219"/>
      <c r="CU681" s="234"/>
      <c r="CV681" s="234"/>
      <c r="CW681" s="234"/>
      <c r="CX681" s="234"/>
      <c r="CY681" s="234"/>
      <c r="CZ681" s="234"/>
      <c r="DA681" s="234"/>
      <c r="DB681" s="234"/>
      <c r="DC681" s="234"/>
      <c r="DD681" s="234"/>
      <c r="DE681" s="234"/>
      <c r="DF681" s="234"/>
      <c r="DG681" s="234"/>
      <c r="DH681" s="234"/>
      <c r="DI681" s="234"/>
      <c r="DJ681" s="234"/>
      <c r="DK681" s="234"/>
      <c r="DL681" s="234"/>
      <c r="DM681" s="234"/>
      <c r="DN681" s="234"/>
      <c r="DO681" s="234"/>
      <c r="DP681" s="234"/>
      <c r="DQ681" s="234"/>
      <c r="DR681" s="234"/>
      <c r="DS681" s="234"/>
      <c r="DT681" s="234"/>
      <c r="DU681" s="234"/>
      <c r="DV681" s="234"/>
      <c r="DW681" s="234"/>
      <c r="DX681" s="189"/>
      <c r="DY681" s="140"/>
      <c r="DZ681" s="139"/>
      <c r="EA681" s="140"/>
      <c r="EB681" s="140"/>
      <c r="EC681" s="140"/>
      <c r="ED681" s="140"/>
      <c r="EE681" s="219"/>
      <c r="EF681" s="234"/>
      <c r="EG681" s="234"/>
      <c r="EH681" s="234"/>
      <c r="EI681" s="234"/>
      <c r="EJ681" s="234"/>
      <c r="EK681" s="234"/>
      <c r="EL681" s="234"/>
      <c r="EM681" s="234"/>
      <c r="EN681" s="234"/>
      <c r="EO681" s="234"/>
      <c r="EP681" s="234"/>
      <c r="EQ681" s="234"/>
      <c r="ER681" s="234"/>
      <c r="ES681" s="234"/>
      <c r="ET681" s="234"/>
      <c r="EU681" s="234"/>
      <c r="EV681" s="234"/>
      <c r="EW681" s="234"/>
      <c r="EX681" s="234"/>
      <c r="EY681" s="234"/>
      <c r="EZ681" s="234"/>
      <c r="FA681" s="234"/>
      <c r="FB681" s="234"/>
      <c r="FC681" s="234"/>
      <c r="FD681" s="234"/>
      <c r="FE681" s="234"/>
      <c r="FF681" s="234"/>
      <c r="FG681" s="234"/>
      <c r="FH681" s="234"/>
      <c r="FI681" s="189"/>
      <c r="FJ681" s="140"/>
      <c r="FK681" s="139"/>
      <c r="FL681" s="140"/>
      <c r="FM681" s="140"/>
      <c r="FN681" s="140"/>
      <c r="FO681" s="140"/>
      <c r="FP681" s="219"/>
      <c r="FQ681" s="234"/>
      <c r="FR681" s="234"/>
      <c r="FS681" s="234"/>
      <c r="FT681" s="234"/>
      <c r="FU681" s="234"/>
      <c r="FV681" s="234"/>
      <c r="FW681" s="234"/>
      <c r="FX681" s="234"/>
      <c r="FY681" s="234"/>
      <c r="FZ681" s="234"/>
      <c r="GA681" s="234"/>
      <c r="GB681" s="234"/>
      <c r="GC681" s="234"/>
      <c r="GD681" s="234"/>
      <c r="GE681" s="234"/>
      <c r="GF681" s="234"/>
      <c r="GG681" s="234"/>
      <c r="GH681" s="234"/>
      <c r="GI681" s="234"/>
      <c r="GJ681" s="234"/>
      <c r="GK681" s="234"/>
      <c r="GL681" s="234"/>
      <c r="GM681" s="234"/>
      <c r="GN681" s="234"/>
      <c r="GO681" s="234"/>
      <c r="GP681" s="234"/>
      <c r="GQ681" s="234"/>
      <c r="GR681" s="234"/>
      <c r="GS681" s="234"/>
      <c r="GT681" s="189"/>
      <c r="GU681" s="140"/>
      <c r="GV681" s="139"/>
      <c r="GW681" s="140"/>
      <c r="GX681" s="140"/>
      <c r="GY681" s="140"/>
      <c r="GZ681" s="140"/>
      <c r="HA681" s="219"/>
      <c r="HB681" s="234"/>
      <c r="HC681" s="234"/>
      <c r="HD681" s="234"/>
      <c r="HE681" s="234"/>
      <c r="HF681" s="234"/>
      <c r="HG681" s="234"/>
      <c r="HH681" s="234"/>
      <c r="HI681" s="234"/>
      <c r="HJ681" s="234"/>
      <c r="HK681" s="234"/>
      <c r="HL681" s="234"/>
      <c r="HM681" s="234"/>
      <c r="HN681" s="234"/>
      <c r="HO681" s="234"/>
      <c r="HP681" s="234"/>
      <c r="HQ681" s="234"/>
      <c r="HR681" s="234"/>
      <c r="HS681" s="234"/>
      <c r="HT681" s="234"/>
      <c r="HU681" s="234"/>
      <c r="HV681" s="234"/>
      <c r="HW681" s="234"/>
      <c r="HX681" s="234"/>
      <c r="HY681" s="234"/>
      <c r="HZ681" s="234"/>
      <c r="IA681" s="234"/>
      <c r="IB681" s="234"/>
      <c r="IC681" s="234"/>
      <c r="ID681" s="234"/>
      <c r="IE681" s="189"/>
      <c r="IF681" s="140"/>
      <c r="IG681" s="139"/>
      <c r="IH681" s="140"/>
      <c r="II681" s="140"/>
      <c r="IJ681" s="140"/>
      <c r="IK681" s="140"/>
      <c r="IL681" s="140"/>
      <c r="IM681" s="140"/>
      <c r="IN681" s="140"/>
      <c r="IO681" s="140"/>
      <c r="IP681" s="140"/>
      <c r="IQ681" s="140"/>
      <c r="IR681" s="140"/>
      <c r="IS681" s="140"/>
      <c r="IT681" s="140"/>
      <c r="IU681" s="140"/>
      <c r="IV681" s="140">
        <f t="shared" si="1103"/>
        <v>841.31225441572656</v>
      </c>
      <c r="IW681" s="140"/>
      <c r="IX681" s="140"/>
      <c r="IY681" s="140"/>
      <c r="IZ681" s="140"/>
      <c r="JA681" s="140"/>
      <c r="JB681" s="140"/>
      <c r="JC681" s="140"/>
      <c r="JD681" s="140"/>
      <c r="JE681" s="140"/>
      <c r="JF681" s="140"/>
      <c r="JG681" s="140"/>
      <c r="JH681" s="140"/>
      <c r="JI681" s="140"/>
      <c r="JJ681" s="140"/>
      <c r="JK681" s="140"/>
      <c r="JL681" s="140"/>
      <c r="JM681" s="140"/>
      <c r="JN681" s="140"/>
      <c r="JO681" s="140"/>
      <c r="JP681" s="141">
        <f t="shared" si="1104"/>
        <v>473.46063400828626</v>
      </c>
      <c r="JQ681" s="140"/>
      <c r="JR681" s="139"/>
      <c r="JS681" s="140"/>
      <c r="JT681" s="140"/>
      <c r="JU681" s="140"/>
      <c r="JV681" s="140"/>
      <c r="JW681" s="140"/>
      <c r="JX681" s="140"/>
      <c r="JY681" s="140"/>
      <c r="JZ681" s="140"/>
      <c r="KA681" s="140"/>
      <c r="KB681" s="140"/>
      <c r="KC681" s="140"/>
      <c r="KD681" s="140"/>
      <c r="KE681" s="140"/>
      <c r="KF681" s="140"/>
      <c r="KG681" s="140">
        <f t="shared" si="1105"/>
        <v>2326.8451423591373</v>
      </c>
      <c r="KH681" s="140"/>
      <c r="KI681" s="140"/>
      <c r="KJ681" s="140"/>
      <c r="KK681" s="140"/>
      <c r="KL681" s="140"/>
      <c r="KM681" s="140"/>
      <c r="KN681" s="140"/>
      <c r="KO681" s="140"/>
      <c r="KP681" s="140"/>
      <c r="KQ681" s="140"/>
      <c r="KR681" s="140"/>
      <c r="KS681" s="140"/>
      <c r="KT681" s="140"/>
      <c r="KU681" s="140"/>
      <c r="KV681" s="140"/>
      <c r="KW681" s="140"/>
      <c r="KX681" s="140"/>
      <c r="KY681" s="140"/>
      <c r="KZ681" s="140"/>
      <c r="LA681" s="141">
        <f t="shared" si="1106"/>
        <v>2377.1916544609849</v>
      </c>
      <c r="LB681" s="140"/>
      <c r="LC681" s="139"/>
      <c r="LD681" s="140"/>
      <c r="LE681" s="140"/>
      <c r="LF681" s="140"/>
      <c r="LG681" s="140"/>
      <c r="LH681" s="140"/>
      <c r="LI681" s="140"/>
      <c r="LJ681" s="140"/>
      <c r="LK681" s="140"/>
      <c r="LL681" s="140"/>
      <c r="LM681" s="140"/>
      <c r="LN681" s="140"/>
      <c r="LO681" s="140"/>
      <c r="LP681" s="140"/>
      <c r="LQ681" s="140"/>
      <c r="LR681" s="140">
        <f t="shared" si="1107"/>
        <v>2287.2912046809188</v>
      </c>
      <c r="LS681" s="140"/>
      <c r="LT681" s="140"/>
      <c r="LU681" s="140"/>
      <c r="LV681" s="140"/>
      <c r="LW681" s="140"/>
      <c r="LX681" s="140"/>
      <c r="LY681" s="140"/>
      <c r="LZ681" s="140"/>
      <c r="MA681" s="140"/>
      <c r="MB681" s="140">
        <f t="shared" si="1108"/>
        <v>2583.0699000761183</v>
      </c>
      <c r="MC681" s="140"/>
      <c r="MD681" s="140"/>
      <c r="ME681" s="140"/>
      <c r="MF681" s="140"/>
      <c r="MG681" s="140"/>
      <c r="MH681" s="140"/>
      <c r="MI681" s="140"/>
      <c r="MJ681" s="140"/>
      <c r="MK681" s="140"/>
      <c r="ML681" s="141">
        <f t="shared" si="1109"/>
        <v>2885.064214249323</v>
      </c>
    </row>
    <row r="682" spans="3:350" s="4" customFormat="1" ht="18" customHeight="1" x14ac:dyDescent="0.3">
      <c r="C682" s="136" t="s">
        <v>330</v>
      </c>
      <c r="E682" s="137" t="s">
        <v>105</v>
      </c>
      <c r="F682" s="186" t="s">
        <v>258</v>
      </c>
      <c r="H682" s="267"/>
      <c r="I682"/>
      <c r="J682"/>
      <c r="K682"/>
      <c r="L682"/>
      <c r="M682"/>
      <c r="N682" s="237"/>
      <c r="O682" s="237"/>
      <c r="P682" s="237"/>
      <c r="Q682" s="236"/>
      <c r="R682" s="140"/>
      <c r="S682" s="139"/>
      <c r="T682" s="140"/>
      <c r="U682" s="140"/>
      <c r="V682" s="140"/>
      <c r="W682" s="140"/>
      <c r="X682" s="140"/>
      <c r="Y682" s="140"/>
      <c r="Z682" s="140"/>
      <c r="AA682" s="140"/>
      <c r="AB682" s="140"/>
      <c r="AC682" s="140"/>
      <c r="AD682" s="140"/>
      <c r="AE682" s="140"/>
      <c r="AF682" s="140"/>
      <c r="AG682" s="140"/>
      <c r="AH682" s="140">
        <f t="shared" si="1110"/>
        <v>68.66563580938886</v>
      </c>
      <c r="AI682" s="140"/>
      <c r="AJ682" s="140"/>
      <c r="AK682" s="140"/>
      <c r="AL682" s="140"/>
      <c r="AM682" s="140"/>
      <c r="AN682" s="140"/>
      <c r="AO682" s="140"/>
      <c r="AP682" s="140"/>
      <c r="AQ682" s="140"/>
      <c r="AR682" s="140"/>
      <c r="AS682" s="140"/>
      <c r="AT682" s="140"/>
      <c r="AU682" s="140"/>
      <c r="AV682" s="140"/>
      <c r="AW682" s="140"/>
      <c r="AX682" s="140"/>
      <c r="AY682" s="140"/>
      <c r="AZ682" s="140"/>
      <c r="BA682" s="140"/>
      <c r="BB682" s="141">
        <f t="shared" si="1111"/>
        <v>68.66563580938886</v>
      </c>
      <c r="BC682" s="140"/>
      <c r="BD682" s="139"/>
      <c r="BE682" s="140"/>
      <c r="BF682" s="140"/>
      <c r="BG682" s="140"/>
      <c r="BH682" s="140"/>
      <c r="BI682" s="219"/>
      <c r="BJ682" s="234"/>
      <c r="BK682" s="234"/>
      <c r="BL682" s="234"/>
      <c r="BM682" s="234"/>
      <c r="BN682" s="234"/>
      <c r="BO682" s="234"/>
      <c r="BP682" s="234"/>
      <c r="BQ682" s="234"/>
      <c r="BR682" s="234"/>
      <c r="BS682" s="234"/>
      <c r="BT682" s="234"/>
      <c r="BU682" s="234"/>
      <c r="BV682" s="234"/>
      <c r="BW682" s="234"/>
      <c r="BX682" s="234"/>
      <c r="BY682" s="234"/>
      <c r="BZ682" s="234"/>
      <c r="CA682" s="234"/>
      <c r="CB682" s="234"/>
      <c r="CC682" s="234"/>
      <c r="CD682" s="234"/>
      <c r="CE682" s="234"/>
      <c r="CF682" s="234"/>
      <c r="CG682" s="234"/>
      <c r="CH682" s="234"/>
      <c r="CI682" s="234"/>
      <c r="CJ682" s="234"/>
      <c r="CK682" s="234"/>
      <c r="CL682" s="234"/>
      <c r="CM682" s="189"/>
      <c r="CN682" s="140"/>
      <c r="CO682" s="139"/>
      <c r="CP682" s="140"/>
      <c r="CQ682" s="140"/>
      <c r="CR682" s="140"/>
      <c r="CS682" s="140"/>
      <c r="CT682" s="219"/>
      <c r="CU682" s="234"/>
      <c r="CV682" s="234"/>
      <c r="CW682" s="234"/>
      <c r="CX682" s="234"/>
      <c r="CY682" s="234"/>
      <c r="CZ682" s="234"/>
      <c r="DA682" s="234"/>
      <c r="DB682" s="234"/>
      <c r="DC682" s="234"/>
      <c r="DD682" s="234"/>
      <c r="DE682" s="234"/>
      <c r="DF682" s="234"/>
      <c r="DG682" s="234"/>
      <c r="DH682" s="234"/>
      <c r="DI682" s="234"/>
      <c r="DJ682" s="234"/>
      <c r="DK682" s="234"/>
      <c r="DL682" s="234"/>
      <c r="DM682" s="234"/>
      <c r="DN682" s="234"/>
      <c r="DO682" s="234"/>
      <c r="DP682" s="234"/>
      <c r="DQ682" s="234"/>
      <c r="DR682" s="234"/>
      <c r="DS682" s="234"/>
      <c r="DT682" s="234"/>
      <c r="DU682" s="234"/>
      <c r="DV682" s="234"/>
      <c r="DW682" s="234"/>
      <c r="DX682" s="189"/>
      <c r="DY682" s="140"/>
      <c r="DZ682" s="139"/>
      <c r="EA682" s="140"/>
      <c r="EB682" s="140"/>
      <c r="EC682" s="140"/>
      <c r="ED682" s="140"/>
      <c r="EE682" s="219"/>
      <c r="EF682" s="234"/>
      <c r="EG682" s="234"/>
      <c r="EH682" s="234"/>
      <c r="EI682" s="234"/>
      <c r="EJ682" s="234"/>
      <c r="EK682" s="234"/>
      <c r="EL682" s="234"/>
      <c r="EM682" s="234"/>
      <c r="EN682" s="234"/>
      <c r="EO682" s="234"/>
      <c r="EP682" s="234"/>
      <c r="EQ682" s="234"/>
      <c r="ER682" s="234"/>
      <c r="ES682" s="234"/>
      <c r="ET682" s="234"/>
      <c r="EU682" s="234"/>
      <c r="EV682" s="234"/>
      <c r="EW682" s="234"/>
      <c r="EX682" s="234"/>
      <c r="EY682" s="234"/>
      <c r="EZ682" s="234"/>
      <c r="FA682" s="234"/>
      <c r="FB682" s="234"/>
      <c r="FC682" s="234"/>
      <c r="FD682" s="234"/>
      <c r="FE682" s="234"/>
      <c r="FF682" s="234"/>
      <c r="FG682" s="234"/>
      <c r="FH682" s="234"/>
      <c r="FI682" s="189"/>
      <c r="FJ682" s="140"/>
      <c r="FK682" s="139"/>
      <c r="FL682" s="140"/>
      <c r="FM682" s="140"/>
      <c r="FN682" s="140"/>
      <c r="FO682" s="140"/>
      <c r="FP682" s="219"/>
      <c r="FQ682" s="234"/>
      <c r="FR682" s="234"/>
      <c r="FS682" s="234"/>
      <c r="FT682" s="234"/>
      <c r="FU682" s="234"/>
      <c r="FV682" s="234"/>
      <c r="FW682" s="234"/>
      <c r="FX682" s="234"/>
      <c r="FY682" s="234"/>
      <c r="FZ682" s="234"/>
      <c r="GA682" s="234"/>
      <c r="GB682" s="234"/>
      <c r="GC682" s="234"/>
      <c r="GD682" s="234"/>
      <c r="GE682" s="234"/>
      <c r="GF682" s="234"/>
      <c r="GG682" s="234"/>
      <c r="GH682" s="234"/>
      <c r="GI682" s="234"/>
      <c r="GJ682" s="234"/>
      <c r="GK682" s="234"/>
      <c r="GL682" s="234"/>
      <c r="GM682" s="234"/>
      <c r="GN682" s="234"/>
      <c r="GO682" s="234"/>
      <c r="GP682" s="234"/>
      <c r="GQ682" s="234"/>
      <c r="GR682" s="234"/>
      <c r="GS682" s="234"/>
      <c r="GT682" s="189"/>
      <c r="GU682" s="140"/>
      <c r="GV682" s="139"/>
      <c r="GW682" s="140"/>
      <c r="GX682" s="140"/>
      <c r="GY682" s="140"/>
      <c r="GZ682" s="140"/>
      <c r="HA682" s="219"/>
      <c r="HB682" s="234"/>
      <c r="HC682" s="234"/>
      <c r="HD682" s="234"/>
      <c r="HE682" s="234"/>
      <c r="HF682" s="234"/>
      <c r="HG682" s="234"/>
      <c r="HH682" s="234"/>
      <c r="HI682" s="234"/>
      <c r="HJ682" s="234"/>
      <c r="HK682" s="234"/>
      <c r="HL682" s="234"/>
      <c r="HM682" s="234"/>
      <c r="HN682" s="234"/>
      <c r="HO682" s="234"/>
      <c r="HP682" s="234"/>
      <c r="HQ682" s="234"/>
      <c r="HR682" s="234"/>
      <c r="HS682" s="234"/>
      <c r="HT682" s="234"/>
      <c r="HU682" s="234"/>
      <c r="HV682" s="234"/>
      <c r="HW682" s="234"/>
      <c r="HX682" s="234"/>
      <c r="HY682" s="234"/>
      <c r="HZ682" s="234"/>
      <c r="IA682" s="234"/>
      <c r="IB682" s="234"/>
      <c r="IC682" s="234"/>
      <c r="ID682" s="234"/>
      <c r="IE682" s="189"/>
      <c r="IF682" s="140"/>
      <c r="IG682" s="139"/>
      <c r="IH682" s="140"/>
      <c r="II682" s="140"/>
      <c r="IJ682" s="140"/>
      <c r="IK682" s="140"/>
      <c r="IL682" s="140"/>
      <c r="IM682" s="140"/>
      <c r="IN682" s="140"/>
      <c r="IO682" s="140"/>
      <c r="IP682" s="140"/>
      <c r="IQ682" s="140"/>
      <c r="IR682" s="140"/>
      <c r="IS682" s="140"/>
      <c r="IT682" s="140"/>
      <c r="IU682" s="140"/>
      <c r="IV682" s="140">
        <f t="shared" si="1103"/>
        <v>68.66563580938886</v>
      </c>
      <c r="IW682" s="140"/>
      <c r="IX682" s="140"/>
      <c r="IY682" s="140"/>
      <c r="IZ682" s="140"/>
      <c r="JA682" s="140"/>
      <c r="JB682" s="140"/>
      <c r="JC682" s="140"/>
      <c r="JD682" s="140"/>
      <c r="JE682" s="140"/>
      <c r="JF682" s="140"/>
      <c r="JG682" s="140"/>
      <c r="JH682" s="140"/>
      <c r="JI682" s="140"/>
      <c r="JJ682" s="140"/>
      <c r="JK682" s="140"/>
      <c r="JL682" s="140"/>
      <c r="JM682" s="140"/>
      <c r="JN682" s="140"/>
      <c r="JO682" s="140"/>
      <c r="JP682" s="141">
        <f t="shared" si="1104"/>
        <v>68.66563580938886</v>
      </c>
      <c r="JQ682" s="140"/>
      <c r="JR682" s="139"/>
      <c r="JS682" s="140"/>
      <c r="JT682" s="140"/>
      <c r="JU682" s="140"/>
      <c r="JV682" s="140"/>
      <c r="JW682" s="140"/>
      <c r="JX682" s="140"/>
      <c r="JY682" s="140"/>
      <c r="JZ682" s="140"/>
      <c r="KA682" s="140"/>
      <c r="KB682" s="140"/>
      <c r="KC682" s="140"/>
      <c r="KD682" s="140"/>
      <c r="KE682" s="140"/>
      <c r="KF682" s="140"/>
      <c r="KG682" s="140">
        <f t="shared" si="1105"/>
        <v>506.58423153253216</v>
      </c>
      <c r="KH682" s="140"/>
      <c r="KI682" s="140"/>
      <c r="KJ682" s="140"/>
      <c r="KK682" s="140"/>
      <c r="KL682" s="140"/>
      <c r="KM682" s="140"/>
      <c r="KN682" s="140"/>
      <c r="KO682" s="140"/>
      <c r="KP682" s="140"/>
      <c r="KQ682" s="140"/>
      <c r="KR682" s="140"/>
      <c r="KS682" s="140"/>
      <c r="KT682" s="140"/>
      <c r="KU682" s="140"/>
      <c r="KV682" s="140"/>
      <c r="KW682" s="140"/>
      <c r="KX682" s="140"/>
      <c r="KY682" s="140"/>
      <c r="KZ682" s="140"/>
      <c r="LA682" s="141">
        <f t="shared" si="1106"/>
        <v>175.95569176155902</v>
      </c>
      <c r="LB682" s="140"/>
      <c r="LC682" s="139"/>
      <c r="LD682" s="140"/>
      <c r="LE682" s="140"/>
      <c r="LF682" s="140"/>
      <c r="LG682" s="140"/>
      <c r="LH682" s="140"/>
      <c r="LI682" s="140"/>
      <c r="LJ682" s="140"/>
      <c r="LK682" s="140"/>
      <c r="LL682" s="140"/>
      <c r="LM682" s="140"/>
      <c r="LN682" s="140"/>
      <c r="LO682" s="140"/>
      <c r="LP682" s="140"/>
      <c r="LQ682" s="140"/>
      <c r="LR682" s="140">
        <f t="shared" si="1107"/>
        <v>366.45028090112635</v>
      </c>
      <c r="LS682" s="140"/>
      <c r="LT682" s="140"/>
      <c r="LU682" s="140"/>
      <c r="LV682" s="140"/>
      <c r="LW682" s="140"/>
      <c r="LX682" s="140"/>
      <c r="LY682" s="140"/>
      <c r="LZ682" s="140"/>
      <c r="MA682" s="140"/>
      <c r="MB682" s="140">
        <f t="shared" si="1108"/>
        <v>215.19319793835263</v>
      </c>
      <c r="MC682" s="140"/>
      <c r="MD682" s="140"/>
      <c r="ME682" s="140"/>
      <c r="MF682" s="140"/>
      <c r="MG682" s="140"/>
      <c r="MH682" s="140"/>
      <c r="MI682" s="140"/>
      <c r="MJ682" s="140"/>
      <c r="MK682" s="140"/>
      <c r="ML682" s="141">
        <f t="shared" si="1109"/>
        <v>154.49768057112499</v>
      </c>
    </row>
    <row r="683" spans="3:350" s="4" customFormat="1" ht="18" customHeight="1" x14ac:dyDescent="0.3">
      <c r="C683" s="136" t="s">
        <v>331</v>
      </c>
      <c r="E683" s="137" t="s">
        <v>105</v>
      </c>
      <c r="F683" s="186" t="s">
        <v>270</v>
      </c>
      <c r="H683" s="267"/>
      <c r="I683"/>
      <c r="J683"/>
      <c r="K683"/>
      <c r="L683"/>
      <c r="M683"/>
      <c r="N683" s="237"/>
      <c r="O683" s="237"/>
      <c r="P683" s="237"/>
      <c r="Q683" s="236"/>
      <c r="R683" s="140"/>
      <c r="S683" s="139"/>
      <c r="T683" s="140"/>
      <c r="U683" s="140"/>
      <c r="V683" s="140"/>
      <c r="W683" s="140"/>
      <c r="X683" s="140"/>
      <c r="Y683" s="140"/>
      <c r="Z683" s="140"/>
      <c r="AA683" s="140"/>
      <c r="AB683" s="140"/>
      <c r="AC683" s="140"/>
      <c r="AD683" s="140"/>
      <c r="AE683" s="140"/>
      <c r="AF683" s="140"/>
      <c r="AG683" s="140"/>
      <c r="AH683" s="140">
        <f t="shared" si="1110"/>
        <v>17.166408952347219</v>
      </c>
      <c r="AI683" s="140"/>
      <c r="AJ683" s="140"/>
      <c r="AK683" s="140"/>
      <c r="AL683" s="140"/>
      <c r="AM683" s="140"/>
      <c r="AN683" s="140"/>
      <c r="AO683" s="140"/>
      <c r="AP683" s="140"/>
      <c r="AQ683" s="140"/>
      <c r="AR683" s="140"/>
      <c r="AS683" s="140"/>
      <c r="AT683" s="140"/>
      <c r="AU683" s="140"/>
      <c r="AV683" s="140"/>
      <c r="AW683" s="140"/>
      <c r="AX683" s="140"/>
      <c r="AY683" s="140"/>
      <c r="AZ683" s="140"/>
      <c r="BA683" s="140"/>
      <c r="BB683" s="141">
        <f t="shared" si="1111"/>
        <v>17.166408952347219</v>
      </c>
      <c r="BC683" s="140"/>
      <c r="BD683" s="139"/>
      <c r="BE683" s="140"/>
      <c r="BF683" s="140"/>
      <c r="BG683" s="140"/>
      <c r="BH683" s="140"/>
      <c r="BI683" s="219"/>
      <c r="BJ683" s="234"/>
      <c r="BK683" s="234"/>
      <c r="BL683" s="234"/>
      <c r="BM683" s="234"/>
      <c r="BN683" s="234"/>
      <c r="BO683" s="234"/>
      <c r="BP683" s="234"/>
      <c r="BQ683" s="234"/>
      <c r="BR683" s="234"/>
      <c r="BS683" s="234"/>
      <c r="BT683" s="234"/>
      <c r="BU683" s="234"/>
      <c r="BV683" s="234"/>
      <c r="BW683" s="234"/>
      <c r="BX683" s="234"/>
      <c r="BY683" s="234"/>
      <c r="BZ683" s="234"/>
      <c r="CA683" s="234"/>
      <c r="CB683" s="234"/>
      <c r="CC683" s="234"/>
      <c r="CD683" s="234"/>
      <c r="CE683" s="234"/>
      <c r="CF683" s="234"/>
      <c r="CG683" s="234"/>
      <c r="CH683" s="234"/>
      <c r="CI683" s="234"/>
      <c r="CJ683" s="234"/>
      <c r="CK683" s="234"/>
      <c r="CL683" s="234"/>
      <c r="CM683" s="189"/>
      <c r="CN683" s="140"/>
      <c r="CO683" s="139"/>
      <c r="CP683" s="140"/>
      <c r="CQ683" s="140"/>
      <c r="CR683" s="140"/>
      <c r="CS683" s="140"/>
      <c r="CT683" s="219"/>
      <c r="CU683" s="234"/>
      <c r="CV683" s="234"/>
      <c r="CW683" s="234"/>
      <c r="CX683" s="234"/>
      <c r="CY683" s="234"/>
      <c r="CZ683" s="234"/>
      <c r="DA683" s="234"/>
      <c r="DB683" s="234"/>
      <c r="DC683" s="234"/>
      <c r="DD683" s="234"/>
      <c r="DE683" s="234"/>
      <c r="DF683" s="234"/>
      <c r="DG683" s="234"/>
      <c r="DH683" s="234"/>
      <c r="DI683" s="234"/>
      <c r="DJ683" s="234"/>
      <c r="DK683" s="234"/>
      <c r="DL683" s="234"/>
      <c r="DM683" s="234"/>
      <c r="DN683" s="234"/>
      <c r="DO683" s="234"/>
      <c r="DP683" s="234"/>
      <c r="DQ683" s="234"/>
      <c r="DR683" s="234"/>
      <c r="DS683" s="234"/>
      <c r="DT683" s="234"/>
      <c r="DU683" s="234"/>
      <c r="DV683" s="234"/>
      <c r="DW683" s="234"/>
      <c r="DX683" s="189"/>
      <c r="DY683" s="140"/>
      <c r="DZ683" s="139"/>
      <c r="EA683" s="140"/>
      <c r="EB683" s="140"/>
      <c r="EC683" s="140"/>
      <c r="ED683" s="140"/>
      <c r="EE683" s="219"/>
      <c r="EF683" s="234"/>
      <c r="EG683" s="234"/>
      <c r="EH683" s="234"/>
      <c r="EI683" s="234"/>
      <c r="EJ683" s="234"/>
      <c r="EK683" s="234"/>
      <c r="EL683" s="234"/>
      <c r="EM683" s="234"/>
      <c r="EN683" s="234"/>
      <c r="EO683" s="234"/>
      <c r="EP683" s="234"/>
      <c r="EQ683" s="234"/>
      <c r="ER683" s="234"/>
      <c r="ES683" s="234"/>
      <c r="ET683" s="234"/>
      <c r="EU683" s="234"/>
      <c r="EV683" s="234"/>
      <c r="EW683" s="234"/>
      <c r="EX683" s="234"/>
      <c r="EY683" s="234"/>
      <c r="EZ683" s="234"/>
      <c r="FA683" s="234"/>
      <c r="FB683" s="234"/>
      <c r="FC683" s="234"/>
      <c r="FD683" s="234"/>
      <c r="FE683" s="234"/>
      <c r="FF683" s="234"/>
      <c r="FG683" s="234"/>
      <c r="FH683" s="234"/>
      <c r="FI683" s="189"/>
      <c r="FJ683" s="140"/>
      <c r="FK683" s="139"/>
      <c r="FL683" s="140"/>
      <c r="FM683" s="140"/>
      <c r="FN683" s="140"/>
      <c r="FO683" s="140"/>
      <c r="FP683" s="219"/>
      <c r="FQ683" s="234"/>
      <c r="FR683" s="234"/>
      <c r="FS683" s="234"/>
      <c r="FT683" s="234"/>
      <c r="FU683" s="234"/>
      <c r="FV683" s="234"/>
      <c r="FW683" s="234"/>
      <c r="FX683" s="234"/>
      <c r="FY683" s="234"/>
      <c r="FZ683" s="234"/>
      <c r="GA683" s="234"/>
      <c r="GB683" s="234"/>
      <c r="GC683" s="234"/>
      <c r="GD683" s="234"/>
      <c r="GE683" s="234"/>
      <c r="GF683" s="234"/>
      <c r="GG683" s="234"/>
      <c r="GH683" s="234"/>
      <c r="GI683" s="234"/>
      <c r="GJ683" s="234"/>
      <c r="GK683" s="234"/>
      <c r="GL683" s="234"/>
      <c r="GM683" s="234"/>
      <c r="GN683" s="234"/>
      <c r="GO683" s="234"/>
      <c r="GP683" s="234"/>
      <c r="GQ683" s="234"/>
      <c r="GR683" s="234"/>
      <c r="GS683" s="234"/>
      <c r="GT683" s="189"/>
      <c r="GU683" s="140"/>
      <c r="GV683" s="139"/>
      <c r="GW683" s="140"/>
      <c r="GX683" s="140"/>
      <c r="GY683" s="140"/>
      <c r="GZ683" s="140"/>
      <c r="HA683" s="219"/>
      <c r="HB683" s="234"/>
      <c r="HC683" s="234"/>
      <c r="HD683" s="234"/>
      <c r="HE683" s="234"/>
      <c r="HF683" s="234"/>
      <c r="HG683" s="234"/>
      <c r="HH683" s="234"/>
      <c r="HI683" s="234"/>
      <c r="HJ683" s="234"/>
      <c r="HK683" s="234"/>
      <c r="HL683" s="234"/>
      <c r="HM683" s="234"/>
      <c r="HN683" s="234"/>
      <c r="HO683" s="234"/>
      <c r="HP683" s="234"/>
      <c r="HQ683" s="234"/>
      <c r="HR683" s="234"/>
      <c r="HS683" s="234"/>
      <c r="HT683" s="234"/>
      <c r="HU683" s="234"/>
      <c r="HV683" s="234"/>
      <c r="HW683" s="234"/>
      <c r="HX683" s="234"/>
      <c r="HY683" s="234"/>
      <c r="HZ683" s="234"/>
      <c r="IA683" s="234"/>
      <c r="IB683" s="234"/>
      <c r="IC683" s="234"/>
      <c r="ID683" s="234"/>
      <c r="IE683" s="189"/>
      <c r="IF683" s="140"/>
      <c r="IG683" s="139"/>
      <c r="IH683" s="140"/>
      <c r="II683" s="140"/>
      <c r="IJ683" s="140"/>
      <c r="IK683" s="140"/>
      <c r="IL683" s="140"/>
      <c r="IM683" s="140"/>
      <c r="IN683" s="140"/>
      <c r="IO683" s="140"/>
      <c r="IP683" s="140"/>
      <c r="IQ683" s="140"/>
      <c r="IR683" s="140"/>
      <c r="IS683" s="140"/>
      <c r="IT683" s="140"/>
      <c r="IU683" s="140"/>
      <c r="IV683" s="140">
        <f t="shared" si="1103"/>
        <v>17.166408952347219</v>
      </c>
      <c r="IW683" s="140"/>
      <c r="IX683" s="140"/>
      <c r="IY683" s="140"/>
      <c r="IZ683" s="140"/>
      <c r="JA683" s="140"/>
      <c r="JB683" s="140"/>
      <c r="JC683" s="140"/>
      <c r="JD683" s="140"/>
      <c r="JE683" s="140"/>
      <c r="JF683" s="140"/>
      <c r="JG683" s="140"/>
      <c r="JH683" s="140"/>
      <c r="JI683" s="140"/>
      <c r="JJ683" s="140"/>
      <c r="JK683" s="140"/>
      <c r="JL683" s="140"/>
      <c r="JM683" s="140"/>
      <c r="JN683" s="140"/>
      <c r="JO683" s="140"/>
      <c r="JP683" s="141">
        <f t="shared" si="1104"/>
        <v>17.166408952347219</v>
      </c>
      <c r="JQ683" s="140"/>
      <c r="JR683" s="139"/>
      <c r="JS683" s="140"/>
      <c r="JT683" s="140"/>
      <c r="JU683" s="140"/>
      <c r="JV683" s="140"/>
      <c r="JW683" s="140"/>
      <c r="JX683" s="140"/>
      <c r="JY683" s="140"/>
      <c r="JZ683" s="140"/>
      <c r="KA683" s="140"/>
      <c r="KB683" s="140"/>
      <c r="KC683" s="140"/>
      <c r="KD683" s="140"/>
      <c r="KE683" s="140"/>
      <c r="KF683" s="140"/>
      <c r="KG683" s="140">
        <f t="shared" si="1105"/>
        <v>34.683152781272945</v>
      </c>
      <c r="KH683" s="140"/>
      <c r="KI683" s="140"/>
      <c r="KJ683" s="140"/>
      <c r="KK683" s="140"/>
      <c r="KL683" s="140"/>
      <c r="KM683" s="140"/>
      <c r="KN683" s="140"/>
      <c r="KO683" s="140"/>
      <c r="KP683" s="140"/>
      <c r="KQ683" s="140"/>
      <c r="KR683" s="140"/>
      <c r="KS683" s="140"/>
      <c r="KT683" s="140"/>
      <c r="KU683" s="140"/>
      <c r="KV683" s="140"/>
      <c r="KW683" s="140"/>
      <c r="KX683" s="140"/>
      <c r="KY683" s="140"/>
      <c r="KZ683" s="140"/>
      <c r="LA683" s="141">
        <f t="shared" si="1106"/>
        <v>27.588871530558027</v>
      </c>
      <c r="LB683" s="140"/>
      <c r="LC683" s="139"/>
      <c r="LD683" s="140"/>
      <c r="LE683" s="140"/>
      <c r="LF683" s="140"/>
      <c r="LG683" s="140"/>
      <c r="LH683" s="140"/>
      <c r="LI683" s="140"/>
      <c r="LJ683" s="140"/>
      <c r="LK683" s="140"/>
      <c r="LL683" s="140"/>
      <c r="LM683" s="140"/>
      <c r="LN683" s="140"/>
      <c r="LO683" s="140"/>
      <c r="LP683" s="140"/>
      <c r="LQ683" s="140"/>
      <c r="LR683" s="140">
        <f t="shared" si="1107"/>
        <v>69.716640439124404</v>
      </c>
      <c r="LS683" s="140"/>
      <c r="LT683" s="140"/>
      <c r="LU683" s="140"/>
      <c r="LV683" s="140"/>
      <c r="LW683" s="140"/>
      <c r="LX683" s="140"/>
      <c r="LY683" s="140"/>
      <c r="LZ683" s="140"/>
      <c r="MA683" s="140"/>
      <c r="MB683" s="140">
        <f t="shared" si="1108"/>
        <v>30.041215666607627</v>
      </c>
      <c r="MC683" s="140"/>
      <c r="MD683" s="140"/>
      <c r="ME683" s="140"/>
      <c r="MF683" s="140"/>
      <c r="MG683" s="140"/>
      <c r="MH683" s="140"/>
      <c r="MI683" s="140"/>
      <c r="MJ683" s="140"/>
      <c r="MK683" s="140"/>
      <c r="ML683" s="141">
        <f t="shared" si="1109"/>
        <v>66.826377707351668</v>
      </c>
    </row>
    <row r="684" spans="3:350" s="4" customFormat="1" ht="18" customHeight="1" x14ac:dyDescent="0.3">
      <c r="C684" s="185" t="s">
        <v>281</v>
      </c>
      <c r="E684" s="137"/>
      <c r="F684" s="186"/>
      <c r="H684" s="267"/>
      <c r="I684"/>
      <c r="J684"/>
      <c r="K684"/>
      <c r="L684"/>
      <c r="M684"/>
      <c r="N684" s="218"/>
      <c r="O684" s="218"/>
      <c r="P684" s="218"/>
      <c r="Q684" s="236"/>
      <c r="R684" s="140"/>
      <c r="S684" s="139"/>
      <c r="T684" s="140"/>
      <c r="U684" s="140"/>
      <c r="V684" s="140"/>
      <c r="W684" s="140"/>
      <c r="X684" s="140"/>
      <c r="Y684" s="140"/>
      <c r="Z684" s="140"/>
      <c r="AA684" s="140"/>
      <c r="AB684" s="140"/>
      <c r="AC684" s="140"/>
      <c r="AD684" s="140"/>
      <c r="AE684" s="140"/>
      <c r="AF684" s="140"/>
      <c r="AG684" s="140"/>
      <c r="AH684" s="140"/>
      <c r="AI684" s="140"/>
      <c r="AJ684" s="140"/>
      <c r="AK684" s="140"/>
      <c r="AL684" s="140"/>
      <c r="AM684" s="140"/>
      <c r="AN684" s="140"/>
      <c r="AO684" s="140"/>
      <c r="AP684" s="140"/>
      <c r="AQ684" s="140"/>
      <c r="AR684" s="140"/>
      <c r="AS684" s="140"/>
      <c r="AT684" s="140"/>
      <c r="AU684" s="140"/>
      <c r="AV684" s="140"/>
      <c r="AW684" s="140"/>
      <c r="AX684" s="140"/>
      <c r="AY684" s="140"/>
      <c r="AZ684" s="140"/>
      <c r="BA684" s="140"/>
      <c r="BB684" s="141"/>
      <c r="BC684" s="140"/>
      <c r="BD684" s="139"/>
      <c r="BE684" s="140"/>
      <c r="BF684" s="140"/>
      <c r="BG684" s="140"/>
      <c r="BH684" s="140"/>
      <c r="BI684" s="218"/>
      <c r="BJ684" s="301"/>
      <c r="BK684" s="301"/>
      <c r="BL684" s="301"/>
      <c r="BM684" s="301"/>
      <c r="BN684" s="301"/>
      <c r="BO684" s="301"/>
      <c r="BP684" s="301"/>
      <c r="BQ684" s="301"/>
      <c r="BR684" s="301"/>
      <c r="BS684" s="301"/>
      <c r="BT684" s="301"/>
      <c r="BU684" s="301"/>
      <c r="BV684" s="301"/>
      <c r="BW684" s="301"/>
      <c r="BX684" s="301"/>
      <c r="BY684" s="301"/>
      <c r="BZ684" s="301"/>
      <c r="CA684" s="301"/>
      <c r="CB684" s="301"/>
      <c r="CC684" s="301"/>
      <c r="CD684" s="301"/>
      <c r="CE684" s="301"/>
      <c r="CF684" s="301"/>
      <c r="CG684" s="301"/>
      <c r="CH684" s="301"/>
      <c r="CI684" s="301"/>
      <c r="CJ684" s="301"/>
      <c r="CK684" s="301"/>
      <c r="CL684" s="301"/>
      <c r="CM684" s="302"/>
      <c r="CN684" s="140"/>
      <c r="CO684" s="139"/>
      <c r="CP684" s="140"/>
      <c r="CQ684" s="140"/>
      <c r="CR684" s="140"/>
      <c r="CS684" s="140"/>
      <c r="CT684" s="218"/>
      <c r="CU684" s="301"/>
      <c r="CV684" s="301"/>
      <c r="CW684" s="301"/>
      <c r="CX684" s="301"/>
      <c r="CY684" s="301"/>
      <c r="CZ684" s="301"/>
      <c r="DA684" s="301"/>
      <c r="DB684" s="301"/>
      <c r="DC684" s="301"/>
      <c r="DD684" s="301"/>
      <c r="DE684" s="301"/>
      <c r="DF684" s="301"/>
      <c r="DG684" s="301"/>
      <c r="DH684" s="301"/>
      <c r="DI684" s="301"/>
      <c r="DJ684" s="301"/>
      <c r="DK684" s="301"/>
      <c r="DL684" s="301"/>
      <c r="DM684" s="301"/>
      <c r="DN684" s="301"/>
      <c r="DO684" s="301"/>
      <c r="DP684" s="301"/>
      <c r="DQ684" s="301"/>
      <c r="DR684" s="301"/>
      <c r="DS684" s="301"/>
      <c r="DT684" s="301"/>
      <c r="DU684" s="301"/>
      <c r="DV684" s="301"/>
      <c r="DW684" s="301"/>
      <c r="DX684" s="302"/>
      <c r="DY684" s="140"/>
      <c r="DZ684" s="139"/>
      <c r="EA684" s="140"/>
      <c r="EB684" s="140"/>
      <c r="EC684" s="140"/>
      <c r="ED684" s="140"/>
      <c r="EE684" s="218"/>
      <c r="EF684" s="301"/>
      <c r="EG684" s="301"/>
      <c r="EH684" s="301"/>
      <c r="EI684" s="301"/>
      <c r="EJ684" s="301"/>
      <c r="EK684" s="301"/>
      <c r="EL684" s="301"/>
      <c r="EM684" s="301"/>
      <c r="EN684" s="301"/>
      <c r="EO684" s="301"/>
      <c r="EP684" s="301"/>
      <c r="EQ684" s="301"/>
      <c r="ER684" s="301"/>
      <c r="ES684" s="301"/>
      <c r="ET684" s="301"/>
      <c r="EU684" s="301"/>
      <c r="EV684" s="301"/>
      <c r="EW684" s="301"/>
      <c r="EX684" s="301"/>
      <c r="EY684" s="301"/>
      <c r="EZ684" s="301"/>
      <c r="FA684" s="301"/>
      <c r="FB684" s="301"/>
      <c r="FC684" s="301"/>
      <c r="FD684" s="301"/>
      <c r="FE684" s="301"/>
      <c r="FF684" s="301"/>
      <c r="FG684" s="301"/>
      <c r="FH684" s="301"/>
      <c r="FI684" s="302"/>
      <c r="FJ684" s="140"/>
      <c r="FK684" s="139"/>
      <c r="FL684" s="140"/>
      <c r="FM684" s="140"/>
      <c r="FN684" s="140"/>
      <c r="FO684" s="140"/>
      <c r="FP684" s="218"/>
      <c r="FQ684" s="301"/>
      <c r="FR684" s="301"/>
      <c r="FS684" s="301"/>
      <c r="FT684" s="301"/>
      <c r="FU684" s="301"/>
      <c r="FV684" s="301"/>
      <c r="FW684" s="301"/>
      <c r="FX684" s="301"/>
      <c r="FY684" s="301"/>
      <c r="FZ684" s="301"/>
      <c r="GA684" s="301"/>
      <c r="GB684" s="301"/>
      <c r="GC684" s="301"/>
      <c r="GD684" s="301"/>
      <c r="GE684" s="301"/>
      <c r="GF684" s="301"/>
      <c r="GG684" s="301"/>
      <c r="GH684" s="301"/>
      <c r="GI684" s="301"/>
      <c r="GJ684" s="301"/>
      <c r="GK684" s="301"/>
      <c r="GL684" s="301"/>
      <c r="GM684" s="301"/>
      <c r="GN684" s="301"/>
      <c r="GO684" s="301"/>
      <c r="GP684" s="301"/>
      <c r="GQ684" s="301"/>
      <c r="GR684" s="301"/>
      <c r="GS684" s="301"/>
      <c r="GT684" s="302"/>
      <c r="GU684" s="140"/>
      <c r="GV684" s="139"/>
      <c r="GW684" s="140"/>
      <c r="GX684" s="140"/>
      <c r="GY684" s="140"/>
      <c r="GZ684" s="140"/>
      <c r="HA684" s="218"/>
      <c r="HB684" s="301"/>
      <c r="HC684" s="301"/>
      <c r="HD684" s="301"/>
      <c r="HE684" s="301"/>
      <c r="HF684" s="301"/>
      <c r="HG684" s="301"/>
      <c r="HH684" s="301"/>
      <c r="HI684" s="301"/>
      <c r="HJ684" s="301"/>
      <c r="HK684" s="301"/>
      <c r="HL684" s="301"/>
      <c r="HM684" s="301"/>
      <c r="HN684" s="301"/>
      <c r="HO684" s="301"/>
      <c r="HP684" s="301"/>
      <c r="HQ684" s="301"/>
      <c r="HR684" s="301"/>
      <c r="HS684" s="301"/>
      <c r="HT684" s="301"/>
      <c r="HU684" s="301"/>
      <c r="HV684" s="301"/>
      <c r="HW684" s="301"/>
      <c r="HX684" s="301"/>
      <c r="HY684" s="301"/>
      <c r="HZ684" s="301"/>
      <c r="IA684" s="301"/>
      <c r="IB684" s="301"/>
      <c r="IC684" s="301"/>
      <c r="ID684" s="301"/>
      <c r="IE684" s="302"/>
      <c r="IF684" s="140"/>
      <c r="IG684" s="139"/>
      <c r="IH684" s="140"/>
      <c r="II684" s="140"/>
      <c r="IJ684" s="140"/>
      <c r="IK684" s="140"/>
      <c r="IL684" s="140"/>
      <c r="IM684" s="140"/>
      <c r="IN684" s="140"/>
      <c r="IO684" s="140"/>
      <c r="IP684" s="140"/>
      <c r="IQ684" s="140"/>
      <c r="IR684" s="140"/>
      <c r="IS684" s="140"/>
      <c r="IT684" s="140"/>
      <c r="IU684" s="140"/>
      <c r="IV684" s="140"/>
      <c r="IW684" s="140"/>
      <c r="IX684" s="140"/>
      <c r="IY684" s="140"/>
      <c r="IZ684" s="140"/>
      <c r="JA684" s="140"/>
      <c r="JB684" s="140"/>
      <c r="JC684" s="140"/>
      <c r="JD684" s="140"/>
      <c r="JE684" s="140"/>
      <c r="JF684" s="140"/>
      <c r="JG684" s="140"/>
      <c r="JH684" s="140"/>
      <c r="JI684" s="140"/>
      <c r="JJ684" s="140"/>
      <c r="JK684" s="140"/>
      <c r="JL684" s="140"/>
      <c r="JM684" s="140"/>
      <c r="JN684" s="140"/>
      <c r="JO684" s="140"/>
      <c r="JP684" s="141"/>
      <c r="JQ684" s="140"/>
      <c r="JR684" s="139"/>
      <c r="JS684" s="140"/>
      <c r="JT684" s="140"/>
      <c r="JU684" s="140"/>
      <c r="JV684" s="140"/>
      <c r="JW684" s="140"/>
      <c r="JX684" s="140"/>
      <c r="JY684" s="140"/>
      <c r="JZ684" s="140"/>
      <c r="KA684" s="140"/>
      <c r="KB684" s="140"/>
      <c r="KC684" s="140"/>
      <c r="KD684" s="140"/>
      <c r="KE684" s="140"/>
      <c r="KF684" s="140"/>
      <c r="KG684" s="140"/>
      <c r="KH684" s="140"/>
      <c r="KI684" s="140"/>
      <c r="KJ684" s="140"/>
      <c r="KK684" s="140"/>
      <c r="KL684" s="140"/>
      <c r="KM684" s="140"/>
      <c r="KN684" s="140"/>
      <c r="KO684" s="140"/>
      <c r="KP684" s="140"/>
      <c r="KQ684" s="140"/>
      <c r="KR684" s="140"/>
      <c r="KS684" s="140"/>
      <c r="KT684" s="140"/>
      <c r="KU684" s="140"/>
      <c r="KV684" s="140"/>
      <c r="KW684" s="140"/>
      <c r="KX684" s="140"/>
      <c r="KY684" s="140"/>
      <c r="KZ684" s="140"/>
      <c r="LA684" s="141"/>
      <c r="LB684" s="140"/>
      <c r="LC684" s="139"/>
      <c r="LD684" s="140"/>
      <c r="LE684" s="140"/>
      <c r="LF684" s="140"/>
      <c r="LG684" s="140"/>
      <c r="LH684" s="140"/>
      <c r="LI684" s="140"/>
      <c r="LJ684" s="140"/>
      <c r="LK684" s="140"/>
      <c r="LL684" s="140"/>
      <c r="LM684" s="140"/>
      <c r="LN684" s="140"/>
      <c r="LO684" s="140"/>
      <c r="LP684" s="140"/>
      <c r="LQ684" s="140"/>
      <c r="LR684" s="140"/>
      <c r="LS684" s="140"/>
      <c r="LT684" s="140"/>
      <c r="LU684" s="140"/>
      <c r="LV684" s="140"/>
      <c r="LW684" s="140"/>
      <c r="LX684" s="140"/>
      <c r="LY684" s="140"/>
      <c r="LZ684" s="140"/>
      <c r="MA684" s="140"/>
      <c r="MB684" s="140"/>
      <c r="MC684" s="140"/>
      <c r="MD684" s="140"/>
      <c r="ME684" s="140"/>
      <c r="MF684" s="140"/>
      <c r="MG684" s="140"/>
      <c r="MH684" s="140"/>
      <c r="MI684" s="140"/>
      <c r="MJ684" s="140"/>
      <c r="MK684" s="140"/>
      <c r="ML684" s="141"/>
    </row>
    <row r="685" spans="3:350" s="4" customFormat="1" ht="18" customHeight="1" x14ac:dyDescent="0.3">
      <c r="C685" s="136" t="s">
        <v>282</v>
      </c>
      <c r="E685" s="1" t="s">
        <v>320</v>
      </c>
      <c r="F685" s="186" t="s">
        <v>254</v>
      </c>
      <c r="H685" s="267"/>
      <c r="I685"/>
      <c r="J685"/>
      <c r="K685"/>
      <c r="L685"/>
      <c r="M685" s="140">
        <f>SUMIFS(H$512:H$613,J$512:J$613,$F685)*$D$514/10^3</f>
        <v>137944.35765279009</v>
      </c>
      <c r="N685" s="218">
        <f>M685/SUM($M$685:$M$687)</f>
        <v>0.13730314960629919</v>
      </c>
      <c r="O685" s="218"/>
      <c r="P685" s="218"/>
      <c r="Q685" s="236"/>
      <c r="R685" s="140"/>
      <c r="S685" s="139"/>
      <c r="T685" s="140"/>
      <c r="U685" s="140"/>
      <c r="V685" s="140"/>
      <c r="W685" s="140"/>
      <c r="X685" s="140"/>
      <c r="Y685" s="140"/>
      <c r="Z685" s="140"/>
      <c r="AA685" s="140"/>
      <c r="AB685" s="140"/>
      <c r="AC685" s="140"/>
      <c r="AD685" s="140"/>
      <c r="AE685" s="140"/>
      <c r="AF685" s="140"/>
      <c r="AG685" s="140"/>
      <c r="AH685" s="140"/>
      <c r="AI685" s="140"/>
      <c r="AJ685" s="140"/>
      <c r="AK685" s="140"/>
      <c r="AL685" s="140"/>
      <c r="AM685" s="140"/>
      <c r="AN685" s="140"/>
      <c r="AO685" s="140"/>
      <c r="AP685" s="140"/>
      <c r="AQ685" s="140"/>
      <c r="AR685" s="140"/>
      <c r="AS685" s="140"/>
      <c r="AT685" s="140"/>
      <c r="AU685" s="140"/>
      <c r="AV685" s="140"/>
      <c r="AW685" s="140"/>
      <c r="AX685" s="140"/>
      <c r="AY685" s="140"/>
      <c r="AZ685" s="140"/>
      <c r="BA685" s="140"/>
      <c r="BB685" s="141"/>
      <c r="BC685" s="140"/>
      <c r="BD685" s="139"/>
      <c r="BE685" s="140"/>
      <c r="BF685" s="140"/>
      <c r="BG685" s="140"/>
      <c r="BH685" s="140"/>
      <c r="BI685" s="218"/>
      <c r="BJ685" s="301"/>
      <c r="BK685" s="301"/>
      <c r="BL685" s="301"/>
      <c r="BM685" s="301"/>
      <c r="BN685" s="301"/>
      <c r="BO685" s="301"/>
      <c r="BP685" s="301"/>
      <c r="BQ685" s="301"/>
      <c r="BR685" s="301"/>
      <c r="BS685" s="301"/>
      <c r="BT685" s="301"/>
      <c r="BU685" s="301"/>
      <c r="BV685" s="301"/>
      <c r="BW685" s="301"/>
      <c r="BX685" s="301"/>
      <c r="BY685" s="301"/>
      <c r="BZ685" s="301"/>
      <c r="CA685" s="301"/>
      <c r="CB685" s="301"/>
      <c r="CC685" s="301"/>
      <c r="CD685" s="301"/>
      <c r="CE685" s="301"/>
      <c r="CF685" s="301"/>
      <c r="CG685" s="301"/>
      <c r="CH685" s="301"/>
      <c r="CI685" s="301"/>
      <c r="CJ685" s="301"/>
      <c r="CK685" s="301"/>
      <c r="CL685" s="301"/>
      <c r="CM685" s="302"/>
      <c r="CN685" s="140"/>
      <c r="CO685" s="139"/>
      <c r="CP685" s="140"/>
      <c r="CQ685" s="140"/>
      <c r="CR685" s="140"/>
      <c r="CS685" s="140"/>
      <c r="CT685" s="218"/>
      <c r="CU685" s="301"/>
      <c r="CV685" s="301"/>
      <c r="CW685" s="301"/>
      <c r="CX685" s="301"/>
      <c r="CY685" s="301"/>
      <c r="CZ685" s="301"/>
      <c r="DA685" s="301"/>
      <c r="DB685" s="301"/>
      <c r="DC685" s="301"/>
      <c r="DD685" s="301"/>
      <c r="DE685" s="301"/>
      <c r="DF685" s="301"/>
      <c r="DG685" s="301"/>
      <c r="DH685" s="301"/>
      <c r="DI685" s="301"/>
      <c r="DJ685" s="301"/>
      <c r="DK685" s="301"/>
      <c r="DL685" s="301"/>
      <c r="DM685" s="301"/>
      <c r="DN685" s="301"/>
      <c r="DO685" s="301"/>
      <c r="DP685" s="301"/>
      <c r="DQ685" s="301"/>
      <c r="DR685" s="301"/>
      <c r="DS685" s="301"/>
      <c r="DT685" s="301"/>
      <c r="DU685" s="301"/>
      <c r="DV685" s="301"/>
      <c r="DW685" s="301"/>
      <c r="DX685" s="302"/>
      <c r="DY685" s="140"/>
      <c r="DZ685" s="139"/>
      <c r="EA685" s="140"/>
      <c r="EB685" s="140"/>
      <c r="EC685" s="140"/>
      <c r="ED685" s="140"/>
      <c r="EE685" s="218"/>
      <c r="EF685" s="301"/>
      <c r="EG685" s="301"/>
      <c r="EH685" s="301"/>
      <c r="EI685" s="301"/>
      <c r="EJ685" s="301"/>
      <c r="EK685" s="301"/>
      <c r="EL685" s="301"/>
      <c r="EM685" s="301"/>
      <c r="EN685" s="301"/>
      <c r="EO685" s="301"/>
      <c r="EP685" s="301"/>
      <c r="EQ685" s="301"/>
      <c r="ER685" s="301"/>
      <c r="ES685" s="301"/>
      <c r="ET685" s="301"/>
      <c r="EU685" s="301"/>
      <c r="EV685" s="301"/>
      <c r="EW685" s="301"/>
      <c r="EX685" s="301"/>
      <c r="EY685" s="301"/>
      <c r="EZ685" s="301"/>
      <c r="FA685" s="301"/>
      <c r="FB685" s="301"/>
      <c r="FC685" s="301"/>
      <c r="FD685" s="301"/>
      <c r="FE685" s="301"/>
      <c r="FF685" s="301"/>
      <c r="FG685" s="301"/>
      <c r="FH685" s="301"/>
      <c r="FI685" s="302"/>
      <c r="FJ685" s="140"/>
      <c r="FK685" s="139"/>
      <c r="FL685" s="140"/>
      <c r="FM685" s="140"/>
      <c r="FN685" s="140"/>
      <c r="FO685" s="140"/>
      <c r="FP685" s="218"/>
      <c r="FQ685" s="301"/>
      <c r="FR685" s="301"/>
      <c r="FS685" s="301"/>
      <c r="FT685" s="301"/>
      <c r="FU685" s="301"/>
      <c r="FV685" s="301"/>
      <c r="FW685" s="301"/>
      <c r="FX685" s="301"/>
      <c r="FY685" s="301"/>
      <c r="FZ685" s="301"/>
      <c r="GA685" s="301"/>
      <c r="GB685" s="301"/>
      <c r="GC685" s="301"/>
      <c r="GD685" s="301"/>
      <c r="GE685" s="301"/>
      <c r="GF685" s="301"/>
      <c r="GG685" s="301"/>
      <c r="GH685" s="301"/>
      <c r="GI685" s="301"/>
      <c r="GJ685" s="301"/>
      <c r="GK685" s="301"/>
      <c r="GL685" s="301"/>
      <c r="GM685" s="301"/>
      <c r="GN685" s="301"/>
      <c r="GO685" s="301"/>
      <c r="GP685" s="301"/>
      <c r="GQ685" s="301"/>
      <c r="GR685" s="301"/>
      <c r="GS685" s="301"/>
      <c r="GT685" s="302"/>
      <c r="GU685" s="140"/>
      <c r="GV685" s="139"/>
      <c r="GW685" s="140"/>
      <c r="GX685" s="140"/>
      <c r="GY685" s="140"/>
      <c r="GZ685" s="140"/>
      <c r="HA685" s="218"/>
      <c r="HB685" s="301"/>
      <c r="HC685" s="301"/>
      <c r="HD685" s="301"/>
      <c r="HE685" s="301"/>
      <c r="HF685" s="301"/>
      <c r="HG685" s="301"/>
      <c r="HH685" s="301"/>
      <c r="HI685" s="301"/>
      <c r="HJ685" s="301"/>
      <c r="HK685" s="301"/>
      <c r="HL685" s="301"/>
      <c r="HM685" s="301"/>
      <c r="HN685" s="301"/>
      <c r="HO685" s="301"/>
      <c r="HP685" s="301"/>
      <c r="HQ685" s="301"/>
      <c r="HR685" s="301"/>
      <c r="HS685" s="301"/>
      <c r="HT685" s="301"/>
      <c r="HU685" s="301"/>
      <c r="HV685" s="301"/>
      <c r="HW685" s="301"/>
      <c r="HX685" s="301"/>
      <c r="HY685" s="301"/>
      <c r="HZ685" s="301"/>
      <c r="IA685" s="301"/>
      <c r="IB685" s="301"/>
      <c r="IC685" s="301"/>
      <c r="ID685" s="301"/>
      <c r="IE685" s="302"/>
      <c r="IF685" s="140"/>
      <c r="IG685" s="139"/>
      <c r="IH685" s="140"/>
      <c r="II685" s="140"/>
      <c r="IJ685" s="140"/>
      <c r="IK685" s="140"/>
      <c r="IL685" s="140"/>
      <c r="IM685" s="140"/>
      <c r="IN685" s="140"/>
      <c r="IO685" s="140"/>
      <c r="IP685" s="140"/>
      <c r="IQ685" s="140"/>
      <c r="IR685" s="140"/>
      <c r="IS685" s="140"/>
      <c r="IT685" s="140"/>
      <c r="IU685" s="140"/>
      <c r="IV685" s="140">
        <f>(SUMIFS(IP$512:IP$613,IS$512:IS$613,$F685)+SUMIFS(IQ$512:IQ$613,IS$512:IS$613,$F685))/IS$510</f>
        <v>2824.7444592900365</v>
      </c>
      <c r="IW685" s="140"/>
      <c r="IX685" s="140"/>
      <c r="IY685" s="140"/>
      <c r="IZ685" s="140"/>
      <c r="JA685" s="140"/>
      <c r="JB685" s="140"/>
      <c r="JC685" s="140"/>
      <c r="JD685" s="140"/>
      <c r="JE685" s="140"/>
      <c r="JF685" s="140"/>
      <c r="JG685" s="140"/>
      <c r="JH685" s="140"/>
      <c r="JI685" s="140"/>
      <c r="JJ685" s="140"/>
      <c r="JK685" s="140"/>
      <c r="JL685" s="140"/>
      <c r="JM685" s="140"/>
      <c r="JN685" s="140"/>
      <c r="JO685" s="140"/>
      <c r="JP685" s="141"/>
      <c r="JQ685" s="140"/>
      <c r="JR685" s="139"/>
      <c r="JS685" s="140"/>
      <c r="JT685" s="140"/>
      <c r="JU685" s="140"/>
      <c r="JV685" s="140"/>
      <c r="JW685" s="140"/>
      <c r="JX685" s="140"/>
      <c r="JY685" s="140"/>
      <c r="JZ685" s="140"/>
      <c r="KA685" s="140"/>
      <c r="KB685" s="140"/>
      <c r="KC685" s="140"/>
      <c r="KD685" s="140"/>
      <c r="KE685" s="140"/>
      <c r="KF685" s="140"/>
      <c r="KG685" s="140">
        <f>(SUMIFS(KA$512:KA$613,KD$512:KD$613,$F685)+SUMIFS(KB$512:KB$613,KD$512:KD$613,$F685))/KD$510</f>
        <v>3997.9877081388554</v>
      </c>
      <c r="KH685" s="140"/>
      <c r="KI685" s="140"/>
      <c r="KJ685" s="140"/>
      <c r="KK685" s="140"/>
      <c r="KL685" s="140"/>
      <c r="KM685" s="140"/>
      <c r="KN685" s="140"/>
      <c r="KO685" s="140"/>
      <c r="KP685" s="140"/>
      <c r="KQ685" s="140"/>
      <c r="KR685" s="140"/>
      <c r="KS685" s="140"/>
      <c r="KT685" s="140"/>
      <c r="KU685" s="140"/>
      <c r="KV685" s="140"/>
      <c r="KW685" s="140"/>
      <c r="KX685" s="140"/>
      <c r="KY685" s="140"/>
      <c r="KZ685" s="140"/>
      <c r="LA685" s="141">
        <f>(SUMIFS(KU$512:KU$613,KX$512:KX$613,$F685)+SUMIFS(KV$512:KV$613,KX$512:KX$613,$F685))/KX$510</f>
        <v>840.45195627122519</v>
      </c>
      <c r="LB685" s="140"/>
      <c r="LC685" s="139"/>
      <c r="LD685" s="140"/>
      <c r="LE685" s="140"/>
      <c r="LF685" s="140"/>
      <c r="LG685" s="140"/>
      <c r="LH685" s="140"/>
      <c r="LI685" s="140"/>
      <c r="LJ685" s="140"/>
      <c r="LK685" s="140"/>
      <c r="LL685" s="140"/>
      <c r="LM685" s="140"/>
      <c r="LN685" s="140"/>
      <c r="LO685" s="140"/>
      <c r="LP685" s="140"/>
      <c r="LQ685" s="140"/>
      <c r="LR685" s="140">
        <f>(SUMIFS(LL$512:LL$613,LO$512:LO$613,$F685)+SUMIFS(LM$512:LM$613,LO$512:LO$613,$F685))/LO$510</f>
        <v>3079.1066503345623</v>
      </c>
      <c r="LS685" s="140"/>
      <c r="LT685" s="140"/>
      <c r="LU685" s="140"/>
      <c r="LV685" s="140"/>
      <c r="LW685" s="140"/>
      <c r="LX685" s="140"/>
      <c r="LY685" s="140"/>
      <c r="LZ685" s="140"/>
      <c r="MA685" s="140"/>
      <c r="MB685" s="140">
        <f>(SUMIFS(LV$512:LV$613,LY$512:LY$613,$F685)+SUMIFS(LW$512:LW$613,LY$512:LY$613,$F685))/LY$510</f>
        <v>1464.4647655672338</v>
      </c>
      <c r="MC685" s="140"/>
      <c r="MD685" s="140"/>
      <c r="ME685" s="140"/>
      <c r="MF685" s="140"/>
      <c r="MG685" s="140"/>
      <c r="MH685" s="140"/>
      <c r="MI685" s="140"/>
      <c r="MJ685" s="140"/>
      <c r="MK685" s="140"/>
      <c r="ML685" s="141">
        <f>(SUMIFS(MF$512:MF$613,MI$512:MI$613,$F685)+SUMIFS(MG$512:MG$613,MI$512:MI$613,$F685))/MI$510</f>
        <v>713.038834525261</v>
      </c>
    </row>
    <row r="686" spans="3:350" s="4" customFormat="1" ht="18" customHeight="1" x14ac:dyDescent="0.3">
      <c r="C686" s="136" t="s">
        <v>283</v>
      </c>
      <c r="E686" s="137" t="s">
        <v>105</v>
      </c>
      <c r="F686" s="186" t="s">
        <v>263</v>
      </c>
      <c r="H686" s="267"/>
      <c r="I686"/>
      <c r="J686"/>
      <c r="K686"/>
      <c r="L686"/>
      <c r="M686" s="140">
        <f>SUMIFS(H$512:H$613,J$512:J$613,$F686)*$D$514/10^3</f>
        <v>262539.26133918116</v>
      </c>
      <c r="N686" s="218">
        <f t="shared" ref="N686:N687" si="1112">M686/SUM($M$685:$M$687)</f>
        <v>0.26131889763779526</v>
      </c>
      <c r="O686" s="218"/>
      <c r="P686" s="218"/>
      <c r="Q686" s="236"/>
      <c r="R686" s="140"/>
      <c r="S686" s="139"/>
      <c r="T686" s="140"/>
      <c r="U686" s="140"/>
      <c r="V686" s="140"/>
      <c r="W686" s="140"/>
      <c r="X686" s="140"/>
      <c r="Y686" s="140"/>
      <c r="Z686" s="140"/>
      <c r="AA686" s="140"/>
      <c r="AB686" s="140"/>
      <c r="AC686" s="140"/>
      <c r="AD686" s="140"/>
      <c r="AE686" s="140"/>
      <c r="AF686" s="140"/>
      <c r="AG686" s="140"/>
      <c r="AH686" s="140"/>
      <c r="AI686" s="140"/>
      <c r="AJ686" s="140"/>
      <c r="AK686" s="140"/>
      <c r="AL686" s="140"/>
      <c r="AM686" s="140"/>
      <c r="AN686" s="140"/>
      <c r="AO686" s="140"/>
      <c r="AP686" s="140"/>
      <c r="AQ686" s="140"/>
      <c r="AR686" s="140"/>
      <c r="AS686" s="140"/>
      <c r="AT686" s="140"/>
      <c r="AU686" s="140"/>
      <c r="AV686" s="140"/>
      <c r="AW686" s="140"/>
      <c r="AX686" s="140"/>
      <c r="AY686" s="140"/>
      <c r="AZ686" s="140"/>
      <c r="BA686" s="140"/>
      <c r="BB686" s="141"/>
      <c r="BC686" s="140"/>
      <c r="BD686" s="139"/>
      <c r="BE686" s="140"/>
      <c r="BF686" s="140"/>
      <c r="BG686" s="140"/>
      <c r="BH686" s="140"/>
      <c r="BI686" s="218"/>
      <c r="BJ686" s="301"/>
      <c r="BK686" s="301"/>
      <c r="BL686" s="301"/>
      <c r="BM686" s="301"/>
      <c r="BN686" s="301"/>
      <c r="BO686" s="301"/>
      <c r="BP686" s="301"/>
      <c r="BQ686" s="301"/>
      <c r="BR686" s="301"/>
      <c r="BS686" s="301"/>
      <c r="BT686" s="301"/>
      <c r="BU686" s="301"/>
      <c r="BV686" s="301"/>
      <c r="BW686" s="301"/>
      <c r="BX686" s="301"/>
      <c r="BY686" s="301"/>
      <c r="BZ686" s="301"/>
      <c r="CA686" s="301"/>
      <c r="CB686" s="301"/>
      <c r="CC686" s="301"/>
      <c r="CD686" s="301"/>
      <c r="CE686" s="301"/>
      <c r="CF686" s="301"/>
      <c r="CG686" s="301"/>
      <c r="CH686" s="301"/>
      <c r="CI686" s="301"/>
      <c r="CJ686" s="301"/>
      <c r="CK686" s="301"/>
      <c r="CL686" s="301"/>
      <c r="CM686" s="302"/>
      <c r="CN686" s="140"/>
      <c r="CO686" s="139"/>
      <c r="CP686" s="140"/>
      <c r="CQ686" s="140"/>
      <c r="CR686" s="140"/>
      <c r="CS686" s="140"/>
      <c r="CT686" s="218"/>
      <c r="CU686" s="301"/>
      <c r="CV686" s="301"/>
      <c r="CW686" s="301"/>
      <c r="CX686" s="301"/>
      <c r="CY686" s="301"/>
      <c r="CZ686" s="301"/>
      <c r="DA686" s="301"/>
      <c r="DB686" s="301"/>
      <c r="DC686" s="301"/>
      <c r="DD686" s="301"/>
      <c r="DE686" s="301"/>
      <c r="DF686" s="301"/>
      <c r="DG686" s="301"/>
      <c r="DH686" s="301"/>
      <c r="DI686" s="301"/>
      <c r="DJ686" s="301"/>
      <c r="DK686" s="301"/>
      <c r="DL686" s="301"/>
      <c r="DM686" s="301"/>
      <c r="DN686" s="301"/>
      <c r="DO686" s="301"/>
      <c r="DP686" s="301"/>
      <c r="DQ686" s="301"/>
      <c r="DR686" s="301"/>
      <c r="DS686" s="301"/>
      <c r="DT686" s="301"/>
      <c r="DU686" s="301"/>
      <c r="DV686" s="301"/>
      <c r="DW686" s="301"/>
      <c r="DX686" s="302"/>
      <c r="DY686" s="140"/>
      <c r="DZ686" s="139"/>
      <c r="EA686" s="140"/>
      <c r="EB686" s="140"/>
      <c r="EC686" s="140"/>
      <c r="ED686" s="140"/>
      <c r="EE686" s="218"/>
      <c r="EF686" s="301"/>
      <c r="EG686" s="301"/>
      <c r="EH686" s="301"/>
      <c r="EI686" s="301"/>
      <c r="EJ686" s="301"/>
      <c r="EK686" s="301"/>
      <c r="EL686" s="301"/>
      <c r="EM686" s="301"/>
      <c r="EN686" s="301"/>
      <c r="EO686" s="301"/>
      <c r="EP686" s="301"/>
      <c r="EQ686" s="301"/>
      <c r="ER686" s="301"/>
      <c r="ES686" s="301"/>
      <c r="ET686" s="301"/>
      <c r="EU686" s="301"/>
      <c r="EV686" s="301"/>
      <c r="EW686" s="301"/>
      <c r="EX686" s="301"/>
      <c r="EY686" s="301"/>
      <c r="EZ686" s="301"/>
      <c r="FA686" s="301"/>
      <c r="FB686" s="301"/>
      <c r="FC686" s="301"/>
      <c r="FD686" s="301"/>
      <c r="FE686" s="301"/>
      <c r="FF686" s="301"/>
      <c r="FG686" s="301"/>
      <c r="FH686" s="301"/>
      <c r="FI686" s="302"/>
      <c r="FJ686" s="140"/>
      <c r="FK686" s="139"/>
      <c r="FL686" s="140"/>
      <c r="FM686" s="140"/>
      <c r="FN686" s="140"/>
      <c r="FO686" s="140"/>
      <c r="FP686" s="218"/>
      <c r="FQ686" s="301"/>
      <c r="FR686" s="301"/>
      <c r="FS686" s="301"/>
      <c r="FT686" s="301"/>
      <c r="FU686" s="301"/>
      <c r="FV686" s="301"/>
      <c r="FW686" s="301"/>
      <c r="FX686" s="301"/>
      <c r="FY686" s="301"/>
      <c r="FZ686" s="301"/>
      <c r="GA686" s="301"/>
      <c r="GB686" s="301"/>
      <c r="GC686" s="301"/>
      <c r="GD686" s="301"/>
      <c r="GE686" s="301"/>
      <c r="GF686" s="301"/>
      <c r="GG686" s="301"/>
      <c r="GH686" s="301"/>
      <c r="GI686" s="301"/>
      <c r="GJ686" s="301"/>
      <c r="GK686" s="301"/>
      <c r="GL686" s="301"/>
      <c r="GM686" s="301"/>
      <c r="GN686" s="301"/>
      <c r="GO686" s="301"/>
      <c r="GP686" s="301"/>
      <c r="GQ686" s="301"/>
      <c r="GR686" s="301"/>
      <c r="GS686" s="301"/>
      <c r="GT686" s="302"/>
      <c r="GU686" s="140"/>
      <c r="GV686" s="139"/>
      <c r="GW686" s="140"/>
      <c r="GX686" s="140"/>
      <c r="GY686" s="140"/>
      <c r="GZ686" s="140"/>
      <c r="HA686" s="218"/>
      <c r="HB686" s="301"/>
      <c r="HC686" s="301"/>
      <c r="HD686" s="301"/>
      <c r="HE686" s="301"/>
      <c r="HF686" s="301"/>
      <c r="HG686" s="301"/>
      <c r="HH686" s="301"/>
      <c r="HI686" s="301"/>
      <c r="HJ686" s="301"/>
      <c r="HK686" s="301"/>
      <c r="HL686" s="301"/>
      <c r="HM686" s="301"/>
      <c r="HN686" s="301"/>
      <c r="HO686" s="301"/>
      <c r="HP686" s="301"/>
      <c r="HQ686" s="301"/>
      <c r="HR686" s="301"/>
      <c r="HS686" s="301"/>
      <c r="HT686" s="301"/>
      <c r="HU686" s="301"/>
      <c r="HV686" s="301"/>
      <c r="HW686" s="301"/>
      <c r="HX686" s="301"/>
      <c r="HY686" s="301"/>
      <c r="HZ686" s="301"/>
      <c r="IA686" s="301"/>
      <c r="IB686" s="301"/>
      <c r="IC686" s="301"/>
      <c r="ID686" s="301"/>
      <c r="IE686" s="302"/>
      <c r="IF686" s="140"/>
      <c r="IG686" s="139"/>
      <c r="IH686" s="140"/>
      <c r="II686" s="140"/>
      <c r="IJ686" s="140"/>
      <c r="IK686" s="140"/>
      <c r="IL686" s="140"/>
      <c r="IM686" s="140"/>
      <c r="IN686" s="140"/>
      <c r="IO686" s="140"/>
      <c r="IP686" s="140"/>
      <c r="IQ686" s="140"/>
      <c r="IR686" s="140"/>
      <c r="IS686" s="140"/>
      <c r="IT686" s="140"/>
      <c r="IU686" s="140"/>
      <c r="IV686" s="140">
        <f>(SUMIFS(IP$512:IP$613,IS$512:IS$613,$F686)+SUMIFS(IQ$512:IQ$613,IS$512:IS$613,$F686))/IS$510</f>
        <v>4456.5075485095094</v>
      </c>
      <c r="IW686" s="140"/>
      <c r="IX686" s="140"/>
      <c r="IY686" s="140"/>
      <c r="IZ686" s="140"/>
      <c r="JA686" s="140"/>
      <c r="JB686" s="140"/>
      <c r="JC686" s="140"/>
      <c r="JD686" s="140"/>
      <c r="JE686" s="140"/>
      <c r="JF686" s="140"/>
      <c r="JG686" s="140"/>
      <c r="JH686" s="140"/>
      <c r="JI686" s="140"/>
      <c r="JJ686" s="140"/>
      <c r="JK686" s="140"/>
      <c r="JL686" s="140"/>
      <c r="JM686" s="140"/>
      <c r="JN686" s="140"/>
      <c r="JO686" s="140"/>
      <c r="JP686" s="141"/>
      <c r="JQ686" s="140"/>
      <c r="JR686" s="139"/>
      <c r="JS686" s="140"/>
      <c r="JT686" s="140"/>
      <c r="JU686" s="140"/>
      <c r="JV686" s="140"/>
      <c r="JW686" s="140"/>
      <c r="JX686" s="140"/>
      <c r="JY686" s="140"/>
      <c r="JZ686" s="140"/>
      <c r="KA686" s="140"/>
      <c r="KB686" s="140"/>
      <c r="KC686" s="140"/>
      <c r="KD686" s="140"/>
      <c r="KE686" s="140"/>
      <c r="KF686" s="140"/>
      <c r="KG686" s="140">
        <f>(SUMIFS(KA$512:KA$613,KD$512:KD$613,$F686)+SUMIFS(KB$512:KB$613,KD$512:KD$613,$F686))/KD$510</f>
        <v>3660.5071549854474</v>
      </c>
      <c r="KH686" s="140"/>
      <c r="KI686" s="140"/>
      <c r="KJ686" s="140"/>
      <c r="KK686" s="140"/>
      <c r="KL686" s="140"/>
      <c r="KM686" s="140"/>
      <c r="KN686" s="140"/>
      <c r="KO686" s="140"/>
      <c r="KP686" s="140"/>
      <c r="KQ686" s="140"/>
      <c r="KR686" s="140"/>
      <c r="KS686" s="140"/>
      <c r="KT686" s="140"/>
      <c r="KU686" s="140"/>
      <c r="KV686" s="140"/>
      <c r="KW686" s="140"/>
      <c r="KX686" s="140"/>
      <c r="KY686" s="140"/>
      <c r="KZ686" s="140"/>
      <c r="LA686" s="141">
        <f>(SUMIFS(KU$512:KU$613,KX$512:KX$613,$F686)+SUMIFS(KV$512:KV$613,KX$512:KX$613,$F686))/KX$510</f>
        <v>2695.4327485355184</v>
      </c>
      <c r="LB686" s="140"/>
      <c r="LC686" s="139"/>
      <c r="LD686" s="140"/>
      <c r="LE686" s="140"/>
      <c r="LF686" s="140"/>
      <c r="LG686" s="140"/>
      <c r="LH686" s="140"/>
      <c r="LI686" s="140"/>
      <c r="LJ686" s="140"/>
      <c r="LK686" s="140"/>
      <c r="LL686" s="140"/>
      <c r="LM686" s="140"/>
      <c r="LN686" s="140"/>
      <c r="LO686" s="140"/>
      <c r="LP686" s="140"/>
      <c r="LQ686" s="140"/>
      <c r="LR686" s="140">
        <f>(SUMIFS(LL$512:LL$613,LO$512:LO$613,$F686)+SUMIFS(LM$512:LM$613,LO$512:LO$613,$F686))/LO$510</f>
        <v>2084.0002103821316</v>
      </c>
      <c r="LS686" s="140"/>
      <c r="LT686" s="140"/>
      <c r="LU686" s="140"/>
      <c r="LV686" s="140"/>
      <c r="LW686" s="140"/>
      <c r="LX686" s="140"/>
      <c r="LY686" s="140"/>
      <c r="LZ686" s="140"/>
      <c r="MA686" s="140"/>
      <c r="MB686" s="140">
        <f>(SUMIFS(LV$512:LV$613,LY$512:LY$613,$F686)+SUMIFS(LW$512:LW$613,LY$512:LY$613,$F686))/LY$510</f>
        <v>3014.5440292389735</v>
      </c>
      <c r="MC686" s="140"/>
      <c r="MD686" s="140"/>
      <c r="ME686" s="140"/>
      <c r="MF686" s="140"/>
      <c r="MG686" s="140"/>
      <c r="MH686" s="140"/>
      <c r="MI686" s="140"/>
      <c r="MJ686" s="140"/>
      <c r="MK686" s="140"/>
      <c r="ML686" s="141">
        <f>(SUMIFS(MF$512:MF$613,MI$512:MI$613,$F686)+SUMIFS(MG$512:MG$613,MI$512:MI$613,$F686))/MI$510</f>
        <v>2791.6378134533684</v>
      </c>
    </row>
    <row r="687" spans="3:350" s="4" customFormat="1" ht="18" customHeight="1" x14ac:dyDescent="0.3">
      <c r="C687" s="136" t="s">
        <v>284</v>
      </c>
      <c r="E687" s="137" t="s">
        <v>105</v>
      </c>
      <c r="F687" s="186" t="s">
        <v>265</v>
      </c>
      <c r="H687" s="267"/>
      <c r="I687"/>
      <c r="J687"/>
      <c r="K687"/>
      <c r="L687"/>
      <c r="M687" s="140">
        <f>SUMIFS(H$512:H$613,J$512:J$613,$F687)*$D$514/10^3</f>
        <v>604186.39803480112</v>
      </c>
      <c r="N687" s="218">
        <f t="shared" si="1112"/>
        <v>0.60137795275590555</v>
      </c>
      <c r="O687" s="218"/>
      <c r="P687" s="218"/>
      <c r="Q687" s="236"/>
      <c r="R687" s="140"/>
      <c r="S687" s="139"/>
      <c r="T687" s="140"/>
      <c r="U687" s="140"/>
      <c r="V687" s="140"/>
      <c r="W687" s="140"/>
      <c r="X687" s="140"/>
      <c r="Y687" s="140"/>
      <c r="Z687" s="140"/>
      <c r="AA687" s="140"/>
      <c r="AB687" s="140"/>
      <c r="AC687" s="140"/>
      <c r="AD687" s="140"/>
      <c r="AE687" s="140"/>
      <c r="AF687" s="140"/>
      <c r="AG687" s="140"/>
      <c r="AH687" s="140"/>
      <c r="AI687" s="140"/>
      <c r="AJ687" s="140"/>
      <c r="AK687" s="140"/>
      <c r="AL687" s="140"/>
      <c r="AM687" s="140"/>
      <c r="AN687" s="140"/>
      <c r="AO687" s="140"/>
      <c r="AP687" s="140"/>
      <c r="AQ687" s="140"/>
      <c r="AR687" s="140"/>
      <c r="AS687" s="140"/>
      <c r="AT687" s="140"/>
      <c r="AU687" s="140"/>
      <c r="AV687" s="140"/>
      <c r="AW687" s="140"/>
      <c r="AX687" s="140"/>
      <c r="AY687" s="140"/>
      <c r="AZ687" s="140"/>
      <c r="BA687" s="140"/>
      <c r="BB687" s="141"/>
      <c r="BC687" s="140"/>
      <c r="BD687" s="139"/>
      <c r="BE687" s="140"/>
      <c r="BF687" s="140"/>
      <c r="BG687" s="140"/>
      <c r="BH687" s="140"/>
      <c r="BI687" s="218"/>
      <c r="BJ687" s="301"/>
      <c r="BK687" s="301"/>
      <c r="BL687" s="301"/>
      <c r="BM687" s="301"/>
      <c r="BN687" s="301"/>
      <c r="BO687" s="301"/>
      <c r="BP687" s="301"/>
      <c r="BQ687" s="301"/>
      <c r="BR687" s="301"/>
      <c r="BS687" s="301"/>
      <c r="BT687" s="301"/>
      <c r="BU687" s="301"/>
      <c r="BV687" s="301"/>
      <c r="BW687" s="301"/>
      <c r="BX687" s="301"/>
      <c r="BY687" s="301"/>
      <c r="BZ687" s="301"/>
      <c r="CA687" s="301"/>
      <c r="CB687" s="301"/>
      <c r="CC687" s="301"/>
      <c r="CD687" s="301"/>
      <c r="CE687" s="301"/>
      <c r="CF687" s="301"/>
      <c r="CG687" s="301"/>
      <c r="CH687" s="301"/>
      <c r="CI687" s="301"/>
      <c r="CJ687" s="301"/>
      <c r="CK687" s="301"/>
      <c r="CL687" s="301"/>
      <c r="CM687" s="302"/>
      <c r="CN687" s="140"/>
      <c r="CO687" s="139"/>
      <c r="CP687" s="140"/>
      <c r="CQ687" s="140"/>
      <c r="CR687" s="140"/>
      <c r="CS687" s="140"/>
      <c r="CT687" s="218"/>
      <c r="CU687" s="301"/>
      <c r="CV687" s="301"/>
      <c r="CW687" s="301"/>
      <c r="CX687" s="301"/>
      <c r="CY687" s="301"/>
      <c r="CZ687" s="301"/>
      <c r="DA687" s="301"/>
      <c r="DB687" s="301"/>
      <c r="DC687" s="301"/>
      <c r="DD687" s="301"/>
      <c r="DE687" s="301"/>
      <c r="DF687" s="301"/>
      <c r="DG687" s="301"/>
      <c r="DH687" s="301"/>
      <c r="DI687" s="301"/>
      <c r="DJ687" s="301"/>
      <c r="DK687" s="301"/>
      <c r="DL687" s="301"/>
      <c r="DM687" s="301"/>
      <c r="DN687" s="301"/>
      <c r="DO687" s="301"/>
      <c r="DP687" s="301"/>
      <c r="DQ687" s="301"/>
      <c r="DR687" s="301"/>
      <c r="DS687" s="301"/>
      <c r="DT687" s="301"/>
      <c r="DU687" s="301"/>
      <c r="DV687" s="301"/>
      <c r="DW687" s="301"/>
      <c r="DX687" s="302"/>
      <c r="DY687" s="140"/>
      <c r="DZ687" s="139"/>
      <c r="EA687" s="140"/>
      <c r="EB687" s="140"/>
      <c r="EC687" s="140"/>
      <c r="ED687" s="140"/>
      <c r="EE687" s="218"/>
      <c r="EF687" s="301"/>
      <c r="EG687" s="301"/>
      <c r="EH687" s="301"/>
      <c r="EI687" s="301"/>
      <c r="EJ687" s="301"/>
      <c r="EK687" s="301"/>
      <c r="EL687" s="301"/>
      <c r="EM687" s="301"/>
      <c r="EN687" s="301"/>
      <c r="EO687" s="301"/>
      <c r="EP687" s="301"/>
      <c r="EQ687" s="301"/>
      <c r="ER687" s="301"/>
      <c r="ES687" s="301"/>
      <c r="ET687" s="301"/>
      <c r="EU687" s="301"/>
      <c r="EV687" s="301"/>
      <c r="EW687" s="301"/>
      <c r="EX687" s="301"/>
      <c r="EY687" s="301"/>
      <c r="EZ687" s="301"/>
      <c r="FA687" s="301"/>
      <c r="FB687" s="301"/>
      <c r="FC687" s="301"/>
      <c r="FD687" s="301"/>
      <c r="FE687" s="301"/>
      <c r="FF687" s="301"/>
      <c r="FG687" s="301"/>
      <c r="FH687" s="301"/>
      <c r="FI687" s="302"/>
      <c r="FJ687" s="140"/>
      <c r="FK687" s="139"/>
      <c r="FL687" s="140"/>
      <c r="FM687" s="140"/>
      <c r="FN687" s="140"/>
      <c r="FO687" s="140"/>
      <c r="FP687" s="218"/>
      <c r="FQ687" s="301"/>
      <c r="FR687" s="301"/>
      <c r="FS687" s="301"/>
      <c r="FT687" s="301"/>
      <c r="FU687" s="301"/>
      <c r="FV687" s="301"/>
      <c r="FW687" s="301"/>
      <c r="FX687" s="301"/>
      <c r="FY687" s="301"/>
      <c r="FZ687" s="301"/>
      <c r="GA687" s="301"/>
      <c r="GB687" s="301"/>
      <c r="GC687" s="301"/>
      <c r="GD687" s="301"/>
      <c r="GE687" s="301"/>
      <c r="GF687" s="301"/>
      <c r="GG687" s="301"/>
      <c r="GH687" s="301"/>
      <c r="GI687" s="301"/>
      <c r="GJ687" s="301"/>
      <c r="GK687" s="301"/>
      <c r="GL687" s="301"/>
      <c r="GM687" s="301"/>
      <c r="GN687" s="301"/>
      <c r="GO687" s="301"/>
      <c r="GP687" s="301"/>
      <c r="GQ687" s="301"/>
      <c r="GR687" s="301"/>
      <c r="GS687" s="301"/>
      <c r="GT687" s="302"/>
      <c r="GU687" s="140"/>
      <c r="GV687" s="139"/>
      <c r="GW687" s="140"/>
      <c r="GX687" s="140"/>
      <c r="GY687" s="140"/>
      <c r="GZ687" s="140"/>
      <c r="HA687" s="218"/>
      <c r="HB687" s="301"/>
      <c r="HC687" s="301"/>
      <c r="HD687" s="301"/>
      <c r="HE687" s="301"/>
      <c r="HF687" s="301"/>
      <c r="HG687" s="301"/>
      <c r="HH687" s="301"/>
      <c r="HI687" s="301"/>
      <c r="HJ687" s="301"/>
      <c r="HK687" s="301"/>
      <c r="HL687" s="301"/>
      <c r="HM687" s="301"/>
      <c r="HN687" s="301"/>
      <c r="HO687" s="301"/>
      <c r="HP687" s="301"/>
      <c r="HQ687" s="301"/>
      <c r="HR687" s="301"/>
      <c r="HS687" s="301"/>
      <c r="HT687" s="301"/>
      <c r="HU687" s="301"/>
      <c r="HV687" s="301"/>
      <c r="HW687" s="301"/>
      <c r="HX687" s="301"/>
      <c r="HY687" s="301"/>
      <c r="HZ687" s="301"/>
      <c r="IA687" s="301"/>
      <c r="IB687" s="301"/>
      <c r="IC687" s="301"/>
      <c r="ID687" s="301"/>
      <c r="IE687" s="302"/>
      <c r="IF687" s="140"/>
      <c r="IG687" s="139"/>
      <c r="IH687" s="140"/>
      <c r="II687" s="140"/>
      <c r="IJ687" s="140"/>
      <c r="IK687" s="140"/>
      <c r="IL687" s="140"/>
      <c r="IM687" s="140"/>
      <c r="IN687" s="140"/>
      <c r="IO687" s="140"/>
      <c r="IP687" s="140"/>
      <c r="IQ687" s="140"/>
      <c r="IR687" s="140"/>
      <c r="IS687" s="140"/>
      <c r="IT687" s="140"/>
      <c r="IU687" s="140"/>
      <c r="IV687" s="140">
        <f>(SUMIFS(IP$512:IP$613,IS$512:IS$613,$F687)+SUMIFS(IQ$512:IQ$613,IS$512:IS$613,$F687))/IS$510</f>
        <v>5566.1092179543894</v>
      </c>
      <c r="IW687" s="140"/>
      <c r="IX687" s="140"/>
      <c r="IY687" s="140"/>
      <c r="IZ687" s="140"/>
      <c r="JA687" s="140"/>
      <c r="JB687" s="140"/>
      <c r="JC687" s="140"/>
      <c r="JD687" s="140"/>
      <c r="JE687" s="140"/>
      <c r="JF687" s="140"/>
      <c r="JG687" s="140"/>
      <c r="JH687" s="140"/>
      <c r="JI687" s="140"/>
      <c r="JJ687" s="140"/>
      <c r="JK687" s="140"/>
      <c r="JL687" s="140"/>
      <c r="JM687" s="140"/>
      <c r="JN687" s="140"/>
      <c r="JO687" s="140"/>
      <c r="JP687" s="141"/>
      <c r="JQ687" s="140"/>
      <c r="JR687" s="139"/>
      <c r="JS687" s="140"/>
      <c r="JT687" s="140"/>
      <c r="JU687" s="140"/>
      <c r="JV687" s="140"/>
      <c r="JW687" s="140"/>
      <c r="JX687" s="140"/>
      <c r="JY687" s="140"/>
      <c r="JZ687" s="140"/>
      <c r="KA687" s="140"/>
      <c r="KB687" s="140"/>
      <c r="KC687" s="140"/>
      <c r="KD687" s="140"/>
      <c r="KE687" s="140"/>
      <c r="KF687" s="140"/>
      <c r="KG687" s="140">
        <f>(SUMIFS(KA$512:KA$613,KD$512:KD$613,$F687)+SUMIFS(KB$512:KB$613,KD$512:KD$613,$F687))/KD$510</f>
        <v>6949.7539877199661</v>
      </c>
      <c r="KH687" s="140"/>
      <c r="KI687" s="140"/>
      <c r="KJ687" s="140"/>
      <c r="KK687" s="140"/>
      <c r="KL687" s="140"/>
      <c r="KM687" s="140"/>
      <c r="KN687" s="140"/>
      <c r="KO687" s="140"/>
      <c r="KP687" s="140"/>
      <c r="KQ687" s="140"/>
      <c r="KR687" s="140"/>
      <c r="KS687" s="140"/>
      <c r="KT687" s="140"/>
      <c r="KU687" s="140"/>
      <c r="KV687" s="140"/>
      <c r="KW687" s="140"/>
      <c r="KX687" s="140"/>
      <c r="KY687" s="140"/>
      <c r="KZ687" s="140"/>
      <c r="LA687" s="141">
        <f>(SUMIFS(KU$512:KU$613,KX$512:KX$613,$F687)+SUMIFS(KV$512:KV$613,KX$512:KX$613,$F687))/KX$510</f>
        <v>3232.2044040400051</v>
      </c>
      <c r="LB687" s="140"/>
      <c r="LC687" s="139"/>
      <c r="LD687" s="140"/>
      <c r="LE687" s="140"/>
      <c r="LF687" s="140"/>
      <c r="LG687" s="140"/>
      <c r="LH687" s="140"/>
      <c r="LI687" s="140"/>
      <c r="LJ687" s="140"/>
      <c r="LK687" s="140"/>
      <c r="LL687" s="140"/>
      <c r="LM687" s="140"/>
      <c r="LN687" s="140"/>
      <c r="LO687" s="140"/>
      <c r="LP687" s="140"/>
      <c r="LQ687" s="140"/>
      <c r="LR687" s="140">
        <f>(SUMIFS(LL$512:LL$613,LO$512:LO$613,$F687)+SUMIFS(LM$512:LM$613,LO$512:LO$613,$F687))/LO$510</f>
        <v>3920.1992391321123</v>
      </c>
      <c r="LS687" s="140"/>
      <c r="LT687" s="140"/>
      <c r="LU687" s="140"/>
      <c r="LV687" s="140"/>
      <c r="LW687" s="140"/>
      <c r="LX687" s="140"/>
      <c r="LY687" s="140"/>
      <c r="LZ687" s="140"/>
      <c r="MA687" s="140"/>
      <c r="MB687" s="140">
        <f>(SUMIFS(LV$512:LV$613,LY$512:LY$613,$F687)+SUMIFS(LW$512:LW$613,LY$512:LY$613,$F687))/LY$510</f>
        <v>3539.1083507275189</v>
      </c>
      <c r="MC687" s="140"/>
      <c r="MD687" s="140"/>
      <c r="ME687" s="140"/>
      <c r="MF687" s="140"/>
      <c r="MG687" s="140"/>
      <c r="MH687" s="140"/>
      <c r="MI687" s="140"/>
      <c r="MJ687" s="140"/>
      <c r="MK687" s="140"/>
      <c r="ML687" s="141">
        <f>(SUMIFS(MF$512:MF$613,MI$512:MI$613,$F687)+SUMIFS(MG$512:MG$613,MI$512:MI$613,$F687))/MI$510</f>
        <v>3674.6893606040367</v>
      </c>
    </row>
    <row r="688" spans="3:350" s="4" customFormat="1" ht="18" customHeight="1" x14ac:dyDescent="0.3">
      <c r="C688" s="185" t="s">
        <v>332</v>
      </c>
      <c r="E688" s="137"/>
      <c r="F688" s="186"/>
      <c r="H688" s="267"/>
      <c r="I688"/>
      <c r="J688"/>
      <c r="K688"/>
      <c r="L688"/>
      <c r="M688" s="140"/>
      <c r="N688" s="218"/>
      <c r="O688" s="218"/>
      <c r="P688" s="218"/>
      <c r="Q688" s="236"/>
      <c r="R688" s="140"/>
      <c r="S688" s="139"/>
      <c r="T688" s="140"/>
      <c r="U688" s="140"/>
      <c r="V688" s="140"/>
      <c r="W688" s="140"/>
      <c r="X688" s="140"/>
      <c r="Y688" s="140"/>
      <c r="Z688" s="140"/>
      <c r="AA688" s="140"/>
      <c r="AB688" s="140"/>
      <c r="AC688" s="140"/>
      <c r="AD688" s="140"/>
      <c r="AE688" s="140"/>
      <c r="AF688" s="140"/>
      <c r="AG688" s="140"/>
      <c r="AH688" s="140"/>
      <c r="AI688" s="140"/>
      <c r="AJ688" s="140"/>
      <c r="AK688" s="140"/>
      <c r="AL688" s="140"/>
      <c r="AM688" s="140"/>
      <c r="AN688" s="140"/>
      <c r="AO688" s="140"/>
      <c r="AP688" s="140"/>
      <c r="AQ688" s="140"/>
      <c r="AR688" s="140"/>
      <c r="AS688" s="140"/>
      <c r="AT688" s="140"/>
      <c r="AU688" s="140"/>
      <c r="AV688" s="140"/>
      <c r="AW688" s="140"/>
      <c r="AX688" s="140"/>
      <c r="AY688" s="140"/>
      <c r="AZ688" s="140"/>
      <c r="BA688" s="140"/>
      <c r="BB688" s="141"/>
      <c r="BC688" s="140"/>
      <c r="BD688" s="139"/>
      <c r="BE688" s="140"/>
      <c r="BF688" s="140"/>
      <c r="BG688" s="140"/>
      <c r="BH688" s="140"/>
      <c r="BI688" s="218"/>
      <c r="BJ688" s="301"/>
      <c r="BK688" s="301"/>
      <c r="BL688" s="301"/>
      <c r="BM688" s="301"/>
      <c r="BN688" s="301"/>
      <c r="BO688" s="301"/>
      <c r="BP688" s="301"/>
      <c r="BQ688" s="301"/>
      <c r="BR688" s="301"/>
      <c r="BS688" s="301"/>
      <c r="BT688" s="301"/>
      <c r="BU688" s="301"/>
      <c r="BV688" s="301"/>
      <c r="BW688" s="301"/>
      <c r="BX688" s="301"/>
      <c r="BY688" s="301"/>
      <c r="BZ688" s="301"/>
      <c r="CA688" s="301"/>
      <c r="CB688" s="301"/>
      <c r="CC688" s="301"/>
      <c r="CD688" s="301"/>
      <c r="CE688" s="301"/>
      <c r="CF688" s="301"/>
      <c r="CG688" s="301"/>
      <c r="CH688" s="301"/>
      <c r="CI688" s="301"/>
      <c r="CJ688" s="301"/>
      <c r="CK688" s="301"/>
      <c r="CL688" s="301"/>
      <c r="CM688" s="302"/>
      <c r="CN688" s="140"/>
      <c r="CO688" s="139"/>
      <c r="CP688" s="140"/>
      <c r="CQ688" s="140"/>
      <c r="CR688" s="140"/>
      <c r="CS688" s="140"/>
      <c r="CT688" s="218"/>
      <c r="CU688" s="301"/>
      <c r="CV688" s="301"/>
      <c r="CW688" s="301"/>
      <c r="CX688" s="301"/>
      <c r="CY688" s="301"/>
      <c r="CZ688" s="301"/>
      <c r="DA688" s="301"/>
      <c r="DB688" s="301"/>
      <c r="DC688" s="301"/>
      <c r="DD688" s="301"/>
      <c r="DE688" s="301"/>
      <c r="DF688" s="301"/>
      <c r="DG688" s="301"/>
      <c r="DH688" s="301"/>
      <c r="DI688" s="301"/>
      <c r="DJ688" s="301"/>
      <c r="DK688" s="301"/>
      <c r="DL688" s="301"/>
      <c r="DM688" s="301"/>
      <c r="DN688" s="301"/>
      <c r="DO688" s="301"/>
      <c r="DP688" s="301"/>
      <c r="DQ688" s="301"/>
      <c r="DR688" s="301"/>
      <c r="DS688" s="301"/>
      <c r="DT688" s="301"/>
      <c r="DU688" s="301"/>
      <c r="DV688" s="301"/>
      <c r="DW688" s="301"/>
      <c r="DX688" s="302"/>
      <c r="DY688" s="140"/>
      <c r="DZ688" s="139"/>
      <c r="EA688" s="140"/>
      <c r="EB688" s="140"/>
      <c r="EC688" s="140"/>
      <c r="ED688" s="140"/>
      <c r="EE688" s="218"/>
      <c r="EF688" s="301"/>
      <c r="EG688" s="301"/>
      <c r="EH688" s="301"/>
      <c r="EI688" s="301"/>
      <c r="EJ688" s="301"/>
      <c r="EK688" s="301"/>
      <c r="EL688" s="301"/>
      <c r="EM688" s="301"/>
      <c r="EN688" s="301"/>
      <c r="EO688" s="301"/>
      <c r="EP688" s="301"/>
      <c r="EQ688" s="301"/>
      <c r="ER688" s="301"/>
      <c r="ES688" s="301"/>
      <c r="ET688" s="301"/>
      <c r="EU688" s="301"/>
      <c r="EV688" s="301"/>
      <c r="EW688" s="301"/>
      <c r="EX688" s="301"/>
      <c r="EY688" s="301"/>
      <c r="EZ688" s="301"/>
      <c r="FA688" s="301"/>
      <c r="FB688" s="301"/>
      <c r="FC688" s="301"/>
      <c r="FD688" s="301"/>
      <c r="FE688" s="301"/>
      <c r="FF688" s="301"/>
      <c r="FG688" s="301"/>
      <c r="FH688" s="301"/>
      <c r="FI688" s="302"/>
      <c r="FJ688" s="140"/>
      <c r="FK688" s="139"/>
      <c r="FL688" s="140"/>
      <c r="FM688" s="140"/>
      <c r="FN688" s="140"/>
      <c r="FO688" s="140"/>
      <c r="FP688" s="218"/>
      <c r="FQ688" s="301"/>
      <c r="FR688" s="301"/>
      <c r="FS688" s="301"/>
      <c r="FT688" s="301"/>
      <c r="FU688" s="301"/>
      <c r="FV688" s="301"/>
      <c r="FW688" s="301"/>
      <c r="FX688" s="301"/>
      <c r="FY688" s="301"/>
      <c r="FZ688" s="301"/>
      <c r="GA688" s="301"/>
      <c r="GB688" s="301"/>
      <c r="GC688" s="301"/>
      <c r="GD688" s="301"/>
      <c r="GE688" s="301"/>
      <c r="GF688" s="301"/>
      <c r="GG688" s="301"/>
      <c r="GH688" s="301"/>
      <c r="GI688" s="301"/>
      <c r="GJ688" s="301"/>
      <c r="GK688" s="301"/>
      <c r="GL688" s="301"/>
      <c r="GM688" s="301"/>
      <c r="GN688" s="301"/>
      <c r="GO688" s="301"/>
      <c r="GP688" s="301"/>
      <c r="GQ688" s="301"/>
      <c r="GR688" s="301"/>
      <c r="GS688" s="301"/>
      <c r="GT688" s="302"/>
      <c r="GU688" s="140"/>
      <c r="GV688" s="139"/>
      <c r="GW688" s="140"/>
      <c r="GX688" s="140"/>
      <c r="GY688" s="140"/>
      <c r="GZ688" s="140"/>
      <c r="HA688" s="218"/>
      <c r="HB688" s="301"/>
      <c r="HC688" s="301"/>
      <c r="HD688" s="301"/>
      <c r="HE688" s="301"/>
      <c r="HF688" s="301"/>
      <c r="HG688" s="301"/>
      <c r="HH688" s="301"/>
      <c r="HI688" s="301"/>
      <c r="HJ688" s="301"/>
      <c r="HK688" s="301"/>
      <c r="HL688" s="301"/>
      <c r="HM688" s="301"/>
      <c r="HN688" s="301"/>
      <c r="HO688" s="301"/>
      <c r="HP688" s="301"/>
      <c r="HQ688" s="301"/>
      <c r="HR688" s="301"/>
      <c r="HS688" s="301"/>
      <c r="HT688" s="301"/>
      <c r="HU688" s="301"/>
      <c r="HV688" s="301"/>
      <c r="HW688" s="301"/>
      <c r="HX688" s="301"/>
      <c r="HY688" s="301"/>
      <c r="HZ688" s="301"/>
      <c r="IA688" s="301"/>
      <c r="IB688" s="301"/>
      <c r="IC688" s="301"/>
      <c r="ID688" s="301"/>
      <c r="IE688" s="302"/>
      <c r="IF688" s="140"/>
      <c r="IG688" s="139"/>
      <c r="IH688" s="140"/>
      <c r="II688" s="140"/>
      <c r="IJ688" s="140"/>
      <c r="IK688" s="140"/>
      <c r="IL688" s="140"/>
      <c r="IM688" s="140"/>
      <c r="IN688" s="140"/>
      <c r="IO688" s="140"/>
      <c r="IP688" s="140"/>
      <c r="IQ688" s="140"/>
      <c r="IR688" s="140"/>
      <c r="IS688" s="140"/>
      <c r="IT688" s="140"/>
      <c r="IU688" s="140"/>
      <c r="IV688" s="140"/>
      <c r="IW688" s="140"/>
      <c r="IX688" s="140"/>
      <c r="IY688" s="140"/>
      <c r="IZ688" s="140"/>
      <c r="JA688" s="140"/>
      <c r="JB688" s="140"/>
      <c r="JC688" s="140"/>
      <c r="JD688" s="140"/>
      <c r="JE688" s="140"/>
      <c r="JF688" s="140"/>
      <c r="JG688" s="140"/>
      <c r="JH688" s="140"/>
      <c r="JI688" s="140"/>
      <c r="JJ688" s="140"/>
      <c r="JK688" s="140"/>
      <c r="JL688" s="140"/>
      <c r="JM688" s="140"/>
      <c r="JN688" s="140"/>
      <c r="JO688" s="140"/>
      <c r="JP688" s="141"/>
      <c r="JQ688" s="140"/>
      <c r="JR688" s="139"/>
      <c r="JS688" s="140"/>
      <c r="JT688" s="140"/>
      <c r="JU688" s="140"/>
      <c r="JV688" s="140"/>
      <c r="JW688" s="140"/>
      <c r="JX688" s="140"/>
      <c r="JY688" s="140"/>
      <c r="JZ688" s="140"/>
      <c r="KA688" s="140"/>
      <c r="KB688" s="140"/>
      <c r="KC688" s="140"/>
      <c r="KD688" s="140"/>
      <c r="KE688" s="140"/>
      <c r="KF688" s="140"/>
      <c r="KG688" s="140"/>
      <c r="KH688" s="140"/>
      <c r="KI688" s="140"/>
      <c r="KJ688" s="140"/>
      <c r="KK688" s="140"/>
      <c r="KL688" s="140"/>
      <c r="KM688" s="140"/>
      <c r="KN688" s="140"/>
      <c r="KO688" s="140"/>
      <c r="KP688" s="140"/>
      <c r="KQ688" s="140"/>
      <c r="KR688" s="140"/>
      <c r="KS688" s="140"/>
      <c r="KT688" s="140"/>
      <c r="KU688" s="140"/>
      <c r="KV688" s="140"/>
      <c r="KW688" s="140"/>
      <c r="KX688" s="140"/>
      <c r="KY688" s="140"/>
      <c r="KZ688" s="140"/>
      <c r="LA688" s="141"/>
      <c r="LB688" s="140"/>
      <c r="LC688" s="139"/>
      <c r="LD688" s="140"/>
      <c r="LE688" s="140"/>
      <c r="LF688" s="140"/>
      <c r="LG688" s="140"/>
      <c r="LH688" s="140"/>
      <c r="LI688" s="140"/>
      <c r="LJ688" s="140"/>
      <c r="LK688" s="140"/>
      <c r="LL688" s="140"/>
      <c r="LM688" s="140"/>
      <c r="LN688" s="140"/>
      <c r="LO688" s="140"/>
      <c r="LP688" s="140"/>
      <c r="LQ688" s="140"/>
      <c r="LR688" s="140"/>
      <c r="LS688" s="140"/>
      <c r="LT688" s="140"/>
      <c r="LU688" s="140"/>
      <c r="LV688" s="140"/>
      <c r="LW688" s="140"/>
      <c r="LX688" s="140"/>
      <c r="LY688" s="140"/>
      <c r="LZ688" s="140"/>
      <c r="MA688" s="140"/>
      <c r="MB688" s="140"/>
      <c r="MC688" s="140"/>
      <c r="MD688" s="140"/>
      <c r="ME688" s="140"/>
      <c r="MF688" s="140"/>
      <c r="MG688" s="140"/>
      <c r="MH688" s="140"/>
      <c r="MI688" s="140"/>
      <c r="MJ688" s="140"/>
      <c r="MK688" s="140"/>
      <c r="ML688" s="141"/>
    </row>
    <row r="689" spans="3:350" s="4" customFormat="1" ht="18" customHeight="1" x14ac:dyDescent="0.3">
      <c r="C689" s="136" t="s">
        <v>244</v>
      </c>
      <c r="E689" s="1" t="s">
        <v>320</v>
      </c>
      <c r="F689" s="186"/>
      <c r="H689" s="267"/>
      <c r="I689"/>
      <c r="J689"/>
      <c r="K689"/>
      <c r="L689"/>
      <c r="M689"/>
      <c r="N689" s="237"/>
      <c r="O689" s="237"/>
      <c r="P689" s="237"/>
      <c r="Q689" s="236"/>
      <c r="R689" s="140"/>
      <c r="S689" s="139"/>
      <c r="T689" s="140"/>
      <c r="U689" s="140"/>
      <c r="V689" s="140"/>
      <c r="W689" s="140"/>
      <c r="X689" s="140"/>
      <c r="Y689" s="140"/>
      <c r="Z689" s="140"/>
      <c r="AA689" s="140"/>
      <c r="AB689" s="140"/>
      <c r="AC689" s="140"/>
      <c r="AD689" s="140"/>
      <c r="AE689" s="140"/>
      <c r="AF689" s="140"/>
      <c r="AG689" s="140"/>
      <c r="AH689" s="140"/>
      <c r="AI689" s="140"/>
      <c r="AJ689" s="140"/>
      <c r="AK689" s="140"/>
      <c r="AL689" s="140"/>
      <c r="AM689" s="140"/>
      <c r="AN689" s="140"/>
      <c r="AO689" s="140"/>
      <c r="AP689" s="140"/>
      <c r="AQ689" s="140"/>
      <c r="AR689" s="140"/>
      <c r="AS689" s="140"/>
      <c r="AT689" s="140"/>
      <c r="AU689" s="140"/>
      <c r="AV689" s="140"/>
      <c r="AW689" s="140"/>
      <c r="AX689" s="140"/>
      <c r="AY689" s="140"/>
      <c r="AZ689" s="140"/>
      <c r="BA689" s="140"/>
      <c r="BB689" s="141"/>
      <c r="BC689" s="140"/>
      <c r="BD689" s="139"/>
      <c r="BE689" s="140"/>
      <c r="BF689" s="140"/>
      <c r="BG689" s="140"/>
      <c r="BH689" s="140"/>
      <c r="BI689" s="219"/>
      <c r="BJ689" s="234"/>
      <c r="BK689" s="234"/>
      <c r="BL689" s="234"/>
      <c r="BM689" s="234"/>
      <c r="BN689" s="234"/>
      <c r="BO689" s="234"/>
      <c r="BP689" s="234"/>
      <c r="BQ689" s="234"/>
      <c r="BR689" s="234"/>
      <c r="BS689" s="234"/>
      <c r="BT689" s="234"/>
      <c r="BU689" s="234"/>
      <c r="BV689" s="234"/>
      <c r="BW689" s="234"/>
      <c r="BX689" s="234"/>
      <c r="BY689" s="234"/>
      <c r="BZ689" s="234"/>
      <c r="CA689" s="234"/>
      <c r="CB689" s="234"/>
      <c r="CC689" s="234"/>
      <c r="CD689" s="234"/>
      <c r="CE689" s="234"/>
      <c r="CF689" s="234"/>
      <c r="CG689" s="234"/>
      <c r="CH689" s="234"/>
      <c r="CI689" s="234"/>
      <c r="CJ689" s="234"/>
      <c r="CK689" s="234"/>
      <c r="CL689" s="234"/>
      <c r="CM689" s="189"/>
      <c r="CN689" s="140"/>
      <c r="CO689" s="139"/>
      <c r="CP689" s="140"/>
      <c r="CQ689" s="140"/>
      <c r="CR689" s="140"/>
      <c r="CS689" s="140"/>
      <c r="CT689" s="219"/>
      <c r="CU689" s="234"/>
      <c r="CV689" s="234"/>
      <c r="CW689" s="234"/>
      <c r="CX689" s="234"/>
      <c r="CY689" s="234"/>
      <c r="CZ689" s="234"/>
      <c r="DA689" s="234"/>
      <c r="DB689" s="234"/>
      <c r="DC689" s="234"/>
      <c r="DD689" s="234"/>
      <c r="DE689" s="234"/>
      <c r="DF689" s="234"/>
      <c r="DG689" s="234"/>
      <c r="DH689" s="234"/>
      <c r="DI689" s="234"/>
      <c r="DJ689" s="234"/>
      <c r="DK689" s="234"/>
      <c r="DL689" s="234"/>
      <c r="DM689" s="234"/>
      <c r="DN689" s="234"/>
      <c r="DO689" s="234"/>
      <c r="DP689" s="234"/>
      <c r="DQ689" s="234"/>
      <c r="DR689" s="234"/>
      <c r="DS689" s="234"/>
      <c r="DT689" s="234"/>
      <c r="DU689" s="234"/>
      <c r="DV689" s="234"/>
      <c r="DW689" s="234"/>
      <c r="DX689" s="189"/>
      <c r="DY689" s="140"/>
      <c r="DZ689" s="139"/>
      <c r="EA689" s="140"/>
      <c r="EB689" s="140"/>
      <c r="EC689" s="140"/>
      <c r="ED689" s="140"/>
      <c r="EE689" s="219"/>
      <c r="EF689" s="234"/>
      <c r="EG689" s="234"/>
      <c r="EH689" s="234"/>
      <c r="EI689" s="234"/>
      <c r="EJ689" s="234"/>
      <c r="EK689" s="234"/>
      <c r="EL689" s="234"/>
      <c r="EM689" s="234"/>
      <c r="EN689" s="234"/>
      <c r="EO689" s="234"/>
      <c r="EP689" s="234"/>
      <c r="EQ689" s="234"/>
      <c r="ER689" s="234"/>
      <c r="ES689" s="234"/>
      <c r="ET689" s="234"/>
      <c r="EU689" s="234"/>
      <c r="EV689" s="234"/>
      <c r="EW689" s="234"/>
      <c r="EX689" s="234"/>
      <c r="EY689" s="234"/>
      <c r="EZ689" s="234"/>
      <c r="FA689" s="234"/>
      <c r="FB689" s="234"/>
      <c r="FC689" s="234"/>
      <c r="FD689" s="234"/>
      <c r="FE689" s="234"/>
      <c r="FF689" s="234"/>
      <c r="FG689" s="234"/>
      <c r="FH689" s="234"/>
      <c r="FI689" s="189"/>
      <c r="FJ689" s="140"/>
      <c r="FK689" s="139"/>
      <c r="FL689" s="140"/>
      <c r="FM689" s="140"/>
      <c r="FN689" s="140"/>
      <c r="FO689" s="140"/>
      <c r="FP689" s="219"/>
      <c r="FQ689" s="234"/>
      <c r="FR689" s="234"/>
      <c r="FS689" s="234"/>
      <c r="FT689" s="234"/>
      <c r="FU689" s="234"/>
      <c r="FV689" s="234"/>
      <c r="FW689" s="234"/>
      <c r="FX689" s="234"/>
      <c r="FY689" s="234"/>
      <c r="FZ689" s="234"/>
      <c r="GA689" s="234"/>
      <c r="GB689" s="234"/>
      <c r="GC689" s="234"/>
      <c r="GD689" s="234"/>
      <c r="GE689" s="234"/>
      <c r="GF689" s="234"/>
      <c r="GG689" s="234"/>
      <c r="GH689" s="234"/>
      <c r="GI689" s="234"/>
      <c r="GJ689" s="234"/>
      <c r="GK689" s="234"/>
      <c r="GL689" s="234"/>
      <c r="GM689" s="234"/>
      <c r="GN689" s="234"/>
      <c r="GO689" s="234"/>
      <c r="GP689" s="234"/>
      <c r="GQ689" s="234"/>
      <c r="GR689" s="234"/>
      <c r="GS689" s="234"/>
      <c r="GT689" s="189"/>
      <c r="GU689" s="140"/>
      <c r="GV689" s="139"/>
      <c r="GW689" s="140"/>
      <c r="GX689" s="140"/>
      <c r="GY689" s="140"/>
      <c r="GZ689" s="140"/>
      <c r="HA689" s="219"/>
      <c r="HB689" s="234"/>
      <c r="HC689" s="234"/>
      <c r="HD689" s="234"/>
      <c r="HE689" s="234"/>
      <c r="HF689" s="234"/>
      <c r="HG689" s="234"/>
      <c r="HH689" s="234"/>
      <c r="HI689" s="234"/>
      <c r="HJ689" s="234"/>
      <c r="HK689" s="234"/>
      <c r="HL689" s="234"/>
      <c r="HM689" s="234"/>
      <c r="HN689" s="234"/>
      <c r="HO689" s="234"/>
      <c r="HP689" s="234"/>
      <c r="HQ689" s="234"/>
      <c r="HR689" s="234"/>
      <c r="HS689" s="234"/>
      <c r="HT689" s="234"/>
      <c r="HU689" s="234"/>
      <c r="HV689" s="234"/>
      <c r="HW689" s="234"/>
      <c r="HX689" s="234"/>
      <c r="HY689" s="234"/>
      <c r="HZ689" s="234"/>
      <c r="IA689" s="234"/>
      <c r="IB689" s="234"/>
      <c r="IC689" s="234"/>
      <c r="ID689" s="234"/>
      <c r="IE689" s="189"/>
      <c r="IF689" s="140"/>
      <c r="IG689" s="139"/>
      <c r="IH689" s="140"/>
      <c r="II689" s="140"/>
      <c r="IJ689" s="140"/>
      <c r="IK689" s="140"/>
      <c r="IL689" s="140"/>
      <c r="IM689" s="140"/>
      <c r="IN689" s="140"/>
      <c r="IO689" s="140"/>
      <c r="IP689" s="140"/>
      <c r="IQ689" s="140"/>
      <c r="IR689" s="140"/>
      <c r="IS689" s="140"/>
      <c r="IT689" s="140"/>
      <c r="IU689" s="140"/>
      <c r="IV689" s="140">
        <f>SUMIF(IO513:IO612,"=0",IP513:IP612)/IS510</f>
        <v>1673.6259880096572</v>
      </c>
      <c r="IW689" s="140"/>
      <c r="IX689" s="140"/>
      <c r="IY689" s="140"/>
      <c r="IZ689" s="140"/>
      <c r="JA689" s="140"/>
      <c r="JB689" s="140"/>
      <c r="JC689" s="140"/>
      <c r="JD689" s="140"/>
      <c r="JE689" s="140"/>
      <c r="JF689" s="140"/>
      <c r="JG689" s="140"/>
      <c r="JH689" s="140"/>
      <c r="JI689" s="140"/>
      <c r="JJ689" s="140"/>
      <c r="JK689" s="140"/>
      <c r="JL689" s="140"/>
      <c r="JM689" s="140"/>
      <c r="JN689" s="140"/>
      <c r="JO689" s="140"/>
      <c r="JP689" s="141"/>
      <c r="JQ689" s="140"/>
      <c r="JR689" s="139"/>
      <c r="JS689" s="140"/>
      <c r="JT689" s="140"/>
      <c r="JU689" s="140"/>
      <c r="JV689" s="140"/>
      <c r="JW689" s="140"/>
      <c r="JX689" s="140"/>
      <c r="JY689" s="140"/>
      <c r="JZ689" s="140"/>
      <c r="KA689" s="140"/>
      <c r="KB689" s="140"/>
      <c r="KC689" s="140"/>
      <c r="KD689" s="140"/>
      <c r="KE689" s="140"/>
      <c r="KF689" s="140"/>
      <c r="KG689" s="140">
        <f>SUMIF(JZ513:JZ612,"=0",KA513:KA612)/KD510</f>
        <v>1790.3101041604064</v>
      </c>
      <c r="KH689" s="140"/>
      <c r="KI689" s="140"/>
      <c r="KJ689" s="140"/>
      <c r="KK689" s="140"/>
      <c r="KL689" s="140"/>
      <c r="KM689" s="140"/>
      <c r="KN689" s="140"/>
      <c r="KO689" s="140"/>
      <c r="KP689" s="140"/>
      <c r="KQ689" s="140"/>
      <c r="KR689" s="140"/>
      <c r="KS689" s="140"/>
      <c r="KT689" s="140"/>
      <c r="KU689" s="140"/>
      <c r="KV689" s="140"/>
      <c r="KW689" s="140"/>
      <c r="KX689" s="140"/>
      <c r="KY689" s="140"/>
      <c r="KZ689" s="140"/>
      <c r="LA689" s="141">
        <f>SUMIF(KT513:KT612,"=0",KU513:KU612)/KX510</f>
        <v>1129.7593449341414</v>
      </c>
      <c r="LB689" s="140"/>
      <c r="LC689" s="139"/>
      <c r="LD689" s="140"/>
      <c r="LE689" s="140"/>
      <c r="LF689" s="140"/>
      <c r="LG689" s="140"/>
      <c r="LH689" s="140"/>
      <c r="LI689" s="140"/>
      <c r="LJ689" s="140"/>
      <c r="LK689" s="140"/>
      <c r="LL689" s="140"/>
      <c r="LM689" s="140"/>
      <c r="LN689" s="140"/>
      <c r="LO689" s="140"/>
      <c r="LP689" s="140"/>
      <c r="LQ689" s="140"/>
      <c r="LR689" s="140">
        <f>SUMIF(LK513:LK612,"=0",LL513:LL612)/LO510</f>
        <v>2502.280982368356</v>
      </c>
      <c r="LS689" s="140"/>
      <c r="LT689" s="140"/>
      <c r="LU689" s="140"/>
      <c r="LV689" s="140"/>
      <c r="LW689" s="140"/>
      <c r="LX689" s="140"/>
      <c r="LY689" s="140"/>
      <c r="LZ689" s="140"/>
      <c r="MA689" s="140"/>
      <c r="MB689" s="140">
        <f>SUMIF(LU513:LU612,"=0",LV513:LV612)/LY510</f>
        <v>2340.1098378876541</v>
      </c>
      <c r="MC689" s="140"/>
      <c r="MD689" s="140"/>
      <c r="ME689" s="140"/>
      <c r="MF689" s="140"/>
      <c r="MG689" s="140"/>
      <c r="MH689" s="140"/>
      <c r="MI689" s="140"/>
      <c r="MJ689" s="140"/>
      <c r="MK689" s="140"/>
      <c r="ML689" s="141">
        <f>SUMIF(ME513:ME612,"=0",MF513:MF612)/MI510</f>
        <v>2233.3142061564622</v>
      </c>
    </row>
    <row r="690" spans="3:350" s="4" customFormat="1" ht="18" customHeight="1" x14ac:dyDescent="0.3">
      <c r="C690" s="136" t="s">
        <v>297</v>
      </c>
      <c r="E690" s="137" t="s">
        <v>105</v>
      </c>
      <c r="F690" s="186"/>
      <c r="H690" s="267"/>
      <c r="I690"/>
      <c r="J690"/>
      <c r="K690"/>
      <c r="L690"/>
      <c r="M690"/>
      <c r="N690" s="237"/>
      <c r="O690" s="237"/>
      <c r="P690" s="237"/>
      <c r="Q690" s="236"/>
      <c r="R690" s="140"/>
      <c r="S690" s="139"/>
      <c r="T690" s="140"/>
      <c r="U690" s="140"/>
      <c r="V690" s="140"/>
      <c r="W690" s="140"/>
      <c r="X690" s="140"/>
      <c r="Y690" s="140"/>
      <c r="Z690" s="140"/>
      <c r="AA690" s="140"/>
      <c r="AB690" s="140"/>
      <c r="AC690" s="140"/>
      <c r="AD690" s="140"/>
      <c r="AE690" s="140"/>
      <c r="AF690" s="140"/>
      <c r="AG690" s="140"/>
      <c r="AH690" s="140"/>
      <c r="AI690" s="140"/>
      <c r="AJ690" s="140"/>
      <c r="AK690" s="140"/>
      <c r="AL690" s="140"/>
      <c r="AM690" s="140"/>
      <c r="AN690" s="140"/>
      <c r="AO690" s="140"/>
      <c r="AP690" s="140"/>
      <c r="AQ690" s="140"/>
      <c r="AR690" s="140"/>
      <c r="AS690" s="140"/>
      <c r="AT690" s="140"/>
      <c r="AU690" s="140"/>
      <c r="AV690" s="140"/>
      <c r="AW690" s="140"/>
      <c r="AX690" s="140"/>
      <c r="AY690" s="140"/>
      <c r="AZ690" s="140"/>
      <c r="BA690" s="140"/>
      <c r="BB690" s="141"/>
      <c r="BC690" s="140"/>
      <c r="BD690" s="139"/>
      <c r="BE690" s="140"/>
      <c r="BF690" s="140"/>
      <c r="BG690" s="140"/>
      <c r="BH690" s="140"/>
      <c r="BI690" s="219"/>
      <c r="BJ690" s="234"/>
      <c r="BK690" s="234"/>
      <c r="BL690" s="234"/>
      <c r="BM690" s="234"/>
      <c r="BN690" s="234"/>
      <c r="BO690" s="234"/>
      <c r="BP690" s="234"/>
      <c r="BQ690" s="234"/>
      <c r="BR690" s="234"/>
      <c r="BS690" s="234"/>
      <c r="BT690" s="234"/>
      <c r="BU690" s="234"/>
      <c r="BV690" s="234"/>
      <c r="BW690" s="234"/>
      <c r="BX690" s="234"/>
      <c r="BY690" s="234"/>
      <c r="BZ690" s="234"/>
      <c r="CA690" s="234"/>
      <c r="CB690" s="234"/>
      <c r="CC690" s="234"/>
      <c r="CD690" s="234"/>
      <c r="CE690" s="234"/>
      <c r="CF690" s="234"/>
      <c r="CG690" s="234"/>
      <c r="CH690" s="234"/>
      <c r="CI690" s="234"/>
      <c r="CJ690" s="234"/>
      <c r="CK690" s="234"/>
      <c r="CL690" s="234"/>
      <c r="CM690" s="189"/>
      <c r="CN690" s="140"/>
      <c r="CO690" s="139"/>
      <c r="CP690" s="140"/>
      <c r="CQ690" s="140"/>
      <c r="CR690" s="140"/>
      <c r="CS690" s="140"/>
      <c r="CT690" s="219"/>
      <c r="CU690" s="234"/>
      <c r="CV690" s="234"/>
      <c r="CW690" s="234"/>
      <c r="CX690" s="234"/>
      <c r="CY690" s="234"/>
      <c r="CZ690" s="234"/>
      <c r="DA690" s="234"/>
      <c r="DB690" s="234"/>
      <c r="DC690" s="234"/>
      <c r="DD690" s="234"/>
      <c r="DE690" s="234"/>
      <c r="DF690" s="234"/>
      <c r="DG690" s="234"/>
      <c r="DH690" s="234"/>
      <c r="DI690" s="234"/>
      <c r="DJ690" s="234"/>
      <c r="DK690" s="234"/>
      <c r="DL690" s="234"/>
      <c r="DM690" s="234"/>
      <c r="DN690" s="234"/>
      <c r="DO690" s="234"/>
      <c r="DP690" s="234"/>
      <c r="DQ690" s="234"/>
      <c r="DR690" s="234"/>
      <c r="DS690" s="234"/>
      <c r="DT690" s="234"/>
      <c r="DU690" s="234"/>
      <c r="DV690" s="234"/>
      <c r="DW690" s="234"/>
      <c r="DX690" s="189"/>
      <c r="DY690" s="140"/>
      <c r="DZ690" s="139"/>
      <c r="EA690" s="140"/>
      <c r="EB690" s="140"/>
      <c r="EC690" s="140"/>
      <c r="ED690" s="140"/>
      <c r="EE690" s="219"/>
      <c r="EF690" s="234"/>
      <c r="EG690" s="234"/>
      <c r="EH690" s="234"/>
      <c r="EI690" s="234"/>
      <c r="EJ690" s="234"/>
      <c r="EK690" s="234"/>
      <c r="EL690" s="234"/>
      <c r="EM690" s="234"/>
      <c r="EN690" s="234"/>
      <c r="EO690" s="234"/>
      <c r="EP690" s="234"/>
      <c r="EQ690" s="234"/>
      <c r="ER690" s="234"/>
      <c r="ES690" s="234"/>
      <c r="ET690" s="234"/>
      <c r="EU690" s="234"/>
      <c r="EV690" s="234"/>
      <c r="EW690" s="234"/>
      <c r="EX690" s="234"/>
      <c r="EY690" s="234"/>
      <c r="EZ690" s="234"/>
      <c r="FA690" s="234"/>
      <c r="FB690" s="234"/>
      <c r="FC690" s="234"/>
      <c r="FD690" s="234"/>
      <c r="FE690" s="234"/>
      <c r="FF690" s="234"/>
      <c r="FG690" s="234"/>
      <c r="FH690" s="234"/>
      <c r="FI690" s="189"/>
      <c r="FJ690" s="140"/>
      <c r="FK690" s="139"/>
      <c r="FL690" s="140"/>
      <c r="FM690" s="140"/>
      <c r="FN690" s="140"/>
      <c r="FO690" s="140"/>
      <c r="FP690" s="219"/>
      <c r="FQ690" s="234"/>
      <c r="FR690" s="234"/>
      <c r="FS690" s="234"/>
      <c r="FT690" s="234"/>
      <c r="FU690" s="234"/>
      <c r="FV690" s="234"/>
      <c r="FW690" s="234"/>
      <c r="FX690" s="234"/>
      <c r="FY690" s="234"/>
      <c r="FZ690" s="234"/>
      <c r="GA690" s="234"/>
      <c r="GB690" s="234"/>
      <c r="GC690" s="234"/>
      <c r="GD690" s="234"/>
      <c r="GE690" s="234"/>
      <c r="GF690" s="234"/>
      <c r="GG690" s="234"/>
      <c r="GH690" s="234"/>
      <c r="GI690" s="234"/>
      <c r="GJ690" s="234"/>
      <c r="GK690" s="234"/>
      <c r="GL690" s="234"/>
      <c r="GM690" s="234"/>
      <c r="GN690" s="234"/>
      <c r="GO690" s="234"/>
      <c r="GP690" s="234"/>
      <c r="GQ690" s="234"/>
      <c r="GR690" s="234"/>
      <c r="GS690" s="234"/>
      <c r="GT690" s="189"/>
      <c r="GU690" s="140"/>
      <c r="GV690" s="139"/>
      <c r="GW690" s="140"/>
      <c r="GX690" s="140"/>
      <c r="GY690" s="140"/>
      <c r="GZ690" s="140"/>
      <c r="HA690" s="219"/>
      <c r="HB690" s="234"/>
      <c r="HC690" s="234"/>
      <c r="HD690" s="234"/>
      <c r="HE690" s="234"/>
      <c r="HF690" s="234"/>
      <c r="HG690" s="234"/>
      <c r="HH690" s="234"/>
      <c r="HI690" s="234"/>
      <c r="HJ690" s="234"/>
      <c r="HK690" s="234"/>
      <c r="HL690" s="234"/>
      <c r="HM690" s="234"/>
      <c r="HN690" s="234"/>
      <c r="HO690" s="234"/>
      <c r="HP690" s="234"/>
      <c r="HQ690" s="234"/>
      <c r="HR690" s="234"/>
      <c r="HS690" s="234"/>
      <c r="HT690" s="234"/>
      <c r="HU690" s="234"/>
      <c r="HV690" s="234"/>
      <c r="HW690" s="234"/>
      <c r="HX690" s="234"/>
      <c r="HY690" s="234"/>
      <c r="HZ690" s="234"/>
      <c r="IA690" s="234"/>
      <c r="IB690" s="234"/>
      <c r="IC690" s="234"/>
      <c r="ID690" s="234"/>
      <c r="IE690" s="189"/>
      <c r="IF690" s="140"/>
      <c r="IG690" s="139"/>
      <c r="IH690" s="140"/>
      <c r="II690" s="140"/>
      <c r="IJ690" s="140"/>
      <c r="IK690" s="140"/>
      <c r="IL690" s="140"/>
      <c r="IM690" s="140"/>
      <c r="IN690" s="140"/>
      <c r="IO690" s="140"/>
      <c r="IP690" s="140"/>
      <c r="IQ690" s="140"/>
      <c r="IR690" s="140"/>
      <c r="IS690" s="140"/>
      <c r="IT690" s="140"/>
      <c r="IU690" s="140"/>
      <c r="IV690" s="140">
        <f>SUMIF(IN513:IN612,"=0",IQ513:IQ612)/IS510</f>
        <v>0</v>
      </c>
      <c r="IW690" s="140"/>
      <c r="IX690" s="140"/>
      <c r="IY690" s="140"/>
      <c r="IZ690" s="140"/>
      <c r="JA690" s="140"/>
      <c r="JB690" s="140"/>
      <c r="JC690" s="140"/>
      <c r="JD690" s="140"/>
      <c r="JE690" s="140"/>
      <c r="JF690" s="140"/>
      <c r="JG690" s="140"/>
      <c r="JH690" s="140"/>
      <c r="JI690" s="140"/>
      <c r="JJ690" s="140"/>
      <c r="JK690" s="140"/>
      <c r="JL690" s="140"/>
      <c r="JM690" s="140"/>
      <c r="JN690" s="140"/>
      <c r="JO690" s="140"/>
      <c r="JP690" s="141"/>
      <c r="JQ690" s="140"/>
      <c r="JR690" s="139"/>
      <c r="JS690" s="140"/>
      <c r="JT690" s="140"/>
      <c r="JU690" s="140"/>
      <c r="JV690" s="140"/>
      <c r="JW690" s="140"/>
      <c r="JX690" s="140"/>
      <c r="JY690" s="140"/>
      <c r="JZ690" s="140"/>
      <c r="KA690" s="140"/>
      <c r="KB690" s="140"/>
      <c r="KC690" s="140"/>
      <c r="KD690" s="140"/>
      <c r="KE690" s="140"/>
      <c r="KF690" s="140"/>
      <c r="KG690" s="140">
        <f>SUMIF(JY513:JY612,"=0",KB513:KB612)/KD510</f>
        <v>846.65698024449523</v>
      </c>
      <c r="KH690" s="140"/>
      <c r="KI690" s="140"/>
      <c r="KJ690" s="140"/>
      <c r="KK690" s="140"/>
      <c r="KL690" s="140"/>
      <c r="KM690" s="140"/>
      <c r="KN690" s="140"/>
      <c r="KO690" s="140"/>
      <c r="KP690" s="140"/>
      <c r="KQ690" s="140"/>
      <c r="KR690" s="140"/>
      <c r="KS690" s="140"/>
      <c r="KT690" s="140"/>
      <c r="KU690" s="140"/>
      <c r="KV690" s="140"/>
      <c r="KW690" s="140"/>
      <c r="KX690" s="140"/>
      <c r="KY690" s="140"/>
      <c r="KZ690" s="140"/>
      <c r="LA690" s="141">
        <f>SUMIF(KS513:KS612,"=0",KV513:KV612)/KX510</f>
        <v>1185.3474600986694</v>
      </c>
      <c r="LB690" s="140"/>
      <c r="LC690" s="139"/>
      <c r="LD690" s="140"/>
      <c r="LE690" s="140"/>
      <c r="LF690" s="140"/>
      <c r="LG690" s="140"/>
      <c r="LH690" s="140"/>
      <c r="LI690" s="140"/>
      <c r="LJ690" s="140"/>
      <c r="LK690" s="140"/>
      <c r="LL690" s="140"/>
      <c r="LM690" s="140"/>
      <c r="LN690" s="140"/>
      <c r="LO690" s="140"/>
      <c r="LP690" s="140"/>
      <c r="LQ690" s="140"/>
      <c r="LR690" s="140">
        <f>SUMIF(LJ513:LJ612,"=0",LM513:LM612)/LO510</f>
        <v>857.00527918955925</v>
      </c>
      <c r="LS690" s="140"/>
      <c r="LT690" s="140"/>
      <c r="LU690" s="140"/>
      <c r="LV690" s="140"/>
      <c r="LW690" s="140"/>
      <c r="LX690" s="140"/>
      <c r="LY690" s="140"/>
      <c r="LZ690" s="140"/>
      <c r="MA690" s="140"/>
      <c r="MB690" s="140">
        <f>SUMIF(LT513:LT612,"=0",LW513:LW612)/LY510</f>
        <v>1249.5484451926293</v>
      </c>
      <c r="MC690" s="140"/>
      <c r="MD690" s="140"/>
      <c r="ME690" s="140"/>
      <c r="MF690" s="140"/>
      <c r="MG690" s="140"/>
      <c r="MH690" s="140"/>
      <c r="MI690" s="140"/>
      <c r="MJ690" s="140"/>
      <c r="MK690" s="140"/>
      <c r="ML690" s="141">
        <f>SUMIF(MD513:MD612,"=0",MG513:MG612)/MI510</f>
        <v>1744.9516261279084</v>
      </c>
    </row>
    <row r="691" spans="3:350" s="4" customFormat="1" ht="18" customHeight="1" x14ac:dyDescent="0.3">
      <c r="C691" s="185"/>
      <c r="E691" s="137"/>
      <c r="F691" s="186"/>
      <c r="H691" s="211"/>
      <c r="I691" s="166"/>
      <c r="J691" s="166"/>
      <c r="K691" s="166"/>
      <c r="L691" s="166"/>
      <c r="M691" s="166"/>
      <c r="N691" s="320"/>
      <c r="O691" s="320"/>
      <c r="P691" s="320"/>
      <c r="Q691" s="321"/>
      <c r="R691" s="140"/>
      <c r="S691" s="191"/>
      <c r="T691" s="192"/>
      <c r="U691" s="192"/>
      <c r="V691" s="192"/>
      <c r="W691" s="192"/>
      <c r="X691" s="192"/>
      <c r="Y691" s="192"/>
      <c r="Z691" s="192"/>
      <c r="AA691" s="192"/>
      <c r="AB691" s="192"/>
      <c r="AC691" s="192"/>
      <c r="AD691" s="192"/>
      <c r="AE691" s="192"/>
      <c r="AF691" s="192"/>
      <c r="AG691" s="192"/>
      <c r="AH691" s="192"/>
      <c r="AI691" s="192"/>
      <c r="AJ691" s="192"/>
      <c r="AK691" s="192"/>
      <c r="AL691" s="192"/>
      <c r="AM691" s="192"/>
      <c r="AN691" s="192"/>
      <c r="AO691" s="192"/>
      <c r="AP691" s="192"/>
      <c r="AQ691" s="192"/>
      <c r="AR691" s="192"/>
      <c r="AS691" s="192"/>
      <c r="AT691" s="192"/>
      <c r="AU691" s="192"/>
      <c r="AV691" s="192"/>
      <c r="AW691" s="192"/>
      <c r="AX691" s="192"/>
      <c r="AY691" s="192"/>
      <c r="AZ691" s="192"/>
      <c r="BA691" s="192"/>
      <c r="BB691" s="193"/>
      <c r="BC691" s="140"/>
      <c r="BD691" s="177"/>
      <c r="BE691" s="178"/>
      <c r="BF691" s="178"/>
      <c r="BG691" s="178"/>
      <c r="BH691" s="178"/>
      <c r="BI691" s="219"/>
      <c r="BJ691" s="234"/>
      <c r="BK691" s="234"/>
      <c r="BL691" s="234"/>
      <c r="BM691" s="234"/>
      <c r="BN691" s="234"/>
      <c r="BO691" s="234"/>
      <c r="BP691" s="234"/>
      <c r="BQ691" s="234"/>
      <c r="BR691" s="234"/>
      <c r="BS691" s="234"/>
      <c r="BT691" s="234"/>
      <c r="BU691" s="234"/>
      <c r="BV691" s="234"/>
      <c r="BW691" s="234"/>
      <c r="BX691" s="234"/>
      <c r="BY691" s="234"/>
      <c r="BZ691" s="234"/>
      <c r="CA691" s="234"/>
      <c r="CB691" s="234"/>
      <c r="CC691" s="234"/>
      <c r="CD691" s="234"/>
      <c r="CE691" s="234"/>
      <c r="CF691" s="234"/>
      <c r="CG691" s="234"/>
      <c r="CH691" s="234"/>
      <c r="CI691" s="234"/>
      <c r="CJ691" s="234"/>
      <c r="CK691" s="234"/>
      <c r="CL691" s="234"/>
      <c r="CM691" s="189"/>
      <c r="CN691" s="140"/>
      <c r="CO691" s="177"/>
      <c r="CP691" s="178"/>
      <c r="CQ691" s="178"/>
      <c r="CR691" s="178"/>
      <c r="CS691" s="178"/>
      <c r="CT691" s="219"/>
      <c r="CU691" s="234"/>
      <c r="CV691" s="234"/>
      <c r="CW691" s="234"/>
      <c r="CX691" s="234"/>
      <c r="CY691" s="234"/>
      <c r="CZ691" s="234"/>
      <c r="DA691" s="234"/>
      <c r="DB691" s="234"/>
      <c r="DC691" s="234"/>
      <c r="DD691" s="234"/>
      <c r="DE691" s="234"/>
      <c r="DF691" s="234"/>
      <c r="DG691" s="234"/>
      <c r="DH691" s="234"/>
      <c r="DI691" s="234"/>
      <c r="DJ691" s="234"/>
      <c r="DK691" s="234"/>
      <c r="DL691" s="234"/>
      <c r="DM691" s="234"/>
      <c r="DN691" s="234"/>
      <c r="DO691" s="234"/>
      <c r="DP691" s="234"/>
      <c r="DQ691" s="234"/>
      <c r="DR691" s="234"/>
      <c r="DS691" s="234"/>
      <c r="DT691" s="234"/>
      <c r="DU691" s="234"/>
      <c r="DV691" s="234"/>
      <c r="DW691" s="234"/>
      <c r="DX691" s="189"/>
      <c r="DY691" s="140"/>
      <c r="DZ691" s="177"/>
      <c r="EA691" s="178"/>
      <c r="EB691" s="178"/>
      <c r="EC691" s="178"/>
      <c r="ED691" s="178"/>
      <c r="EE691" s="219"/>
      <c r="EF691" s="234"/>
      <c r="EG691" s="234"/>
      <c r="EH691" s="234"/>
      <c r="EI691" s="234"/>
      <c r="EJ691" s="234"/>
      <c r="EK691" s="234"/>
      <c r="EL691" s="234"/>
      <c r="EM691" s="234"/>
      <c r="EN691" s="234"/>
      <c r="EO691" s="234"/>
      <c r="EP691" s="234"/>
      <c r="EQ691" s="234"/>
      <c r="ER691" s="234"/>
      <c r="ES691" s="234"/>
      <c r="ET691" s="234"/>
      <c r="EU691" s="234"/>
      <c r="EV691" s="234"/>
      <c r="EW691" s="234"/>
      <c r="EX691" s="234"/>
      <c r="EY691" s="234"/>
      <c r="EZ691" s="234"/>
      <c r="FA691" s="234"/>
      <c r="FB691" s="234"/>
      <c r="FC691" s="234"/>
      <c r="FD691" s="234"/>
      <c r="FE691" s="234"/>
      <c r="FF691" s="234"/>
      <c r="FG691" s="234"/>
      <c r="FH691" s="234"/>
      <c r="FI691" s="189"/>
      <c r="FJ691" s="140"/>
      <c r="FK691" s="177"/>
      <c r="FL691" s="178"/>
      <c r="FM691" s="178"/>
      <c r="FN691" s="178"/>
      <c r="FO691" s="178"/>
      <c r="FP691" s="219"/>
      <c r="FQ691" s="234"/>
      <c r="FR691" s="234"/>
      <c r="FS691" s="234"/>
      <c r="FT691" s="234"/>
      <c r="FU691" s="234"/>
      <c r="FV691" s="234"/>
      <c r="FW691" s="234"/>
      <c r="FX691" s="234"/>
      <c r="FY691" s="234"/>
      <c r="FZ691" s="234"/>
      <c r="GA691" s="234"/>
      <c r="GB691" s="234"/>
      <c r="GC691" s="234"/>
      <c r="GD691" s="234"/>
      <c r="GE691" s="234"/>
      <c r="GF691" s="234"/>
      <c r="GG691" s="234"/>
      <c r="GH691" s="234"/>
      <c r="GI691" s="234"/>
      <c r="GJ691" s="234"/>
      <c r="GK691" s="234"/>
      <c r="GL691" s="234"/>
      <c r="GM691" s="234"/>
      <c r="GN691" s="234"/>
      <c r="GO691" s="234"/>
      <c r="GP691" s="234"/>
      <c r="GQ691" s="234"/>
      <c r="GR691" s="234"/>
      <c r="GS691" s="234"/>
      <c r="GT691" s="189"/>
      <c r="GU691" s="140"/>
      <c r="GV691" s="177"/>
      <c r="GW691" s="178"/>
      <c r="GX691" s="178"/>
      <c r="GY691" s="178"/>
      <c r="GZ691" s="178"/>
      <c r="HA691" s="219"/>
      <c r="HB691" s="234"/>
      <c r="HC691" s="234"/>
      <c r="HD691" s="234"/>
      <c r="HE691" s="234"/>
      <c r="HF691" s="234"/>
      <c r="HG691" s="234"/>
      <c r="HH691" s="234"/>
      <c r="HI691" s="234"/>
      <c r="HJ691" s="234"/>
      <c r="HK691" s="234"/>
      <c r="HL691" s="234"/>
      <c r="HM691" s="234"/>
      <c r="HN691" s="234"/>
      <c r="HO691" s="234"/>
      <c r="HP691" s="234"/>
      <c r="HQ691" s="234"/>
      <c r="HR691" s="234"/>
      <c r="HS691" s="234"/>
      <c r="HT691" s="234"/>
      <c r="HU691" s="234"/>
      <c r="HV691" s="234"/>
      <c r="HW691" s="234"/>
      <c r="HX691" s="234"/>
      <c r="HY691" s="234"/>
      <c r="HZ691" s="234"/>
      <c r="IA691" s="234"/>
      <c r="IB691" s="234"/>
      <c r="IC691" s="234"/>
      <c r="ID691" s="234"/>
      <c r="IE691" s="189"/>
      <c r="IF691" s="140"/>
      <c r="IG691" s="191"/>
      <c r="IH691" s="192"/>
      <c r="II691" s="192"/>
      <c r="IJ691" s="192"/>
      <c r="IK691" s="192"/>
      <c r="IL691" s="192"/>
      <c r="IM691" s="192"/>
      <c r="IN691" s="192"/>
      <c r="IO691" s="192"/>
      <c r="IP691" s="192"/>
      <c r="IQ691" s="192"/>
      <c r="IR691" s="192"/>
      <c r="IS691" s="192"/>
      <c r="IT691" s="192"/>
      <c r="IU691" s="192"/>
      <c r="IV691" s="192"/>
      <c r="IW691" s="192"/>
      <c r="IX691" s="192"/>
      <c r="IY691" s="192"/>
      <c r="IZ691" s="192"/>
      <c r="JA691" s="192"/>
      <c r="JB691" s="192"/>
      <c r="JC691" s="192"/>
      <c r="JD691" s="192"/>
      <c r="JE691" s="192"/>
      <c r="JF691" s="192"/>
      <c r="JG691" s="192"/>
      <c r="JH691" s="192"/>
      <c r="JI691" s="192"/>
      <c r="JJ691" s="192"/>
      <c r="JK691" s="192"/>
      <c r="JL691" s="192"/>
      <c r="JM691" s="192"/>
      <c r="JN691" s="192"/>
      <c r="JO691" s="192"/>
      <c r="JP691" s="193"/>
      <c r="JQ691" s="140"/>
      <c r="JR691" s="191"/>
      <c r="JS691" s="192"/>
      <c r="JT691" s="192"/>
      <c r="JU691" s="192"/>
      <c r="JV691" s="192"/>
      <c r="JW691" s="192"/>
      <c r="JX691" s="192"/>
      <c r="JY691" s="192"/>
      <c r="JZ691" s="192"/>
      <c r="KA691" s="192"/>
      <c r="KB691" s="192"/>
      <c r="KC691" s="192"/>
      <c r="KD691" s="192"/>
      <c r="KE691" s="192"/>
      <c r="KF691" s="192"/>
      <c r="KG691" s="192"/>
      <c r="KH691" s="192"/>
      <c r="KI691" s="192"/>
      <c r="KJ691" s="192"/>
      <c r="KK691" s="192"/>
      <c r="KL691" s="192"/>
      <c r="KM691" s="192"/>
      <c r="KN691" s="192"/>
      <c r="KO691" s="192"/>
      <c r="KP691" s="192"/>
      <c r="KQ691" s="192"/>
      <c r="KR691" s="192"/>
      <c r="KS691" s="192"/>
      <c r="KT691" s="192"/>
      <c r="KU691" s="192"/>
      <c r="KV691" s="192"/>
      <c r="KW691" s="192"/>
      <c r="KX691" s="192"/>
      <c r="KY691" s="192"/>
      <c r="KZ691" s="192"/>
      <c r="LA691" s="193"/>
      <c r="LB691" s="140"/>
      <c r="LC691" s="191"/>
      <c r="LD691" s="192"/>
      <c r="LE691" s="192"/>
      <c r="LF691" s="192"/>
      <c r="LG691" s="192"/>
      <c r="LH691" s="192"/>
      <c r="LI691" s="192"/>
      <c r="LJ691" s="192"/>
      <c r="LK691" s="192"/>
      <c r="LL691" s="192"/>
      <c r="LM691" s="192"/>
      <c r="LN691" s="192"/>
      <c r="LO691" s="192"/>
      <c r="LP691" s="192"/>
      <c r="LQ691" s="192"/>
      <c r="LR691" s="192"/>
      <c r="LS691" s="192"/>
      <c r="LT691" s="192"/>
      <c r="LU691" s="192"/>
      <c r="LV691" s="192"/>
      <c r="LW691" s="192"/>
      <c r="LX691" s="192"/>
      <c r="LY691" s="192"/>
      <c r="LZ691" s="192"/>
      <c r="MA691" s="192"/>
      <c r="MB691" s="192"/>
      <c r="MC691" s="192"/>
      <c r="MD691" s="192"/>
      <c r="ME691" s="192"/>
      <c r="MF691" s="192"/>
      <c r="MG691" s="192"/>
      <c r="MH691" s="192"/>
      <c r="MI691" s="192"/>
      <c r="MJ691" s="192"/>
      <c r="MK691" s="192"/>
      <c r="ML691" s="193"/>
    </row>
    <row r="692" spans="3:350" x14ac:dyDescent="0.3">
      <c r="C692" s="171"/>
      <c r="D692" s="171"/>
      <c r="E692" s="171"/>
      <c r="F692" s="171"/>
      <c r="BD692" s="171"/>
      <c r="BE692" s="171"/>
      <c r="BF692" s="171"/>
      <c r="BG692" s="171"/>
      <c r="BH692" s="171"/>
      <c r="BI692" s="171"/>
      <c r="BJ692" s="171"/>
      <c r="BK692" s="171"/>
      <c r="BL692" s="171"/>
      <c r="BM692" s="171"/>
      <c r="BN692" s="171"/>
      <c r="BO692" s="171"/>
      <c r="BP692" s="171"/>
      <c r="BQ692" s="171"/>
      <c r="BR692" s="171"/>
      <c r="BS692" s="171"/>
      <c r="BT692" s="171"/>
      <c r="BU692" s="171"/>
      <c r="BV692" s="171"/>
      <c r="BW692" s="171"/>
      <c r="BX692" s="171"/>
      <c r="BY692" s="171"/>
      <c r="BZ692" s="171"/>
      <c r="CA692" s="171"/>
      <c r="CB692" s="171"/>
      <c r="CC692" s="171"/>
      <c r="CD692" s="171"/>
      <c r="CE692" s="171"/>
      <c r="CF692" s="171"/>
      <c r="CG692" s="171"/>
      <c r="CH692" s="171"/>
      <c r="CI692" s="171"/>
      <c r="CJ692" s="171"/>
      <c r="CK692" s="171"/>
      <c r="CL692" s="171"/>
      <c r="CM692" s="171"/>
      <c r="CO692" s="171"/>
      <c r="CP692" s="171"/>
      <c r="CQ692" s="171"/>
      <c r="CR692" s="171"/>
      <c r="CS692" s="171"/>
      <c r="CT692" s="171"/>
      <c r="CU692" s="171"/>
      <c r="CV692" s="171"/>
      <c r="CW692" s="171"/>
      <c r="CX692" s="171"/>
      <c r="CY692" s="171"/>
      <c r="CZ692" s="171"/>
      <c r="DA692" s="171"/>
      <c r="DB692" s="171"/>
      <c r="DC692" s="171"/>
      <c r="DD692" s="171"/>
      <c r="DE692" s="171"/>
      <c r="DF692" s="171"/>
      <c r="DG692" s="171"/>
      <c r="DH692" s="171"/>
      <c r="DI692" s="171"/>
      <c r="DJ692" s="171"/>
      <c r="DK692" s="171"/>
      <c r="DL692" s="171"/>
      <c r="DM692" s="171"/>
      <c r="DN692" s="171"/>
      <c r="DO692" s="171"/>
      <c r="DP692" s="171"/>
      <c r="DQ692" s="171"/>
      <c r="DR692" s="171"/>
      <c r="DS692" s="171"/>
      <c r="DT692" s="171"/>
      <c r="DU692" s="171"/>
      <c r="DV692" s="171"/>
      <c r="DW692" s="171"/>
      <c r="DX692" s="171"/>
      <c r="DZ692" s="171"/>
      <c r="EA692" s="171"/>
      <c r="EB692" s="171"/>
      <c r="EC692" s="171"/>
      <c r="ED692" s="171"/>
      <c r="EE692" s="171"/>
      <c r="EF692" s="171"/>
      <c r="EG692" s="171"/>
      <c r="EH692" s="171"/>
      <c r="EI692" s="171"/>
      <c r="EJ692" s="171"/>
      <c r="EK692" s="171"/>
      <c r="EL692" s="171"/>
      <c r="EM692" s="171"/>
      <c r="EN692" s="171"/>
      <c r="EO692" s="171"/>
      <c r="EP692" s="171"/>
      <c r="EQ692" s="171"/>
      <c r="ER692" s="171"/>
      <c r="ES692" s="171"/>
      <c r="ET692" s="171"/>
      <c r="EU692" s="171"/>
      <c r="EV692" s="171"/>
      <c r="EW692" s="171"/>
      <c r="EX692" s="171"/>
      <c r="EY692" s="171"/>
      <c r="EZ692" s="171"/>
      <c r="FA692" s="171"/>
      <c r="FB692" s="171"/>
      <c r="FC692" s="171"/>
      <c r="FD692" s="171"/>
      <c r="FE692" s="171"/>
      <c r="FF692" s="171"/>
      <c r="FG692" s="171"/>
      <c r="FH692" s="171"/>
      <c r="FI692" s="171"/>
      <c r="FK692" s="171"/>
      <c r="FL692" s="171"/>
      <c r="FM692" s="171"/>
      <c r="FN692" s="171"/>
      <c r="FO692" s="171"/>
      <c r="FP692" s="171"/>
      <c r="FQ692" s="171"/>
      <c r="FR692" s="171"/>
      <c r="FS692" s="171"/>
      <c r="FT692" s="171"/>
      <c r="FU692" s="171"/>
      <c r="FV692" s="171"/>
      <c r="FW692" s="171"/>
      <c r="FX692" s="171"/>
      <c r="FY692" s="171"/>
      <c r="FZ692" s="171"/>
      <c r="GA692" s="171"/>
      <c r="GB692" s="171"/>
      <c r="GC692" s="171"/>
      <c r="GD692" s="171"/>
      <c r="GE692" s="171"/>
      <c r="GF692" s="171"/>
      <c r="GG692" s="171"/>
      <c r="GH692" s="171"/>
      <c r="GI692" s="171"/>
      <c r="GJ692" s="171"/>
      <c r="GK692" s="171"/>
      <c r="GL692" s="171"/>
      <c r="GM692" s="171"/>
      <c r="GN692" s="171"/>
      <c r="GO692" s="171"/>
      <c r="GP692" s="171"/>
      <c r="GQ692" s="171"/>
      <c r="GR692" s="171"/>
      <c r="GS692" s="171"/>
      <c r="GT692" s="171"/>
      <c r="GV692" s="171"/>
      <c r="GW692" s="171"/>
      <c r="GX692" s="171"/>
      <c r="GY692" s="171"/>
      <c r="GZ692" s="171"/>
      <c r="HA692" s="171"/>
      <c r="HB692" s="171"/>
      <c r="HC692" s="171"/>
      <c r="HD692" s="171"/>
      <c r="HE692" s="171"/>
      <c r="HF692" s="171"/>
      <c r="HG692" s="171"/>
      <c r="HH692" s="171"/>
      <c r="HI692" s="171"/>
      <c r="HJ692" s="171"/>
      <c r="HK692" s="171"/>
      <c r="HL692" s="171"/>
      <c r="HM692" s="171"/>
      <c r="HN692" s="171"/>
      <c r="HO692" s="171"/>
      <c r="HP692" s="171"/>
      <c r="HQ692" s="171"/>
      <c r="HR692" s="171"/>
      <c r="HS692" s="171"/>
      <c r="HT692" s="171"/>
      <c r="HU692" s="171"/>
      <c r="HV692" s="171"/>
      <c r="HW692" s="171"/>
      <c r="HX692" s="171"/>
      <c r="HY692" s="171"/>
      <c r="HZ692" s="171"/>
      <c r="IA692" s="171"/>
      <c r="IB692" s="171"/>
      <c r="IC692" s="171"/>
      <c r="ID692" s="171"/>
      <c r="IE692" s="171"/>
      <c r="LC692" s="171"/>
      <c r="LD692" s="171"/>
      <c r="LE692" s="171"/>
      <c r="LF692" s="171"/>
      <c r="LG692" s="171"/>
      <c r="LH692" s="171"/>
      <c r="LI692" s="171"/>
      <c r="LJ692" s="171"/>
      <c r="LK692" s="171"/>
      <c r="LL692" s="171"/>
      <c r="LM692" s="171"/>
      <c r="LN692" s="171"/>
      <c r="LO692" s="171"/>
      <c r="LP692" s="171"/>
      <c r="LQ692" s="171"/>
      <c r="LR692" s="171"/>
      <c r="LS692" s="171"/>
      <c r="LT692" s="171"/>
      <c r="LU692" s="171"/>
      <c r="LV692" s="171"/>
      <c r="LW692" s="171"/>
      <c r="LX692" s="171"/>
      <c r="LY692" s="171"/>
      <c r="LZ692" s="171"/>
      <c r="MA692" s="171"/>
      <c r="MB692" s="171"/>
      <c r="MC692" s="171"/>
      <c r="MD692" s="171"/>
      <c r="ME692" s="171"/>
      <c r="MF692" s="171"/>
      <c r="MG692" s="171"/>
      <c r="MH692" s="171"/>
      <c r="MI692" s="171"/>
      <c r="MJ692" s="171"/>
      <c r="MK692" s="171"/>
      <c r="ML692" s="171"/>
    </row>
    <row r="693" spans="3:350" x14ac:dyDescent="0.3">
      <c r="C693" s="69" t="s">
        <v>333</v>
      </c>
      <c r="D693" s="69"/>
      <c r="E693" s="69"/>
      <c r="F693" s="69"/>
      <c r="G693" s="69"/>
      <c r="H693" s="69"/>
      <c r="I693" s="69"/>
      <c r="J693" s="69"/>
      <c r="K693" s="69"/>
      <c r="L693" s="69"/>
      <c r="M693" s="69"/>
      <c r="N693" s="69"/>
      <c r="O693" s="69"/>
      <c r="P693" s="69"/>
      <c r="Q693" s="69"/>
      <c r="R693" s="69"/>
      <c r="S693" s="69"/>
      <c r="T693" s="69"/>
      <c r="U693" s="69"/>
      <c r="V693" s="69"/>
      <c r="W693" s="69"/>
      <c r="X693" s="69"/>
      <c r="Y693" s="69"/>
      <c r="Z693" s="69"/>
      <c r="AA693" s="69"/>
      <c r="AB693" s="69"/>
      <c r="AC693" s="69"/>
    </row>
    <row r="694" spans="3:350" x14ac:dyDescent="0.3">
      <c r="C694" s="69"/>
      <c r="D694" s="69"/>
      <c r="E694" s="69"/>
      <c r="F694" s="289" t="s">
        <v>101</v>
      </c>
      <c r="G694" s="289"/>
      <c r="H694" s="289" t="s">
        <v>334</v>
      </c>
      <c r="I694" s="289"/>
      <c r="J694" s="289" t="s">
        <v>523</v>
      </c>
      <c r="K694" s="69"/>
      <c r="L694" s="401" t="s">
        <v>524</v>
      </c>
      <c r="M694" s="69"/>
      <c r="N694" s="69"/>
      <c r="O694" s="69"/>
      <c r="P694" s="69"/>
      <c r="Q694" s="69"/>
      <c r="R694" s="69"/>
      <c r="S694" s="69"/>
      <c r="T694" s="69"/>
      <c r="U694" s="69"/>
      <c r="V694" s="69"/>
      <c r="W694" s="69"/>
      <c r="X694" s="69"/>
      <c r="Y694" s="69"/>
      <c r="Z694" s="69"/>
      <c r="AA694" s="69"/>
      <c r="AB694" s="69"/>
      <c r="AC694" s="69"/>
      <c r="LA694">
        <v>2050</v>
      </c>
    </row>
    <row r="695" spans="3:350" x14ac:dyDescent="0.3">
      <c r="C695" s="69" t="s">
        <v>335</v>
      </c>
      <c r="D695" s="69"/>
      <c r="E695" s="69"/>
      <c r="F695" s="289" t="s">
        <v>103</v>
      </c>
      <c r="G695" s="289"/>
      <c r="H695" s="322">
        <v>190966.19846044178</v>
      </c>
      <c r="I695" s="289"/>
      <c r="J695" s="323">
        <f>KG656</f>
        <v>162171.14448069947</v>
      </c>
      <c r="K695" s="69"/>
      <c r="L695" s="402">
        <f>KI656</f>
        <v>0</v>
      </c>
      <c r="M695" s="69" t="s">
        <v>336</v>
      </c>
      <c r="N695" s="69"/>
      <c r="O695" s="69"/>
      <c r="P695" s="69"/>
      <c r="Q695" s="69"/>
      <c r="R695" s="69"/>
      <c r="S695" s="69"/>
      <c r="T695" s="69"/>
      <c r="U695" s="69"/>
      <c r="V695" s="69"/>
      <c r="W695" s="69"/>
      <c r="X695" s="69"/>
      <c r="Y695" s="69"/>
      <c r="Z695" s="69"/>
      <c r="AA695" s="69"/>
      <c r="AB695" s="69"/>
      <c r="AC695" s="69"/>
      <c r="LA695" s="324">
        <f>LA656</f>
        <v>162171.14448069947</v>
      </c>
    </row>
    <row r="696" spans="3:350" x14ac:dyDescent="0.3">
      <c r="C696" s="69" t="s">
        <v>337</v>
      </c>
      <c r="D696" s="69"/>
      <c r="E696" s="69"/>
      <c r="F696" s="289" t="s">
        <v>123</v>
      </c>
      <c r="G696" s="289"/>
      <c r="H696" s="325" t="s">
        <v>338</v>
      </c>
      <c r="I696" s="289"/>
      <c r="J696" s="326">
        <f>KG647</f>
        <v>0.21428571428571427</v>
      </c>
      <c r="K696" s="69"/>
      <c r="L696" s="403">
        <f>LR647</f>
        <v>0.1</v>
      </c>
      <c r="M696" s="69" t="s">
        <v>339</v>
      </c>
      <c r="N696" s="69"/>
      <c r="O696" s="69"/>
      <c r="P696" s="69"/>
      <c r="Q696" s="69"/>
      <c r="R696" s="69"/>
      <c r="S696" s="69"/>
      <c r="T696" s="69"/>
      <c r="U696" s="69"/>
      <c r="V696" s="69"/>
      <c r="W696" s="69"/>
      <c r="X696" s="69"/>
      <c r="Y696" s="69"/>
      <c r="Z696" s="69"/>
      <c r="AA696" s="69"/>
      <c r="AB696" s="69"/>
      <c r="AC696" s="69"/>
      <c r="LA696" s="327">
        <f>LA647</f>
        <v>0.52857142857142858</v>
      </c>
    </row>
    <row r="697" spans="3:350" x14ac:dyDescent="0.3">
      <c r="C697" s="69" t="s">
        <v>340</v>
      </c>
      <c r="D697" s="69"/>
      <c r="E697" s="69"/>
      <c r="F697" s="289" t="s">
        <v>123</v>
      </c>
      <c r="G697" s="289"/>
      <c r="H697" s="326">
        <v>0.36</v>
      </c>
      <c r="I697" s="289"/>
      <c r="J697" s="326">
        <f>KG668</f>
        <v>-0.23321113981253161</v>
      </c>
      <c r="K697" s="69"/>
      <c r="L697" s="403">
        <f>LR668</f>
        <v>-0.16007939636792945</v>
      </c>
      <c r="M697" s="69" t="s">
        <v>341</v>
      </c>
      <c r="N697" s="69"/>
      <c r="O697" s="69"/>
      <c r="P697" s="69"/>
      <c r="Q697" s="69"/>
      <c r="R697" s="69"/>
      <c r="S697" s="69"/>
      <c r="T697" s="69"/>
      <c r="U697" s="69"/>
      <c r="V697" s="69"/>
      <c r="W697" s="69"/>
      <c r="X697" s="69"/>
      <c r="Y697" s="69"/>
      <c r="Z697" s="69"/>
      <c r="AA697" s="69"/>
      <c r="AB697" s="69"/>
      <c r="AC697" s="69"/>
      <c r="LA697" s="327">
        <f>LA668</f>
        <v>-0.56290024262180594</v>
      </c>
    </row>
    <row r="698" spans="3:350" x14ac:dyDescent="0.3">
      <c r="C698" s="69" t="s">
        <v>342</v>
      </c>
      <c r="D698" s="69"/>
      <c r="E698" s="69"/>
      <c r="F698" s="289" t="s">
        <v>123</v>
      </c>
      <c r="G698" s="289"/>
      <c r="H698" s="326">
        <v>0.21</v>
      </c>
      <c r="I698" s="289"/>
      <c r="J698" s="326">
        <f>KG650</f>
        <v>0.23333333333333334</v>
      </c>
      <c r="K698" s="69"/>
      <c r="L698" s="403">
        <f>LR650</f>
        <v>0.13333333333333333</v>
      </c>
      <c r="M698" s="69" t="s">
        <v>343</v>
      </c>
      <c r="N698" s="69"/>
      <c r="O698" s="69"/>
      <c r="P698" s="69"/>
      <c r="Q698" s="69"/>
      <c r="R698" s="69"/>
      <c r="S698" s="69"/>
      <c r="T698" s="69"/>
      <c r="U698" s="69"/>
      <c r="V698" s="69"/>
      <c r="W698" s="69"/>
      <c r="X698" s="69"/>
      <c r="Y698" s="69"/>
      <c r="Z698" s="69"/>
      <c r="AA698" s="69"/>
      <c r="AB698" s="69"/>
      <c r="AC698" s="69"/>
      <c r="LA698" s="327">
        <f>LA650</f>
        <v>0.4</v>
      </c>
    </row>
    <row r="699" spans="3:350" x14ac:dyDescent="0.3">
      <c r="C699" s="69" t="s">
        <v>344</v>
      </c>
      <c r="D699" s="69"/>
      <c r="E699" s="69"/>
      <c r="F699" s="289" t="s">
        <v>123</v>
      </c>
      <c r="G699" s="289"/>
      <c r="H699" s="325" t="s">
        <v>338</v>
      </c>
      <c r="I699" s="289"/>
      <c r="J699" s="326">
        <f>KG648</f>
        <v>0.5</v>
      </c>
      <c r="K699" s="69"/>
      <c r="L699" s="403">
        <f>LR648</f>
        <v>0.1</v>
      </c>
      <c r="M699" s="69" t="s">
        <v>345</v>
      </c>
      <c r="N699" s="69"/>
      <c r="O699" s="69"/>
      <c r="P699" s="69"/>
      <c r="Q699" s="69"/>
      <c r="R699" s="69"/>
      <c r="S699" s="69"/>
      <c r="T699" s="69"/>
      <c r="U699" s="69"/>
      <c r="V699" s="69"/>
      <c r="W699" s="69"/>
      <c r="X699" s="69"/>
      <c r="Y699" s="69"/>
      <c r="Z699" s="69"/>
      <c r="AA699" s="69"/>
      <c r="AB699" s="69"/>
      <c r="AC699" s="69"/>
      <c r="LA699" s="327">
        <f>LA648</f>
        <v>0.6875</v>
      </c>
    </row>
    <row r="700" spans="3:350" x14ac:dyDescent="0.3">
      <c r="C700" s="69" t="s">
        <v>346</v>
      </c>
      <c r="D700" s="69"/>
      <c r="E700" s="69"/>
      <c r="F700" s="289" t="s">
        <v>103</v>
      </c>
      <c r="G700" s="289"/>
      <c r="H700" s="289" t="s">
        <v>347</v>
      </c>
      <c r="I700" s="289"/>
      <c r="J700" s="322">
        <f>KG653</f>
        <v>7416.363314666135</v>
      </c>
      <c r="K700" s="69"/>
      <c r="L700" s="404">
        <f>LR653</f>
        <v>11371.757082488073</v>
      </c>
      <c r="M700" s="69" t="s">
        <v>348</v>
      </c>
      <c r="N700" s="69"/>
      <c r="O700" s="69"/>
      <c r="P700" s="69"/>
      <c r="Q700" s="69"/>
      <c r="R700" s="69"/>
      <c r="S700" s="69"/>
      <c r="T700" s="69"/>
      <c r="U700" s="69"/>
      <c r="V700" s="69"/>
      <c r="W700" s="69"/>
      <c r="X700" s="69"/>
      <c r="Y700" s="69"/>
      <c r="Z700" s="69"/>
      <c r="AA700" s="69"/>
      <c r="AB700" s="69"/>
      <c r="AC700" s="69"/>
      <c r="LA700" s="241">
        <f>LA653</f>
        <v>0</v>
      </c>
    </row>
    <row r="701" spans="3:350" x14ac:dyDescent="0.3">
      <c r="C701" s="69" t="s">
        <v>349</v>
      </c>
      <c r="D701" s="69"/>
      <c r="E701" s="69"/>
      <c r="F701" s="289" t="s">
        <v>103</v>
      </c>
      <c r="G701" s="289"/>
      <c r="H701" s="289" t="s">
        <v>347</v>
      </c>
      <c r="I701" s="289"/>
      <c r="J701" s="323">
        <f>KG652</f>
        <v>399000.34632903809</v>
      </c>
      <c r="K701" s="69"/>
      <c r="L701" s="404">
        <f>LR654</f>
        <v>112234.2981619475</v>
      </c>
      <c r="M701" s="69" t="s">
        <v>350</v>
      </c>
      <c r="N701" s="69"/>
      <c r="O701" s="69"/>
      <c r="P701" s="69"/>
      <c r="Q701" s="69"/>
      <c r="R701" s="69"/>
      <c r="S701" s="69"/>
      <c r="T701" s="69"/>
      <c r="U701" s="69"/>
      <c r="V701" s="69"/>
      <c r="W701" s="69"/>
      <c r="X701" s="69"/>
      <c r="Y701" s="69"/>
      <c r="Z701" s="69"/>
      <c r="AA701" s="69"/>
      <c r="AB701" s="69"/>
      <c r="AC701" s="69"/>
      <c r="LA701" s="328">
        <f>LA652</f>
        <v>59330.90651732908</v>
      </c>
    </row>
    <row r="702" spans="3:350" x14ac:dyDescent="0.3">
      <c r="C702" s="69"/>
      <c r="D702" s="69"/>
      <c r="E702" s="69"/>
      <c r="F702" s="69"/>
      <c r="G702" s="69"/>
      <c r="H702" s="69"/>
      <c r="I702" s="69"/>
      <c r="J702" s="69"/>
      <c r="K702" s="69"/>
      <c r="L702" s="69"/>
      <c r="M702" s="69"/>
      <c r="N702" s="69"/>
      <c r="O702" s="69"/>
      <c r="P702" s="69"/>
      <c r="Q702" s="69"/>
      <c r="R702" s="69"/>
      <c r="S702" s="69"/>
      <c r="T702" s="69"/>
      <c r="U702" s="69"/>
      <c r="V702" s="69"/>
      <c r="W702" s="69"/>
      <c r="X702" s="69"/>
      <c r="Y702" s="69"/>
      <c r="Z702" s="69"/>
      <c r="AA702" s="69"/>
      <c r="AB702" s="69"/>
      <c r="AC702" s="69"/>
    </row>
    <row r="703" spans="3:350" x14ac:dyDescent="0.3">
      <c r="C703" s="69"/>
      <c r="D703" s="69"/>
      <c r="E703" s="69"/>
      <c r="F703" s="69"/>
      <c r="G703" s="69"/>
      <c r="H703" s="69"/>
      <c r="I703" s="69"/>
      <c r="J703" s="69"/>
      <c r="K703" s="69"/>
      <c r="L703" s="69"/>
      <c r="M703" s="69"/>
      <c r="N703" s="69"/>
      <c r="O703" s="69"/>
      <c r="P703" s="69"/>
      <c r="Q703" s="69"/>
      <c r="R703" s="69"/>
      <c r="S703" s="69"/>
      <c r="T703" s="69"/>
      <c r="U703" s="69"/>
      <c r="V703" s="69"/>
      <c r="W703" s="69"/>
      <c r="X703" s="69"/>
      <c r="Y703" s="69"/>
      <c r="Z703" s="69"/>
      <c r="AA703" s="69"/>
      <c r="AB703" s="69"/>
      <c r="AC703" s="69"/>
    </row>
    <row r="704" spans="3:350" x14ac:dyDescent="0.3">
      <c r="C704" s="69" t="s">
        <v>351</v>
      </c>
      <c r="D704" s="69"/>
      <c r="E704" s="69"/>
      <c r="F704" s="69"/>
      <c r="G704" s="69"/>
      <c r="H704" s="69"/>
      <c r="I704" s="69"/>
      <c r="J704" s="69"/>
      <c r="K704" s="69"/>
      <c r="L704" s="69"/>
      <c r="M704" s="69"/>
      <c r="N704" s="69"/>
      <c r="O704" s="69"/>
      <c r="P704" s="69"/>
      <c r="Q704" s="69"/>
      <c r="R704" s="69"/>
      <c r="S704" s="69"/>
      <c r="T704" s="69"/>
      <c r="U704" s="69"/>
      <c r="V704" s="69"/>
      <c r="W704" s="69"/>
      <c r="X704" s="69"/>
      <c r="Y704" s="69"/>
      <c r="Z704" s="69"/>
      <c r="AA704" s="69"/>
      <c r="AB704" s="69"/>
      <c r="AC704" s="69"/>
    </row>
    <row r="705" spans="3:29" x14ac:dyDescent="0.3">
      <c r="C705" s="69" t="s">
        <v>352</v>
      </c>
      <c r="D705" s="69"/>
      <c r="E705" s="69"/>
      <c r="F705" s="69"/>
      <c r="G705" s="69"/>
      <c r="H705" s="69"/>
      <c r="I705" s="69"/>
      <c r="J705" s="69"/>
      <c r="K705" s="69"/>
      <c r="L705" s="69"/>
      <c r="M705" s="69"/>
      <c r="N705" s="69"/>
      <c r="O705" s="69"/>
      <c r="P705" s="69"/>
      <c r="Q705" s="69"/>
      <c r="R705" s="69"/>
      <c r="S705" s="69"/>
      <c r="T705" s="69"/>
      <c r="U705" s="69"/>
      <c r="V705" s="69"/>
      <c r="W705" s="69"/>
      <c r="X705" s="69"/>
      <c r="Y705" s="69"/>
      <c r="Z705" s="69"/>
      <c r="AA705" s="69"/>
      <c r="AB705" s="69"/>
      <c r="AC705" s="69"/>
    </row>
    <row r="706" spans="3:29" x14ac:dyDescent="0.3">
      <c r="C706" s="69" t="s">
        <v>353</v>
      </c>
      <c r="D706" s="69"/>
      <c r="E706" s="69"/>
      <c r="F706" s="69"/>
      <c r="G706" s="69"/>
      <c r="H706" s="69"/>
      <c r="I706" s="69"/>
      <c r="J706" s="69"/>
      <c r="K706" s="69"/>
      <c r="L706" s="69"/>
      <c r="M706" s="69"/>
      <c r="N706" s="69"/>
      <c r="O706" s="69"/>
      <c r="P706" s="69"/>
      <c r="Q706" s="69"/>
      <c r="R706" s="69"/>
      <c r="S706" s="69"/>
      <c r="T706" s="69"/>
      <c r="U706" s="69"/>
      <c r="V706" s="69"/>
      <c r="W706" s="69"/>
      <c r="X706" s="69"/>
      <c r="Y706" s="69"/>
      <c r="Z706" s="69"/>
      <c r="AA706" s="69"/>
      <c r="AB706" s="69"/>
      <c r="AC706" s="69"/>
    </row>
    <row r="707" spans="3:29" x14ac:dyDescent="0.3">
      <c r="C707" s="76" t="s">
        <v>354</v>
      </c>
      <c r="D707" s="69"/>
      <c r="E707" s="69"/>
      <c r="F707" s="69"/>
      <c r="G707" s="69"/>
      <c r="H707" s="69"/>
      <c r="I707" s="69"/>
      <c r="J707" s="69"/>
      <c r="K707" s="69"/>
      <c r="L707" s="69"/>
      <c r="M707" s="69"/>
      <c r="N707" s="69"/>
      <c r="O707" s="69"/>
      <c r="P707" s="69"/>
      <c r="Q707" s="69"/>
      <c r="R707" s="69"/>
      <c r="S707" s="69"/>
      <c r="T707" s="69"/>
      <c r="U707" s="69"/>
      <c r="V707" s="69"/>
      <c r="W707" s="69"/>
      <c r="X707" s="69"/>
      <c r="Y707" s="69"/>
      <c r="Z707" s="69"/>
      <c r="AA707" s="69"/>
      <c r="AB707" s="69"/>
      <c r="AC707" s="69"/>
    </row>
    <row r="708" spans="3:29" x14ac:dyDescent="0.3">
      <c r="C708" s="76" t="s">
        <v>355</v>
      </c>
      <c r="D708" s="69"/>
      <c r="E708" s="69"/>
      <c r="F708" s="69"/>
      <c r="G708" s="69"/>
      <c r="H708" s="69"/>
      <c r="I708" s="69"/>
      <c r="J708" s="69"/>
      <c r="K708" s="69"/>
      <c r="L708" s="69"/>
      <c r="M708" s="69"/>
      <c r="N708" s="69"/>
      <c r="O708" s="69"/>
      <c r="P708" s="69"/>
      <c r="Q708" s="69"/>
      <c r="R708" s="69"/>
      <c r="S708" s="69"/>
      <c r="T708" s="69"/>
      <c r="U708" s="69"/>
      <c r="V708" s="69"/>
      <c r="W708" s="69"/>
      <c r="X708" s="69"/>
      <c r="Y708" s="69"/>
      <c r="Z708" s="69"/>
      <c r="AA708" s="69"/>
      <c r="AB708" s="69"/>
      <c r="AC708" s="69"/>
    </row>
    <row r="709" spans="3:29" x14ac:dyDescent="0.3">
      <c r="C709" s="76" t="s">
        <v>356</v>
      </c>
      <c r="D709" s="69"/>
      <c r="E709" s="69"/>
      <c r="F709" s="69"/>
      <c r="G709" s="69"/>
      <c r="H709" s="69"/>
      <c r="I709" s="69"/>
      <c r="J709" s="69"/>
      <c r="K709" s="69"/>
      <c r="L709" s="69"/>
      <c r="M709" s="69"/>
      <c r="N709" s="69"/>
      <c r="O709" s="69"/>
      <c r="P709" s="69"/>
      <c r="Q709" s="69"/>
      <c r="R709" s="69"/>
      <c r="S709" s="69"/>
      <c r="T709" s="69"/>
      <c r="U709" s="69"/>
      <c r="V709" s="69"/>
      <c r="W709" s="69"/>
      <c r="X709" s="69"/>
      <c r="Y709" s="69"/>
      <c r="Z709" s="69"/>
      <c r="AA709" s="69"/>
      <c r="AB709" s="69"/>
      <c r="AC709" s="69"/>
    </row>
    <row r="710" spans="3:29" x14ac:dyDescent="0.3">
      <c r="C710" s="76" t="s">
        <v>357</v>
      </c>
      <c r="D710" s="69"/>
      <c r="E710" s="69"/>
      <c r="F710" s="69"/>
      <c r="G710" s="69"/>
      <c r="H710" s="69"/>
      <c r="I710" s="69"/>
      <c r="J710" s="69"/>
      <c r="K710" s="69"/>
      <c r="L710" s="69"/>
      <c r="M710" s="69"/>
      <c r="N710" s="69"/>
      <c r="O710" s="69"/>
      <c r="P710" s="69"/>
      <c r="Q710" s="69"/>
      <c r="R710" s="69"/>
      <c r="S710" s="69"/>
      <c r="T710" s="69"/>
      <c r="U710" s="69"/>
      <c r="V710" s="69"/>
      <c r="W710" s="69"/>
      <c r="X710" s="69"/>
      <c r="Y710" s="69"/>
      <c r="Z710" s="69"/>
      <c r="AA710" s="69"/>
      <c r="AB710" s="69"/>
      <c r="AC710" s="69"/>
    </row>
    <row r="711" spans="3:29" x14ac:dyDescent="0.3">
      <c r="C711" s="76" t="s">
        <v>358</v>
      </c>
      <c r="D711" s="69"/>
      <c r="E711" s="69"/>
      <c r="F711" s="69"/>
      <c r="G711" s="69"/>
      <c r="H711" s="69"/>
      <c r="I711" s="69"/>
      <c r="J711" s="69"/>
      <c r="K711" s="69"/>
      <c r="L711" s="69"/>
      <c r="M711" s="69"/>
      <c r="N711" s="69"/>
      <c r="O711" s="69"/>
      <c r="P711" s="69"/>
      <c r="Q711" s="69"/>
      <c r="R711" s="69"/>
      <c r="S711" s="69"/>
      <c r="T711" s="69"/>
      <c r="U711" s="69"/>
      <c r="V711" s="69"/>
      <c r="W711" s="69"/>
      <c r="X711" s="69"/>
      <c r="Y711" s="69"/>
      <c r="Z711" s="69"/>
      <c r="AA711" s="69"/>
      <c r="AB711" s="69"/>
      <c r="AC711" s="69"/>
    </row>
    <row r="712" spans="3:29" x14ac:dyDescent="0.3">
      <c r="C712" s="76" t="s">
        <v>359</v>
      </c>
      <c r="D712" s="69"/>
      <c r="E712" s="69"/>
      <c r="F712" s="69"/>
      <c r="G712" s="69"/>
      <c r="H712" s="69"/>
      <c r="I712" s="69"/>
      <c r="J712" s="69"/>
      <c r="K712" s="69"/>
      <c r="L712" s="69"/>
      <c r="M712" s="69"/>
      <c r="N712" s="69"/>
      <c r="O712" s="69"/>
      <c r="P712" s="69"/>
      <c r="Q712" s="69"/>
      <c r="R712" s="69"/>
      <c r="S712" s="69"/>
      <c r="T712" s="69"/>
      <c r="U712" s="69"/>
      <c r="V712" s="69"/>
      <c r="W712" s="69"/>
      <c r="X712" s="69"/>
      <c r="Y712" s="69"/>
      <c r="Z712" s="69"/>
      <c r="AA712" s="69"/>
      <c r="AB712" s="69"/>
      <c r="AC712" s="69"/>
    </row>
    <row r="713" spans="3:29" x14ac:dyDescent="0.3">
      <c r="C713" s="76"/>
      <c r="D713" s="69"/>
      <c r="E713" s="69"/>
      <c r="F713" s="69"/>
      <c r="G713" s="69"/>
      <c r="H713" s="69"/>
      <c r="I713" s="69"/>
      <c r="J713" s="69"/>
      <c r="K713" s="69"/>
      <c r="L713" s="69"/>
      <c r="M713" s="69"/>
      <c r="N713" s="69"/>
      <c r="O713" s="69"/>
      <c r="P713" s="69"/>
      <c r="Q713" s="69"/>
      <c r="R713" s="69"/>
      <c r="S713" s="69"/>
      <c r="T713" s="69"/>
      <c r="U713" s="69"/>
      <c r="V713" s="69"/>
      <c r="W713" s="69"/>
      <c r="X713" s="69"/>
      <c r="Y713" s="69"/>
      <c r="Z713" s="69"/>
      <c r="AA713" s="69"/>
      <c r="AB713" s="69"/>
      <c r="AC713" s="69"/>
    </row>
    <row r="714" spans="3:29" x14ac:dyDescent="0.3">
      <c r="C714" s="75" t="s">
        <v>360</v>
      </c>
      <c r="D714" s="69"/>
      <c r="E714" s="69"/>
      <c r="F714" s="69"/>
      <c r="G714" s="69"/>
      <c r="H714" s="69"/>
      <c r="I714" s="69"/>
      <c r="J714" s="69"/>
      <c r="K714" s="69"/>
      <c r="L714" s="69"/>
      <c r="M714" s="69"/>
      <c r="N714" s="69"/>
      <c r="O714" s="69"/>
      <c r="P714" s="69"/>
      <c r="Q714" s="69"/>
      <c r="R714" s="69"/>
      <c r="S714" s="69"/>
      <c r="T714" s="69"/>
      <c r="U714" s="69"/>
      <c r="V714" s="69"/>
      <c r="W714" s="69"/>
      <c r="X714" s="69"/>
      <c r="Y714" s="69"/>
      <c r="Z714" s="69"/>
      <c r="AA714" s="69"/>
      <c r="AB714" s="69"/>
      <c r="AC714" s="69"/>
    </row>
    <row r="715" spans="3:29" x14ac:dyDescent="0.3">
      <c r="C715" s="76"/>
      <c r="D715" s="69"/>
      <c r="E715" s="69"/>
      <c r="F715" s="69"/>
      <c r="G715" s="69"/>
      <c r="H715" s="69"/>
      <c r="I715" s="69"/>
      <c r="J715" s="69"/>
      <c r="K715" s="69"/>
      <c r="L715" s="69"/>
      <c r="M715" s="69"/>
      <c r="N715" s="69"/>
      <c r="O715" s="69"/>
      <c r="P715" s="69"/>
      <c r="Q715" s="69"/>
      <c r="R715" s="69"/>
      <c r="S715" s="69"/>
      <c r="T715" s="69"/>
      <c r="U715" s="69"/>
      <c r="V715" s="69"/>
      <c r="W715" s="69"/>
      <c r="X715" s="69"/>
      <c r="Y715" s="69"/>
      <c r="Z715" s="69"/>
      <c r="AA715" s="69"/>
      <c r="AB715" s="69"/>
      <c r="AC715" s="69"/>
    </row>
    <row r="716" spans="3:29" x14ac:dyDescent="0.3">
      <c r="C716" s="69" t="s">
        <v>361</v>
      </c>
      <c r="D716" s="69"/>
      <c r="F716" s="69"/>
      <c r="G716" s="69"/>
      <c r="H716" s="69"/>
      <c r="I716" s="69"/>
      <c r="J716" s="69"/>
      <c r="K716" s="69"/>
      <c r="L716" s="69"/>
      <c r="M716" s="69"/>
      <c r="N716" s="69"/>
      <c r="O716" s="69"/>
      <c r="P716" s="69"/>
      <c r="Q716" s="69"/>
      <c r="R716" s="69"/>
      <c r="S716" s="69"/>
      <c r="T716" s="69"/>
      <c r="U716" s="69"/>
      <c r="V716" s="69"/>
      <c r="W716" s="69"/>
      <c r="X716" s="69"/>
      <c r="Y716" s="69"/>
      <c r="Z716" s="69"/>
      <c r="AA716" s="69"/>
      <c r="AB716" s="69"/>
      <c r="AC716" s="69"/>
    </row>
    <row r="717" spans="3:29" x14ac:dyDescent="0.3">
      <c r="C717" s="329" t="s">
        <v>362</v>
      </c>
      <c r="D717" s="69"/>
      <c r="F717" s="69"/>
      <c r="G717" s="69"/>
      <c r="H717" s="69"/>
      <c r="I717" s="69"/>
      <c r="J717" s="69"/>
      <c r="K717" s="69"/>
      <c r="L717" s="69"/>
      <c r="M717" s="69"/>
      <c r="N717" s="69"/>
      <c r="O717" s="69"/>
      <c r="P717" s="69"/>
      <c r="Q717" s="69"/>
      <c r="R717" s="69"/>
      <c r="S717" s="69"/>
      <c r="T717" s="69"/>
      <c r="U717" s="69"/>
      <c r="V717" s="69"/>
      <c r="W717" s="69"/>
      <c r="X717" s="69"/>
      <c r="Y717" s="69"/>
      <c r="Z717" s="69"/>
      <c r="AA717" s="69"/>
      <c r="AB717" s="69"/>
      <c r="AC717" s="69"/>
    </row>
    <row r="718" spans="3:29" x14ac:dyDescent="0.3">
      <c r="C718" s="329" t="s">
        <v>363</v>
      </c>
      <c r="D718" s="69"/>
      <c r="F718" s="69"/>
      <c r="G718" s="69"/>
      <c r="H718" s="69"/>
      <c r="I718" s="69"/>
      <c r="J718" s="69"/>
      <c r="K718" s="69"/>
      <c r="L718" s="69"/>
      <c r="M718" s="69"/>
      <c r="N718" s="69"/>
      <c r="O718" s="69"/>
      <c r="P718" s="69"/>
      <c r="Q718" s="69"/>
      <c r="R718" s="69"/>
      <c r="S718" s="69"/>
      <c r="T718" s="69"/>
      <c r="U718" s="69"/>
      <c r="V718" s="69"/>
      <c r="W718" s="69"/>
      <c r="X718" s="69"/>
      <c r="Y718" s="69"/>
      <c r="Z718" s="69"/>
      <c r="AA718" s="69"/>
      <c r="AB718" s="69"/>
      <c r="AC718" s="69"/>
    </row>
    <row r="719" spans="3:29" x14ac:dyDescent="0.3">
      <c r="C719" s="69"/>
      <c r="D719" s="69"/>
      <c r="E719" s="69"/>
      <c r="F719" s="69"/>
      <c r="G719" s="69"/>
      <c r="H719" s="69"/>
      <c r="K719" s="69"/>
      <c r="L719" s="69"/>
      <c r="M719" s="69"/>
      <c r="N719" s="69"/>
      <c r="O719" s="69"/>
      <c r="P719" s="69"/>
      <c r="Q719" s="69"/>
      <c r="R719" s="69"/>
      <c r="S719" s="69"/>
      <c r="T719" s="69"/>
      <c r="U719" s="69"/>
      <c r="V719" s="69"/>
      <c r="W719" s="69"/>
      <c r="X719" s="69"/>
      <c r="Y719" s="69"/>
      <c r="Z719" s="69"/>
      <c r="AA719" s="69"/>
      <c r="AB719" s="69"/>
      <c r="AC719" s="69"/>
    </row>
    <row r="720" spans="3:29" x14ac:dyDescent="0.3">
      <c r="C720" s="398" t="s">
        <v>513</v>
      </c>
      <c r="D720" s="398"/>
      <c r="E720" s="398"/>
      <c r="F720" s="398"/>
      <c r="G720" s="398"/>
      <c r="H720" s="398"/>
      <c r="K720" s="69"/>
      <c r="L720" s="69"/>
      <c r="M720" s="69"/>
      <c r="N720" s="69"/>
      <c r="O720" s="69"/>
      <c r="P720" s="69"/>
      <c r="Q720" s="69"/>
      <c r="R720" s="69"/>
      <c r="S720" s="69"/>
      <c r="T720" s="69"/>
      <c r="U720" s="69"/>
      <c r="V720" s="69"/>
      <c r="W720" s="69"/>
      <c r="X720" s="69"/>
      <c r="Y720" s="69"/>
      <c r="Z720" s="69"/>
      <c r="AA720" s="69"/>
      <c r="AB720" s="69"/>
      <c r="AC720" s="69"/>
    </row>
    <row r="721" spans="3:29" x14ac:dyDescent="0.3">
      <c r="C721" s="428" t="s">
        <v>532</v>
      </c>
      <c r="D721" s="398"/>
      <c r="E721" s="398"/>
      <c r="F721" s="398"/>
      <c r="G721" s="398"/>
      <c r="H721" s="398"/>
      <c r="K721" s="69"/>
      <c r="L721" s="69"/>
      <c r="M721" s="69"/>
      <c r="N721" s="69"/>
      <c r="O721" s="69"/>
      <c r="P721" s="69"/>
      <c r="Q721" s="69"/>
      <c r="R721" s="69"/>
      <c r="S721" s="69"/>
      <c r="T721" s="69"/>
      <c r="U721" s="69"/>
      <c r="V721" s="69"/>
      <c r="W721" s="69"/>
      <c r="X721" s="69"/>
      <c r="Y721" s="69"/>
      <c r="Z721" s="69"/>
      <c r="AA721" s="69"/>
      <c r="AB721" s="69"/>
      <c r="AC721" s="69"/>
    </row>
    <row r="722" spans="3:29" x14ac:dyDescent="0.3">
      <c r="C722" s="428" t="s">
        <v>530</v>
      </c>
      <c r="D722" s="398"/>
      <c r="E722" s="398"/>
      <c r="F722" s="398"/>
      <c r="G722" s="398"/>
      <c r="H722" s="398"/>
      <c r="K722" s="69"/>
      <c r="L722" s="69"/>
      <c r="M722" s="69"/>
      <c r="N722" s="69"/>
      <c r="O722" s="69"/>
      <c r="P722" s="69"/>
      <c r="Q722" s="69"/>
      <c r="R722" s="69"/>
      <c r="S722" s="69"/>
      <c r="T722" s="69"/>
      <c r="U722" s="69"/>
      <c r="V722" s="69"/>
      <c r="W722" s="69"/>
      <c r="X722" s="69"/>
      <c r="Y722" s="69"/>
      <c r="Z722" s="69"/>
      <c r="AA722" s="69"/>
      <c r="AB722" s="69"/>
      <c r="AC722" s="69"/>
    </row>
    <row r="723" spans="3:29" x14ac:dyDescent="0.3">
      <c r="C723" s="428" t="s">
        <v>531</v>
      </c>
      <c r="D723" s="398"/>
      <c r="E723" s="398"/>
      <c r="F723" s="398"/>
      <c r="G723" s="398"/>
      <c r="H723" s="398"/>
      <c r="K723" s="69"/>
      <c r="L723" s="69"/>
      <c r="M723" s="69"/>
      <c r="N723" s="69"/>
      <c r="O723" s="69"/>
      <c r="P723" s="69"/>
      <c r="Q723" s="69"/>
      <c r="R723" s="69"/>
      <c r="S723" s="69"/>
      <c r="T723" s="69"/>
      <c r="U723" s="69"/>
      <c r="V723" s="69"/>
      <c r="W723" s="69"/>
      <c r="X723" s="69"/>
      <c r="Y723" s="69"/>
      <c r="Z723" s="69"/>
      <c r="AA723" s="69"/>
      <c r="AB723" s="69"/>
      <c r="AC723" s="69"/>
    </row>
    <row r="724" spans="3:29" x14ac:dyDescent="0.3">
      <c r="C724" s="398"/>
      <c r="D724" s="398"/>
      <c r="E724" s="398"/>
      <c r="F724" s="398"/>
      <c r="G724" s="398"/>
      <c r="H724" s="398"/>
      <c r="K724" s="69"/>
      <c r="L724" s="69"/>
      <c r="M724" s="69"/>
      <c r="N724" s="69"/>
      <c r="O724" s="69"/>
      <c r="P724" s="69"/>
      <c r="Q724" s="69"/>
      <c r="R724" s="69"/>
      <c r="S724" s="69"/>
      <c r="T724" s="69"/>
      <c r="U724" s="69"/>
      <c r="V724" s="69"/>
      <c r="W724" s="69"/>
      <c r="X724" s="69"/>
      <c r="Y724" s="69"/>
      <c r="Z724" s="69"/>
      <c r="AA724" s="69"/>
      <c r="AB724" s="69"/>
      <c r="AC724" s="69"/>
    </row>
    <row r="725" spans="3:29" x14ac:dyDescent="0.3">
      <c r="C725" s="398" t="s">
        <v>509</v>
      </c>
      <c r="D725" s="398"/>
      <c r="E725" s="398"/>
      <c r="F725" s="398"/>
      <c r="G725" s="398"/>
      <c r="H725" s="398"/>
      <c r="K725" s="69"/>
      <c r="L725" s="69"/>
      <c r="M725" s="69"/>
      <c r="N725" s="69"/>
      <c r="O725" s="69"/>
      <c r="P725" s="69"/>
      <c r="Q725" s="69"/>
      <c r="R725" s="69"/>
      <c r="S725" s="69"/>
      <c r="T725" s="69"/>
      <c r="U725" s="69"/>
      <c r="V725" s="69"/>
      <c r="W725" s="69"/>
      <c r="X725" s="69"/>
      <c r="Y725" s="69"/>
      <c r="Z725" s="69"/>
      <c r="AA725" s="69"/>
      <c r="AB725" s="69"/>
      <c r="AC725" s="69"/>
    </row>
    <row r="726" spans="3:29" x14ac:dyDescent="0.3">
      <c r="C726" s="394" t="s">
        <v>528</v>
      </c>
      <c r="D726" s="394"/>
      <c r="F726" s="396" t="s">
        <v>510</v>
      </c>
      <c r="G726" s="396" t="s">
        <v>511</v>
      </c>
      <c r="H726" s="396" t="s">
        <v>536</v>
      </c>
      <c r="I726" s="396" t="s">
        <v>533</v>
      </c>
      <c r="J726" s="396" t="s">
        <v>535</v>
      </c>
      <c r="K726" s="396" t="s">
        <v>534</v>
      </c>
      <c r="M726" s="69"/>
      <c r="N726" s="69"/>
      <c r="O726" s="69"/>
      <c r="P726" s="69"/>
      <c r="Q726" s="69"/>
      <c r="R726" s="69"/>
      <c r="S726" s="69"/>
      <c r="T726" s="69"/>
      <c r="U726" s="69"/>
      <c r="V726" s="69"/>
      <c r="W726" s="69"/>
      <c r="X726" s="69"/>
      <c r="Y726" s="69"/>
      <c r="Z726" s="69"/>
      <c r="AA726" s="69"/>
      <c r="AB726" s="69"/>
      <c r="AC726" s="69"/>
    </row>
    <row r="727" spans="3:29" x14ac:dyDescent="0.3">
      <c r="C727" s="398" t="s">
        <v>298</v>
      </c>
      <c r="D727" s="398"/>
      <c r="F727" s="395">
        <v>-0.30622217160915877</v>
      </c>
      <c r="G727" s="395">
        <f t="shared" ref="G727:G734" si="1113">KG659/JW659-1</f>
        <v>-0.27162197119944786</v>
      </c>
      <c r="H727" s="395">
        <v>-0.26185651000542554</v>
      </c>
      <c r="I727" s="395">
        <v>-0.25661809088557352</v>
      </c>
      <c r="J727" s="395">
        <v>-0.25803384416799713</v>
      </c>
      <c r="K727" s="395">
        <f t="shared" ref="K727:K734" si="1114">LR659/LH659-1</f>
        <v>-0.25661809088557352</v>
      </c>
      <c r="M727" s="69"/>
      <c r="N727" s="69"/>
      <c r="O727" s="69"/>
      <c r="P727" s="69"/>
      <c r="Q727" s="69"/>
      <c r="R727" s="69"/>
      <c r="S727" s="69"/>
      <c r="T727" s="69"/>
      <c r="U727" s="69"/>
      <c r="V727" s="69"/>
      <c r="W727" s="69"/>
      <c r="X727" s="69"/>
      <c r="Y727" s="69"/>
      <c r="Z727" s="69"/>
      <c r="AA727" s="69"/>
      <c r="AB727" s="69"/>
      <c r="AC727" s="69"/>
    </row>
    <row r="728" spans="3:29" x14ac:dyDescent="0.3">
      <c r="C728" s="398" t="s">
        <v>299</v>
      </c>
      <c r="D728" s="398"/>
      <c r="F728" s="395">
        <v>-0.91905271664837573</v>
      </c>
      <c r="G728" s="395">
        <f t="shared" si="1113"/>
        <v>-0.93753470294280949</v>
      </c>
      <c r="H728" s="395">
        <v>-0.91989668896287868</v>
      </c>
      <c r="I728" s="395">
        <v>-0.93753470294280949</v>
      </c>
      <c r="J728" s="395">
        <v>-0.91998956071720084</v>
      </c>
      <c r="K728" s="395">
        <f t="shared" si="1114"/>
        <v>-0.91310383120488614</v>
      </c>
      <c r="M728" s="69"/>
      <c r="N728" s="69"/>
      <c r="O728" s="69"/>
      <c r="P728" s="69"/>
      <c r="Q728" s="69"/>
      <c r="R728" s="69"/>
      <c r="S728" s="69"/>
      <c r="T728" s="69"/>
      <c r="U728" s="69"/>
      <c r="V728" s="69"/>
      <c r="W728" s="69"/>
      <c r="X728" s="69"/>
      <c r="Y728" s="69"/>
      <c r="Z728" s="69"/>
      <c r="AA728" s="69"/>
      <c r="AB728" s="69"/>
      <c r="AC728" s="69"/>
    </row>
    <row r="729" spans="3:29" x14ac:dyDescent="0.3">
      <c r="C729" s="398" t="s">
        <v>309</v>
      </c>
      <c r="D729" s="398"/>
      <c r="F729" s="395">
        <v>-5.2440010637321177E-2</v>
      </c>
      <c r="G729" s="395">
        <f t="shared" si="1113"/>
        <v>-6.2660668380462803E-2</v>
      </c>
      <c r="H729" s="395">
        <v>0.20151600343268283</v>
      </c>
      <c r="I729" s="395">
        <v>0.19325192802056579</v>
      </c>
      <c r="J729" s="395">
        <v>0.16912512877673724</v>
      </c>
      <c r="K729" s="431">
        <f t="shared" si="1114"/>
        <v>0.17165809768637552</v>
      </c>
      <c r="M729" s="69"/>
      <c r="N729" s="69"/>
      <c r="O729" s="69"/>
      <c r="P729" s="69"/>
      <c r="Q729" s="69"/>
      <c r="R729" s="69"/>
      <c r="S729" s="69"/>
      <c r="T729" s="69"/>
      <c r="U729" s="69"/>
      <c r="V729" s="69"/>
      <c r="W729" s="69"/>
      <c r="X729" s="69"/>
      <c r="Y729" s="69"/>
      <c r="Z729" s="69"/>
      <c r="AA729" s="69"/>
      <c r="AB729" s="69"/>
      <c r="AC729" s="69"/>
    </row>
    <row r="730" spans="3:29" ht="14.5" x14ac:dyDescent="0.35">
      <c r="C730" s="420" t="s">
        <v>525</v>
      </c>
      <c r="D730" s="420"/>
      <c r="F730" s="421">
        <v>-0.50199200346356676</v>
      </c>
      <c r="G730" s="421">
        <f t="shared" si="1113"/>
        <v>-0.41822620016273393</v>
      </c>
      <c r="H730" s="421">
        <v>-0.33992473963626091</v>
      </c>
      <c r="I730" s="421">
        <v>-0.15622457282343349</v>
      </c>
      <c r="J730" s="421">
        <v>-0.34690894268380112</v>
      </c>
      <c r="K730" s="421">
        <f t="shared" si="1114"/>
        <v>-0.15622457282343349</v>
      </c>
      <c r="M730" s="69"/>
      <c r="N730" s="69"/>
      <c r="O730" s="69"/>
      <c r="P730" s="69"/>
      <c r="Q730" s="69"/>
      <c r="R730" s="69"/>
      <c r="S730" s="69"/>
      <c r="T730" s="69"/>
      <c r="U730" s="69"/>
      <c r="V730" s="69"/>
      <c r="W730" s="69"/>
      <c r="X730" s="69"/>
      <c r="Y730" s="69"/>
      <c r="Z730" s="69"/>
      <c r="AA730" s="69"/>
      <c r="AB730" s="69"/>
      <c r="AC730" s="69"/>
    </row>
    <row r="731" spans="3:29" ht="14.5" x14ac:dyDescent="0.35">
      <c r="C731" s="420" t="s">
        <v>526</v>
      </c>
      <c r="D731" s="420"/>
      <c r="F731" s="421">
        <v>2.1372732060610251</v>
      </c>
      <c r="G731" s="421">
        <f t="shared" si="1113"/>
        <v>1.2737003058103973</v>
      </c>
      <c r="H731" s="421">
        <v>2.8596742762883656</v>
      </c>
      <c r="I731" s="421">
        <v>1.5067278287461767</v>
      </c>
      <c r="J731" s="421">
        <v>2.702551461551931</v>
      </c>
      <c r="K731" s="421">
        <f t="shared" si="1114"/>
        <v>1.4039755351681955</v>
      </c>
      <c r="M731" s="69"/>
      <c r="N731" s="69"/>
      <c r="O731" s="69"/>
      <c r="P731" s="69"/>
      <c r="Q731" s="69"/>
      <c r="R731" s="69"/>
      <c r="S731" s="69"/>
      <c r="T731" s="69"/>
      <c r="U731" s="69"/>
      <c r="V731" s="69"/>
      <c r="W731" s="69"/>
      <c r="X731" s="69"/>
      <c r="Y731" s="69"/>
      <c r="Z731" s="69"/>
      <c r="AA731" s="69"/>
      <c r="AB731" s="69"/>
      <c r="AC731" s="69"/>
    </row>
    <row r="732" spans="3:29" x14ac:dyDescent="0.3">
      <c r="C732" s="398" t="s">
        <v>302</v>
      </c>
      <c r="D732" s="394"/>
      <c r="F732" s="395">
        <v>1.0435755285311008</v>
      </c>
      <c r="G732" s="395">
        <f t="shared" si="1113"/>
        <v>1.0489510489510483</v>
      </c>
      <c r="H732" s="395">
        <v>1.0296329881586876</v>
      </c>
      <c r="I732" s="395">
        <v>0.99125874125874125</v>
      </c>
      <c r="J732" s="395">
        <v>1.0220483880608944</v>
      </c>
      <c r="K732" s="395">
        <f t="shared" si="1114"/>
        <v>1.0541958041958042</v>
      </c>
      <c r="M732" s="69"/>
      <c r="N732" s="69"/>
      <c r="O732" s="69"/>
      <c r="P732" s="69"/>
      <c r="Q732" s="69"/>
      <c r="R732" s="69"/>
      <c r="S732" s="69"/>
      <c r="T732" s="69"/>
      <c r="U732" s="69"/>
      <c r="V732" s="69"/>
      <c r="W732" s="69"/>
      <c r="X732" s="69"/>
      <c r="Y732" s="69"/>
      <c r="Z732" s="69"/>
      <c r="AA732" s="69"/>
      <c r="AB732" s="69"/>
      <c r="AC732" s="69"/>
    </row>
    <row r="733" spans="3:29" x14ac:dyDescent="0.3">
      <c r="C733" s="398" t="s">
        <v>303</v>
      </c>
      <c r="D733" s="398"/>
      <c r="F733" s="395">
        <v>0.18385900619580431</v>
      </c>
      <c r="G733" s="395">
        <f t="shared" si="1113"/>
        <v>0.3125</v>
      </c>
      <c r="H733" s="395">
        <v>0.39482199976603716</v>
      </c>
      <c r="I733" s="395">
        <v>0.34375</v>
      </c>
      <c r="J733" s="395">
        <v>0.38956201475675423</v>
      </c>
      <c r="K733" s="395">
        <f t="shared" si="1114"/>
        <v>0.46875</v>
      </c>
      <c r="M733" s="69"/>
      <c r="N733" s="69"/>
      <c r="O733" s="69"/>
      <c r="P733" s="69"/>
      <c r="Q733" s="69"/>
      <c r="R733" s="69"/>
      <c r="S733" s="69"/>
      <c r="T733" s="69"/>
      <c r="U733" s="69"/>
      <c r="V733" s="69"/>
      <c r="W733" s="69"/>
      <c r="X733" s="69"/>
      <c r="Y733" s="69"/>
      <c r="Z733" s="69"/>
      <c r="AA733" s="69"/>
      <c r="AB733" s="69"/>
      <c r="AC733" s="69"/>
    </row>
    <row r="734" spans="3:29" x14ac:dyDescent="0.3">
      <c r="C734" s="394" t="s">
        <v>97</v>
      </c>
      <c r="D734" s="394"/>
      <c r="F734" s="397">
        <v>-0.25907477373614574</v>
      </c>
      <c r="G734" s="397">
        <f t="shared" si="1113"/>
        <v>-0.26815856711884545</v>
      </c>
      <c r="H734" s="397">
        <v>-0.19468266160351766</v>
      </c>
      <c r="I734" s="397">
        <v>-0.2044423522892852</v>
      </c>
      <c r="J734" s="397">
        <v>-0.19888694885712499</v>
      </c>
      <c r="K734" s="397">
        <f t="shared" si="1114"/>
        <v>-0.20050408397808195</v>
      </c>
      <c r="M734" s="69"/>
      <c r="N734" s="69"/>
      <c r="O734" s="69"/>
      <c r="P734" s="69"/>
      <c r="Q734" s="69"/>
      <c r="R734" s="69"/>
      <c r="S734" s="69"/>
      <c r="T734" s="69"/>
      <c r="U734" s="69"/>
      <c r="V734" s="69"/>
      <c r="W734" s="69"/>
      <c r="X734" s="69"/>
      <c r="Y734" s="69"/>
      <c r="Z734" s="69"/>
      <c r="AA734" s="69"/>
      <c r="AB734" s="69"/>
      <c r="AC734" s="69"/>
    </row>
    <row r="735" spans="3:29" x14ac:dyDescent="0.3">
      <c r="C735" s="69"/>
      <c r="D735" s="69"/>
      <c r="E735" s="69"/>
      <c r="F735" s="69"/>
      <c r="G735" s="69"/>
      <c r="H735" s="69"/>
      <c r="I735" s="69"/>
      <c r="J735" s="432"/>
      <c r="K735" s="432"/>
      <c r="L735" s="69"/>
      <c r="M735" s="69"/>
      <c r="N735" s="69"/>
      <c r="O735" s="69"/>
      <c r="P735" s="69"/>
      <c r="Q735" s="69"/>
      <c r="R735" s="69"/>
      <c r="S735" s="69"/>
      <c r="T735" s="69"/>
      <c r="U735" s="69"/>
      <c r="V735" s="69"/>
      <c r="W735" s="69"/>
      <c r="X735" s="69"/>
      <c r="Y735" s="69"/>
      <c r="Z735" s="69"/>
      <c r="AA735" s="69"/>
      <c r="AB735" s="69"/>
      <c r="AC735" s="69"/>
    </row>
    <row r="736" spans="3:29" x14ac:dyDescent="0.3">
      <c r="C736" s="394" t="s">
        <v>538</v>
      </c>
      <c r="D736" s="394"/>
      <c r="F736" s="396"/>
      <c r="G736" s="396"/>
      <c r="H736" s="396"/>
      <c r="I736" s="396"/>
      <c r="J736" s="396" t="s">
        <v>535</v>
      </c>
      <c r="K736" s="396" t="s">
        <v>534</v>
      </c>
      <c r="L736" s="69"/>
      <c r="P736" s="69"/>
      <c r="Q736" s="69"/>
      <c r="R736" s="69"/>
      <c r="S736" s="69"/>
      <c r="T736" s="69"/>
      <c r="U736" s="69"/>
      <c r="V736" s="69"/>
      <c r="W736" s="69"/>
      <c r="X736" s="69"/>
      <c r="Y736" s="69"/>
      <c r="Z736" s="69"/>
      <c r="AA736" s="69"/>
      <c r="AB736" s="69"/>
      <c r="AC736" s="69"/>
    </row>
    <row r="737" spans="3:29" x14ac:dyDescent="0.3">
      <c r="C737" s="398" t="s">
        <v>298</v>
      </c>
      <c r="D737" s="398"/>
      <c r="F737" s="395"/>
      <c r="G737" s="395"/>
      <c r="H737" s="395"/>
      <c r="I737" s="400"/>
      <c r="J737" s="431">
        <v>-0.60677084258340785</v>
      </c>
      <c r="K737" s="431">
        <f t="shared" ref="K737:K744" si="1115">MB659/LH659-1</f>
        <v>-0.61188238337501089</v>
      </c>
      <c r="L737" s="69"/>
      <c r="M737" s="398"/>
      <c r="P737" s="69"/>
      <c r="Q737" s="69"/>
      <c r="R737" s="69"/>
      <c r="S737" s="69"/>
      <c r="T737" s="69"/>
      <c r="U737" s="69"/>
      <c r="V737" s="69"/>
      <c r="W737" s="69"/>
      <c r="X737" s="69"/>
      <c r="Y737" s="69"/>
      <c r="Z737" s="69"/>
      <c r="AA737" s="69"/>
      <c r="AB737" s="69"/>
      <c r="AC737" s="69"/>
    </row>
    <row r="738" spans="3:29" x14ac:dyDescent="0.3">
      <c r="C738" s="398" t="s">
        <v>299</v>
      </c>
      <c r="D738" s="398"/>
      <c r="F738" s="395"/>
      <c r="G738" s="395"/>
      <c r="H738" s="395"/>
      <c r="I738" s="395"/>
      <c r="J738" s="431">
        <v>-1</v>
      </c>
      <c r="K738" s="431">
        <f t="shared" si="1115"/>
        <v>-1</v>
      </c>
      <c r="L738" s="69"/>
      <c r="M738" s="398"/>
      <c r="P738" s="69"/>
      <c r="Q738" s="69"/>
      <c r="R738" s="69"/>
      <c r="S738" s="69"/>
      <c r="T738" s="69"/>
      <c r="U738" s="69"/>
      <c r="V738" s="69"/>
      <c r="W738" s="69"/>
      <c r="X738" s="69"/>
      <c r="Y738" s="69"/>
      <c r="Z738" s="69"/>
      <c r="AA738" s="69"/>
      <c r="AB738" s="69"/>
      <c r="AC738" s="69"/>
    </row>
    <row r="739" spans="3:29" x14ac:dyDescent="0.3">
      <c r="C739" s="398" t="s">
        <v>309</v>
      </c>
      <c r="D739" s="398"/>
      <c r="F739" s="395"/>
      <c r="G739" s="395"/>
      <c r="H739" s="395"/>
      <c r="I739" s="395"/>
      <c r="J739" s="431">
        <v>0.22264481618645715</v>
      </c>
      <c r="K739" s="431">
        <f t="shared" si="1115"/>
        <v>0.2273778920308489</v>
      </c>
      <c r="L739" s="69"/>
      <c r="M739" s="398"/>
      <c r="P739" s="69"/>
      <c r="Q739" s="69"/>
      <c r="R739" s="69"/>
      <c r="S739" s="69"/>
      <c r="T739" s="69"/>
      <c r="U739" s="69"/>
      <c r="V739" s="69"/>
      <c r="W739" s="69"/>
      <c r="X739" s="69"/>
      <c r="Y739" s="69"/>
      <c r="Z739" s="69"/>
      <c r="AA739" s="69"/>
      <c r="AB739" s="69"/>
      <c r="AC739" s="69"/>
    </row>
    <row r="740" spans="3:29" ht="14.5" x14ac:dyDescent="0.35">
      <c r="C740" s="420" t="s">
        <v>525</v>
      </c>
      <c r="D740" s="420"/>
      <c r="F740" s="421"/>
      <c r="G740" s="426"/>
      <c r="H740" s="421"/>
      <c r="I740" s="421"/>
      <c r="J740" s="426">
        <v>-0.61554693720869058</v>
      </c>
      <c r="K740" s="426">
        <f t="shared" si="1115"/>
        <v>-0.4279902359641985</v>
      </c>
      <c r="L740" s="69"/>
      <c r="M740" s="420"/>
      <c r="P740" s="69"/>
      <c r="Q740" s="69"/>
      <c r="R740" s="69"/>
      <c r="S740" s="69"/>
      <c r="T740" s="69"/>
      <c r="U740" s="69"/>
      <c r="V740" s="69"/>
      <c r="W740" s="69"/>
      <c r="X740" s="69"/>
      <c r="Y740" s="69"/>
      <c r="Z740" s="69"/>
      <c r="AA740" s="69"/>
      <c r="AB740" s="69"/>
      <c r="AC740" s="69"/>
    </row>
    <row r="741" spans="3:29" ht="14.5" x14ac:dyDescent="0.35">
      <c r="C741" s="420" t="s">
        <v>526</v>
      </c>
      <c r="D741" s="420"/>
      <c r="F741" s="421"/>
      <c r="G741" s="426"/>
      <c r="H741" s="421"/>
      <c r="I741" s="421"/>
      <c r="J741" s="426">
        <v>4.3376774805144462</v>
      </c>
      <c r="K741" s="426">
        <f t="shared" si="1115"/>
        <v>2.6905198776758419</v>
      </c>
      <c r="L741" s="69"/>
      <c r="M741" s="420"/>
      <c r="P741" s="69"/>
      <c r="Q741" s="69"/>
      <c r="R741" s="69"/>
      <c r="S741" s="69"/>
      <c r="T741" s="69"/>
      <c r="U741" s="69"/>
      <c r="V741" s="69"/>
      <c r="W741" s="69"/>
      <c r="X741" s="69"/>
      <c r="Y741" s="69"/>
      <c r="Z741" s="69"/>
      <c r="AA741" s="69"/>
      <c r="AB741" s="69"/>
      <c r="AC741" s="69"/>
    </row>
    <row r="742" spans="3:29" x14ac:dyDescent="0.3">
      <c r="C742" s="398" t="s">
        <v>302</v>
      </c>
      <c r="D742" s="394"/>
      <c r="F742" s="395"/>
      <c r="G742" s="395"/>
      <c r="H742" s="395"/>
      <c r="I742" s="395"/>
      <c r="J742" s="431">
        <v>1.2129346075469183</v>
      </c>
      <c r="K742" s="431">
        <f t="shared" si="1115"/>
        <v>1.3583916083916083</v>
      </c>
      <c r="L742" s="69"/>
      <c r="M742" s="398"/>
      <c r="P742" s="69"/>
      <c r="Q742" s="69"/>
      <c r="R742" s="69"/>
      <c r="S742" s="69"/>
      <c r="T742" s="69"/>
      <c r="U742" s="69"/>
      <c r="V742" s="69"/>
      <c r="W742" s="69"/>
      <c r="X742" s="69"/>
      <c r="Y742" s="69"/>
      <c r="Z742" s="69"/>
      <c r="AA742" s="69"/>
      <c r="AB742" s="69"/>
      <c r="AC742" s="69"/>
    </row>
    <row r="743" spans="3:29" x14ac:dyDescent="0.3">
      <c r="C743" s="398" t="s">
        <v>303</v>
      </c>
      <c r="D743" s="398"/>
      <c r="F743" s="395"/>
      <c r="G743" s="395"/>
      <c r="H743" s="395"/>
      <c r="I743" s="395"/>
      <c r="J743" s="431">
        <v>0.77459458974776951</v>
      </c>
      <c r="K743" s="431">
        <f t="shared" si="1115"/>
        <v>0.46875</v>
      </c>
      <c r="L743" s="69"/>
      <c r="M743" s="398"/>
      <c r="P743" s="69"/>
      <c r="Q743" s="69"/>
      <c r="R743" s="69"/>
      <c r="S743" s="69"/>
      <c r="T743" s="69"/>
      <c r="U743" s="69"/>
      <c r="V743" s="69"/>
      <c r="W743" s="69"/>
      <c r="X743" s="69"/>
      <c r="Y743" s="69"/>
      <c r="Z743" s="69"/>
      <c r="AA743" s="69"/>
      <c r="AB743" s="69"/>
      <c r="AC743" s="69"/>
    </row>
    <row r="744" spans="3:29" x14ac:dyDescent="0.3">
      <c r="C744" s="394" t="s">
        <v>97</v>
      </c>
      <c r="D744" s="394"/>
      <c r="F744" s="397"/>
      <c r="G744" s="397"/>
      <c r="H744" s="397"/>
      <c r="I744" s="397"/>
      <c r="J744" s="433">
        <v>-0.38071534327398915</v>
      </c>
      <c r="K744" s="433">
        <f t="shared" si="1115"/>
        <v>-0.37806041824860925</v>
      </c>
      <c r="L744" s="69"/>
      <c r="M744" s="394"/>
      <c r="P744" s="69"/>
      <c r="Q744" s="69"/>
      <c r="R744" s="69"/>
      <c r="S744" s="69"/>
      <c r="T744" s="69"/>
      <c r="U744" s="69"/>
      <c r="V744" s="69"/>
      <c r="W744" s="69"/>
      <c r="X744" s="69"/>
      <c r="Y744" s="69"/>
      <c r="Z744" s="69"/>
      <c r="AA744" s="69"/>
      <c r="AB744" s="69"/>
      <c r="AC744" s="69"/>
    </row>
    <row r="745" spans="3:29" x14ac:dyDescent="0.3">
      <c r="C745" s="69"/>
      <c r="D745" s="69"/>
      <c r="E745" s="69"/>
      <c r="F745" s="69"/>
      <c r="G745" s="69"/>
      <c r="H745" s="69"/>
      <c r="I745" s="69"/>
      <c r="J745" s="432"/>
      <c r="K745" s="432"/>
      <c r="L745" s="69"/>
      <c r="M745" s="69"/>
      <c r="N745" s="69"/>
      <c r="O745" s="69"/>
      <c r="P745" s="69"/>
      <c r="Q745" s="69"/>
      <c r="R745" s="69"/>
      <c r="S745" s="69"/>
      <c r="T745" s="69"/>
      <c r="U745" s="69"/>
      <c r="V745" s="69"/>
      <c r="W745" s="69"/>
      <c r="X745" s="69"/>
      <c r="Y745" s="69"/>
      <c r="Z745" s="69"/>
      <c r="AA745" s="69"/>
      <c r="AB745" s="69"/>
      <c r="AC745" s="69"/>
    </row>
    <row r="746" spans="3:29" x14ac:dyDescent="0.3">
      <c r="C746" s="394" t="s">
        <v>529</v>
      </c>
      <c r="D746" s="394"/>
      <c r="F746" s="396" t="s">
        <v>510</v>
      </c>
      <c r="G746" s="396" t="s">
        <v>511</v>
      </c>
      <c r="H746" s="396" t="s">
        <v>536</v>
      </c>
      <c r="I746" s="396" t="s">
        <v>512</v>
      </c>
      <c r="J746" s="434" t="s">
        <v>535</v>
      </c>
      <c r="K746" s="434" t="s">
        <v>534</v>
      </c>
      <c r="L746" s="69"/>
      <c r="M746" s="69"/>
      <c r="N746" s="69"/>
      <c r="O746" s="69"/>
      <c r="P746" s="69"/>
      <c r="Q746" s="69"/>
      <c r="R746" s="69"/>
      <c r="S746" s="69"/>
      <c r="T746" s="69"/>
      <c r="U746" s="69"/>
      <c r="V746" s="69"/>
      <c r="W746" s="69"/>
      <c r="X746" s="69"/>
      <c r="Y746" s="69"/>
      <c r="Z746" s="69"/>
      <c r="AA746" s="69"/>
      <c r="AB746" s="69"/>
      <c r="AC746" s="69"/>
    </row>
    <row r="747" spans="3:29" x14ac:dyDescent="0.3">
      <c r="C747" s="398" t="s">
        <v>298</v>
      </c>
      <c r="D747" s="398"/>
      <c r="F747" s="395">
        <v>-0.92814103338486598</v>
      </c>
      <c r="G747" s="395">
        <f t="shared" ref="G747:G754" si="1116">LA659/JW659-1</f>
        <v>-0.92446322324739161</v>
      </c>
      <c r="H747" s="395">
        <v>-0.96426224896433688</v>
      </c>
      <c r="I747" s="400">
        <v>-0.95757523497456243</v>
      </c>
      <c r="J747" s="431">
        <v>-0.87186624284357506</v>
      </c>
      <c r="K747" s="431">
        <f t="shared" ref="K747:K754" si="1117">ML659/LH659-1</f>
        <v>-0.88359058377166511</v>
      </c>
      <c r="L747" s="69"/>
      <c r="M747" s="69"/>
      <c r="N747" s="69"/>
      <c r="O747" s="69"/>
      <c r="P747" s="69"/>
      <c r="Q747" s="69"/>
      <c r="R747" s="69"/>
      <c r="S747" s="69"/>
      <c r="T747" s="69"/>
      <c r="U747" s="69"/>
      <c r="V747" s="69"/>
      <c r="W747" s="69"/>
      <c r="X747" s="69"/>
      <c r="Y747" s="69"/>
      <c r="Z747" s="69"/>
      <c r="AA747" s="69"/>
      <c r="AB747" s="69"/>
      <c r="AC747" s="69"/>
    </row>
    <row r="748" spans="3:29" x14ac:dyDescent="0.3">
      <c r="C748" s="398" t="s">
        <v>299</v>
      </c>
      <c r="D748" s="398"/>
      <c r="F748" s="395">
        <v>-1</v>
      </c>
      <c r="G748" s="395">
        <f t="shared" si="1116"/>
        <v>-1</v>
      </c>
      <c r="H748" s="395">
        <v>-1</v>
      </c>
      <c r="I748" s="395">
        <v>-1</v>
      </c>
      <c r="J748" s="431">
        <v>-1</v>
      </c>
      <c r="K748" s="431">
        <f t="shared" si="1117"/>
        <v>-1</v>
      </c>
      <c r="L748" s="69"/>
      <c r="M748" s="69"/>
      <c r="N748" s="69"/>
      <c r="O748" s="69"/>
      <c r="P748" s="69"/>
      <c r="Q748" s="69"/>
      <c r="R748" s="69"/>
      <c r="S748" s="69"/>
      <c r="T748" s="69"/>
      <c r="U748" s="69"/>
      <c r="V748" s="69"/>
      <c r="W748" s="69"/>
      <c r="X748" s="69"/>
      <c r="Y748" s="69"/>
      <c r="Z748" s="69"/>
      <c r="AA748" s="69"/>
      <c r="AB748" s="69"/>
      <c r="AC748" s="69"/>
    </row>
    <row r="749" spans="3:29" x14ac:dyDescent="0.3">
      <c r="C749" s="398" t="s">
        <v>309</v>
      </c>
      <c r="D749" s="398"/>
      <c r="F749" s="395">
        <v>-5.2440010637321177E-2</v>
      </c>
      <c r="G749" s="395">
        <f t="shared" si="1116"/>
        <v>0.20906169665809693</v>
      </c>
      <c r="H749" s="395">
        <v>0.55146694232996607</v>
      </c>
      <c r="I749" s="395">
        <v>0.40122107969151721</v>
      </c>
      <c r="J749" s="431">
        <v>0.30956319427753964</v>
      </c>
      <c r="K749" s="431">
        <f t="shared" si="1117"/>
        <v>0.29016709511568206</v>
      </c>
      <c r="L749" s="69"/>
      <c r="M749" s="69"/>
      <c r="N749" s="69"/>
      <c r="O749" s="69"/>
      <c r="P749" s="69"/>
      <c r="Q749" s="69"/>
      <c r="R749" s="69"/>
      <c r="S749" s="69"/>
      <c r="T749" s="69"/>
      <c r="U749" s="69"/>
      <c r="V749" s="69"/>
      <c r="W749" s="69"/>
      <c r="X749" s="69"/>
      <c r="Y749" s="69"/>
      <c r="Z749" s="69"/>
      <c r="AA749" s="69"/>
      <c r="AB749" s="69"/>
      <c r="AC749" s="69"/>
    </row>
    <row r="750" spans="3:29" ht="14.5" x14ac:dyDescent="0.35">
      <c r="C750" s="420" t="s">
        <v>525</v>
      </c>
      <c r="D750" s="420"/>
      <c r="F750" s="421">
        <v>-0.59508098822569511</v>
      </c>
      <c r="G750" s="426">
        <f t="shared" si="1116"/>
        <v>-0.56956875508543536</v>
      </c>
      <c r="H750" s="421">
        <v>-0.65764957451821826</v>
      </c>
      <c r="I750" s="421">
        <v>-0.63954434499593171</v>
      </c>
      <c r="J750" s="426">
        <v>-0.67341551684576317</v>
      </c>
      <c r="K750" s="426">
        <f t="shared" si="1117"/>
        <v>-0.63954434499593171</v>
      </c>
      <c r="L750" s="69"/>
      <c r="M750" s="69"/>
      <c r="N750" s="69"/>
      <c r="O750" s="69"/>
      <c r="P750" s="69"/>
      <c r="Q750" s="69"/>
      <c r="R750" s="69"/>
      <c r="S750" s="69"/>
      <c r="T750" s="69"/>
      <c r="U750" s="69"/>
      <c r="V750" s="69"/>
      <c r="W750" s="69"/>
      <c r="X750" s="69"/>
      <c r="Y750" s="69"/>
      <c r="Z750" s="69"/>
      <c r="AA750" s="69"/>
      <c r="AB750" s="69"/>
      <c r="AC750" s="69"/>
    </row>
    <row r="751" spans="3:29" ht="14.5" x14ac:dyDescent="0.35">
      <c r="C751" s="420" t="s">
        <v>526</v>
      </c>
      <c r="D751" s="420"/>
      <c r="F751" s="421">
        <v>4.9720707928255434</v>
      </c>
      <c r="G751" s="426">
        <f t="shared" si="1116"/>
        <v>3.1354740061162083</v>
      </c>
      <c r="H751" s="421">
        <v>6.4875238668403421</v>
      </c>
      <c r="I751" s="421">
        <v>4.3128440366972525</v>
      </c>
      <c r="J751" s="426">
        <v>5.1354153793258126</v>
      </c>
      <c r="K751" s="426">
        <f t="shared" si="1117"/>
        <v>3.7844036697247745</v>
      </c>
      <c r="L751" s="69"/>
      <c r="M751" s="69"/>
      <c r="N751" s="69"/>
      <c r="O751" s="69"/>
      <c r="P751" s="69"/>
      <c r="Q751" s="69"/>
      <c r="R751" s="69"/>
      <c r="S751" s="69"/>
      <c r="T751" s="69"/>
      <c r="U751" s="69"/>
      <c r="V751" s="69"/>
      <c r="W751" s="69"/>
      <c r="X751" s="69"/>
      <c r="Y751" s="69"/>
      <c r="Z751" s="69"/>
      <c r="AA751" s="69"/>
      <c r="AB751" s="69"/>
      <c r="AC751" s="69"/>
    </row>
    <row r="752" spans="3:29" x14ac:dyDescent="0.3">
      <c r="C752" s="398" t="s">
        <v>302</v>
      </c>
      <c r="D752" s="394"/>
      <c r="F752" s="395">
        <v>1.0789169951877868</v>
      </c>
      <c r="G752" s="395">
        <f t="shared" si="1116"/>
        <v>1.0489510489510483</v>
      </c>
      <c r="H752" s="395">
        <v>1.2021472233582897</v>
      </c>
      <c r="I752" s="395">
        <v>1.2744755244755246</v>
      </c>
      <c r="J752" s="431">
        <v>1.120216937091143</v>
      </c>
      <c r="K752" s="431">
        <f t="shared" si="1117"/>
        <v>1.0961538461538467</v>
      </c>
      <c r="L752" s="69"/>
      <c r="M752" s="69"/>
      <c r="N752" s="69"/>
      <c r="O752" s="69"/>
      <c r="P752" s="69"/>
      <c r="Q752" s="69"/>
      <c r="R752" s="69"/>
      <c r="S752" s="69"/>
      <c r="T752" s="69"/>
      <c r="U752" s="69"/>
      <c r="V752" s="69"/>
      <c r="W752" s="69"/>
      <c r="X752" s="69"/>
      <c r="Y752" s="69"/>
      <c r="Z752" s="69"/>
      <c r="AA752" s="69"/>
      <c r="AB752" s="69"/>
      <c r="AC752" s="69"/>
    </row>
    <row r="753" spans="2:350" x14ac:dyDescent="0.3">
      <c r="C753" s="398" t="s">
        <v>303</v>
      </c>
      <c r="D753" s="398"/>
      <c r="F753" s="395">
        <v>0.56151925290162152</v>
      </c>
      <c r="G753" s="395">
        <f t="shared" si="1116"/>
        <v>0.65625</v>
      </c>
      <c r="H753" s="395">
        <v>1.46835334415263</v>
      </c>
      <c r="I753" s="395">
        <v>1.4062500000000004</v>
      </c>
      <c r="J753" s="431">
        <v>1.3748942043806189</v>
      </c>
      <c r="K753" s="431">
        <f t="shared" si="1117"/>
        <v>1.0078125000000004</v>
      </c>
      <c r="L753" s="69"/>
      <c r="M753" s="69"/>
      <c r="N753" s="69"/>
      <c r="O753" s="69"/>
      <c r="P753" s="69"/>
      <c r="Q753" s="69"/>
      <c r="R753" s="69"/>
      <c r="S753" s="69"/>
      <c r="T753" s="69"/>
      <c r="U753" s="69"/>
      <c r="V753" s="69"/>
      <c r="W753" s="69"/>
      <c r="X753" s="69"/>
      <c r="Y753" s="69"/>
      <c r="Z753" s="69"/>
      <c r="AA753" s="69"/>
      <c r="AB753" s="69"/>
      <c r="AC753" s="69"/>
    </row>
    <row r="754" spans="2:350" x14ac:dyDescent="0.3">
      <c r="C754" s="394" t="s">
        <v>97</v>
      </c>
      <c r="D754" s="394"/>
      <c r="F754" s="397">
        <v>-0.55384419838104404</v>
      </c>
      <c r="G754" s="397">
        <f t="shared" si="1116"/>
        <v>-0.5630376895766207</v>
      </c>
      <c r="H754" s="397">
        <v>-0.51660104892011638</v>
      </c>
      <c r="I754" s="397">
        <v>-0.51730842243519959</v>
      </c>
      <c r="J754" s="433">
        <v>-0.51488553397199344</v>
      </c>
      <c r="K754" s="433">
        <f t="shared" si="1117"/>
        <v>-0.51638029224044124</v>
      </c>
      <c r="L754" s="69"/>
      <c r="M754" s="69"/>
      <c r="N754" s="69"/>
      <c r="O754" s="69"/>
      <c r="P754" s="69"/>
      <c r="Q754" s="69"/>
      <c r="R754" s="69"/>
      <c r="S754" s="69"/>
      <c r="T754" s="69"/>
      <c r="U754" s="69"/>
      <c r="V754" s="69"/>
      <c r="W754" s="69"/>
      <c r="X754" s="69"/>
      <c r="Y754" s="69"/>
      <c r="Z754" s="69"/>
      <c r="AA754" s="69"/>
      <c r="AB754" s="69"/>
      <c r="AC754" s="69"/>
    </row>
    <row r="755" spans="2:350" x14ac:dyDescent="0.3">
      <c r="C755" s="69"/>
      <c r="D755" s="69"/>
      <c r="E755" s="69"/>
      <c r="F755" s="69"/>
      <c r="G755" s="69"/>
      <c r="H755" s="69"/>
      <c r="I755" s="69"/>
      <c r="K755" s="69"/>
      <c r="L755" s="69"/>
      <c r="M755" s="69"/>
      <c r="N755" s="69"/>
      <c r="O755" s="69"/>
      <c r="P755" s="69"/>
      <c r="Q755" s="69"/>
      <c r="R755" s="69"/>
      <c r="S755" s="69"/>
      <c r="T755" s="69"/>
      <c r="U755" s="69"/>
      <c r="V755" s="69"/>
      <c r="W755" s="69"/>
      <c r="X755" s="69"/>
      <c r="Y755" s="69"/>
      <c r="Z755" s="69"/>
      <c r="AA755" s="69"/>
      <c r="AB755" s="69"/>
      <c r="AC755" s="69"/>
    </row>
    <row r="756" spans="2:350" x14ac:dyDescent="0.3">
      <c r="C756" s="69"/>
      <c r="D756" s="69"/>
      <c r="E756" s="69"/>
      <c r="F756" s="69"/>
      <c r="G756" s="69"/>
      <c r="H756" s="69"/>
      <c r="I756" s="69"/>
      <c r="J756" s="69"/>
      <c r="K756" s="69"/>
      <c r="L756" s="69"/>
      <c r="M756" s="69"/>
      <c r="N756" s="69"/>
      <c r="O756" s="69"/>
      <c r="P756" s="69"/>
      <c r="Q756" s="69"/>
      <c r="R756" s="69"/>
      <c r="S756" s="69"/>
      <c r="T756" s="69"/>
      <c r="U756" s="69"/>
      <c r="V756" s="69"/>
      <c r="W756" s="69"/>
      <c r="X756" s="69"/>
      <c r="Y756" s="69"/>
      <c r="Z756" s="69"/>
      <c r="AA756" s="69"/>
      <c r="AB756" s="69"/>
      <c r="AC756" s="69"/>
    </row>
    <row r="758" spans="2:350" ht="20" x14ac:dyDescent="0.4">
      <c r="B758" s="73" t="s">
        <v>25</v>
      </c>
      <c r="C758" s="74" t="s">
        <v>24</v>
      </c>
    </row>
    <row r="760" spans="2:350" ht="18" x14ac:dyDescent="0.4">
      <c r="C760" s="213" t="s">
        <v>364</v>
      </c>
    </row>
    <row r="762" spans="2:350" x14ac:dyDescent="0.3">
      <c r="C762" s="120" t="s">
        <v>365</v>
      </c>
      <c r="H762" s="121" t="s">
        <v>100</v>
      </c>
      <c r="S762" s="122" t="s">
        <v>5</v>
      </c>
      <c r="BD762" s="123" t="s">
        <v>6</v>
      </c>
      <c r="CO762" s="124" t="s">
        <v>7</v>
      </c>
      <c r="DZ762" s="125" t="s">
        <v>8</v>
      </c>
      <c r="FK762" s="126" t="s">
        <v>9</v>
      </c>
      <c r="GV762" s="127" t="s">
        <v>10</v>
      </c>
      <c r="IG762" s="128" t="s">
        <v>11</v>
      </c>
      <c r="JR762" s="129" t="str">
        <f>JR$4</f>
        <v>AMS2 2023</v>
      </c>
      <c r="LC762" s="130" t="str">
        <f>LC$4</f>
        <v>AMS3 2025</v>
      </c>
    </row>
    <row r="763" spans="2:350" s="4" customFormat="1" ht="18" customHeight="1" x14ac:dyDescent="0.3">
      <c r="C763" s="131"/>
      <c r="D763" s="132"/>
      <c r="E763" s="133" t="s">
        <v>101</v>
      </c>
      <c r="F763" s="134" t="s">
        <v>102</v>
      </c>
      <c r="H763" s="135">
        <f t="shared" ref="H763:M763" si="1118">H$1</f>
        <v>2015</v>
      </c>
      <c r="I763" s="133">
        <f t="shared" si="1118"/>
        <v>2016</v>
      </c>
      <c r="J763" s="133">
        <f t="shared" si="1118"/>
        <v>2017</v>
      </c>
      <c r="K763" s="133">
        <f t="shared" si="1118"/>
        <v>2018</v>
      </c>
      <c r="L763" s="133">
        <f t="shared" si="1118"/>
        <v>2019</v>
      </c>
      <c r="M763" s="134">
        <f t="shared" si="1118"/>
        <v>2020</v>
      </c>
      <c r="N763" s="1"/>
      <c r="O763" s="1"/>
      <c r="P763" s="1"/>
      <c r="Q763" s="1"/>
      <c r="S763" s="135">
        <f t="shared" ref="S763:BB763" si="1119">S$1</f>
        <v>2015</v>
      </c>
      <c r="T763" s="133">
        <f t="shared" si="1119"/>
        <v>2016</v>
      </c>
      <c r="U763" s="133">
        <f t="shared" si="1119"/>
        <v>2017</v>
      </c>
      <c r="V763" s="133">
        <f t="shared" si="1119"/>
        <v>2018</v>
      </c>
      <c r="W763" s="133">
        <f t="shared" si="1119"/>
        <v>2019</v>
      </c>
      <c r="X763" s="133">
        <f t="shared" si="1119"/>
        <v>2020</v>
      </c>
      <c r="Y763" s="133">
        <f t="shared" si="1119"/>
        <v>2021</v>
      </c>
      <c r="Z763" s="133">
        <f t="shared" si="1119"/>
        <v>2022</v>
      </c>
      <c r="AA763" s="133">
        <f t="shared" si="1119"/>
        <v>2023</v>
      </c>
      <c r="AB763" s="133">
        <f t="shared" si="1119"/>
        <v>2024</v>
      </c>
      <c r="AC763" s="133">
        <f t="shared" si="1119"/>
        <v>2025</v>
      </c>
      <c r="AD763" s="133">
        <f t="shared" si="1119"/>
        <v>2026</v>
      </c>
      <c r="AE763" s="133">
        <f t="shared" si="1119"/>
        <v>2027</v>
      </c>
      <c r="AF763" s="133">
        <f t="shared" si="1119"/>
        <v>2028</v>
      </c>
      <c r="AG763" s="133">
        <f t="shared" si="1119"/>
        <v>2029</v>
      </c>
      <c r="AH763" s="133">
        <f t="shared" si="1119"/>
        <v>2030</v>
      </c>
      <c r="AI763" s="133">
        <f t="shared" si="1119"/>
        <v>2031</v>
      </c>
      <c r="AJ763" s="133">
        <f t="shared" si="1119"/>
        <v>2032</v>
      </c>
      <c r="AK763" s="133">
        <f t="shared" si="1119"/>
        <v>2033</v>
      </c>
      <c r="AL763" s="133">
        <f t="shared" si="1119"/>
        <v>2034</v>
      </c>
      <c r="AM763" s="133">
        <f t="shared" si="1119"/>
        <v>2035</v>
      </c>
      <c r="AN763" s="133">
        <f t="shared" si="1119"/>
        <v>2036</v>
      </c>
      <c r="AO763" s="133">
        <f t="shared" si="1119"/>
        <v>2037</v>
      </c>
      <c r="AP763" s="133">
        <f t="shared" si="1119"/>
        <v>2038</v>
      </c>
      <c r="AQ763" s="133">
        <f t="shared" si="1119"/>
        <v>2039</v>
      </c>
      <c r="AR763" s="133">
        <f t="shared" si="1119"/>
        <v>2040</v>
      </c>
      <c r="AS763" s="133">
        <f t="shared" si="1119"/>
        <v>2041</v>
      </c>
      <c r="AT763" s="133">
        <f t="shared" si="1119"/>
        <v>2042</v>
      </c>
      <c r="AU763" s="133">
        <f t="shared" si="1119"/>
        <v>2043</v>
      </c>
      <c r="AV763" s="133">
        <f t="shared" si="1119"/>
        <v>2044</v>
      </c>
      <c r="AW763" s="133">
        <f t="shared" si="1119"/>
        <v>2045</v>
      </c>
      <c r="AX763" s="133">
        <f t="shared" si="1119"/>
        <v>2046</v>
      </c>
      <c r="AY763" s="133">
        <f t="shared" si="1119"/>
        <v>2047</v>
      </c>
      <c r="AZ763" s="133">
        <f t="shared" si="1119"/>
        <v>2048</v>
      </c>
      <c r="BA763" s="133">
        <f t="shared" si="1119"/>
        <v>2049</v>
      </c>
      <c r="BB763" s="134">
        <f t="shared" si="1119"/>
        <v>2050</v>
      </c>
      <c r="BD763" s="135">
        <f t="shared" ref="BD763:CM763" si="1120">BD$1</f>
        <v>2015</v>
      </c>
      <c r="BE763" s="133">
        <f t="shared" si="1120"/>
        <v>2016</v>
      </c>
      <c r="BF763" s="133">
        <f t="shared" si="1120"/>
        <v>2017</v>
      </c>
      <c r="BG763" s="133">
        <f t="shared" si="1120"/>
        <v>2018</v>
      </c>
      <c r="BH763" s="133">
        <f t="shared" si="1120"/>
        <v>2019</v>
      </c>
      <c r="BI763" s="133">
        <f t="shared" si="1120"/>
        <v>2020</v>
      </c>
      <c r="BJ763" s="133">
        <f t="shared" si="1120"/>
        <v>2021</v>
      </c>
      <c r="BK763" s="133">
        <f t="shared" si="1120"/>
        <v>2022</v>
      </c>
      <c r="BL763" s="133">
        <f t="shared" si="1120"/>
        <v>2023</v>
      </c>
      <c r="BM763" s="133">
        <f t="shared" si="1120"/>
        <v>2024</v>
      </c>
      <c r="BN763" s="133">
        <f t="shared" si="1120"/>
        <v>2025</v>
      </c>
      <c r="BO763" s="133">
        <f t="shared" si="1120"/>
        <v>2026</v>
      </c>
      <c r="BP763" s="133">
        <f t="shared" si="1120"/>
        <v>2027</v>
      </c>
      <c r="BQ763" s="133">
        <f t="shared" si="1120"/>
        <v>2028</v>
      </c>
      <c r="BR763" s="133">
        <f t="shared" si="1120"/>
        <v>2029</v>
      </c>
      <c r="BS763" s="133">
        <f t="shared" si="1120"/>
        <v>2030</v>
      </c>
      <c r="BT763" s="133">
        <f t="shared" si="1120"/>
        <v>2031</v>
      </c>
      <c r="BU763" s="133">
        <f t="shared" si="1120"/>
        <v>2032</v>
      </c>
      <c r="BV763" s="133">
        <f t="shared" si="1120"/>
        <v>2033</v>
      </c>
      <c r="BW763" s="133">
        <f t="shared" si="1120"/>
        <v>2034</v>
      </c>
      <c r="BX763" s="133">
        <f t="shared" si="1120"/>
        <v>2035</v>
      </c>
      <c r="BY763" s="133">
        <f t="shared" si="1120"/>
        <v>2036</v>
      </c>
      <c r="BZ763" s="133">
        <f t="shared" si="1120"/>
        <v>2037</v>
      </c>
      <c r="CA763" s="133">
        <f t="shared" si="1120"/>
        <v>2038</v>
      </c>
      <c r="CB763" s="133">
        <f t="shared" si="1120"/>
        <v>2039</v>
      </c>
      <c r="CC763" s="133">
        <f t="shared" si="1120"/>
        <v>2040</v>
      </c>
      <c r="CD763" s="133">
        <f t="shared" si="1120"/>
        <v>2041</v>
      </c>
      <c r="CE763" s="133">
        <f t="shared" si="1120"/>
        <v>2042</v>
      </c>
      <c r="CF763" s="133">
        <f t="shared" si="1120"/>
        <v>2043</v>
      </c>
      <c r="CG763" s="133">
        <f t="shared" si="1120"/>
        <v>2044</v>
      </c>
      <c r="CH763" s="133">
        <f t="shared" si="1120"/>
        <v>2045</v>
      </c>
      <c r="CI763" s="133">
        <f t="shared" si="1120"/>
        <v>2046</v>
      </c>
      <c r="CJ763" s="133">
        <f t="shared" si="1120"/>
        <v>2047</v>
      </c>
      <c r="CK763" s="133">
        <f t="shared" si="1120"/>
        <v>2048</v>
      </c>
      <c r="CL763" s="133">
        <f t="shared" si="1120"/>
        <v>2049</v>
      </c>
      <c r="CM763" s="134">
        <f t="shared" si="1120"/>
        <v>2050</v>
      </c>
      <c r="CO763" s="135">
        <f t="shared" ref="CO763:DX763" si="1121">CO$1</f>
        <v>2015</v>
      </c>
      <c r="CP763" s="133">
        <f t="shared" si="1121"/>
        <v>2016</v>
      </c>
      <c r="CQ763" s="133">
        <f t="shared" si="1121"/>
        <v>2017</v>
      </c>
      <c r="CR763" s="133">
        <f t="shared" si="1121"/>
        <v>2018</v>
      </c>
      <c r="CS763" s="133">
        <f t="shared" si="1121"/>
        <v>2019</v>
      </c>
      <c r="CT763" s="133">
        <f t="shared" si="1121"/>
        <v>2020</v>
      </c>
      <c r="CU763" s="133">
        <f t="shared" si="1121"/>
        <v>2021</v>
      </c>
      <c r="CV763" s="133">
        <f t="shared" si="1121"/>
        <v>2022</v>
      </c>
      <c r="CW763" s="133">
        <f t="shared" si="1121"/>
        <v>2023</v>
      </c>
      <c r="CX763" s="133">
        <f t="shared" si="1121"/>
        <v>2024</v>
      </c>
      <c r="CY763" s="133">
        <f t="shared" si="1121"/>
        <v>2025</v>
      </c>
      <c r="CZ763" s="133">
        <f t="shared" si="1121"/>
        <v>2026</v>
      </c>
      <c r="DA763" s="133">
        <f t="shared" si="1121"/>
        <v>2027</v>
      </c>
      <c r="DB763" s="133">
        <f t="shared" si="1121"/>
        <v>2028</v>
      </c>
      <c r="DC763" s="133">
        <f t="shared" si="1121"/>
        <v>2029</v>
      </c>
      <c r="DD763" s="133">
        <f t="shared" si="1121"/>
        <v>2030</v>
      </c>
      <c r="DE763" s="133">
        <f t="shared" si="1121"/>
        <v>2031</v>
      </c>
      <c r="DF763" s="133">
        <f t="shared" si="1121"/>
        <v>2032</v>
      </c>
      <c r="DG763" s="133">
        <f t="shared" si="1121"/>
        <v>2033</v>
      </c>
      <c r="DH763" s="133">
        <f t="shared" si="1121"/>
        <v>2034</v>
      </c>
      <c r="DI763" s="133">
        <f t="shared" si="1121"/>
        <v>2035</v>
      </c>
      <c r="DJ763" s="133">
        <f t="shared" si="1121"/>
        <v>2036</v>
      </c>
      <c r="DK763" s="133">
        <f t="shared" si="1121"/>
        <v>2037</v>
      </c>
      <c r="DL763" s="133">
        <f t="shared" si="1121"/>
        <v>2038</v>
      </c>
      <c r="DM763" s="133">
        <f t="shared" si="1121"/>
        <v>2039</v>
      </c>
      <c r="DN763" s="133">
        <f t="shared" si="1121"/>
        <v>2040</v>
      </c>
      <c r="DO763" s="133">
        <f t="shared" si="1121"/>
        <v>2041</v>
      </c>
      <c r="DP763" s="133">
        <f t="shared" si="1121"/>
        <v>2042</v>
      </c>
      <c r="DQ763" s="133">
        <f t="shared" si="1121"/>
        <v>2043</v>
      </c>
      <c r="DR763" s="133">
        <f t="shared" si="1121"/>
        <v>2044</v>
      </c>
      <c r="DS763" s="133">
        <f t="shared" si="1121"/>
        <v>2045</v>
      </c>
      <c r="DT763" s="133">
        <f t="shared" si="1121"/>
        <v>2046</v>
      </c>
      <c r="DU763" s="133">
        <f t="shared" si="1121"/>
        <v>2047</v>
      </c>
      <c r="DV763" s="133">
        <f t="shared" si="1121"/>
        <v>2048</v>
      </c>
      <c r="DW763" s="133">
        <f t="shared" si="1121"/>
        <v>2049</v>
      </c>
      <c r="DX763" s="134">
        <f t="shared" si="1121"/>
        <v>2050</v>
      </c>
      <c r="DZ763" s="135">
        <f t="shared" ref="DZ763:FI763" si="1122">DZ$1</f>
        <v>2015</v>
      </c>
      <c r="EA763" s="133">
        <f t="shared" si="1122"/>
        <v>2016</v>
      </c>
      <c r="EB763" s="133">
        <f t="shared" si="1122"/>
        <v>2017</v>
      </c>
      <c r="EC763" s="133">
        <f t="shared" si="1122"/>
        <v>2018</v>
      </c>
      <c r="ED763" s="133">
        <f t="shared" si="1122"/>
        <v>2019</v>
      </c>
      <c r="EE763" s="133">
        <f t="shared" si="1122"/>
        <v>2020</v>
      </c>
      <c r="EF763" s="133">
        <f t="shared" si="1122"/>
        <v>2021</v>
      </c>
      <c r="EG763" s="133">
        <f t="shared" si="1122"/>
        <v>2022</v>
      </c>
      <c r="EH763" s="133">
        <f t="shared" si="1122"/>
        <v>2023</v>
      </c>
      <c r="EI763" s="133">
        <f t="shared" si="1122"/>
        <v>2024</v>
      </c>
      <c r="EJ763" s="133">
        <f t="shared" si="1122"/>
        <v>2025</v>
      </c>
      <c r="EK763" s="133">
        <f t="shared" si="1122"/>
        <v>2026</v>
      </c>
      <c r="EL763" s="133">
        <f t="shared" si="1122"/>
        <v>2027</v>
      </c>
      <c r="EM763" s="133">
        <f t="shared" si="1122"/>
        <v>2028</v>
      </c>
      <c r="EN763" s="133">
        <f t="shared" si="1122"/>
        <v>2029</v>
      </c>
      <c r="EO763" s="133">
        <f t="shared" si="1122"/>
        <v>2030</v>
      </c>
      <c r="EP763" s="133">
        <f t="shared" si="1122"/>
        <v>2031</v>
      </c>
      <c r="EQ763" s="133">
        <f t="shared" si="1122"/>
        <v>2032</v>
      </c>
      <c r="ER763" s="133">
        <f t="shared" si="1122"/>
        <v>2033</v>
      </c>
      <c r="ES763" s="133">
        <f t="shared" si="1122"/>
        <v>2034</v>
      </c>
      <c r="ET763" s="133">
        <f t="shared" si="1122"/>
        <v>2035</v>
      </c>
      <c r="EU763" s="133">
        <f t="shared" si="1122"/>
        <v>2036</v>
      </c>
      <c r="EV763" s="133">
        <f t="shared" si="1122"/>
        <v>2037</v>
      </c>
      <c r="EW763" s="133">
        <f t="shared" si="1122"/>
        <v>2038</v>
      </c>
      <c r="EX763" s="133">
        <f t="shared" si="1122"/>
        <v>2039</v>
      </c>
      <c r="EY763" s="133">
        <f t="shared" si="1122"/>
        <v>2040</v>
      </c>
      <c r="EZ763" s="133">
        <f t="shared" si="1122"/>
        <v>2041</v>
      </c>
      <c r="FA763" s="133">
        <f t="shared" si="1122"/>
        <v>2042</v>
      </c>
      <c r="FB763" s="133">
        <f t="shared" si="1122"/>
        <v>2043</v>
      </c>
      <c r="FC763" s="133">
        <f t="shared" si="1122"/>
        <v>2044</v>
      </c>
      <c r="FD763" s="133">
        <f t="shared" si="1122"/>
        <v>2045</v>
      </c>
      <c r="FE763" s="133">
        <f t="shared" si="1122"/>
        <v>2046</v>
      </c>
      <c r="FF763" s="133">
        <f t="shared" si="1122"/>
        <v>2047</v>
      </c>
      <c r="FG763" s="133">
        <f t="shared" si="1122"/>
        <v>2048</v>
      </c>
      <c r="FH763" s="133">
        <f t="shared" si="1122"/>
        <v>2049</v>
      </c>
      <c r="FI763" s="134">
        <f t="shared" si="1122"/>
        <v>2050</v>
      </c>
      <c r="FK763" s="135">
        <f t="shared" ref="FK763:GT763" si="1123">FK$1</f>
        <v>2015</v>
      </c>
      <c r="FL763" s="133">
        <f t="shared" si="1123"/>
        <v>2016</v>
      </c>
      <c r="FM763" s="133">
        <f t="shared" si="1123"/>
        <v>2017</v>
      </c>
      <c r="FN763" s="133">
        <f t="shared" si="1123"/>
        <v>2018</v>
      </c>
      <c r="FO763" s="133">
        <f t="shared" si="1123"/>
        <v>2019</v>
      </c>
      <c r="FP763" s="133">
        <f t="shared" si="1123"/>
        <v>2020</v>
      </c>
      <c r="FQ763" s="133">
        <f t="shared" si="1123"/>
        <v>2021</v>
      </c>
      <c r="FR763" s="133">
        <f t="shared" si="1123"/>
        <v>2022</v>
      </c>
      <c r="FS763" s="133">
        <f t="shared" si="1123"/>
        <v>2023</v>
      </c>
      <c r="FT763" s="133">
        <f t="shared" si="1123"/>
        <v>2024</v>
      </c>
      <c r="FU763" s="133">
        <f t="shared" si="1123"/>
        <v>2025</v>
      </c>
      <c r="FV763" s="133">
        <f t="shared" si="1123"/>
        <v>2026</v>
      </c>
      <c r="FW763" s="133">
        <f t="shared" si="1123"/>
        <v>2027</v>
      </c>
      <c r="FX763" s="133">
        <f t="shared" si="1123"/>
        <v>2028</v>
      </c>
      <c r="FY763" s="133">
        <f t="shared" si="1123"/>
        <v>2029</v>
      </c>
      <c r="FZ763" s="133">
        <f t="shared" si="1123"/>
        <v>2030</v>
      </c>
      <c r="GA763" s="133">
        <f t="shared" si="1123"/>
        <v>2031</v>
      </c>
      <c r="GB763" s="133">
        <f t="shared" si="1123"/>
        <v>2032</v>
      </c>
      <c r="GC763" s="133">
        <f t="shared" si="1123"/>
        <v>2033</v>
      </c>
      <c r="GD763" s="133">
        <f t="shared" si="1123"/>
        <v>2034</v>
      </c>
      <c r="GE763" s="133">
        <f t="shared" si="1123"/>
        <v>2035</v>
      </c>
      <c r="GF763" s="133">
        <f t="shared" si="1123"/>
        <v>2036</v>
      </c>
      <c r="GG763" s="133">
        <f t="shared" si="1123"/>
        <v>2037</v>
      </c>
      <c r="GH763" s="133">
        <f t="shared" si="1123"/>
        <v>2038</v>
      </c>
      <c r="GI763" s="133">
        <f t="shared" si="1123"/>
        <v>2039</v>
      </c>
      <c r="GJ763" s="133">
        <f t="shared" si="1123"/>
        <v>2040</v>
      </c>
      <c r="GK763" s="133">
        <f t="shared" si="1123"/>
        <v>2041</v>
      </c>
      <c r="GL763" s="133">
        <f t="shared" si="1123"/>
        <v>2042</v>
      </c>
      <c r="GM763" s="133">
        <f t="shared" si="1123"/>
        <v>2043</v>
      </c>
      <c r="GN763" s="133">
        <f t="shared" si="1123"/>
        <v>2044</v>
      </c>
      <c r="GO763" s="133">
        <f t="shared" si="1123"/>
        <v>2045</v>
      </c>
      <c r="GP763" s="133">
        <f t="shared" si="1123"/>
        <v>2046</v>
      </c>
      <c r="GQ763" s="133">
        <f t="shared" si="1123"/>
        <v>2047</v>
      </c>
      <c r="GR763" s="133">
        <f t="shared" si="1123"/>
        <v>2048</v>
      </c>
      <c r="GS763" s="133">
        <f t="shared" si="1123"/>
        <v>2049</v>
      </c>
      <c r="GT763" s="134">
        <f t="shared" si="1123"/>
        <v>2050</v>
      </c>
      <c r="GV763" s="135">
        <f t="shared" ref="GV763:IE763" si="1124">GV$1</f>
        <v>2015</v>
      </c>
      <c r="GW763" s="133">
        <f t="shared" si="1124"/>
        <v>2016</v>
      </c>
      <c r="GX763" s="133">
        <f t="shared" si="1124"/>
        <v>2017</v>
      </c>
      <c r="GY763" s="133">
        <f t="shared" si="1124"/>
        <v>2018</v>
      </c>
      <c r="GZ763" s="133">
        <f t="shared" si="1124"/>
        <v>2019</v>
      </c>
      <c r="HA763" s="133">
        <f t="shared" si="1124"/>
        <v>2020</v>
      </c>
      <c r="HB763" s="133">
        <f t="shared" si="1124"/>
        <v>2021</v>
      </c>
      <c r="HC763" s="133">
        <f t="shared" si="1124"/>
        <v>2022</v>
      </c>
      <c r="HD763" s="133">
        <f t="shared" si="1124"/>
        <v>2023</v>
      </c>
      <c r="HE763" s="133">
        <f t="shared" si="1124"/>
        <v>2024</v>
      </c>
      <c r="HF763" s="133">
        <f t="shared" si="1124"/>
        <v>2025</v>
      </c>
      <c r="HG763" s="133">
        <f t="shared" si="1124"/>
        <v>2026</v>
      </c>
      <c r="HH763" s="133">
        <f t="shared" si="1124"/>
        <v>2027</v>
      </c>
      <c r="HI763" s="133">
        <f t="shared" si="1124"/>
        <v>2028</v>
      </c>
      <c r="HJ763" s="133">
        <f t="shared" si="1124"/>
        <v>2029</v>
      </c>
      <c r="HK763" s="133">
        <f t="shared" si="1124"/>
        <v>2030</v>
      </c>
      <c r="HL763" s="133">
        <f t="shared" si="1124"/>
        <v>2031</v>
      </c>
      <c r="HM763" s="133">
        <f t="shared" si="1124"/>
        <v>2032</v>
      </c>
      <c r="HN763" s="133">
        <f t="shared" si="1124"/>
        <v>2033</v>
      </c>
      <c r="HO763" s="133">
        <f t="shared" si="1124"/>
        <v>2034</v>
      </c>
      <c r="HP763" s="133">
        <f t="shared" si="1124"/>
        <v>2035</v>
      </c>
      <c r="HQ763" s="133">
        <f t="shared" si="1124"/>
        <v>2036</v>
      </c>
      <c r="HR763" s="133">
        <f t="shared" si="1124"/>
        <v>2037</v>
      </c>
      <c r="HS763" s="133">
        <f t="shared" si="1124"/>
        <v>2038</v>
      </c>
      <c r="HT763" s="133">
        <f t="shared" si="1124"/>
        <v>2039</v>
      </c>
      <c r="HU763" s="133">
        <f t="shared" si="1124"/>
        <v>2040</v>
      </c>
      <c r="HV763" s="133">
        <f t="shared" si="1124"/>
        <v>2041</v>
      </c>
      <c r="HW763" s="133">
        <f t="shared" si="1124"/>
        <v>2042</v>
      </c>
      <c r="HX763" s="133">
        <f t="shared" si="1124"/>
        <v>2043</v>
      </c>
      <c r="HY763" s="133">
        <f t="shared" si="1124"/>
        <v>2044</v>
      </c>
      <c r="HZ763" s="133">
        <f t="shared" si="1124"/>
        <v>2045</v>
      </c>
      <c r="IA763" s="133">
        <f t="shared" si="1124"/>
        <v>2046</v>
      </c>
      <c r="IB763" s="133">
        <f t="shared" si="1124"/>
        <v>2047</v>
      </c>
      <c r="IC763" s="133">
        <f t="shared" si="1124"/>
        <v>2048</v>
      </c>
      <c r="ID763" s="133">
        <f t="shared" si="1124"/>
        <v>2049</v>
      </c>
      <c r="IE763" s="134">
        <f t="shared" si="1124"/>
        <v>2050</v>
      </c>
      <c r="IG763" s="135">
        <f t="shared" ref="IG763:JP763" si="1125">IG$1</f>
        <v>2015</v>
      </c>
      <c r="IH763" s="133">
        <f t="shared" si="1125"/>
        <v>2016</v>
      </c>
      <c r="II763" s="133">
        <f t="shared" si="1125"/>
        <v>2017</v>
      </c>
      <c r="IJ763" s="133">
        <f t="shared" si="1125"/>
        <v>2018</v>
      </c>
      <c r="IK763" s="133">
        <f t="shared" si="1125"/>
        <v>2019</v>
      </c>
      <c r="IL763" s="133">
        <f t="shared" si="1125"/>
        <v>2020</v>
      </c>
      <c r="IM763" s="133">
        <f t="shared" si="1125"/>
        <v>2021</v>
      </c>
      <c r="IN763" s="133">
        <f t="shared" si="1125"/>
        <v>2022</v>
      </c>
      <c r="IO763" s="133">
        <f t="shared" si="1125"/>
        <v>2023</v>
      </c>
      <c r="IP763" s="133">
        <f t="shared" si="1125"/>
        <v>2024</v>
      </c>
      <c r="IQ763" s="133">
        <f t="shared" si="1125"/>
        <v>2025</v>
      </c>
      <c r="IR763" s="133">
        <f t="shared" si="1125"/>
        <v>2026</v>
      </c>
      <c r="IS763" s="133">
        <f t="shared" si="1125"/>
        <v>2027</v>
      </c>
      <c r="IT763" s="133">
        <f t="shared" si="1125"/>
        <v>2028</v>
      </c>
      <c r="IU763" s="133">
        <f t="shared" si="1125"/>
        <v>2029</v>
      </c>
      <c r="IV763" s="133">
        <f t="shared" si="1125"/>
        <v>2030</v>
      </c>
      <c r="IW763" s="133">
        <f t="shared" si="1125"/>
        <v>2031</v>
      </c>
      <c r="IX763" s="133">
        <f t="shared" si="1125"/>
        <v>2032</v>
      </c>
      <c r="IY763" s="133">
        <f t="shared" si="1125"/>
        <v>2033</v>
      </c>
      <c r="IZ763" s="133">
        <f t="shared" si="1125"/>
        <v>2034</v>
      </c>
      <c r="JA763" s="133">
        <f t="shared" si="1125"/>
        <v>2035</v>
      </c>
      <c r="JB763" s="133">
        <f t="shared" si="1125"/>
        <v>2036</v>
      </c>
      <c r="JC763" s="133">
        <f t="shared" si="1125"/>
        <v>2037</v>
      </c>
      <c r="JD763" s="133">
        <f t="shared" si="1125"/>
        <v>2038</v>
      </c>
      <c r="JE763" s="133">
        <f t="shared" si="1125"/>
        <v>2039</v>
      </c>
      <c r="JF763" s="133">
        <f t="shared" si="1125"/>
        <v>2040</v>
      </c>
      <c r="JG763" s="133">
        <f t="shared" si="1125"/>
        <v>2041</v>
      </c>
      <c r="JH763" s="133">
        <f t="shared" si="1125"/>
        <v>2042</v>
      </c>
      <c r="JI763" s="133">
        <f t="shared" si="1125"/>
        <v>2043</v>
      </c>
      <c r="JJ763" s="133">
        <f t="shared" si="1125"/>
        <v>2044</v>
      </c>
      <c r="JK763" s="133">
        <f t="shared" si="1125"/>
        <v>2045</v>
      </c>
      <c r="JL763" s="133">
        <f t="shared" si="1125"/>
        <v>2046</v>
      </c>
      <c r="JM763" s="133">
        <f t="shared" si="1125"/>
        <v>2047</v>
      </c>
      <c r="JN763" s="133">
        <f t="shared" si="1125"/>
        <v>2048</v>
      </c>
      <c r="JO763" s="133">
        <f t="shared" si="1125"/>
        <v>2049</v>
      </c>
      <c r="JP763" s="134">
        <f t="shared" si="1125"/>
        <v>2050</v>
      </c>
      <c r="JR763" s="135">
        <f t="shared" ref="JR763:MC763" si="1126">JR$1</f>
        <v>2015</v>
      </c>
      <c r="JS763" s="133">
        <f t="shared" si="1126"/>
        <v>2016</v>
      </c>
      <c r="JT763" s="133">
        <f t="shared" si="1126"/>
        <v>2017</v>
      </c>
      <c r="JU763" s="133">
        <f t="shared" si="1126"/>
        <v>2018</v>
      </c>
      <c r="JV763" s="133">
        <f t="shared" si="1126"/>
        <v>2019</v>
      </c>
      <c r="JW763" s="133">
        <f t="shared" si="1126"/>
        <v>2020</v>
      </c>
      <c r="JX763" s="133">
        <f t="shared" si="1126"/>
        <v>2021</v>
      </c>
      <c r="JY763" s="133">
        <f t="shared" si="1126"/>
        <v>2022</v>
      </c>
      <c r="JZ763" s="133">
        <f t="shared" si="1126"/>
        <v>2023</v>
      </c>
      <c r="KA763" s="133">
        <f t="shared" si="1126"/>
        <v>2024</v>
      </c>
      <c r="KB763" s="133">
        <f t="shared" si="1126"/>
        <v>2025</v>
      </c>
      <c r="KC763" s="133">
        <f t="shared" si="1126"/>
        <v>2026</v>
      </c>
      <c r="KD763" s="133">
        <f t="shared" si="1126"/>
        <v>2027</v>
      </c>
      <c r="KE763" s="133">
        <f t="shared" si="1126"/>
        <v>2028</v>
      </c>
      <c r="KF763" s="133">
        <f t="shared" si="1126"/>
        <v>2029</v>
      </c>
      <c r="KG763" s="133">
        <f t="shared" si="1126"/>
        <v>2030</v>
      </c>
      <c r="KH763" s="133">
        <f t="shared" si="1126"/>
        <v>2031</v>
      </c>
      <c r="KI763" s="133">
        <f t="shared" si="1126"/>
        <v>2032</v>
      </c>
      <c r="KJ763" s="133">
        <f t="shared" si="1126"/>
        <v>2033</v>
      </c>
      <c r="KK763" s="133">
        <f t="shared" si="1126"/>
        <v>2034</v>
      </c>
      <c r="KL763" s="133">
        <f t="shared" si="1126"/>
        <v>2035</v>
      </c>
      <c r="KM763" s="133">
        <f t="shared" si="1126"/>
        <v>2036</v>
      </c>
      <c r="KN763" s="133">
        <f t="shared" si="1126"/>
        <v>2037</v>
      </c>
      <c r="KO763" s="133">
        <f t="shared" si="1126"/>
        <v>2038</v>
      </c>
      <c r="KP763" s="133">
        <f t="shared" si="1126"/>
        <v>2039</v>
      </c>
      <c r="KQ763" s="133">
        <f t="shared" si="1126"/>
        <v>2040</v>
      </c>
      <c r="KR763" s="133">
        <f t="shared" si="1126"/>
        <v>2041</v>
      </c>
      <c r="KS763" s="133">
        <f t="shared" si="1126"/>
        <v>2042</v>
      </c>
      <c r="KT763" s="133">
        <f t="shared" si="1126"/>
        <v>2043</v>
      </c>
      <c r="KU763" s="133">
        <f t="shared" si="1126"/>
        <v>2044</v>
      </c>
      <c r="KV763" s="133">
        <f t="shared" si="1126"/>
        <v>2045</v>
      </c>
      <c r="KW763" s="133">
        <f t="shared" si="1126"/>
        <v>2046</v>
      </c>
      <c r="KX763" s="133">
        <f t="shared" si="1126"/>
        <v>2047</v>
      </c>
      <c r="KY763" s="133">
        <f t="shared" si="1126"/>
        <v>2048</v>
      </c>
      <c r="KZ763" s="133">
        <f t="shared" si="1126"/>
        <v>2049</v>
      </c>
      <c r="LA763" s="134">
        <f t="shared" si="1126"/>
        <v>2050</v>
      </c>
      <c r="LC763" s="135">
        <f t="shared" si="1126"/>
        <v>2015</v>
      </c>
      <c r="LD763" s="133">
        <f t="shared" si="1126"/>
        <v>2016</v>
      </c>
      <c r="LE763" s="133">
        <f t="shared" si="1126"/>
        <v>2017</v>
      </c>
      <c r="LF763" s="133">
        <f t="shared" si="1126"/>
        <v>2018</v>
      </c>
      <c r="LG763" s="133">
        <f t="shared" si="1126"/>
        <v>2019</v>
      </c>
      <c r="LH763" s="133">
        <f t="shared" si="1126"/>
        <v>2020</v>
      </c>
      <c r="LI763" s="133">
        <f t="shared" si="1126"/>
        <v>2021</v>
      </c>
      <c r="LJ763" s="133">
        <f t="shared" si="1126"/>
        <v>2022</v>
      </c>
      <c r="LK763" s="133">
        <f t="shared" si="1126"/>
        <v>2023</v>
      </c>
      <c r="LL763" s="133">
        <f t="shared" si="1126"/>
        <v>2024</v>
      </c>
      <c r="LM763" s="133">
        <f t="shared" si="1126"/>
        <v>2025</v>
      </c>
      <c r="LN763" s="133">
        <f t="shared" si="1126"/>
        <v>2026</v>
      </c>
      <c r="LO763" s="133">
        <f t="shared" si="1126"/>
        <v>2027</v>
      </c>
      <c r="LP763" s="133">
        <f t="shared" si="1126"/>
        <v>2028</v>
      </c>
      <c r="LQ763" s="133">
        <f t="shared" si="1126"/>
        <v>2029</v>
      </c>
      <c r="LR763" s="133">
        <f t="shared" si="1126"/>
        <v>2030</v>
      </c>
      <c r="LS763" s="133">
        <f t="shared" si="1126"/>
        <v>2031</v>
      </c>
      <c r="LT763" s="133">
        <f t="shared" si="1126"/>
        <v>2032</v>
      </c>
      <c r="LU763" s="133">
        <f t="shared" si="1126"/>
        <v>2033</v>
      </c>
      <c r="LV763" s="133">
        <f t="shared" si="1126"/>
        <v>2034</v>
      </c>
      <c r="LW763" s="133">
        <f t="shared" si="1126"/>
        <v>2035</v>
      </c>
      <c r="LX763" s="133">
        <f t="shared" si="1126"/>
        <v>2036</v>
      </c>
      <c r="LY763" s="133">
        <f t="shared" si="1126"/>
        <v>2037</v>
      </c>
      <c r="LZ763" s="133">
        <f t="shared" si="1126"/>
        <v>2038</v>
      </c>
      <c r="MA763" s="133">
        <f t="shared" si="1126"/>
        <v>2039</v>
      </c>
      <c r="MB763" s="133">
        <f t="shared" si="1126"/>
        <v>2040</v>
      </c>
      <c r="MC763" s="133">
        <f t="shared" si="1126"/>
        <v>2041</v>
      </c>
      <c r="MD763" s="133">
        <f t="shared" ref="MD763:ML763" si="1127">MD$1</f>
        <v>2042</v>
      </c>
      <c r="ME763" s="133">
        <f t="shared" si="1127"/>
        <v>2043</v>
      </c>
      <c r="MF763" s="133">
        <f t="shared" si="1127"/>
        <v>2044</v>
      </c>
      <c r="MG763" s="133">
        <f t="shared" si="1127"/>
        <v>2045</v>
      </c>
      <c r="MH763" s="133">
        <f t="shared" si="1127"/>
        <v>2046</v>
      </c>
      <c r="MI763" s="133">
        <f t="shared" si="1127"/>
        <v>2047</v>
      </c>
      <c r="MJ763" s="133">
        <f t="shared" si="1127"/>
        <v>2048</v>
      </c>
      <c r="MK763" s="133">
        <f t="shared" si="1127"/>
        <v>2049</v>
      </c>
      <c r="ML763" s="134">
        <f t="shared" si="1127"/>
        <v>2050</v>
      </c>
    </row>
    <row r="764" spans="2:350" s="4" customFormat="1" ht="18" customHeight="1" x14ac:dyDescent="0.3">
      <c r="C764" s="204" t="s">
        <v>366</v>
      </c>
      <c r="E764" s="1"/>
      <c r="F764" s="138"/>
      <c r="H764" s="245"/>
      <c r="I764" s="1"/>
      <c r="J764" s="1"/>
      <c r="K764" s="1"/>
      <c r="L764" s="1"/>
      <c r="M764" s="138"/>
      <c r="N764" s="1"/>
      <c r="O764" s="1"/>
      <c r="P764" s="1"/>
      <c r="Q764" s="1"/>
      <c r="S764" s="245"/>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38"/>
      <c r="BD764" s="245"/>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38"/>
      <c r="CO764" s="245"/>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38"/>
      <c r="DZ764" s="245"/>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38"/>
      <c r="FK764" s="245"/>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I764" s="1"/>
      <c r="GJ764" s="1"/>
      <c r="GK764" s="1"/>
      <c r="GL764" s="1"/>
      <c r="GM764" s="1"/>
      <c r="GN764" s="1"/>
      <c r="GO764" s="1"/>
      <c r="GP764" s="1"/>
      <c r="GQ764" s="1"/>
      <c r="GR764" s="1"/>
      <c r="GS764" s="1"/>
      <c r="GT764" s="138"/>
      <c r="GV764" s="245"/>
      <c r="GW764" s="1"/>
      <c r="GX764" s="1"/>
      <c r="GY764" s="1"/>
      <c r="GZ764" s="1"/>
      <c r="HA764" s="1"/>
      <c r="HB764" s="1"/>
      <c r="HC764" s="1"/>
      <c r="HD764" s="1"/>
      <c r="HE764" s="1"/>
      <c r="HF764" s="1"/>
      <c r="HG764" s="1"/>
      <c r="HH764" s="1"/>
      <c r="HI764" s="1"/>
      <c r="HJ764" s="1"/>
      <c r="HK764" s="1"/>
      <c r="HL764" s="1"/>
      <c r="HM764" s="1"/>
      <c r="HN764" s="1"/>
      <c r="HO764" s="1"/>
      <c r="HP764" s="1"/>
      <c r="HQ764" s="1"/>
      <c r="HR764" s="1"/>
      <c r="HS764" s="1"/>
      <c r="HT764" s="1"/>
      <c r="HU764" s="1"/>
      <c r="HV764" s="1"/>
      <c r="HW764" s="1"/>
      <c r="HX764" s="1"/>
      <c r="HY764" s="1"/>
      <c r="HZ764" s="1"/>
      <c r="IA764" s="1"/>
      <c r="IB764" s="1"/>
      <c r="IC764" s="1"/>
      <c r="ID764" s="1"/>
      <c r="IE764" s="138"/>
      <c r="IG764" s="245"/>
      <c r="IH764" s="1"/>
      <c r="II764" s="1"/>
      <c r="IJ764" s="1"/>
      <c r="IK764" s="1"/>
      <c r="IL764" s="1"/>
      <c r="IM764" s="1"/>
      <c r="IN764" s="1"/>
      <c r="IO764" s="1"/>
      <c r="IP764" s="1"/>
      <c r="IQ764" s="1"/>
      <c r="IR764" s="1"/>
      <c r="IS764" s="1"/>
      <c r="IT764" s="1"/>
      <c r="IU764" s="1"/>
      <c r="IV764" s="1"/>
      <c r="IW764" s="1"/>
      <c r="IX764" s="1"/>
      <c r="IY764" s="1"/>
      <c r="IZ764" s="1"/>
      <c r="JA764" s="1"/>
      <c r="JB764" s="1"/>
      <c r="JC764" s="1"/>
      <c r="JD764" s="1"/>
      <c r="JE764" s="1"/>
      <c r="JF764" s="1"/>
      <c r="JG764" s="1"/>
      <c r="JH764" s="1"/>
      <c r="JI764" s="1"/>
      <c r="JJ764" s="1"/>
      <c r="JK764" s="1"/>
      <c r="JL764" s="1"/>
      <c r="JM764" s="1"/>
      <c r="JN764" s="1"/>
      <c r="JO764" s="1"/>
      <c r="JP764" s="138"/>
      <c r="JR764" s="245"/>
      <c r="JS764" s="1"/>
      <c r="JT764" s="1"/>
      <c r="JU764" s="1"/>
      <c r="JV764" s="1"/>
      <c r="JW764" s="1"/>
      <c r="JX764" s="1"/>
      <c r="JY764" s="1"/>
      <c r="JZ764" s="1"/>
      <c r="KA764" s="1"/>
      <c r="KB764" s="1"/>
      <c r="KC764" s="1"/>
      <c r="KD764" s="1"/>
      <c r="KE764" s="1"/>
      <c r="KF764" s="1"/>
      <c r="KG764" s="1"/>
      <c r="KH764" s="1"/>
      <c r="KI764" s="1"/>
      <c r="KJ764" s="1"/>
      <c r="KK764" s="1"/>
      <c r="KL764" s="1"/>
      <c r="KM764" s="1"/>
      <c r="KN764" s="1"/>
      <c r="KO764" s="1"/>
      <c r="KP764" s="1"/>
      <c r="KQ764" s="1"/>
      <c r="KR764" s="1"/>
      <c r="KS764" s="1"/>
      <c r="KT764" s="1"/>
      <c r="KU764" s="1"/>
      <c r="KV764" s="1"/>
      <c r="KW764" s="1"/>
      <c r="KX764" s="1"/>
      <c r="KY764" s="1"/>
      <c r="KZ764" s="1"/>
      <c r="LA764" s="138"/>
      <c r="LC764" s="245"/>
      <c r="LD764" s="1"/>
      <c r="LE764" s="1"/>
      <c r="LF764" s="1"/>
      <c r="LG764" s="1"/>
      <c r="LH764" s="1"/>
      <c r="LI764" s="1"/>
      <c r="LJ764" s="1"/>
      <c r="LK764" s="1"/>
      <c r="LL764" s="1"/>
      <c r="LM764" s="1"/>
      <c r="LN764" s="1"/>
      <c r="LO764" s="1"/>
      <c r="LP764" s="1"/>
      <c r="LQ764" s="1"/>
      <c r="LR764" s="1"/>
      <c r="LS764" s="1"/>
      <c r="LT764" s="1"/>
      <c r="LU764" s="1"/>
      <c r="LV764" s="1"/>
      <c r="LW764" s="1"/>
      <c r="LX764" s="1"/>
      <c r="LY764" s="1"/>
      <c r="LZ764" s="1"/>
      <c r="MA764" s="1"/>
      <c r="MB764" s="1"/>
      <c r="MC764" s="1"/>
      <c r="MD764" s="1"/>
      <c r="ME764" s="1"/>
      <c r="MF764" s="1"/>
      <c r="MG764" s="1"/>
      <c r="MH764" s="1"/>
      <c r="MI764" s="1"/>
      <c r="MJ764" s="1"/>
      <c r="MK764" s="1"/>
      <c r="ML764" s="138"/>
    </row>
    <row r="765" spans="2:350" s="4" customFormat="1" ht="18" customHeight="1" x14ac:dyDescent="0.3">
      <c r="C765" s="136" t="s">
        <v>76</v>
      </c>
      <c r="E765" s="137" t="s">
        <v>367</v>
      </c>
      <c r="F765" s="186"/>
      <c r="H765" s="139"/>
      <c r="I765" s="140"/>
      <c r="J765" s="140"/>
      <c r="K765" s="140"/>
      <c r="L765" s="140"/>
      <c r="M765" s="141"/>
      <c r="N765" s="140"/>
      <c r="O765" s="140"/>
      <c r="P765" s="140"/>
      <c r="Q765" s="140"/>
      <c r="R765" s="140"/>
      <c r="S765" s="139"/>
      <c r="T765" s="140"/>
      <c r="U765" s="140"/>
      <c r="V765" s="140"/>
      <c r="W765" s="140"/>
      <c r="X765" s="140"/>
      <c r="Y765" s="140"/>
      <c r="Z765" s="140"/>
      <c r="AA765" s="140"/>
      <c r="AB765" s="140"/>
      <c r="AC765" s="140"/>
      <c r="AD765" s="140"/>
      <c r="AE765" s="140"/>
      <c r="AF765" s="140"/>
      <c r="AG765" s="140"/>
      <c r="AH765" s="140"/>
      <c r="AI765" s="140"/>
      <c r="AJ765" s="140"/>
      <c r="AK765" s="140"/>
      <c r="AL765" s="140"/>
      <c r="AM765" s="140"/>
      <c r="AN765" s="140"/>
      <c r="AO765" s="140"/>
      <c r="AP765" s="140"/>
      <c r="AQ765" s="140"/>
      <c r="AR765" s="140"/>
      <c r="AS765" s="140"/>
      <c r="AT765" s="140"/>
      <c r="AU765" s="140"/>
      <c r="AV765" s="140"/>
      <c r="AW765" s="140"/>
      <c r="AX765" s="140"/>
      <c r="AY765" s="140"/>
      <c r="AZ765" s="140"/>
      <c r="BA765" s="140"/>
      <c r="BB765" s="141"/>
      <c r="BC765" s="140"/>
      <c r="BD765" s="139"/>
      <c r="BE765" s="140"/>
      <c r="BF765" s="140"/>
      <c r="BG765" s="140"/>
      <c r="BH765" s="140"/>
      <c r="BI765" s="234">
        <f t="shared" ref="BI765:CM765" si="1128">(BI396*BI447+BI413*BI$497+BI429*BI$498)/10^3</f>
        <v>0</v>
      </c>
      <c r="BJ765" s="234">
        <f t="shared" si="1128"/>
        <v>1399.8338166666667</v>
      </c>
      <c r="BK765" s="234">
        <f t="shared" si="1128"/>
        <v>1399.8338166666667</v>
      </c>
      <c r="BL765" s="234">
        <f t="shared" si="1128"/>
        <v>1399.8338166666667</v>
      </c>
      <c r="BM765" s="234">
        <f t="shared" si="1128"/>
        <v>1399.833816666667</v>
      </c>
      <c r="BN765" s="234">
        <f t="shared" si="1128"/>
        <v>1399.8338166666663</v>
      </c>
      <c r="BO765" s="234">
        <f t="shared" si="1128"/>
        <v>1399.833816666667</v>
      </c>
      <c r="BP765" s="234">
        <f t="shared" si="1128"/>
        <v>1399.8338166666663</v>
      </c>
      <c r="BQ765" s="234">
        <f t="shared" si="1128"/>
        <v>1399.8338166666679</v>
      </c>
      <c r="BR765" s="234">
        <f t="shared" si="1128"/>
        <v>1399.8338166666645</v>
      </c>
      <c r="BS765" s="234">
        <f t="shared" si="1128"/>
        <v>1399.8338166666679</v>
      </c>
      <c r="BT765" s="234">
        <f t="shared" si="1128"/>
        <v>1399.8338166666663</v>
      </c>
      <c r="BU765" s="234">
        <f t="shared" si="1128"/>
        <v>1399.8338166666679</v>
      </c>
      <c r="BV765" s="234">
        <f t="shared" si="1128"/>
        <v>1399.8338166666663</v>
      </c>
      <c r="BW765" s="234">
        <f t="shared" si="1128"/>
        <v>1399.8338166666663</v>
      </c>
      <c r="BX765" s="234">
        <f t="shared" si="1128"/>
        <v>1399.8338166666679</v>
      </c>
      <c r="BY765" s="234">
        <f t="shared" si="1128"/>
        <v>1399.8338166666679</v>
      </c>
      <c r="BZ765" s="234">
        <f t="shared" si="1128"/>
        <v>1399.8338166666645</v>
      </c>
      <c r="CA765" s="234">
        <f t="shared" si="1128"/>
        <v>1399.8338166666645</v>
      </c>
      <c r="CB765" s="234">
        <f t="shared" si="1128"/>
        <v>1399.8338166666708</v>
      </c>
      <c r="CC765" s="234">
        <f t="shared" si="1128"/>
        <v>1399.8338166666645</v>
      </c>
      <c r="CD765" s="234">
        <f t="shared" si="1128"/>
        <v>1399.8338166666708</v>
      </c>
      <c r="CE765" s="234">
        <f t="shared" si="1128"/>
        <v>1399.8338166666615</v>
      </c>
      <c r="CF765" s="234">
        <f t="shared" si="1128"/>
        <v>1399.8338166666645</v>
      </c>
      <c r="CG765" s="234">
        <f t="shared" si="1128"/>
        <v>1399.8338166666708</v>
      </c>
      <c r="CH765" s="234">
        <f t="shared" si="1128"/>
        <v>1399.8338166666645</v>
      </c>
      <c r="CI765" s="234">
        <f t="shared" si="1128"/>
        <v>1399.8338166666679</v>
      </c>
      <c r="CJ765" s="234">
        <f t="shared" si="1128"/>
        <v>1399.8338166666679</v>
      </c>
      <c r="CK765" s="234">
        <f t="shared" si="1128"/>
        <v>1399.8338166666645</v>
      </c>
      <c r="CL765" s="234">
        <f t="shared" si="1128"/>
        <v>1399.8338166666679</v>
      </c>
      <c r="CM765" s="189">
        <f t="shared" si="1128"/>
        <v>1399.8338166666679</v>
      </c>
      <c r="CN765" s="140"/>
      <c r="CO765" s="139"/>
      <c r="CP765" s="140"/>
      <c r="CQ765" s="140"/>
      <c r="CR765" s="140"/>
      <c r="CS765" s="140"/>
      <c r="CT765" s="234">
        <f t="shared" ref="CT765:DX765" si="1129">(CT396*CT447+CT413*CT$497+CT429*CT$498)/10^3</f>
        <v>0</v>
      </c>
      <c r="CU765" s="234">
        <f t="shared" si="1129"/>
        <v>1585.1279166666668</v>
      </c>
      <c r="CV765" s="234">
        <f t="shared" si="1129"/>
        <v>1585.1279166666668</v>
      </c>
      <c r="CW765" s="234">
        <f t="shared" si="1129"/>
        <v>1585.1279166666666</v>
      </c>
      <c r="CX765" s="234">
        <f t="shared" si="1129"/>
        <v>1585.1279166666668</v>
      </c>
      <c r="CY765" s="234">
        <f t="shared" si="1129"/>
        <v>1585.1279166666661</v>
      </c>
      <c r="CZ765" s="234">
        <f t="shared" si="1129"/>
        <v>1585.1279166666668</v>
      </c>
      <c r="DA765" s="234">
        <f t="shared" si="1129"/>
        <v>1585.1279166666654</v>
      </c>
      <c r="DB765" s="234">
        <f t="shared" si="1129"/>
        <v>1585.1279166666684</v>
      </c>
      <c r="DC765" s="234">
        <f t="shared" si="1129"/>
        <v>1585.1279166666654</v>
      </c>
      <c r="DD765" s="234">
        <f t="shared" si="1129"/>
        <v>1585.1279166666668</v>
      </c>
      <c r="DE765" s="234">
        <f t="shared" si="1129"/>
        <v>1585.1279166666684</v>
      </c>
      <c r="DF765" s="234">
        <f t="shared" si="1129"/>
        <v>1585.1279166666654</v>
      </c>
      <c r="DG765" s="234">
        <f t="shared" si="1129"/>
        <v>1585.1279166666654</v>
      </c>
      <c r="DH765" s="234">
        <f t="shared" si="1129"/>
        <v>1585.1279166666654</v>
      </c>
      <c r="DI765" s="234">
        <f t="shared" si="1129"/>
        <v>1585.1279166666684</v>
      </c>
      <c r="DJ765" s="234">
        <f t="shared" si="1129"/>
        <v>1585.1279166666684</v>
      </c>
      <c r="DK765" s="234">
        <f t="shared" si="1129"/>
        <v>1585.1279166666654</v>
      </c>
      <c r="DL765" s="234">
        <f t="shared" si="1129"/>
        <v>1585.1279166666654</v>
      </c>
      <c r="DM765" s="234">
        <f t="shared" si="1129"/>
        <v>1585.1279166666654</v>
      </c>
      <c r="DN765" s="234">
        <f t="shared" si="1129"/>
        <v>1585.1279166666684</v>
      </c>
      <c r="DO765" s="234">
        <f t="shared" si="1129"/>
        <v>1585.1279166666654</v>
      </c>
      <c r="DP765" s="234">
        <f t="shared" si="1129"/>
        <v>1585.1279166666716</v>
      </c>
      <c r="DQ765" s="234">
        <f t="shared" si="1129"/>
        <v>1585.1279166666591</v>
      </c>
      <c r="DR765" s="234">
        <f t="shared" si="1129"/>
        <v>1585.1279166666716</v>
      </c>
      <c r="DS765" s="234">
        <f t="shared" si="1129"/>
        <v>1585.1279166666654</v>
      </c>
      <c r="DT765" s="234">
        <f t="shared" si="1129"/>
        <v>1585.1279166666654</v>
      </c>
      <c r="DU765" s="234">
        <f t="shared" si="1129"/>
        <v>1585.1279166666716</v>
      </c>
      <c r="DV765" s="234">
        <f t="shared" si="1129"/>
        <v>1585.1279166666591</v>
      </c>
      <c r="DW765" s="234">
        <f t="shared" si="1129"/>
        <v>1585.1279166666716</v>
      </c>
      <c r="DX765" s="189">
        <f t="shared" si="1129"/>
        <v>1585.1279166666654</v>
      </c>
      <c r="DY765" s="140"/>
      <c r="DZ765" s="139"/>
      <c r="EA765" s="140"/>
      <c r="EB765" s="140"/>
      <c r="EC765" s="140"/>
      <c r="ED765" s="140"/>
      <c r="EE765" s="234">
        <f t="shared" ref="EE765:FI765" si="1130">(EE396*EE447+EE413*EE$497+EE429*EE$498)/10^3</f>
        <v>0</v>
      </c>
      <c r="EF765" s="234">
        <f t="shared" si="1130"/>
        <v>1467.0632166666669</v>
      </c>
      <c r="EG765" s="234">
        <f t="shared" si="1130"/>
        <v>1467.0632166666669</v>
      </c>
      <c r="EH765" s="234">
        <f t="shared" si="1130"/>
        <v>1467.0632166666664</v>
      </c>
      <c r="EI765" s="234">
        <f t="shared" si="1130"/>
        <v>1467.0632166666671</v>
      </c>
      <c r="EJ765" s="234">
        <f t="shared" si="1130"/>
        <v>1467.0632166666662</v>
      </c>
      <c r="EK765" s="234">
        <f t="shared" si="1130"/>
        <v>1467.0632166666671</v>
      </c>
      <c r="EL765" s="234">
        <f t="shared" si="1130"/>
        <v>1467.0632166666662</v>
      </c>
      <c r="EM765" s="234">
        <f t="shared" si="1130"/>
        <v>1467.0632166666678</v>
      </c>
      <c r="EN765" s="234">
        <f t="shared" si="1130"/>
        <v>1467.0632166666662</v>
      </c>
      <c r="EO765" s="234">
        <f t="shared" si="1130"/>
        <v>1467.0632166666662</v>
      </c>
      <c r="EP765" s="234">
        <f t="shared" si="1130"/>
        <v>1467.0632166666678</v>
      </c>
      <c r="EQ765" s="234">
        <f t="shared" si="1130"/>
        <v>1467.0632166666662</v>
      </c>
      <c r="ER765" s="234">
        <f t="shared" si="1130"/>
        <v>1467.0632166666662</v>
      </c>
      <c r="ES765" s="234">
        <f t="shared" si="1130"/>
        <v>1467.0632166666662</v>
      </c>
      <c r="ET765" s="234">
        <f t="shared" si="1130"/>
        <v>1467.0632166666662</v>
      </c>
      <c r="EU765" s="234">
        <f t="shared" si="1130"/>
        <v>1467.0632166666694</v>
      </c>
      <c r="EV765" s="234">
        <f t="shared" si="1130"/>
        <v>1467.0632166666662</v>
      </c>
      <c r="EW765" s="234">
        <f t="shared" si="1130"/>
        <v>1467.0632166666662</v>
      </c>
      <c r="EX765" s="234">
        <f t="shared" si="1130"/>
        <v>1467.0632166666662</v>
      </c>
      <c r="EY765" s="234">
        <f t="shared" si="1130"/>
        <v>1467.0632166666662</v>
      </c>
      <c r="EZ765" s="234">
        <f t="shared" si="1130"/>
        <v>1467.0632166666662</v>
      </c>
      <c r="FA765" s="234">
        <f t="shared" si="1130"/>
        <v>1467.0632166666694</v>
      </c>
      <c r="FB765" s="234">
        <f t="shared" si="1130"/>
        <v>1467.0632166666662</v>
      </c>
      <c r="FC765" s="234">
        <f t="shared" si="1130"/>
        <v>1467.0632166666662</v>
      </c>
      <c r="FD765" s="234">
        <f t="shared" si="1130"/>
        <v>1467.063216666663</v>
      </c>
      <c r="FE765" s="234">
        <f t="shared" si="1130"/>
        <v>1467.0632166666694</v>
      </c>
      <c r="FF765" s="234">
        <f t="shared" si="1130"/>
        <v>1467.0632166666694</v>
      </c>
      <c r="FG765" s="234">
        <f t="shared" si="1130"/>
        <v>1467.063216666663</v>
      </c>
      <c r="FH765" s="234">
        <f t="shared" si="1130"/>
        <v>1467.0632166666694</v>
      </c>
      <c r="FI765" s="189">
        <f t="shared" si="1130"/>
        <v>1467.063216666663</v>
      </c>
      <c r="FJ765" s="140"/>
      <c r="FK765" s="139"/>
      <c r="FL765" s="140"/>
      <c r="FM765" s="140"/>
      <c r="FN765" s="140"/>
      <c r="FO765" s="140"/>
      <c r="FP765" s="234">
        <f t="shared" ref="FP765:GT765" si="1131">(FP396*FP447+FP413*FP$497+FP429*FP$498)/10^3</f>
        <v>0</v>
      </c>
      <c r="FQ765" s="234">
        <f t="shared" si="1131"/>
        <v>1668.3632166666669</v>
      </c>
      <c r="FR765" s="234">
        <f t="shared" si="1131"/>
        <v>1668.3632166666669</v>
      </c>
      <c r="FS765" s="234">
        <f t="shared" si="1131"/>
        <v>1668.3632166666666</v>
      </c>
      <c r="FT765" s="234">
        <f t="shared" si="1131"/>
        <v>1668.3632166666671</v>
      </c>
      <c r="FU765" s="234">
        <f t="shared" si="1131"/>
        <v>1668.3632166666664</v>
      </c>
      <c r="FV765" s="234">
        <f t="shared" si="1131"/>
        <v>1668.3632166666671</v>
      </c>
      <c r="FW765" s="234">
        <f t="shared" si="1131"/>
        <v>1668.3632166666664</v>
      </c>
      <c r="FX765" s="234">
        <f t="shared" si="1131"/>
        <v>1668.3632166666678</v>
      </c>
      <c r="FY765" s="234">
        <f t="shared" si="1131"/>
        <v>1668.3632166666664</v>
      </c>
      <c r="FZ765" s="234">
        <f t="shared" si="1131"/>
        <v>1668.3632166666664</v>
      </c>
      <c r="GA765" s="234">
        <f t="shared" si="1131"/>
        <v>1668.3632166666678</v>
      </c>
      <c r="GB765" s="234">
        <f t="shared" si="1131"/>
        <v>1668.3632166666664</v>
      </c>
      <c r="GC765" s="234">
        <f t="shared" si="1131"/>
        <v>1668.3632166666664</v>
      </c>
      <c r="GD765" s="234">
        <f t="shared" si="1131"/>
        <v>1668.3632166666664</v>
      </c>
      <c r="GE765" s="234">
        <f t="shared" si="1131"/>
        <v>1668.3632166666664</v>
      </c>
      <c r="GF765" s="234">
        <f t="shared" si="1131"/>
        <v>1668.3632166666694</v>
      </c>
      <c r="GG765" s="234">
        <f t="shared" si="1131"/>
        <v>1668.3632166666664</v>
      </c>
      <c r="GH765" s="234">
        <f t="shared" si="1131"/>
        <v>1668.3632166666664</v>
      </c>
      <c r="GI765" s="234">
        <f t="shared" si="1131"/>
        <v>1668.3632166666664</v>
      </c>
      <c r="GJ765" s="234">
        <f t="shared" si="1131"/>
        <v>1668.3632166666664</v>
      </c>
      <c r="GK765" s="234">
        <f t="shared" si="1131"/>
        <v>1668.3632166666664</v>
      </c>
      <c r="GL765" s="234">
        <f t="shared" si="1131"/>
        <v>1668.3632166666694</v>
      </c>
      <c r="GM765" s="234">
        <f t="shared" si="1131"/>
        <v>1668.363216666663</v>
      </c>
      <c r="GN765" s="234">
        <f t="shared" si="1131"/>
        <v>1668.3632166666694</v>
      </c>
      <c r="GO765" s="234">
        <f t="shared" si="1131"/>
        <v>1668.363216666663</v>
      </c>
      <c r="GP765" s="234">
        <f t="shared" si="1131"/>
        <v>1668.3632166666694</v>
      </c>
      <c r="GQ765" s="234">
        <f t="shared" si="1131"/>
        <v>1668.3632166666694</v>
      </c>
      <c r="GR765" s="234">
        <f t="shared" si="1131"/>
        <v>1668.363216666663</v>
      </c>
      <c r="GS765" s="234">
        <f t="shared" si="1131"/>
        <v>1668.3632166666694</v>
      </c>
      <c r="GT765" s="189">
        <f t="shared" si="1131"/>
        <v>1668.363216666663</v>
      </c>
      <c r="GU765" s="140"/>
      <c r="GV765" s="139"/>
      <c r="GW765" s="140"/>
      <c r="GX765" s="140"/>
      <c r="GY765" s="140"/>
      <c r="GZ765" s="140"/>
      <c r="HA765" s="234">
        <f t="shared" ref="HA765:IE765" si="1132">(HA396*HA447+HA413*HA$497+HA429*HA$498)/10^3</f>
        <v>0</v>
      </c>
      <c r="HB765" s="234">
        <f t="shared" si="1132"/>
        <v>1534.0985166666667</v>
      </c>
      <c r="HC765" s="234">
        <f t="shared" si="1132"/>
        <v>1534.0985166666667</v>
      </c>
      <c r="HD765" s="234">
        <f t="shared" si="1132"/>
        <v>1534.0985166666669</v>
      </c>
      <c r="HE765" s="234">
        <f t="shared" si="1132"/>
        <v>1534.0985166666662</v>
      </c>
      <c r="HF765" s="234">
        <f t="shared" si="1132"/>
        <v>1534.0985166666662</v>
      </c>
      <c r="HG765" s="234">
        <f t="shared" si="1132"/>
        <v>1534.0985166666678</v>
      </c>
      <c r="HH765" s="234">
        <f t="shared" si="1132"/>
        <v>1534.0985166666669</v>
      </c>
      <c r="HI765" s="234">
        <f t="shared" si="1132"/>
        <v>1534.0985166666655</v>
      </c>
      <c r="HJ765" s="234">
        <f t="shared" si="1132"/>
        <v>1534.0985166666669</v>
      </c>
      <c r="HK765" s="234">
        <f t="shared" si="1132"/>
        <v>1534.0985166666655</v>
      </c>
      <c r="HL765" s="234">
        <f t="shared" si="1132"/>
        <v>1534.0985166666701</v>
      </c>
      <c r="HM765" s="234">
        <f t="shared" si="1132"/>
        <v>1534.0985166666655</v>
      </c>
      <c r="HN765" s="234">
        <f t="shared" si="1132"/>
        <v>1534.0985166666669</v>
      </c>
      <c r="HO765" s="234">
        <f t="shared" si="1132"/>
        <v>1534.0985166666669</v>
      </c>
      <c r="HP765" s="234">
        <f t="shared" si="1132"/>
        <v>1534.0985166666669</v>
      </c>
      <c r="HQ765" s="234">
        <f t="shared" si="1132"/>
        <v>1534.0985166666637</v>
      </c>
      <c r="HR765" s="234">
        <f t="shared" si="1132"/>
        <v>1534.0985166666701</v>
      </c>
      <c r="HS765" s="234">
        <f t="shared" si="1132"/>
        <v>1534.0985166666637</v>
      </c>
      <c r="HT765" s="234">
        <f t="shared" si="1132"/>
        <v>1534.0985166666701</v>
      </c>
      <c r="HU765" s="234">
        <f t="shared" si="1132"/>
        <v>1534.0985166666608</v>
      </c>
      <c r="HV765" s="234">
        <f t="shared" si="1132"/>
        <v>1534.0985166666701</v>
      </c>
      <c r="HW765" s="234">
        <f t="shared" si="1132"/>
        <v>1534.0985166666701</v>
      </c>
      <c r="HX765" s="234">
        <f t="shared" si="1132"/>
        <v>1534.0985166666637</v>
      </c>
      <c r="HY765" s="234">
        <f t="shared" si="1132"/>
        <v>1534.0985166666669</v>
      </c>
      <c r="HZ765" s="234">
        <f t="shared" si="1132"/>
        <v>1534.0985166666669</v>
      </c>
      <c r="IA765" s="234">
        <f t="shared" si="1132"/>
        <v>1534.0985166666669</v>
      </c>
      <c r="IB765" s="234">
        <f t="shared" si="1132"/>
        <v>1534.0985166666669</v>
      </c>
      <c r="IC765" s="234">
        <f t="shared" si="1132"/>
        <v>1534.0985166666669</v>
      </c>
      <c r="ID765" s="234">
        <f t="shared" si="1132"/>
        <v>1534.0985166666669</v>
      </c>
      <c r="IE765" s="189">
        <f t="shared" si="1132"/>
        <v>1534.0985166666669</v>
      </c>
      <c r="IF765" s="140"/>
      <c r="IG765" s="139"/>
      <c r="IH765" s="140"/>
      <c r="II765" s="140"/>
      <c r="IJ765" s="140"/>
      <c r="IK765" s="140"/>
      <c r="IL765" s="234"/>
      <c r="IM765" s="234"/>
      <c r="IN765" s="234"/>
      <c r="IO765" s="234"/>
      <c r="IP765" s="234"/>
      <c r="IQ765" s="234"/>
      <c r="IR765" s="234"/>
      <c r="IS765" s="234"/>
      <c r="IT765" s="234"/>
      <c r="IU765" s="234"/>
      <c r="IV765" s="234"/>
      <c r="IW765" s="234"/>
      <c r="IX765" s="234"/>
      <c r="IY765" s="234"/>
      <c r="IZ765" s="234"/>
      <c r="JA765" s="234"/>
      <c r="JB765" s="234"/>
      <c r="JC765" s="234"/>
      <c r="JD765" s="234"/>
      <c r="JE765" s="234"/>
      <c r="JF765" s="234"/>
      <c r="JG765" s="234"/>
      <c r="JH765" s="234"/>
      <c r="JI765" s="234"/>
      <c r="JJ765" s="234"/>
      <c r="JK765" s="234"/>
      <c r="JL765" s="234"/>
      <c r="JM765" s="234"/>
      <c r="JN765" s="234"/>
      <c r="JO765" s="234"/>
      <c r="JP765" s="189"/>
      <c r="JQ765" s="140"/>
      <c r="JR765" s="139"/>
      <c r="JS765" s="140"/>
      <c r="JT765" s="140"/>
      <c r="JU765" s="140"/>
      <c r="JV765" s="140"/>
      <c r="JW765" s="234"/>
      <c r="JX765" s="234"/>
      <c r="JY765" s="234"/>
      <c r="JZ765" s="234"/>
      <c r="KA765" s="234"/>
      <c r="KB765" s="234"/>
      <c r="KC765" s="234"/>
      <c r="KD765" s="234"/>
      <c r="KE765" s="234"/>
      <c r="KF765" s="234"/>
      <c r="KG765" s="234"/>
      <c r="KH765" s="234"/>
      <c r="KI765" s="234"/>
      <c r="KJ765" s="234"/>
      <c r="KK765" s="234"/>
      <c r="KL765" s="234"/>
      <c r="KM765" s="234"/>
      <c r="KN765" s="234"/>
      <c r="KO765" s="234"/>
      <c r="KP765" s="234"/>
      <c r="KQ765" s="234"/>
      <c r="KR765" s="234"/>
      <c r="KS765" s="234"/>
      <c r="KT765" s="234"/>
      <c r="KU765" s="234"/>
      <c r="KV765" s="234"/>
      <c r="KW765" s="234"/>
      <c r="KX765" s="234"/>
      <c r="KY765" s="234"/>
      <c r="KZ765" s="234"/>
      <c r="LA765" s="189"/>
      <c r="LB765" s="140"/>
      <c r="LC765" s="139"/>
      <c r="LD765" s="140"/>
      <c r="LE765" s="140"/>
      <c r="LF765" s="140"/>
      <c r="LG765" s="140"/>
      <c r="LH765" s="234"/>
      <c r="LI765" s="234"/>
      <c r="LJ765" s="234"/>
      <c r="LK765" s="234"/>
      <c r="LL765" s="234"/>
      <c r="LM765" s="234"/>
      <c r="LN765" s="234"/>
      <c r="LO765" s="234"/>
      <c r="LP765" s="234"/>
      <c r="LQ765" s="234"/>
      <c r="LR765" s="234"/>
      <c r="LS765" s="234"/>
      <c r="LT765" s="234"/>
      <c r="LU765" s="234"/>
      <c r="LV765" s="234"/>
      <c r="LW765" s="234"/>
      <c r="LX765" s="234"/>
      <c r="LY765" s="234"/>
      <c r="LZ765" s="234"/>
      <c r="MA765" s="234"/>
      <c r="MB765" s="234"/>
      <c r="MC765" s="234"/>
      <c r="MD765" s="234"/>
      <c r="ME765" s="234"/>
      <c r="MF765" s="234"/>
      <c r="MG765" s="234"/>
      <c r="MH765" s="234"/>
      <c r="MI765" s="234"/>
      <c r="MJ765" s="234"/>
      <c r="MK765" s="234"/>
      <c r="ML765" s="189"/>
    </row>
    <row r="766" spans="2:350" s="4" customFormat="1" ht="18" customHeight="1" x14ac:dyDescent="0.3">
      <c r="C766" s="136" t="s">
        <v>77</v>
      </c>
      <c r="E766" s="137" t="s">
        <v>105</v>
      </c>
      <c r="F766" s="186"/>
      <c r="H766" s="139"/>
      <c r="I766" s="140"/>
      <c r="J766" s="140"/>
      <c r="K766" s="140"/>
      <c r="L766" s="140"/>
      <c r="M766" s="141"/>
      <c r="N766" s="140"/>
      <c r="O766" s="140"/>
      <c r="P766" s="140"/>
      <c r="Q766" s="140"/>
      <c r="R766" s="140"/>
      <c r="S766" s="139"/>
      <c r="T766" s="140"/>
      <c r="U766" s="140"/>
      <c r="V766" s="140"/>
      <c r="W766" s="140"/>
      <c r="X766" s="140"/>
      <c r="Y766" s="140"/>
      <c r="Z766" s="140"/>
      <c r="AA766" s="140"/>
      <c r="AB766" s="140"/>
      <c r="AC766" s="140"/>
      <c r="AD766" s="140"/>
      <c r="AE766" s="140"/>
      <c r="AF766" s="140"/>
      <c r="AG766" s="140"/>
      <c r="AH766" s="140"/>
      <c r="AI766" s="140"/>
      <c r="AJ766" s="140"/>
      <c r="AK766" s="140"/>
      <c r="AL766" s="140"/>
      <c r="AM766" s="140"/>
      <c r="AN766" s="140"/>
      <c r="AO766" s="140"/>
      <c r="AP766" s="140"/>
      <c r="AQ766" s="140"/>
      <c r="AR766" s="140"/>
      <c r="AS766" s="140"/>
      <c r="AT766" s="140"/>
      <c r="AU766" s="140"/>
      <c r="AV766" s="140"/>
      <c r="AW766" s="140"/>
      <c r="AX766" s="140"/>
      <c r="AY766" s="140"/>
      <c r="AZ766" s="140"/>
      <c r="BA766" s="140"/>
      <c r="BB766" s="141"/>
      <c r="BC766" s="140"/>
      <c r="BD766" s="139"/>
      <c r="BE766" s="140"/>
      <c r="BF766" s="140"/>
      <c r="BG766" s="140"/>
      <c r="BH766" s="140"/>
      <c r="BI766" s="234">
        <f t="shared" ref="BI766:CM766" si="1133">(BI397*BI448+BI414*BI$497+BI430*BI$498)/10^3</f>
        <v>0</v>
      </c>
      <c r="BJ766" s="234">
        <f t="shared" si="1133"/>
        <v>1350.9125282256555</v>
      </c>
      <c r="BK766" s="234">
        <f t="shared" si="1133"/>
        <v>1350.9125282256555</v>
      </c>
      <c r="BL766" s="234">
        <f t="shared" si="1133"/>
        <v>1350.9125282256559</v>
      </c>
      <c r="BM766" s="234">
        <f t="shared" si="1133"/>
        <v>1350.912528225655</v>
      </c>
      <c r="BN766" s="234">
        <f t="shared" si="1133"/>
        <v>1350.9125282256559</v>
      </c>
      <c r="BO766" s="234">
        <f t="shared" si="1133"/>
        <v>1350.9125282256559</v>
      </c>
      <c r="BP766" s="234">
        <f t="shared" si="1133"/>
        <v>1350.912528225655</v>
      </c>
      <c r="BQ766" s="234">
        <f t="shared" si="1133"/>
        <v>1350.912528225655</v>
      </c>
      <c r="BR766" s="234">
        <f t="shared" si="1133"/>
        <v>1350.9125282256559</v>
      </c>
      <c r="BS766" s="234">
        <f t="shared" si="1133"/>
        <v>1350.9125282256559</v>
      </c>
      <c r="BT766" s="234">
        <f t="shared" si="1133"/>
        <v>1350.9125282256559</v>
      </c>
      <c r="BU766" s="234">
        <f t="shared" si="1133"/>
        <v>1350.9125282256559</v>
      </c>
      <c r="BV766" s="234">
        <f t="shared" si="1133"/>
        <v>1350.9125282256539</v>
      </c>
      <c r="BW766" s="234">
        <f t="shared" si="1133"/>
        <v>1350.9125282256559</v>
      </c>
      <c r="BX766" s="234">
        <f t="shared" si="1133"/>
        <v>1350.9125282256559</v>
      </c>
      <c r="BY766" s="234">
        <f t="shared" si="1133"/>
        <v>1350.9125282256539</v>
      </c>
      <c r="BZ766" s="234">
        <f t="shared" si="1133"/>
        <v>1350.9125282256559</v>
      </c>
      <c r="CA766" s="234">
        <f t="shared" si="1133"/>
        <v>1350.9125282256559</v>
      </c>
      <c r="CB766" s="234">
        <f t="shared" si="1133"/>
        <v>1350.9125282256559</v>
      </c>
      <c r="CC766" s="234">
        <f t="shared" si="1133"/>
        <v>1350.9125282256559</v>
      </c>
      <c r="CD766" s="234">
        <f t="shared" si="1133"/>
        <v>1350.9125282256559</v>
      </c>
      <c r="CE766" s="234">
        <f t="shared" si="1133"/>
        <v>1350.9125282256559</v>
      </c>
      <c r="CF766" s="234">
        <f t="shared" si="1133"/>
        <v>1350.9125282256516</v>
      </c>
      <c r="CG766" s="234">
        <f t="shared" si="1133"/>
        <v>1350.9125282256603</v>
      </c>
      <c r="CH766" s="234">
        <f t="shared" si="1133"/>
        <v>1350.9125282256516</v>
      </c>
      <c r="CI766" s="234">
        <f t="shared" si="1133"/>
        <v>1350.9125282256559</v>
      </c>
      <c r="CJ766" s="234">
        <f t="shared" si="1133"/>
        <v>1350.9125282256516</v>
      </c>
      <c r="CK766" s="234">
        <f t="shared" si="1133"/>
        <v>1350.9125282256603</v>
      </c>
      <c r="CL766" s="234">
        <f t="shared" si="1133"/>
        <v>1350.9125282256516</v>
      </c>
      <c r="CM766" s="189">
        <f t="shared" si="1133"/>
        <v>1350.9125282256603</v>
      </c>
      <c r="CN766" s="140"/>
      <c r="CO766" s="139"/>
      <c r="CP766" s="140"/>
      <c r="CQ766" s="140"/>
      <c r="CR766" s="140"/>
      <c r="CS766" s="140"/>
      <c r="CT766" s="234">
        <f t="shared" ref="CT766:DX766" si="1134">(CT397*CT448+CT414*CT$497+CT430*CT$498)/10^3</f>
        <v>0</v>
      </c>
      <c r="CU766" s="234">
        <f t="shared" si="1134"/>
        <v>1616.0898952437735</v>
      </c>
      <c r="CV766" s="234">
        <f t="shared" si="1134"/>
        <v>1616.0898952437735</v>
      </c>
      <c r="CW766" s="234">
        <f t="shared" si="1134"/>
        <v>1616.0898952437742</v>
      </c>
      <c r="CX766" s="234">
        <f t="shared" si="1134"/>
        <v>1616.0898952437726</v>
      </c>
      <c r="CY766" s="234">
        <f t="shared" si="1134"/>
        <v>1616.0898952437726</v>
      </c>
      <c r="CZ766" s="234">
        <f t="shared" si="1134"/>
        <v>1616.0898952437758</v>
      </c>
      <c r="DA766" s="234">
        <f t="shared" si="1134"/>
        <v>1616.0898952437726</v>
      </c>
      <c r="DB766" s="234">
        <f t="shared" si="1134"/>
        <v>1616.0898952437726</v>
      </c>
      <c r="DC766" s="234">
        <f t="shared" si="1134"/>
        <v>1616.0898952437747</v>
      </c>
      <c r="DD766" s="234">
        <f t="shared" si="1134"/>
        <v>1616.0898952437703</v>
      </c>
      <c r="DE766" s="234">
        <f t="shared" si="1134"/>
        <v>1616.0898952437769</v>
      </c>
      <c r="DF766" s="234">
        <f t="shared" si="1134"/>
        <v>1616.0898952437747</v>
      </c>
      <c r="DG766" s="234">
        <f t="shared" si="1134"/>
        <v>1616.0898952437747</v>
      </c>
      <c r="DH766" s="234">
        <f t="shared" si="1134"/>
        <v>1616.0898952437703</v>
      </c>
      <c r="DI766" s="234">
        <f t="shared" si="1134"/>
        <v>1616.0898952437747</v>
      </c>
      <c r="DJ766" s="234">
        <f t="shared" si="1134"/>
        <v>1616.0898952437703</v>
      </c>
      <c r="DK766" s="234">
        <f t="shared" si="1134"/>
        <v>1616.0898952437747</v>
      </c>
      <c r="DL766" s="234">
        <f t="shared" si="1134"/>
        <v>1616.0898952437747</v>
      </c>
      <c r="DM766" s="234">
        <f t="shared" si="1134"/>
        <v>1616.0898952437703</v>
      </c>
      <c r="DN766" s="234">
        <f t="shared" si="1134"/>
        <v>1616.0898952437703</v>
      </c>
      <c r="DO766" s="234">
        <f t="shared" si="1134"/>
        <v>1616.089895243779</v>
      </c>
      <c r="DP766" s="234">
        <f t="shared" si="1134"/>
        <v>1616.0898952437747</v>
      </c>
      <c r="DQ766" s="234">
        <f t="shared" si="1134"/>
        <v>1616.0898952437703</v>
      </c>
      <c r="DR766" s="234">
        <f t="shared" si="1134"/>
        <v>1616.089895243779</v>
      </c>
      <c r="DS766" s="234">
        <f t="shared" si="1134"/>
        <v>1616.089895243766</v>
      </c>
      <c r="DT766" s="234">
        <f t="shared" si="1134"/>
        <v>1616.0898952437835</v>
      </c>
      <c r="DU766" s="234">
        <f t="shared" si="1134"/>
        <v>1616.0898952437617</v>
      </c>
      <c r="DV766" s="234">
        <f t="shared" si="1134"/>
        <v>1616.089895243779</v>
      </c>
      <c r="DW766" s="234">
        <f t="shared" si="1134"/>
        <v>1616.0898952437703</v>
      </c>
      <c r="DX766" s="189">
        <f t="shared" si="1134"/>
        <v>1616.089895243779</v>
      </c>
      <c r="DY766" s="140"/>
      <c r="DZ766" s="139"/>
      <c r="EA766" s="140"/>
      <c r="EB766" s="140"/>
      <c r="EC766" s="140"/>
      <c r="ED766" s="140"/>
      <c r="EE766" s="234">
        <f t="shared" ref="EE766:FI766" si="1135">(EE397*EE448+EE414*EE$497+EE430*EE$498)/10^3</f>
        <v>0</v>
      </c>
      <c r="EF766" s="234">
        <f t="shared" si="1135"/>
        <v>1439.4465569246026</v>
      </c>
      <c r="EG766" s="234">
        <f t="shared" si="1135"/>
        <v>1439.4465569246026</v>
      </c>
      <c r="EH766" s="234">
        <f t="shared" si="1135"/>
        <v>1439.4465569246024</v>
      </c>
      <c r="EI766" s="234">
        <f t="shared" si="1135"/>
        <v>1439.4465569246029</v>
      </c>
      <c r="EJ766" s="234">
        <f t="shared" si="1135"/>
        <v>1439.4465569246029</v>
      </c>
      <c r="EK766" s="234">
        <f t="shared" si="1135"/>
        <v>1439.4465569246017</v>
      </c>
      <c r="EL766" s="234">
        <f t="shared" si="1135"/>
        <v>1439.4465569246017</v>
      </c>
      <c r="EM766" s="234">
        <f t="shared" si="1135"/>
        <v>1439.446556924604</v>
      </c>
      <c r="EN766" s="234">
        <f t="shared" si="1135"/>
        <v>1439.4465569246017</v>
      </c>
      <c r="EO766" s="234">
        <f t="shared" si="1135"/>
        <v>1439.446556924604</v>
      </c>
      <c r="EP766" s="234">
        <f t="shared" si="1135"/>
        <v>1439.4465569246017</v>
      </c>
      <c r="EQ766" s="234">
        <f t="shared" si="1135"/>
        <v>1439.4465569246017</v>
      </c>
      <c r="ER766" s="234">
        <f t="shared" si="1135"/>
        <v>1439.4465569246017</v>
      </c>
      <c r="ES766" s="234">
        <f t="shared" si="1135"/>
        <v>1439.4465569246017</v>
      </c>
      <c r="ET766" s="234">
        <f t="shared" si="1135"/>
        <v>1439.446556924604</v>
      </c>
      <c r="EU766" s="234">
        <f t="shared" si="1135"/>
        <v>1439.446556924604</v>
      </c>
      <c r="EV766" s="234">
        <f t="shared" si="1135"/>
        <v>1439.4465569245997</v>
      </c>
      <c r="EW766" s="234">
        <f t="shared" si="1135"/>
        <v>1439.446556924604</v>
      </c>
      <c r="EX766" s="234">
        <f t="shared" si="1135"/>
        <v>1439.446556924604</v>
      </c>
      <c r="EY766" s="234">
        <f t="shared" si="1135"/>
        <v>1439.446556924604</v>
      </c>
      <c r="EZ766" s="234">
        <f t="shared" si="1135"/>
        <v>1439.4465569245997</v>
      </c>
      <c r="FA766" s="234">
        <f t="shared" si="1135"/>
        <v>1439.446556924604</v>
      </c>
      <c r="FB766" s="234">
        <f t="shared" si="1135"/>
        <v>1439.4465569245997</v>
      </c>
      <c r="FC766" s="234">
        <f t="shared" si="1135"/>
        <v>1439.446556924604</v>
      </c>
      <c r="FD766" s="234">
        <f t="shared" si="1135"/>
        <v>1439.446556924604</v>
      </c>
      <c r="FE766" s="234">
        <f t="shared" si="1135"/>
        <v>1439.4465569245997</v>
      </c>
      <c r="FF766" s="234">
        <f t="shared" si="1135"/>
        <v>1439.446556924604</v>
      </c>
      <c r="FG766" s="234">
        <f t="shared" si="1135"/>
        <v>1439.4465569245997</v>
      </c>
      <c r="FH766" s="234">
        <f t="shared" si="1135"/>
        <v>1439.446556924604</v>
      </c>
      <c r="FI766" s="189">
        <f t="shared" si="1135"/>
        <v>1439.446556924604</v>
      </c>
      <c r="FJ766" s="140"/>
      <c r="FK766" s="139"/>
      <c r="FL766" s="140"/>
      <c r="FM766" s="140"/>
      <c r="FN766" s="140"/>
      <c r="FO766" s="140"/>
      <c r="FP766" s="234">
        <f t="shared" ref="FP766:GT766" si="1136">(FP397*FP448+FP414*FP$497+FP430*FP$498)/10^3</f>
        <v>0</v>
      </c>
      <c r="FQ766" s="234">
        <f t="shared" si="1136"/>
        <v>1790.313215167027</v>
      </c>
      <c r="FR766" s="234">
        <f t="shared" si="1136"/>
        <v>1790.313215167027</v>
      </c>
      <c r="FS766" s="234">
        <f t="shared" si="1136"/>
        <v>1790.3132151670268</v>
      </c>
      <c r="FT766" s="234">
        <f t="shared" si="1136"/>
        <v>1790.3132151670272</v>
      </c>
      <c r="FU766" s="234">
        <f t="shared" si="1136"/>
        <v>1790.3132151670272</v>
      </c>
      <c r="FV766" s="234">
        <f t="shared" si="1136"/>
        <v>1790.3132151670263</v>
      </c>
      <c r="FW766" s="234">
        <f t="shared" si="1136"/>
        <v>1790.3132151670263</v>
      </c>
      <c r="FX766" s="234">
        <f t="shared" si="1136"/>
        <v>1790.3132151670284</v>
      </c>
      <c r="FY766" s="234">
        <f t="shared" si="1136"/>
        <v>1790.3132151670263</v>
      </c>
      <c r="FZ766" s="234">
        <f t="shared" si="1136"/>
        <v>1790.3132151670284</v>
      </c>
      <c r="GA766" s="234">
        <f t="shared" si="1136"/>
        <v>1790.3132151670263</v>
      </c>
      <c r="GB766" s="234">
        <f t="shared" si="1136"/>
        <v>1790.3132151670263</v>
      </c>
      <c r="GC766" s="234">
        <f t="shared" si="1136"/>
        <v>1790.3132151670263</v>
      </c>
      <c r="GD766" s="234">
        <f t="shared" si="1136"/>
        <v>1790.3132151670263</v>
      </c>
      <c r="GE766" s="234">
        <f t="shared" si="1136"/>
        <v>1790.3132151670304</v>
      </c>
      <c r="GF766" s="234">
        <f t="shared" si="1136"/>
        <v>1790.3132151670263</v>
      </c>
      <c r="GG766" s="234">
        <f t="shared" si="1136"/>
        <v>1790.3132151670263</v>
      </c>
      <c r="GH766" s="234">
        <f t="shared" si="1136"/>
        <v>1790.3132151670263</v>
      </c>
      <c r="GI766" s="234">
        <f t="shared" si="1136"/>
        <v>1790.3132151670304</v>
      </c>
      <c r="GJ766" s="234">
        <f t="shared" si="1136"/>
        <v>1790.3132151670263</v>
      </c>
      <c r="GK766" s="234">
        <f t="shared" si="1136"/>
        <v>1790.3132151670263</v>
      </c>
      <c r="GL766" s="234">
        <f t="shared" si="1136"/>
        <v>1790.3132151670263</v>
      </c>
      <c r="GM766" s="234">
        <f t="shared" si="1136"/>
        <v>1790.3132151670263</v>
      </c>
      <c r="GN766" s="234">
        <f t="shared" si="1136"/>
        <v>1790.3132151670263</v>
      </c>
      <c r="GO766" s="234">
        <f t="shared" si="1136"/>
        <v>1790.3132151670304</v>
      </c>
      <c r="GP766" s="234">
        <f t="shared" si="1136"/>
        <v>1790.3132151670218</v>
      </c>
      <c r="GQ766" s="234">
        <f t="shared" si="1136"/>
        <v>1790.3132151670304</v>
      </c>
      <c r="GR766" s="234">
        <f t="shared" si="1136"/>
        <v>1790.3132151670218</v>
      </c>
      <c r="GS766" s="234">
        <f t="shared" si="1136"/>
        <v>1790.3132151670304</v>
      </c>
      <c r="GT766" s="189">
        <f t="shared" si="1136"/>
        <v>1790.3132151670304</v>
      </c>
      <c r="GU766" s="140"/>
      <c r="GV766" s="139"/>
      <c r="GW766" s="140"/>
      <c r="GX766" s="140"/>
      <c r="GY766" s="140"/>
      <c r="GZ766" s="140"/>
      <c r="HA766" s="234">
        <f t="shared" ref="HA766:IE766" si="1137">(HA397*HA448+HA414*HA$497+HA430*HA$498)/10^3</f>
        <v>0</v>
      </c>
      <c r="HB766" s="234">
        <f t="shared" si="1137"/>
        <v>1548.6428373492727</v>
      </c>
      <c r="HC766" s="234">
        <f t="shared" si="1137"/>
        <v>1548.6428373492727</v>
      </c>
      <c r="HD766" s="234">
        <f t="shared" si="1137"/>
        <v>1548.6428373492731</v>
      </c>
      <c r="HE766" s="234">
        <f t="shared" si="1137"/>
        <v>1548.6428373492722</v>
      </c>
      <c r="HF766" s="234">
        <f t="shared" si="1137"/>
        <v>1548.6428373492722</v>
      </c>
      <c r="HG766" s="234">
        <f t="shared" si="1137"/>
        <v>1548.6428373492736</v>
      </c>
      <c r="HH766" s="234">
        <f t="shared" si="1137"/>
        <v>1548.6428373492736</v>
      </c>
      <c r="HI766" s="234">
        <f t="shared" si="1137"/>
        <v>1548.6428373492711</v>
      </c>
      <c r="HJ766" s="234">
        <f t="shared" si="1137"/>
        <v>1548.6428373492736</v>
      </c>
      <c r="HK766" s="234">
        <f t="shared" si="1137"/>
        <v>1548.6428373492711</v>
      </c>
      <c r="HL766" s="234">
        <f t="shared" si="1137"/>
        <v>1548.6428373492754</v>
      </c>
      <c r="HM766" s="234">
        <f t="shared" si="1137"/>
        <v>1548.6428373492711</v>
      </c>
      <c r="HN766" s="234">
        <f t="shared" si="1137"/>
        <v>1548.6428373492711</v>
      </c>
      <c r="HO766" s="234">
        <f t="shared" si="1137"/>
        <v>1548.6428373492754</v>
      </c>
      <c r="HP766" s="234">
        <f t="shared" si="1137"/>
        <v>1548.6428373492711</v>
      </c>
      <c r="HQ766" s="234">
        <f t="shared" si="1137"/>
        <v>1548.6428373492711</v>
      </c>
      <c r="HR766" s="234">
        <f t="shared" si="1137"/>
        <v>1548.6428373492754</v>
      </c>
      <c r="HS766" s="234">
        <f t="shared" si="1137"/>
        <v>1548.6428373492711</v>
      </c>
      <c r="HT766" s="234">
        <f t="shared" si="1137"/>
        <v>1548.6428373492754</v>
      </c>
      <c r="HU766" s="234">
        <f t="shared" si="1137"/>
        <v>1548.642837349267</v>
      </c>
      <c r="HV766" s="234">
        <f t="shared" si="1137"/>
        <v>1548.6428373492754</v>
      </c>
      <c r="HW766" s="234">
        <f t="shared" si="1137"/>
        <v>1548.6428373492754</v>
      </c>
      <c r="HX766" s="234">
        <f t="shared" si="1137"/>
        <v>1548.642837349267</v>
      </c>
      <c r="HY766" s="234">
        <f t="shared" si="1137"/>
        <v>1548.6428373492754</v>
      </c>
      <c r="HZ766" s="234">
        <f t="shared" si="1137"/>
        <v>1548.6428373492711</v>
      </c>
      <c r="IA766" s="234">
        <f t="shared" si="1137"/>
        <v>1548.6428373492711</v>
      </c>
      <c r="IB766" s="234">
        <f t="shared" si="1137"/>
        <v>1548.6428373492754</v>
      </c>
      <c r="IC766" s="234">
        <f t="shared" si="1137"/>
        <v>1548.6428373492754</v>
      </c>
      <c r="ID766" s="234">
        <f t="shared" si="1137"/>
        <v>1548.6428373492754</v>
      </c>
      <c r="IE766" s="189">
        <f t="shared" si="1137"/>
        <v>1548.642837349267</v>
      </c>
      <c r="IF766" s="140"/>
      <c r="IG766" s="139"/>
      <c r="IH766" s="140"/>
      <c r="II766" s="140"/>
      <c r="IJ766" s="140"/>
      <c r="IK766" s="140"/>
      <c r="IL766" s="234"/>
      <c r="IM766" s="234"/>
      <c r="IN766" s="234"/>
      <c r="IO766" s="234"/>
      <c r="IP766" s="234"/>
      <c r="IQ766" s="234"/>
      <c r="IR766" s="234"/>
      <c r="IS766" s="234"/>
      <c r="IT766" s="234"/>
      <c r="IU766" s="234"/>
      <c r="IV766" s="234"/>
      <c r="IW766" s="234"/>
      <c r="IX766" s="234"/>
      <c r="IY766" s="234"/>
      <c r="IZ766" s="234"/>
      <c r="JA766" s="234"/>
      <c r="JB766" s="234"/>
      <c r="JC766" s="234"/>
      <c r="JD766" s="234"/>
      <c r="JE766" s="234"/>
      <c r="JF766" s="234"/>
      <c r="JG766" s="234"/>
      <c r="JH766" s="234"/>
      <c r="JI766" s="234"/>
      <c r="JJ766" s="234"/>
      <c r="JK766" s="234"/>
      <c r="JL766" s="234"/>
      <c r="JM766" s="234"/>
      <c r="JN766" s="234"/>
      <c r="JO766" s="234"/>
      <c r="JP766" s="189"/>
      <c r="JQ766" s="140"/>
      <c r="JR766" s="139"/>
      <c r="JS766" s="140"/>
      <c r="JT766" s="140"/>
      <c r="JU766" s="140"/>
      <c r="JV766" s="140"/>
      <c r="JW766" s="234"/>
      <c r="JX766" s="234"/>
      <c r="JY766" s="234"/>
      <c r="JZ766" s="234"/>
      <c r="KA766" s="234"/>
      <c r="KB766" s="234"/>
      <c r="KC766" s="234"/>
      <c r="KD766" s="234"/>
      <c r="KE766" s="234"/>
      <c r="KF766" s="234"/>
      <c r="KG766" s="234"/>
      <c r="KH766" s="234"/>
      <c r="KI766" s="234"/>
      <c r="KJ766" s="234"/>
      <c r="KK766" s="234"/>
      <c r="KL766" s="234"/>
      <c r="KM766" s="234"/>
      <c r="KN766" s="234"/>
      <c r="KO766" s="234"/>
      <c r="KP766" s="234"/>
      <c r="KQ766" s="234"/>
      <c r="KR766" s="234"/>
      <c r="KS766" s="234"/>
      <c r="KT766" s="234"/>
      <c r="KU766" s="234"/>
      <c r="KV766" s="234"/>
      <c r="KW766" s="234"/>
      <c r="KX766" s="234"/>
      <c r="KY766" s="234"/>
      <c r="KZ766" s="234"/>
      <c r="LA766" s="189"/>
      <c r="LB766" s="140"/>
      <c r="LC766" s="139"/>
      <c r="LD766" s="140"/>
      <c r="LE766" s="140"/>
      <c r="LF766" s="140"/>
      <c r="LG766" s="140"/>
      <c r="LH766" s="234"/>
      <c r="LI766" s="234"/>
      <c r="LJ766" s="234"/>
      <c r="LK766" s="234"/>
      <c r="LL766" s="234"/>
      <c r="LM766" s="234"/>
      <c r="LN766" s="234"/>
      <c r="LO766" s="234"/>
      <c r="LP766" s="234"/>
      <c r="LQ766" s="234"/>
      <c r="LR766" s="234"/>
      <c r="LS766" s="234"/>
      <c r="LT766" s="234"/>
      <c r="LU766" s="234"/>
      <c r="LV766" s="234"/>
      <c r="LW766" s="234"/>
      <c r="LX766" s="234"/>
      <c r="LY766" s="234"/>
      <c r="LZ766" s="234"/>
      <c r="MA766" s="234"/>
      <c r="MB766" s="234"/>
      <c r="MC766" s="234"/>
      <c r="MD766" s="234"/>
      <c r="ME766" s="234"/>
      <c r="MF766" s="234"/>
      <c r="MG766" s="234"/>
      <c r="MH766" s="234"/>
      <c r="MI766" s="234"/>
      <c r="MJ766" s="234"/>
      <c r="MK766" s="234"/>
      <c r="ML766" s="189"/>
    </row>
    <row r="767" spans="2:350" s="4" customFormat="1" ht="18" customHeight="1" x14ac:dyDescent="0.3">
      <c r="C767" s="136" t="s">
        <v>78</v>
      </c>
      <c r="E767" s="137" t="s">
        <v>105</v>
      </c>
      <c r="F767" s="186"/>
      <c r="H767" s="139"/>
      <c r="I767" s="140"/>
      <c r="J767" s="140"/>
      <c r="K767" s="140"/>
      <c r="L767" s="140"/>
      <c r="M767" s="141"/>
      <c r="N767" s="140"/>
      <c r="O767" s="140"/>
      <c r="P767" s="140"/>
      <c r="Q767" s="140"/>
      <c r="R767" s="140"/>
      <c r="S767" s="139"/>
      <c r="T767" s="140"/>
      <c r="U767" s="140"/>
      <c r="V767" s="140"/>
      <c r="W767" s="140"/>
      <c r="X767" s="140"/>
      <c r="Y767" s="140"/>
      <c r="Z767" s="140"/>
      <c r="AA767" s="140"/>
      <c r="AB767" s="140"/>
      <c r="AC767" s="140"/>
      <c r="AD767" s="140"/>
      <c r="AE767" s="140"/>
      <c r="AF767" s="140"/>
      <c r="AG767" s="140"/>
      <c r="AH767" s="140"/>
      <c r="AI767" s="140"/>
      <c r="AJ767" s="140"/>
      <c r="AK767" s="140"/>
      <c r="AL767" s="140"/>
      <c r="AM767" s="140"/>
      <c r="AN767" s="140"/>
      <c r="AO767" s="140"/>
      <c r="AP767" s="140"/>
      <c r="AQ767" s="140"/>
      <c r="AR767" s="140"/>
      <c r="AS767" s="140"/>
      <c r="AT767" s="140"/>
      <c r="AU767" s="140"/>
      <c r="AV767" s="140"/>
      <c r="AW767" s="140"/>
      <c r="AX767" s="140"/>
      <c r="AY767" s="140"/>
      <c r="AZ767" s="140"/>
      <c r="BA767" s="140"/>
      <c r="BB767" s="141"/>
      <c r="BC767" s="140"/>
      <c r="BD767" s="139"/>
      <c r="BE767" s="140"/>
      <c r="BF767" s="140"/>
      <c r="BG767" s="140"/>
      <c r="BH767" s="140"/>
      <c r="BI767" s="234">
        <f t="shared" ref="BI767:CM767" si="1138">(BI398*BI449+BI415*BI$497+BI431*BI$498)/10^3</f>
        <v>0</v>
      </c>
      <c r="BJ767" s="234">
        <f t="shared" si="1138"/>
        <v>1546.0249212121214</v>
      </c>
      <c r="BK767" s="234">
        <f t="shared" si="1138"/>
        <v>1546.0249212121214</v>
      </c>
      <c r="BL767" s="234">
        <f t="shared" si="1138"/>
        <v>1546.0249212121214</v>
      </c>
      <c r="BM767" s="234">
        <f t="shared" si="1138"/>
        <v>1546.0249212121214</v>
      </c>
      <c r="BN767" s="234">
        <f t="shared" si="1138"/>
        <v>1546.0249212121223</v>
      </c>
      <c r="BO767" s="234">
        <f t="shared" si="1138"/>
        <v>1546.0249212121209</v>
      </c>
      <c r="BP767" s="234">
        <f t="shared" si="1138"/>
        <v>1546.0249212121223</v>
      </c>
      <c r="BQ767" s="234">
        <f t="shared" si="1138"/>
        <v>1546.0249212121209</v>
      </c>
      <c r="BR767" s="234">
        <f t="shared" si="1138"/>
        <v>1546.0249212121214</v>
      </c>
      <c r="BS767" s="234">
        <f t="shared" si="1138"/>
        <v>1546.0249212121228</v>
      </c>
      <c r="BT767" s="234">
        <f t="shared" si="1138"/>
        <v>1546.02492121212</v>
      </c>
      <c r="BU767" s="234">
        <f t="shared" si="1138"/>
        <v>1546.0249212121214</v>
      </c>
      <c r="BV767" s="234">
        <f t="shared" si="1138"/>
        <v>1546.0249212121214</v>
      </c>
      <c r="BW767" s="234">
        <f t="shared" si="1138"/>
        <v>1546.0249212121228</v>
      </c>
      <c r="BX767" s="234">
        <f t="shared" si="1138"/>
        <v>1546.02492121212</v>
      </c>
      <c r="BY767" s="234">
        <f t="shared" si="1138"/>
        <v>1546.0249212121214</v>
      </c>
      <c r="BZ767" s="234">
        <f t="shared" si="1138"/>
        <v>1546.0249212121214</v>
      </c>
      <c r="CA767" s="234">
        <f t="shared" si="1138"/>
        <v>1546.0249212121214</v>
      </c>
      <c r="CB767" s="234">
        <f t="shared" si="1138"/>
        <v>1546.0249212121214</v>
      </c>
      <c r="CC767" s="234">
        <f t="shared" si="1138"/>
        <v>1546.0249212121241</v>
      </c>
      <c r="CD767" s="234">
        <f t="shared" si="1138"/>
        <v>1546.0249212121187</v>
      </c>
      <c r="CE767" s="234">
        <f t="shared" si="1138"/>
        <v>1546.0249212121214</v>
      </c>
      <c r="CF767" s="234">
        <f t="shared" si="1138"/>
        <v>1546.0249212121241</v>
      </c>
      <c r="CG767" s="234">
        <f t="shared" si="1138"/>
        <v>1546.0249212121187</v>
      </c>
      <c r="CH767" s="234">
        <f t="shared" si="1138"/>
        <v>1546.0249212121214</v>
      </c>
      <c r="CI767" s="234">
        <f t="shared" si="1138"/>
        <v>1546.0249212121214</v>
      </c>
      <c r="CJ767" s="234">
        <f t="shared" si="1138"/>
        <v>1546.0249212121241</v>
      </c>
      <c r="CK767" s="234">
        <f t="shared" si="1138"/>
        <v>1546.0249212121214</v>
      </c>
      <c r="CL767" s="234">
        <f t="shared" si="1138"/>
        <v>1546.0249212121157</v>
      </c>
      <c r="CM767" s="189">
        <f t="shared" si="1138"/>
        <v>1546.0249212121241</v>
      </c>
      <c r="CN767" s="140"/>
      <c r="CO767" s="139"/>
      <c r="CP767" s="140"/>
      <c r="CQ767" s="140"/>
      <c r="CR767" s="140"/>
      <c r="CS767" s="140"/>
      <c r="CT767" s="234">
        <f t="shared" ref="CT767:DX767" si="1139">(CT398*CT449+CT415*CT$497+CT431*CT$498)/10^3</f>
        <v>0</v>
      </c>
      <c r="CU767" s="234">
        <f t="shared" si="1139"/>
        <v>1830.3099600000003</v>
      </c>
      <c r="CV767" s="234">
        <f t="shared" si="1139"/>
        <v>1830.3099600000003</v>
      </c>
      <c r="CW767" s="234">
        <f t="shared" si="1139"/>
        <v>1830.3099599999996</v>
      </c>
      <c r="CX767" s="234">
        <f t="shared" si="1139"/>
        <v>1830.3099600000007</v>
      </c>
      <c r="CY767" s="234">
        <f t="shared" si="1139"/>
        <v>1830.3099599999994</v>
      </c>
      <c r="CZ767" s="234">
        <f t="shared" si="1139"/>
        <v>1830.30996</v>
      </c>
      <c r="DA767" s="234">
        <f t="shared" si="1139"/>
        <v>1830.3099600000014</v>
      </c>
      <c r="DB767" s="234">
        <f t="shared" si="1139"/>
        <v>1830.30996</v>
      </c>
      <c r="DC767" s="234">
        <f t="shared" si="1139"/>
        <v>1830.3099599999985</v>
      </c>
      <c r="DD767" s="234">
        <f t="shared" si="1139"/>
        <v>1830.30996</v>
      </c>
      <c r="DE767" s="234">
        <f t="shared" si="1139"/>
        <v>1830.30996</v>
      </c>
      <c r="DF767" s="234">
        <f t="shared" si="1139"/>
        <v>1830.30996</v>
      </c>
      <c r="DG767" s="234">
        <f t="shared" si="1139"/>
        <v>1830.30996</v>
      </c>
      <c r="DH767" s="234">
        <f t="shared" si="1139"/>
        <v>1830.3099600000028</v>
      </c>
      <c r="DI767" s="234">
        <f t="shared" si="1139"/>
        <v>1830.30996</v>
      </c>
      <c r="DJ767" s="234">
        <f t="shared" si="1139"/>
        <v>1830.30996</v>
      </c>
      <c r="DK767" s="234">
        <f t="shared" si="1139"/>
        <v>1830.30996</v>
      </c>
      <c r="DL767" s="234">
        <f t="shared" si="1139"/>
        <v>1830.3099599999971</v>
      </c>
      <c r="DM767" s="234">
        <f t="shared" si="1139"/>
        <v>1830.3099600000028</v>
      </c>
      <c r="DN767" s="234">
        <f t="shared" si="1139"/>
        <v>1830.3099599999971</v>
      </c>
      <c r="DO767" s="234">
        <f t="shared" si="1139"/>
        <v>1830.3099600000028</v>
      </c>
      <c r="DP767" s="234">
        <f t="shared" si="1139"/>
        <v>1830.3099599999971</v>
      </c>
      <c r="DQ767" s="234">
        <f t="shared" si="1139"/>
        <v>1830.3099600000028</v>
      </c>
      <c r="DR767" s="234">
        <f t="shared" si="1139"/>
        <v>1830.3099599999971</v>
      </c>
      <c r="DS767" s="234">
        <f t="shared" si="1139"/>
        <v>1830.3099600000082</v>
      </c>
      <c r="DT767" s="234">
        <f t="shared" si="1139"/>
        <v>1830.3099599999914</v>
      </c>
      <c r="DU767" s="234">
        <f t="shared" si="1139"/>
        <v>1830.3099599999971</v>
      </c>
      <c r="DV767" s="234">
        <f t="shared" si="1139"/>
        <v>1830.3099600000082</v>
      </c>
      <c r="DW767" s="234">
        <f t="shared" si="1139"/>
        <v>1830.3099600000028</v>
      </c>
      <c r="DX767" s="189">
        <f t="shared" si="1139"/>
        <v>1830.3099599999971</v>
      </c>
      <c r="DY767" s="140"/>
      <c r="DZ767" s="139"/>
      <c r="EA767" s="140"/>
      <c r="EB767" s="140"/>
      <c r="EC767" s="140"/>
      <c r="ED767" s="140"/>
      <c r="EE767" s="234">
        <f t="shared" ref="EE767:FI767" si="1140">(EE398*EE449+EE415*EE$497+EE431*EE$498)/10^3</f>
        <v>0</v>
      </c>
      <c r="EF767" s="234">
        <f t="shared" si="1140"/>
        <v>1691.8341599999999</v>
      </c>
      <c r="EG767" s="234">
        <f t="shared" si="1140"/>
        <v>1691.8341599999999</v>
      </c>
      <c r="EH767" s="234">
        <f t="shared" si="1140"/>
        <v>1691.8341600000008</v>
      </c>
      <c r="EI767" s="234">
        <f t="shared" si="1140"/>
        <v>1691.834159999999</v>
      </c>
      <c r="EJ767" s="234">
        <f t="shared" si="1140"/>
        <v>1691.8341600000003</v>
      </c>
      <c r="EK767" s="234">
        <f t="shared" si="1140"/>
        <v>1691.8341600000012</v>
      </c>
      <c r="EL767" s="234">
        <f t="shared" si="1140"/>
        <v>1691.834159999999</v>
      </c>
      <c r="EM767" s="234">
        <f t="shared" si="1140"/>
        <v>1691.834159999999</v>
      </c>
      <c r="EN767" s="234">
        <f t="shared" si="1140"/>
        <v>1691.8341600000003</v>
      </c>
      <c r="EO767" s="234">
        <f t="shared" si="1140"/>
        <v>1691.8341600000003</v>
      </c>
      <c r="EP767" s="234">
        <f t="shared" si="1140"/>
        <v>1691.8341600000019</v>
      </c>
      <c r="EQ767" s="234">
        <f t="shared" si="1140"/>
        <v>1691.8341600000003</v>
      </c>
      <c r="ER767" s="234">
        <f t="shared" si="1140"/>
        <v>1691.8341599999976</v>
      </c>
      <c r="ES767" s="234">
        <f t="shared" si="1140"/>
        <v>1691.8341600000003</v>
      </c>
      <c r="ET767" s="234">
        <f t="shared" si="1140"/>
        <v>1691.8341600000003</v>
      </c>
      <c r="EU767" s="234">
        <f t="shared" si="1140"/>
        <v>1691.8341599999976</v>
      </c>
      <c r="EV767" s="234">
        <f t="shared" si="1140"/>
        <v>1691.8341600000035</v>
      </c>
      <c r="EW767" s="234">
        <f t="shared" si="1140"/>
        <v>1691.8341599999976</v>
      </c>
      <c r="EX767" s="234">
        <f t="shared" si="1140"/>
        <v>1691.8341600000035</v>
      </c>
      <c r="EY767" s="234">
        <f t="shared" si="1140"/>
        <v>1691.8341599999976</v>
      </c>
      <c r="EZ767" s="234">
        <f t="shared" si="1140"/>
        <v>1691.8341599999976</v>
      </c>
      <c r="FA767" s="234">
        <f t="shared" si="1140"/>
        <v>1691.8341600000062</v>
      </c>
      <c r="FB767" s="234">
        <f t="shared" si="1140"/>
        <v>1691.8341599999949</v>
      </c>
      <c r="FC767" s="234">
        <f t="shared" si="1140"/>
        <v>1691.8341600000062</v>
      </c>
      <c r="FD767" s="234">
        <f t="shared" si="1140"/>
        <v>1691.8341599999949</v>
      </c>
      <c r="FE767" s="234">
        <f t="shared" si="1140"/>
        <v>1691.8341600000003</v>
      </c>
      <c r="FF767" s="234">
        <f t="shared" si="1140"/>
        <v>1691.8341600000003</v>
      </c>
      <c r="FG767" s="234">
        <f t="shared" si="1140"/>
        <v>1691.8341600000003</v>
      </c>
      <c r="FH767" s="234">
        <f t="shared" si="1140"/>
        <v>1691.8341600000003</v>
      </c>
      <c r="FI767" s="189">
        <f t="shared" si="1140"/>
        <v>1691.8341600000003</v>
      </c>
      <c r="FJ767" s="140"/>
      <c r="FK767" s="139"/>
      <c r="FL767" s="140"/>
      <c r="FM767" s="140"/>
      <c r="FN767" s="140"/>
      <c r="FO767" s="140"/>
      <c r="FP767" s="234">
        <f t="shared" ref="FP767:GT767" si="1141">(FP398*FP449+FP415*FP$497+FP431*FP$498)/10^3</f>
        <v>0</v>
      </c>
      <c r="FQ767" s="234">
        <f t="shared" si="1141"/>
        <v>1848.6465575757577</v>
      </c>
      <c r="FR767" s="234">
        <f t="shared" si="1141"/>
        <v>1848.6465575757577</v>
      </c>
      <c r="FS767" s="234">
        <f t="shared" si="1141"/>
        <v>1848.6465575757582</v>
      </c>
      <c r="FT767" s="234">
        <f t="shared" si="1141"/>
        <v>1848.6465575757575</v>
      </c>
      <c r="FU767" s="234">
        <f t="shared" si="1141"/>
        <v>1848.6465575757582</v>
      </c>
      <c r="FV767" s="234">
        <f t="shared" si="1141"/>
        <v>1848.6465575757582</v>
      </c>
      <c r="FW767" s="234">
        <f t="shared" si="1141"/>
        <v>1848.6465575757582</v>
      </c>
      <c r="FX767" s="234">
        <f t="shared" si="1141"/>
        <v>1848.6465575757568</v>
      </c>
      <c r="FY767" s="234">
        <f t="shared" si="1141"/>
        <v>1848.6465575757582</v>
      </c>
      <c r="FZ767" s="234">
        <f t="shared" si="1141"/>
        <v>1848.6465575757582</v>
      </c>
      <c r="GA767" s="234">
        <f t="shared" si="1141"/>
        <v>1848.6465575757582</v>
      </c>
      <c r="GB767" s="234">
        <f t="shared" si="1141"/>
        <v>1848.6465575757582</v>
      </c>
      <c r="GC767" s="234">
        <f t="shared" si="1141"/>
        <v>1848.6465575757552</v>
      </c>
      <c r="GD767" s="234">
        <f t="shared" si="1141"/>
        <v>1848.6465575757609</v>
      </c>
      <c r="GE767" s="234">
        <f t="shared" si="1141"/>
        <v>1848.6465575757582</v>
      </c>
      <c r="GF767" s="234">
        <f t="shared" si="1141"/>
        <v>1848.6465575757552</v>
      </c>
      <c r="GG767" s="234">
        <f t="shared" si="1141"/>
        <v>1848.6465575757609</v>
      </c>
      <c r="GH767" s="234">
        <f t="shared" si="1141"/>
        <v>1848.6465575757552</v>
      </c>
      <c r="GI767" s="234">
        <f t="shared" si="1141"/>
        <v>1848.6465575757582</v>
      </c>
      <c r="GJ767" s="234">
        <f t="shared" si="1141"/>
        <v>1848.6465575757582</v>
      </c>
      <c r="GK767" s="234">
        <f t="shared" si="1141"/>
        <v>1848.6465575757582</v>
      </c>
      <c r="GL767" s="234">
        <f t="shared" si="1141"/>
        <v>1848.6465575757582</v>
      </c>
      <c r="GM767" s="234">
        <f t="shared" si="1141"/>
        <v>1848.6465575757582</v>
      </c>
      <c r="GN767" s="234">
        <f t="shared" si="1141"/>
        <v>1848.6465575757582</v>
      </c>
      <c r="GO767" s="234">
        <f t="shared" si="1141"/>
        <v>1848.6465575757582</v>
      </c>
      <c r="GP767" s="234">
        <f t="shared" si="1141"/>
        <v>1848.6465575757525</v>
      </c>
      <c r="GQ767" s="234">
        <f t="shared" si="1141"/>
        <v>1848.6465575757636</v>
      </c>
      <c r="GR767" s="234">
        <f t="shared" si="1141"/>
        <v>1848.6465575757582</v>
      </c>
      <c r="GS767" s="234">
        <f t="shared" si="1141"/>
        <v>1848.6465575757582</v>
      </c>
      <c r="GT767" s="189">
        <f t="shared" si="1141"/>
        <v>1848.6465575757582</v>
      </c>
      <c r="GU767" s="140"/>
      <c r="GV767" s="139"/>
      <c r="GW767" s="140"/>
      <c r="GX767" s="140"/>
      <c r="GY767" s="140"/>
      <c r="GZ767" s="140"/>
      <c r="HA767" s="234">
        <f t="shared" ref="HA767:IE767" si="1142">(HA398*HA449+HA415*HA$497+HA431*HA$498)/10^3</f>
        <v>0</v>
      </c>
      <c r="HB767" s="234">
        <f t="shared" si="1142"/>
        <v>1697.3357393939398</v>
      </c>
      <c r="HC767" s="234">
        <f t="shared" si="1142"/>
        <v>1697.3357393939398</v>
      </c>
      <c r="HD767" s="234">
        <f t="shared" si="1142"/>
        <v>1697.3357393939402</v>
      </c>
      <c r="HE767" s="234">
        <f t="shared" si="1142"/>
        <v>1697.3357393939393</v>
      </c>
      <c r="HF767" s="234">
        <f t="shared" si="1142"/>
        <v>1697.3357393939407</v>
      </c>
      <c r="HG767" s="234">
        <f t="shared" si="1142"/>
        <v>1697.33573939394</v>
      </c>
      <c r="HH767" s="234">
        <f t="shared" si="1142"/>
        <v>1697.3357393939386</v>
      </c>
      <c r="HI767" s="234">
        <f t="shared" si="1142"/>
        <v>1697.33573939394</v>
      </c>
      <c r="HJ767" s="234">
        <f t="shared" si="1142"/>
        <v>1697.33573939394</v>
      </c>
      <c r="HK767" s="234">
        <f t="shared" si="1142"/>
        <v>1697.3357393939414</v>
      </c>
      <c r="HL767" s="234">
        <f t="shared" si="1142"/>
        <v>1697.3357393939386</v>
      </c>
      <c r="HM767" s="234">
        <f t="shared" si="1142"/>
        <v>1697.3357393939414</v>
      </c>
      <c r="HN767" s="234">
        <f t="shared" si="1142"/>
        <v>1697.3357393939386</v>
      </c>
      <c r="HO767" s="234">
        <f t="shared" si="1142"/>
        <v>1697.3357393939386</v>
      </c>
      <c r="HP767" s="234">
        <f t="shared" si="1142"/>
        <v>1697.3357393939414</v>
      </c>
      <c r="HQ767" s="234">
        <f t="shared" si="1142"/>
        <v>1697.3357393939386</v>
      </c>
      <c r="HR767" s="234">
        <f t="shared" si="1142"/>
        <v>1697.3357393939386</v>
      </c>
      <c r="HS767" s="234">
        <f t="shared" si="1142"/>
        <v>1697.3357393939414</v>
      </c>
      <c r="HT767" s="234">
        <f t="shared" si="1142"/>
        <v>1697.3357393939357</v>
      </c>
      <c r="HU767" s="234">
        <f t="shared" si="1142"/>
        <v>1697.3357393939471</v>
      </c>
      <c r="HV767" s="234">
        <f t="shared" si="1142"/>
        <v>1697.3357393939357</v>
      </c>
      <c r="HW767" s="234">
        <f t="shared" si="1142"/>
        <v>1697.3357393939414</v>
      </c>
      <c r="HX767" s="234">
        <f t="shared" si="1142"/>
        <v>1697.3357393939414</v>
      </c>
      <c r="HY767" s="234">
        <f t="shared" si="1142"/>
        <v>1697.3357393939414</v>
      </c>
      <c r="HZ767" s="234">
        <f t="shared" si="1142"/>
        <v>1697.3357393939357</v>
      </c>
      <c r="IA767" s="234">
        <f t="shared" si="1142"/>
        <v>1697.3357393939414</v>
      </c>
      <c r="IB767" s="234">
        <f t="shared" si="1142"/>
        <v>1697.3357393939414</v>
      </c>
      <c r="IC767" s="234">
        <f t="shared" si="1142"/>
        <v>1697.3357393939357</v>
      </c>
      <c r="ID767" s="234">
        <f t="shared" si="1142"/>
        <v>1697.3357393939414</v>
      </c>
      <c r="IE767" s="189">
        <f t="shared" si="1142"/>
        <v>1697.3357393939414</v>
      </c>
      <c r="IF767" s="140"/>
      <c r="IG767" s="139"/>
      <c r="IH767" s="140"/>
      <c r="II767" s="140"/>
      <c r="IJ767" s="140"/>
      <c r="IK767" s="140"/>
      <c r="IL767" s="234"/>
      <c r="IM767" s="234"/>
      <c r="IN767" s="234"/>
      <c r="IO767" s="234"/>
      <c r="IP767" s="234"/>
      <c r="IQ767" s="234"/>
      <c r="IR767" s="234"/>
      <c r="IS767" s="234"/>
      <c r="IT767" s="234"/>
      <c r="IU767" s="234"/>
      <c r="IV767" s="234"/>
      <c r="IW767" s="234"/>
      <c r="IX767" s="234"/>
      <c r="IY767" s="234"/>
      <c r="IZ767" s="234"/>
      <c r="JA767" s="234"/>
      <c r="JB767" s="234"/>
      <c r="JC767" s="234"/>
      <c r="JD767" s="234"/>
      <c r="JE767" s="234"/>
      <c r="JF767" s="234"/>
      <c r="JG767" s="234"/>
      <c r="JH767" s="234"/>
      <c r="JI767" s="234"/>
      <c r="JJ767" s="234"/>
      <c r="JK767" s="234"/>
      <c r="JL767" s="234"/>
      <c r="JM767" s="234"/>
      <c r="JN767" s="234"/>
      <c r="JO767" s="234"/>
      <c r="JP767" s="189"/>
      <c r="JQ767" s="140"/>
      <c r="JR767" s="139"/>
      <c r="JS767" s="140"/>
      <c r="JT767" s="140"/>
      <c r="JU767" s="140"/>
      <c r="JV767" s="140"/>
      <c r="JW767" s="234"/>
      <c r="JX767" s="234"/>
      <c r="JY767" s="234"/>
      <c r="JZ767" s="234"/>
      <c r="KA767" s="234"/>
      <c r="KB767" s="234"/>
      <c r="KC767" s="234"/>
      <c r="KD767" s="234"/>
      <c r="KE767" s="234"/>
      <c r="KF767" s="234"/>
      <c r="KG767" s="234"/>
      <c r="KH767" s="234"/>
      <c r="KI767" s="234"/>
      <c r="KJ767" s="234"/>
      <c r="KK767" s="234"/>
      <c r="KL767" s="234"/>
      <c r="KM767" s="234"/>
      <c r="KN767" s="234"/>
      <c r="KO767" s="234"/>
      <c r="KP767" s="234"/>
      <c r="KQ767" s="234"/>
      <c r="KR767" s="234"/>
      <c r="KS767" s="234"/>
      <c r="KT767" s="234"/>
      <c r="KU767" s="234"/>
      <c r="KV767" s="234"/>
      <c r="KW767" s="234"/>
      <c r="KX767" s="234"/>
      <c r="KY767" s="234"/>
      <c r="KZ767" s="234"/>
      <c r="LA767" s="189"/>
      <c r="LB767" s="140"/>
      <c r="LC767" s="139"/>
      <c r="LD767" s="140"/>
      <c r="LE767" s="140"/>
      <c r="LF767" s="140"/>
      <c r="LG767" s="140"/>
      <c r="LH767" s="234"/>
      <c r="LI767" s="234"/>
      <c r="LJ767" s="234"/>
      <c r="LK767" s="234"/>
      <c r="LL767" s="234"/>
      <c r="LM767" s="234"/>
      <c r="LN767" s="234"/>
      <c r="LO767" s="234"/>
      <c r="LP767" s="234"/>
      <c r="LQ767" s="234"/>
      <c r="LR767" s="234"/>
      <c r="LS767" s="234"/>
      <c r="LT767" s="234"/>
      <c r="LU767" s="234"/>
      <c r="LV767" s="234"/>
      <c r="LW767" s="234"/>
      <c r="LX767" s="234"/>
      <c r="LY767" s="234"/>
      <c r="LZ767" s="234"/>
      <c r="MA767" s="234"/>
      <c r="MB767" s="234"/>
      <c r="MC767" s="234"/>
      <c r="MD767" s="234"/>
      <c r="ME767" s="234"/>
      <c r="MF767" s="234"/>
      <c r="MG767" s="234"/>
      <c r="MH767" s="234"/>
      <c r="MI767" s="234"/>
      <c r="MJ767" s="234"/>
      <c r="MK767" s="234"/>
      <c r="ML767" s="189"/>
    </row>
    <row r="768" spans="2:350" s="4" customFormat="1" ht="18" customHeight="1" x14ac:dyDescent="0.3">
      <c r="C768" s="136" t="s">
        <v>79</v>
      </c>
      <c r="E768" s="137" t="s">
        <v>105</v>
      </c>
      <c r="F768" s="186"/>
      <c r="H768" s="139"/>
      <c r="I768" s="140"/>
      <c r="J768" s="140"/>
      <c r="K768" s="140"/>
      <c r="L768" s="140"/>
      <c r="M768" s="141"/>
      <c r="N768" s="140"/>
      <c r="O768" s="140"/>
      <c r="P768" s="140"/>
      <c r="Q768" s="140"/>
      <c r="R768" s="140"/>
      <c r="S768" s="139"/>
      <c r="T768" s="140"/>
      <c r="U768" s="140"/>
      <c r="V768" s="140"/>
      <c r="W768" s="140"/>
      <c r="X768" s="140"/>
      <c r="Y768" s="140"/>
      <c r="Z768" s="140"/>
      <c r="AA768" s="140"/>
      <c r="AB768" s="140"/>
      <c r="AC768" s="140"/>
      <c r="AD768" s="140"/>
      <c r="AE768" s="140"/>
      <c r="AF768" s="140"/>
      <c r="AG768" s="140"/>
      <c r="AH768" s="140"/>
      <c r="AI768" s="140"/>
      <c r="AJ768" s="140"/>
      <c r="AK768" s="140"/>
      <c r="AL768" s="140"/>
      <c r="AM768" s="140"/>
      <c r="AN768" s="140"/>
      <c r="AO768" s="140"/>
      <c r="AP768" s="140"/>
      <c r="AQ768" s="140"/>
      <c r="AR768" s="140"/>
      <c r="AS768" s="140"/>
      <c r="AT768" s="140"/>
      <c r="AU768" s="140"/>
      <c r="AV768" s="140"/>
      <c r="AW768" s="140"/>
      <c r="AX768" s="140"/>
      <c r="AY768" s="140"/>
      <c r="AZ768" s="140"/>
      <c r="BA768" s="140"/>
      <c r="BB768" s="141"/>
      <c r="BC768" s="140"/>
      <c r="BD768" s="139"/>
      <c r="BE768" s="140"/>
      <c r="BF768" s="140"/>
      <c r="BG768" s="140"/>
      <c r="BH768" s="140"/>
      <c r="BI768" s="234">
        <f t="shared" ref="BI768:CM768" si="1143">(BI399*BI450+BI416*BI$497+BI432*BI$498)/10^3</f>
        <v>0</v>
      </c>
      <c r="BJ768" s="234">
        <f t="shared" si="1143"/>
        <v>1939.254673636364</v>
      </c>
      <c r="BK768" s="234">
        <f t="shared" si="1143"/>
        <v>1939.254673636364</v>
      </c>
      <c r="BL768" s="234">
        <f t="shared" si="1143"/>
        <v>1939.254673636364</v>
      </c>
      <c r="BM768" s="234">
        <f t="shared" si="1143"/>
        <v>1939.254673636364</v>
      </c>
      <c r="BN768" s="234">
        <f t="shared" si="1143"/>
        <v>1939.2546736363633</v>
      </c>
      <c r="BO768" s="234">
        <f t="shared" si="1143"/>
        <v>1939.2546736363647</v>
      </c>
      <c r="BP768" s="234">
        <f t="shared" si="1143"/>
        <v>1939.2546736363633</v>
      </c>
      <c r="BQ768" s="234">
        <f t="shared" si="1143"/>
        <v>1939.2546736363647</v>
      </c>
      <c r="BR768" s="234">
        <f t="shared" si="1143"/>
        <v>1939.2546736363647</v>
      </c>
      <c r="BS768" s="234">
        <f t="shared" si="1143"/>
        <v>1939.254673636362</v>
      </c>
      <c r="BT768" s="234">
        <f t="shared" si="1143"/>
        <v>1939.2546736363647</v>
      </c>
      <c r="BU768" s="234">
        <f t="shared" si="1143"/>
        <v>1939.2546736363647</v>
      </c>
      <c r="BV768" s="234">
        <f t="shared" si="1143"/>
        <v>1939.2546736363647</v>
      </c>
      <c r="BW768" s="234">
        <f t="shared" si="1143"/>
        <v>1939.254673636362</v>
      </c>
      <c r="BX768" s="234">
        <f t="shared" si="1143"/>
        <v>1939.2546736363647</v>
      </c>
      <c r="BY768" s="234">
        <f t="shared" si="1143"/>
        <v>1939.2546736363647</v>
      </c>
      <c r="BZ768" s="234">
        <f t="shared" si="1143"/>
        <v>1939.2546736363647</v>
      </c>
      <c r="CA768" s="234">
        <f t="shared" si="1143"/>
        <v>1939.2546736363647</v>
      </c>
      <c r="CB768" s="234">
        <f t="shared" si="1143"/>
        <v>1939.2546736363593</v>
      </c>
      <c r="CC768" s="234">
        <f t="shared" si="1143"/>
        <v>1939.2546736363647</v>
      </c>
      <c r="CD768" s="234">
        <f t="shared" si="1143"/>
        <v>1939.2546736363647</v>
      </c>
      <c r="CE768" s="234">
        <f t="shared" si="1143"/>
        <v>1939.2546736363647</v>
      </c>
      <c r="CF768" s="234">
        <f t="shared" si="1143"/>
        <v>1939.2546736363647</v>
      </c>
      <c r="CG768" s="234">
        <f t="shared" si="1143"/>
        <v>1939.2546736363647</v>
      </c>
      <c r="CH768" s="234">
        <f t="shared" si="1143"/>
        <v>1939.2546736363593</v>
      </c>
      <c r="CI768" s="234">
        <f t="shared" si="1143"/>
        <v>1939.2546736363704</v>
      </c>
      <c r="CJ768" s="234">
        <f t="shared" si="1143"/>
        <v>1939.2546736363647</v>
      </c>
      <c r="CK768" s="234">
        <f t="shared" si="1143"/>
        <v>1939.2546736363593</v>
      </c>
      <c r="CL768" s="234">
        <f t="shared" si="1143"/>
        <v>1939.2546736363704</v>
      </c>
      <c r="CM768" s="189">
        <f t="shared" si="1143"/>
        <v>1939.2546736363593</v>
      </c>
      <c r="CN768" s="140"/>
      <c r="CO768" s="139"/>
      <c r="CP768" s="140"/>
      <c r="CQ768" s="140"/>
      <c r="CR768" s="140"/>
      <c r="CS768" s="140"/>
      <c r="CT768" s="234">
        <f t="shared" ref="CT768:DX768" si="1144">(CT399*CT450+CT416*CT$497+CT432*CT$498)/10^3</f>
        <v>0</v>
      </c>
      <c r="CU768" s="234">
        <f t="shared" si="1144"/>
        <v>1181.3945173333332</v>
      </c>
      <c r="CV768" s="234">
        <f t="shared" si="1144"/>
        <v>1181.3945173333332</v>
      </c>
      <c r="CW768" s="234">
        <f t="shared" si="1144"/>
        <v>1181.3945173333336</v>
      </c>
      <c r="CX768" s="234">
        <f t="shared" si="1144"/>
        <v>1181.3945173333329</v>
      </c>
      <c r="CY768" s="234">
        <f t="shared" si="1144"/>
        <v>1181.3945173333336</v>
      </c>
      <c r="CZ768" s="234">
        <f t="shared" si="1144"/>
        <v>1181.3945173333336</v>
      </c>
      <c r="DA768" s="234">
        <f t="shared" si="1144"/>
        <v>1181.3945173333323</v>
      </c>
      <c r="DB768" s="234">
        <f t="shared" si="1144"/>
        <v>1181.3945173333336</v>
      </c>
      <c r="DC768" s="234">
        <f t="shared" si="1144"/>
        <v>1181.394517333335</v>
      </c>
      <c r="DD768" s="234">
        <f t="shared" si="1144"/>
        <v>1181.3945173333323</v>
      </c>
      <c r="DE768" s="234">
        <f t="shared" si="1144"/>
        <v>1181.3945173333323</v>
      </c>
      <c r="DF768" s="234">
        <f t="shared" si="1144"/>
        <v>1181.394517333335</v>
      </c>
      <c r="DG768" s="234">
        <f t="shared" si="1144"/>
        <v>1181.3945173333323</v>
      </c>
      <c r="DH768" s="234">
        <f t="shared" si="1144"/>
        <v>1181.3945173333323</v>
      </c>
      <c r="DI768" s="234">
        <f t="shared" si="1144"/>
        <v>1181.3945173333323</v>
      </c>
      <c r="DJ768" s="234">
        <f t="shared" si="1144"/>
        <v>1181.394517333335</v>
      </c>
      <c r="DK768" s="234">
        <f t="shared" si="1144"/>
        <v>1181.394517333335</v>
      </c>
      <c r="DL768" s="234">
        <f t="shared" si="1144"/>
        <v>1181.394517333335</v>
      </c>
      <c r="DM768" s="234">
        <f t="shared" si="1144"/>
        <v>1181.3945173333295</v>
      </c>
      <c r="DN768" s="234">
        <f t="shared" si="1144"/>
        <v>1181.394517333335</v>
      </c>
      <c r="DO768" s="234">
        <f t="shared" si="1144"/>
        <v>1181.3945173333323</v>
      </c>
      <c r="DP768" s="234">
        <f t="shared" si="1144"/>
        <v>1181.3945173333323</v>
      </c>
      <c r="DQ768" s="234">
        <f t="shared" si="1144"/>
        <v>1181.394517333335</v>
      </c>
      <c r="DR768" s="234">
        <f t="shared" si="1144"/>
        <v>1181.394517333335</v>
      </c>
      <c r="DS768" s="234">
        <f t="shared" si="1144"/>
        <v>1181.3945173333295</v>
      </c>
      <c r="DT768" s="234">
        <f t="shared" si="1144"/>
        <v>1181.394517333335</v>
      </c>
      <c r="DU768" s="234">
        <f t="shared" si="1144"/>
        <v>1181.394517333335</v>
      </c>
      <c r="DV768" s="234">
        <f t="shared" si="1144"/>
        <v>1181.3945173333295</v>
      </c>
      <c r="DW768" s="234">
        <f t="shared" si="1144"/>
        <v>1181.394517333335</v>
      </c>
      <c r="DX768" s="189">
        <f t="shared" si="1144"/>
        <v>1181.3945173333295</v>
      </c>
      <c r="DY768" s="140"/>
      <c r="DZ768" s="139"/>
      <c r="EA768" s="140"/>
      <c r="EB768" s="140"/>
      <c r="EC768" s="140"/>
      <c r="ED768" s="140"/>
      <c r="EE768" s="234">
        <f t="shared" ref="EE768:FI768" si="1145">(EE399*EE450+EE416*EE$497+EE432*EE$498)/10^3</f>
        <v>0</v>
      </c>
      <c r="EF768" s="234">
        <f t="shared" si="1145"/>
        <v>1103.9255066666667</v>
      </c>
      <c r="EG768" s="234">
        <f t="shared" si="1145"/>
        <v>1103.9255066666667</v>
      </c>
      <c r="EH768" s="234">
        <f t="shared" si="1145"/>
        <v>1103.925506666666</v>
      </c>
      <c r="EI768" s="234">
        <f t="shared" si="1145"/>
        <v>1103.9255066666674</v>
      </c>
      <c r="EJ768" s="234">
        <f t="shared" si="1145"/>
        <v>1103.925506666666</v>
      </c>
      <c r="EK768" s="234">
        <f t="shared" si="1145"/>
        <v>1103.925506666666</v>
      </c>
      <c r="EL768" s="234">
        <f t="shared" si="1145"/>
        <v>1103.9255066666676</v>
      </c>
      <c r="EM768" s="234">
        <f t="shared" si="1145"/>
        <v>1103.9255066666669</v>
      </c>
      <c r="EN768" s="234">
        <f t="shared" si="1145"/>
        <v>1103.9255066666669</v>
      </c>
      <c r="EO768" s="234">
        <f t="shared" si="1145"/>
        <v>1103.9255066666653</v>
      </c>
      <c r="EP768" s="234">
        <f t="shared" si="1145"/>
        <v>1103.9255066666669</v>
      </c>
      <c r="EQ768" s="234">
        <f t="shared" si="1145"/>
        <v>1103.9255066666653</v>
      </c>
      <c r="ER768" s="234">
        <f t="shared" si="1145"/>
        <v>1103.9255066666669</v>
      </c>
      <c r="ES768" s="234">
        <f t="shared" si="1145"/>
        <v>1103.9255066666683</v>
      </c>
      <c r="ET768" s="234">
        <f t="shared" si="1145"/>
        <v>1103.9255066666653</v>
      </c>
      <c r="EU768" s="234">
        <f t="shared" si="1145"/>
        <v>1103.9255066666683</v>
      </c>
      <c r="EV768" s="234">
        <f t="shared" si="1145"/>
        <v>1103.9255066666653</v>
      </c>
      <c r="EW768" s="234">
        <f t="shared" si="1145"/>
        <v>1103.9255066666683</v>
      </c>
      <c r="EX768" s="234">
        <f t="shared" si="1145"/>
        <v>1103.9255066666653</v>
      </c>
      <c r="EY768" s="234">
        <f t="shared" si="1145"/>
        <v>1103.9255066666653</v>
      </c>
      <c r="EZ768" s="234">
        <f t="shared" si="1145"/>
        <v>1103.9255066666683</v>
      </c>
      <c r="FA768" s="234">
        <f t="shared" si="1145"/>
        <v>1103.9255066666653</v>
      </c>
      <c r="FB768" s="234">
        <f t="shared" si="1145"/>
        <v>1103.925506666671</v>
      </c>
      <c r="FC768" s="234">
        <f t="shared" si="1145"/>
        <v>1103.9255066666599</v>
      </c>
      <c r="FD768" s="234">
        <f t="shared" si="1145"/>
        <v>1103.9255066666738</v>
      </c>
      <c r="FE768" s="234">
        <f t="shared" si="1145"/>
        <v>1103.9255066666599</v>
      </c>
      <c r="FF768" s="234">
        <f t="shared" si="1145"/>
        <v>1103.925506666671</v>
      </c>
      <c r="FG768" s="234">
        <f t="shared" si="1145"/>
        <v>1103.9255066666653</v>
      </c>
      <c r="FH768" s="234">
        <f t="shared" si="1145"/>
        <v>1103.9255066666653</v>
      </c>
      <c r="FI768" s="189">
        <f t="shared" si="1145"/>
        <v>1103.9255066666653</v>
      </c>
      <c r="FJ768" s="140"/>
      <c r="FK768" s="139"/>
      <c r="FL768" s="140"/>
      <c r="FM768" s="140"/>
      <c r="FN768" s="140"/>
      <c r="FO768" s="140"/>
      <c r="FP768" s="234">
        <f t="shared" ref="FP768:GT768" si="1146">(FP399*FP450+FP416*FP$497+FP432*FP$498)/10^3</f>
        <v>0</v>
      </c>
      <c r="FQ768" s="234">
        <f t="shared" si="1146"/>
        <v>1768.0705066666665</v>
      </c>
      <c r="FR768" s="234">
        <f t="shared" si="1146"/>
        <v>1768.0705066666665</v>
      </c>
      <c r="FS768" s="234">
        <f t="shared" si="1146"/>
        <v>1768.0705066666662</v>
      </c>
      <c r="FT768" s="234">
        <f t="shared" si="1146"/>
        <v>1768.0705066666669</v>
      </c>
      <c r="FU768" s="234">
        <f t="shared" si="1146"/>
        <v>1768.0705066666669</v>
      </c>
      <c r="FV768" s="234">
        <f t="shared" si="1146"/>
        <v>1768.0705066666653</v>
      </c>
      <c r="FW768" s="234">
        <f t="shared" si="1146"/>
        <v>1768.0705066666683</v>
      </c>
      <c r="FX768" s="234">
        <f t="shared" si="1146"/>
        <v>1768.0705066666653</v>
      </c>
      <c r="FY768" s="234">
        <f t="shared" si="1146"/>
        <v>1768.0705066666683</v>
      </c>
      <c r="FZ768" s="234">
        <f t="shared" si="1146"/>
        <v>1768.0705066666653</v>
      </c>
      <c r="GA768" s="234">
        <f t="shared" si="1146"/>
        <v>1768.0705066666653</v>
      </c>
      <c r="GB768" s="234">
        <f t="shared" si="1146"/>
        <v>1768.0705066666653</v>
      </c>
      <c r="GC768" s="234">
        <f t="shared" si="1146"/>
        <v>1768.0705066666683</v>
      </c>
      <c r="GD768" s="234">
        <f t="shared" si="1146"/>
        <v>1768.0705066666683</v>
      </c>
      <c r="GE768" s="234">
        <f t="shared" si="1146"/>
        <v>1768.0705066666653</v>
      </c>
      <c r="GF768" s="234">
        <f t="shared" si="1146"/>
        <v>1768.0705066666653</v>
      </c>
      <c r="GG768" s="234">
        <f t="shared" si="1146"/>
        <v>1768.0705066666653</v>
      </c>
      <c r="GH768" s="234">
        <f t="shared" si="1146"/>
        <v>1768.070506666671</v>
      </c>
      <c r="GI768" s="234">
        <f t="shared" si="1146"/>
        <v>1768.0705066666653</v>
      </c>
      <c r="GJ768" s="234">
        <f t="shared" si="1146"/>
        <v>1768.0705066666653</v>
      </c>
      <c r="GK768" s="234">
        <f t="shared" si="1146"/>
        <v>1768.0705066666653</v>
      </c>
      <c r="GL768" s="234">
        <f t="shared" si="1146"/>
        <v>1768.0705066666653</v>
      </c>
      <c r="GM768" s="234">
        <f t="shared" si="1146"/>
        <v>1768.0705066666767</v>
      </c>
      <c r="GN768" s="234">
        <f t="shared" si="1146"/>
        <v>1768.0705066666542</v>
      </c>
      <c r="GO768" s="234">
        <f t="shared" si="1146"/>
        <v>1768.0705066666767</v>
      </c>
      <c r="GP768" s="234">
        <f t="shared" si="1146"/>
        <v>1768.0705066666599</v>
      </c>
      <c r="GQ768" s="234">
        <f t="shared" si="1146"/>
        <v>1768.070506666671</v>
      </c>
      <c r="GR768" s="234">
        <f t="shared" si="1146"/>
        <v>1768.0705066666653</v>
      </c>
      <c r="GS768" s="234">
        <f t="shared" si="1146"/>
        <v>1768.0705066666653</v>
      </c>
      <c r="GT768" s="189">
        <f t="shared" si="1146"/>
        <v>1768.0705066666653</v>
      </c>
      <c r="GU768" s="140"/>
      <c r="GV768" s="139"/>
      <c r="GW768" s="140"/>
      <c r="GX768" s="140"/>
      <c r="GY768" s="140"/>
      <c r="GZ768" s="140"/>
      <c r="HA768" s="234">
        <f t="shared" ref="HA768:IE768" si="1147">(HA399*HA450+HA416*HA$497+HA432*HA$498)/10^3</f>
        <v>0</v>
      </c>
      <c r="HB768" s="234">
        <f t="shared" si="1147"/>
        <v>2081.0660500000004</v>
      </c>
      <c r="HC768" s="234">
        <f t="shared" si="1147"/>
        <v>2081.0660500000004</v>
      </c>
      <c r="HD768" s="234">
        <f t="shared" si="1147"/>
        <v>2081.0660500000004</v>
      </c>
      <c r="HE768" s="234">
        <f t="shared" si="1147"/>
        <v>2081.0660499999999</v>
      </c>
      <c r="HF768" s="234">
        <f t="shared" si="1147"/>
        <v>2081.0660500000004</v>
      </c>
      <c r="HG768" s="234">
        <f t="shared" si="1147"/>
        <v>2081.0660500000004</v>
      </c>
      <c r="HH768" s="234">
        <f t="shared" si="1147"/>
        <v>2081.066049999999</v>
      </c>
      <c r="HI768" s="234">
        <f t="shared" si="1147"/>
        <v>2081.0660500000004</v>
      </c>
      <c r="HJ768" s="234">
        <f t="shared" si="1147"/>
        <v>2081.0660500000004</v>
      </c>
      <c r="HK768" s="234">
        <f t="shared" si="1147"/>
        <v>2081.0660500000004</v>
      </c>
      <c r="HL768" s="234">
        <f t="shared" si="1147"/>
        <v>2081.0660500000004</v>
      </c>
      <c r="HM768" s="234">
        <f t="shared" si="1147"/>
        <v>2081.0660500000004</v>
      </c>
      <c r="HN768" s="234">
        <f t="shared" si="1147"/>
        <v>2081.0660500000004</v>
      </c>
      <c r="HO768" s="234">
        <f t="shared" si="1147"/>
        <v>2081.0660499999976</v>
      </c>
      <c r="HP768" s="234">
        <f t="shared" si="1147"/>
        <v>2081.0660500000031</v>
      </c>
      <c r="HQ768" s="234">
        <f t="shared" si="1147"/>
        <v>2081.0660499999976</v>
      </c>
      <c r="HR768" s="234">
        <f t="shared" si="1147"/>
        <v>2081.0660500000031</v>
      </c>
      <c r="HS768" s="234">
        <f t="shared" si="1147"/>
        <v>2081.0660499999976</v>
      </c>
      <c r="HT768" s="234">
        <f t="shared" si="1147"/>
        <v>2081.0660499999976</v>
      </c>
      <c r="HU768" s="234">
        <f t="shared" si="1147"/>
        <v>2081.0660500000031</v>
      </c>
      <c r="HV768" s="234">
        <f t="shared" si="1147"/>
        <v>2081.0660500000031</v>
      </c>
      <c r="HW768" s="234">
        <f t="shared" si="1147"/>
        <v>2081.0660499999976</v>
      </c>
      <c r="HX768" s="234">
        <f t="shared" si="1147"/>
        <v>2081.0660499999976</v>
      </c>
      <c r="HY768" s="234">
        <f t="shared" si="1147"/>
        <v>2081.0660500000031</v>
      </c>
      <c r="HZ768" s="234">
        <f t="shared" si="1147"/>
        <v>2081.0660499999976</v>
      </c>
      <c r="IA768" s="234">
        <f t="shared" si="1147"/>
        <v>2081.0660500000031</v>
      </c>
      <c r="IB768" s="234">
        <f t="shared" si="1147"/>
        <v>2081.0660500000031</v>
      </c>
      <c r="IC768" s="234">
        <f t="shared" si="1147"/>
        <v>2081.0660499999922</v>
      </c>
      <c r="ID768" s="234">
        <f t="shared" si="1147"/>
        <v>2081.0660500000031</v>
      </c>
      <c r="IE768" s="189">
        <f t="shared" si="1147"/>
        <v>2081.0660500000031</v>
      </c>
      <c r="IF768" s="140"/>
      <c r="IG768" s="139"/>
      <c r="IH768" s="140"/>
      <c r="II768" s="140"/>
      <c r="IJ768" s="140"/>
      <c r="IK768" s="140"/>
      <c r="IL768" s="234"/>
      <c r="IM768" s="234"/>
      <c r="IN768" s="234"/>
      <c r="IO768" s="234"/>
      <c r="IP768" s="234"/>
      <c r="IQ768" s="234"/>
      <c r="IR768" s="234"/>
      <c r="IS768" s="234"/>
      <c r="IT768" s="234"/>
      <c r="IU768" s="234"/>
      <c r="IV768" s="234"/>
      <c r="IW768" s="234"/>
      <c r="IX768" s="234"/>
      <c r="IY768" s="234"/>
      <c r="IZ768" s="234"/>
      <c r="JA768" s="234"/>
      <c r="JB768" s="234"/>
      <c r="JC768" s="234"/>
      <c r="JD768" s="234"/>
      <c r="JE768" s="234"/>
      <c r="JF768" s="234"/>
      <c r="JG768" s="234"/>
      <c r="JH768" s="234"/>
      <c r="JI768" s="234"/>
      <c r="JJ768" s="234"/>
      <c r="JK768" s="234"/>
      <c r="JL768" s="234"/>
      <c r="JM768" s="234"/>
      <c r="JN768" s="234"/>
      <c r="JO768" s="234"/>
      <c r="JP768" s="189"/>
      <c r="JQ768" s="140"/>
      <c r="JR768" s="139"/>
      <c r="JS768" s="140"/>
      <c r="JT768" s="140"/>
      <c r="JU768" s="140"/>
      <c r="JV768" s="140"/>
      <c r="JW768" s="234"/>
      <c r="JX768" s="234"/>
      <c r="JY768" s="234"/>
      <c r="JZ768" s="234"/>
      <c r="KA768" s="234"/>
      <c r="KB768" s="234"/>
      <c r="KC768" s="234"/>
      <c r="KD768" s="234"/>
      <c r="KE768" s="234"/>
      <c r="KF768" s="234"/>
      <c r="KG768" s="234"/>
      <c r="KH768" s="234"/>
      <c r="KI768" s="234"/>
      <c r="KJ768" s="234"/>
      <c r="KK768" s="234"/>
      <c r="KL768" s="234"/>
      <c r="KM768" s="234"/>
      <c r="KN768" s="234"/>
      <c r="KO768" s="234"/>
      <c r="KP768" s="234"/>
      <c r="KQ768" s="234"/>
      <c r="KR768" s="234"/>
      <c r="KS768" s="234"/>
      <c r="KT768" s="234"/>
      <c r="KU768" s="234"/>
      <c r="KV768" s="234"/>
      <c r="KW768" s="234"/>
      <c r="KX768" s="234"/>
      <c r="KY768" s="234"/>
      <c r="KZ768" s="234"/>
      <c r="LA768" s="189"/>
      <c r="LB768" s="140"/>
      <c r="LC768" s="139"/>
      <c r="LD768" s="140"/>
      <c r="LE768" s="140"/>
      <c r="LF768" s="140"/>
      <c r="LG768" s="140"/>
      <c r="LH768" s="234"/>
      <c r="LI768" s="234"/>
      <c r="LJ768" s="234"/>
      <c r="LK768" s="234"/>
      <c r="LL768" s="234"/>
      <c r="LM768" s="234"/>
      <c r="LN768" s="234"/>
      <c r="LO768" s="234"/>
      <c r="LP768" s="234"/>
      <c r="LQ768" s="234"/>
      <c r="LR768" s="234"/>
      <c r="LS768" s="234"/>
      <c r="LT768" s="234"/>
      <c r="LU768" s="234"/>
      <c r="LV768" s="234"/>
      <c r="LW768" s="234"/>
      <c r="LX768" s="234"/>
      <c r="LY768" s="234"/>
      <c r="LZ768" s="234"/>
      <c r="MA768" s="234"/>
      <c r="MB768" s="234"/>
      <c r="MC768" s="234"/>
      <c r="MD768" s="234"/>
      <c r="ME768" s="234"/>
      <c r="MF768" s="234"/>
      <c r="MG768" s="234"/>
      <c r="MH768" s="234"/>
      <c r="MI768" s="234"/>
      <c r="MJ768" s="234"/>
      <c r="MK768" s="234"/>
      <c r="ML768" s="189"/>
    </row>
    <row r="769" spans="3:350" s="4" customFormat="1" ht="18" customHeight="1" x14ac:dyDescent="0.3">
      <c r="C769" s="136" t="s">
        <v>80</v>
      </c>
      <c r="E769" s="137" t="s">
        <v>105</v>
      </c>
      <c r="F769" s="186"/>
      <c r="H769" s="139"/>
      <c r="I769" s="140"/>
      <c r="J769" s="140"/>
      <c r="K769" s="140"/>
      <c r="L769" s="140"/>
      <c r="M769" s="141"/>
      <c r="N769" s="140"/>
      <c r="O769" s="140"/>
      <c r="P769" s="140"/>
      <c r="Q769" s="140"/>
      <c r="R769" s="140"/>
      <c r="S769" s="139"/>
      <c r="T769" s="140"/>
      <c r="U769" s="140"/>
      <c r="V769" s="140"/>
      <c r="W769" s="140"/>
      <c r="X769" s="140"/>
      <c r="Y769" s="140"/>
      <c r="Z769" s="140"/>
      <c r="AA769" s="140"/>
      <c r="AB769" s="140"/>
      <c r="AC769" s="140"/>
      <c r="AD769" s="140"/>
      <c r="AE769" s="140"/>
      <c r="AF769" s="140"/>
      <c r="AG769" s="140"/>
      <c r="AH769" s="140"/>
      <c r="AI769" s="140"/>
      <c r="AJ769" s="140"/>
      <c r="AK769" s="140"/>
      <c r="AL769" s="140"/>
      <c r="AM769" s="140"/>
      <c r="AN769" s="140"/>
      <c r="AO769" s="140"/>
      <c r="AP769" s="140"/>
      <c r="AQ769" s="140"/>
      <c r="AR769" s="140"/>
      <c r="AS769" s="140"/>
      <c r="AT769" s="140"/>
      <c r="AU769" s="140"/>
      <c r="AV769" s="140"/>
      <c r="AW769" s="140"/>
      <c r="AX769" s="140"/>
      <c r="AY769" s="140"/>
      <c r="AZ769" s="140"/>
      <c r="BA769" s="140"/>
      <c r="BB769" s="141"/>
      <c r="BC769" s="140"/>
      <c r="BD769" s="177"/>
      <c r="BE769" s="178"/>
      <c r="BF769" s="178"/>
      <c r="BG769" s="178"/>
      <c r="BH769" s="178"/>
      <c r="BI769" s="234">
        <f t="shared" ref="BI769:CM769" si="1148">(BI400*BI451+BI417*BI$497+BI433*BI$498)/10^3</f>
        <v>0</v>
      </c>
      <c r="BJ769" s="234">
        <f t="shared" si="1148"/>
        <v>751.83851612121214</v>
      </c>
      <c r="BK769" s="234">
        <f t="shared" si="1148"/>
        <v>751.83851612121214</v>
      </c>
      <c r="BL769" s="234">
        <f t="shared" si="1148"/>
        <v>751.8385161212118</v>
      </c>
      <c r="BM769" s="234">
        <f t="shared" si="1148"/>
        <v>751.83851612121248</v>
      </c>
      <c r="BN769" s="234">
        <f t="shared" si="1148"/>
        <v>751.83851612121214</v>
      </c>
      <c r="BO769" s="234">
        <f t="shared" si="1148"/>
        <v>751.83851612121146</v>
      </c>
      <c r="BP769" s="234">
        <f t="shared" si="1148"/>
        <v>751.83851612121293</v>
      </c>
      <c r="BQ769" s="234">
        <f t="shared" si="1148"/>
        <v>751.83851612121214</v>
      </c>
      <c r="BR769" s="234">
        <f t="shared" si="1148"/>
        <v>751.83851612121214</v>
      </c>
      <c r="BS769" s="234">
        <f t="shared" si="1148"/>
        <v>751.83851612121214</v>
      </c>
      <c r="BT769" s="234">
        <f t="shared" si="1148"/>
        <v>751.83851612121293</v>
      </c>
      <c r="BU769" s="234">
        <f t="shared" si="1148"/>
        <v>751.83851612120998</v>
      </c>
      <c r="BV769" s="234">
        <f t="shared" si="1148"/>
        <v>751.83851612121293</v>
      </c>
      <c r="BW769" s="234">
        <f t="shared" si="1148"/>
        <v>751.83851612121293</v>
      </c>
      <c r="BX769" s="234">
        <f t="shared" si="1148"/>
        <v>751.83851612121293</v>
      </c>
      <c r="BY769" s="234">
        <f t="shared" si="1148"/>
        <v>751.83851612121146</v>
      </c>
      <c r="BZ769" s="234">
        <f t="shared" si="1148"/>
        <v>751.83851612121293</v>
      </c>
      <c r="CA769" s="234">
        <f t="shared" si="1148"/>
        <v>751.83851612121146</v>
      </c>
      <c r="CB769" s="234">
        <f t="shared" si="1148"/>
        <v>751.83851612121293</v>
      </c>
      <c r="CC769" s="234">
        <f t="shared" si="1148"/>
        <v>751.83851612121146</v>
      </c>
      <c r="CD769" s="234">
        <f t="shared" si="1148"/>
        <v>751.83851612121293</v>
      </c>
      <c r="CE769" s="234">
        <f t="shared" si="1148"/>
        <v>751.83851612121293</v>
      </c>
      <c r="CF769" s="234">
        <f t="shared" si="1148"/>
        <v>751.83851612120998</v>
      </c>
      <c r="CG769" s="234">
        <f t="shared" si="1148"/>
        <v>751.83851612120998</v>
      </c>
      <c r="CH769" s="234">
        <f t="shared" si="1148"/>
        <v>751.83851612121589</v>
      </c>
      <c r="CI769" s="234">
        <f t="shared" si="1148"/>
        <v>751.83851612120998</v>
      </c>
      <c r="CJ769" s="234">
        <f t="shared" si="1148"/>
        <v>751.83851612121293</v>
      </c>
      <c r="CK769" s="234">
        <f t="shared" si="1148"/>
        <v>751.83851612121293</v>
      </c>
      <c r="CL769" s="234">
        <f t="shared" si="1148"/>
        <v>751.83851612121293</v>
      </c>
      <c r="CM769" s="189">
        <f t="shared" si="1148"/>
        <v>751.83851612121293</v>
      </c>
      <c r="CN769" s="140"/>
      <c r="CO769" s="177"/>
      <c r="CP769" s="178"/>
      <c r="CQ769" s="178"/>
      <c r="CR769" s="178"/>
      <c r="CS769" s="178"/>
      <c r="CT769" s="234">
        <f t="shared" ref="CT769:DX769" si="1149">(CT400*CT451+CT417*CT$497+CT433*CT$498)/10^3</f>
        <v>0</v>
      </c>
      <c r="CU769" s="234">
        <f t="shared" si="1149"/>
        <v>941.66993200000024</v>
      </c>
      <c r="CV769" s="234">
        <f t="shared" si="1149"/>
        <v>941.66993200000024</v>
      </c>
      <c r="CW769" s="234">
        <f t="shared" si="1149"/>
        <v>941.66993200000024</v>
      </c>
      <c r="CX769" s="234">
        <f t="shared" si="1149"/>
        <v>941.66993200000024</v>
      </c>
      <c r="CY769" s="234">
        <f t="shared" si="1149"/>
        <v>941.66993200000059</v>
      </c>
      <c r="CZ769" s="234">
        <f t="shared" si="1149"/>
        <v>941.6699319999999</v>
      </c>
      <c r="DA769" s="234">
        <f t="shared" si="1149"/>
        <v>941.66993200000127</v>
      </c>
      <c r="DB769" s="234">
        <f t="shared" si="1149"/>
        <v>941.66993199999911</v>
      </c>
      <c r="DC769" s="234">
        <f t="shared" si="1149"/>
        <v>941.66993200000127</v>
      </c>
      <c r="DD769" s="234">
        <f t="shared" si="1149"/>
        <v>941.6699319999999</v>
      </c>
      <c r="DE769" s="234">
        <f t="shared" si="1149"/>
        <v>941.6699319999999</v>
      </c>
      <c r="DF769" s="234">
        <f t="shared" si="1149"/>
        <v>941.6699319999999</v>
      </c>
      <c r="DG769" s="234">
        <f t="shared" si="1149"/>
        <v>941.6699319999999</v>
      </c>
      <c r="DH769" s="234">
        <f t="shared" si="1149"/>
        <v>941.66993200000286</v>
      </c>
      <c r="DI769" s="234">
        <f t="shared" si="1149"/>
        <v>941.66993199999683</v>
      </c>
      <c r="DJ769" s="234">
        <f t="shared" si="1149"/>
        <v>941.66993200000127</v>
      </c>
      <c r="DK769" s="234">
        <f t="shared" si="1149"/>
        <v>941.66993200000127</v>
      </c>
      <c r="DL769" s="234">
        <f t="shared" si="1149"/>
        <v>941.66993200000127</v>
      </c>
      <c r="DM769" s="234">
        <f t="shared" si="1149"/>
        <v>941.66993199999843</v>
      </c>
      <c r="DN769" s="234">
        <f t="shared" si="1149"/>
        <v>941.66993200000127</v>
      </c>
      <c r="DO769" s="234">
        <f t="shared" si="1149"/>
        <v>941.66993199999843</v>
      </c>
      <c r="DP769" s="234">
        <f t="shared" si="1149"/>
        <v>941.66993200000127</v>
      </c>
      <c r="DQ769" s="234">
        <f t="shared" si="1149"/>
        <v>941.66993199999843</v>
      </c>
      <c r="DR769" s="234">
        <f t="shared" si="1149"/>
        <v>941.66993200000127</v>
      </c>
      <c r="DS769" s="234">
        <f t="shared" si="1149"/>
        <v>941.66993200000127</v>
      </c>
      <c r="DT769" s="234">
        <f t="shared" si="1149"/>
        <v>941.66993199999843</v>
      </c>
      <c r="DU769" s="234">
        <f t="shared" si="1149"/>
        <v>941.66993200000127</v>
      </c>
      <c r="DV769" s="234">
        <f t="shared" si="1149"/>
        <v>941.66993200000434</v>
      </c>
      <c r="DW769" s="234">
        <f t="shared" si="1149"/>
        <v>941.66993199999536</v>
      </c>
      <c r="DX769" s="189">
        <f t="shared" si="1149"/>
        <v>941.66993199999843</v>
      </c>
      <c r="DY769" s="140"/>
      <c r="DZ769" s="177"/>
      <c r="EA769" s="178"/>
      <c r="EB769" s="178"/>
      <c r="EC769" s="178"/>
      <c r="ED769" s="178"/>
      <c r="EE769" s="234">
        <f t="shared" ref="EE769:FI769" si="1150">(EE400*EE451+EE417*EE$497+EE433*EE$498)/10^3</f>
        <v>0</v>
      </c>
      <c r="EF769" s="234">
        <f t="shared" si="1150"/>
        <v>874.31039733333364</v>
      </c>
      <c r="EG769" s="234">
        <f t="shared" si="1150"/>
        <v>874.31039733333364</v>
      </c>
      <c r="EH769" s="234">
        <f t="shared" si="1150"/>
        <v>874.3103973333333</v>
      </c>
      <c r="EI769" s="234">
        <f t="shared" si="1150"/>
        <v>874.31039733333387</v>
      </c>
      <c r="EJ769" s="234">
        <f t="shared" si="1150"/>
        <v>874.31039733333319</v>
      </c>
      <c r="EK769" s="234">
        <f t="shared" si="1150"/>
        <v>874.31039733333353</v>
      </c>
      <c r="EL769" s="234">
        <f t="shared" si="1150"/>
        <v>874.31039733333353</v>
      </c>
      <c r="EM769" s="234">
        <f t="shared" si="1150"/>
        <v>874.31039733333421</v>
      </c>
      <c r="EN769" s="234">
        <f t="shared" si="1150"/>
        <v>874.31039733333284</v>
      </c>
      <c r="EO769" s="234">
        <f t="shared" si="1150"/>
        <v>874.31039733333353</v>
      </c>
      <c r="EP769" s="234">
        <f t="shared" si="1150"/>
        <v>874.31039733333353</v>
      </c>
      <c r="EQ769" s="234">
        <f t="shared" si="1150"/>
        <v>874.31039733333353</v>
      </c>
      <c r="ER769" s="234">
        <f t="shared" si="1150"/>
        <v>874.310397333335</v>
      </c>
      <c r="ES769" s="234">
        <f t="shared" si="1150"/>
        <v>874.31039733333193</v>
      </c>
      <c r="ET769" s="234">
        <f t="shared" si="1150"/>
        <v>874.310397333335</v>
      </c>
      <c r="EU769" s="234">
        <f t="shared" si="1150"/>
        <v>874.31039733333353</v>
      </c>
      <c r="EV769" s="234">
        <f t="shared" si="1150"/>
        <v>874.31039733333353</v>
      </c>
      <c r="EW769" s="234">
        <f t="shared" si="1150"/>
        <v>874.31039733333193</v>
      </c>
      <c r="EX769" s="234">
        <f t="shared" si="1150"/>
        <v>874.310397333335</v>
      </c>
      <c r="EY769" s="234">
        <f t="shared" si="1150"/>
        <v>874.31039733333193</v>
      </c>
      <c r="EZ769" s="234">
        <f t="shared" si="1150"/>
        <v>874.31039733333193</v>
      </c>
      <c r="FA769" s="234">
        <f t="shared" si="1150"/>
        <v>874.310397333335</v>
      </c>
      <c r="FB769" s="234">
        <f t="shared" si="1150"/>
        <v>874.31039733333796</v>
      </c>
      <c r="FC769" s="234">
        <f t="shared" si="1150"/>
        <v>874.31039733332909</v>
      </c>
      <c r="FD769" s="234">
        <f t="shared" si="1150"/>
        <v>874.310397333335</v>
      </c>
      <c r="FE769" s="234">
        <f t="shared" si="1150"/>
        <v>874.310397333335</v>
      </c>
      <c r="FF769" s="234">
        <f t="shared" si="1150"/>
        <v>874.310397333335</v>
      </c>
      <c r="FG769" s="234">
        <f t="shared" si="1150"/>
        <v>874.31039733332909</v>
      </c>
      <c r="FH769" s="234">
        <f t="shared" si="1150"/>
        <v>874.310397333335</v>
      </c>
      <c r="FI769" s="189">
        <f t="shared" si="1150"/>
        <v>874.310397333335</v>
      </c>
      <c r="FJ769" s="140"/>
      <c r="FK769" s="177"/>
      <c r="FL769" s="178"/>
      <c r="FM769" s="178"/>
      <c r="FN769" s="178"/>
      <c r="FO769" s="178"/>
      <c r="FP769" s="234">
        <f t="shared" ref="FP769:GT769" si="1151">(FP400*FP451+FP417*FP$497+FP433*FP$498)/10^3</f>
        <v>0</v>
      </c>
      <c r="FQ769" s="234">
        <f t="shared" si="1151"/>
        <v>874.31039733333364</v>
      </c>
      <c r="FR769" s="234">
        <f t="shared" si="1151"/>
        <v>874.31039733333364</v>
      </c>
      <c r="FS769" s="234">
        <f t="shared" si="1151"/>
        <v>874.3103973333333</v>
      </c>
      <c r="FT769" s="234">
        <f t="shared" si="1151"/>
        <v>874.31039733333387</v>
      </c>
      <c r="FU769" s="234">
        <f t="shared" si="1151"/>
        <v>874.31039733333319</v>
      </c>
      <c r="FV769" s="234">
        <f t="shared" si="1151"/>
        <v>874.31039733333353</v>
      </c>
      <c r="FW769" s="234">
        <f t="shared" si="1151"/>
        <v>874.31039733333353</v>
      </c>
      <c r="FX769" s="234">
        <f t="shared" si="1151"/>
        <v>874.31039733333421</v>
      </c>
      <c r="FY769" s="234">
        <f t="shared" si="1151"/>
        <v>874.31039733333284</v>
      </c>
      <c r="FZ769" s="234">
        <f t="shared" si="1151"/>
        <v>874.31039733333353</v>
      </c>
      <c r="GA769" s="234">
        <f t="shared" si="1151"/>
        <v>874.31039733333353</v>
      </c>
      <c r="GB769" s="234">
        <f t="shared" si="1151"/>
        <v>874.31039733333353</v>
      </c>
      <c r="GC769" s="234">
        <f t="shared" si="1151"/>
        <v>874.310397333335</v>
      </c>
      <c r="GD769" s="234">
        <f t="shared" si="1151"/>
        <v>874.31039733333193</v>
      </c>
      <c r="GE769" s="234">
        <f t="shared" si="1151"/>
        <v>874.310397333335</v>
      </c>
      <c r="GF769" s="234">
        <f t="shared" si="1151"/>
        <v>874.31039733333353</v>
      </c>
      <c r="GG769" s="234">
        <f t="shared" si="1151"/>
        <v>874.31039733333353</v>
      </c>
      <c r="GH769" s="234">
        <f t="shared" si="1151"/>
        <v>874.31039733333193</v>
      </c>
      <c r="GI769" s="234">
        <f t="shared" si="1151"/>
        <v>874.310397333335</v>
      </c>
      <c r="GJ769" s="234">
        <f t="shared" si="1151"/>
        <v>874.31039733333193</v>
      </c>
      <c r="GK769" s="234">
        <f t="shared" si="1151"/>
        <v>874.31039733333193</v>
      </c>
      <c r="GL769" s="234">
        <f t="shared" si="1151"/>
        <v>874.310397333335</v>
      </c>
      <c r="GM769" s="234">
        <f t="shared" si="1151"/>
        <v>874.31039733333796</v>
      </c>
      <c r="GN769" s="234">
        <f t="shared" si="1151"/>
        <v>874.31039733332909</v>
      </c>
      <c r="GO769" s="234">
        <f t="shared" si="1151"/>
        <v>874.310397333335</v>
      </c>
      <c r="GP769" s="234">
        <f t="shared" si="1151"/>
        <v>874.310397333335</v>
      </c>
      <c r="GQ769" s="234">
        <f t="shared" si="1151"/>
        <v>874.310397333335</v>
      </c>
      <c r="GR769" s="234">
        <f t="shared" si="1151"/>
        <v>874.31039733332909</v>
      </c>
      <c r="GS769" s="234">
        <f t="shared" si="1151"/>
        <v>874.310397333335</v>
      </c>
      <c r="GT769" s="189">
        <f t="shared" si="1151"/>
        <v>874.310397333335</v>
      </c>
      <c r="GU769" s="140"/>
      <c r="GV769" s="177"/>
      <c r="GW769" s="178"/>
      <c r="GX769" s="178"/>
      <c r="GY769" s="178"/>
      <c r="GZ769" s="178"/>
      <c r="HA769" s="234">
        <f t="shared" ref="HA769:IE769" si="1152">(HA400*HA451+HA417*HA$497+HA433*HA$498)/10^3</f>
        <v>0</v>
      </c>
      <c r="HB769" s="234">
        <f t="shared" si="1152"/>
        <v>813.07445672727295</v>
      </c>
      <c r="HC769" s="234">
        <f t="shared" si="1152"/>
        <v>813.07445672727295</v>
      </c>
      <c r="HD769" s="234">
        <f t="shared" si="1152"/>
        <v>813.07445672727306</v>
      </c>
      <c r="HE769" s="234">
        <f t="shared" si="1152"/>
        <v>813.07445672727295</v>
      </c>
      <c r="HF769" s="234">
        <f t="shared" si="1152"/>
        <v>813.07445672727295</v>
      </c>
      <c r="HG769" s="234">
        <f t="shared" si="1152"/>
        <v>813.07445672727329</v>
      </c>
      <c r="HH769" s="234">
        <f t="shared" si="1152"/>
        <v>813.07445672727249</v>
      </c>
      <c r="HI769" s="234">
        <f t="shared" si="1152"/>
        <v>813.07445672727329</v>
      </c>
      <c r="HJ769" s="234">
        <f t="shared" si="1152"/>
        <v>813.07445672727329</v>
      </c>
      <c r="HK769" s="234">
        <f t="shared" si="1152"/>
        <v>813.07445672727249</v>
      </c>
      <c r="HL769" s="234">
        <f t="shared" si="1152"/>
        <v>813.07445672727249</v>
      </c>
      <c r="HM769" s="234">
        <f t="shared" si="1152"/>
        <v>813.07445672727397</v>
      </c>
      <c r="HN769" s="234">
        <f t="shared" si="1152"/>
        <v>813.07445672727249</v>
      </c>
      <c r="HO769" s="234">
        <f t="shared" si="1152"/>
        <v>813.07445672727249</v>
      </c>
      <c r="HP769" s="234">
        <f t="shared" si="1152"/>
        <v>813.07445672727397</v>
      </c>
      <c r="HQ769" s="234">
        <f t="shared" si="1152"/>
        <v>813.07445672727249</v>
      </c>
      <c r="HR769" s="234">
        <f t="shared" si="1152"/>
        <v>813.07445672727249</v>
      </c>
      <c r="HS769" s="234">
        <f t="shared" si="1152"/>
        <v>813.07445672727397</v>
      </c>
      <c r="HT769" s="234">
        <f t="shared" si="1152"/>
        <v>813.07445672727249</v>
      </c>
      <c r="HU769" s="234">
        <f t="shared" si="1152"/>
        <v>813.07445672727249</v>
      </c>
      <c r="HV769" s="234">
        <f t="shared" si="1152"/>
        <v>813.07445672727249</v>
      </c>
      <c r="HW769" s="234">
        <f t="shared" si="1152"/>
        <v>813.07445672727249</v>
      </c>
      <c r="HX769" s="234">
        <f t="shared" si="1152"/>
        <v>813.07445672727249</v>
      </c>
      <c r="HY769" s="234">
        <f t="shared" si="1152"/>
        <v>813.07445672727556</v>
      </c>
      <c r="HZ769" s="234">
        <f t="shared" si="1152"/>
        <v>813.07445672726953</v>
      </c>
      <c r="IA769" s="234">
        <f t="shared" si="1152"/>
        <v>813.07445672727556</v>
      </c>
      <c r="IB769" s="234">
        <f t="shared" si="1152"/>
        <v>813.07445672727556</v>
      </c>
      <c r="IC769" s="234">
        <f t="shared" si="1152"/>
        <v>813.07445672726953</v>
      </c>
      <c r="ID769" s="234">
        <f t="shared" si="1152"/>
        <v>813.07445672727556</v>
      </c>
      <c r="IE769" s="189">
        <f t="shared" si="1152"/>
        <v>813.07445672727249</v>
      </c>
      <c r="IF769" s="140"/>
      <c r="IG769" s="177"/>
      <c r="IH769" s="178"/>
      <c r="II769" s="178"/>
      <c r="IJ769" s="178"/>
      <c r="IK769" s="178"/>
      <c r="IL769" s="234"/>
      <c r="IM769" s="234"/>
      <c r="IN769" s="234"/>
      <c r="IO769" s="234"/>
      <c r="IP769" s="234"/>
      <c r="IQ769" s="234"/>
      <c r="IR769" s="234"/>
      <c r="IS769" s="234"/>
      <c r="IT769" s="234"/>
      <c r="IU769" s="234"/>
      <c r="IV769" s="234"/>
      <c r="IW769" s="234"/>
      <c r="IX769" s="234"/>
      <c r="IY769" s="234"/>
      <c r="IZ769" s="234"/>
      <c r="JA769" s="234"/>
      <c r="JB769" s="234"/>
      <c r="JC769" s="234"/>
      <c r="JD769" s="234"/>
      <c r="JE769" s="234"/>
      <c r="JF769" s="234"/>
      <c r="JG769" s="234"/>
      <c r="JH769" s="234"/>
      <c r="JI769" s="234"/>
      <c r="JJ769" s="234"/>
      <c r="JK769" s="234"/>
      <c r="JL769" s="234"/>
      <c r="JM769" s="234"/>
      <c r="JN769" s="234"/>
      <c r="JO769" s="234"/>
      <c r="JP769" s="189"/>
      <c r="JQ769" s="140"/>
      <c r="JR769" s="177"/>
      <c r="JS769" s="178"/>
      <c r="JT769" s="178"/>
      <c r="JU769" s="178"/>
      <c r="JV769" s="178"/>
      <c r="JW769" s="234"/>
      <c r="JX769" s="234"/>
      <c r="JY769" s="234"/>
      <c r="JZ769" s="234"/>
      <c r="KA769" s="234"/>
      <c r="KB769" s="234"/>
      <c r="KC769" s="234"/>
      <c r="KD769" s="234"/>
      <c r="KE769" s="234"/>
      <c r="KF769" s="234"/>
      <c r="KG769" s="234"/>
      <c r="KH769" s="234"/>
      <c r="KI769" s="234"/>
      <c r="KJ769" s="234"/>
      <c r="KK769" s="234"/>
      <c r="KL769" s="234"/>
      <c r="KM769" s="234"/>
      <c r="KN769" s="234"/>
      <c r="KO769" s="234"/>
      <c r="KP769" s="234"/>
      <c r="KQ769" s="234"/>
      <c r="KR769" s="234"/>
      <c r="KS769" s="234"/>
      <c r="KT769" s="234"/>
      <c r="KU769" s="234"/>
      <c r="KV769" s="234"/>
      <c r="KW769" s="234"/>
      <c r="KX769" s="234"/>
      <c r="KY769" s="234"/>
      <c r="KZ769" s="234"/>
      <c r="LA769" s="189"/>
      <c r="LB769" s="140"/>
      <c r="LC769" s="177"/>
      <c r="LD769" s="178"/>
      <c r="LE769" s="178"/>
      <c r="LF769" s="178"/>
      <c r="LG769" s="178"/>
      <c r="LH769" s="234"/>
      <c r="LI769" s="234"/>
      <c r="LJ769" s="234"/>
      <c r="LK769" s="234"/>
      <c r="LL769" s="234"/>
      <c r="LM769" s="234"/>
      <c r="LN769" s="234"/>
      <c r="LO769" s="234"/>
      <c r="LP769" s="234"/>
      <c r="LQ769" s="234"/>
      <c r="LR769" s="234"/>
      <c r="LS769" s="234"/>
      <c r="LT769" s="234"/>
      <c r="LU769" s="234"/>
      <c r="LV769" s="234"/>
      <c r="LW769" s="234"/>
      <c r="LX769" s="234"/>
      <c r="LY769" s="234"/>
      <c r="LZ769" s="234"/>
      <c r="MA769" s="234"/>
      <c r="MB769" s="234"/>
      <c r="MC769" s="234"/>
      <c r="MD769" s="234"/>
      <c r="ME769" s="234"/>
      <c r="MF769" s="234"/>
      <c r="MG769" s="234"/>
      <c r="MH769" s="234"/>
      <c r="MI769" s="234"/>
      <c r="MJ769" s="234"/>
      <c r="MK769" s="234"/>
      <c r="ML769" s="189"/>
    </row>
    <row r="770" spans="3:350" s="4" customFormat="1" ht="18" customHeight="1" x14ac:dyDescent="0.3">
      <c r="C770" s="136" t="s">
        <v>81</v>
      </c>
      <c r="E770" s="137" t="s">
        <v>105</v>
      </c>
      <c r="F770" s="186"/>
      <c r="H770" s="139"/>
      <c r="I770" s="140"/>
      <c r="J770" s="140"/>
      <c r="K770" s="140"/>
      <c r="L770" s="140"/>
      <c r="M770" s="141"/>
      <c r="N770" s="140"/>
      <c r="O770" s="140"/>
      <c r="P770" s="140"/>
      <c r="Q770" s="140"/>
      <c r="R770" s="140"/>
      <c r="S770" s="139"/>
      <c r="T770" s="140"/>
      <c r="U770" s="140"/>
      <c r="V770" s="140"/>
      <c r="W770" s="140"/>
      <c r="X770" s="140"/>
      <c r="Y770" s="140"/>
      <c r="Z770" s="140"/>
      <c r="AA770" s="140"/>
      <c r="AB770" s="140"/>
      <c r="AC770" s="140"/>
      <c r="AD770" s="140"/>
      <c r="AE770" s="140"/>
      <c r="AF770" s="140"/>
      <c r="AG770" s="140"/>
      <c r="AH770" s="140"/>
      <c r="AI770" s="140"/>
      <c r="AJ770" s="140"/>
      <c r="AK770" s="140"/>
      <c r="AL770" s="140"/>
      <c r="AM770" s="140"/>
      <c r="AN770" s="140"/>
      <c r="AO770" s="140"/>
      <c r="AP770" s="140"/>
      <c r="AQ770" s="140"/>
      <c r="AR770" s="140"/>
      <c r="AS770" s="140"/>
      <c r="AT770" s="140"/>
      <c r="AU770" s="140"/>
      <c r="AV770" s="140"/>
      <c r="AW770" s="140"/>
      <c r="AX770" s="140"/>
      <c r="AY770" s="140"/>
      <c r="AZ770" s="140"/>
      <c r="BA770" s="140"/>
      <c r="BB770" s="141"/>
      <c r="BC770" s="140"/>
      <c r="BD770" s="177"/>
      <c r="BE770" s="178"/>
      <c r="BF770" s="178"/>
      <c r="BG770" s="178"/>
      <c r="BH770" s="178"/>
      <c r="BI770" s="234">
        <f t="shared" ref="BI770:CM770" si="1153">(BI401*BI452+BI418*BI$497+BI434*BI$498)/10^3</f>
        <v>0</v>
      </c>
      <c r="BJ770" s="234">
        <f t="shared" si="1153"/>
        <v>774.12774252805593</v>
      </c>
      <c r="BK770" s="234">
        <f t="shared" si="1153"/>
        <v>774.12774252805593</v>
      </c>
      <c r="BL770" s="234">
        <f t="shared" si="1153"/>
        <v>774.12774252805559</v>
      </c>
      <c r="BM770" s="234">
        <f t="shared" si="1153"/>
        <v>774.12774252805616</v>
      </c>
      <c r="BN770" s="234">
        <f t="shared" si="1153"/>
        <v>774.12774252805582</v>
      </c>
      <c r="BO770" s="234">
        <f t="shared" si="1153"/>
        <v>774.12774252805536</v>
      </c>
      <c r="BP770" s="234">
        <f t="shared" si="1153"/>
        <v>774.12774252805661</v>
      </c>
      <c r="BQ770" s="234">
        <f t="shared" si="1153"/>
        <v>774.12774252805582</v>
      </c>
      <c r="BR770" s="234">
        <f t="shared" si="1153"/>
        <v>774.12774252805582</v>
      </c>
      <c r="BS770" s="234">
        <f t="shared" si="1153"/>
        <v>774.12774252805582</v>
      </c>
      <c r="BT770" s="234">
        <f t="shared" si="1153"/>
        <v>774.12774252805582</v>
      </c>
      <c r="BU770" s="234">
        <f t="shared" si="1153"/>
        <v>774.12774252805491</v>
      </c>
      <c r="BV770" s="234">
        <f t="shared" si="1153"/>
        <v>774.12774252805582</v>
      </c>
      <c r="BW770" s="234">
        <f t="shared" si="1153"/>
        <v>774.12774252805752</v>
      </c>
      <c r="BX770" s="234">
        <f t="shared" si="1153"/>
        <v>774.12774252805752</v>
      </c>
      <c r="BY770" s="234">
        <f t="shared" si="1153"/>
        <v>774.127742528054</v>
      </c>
      <c r="BZ770" s="234">
        <f t="shared" si="1153"/>
        <v>774.127742528054</v>
      </c>
      <c r="CA770" s="234">
        <f t="shared" si="1153"/>
        <v>774.12774252805752</v>
      </c>
      <c r="CB770" s="234">
        <f t="shared" si="1153"/>
        <v>774.12774252805752</v>
      </c>
      <c r="CC770" s="234">
        <f t="shared" si="1153"/>
        <v>774.127742528054</v>
      </c>
      <c r="CD770" s="234">
        <f t="shared" si="1153"/>
        <v>774.12774252805582</v>
      </c>
      <c r="CE770" s="234">
        <f t="shared" si="1153"/>
        <v>774.12774252805582</v>
      </c>
      <c r="CF770" s="234">
        <f t="shared" si="1153"/>
        <v>774.12774252805582</v>
      </c>
      <c r="CG770" s="234">
        <f t="shared" si="1153"/>
        <v>774.127742528054</v>
      </c>
      <c r="CH770" s="234">
        <f t="shared" si="1153"/>
        <v>774.12774252805752</v>
      </c>
      <c r="CI770" s="234">
        <f t="shared" si="1153"/>
        <v>774.127742528054</v>
      </c>
      <c r="CJ770" s="234">
        <f t="shared" si="1153"/>
        <v>774.12774252805752</v>
      </c>
      <c r="CK770" s="234">
        <f t="shared" si="1153"/>
        <v>774.12774252805752</v>
      </c>
      <c r="CL770" s="234">
        <f t="shared" si="1153"/>
        <v>774.127742528054</v>
      </c>
      <c r="CM770" s="189">
        <f t="shared" si="1153"/>
        <v>774.12774252805752</v>
      </c>
      <c r="CN770" s="140"/>
      <c r="CO770" s="177"/>
      <c r="CP770" s="178"/>
      <c r="CQ770" s="178"/>
      <c r="CR770" s="178"/>
      <c r="CS770" s="178"/>
      <c r="CT770" s="234">
        <f t="shared" ref="CT770:DX770" si="1154">(CT401*CT452+CT418*CT$497+CT434*CT$498)/10^3</f>
        <v>0</v>
      </c>
      <c r="CU770" s="234">
        <f t="shared" si="1154"/>
        <v>721.95715655352581</v>
      </c>
      <c r="CV770" s="234">
        <f t="shared" si="1154"/>
        <v>721.95715655352581</v>
      </c>
      <c r="CW770" s="234">
        <f t="shared" si="1154"/>
        <v>721.95715655352546</v>
      </c>
      <c r="CX770" s="234">
        <f t="shared" si="1154"/>
        <v>721.95715655352626</v>
      </c>
      <c r="CY770" s="234">
        <f t="shared" si="1154"/>
        <v>721.95715655352581</v>
      </c>
      <c r="CZ770" s="234">
        <f t="shared" si="1154"/>
        <v>721.95715655352501</v>
      </c>
      <c r="DA770" s="234">
        <f t="shared" si="1154"/>
        <v>721.95715655352581</v>
      </c>
      <c r="DB770" s="234">
        <f t="shared" si="1154"/>
        <v>721.95715655352672</v>
      </c>
      <c r="DC770" s="234">
        <f t="shared" si="1154"/>
        <v>721.95715655352501</v>
      </c>
      <c r="DD770" s="234">
        <f t="shared" si="1154"/>
        <v>721.95715655352672</v>
      </c>
      <c r="DE770" s="234">
        <f t="shared" si="1154"/>
        <v>721.95715655352672</v>
      </c>
      <c r="DF770" s="234">
        <f t="shared" si="1154"/>
        <v>721.9571565535233</v>
      </c>
      <c r="DG770" s="234">
        <f t="shared" si="1154"/>
        <v>721.95715655352672</v>
      </c>
      <c r="DH770" s="234">
        <f t="shared" si="1154"/>
        <v>721.95715655352501</v>
      </c>
      <c r="DI770" s="234">
        <f t="shared" si="1154"/>
        <v>721.95715655352672</v>
      </c>
      <c r="DJ770" s="234">
        <f t="shared" si="1154"/>
        <v>721.95715655352672</v>
      </c>
      <c r="DK770" s="234">
        <f t="shared" si="1154"/>
        <v>721.95715655352501</v>
      </c>
      <c r="DL770" s="234">
        <f t="shared" si="1154"/>
        <v>721.95715655352501</v>
      </c>
      <c r="DM770" s="234">
        <f t="shared" si="1154"/>
        <v>721.95715655352672</v>
      </c>
      <c r="DN770" s="234">
        <f t="shared" si="1154"/>
        <v>721.95715655352672</v>
      </c>
      <c r="DO770" s="234">
        <f t="shared" si="1154"/>
        <v>721.95715655352501</v>
      </c>
      <c r="DP770" s="234">
        <f t="shared" si="1154"/>
        <v>721.95715655352853</v>
      </c>
      <c r="DQ770" s="234">
        <f t="shared" si="1154"/>
        <v>721.9571565535233</v>
      </c>
      <c r="DR770" s="234">
        <f t="shared" si="1154"/>
        <v>721.9571565535233</v>
      </c>
      <c r="DS770" s="234">
        <f t="shared" si="1154"/>
        <v>721.95715655352672</v>
      </c>
      <c r="DT770" s="234">
        <f t="shared" si="1154"/>
        <v>721.95715655352672</v>
      </c>
      <c r="DU770" s="234">
        <f t="shared" si="1154"/>
        <v>721.95715655352672</v>
      </c>
      <c r="DV770" s="234">
        <f t="shared" si="1154"/>
        <v>721.9571565535233</v>
      </c>
      <c r="DW770" s="234">
        <f t="shared" si="1154"/>
        <v>721.95715655353013</v>
      </c>
      <c r="DX770" s="189">
        <f t="shared" si="1154"/>
        <v>721.9571565535233</v>
      </c>
      <c r="DY770" s="140"/>
      <c r="DZ770" s="177"/>
      <c r="EA770" s="178"/>
      <c r="EB770" s="178"/>
      <c r="EC770" s="178"/>
      <c r="ED770" s="178"/>
      <c r="EE770" s="234">
        <f t="shared" ref="EE770:FI770" si="1155">(EE401*EE452+EE418*EE$497+EE434*EE$498)/10^3</f>
        <v>0</v>
      </c>
      <c r="EF770" s="234">
        <f t="shared" si="1155"/>
        <v>721.95715655352581</v>
      </c>
      <c r="EG770" s="234">
        <f t="shared" si="1155"/>
        <v>721.95715655352581</v>
      </c>
      <c r="EH770" s="234">
        <f t="shared" si="1155"/>
        <v>721.95715655352546</v>
      </c>
      <c r="EI770" s="234">
        <f t="shared" si="1155"/>
        <v>721.95715655352626</v>
      </c>
      <c r="EJ770" s="234">
        <f t="shared" si="1155"/>
        <v>721.95715655352581</v>
      </c>
      <c r="EK770" s="234">
        <f t="shared" si="1155"/>
        <v>721.95715655352501</v>
      </c>
      <c r="EL770" s="234">
        <f t="shared" si="1155"/>
        <v>721.95715655352581</v>
      </c>
      <c r="EM770" s="234">
        <f t="shared" si="1155"/>
        <v>721.95715655352672</v>
      </c>
      <c r="EN770" s="234">
        <f t="shared" si="1155"/>
        <v>721.95715655352501</v>
      </c>
      <c r="EO770" s="234">
        <f t="shared" si="1155"/>
        <v>721.95715655352672</v>
      </c>
      <c r="EP770" s="234">
        <f t="shared" si="1155"/>
        <v>721.95715655352672</v>
      </c>
      <c r="EQ770" s="234">
        <f t="shared" si="1155"/>
        <v>721.9571565535233</v>
      </c>
      <c r="ER770" s="234">
        <f t="shared" si="1155"/>
        <v>721.95715655352672</v>
      </c>
      <c r="ES770" s="234">
        <f t="shared" si="1155"/>
        <v>721.95715655352501</v>
      </c>
      <c r="ET770" s="234">
        <f t="shared" si="1155"/>
        <v>721.95715655352672</v>
      </c>
      <c r="EU770" s="234">
        <f t="shared" si="1155"/>
        <v>721.95715655352672</v>
      </c>
      <c r="EV770" s="234">
        <f t="shared" si="1155"/>
        <v>721.95715655352501</v>
      </c>
      <c r="EW770" s="234">
        <f t="shared" si="1155"/>
        <v>721.95715655352501</v>
      </c>
      <c r="EX770" s="234">
        <f t="shared" si="1155"/>
        <v>721.95715655352672</v>
      </c>
      <c r="EY770" s="234">
        <f t="shared" si="1155"/>
        <v>721.95715655352672</v>
      </c>
      <c r="EZ770" s="234">
        <f t="shared" si="1155"/>
        <v>721.95715655352501</v>
      </c>
      <c r="FA770" s="234">
        <f t="shared" si="1155"/>
        <v>721.95715655352853</v>
      </c>
      <c r="FB770" s="234">
        <f t="shared" si="1155"/>
        <v>721.9571565535233</v>
      </c>
      <c r="FC770" s="234">
        <f t="shared" si="1155"/>
        <v>721.9571565535233</v>
      </c>
      <c r="FD770" s="234">
        <f t="shared" si="1155"/>
        <v>721.95715655352672</v>
      </c>
      <c r="FE770" s="234">
        <f t="shared" si="1155"/>
        <v>721.95715655352672</v>
      </c>
      <c r="FF770" s="234">
        <f t="shared" si="1155"/>
        <v>721.95715655352672</v>
      </c>
      <c r="FG770" s="234">
        <f t="shared" si="1155"/>
        <v>721.9571565535233</v>
      </c>
      <c r="FH770" s="234">
        <f t="shared" si="1155"/>
        <v>721.95715655353013</v>
      </c>
      <c r="FI770" s="189">
        <f t="shared" si="1155"/>
        <v>721.9571565535233</v>
      </c>
      <c r="FJ770" s="140"/>
      <c r="FK770" s="177"/>
      <c r="FL770" s="178"/>
      <c r="FM770" s="178"/>
      <c r="FN770" s="178"/>
      <c r="FO770" s="178"/>
      <c r="FP770" s="234">
        <f t="shared" ref="FP770:GT770" si="1156">(FP401*FP452+FP418*FP$497+FP434*FP$498)/10^3</f>
        <v>0</v>
      </c>
      <c r="FQ770" s="234">
        <f t="shared" si="1156"/>
        <v>828.11301280352586</v>
      </c>
      <c r="FR770" s="234">
        <f t="shared" si="1156"/>
        <v>828.11301280352586</v>
      </c>
      <c r="FS770" s="234">
        <f t="shared" si="1156"/>
        <v>828.11301280352575</v>
      </c>
      <c r="FT770" s="234">
        <f t="shared" si="1156"/>
        <v>828.11301280352586</v>
      </c>
      <c r="FU770" s="234">
        <f t="shared" si="1156"/>
        <v>828.11301280352586</v>
      </c>
      <c r="FV770" s="234">
        <f t="shared" si="1156"/>
        <v>828.11301280352552</v>
      </c>
      <c r="FW770" s="234">
        <f t="shared" si="1156"/>
        <v>828.11301280352552</v>
      </c>
      <c r="FX770" s="234">
        <f t="shared" si="1156"/>
        <v>828.11301280352632</v>
      </c>
      <c r="FY770" s="234">
        <f t="shared" si="1156"/>
        <v>828.11301280352552</v>
      </c>
      <c r="FZ770" s="234">
        <f t="shared" si="1156"/>
        <v>828.11301280352632</v>
      </c>
      <c r="GA770" s="234">
        <f t="shared" si="1156"/>
        <v>828.11301280352632</v>
      </c>
      <c r="GB770" s="234">
        <f t="shared" si="1156"/>
        <v>828.11301280352461</v>
      </c>
      <c r="GC770" s="234">
        <f t="shared" si="1156"/>
        <v>828.11301280352632</v>
      </c>
      <c r="GD770" s="234">
        <f t="shared" si="1156"/>
        <v>828.11301280352461</v>
      </c>
      <c r="GE770" s="234">
        <f t="shared" si="1156"/>
        <v>828.11301280352632</v>
      </c>
      <c r="GF770" s="234">
        <f t="shared" si="1156"/>
        <v>828.11301280352632</v>
      </c>
      <c r="GG770" s="234">
        <f t="shared" si="1156"/>
        <v>828.11301280352461</v>
      </c>
      <c r="GH770" s="234">
        <f t="shared" si="1156"/>
        <v>828.11301280352632</v>
      </c>
      <c r="GI770" s="234">
        <f t="shared" si="1156"/>
        <v>828.11301280352814</v>
      </c>
      <c r="GJ770" s="234">
        <f t="shared" si="1156"/>
        <v>828.11301280352461</v>
      </c>
      <c r="GK770" s="234">
        <f t="shared" si="1156"/>
        <v>828.11301280352461</v>
      </c>
      <c r="GL770" s="234">
        <f t="shared" si="1156"/>
        <v>828.11301280352814</v>
      </c>
      <c r="GM770" s="234">
        <f t="shared" si="1156"/>
        <v>828.11301280352461</v>
      </c>
      <c r="GN770" s="234">
        <f t="shared" si="1156"/>
        <v>828.11301280352461</v>
      </c>
      <c r="GO770" s="234">
        <f t="shared" si="1156"/>
        <v>828.11301280352461</v>
      </c>
      <c r="GP770" s="234">
        <f t="shared" si="1156"/>
        <v>828.11301280352814</v>
      </c>
      <c r="GQ770" s="234">
        <f t="shared" si="1156"/>
        <v>828.11301280352461</v>
      </c>
      <c r="GR770" s="234">
        <f t="shared" si="1156"/>
        <v>828.11301280352461</v>
      </c>
      <c r="GS770" s="234">
        <f t="shared" si="1156"/>
        <v>828.11301280352814</v>
      </c>
      <c r="GT770" s="189">
        <f t="shared" si="1156"/>
        <v>828.11301280352461</v>
      </c>
      <c r="GU770" s="140"/>
      <c r="GV770" s="177"/>
      <c r="GW770" s="178"/>
      <c r="GX770" s="178"/>
      <c r="GY770" s="178"/>
      <c r="GZ770" s="178"/>
      <c r="HA770" s="234">
        <f t="shared" ref="HA770:IE770" si="1157">(HA401*HA452+HA418*HA$497+HA434*HA$498)/10^3</f>
        <v>0</v>
      </c>
      <c r="HB770" s="234">
        <f t="shared" si="1157"/>
        <v>801.1203776657909</v>
      </c>
      <c r="HC770" s="234">
        <f t="shared" si="1157"/>
        <v>801.1203776657909</v>
      </c>
      <c r="HD770" s="234">
        <f t="shared" si="1157"/>
        <v>801.12037766579056</v>
      </c>
      <c r="HE770" s="234">
        <f t="shared" si="1157"/>
        <v>801.12037766579101</v>
      </c>
      <c r="HF770" s="234">
        <f t="shared" si="1157"/>
        <v>801.12037766579101</v>
      </c>
      <c r="HG770" s="234">
        <f t="shared" si="1157"/>
        <v>801.1203776657901</v>
      </c>
      <c r="HH770" s="234">
        <f t="shared" si="1157"/>
        <v>801.12037766579192</v>
      </c>
      <c r="HI770" s="234">
        <f t="shared" si="1157"/>
        <v>801.1203776657901</v>
      </c>
      <c r="HJ770" s="234">
        <f t="shared" si="1157"/>
        <v>801.12037766579101</v>
      </c>
      <c r="HK770" s="234">
        <f t="shared" si="1157"/>
        <v>801.12037766579101</v>
      </c>
      <c r="HL770" s="234">
        <f t="shared" si="1157"/>
        <v>801.12037766579101</v>
      </c>
      <c r="HM770" s="234">
        <f t="shared" si="1157"/>
        <v>801.12037766578931</v>
      </c>
      <c r="HN770" s="234">
        <f t="shared" si="1157"/>
        <v>801.12037766579101</v>
      </c>
      <c r="HO770" s="234">
        <f t="shared" si="1157"/>
        <v>801.12037766579272</v>
      </c>
      <c r="HP770" s="234">
        <f t="shared" si="1157"/>
        <v>801.12037766578931</v>
      </c>
      <c r="HQ770" s="234">
        <f t="shared" si="1157"/>
        <v>801.12037766579101</v>
      </c>
      <c r="HR770" s="234">
        <f t="shared" si="1157"/>
        <v>801.12037766579272</v>
      </c>
      <c r="HS770" s="234">
        <f t="shared" si="1157"/>
        <v>801.12037766578931</v>
      </c>
      <c r="HT770" s="234">
        <f t="shared" si="1157"/>
        <v>801.12037766578931</v>
      </c>
      <c r="HU770" s="234">
        <f t="shared" si="1157"/>
        <v>801.12037766579272</v>
      </c>
      <c r="HV770" s="234">
        <f t="shared" si="1157"/>
        <v>801.12037766578931</v>
      </c>
      <c r="HW770" s="234">
        <f t="shared" si="1157"/>
        <v>801.12037766579272</v>
      </c>
      <c r="HX770" s="234">
        <f t="shared" si="1157"/>
        <v>801.12037766578931</v>
      </c>
      <c r="HY770" s="234">
        <f t="shared" si="1157"/>
        <v>801.12037766578931</v>
      </c>
      <c r="HZ770" s="234">
        <f t="shared" si="1157"/>
        <v>801.12037766579272</v>
      </c>
      <c r="IA770" s="234">
        <f t="shared" si="1157"/>
        <v>801.12037766578931</v>
      </c>
      <c r="IB770" s="234">
        <f t="shared" si="1157"/>
        <v>801.12037766579272</v>
      </c>
      <c r="IC770" s="234">
        <f t="shared" si="1157"/>
        <v>801.12037766579272</v>
      </c>
      <c r="ID770" s="234">
        <f t="shared" si="1157"/>
        <v>801.1203776657859</v>
      </c>
      <c r="IE770" s="189">
        <f t="shared" si="1157"/>
        <v>801.12037766579272</v>
      </c>
      <c r="IF770" s="140"/>
      <c r="IG770" s="177"/>
      <c r="IH770" s="178"/>
      <c r="II770" s="178"/>
      <c r="IJ770" s="178"/>
      <c r="IK770" s="178"/>
      <c r="IL770" s="234"/>
      <c r="IM770" s="234"/>
      <c r="IN770" s="234"/>
      <c r="IO770" s="234"/>
      <c r="IP770" s="234"/>
      <c r="IQ770" s="234"/>
      <c r="IR770" s="234"/>
      <c r="IS770" s="234"/>
      <c r="IT770" s="234"/>
      <c r="IU770" s="234"/>
      <c r="IV770" s="234"/>
      <c r="IW770" s="234"/>
      <c r="IX770" s="234"/>
      <c r="IY770" s="234"/>
      <c r="IZ770" s="234"/>
      <c r="JA770" s="234"/>
      <c r="JB770" s="234"/>
      <c r="JC770" s="234"/>
      <c r="JD770" s="234"/>
      <c r="JE770" s="234"/>
      <c r="JF770" s="234"/>
      <c r="JG770" s="234"/>
      <c r="JH770" s="234"/>
      <c r="JI770" s="234"/>
      <c r="JJ770" s="234"/>
      <c r="JK770" s="234"/>
      <c r="JL770" s="234"/>
      <c r="JM770" s="234"/>
      <c r="JN770" s="234"/>
      <c r="JO770" s="234"/>
      <c r="JP770" s="189"/>
      <c r="JQ770" s="140"/>
      <c r="JR770" s="177"/>
      <c r="JS770" s="178"/>
      <c r="JT770" s="178"/>
      <c r="JU770" s="178"/>
      <c r="JV770" s="178"/>
      <c r="JW770" s="234"/>
      <c r="JX770" s="234"/>
      <c r="JY770" s="234"/>
      <c r="JZ770" s="234"/>
      <c r="KA770" s="234"/>
      <c r="KB770" s="234"/>
      <c r="KC770" s="234"/>
      <c r="KD770" s="234"/>
      <c r="KE770" s="234"/>
      <c r="KF770" s="234"/>
      <c r="KG770" s="234"/>
      <c r="KH770" s="234"/>
      <c r="KI770" s="234"/>
      <c r="KJ770" s="234"/>
      <c r="KK770" s="234"/>
      <c r="KL770" s="234"/>
      <c r="KM770" s="234"/>
      <c r="KN770" s="234"/>
      <c r="KO770" s="234"/>
      <c r="KP770" s="234"/>
      <c r="KQ770" s="234"/>
      <c r="KR770" s="234"/>
      <c r="KS770" s="234"/>
      <c r="KT770" s="234"/>
      <c r="KU770" s="234"/>
      <c r="KV770" s="234"/>
      <c r="KW770" s="234"/>
      <c r="KX770" s="234"/>
      <c r="KY770" s="234"/>
      <c r="KZ770" s="234"/>
      <c r="LA770" s="189"/>
      <c r="LB770" s="140"/>
      <c r="LC770" s="177"/>
      <c r="LD770" s="178"/>
      <c r="LE770" s="178"/>
      <c r="LF770" s="178"/>
      <c r="LG770" s="178"/>
      <c r="LH770" s="234"/>
      <c r="LI770" s="234"/>
      <c r="LJ770" s="234"/>
      <c r="LK770" s="234"/>
      <c r="LL770" s="234"/>
      <c r="LM770" s="234"/>
      <c r="LN770" s="234"/>
      <c r="LO770" s="234"/>
      <c r="LP770" s="234"/>
      <c r="LQ770" s="234"/>
      <c r="LR770" s="234"/>
      <c r="LS770" s="234"/>
      <c r="LT770" s="234"/>
      <c r="LU770" s="234"/>
      <c r="LV770" s="234"/>
      <c r="LW770" s="234"/>
      <c r="LX770" s="234"/>
      <c r="LY770" s="234"/>
      <c r="LZ770" s="234"/>
      <c r="MA770" s="234"/>
      <c r="MB770" s="234"/>
      <c r="MC770" s="234"/>
      <c r="MD770" s="234"/>
      <c r="ME770" s="234"/>
      <c r="MF770" s="234"/>
      <c r="MG770" s="234"/>
      <c r="MH770" s="234"/>
      <c r="MI770" s="234"/>
      <c r="MJ770" s="234"/>
      <c r="MK770" s="234"/>
      <c r="ML770" s="189"/>
    </row>
    <row r="771" spans="3:350" s="4" customFormat="1" ht="18" customHeight="1" x14ac:dyDescent="0.3">
      <c r="C771" s="136" t="s">
        <v>82</v>
      </c>
      <c r="E771" s="137" t="s">
        <v>105</v>
      </c>
      <c r="F771" s="186"/>
      <c r="H771" s="139"/>
      <c r="I771" s="140"/>
      <c r="J771" s="140"/>
      <c r="K771" s="140"/>
      <c r="L771" s="140"/>
      <c r="M771" s="141"/>
      <c r="N771" s="140"/>
      <c r="O771" s="140"/>
      <c r="P771" s="140"/>
      <c r="Q771" s="140"/>
      <c r="R771" s="140"/>
      <c r="S771" s="139"/>
      <c r="T771" s="140"/>
      <c r="U771" s="140"/>
      <c r="V771" s="140"/>
      <c r="W771" s="140"/>
      <c r="X771" s="140"/>
      <c r="Y771" s="140"/>
      <c r="Z771" s="140"/>
      <c r="AA771" s="140"/>
      <c r="AB771" s="140"/>
      <c r="AC771" s="140"/>
      <c r="AD771" s="140"/>
      <c r="AE771" s="140"/>
      <c r="AF771" s="140"/>
      <c r="AG771" s="140"/>
      <c r="AH771" s="140"/>
      <c r="AI771" s="140"/>
      <c r="AJ771" s="140"/>
      <c r="AK771" s="140"/>
      <c r="AL771" s="140"/>
      <c r="AM771" s="140"/>
      <c r="AN771" s="140"/>
      <c r="AO771" s="140"/>
      <c r="AP771" s="140"/>
      <c r="AQ771" s="140"/>
      <c r="AR771" s="140"/>
      <c r="AS771" s="140"/>
      <c r="AT771" s="140"/>
      <c r="AU771" s="140"/>
      <c r="AV771" s="140"/>
      <c r="AW771" s="140"/>
      <c r="AX771" s="140"/>
      <c r="AY771" s="140"/>
      <c r="AZ771" s="140"/>
      <c r="BA771" s="140"/>
      <c r="BB771" s="141"/>
      <c r="BC771" s="140"/>
      <c r="BD771" s="177"/>
      <c r="BE771" s="178"/>
      <c r="BF771" s="178"/>
      <c r="BG771" s="178"/>
      <c r="BH771" s="178"/>
      <c r="BI771" s="234">
        <f t="shared" ref="BI771:CM771" si="1158">(BI402*BI453+BI419*BI$497+BI435*BI$498)/10^3</f>
        <v>0</v>
      </c>
      <c r="BJ771" s="234">
        <f t="shared" si="1158"/>
        <v>521.04659975757556</v>
      </c>
      <c r="BK771" s="234">
        <f t="shared" si="1158"/>
        <v>521.04659975757556</v>
      </c>
      <c r="BL771" s="234">
        <f t="shared" si="1158"/>
        <v>521.04659975757545</v>
      </c>
      <c r="BM771" s="234">
        <f t="shared" si="1158"/>
        <v>521.04659975757579</v>
      </c>
      <c r="BN771" s="234">
        <f t="shared" si="1158"/>
        <v>521.04659975757556</v>
      </c>
      <c r="BO771" s="234">
        <f t="shared" si="1158"/>
        <v>521.04659975757522</v>
      </c>
      <c r="BP771" s="234">
        <f t="shared" si="1158"/>
        <v>521.04659975757556</v>
      </c>
      <c r="BQ771" s="234">
        <f t="shared" si="1158"/>
        <v>521.0465997575759</v>
      </c>
      <c r="BR771" s="234">
        <f t="shared" si="1158"/>
        <v>521.04659975757556</v>
      </c>
      <c r="BS771" s="234">
        <f t="shared" si="1158"/>
        <v>521.04659975757556</v>
      </c>
      <c r="BT771" s="234">
        <f t="shared" si="1158"/>
        <v>521.04659975757522</v>
      </c>
      <c r="BU771" s="234">
        <f t="shared" si="1158"/>
        <v>521.04659975757522</v>
      </c>
      <c r="BV771" s="234">
        <f t="shared" si="1158"/>
        <v>521.0465997575759</v>
      </c>
      <c r="BW771" s="234">
        <f t="shared" si="1158"/>
        <v>521.04659975757522</v>
      </c>
      <c r="BX771" s="234">
        <f t="shared" si="1158"/>
        <v>521.0465997575759</v>
      </c>
      <c r="BY771" s="234">
        <f t="shared" si="1158"/>
        <v>521.0465997575759</v>
      </c>
      <c r="BZ771" s="234">
        <f t="shared" si="1158"/>
        <v>521.04659975757522</v>
      </c>
      <c r="CA771" s="234">
        <f t="shared" si="1158"/>
        <v>521.0465997575759</v>
      </c>
      <c r="CB771" s="234">
        <f t="shared" si="1158"/>
        <v>521.04659975757522</v>
      </c>
      <c r="CC771" s="234">
        <f t="shared" si="1158"/>
        <v>521.0465997575759</v>
      </c>
      <c r="CD771" s="234">
        <f t="shared" si="1158"/>
        <v>521.04659975757386</v>
      </c>
      <c r="CE771" s="234">
        <f t="shared" si="1158"/>
        <v>521.0465997575767</v>
      </c>
      <c r="CF771" s="234">
        <f t="shared" si="1158"/>
        <v>521.0465997575767</v>
      </c>
      <c r="CG771" s="234">
        <f t="shared" si="1158"/>
        <v>521.04659975757386</v>
      </c>
      <c r="CH771" s="234">
        <f t="shared" si="1158"/>
        <v>521.0465997575767</v>
      </c>
      <c r="CI771" s="234">
        <f t="shared" si="1158"/>
        <v>521.04659975757522</v>
      </c>
      <c r="CJ771" s="234">
        <f t="shared" si="1158"/>
        <v>521.0465997575767</v>
      </c>
      <c r="CK771" s="234">
        <f t="shared" si="1158"/>
        <v>521.04659975757386</v>
      </c>
      <c r="CL771" s="234">
        <f t="shared" si="1158"/>
        <v>521.0465997575767</v>
      </c>
      <c r="CM771" s="189">
        <f t="shared" si="1158"/>
        <v>521.04659975757522</v>
      </c>
      <c r="CN771" s="140"/>
      <c r="CO771" s="177"/>
      <c r="CP771" s="178"/>
      <c r="CQ771" s="178"/>
      <c r="CR771" s="178"/>
      <c r="CS771" s="178"/>
      <c r="CT771" s="234">
        <f t="shared" ref="CT771:DX771" si="1159">(CT402*CT453+CT419*CT$497+CT435*CT$498)/10^3</f>
        <v>0</v>
      </c>
      <c r="CU771" s="234">
        <f t="shared" si="1159"/>
        <v>533.83977600000003</v>
      </c>
      <c r="CV771" s="234">
        <f t="shared" si="1159"/>
        <v>533.83977600000003</v>
      </c>
      <c r="CW771" s="234">
        <f t="shared" si="1159"/>
        <v>533.8397759999998</v>
      </c>
      <c r="CX771" s="234">
        <f t="shared" si="1159"/>
        <v>533.83977600000026</v>
      </c>
      <c r="CY771" s="234">
        <f t="shared" si="1159"/>
        <v>533.83977599999992</v>
      </c>
      <c r="CZ771" s="234">
        <f t="shared" si="1159"/>
        <v>533.83977599999957</v>
      </c>
      <c r="DA771" s="234">
        <f t="shared" si="1159"/>
        <v>533.8397760000006</v>
      </c>
      <c r="DB771" s="234">
        <f t="shared" si="1159"/>
        <v>533.83977599999992</v>
      </c>
      <c r="DC771" s="234">
        <f t="shared" si="1159"/>
        <v>533.83977599999923</v>
      </c>
      <c r="DD771" s="234">
        <f t="shared" si="1159"/>
        <v>533.8397760000006</v>
      </c>
      <c r="DE771" s="234">
        <f t="shared" si="1159"/>
        <v>533.83977599999992</v>
      </c>
      <c r="DF771" s="234">
        <f t="shared" si="1159"/>
        <v>533.83977599999923</v>
      </c>
      <c r="DG771" s="234">
        <f t="shared" si="1159"/>
        <v>533.8397760000006</v>
      </c>
      <c r="DH771" s="234">
        <f t="shared" si="1159"/>
        <v>533.8397760000006</v>
      </c>
      <c r="DI771" s="234">
        <f t="shared" si="1159"/>
        <v>533.83977599999855</v>
      </c>
      <c r="DJ771" s="234">
        <f t="shared" si="1159"/>
        <v>533.83977600000139</v>
      </c>
      <c r="DK771" s="234">
        <f t="shared" si="1159"/>
        <v>533.83977599999855</v>
      </c>
      <c r="DL771" s="234">
        <f t="shared" si="1159"/>
        <v>533.83977599999992</v>
      </c>
      <c r="DM771" s="234">
        <f t="shared" si="1159"/>
        <v>533.83977600000139</v>
      </c>
      <c r="DN771" s="234">
        <f t="shared" si="1159"/>
        <v>533.83977599999992</v>
      </c>
      <c r="DO771" s="234">
        <f t="shared" si="1159"/>
        <v>533.83977599999855</v>
      </c>
      <c r="DP771" s="234">
        <f t="shared" si="1159"/>
        <v>533.83977600000139</v>
      </c>
      <c r="DQ771" s="234">
        <f t="shared" si="1159"/>
        <v>533.83977600000139</v>
      </c>
      <c r="DR771" s="234">
        <f t="shared" si="1159"/>
        <v>533.83977599999719</v>
      </c>
      <c r="DS771" s="234">
        <f t="shared" si="1159"/>
        <v>533.83977600000139</v>
      </c>
      <c r="DT771" s="234">
        <f t="shared" si="1159"/>
        <v>533.83977599999992</v>
      </c>
      <c r="DU771" s="234">
        <f t="shared" si="1159"/>
        <v>533.83977599999992</v>
      </c>
      <c r="DV771" s="234">
        <f t="shared" si="1159"/>
        <v>533.83977600000139</v>
      </c>
      <c r="DW771" s="234">
        <f t="shared" si="1159"/>
        <v>533.83977599999855</v>
      </c>
      <c r="DX771" s="189">
        <f t="shared" si="1159"/>
        <v>533.83977599999855</v>
      </c>
      <c r="DY771" s="140"/>
      <c r="DZ771" s="177"/>
      <c r="EA771" s="178"/>
      <c r="EB771" s="178"/>
      <c r="EC771" s="178"/>
      <c r="ED771" s="178"/>
      <c r="EE771" s="234">
        <f t="shared" ref="EE771:FI771" si="1160">(EE402*EE453+EE419*EE$497+EE435*EE$498)/10^3</f>
        <v>0</v>
      </c>
      <c r="EF771" s="234">
        <f t="shared" si="1160"/>
        <v>495.82473600000003</v>
      </c>
      <c r="EG771" s="234">
        <f t="shared" si="1160"/>
        <v>495.82473600000003</v>
      </c>
      <c r="EH771" s="234">
        <f t="shared" si="1160"/>
        <v>495.82473600000009</v>
      </c>
      <c r="EI771" s="234">
        <f t="shared" si="1160"/>
        <v>495.82473599999992</v>
      </c>
      <c r="EJ771" s="234">
        <f t="shared" si="1160"/>
        <v>495.82473599999992</v>
      </c>
      <c r="EK771" s="234">
        <f t="shared" si="1160"/>
        <v>495.82473600000026</v>
      </c>
      <c r="EL771" s="234">
        <f t="shared" si="1160"/>
        <v>495.82473599999958</v>
      </c>
      <c r="EM771" s="234">
        <f t="shared" si="1160"/>
        <v>495.82473600000026</v>
      </c>
      <c r="EN771" s="234">
        <f t="shared" si="1160"/>
        <v>495.82473599999958</v>
      </c>
      <c r="EO771" s="234">
        <f t="shared" si="1160"/>
        <v>495.82473600000026</v>
      </c>
      <c r="EP771" s="234">
        <f t="shared" si="1160"/>
        <v>495.82473600000026</v>
      </c>
      <c r="EQ771" s="234">
        <f t="shared" si="1160"/>
        <v>495.82473600000026</v>
      </c>
      <c r="ER771" s="234">
        <f t="shared" si="1160"/>
        <v>495.82473599999958</v>
      </c>
      <c r="ES771" s="234">
        <f t="shared" si="1160"/>
        <v>495.82473599999958</v>
      </c>
      <c r="ET771" s="234">
        <f t="shared" si="1160"/>
        <v>495.82473600000026</v>
      </c>
      <c r="EU771" s="234">
        <f t="shared" si="1160"/>
        <v>495.82473600000026</v>
      </c>
      <c r="EV771" s="234">
        <f t="shared" si="1160"/>
        <v>495.82473600000026</v>
      </c>
      <c r="EW771" s="234">
        <f t="shared" si="1160"/>
        <v>495.82473599999889</v>
      </c>
      <c r="EX771" s="234">
        <f t="shared" si="1160"/>
        <v>495.82473600000026</v>
      </c>
      <c r="EY771" s="234">
        <f t="shared" si="1160"/>
        <v>495.82473600000026</v>
      </c>
      <c r="EZ771" s="234">
        <f t="shared" si="1160"/>
        <v>495.82473600000026</v>
      </c>
      <c r="FA771" s="234">
        <f t="shared" si="1160"/>
        <v>495.82473600000026</v>
      </c>
      <c r="FB771" s="234">
        <f t="shared" si="1160"/>
        <v>495.82473599999889</v>
      </c>
      <c r="FC771" s="234">
        <f t="shared" si="1160"/>
        <v>495.82473600000168</v>
      </c>
      <c r="FD771" s="234">
        <f t="shared" si="1160"/>
        <v>495.82473599999889</v>
      </c>
      <c r="FE771" s="234">
        <f t="shared" si="1160"/>
        <v>495.82473600000026</v>
      </c>
      <c r="FF771" s="234">
        <f t="shared" si="1160"/>
        <v>495.82473600000026</v>
      </c>
      <c r="FG771" s="234">
        <f t="shared" si="1160"/>
        <v>495.82473599999889</v>
      </c>
      <c r="FH771" s="234">
        <f t="shared" si="1160"/>
        <v>495.82473600000168</v>
      </c>
      <c r="FI771" s="189">
        <f t="shared" si="1160"/>
        <v>495.82473599999889</v>
      </c>
      <c r="FJ771" s="140"/>
      <c r="FK771" s="177"/>
      <c r="FL771" s="178"/>
      <c r="FM771" s="178"/>
      <c r="FN771" s="178"/>
      <c r="FO771" s="178"/>
      <c r="FP771" s="234">
        <f t="shared" ref="FP771:GT771" si="1161">(FP402*FP453+FP419*FP$497+FP435*FP$498)/10^3</f>
        <v>0</v>
      </c>
      <c r="FQ771" s="234">
        <f t="shared" si="1161"/>
        <v>615.41467733333309</v>
      </c>
      <c r="FR771" s="234">
        <f t="shared" si="1161"/>
        <v>615.41467733333309</v>
      </c>
      <c r="FS771" s="234">
        <f t="shared" si="1161"/>
        <v>615.41467733333332</v>
      </c>
      <c r="FT771" s="234">
        <f t="shared" si="1161"/>
        <v>615.41467733333297</v>
      </c>
      <c r="FU771" s="234">
        <f t="shared" si="1161"/>
        <v>615.41467733333309</v>
      </c>
      <c r="FV771" s="234">
        <f t="shared" si="1161"/>
        <v>615.41467733333343</v>
      </c>
      <c r="FW771" s="234">
        <f t="shared" si="1161"/>
        <v>615.41467733333309</v>
      </c>
      <c r="FX771" s="234">
        <f t="shared" si="1161"/>
        <v>615.41467733333275</v>
      </c>
      <c r="FY771" s="234">
        <f t="shared" si="1161"/>
        <v>615.41467733333275</v>
      </c>
      <c r="FZ771" s="234">
        <f t="shared" si="1161"/>
        <v>615.41467733333343</v>
      </c>
      <c r="GA771" s="234">
        <f t="shared" si="1161"/>
        <v>615.41467733333343</v>
      </c>
      <c r="GB771" s="234">
        <f t="shared" si="1161"/>
        <v>615.41467733333343</v>
      </c>
      <c r="GC771" s="234">
        <f t="shared" si="1161"/>
        <v>615.41467733333207</v>
      </c>
      <c r="GD771" s="234">
        <f t="shared" si="1161"/>
        <v>615.41467733333411</v>
      </c>
      <c r="GE771" s="234">
        <f t="shared" si="1161"/>
        <v>615.41467733333275</v>
      </c>
      <c r="GF771" s="234">
        <f t="shared" si="1161"/>
        <v>615.41467733333275</v>
      </c>
      <c r="GG771" s="234">
        <f t="shared" si="1161"/>
        <v>615.41467733333275</v>
      </c>
      <c r="GH771" s="234">
        <f t="shared" si="1161"/>
        <v>615.41467733333275</v>
      </c>
      <c r="GI771" s="234">
        <f t="shared" si="1161"/>
        <v>615.41467733333411</v>
      </c>
      <c r="GJ771" s="234">
        <f t="shared" si="1161"/>
        <v>615.41467733333275</v>
      </c>
      <c r="GK771" s="234">
        <f t="shared" si="1161"/>
        <v>615.41467733333275</v>
      </c>
      <c r="GL771" s="234">
        <f t="shared" si="1161"/>
        <v>615.41467733333411</v>
      </c>
      <c r="GM771" s="234">
        <f t="shared" si="1161"/>
        <v>615.41467733333275</v>
      </c>
      <c r="GN771" s="234">
        <f t="shared" si="1161"/>
        <v>615.41467733333411</v>
      </c>
      <c r="GO771" s="234">
        <f t="shared" si="1161"/>
        <v>615.41467733333127</v>
      </c>
      <c r="GP771" s="234">
        <f t="shared" si="1161"/>
        <v>615.41467733333275</v>
      </c>
      <c r="GQ771" s="234">
        <f t="shared" si="1161"/>
        <v>615.41467733333411</v>
      </c>
      <c r="GR771" s="234">
        <f t="shared" si="1161"/>
        <v>615.41467733333411</v>
      </c>
      <c r="GS771" s="234">
        <f t="shared" si="1161"/>
        <v>615.41467733333411</v>
      </c>
      <c r="GT771" s="189">
        <f t="shared" si="1161"/>
        <v>615.41467733333127</v>
      </c>
      <c r="GU771" s="140"/>
      <c r="GV771" s="177"/>
      <c r="GW771" s="178"/>
      <c r="GX771" s="178"/>
      <c r="GY771" s="178"/>
      <c r="GZ771" s="178"/>
      <c r="HA771" s="234">
        <f t="shared" ref="HA771:IE771" si="1162">(HA402*HA453+HA419*HA$497+HA435*HA$498)/10^3</f>
        <v>0</v>
      </c>
      <c r="HB771" s="234">
        <f t="shared" si="1162"/>
        <v>568.23063854545433</v>
      </c>
      <c r="HC771" s="234">
        <f t="shared" si="1162"/>
        <v>568.23063854545433</v>
      </c>
      <c r="HD771" s="234">
        <f t="shared" si="1162"/>
        <v>568.23063854545433</v>
      </c>
      <c r="HE771" s="234">
        <f t="shared" si="1162"/>
        <v>568.23063854545433</v>
      </c>
      <c r="HF771" s="234">
        <f t="shared" si="1162"/>
        <v>568.23063854545467</v>
      </c>
      <c r="HG771" s="234">
        <f t="shared" si="1162"/>
        <v>568.23063854545398</v>
      </c>
      <c r="HH771" s="234">
        <f t="shared" si="1162"/>
        <v>568.23063854545433</v>
      </c>
      <c r="HI771" s="234">
        <f t="shared" si="1162"/>
        <v>568.23063854545433</v>
      </c>
      <c r="HJ771" s="234">
        <f t="shared" si="1162"/>
        <v>568.23063854545398</v>
      </c>
      <c r="HK771" s="234">
        <f t="shared" si="1162"/>
        <v>568.23063854545546</v>
      </c>
      <c r="HL771" s="234">
        <f t="shared" si="1162"/>
        <v>568.23063854545398</v>
      </c>
      <c r="HM771" s="234">
        <f t="shared" si="1162"/>
        <v>568.23063854545398</v>
      </c>
      <c r="HN771" s="234">
        <f t="shared" si="1162"/>
        <v>568.23063854545467</v>
      </c>
      <c r="HO771" s="234">
        <f t="shared" si="1162"/>
        <v>568.23063854545398</v>
      </c>
      <c r="HP771" s="234">
        <f t="shared" si="1162"/>
        <v>568.23063854545398</v>
      </c>
      <c r="HQ771" s="234">
        <f t="shared" si="1162"/>
        <v>568.23063854545467</v>
      </c>
      <c r="HR771" s="234">
        <f t="shared" si="1162"/>
        <v>568.23063854545467</v>
      </c>
      <c r="HS771" s="234">
        <f t="shared" si="1162"/>
        <v>568.2306385454533</v>
      </c>
      <c r="HT771" s="234">
        <f t="shared" si="1162"/>
        <v>568.23063854545467</v>
      </c>
      <c r="HU771" s="234">
        <f t="shared" si="1162"/>
        <v>568.23063854545615</v>
      </c>
      <c r="HV771" s="234">
        <f t="shared" si="1162"/>
        <v>568.23063854545194</v>
      </c>
      <c r="HW771" s="234">
        <f t="shared" si="1162"/>
        <v>568.23063854545615</v>
      </c>
      <c r="HX771" s="234">
        <f t="shared" si="1162"/>
        <v>568.2306385454533</v>
      </c>
      <c r="HY771" s="234">
        <f t="shared" si="1162"/>
        <v>568.23063854545467</v>
      </c>
      <c r="HZ771" s="234">
        <f t="shared" si="1162"/>
        <v>568.23063854545467</v>
      </c>
      <c r="IA771" s="234">
        <f t="shared" si="1162"/>
        <v>568.23063854545467</v>
      </c>
      <c r="IB771" s="234">
        <f t="shared" si="1162"/>
        <v>568.2306385454533</v>
      </c>
      <c r="IC771" s="234">
        <f t="shared" si="1162"/>
        <v>568.23063854545467</v>
      </c>
      <c r="ID771" s="234">
        <f t="shared" si="1162"/>
        <v>568.2306385454533</v>
      </c>
      <c r="IE771" s="189">
        <f t="shared" si="1162"/>
        <v>568.23063854545467</v>
      </c>
      <c r="IF771" s="140"/>
      <c r="IG771" s="177"/>
      <c r="IH771" s="178"/>
      <c r="II771" s="178"/>
      <c r="IJ771" s="178"/>
      <c r="IK771" s="178"/>
      <c r="IL771" s="234"/>
      <c r="IM771" s="234"/>
      <c r="IN771" s="234"/>
      <c r="IO771" s="234"/>
      <c r="IP771" s="234"/>
      <c r="IQ771" s="234"/>
      <c r="IR771" s="234"/>
      <c r="IS771" s="234"/>
      <c r="IT771" s="234"/>
      <c r="IU771" s="234"/>
      <c r="IV771" s="234"/>
      <c r="IW771" s="234"/>
      <c r="IX771" s="234"/>
      <c r="IY771" s="234"/>
      <c r="IZ771" s="234"/>
      <c r="JA771" s="234"/>
      <c r="JB771" s="234"/>
      <c r="JC771" s="234"/>
      <c r="JD771" s="234"/>
      <c r="JE771" s="234"/>
      <c r="JF771" s="234"/>
      <c r="JG771" s="234"/>
      <c r="JH771" s="234"/>
      <c r="JI771" s="234"/>
      <c r="JJ771" s="234"/>
      <c r="JK771" s="234"/>
      <c r="JL771" s="234"/>
      <c r="JM771" s="234"/>
      <c r="JN771" s="234"/>
      <c r="JO771" s="234"/>
      <c r="JP771" s="189"/>
      <c r="JQ771" s="140"/>
      <c r="JR771" s="177"/>
      <c r="JS771" s="178"/>
      <c r="JT771" s="178"/>
      <c r="JU771" s="178"/>
      <c r="JV771" s="178"/>
      <c r="JW771" s="234"/>
      <c r="JX771" s="234"/>
      <c r="JY771" s="234"/>
      <c r="JZ771" s="234"/>
      <c r="KA771" s="234"/>
      <c r="KB771" s="234"/>
      <c r="KC771" s="234"/>
      <c r="KD771" s="234"/>
      <c r="KE771" s="234"/>
      <c r="KF771" s="234"/>
      <c r="KG771" s="234"/>
      <c r="KH771" s="234"/>
      <c r="KI771" s="234"/>
      <c r="KJ771" s="234"/>
      <c r="KK771" s="234"/>
      <c r="KL771" s="234"/>
      <c r="KM771" s="234"/>
      <c r="KN771" s="234"/>
      <c r="KO771" s="234"/>
      <c r="KP771" s="234"/>
      <c r="KQ771" s="234"/>
      <c r="KR771" s="234"/>
      <c r="KS771" s="234"/>
      <c r="KT771" s="234"/>
      <c r="KU771" s="234"/>
      <c r="KV771" s="234"/>
      <c r="KW771" s="234"/>
      <c r="KX771" s="234"/>
      <c r="KY771" s="234"/>
      <c r="KZ771" s="234"/>
      <c r="LA771" s="189"/>
      <c r="LB771" s="140"/>
      <c r="LC771" s="177"/>
      <c r="LD771" s="178"/>
      <c r="LE771" s="178"/>
      <c r="LF771" s="178"/>
      <c r="LG771" s="178"/>
      <c r="LH771" s="234"/>
      <c r="LI771" s="234"/>
      <c r="LJ771" s="234"/>
      <c r="LK771" s="234"/>
      <c r="LL771" s="234"/>
      <c r="LM771" s="234"/>
      <c r="LN771" s="234"/>
      <c r="LO771" s="234"/>
      <c r="LP771" s="234"/>
      <c r="LQ771" s="234"/>
      <c r="LR771" s="234"/>
      <c r="LS771" s="234"/>
      <c r="LT771" s="234"/>
      <c r="LU771" s="234"/>
      <c r="LV771" s="234"/>
      <c r="LW771" s="234"/>
      <c r="LX771" s="234"/>
      <c r="LY771" s="234"/>
      <c r="LZ771" s="234"/>
      <c r="MA771" s="234"/>
      <c r="MB771" s="234"/>
      <c r="MC771" s="234"/>
      <c r="MD771" s="234"/>
      <c r="ME771" s="234"/>
      <c r="MF771" s="234"/>
      <c r="MG771" s="234"/>
      <c r="MH771" s="234"/>
      <c r="MI771" s="234"/>
      <c r="MJ771" s="234"/>
      <c r="MK771" s="234"/>
      <c r="ML771" s="189"/>
    </row>
    <row r="772" spans="3:350" s="4" customFormat="1" ht="18" customHeight="1" x14ac:dyDescent="0.3">
      <c r="C772" s="136" t="s">
        <v>83</v>
      </c>
      <c r="E772" s="137" t="s">
        <v>105</v>
      </c>
      <c r="F772" s="186"/>
      <c r="H772" s="139"/>
      <c r="I772" s="140"/>
      <c r="J772" s="140"/>
      <c r="K772" s="140"/>
      <c r="L772" s="140"/>
      <c r="M772" s="141"/>
      <c r="N772" s="140"/>
      <c r="O772" s="140"/>
      <c r="P772" s="140"/>
      <c r="Q772" s="140"/>
      <c r="R772" s="140"/>
      <c r="S772" s="139"/>
      <c r="T772" s="140"/>
      <c r="U772" s="140"/>
      <c r="V772" s="140"/>
      <c r="W772" s="140"/>
      <c r="X772" s="140"/>
      <c r="Y772" s="140"/>
      <c r="Z772" s="140"/>
      <c r="AA772" s="140"/>
      <c r="AB772" s="140"/>
      <c r="AC772" s="140"/>
      <c r="AD772" s="140"/>
      <c r="AE772" s="140"/>
      <c r="AF772" s="140"/>
      <c r="AG772" s="140"/>
      <c r="AH772" s="140"/>
      <c r="AI772" s="140"/>
      <c r="AJ772" s="140"/>
      <c r="AK772" s="140"/>
      <c r="AL772" s="140"/>
      <c r="AM772" s="140"/>
      <c r="AN772" s="140"/>
      <c r="AO772" s="140"/>
      <c r="AP772" s="140"/>
      <c r="AQ772" s="140"/>
      <c r="AR772" s="140"/>
      <c r="AS772" s="140"/>
      <c r="AT772" s="140"/>
      <c r="AU772" s="140"/>
      <c r="AV772" s="140"/>
      <c r="AW772" s="140"/>
      <c r="AX772" s="140"/>
      <c r="AY772" s="140"/>
      <c r="AZ772" s="140"/>
      <c r="BA772" s="140"/>
      <c r="BB772" s="141"/>
      <c r="BC772" s="140"/>
      <c r="BD772" s="177"/>
      <c r="BE772" s="178"/>
      <c r="BF772" s="178"/>
      <c r="BG772" s="178"/>
      <c r="BH772" s="178"/>
      <c r="BI772" s="234">
        <f t="shared" ref="BI772:CM772" si="1163">(BI403*BI454+BI420*BI$497+BI436*BI$498)/10^3</f>
        <v>0</v>
      </c>
      <c r="BJ772" s="234">
        <f t="shared" si="1163"/>
        <v>254.88847999999996</v>
      </c>
      <c r="BK772" s="234">
        <f t="shared" si="1163"/>
        <v>254.88847999999996</v>
      </c>
      <c r="BL772" s="234">
        <f t="shared" si="1163"/>
        <v>254.88847999999999</v>
      </c>
      <c r="BM772" s="234">
        <f t="shared" si="1163"/>
        <v>254.88847999999993</v>
      </c>
      <c r="BN772" s="234">
        <f t="shared" si="1163"/>
        <v>254.88848000000004</v>
      </c>
      <c r="BO772" s="234">
        <f t="shared" si="1163"/>
        <v>254.88847999999993</v>
      </c>
      <c r="BP772" s="234">
        <f t="shared" si="1163"/>
        <v>254.88848000000013</v>
      </c>
      <c r="BQ772" s="234">
        <f t="shared" si="1163"/>
        <v>254.88847999999976</v>
      </c>
      <c r="BR772" s="234">
        <f t="shared" si="1163"/>
        <v>254.88848000000013</v>
      </c>
      <c r="BS772" s="234">
        <f t="shared" si="1163"/>
        <v>254.88847999999993</v>
      </c>
      <c r="BT772" s="234">
        <f t="shared" si="1163"/>
        <v>254.8884800000003</v>
      </c>
      <c r="BU772" s="234">
        <f t="shared" si="1163"/>
        <v>254.88847999999956</v>
      </c>
      <c r="BV772" s="234">
        <f t="shared" si="1163"/>
        <v>254.88847999999993</v>
      </c>
      <c r="BW772" s="234">
        <f t="shared" si="1163"/>
        <v>254.8884800000003</v>
      </c>
      <c r="BX772" s="234">
        <f t="shared" si="1163"/>
        <v>254.88847999999993</v>
      </c>
      <c r="BY772" s="234">
        <f t="shared" si="1163"/>
        <v>254.88847999999956</v>
      </c>
      <c r="BZ772" s="234">
        <f t="shared" si="1163"/>
        <v>254.88848000000067</v>
      </c>
      <c r="CA772" s="234">
        <f t="shared" si="1163"/>
        <v>254.88847999999956</v>
      </c>
      <c r="CB772" s="234">
        <f t="shared" si="1163"/>
        <v>254.8884800000003</v>
      </c>
      <c r="CC772" s="234">
        <f t="shared" si="1163"/>
        <v>254.88847999999956</v>
      </c>
      <c r="CD772" s="234">
        <f t="shared" si="1163"/>
        <v>254.8884800000003</v>
      </c>
      <c r="CE772" s="234">
        <f t="shared" si="1163"/>
        <v>254.8884800000003</v>
      </c>
      <c r="CF772" s="234">
        <f t="shared" si="1163"/>
        <v>254.88847999999956</v>
      </c>
      <c r="CG772" s="234">
        <f t="shared" si="1163"/>
        <v>254.88847999999956</v>
      </c>
      <c r="CH772" s="234">
        <f t="shared" si="1163"/>
        <v>254.8884800000003</v>
      </c>
      <c r="CI772" s="234">
        <f t="shared" si="1163"/>
        <v>254.88847999999956</v>
      </c>
      <c r="CJ772" s="234">
        <f t="shared" si="1163"/>
        <v>254.88847999999956</v>
      </c>
      <c r="CK772" s="234">
        <f t="shared" si="1163"/>
        <v>254.88848000000104</v>
      </c>
      <c r="CL772" s="234">
        <f t="shared" si="1163"/>
        <v>254.88847999999956</v>
      </c>
      <c r="CM772" s="189">
        <f t="shared" si="1163"/>
        <v>254.8884800000003</v>
      </c>
      <c r="CN772" s="140"/>
      <c r="CO772" s="177"/>
      <c r="CP772" s="178"/>
      <c r="CQ772" s="178"/>
      <c r="CR772" s="178"/>
      <c r="CS772" s="178"/>
      <c r="CT772" s="234">
        <f t="shared" ref="CT772:DX772" si="1164">(CT403*CT454+CT420*CT$497+CT436*CT$498)/10^3</f>
        <v>0</v>
      </c>
      <c r="CU772" s="234">
        <f t="shared" si="1164"/>
        <v>316.22528000000005</v>
      </c>
      <c r="CV772" s="234">
        <f t="shared" si="1164"/>
        <v>316.22528000000005</v>
      </c>
      <c r="CW772" s="234">
        <f t="shared" si="1164"/>
        <v>316.22528000000005</v>
      </c>
      <c r="CX772" s="234">
        <f t="shared" si="1164"/>
        <v>316.22528000000005</v>
      </c>
      <c r="CY772" s="234">
        <f t="shared" si="1164"/>
        <v>316.22528000000005</v>
      </c>
      <c r="CZ772" s="234">
        <f t="shared" si="1164"/>
        <v>316.22528000000005</v>
      </c>
      <c r="DA772" s="234">
        <f t="shared" si="1164"/>
        <v>316.22527999999983</v>
      </c>
      <c r="DB772" s="234">
        <f t="shared" si="1164"/>
        <v>316.22528000000023</v>
      </c>
      <c r="DC772" s="234">
        <f t="shared" si="1164"/>
        <v>316.22528000000023</v>
      </c>
      <c r="DD772" s="234">
        <f t="shared" si="1164"/>
        <v>316.22527999999983</v>
      </c>
      <c r="DE772" s="234">
        <f t="shared" si="1164"/>
        <v>316.22527999999983</v>
      </c>
      <c r="DF772" s="234">
        <f t="shared" si="1164"/>
        <v>316.22528000000023</v>
      </c>
      <c r="DG772" s="234">
        <f t="shared" si="1164"/>
        <v>316.22527999999949</v>
      </c>
      <c r="DH772" s="234">
        <f t="shared" si="1164"/>
        <v>316.22528000000023</v>
      </c>
      <c r="DI772" s="234">
        <f t="shared" si="1164"/>
        <v>316.22528000000023</v>
      </c>
      <c r="DJ772" s="234">
        <f t="shared" si="1164"/>
        <v>316.22528000000023</v>
      </c>
      <c r="DK772" s="234">
        <f t="shared" si="1164"/>
        <v>316.22528000000023</v>
      </c>
      <c r="DL772" s="234">
        <f t="shared" si="1164"/>
        <v>316.22528000000023</v>
      </c>
      <c r="DM772" s="234">
        <f t="shared" si="1164"/>
        <v>316.22527999999949</v>
      </c>
      <c r="DN772" s="234">
        <f t="shared" si="1164"/>
        <v>316.22528000000023</v>
      </c>
      <c r="DO772" s="234">
        <f t="shared" si="1164"/>
        <v>316.22527999999949</v>
      </c>
      <c r="DP772" s="234">
        <f t="shared" si="1164"/>
        <v>316.22528000000023</v>
      </c>
      <c r="DQ772" s="234">
        <f t="shared" si="1164"/>
        <v>316.22527999999949</v>
      </c>
      <c r="DR772" s="234">
        <f t="shared" si="1164"/>
        <v>316.22528000000096</v>
      </c>
      <c r="DS772" s="234">
        <f t="shared" si="1164"/>
        <v>316.22527999999949</v>
      </c>
      <c r="DT772" s="234">
        <f t="shared" si="1164"/>
        <v>316.22527999999949</v>
      </c>
      <c r="DU772" s="234">
        <f t="shared" si="1164"/>
        <v>316.22528000000096</v>
      </c>
      <c r="DV772" s="234">
        <f t="shared" si="1164"/>
        <v>316.22527999999949</v>
      </c>
      <c r="DW772" s="234">
        <f t="shared" si="1164"/>
        <v>316.22528000000096</v>
      </c>
      <c r="DX772" s="189">
        <f t="shared" si="1164"/>
        <v>316.22527999999949</v>
      </c>
      <c r="DY772" s="140"/>
      <c r="DZ772" s="177"/>
      <c r="EA772" s="178"/>
      <c r="EB772" s="178"/>
      <c r="EC772" s="178"/>
      <c r="ED772" s="178"/>
      <c r="EE772" s="234">
        <f t="shared" ref="EE772:FI772" si="1165">(EE403*EE454+EE420*EE$497+EE436*EE$498)/10^3</f>
        <v>0</v>
      </c>
      <c r="EF772" s="234">
        <f t="shared" si="1165"/>
        <v>295.77968000000004</v>
      </c>
      <c r="EG772" s="234">
        <f t="shared" si="1165"/>
        <v>295.77968000000004</v>
      </c>
      <c r="EH772" s="234">
        <f t="shared" si="1165"/>
        <v>295.77967999999987</v>
      </c>
      <c r="EI772" s="234">
        <f t="shared" si="1165"/>
        <v>295.77968000000016</v>
      </c>
      <c r="EJ772" s="234">
        <f t="shared" si="1165"/>
        <v>295.77967999999998</v>
      </c>
      <c r="EK772" s="234">
        <f t="shared" si="1165"/>
        <v>295.77967999999981</v>
      </c>
      <c r="EL772" s="234">
        <f t="shared" si="1165"/>
        <v>295.77967999999998</v>
      </c>
      <c r="EM772" s="234">
        <f t="shared" si="1165"/>
        <v>295.77968000000033</v>
      </c>
      <c r="EN772" s="234">
        <f t="shared" si="1165"/>
        <v>295.77967999999998</v>
      </c>
      <c r="EO772" s="234">
        <f t="shared" si="1165"/>
        <v>295.77967999999998</v>
      </c>
      <c r="EP772" s="234">
        <f t="shared" si="1165"/>
        <v>295.77967999999964</v>
      </c>
      <c r="EQ772" s="234">
        <f t="shared" si="1165"/>
        <v>295.77967999999998</v>
      </c>
      <c r="ER772" s="234">
        <f t="shared" si="1165"/>
        <v>295.77968000000072</v>
      </c>
      <c r="ES772" s="234">
        <f t="shared" si="1165"/>
        <v>295.77967999999925</v>
      </c>
      <c r="ET772" s="234">
        <f t="shared" si="1165"/>
        <v>295.77967999999998</v>
      </c>
      <c r="EU772" s="234">
        <f t="shared" si="1165"/>
        <v>295.77968000000072</v>
      </c>
      <c r="EV772" s="234">
        <f t="shared" si="1165"/>
        <v>295.77967999999925</v>
      </c>
      <c r="EW772" s="234">
        <f t="shared" si="1165"/>
        <v>295.77968000000072</v>
      </c>
      <c r="EX772" s="234">
        <f t="shared" si="1165"/>
        <v>295.77967999999925</v>
      </c>
      <c r="EY772" s="234">
        <f t="shared" si="1165"/>
        <v>295.77968000000072</v>
      </c>
      <c r="EZ772" s="234">
        <f t="shared" si="1165"/>
        <v>295.77967999999856</v>
      </c>
      <c r="FA772" s="234">
        <f t="shared" si="1165"/>
        <v>295.77968000000072</v>
      </c>
      <c r="FB772" s="234">
        <f t="shared" si="1165"/>
        <v>295.77968000000146</v>
      </c>
      <c r="FC772" s="234">
        <f t="shared" si="1165"/>
        <v>295.77967999999856</v>
      </c>
      <c r="FD772" s="234">
        <f t="shared" si="1165"/>
        <v>295.77967999999998</v>
      </c>
      <c r="FE772" s="234">
        <f t="shared" si="1165"/>
        <v>295.77968000000146</v>
      </c>
      <c r="FF772" s="234">
        <f t="shared" si="1165"/>
        <v>295.77967999999998</v>
      </c>
      <c r="FG772" s="234">
        <f t="shared" si="1165"/>
        <v>295.77967999999856</v>
      </c>
      <c r="FH772" s="234">
        <f t="shared" si="1165"/>
        <v>295.77967999999998</v>
      </c>
      <c r="FI772" s="189">
        <f t="shared" si="1165"/>
        <v>295.77967999999998</v>
      </c>
      <c r="FJ772" s="140"/>
      <c r="FK772" s="177"/>
      <c r="FL772" s="178"/>
      <c r="FM772" s="178"/>
      <c r="FN772" s="178"/>
      <c r="FO772" s="178"/>
      <c r="FP772" s="234">
        <f t="shared" ref="FP772:GT772" si="1166">(FP403*FP454+FP420*FP$497+FP436*FP$498)/10^3</f>
        <v>0</v>
      </c>
      <c r="FQ772" s="234">
        <f t="shared" si="1166"/>
        <v>254.88847999999996</v>
      </c>
      <c r="FR772" s="234">
        <f t="shared" si="1166"/>
        <v>254.88847999999996</v>
      </c>
      <c r="FS772" s="234">
        <f t="shared" si="1166"/>
        <v>254.88847999999999</v>
      </c>
      <c r="FT772" s="234">
        <f t="shared" si="1166"/>
        <v>254.88847999999993</v>
      </c>
      <c r="FU772" s="234">
        <f t="shared" si="1166"/>
        <v>254.88848000000004</v>
      </c>
      <c r="FV772" s="234">
        <f t="shared" si="1166"/>
        <v>254.88847999999993</v>
      </c>
      <c r="FW772" s="234">
        <f t="shared" si="1166"/>
        <v>254.88848000000013</v>
      </c>
      <c r="FX772" s="234">
        <f t="shared" si="1166"/>
        <v>254.88847999999976</v>
      </c>
      <c r="FY772" s="234">
        <f t="shared" si="1166"/>
        <v>254.88848000000013</v>
      </c>
      <c r="FZ772" s="234">
        <f t="shared" si="1166"/>
        <v>254.88847999999993</v>
      </c>
      <c r="GA772" s="234">
        <f t="shared" si="1166"/>
        <v>254.8884800000003</v>
      </c>
      <c r="GB772" s="234">
        <f t="shared" si="1166"/>
        <v>254.88847999999956</v>
      </c>
      <c r="GC772" s="234">
        <f t="shared" si="1166"/>
        <v>254.88847999999993</v>
      </c>
      <c r="GD772" s="234">
        <f t="shared" si="1166"/>
        <v>254.8884800000003</v>
      </c>
      <c r="GE772" s="234">
        <f t="shared" si="1166"/>
        <v>254.88847999999993</v>
      </c>
      <c r="GF772" s="234">
        <f t="shared" si="1166"/>
        <v>254.88847999999956</v>
      </c>
      <c r="GG772" s="234">
        <f t="shared" si="1166"/>
        <v>254.88848000000067</v>
      </c>
      <c r="GH772" s="234">
        <f t="shared" si="1166"/>
        <v>254.88847999999956</v>
      </c>
      <c r="GI772" s="234">
        <f t="shared" si="1166"/>
        <v>254.8884800000003</v>
      </c>
      <c r="GJ772" s="234">
        <f t="shared" si="1166"/>
        <v>254.88847999999956</v>
      </c>
      <c r="GK772" s="234">
        <f t="shared" si="1166"/>
        <v>254.8884800000003</v>
      </c>
      <c r="GL772" s="234">
        <f t="shared" si="1166"/>
        <v>254.8884800000003</v>
      </c>
      <c r="GM772" s="234">
        <f t="shared" si="1166"/>
        <v>254.88847999999956</v>
      </c>
      <c r="GN772" s="234">
        <f t="shared" si="1166"/>
        <v>254.88847999999956</v>
      </c>
      <c r="GO772" s="234">
        <f t="shared" si="1166"/>
        <v>254.8884800000003</v>
      </c>
      <c r="GP772" s="234">
        <f t="shared" si="1166"/>
        <v>254.88847999999956</v>
      </c>
      <c r="GQ772" s="234">
        <f t="shared" si="1166"/>
        <v>254.88847999999956</v>
      </c>
      <c r="GR772" s="234">
        <f t="shared" si="1166"/>
        <v>254.88848000000104</v>
      </c>
      <c r="GS772" s="234">
        <f t="shared" si="1166"/>
        <v>254.88847999999956</v>
      </c>
      <c r="GT772" s="189">
        <f t="shared" si="1166"/>
        <v>254.8884800000003</v>
      </c>
      <c r="GU772" s="140"/>
      <c r="GV772" s="177"/>
      <c r="GW772" s="178"/>
      <c r="GX772" s="178"/>
      <c r="GY772" s="178"/>
      <c r="GZ772" s="178"/>
      <c r="HA772" s="234">
        <f t="shared" ref="HA772:IE772" si="1167">(HA403*HA454+HA420*HA$497+HA436*HA$498)/10^3</f>
        <v>0</v>
      </c>
      <c r="HB772" s="234">
        <f t="shared" si="1167"/>
        <v>254.88847999999996</v>
      </c>
      <c r="HC772" s="234">
        <f t="shared" si="1167"/>
        <v>254.88847999999996</v>
      </c>
      <c r="HD772" s="234">
        <f t="shared" si="1167"/>
        <v>254.88847999999999</v>
      </c>
      <c r="HE772" s="234">
        <f t="shared" si="1167"/>
        <v>254.88847999999993</v>
      </c>
      <c r="HF772" s="234">
        <f t="shared" si="1167"/>
        <v>254.88848000000004</v>
      </c>
      <c r="HG772" s="234">
        <f t="shared" si="1167"/>
        <v>254.88847999999993</v>
      </c>
      <c r="HH772" s="234">
        <f t="shared" si="1167"/>
        <v>254.88848000000013</v>
      </c>
      <c r="HI772" s="234">
        <f t="shared" si="1167"/>
        <v>254.88847999999976</v>
      </c>
      <c r="HJ772" s="234">
        <f t="shared" si="1167"/>
        <v>254.88848000000013</v>
      </c>
      <c r="HK772" s="234">
        <f t="shared" si="1167"/>
        <v>254.88847999999993</v>
      </c>
      <c r="HL772" s="234">
        <f t="shared" si="1167"/>
        <v>254.8884800000003</v>
      </c>
      <c r="HM772" s="234">
        <f t="shared" si="1167"/>
        <v>254.88847999999956</v>
      </c>
      <c r="HN772" s="234">
        <f t="shared" si="1167"/>
        <v>254.88847999999993</v>
      </c>
      <c r="HO772" s="234">
        <f t="shared" si="1167"/>
        <v>254.8884800000003</v>
      </c>
      <c r="HP772" s="234">
        <f t="shared" si="1167"/>
        <v>254.88847999999993</v>
      </c>
      <c r="HQ772" s="234">
        <f t="shared" si="1167"/>
        <v>254.88847999999956</v>
      </c>
      <c r="HR772" s="234">
        <f t="shared" si="1167"/>
        <v>254.88848000000067</v>
      </c>
      <c r="HS772" s="234">
        <f t="shared" si="1167"/>
        <v>254.88847999999956</v>
      </c>
      <c r="HT772" s="234">
        <f t="shared" si="1167"/>
        <v>254.8884800000003</v>
      </c>
      <c r="HU772" s="234">
        <f t="shared" si="1167"/>
        <v>254.88847999999956</v>
      </c>
      <c r="HV772" s="234">
        <f t="shared" si="1167"/>
        <v>254.8884800000003</v>
      </c>
      <c r="HW772" s="234">
        <f t="shared" si="1167"/>
        <v>254.8884800000003</v>
      </c>
      <c r="HX772" s="234">
        <f t="shared" si="1167"/>
        <v>254.88847999999956</v>
      </c>
      <c r="HY772" s="234">
        <f t="shared" si="1167"/>
        <v>254.88847999999956</v>
      </c>
      <c r="HZ772" s="234">
        <f t="shared" si="1167"/>
        <v>254.8884800000003</v>
      </c>
      <c r="IA772" s="234">
        <f t="shared" si="1167"/>
        <v>254.88847999999956</v>
      </c>
      <c r="IB772" s="234">
        <f t="shared" si="1167"/>
        <v>254.88847999999956</v>
      </c>
      <c r="IC772" s="234">
        <f t="shared" si="1167"/>
        <v>254.88848000000104</v>
      </c>
      <c r="ID772" s="234">
        <f t="shared" si="1167"/>
        <v>254.88847999999956</v>
      </c>
      <c r="IE772" s="189">
        <f t="shared" si="1167"/>
        <v>254.8884800000003</v>
      </c>
      <c r="IF772" s="140"/>
      <c r="IG772" s="177"/>
      <c r="IH772" s="178"/>
      <c r="II772" s="178"/>
      <c r="IJ772" s="178"/>
      <c r="IK772" s="178"/>
      <c r="IL772" s="234"/>
      <c r="IM772" s="234"/>
      <c r="IN772" s="234"/>
      <c r="IO772" s="234"/>
      <c r="IP772" s="234"/>
      <c r="IQ772" s="234"/>
      <c r="IR772" s="234"/>
      <c r="IS772" s="234"/>
      <c r="IT772" s="234"/>
      <c r="IU772" s="234"/>
      <c r="IV772" s="234"/>
      <c r="IW772" s="234"/>
      <c r="IX772" s="234"/>
      <c r="IY772" s="234"/>
      <c r="IZ772" s="234"/>
      <c r="JA772" s="234"/>
      <c r="JB772" s="234"/>
      <c r="JC772" s="234"/>
      <c r="JD772" s="234"/>
      <c r="JE772" s="234"/>
      <c r="JF772" s="234"/>
      <c r="JG772" s="234"/>
      <c r="JH772" s="234"/>
      <c r="JI772" s="234"/>
      <c r="JJ772" s="234"/>
      <c r="JK772" s="234"/>
      <c r="JL772" s="234"/>
      <c r="JM772" s="234"/>
      <c r="JN772" s="234"/>
      <c r="JO772" s="234"/>
      <c r="JP772" s="189"/>
      <c r="JQ772" s="140"/>
      <c r="JR772" s="177"/>
      <c r="JS772" s="178"/>
      <c r="JT772" s="178"/>
      <c r="JU772" s="178"/>
      <c r="JV772" s="178"/>
      <c r="JW772" s="234"/>
      <c r="JX772" s="234"/>
      <c r="JY772" s="234"/>
      <c r="JZ772" s="234"/>
      <c r="KA772" s="234"/>
      <c r="KB772" s="234"/>
      <c r="KC772" s="234"/>
      <c r="KD772" s="234"/>
      <c r="KE772" s="234"/>
      <c r="KF772" s="234"/>
      <c r="KG772" s="234"/>
      <c r="KH772" s="234"/>
      <c r="KI772" s="234"/>
      <c r="KJ772" s="234"/>
      <c r="KK772" s="234"/>
      <c r="KL772" s="234"/>
      <c r="KM772" s="234"/>
      <c r="KN772" s="234"/>
      <c r="KO772" s="234"/>
      <c r="KP772" s="234"/>
      <c r="KQ772" s="234"/>
      <c r="KR772" s="234"/>
      <c r="KS772" s="234"/>
      <c r="KT772" s="234"/>
      <c r="KU772" s="234"/>
      <c r="KV772" s="234"/>
      <c r="KW772" s="234"/>
      <c r="KX772" s="234"/>
      <c r="KY772" s="234"/>
      <c r="KZ772" s="234"/>
      <c r="LA772" s="189"/>
      <c r="LB772" s="140"/>
      <c r="LC772" s="177"/>
      <c r="LD772" s="178"/>
      <c r="LE772" s="178"/>
      <c r="LF772" s="178"/>
      <c r="LG772" s="178"/>
      <c r="LH772" s="234"/>
      <c r="LI772" s="234"/>
      <c r="LJ772" s="234"/>
      <c r="LK772" s="234"/>
      <c r="LL772" s="234"/>
      <c r="LM772" s="234"/>
      <c r="LN772" s="234"/>
      <c r="LO772" s="234"/>
      <c r="LP772" s="234"/>
      <c r="LQ772" s="234"/>
      <c r="LR772" s="234"/>
      <c r="LS772" s="234"/>
      <c r="LT772" s="234"/>
      <c r="LU772" s="234"/>
      <c r="LV772" s="234"/>
      <c r="LW772" s="234"/>
      <c r="LX772" s="234"/>
      <c r="LY772" s="234"/>
      <c r="LZ772" s="234"/>
      <c r="MA772" s="234"/>
      <c r="MB772" s="234"/>
      <c r="MC772" s="234"/>
      <c r="MD772" s="234"/>
      <c r="ME772" s="234"/>
      <c r="MF772" s="234"/>
      <c r="MG772" s="234"/>
      <c r="MH772" s="234"/>
      <c r="MI772" s="234"/>
      <c r="MJ772" s="234"/>
      <c r="MK772" s="234"/>
      <c r="ML772" s="189"/>
    </row>
    <row r="773" spans="3:350" s="4" customFormat="1" ht="18" customHeight="1" x14ac:dyDescent="0.3">
      <c r="C773" s="204" t="s">
        <v>368</v>
      </c>
      <c r="E773" s="1"/>
      <c r="F773" s="138"/>
      <c r="H773" s="245"/>
      <c r="I773" s="1"/>
      <c r="J773" s="1"/>
      <c r="K773" s="1"/>
      <c r="L773" s="1"/>
      <c r="M773" s="138"/>
      <c r="N773" s="1"/>
      <c r="O773" s="1"/>
      <c r="P773" s="1"/>
      <c r="Q773" s="1"/>
      <c r="S773" s="245"/>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38"/>
      <c r="BD773" s="245"/>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38"/>
      <c r="CO773" s="245"/>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38"/>
      <c r="DZ773" s="245"/>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38"/>
      <c r="FK773" s="245"/>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38"/>
      <c r="GV773" s="245"/>
      <c r="GW773" s="1"/>
      <c r="GX773" s="1"/>
      <c r="GY773" s="1"/>
      <c r="GZ773" s="1"/>
      <c r="HA773" s="1"/>
      <c r="HB773" s="1"/>
      <c r="HC773" s="1"/>
      <c r="HD773" s="1"/>
      <c r="HE773" s="1"/>
      <c r="HF773" s="1"/>
      <c r="HG773" s="1"/>
      <c r="HH773" s="1"/>
      <c r="HI773" s="1"/>
      <c r="HJ773" s="1"/>
      <c r="HK773" s="1"/>
      <c r="HL773" s="1"/>
      <c r="HM773" s="1"/>
      <c r="HN773" s="1"/>
      <c r="HO773" s="1"/>
      <c r="HP773" s="1"/>
      <c r="HQ773" s="1"/>
      <c r="HR773" s="1"/>
      <c r="HS773" s="1"/>
      <c r="HT773" s="1"/>
      <c r="HU773" s="1"/>
      <c r="HV773" s="1"/>
      <c r="HW773" s="1"/>
      <c r="HX773" s="1"/>
      <c r="HY773" s="1"/>
      <c r="HZ773" s="1"/>
      <c r="IA773" s="1"/>
      <c r="IB773" s="1"/>
      <c r="IC773" s="1"/>
      <c r="ID773" s="1"/>
      <c r="IE773" s="138"/>
      <c r="IG773" s="245"/>
      <c r="IH773" s="1"/>
      <c r="II773" s="1"/>
      <c r="IJ773" s="1"/>
      <c r="IK773" s="1"/>
      <c r="IL773" s="1"/>
      <c r="IM773" s="1"/>
      <c r="IN773" s="1"/>
      <c r="IO773" s="1"/>
      <c r="IP773" s="1"/>
      <c r="IQ773" s="1"/>
      <c r="IR773" s="1"/>
      <c r="IS773" s="1"/>
      <c r="IT773" s="1"/>
      <c r="IU773" s="1"/>
      <c r="IV773" s="1"/>
      <c r="IW773" s="1"/>
      <c r="IX773" s="1"/>
      <c r="IY773" s="1"/>
      <c r="IZ773" s="1"/>
      <c r="JA773" s="1"/>
      <c r="JB773" s="1"/>
      <c r="JC773" s="1"/>
      <c r="JD773" s="1"/>
      <c r="JE773" s="1"/>
      <c r="JF773" s="1"/>
      <c r="JG773" s="1"/>
      <c r="JH773" s="1"/>
      <c r="JI773" s="1"/>
      <c r="JJ773" s="1"/>
      <c r="JK773" s="1"/>
      <c r="JL773" s="1"/>
      <c r="JM773" s="1"/>
      <c r="JN773" s="1"/>
      <c r="JO773" s="1"/>
      <c r="JP773" s="138"/>
      <c r="JR773" s="245"/>
      <c r="JS773" s="1"/>
      <c r="JT773" s="1"/>
      <c r="JU773" s="1"/>
      <c r="JV773" s="1"/>
      <c r="JW773" s="1"/>
      <c r="JX773" s="1"/>
      <c r="JY773" s="1"/>
      <c r="JZ773" s="1"/>
      <c r="KA773" s="1"/>
      <c r="KB773" s="1"/>
      <c r="KC773" s="1"/>
      <c r="KD773" s="1"/>
      <c r="KE773" s="1"/>
      <c r="KF773" s="1"/>
      <c r="KG773" s="1"/>
      <c r="KH773" s="1"/>
      <c r="KI773" s="1"/>
      <c r="KJ773" s="1"/>
      <c r="KK773" s="1"/>
      <c r="KL773" s="1"/>
      <c r="KM773" s="1"/>
      <c r="KN773" s="1"/>
      <c r="KO773" s="1"/>
      <c r="KP773" s="1"/>
      <c r="KQ773" s="1"/>
      <c r="KR773" s="1"/>
      <c r="KS773" s="1"/>
      <c r="KT773" s="1"/>
      <c r="KU773" s="1"/>
      <c r="KV773" s="1"/>
      <c r="KW773" s="1"/>
      <c r="KX773" s="1"/>
      <c r="KY773" s="1"/>
      <c r="KZ773" s="1"/>
      <c r="LA773" s="138"/>
      <c r="LC773" s="245"/>
      <c r="LD773" s="1"/>
      <c r="LE773" s="1"/>
      <c r="LF773" s="1"/>
      <c r="LG773" s="1"/>
      <c r="LH773" s="1"/>
      <c r="LI773" s="1"/>
      <c r="LJ773" s="1"/>
      <c r="LK773" s="1"/>
      <c r="LL773" s="1"/>
      <c r="LM773" s="1"/>
      <c r="LN773" s="1"/>
      <c r="LO773" s="1"/>
      <c r="LP773" s="1"/>
      <c r="LQ773" s="1"/>
      <c r="LR773" s="1"/>
      <c r="LS773" s="1"/>
      <c r="LT773" s="1"/>
      <c r="LU773" s="1"/>
      <c r="LV773" s="1"/>
      <c r="LW773" s="1"/>
      <c r="LX773" s="1"/>
      <c r="LY773" s="1"/>
      <c r="LZ773" s="1"/>
      <c r="MA773" s="1"/>
      <c r="MB773" s="1"/>
      <c r="MC773" s="1"/>
      <c r="MD773" s="1"/>
      <c r="ME773" s="1"/>
      <c r="MF773" s="1"/>
      <c r="MG773" s="1"/>
      <c r="MH773" s="1"/>
      <c r="MI773" s="1"/>
      <c r="MJ773" s="1"/>
      <c r="MK773" s="1"/>
      <c r="ML773" s="138"/>
    </row>
    <row r="774" spans="3:350" s="4" customFormat="1" ht="18" customHeight="1" x14ac:dyDescent="0.3">
      <c r="C774" s="136" t="s">
        <v>369</v>
      </c>
      <c r="E774" s="137" t="s">
        <v>367</v>
      </c>
      <c r="F774" s="186"/>
      <c r="H774" s="139">
        <f t="shared" ref="H774:M774" si="1168">H404*H455/10^3</f>
        <v>308.19714164242583</v>
      </c>
      <c r="I774" s="140">
        <f t="shared" si="1168"/>
        <v>176.10787197122292</v>
      </c>
      <c r="J774" s="140">
        <f t="shared" si="1168"/>
        <v>117.52668995442166</v>
      </c>
      <c r="K774" s="140">
        <f t="shared" si="1168"/>
        <v>66.863217874686384</v>
      </c>
      <c r="L774" s="140">
        <f t="shared" si="1168"/>
        <v>72.566110646727054</v>
      </c>
      <c r="M774" s="141">
        <f t="shared" si="1168"/>
        <v>85.268160287959205</v>
      </c>
      <c r="N774" s="140"/>
      <c r="O774" s="140"/>
      <c r="P774" s="140"/>
      <c r="Q774" s="140"/>
      <c r="R774" s="140"/>
      <c r="S774" s="139"/>
      <c r="T774" s="140"/>
      <c r="U774" s="140"/>
      <c r="V774" s="140"/>
      <c r="W774" s="140"/>
      <c r="X774" s="140">
        <f t="shared" ref="X774:BB774" si="1169">X404*X455/10^3</f>
        <v>10943.095371242141</v>
      </c>
      <c r="Y774" s="140">
        <f t="shared" si="1169"/>
        <v>11186.275268380856</v>
      </c>
      <c r="Z774" s="140">
        <f t="shared" si="1169"/>
        <v>11186.275268380856</v>
      </c>
      <c r="AA774" s="140">
        <f t="shared" si="1169"/>
        <v>11186.275268380858</v>
      </c>
      <c r="AB774" s="140">
        <f t="shared" si="1169"/>
        <v>11186.275268380852</v>
      </c>
      <c r="AC774" s="140">
        <f t="shared" si="1169"/>
        <v>11186.275268380852</v>
      </c>
      <c r="AD774" s="140">
        <f t="shared" si="1169"/>
        <v>11186.275268380863</v>
      </c>
      <c r="AE774" s="140">
        <f t="shared" si="1169"/>
        <v>11186.275268380839</v>
      </c>
      <c r="AF774" s="140">
        <f t="shared" si="1169"/>
        <v>11186.275268380863</v>
      </c>
      <c r="AG774" s="140">
        <f t="shared" si="1169"/>
        <v>11186.275268380839</v>
      </c>
      <c r="AH774" s="140">
        <f t="shared" si="1169"/>
        <v>11186.275268380863</v>
      </c>
      <c r="AI774" s="140">
        <f t="shared" si="1169"/>
        <v>11186.275268380839</v>
      </c>
      <c r="AJ774" s="140">
        <f t="shared" si="1169"/>
        <v>11186.275268380889</v>
      </c>
      <c r="AK774" s="140">
        <f t="shared" si="1169"/>
        <v>11186.275268380839</v>
      </c>
      <c r="AL774" s="140">
        <f t="shared" si="1169"/>
        <v>11186.275268380839</v>
      </c>
      <c r="AM774" s="140">
        <f t="shared" si="1169"/>
        <v>11186.275268380889</v>
      </c>
      <c r="AN774" s="140">
        <f t="shared" si="1169"/>
        <v>11186.275268380816</v>
      </c>
      <c r="AO774" s="140">
        <f t="shared" si="1169"/>
        <v>11186.275268380889</v>
      </c>
      <c r="AP774" s="140">
        <f t="shared" si="1169"/>
        <v>11186.275268380839</v>
      </c>
      <c r="AQ774" s="140">
        <f t="shared" si="1169"/>
        <v>11186.275268380839</v>
      </c>
      <c r="AR774" s="140">
        <f t="shared" si="1169"/>
        <v>11186.275268380889</v>
      </c>
      <c r="AS774" s="140">
        <f t="shared" si="1169"/>
        <v>11186.275268380889</v>
      </c>
      <c r="AT774" s="140">
        <f t="shared" si="1169"/>
        <v>11186.275268380839</v>
      </c>
      <c r="AU774" s="140">
        <f t="shared" si="1169"/>
        <v>11186.275268380839</v>
      </c>
      <c r="AV774" s="140">
        <f t="shared" si="1169"/>
        <v>11186.275268380839</v>
      </c>
      <c r="AW774" s="140">
        <f t="shared" si="1169"/>
        <v>11186.275268380889</v>
      </c>
      <c r="AX774" s="140">
        <f t="shared" si="1169"/>
        <v>11186.27526838079</v>
      </c>
      <c r="AY774" s="140">
        <f t="shared" si="1169"/>
        <v>11186.275268380839</v>
      </c>
      <c r="AZ774" s="140">
        <f t="shared" si="1169"/>
        <v>11186.275268380889</v>
      </c>
      <c r="BA774" s="140">
        <f t="shared" si="1169"/>
        <v>11186.275268380889</v>
      </c>
      <c r="BB774" s="141">
        <f t="shared" si="1169"/>
        <v>11186.275268380839</v>
      </c>
      <c r="BC774" s="140"/>
      <c r="BD774" s="139"/>
      <c r="BE774" s="140"/>
      <c r="BF774" s="140"/>
      <c r="BG774" s="140"/>
      <c r="BH774" s="140"/>
      <c r="BI774" s="140">
        <f t="shared" ref="BI774:CM774" si="1170">BI404*BI455/10^3</f>
        <v>0</v>
      </c>
      <c r="BJ774" s="140">
        <f t="shared" si="1170"/>
        <v>6291.1810915465603</v>
      </c>
      <c r="BK774" s="140">
        <f t="shared" si="1170"/>
        <v>6291.1810915465603</v>
      </c>
      <c r="BL774" s="140">
        <f t="shared" si="1170"/>
        <v>6291.1810915465612</v>
      </c>
      <c r="BM774" s="140">
        <f t="shared" si="1170"/>
        <v>6291.1810915465603</v>
      </c>
      <c r="BN774" s="140">
        <f t="shared" si="1170"/>
        <v>6291.1810915465603</v>
      </c>
      <c r="BO774" s="140">
        <f t="shared" si="1170"/>
        <v>6291.1810915465585</v>
      </c>
      <c r="BP774" s="140">
        <f t="shared" si="1170"/>
        <v>6291.1810915465612</v>
      </c>
      <c r="BQ774" s="140">
        <f t="shared" si="1170"/>
        <v>6291.1810915465612</v>
      </c>
      <c r="BR774" s="140">
        <f t="shared" si="1170"/>
        <v>6291.1810915465594</v>
      </c>
      <c r="BS774" s="140">
        <f t="shared" si="1170"/>
        <v>6291.1810915465612</v>
      </c>
      <c r="BT774" s="140">
        <f t="shared" si="1170"/>
        <v>6291.1810915465612</v>
      </c>
      <c r="BU774" s="140">
        <f t="shared" si="1170"/>
        <v>6291.1810915465594</v>
      </c>
      <c r="BV774" s="140">
        <f t="shared" si="1170"/>
        <v>6291.1810915465603</v>
      </c>
      <c r="BW774" s="140">
        <f t="shared" si="1170"/>
        <v>6291.181091546563</v>
      </c>
      <c r="BX774" s="140">
        <f t="shared" si="1170"/>
        <v>6291.1810915465649</v>
      </c>
      <c r="BY774" s="140">
        <f t="shared" si="1170"/>
        <v>6291.1810915465585</v>
      </c>
      <c r="BZ774" s="140">
        <f t="shared" si="1170"/>
        <v>6291.1810915465594</v>
      </c>
      <c r="CA774" s="140">
        <f t="shared" si="1170"/>
        <v>6291.1810915465612</v>
      </c>
      <c r="CB774" s="140">
        <f t="shared" si="1170"/>
        <v>6291.1810915465639</v>
      </c>
      <c r="CC774" s="140">
        <f t="shared" si="1170"/>
        <v>6291.1810915465603</v>
      </c>
      <c r="CD774" s="140">
        <f t="shared" si="1170"/>
        <v>6291.181091546563</v>
      </c>
      <c r="CE774" s="140">
        <f t="shared" si="1170"/>
        <v>6291.1810915465594</v>
      </c>
      <c r="CF774" s="140">
        <f t="shared" si="1170"/>
        <v>6291.1810915465567</v>
      </c>
      <c r="CG774" s="140">
        <f t="shared" si="1170"/>
        <v>6291.1810915465621</v>
      </c>
      <c r="CH774" s="140">
        <f t="shared" si="1170"/>
        <v>6291.1810915465576</v>
      </c>
      <c r="CI774" s="140">
        <f t="shared" si="1170"/>
        <v>6291.1810915465639</v>
      </c>
      <c r="CJ774" s="140">
        <f t="shared" si="1170"/>
        <v>6291.1810915465667</v>
      </c>
      <c r="CK774" s="140">
        <f t="shared" si="1170"/>
        <v>6291.1810915465612</v>
      </c>
      <c r="CL774" s="140">
        <f t="shared" si="1170"/>
        <v>6291.1810915465585</v>
      </c>
      <c r="CM774" s="141">
        <f t="shared" si="1170"/>
        <v>6291.1810915465685</v>
      </c>
      <c r="CN774" s="140"/>
      <c r="CO774" s="139"/>
      <c r="CP774" s="140"/>
      <c r="CQ774" s="140"/>
      <c r="CR774" s="140"/>
      <c r="CS774" s="140"/>
      <c r="CT774" s="140">
        <f t="shared" ref="CT774:DX774" si="1171">CT404*CT455/10^3</f>
        <v>0</v>
      </c>
      <c r="CU774" s="140">
        <f t="shared" si="1171"/>
        <v>7947.5025821168956</v>
      </c>
      <c r="CV774" s="140">
        <f t="shared" si="1171"/>
        <v>7947.5025821168956</v>
      </c>
      <c r="CW774" s="140">
        <f t="shared" si="1171"/>
        <v>7947.5025821168947</v>
      </c>
      <c r="CX774" s="140">
        <f t="shared" si="1171"/>
        <v>7947.5025821168956</v>
      </c>
      <c r="CY774" s="140">
        <f t="shared" si="1171"/>
        <v>7947.5025821168938</v>
      </c>
      <c r="CZ774" s="140">
        <f t="shared" si="1171"/>
        <v>7947.5025821168965</v>
      </c>
      <c r="DA774" s="140">
        <f t="shared" si="1171"/>
        <v>7947.5025821168947</v>
      </c>
      <c r="DB774" s="140">
        <f t="shared" si="1171"/>
        <v>7947.5025821168956</v>
      </c>
      <c r="DC774" s="140">
        <f t="shared" si="1171"/>
        <v>7947.5025821168947</v>
      </c>
      <c r="DD774" s="140">
        <f t="shared" si="1171"/>
        <v>7947.502582116892</v>
      </c>
      <c r="DE774" s="140">
        <f t="shared" si="1171"/>
        <v>7947.5025821168992</v>
      </c>
      <c r="DF774" s="140">
        <f t="shared" si="1171"/>
        <v>7947.5025821168938</v>
      </c>
      <c r="DG774" s="140">
        <f t="shared" si="1171"/>
        <v>7947.5025821168947</v>
      </c>
      <c r="DH774" s="140">
        <f t="shared" si="1171"/>
        <v>7947.5025821168929</v>
      </c>
      <c r="DI774" s="140">
        <f t="shared" si="1171"/>
        <v>7947.5025821168938</v>
      </c>
      <c r="DJ774" s="140">
        <f t="shared" si="1171"/>
        <v>7947.5025821168992</v>
      </c>
      <c r="DK774" s="140">
        <f t="shared" si="1171"/>
        <v>7947.5025821168956</v>
      </c>
      <c r="DL774" s="140">
        <f t="shared" si="1171"/>
        <v>7947.5025821168938</v>
      </c>
      <c r="DM774" s="140">
        <f t="shared" si="1171"/>
        <v>7947.5025821168902</v>
      </c>
      <c r="DN774" s="140">
        <f t="shared" si="1171"/>
        <v>7947.5025821168956</v>
      </c>
      <c r="DO774" s="140">
        <f t="shared" si="1171"/>
        <v>7947.5025821168974</v>
      </c>
      <c r="DP774" s="140">
        <f t="shared" si="1171"/>
        <v>7947.5025821169029</v>
      </c>
      <c r="DQ774" s="140">
        <f t="shared" si="1171"/>
        <v>7947.5025821168856</v>
      </c>
      <c r="DR774" s="140">
        <f t="shared" si="1171"/>
        <v>7947.5025821169002</v>
      </c>
      <c r="DS774" s="140">
        <f t="shared" si="1171"/>
        <v>7947.5025821168947</v>
      </c>
      <c r="DT774" s="140">
        <f t="shared" si="1171"/>
        <v>7947.5025821168956</v>
      </c>
      <c r="DU774" s="140">
        <f t="shared" si="1171"/>
        <v>7947.5025821168911</v>
      </c>
      <c r="DV774" s="140">
        <f t="shared" si="1171"/>
        <v>7947.5025821169002</v>
      </c>
      <c r="DW774" s="140">
        <f t="shared" si="1171"/>
        <v>7947.5025821169002</v>
      </c>
      <c r="DX774" s="141">
        <f t="shared" si="1171"/>
        <v>7947.5025821168874</v>
      </c>
      <c r="DY774" s="140"/>
      <c r="DZ774" s="139"/>
      <c r="EA774" s="140"/>
      <c r="EB774" s="140"/>
      <c r="EC774" s="140"/>
      <c r="ED774" s="140"/>
      <c r="EE774" s="140">
        <f t="shared" ref="EE774:FI774" si="1172">EE404*EE455/10^3</f>
        <v>0</v>
      </c>
      <c r="EF774" s="140">
        <f t="shared" si="1172"/>
        <v>6976.5283860625832</v>
      </c>
      <c r="EG774" s="140">
        <f t="shared" si="1172"/>
        <v>6976.5283860625832</v>
      </c>
      <c r="EH774" s="140">
        <f t="shared" si="1172"/>
        <v>6976.5283860625823</v>
      </c>
      <c r="EI774" s="140">
        <f t="shared" si="1172"/>
        <v>6976.5283860625832</v>
      </c>
      <c r="EJ774" s="140">
        <f t="shared" si="1172"/>
        <v>6976.5283860625823</v>
      </c>
      <c r="EK774" s="140">
        <f t="shared" si="1172"/>
        <v>6976.5283860625841</v>
      </c>
      <c r="EL774" s="140">
        <f t="shared" si="1172"/>
        <v>6976.5283860625823</v>
      </c>
      <c r="EM774" s="140">
        <f t="shared" si="1172"/>
        <v>6976.5283860625887</v>
      </c>
      <c r="EN774" s="140">
        <f t="shared" si="1172"/>
        <v>6976.5283860625805</v>
      </c>
      <c r="EO774" s="140">
        <f t="shared" si="1172"/>
        <v>6976.5283860625841</v>
      </c>
      <c r="EP774" s="140">
        <f t="shared" si="1172"/>
        <v>6976.5283860625859</v>
      </c>
      <c r="EQ774" s="140">
        <f t="shared" si="1172"/>
        <v>6976.5283860625786</v>
      </c>
      <c r="ER774" s="140">
        <f t="shared" si="1172"/>
        <v>6976.5283860625832</v>
      </c>
      <c r="ES774" s="140">
        <f t="shared" si="1172"/>
        <v>6976.5283860625805</v>
      </c>
      <c r="ET774" s="140">
        <f t="shared" si="1172"/>
        <v>6976.5283860625859</v>
      </c>
      <c r="EU774" s="140">
        <f t="shared" si="1172"/>
        <v>6976.5283860625887</v>
      </c>
      <c r="EV774" s="140">
        <f t="shared" si="1172"/>
        <v>6976.5283860625814</v>
      </c>
      <c r="EW774" s="140">
        <f t="shared" si="1172"/>
        <v>6976.5283860625805</v>
      </c>
      <c r="EX774" s="140">
        <f t="shared" si="1172"/>
        <v>6976.5283860625887</v>
      </c>
      <c r="EY774" s="140">
        <f t="shared" si="1172"/>
        <v>6976.5283860625814</v>
      </c>
      <c r="EZ774" s="140">
        <f t="shared" si="1172"/>
        <v>6976.5283860625759</v>
      </c>
      <c r="FA774" s="140">
        <f t="shared" si="1172"/>
        <v>6976.5283860625977</v>
      </c>
      <c r="FB774" s="140">
        <f t="shared" si="1172"/>
        <v>6976.5283860625823</v>
      </c>
      <c r="FC774" s="140">
        <f t="shared" si="1172"/>
        <v>6976.5283860625777</v>
      </c>
      <c r="FD774" s="140">
        <f t="shared" si="1172"/>
        <v>6976.528386062585</v>
      </c>
      <c r="FE774" s="140">
        <f t="shared" si="1172"/>
        <v>6976.5283860625823</v>
      </c>
      <c r="FF774" s="140">
        <f t="shared" si="1172"/>
        <v>6976.528386062595</v>
      </c>
      <c r="FG774" s="140">
        <f t="shared" si="1172"/>
        <v>6976.5283860625659</v>
      </c>
      <c r="FH774" s="140">
        <f t="shared" si="1172"/>
        <v>6976.528386062595</v>
      </c>
      <c r="FI774" s="141">
        <f t="shared" si="1172"/>
        <v>6976.5283860625786</v>
      </c>
      <c r="FJ774" s="140"/>
      <c r="FK774" s="139"/>
      <c r="FL774" s="140"/>
      <c r="FM774" s="140"/>
      <c r="FN774" s="140"/>
      <c r="FO774" s="140"/>
      <c r="FP774" s="140">
        <f t="shared" ref="FP774:GT774" si="1173">FP404*FP455/10^3</f>
        <v>0</v>
      </c>
      <c r="FQ774" s="140">
        <f t="shared" si="1173"/>
        <v>8334.5666818883401</v>
      </c>
      <c r="FR774" s="140">
        <f t="shared" si="1173"/>
        <v>8334.5666818883401</v>
      </c>
      <c r="FS774" s="140">
        <f t="shared" si="1173"/>
        <v>8334.5666818883401</v>
      </c>
      <c r="FT774" s="140">
        <f t="shared" si="1173"/>
        <v>8334.5666818883401</v>
      </c>
      <c r="FU774" s="140">
        <f t="shared" si="1173"/>
        <v>8334.5666818883401</v>
      </c>
      <c r="FV774" s="140">
        <f t="shared" si="1173"/>
        <v>8334.5666818883383</v>
      </c>
      <c r="FW774" s="140">
        <f t="shared" si="1173"/>
        <v>8334.5666818883401</v>
      </c>
      <c r="FX774" s="140">
        <f t="shared" si="1173"/>
        <v>8334.5666818883437</v>
      </c>
      <c r="FY774" s="140">
        <f t="shared" si="1173"/>
        <v>8334.5666818883401</v>
      </c>
      <c r="FZ774" s="140">
        <f t="shared" si="1173"/>
        <v>8334.5666818883419</v>
      </c>
      <c r="GA774" s="140">
        <f t="shared" si="1173"/>
        <v>8334.5666818883419</v>
      </c>
      <c r="GB774" s="140">
        <f t="shared" si="1173"/>
        <v>8334.5666818883365</v>
      </c>
      <c r="GC774" s="140">
        <f t="shared" si="1173"/>
        <v>8334.5666818883401</v>
      </c>
      <c r="GD774" s="140">
        <f t="shared" si="1173"/>
        <v>8334.5666818883437</v>
      </c>
      <c r="GE774" s="140">
        <f t="shared" si="1173"/>
        <v>8334.5666818883456</v>
      </c>
      <c r="GF774" s="140">
        <f t="shared" si="1173"/>
        <v>8334.5666818883401</v>
      </c>
      <c r="GG774" s="140">
        <f t="shared" si="1173"/>
        <v>8334.5666818883401</v>
      </c>
      <c r="GH774" s="140">
        <f t="shared" si="1173"/>
        <v>8334.5666818883383</v>
      </c>
      <c r="GI774" s="140">
        <f t="shared" si="1173"/>
        <v>8334.5666818883492</v>
      </c>
      <c r="GJ774" s="140">
        <f t="shared" si="1173"/>
        <v>8334.5666818883346</v>
      </c>
      <c r="GK774" s="140">
        <f t="shared" si="1173"/>
        <v>8334.5666818883365</v>
      </c>
      <c r="GL774" s="140">
        <f t="shared" si="1173"/>
        <v>8334.5666818883474</v>
      </c>
      <c r="GM774" s="140">
        <f t="shared" si="1173"/>
        <v>8334.566681888351</v>
      </c>
      <c r="GN774" s="140">
        <f t="shared" si="1173"/>
        <v>8334.5666818883255</v>
      </c>
      <c r="GO774" s="140">
        <f t="shared" si="1173"/>
        <v>8334.566681888351</v>
      </c>
      <c r="GP774" s="140">
        <f t="shared" si="1173"/>
        <v>8334.5666818883292</v>
      </c>
      <c r="GQ774" s="140">
        <f t="shared" si="1173"/>
        <v>8334.5666818883583</v>
      </c>
      <c r="GR774" s="140">
        <f t="shared" si="1173"/>
        <v>8334.5666818883274</v>
      </c>
      <c r="GS774" s="140">
        <f t="shared" si="1173"/>
        <v>8334.566681888351</v>
      </c>
      <c r="GT774" s="141">
        <f t="shared" si="1173"/>
        <v>8334.5666818883383</v>
      </c>
      <c r="GU774" s="140"/>
      <c r="GV774" s="139"/>
      <c r="GW774" s="140"/>
      <c r="GX774" s="140"/>
      <c r="GY774" s="140"/>
      <c r="GZ774" s="140"/>
      <c r="HA774" s="140">
        <f t="shared" ref="HA774:IE774" si="1174">HA404*HA455/10^3</f>
        <v>0</v>
      </c>
      <c r="HB774" s="140">
        <f t="shared" si="1174"/>
        <v>7499.2909481908073</v>
      </c>
      <c r="HC774" s="140">
        <f t="shared" si="1174"/>
        <v>7499.2909481908073</v>
      </c>
      <c r="HD774" s="140">
        <f t="shared" si="1174"/>
        <v>7499.2909481908091</v>
      </c>
      <c r="HE774" s="140">
        <f t="shared" si="1174"/>
        <v>7499.2909481908064</v>
      </c>
      <c r="HF774" s="140">
        <f t="shared" si="1174"/>
        <v>7499.2909481908091</v>
      </c>
      <c r="HG774" s="140">
        <f t="shared" si="1174"/>
        <v>7499.2909481908091</v>
      </c>
      <c r="HH774" s="140">
        <f t="shared" si="1174"/>
        <v>7499.2909481908073</v>
      </c>
      <c r="HI774" s="140">
        <f t="shared" si="1174"/>
        <v>7499.2909481908046</v>
      </c>
      <c r="HJ774" s="140">
        <f t="shared" si="1174"/>
        <v>7499.2909481908091</v>
      </c>
      <c r="HK774" s="140">
        <f t="shared" si="1174"/>
        <v>7499.2909481908073</v>
      </c>
      <c r="HL774" s="140">
        <f t="shared" si="1174"/>
        <v>7499.2909481908127</v>
      </c>
      <c r="HM774" s="140">
        <f t="shared" si="1174"/>
        <v>7499.2909481908064</v>
      </c>
      <c r="HN774" s="140">
        <f t="shared" si="1174"/>
        <v>7499.2909481908055</v>
      </c>
      <c r="HO774" s="140">
        <f t="shared" si="1174"/>
        <v>7499.2909481908091</v>
      </c>
      <c r="HP774" s="140">
        <f t="shared" si="1174"/>
        <v>7499.29094819081</v>
      </c>
      <c r="HQ774" s="140">
        <f t="shared" si="1174"/>
        <v>7499.2909481908</v>
      </c>
      <c r="HR774" s="140">
        <f t="shared" si="1174"/>
        <v>7499.2909481908191</v>
      </c>
      <c r="HS774" s="140">
        <f t="shared" si="1174"/>
        <v>7499.2909481908009</v>
      </c>
      <c r="HT774" s="140">
        <f t="shared" si="1174"/>
        <v>7499.2909481908064</v>
      </c>
      <c r="HU774" s="140">
        <f t="shared" si="1174"/>
        <v>7499.2909481908091</v>
      </c>
      <c r="HV774" s="140">
        <f t="shared" si="1174"/>
        <v>7499.2909481908082</v>
      </c>
      <c r="HW774" s="140">
        <f t="shared" si="1174"/>
        <v>7499.2909481908164</v>
      </c>
      <c r="HX774" s="140">
        <f t="shared" si="1174"/>
        <v>7499.2909481907946</v>
      </c>
      <c r="HY774" s="140">
        <f t="shared" si="1174"/>
        <v>7499.2909481908164</v>
      </c>
      <c r="HZ774" s="140">
        <f t="shared" si="1174"/>
        <v>7499.2909481907991</v>
      </c>
      <c r="IA774" s="140">
        <f t="shared" si="1174"/>
        <v>7499.2909481908109</v>
      </c>
      <c r="IB774" s="140">
        <f t="shared" si="1174"/>
        <v>7499.2909481908182</v>
      </c>
      <c r="IC774" s="140">
        <f t="shared" si="1174"/>
        <v>7499.2909481907991</v>
      </c>
      <c r="ID774" s="140">
        <f t="shared" si="1174"/>
        <v>7499.2909481908109</v>
      </c>
      <c r="IE774" s="141">
        <f t="shared" si="1174"/>
        <v>7499.29094819081</v>
      </c>
      <c r="IF774" s="140"/>
      <c r="IG774" s="139"/>
      <c r="IH774" s="140"/>
      <c r="II774" s="140"/>
      <c r="IJ774" s="140"/>
      <c r="IK774" s="140"/>
      <c r="IL774" s="140"/>
      <c r="IM774" s="140"/>
      <c r="IN774" s="140"/>
      <c r="IO774" s="140"/>
      <c r="IP774" s="140"/>
      <c r="IQ774" s="140"/>
      <c r="IR774" s="140"/>
      <c r="IS774" s="140"/>
      <c r="IT774" s="140"/>
      <c r="IU774" s="140"/>
      <c r="IV774" s="140"/>
      <c r="IW774" s="140"/>
      <c r="IX774" s="140"/>
      <c r="IY774" s="140"/>
      <c r="IZ774" s="140"/>
      <c r="JA774" s="140"/>
      <c r="JB774" s="140"/>
      <c r="JC774" s="140"/>
      <c r="JD774" s="140"/>
      <c r="JE774" s="140"/>
      <c r="JF774" s="140"/>
      <c r="JG774" s="140"/>
      <c r="JH774" s="140"/>
      <c r="JI774" s="140"/>
      <c r="JJ774" s="140"/>
      <c r="JK774" s="140"/>
      <c r="JL774" s="140"/>
      <c r="JM774" s="140"/>
      <c r="JN774" s="140"/>
      <c r="JO774" s="140"/>
      <c r="JP774" s="141"/>
      <c r="JQ774" s="140"/>
      <c r="JR774" s="139"/>
      <c r="JS774" s="140"/>
      <c r="JT774" s="140"/>
      <c r="JU774" s="140"/>
      <c r="JV774" s="140"/>
      <c r="JW774" s="140"/>
      <c r="JX774" s="140"/>
      <c r="JY774" s="140"/>
      <c r="JZ774" s="140"/>
      <c r="KA774" s="140"/>
      <c r="KB774" s="140"/>
      <c r="KC774" s="140"/>
      <c r="KD774" s="140"/>
      <c r="KE774" s="140"/>
      <c r="KF774" s="140"/>
      <c r="KG774" s="140"/>
      <c r="KH774" s="140"/>
      <c r="KI774" s="140"/>
      <c r="KJ774" s="140"/>
      <c r="KK774" s="140"/>
      <c r="KL774" s="140"/>
      <c r="KM774" s="140"/>
      <c r="KN774" s="140"/>
      <c r="KO774" s="140"/>
      <c r="KP774" s="140"/>
      <c r="KQ774" s="140"/>
      <c r="KR774" s="140"/>
      <c r="KS774" s="140"/>
      <c r="KT774" s="140"/>
      <c r="KU774" s="140"/>
      <c r="KV774" s="140"/>
      <c r="KW774" s="140"/>
      <c r="KX774" s="140"/>
      <c r="KY774" s="140"/>
      <c r="KZ774" s="140"/>
      <c r="LA774" s="141"/>
      <c r="LB774" s="140"/>
      <c r="LC774" s="139"/>
      <c r="LD774" s="140"/>
      <c r="LE774" s="140"/>
      <c r="LF774" s="140"/>
      <c r="LG774" s="140"/>
      <c r="LH774" s="140"/>
      <c r="LI774" s="140"/>
      <c r="LJ774" s="140"/>
      <c r="LK774" s="140"/>
      <c r="LL774" s="140"/>
      <c r="LM774" s="140"/>
      <c r="LN774" s="140"/>
      <c r="LO774" s="140"/>
      <c r="LP774" s="140"/>
      <c r="LQ774" s="140"/>
      <c r="LR774" s="140"/>
      <c r="LS774" s="140"/>
      <c r="LT774" s="140"/>
      <c r="LU774" s="140"/>
      <c r="LV774" s="140"/>
      <c r="LW774" s="140"/>
      <c r="LX774" s="140"/>
      <c r="LY774" s="140"/>
      <c r="LZ774" s="140"/>
      <c r="MA774" s="140"/>
      <c r="MB774" s="140"/>
      <c r="MC774" s="140"/>
      <c r="MD774" s="140"/>
      <c r="ME774" s="140"/>
      <c r="MF774" s="140"/>
      <c r="MG774" s="140"/>
      <c r="MH774" s="140"/>
      <c r="MI774" s="140"/>
      <c r="MJ774" s="140"/>
      <c r="MK774" s="140"/>
      <c r="ML774" s="141"/>
    </row>
    <row r="775" spans="3:350" s="4" customFormat="1" ht="18" customHeight="1" x14ac:dyDescent="0.3">
      <c r="C775" s="136" t="s">
        <v>229</v>
      </c>
      <c r="E775" s="137" t="s">
        <v>105</v>
      </c>
      <c r="F775" s="186"/>
      <c r="H775" s="139">
        <f t="shared" ref="H775:M775" si="1175">H421*H497/10^3</f>
        <v>3180.1275000000001</v>
      </c>
      <c r="I775" s="140">
        <f t="shared" si="1175"/>
        <v>3207.1842112376698</v>
      </c>
      <c r="J775" s="140">
        <f t="shared" si="1175"/>
        <v>3234.2409224753387</v>
      </c>
      <c r="K775" s="140">
        <f t="shared" si="1175"/>
        <v>3261.2976337130094</v>
      </c>
      <c r="L775" s="140">
        <f t="shared" si="1175"/>
        <v>3288.3543449506792</v>
      </c>
      <c r="M775" s="141">
        <f t="shared" si="1175"/>
        <v>3315.4110561883485</v>
      </c>
      <c r="N775" s="140"/>
      <c r="O775" s="140"/>
      <c r="P775" s="140"/>
      <c r="Q775" s="140"/>
      <c r="R775" s="140"/>
      <c r="S775" s="139"/>
      <c r="T775" s="140"/>
      <c r="U775" s="140"/>
      <c r="V775" s="140"/>
      <c r="W775" s="140"/>
      <c r="X775" s="140">
        <f t="shared" ref="X775:BB775" si="1176">X421*X497/10^3</f>
        <v>159.87790473759514</v>
      </c>
      <c r="Y775" s="140">
        <f t="shared" si="1176"/>
        <v>159.87790473759514</v>
      </c>
      <c r="Z775" s="140">
        <f t="shared" si="1176"/>
        <v>159.87790473759514</v>
      </c>
      <c r="AA775" s="140">
        <f t="shared" si="1176"/>
        <v>159.87790473759514</v>
      </c>
      <c r="AB775" s="140">
        <f t="shared" si="1176"/>
        <v>159.87790473759514</v>
      </c>
      <c r="AC775" s="140">
        <f t="shared" si="1176"/>
        <v>159.87790473759514</v>
      </c>
      <c r="AD775" s="140">
        <f t="shared" si="1176"/>
        <v>159.87790473759514</v>
      </c>
      <c r="AE775" s="140">
        <f t="shared" si="1176"/>
        <v>159.87790473759514</v>
      </c>
      <c r="AF775" s="140">
        <f t="shared" si="1176"/>
        <v>159.87790473759514</v>
      </c>
      <c r="AG775" s="140">
        <f t="shared" si="1176"/>
        <v>159.87790473759514</v>
      </c>
      <c r="AH775" s="140">
        <f t="shared" si="1176"/>
        <v>159.87790473759514</v>
      </c>
      <c r="AI775" s="140">
        <f t="shared" si="1176"/>
        <v>159.87790473759514</v>
      </c>
      <c r="AJ775" s="140">
        <f t="shared" si="1176"/>
        <v>159.87790473759514</v>
      </c>
      <c r="AK775" s="140">
        <f t="shared" si="1176"/>
        <v>159.87790473759514</v>
      </c>
      <c r="AL775" s="140">
        <f t="shared" si="1176"/>
        <v>159.87790473759514</v>
      </c>
      <c r="AM775" s="140">
        <f t="shared" si="1176"/>
        <v>159.87790473759514</v>
      </c>
      <c r="AN775" s="140">
        <f t="shared" si="1176"/>
        <v>159.87790473759514</v>
      </c>
      <c r="AO775" s="140">
        <f t="shared" si="1176"/>
        <v>159.87790473759514</v>
      </c>
      <c r="AP775" s="140">
        <f t="shared" si="1176"/>
        <v>159.87790473759514</v>
      </c>
      <c r="AQ775" s="140">
        <f t="shared" si="1176"/>
        <v>159.87790473759514</v>
      </c>
      <c r="AR775" s="140">
        <f t="shared" si="1176"/>
        <v>159.87790473759514</v>
      </c>
      <c r="AS775" s="140">
        <f t="shared" si="1176"/>
        <v>159.87790473759514</v>
      </c>
      <c r="AT775" s="140">
        <f t="shared" si="1176"/>
        <v>159.87790473759514</v>
      </c>
      <c r="AU775" s="140">
        <f t="shared" si="1176"/>
        <v>159.87790473759514</v>
      </c>
      <c r="AV775" s="140">
        <f t="shared" si="1176"/>
        <v>159.87790473759514</v>
      </c>
      <c r="AW775" s="140">
        <f t="shared" si="1176"/>
        <v>159.87790473759514</v>
      </c>
      <c r="AX775" s="140">
        <f t="shared" si="1176"/>
        <v>159.87790473759514</v>
      </c>
      <c r="AY775" s="140">
        <f t="shared" si="1176"/>
        <v>159.87790473759514</v>
      </c>
      <c r="AZ775" s="140">
        <f t="shared" si="1176"/>
        <v>159.87790473759514</v>
      </c>
      <c r="BA775" s="140">
        <f t="shared" si="1176"/>
        <v>159.87790473759514</v>
      </c>
      <c r="BB775" s="141">
        <f t="shared" si="1176"/>
        <v>159.87790473759514</v>
      </c>
      <c r="BC775" s="140"/>
      <c r="BD775" s="139"/>
      <c r="BE775" s="140"/>
      <c r="BF775" s="140"/>
      <c r="BG775" s="140"/>
      <c r="BH775" s="140"/>
      <c r="BI775" s="140">
        <f t="shared" ref="BI775:CM775" si="1177">BI421*BI497/10^3</f>
        <v>0</v>
      </c>
      <c r="BJ775" s="140">
        <f t="shared" si="1177"/>
        <v>1544.6380032882496</v>
      </c>
      <c r="BK775" s="140">
        <f t="shared" si="1177"/>
        <v>1544.6380032882496</v>
      </c>
      <c r="BL775" s="140">
        <f t="shared" si="1177"/>
        <v>1544.6380032882496</v>
      </c>
      <c r="BM775" s="140">
        <f t="shared" si="1177"/>
        <v>1544.6380032882496</v>
      </c>
      <c r="BN775" s="140">
        <f t="shared" si="1177"/>
        <v>1544.6380032882496</v>
      </c>
      <c r="BO775" s="140">
        <f t="shared" si="1177"/>
        <v>1544.6380032882496</v>
      </c>
      <c r="BP775" s="140">
        <f t="shared" si="1177"/>
        <v>1544.6380032882496</v>
      </c>
      <c r="BQ775" s="140">
        <f t="shared" si="1177"/>
        <v>1544.6380032882496</v>
      </c>
      <c r="BR775" s="140">
        <f t="shared" si="1177"/>
        <v>1544.6380032882496</v>
      </c>
      <c r="BS775" s="140">
        <f t="shared" si="1177"/>
        <v>1544.6380032882496</v>
      </c>
      <c r="BT775" s="140">
        <f t="shared" si="1177"/>
        <v>1544.6380032882496</v>
      </c>
      <c r="BU775" s="140">
        <f t="shared" si="1177"/>
        <v>1544.6380032882496</v>
      </c>
      <c r="BV775" s="140">
        <f t="shared" si="1177"/>
        <v>1544.6380032882496</v>
      </c>
      <c r="BW775" s="140">
        <f t="shared" si="1177"/>
        <v>1544.6380032882496</v>
      </c>
      <c r="BX775" s="140">
        <f t="shared" si="1177"/>
        <v>1544.6380032882496</v>
      </c>
      <c r="BY775" s="140">
        <f t="shared" si="1177"/>
        <v>1544.6380032882496</v>
      </c>
      <c r="BZ775" s="140">
        <f t="shared" si="1177"/>
        <v>1544.6380032882496</v>
      </c>
      <c r="CA775" s="140">
        <f t="shared" si="1177"/>
        <v>1544.6380032882496</v>
      </c>
      <c r="CB775" s="140">
        <f t="shared" si="1177"/>
        <v>1544.6380032882496</v>
      </c>
      <c r="CC775" s="140">
        <f t="shared" si="1177"/>
        <v>1544.6380032882496</v>
      </c>
      <c r="CD775" s="140">
        <f t="shared" si="1177"/>
        <v>1544.6380032882496</v>
      </c>
      <c r="CE775" s="140">
        <f t="shared" si="1177"/>
        <v>1544.6380032882496</v>
      </c>
      <c r="CF775" s="140">
        <f t="shared" si="1177"/>
        <v>1544.6380032882496</v>
      </c>
      <c r="CG775" s="140">
        <f t="shared" si="1177"/>
        <v>1544.6380032882496</v>
      </c>
      <c r="CH775" s="140">
        <f t="shared" si="1177"/>
        <v>1544.6380032882496</v>
      </c>
      <c r="CI775" s="140">
        <f t="shared" si="1177"/>
        <v>1544.6380032882496</v>
      </c>
      <c r="CJ775" s="140">
        <f t="shared" si="1177"/>
        <v>1544.6380032882496</v>
      </c>
      <c r="CK775" s="140">
        <f t="shared" si="1177"/>
        <v>1544.6380032882496</v>
      </c>
      <c r="CL775" s="140">
        <f t="shared" si="1177"/>
        <v>1544.6380032882496</v>
      </c>
      <c r="CM775" s="141">
        <f t="shared" si="1177"/>
        <v>1544.6380032882496</v>
      </c>
      <c r="CN775" s="140"/>
      <c r="CO775" s="139"/>
      <c r="CP775" s="140"/>
      <c r="CQ775" s="140"/>
      <c r="CR775" s="140"/>
      <c r="CS775" s="140"/>
      <c r="CT775" s="140">
        <f t="shared" ref="CT775:DX775" si="1178">CT421*CT497/10^3</f>
        <v>0</v>
      </c>
      <c r="CU775" s="140">
        <f t="shared" si="1178"/>
        <v>535.63939803027802</v>
      </c>
      <c r="CV775" s="140">
        <f t="shared" si="1178"/>
        <v>535.63939803027802</v>
      </c>
      <c r="CW775" s="140">
        <f t="shared" si="1178"/>
        <v>535.63939803027802</v>
      </c>
      <c r="CX775" s="140">
        <f t="shared" si="1178"/>
        <v>535.63939803027802</v>
      </c>
      <c r="CY775" s="140">
        <f t="shared" si="1178"/>
        <v>535.63939803027802</v>
      </c>
      <c r="CZ775" s="140">
        <f t="shared" si="1178"/>
        <v>535.63939803027802</v>
      </c>
      <c r="DA775" s="140">
        <f t="shared" si="1178"/>
        <v>535.63939803027802</v>
      </c>
      <c r="DB775" s="140">
        <f t="shared" si="1178"/>
        <v>535.63939803027802</v>
      </c>
      <c r="DC775" s="140">
        <f t="shared" si="1178"/>
        <v>535.63939803027802</v>
      </c>
      <c r="DD775" s="140">
        <f t="shared" si="1178"/>
        <v>535.63939803027802</v>
      </c>
      <c r="DE775" s="140">
        <f t="shared" si="1178"/>
        <v>535.63939803027802</v>
      </c>
      <c r="DF775" s="140">
        <f t="shared" si="1178"/>
        <v>535.63939803027802</v>
      </c>
      <c r="DG775" s="140">
        <f t="shared" si="1178"/>
        <v>535.63939803027802</v>
      </c>
      <c r="DH775" s="140">
        <f t="shared" si="1178"/>
        <v>535.63939803027802</v>
      </c>
      <c r="DI775" s="140">
        <f t="shared" si="1178"/>
        <v>535.63939803027802</v>
      </c>
      <c r="DJ775" s="140">
        <f t="shared" si="1178"/>
        <v>535.63939803027802</v>
      </c>
      <c r="DK775" s="140">
        <f t="shared" si="1178"/>
        <v>535.63939803027802</v>
      </c>
      <c r="DL775" s="140">
        <f t="shared" si="1178"/>
        <v>535.63939803027802</v>
      </c>
      <c r="DM775" s="140">
        <f t="shared" si="1178"/>
        <v>535.63939803027802</v>
      </c>
      <c r="DN775" s="140">
        <f t="shared" si="1178"/>
        <v>535.63939803027802</v>
      </c>
      <c r="DO775" s="140">
        <f t="shared" si="1178"/>
        <v>535.63939803027802</v>
      </c>
      <c r="DP775" s="140">
        <f t="shared" si="1178"/>
        <v>535.63939803027802</v>
      </c>
      <c r="DQ775" s="140">
        <f t="shared" si="1178"/>
        <v>535.63939803027802</v>
      </c>
      <c r="DR775" s="140">
        <f t="shared" si="1178"/>
        <v>535.63939803027802</v>
      </c>
      <c r="DS775" s="140">
        <f t="shared" si="1178"/>
        <v>535.63939803027802</v>
      </c>
      <c r="DT775" s="140">
        <f t="shared" si="1178"/>
        <v>535.63939803027802</v>
      </c>
      <c r="DU775" s="140">
        <f t="shared" si="1178"/>
        <v>535.63939803027802</v>
      </c>
      <c r="DV775" s="140">
        <f t="shared" si="1178"/>
        <v>535.63939803027802</v>
      </c>
      <c r="DW775" s="140">
        <f t="shared" si="1178"/>
        <v>535.63939803027802</v>
      </c>
      <c r="DX775" s="141">
        <f t="shared" si="1178"/>
        <v>535.63939803027802</v>
      </c>
      <c r="DY775" s="140"/>
      <c r="DZ775" s="139"/>
      <c r="EA775" s="140"/>
      <c r="EB775" s="140"/>
      <c r="EC775" s="140"/>
      <c r="ED775" s="140"/>
      <c r="EE775" s="140">
        <f t="shared" ref="EE775:FI775" si="1179">EE421*EE497/10^3</f>
        <v>0</v>
      </c>
      <c r="EF775" s="140">
        <f t="shared" si="1179"/>
        <v>765.60895405652082</v>
      </c>
      <c r="EG775" s="140">
        <f t="shared" si="1179"/>
        <v>765.60895405652082</v>
      </c>
      <c r="EH775" s="140">
        <f t="shared" si="1179"/>
        <v>765.60895405652082</v>
      </c>
      <c r="EI775" s="140">
        <f t="shared" si="1179"/>
        <v>765.60895405652082</v>
      </c>
      <c r="EJ775" s="140">
        <f t="shared" si="1179"/>
        <v>765.60895405652082</v>
      </c>
      <c r="EK775" s="140">
        <f t="shared" si="1179"/>
        <v>765.60895405652082</v>
      </c>
      <c r="EL775" s="140">
        <f t="shared" si="1179"/>
        <v>765.60895405652082</v>
      </c>
      <c r="EM775" s="140">
        <f t="shared" si="1179"/>
        <v>765.60895405652082</v>
      </c>
      <c r="EN775" s="140">
        <f t="shared" si="1179"/>
        <v>765.60895405652082</v>
      </c>
      <c r="EO775" s="140">
        <f t="shared" si="1179"/>
        <v>765.60895405652082</v>
      </c>
      <c r="EP775" s="140">
        <f t="shared" si="1179"/>
        <v>765.60895405652082</v>
      </c>
      <c r="EQ775" s="140">
        <f t="shared" si="1179"/>
        <v>765.60895405652082</v>
      </c>
      <c r="ER775" s="140">
        <f t="shared" si="1179"/>
        <v>765.60895405652082</v>
      </c>
      <c r="ES775" s="140">
        <f t="shared" si="1179"/>
        <v>765.60895405652082</v>
      </c>
      <c r="ET775" s="140">
        <f t="shared" si="1179"/>
        <v>765.60895405652082</v>
      </c>
      <c r="EU775" s="140">
        <f t="shared" si="1179"/>
        <v>765.60895405652082</v>
      </c>
      <c r="EV775" s="140">
        <f t="shared" si="1179"/>
        <v>765.60895405652082</v>
      </c>
      <c r="EW775" s="140">
        <f t="shared" si="1179"/>
        <v>765.60895405652082</v>
      </c>
      <c r="EX775" s="140">
        <f t="shared" si="1179"/>
        <v>765.60895405652082</v>
      </c>
      <c r="EY775" s="140">
        <f t="shared" si="1179"/>
        <v>765.60895405652082</v>
      </c>
      <c r="EZ775" s="140">
        <f t="shared" si="1179"/>
        <v>765.60895405652082</v>
      </c>
      <c r="FA775" s="140">
        <f t="shared" si="1179"/>
        <v>765.60895405652082</v>
      </c>
      <c r="FB775" s="140">
        <f t="shared" si="1179"/>
        <v>765.60895405652082</v>
      </c>
      <c r="FC775" s="140">
        <f t="shared" si="1179"/>
        <v>765.60895405652082</v>
      </c>
      <c r="FD775" s="140">
        <f t="shared" si="1179"/>
        <v>765.60895405652082</v>
      </c>
      <c r="FE775" s="140">
        <f t="shared" si="1179"/>
        <v>765.60895405652082</v>
      </c>
      <c r="FF775" s="140">
        <f t="shared" si="1179"/>
        <v>765.60895405652082</v>
      </c>
      <c r="FG775" s="140">
        <f t="shared" si="1179"/>
        <v>765.60895405652082</v>
      </c>
      <c r="FH775" s="140">
        <f t="shared" si="1179"/>
        <v>765.60895405652082</v>
      </c>
      <c r="FI775" s="141">
        <f t="shared" si="1179"/>
        <v>765.60895405652082</v>
      </c>
      <c r="FJ775" s="140"/>
      <c r="FK775" s="139"/>
      <c r="FL775" s="140"/>
      <c r="FM775" s="140"/>
      <c r="FN775" s="140"/>
      <c r="FO775" s="140"/>
      <c r="FP775" s="140">
        <f t="shared" ref="FP775:GT775" si="1180">FP421*FP497/10^3</f>
        <v>0</v>
      </c>
      <c r="FQ775" s="140">
        <f t="shared" si="1180"/>
        <v>903.06794988985439</v>
      </c>
      <c r="FR775" s="140">
        <f t="shared" si="1180"/>
        <v>903.06794988985439</v>
      </c>
      <c r="FS775" s="140">
        <f t="shared" si="1180"/>
        <v>903.06794988985439</v>
      </c>
      <c r="FT775" s="140">
        <f t="shared" si="1180"/>
        <v>903.06794988985439</v>
      </c>
      <c r="FU775" s="140">
        <f t="shared" si="1180"/>
        <v>903.06794988985439</v>
      </c>
      <c r="FV775" s="140">
        <f t="shared" si="1180"/>
        <v>903.06794988985439</v>
      </c>
      <c r="FW775" s="140">
        <f t="shared" si="1180"/>
        <v>903.06794988985439</v>
      </c>
      <c r="FX775" s="140">
        <f t="shared" si="1180"/>
        <v>903.06794988985439</v>
      </c>
      <c r="FY775" s="140">
        <f t="shared" si="1180"/>
        <v>903.06794988985439</v>
      </c>
      <c r="FZ775" s="140">
        <f t="shared" si="1180"/>
        <v>903.06794988985439</v>
      </c>
      <c r="GA775" s="140">
        <f t="shared" si="1180"/>
        <v>903.06794988985439</v>
      </c>
      <c r="GB775" s="140">
        <f t="shared" si="1180"/>
        <v>903.06794988985439</v>
      </c>
      <c r="GC775" s="140">
        <f t="shared" si="1180"/>
        <v>903.06794988985439</v>
      </c>
      <c r="GD775" s="140">
        <f t="shared" si="1180"/>
        <v>903.06794988985439</v>
      </c>
      <c r="GE775" s="140">
        <f t="shared" si="1180"/>
        <v>903.06794988985439</v>
      </c>
      <c r="GF775" s="140">
        <f t="shared" si="1180"/>
        <v>903.06794988985439</v>
      </c>
      <c r="GG775" s="140">
        <f t="shared" si="1180"/>
        <v>903.06794988985439</v>
      </c>
      <c r="GH775" s="140">
        <f t="shared" si="1180"/>
        <v>903.06794988985439</v>
      </c>
      <c r="GI775" s="140">
        <f t="shared" si="1180"/>
        <v>903.06794988985439</v>
      </c>
      <c r="GJ775" s="140">
        <f t="shared" si="1180"/>
        <v>903.06794988985439</v>
      </c>
      <c r="GK775" s="140">
        <f t="shared" si="1180"/>
        <v>903.06794988985439</v>
      </c>
      <c r="GL775" s="140">
        <f t="shared" si="1180"/>
        <v>903.06794988985439</v>
      </c>
      <c r="GM775" s="140">
        <f t="shared" si="1180"/>
        <v>903.06794988985439</v>
      </c>
      <c r="GN775" s="140">
        <f t="shared" si="1180"/>
        <v>903.06794988985439</v>
      </c>
      <c r="GO775" s="140">
        <f t="shared" si="1180"/>
        <v>903.06794988985439</v>
      </c>
      <c r="GP775" s="140">
        <f t="shared" si="1180"/>
        <v>903.06794988985439</v>
      </c>
      <c r="GQ775" s="140">
        <f t="shared" si="1180"/>
        <v>903.06794988985439</v>
      </c>
      <c r="GR775" s="140">
        <f t="shared" si="1180"/>
        <v>903.06794988985439</v>
      </c>
      <c r="GS775" s="140">
        <f t="shared" si="1180"/>
        <v>903.06794988985439</v>
      </c>
      <c r="GT775" s="141">
        <f t="shared" si="1180"/>
        <v>903.06794988985439</v>
      </c>
      <c r="GU775" s="140"/>
      <c r="GV775" s="139"/>
      <c r="GW775" s="140"/>
      <c r="GX775" s="140"/>
      <c r="GY775" s="140"/>
      <c r="GZ775" s="140"/>
      <c r="HA775" s="140">
        <f t="shared" ref="HA775:IE775" si="1181">HA421*HA497/10^3</f>
        <v>0</v>
      </c>
      <c r="HB775" s="140">
        <f t="shared" si="1181"/>
        <v>1236.926726858343</v>
      </c>
      <c r="HC775" s="140">
        <f t="shared" si="1181"/>
        <v>1236.926726858343</v>
      </c>
      <c r="HD775" s="140">
        <f t="shared" si="1181"/>
        <v>1236.926726858343</v>
      </c>
      <c r="HE775" s="140">
        <f t="shared" si="1181"/>
        <v>1236.926726858343</v>
      </c>
      <c r="HF775" s="140">
        <f t="shared" si="1181"/>
        <v>1236.926726858343</v>
      </c>
      <c r="HG775" s="140">
        <f t="shared" si="1181"/>
        <v>1236.926726858343</v>
      </c>
      <c r="HH775" s="140">
        <f t="shared" si="1181"/>
        <v>1236.926726858343</v>
      </c>
      <c r="HI775" s="140">
        <f t="shared" si="1181"/>
        <v>1236.926726858343</v>
      </c>
      <c r="HJ775" s="140">
        <f t="shared" si="1181"/>
        <v>1236.926726858343</v>
      </c>
      <c r="HK775" s="140">
        <f t="shared" si="1181"/>
        <v>1236.926726858343</v>
      </c>
      <c r="HL775" s="140">
        <f t="shared" si="1181"/>
        <v>1236.926726858343</v>
      </c>
      <c r="HM775" s="140">
        <f t="shared" si="1181"/>
        <v>1236.926726858343</v>
      </c>
      <c r="HN775" s="140">
        <f t="shared" si="1181"/>
        <v>1236.926726858343</v>
      </c>
      <c r="HO775" s="140">
        <f t="shared" si="1181"/>
        <v>1236.926726858343</v>
      </c>
      <c r="HP775" s="140">
        <f t="shared" si="1181"/>
        <v>1236.926726858343</v>
      </c>
      <c r="HQ775" s="140">
        <f t="shared" si="1181"/>
        <v>1236.926726858343</v>
      </c>
      <c r="HR775" s="140">
        <f t="shared" si="1181"/>
        <v>1236.926726858343</v>
      </c>
      <c r="HS775" s="140">
        <f t="shared" si="1181"/>
        <v>1236.926726858343</v>
      </c>
      <c r="HT775" s="140">
        <f t="shared" si="1181"/>
        <v>1236.926726858343</v>
      </c>
      <c r="HU775" s="140">
        <f t="shared" si="1181"/>
        <v>1236.926726858343</v>
      </c>
      <c r="HV775" s="140">
        <f t="shared" si="1181"/>
        <v>1236.926726858343</v>
      </c>
      <c r="HW775" s="140">
        <f t="shared" si="1181"/>
        <v>1236.926726858343</v>
      </c>
      <c r="HX775" s="140">
        <f t="shared" si="1181"/>
        <v>1236.926726858343</v>
      </c>
      <c r="HY775" s="140">
        <f t="shared" si="1181"/>
        <v>1236.926726858343</v>
      </c>
      <c r="HZ775" s="140">
        <f t="shared" si="1181"/>
        <v>1236.926726858343</v>
      </c>
      <c r="IA775" s="140">
        <f t="shared" si="1181"/>
        <v>1236.926726858343</v>
      </c>
      <c r="IB775" s="140">
        <f t="shared" si="1181"/>
        <v>1236.926726858343</v>
      </c>
      <c r="IC775" s="140">
        <f t="shared" si="1181"/>
        <v>1236.926726858343</v>
      </c>
      <c r="ID775" s="140">
        <f t="shared" si="1181"/>
        <v>1236.926726858343</v>
      </c>
      <c r="IE775" s="141">
        <f t="shared" si="1181"/>
        <v>1236.926726858343</v>
      </c>
      <c r="IF775" s="140"/>
      <c r="IG775" s="139"/>
      <c r="IH775" s="140"/>
      <c r="II775" s="140"/>
      <c r="IJ775" s="140"/>
      <c r="IK775" s="140"/>
      <c r="IL775" s="140"/>
      <c r="IM775" s="140"/>
      <c r="IN775" s="140"/>
      <c r="IO775" s="140"/>
      <c r="IP775" s="140"/>
      <c r="IQ775" s="140"/>
      <c r="IR775" s="140"/>
      <c r="IS775" s="140"/>
      <c r="IT775" s="140"/>
      <c r="IU775" s="140"/>
      <c r="IV775" s="140"/>
      <c r="IW775" s="140"/>
      <c r="IX775" s="140"/>
      <c r="IY775" s="140"/>
      <c r="IZ775" s="140"/>
      <c r="JA775" s="140"/>
      <c r="JB775" s="140"/>
      <c r="JC775" s="140"/>
      <c r="JD775" s="140"/>
      <c r="JE775" s="140"/>
      <c r="JF775" s="140"/>
      <c r="JG775" s="140"/>
      <c r="JH775" s="140"/>
      <c r="JI775" s="140"/>
      <c r="JJ775" s="140"/>
      <c r="JK775" s="140"/>
      <c r="JL775" s="140"/>
      <c r="JM775" s="140"/>
      <c r="JN775" s="140"/>
      <c r="JO775" s="140"/>
      <c r="JP775" s="141"/>
      <c r="JQ775" s="140"/>
      <c r="JR775" s="139"/>
      <c r="JS775" s="140"/>
      <c r="JT775" s="140"/>
      <c r="JU775" s="140"/>
      <c r="JV775" s="140"/>
      <c r="JW775" s="140"/>
      <c r="JX775" s="140"/>
      <c r="JY775" s="140"/>
      <c r="JZ775" s="140"/>
      <c r="KA775" s="140"/>
      <c r="KB775" s="140"/>
      <c r="KC775" s="140"/>
      <c r="KD775" s="140"/>
      <c r="KE775" s="140"/>
      <c r="KF775" s="140"/>
      <c r="KG775" s="140"/>
      <c r="KH775" s="140"/>
      <c r="KI775" s="140"/>
      <c r="KJ775" s="140"/>
      <c r="KK775" s="140"/>
      <c r="KL775" s="140"/>
      <c r="KM775" s="140"/>
      <c r="KN775" s="140"/>
      <c r="KO775" s="140"/>
      <c r="KP775" s="140"/>
      <c r="KQ775" s="140"/>
      <c r="KR775" s="140"/>
      <c r="KS775" s="140"/>
      <c r="KT775" s="140"/>
      <c r="KU775" s="140"/>
      <c r="KV775" s="140"/>
      <c r="KW775" s="140"/>
      <c r="KX775" s="140"/>
      <c r="KY775" s="140"/>
      <c r="KZ775" s="140"/>
      <c r="LA775" s="141"/>
      <c r="LB775" s="140"/>
      <c r="LC775" s="139"/>
      <c r="LD775" s="140"/>
      <c r="LE775" s="140"/>
      <c r="LF775" s="140"/>
      <c r="LG775" s="140"/>
      <c r="LH775" s="140"/>
      <c r="LI775" s="140"/>
      <c r="LJ775" s="140"/>
      <c r="LK775" s="140"/>
      <c r="LL775" s="140"/>
      <c r="LM775" s="140"/>
      <c r="LN775" s="140"/>
      <c r="LO775" s="140"/>
      <c r="LP775" s="140"/>
      <c r="LQ775" s="140"/>
      <c r="LR775" s="140"/>
      <c r="LS775" s="140"/>
      <c r="LT775" s="140"/>
      <c r="LU775" s="140"/>
      <c r="LV775" s="140"/>
      <c r="LW775" s="140"/>
      <c r="LX775" s="140"/>
      <c r="LY775" s="140"/>
      <c r="LZ775" s="140"/>
      <c r="MA775" s="140"/>
      <c r="MB775" s="140"/>
      <c r="MC775" s="140"/>
      <c r="MD775" s="140"/>
      <c r="ME775" s="140"/>
      <c r="MF775" s="140"/>
      <c r="MG775" s="140"/>
      <c r="MH775" s="140"/>
      <c r="MI775" s="140"/>
      <c r="MJ775" s="140"/>
      <c r="MK775" s="140"/>
      <c r="ML775" s="141"/>
    </row>
    <row r="776" spans="3:350" s="4" customFormat="1" ht="18" customHeight="1" x14ac:dyDescent="0.3">
      <c r="C776" s="136" t="s">
        <v>230</v>
      </c>
      <c r="E776" s="137" t="s">
        <v>105</v>
      </c>
      <c r="F776" s="186"/>
      <c r="H776" s="139">
        <f t="shared" ref="H776:M776" si="1182">H437*H498/10^3</f>
        <v>1445.5125</v>
      </c>
      <c r="I776" s="140">
        <f t="shared" si="1182"/>
        <v>1457.8110051080316</v>
      </c>
      <c r="J776" s="140">
        <f t="shared" si="1182"/>
        <v>1470.1095102160637</v>
      </c>
      <c r="K776" s="140">
        <f t="shared" si="1182"/>
        <v>1482.408015324095</v>
      </c>
      <c r="L776" s="140">
        <f t="shared" si="1182"/>
        <v>1494.706520432127</v>
      </c>
      <c r="M776" s="141">
        <f t="shared" si="1182"/>
        <v>1507.0050255401586</v>
      </c>
      <c r="N776" s="140"/>
      <c r="O776" s="140"/>
      <c r="P776" s="140"/>
      <c r="Q776" s="140"/>
      <c r="R776" s="140"/>
      <c r="S776" s="139"/>
      <c r="T776" s="140"/>
      <c r="U776" s="140"/>
      <c r="V776" s="140"/>
      <c r="W776" s="140"/>
      <c r="X776" s="140">
        <f t="shared" ref="X776:BB776" si="1183">X437*X498/10^3</f>
        <v>72.671774880725067</v>
      </c>
      <c r="Y776" s="140">
        <f t="shared" si="1183"/>
        <v>72.671774880725067</v>
      </c>
      <c r="Z776" s="140">
        <f t="shared" si="1183"/>
        <v>72.671774880725067</v>
      </c>
      <c r="AA776" s="140">
        <f t="shared" si="1183"/>
        <v>72.671774880725067</v>
      </c>
      <c r="AB776" s="140">
        <f t="shared" si="1183"/>
        <v>72.671774880725067</v>
      </c>
      <c r="AC776" s="140">
        <f t="shared" si="1183"/>
        <v>72.671774880725067</v>
      </c>
      <c r="AD776" s="140">
        <f t="shared" si="1183"/>
        <v>72.671774880725067</v>
      </c>
      <c r="AE776" s="140">
        <f t="shared" si="1183"/>
        <v>72.671774880725067</v>
      </c>
      <c r="AF776" s="140">
        <f t="shared" si="1183"/>
        <v>72.671774880725067</v>
      </c>
      <c r="AG776" s="140">
        <f t="shared" si="1183"/>
        <v>72.671774880725067</v>
      </c>
      <c r="AH776" s="140">
        <f t="shared" si="1183"/>
        <v>72.671774880725067</v>
      </c>
      <c r="AI776" s="140">
        <f t="shared" si="1183"/>
        <v>72.671774880725067</v>
      </c>
      <c r="AJ776" s="140">
        <f t="shared" si="1183"/>
        <v>72.671774880725067</v>
      </c>
      <c r="AK776" s="140">
        <f t="shared" si="1183"/>
        <v>72.671774880725067</v>
      </c>
      <c r="AL776" s="140">
        <f t="shared" si="1183"/>
        <v>72.671774880725067</v>
      </c>
      <c r="AM776" s="140">
        <f t="shared" si="1183"/>
        <v>72.671774880725067</v>
      </c>
      <c r="AN776" s="140">
        <f t="shared" si="1183"/>
        <v>72.671774880725067</v>
      </c>
      <c r="AO776" s="140">
        <f t="shared" si="1183"/>
        <v>72.671774880725067</v>
      </c>
      <c r="AP776" s="140">
        <f t="shared" si="1183"/>
        <v>72.671774880725067</v>
      </c>
      <c r="AQ776" s="140">
        <f t="shared" si="1183"/>
        <v>72.671774880725067</v>
      </c>
      <c r="AR776" s="140">
        <f t="shared" si="1183"/>
        <v>72.671774880725067</v>
      </c>
      <c r="AS776" s="140">
        <f t="shared" si="1183"/>
        <v>72.671774880725067</v>
      </c>
      <c r="AT776" s="140">
        <f t="shared" si="1183"/>
        <v>72.671774880725067</v>
      </c>
      <c r="AU776" s="140">
        <f t="shared" si="1183"/>
        <v>72.671774880725067</v>
      </c>
      <c r="AV776" s="140">
        <f t="shared" si="1183"/>
        <v>72.671774880725067</v>
      </c>
      <c r="AW776" s="140">
        <f t="shared" si="1183"/>
        <v>72.671774880725067</v>
      </c>
      <c r="AX776" s="140">
        <f t="shared" si="1183"/>
        <v>72.671774880725067</v>
      </c>
      <c r="AY776" s="140">
        <f t="shared" si="1183"/>
        <v>72.671774880725067</v>
      </c>
      <c r="AZ776" s="140">
        <f t="shared" si="1183"/>
        <v>72.671774880725067</v>
      </c>
      <c r="BA776" s="140">
        <f t="shared" si="1183"/>
        <v>72.671774880725067</v>
      </c>
      <c r="BB776" s="141">
        <f t="shared" si="1183"/>
        <v>72.671774880725067</v>
      </c>
      <c r="BC776" s="140"/>
      <c r="BD776" s="139"/>
      <c r="BE776" s="140"/>
      <c r="BF776" s="140"/>
      <c r="BG776" s="140"/>
      <c r="BH776" s="140"/>
      <c r="BI776" s="140">
        <f t="shared" ref="BI776:CM776" si="1184">BI437*BI498/10^3</f>
        <v>0</v>
      </c>
      <c r="BJ776" s="140">
        <f t="shared" si="1184"/>
        <v>565.35709997950732</v>
      </c>
      <c r="BK776" s="140">
        <f t="shared" si="1184"/>
        <v>565.35709997950732</v>
      </c>
      <c r="BL776" s="140">
        <f t="shared" si="1184"/>
        <v>565.35709997950732</v>
      </c>
      <c r="BM776" s="140">
        <f t="shared" si="1184"/>
        <v>565.35709997950732</v>
      </c>
      <c r="BN776" s="140">
        <f t="shared" si="1184"/>
        <v>565.35709997950732</v>
      </c>
      <c r="BO776" s="140">
        <f t="shared" si="1184"/>
        <v>565.35709997950732</v>
      </c>
      <c r="BP776" s="140">
        <f t="shared" si="1184"/>
        <v>565.35709997950732</v>
      </c>
      <c r="BQ776" s="140">
        <f t="shared" si="1184"/>
        <v>565.35709997950732</v>
      </c>
      <c r="BR776" s="140">
        <f t="shared" si="1184"/>
        <v>565.35709997950732</v>
      </c>
      <c r="BS776" s="140">
        <f t="shared" si="1184"/>
        <v>565.35709997950732</v>
      </c>
      <c r="BT776" s="140">
        <f t="shared" si="1184"/>
        <v>565.35709997950732</v>
      </c>
      <c r="BU776" s="140">
        <f t="shared" si="1184"/>
        <v>565.35709997950732</v>
      </c>
      <c r="BV776" s="140">
        <f t="shared" si="1184"/>
        <v>565.35709997950732</v>
      </c>
      <c r="BW776" s="140">
        <f t="shared" si="1184"/>
        <v>565.35709997950732</v>
      </c>
      <c r="BX776" s="140">
        <f t="shared" si="1184"/>
        <v>565.35709997950732</v>
      </c>
      <c r="BY776" s="140">
        <f t="shared" si="1184"/>
        <v>565.35709997950732</v>
      </c>
      <c r="BZ776" s="140">
        <f t="shared" si="1184"/>
        <v>565.35709997950732</v>
      </c>
      <c r="CA776" s="140">
        <f t="shared" si="1184"/>
        <v>565.35709997950732</v>
      </c>
      <c r="CB776" s="140">
        <f t="shared" si="1184"/>
        <v>565.35709997950732</v>
      </c>
      <c r="CC776" s="140">
        <f t="shared" si="1184"/>
        <v>565.35709997950732</v>
      </c>
      <c r="CD776" s="140">
        <f t="shared" si="1184"/>
        <v>565.35709997950732</v>
      </c>
      <c r="CE776" s="140">
        <f t="shared" si="1184"/>
        <v>565.35709997950732</v>
      </c>
      <c r="CF776" s="140">
        <f t="shared" si="1184"/>
        <v>565.35709997950732</v>
      </c>
      <c r="CG776" s="140">
        <f t="shared" si="1184"/>
        <v>565.35709997950732</v>
      </c>
      <c r="CH776" s="140">
        <f t="shared" si="1184"/>
        <v>565.35709997950732</v>
      </c>
      <c r="CI776" s="140">
        <f t="shared" si="1184"/>
        <v>565.35709997950732</v>
      </c>
      <c r="CJ776" s="140">
        <f t="shared" si="1184"/>
        <v>565.35709997950732</v>
      </c>
      <c r="CK776" s="140">
        <f t="shared" si="1184"/>
        <v>565.35709997950732</v>
      </c>
      <c r="CL776" s="140">
        <f t="shared" si="1184"/>
        <v>565.35709997950732</v>
      </c>
      <c r="CM776" s="141">
        <f t="shared" si="1184"/>
        <v>565.35709997950732</v>
      </c>
      <c r="CN776" s="140"/>
      <c r="CO776" s="139"/>
      <c r="CP776" s="140"/>
      <c r="CQ776" s="140"/>
      <c r="CR776" s="140"/>
      <c r="CS776" s="140"/>
      <c r="CT776" s="140">
        <f t="shared" ref="CT776:DX776" si="1185">CT437*CT498/10^3</f>
        <v>0</v>
      </c>
      <c r="CU776" s="140">
        <f t="shared" si="1185"/>
        <v>188.81287031679307</v>
      </c>
      <c r="CV776" s="140">
        <f t="shared" si="1185"/>
        <v>188.81287031679307</v>
      </c>
      <c r="CW776" s="140">
        <f t="shared" si="1185"/>
        <v>188.81287031679307</v>
      </c>
      <c r="CX776" s="140">
        <f t="shared" si="1185"/>
        <v>188.81287031679307</v>
      </c>
      <c r="CY776" s="140">
        <f t="shared" si="1185"/>
        <v>188.81287031679307</v>
      </c>
      <c r="CZ776" s="140">
        <f t="shared" si="1185"/>
        <v>188.81287031679307</v>
      </c>
      <c r="DA776" s="140">
        <f t="shared" si="1185"/>
        <v>188.81287031679307</v>
      </c>
      <c r="DB776" s="140">
        <f t="shared" si="1185"/>
        <v>188.81287031679307</v>
      </c>
      <c r="DC776" s="140">
        <f t="shared" si="1185"/>
        <v>188.81287031679307</v>
      </c>
      <c r="DD776" s="140">
        <f t="shared" si="1185"/>
        <v>188.81287031679307</v>
      </c>
      <c r="DE776" s="140">
        <f t="shared" si="1185"/>
        <v>188.81287031679307</v>
      </c>
      <c r="DF776" s="140">
        <f t="shared" si="1185"/>
        <v>188.81287031679307</v>
      </c>
      <c r="DG776" s="140">
        <f t="shared" si="1185"/>
        <v>188.81287031679307</v>
      </c>
      <c r="DH776" s="140">
        <f t="shared" si="1185"/>
        <v>188.81287031679307</v>
      </c>
      <c r="DI776" s="140">
        <f t="shared" si="1185"/>
        <v>188.81287031679307</v>
      </c>
      <c r="DJ776" s="140">
        <f t="shared" si="1185"/>
        <v>188.81287031679307</v>
      </c>
      <c r="DK776" s="140">
        <f t="shared" si="1185"/>
        <v>188.81287031679307</v>
      </c>
      <c r="DL776" s="140">
        <f t="shared" si="1185"/>
        <v>188.81287031679307</v>
      </c>
      <c r="DM776" s="140">
        <f t="shared" si="1185"/>
        <v>188.81287031679307</v>
      </c>
      <c r="DN776" s="140">
        <f t="shared" si="1185"/>
        <v>188.81287031679307</v>
      </c>
      <c r="DO776" s="140">
        <f t="shared" si="1185"/>
        <v>188.81287031679307</v>
      </c>
      <c r="DP776" s="140">
        <f t="shared" si="1185"/>
        <v>188.81287031679307</v>
      </c>
      <c r="DQ776" s="140">
        <f t="shared" si="1185"/>
        <v>188.81287031679307</v>
      </c>
      <c r="DR776" s="140">
        <f t="shared" si="1185"/>
        <v>188.81287031679307</v>
      </c>
      <c r="DS776" s="140">
        <f t="shared" si="1185"/>
        <v>188.81287031679307</v>
      </c>
      <c r="DT776" s="140">
        <f t="shared" si="1185"/>
        <v>188.81287031679307</v>
      </c>
      <c r="DU776" s="140">
        <f t="shared" si="1185"/>
        <v>188.81287031679307</v>
      </c>
      <c r="DV776" s="140">
        <f t="shared" si="1185"/>
        <v>188.81287031679307</v>
      </c>
      <c r="DW776" s="140">
        <f t="shared" si="1185"/>
        <v>188.81287031679307</v>
      </c>
      <c r="DX776" s="141">
        <f t="shared" si="1185"/>
        <v>188.81287031679307</v>
      </c>
      <c r="DY776" s="140"/>
      <c r="DZ776" s="139"/>
      <c r="EA776" s="140"/>
      <c r="EB776" s="140"/>
      <c r="EC776" s="140"/>
      <c r="ED776" s="140"/>
      <c r="EE776" s="140">
        <f t="shared" ref="EE776:FI776" si="1186">EE437*EE498/10^3</f>
        <v>0</v>
      </c>
      <c r="EF776" s="140">
        <f t="shared" si="1186"/>
        <v>271.48065335902464</v>
      </c>
      <c r="EG776" s="140">
        <f t="shared" si="1186"/>
        <v>271.48065335902464</v>
      </c>
      <c r="EH776" s="140">
        <f t="shared" si="1186"/>
        <v>271.48065335902464</v>
      </c>
      <c r="EI776" s="140">
        <f t="shared" si="1186"/>
        <v>271.48065335902464</v>
      </c>
      <c r="EJ776" s="140">
        <f t="shared" si="1186"/>
        <v>271.48065335902464</v>
      </c>
      <c r="EK776" s="140">
        <f t="shared" si="1186"/>
        <v>271.48065335902464</v>
      </c>
      <c r="EL776" s="140">
        <f t="shared" si="1186"/>
        <v>271.48065335902464</v>
      </c>
      <c r="EM776" s="140">
        <f t="shared" si="1186"/>
        <v>271.48065335902464</v>
      </c>
      <c r="EN776" s="140">
        <f t="shared" si="1186"/>
        <v>271.48065335902464</v>
      </c>
      <c r="EO776" s="140">
        <f t="shared" si="1186"/>
        <v>271.48065335902464</v>
      </c>
      <c r="EP776" s="140">
        <f t="shared" si="1186"/>
        <v>271.48065335902464</v>
      </c>
      <c r="EQ776" s="140">
        <f t="shared" si="1186"/>
        <v>271.48065335902464</v>
      </c>
      <c r="ER776" s="140">
        <f t="shared" si="1186"/>
        <v>271.48065335902464</v>
      </c>
      <c r="ES776" s="140">
        <f t="shared" si="1186"/>
        <v>271.48065335902464</v>
      </c>
      <c r="ET776" s="140">
        <f t="shared" si="1186"/>
        <v>271.48065335902464</v>
      </c>
      <c r="EU776" s="140">
        <f t="shared" si="1186"/>
        <v>271.48065335902464</v>
      </c>
      <c r="EV776" s="140">
        <f t="shared" si="1186"/>
        <v>271.48065335902464</v>
      </c>
      <c r="EW776" s="140">
        <f t="shared" si="1186"/>
        <v>271.48065335902464</v>
      </c>
      <c r="EX776" s="140">
        <f t="shared" si="1186"/>
        <v>271.48065335902464</v>
      </c>
      <c r="EY776" s="140">
        <f t="shared" si="1186"/>
        <v>271.48065335902464</v>
      </c>
      <c r="EZ776" s="140">
        <f t="shared" si="1186"/>
        <v>271.48065335902464</v>
      </c>
      <c r="FA776" s="140">
        <f t="shared" si="1186"/>
        <v>271.48065335902464</v>
      </c>
      <c r="FB776" s="140">
        <f t="shared" si="1186"/>
        <v>271.48065335902464</v>
      </c>
      <c r="FC776" s="140">
        <f t="shared" si="1186"/>
        <v>271.48065335902464</v>
      </c>
      <c r="FD776" s="140">
        <f t="shared" si="1186"/>
        <v>271.48065335902464</v>
      </c>
      <c r="FE776" s="140">
        <f t="shared" si="1186"/>
        <v>271.48065335902464</v>
      </c>
      <c r="FF776" s="140">
        <f t="shared" si="1186"/>
        <v>271.48065335902464</v>
      </c>
      <c r="FG776" s="140">
        <f t="shared" si="1186"/>
        <v>271.48065335902464</v>
      </c>
      <c r="FH776" s="140">
        <f t="shared" si="1186"/>
        <v>271.48065335902464</v>
      </c>
      <c r="FI776" s="141">
        <f t="shared" si="1186"/>
        <v>271.48065335902464</v>
      </c>
      <c r="FJ776" s="140"/>
      <c r="FK776" s="139"/>
      <c r="FL776" s="140"/>
      <c r="FM776" s="140"/>
      <c r="FN776" s="140"/>
      <c r="FO776" s="140"/>
      <c r="FP776" s="140">
        <f t="shared" ref="FP776:GT776" si="1187">FP437*FP498/10^3</f>
        <v>0</v>
      </c>
      <c r="FQ776" s="140">
        <f t="shared" si="1187"/>
        <v>323.46201510144891</v>
      </c>
      <c r="FR776" s="140">
        <f t="shared" si="1187"/>
        <v>323.46201510144891</v>
      </c>
      <c r="FS776" s="140">
        <f t="shared" si="1187"/>
        <v>323.46201510144891</v>
      </c>
      <c r="FT776" s="140">
        <f t="shared" si="1187"/>
        <v>323.46201510144891</v>
      </c>
      <c r="FU776" s="140">
        <f t="shared" si="1187"/>
        <v>323.46201510144891</v>
      </c>
      <c r="FV776" s="140">
        <f t="shared" si="1187"/>
        <v>323.46201510144891</v>
      </c>
      <c r="FW776" s="140">
        <f t="shared" si="1187"/>
        <v>323.46201510144891</v>
      </c>
      <c r="FX776" s="140">
        <f t="shared" si="1187"/>
        <v>323.46201510144891</v>
      </c>
      <c r="FY776" s="140">
        <f t="shared" si="1187"/>
        <v>323.46201510144891</v>
      </c>
      <c r="FZ776" s="140">
        <f t="shared" si="1187"/>
        <v>323.46201510144891</v>
      </c>
      <c r="GA776" s="140">
        <f t="shared" si="1187"/>
        <v>323.46201510144891</v>
      </c>
      <c r="GB776" s="140">
        <f t="shared" si="1187"/>
        <v>323.46201510144891</v>
      </c>
      <c r="GC776" s="140">
        <f t="shared" si="1187"/>
        <v>323.46201510144891</v>
      </c>
      <c r="GD776" s="140">
        <f t="shared" si="1187"/>
        <v>323.46201510144891</v>
      </c>
      <c r="GE776" s="140">
        <f t="shared" si="1187"/>
        <v>323.46201510144891</v>
      </c>
      <c r="GF776" s="140">
        <f t="shared" si="1187"/>
        <v>323.46201510144891</v>
      </c>
      <c r="GG776" s="140">
        <f t="shared" si="1187"/>
        <v>323.46201510144891</v>
      </c>
      <c r="GH776" s="140">
        <f t="shared" si="1187"/>
        <v>323.46201510144891</v>
      </c>
      <c r="GI776" s="140">
        <f t="shared" si="1187"/>
        <v>323.46201510144891</v>
      </c>
      <c r="GJ776" s="140">
        <f t="shared" si="1187"/>
        <v>323.46201510144891</v>
      </c>
      <c r="GK776" s="140">
        <f t="shared" si="1187"/>
        <v>323.46201510144891</v>
      </c>
      <c r="GL776" s="140">
        <f t="shared" si="1187"/>
        <v>323.46201510144891</v>
      </c>
      <c r="GM776" s="140">
        <f t="shared" si="1187"/>
        <v>323.46201510144891</v>
      </c>
      <c r="GN776" s="140">
        <f t="shared" si="1187"/>
        <v>323.46201510144891</v>
      </c>
      <c r="GO776" s="140">
        <f t="shared" si="1187"/>
        <v>323.46201510144891</v>
      </c>
      <c r="GP776" s="140">
        <f t="shared" si="1187"/>
        <v>323.46201510144891</v>
      </c>
      <c r="GQ776" s="140">
        <f t="shared" si="1187"/>
        <v>323.46201510144891</v>
      </c>
      <c r="GR776" s="140">
        <f t="shared" si="1187"/>
        <v>323.46201510144891</v>
      </c>
      <c r="GS776" s="140">
        <f t="shared" si="1187"/>
        <v>323.46201510144891</v>
      </c>
      <c r="GT776" s="141">
        <f t="shared" si="1187"/>
        <v>323.46201510144891</v>
      </c>
      <c r="GU776" s="140"/>
      <c r="GV776" s="139"/>
      <c r="GW776" s="140"/>
      <c r="GX776" s="140"/>
      <c r="GY776" s="140"/>
      <c r="GZ776" s="140"/>
      <c r="HA776" s="140">
        <f t="shared" ref="HA776:IE776" si="1188">HA437*HA498/10^3</f>
        <v>0</v>
      </c>
      <c r="HB776" s="140">
        <f t="shared" si="1188"/>
        <v>450.35217129924672</v>
      </c>
      <c r="HC776" s="140">
        <f t="shared" si="1188"/>
        <v>450.35217129924672</v>
      </c>
      <c r="HD776" s="140">
        <f t="shared" si="1188"/>
        <v>450.35217129924672</v>
      </c>
      <c r="HE776" s="140">
        <f t="shared" si="1188"/>
        <v>450.35217129924672</v>
      </c>
      <c r="HF776" s="140">
        <f t="shared" si="1188"/>
        <v>450.35217129924672</v>
      </c>
      <c r="HG776" s="140">
        <f t="shared" si="1188"/>
        <v>450.35217129924672</v>
      </c>
      <c r="HH776" s="140">
        <f t="shared" si="1188"/>
        <v>450.35217129924672</v>
      </c>
      <c r="HI776" s="140">
        <f t="shared" si="1188"/>
        <v>450.35217129924672</v>
      </c>
      <c r="HJ776" s="140">
        <f t="shared" si="1188"/>
        <v>450.35217129924672</v>
      </c>
      <c r="HK776" s="140">
        <f t="shared" si="1188"/>
        <v>450.35217129924672</v>
      </c>
      <c r="HL776" s="140">
        <f t="shared" si="1188"/>
        <v>450.35217129924672</v>
      </c>
      <c r="HM776" s="140">
        <f t="shared" si="1188"/>
        <v>450.35217129924672</v>
      </c>
      <c r="HN776" s="140">
        <f t="shared" si="1188"/>
        <v>450.35217129924672</v>
      </c>
      <c r="HO776" s="140">
        <f t="shared" si="1188"/>
        <v>450.35217129924672</v>
      </c>
      <c r="HP776" s="140">
        <f t="shared" si="1188"/>
        <v>450.35217129924672</v>
      </c>
      <c r="HQ776" s="140">
        <f t="shared" si="1188"/>
        <v>450.35217129924672</v>
      </c>
      <c r="HR776" s="140">
        <f t="shared" si="1188"/>
        <v>450.35217129924672</v>
      </c>
      <c r="HS776" s="140">
        <f t="shared" si="1188"/>
        <v>450.35217129924672</v>
      </c>
      <c r="HT776" s="140">
        <f t="shared" si="1188"/>
        <v>450.35217129924672</v>
      </c>
      <c r="HU776" s="140">
        <f t="shared" si="1188"/>
        <v>450.35217129924672</v>
      </c>
      <c r="HV776" s="140">
        <f t="shared" si="1188"/>
        <v>450.35217129924672</v>
      </c>
      <c r="HW776" s="140">
        <f t="shared" si="1188"/>
        <v>450.35217129924672</v>
      </c>
      <c r="HX776" s="140">
        <f t="shared" si="1188"/>
        <v>450.35217129924672</v>
      </c>
      <c r="HY776" s="140">
        <f t="shared" si="1188"/>
        <v>450.35217129924672</v>
      </c>
      <c r="HZ776" s="140">
        <f t="shared" si="1188"/>
        <v>450.35217129924672</v>
      </c>
      <c r="IA776" s="140">
        <f t="shared" si="1188"/>
        <v>450.35217129924672</v>
      </c>
      <c r="IB776" s="140">
        <f t="shared" si="1188"/>
        <v>450.35217129924672</v>
      </c>
      <c r="IC776" s="140">
        <f t="shared" si="1188"/>
        <v>450.35217129924672</v>
      </c>
      <c r="ID776" s="140">
        <f t="shared" si="1188"/>
        <v>450.35217129924672</v>
      </c>
      <c r="IE776" s="141">
        <f t="shared" si="1188"/>
        <v>450.35217129924672</v>
      </c>
      <c r="IF776" s="140"/>
      <c r="IG776" s="139"/>
      <c r="IH776" s="140"/>
      <c r="II776" s="140"/>
      <c r="IJ776" s="140"/>
      <c r="IK776" s="140"/>
      <c r="IL776" s="140"/>
      <c r="IM776" s="140"/>
      <c r="IN776" s="140"/>
      <c r="IO776" s="140"/>
      <c r="IP776" s="140"/>
      <c r="IQ776" s="140"/>
      <c r="IR776" s="140"/>
      <c r="IS776" s="140"/>
      <c r="IT776" s="140"/>
      <c r="IU776" s="140"/>
      <c r="IV776" s="140"/>
      <c r="IW776" s="140"/>
      <c r="IX776" s="140"/>
      <c r="IY776" s="140"/>
      <c r="IZ776" s="140"/>
      <c r="JA776" s="140"/>
      <c r="JB776" s="140"/>
      <c r="JC776" s="140"/>
      <c r="JD776" s="140"/>
      <c r="JE776" s="140"/>
      <c r="JF776" s="140"/>
      <c r="JG776" s="140"/>
      <c r="JH776" s="140"/>
      <c r="JI776" s="140"/>
      <c r="JJ776" s="140"/>
      <c r="JK776" s="140"/>
      <c r="JL776" s="140"/>
      <c r="JM776" s="140"/>
      <c r="JN776" s="140"/>
      <c r="JO776" s="140"/>
      <c r="JP776" s="141"/>
      <c r="JQ776" s="140"/>
      <c r="JR776" s="139"/>
      <c r="JS776" s="140"/>
      <c r="JT776" s="140"/>
      <c r="JU776" s="140"/>
      <c r="JV776" s="140"/>
      <c r="JW776" s="140"/>
      <c r="JX776" s="140"/>
      <c r="JY776" s="140"/>
      <c r="JZ776" s="140"/>
      <c r="KA776" s="140"/>
      <c r="KB776" s="140"/>
      <c r="KC776" s="140"/>
      <c r="KD776" s="140"/>
      <c r="KE776" s="140"/>
      <c r="KF776" s="140"/>
      <c r="KG776" s="140"/>
      <c r="KH776" s="140"/>
      <c r="KI776" s="140"/>
      <c r="KJ776" s="140"/>
      <c r="KK776" s="140"/>
      <c r="KL776" s="140"/>
      <c r="KM776" s="140"/>
      <c r="KN776" s="140"/>
      <c r="KO776" s="140"/>
      <c r="KP776" s="140"/>
      <c r="KQ776" s="140"/>
      <c r="KR776" s="140"/>
      <c r="KS776" s="140"/>
      <c r="KT776" s="140"/>
      <c r="KU776" s="140"/>
      <c r="KV776" s="140"/>
      <c r="KW776" s="140"/>
      <c r="KX776" s="140"/>
      <c r="KY776" s="140"/>
      <c r="KZ776" s="140"/>
      <c r="LA776" s="141"/>
      <c r="LB776" s="140"/>
      <c r="LC776" s="139"/>
      <c r="LD776" s="140"/>
      <c r="LE776" s="140"/>
      <c r="LF776" s="140"/>
      <c r="LG776" s="140"/>
      <c r="LH776" s="140"/>
      <c r="LI776" s="140"/>
      <c r="LJ776" s="140"/>
      <c r="LK776" s="140"/>
      <c r="LL776" s="140"/>
      <c r="LM776" s="140"/>
      <c r="LN776" s="140"/>
      <c r="LO776" s="140"/>
      <c r="LP776" s="140"/>
      <c r="LQ776" s="140"/>
      <c r="LR776" s="140"/>
      <c r="LS776" s="140"/>
      <c r="LT776" s="140"/>
      <c r="LU776" s="140"/>
      <c r="LV776" s="140"/>
      <c r="LW776" s="140"/>
      <c r="LX776" s="140"/>
      <c r="LY776" s="140"/>
      <c r="LZ776" s="140"/>
      <c r="MA776" s="140"/>
      <c r="MB776" s="140"/>
      <c r="MC776" s="140"/>
      <c r="MD776" s="140"/>
      <c r="ME776" s="140"/>
      <c r="MF776" s="140"/>
      <c r="MG776" s="140"/>
      <c r="MH776" s="140"/>
      <c r="MI776" s="140"/>
      <c r="MJ776" s="140"/>
      <c r="MK776" s="140"/>
      <c r="ML776" s="141"/>
    </row>
    <row r="777" spans="3:350" s="4" customFormat="1" ht="18" customHeight="1" x14ac:dyDescent="0.3">
      <c r="C777" s="148" t="s">
        <v>106</v>
      </c>
      <c r="D777" s="132"/>
      <c r="E777" s="149" t="s">
        <v>367</v>
      </c>
      <c r="F777" s="134"/>
      <c r="H777" s="180">
        <f t="shared" ref="H777:M777" si="1189">SUM(H774:H776)</f>
        <v>4933.8371416424261</v>
      </c>
      <c r="I777" s="181">
        <f t="shared" si="1189"/>
        <v>4841.1030883169242</v>
      </c>
      <c r="J777" s="181">
        <f t="shared" si="1189"/>
        <v>4821.8771226458239</v>
      </c>
      <c r="K777" s="181">
        <f t="shared" si="1189"/>
        <v>4810.5688669117908</v>
      </c>
      <c r="L777" s="181">
        <f t="shared" si="1189"/>
        <v>4855.6269760295327</v>
      </c>
      <c r="M777" s="182">
        <f t="shared" si="1189"/>
        <v>4907.6842420164667</v>
      </c>
      <c r="N777" s="140"/>
      <c r="O777" s="140"/>
      <c r="P777" s="140"/>
      <c r="Q777" s="140"/>
      <c r="R777" s="140"/>
      <c r="S777" s="180"/>
      <c r="T777" s="181"/>
      <c r="U777" s="181"/>
      <c r="V777" s="181"/>
      <c r="W777" s="181"/>
      <c r="X777" s="181">
        <f t="shared" ref="X777:BB777" si="1190">SUM(X774:X776)</f>
        <v>11175.645050860463</v>
      </c>
      <c r="Y777" s="181">
        <f t="shared" si="1190"/>
        <v>11418.824947999177</v>
      </c>
      <c r="Z777" s="181">
        <f t="shared" si="1190"/>
        <v>11418.824947999177</v>
      </c>
      <c r="AA777" s="181">
        <f t="shared" si="1190"/>
        <v>11418.824947999179</v>
      </c>
      <c r="AB777" s="181">
        <f t="shared" si="1190"/>
        <v>11418.824947999174</v>
      </c>
      <c r="AC777" s="181">
        <f t="shared" si="1190"/>
        <v>11418.824947999174</v>
      </c>
      <c r="AD777" s="181">
        <f t="shared" si="1190"/>
        <v>11418.824947999185</v>
      </c>
      <c r="AE777" s="181">
        <f t="shared" si="1190"/>
        <v>11418.824947999161</v>
      </c>
      <c r="AF777" s="181">
        <f t="shared" si="1190"/>
        <v>11418.824947999185</v>
      </c>
      <c r="AG777" s="181">
        <f t="shared" si="1190"/>
        <v>11418.824947999161</v>
      </c>
      <c r="AH777" s="181">
        <f>SUM(AH774:AH776)</f>
        <v>11418.824947999185</v>
      </c>
      <c r="AI777" s="181">
        <f t="shared" si="1190"/>
        <v>11418.824947999161</v>
      </c>
      <c r="AJ777" s="181">
        <f t="shared" si="1190"/>
        <v>11418.82494799921</v>
      </c>
      <c r="AK777" s="181">
        <f t="shared" si="1190"/>
        <v>11418.824947999161</v>
      </c>
      <c r="AL777" s="181">
        <f t="shared" si="1190"/>
        <v>11418.824947999161</v>
      </c>
      <c r="AM777" s="181">
        <f t="shared" si="1190"/>
        <v>11418.82494799921</v>
      </c>
      <c r="AN777" s="181">
        <f t="shared" si="1190"/>
        <v>11418.824947999137</v>
      </c>
      <c r="AO777" s="181">
        <f t="shared" si="1190"/>
        <v>11418.82494799921</v>
      </c>
      <c r="AP777" s="181">
        <f t="shared" si="1190"/>
        <v>11418.824947999161</v>
      </c>
      <c r="AQ777" s="181">
        <f t="shared" si="1190"/>
        <v>11418.824947999161</v>
      </c>
      <c r="AR777" s="181">
        <f>SUM(AR774:AR776)</f>
        <v>11418.82494799921</v>
      </c>
      <c r="AS777" s="181">
        <f t="shared" si="1190"/>
        <v>11418.82494799921</v>
      </c>
      <c r="AT777" s="181">
        <f t="shared" si="1190"/>
        <v>11418.824947999161</v>
      </c>
      <c r="AU777" s="181">
        <f t="shared" si="1190"/>
        <v>11418.824947999161</v>
      </c>
      <c r="AV777" s="181">
        <f t="shared" si="1190"/>
        <v>11418.824947999161</v>
      </c>
      <c r="AW777" s="181">
        <f t="shared" si="1190"/>
        <v>11418.82494799921</v>
      </c>
      <c r="AX777" s="181">
        <f t="shared" si="1190"/>
        <v>11418.824947999112</v>
      </c>
      <c r="AY777" s="181">
        <f t="shared" si="1190"/>
        <v>11418.824947999161</v>
      </c>
      <c r="AZ777" s="181">
        <f t="shared" si="1190"/>
        <v>11418.82494799921</v>
      </c>
      <c r="BA777" s="181">
        <f t="shared" si="1190"/>
        <v>11418.82494799921</v>
      </c>
      <c r="BB777" s="182">
        <f t="shared" si="1190"/>
        <v>11418.824947999161</v>
      </c>
      <c r="BC777" s="140"/>
      <c r="BD777" s="180"/>
      <c r="BE777" s="181"/>
      <c r="BF777" s="181"/>
      <c r="BG777" s="181"/>
      <c r="BH777" s="181"/>
      <c r="BI777" s="181">
        <f t="shared" ref="BI777:CM777" si="1191">SUM(BI774:BI776)</f>
        <v>0</v>
      </c>
      <c r="BJ777" s="181">
        <f t="shared" si="1191"/>
        <v>8401.1761948143176</v>
      </c>
      <c r="BK777" s="181">
        <f t="shared" si="1191"/>
        <v>8401.1761948143176</v>
      </c>
      <c r="BL777" s="181">
        <f t="shared" si="1191"/>
        <v>8401.1761948143176</v>
      </c>
      <c r="BM777" s="181">
        <f t="shared" si="1191"/>
        <v>8401.1761948143176</v>
      </c>
      <c r="BN777" s="181">
        <f t="shared" si="1191"/>
        <v>8401.1761948143176</v>
      </c>
      <c r="BO777" s="181">
        <f t="shared" si="1191"/>
        <v>8401.1761948143157</v>
      </c>
      <c r="BP777" s="181">
        <f t="shared" si="1191"/>
        <v>8401.1761948143176</v>
      </c>
      <c r="BQ777" s="181">
        <f t="shared" si="1191"/>
        <v>8401.1761948143176</v>
      </c>
      <c r="BR777" s="181">
        <f t="shared" si="1191"/>
        <v>8401.1761948143157</v>
      </c>
      <c r="BS777" s="181">
        <f>SUM(BS774:BS776)</f>
        <v>8401.1761948143176</v>
      </c>
      <c r="BT777" s="181">
        <f t="shared" si="1191"/>
        <v>8401.1761948143176</v>
      </c>
      <c r="BU777" s="181">
        <f t="shared" si="1191"/>
        <v>8401.1761948143157</v>
      </c>
      <c r="BV777" s="181">
        <f t="shared" si="1191"/>
        <v>8401.1761948143176</v>
      </c>
      <c r="BW777" s="181">
        <f t="shared" si="1191"/>
        <v>8401.1761948143194</v>
      </c>
      <c r="BX777" s="181">
        <f t="shared" si="1191"/>
        <v>8401.1761948143212</v>
      </c>
      <c r="BY777" s="181">
        <f t="shared" si="1191"/>
        <v>8401.1761948143157</v>
      </c>
      <c r="BZ777" s="181">
        <f t="shared" si="1191"/>
        <v>8401.1761948143157</v>
      </c>
      <c r="CA777" s="181">
        <f t="shared" si="1191"/>
        <v>8401.1761948143176</v>
      </c>
      <c r="CB777" s="181">
        <f t="shared" si="1191"/>
        <v>8401.1761948143212</v>
      </c>
      <c r="CC777" s="181">
        <f t="shared" si="1191"/>
        <v>8401.1761948143176</v>
      </c>
      <c r="CD777" s="181">
        <f t="shared" si="1191"/>
        <v>8401.1761948143194</v>
      </c>
      <c r="CE777" s="181">
        <f t="shared" si="1191"/>
        <v>8401.1761948143157</v>
      </c>
      <c r="CF777" s="181">
        <f t="shared" si="1191"/>
        <v>8401.1761948143139</v>
      </c>
      <c r="CG777" s="181">
        <f t="shared" si="1191"/>
        <v>8401.1761948143194</v>
      </c>
      <c r="CH777" s="181">
        <f t="shared" si="1191"/>
        <v>8401.1761948143139</v>
      </c>
      <c r="CI777" s="181">
        <f t="shared" si="1191"/>
        <v>8401.1761948143212</v>
      </c>
      <c r="CJ777" s="181">
        <f t="shared" si="1191"/>
        <v>8401.176194814323</v>
      </c>
      <c r="CK777" s="181">
        <f t="shared" si="1191"/>
        <v>8401.1761948143176</v>
      </c>
      <c r="CL777" s="181">
        <f t="shared" si="1191"/>
        <v>8401.1761948143157</v>
      </c>
      <c r="CM777" s="182">
        <f t="shared" si="1191"/>
        <v>8401.1761948143248</v>
      </c>
      <c r="CN777" s="140"/>
      <c r="CO777" s="180"/>
      <c r="CP777" s="181"/>
      <c r="CQ777" s="181"/>
      <c r="CR777" s="181"/>
      <c r="CS777" s="181"/>
      <c r="CT777" s="181">
        <f t="shared" ref="CT777:DX777" si="1192">SUM(CT774:CT776)</f>
        <v>0</v>
      </c>
      <c r="CU777" s="181">
        <f t="shared" si="1192"/>
        <v>8671.9548504639661</v>
      </c>
      <c r="CV777" s="181">
        <f t="shared" si="1192"/>
        <v>8671.9548504639661</v>
      </c>
      <c r="CW777" s="181">
        <f t="shared" si="1192"/>
        <v>8671.9548504639661</v>
      </c>
      <c r="CX777" s="181">
        <f t="shared" si="1192"/>
        <v>8671.9548504639661</v>
      </c>
      <c r="CY777" s="181">
        <f t="shared" si="1192"/>
        <v>8671.9548504639642</v>
      </c>
      <c r="CZ777" s="181">
        <f t="shared" si="1192"/>
        <v>8671.9548504639679</v>
      </c>
      <c r="DA777" s="181">
        <f t="shared" si="1192"/>
        <v>8671.9548504639661</v>
      </c>
      <c r="DB777" s="181">
        <f t="shared" si="1192"/>
        <v>8671.9548504639661</v>
      </c>
      <c r="DC777" s="181">
        <f t="shared" si="1192"/>
        <v>8671.9548504639661</v>
      </c>
      <c r="DD777" s="181">
        <f t="shared" si="1192"/>
        <v>8671.9548504639624</v>
      </c>
      <c r="DE777" s="181">
        <f t="shared" si="1192"/>
        <v>8671.9548504639697</v>
      </c>
      <c r="DF777" s="181">
        <f t="shared" si="1192"/>
        <v>8671.9548504639642</v>
      </c>
      <c r="DG777" s="181">
        <f t="shared" si="1192"/>
        <v>8671.9548504639661</v>
      </c>
      <c r="DH777" s="181">
        <f t="shared" si="1192"/>
        <v>8671.9548504639642</v>
      </c>
      <c r="DI777" s="181">
        <f t="shared" si="1192"/>
        <v>8671.9548504639642</v>
      </c>
      <c r="DJ777" s="181">
        <f t="shared" si="1192"/>
        <v>8671.9548504639697</v>
      </c>
      <c r="DK777" s="181">
        <f t="shared" si="1192"/>
        <v>8671.9548504639661</v>
      </c>
      <c r="DL777" s="181">
        <f t="shared" si="1192"/>
        <v>8671.9548504639642</v>
      </c>
      <c r="DM777" s="181">
        <f t="shared" si="1192"/>
        <v>8671.9548504639606</v>
      </c>
      <c r="DN777" s="181">
        <f t="shared" si="1192"/>
        <v>8671.9548504639661</v>
      </c>
      <c r="DO777" s="181">
        <f t="shared" si="1192"/>
        <v>8671.9548504639679</v>
      </c>
      <c r="DP777" s="181">
        <f t="shared" si="1192"/>
        <v>8671.9548504639733</v>
      </c>
      <c r="DQ777" s="181">
        <f t="shared" si="1192"/>
        <v>8671.954850463957</v>
      </c>
      <c r="DR777" s="181">
        <f t="shared" si="1192"/>
        <v>8671.9548504639715</v>
      </c>
      <c r="DS777" s="181">
        <f t="shared" si="1192"/>
        <v>8671.9548504639661</v>
      </c>
      <c r="DT777" s="181">
        <f t="shared" si="1192"/>
        <v>8671.9548504639661</v>
      </c>
      <c r="DU777" s="181">
        <f t="shared" si="1192"/>
        <v>8671.9548504639624</v>
      </c>
      <c r="DV777" s="181">
        <f t="shared" si="1192"/>
        <v>8671.9548504639715</v>
      </c>
      <c r="DW777" s="181">
        <f t="shared" si="1192"/>
        <v>8671.9548504639715</v>
      </c>
      <c r="DX777" s="182">
        <f t="shared" si="1192"/>
        <v>8671.9548504639588</v>
      </c>
      <c r="DY777" s="140"/>
      <c r="DZ777" s="180"/>
      <c r="EA777" s="181"/>
      <c r="EB777" s="181"/>
      <c r="EC777" s="181"/>
      <c r="ED777" s="181"/>
      <c r="EE777" s="181">
        <f t="shared" ref="EE777:FI777" si="1193">SUM(EE774:EE776)</f>
        <v>0</v>
      </c>
      <c r="EF777" s="181">
        <f t="shared" si="1193"/>
        <v>8013.6179934781285</v>
      </c>
      <c r="EG777" s="181">
        <f t="shared" si="1193"/>
        <v>8013.6179934781285</v>
      </c>
      <c r="EH777" s="181">
        <f t="shared" si="1193"/>
        <v>8013.6179934781276</v>
      </c>
      <c r="EI777" s="181">
        <f t="shared" si="1193"/>
        <v>8013.6179934781285</v>
      </c>
      <c r="EJ777" s="181">
        <f t="shared" si="1193"/>
        <v>8013.6179934781276</v>
      </c>
      <c r="EK777" s="181">
        <f t="shared" si="1193"/>
        <v>8013.6179934781294</v>
      </c>
      <c r="EL777" s="181">
        <f t="shared" si="1193"/>
        <v>8013.6179934781276</v>
      </c>
      <c r="EM777" s="181">
        <f t="shared" si="1193"/>
        <v>8013.6179934781339</v>
      </c>
      <c r="EN777" s="181">
        <f t="shared" si="1193"/>
        <v>8013.6179934781258</v>
      </c>
      <c r="EO777" s="181">
        <f t="shared" si="1193"/>
        <v>8013.6179934781294</v>
      </c>
      <c r="EP777" s="181">
        <f t="shared" si="1193"/>
        <v>8013.6179934781312</v>
      </c>
      <c r="EQ777" s="181">
        <f t="shared" si="1193"/>
        <v>8013.6179934781239</v>
      </c>
      <c r="ER777" s="181">
        <f t="shared" si="1193"/>
        <v>8013.6179934781285</v>
      </c>
      <c r="ES777" s="181">
        <f t="shared" si="1193"/>
        <v>8013.6179934781258</v>
      </c>
      <c r="ET777" s="181">
        <f t="shared" si="1193"/>
        <v>8013.6179934781312</v>
      </c>
      <c r="EU777" s="181">
        <f t="shared" si="1193"/>
        <v>8013.6179934781339</v>
      </c>
      <c r="EV777" s="181">
        <f t="shared" si="1193"/>
        <v>8013.6179934781267</v>
      </c>
      <c r="EW777" s="181">
        <f t="shared" si="1193"/>
        <v>8013.6179934781258</v>
      </c>
      <c r="EX777" s="181">
        <f t="shared" si="1193"/>
        <v>8013.6179934781339</v>
      </c>
      <c r="EY777" s="181">
        <f t="shared" si="1193"/>
        <v>8013.6179934781267</v>
      </c>
      <c r="EZ777" s="181">
        <f t="shared" si="1193"/>
        <v>8013.6179934781212</v>
      </c>
      <c r="FA777" s="181">
        <f t="shared" si="1193"/>
        <v>8013.617993478143</v>
      </c>
      <c r="FB777" s="181">
        <f t="shared" si="1193"/>
        <v>8013.6179934781276</v>
      </c>
      <c r="FC777" s="181">
        <f t="shared" si="1193"/>
        <v>8013.617993478123</v>
      </c>
      <c r="FD777" s="181">
        <f t="shared" si="1193"/>
        <v>8013.6179934781303</v>
      </c>
      <c r="FE777" s="181">
        <f t="shared" si="1193"/>
        <v>8013.6179934781276</v>
      </c>
      <c r="FF777" s="181">
        <f t="shared" si="1193"/>
        <v>8013.6179934781403</v>
      </c>
      <c r="FG777" s="181">
        <f t="shared" si="1193"/>
        <v>8013.6179934781112</v>
      </c>
      <c r="FH777" s="181">
        <f t="shared" si="1193"/>
        <v>8013.6179934781403</v>
      </c>
      <c r="FI777" s="182">
        <f t="shared" si="1193"/>
        <v>8013.6179934781239</v>
      </c>
      <c r="FJ777" s="140"/>
      <c r="FK777" s="180"/>
      <c r="FL777" s="181"/>
      <c r="FM777" s="181"/>
      <c r="FN777" s="181"/>
      <c r="FO777" s="181"/>
      <c r="FP777" s="181">
        <f t="shared" ref="FP777:GT777" si="1194">SUM(FP774:FP776)</f>
        <v>0</v>
      </c>
      <c r="FQ777" s="181">
        <f t="shared" si="1194"/>
        <v>9561.0966468796432</v>
      </c>
      <c r="FR777" s="181">
        <f t="shared" si="1194"/>
        <v>9561.0966468796432</v>
      </c>
      <c r="FS777" s="181">
        <f t="shared" si="1194"/>
        <v>9561.0966468796432</v>
      </c>
      <c r="FT777" s="181">
        <f t="shared" si="1194"/>
        <v>9561.0966468796432</v>
      </c>
      <c r="FU777" s="181">
        <f t="shared" si="1194"/>
        <v>9561.0966468796432</v>
      </c>
      <c r="FV777" s="181">
        <f t="shared" si="1194"/>
        <v>9561.0966468796432</v>
      </c>
      <c r="FW777" s="181">
        <f t="shared" si="1194"/>
        <v>9561.0966468796432</v>
      </c>
      <c r="FX777" s="181">
        <f t="shared" si="1194"/>
        <v>9561.0966468796469</v>
      </c>
      <c r="FY777" s="181">
        <f t="shared" si="1194"/>
        <v>9561.0966468796432</v>
      </c>
      <c r="FZ777" s="181">
        <f t="shared" si="1194"/>
        <v>9561.0966468796469</v>
      </c>
      <c r="GA777" s="181">
        <f t="shared" si="1194"/>
        <v>9561.0966468796469</v>
      </c>
      <c r="GB777" s="181">
        <f t="shared" si="1194"/>
        <v>9561.0966468796396</v>
      </c>
      <c r="GC777" s="181">
        <f t="shared" si="1194"/>
        <v>9561.0966468796432</v>
      </c>
      <c r="GD777" s="181">
        <f t="shared" si="1194"/>
        <v>9561.0966468796469</v>
      </c>
      <c r="GE777" s="181">
        <f t="shared" si="1194"/>
        <v>9561.0966468796505</v>
      </c>
      <c r="GF777" s="181">
        <f t="shared" si="1194"/>
        <v>9561.0966468796432</v>
      </c>
      <c r="GG777" s="181">
        <f t="shared" si="1194"/>
        <v>9561.0966468796432</v>
      </c>
      <c r="GH777" s="181">
        <f t="shared" si="1194"/>
        <v>9561.0966468796432</v>
      </c>
      <c r="GI777" s="181">
        <f t="shared" si="1194"/>
        <v>9561.0966468796541</v>
      </c>
      <c r="GJ777" s="181">
        <f t="shared" si="1194"/>
        <v>9561.0966468796396</v>
      </c>
      <c r="GK777" s="181">
        <f t="shared" si="1194"/>
        <v>9561.0966468796396</v>
      </c>
      <c r="GL777" s="181">
        <f t="shared" si="1194"/>
        <v>9561.0966468796505</v>
      </c>
      <c r="GM777" s="181">
        <f t="shared" si="1194"/>
        <v>9561.0966468796541</v>
      </c>
      <c r="GN777" s="181">
        <f t="shared" si="1194"/>
        <v>9561.0966468796287</v>
      </c>
      <c r="GO777" s="181">
        <f t="shared" si="1194"/>
        <v>9561.0966468796541</v>
      </c>
      <c r="GP777" s="181">
        <f t="shared" si="1194"/>
        <v>9561.0966468796323</v>
      </c>
      <c r="GQ777" s="181">
        <f t="shared" si="1194"/>
        <v>9561.0966468796614</v>
      </c>
      <c r="GR777" s="181">
        <f t="shared" si="1194"/>
        <v>9561.0966468796323</v>
      </c>
      <c r="GS777" s="181">
        <f t="shared" si="1194"/>
        <v>9561.0966468796541</v>
      </c>
      <c r="GT777" s="182">
        <f t="shared" si="1194"/>
        <v>9561.0966468796432</v>
      </c>
      <c r="GU777" s="140"/>
      <c r="GV777" s="180"/>
      <c r="GW777" s="181"/>
      <c r="GX777" s="181"/>
      <c r="GY777" s="181"/>
      <c r="GZ777" s="181"/>
      <c r="HA777" s="181">
        <f t="shared" ref="HA777:IE777" si="1195">SUM(HA774:HA776)</f>
        <v>0</v>
      </c>
      <c r="HB777" s="181">
        <f t="shared" si="1195"/>
        <v>9186.5698463483968</v>
      </c>
      <c r="HC777" s="181">
        <f t="shared" si="1195"/>
        <v>9186.5698463483968</v>
      </c>
      <c r="HD777" s="181">
        <f t="shared" si="1195"/>
        <v>9186.5698463483986</v>
      </c>
      <c r="HE777" s="181">
        <f t="shared" si="1195"/>
        <v>9186.569846348395</v>
      </c>
      <c r="HF777" s="181">
        <f t="shared" si="1195"/>
        <v>9186.5698463483986</v>
      </c>
      <c r="HG777" s="181">
        <f t="shared" si="1195"/>
        <v>9186.5698463483986</v>
      </c>
      <c r="HH777" s="181">
        <f t="shared" si="1195"/>
        <v>9186.5698463483968</v>
      </c>
      <c r="HI777" s="181">
        <f t="shared" si="1195"/>
        <v>9186.5698463483932</v>
      </c>
      <c r="HJ777" s="181">
        <f t="shared" si="1195"/>
        <v>9186.5698463483986</v>
      </c>
      <c r="HK777" s="181">
        <f t="shared" si="1195"/>
        <v>9186.5698463483968</v>
      </c>
      <c r="HL777" s="181">
        <f t="shared" si="1195"/>
        <v>9186.5698463484023</v>
      </c>
      <c r="HM777" s="181">
        <f t="shared" si="1195"/>
        <v>9186.569846348395</v>
      </c>
      <c r="HN777" s="181">
        <f t="shared" si="1195"/>
        <v>9186.569846348395</v>
      </c>
      <c r="HO777" s="181">
        <f t="shared" si="1195"/>
        <v>9186.5698463483986</v>
      </c>
      <c r="HP777" s="181">
        <f t="shared" si="1195"/>
        <v>9186.5698463483986</v>
      </c>
      <c r="HQ777" s="181">
        <f t="shared" si="1195"/>
        <v>9186.5698463483895</v>
      </c>
      <c r="HR777" s="181">
        <f t="shared" si="1195"/>
        <v>9186.5698463484077</v>
      </c>
      <c r="HS777" s="181">
        <f t="shared" si="1195"/>
        <v>9186.5698463483895</v>
      </c>
      <c r="HT777" s="181">
        <f t="shared" si="1195"/>
        <v>9186.569846348395</v>
      </c>
      <c r="HU777" s="181">
        <f t="shared" si="1195"/>
        <v>9186.5698463483986</v>
      </c>
      <c r="HV777" s="181">
        <f t="shared" si="1195"/>
        <v>9186.5698463483968</v>
      </c>
      <c r="HW777" s="181">
        <f t="shared" si="1195"/>
        <v>9186.5698463484059</v>
      </c>
      <c r="HX777" s="181">
        <f t="shared" si="1195"/>
        <v>9186.5698463483841</v>
      </c>
      <c r="HY777" s="181">
        <f t="shared" si="1195"/>
        <v>9186.5698463484059</v>
      </c>
      <c r="HZ777" s="181">
        <f t="shared" si="1195"/>
        <v>9186.5698463483877</v>
      </c>
      <c r="IA777" s="181">
        <f t="shared" si="1195"/>
        <v>9186.5698463484005</v>
      </c>
      <c r="IB777" s="181">
        <f t="shared" si="1195"/>
        <v>9186.5698463484077</v>
      </c>
      <c r="IC777" s="181">
        <f t="shared" si="1195"/>
        <v>9186.5698463483877</v>
      </c>
      <c r="ID777" s="181">
        <f t="shared" si="1195"/>
        <v>9186.5698463484005</v>
      </c>
      <c r="IE777" s="182">
        <f t="shared" si="1195"/>
        <v>9186.5698463483986</v>
      </c>
      <c r="IF777" s="140"/>
      <c r="IG777" s="180"/>
      <c r="IH777" s="181"/>
      <c r="II777" s="181"/>
      <c r="IJ777" s="181"/>
      <c r="IK777" s="181"/>
      <c r="IL777" s="181"/>
      <c r="IM777" s="181"/>
      <c r="IN777" s="181"/>
      <c r="IO777" s="181"/>
      <c r="IP777" s="181">
        <f>IV670</f>
        <v>12847.361225753939</v>
      </c>
      <c r="IQ777" s="181">
        <f>IV670</f>
        <v>12847.361225753939</v>
      </c>
      <c r="IR777" s="181">
        <f>IV670</f>
        <v>12847.361225753939</v>
      </c>
      <c r="IS777" s="181">
        <f>IV670</f>
        <v>12847.361225753939</v>
      </c>
      <c r="IT777" s="181">
        <f>IV670</f>
        <v>12847.361225753939</v>
      </c>
      <c r="IU777" s="181">
        <f>IV670</f>
        <v>12847.361225753939</v>
      </c>
      <c r="IV777" s="181">
        <f>IV670</f>
        <v>12847.361225753939</v>
      </c>
      <c r="IW777" s="181">
        <f>JP670</f>
        <v>2720.3171195773293</v>
      </c>
      <c r="IX777" s="181">
        <f>JP670</f>
        <v>2720.3171195773293</v>
      </c>
      <c r="IY777" s="181">
        <f>JP670</f>
        <v>2720.3171195773293</v>
      </c>
      <c r="IZ777" s="181">
        <f>JP670</f>
        <v>2720.3171195773293</v>
      </c>
      <c r="JA777" s="181">
        <f>JP670</f>
        <v>2720.3171195773293</v>
      </c>
      <c r="JB777" s="181">
        <f>JP670</f>
        <v>2720.3171195773293</v>
      </c>
      <c r="JC777" s="181">
        <f>JP670</f>
        <v>2720.3171195773293</v>
      </c>
      <c r="JD777" s="181">
        <f>JP670</f>
        <v>2720.3171195773293</v>
      </c>
      <c r="JE777" s="181">
        <f>JP670</f>
        <v>2720.3171195773293</v>
      </c>
      <c r="JF777" s="181">
        <f>JP670</f>
        <v>2720.3171195773293</v>
      </c>
      <c r="JG777" s="181">
        <f>JP670</f>
        <v>2720.3171195773293</v>
      </c>
      <c r="JH777" s="181">
        <f>JP670</f>
        <v>2720.3171195773293</v>
      </c>
      <c r="JI777" s="181">
        <f>JP670</f>
        <v>2720.3171195773293</v>
      </c>
      <c r="JJ777" s="181">
        <f>JP670</f>
        <v>2720.3171195773293</v>
      </c>
      <c r="JK777" s="181">
        <f>JP670</f>
        <v>2720.3171195773293</v>
      </c>
      <c r="JL777" s="181">
        <f>JP670</f>
        <v>2720.3171195773293</v>
      </c>
      <c r="JM777" s="181">
        <f>JP670</f>
        <v>2720.3171195773293</v>
      </c>
      <c r="JN777" s="181">
        <f>JP670</f>
        <v>2720.3171195773293</v>
      </c>
      <c r="JO777" s="181">
        <f>JP670</f>
        <v>2720.3171195773293</v>
      </c>
      <c r="JP777" s="182">
        <f>JP670</f>
        <v>2720.3171195773293</v>
      </c>
      <c r="JQ777" s="140"/>
      <c r="JR777" s="180"/>
      <c r="JS777" s="181"/>
      <c r="JT777" s="181"/>
      <c r="JU777" s="181"/>
      <c r="JV777" s="181"/>
      <c r="JW777" s="181"/>
      <c r="JX777" s="181"/>
      <c r="JY777" s="181"/>
      <c r="JZ777" s="181"/>
      <c r="KA777" s="181">
        <f>KG670</f>
        <v>14608.248850844253</v>
      </c>
      <c r="KB777" s="181">
        <f>KG670</f>
        <v>14608.248850844253</v>
      </c>
      <c r="KC777" s="181">
        <f>KG670</f>
        <v>14608.248850844253</v>
      </c>
      <c r="KD777" s="181">
        <f>KG670</f>
        <v>14608.248850844253</v>
      </c>
      <c r="KE777" s="181">
        <f>KG670</f>
        <v>14608.248850844253</v>
      </c>
      <c r="KF777" s="181">
        <f>KG670</f>
        <v>14608.248850844253</v>
      </c>
      <c r="KG777" s="181">
        <f>KG670</f>
        <v>14608.248850844253</v>
      </c>
      <c r="KH777" s="181">
        <f>LA670</f>
        <v>6768.0891088467442</v>
      </c>
      <c r="KI777" s="181">
        <f>LA670</f>
        <v>6768.0891088467442</v>
      </c>
      <c r="KJ777" s="181">
        <f>LA670</f>
        <v>6768.0891088467442</v>
      </c>
      <c r="KK777" s="181">
        <f>LA670</f>
        <v>6768.0891088467442</v>
      </c>
      <c r="KL777" s="181">
        <f>LA670</f>
        <v>6768.0891088467442</v>
      </c>
      <c r="KM777" s="181">
        <f>LA670</f>
        <v>6768.0891088467442</v>
      </c>
      <c r="KN777" s="181">
        <f>LA670</f>
        <v>6768.0891088467442</v>
      </c>
      <c r="KO777" s="181">
        <f>LA670</f>
        <v>6768.0891088467442</v>
      </c>
      <c r="KP777" s="181">
        <f>LA670</f>
        <v>6768.0891088467442</v>
      </c>
      <c r="KQ777" s="181">
        <f>LA670</f>
        <v>6768.0891088467442</v>
      </c>
      <c r="KR777" s="181">
        <f>LA670</f>
        <v>6768.0891088467442</v>
      </c>
      <c r="KS777" s="181">
        <f>LA670</f>
        <v>6768.0891088467442</v>
      </c>
      <c r="KT777" s="181">
        <f>LA670</f>
        <v>6768.0891088467442</v>
      </c>
      <c r="KU777" s="181">
        <f>LA670</f>
        <v>6768.0891088467442</v>
      </c>
      <c r="KV777" s="181">
        <f>LA670</f>
        <v>6768.0891088467442</v>
      </c>
      <c r="KW777" s="181">
        <f>LA670</f>
        <v>6768.0891088467442</v>
      </c>
      <c r="KX777" s="181">
        <f>LA670</f>
        <v>6768.0891088467442</v>
      </c>
      <c r="KY777" s="181">
        <f>LA670</f>
        <v>6768.0891088467442</v>
      </c>
      <c r="KZ777" s="181">
        <f>LA670</f>
        <v>6768.0891088467442</v>
      </c>
      <c r="LA777" s="182">
        <f>LA670</f>
        <v>6768.0891088467442</v>
      </c>
      <c r="LB777" s="140"/>
      <c r="LC777" s="180"/>
      <c r="LD777" s="181"/>
      <c r="LE777" s="181"/>
      <c r="LF777" s="181"/>
      <c r="LG777" s="181"/>
      <c r="LH777" s="181"/>
      <c r="LI777" s="181"/>
      <c r="LJ777" s="181"/>
      <c r="LK777" s="181"/>
      <c r="LL777" s="181">
        <f>LR670</f>
        <v>9083.3060998488036</v>
      </c>
      <c r="LM777" s="181">
        <f>LR670</f>
        <v>9083.3060998488036</v>
      </c>
      <c r="LN777" s="181">
        <f>LR670</f>
        <v>9083.3060998488036</v>
      </c>
      <c r="LO777" s="181">
        <f>LR670</f>
        <v>9083.3060998488036</v>
      </c>
      <c r="LP777" s="181">
        <f>LR670</f>
        <v>9083.3060998488036</v>
      </c>
      <c r="LQ777" s="181">
        <f>LR670</f>
        <v>9083.3060998488036</v>
      </c>
      <c r="LR777" s="181">
        <f>LR670</f>
        <v>9083.3060998488036</v>
      </c>
      <c r="LS777" s="181">
        <f>MB670</f>
        <v>8018.1171455337262</v>
      </c>
      <c r="LT777" s="181">
        <f>MB670</f>
        <v>8018.1171455337262</v>
      </c>
      <c r="LU777" s="181">
        <f>MB670</f>
        <v>8018.1171455337262</v>
      </c>
      <c r="LV777" s="181">
        <f>MB670</f>
        <v>8018.1171455337262</v>
      </c>
      <c r="LW777" s="181">
        <f>MB670</f>
        <v>8018.1171455337262</v>
      </c>
      <c r="LX777" s="181">
        <f>MB670</f>
        <v>8018.1171455337262</v>
      </c>
      <c r="LY777" s="181">
        <f>MB670</f>
        <v>8018.1171455337262</v>
      </c>
      <c r="LZ777" s="181">
        <f>MB670</f>
        <v>8018.1171455337262</v>
      </c>
      <c r="MA777" s="181">
        <f>MB670</f>
        <v>8018.1171455337262</v>
      </c>
      <c r="MB777" s="181">
        <f>MB670</f>
        <v>8018.1171455337262</v>
      </c>
      <c r="MC777" s="181">
        <f>ML670</f>
        <v>7179.3660085826614</v>
      </c>
      <c r="MD777" s="181">
        <f>ML670</f>
        <v>7179.3660085826614</v>
      </c>
      <c r="ME777" s="181">
        <f>ML670</f>
        <v>7179.3660085826614</v>
      </c>
      <c r="MF777" s="181">
        <f>ML670</f>
        <v>7179.3660085826614</v>
      </c>
      <c r="MG777" s="181">
        <f>ML670</f>
        <v>7179.3660085826614</v>
      </c>
      <c r="MH777" s="181">
        <f>ML670</f>
        <v>7179.3660085826614</v>
      </c>
      <c r="MI777" s="181">
        <f>ML670</f>
        <v>7179.3660085826614</v>
      </c>
      <c r="MJ777" s="181">
        <f>ML670</f>
        <v>7179.3660085826614</v>
      </c>
      <c r="MK777" s="181">
        <f>ML670</f>
        <v>7179.3660085826614</v>
      </c>
      <c r="ML777" s="182">
        <f>ML670</f>
        <v>7179.3660085826614</v>
      </c>
    </row>
    <row r="778" spans="3:350" s="4" customFormat="1" ht="15" customHeight="1" x14ac:dyDescent="0.3">
      <c r="H778" s="140"/>
      <c r="I778" s="140"/>
      <c r="J778" s="140"/>
      <c r="K778" s="140"/>
      <c r="L778" s="140"/>
      <c r="M778" s="140"/>
      <c r="N778" s="140"/>
      <c r="O778" s="140"/>
      <c r="P778" s="140"/>
      <c r="Q778" s="140"/>
      <c r="R778" s="140"/>
      <c r="S778" s="140"/>
      <c r="T778" s="140"/>
      <c r="U778" s="140"/>
      <c r="V778" s="140"/>
      <c r="W778" s="140"/>
      <c r="X778" s="140"/>
      <c r="Y778" s="140"/>
      <c r="Z778" s="140"/>
      <c r="AA778" s="140"/>
      <c r="AB778" s="140"/>
      <c r="AC778" s="140"/>
      <c r="AD778" s="140"/>
      <c r="AE778" s="140"/>
      <c r="AF778" s="140"/>
      <c r="AG778" s="140"/>
      <c r="AH778" s="140"/>
      <c r="AI778" s="140"/>
      <c r="AJ778" s="140"/>
      <c r="AK778" s="140"/>
      <c r="AL778" s="140"/>
      <c r="AM778" s="140"/>
      <c r="AN778" s="140"/>
      <c r="AO778" s="140"/>
      <c r="AP778" s="140"/>
      <c r="AQ778" s="140"/>
      <c r="AR778" s="140"/>
      <c r="AS778" s="140"/>
      <c r="AT778" s="140"/>
      <c r="AU778" s="140"/>
      <c r="AV778" s="140"/>
      <c r="AW778" s="140"/>
      <c r="AX778" s="140"/>
      <c r="AY778" s="140"/>
      <c r="AZ778" s="140"/>
      <c r="BA778" s="140"/>
      <c r="BB778" s="140"/>
      <c r="BC778" s="140"/>
      <c r="BD778" s="140"/>
      <c r="BE778" s="140"/>
      <c r="BF778" s="140"/>
      <c r="BG778" s="140"/>
      <c r="BH778" s="140"/>
      <c r="BI778" s="140"/>
      <c r="BJ778" s="140"/>
      <c r="BK778" s="140"/>
      <c r="BL778" s="140"/>
      <c r="BM778" s="140"/>
      <c r="BN778" s="140"/>
      <c r="BO778" s="140"/>
      <c r="BP778" s="140"/>
      <c r="BQ778" s="140"/>
      <c r="BR778" s="140"/>
      <c r="BS778" s="140"/>
      <c r="BT778" s="140"/>
      <c r="BU778" s="140"/>
      <c r="BV778" s="140"/>
      <c r="BW778" s="140"/>
      <c r="BX778" s="140"/>
      <c r="BY778" s="140"/>
      <c r="BZ778" s="140"/>
      <c r="CA778" s="140"/>
      <c r="CB778" s="140"/>
      <c r="CC778" s="140"/>
      <c r="CD778" s="140"/>
      <c r="CE778" s="140"/>
      <c r="CF778" s="140"/>
      <c r="CG778" s="140"/>
      <c r="CH778" s="140"/>
      <c r="CI778" s="140"/>
      <c r="CJ778" s="140"/>
      <c r="CK778" s="140"/>
      <c r="CL778" s="140"/>
      <c r="CM778" s="140"/>
      <c r="CN778" s="140"/>
      <c r="CO778" s="140"/>
      <c r="CP778" s="140"/>
      <c r="CQ778" s="140"/>
      <c r="CR778" s="140"/>
      <c r="CS778" s="140"/>
      <c r="CT778" s="140"/>
      <c r="CU778" s="140"/>
      <c r="CV778" s="140"/>
      <c r="CW778" s="140"/>
      <c r="CX778" s="140"/>
      <c r="CY778" s="140"/>
      <c r="CZ778" s="140"/>
      <c r="DA778" s="140"/>
      <c r="DB778" s="140"/>
      <c r="DC778" s="140"/>
      <c r="DD778" s="140"/>
      <c r="DE778" s="140"/>
      <c r="DF778" s="140"/>
      <c r="DG778" s="140"/>
      <c r="DH778" s="140"/>
      <c r="DI778" s="140"/>
      <c r="DJ778" s="140"/>
      <c r="DK778" s="140"/>
      <c r="DL778" s="140"/>
      <c r="DM778" s="140"/>
      <c r="DN778" s="140"/>
      <c r="DO778" s="140"/>
      <c r="DP778" s="140"/>
      <c r="DQ778" s="140"/>
      <c r="DR778" s="140"/>
      <c r="DS778" s="140"/>
      <c r="DT778" s="140"/>
      <c r="DU778" s="140"/>
      <c r="DV778" s="140"/>
      <c r="DW778" s="140"/>
      <c r="DX778" s="140"/>
      <c r="DY778" s="140"/>
      <c r="DZ778" s="140"/>
      <c r="EA778" s="140"/>
      <c r="EB778" s="140"/>
      <c r="EC778" s="140"/>
      <c r="ED778" s="140"/>
      <c r="EE778" s="140"/>
      <c r="EF778" s="140"/>
      <c r="EG778" s="140"/>
      <c r="EH778" s="140"/>
      <c r="EI778" s="140"/>
      <c r="EJ778" s="140"/>
      <c r="EK778" s="140"/>
      <c r="EL778" s="140"/>
      <c r="EM778" s="140"/>
      <c r="EN778" s="140"/>
      <c r="EO778" s="140"/>
      <c r="EP778" s="140"/>
      <c r="EQ778" s="140"/>
      <c r="ER778" s="140"/>
      <c r="ES778" s="140"/>
      <c r="ET778" s="140"/>
      <c r="EU778" s="140"/>
      <c r="EV778" s="140"/>
      <c r="EW778" s="140"/>
      <c r="EX778" s="140"/>
      <c r="EY778" s="140"/>
      <c r="EZ778" s="140"/>
      <c r="FA778" s="140"/>
      <c r="FB778" s="140"/>
      <c r="FC778" s="140"/>
      <c r="FD778" s="140"/>
      <c r="FE778" s="140"/>
      <c r="FF778" s="140"/>
      <c r="FG778" s="140"/>
      <c r="FH778" s="140"/>
      <c r="FI778" s="140"/>
      <c r="FJ778" s="140"/>
      <c r="FK778" s="140"/>
      <c r="FL778" s="140"/>
      <c r="FM778" s="140"/>
      <c r="FN778" s="140"/>
      <c r="FO778" s="140"/>
      <c r="FP778" s="140"/>
      <c r="FQ778" s="140"/>
      <c r="FR778" s="140"/>
      <c r="FS778" s="140"/>
      <c r="FT778" s="140"/>
      <c r="FU778" s="140"/>
      <c r="FV778" s="140"/>
      <c r="FW778" s="140"/>
      <c r="FX778" s="140"/>
      <c r="FY778" s="140"/>
      <c r="FZ778" s="140"/>
      <c r="GA778" s="140"/>
      <c r="GB778" s="140"/>
      <c r="GC778" s="140"/>
      <c r="GD778" s="140"/>
      <c r="GE778" s="140"/>
      <c r="GF778" s="140"/>
      <c r="GG778" s="140"/>
      <c r="GH778" s="140"/>
      <c r="GI778" s="140"/>
      <c r="GJ778" s="140"/>
      <c r="GK778" s="140"/>
      <c r="GL778" s="140"/>
      <c r="GM778" s="140"/>
      <c r="GN778" s="140"/>
      <c r="GO778" s="140"/>
      <c r="GP778" s="140"/>
      <c r="GQ778" s="140"/>
      <c r="GR778" s="140"/>
      <c r="GS778" s="140"/>
      <c r="GT778" s="140"/>
      <c r="GU778" s="140"/>
      <c r="GV778" s="140"/>
      <c r="GW778" s="140"/>
      <c r="GX778" s="140"/>
      <c r="GY778" s="140"/>
      <c r="GZ778" s="140"/>
      <c r="HA778" s="140"/>
      <c r="HB778" s="140"/>
      <c r="HC778" s="140"/>
      <c r="HD778" s="140"/>
      <c r="HE778" s="140"/>
      <c r="HF778" s="140"/>
      <c r="HG778" s="140"/>
      <c r="HH778" s="140"/>
      <c r="HI778" s="140"/>
      <c r="HJ778" s="140"/>
      <c r="HK778" s="140"/>
      <c r="HL778" s="140"/>
      <c r="HM778" s="140"/>
      <c r="HN778" s="140"/>
      <c r="HO778" s="140"/>
      <c r="HP778" s="140"/>
      <c r="HQ778" s="140"/>
      <c r="HR778" s="140"/>
      <c r="HS778" s="140"/>
      <c r="HT778" s="140"/>
      <c r="HU778" s="140"/>
      <c r="HV778" s="140"/>
      <c r="HW778" s="140"/>
      <c r="HX778" s="140"/>
      <c r="HY778" s="140"/>
      <c r="HZ778" s="140"/>
      <c r="IA778" s="140"/>
      <c r="IB778" s="140"/>
      <c r="IC778" s="140"/>
      <c r="ID778" s="140"/>
      <c r="IE778" s="140"/>
      <c r="IF778" s="140"/>
      <c r="IG778" s="140"/>
      <c r="IH778" s="140"/>
      <c r="II778" s="140"/>
      <c r="IJ778" s="140"/>
      <c r="IK778" s="140"/>
      <c r="IL778" s="140"/>
      <c r="IM778" s="140"/>
      <c r="IN778" s="140"/>
      <c r="IO778" s="140"/>
      <c r="IP778" s="140"/>
      <c r="IQ778" s="140"/>
      <c r="IR778" s="140"/>
      <c r="IS778" s="140"/>
      <c r="IT778" s="140"/>
      <c r="IU778" s="140"/>
      <c r="IV778" s="140"/>
      <c r="IW778" s="140"/>
      <c r="IX778" s="140"/>
      <c r="IY778" s="140"/>
      <c r="IZ778" s="140"/>
      <c r="JA778" s="140"/>
      <c r="JB778" s="140"/>
      <c r="JC778" s="140"/>
      <c r="JD778" s="140"/>
      <c r="JE778" s="140"/>
      <c r="JF778" s="140"/>
      <c r="JG778" s="140"/>
      <c r="JH778" s="140"/>
      <c r="JI778" s="140"/>
      <c r="JJ778" s="140"/>
      <c r="JK778" s="140"/>
      <c r="JL778" s="140"/>
      <c r="JM778" s="140"/>
      <c r="JN778" s="140"/>
      <c r="JO778" s="140"/>
      <c r="JP778" s="140"/>
      <c r="JQ778" s="140"/>
      <c r="JR778" s="140"/>
      <c r="JS778" s="140"/>
      <c r="JT778" s="140"/>
      <c r="JU778" s="140"/>
      <c r="JV778" s="140"/>
      <c r="JW778" s="140"/>
      <c r="JX778" s="140"/>
      <c r="JY778" s="140"/>
      <c r="JZ778" s="140"/>
      <c r="KA778" s="140"/>
      <c r="KB778" s="140"/>
      <c r="KC778" s="140"/>
      <c r="KD778" s="140"/>
      <c r="KE778" s="140"/>
      <c r="KF778" s="140"/>
      <c r="KG778" s="140"/>
      <c r="KH778" s="140"/>
      <c r="KI778" s="140"/>
      <c r="KJ778" s="140"/>
      <c r="KK778" s="140"/>
      <c r="KL778" s="140"/>
      <c r="KM778" s="140"/>
      <c r="KN778" s="140"/>
      <c r="KO778" s="140"/>
      <c r="KP778" s="140"/>
      <c r="KQ778" s="140"/>
      <c r="KR778" s="140"/>
      <c r="KS778" s="140"/>
      <c r="KT778" s="140"/>
      <c r="KU778" s="140"/>
      <c r="KV778" s="140"/>
      <c r="KW778" s="140"/>
      <c r="KX778" s="140"/>
      <c r="KY778" s="140"/>
      <c r="KZ778" s="140"/>
      <c r="LA778" s="140"/>
      <c r="LB778" s="140"/>
      <c r="LC778" s="140"/>
      <c r="LD778" s="140"/>
      <c r="LE778" s="140"/>
      <c r="LF778" s="140"/>
      <c r="LG778" s="140"/>
      <c r="LH778" s="140"/>
      <c r="LI778" s="140"/>
      <c r="LJ778" s="140"/>
      <c r="LK778" s="140"/>
      <c r="LL778" s="140"/>
      <c r="LM778" s="140"/>
      <c r="LN778" s="140"/>
      <c r="LO778" s="140"/>
      <c r="LP778" s="140"/>
      <c r="LQ778" s="140"/>
      <c r="LR778" s="140"/>
      <c r="LS778" s="140"/>
      <c r="LT778" s="140"/>
      <c r="LU778" s="140"/>
      <c r="LV778" s="140"/>
      <c r="LW778" s="140"/>
      <c r="LX778" s="140"/>
      <c r="LY778" s="140"/>
      <c r="LZ778" s="140"/>
      <c r="MA778" s="140"/>
      <c r="MB778" s="140"/>
      <c r="MC778" s="140"/>
      <c r="MD778" s="140"/>
      <c r="ME778" s="140"/>
      <c r="MF778" s="140"/>
      <c r="MG778" s="140"/>
      <c r="MH778" s="140"/>
      <c r="MI778" s="140"/>
      <c r="MJ778" s="140"/>
      <c r="MK778" s="140"/>
      <c r="ML778" s="140"/>
    </row>
    <row r="779" spans="3:350" s="4" customFormat="1" ht="15" customHeight="1" x14ac:dyDescent="0.3">
      <c r="H779" s="140"/>
      <c r="I779" s="140"/>
      <c r="J779" s="140"/>
      <c r="K779" s="140"/>
      <c r="L779" s="140"/>
      <c r="M779" s="140"/>
      <c r="N779" s="140"/>
      <c r="O779" s="140"/>
      <c r="P779" s="140"/>
      <c r="Q779" s="140"/>
      <c r="R779" s="140"/>
      <c r="S779" s="140"/>
      <c r="T779" s="140"/>
      <c r="U779" s="140"/>
      <c r="V779" s="140"/>
      <c r="W779" s="140"/>
      <c r="X779" s="140"/>
      <c r="Y779" s="140"/>
      <c r="Z779" s="140"/>
      <c r="AA779" s="140"/>
      <c r="AB779" s="140"/>
      <c r="AC779" s="140"/>
      <c r="AD779" s="140"/>
      <c r="AE779" s="140"/>
      <c r="AF779" s="140"/>
      <c r="AG779" s="140"/>
      <c r="AH779" s="140"/>
      <c r="AI779" s="140"/>
      <c r="AJ779" s="140"/>
      <c r="AK779" s="140"/>
      <c r="AL779" s="140"/>
      <c r="AM779" s="140"/>
      <c r="AN779" s="140"/>
      <c r="AO779" s="140"/>
      <c r="AP779" s="140"/>
      <c r="AQ779" s="140"/>
      <c r="AR779" s="140"/>
      <c r="AS779" s="140"/>
      <c r="AT779" s="140"/>
      <c r="AU779" s="140"/>
      <c r="AV779" s="140"/>
      <c r="AW779" s="140"/>
      <c r="AX779" s="140"/>
      <c r="AY779" s="140"/>
      <c r="AZ779" s="140"/>
      <c r="BA779" s="140"/>
      <c r="BB779" s="140"/>
      <c r="BC779" s="140"/>
      <c r="BD779" s="140"/>
      <c r="BE779" s="140"/>
      <c r="BF779" s="140"/>
      <c r="BG779" s="140"/>
      <c r="BH779" s="140"/>
      <c r="BI779" s="140"/>
      <c r="BJ779" s="140"/>
      <c r="BK779" s="140"/>
      <c r="BL779" s="140"/>
      <c r="BM779" s="140"/>
      <c r="BN779" s="140"/>
      <c r="BO779" s="140"/>
      <c r="BP779" s="140"/>
      <c r="BQ779" s="140"/>
      <c r="BR779" s="140"/>
      <c r="BS779" s="140"/>
      <c r="BT779" s="140"/>
      <c r="BU779" s="140"/>
      <c r="BV779" s="140"/>
      <c r="BW779" s="140"/>
      <c r="BX779" s="140"/>
      <c r="BY779" s="140"/>
      <c r="BZ779" s="140"/>
      <c r="CA779" s="140"/>
      <c r="CB779" s="140"/>
      <c r="CC779" s="140"/>
      <c r="CD779" s="140"/>
      <c r="CE779" s="140"/>
      <c r="CF779" s="140"/>
      <c r="CG779" s="140"/>
      <c r="CH779" s="140"/>
      <c r="CI779" s="140"/>
      <c r="CJ779" s="140"/>
      <c r="CK779" s="140"/>
      <c r="CL779" s="140"/>
      <c r="CM779" s="140"/>
      <c r="CN779" s="140"/>
      <c r="CO779" s="140"/>
      <c r="CP779" s="140"/>
      <c r="CQ779" s="140"/>
      <c r="CR779" s="140"/>
      <c r="CS779" s="140"/>
      <c r="CT779" s="140"/>
      <c r="CU779" s="140"/>
      <c r="CV779" s="140"/>
      <c r="CW779" s="140"/>
      <c r="CX779" s="140"/>
      <c r="CY779" s="140"/>
      <c r="CZ779" s="140"/>
      <c r="DA779" s="140"/>
      <c r="DB779" s="140"/>
      <c r="DC779" s="140"/>
      <c r="DD779" s="140"/>
      <c r="DE779" s="140"/>
      <c r="DF779" s="140"/>
      <c r="DG779" s="140"/>
      <c r="DH779" s="140"/>
      <c r="DI779" s="140"/>
      <c r="DJ779" s="140"/>
      <c r="DK779" s="140"/>
      <c r="DL779" s="140"/>
      <c r="DM779" s="140"/>
      <c r="DN779" s="140"/>
      <c r="DO779" s="140"/>
      <c r="DP779" s="140"/>
      <c r="DQ779" s="140"/>
      <c r="DR779" s="140"/>
      <c r="DS779" s="140"/>
      <c r="DT779" s="140"/>
      <c r="DU779" s="140"/>
      <c r="DV779" s="140"/>
      <c r="DW779" s="140"/>
      <c r="DX779" s="140"/>
      <c r="DY779" s="140"/>
      <c r="DZ779" s="140"/>
      <c r="EA779" s="140"/>
      <c r="EB779" s="140"/>
      <c r="EC779" s="140"/>
      <c r="ED779" s="140"/>
      <c r="EE779" s="140"/>
      <c r="EF779" s="140"/>
      <c r="EG779" s="140"/>
      <c r="EH779" s="140"/>
      <c r="EI779" s="140"/>
      <c r="EJ779" s="140"/>
      <c r="EK779" s="140"/>
      <c r="EL779" s="140"/>
      <c r="EM779" s="140"/>
      <c r="EN779" s="140"/>
      <c r="EO779" s="140"/>
      <c r="EP779" s="140"/>
      <c r="EQ779" s="140"/>
      <c r="ER779" s="140"/>
      <c r="ES779" s="140"/>
      <c r="ET779" s="140"/>
      <c r="EU779" s="140"/>
      <c r="EV779" s="140"/>
      <c r="EW779" s="140"/>
      <c r="EX779" s="140"/>
      <c r="EY779" s="140"/>
      <c r="EZ779" s="140"/>
      <c r="FA779" s="140"/>
      <c r="FB779" s="140"/>
      <c r="FC779" s="140"/>
      <c r="FD779" s="140"/>
      <c r="FE779" s="140"/>
      <c r="FF779" s="140"/>
      <c r="FG779" s="140"/>
      <c r="FH779" s="140"/>
      <c r="FI779" s="140"/>
      <c r="FJ779" s="140"/>
      <c r="FK779" s="140"/>
      <c r="FL779" s="140"/>
      <c r="FM779" s="140"/>
      <c r="FN779" s="140"/>
      <c r="FO779" s="140"/>
      <c r="FP779" s="140"/>
      <c r="FQ779" s="140"/>
      <c r="FR779" s="140"/>
      <c r="FS779" s="140"/>
      <c r="FT779" s="140"/>
      <c r="FU779" s="140"/>
      <c r="FV779" s="140"/>
      <c r="FW779" s="140"/>
      <c r="FX779" s="140"/>
      <c r="FY779" s="140"/>
      <c r="FZ779" s="140"/>
      <c r="GA779" s="140"/>
      <c r="GB779" s="140"/>
      <c r="GC779" s="140"/>
      <c r="GD779" s="140"/>
      <c r="GE779" s="140"/>
      <c r="GF779" s="140"/>
      <c r="GG779" s="140"/>
      <c r="GH779" s="140"/>
      <c r="GI779" s="140"/>
      <c r="GJ779" s="140"/>
      <c r="GK779" s="140"/>
      <c r="GL779" s="140"/>
      <c r="GM779" s="140"/>
      <c r="GN779" s="140"/>
      <c r="GO779" s="140"/>
      <c r="GP779" s="140"/>
      <c r="GQ779" s="140"/>
      <c r="GR779" s="140"/>
      <c r="GS779" s="140"/>
      <c r="GT779" s="140"/>
      <c r="GU779" s="140"/>
      <c r="GV779" s="140"/>
      <c r="GW779" s="140"/>
      <c r="GX779" s="140"/>
      <c r="GY779" s="140"/>
      <c r="GZ779" s="140"/>
      <c r="HA779" s="140"/>
      <c r="HB779" s="140"/>
      <c r="HC779" s="140"/>
      <c r="HD779" s="140"/>
      <c r="HE779" s="140"/>
      <c r="HF779" s="140"/>
      <c r="HG779" s="140"/>
      <c r="HH779" s="140"/>
      <c r="HI779" s="140"/>
      <c r="HJ779" s="140"/>
      <c r="HK779" s="140"/>
      <c r="HL779" s="140"/>
      <c r="HM779" s="140"/>
      <c r="HN779" s="140"/>
      <c r="HO779" s="140"/>
      <c r="HP779" s="140"/>
      <c r="HQ779" s="140"/>
      <c r="HR779" s="140"/>
      <c r="HS779" s="140"/>
      <c r="HT779" s="140"/>
      <c r="HU779" s="140"/>
      <c r="HV779" s="140"/>
      <c r="HW779" s="140"/>
      <c r="HX779" s="140"/>
      <c r="HY779" s="140"/>
      <c r="HZ779" s="140"/>
      <c r="IA779" s="140"/>
      <c r="IB779" s="140"/>
      <c r="IC779" s="140"/>
      <c r="ID779" s="140"/>
      <c r="IE779" s="140"/>
      <c r="IF779" s="140"/>
      <c r="IG779" s="140"/>
      <c r="IH779" s="140"/>
      <c r="II779" s="140"/>
      <c r="IJ779" s="140"/>
      <c r="IK779" s="140"/>
      <c r="IL779" s="140"/>
      <c r="IM779" s="140"/>
      <c r="IN779" s="140"/>
      <c r="IO779" s="140"/>
      <c r="IP779" s="140"/>
      <c r="IQ779" s="140"/>
      <c r="IR779" s="140"/>
      <c r="IS779" s="140"/>
      <c r="IT779" s="140"/>
      <c r="IU779" s="140"/>
      <c r="IV779" s="140"/>
      <c r="IW779" s="140"/>
      <c r="IX779" s="140"/>
      <c r="IY779" s="140"/>
      <c r="IZ779" s="140"/>
      <c r="JA779" s="140"/>
      <c r="JB779" s="140"/>
      <c r="JC779" s="140"/>
      <c r="JD779" s="140"/>
      <c r="JE779" s="140"/>
      <c r="JF779" s="140"/>
      <c r="JG779" s="140"/>
      <c r="JH779" s="140"/>
      <c r="JI779" s="140"/>
      <c r="JJ779" s="140"/>
      <c r="JK779" s="140"/>
      <c r="JL779" s="140"/>
      <c r="JM779" s="140"/>
      <c r="JN779" s="140"/>
      <c r="JO779" s="140"/>
      <c r="JP779" s="140"/>
      <c r="JQ779" s="140"/>
      <c r="JR779" s="140"/>
      <c r="JS779" s="140"/>
      <c r="JT779" s="140"/>
      <c r="JU779" s="140"/>
      <c r="JV779" s="140"/>
      <c r="JW779" s="140"/>
      <c r="JX779" s="140"/>
      <c r="JY779" s="140"/>
      <c r="JZ779" s="140"/>
      <c r="KA779" s="140"/>
      <c r="KB779" s="140"/>
      <c r="KC779" s="140"/>
      <c r="KD779" s="140"/>
      <c r="KE779" s="140"/>
      <c r="KF779" s="140"/>
      <c r="KG779" s="140"/>
      <c r="KH779" s="140"/>
      <c r="KI779" s="140"/>
      <c r="KJ779" s="140"/>
      <c r="KK779" s="140"/>
      <c r="KL779" s="140"/>
      <c r="KM779" s="140"/>
      <c r="KN779" s="140"/>
      <c r="KO779" s="140"/>
      <c r="KP779" s="140"/>
      <c r="KQ779" s="140"/>
      <c r="KR779" s="140"/>
      <c r="KS779" s="140"/>
      <c r="KT779" s="140"/>
      <c r="KU779" s="140"/>
      <c r="KV779" s="140"/>
      <c r="KW779" s="140"/>
      <c r="KX779" s="140"/>
      <c r="KY779" s="140"/>
      <c r="KZ779" s="140"/>
      <c r="LA779" s="140"/>
      <c r="LB779" s="140"/>
      <c r="LC779" s="140"/>
      <c r="LD779" s="140"/>
      <c r="LE779" s="140"/>
      <c r="LF779" s="140"/>
      <c r="LG779" s="140"/>
      <c r="LH779" s="140"/>
      <c r="LI779" s="140"/>
      <c r="LJ779" s="140"/>
      <c r="LK779" s="140"/>
      <c r="LL779" s="140"/>
      <c r="LM779" s="140"/>
      <c r="LN779" s="140"/>
      <c r="LO779" s="140"/>
      <c r="LP779" s="140"/>
      <c r="LQ779" s="140"/>
      <c r="LR779" s="140"/>
      <c r="LS779" s="140"/>
      <c r="LT779" s="140"/>
      <c r="LU779" s="140"/>
      <c r="LV779" s="140"/>
      <c r="LW779" s="140"/>
      <c r="LX779" s="140"/>
      <c r="LY779" s="140"/>
      <c r="LZ779" s="140"/>
      <c r="MA779" s="140"/>
      <c r="MB779" s="140"/>
      <c r="MC779" s="140"/>
      <c r="MD779" s="140"/>
      <c r="ME779" s="140"/>
      <c r="MF779" s="140"/>
      <c r="MG779" s="140"/>
      <c r="MH779" s="140"/>
      <c r="MI779" s="140"/>
      <c r="MJ779" s="140"/>
      <c r="MK779" s="140"/>
      <c r="ML779" s="140"/>
    </row>
    <row r="780" spans="3:350" outlineLevel="1" x14ac:dyDescent="0.3">
      <c r="C780" s="120" t="str">
        <f>C762</f>
        <v>Investissements dans les rénovations énergétiques du parc tertiaire</v>
      </c>
    </row>
    <row r="781" spans="3:350" ht="18" customHeight="1" outlineLevel="1" x14ac:dyDescent="0.3">
      <c r="C781" s="131"/>
      <c r="D781" s="132"/>
      <c r="E781" s="133" t="s">
        <v>101</v>
      </c>
      <c r="F781" s="134" t="s">
        <v>102</v>
      </c>
      <c r="H781" s="135">
        <v>2015</v>
      </c>
      <c r="I781" s="133">
        <v>2020</v>
      </c>
      <c r="J781" s="133">
        <v>2025</v>
      </c>
      <c r="K781" s="133">
        <v>2030</v>
      </c>
      <c r="L781" s="133">
        <v>2040</v>
      </c>
      <c r="M781" s="134">
        <v>2050</v>
      </c>
      <c r="N781" s="1"/>
      <c r="O781" s="1"/>
      <c r="P781" s="1"/>
      <c r="Q781" s="1"/>
      <c r="S781" s="135">
        <f>S$1</f>
        <v>2015</v>
      </c>
      <c r="T781" s="133">
        <f t="shared" ref="T781:BB781" si="1196">T$1</f>
        <v>2016</v>
      </c>
      <c r="U781" s="133">
        <f t="shared" si="1196"/>
        <v>2017</v>
      </c>
      <c r="V781" s="133">
        <f t="shared" si="1196"/>
        <v>2018</v>
      </c>
      <c r="W781" s="133">
        <f t="shared" si="1196"/>
        <v>2019</v>
      </c>
      <c r="X781" s="133">
        <f t="shared" si="1196"/>
        <v>2020</v>
      </c>
      <c r="Y781" s="133">
        <f t="shared" si="1196"/>
        <v>2021</v>
      </c>
      <c r="Z781" s="133">
        <f t="shared" si="1196"/>
        <v>2022</v>
      </c>
      <c r="AA781" s="133">
        <f t="shared" si="1196"/>
        <v>2023</v>
      </c>
      <c r="AB781" s="133">
        <f t="shared" si="1196"/>
        <v>2024</v>
      </c>
      <c r="AC781" s="133">
        <f t="shared" si="1196"/>
        <v>2025</v>
      </c>
      <c r="AD781" s="133">
        <f t="shared" si="1196"/>
        <v>2026</v>
      </c>
      <c r="AE781" s="133">
        <f t="shared" si="1196"/>
        <v>2027</v>
      </c>
      <c r="AF781" s="133">
        <f t="shared" si="1196"/>
        <v>2028</v>
      </c>
      <c r="AG781" s="133">
        <f t="shared" si="1196"/>
        <v>2029</v>
      </c>
      <c r="AH781" s="133">
        <f t="shared" si="1196"/>
        <v>2030</v>
      </c>
      <c r="AI781" s="133">
        <f t="shared" si="1196"/>
        <v>2031</v>
      </c>
      <c r="AJ781" s="133">
        <f t="shared" si="1196"/>
        <v>2032</v>
      </c>
      <c r="AK781" s="133">
        <f t="shared" si="1196"/>
        <v>2033</v>
      </c>
      <c r="AL781" s="133">
        <f t="shared" si="1196"/>
        <v>2034</v>
      </c>
      <c r="AM781" s="133">
        <f t="shared" si="1196"/>
        <v>2035</v>
      </c>
      <c r="AN781" s="133">
        <f t="shared" si="1196"/>
        <v>2036</v>
      </c>
      <c r="AO781" s="133">
        <f t="shared" si="1196"/>
        <v>2037</v>
      </c>
      <c r="AP781" s="133">
        <f t="shared" si="1196"/>
        <v>2038</v>
      </c>
      <c r="AQ781" s="133">
        <f t="shared" si="1196"/>
        <v>2039</v>
      </c>
      <c r="AR781" s="133">
        <f t="shared" si="1196"/>
        <v>2040</v>
      </c>
      <c r="AS781" s="133">
        <f t="shared" si="1196"/>
        <v>2041</v>
      </c>
      <c r="AT781" s="133">
        <f t="shared" si="1196"/>
        <v>2042</v>
      </c>
      <c r="AU781" s="133">
        <f t="shared" si="1196"/>
        <v>2043</v>
      </c>
      <c r="AV781" s="133">
        <f t="shared" si="1196"/>
        <v>2044</v>
      </c>
      <c r="AW781" s="133">
        <f t="shared" si="1196"/>
        <v>2045</v>
      </c>
      <c r="AX781" s="133">
        <f t="shared" si="1196"/>
        <v>2046</v>
      </c>
      <c r="AY781" s="133">
        <f t="shared" si="1196"/>
        <v>2047</v>
      </c>
      <c r="AZ781" s="133">
        <f t="shared" si="1196"/>
        <v>2048</v>
      </c>
      <c r="BA781" s="133">
        <f t="shared" si="1196"/>
        <v>2049</v>
      </c>
      <c r="BB781" s="134">
        <f t="shared" si="1196"/>
        <v>2050</v>
      </c>
    </row>
    <row r="782" spans="3:350" ht="18" customHeight="1" outlineLevel="1" x14ac:dyDescent="0.3">
      <c r="C782" s="204" t="str">
        <f>$H$2</f>
        <v>Historique</v>
      </c>
      <c r="D782" s="4"/>
      <c r="E782" s="1" t="str">
        <f>E765</f>
        <v>(millions d'euros)</v>
      </c>
      <c r="F782" s="138"/>
      <c r="H782" s="205">
        <f>H$777</f>
        <v>4933.8371416424261</v>
      </c>
      <c r="I782" s="206">
        <f>M$777</f>
        <v>4907.6842420164667</v>
      </c>
      <c r="J782" s="206"/>
      <c r="K782" s="206"/>
      <c r="L782" s="206"/>
      <c r="M782" s="207"/>
      <c r="N782" s="206"/>
      <c r="O782" s="206"/>
      <c r="P782" s="206"/>
      <c r="Q782" s="206"/>
      <c r="S782" s="205">
        <f t="shared" ref="S782:X782" si="1197">H$777</f>
        <v>4933.8371416424261</v>
      </c>
      <c r="T782" s="206">
        <f t="shared" si="1197"/>
        <v>4841.1030883169242</v>
      </c>
      <c r="U782" s="206">
        <f t="shared" si="1197"/>
        <v>4821.8771226458239</v>
      </c>
      <c r="V782" s="206">
        <f t="shared" si="1197"/>
        <v>4810.5688669117908</v>
      </c>
      <c r="W782" s="206">
        <f t="shared" si="1197"/>
        <v>4855.6269760295327</v>
      </c>
      <c r="X782" s="206">
        <f t="shared" si="1197"/>
        <v>4907.6842420164667</v>
      </c>
      <c r="Y782" s="206"/>
      <c r="Z782" s="206"/>
      <c r="AA782" s="206"/>
      <c r="AB782" s="206"/>
      <c r="AC782" s="206"/>
      <c r="AD782" s="206"/>
      <c r="AE782" s="206"/>
      <c r="AF782" s="206"/>
      <c r="AG782" s="206"/>
      <c r="AH782" s="206"/>
      <c r="AI782" s="206"/>
      <c r="AJ782" s="206"/>
      <c r="AK782" s="206"/>
      <c r="AL782" s="206"/>
      <c r="AM782" s="206"/>
      <c r="AN782" s="206"/>
      <c r="AO782" s="206"/>
      <c r="AP782" s="206"/>
      <c r="AQ782" s="206"/>
      <c r="AR782" s="206"/>
      <c r="AS782" s="206"/>
      <c r="AT782" s="206"/>
      <c r="AU782" s="206"/>
      <c r="AV782" s="206"/>
      <c r="AW782" s="206"/>
      <c r="AX782" s="206"/>
      <c r="AY782" s="206"/>
      <c r="AZ782" s="206"/>
      <c r="BA782" s="206"/>
      <c r="BB782" s="207"/>
    </row>
    <row r="783" spans="3:350" ht="18" customHeight="1" outlineLevel="1" x14ac:dyDescent="0.3">
      <c r="C783" s="204" t="str">
        <f>$S$2</f>
        <v>AMS 2018</v>
      </c>
      <c r="D783" s="4"/>
      <c r="E783" s="137" t="s">
        <v>105</v>
      </c>
      <c r="F783" s="138"/>
      <c r="H783" s="205">
        <f>S$777</f>
        <v>0</v>
      </c>
      <c r="I783" s="206">
        <f>X$777</f>
        <v>11175.645050860463</v>
      </c>
      <c r="J783" s="206">
        <f>AC$777</f>
        <v>11418.824947999174</v>
      </c>
      <c r="K783" s="206">
        <f>AH$777</f>
        <v>11418.824947999185</v>
      </c>
      <c r="L783" s="206">
        <f>AR$777</f>
        <v>11418.82494799921</v>
      </c>
      <c r="M783" s="207">
        <f>BB$777</f>
        <v>11418.824947999161</v>
      </c>
      <c r="N783" s="206"/>
      <c r="O783" s="206"/>
      <c r="P783" s="206"/>
      <c r="Q783" s="206"/>
      <c r="S783" s="205"/>
      <c r="T783" s="206"/>
      <c r="U783" s="206"/>
      <c r="V783" s="206"/>
      <c r="W783" s="206"/>
      <c r="X783" s="206"/>
      <c r="Y783" s="206">
        <f t="shared" ref="Y783:BB783" si="1198">Y$777</f>
        <v>11418.824947999177</v>
      </c>
      <c r="Z783" s="206">
        <f t="shared" si="1198"/>
        <v>11418.824947999177</v>
      </c>
      <c r="AA783" s="206">
        <f t="shared" si="1198"/>
        <v>11418.824947999179</v>
      </c>
      <c r="AB783" s="206">
        <f t="shared" si="1198"/>
        <v>11418.824947999174</v>
      </c>
      <c r="AC783" s="206">
        <f t="shared" si="1198"/>
        <v>11418.824947999174</v>
      </c>
      <c r="AD783" s="206">
        <f t="shared" si="1198"/>
        <v>11418.824947999185</v>
      </c>
      <c r="AE783" s="206">
        <f t="shared" si="1198"/>
        <v>11418.824947999161</v>
      </c>
      <c r="AF783" s="206">
        <f t="shared" si="1198"/>
        <v>11418.824947999185</v>
      </c>
      <c r="AG783" s="206">
        <f t="shared" si="1198"/>
        <v>11418.824947999161</v>
      </c>
      <c r="AH783" s="206">
        <f t="shared" si="1198"/>
        <v>11418.824947999185</v>
      </c>
      <c r="AI783" s="206">
        <f t="shared" si="1198"/>
        <v>11418.824947999161</v>
      </c>
      <c r="AJ783" s="206">
        <f t="shared" si="1198"/>
        <v>11418.82494799921</v>
      </c>
      <c r="AK783" s="206">
        <f t="shared" si="1198"/>
        <v>11418.824947999161</v>
      </c>
      <c r="AL783" s="206">
        <f t="shared" si="1198"/>
        <v>11418.824947999161</v>
      </c>
      <c r="AM783" s="206">
        <f t="shared" si="1198"/>
        <v>11418.82494799921</v>
      </c>
      <c r="AN783" s="206">
        <f t="shared" si="1198"/>
        <v>11418.824947999137</v>
      </c>
      <c r="AO783" s="206">
        <f t="shared" si="1198"/>
        <v>11418.82494799921</v>
      </c>
      <c r="AP783" s="206">
        <f t="shared" si="1198"/>
        <v>11418.824947999161</v>
      </c>
      <c r="AQ783" s="206">
        <f t="shared" si="1198"/>
        <v>11418.824947999161</v>
      </c>
      <c r="AR783" s="206">
        <f t="shared" si="1198"/>
        <v>11418.82494799921</v>
      </c>
      <c r="AS783" s="206">
        <f t="shared" si="1198"/>
        <v>11418.82494799921</v>
      </c>
      <c r="AT783" s="206">
        <f t="shared" si="1198"/>
        <v>11418.824947999161</v>
      </c>
      <c r="AU783" s="206">
        <f t="shared" si="1198"/>
        <v>11418.824947999161</v>
      </c>
      <c r="AV783" s="206">
        <f t="shared" si="1198"/>
        <v>11418.824947999161</v>
      </c>
      <c r="AW783" s="206">
        <f t="shared" si="1198"/>
        <v>11418.82494799921</v>
      </c>
      <c r="AX783" s="206">
        <f t="shared" si="1198"/>
        <v>11418.824947999112</v>
      </c>
      <c r="AY783" s="206">
        <f t="shared" si="1198"/>
        <v>11418.824947999161</v>
      </c>
      <c r="AZ783" s="206">
        <f t="shared" si="1198"/>
        <v>11418.82494799921</v>
      </c>
      <c r="BA783" s="206">
        <f t="shared" si="1198"/>
        <v>11418.82494799921</v>
      </c>
      <c r="BB783" s="207">
        <f t="shared" si="1198"/>
        <v>11418.824947999161</v>
      </c>
    </row>
    <row r="784" spans="3:350" ht="18" customHeight="1" outlineLevel="1" x14ac:dyDescent="0.3">
      <c r="C784" s="204" t="str">
        <f>$BD$2</f>
        <v>ADEME Tend.</v>
      </c>
      <c r="D784" s="4"/>
      <c r="E784" s="137" t="s">
        <v>105</v>
      </c>
      <c r="F784" s="138"/>
      <c r="H784" s="205">
        <f>BD$777</f>
        <v>0</v>
      </c>
      <c r="I784" s="206">
        <f>BI$777</f>
        <v>0</v>
      </c>
      <c r="J784" s="206">
        <f>BN$777</f>
        <v>8401.1761948143176</v>
      </c>
      <c r="K784" s="206">
        <f>BS$777</f>
        <v>8401.1761948143176</v>
      </c>
      <c r="L784" s="206">
        <f>CC$777</f>
        <v>8401.1761948143176</v>
      </c>
      <c r="M784" s="207">
        <f>CM$777</f>
        <v>8401.1761948143248</v>
      </c>
      <c r="N784" s="206"/>
      <c r="O784" s="206"/>
      <c r="P784" s="206"/>
      <c r="Q784" s="206"/>
      <c r="S784" s="205"/>
      <c r="T784" s="206"/>
      <c r="U784" s="206"/>
      <c r="V784" s="206"/>
      <c r="W784" s="206"/>
      <c r="X784" s="206"/>
      <c r="Y784" s="206">
        <f t="shared" ref="Y784:BB784" si="1199">BJ$777</f>
        <v>8401.1761948143176</v>
      </c>
      <c r="Z784" s="206">
        <f t="shared" si="1199"/>
        <v>8401.1761948143176</v>
      </c>
      <c r="AA784" s="206">
        <f t="shared" si="1199"/>
        <v>8401.1761948143176</v>
      </c>
      <c r="AB784" s="206">
        <f t="shared" si="1199"/>
        <v>8401.1761948143176</v>
      </c>
      <c r="AC784" s="206">
        <f t="shared" si="1199"/>
        <v>8401.1761948143176</v>
      </c>
      <c r="AD784" s="206">
        <f t="shared" si="1199"/>
        <v>8401.1761948143157</v>
      </c>
      <c r="AE784" s="206">
        <f t="shared" si="1199"/>
        <v>8401.1761948143176</v>
      </c>
      <c r="AF784" s="206">
        <f t="shared" si="1199"/>
        <v>8401.1761948143176</v>
      </c>
      <c r="AG784" s="206">
        <f t="shared" si="1199"/>
        <v>8401.1761948143157</v>
      </c>
      <c r="AH784" s="206">
        <f t="shared" si="1199"/>
        <v>8401.1761948143176</v>
      </c>
      <c r="AI784" s="206">
        <f t="shared" si="1199"/>
        <v>8401.1761948143176</v>
      </c>
      <c r="AJ784" s="206">
        <f t="shared" si="1199"/>
        <v>8401.1761948143157</v>
      </c>
      <c r="AK784" s="206">
        <f t="shared" si="1199"/>
        <v>8401.1761948143176</v>
      </c>
      <c r="AL784" s="206">
        <f t="shared" si="1199"/>
        <v>8401.1761948143194</v>
      </c>
      <c r="AM784" s="206">
        <f t="shared" si="1199"/>
        <v>8401.1761948143212</v>
      </c>
      <c r="AN784" s="206">
        <f t="shared" si="1199"/>
        <v>8401.1761948143157</v>
      </c>
      <c r="AO784" s="206">
        <f t="shared" si="1199"/>
        <v>8401.1761948143157</v>
      </c>
      <c r="AP784" s="206">
        <f t="shared" si="1199"/>
        <v>8401.1761948143176</v>
      </c>
      <c r="AQ784" s="206">
        <f t="shared" si="1199"/>
        <v>8401.1761948143212</v>
      </c>
      <c r="AR784" s="206">
        <f t="shared" si="1199"/>
        <v>8401.1761948143176</v>
      </c>
      <c r="AS784" s="206">
        <f t="shared" si="1199"/>
        <v>8401.1761948143194</v>
      </c>
      <c r="AT784" s="206">
        <f t="shared" si="1199"/>
        <v>8401.1761948143157</v>
      </c>
      <c r="AU784" s="206">
        <f t="shared" si="1199"/>
        <v>8401.1761948143139</v>
      </c>
      <c r="AV784" s="206">
        <f t="shared" si="1199"/>
        <v>8401.1761948143194</v>
      </c>
      <c r="AW784" s="206">
        <f t="shared" si="1199"/>
        <v>8401.1761948143139</v>
      </c>
      <c r="AX784" s="206">
        <f t="shared" si="1199"/>
        <v>8401.1761948143212</v>
      </c>
      <c r="AY784" s="206">
        <f t="shared" si="1199"/>
        <v>8401.176194814323</v>
      </c>
      <c r="AZ784" s="206">
        <f t="shared" si="1199"/>
        <v>8401.1761948143176</v>
      </c>
      <c r="BA784" s="206">
        <f t="shared" si="1199"/>
        <v>8401.1761948143157</v>
      </c>
      <c r="BB784" s="207">
        <f t="shared" si="1199"/>
        <v>8401.1761948143248</v>
      </c>
    </row>
    <row r="785" spans="3:350" ht="18" customHeight="1" outlineLevel="1" x14ac:dyDescent="0.3">
      <c r="C785" s="204" t="str">
        <f>$CO$2</f>
        <v>ADEME S1</v>
      </c>
      <c r="D785" s="4"/>
      <c r="E785" s="137" t="s">
        <v>105</v>
      </c>
      <c r="F785" s="138"/>
      <c r="H785" s="205">
        <f>CO$777</f>
        <v>0</v>
      </c>
      <c r="I785" s="206">
        <f>CT$777</f>
        <v>0</v>
      </c>
      <c r="J785" s="206">
        <f>CY$777</f>
        <v>8671.9548504639642</v>
      </c>
      <c r="K785" s="206">
        <f>DD$777</f>
        <v>8671.9548504639624</v>
      </c>
      <c r="L785" s="206">
        <f>DN$777</f>
        <v>8671.9548504639661</v>
      </c>
      <c r="M785" s="207">
        <f>DX$777</f>
        <v>8671.9548504639588</v>
      </c>
      <c r="N785" s="206"/>
      <c r="O785" s="206"/>
      <c r="P785" s="206"/>
      <c r="Q785" s="206"/>
      <c r="S785" s="205"/>
      <c r="T785" s="206"/>
      <c r="U785" s="206"/>
      <c r="V785" s="206"/>
      <c r="W785" s="206"/>
      <c r="X785" s="206"/>
      <c r="Y785" s="206">
        <f t="shared" ref="Y785:BB785" si="1200">CU$777</f>
        <v>8671.9548504639661</v>
      </c>
      <c r="Z785" s="206">
        <f t="shared" si="1200"/>
        <v>8671.9548504639661</v>
      </c>
      <c r="AA785" s="206">
        <f t="shared" si="1200"/>
        <v>8671.9548504639661</v>
      </c>
      <c r="AB785" s="206">
        <f t="shared" si="1200"/>
        <v>8671.9548504639661</v>
      </c>
      <c r="AC785" s="206">
        <f t="shared" si="1200"/>
        <v>8671.9548504639642</v>
      </c>
      <c r="AD785" s="206">
        <f t="shared" si="1200"/>
        <v>8671.9548504639679</v>
      </c>
      <c r="AE785" s="206">
        <f t="shared" si="1200"/>
        <v>8671.9548504639661</v>
      </c>
      <c r="AF785" s="206">
        <f t="shared" si="1200"/>
        <v>8671.9548504639661</v>
      </c>
      <c r="AG785" s="206">
        <f t="shared" si="1200"/>
        <v>8671.9548504639661</v>
      </c>
      <c r="AH785" s="206">
        <f t="shared" si="1200"/>
        <v>8671.9548504639624</v>
      </c>
      <c r="AI785" s="206">
        <f t="shared" si="1200"/>
        <v>8671.9548504639697</v>
      </c>
      <c r="AJ785" s="206">
        <f t="shared" si="1200"/>
        <v>8671.9548504639642</v>
      </c>
      <c r="AK785" s="206">
        <f t="shared" si="1200"/>
        <v>8671.9548504639661</v>
      </c>
      <c r="AL785" s="206">
        <f t="shared" si="1200"/>
        <v>8671.9548504639642</v>
      </c>
      <c r="AM785" s="206">
        <f t="shared" si="1200"/>
        <v>8671.9548504639642</v>
      </c>
      <c r="AN785" s="206">
        <f t="shared" si="1200"/>
        <v>8671.9548504639697</v>
      </c>
      <c r="AO785" s="206">
        <f t="shared" si="1200"/>
        <v>8671.9548504639661</v>
      </c>
      <c r="AP785" s="206">
        <f t="shared" si="1200"/>
        <v>8671.9548504639642</v>
      </c>
      <c r="AQ785" s="206">
        <f t="shared" si="1200"/>
        <v>8671.9548504639606</v>
      </c>
      <c r="AR785" s="206">
        <f t="shared" si="1200"/>
        <v>8671.9548504639661</v>
      </c>
      <c r="AS785" s="206">
        <f t="shared" si="1200"/>
        <v>8671.9548504639679</v>
      </c>
      <c r="AT785" s="206">
        <f t="shared" si="1200"/>
        <v>8671.9548504639733</v>
      </c>
      <c r="AU785" s="206">
        <f t="shared" si="1200"/>
        <v>8671.954850463957</v>
      </c>
      <c r="AV785" s="206">
        <f t="shared" si="1200"/>
        <v>8671.9548504639715</v>
      </c>
      <c r="AW785" s="206">
        <f t="shared" si="1200"/>
        <v>8671.9548504639661</v>
      </c>
      <c r="AX785" s="206">
        <f t="shared" si="1200"/>
        <v>8671.9548504639661</v>
      </c>
      <c r="AY785" s="206">
        <f t="shared" si="1200"/>
        <v>8671.9548504639624</v>
      </c>
      <c r="AZ785" s="206">
        <f t="shared" si="1200"/>
        <v>8671.9548504639715</v>
      </c>
      <c r="BA785" s="206">
        <f t="shared" si="1200"/>
        <v>8671.9548504639715</v>
      </c>
      <c r="BB785" s="207">
        <f t="shared" si="1200"/>
        <v>8671.9548504639588</v>
      </c>
    </row>
    <row r="786" spans="3:350" ht="18" customHeight="1" outlineLevel="1" x14ac:dyDescent="0.3">
      <c r="C786" s="204" t="str">
        <f>$DZ$2</f>
        <v>ADEME S2</v>
      </c>
      <c r="D786" s="4"/>
      <c r="E786" s="137" t="s">
        <v>105</v>
      </c>
      <c r="F786" s="138"/>
      <c r="H786" s="205">
        <f>DZ$777</f>
        <v>0</v>
      </c>
      <c r="I786" s="206">
        <f>EE$777</f>
        <v>0</v>
      </c>
      <c r="J786" s="206">
        <f>EJ$777</f>
        <v>8013.6179934781276</v>
      </c>
      <c r="K786" s="206">
        <f>EO$777</f>
        <v>8013.6179934781294</v>
      </c>
      <c r="L786" s="206">
        <f>EY$777</f>
        <v>8013.6179934781267</v>
      </c>
      <c r="M786" s="207">
        <f>FI$777</f>
        <v>8013.6179934781239</v>
      </c>
      <c r="N786" s="206"/>
      <c r="O786" s="206"/>
      <c r="P786" s="206"/>
      <c r="Q786" s="206"/>
      <c r="S786" s="205"/>
      <c r="T786" s="206"/>
      <c r="U786" s="206"/>
      <c r="V786" s="206"/>
      <c r="W786" s="206"/>
      <c r="X786" s="206"/>
      <c r="Y786" s="206">
        <f t="shared" ref="Y786:BB786" si="1201">EF$777</f>
        <v>8013.6179934781285</v>
      </c>
      <c r="Z786" s="206">
        <f t="shared" si="1201"/>
        <v>8013.6179934781285</v>
      </c>
      <c r="AA786" s="206">
        <f t="shared" si="1201"/>
        <v>8013.6179934781276</v>
      </c>
      <c r="AB786" s="206">
        <f t="shared" si="1201"/>
        <v>8013.6179934781285</v>
      </c>
      <c r="AC786" s="206">
        <f t="shared" si="1201"/>
        <v>8013.6179934781276</v>
      </c>
      <c r="AD786" s="206">
        <f t="shared" si="1201"/>
        <v>8013.6179934781294</v>
      </c>
      <c r="AE786" s="206">
        <f t="shared" si="1201"/>
        <v>8013.6179934781276</v>
      </c>
      <c r="AF786" s="206">
        <f t="shared" si="1201"/>
        <v>8013.6179934781339</v>
      </c>
      <c r="AG786" s="206">
        <f t="shared" si="1201"/>
        <v>8013.6179934781258</v>
      </c>
      <c r="AH786" s="206">
        <f t="shared" si="1201"/>
        <v>8013.6179934781294</v>
      </c>
      <c r="AI786" s="206">
        <f t="shared" si="1201"/>
        <v>8013.6179934781312</v>
      </c>
      <c r="AJ786" s="206">
        <f t="shared" si="1201"/>
        <v>8013.6179934781239</v>
      </c>
      <c r="AK786" s="206">
        <f t="shared" si="1201"/>
        <v>8013.6179934781285</v>
      </c>
      <c r="AL786" s="206">
        <f t="shared" si="1201"/>
        <v>8013.6179934781258</v>
      </c>
      <c r="AM786" s="206">
        <f t="shared" si="1201"/>
        <v>8013.6179934781312</v>
      </c>
      <c r="AN786" s="206">
        <f t="shared" si="1201"/>
        <v>8013.6179934781339</v>
      </c>
      <c r="AO786" s="206">
        <f t="shared" si="1201"/>
        <v>8013.6179934781267</v>
      </c>
      <c r="AP786" s="206">
        <f t="shared" si="1201"/>
        <v>8013.6179934781258</v>
      </c>
      <c r="AQ786" s="206">
        <f t="shared" si="1201"/>
        <v>8013.6179934781339</v>
      </c>
      <c r="AR786" s="206">
        <f t="shared" si="1201"/>
        <v>8013.6179934781267</v>
      </c>
      <c r="AS786" s="206">
        <f t="shared" si="1201"/>
        <v>8013.6179934781212</v>
      </c>
      <c r="AT786" s="206">
        <f t="shared" si="1201"/>
        <v>8013.617993478143</v>
      </c>
      <c r="AU786" s="206">
        <f t="shared" si="1201"/>
        <v>8013.6179934781276</v>
      </c>
      <c r="AV786" s="206">
        <f t="shared" si="1201"/>
        <v>8013.617993478123</v>
      </c>
      <c r="AW786" s="206">
        <f t="shared" si="1201"/>
        <v>8013.6179934781303</v>
      </c>
      <c r="AX786" s="206">
        <f t="shared" si="1201"/>
        <v>8013.6179934781276</v>
      </c>
      <c r="AY786" s="206">
        <f t="shared" si="1201"/>
        <v>8013.6179934781403</v>
      </c>
      <c r="AZ786" s="206">
        <f t="shared" si="1201"/>
        <v>8013.6179934781112</v>
      </c>
      <c r="BA786" s="206">
        <f t="shared" si="1201"/>
        <v>8013.6179934781403</v>
      </c>
      <c r="BB786" s="207">
        <f t="shared" si="1201"/>
        <v>8013.6179934781239</v>
      </c>
    </row>
    <row r="787" spans="3:350" ht="18" customHeight="1" outlineLevel="1" x14ac:dyDescent="0.3">
      <c r="C787" s="204" t="str">
        <f>$FK$2</f>
        <v>ADEME S3</v>
      </c>
      <c r="D787" s="4"/>
      <c r="E787" s="137" t="s">
        <v>105</v>
      </c>
      <c r="F787" s="138"/>
      <c r="H787" s="205">
        <f>FK$777</f>
        <v>0</v>
      </c>
      <c r="I787" s="206">
        <f>FP$777</f>
        <v>0</v>
      </c>
      <c r="J787" s="206">
        <f>FU$777</f>
        <v>9561.0966468796432</v>
      </c>
      <c r="K787" s="206">
        <f>FZ$777</f>
        <v>9561.0966468796469</v>
      </c>
      <c r="L787" s="206">
        <f>GJ$777</f>
        <v>9561.0966468796396</v>
      </c>
      <c r="M787" s="207">
        <f>GT$777</f>
        <v>9561.0966468796432</v>
      </c>
      <c r="N787" s="206"/>
      <c r="O787" s="206"/>
      <c r="P787" s="206"/>
      <c r="Q787" s="206"/>
      <c r="S787" s="205"/>
      <c r="T787" s="206"/>
      <c r="U787" s="206"/>
      <c r="V787" s="206"/>
      <c r="W787" s="206"/>
      <c r="X787" s="206"/>
      <c r="Y787" s="206">
        <f t="shared" ref="Y787:BB787" si="1202">FQ$777</f>
        <v>9561.0966468796432</v>
      </c>
      <c r="Z787" s="206">
        <f t="shared" si="1202"/>
        <v>9561.0966468796432</v>
      </c>
      <c r="AA787" s="206">
        <f t="shared" si="1202"/>
        <v>9561.0966468796432</v>
      </c>
      <c r="AB787" s="206">
        <f t="shared" si="1202"/>
        <v>9561.0966468796432</v>
      </c>
      <c r="AC787" s="206">
        <f t="shared" si="1202"/>
        <v>9561.0966468796432</v>
      </c>
      <c r="AD787" s="206">
        <f t="shared" si="1202"/>
        <v>9561.0966468796432</v>
      </c>
      <c r="AE787" s="206">
        <f t="shared" si="1202"/>
        <v>9561.0966468796432</v>
      </c>
      <c r="AF787" s="206">
        <f t="shared" si="1202"/>
        <v>9561.0966468796469</v>
      </c>
      <c r="AG787" s="206">
        <f t="shared" si="1202"/>
        <v>9561.0966468796432</v>
      </c>
      <c r="AH787" s="206">
        <f t="shared" si="1202"/>
        <v>9561.0966468796469</v>
      </c>
      <c r="AI787" s="206">
        <f t="shared" si="1202"/>
        <v>9561.0966468796469</v>
      </c>
      <c r="AJ787" s="206">
        <f t="shared" si="1202"/>
        <v>9561.0966468796396</v>
      </c>
      <c r="AK787" s="206">
        <f t="shared" si="1202"/>
        <v>9561.0966468796432</v>
      </c>
      <c r="AL787" s="206">
        <f t="shared" si="1202"/>
        <v>9561.0966468796469</v>
      </c>
      <c r="AM787" s="206">
        <f t="shared" si="1202"/>
        <v>9561.0966468796505</v>
      </c>
      <c r="AN787" s="206">
        <f t="shared" si="1202"/>
        <v>9561.0966468796432</v>
      </c>
      <c r="AO787" s="206">
        <f t="shared" si="1202"/>
        <v>9561.0966468796432</v>
      </c>
      <c r="AP787" s="206">
        <f t="shared" si="1202"/>
        <v>9561.0966468796432</v>
      </c>
      <c r="AQ787" s="206">
        <f t="shared" si="1202"/>
        <v>9561.0966468796541</v>
      </c>
      <c r="AR787" s="206">
        <f t="shared" si="1202"/>
        <v>9561.0966468796396</v>
      </c>
      <c r="AS787" s="206">
        <f t="shared" si="1202"/>
        <v>9561.0966468796396</v>
      </c>
      <c r="AT787" s="206">
        <f t="shared" si="1202"/>
        <v>9561.0966468796505</v>
      </c>
      <c r="AU787" s="206">
        <f t="shared" si="1202"/>
        <v>9561.0966468796541</v>
      </c>
      <c r="AV787" s="206">
        <f t="shared" si="1202"/>
        <v>9561.0966468796287</v>
      </c>
      <c r="AW787" s="206">
        <f t="shared" si="1202"/>
        <v>9561.0966468796541</v>
      </c>
      <c r="AX787" s="206">
        <f t="shared" si="1202"/>
        <v>9561.0966468796323</v>
      </c>
      <c r="AY787" s="206">
        <f t="shared" si="1202"/>
        <v>9561.0966468796614</v>
      </c>
      <c r="AZ787" s="206">
        <f t="shared" si="1202"/>
        <v>9561.0966468796323</v>
      </c>
      <c r="BA787" s="206">
        <f t="shared" si="1202"/>
        <v>9561.0966468796541</v>
      </c>
      <c r="BB787" s="207">
        <f t="shared" si="1202"/>
        <v>9561.0966468796432</v>
      </c>
    </row>
    <row r="788" spans="3:350" ht="18" customHeight="1" outlineLevel="1" x14ac:dyDescent="0.3">
      <c r="C788" s="204" t="str">
        <f>$GV$2</f>
        <v>ADEME S4</v>
      </c>
      <c r="D788" s="4"/>
      <c r="E788" s="137" t="s">
        <v>105</v>
      </c>
      <c r="F788" s="138"/>
      <c r="H788" s="205">
        <f>GV$777</f>
        <v>0</v>
      </c>
      <c r="I788" s="206">
        <f>HA$777</f>
        <v>0</v>
      </c>
      <c r="J788" s="206">
        <f>HF$777</f>
        <v>9186.5698463483986</v>
      </c>
      <c r="K788" s="206">
        <f>HK$777</f>
        <v>9186.5698463483968</v>
      </c>
      <c r="L788" s="206">
        <f>HU$777</f>
        <v>9186.5698463483986</v>
      </c>
      <c r="M788" s="207">
        <f>IE$777</f>
        <v>9186.5698463483986</v>
      </c>
      <c r="N788" s="206"/>
      <c r="O788" s="206"/>
      <c r="P788" s="206"/>
      <c r="Q788" s="206"/>
      <c r="S788" s="205"/>
      <c r="T788" s="206"/>
      <c r="U788" s="206"/>
      <c r="V788" s="206"/>
      <c r="W788" s="206"/>
      <c r="X788" s="206"/>
      <c r="Y788" s="206">
        <f t="shared" ref="Y788:BB788" si="1203">HB$777</f>
        <v>9186.5698463483968</v>
      </c>
      <c r="Z788" s="206">
        <f t="shared" si="1203"/>
        <v>9186.5698463483968</v>
      </c>
      <c r="AA788" s="206">
        <f t="shared" si="1203"/>
        <v>9186.5698463483986</v>
      </c>
      <c r="AB788" s="206">
        <f t="shared" si="1203"/>
        <v>9186.569846348395</v>
      </c>
      <c r="AC788" s="206">
        <f t="shared" si="1203"/>
        <v>9186.5698463483986</v>
      </c>
      <c r="AD788" s="206">
        <f t="shared" si="1203"/>
        <v>9186.5698463483986</v>
      </c>
      <c r="AE788" s="206">
        <f t="shared" si="1203"/>
        <v>9186.5698463483968</v>
      </c>
      <c r="AF788" s="206">
        <f t="shared" si="1203"/>
        <v>9186.5698463483932</v>
      </c>
      <c r="AG788" s="206">
        <f t="shared" si="1203"/>
        <v>9186.5698463483986</v>
      </c>
      <c r="AH788" s="206">
        <f t="shared" si="1203"/>
        <v>9186.5698463483968</v>
      </c>
      <c r="AI788" s="206">
        <f t="shared" si="1203"/>
        <v>9186.5698463484023</v>
      </c>
      <c r="AJ788" s="206">
        <f t="shared" si="1203"/>
        <v>9186.569846348395</v>
      </c>
      <c r="AK788" s="206">
        <f t="shared" si="1203"/>
        <v>9186.569846348395</v>
      </c>
      <c r="AL788" s="206">
        <f t="shared" si="1203"/>
        <v>9186.5698463483986</v>
      </c>
      <c r="AM788" s="206">
        <f t="shared" si="1203"/>
        <v>9186.5698463483986</v>
      </c>
      <c r="AN788" s="206">
        <f t="shared" si="1203"/>
        <v>9186.5698463483895</v>
      </c>
      <c r="AO788" s="206">
        <f t="shared" si="1203"/>
        <v>9186.5698463484077</v>
      </c>
      <c r="AP788" s="206">
        <f t="shared" si="1203"/>
        <v>9186.5698463483895</v>
      </c>
      <c r="AQ788" s="206">
        <f t="shared" si="1203"/>
        <v>9186.569846348395</v>
      </c>
      <c r="AR788" s="206">
        <f t="shared" si="1203"/>
        <v>9186.5698463483986</v>
      </c>
      <c r="AS788" s="206">
        <f t="shared" si="1203"/>
        <v>9186.5698463483968</v>
      </c>
      <c r="AT788" s="206">
        <f t="shared" si="1203"/>
        <v>9186.5698463484059</v>
      </c>
      <c r="AU788" s="206">
        <f t="shared" si="1203"/>
        <v>9186.5698463483841</v>
      </c>
      <c r="AV788" s="206">
        <f t="shared" si="1203"/>
        <v>9186.5698463484059</v>
      </c>
      <c r="AW788" s="206">
        <f t="shared" si="1203"/>
        <v>9186.5698463483877</v>
      </c>
      <c r="AX788" s="206">
        <f t="shared" si="1203"/>
        <v>9186.5698463484005</v>
      </c>
      <c r="AY788" s="206">
        <f t="shared" si="1203"/>
        <v>9186.5698463484077</v>
      </c>
      <c r="AZ788" s="206">
        <f t="shared" si="1203"/>
        <v>9186.5698463483877</v>
      </c>
      <c r="BA788" s="206">
        <f t="shared" si="1203"/>
        <v>9186.5698463484005</v>
      </c>
      <c r="BB788" s="207">
        <f t="shared" si="1203"/>
        <v>9186.5698463483986</v>
      </c>
    </row>
    <row r="789" spans="3:350" ht="18" customHeight="1" outlineLevel="1" x14ac:dyDescent="0.3">
      <c r="C789" s="204" t="str">
        <f>$IG$2</f>
        <v>AME 2023</v>
      </c>
      <c r="D789" s="4"/>
      <c r="E789" s="137" t="s">
        <v>105</v>
      </c>
      <c r="F789" s="138"/>
      <c r="H789" s="205">
        <f>IG$777</f>
        <v>0</v>
      </c>
      <c r="I789" s="206">
        <f>IL$777</f>
        <v>0</v>
      </c>
      <c r="J789" s="206">
        <f>IQ$777</f>
        <v>12847.361225753939</v>
      </c>
      <c r="K789" s="206">
        <f>IV$777</f>
        <v>12847.361225753939</v>
      </c>
      <c r="L789" s="206">
        <f>JF$777</f>
        <v>2720.3171195773293</v>
      </c>
      <c r="M789" s="207">
        <f>JP$777</f>
        <v>2720.3171195773293</v>
      </c>
      <c r="N789" s="206"/>
      <c r="O789" s="206"/>
      <c r="P789" s="206"/>
      <c r="Q789" s="206"/>
      <c r="S789" s="205"/>
      <c r="T789" s="206"/>
      <c r="U789" s="206"/>
      <c r="V789" s="206"/>
      <c r="W789" s="206"/>
      <c r="X789" s="206"/>
      <c r="Y789" s="206">
        <f t="shared" ref="Y789:BB789" si="1204">IM$777</f>
        <v>0</v>
      </c>
      <c r="Z789" s="206">
        <f t="shared" si="1204"/>
        <v>0</v>
      </c>
      <c r="AA789" s="206">
        <f t="shared" si="1204"/>
        <v>0</v>
      </c>
      <c r="AB789" s="206">
        <f t="shared" si="1204"/>
        <v>12847.361225753939</v>
      </c>
      <c r="AC789" s="206">
        <f t="shared" si="1204"/>
        <v>12847.361225753939</v>
      </c>
      <c r="AD789" s="206">
        <f t="shared" si="1204"/>
        <v>12847.361225753939</v>
      </c>
      <c r="AE789" s="206">
        <f t="shared" si="1204"/>
        <v>12847.361225753939</v>
      </c>
      <c r="AF789" s="206">
        <f t="shared" si="1204"/>
        <v>12847.361225753939</v>
      </c>
      <c r="AG789" s="206">
        <f t="shared" si="1204"/>
        <v>12847.361225753939</v>
      </c>
      <c r="AH789" s="206">
        <f t="shared" si="1204"/>
        <v>12847.361225753939</v>
      </c>
      <c r="AI789" s="206">
        <f t="shared" si="1204"/>
        <v>2720.3171195773293</v>
      </c>
      <c r="AJ789" s="206">
        <f t="shared" si="1204"/>
        <v>2720.3171195773293</v>
      </c>
      <c r="AK789" s="206">
        <f t="shared" si="1204"/>
        <v>2720.3171195773293</v>
      </c>
      <c r="AL789" s="206">
        <f t="shared" si="1204"/>
        <v>2720.3171195773293</v>
      </c>
      <c r="AM789" s="206">
        <f t="shared" si="1204"/>
        <v>2720.3171195773293</v>
      </c>
      <c r="AN789" s="206">
        <f t="shared" si="1204"/>
        <v>2720.3171195773293</v>
      </c>
      <c r="AO789" s="206">
        <f t="shared" si="1204"/>
        <v>2720.3171195773293</v>
      </c>
      <c r="AP789" s="206">
        <f t="shared" si="1204"/>
        <v>2720.3171195773293</v>
      </c>
      <c r="AQ789" s="206">
        <f t="shared" si="1204"/>
        <v>2720.3171195773293</v>
      </c>
      <c r="AR789" s="206">
        <f t="shared" si="1204"/>
        <v>2720.3171195773293</v>
      </c>
      <c r="AS789" s="206">
        <f t="shared" si="1204"/>
        <v>2720.3171195773293</v>
      </c>
      <c r="AT789" s="206">
        <f t="shared" si="1204"/>
        <v>2720.3171195773293</v>
      </c>
      <c r="AU789" s="206">
        <f t="shared" si="1204"/>
        <v>2720.3171195773293</v>
      </c>
      <c r="AV789" s="206">
        <f t="shared" si="1204"/>
        <v>2720.3171195773293</v>
      </c>
      <c r="AW789" s="206">
        <f t="shared" si="1204"/>
        <v>2720.3171195773293</v>
      </c>
      <c r="AX789" s="206">
        <f t="shared" si="1204"/>
        <v>2720.3171195773293</v>
      </c>
      <c r="AY789" s="206">
        <f t="shared" si="1204"/>
        <v>2720.3171195773293</v>
      </c>
      <c r="AZ789" s="206">
        <f t="shared" si="1204"/>
        <v>2720.3171195773293</v>
      </c>
      <c r="BA789" s="206">
        <f t="shared" si="1204"/>
        <v>2720.3171195773293</v>
      </c>
      <c r="BB789" s="207">
        <f t="shared" si="1204"/>
        <v>2720.3171195773293</v>
      </c>
    </row>
    <row r="790" spans="3:350" ht="18" customHeight="1" outlineLevel="1" x14ac:dyDescent="0.3">
      <c r="C790" s="204" t="str">
        <f>$JR$2</f>
        <v>AMS run 2 2023</v>
      </c>
      <c r="D790" s="4"/>
      <c r="E790" s="137" t="s">
        <v>105</v>
      </c>
      <c r="F790" s="138"/>
      <c r="H790" s="205">
        <f>JR$777</f>
        <v>0</v>
      </c>
      <c r="I790" s="206">
        <f>JW$777</f>
        <v>0</v>
      </c>
      <c r="J790" s="206">
        <f>KB$777</f>
        <v>14608.248850844253</v>
      </c>
      <c r="K790" s="206">
        <f>KG$777</f>
        <v>14608.248850844253</v>
      </c>
      <c r="L790" s="206">
        <f>KQ$777</f>
        <v>6768.0891088467442</v>
      </c>
      <c r="M790" s="207">
        <f>LA$777</f>
        <v>6768.0891088467442</v>
      </c>
      <c r="N790" s="206"/>
      <c r="O790" s="206"/>
      <c r="P790" s="206"/>
      <c r="Q790" s="206"/>
      <c r="S790" s="205"/>
      <c r="T790" s="206"/>
      <c r="U790" s="206"/>
      <c r="V790" s="206"/>
      <c r="W790" s="206"/>
      <c r="X790" s="206"/>
      <c r="Y790" s="206">
        <f t="shared" ref="Y790:BB790" si="1205">JX$777</f>
        <v>0</v>
      </c>
      <c r="Z790" s="206">
        <f t="shared" si="1205"/>
        <v>0</v>
      </c>
      <c r="AA790" s="206">
        <f t="shared" si="1205"/>
        <v>0</v>
      </c>
      <c r="AB790" s="206">
        <f t="shared" si="1205"/>
        <v>14608.248850844253</v>
      </c>
      <c r="AC790" s="206">
        <f t="shared" si="1205"/>
        <v>14608.248850844253</v>
      </c>
      <c r="AD790" s="206">
        <f t="shared" si="1205"/>
        <v>14608.248850844253</v>
      </c>
      <c r="AE790" s="206">
        <f t="shared" si="1205"/>
        <v>14608.248850844253</v>
      </c>
      <c r="AF790" s="206">
        <f t="shared" si="1205"/>
        <v>14608.248850844253</v>
      </c>
      <c r="AG790" s="206">
        <f t="shared" si="1205"/>
        <v>14608.248850844253</v>
      </c>
      <c r="AH790" s="206">
        <f t="shared" si="1205"/>
        <v>14608.248850844253</v>
      </c>
      <c r="AI790" s="206">
        <f t="shared" si="1205"/>
        <v>6768.0891088467442</v>
      </c>
      <c r="AJ790" s="206">
        <f t="shared" si="1205"/>
        <v>6768.0891088467442</v>
      </c>
      <c r="AK790" s="206">
        <f t="shared" si="1205"/>
        <v>6768.0891088467442</v>
      </c>
      <c r="AL790" s="206">
        <f t="shared" si="1205"/>
        <v>6768.0891088467442</v>
      </c>
      <c r="AM790" s="206">
        <f t="shared" si="1205"/>
        <v>6768.0891088467442</v>
      </c>
      <c r="AN790" s="206">
        <f t="shared" si="1205"/>
        <v>6768.0891088467442</v>
      </c>
      <c r="AO790" s="206">
        <f t="shared" si="1205"/>
        <v>6768.0891088467442</v>
      </c>
      <c r="AP790" s="206">
        <f t="shared" si="1205"/>
        <v>6768.0891088467442</v>
      </c>
      <c r="AQ790" s="206">
        <f t="shared" si="1205"/>
        <v>6768.0891088467442</v>
      </c>
      <c r="AR790" s="206">
        <f t="shared" si="1205"/>
        <v>6768.0891088467442</v>
      </c>
      <c r="AS790" s="206">
        <f t="shared" si="1205"/>
        <v>6768.0891088467442</v>
      </c>
      <c r="AT790" s="206">
        <f t="shared" si="1205"/>
        <v>6768.0891088467442</v>
      </c>
      <c r="AU790" s="206">
        <f t="shared" si="1205"/>
        <v>6768.0891088467442</v>
      </c>
      <c r="AV790" s="206">
        <f t="shared" si="1205"/>
        <v>6768.0891088467442</v>
      </c>
      <c r="AW790" s="206">
        <f t="shared" si="1205"/>
        <v>6768.0891088467442</v>
      </c>
      <c r="AX790" s="206">
        <f t="shared" si="1205"/>
        <v>6768.0891088467442</v>
      </c>
      <c r="AY790" s="206">
        <f t="shared" si="1205"/>
        <v>6768.0891088467442</v>
      </c>
      <c r="AZ790" s="206">
        <f t="shared" si="1205"/>
        <v>6768.0891088467442</v>
      </c>
      <c r="BA790" s="206">
        <f t="shared" si="1205"/>
        <v>6768.0891088467442</v>
      </c>
      <c r="BB790" s="207">
        <f t="shared" si="1205"/>
        <v>6768.0891088467442</v>
      </c>
    </row>
    <row r="791" spans="3:350" ht="18" customHeight="1" outlineLevel="1" x14ac:dyDescent="0.3">
      <c r="C791" s="204" t="s">
        <v>522</v>
      </c>
      <c r="D791" s="4"/>
      <c r="E791" s="137" t="s">
        <v>105</v>
      </c>
      <c r="F791" s="138"/>
      <c r="H791" s="205">
        <f>LC$777</f>
        <v>0</v>
      </c>
      <c r="I791" s="206">
        <f>LH$777</f>
        <v>0</v>
      </c>
      <c r="J791" s="206">
        <f>LM$777</f>
        <v>9083.3060998488036</v>
      </c>
      <c r="K791" s="206">
        <f>LR$777</f>
        <v>9083.3060998488036</v>
      </c>
      <c r="L791" s="206">
        <f>MB$777</f>
        <v>8018.1171455337262</v>
      </c>
      <c r="M791" s="207">
        <f>ML$777</f>
        <v>7179.3660085826614</v>
      </c>
      <c r="N791" s="206"/>
      <c r="O791" s="206"/>
      <c r="P791" s="206"/>
      <c r="Q791" s="206"/>
      <c r="S791" s="205"/>
      <c r="T791" s="206"/>
      <c r="U791" s="206"/>
      <c r="V791" s="206"/>
      <c r="W791" s="206"/>
      <c r="X791" s="206"/>
      <c r="Y791" s="206"/>
      <c r="Z791" s="206"/>
      <c r="AA791" s="206"/>
      <c r="AB791" s="206">
        <f>LL$777</f>
        <v>9083.3060998488036</v>
      </c>
      <c r="AC791" s="206">
        <f>LM$777</f>
        <v>9083.3060998488036</v>
      </c>
      <c r="AD791" s="206">
        <f t="shared" ref="AD791:BB791" si="1206">LN$777</f>
        <v>9083.3060998488036</v>
      </c>
      <c r="AE791" s="206">
        <f t="shared" si="1206"/>
        <v>9083.3060998488036</v>
      </c>
      <c r="AF791" s="206">
        <f t="shared" si="1206"/>
        <v>9083.3060998488036</v>
      </c>
      <c r="AG791" s="206">
        <f t="shared" si="1206"/>
        <v>9083.3060998488036</v>
      </c>
      <c r="AH791" s="206">
        <f t="shared" si="1206"/>
        <v>9083.3060998488036</v>
      </c>
      <c r="AI791" s="206">
        <f t="shared" si="1206"/>
        <v>8018.1171455337262</v>
      </c>
      <c r="AJ791" s="206">
        <f t="shared" si="1206"/>
        <v>8018.1171455337262</v>
      </c>
      <c r="AK791" s="206">
        <f t="shared" si="1206"/>
        <v>8018.1171455337262</v>
      </c>
      <c r="AL791" s="206">
        <f t="shared" si="1206"/>
        <v>8018.1171455337262</v>
      </c>
      <c r="AM791" s="206">
        <f t="shared" si="1206"/>
        <v>8018.1171455337262</v>
      </c>
      <c r="AN791" s="206">
        <f t="shared" si="1206"/>
        <v>8018.1171455337262</v>
      </c>
      <c r="AO791" s="206">
        <f t="shared" si="1206"/>
        <v>8018.1171455337262</v>
      </c>
      <c r="AP791" s="206">
        <f t="shared" si="1206"/>
        <v>8018.1171455337262</v>
      </c>
      <c r="AQ791" s="206">
        <f t="shared" si="1206"/>
        <v>8018.1171455337262</v>
      </c>
      <c r="AR791" s="206">
        <f t="shared" si="1206"/>
        <v>8018.1171455337262</v>
      </c>
      <c r="AS791" s="206">
        <f t="shared" si="1206"/>
        <v>7179.3660085826614</v>
      </c>
      <c r="AT791" s="206">
        <f t="shared" si="1206"/>
        <v>7179.3660085826614</v>
      </c>
      <c r="AU791" s="206">
        <f t="shared" si="1206"/>
        <v>7179.3660085826614</v>
      </c>
      <c r="AV791" s="206">
        <f t="shared" si="1206"/>
        <v>7179.3660085826614</v>
      </c>
      <c r="AW791" s="206">
        <f t="shared" si="1206"/>
        <v>7179.3660085826614</v>
      </c>
      <c r="AX791" s="206">
        <f t="shared" si="1206"/>
        <v>7179.3660085826614</v>
      </c>
      <c r="AY791" s="206">
        <f t="shared" si="1206"/>
        <v>7179.3660085826614</v>
      </c>
      <c r="AZ791" s="206">
        <f t="shared" si="1206"/>
        <v>7179.3660085826614</v>
      </c>
      <c r="BA791" s="206">
        <f t="shared" si="1206"/>
        <v>7179.3660085826614</v>
      </c>
      <c r="BB791" s="207">
        <f t="shared" si="1206"/>
        <v>7179.3660085826614</v>
      </c>
    </row>
    <row r="792" spans="3:350" ht="18" customHeight="1" outlineLevel="1" x14ac:dyDescent="0.3">
      <c r="C792" s="208"/>
      <c r="D792" s="39"/>
      <c r="E792" s="209"/>
      <c r="F792" s="210"/>
      <c r="H792" s="211"/>
      <c r="I792" s="166"/>
      <c r="J792" s="166"/>
      <c r="K792" s="166"/>
      <c r="L792" s="166"/>
      <c r="M792" s="212"/>
      <c r="S792" s="211"/>
      <c r="T792" s="166"/>
      <c r="U792" s="166"/>
      <c r="V792" s="166"/>
      <c r="W792" s="166"/>
      <c r="X792" s="166"/>
      <c r="Y792" s="166"/>
      <c r="Z792" s="166"/>
      <c r="AA792" s="166"/>
      <c r="AB792" s="166"/>
      <c r="AC792" s="166"/>
      <c r="AD792" s="166"/>
      <c r="AE792" s="166"/>
      <c r="AF792" s="166"/>
      <c r="AG792" s="166"/>
      <c r="AH792" s="166"/>
      <c r="AI792" s="166"/>
      <c r="AJ792" s="166"/>
      <c r="AK792" s="166"/>
      <c r="AL792" s="166"/>
      <c r="AM792" s="166"/>
      <c r="AN792" s="166"/>
      <c r="AO792" s="166"/>
      <c r="AP792" s="166"/>
      <c r="AQ792" s="166"/>
      <c r="AR792" s="166"/>
      <c r="AS792" s="166"/>
      <c r="AT792" s="166"/>
      <c r="AU792" s="166"/>
      <c r="AV792" s="166"/>
      <c r="AW792" s="166"/>
      <c r="AX792" s="166"/>
      <c r="AY792" s="166"/>
      <c r="AZ792" s="166"/>
      <c r="BA792" s="166"/>
      <c r="BB792" s="212"/>
    </row>
    <row r="793" spans="3:350" s="4" customFormat="1" ht="18" customHeight="1" outlineLevel="1" x14ac:dyDescent="0.3">
      <c r="H793" s="140"/>
      <c r="I793" s="140"/>
      <c r="J793" s="140"/>
      <c r="K793" s="140"/>
      <c r="L793" s="140"/>
      <c r="M793" s="140"/>
      <c r="N793" s="140"/>
      <c r="O793" s="140"/>
      <c r="P793" s="140"/>
      <c r="Q793" s="140"/>
      <c r="R793" s="140"/>
      <c r="S793" s="140"/>
      <c r="T793" s="140"/>
      <c r="U793" s="140"/>
      <c r="V793" s="140"/>
      <c r="W793" s="140"/>
      <c r="X793" s="140"/>
      <c r="Y793" s="140"/>
      <c r="Z793" s="140"/>
      <c r="AA793" s="140"/>
      <c r="AB793" s="140"/>
      <c r="AC793" s="140"/>
      <c r="AD793" s="140"/>
      <c r="AE793" s="140"/>
      <c r="AF793" s="140"/>
      <c r="AG793" s="140"/>
      <c r="AH793" s="140"/>
      <c r="AI793" s="140"/>
      <c r="AJ793" s="140"/>
      <c r="AK793" s="140"/>
      <c r="AL793" s="140"/>
      <c r="AM793" s="140"/>
      <c r="AN793" s="140"/>
      <c r="AO793" s="140"/>
      <c r="AP793" s="140"/>
      <c r="AQ793" s="140"/>
      <c r="AR793" s="140"/>
      <c r="AS793" s="140"/>
      <c r="AT793" s="140"/>
      <c r="AU793" s="140"/>
      <c r="AV793" s="140"/>
      <c r="AW793" s="140"/>
      <c r="AX793" s="140"/>
      <c r="AY793" s="140"/>
      <c r="AZ793" s="140"/>
      <c r="BA793" s="140"/>
      <c r="BB793" s="140"/>
      <c r="BC793" s="140"/>
      <c r="BD793" s="140"/>
      <c r="BE793" s="140"/>
      <c r="BF793" s="140"/>
      <c r="BG793" s="140"/>
      <c r="BH793" s="140"/>
      <c r="BI793" s="140"/>
      <c r="BJ793" s="140"/>
      <c r="BK793" s="140"/>
      <c r="BL793" s="140"/>
      <c r="BM793" s="140"/>
      <c r="BN793" s="140"/>
      <c r="BO793" s="140"/>
      <c r="BP793" s="140"/>
      <c r="BQ793" s="140"/>
      <c r="BR793" s="140"/>
      <c r="BS793" s="140"/>
      <c r="BT793" s="140"/>
      <c r="BU793" s="140"/>
      <c r="BV793" s="140"/>
      <c r="BW793" s="140"/>
      <c r="BX793" s="140"/>
      <c r="BY793" s="140"/>
      <c r="BZ793" s="140"/>
      <c r="CA793" s="140"/>
      <c r="CB793" s="140"/>
      <c r="CC793" s="140"/>
      <c r="CD793" s="140"/>
      <c r="CE793" s="140"/>
      <c r="CF793" s="140"/>
      <c r="CG793" s="140"/>
      <c r="CH793" s="140"/>
      <c r="CI793" s="140"/>
      <c r="CJ793" s="140"/>
      <c r="CK793" s="140"/>
      <c r="CL793" s="140"/>
      <c r="CM793" s="140"/>
      <c r="CN793" s="140"/>
      <c r="FJ793" s="140"/>
      <c r="FK793" s="140"/>
      <c r="FL793" s="140"/>
      <c r="FM793" s="140"/>
      <c r="FN793" s="140"/>
      <c r="FO793" s="140"/>
      <c r="FP793" s="140"/>
      <c r="FQ793" s="140"/>
      <c r="FR793" s="140"/>
      <c r="FS793" s="140"/>
      <c r="FT793" s="140"/>
      <c r="FU793" s="140"/>
      <c r="FV793" s="140"/>
      <c r="FW793" s="140"/>
      <c r="FX793" s="140"/>
      <c r="FY793" s="140"/>
      <c r="FZ793" s="140"/>
      <c r="GA793" s="140"/>
      <c r="GB793" s="140"/>
      <c r="GC793" s="140"/>
      <c r="GD793" s="140"/>
      <c r="GE793" s="140"/>
      <c r="GF793" s="140"/>
      <c r="GG793" s="140"/>
      <c r="GH793" s="140"/>
      <c r="GI793" s="140"/>
      <c r="GJ793" s="140"/>
      <c r="GK793" s="140"/>
      <c r="GL793" s="140"/>
      <c r="GM793" s="140"/>
      <c r="GN793" s="140"/>
      <c r="GO793" s="140"/>
      <c r="GP793" s="140"/>
      <c r="GQ793" s="140"/>
      <c r="GR793" s="140"/>
      <c r="GS793" s="140"/>
      <c r="GT793" s="140"/>
      <c r="GU793" s="140"/>
      <c r="GV793" s="140"/>
      <c r="GW793" s="140"/>
      <c r="GX793" s="140"/>
      <c r="GY793" s="140"/>
      <c r="GZ793" s="140"/>
      <c r="HA793" s="140"/>
      <c r="HB793" s="140"/>
      <c r="HC793" s="140"/>
      <c r="HD793" s="140"/>
      <c r="HE793" s="140"/>
      <c r="HF793" s="140"/>
      <c r="HG793" s="140"/>
      <c r="HH793" s="140"/>
      <c r="HI793" s="140"/>
      <c r="HJ793" s="140"/>
      <c r="HK793" s="140"/>
      <c r="HL793" s="140"/>
      <c r="HM793" s="140"/>
      <c r="HN793" s="140"/>
      <c r="HO793" s="140"/>
      <c r="HP793" s="140"/>
      <c r="HQ793" s="140"/>
      <c r="HR793" s="140"/>
      <c r="HS793" s="140"/>
      <c r="HT793" s="140"/>
      <c r="HU793" s="140"/>
      <c r="HV793" s="140"/>
      <c r="HW793" s="140"/>
      <c r="HX793" s="140"/>
      <c r="HY793" s="140"/>
      <c r="HZ793" s="140"/>
      <c r="IA793" s="140"/>
      <c r="IB793" s="140"/>
      <c r="IC793" s="140"/>
      <c r="ID793" s="140"/>
      <c r="IE793" s="140"/>
      <c r="IF793" s="140"/>
      <c r="IG793" s="140"/>
      <c r="IH793" s="140"/>
      <c r="II793" s="140"/>
      <c r="IJ793" s="140"/>
      <c r="IK793" s="140"/>
      <c r="IL793" s="140"/>
      <c r="IM793" s="140"/>
      <c r="IN793" s="140"/>
      <c r="IO793" s="140"/>
      <c r="IP793" s="140"/>
      <c r="IQ793" s="140"/>
      <c r="IR793" s="140"/>
      <c r="IS793" s="140"/>
      <c r="IT793" s="140"/>
      <c r="IU793" s="140"/>
      <c r="IV793" s="140"/>
      <c r="IW793" s="140"/>
      <c r="IX793" s="140"/>
      <c r="IY793" s="140"/>
      <c r="IZ793" s="140"/>
      <c r="JA793" s="140"/>
      <c r="JB793" s="140"/>
      <c r="JC793" s="140"/>
      <c r="JD793" s="140"/>
      <c r="JE793" s="140"/>
      <c r="JF793" s="140"/>
      <c r="JG793" s="140"/>
      <c r="JH793" s="140"/>
      <c r="JI793" s="140"/>
      <c r="JJ793" s="140"/>
      <c r="JK793" s="140"/>
      <c r="JL793" s="140"/>
      <c r="JM793" s="140"/>
      <c r="JN793" s="140"/>
      <c r="JO793" s="140"/>
      <c r="JP793" s="140"/>
      <c r="JQ793" s="140"/>
      <c r="JR793" s="140"/>
      <c r="JS793" s="140"/>
      <c r="JT793" s="140"/>
      <c r="JU793" s="140"/>
      <c r="JV793" s="140"/>
      <c r="JW793" s="140"/>
      <c r="JX793" s="140"/>
      <c r="JY793" s="140"/>
      <c r="JZ793" s="140"/>
      <c r="KA793" s="140"/>
      <c r="KB793" s="140"/>
      <c r="KC793" s="140"/>
      <c r="KD793" s="140"/>
      <c r="KE793" s="140"/>
      <c r="KF793" s="140"/>
      <c r="KG793" s="140"/>
      <c r="KH793" s="140"/>
      <c r="KI793" s="140"/>
      <c r="KJ793" s="140"/>
      <c r="KK793" s="140"/>
      <c r="KL793" s="140"/>
      <c r="KM793" s="140"/>
      <c r="KN793" s="140"/>
      <c r="KO793" s="140"/>
      <c r="KP793" s="140"/>
      <c r="KQ793" s="140"/>
      <c r="KR793" s="140"/>
      <c r="KS793" s="140"/>
      <c r="KT793" s="140"/>
      <c r="KU793" s="140"/>
      <c r="KV793" s="140"/>
      <c r="KW793" s="140"/>
      <c r="KX793" s="140"/>
      <c r="KY793" s="140"/>
      <c r="KZ793" s="140"/>
      <c r="LA793" s="140"/>
      <c r="LB793" s="140"/>
      <c r="LC793" s="140"/>
      <c r="LD793" s="140"/>
      <c r="LE793" s="140"/>
      <c r="LF793" s="140"/>
      <c r="LG793" s="140"/>
      <c r="LH793" s="140"/>
      <c r="LI793" s="140"/>
      <c r="LJ793" s="140"/>
      <c r="LK793" s="140"/>
      <c r="LL793" s="140"/>
      <c r="LM793" s="140"/>
      <c r="LN793" s="140"/>
      <c r="LO793" s="140"/>
      <c r="LP793" s="140"/>
      <c r="LQ793" s="140"/>
      <c r="LR793" s="140"/>
      <c r="LS793" s="140"/>
      <c r="LT793" s="140"/>
      <c r="LU793" s="140"/>
      <c r="LV793" s="140"/>
      <c r="LW793" s="140"/>
      <c r="LX793" s="140"/>
      <c r="LY793" s="140"/>
      <c r="LZ793" s="140"/>
      <c r="MA793" s="140"/>
      <c r="MB793" s="140"/>
      <c r="MC793" s="140"/>
      <c r="MD793" s="140"/>
      <c r="ME793" s="140"/>
      <c r="MF793" s="140"/>
      <c r="MG793" s="140"/>
      <c r="MH793" s="140"/>
      <c r="MI793" s="140"/>
      <c r="MJ793" s="140"/>
      <c r="MK793" s="140"/>
      <c r="ML793" s="140"/>
    </row>
    <row r="794" spans="3:350" s="4" customFormat="1" ht="18" customHeight="1" x14ac:dyDescent="0.3">
      <c r="H794" s="140"/>
      <c r="I794" s="140"/>
      <c r="J794" s="140"/>
      <c r="K794" s="140"/>
      <c r="L794" s="140"/>
      <c r="M794" s="140"/>
      <c r="N794" s="140"/>
      <c r="O794" s="140"/>
      <c r="P794" s="140"/>
      <c r="Q794" s="140"/>
      <c r="R794" s="140"/>
      <c r="S794" s="140"/>
      <c r="T794" s="140"/>
      <c r="U794" s="140"/>
      <c r="V794" s="140"/>
      <c r="W794" s="140"/>
      <c r="X794" s="140"/>
      <c r="Y794" s="140"/>
      <c r="Z794" s="140"/>
      <c r="AA794" s="140"/>
      <c r="AB794" s="140"/>
      <c r="AC794" s="140"/>
      <c r="AD794" s="140"/>
      <c r="AE794" s="140"/>
      <c r="AF794" s="140"/>
      <c r="AG794" s="140"/>
      <c r="AH794" s="140"/>
      <c r="AI794" s="140"/>
      <c r="AJ794" s="140"/>
      <c r="AK794" s="140"/>
      <c r="AL794" s="140"/>
      <c r="AM794" s="140"/>
      <c r="AN794" s="140"/>
      <c r="AO794" s="140"/>
      <c r="AP794" s="140"/>
      <c r="AQ794" s="140"/>
      <c r="AR794" s="140"/>
      <c r="AS794" s="140"/>
      <c r="AT794" s="140"/>
      <c r="AU794" s="140"/>
      <c r="AV794" s="140"/>
      <c r="AW794" s="140"/>
      <c r="AX794" s="140"/>
      <c r="AY794" s="140"/>
      <c r="AZ794" s="140"/>
      <c r="BA794" s="140"/>
      <c r="BB794" s="140"/>
      <c r="BC794" s="140"/>
      <c r="BD794" s="140"/>
      <c r="BE794" s="140"/>
      <c r="BF794" s="140"/>
      <c r="BG794" s="140"/>
      <c r="BH794" s="140"/>
      <c r="BI794" s="140"/>
      <c r="BJ794" s="140"/>
      <c r="BK794" s="140"/>
      <c r="BL794" s="140"/>
      <c r="BM794" s="140"/>
      <c r="BN794" s="140"/>
      <c r="BO794" s="140"/>
      <c r="BP794" s="140"/>
      <c r="BQ794" s="140"/>
      <c r="BR794" s="140"/>
      <c r="BS794" s="140"/>
      <c r="BT794" s="140"/>
      <c r="BU794" s="140"/>
      <c r="BV794" s="140"/>
      <c r="BW794" s="140"/>
      <c r="BX794" s="140"/>
      <c r="BY794" s="140"/>
      <c r="BZ794" s="140"/>
      <c r="CA794" s="140"/>
      <c r="CB794" s="140"/>
      <c r="CC794" s="140"/>
      <c r="CD794" s="140"/>
      <c r="CE794" s="140"/>
      <c r="CF794" s="140"/>
      <c r="CG794" s="140"/>
      <c r="CH794" s="140"/>
      <c r="CI794" s="140"/>
      <c r="CJ794" s="140"/>
      <c r="CK794" s="140"/>
      <c r="CL794" s="140"/>
      <c r="CM794" s="140"/>
      <c r="CN794" s="140"/>
      <c r="FJ794" s="140"/>
      <c r="FK794" s="140"/>
      <c r="FL794" s="140"/>
      <c r="FM794" s="140"/>
      <c r="FN794" s="140"/>
      <c r="FO794" s="140"/>
      <c r="FP794" s="140"/>
      <c r="FQ794" s="140"/>
      <c r="FR794" s="140"/>
      <c r="FS794" s="140"/>
      <c r="FT794" s="140"/>
      <c r="FU794" s="140"/>
      <c r="FV794" s="140"/>
      <c r="FW794" s="140"/>
      <c r="FX794" s="140"/>
      <c r="FY794" s="140"/>
      <c r="FZ794" s="140"/>
      <c r="GA794" s="140"/>
      <c r="GB794" s="140"/>
      <c r="GC794" s="140"/>
      <c r="GD794" s="140"/>
      <c r="GE794" s="140"/>
      <c r="GF794" s="140"/>
      <c r="GG794" s="140"/>
      <c r="GH794" s="140"/>
      <c r="GI794" s="140"/>
      <c r="GJ794" s="140"/>
      <c r="GK794" s="140"/>
      <c r="GL794" s="140"/>
      <c r="GM794" s="140"/>
      <c r="GN794" s="140"/>
      <c r="GO794" s="140"/>
      <c r="GP794" s="140"/>
      <c r="GQ794" s="140"/>
      <c r="GR794" s="140"/>
      <c r="GS794" s="140"/>
      <c r="GT794" s="140"/>
      <c r="GU794" s="140"/>
      <c r="GV794" s="140"/>
      <c r="GW794" s="140"/>
      <c r="GX794" s="140"/>
      <c r="GY794" s="140"/>
      <c r="GZ794" s="140"/>
      <c r="HA794" s="140"/>
      <c r="HB794" s="140"/>
      <c r="HC794" s="140"/>
      <c r="HD794" s="140"/>
      <c r="HE794" s="140"/>
      <c r="HF794" s="140"/>
      <c r="HG794" s="140"/>
      <c r="HH794" s="140"/>
      <c r="HI794" s="140"/>
      <c r="HJ794" s="140"/>
      <c r="HK794" s="140"/>
      <c r="HL794" s="140"/>
      <c r="HM794" s="140"/>
      <c r="HN794" s="140"/>
      <c r="HO794" s="140"/>
      <c r="HP794" s="140"/>
      <c r="HQ794" s="140"/>
      <c r="HR794" s="140"/>
      <c r="HS794" s="140"/>
      <c r="HT794" s="140"/>
      <c r="HU794" s="140"/>
      <c r="HV794" s="140"/>
      <c r="HW794" s="140"/>
      <c r="HX794" s="140"/>
      <c r="HY794" s="140"/>
      <c r="HZ794" s="140"/>
      <c r="IA794" s="140"/>
      <c r="IB794" s="140"/>
      <c r="IC794" s="140"/>
      <c r="ID794" s="140"/>
      <c r="IE794" s="140"/>
      <c r="IF794" s="140"/>
      <c r="IG794" s="140"/>
      <c r="IH794" s="140"/>
      <c r="II794" s="140"/>
      <c r="IJ794" s="140"/>
      <c r="IK794" s="140"/>
      <c r="IL794" s="140"/>
      <c r="IM794" s="140"/>
      <c r="IN794" s="140"/>
      <c r="IO794" s="140"/>
      <c r="IP794" s="140"/>
      <c r="IQ794" s="140"/>
      <c r="IR794" s="140"/>
      <c r="IS794" s="140"/>
      <c r="IT794" s="140"/>
      <c r="IU794" s="140"/>
      <c r="IV794" s="140"/>
      <c r="IW794" s="140"/>
      <c r="IX794" s="140"/>
      <c r="IY794" s="140"/>
      <c r="IZ794" s="140"/>
      <c r="JA794" s="140"/>
      <c r="JB794" s="140"/>
      <c r="JC794" s="140"/>
      <c r="JD794" s="140"/>
      <c r="JE794" s="140"/>
      <c r="JF794" s="140"/>
      <c r="JG794" s="140"/>
      <c r="JH794" s="140"/>
      <c r="JI794" s="140"/>
      <c r="JJ794" s="140"/>
      <c r="JK794" s="140"/>
      <c r="JL794" s="140"/>
      <c r="JM794" s="140"/>
      <c r="JN794" s="140"/>
      <c r="JO794" s="140"/>
      <c r="JP794" s="140"/>
      <c r="JQ794" s="140"/>
      <c r="JR794" s="140"/>
      <c r="JS794" s="140"/>
      <c r="JT794" s="140"/>
      <c r="JU794" s="140"/>
      <c r="JV794" s="140"/>
      <c r="JW794" s="140"/>
      <c r="JX794" s="140"/>
      <c r="JY794" s="140"/>
      <c r="JZ794" s="140"/>
      <c r="KA794" s="140"/>
      <c r="KB794" s="140"/>
      <c r="KC794" s="140"/>
      <c r="KD794" s="140"/>
      <c r="KE794" s="140"/>
      <c r="KF794" s="140"/>
      <c r="KG794" s="140"/>
      <c r="KH794" s="140"/>
      <c r="KI794" s="140"/>
      <c r="KJ794" s="140"/>
      <c r="KK794" s="140"/>
      <c r="KL794" s="140"/>
      <c r="KM794" s="140"/>
      <c r="KN794" s="140"/>
      <c r="KO794" s="140"/>
      <c r="KP794" s="140"/>
      <c r="KQ794" s="140"/>
      <c r="KR794" s="140"/>
      <c r="KS794" s="140"/>
      <c r="KT794" s="140"/>
      <c r="KU794" s="140"/>
      <c r="KV794" s="140"/>
      <c r="KW794" s="140"/>
      <c r="KX794" s="140"/>
      <c r="KY794" s="140"/>
      <c r="KZ794" s="140"/>
      <c r="LA794" s="140"/>
      <c r="LB794" s="140"/>
      <c r="LC794" s="140"/>
      <c r="LD794" s="140"/>
      <c r="LE794" s="140"/>
      <c r="LF794" s="140"/>
      <c r="LG794" s="140"/>
      <c r="LH794" s="140"/>
      <c r="LI794" s="140"/>
      <c r="LJ794" s="140"/>
      <c r="LK794" s="140"/>
      <c r="LL794" s="140"/>
      <c r="LM794" s="140"/>
      <c r="LN794" s="140"/>
      <c r="LO794" s="140"/>
      <c r="LP794" s="140"/>
      <c r="LQ794" s="140"/>
      <c r="LR794" s="140"/>
      <c r="LS794" s="140"/>
      <c r="LT794" s="140"/>
      <c r="LU794" s="140"/>
      <c r="LV794" s="140"/>
      <c r="LW794" s="140"/>
      <c r="LX794" s="140"/>
      <c r="LY794" s="140"/>
      <c r="LZ794" s="140"/>
      <c r="MA794" s="140"/>
      <c r="MB794" s="140"/>
      <c r="MC794" s="140"/>
      <c r="MD794" s="140"/>
      <c r="ME794" s="140"/>
      <c r="MF794" s="140"/>
      <c r="MG794" s="140"/>
      <c r="MH794" s="140"/>
      <c r="MI794" s="140"/>
      <c r="MJ794" s="140"/>
      <c r="MK794" s="140"/>
      <c r="ML794" s="140"/>
    </row>
    <row r="795" spans="3:350" s="4" customFormat="1" ht="18" customHeight="1" x14ac:dyDescent="0.3">
      <c r="H795" s="140"/>
      <c r="I795" s="140"/>
      <c r="J795" s="140"/>
      <c r="K795" s="140"/>
      <c r="L795" s="140"/>
      <c r="M795" s="140"/>
      <c r="N795" s="140"/>
      <c r="O795" s="140"/>
      <c r="P795" s="140"/>
      <c r="Q795" s="140"/>
      <c r="R795" s="140"/>
      <c r="S795" s="140"/>
      <c r="T795" s="140"/>
      <c r="U795" s="140"/>
      <c r="V795" s="140"/>
      <c r="W795" s="140"/>
      <c r="X795" s="140"/>
      <c r="Y795" s="140"/>
      <c r="Z795" s="140"/>
      <c r="AA795" s="140"/>
      <c r="AB795" s="140"/>
      <c r="AC795" s="140"/>
      <c r="AD795" s="140"/>
      <c r="AE795" s="140"/>
      <c r="AF795" s="140"/>
      <c r="AG795" s="140"/>
      <c r="AH795" s="140"/>
      <c r="AI795" s="140"/>
      <c r="AJ795" s="140"/>
      <c r="AK795" s="140"/>
      <c r="AL795" s="140"/>
      <c r="AM795" s="140"/>
      <c r="AN795" s="140"/>
      <c r="AO795" s="140"/>
      <c r="AP795" s="140"/>
      <c r="AQ795" s="140"/>
      <c r="AR795" s="140"/>
      <c r="AS795" s="140"/>
      <c r="AT795" s="140"/>
      <c r="AU795" s="140"/>
      <c r="AV795" s="140"/>
      <c r="AW795" s="140"/>
      <c r="AX795" s="140"/>
      <c r="AY795" s="140"/>
      <c r="AZ795" s="140"/>
      <c r="BA795" s="140"/>
      <c r="BB795" s="140"/>
      <c r="BC795" s="140"/>
      <c r="BD795" s="140"/>
      <c r="BE795" s="140"/>
      <c r="BF795" s="140"/>
      <c r="BG795" s="140"/>
      <c r="BH795" s="140"/>
      <c r="BI795" s="140"/>
      <c r="BJ795" s="140"/>
      <c r="BK795" s="140"/>
      <c r="BL795" s="140"/>
      <c r="BM795" s="140"/>
      <c r="BN795" s="140"/>
      <c r="BO795" s="140"/>
      <c r="BP795" s="140"/>
      <c r="BQ795" s="140"/>
      <c r="BR795" s="140"/>
      <c r="BS795" s="140"/>
      <c r="BT795" s="140"/>
      <c r="BU795" s="140"/>
      <c r="BV795" s="140"/>
      <c r="BW795" s="140"/>
      <c r="BX795" s="140"/>
      <c r="BY795" s="140"/>
      <c r="BZ795" s="140"/>
      <c r="CA795" s="140"/>
      <c r="CB795" s="140"/>
      <c r="CC795" s="140"/>
      <c r="CD795" s="140"/>
      <c r="CE795" s="140"/>
      <c r="CF795" s="140"/>
      <c r="CG795" s="140"/>
      <c r="CH795" s="140"/>
      <c r="CI795" s="140"/>
      <c r="CJ795" s="140"/>
      <c r="CK795" s="140"/>
      <c r="CL795" s="140"/>
      <c r="CM795" s="140"/>
      <c r="CN795" s="140"/>
      <c r="FJ795" s="140"/>
      <c r="FK795" s="140"/>
      <c r="FL795" s="140"/>
      <c r="FM795" s="140"/>
      <c r="FN795" s="140"/>
      <c r="FO795" s="140"/>
      <c r="FP795" s="140"/>
      <c r="FQ795" s="140"/>
      <c r="FR795" s="140"/>
      <c r="FS795" s="140"/>
      <c r="FT795" s="140"/>
      <c r="FU795" s="140"/>
      <c r="FV795" s="140"/>
      <c r="FW795" s="140"/>
      <c r="FX795" s="140"/>
      <c r="FY795" s="140"/>
      <c r="FZ795" s="140"/>
      <c r="GA795" s="140"/>
      <c r="GB795" s="140"/>
      <c r="GC795" s="140"/>
      <c r="GD795" s="140"/>
      <c r="GE795" s="140"/>
      <c r="GF795" s="140"/>
      <c r="GG795" s="140"/>
      <c r="GH795" s="140"/>
      <c r="GI795" s="140"/>
      <c r="GJ795" s="140"/>
      <c r="GK795" s="140"/>
      <c r="GL795" s="140"/>
      <c r="GM795" s="140"/>
      <c r="GN795" s="140"/>
      <c r="GO795" s="140"/>
      <c r="GP795" s="140"/>
      <c r="GQ795" s="140"/>
      <c r="GR795" s="140"/>
      <c r="GS795" s="140"/>
      <c r="GT795" s="140"/>
      <c r="GU795" s="140"/>
      <c r="GV795" s="140"/>
      <c r="GW795" s="140"/>
      <c r="GX795" s="140"/>
      <c r="GY795" s="140"/>
      <c r="GZ795" s="140"/>
      <c r="HA795" s="140"/>
      <c r="HB795" s="140"/>
      <c r="HC795" s="140"/>
      <c r="HD795" s="140"/>
      <c r="HE795" s="140"/>
      <c r="HF795" s="140"/>
      <c r="HG795" s="140"/>
      <c r="HH795" s="140"/>
      <c r="HI795" s="140"/>
      <c r="HJ795" s="140"/>
      <c r="HK795" s="140"/>
      <c r="HL795" s="140"/>
      <c r="HM795" s="140"/>
      <c r="HN795" s="140"/>
      <c r="HO795" s="140"/>
      <c r="HP795" s="140"/>
      <c r="HQ795" s="140"/>
      <c r="HR795" s="140"/>
      <c r="HS795" s="140"/>
      <c r="HT795" s="140"/>
      <c r="HU795" s="140"/>
      <c r="HV795" s="140"/>
      <c r="HW795" s="140"/>
      <c r="HX795" s="140"/>
      <c r="HY795" s="140"/>
      <c r="HZ795" s="140"/>
      <c r="IA795" s="140"/>
      <c r="IB795" s="140"/>
      <c r="IC795" s="140"/>
      <c r="ID795" s="140"/>
      <c r="IE795" s="140"/>
      <c r="IF795" s="140"/>
      <c r="IG795" s="140"/>
      <c r="IH795" s="140"/>
      <c r="II795" s="140"/>
      <c r="IJ795" s="140"/>
      <c r="IK795" s="140"/>
      <c r="IL795" s="140"/>
      <c r="IM795" s="140"/>
      <c r="IN795" s="140"/>
      <c r="IO795" s="140"/>
      <c r="IP795" s="140"/>
      <c r="IQ795" s="140"/>
      <c r="IR795" s="140"/>
      <c r="IS795" s="140"/>
      <c r="IT795" s="140"/>
      <c r="IU795" s="140"/>
      <c r="IV795" s="140"/>
      <c r="IW795" s="140"/>
      <c r="IX795" s="140"/>
      <c r="IY795" s="140"/>
      <c r="IZ795" s="140"/>
      <c r="JA795" s="140"/>
      <c r="JB795" s="140"/>
      <c r="JC795" s="140"/>
      <c r="JD795" s="140"/>
      <c r="JE795" s="140"/>
      <c r="JF795" s="140"/>
      <c r="JG795" s="140"/>
      <c r="JH795" s="140"/>
      <c r="JI795" s="140"/>
      <c r="JJ795" s="140"/>
      <c r="JK795" s="140"/>
      <c r="JL795" s="140"/>
      <c r="JM795" s="140"/>
      <c r="JN795" s="140"/>
      <c r="JO795" s="140"/>
      <c r="JP795" s="140"/>
      <c r="JQ795" s="140"/>
      <c r="JR795" s="140"/>
      <c r="JS795" s="140"/>
      <c r="JT795" s="140"/>
      <c r="JU795" s="140"/>
      <c r="JV795" s="140"/>
      <c r="JW795" s="140"/>
      <c r="JX795" s="140"/>
      <c r="JY795" s="140"/>
      <c r="JZ795" s="140"/>
      <c r="KA795" s="140"/>
      <c r="KB795" s="140"/>
      <c r="KC795" s="140"/>
      <c r="KD795" s="140"/>
      <c r="KE795" s="140"/>
      <c r="KF795" s="140"/>
      <c r="KG795" s="140"/>
      <c r="KH795" s="140"/>
      <c r="KI795" s="140"/>
      <c r="KJ795" s="140"/>
      <c r="KK795" s="140"/>
      <c r="KL795" s="140"/>
      <c r="KM795" s="140"/>
      <c r="KN795" s="140"/>
      <c r="KO795" s="140"/>
      <c r="KP795" s="140"/>
      <c r="KQ795" s="140"/>
      <c r="KR795" s="140"/>
      <c r="KS795" s="140"/>
      <c r="KT795" s="140"/>
      <c r="KU795" s="140"/>
      <c r="KV795" s="140"/>
      <c r="KW795" s="140"/>
      <c r="KX795" s="140"/>
      <c r="KY795" s="140"/>
      <c r="KZ795" s="140"/>
      <c r="LA795" s="140"/>
      <c r="LB795" s="140"/>
      <c r="LC795" s="140"/>
      <c r="LD795" s="140"/>
      <c r="LE795" s="140"/>
      <c r="LF795" s="140"/>
      <c r="LG795" s="140"/>
      <c r="LH795" s="140"/>
      <c r="LI795" s="140"/>
      <c r="LJ795" s="140"/>
      <c r="LK795" s="140"/>
      <c r="LL795" s="140"/>
      <c r="LM795" s="140"/>
      <c r="LN795" s="140"/>
      <c r="LO795" s="140"/>
      <c r="LP795" s="140"/>
      <c r="LQ795" s="140"/>
      <c r="LR795" s="140"/>
      <c r="LS795" s="140"/>
      <c r="LT795" s="140"/>
      <c r="LU795" s="140"/>
      <c r="LV795" s="140"/>
      <c r="LW795" s="140"/>
      <c r="LX795" s="140"/>
      <c r="LY795" s="140"/>
      <c r="LZ795" s="140"/>
      <c r="MA795" s="140"/>
      <c r="MB795" s="140"/>
      <c r="MC795" s="140"/>
      <c r="MD795" s="140"/>
      <c r="ME795" s="140"/>
      <c r="MF795" s="140"/>
      <c r="MG795" s="140"/>
      <c r="MH795" s="140"/>
      <c r="MI795" s="140"/>
      <c r="MJ795" s="140"/>
      <c r="MK795" s="140"/>
      <c r="ML795" s="140"/>
    </row>
    <row r="796" spans="3:350" s="4" customFormat="1" ht="18" customHeight="1" x14ac:dyDescent="0.3">
      <c r="H796" s="140"/>
      <c r="I796" s="140"/>
      <c r="J796" s="140"/>
      <c r="K796" s="140"/>
      <c r="L796" s="140"/>
      <c r="M796" s="140"/>
      <c r="N796" s="140"/>
      <c r="O796" s="140"/>
      <c r="P796" s="140"/>
      <c r="Q796" s="140"/>
      <c r="R796" s="140"/>
      <c r="S796" s="140"/>
      <c r="T796" s="140"/>
      <c r="U796" s="140"/>
      <c r="V796" s="140"/>
      <c r="W796" s="140"/>
      <c r="X796" s="140"/>
      <c r="Y796" s="140"/>
      <c r="Z796" s="140"/>
      <c r="AA796" s="140"/>
      <c r="AB796" s="140"/>
      <c r="AC796" s="140"/>
      <c r="AD796" s="140"/>
      <c r="AE796" s="140"/>
      <c r="AF796" s="140"/>
      <c r="AG796" s="140"/>
      <c r="AH796" s="140"/>
      <c r="AI796" s="140"/>
      <c r="AJ796" s="140"/>
      <c r="AK796" s="140"/>
      <c r="AL796" s="140"/>
      <c r="AM796" s="140"/>
      <c r="AN796" s="140"/>
      <c r="AO796" s="140"/>
      <c r="AP796" s="140"/>
      <c r="AQ796" s="140"/>
      <c r="AR796" s="140"/>
      <c r="AS796" s="140"/>
      <c r="AT796" s="140"/>
      <c r="AU796" s="140"/>
      <c r="AV796" s="140"/>
      <c r="AW796" s="140"/>
      <c r="AX796" s="140"/>
      <c r="AY796" s="140"/>
      <c r="AZ796" s="140"/>
      <c r="BA796" s="140"/>
      <c r="BB796" s="140"/>
      <c r="BC796" s="140"/>
      <c r="BD796" s="140"/>
      <c r="BE796" s="140"/>
      <c r="BF796" s="140"/>
      <c r="BG796" s="140"/>
      <c r="BH796" s="140"/>
      <c r="BI796" s="140"/>
      <c r="BJ796" s="140"/>
      <c r="BK796" s="140"/>
      <c r="BL796" s="140"/>
      <c r="BM796" s="140"/>
      <c r="BN796" s="140"/>
      <c r="BO796" s="140"/>
      <c r="BP796" s="140"/>
      <c r="BQ796" s="140"/>
      <c r="BR796" s="140"/>
      <c r="BS796" s="140"/>
      <c r="BT796" s="140"/>
      <c r="BU796" s="140"/>
      <c r="BV796" s="140"/>
      <c r="BW796" s="140"/>
      <c r="BX796" s="140"/>
      <c r="BY796" s="140"/>
      <c r="BZ796" s="140"/>
      <c r="CA796" s="140"/>
      <c r="CB796" s="140"/>
      <c r="CC796" s="140"/>
      <c r="CD796" s="140"/>
      <c r="CE796" s="140"/>
      <c r="CF796" s="140"/>
      <c r="CG796" s="140"/>
      <c r="CH796" s="140"/>
      <c r="CI796" s="140"/>
      <c r="CJ796" s="140"/>
      <c r="CK796" s="140"/>
      <c r="CL796" s="140"/>
      <c r="CM796" s="140"/>
      <c r="CN796" s="140"/>
      <c r="FJ796" s="140"/>
      <c r="FK796" s="140"/>
      <c r="FL796" s="140"/>
      <c r="FM796" s="140"/>
      <c r="FN796" s="140"/>
      <c r="FO796" s="140"/>
      <c r="FP796" s="140"/>
      <c r="FQ796" s="140"/>
      <c r="FR796" s="140"/>
      <c r="FS796" s="140"/>
      <c r="FT796" s="140"/>
      <c r="FU796" s="140"/>
      <c r="FV796" s="140"/>
      <c r="FW796" s="140"/>
      <c r="FX796" s="140"/>
      <c r="FY796" s="140"/>
      <c r="FZ796" s="140"/>
      <c r="GA796" s="140"/>
      <c r="GB796" s="140"/>
      <c r="GC796" s="140"/>
      <c r="GD796" s="140"/>
      <c r="GE796" s="140"/>
      <c r="GF796" s="140"/>
      <c r="GG796" s="140"/>
      <c r="GH796" s="140"/>
      <c r="GI796" s="140"/>
      <c r="GJ796" s="140"/>
      <c r="GK796" s="140"/>
      <c r="GL796" s="140"/>
      <c r="GM796" s="140"/>
      <c r="GN796" s="140"/>
      <c r="GO796" s="140"/>
      <c r="GP796" s="140"/>
      <c r="GQ796" s="140"/>
      <c r="GR796" s="140"/>
      <c r="GS796" s="140"/>
      <c r="GT796" s="140"/>
      <c r="GU796" s="140"/>
      <c r="GV796" s="140"/>
      <c r="GW796" s="140"/>
      <c r="GX796" s="140"/>
      <c r="GY796" s="140"/>
      <c r="GZ796" s="140"/>
      <c r="HA796" s="140"/>
      <c r="HB796" s="140"/>
      <c r="HC796" s="140"/>
      <c r="HD796" s="140"/>
      <c r="HE796" s="140"/>
      <c r="HF796" s="140"/>
      <c r="HG796" s="140"/>
      <c r="HH796" s="140"/>
      <c r="HI796" s="140"/>
      <c r="HJ796" s="140"/>
      <c r="HK796" s="140"/>
      <c r="HL796" s="140"/>
      <c r="HM796" s="140"/>
      <c r="HN796" s="140"/>
      <c r="HO796" s="140"/>
      <c r="HP796" s="140"/>
      <c r="HQ796" s="140"/>
      <c r="HR796" s="140"/>
      <c r="HS796" s="140"/>
      <c r="HT796" s="140"/>
      <c r="HU796" s="140"/>
      <c r="HV796" s="140"/>
      <c r="HW796" s="140"/>
      <c r="HX796" s="140"/>
      <c r="HY796" s="140"/>
      <c r="HZ796" s="140"/>
      <c r="IA796" s="140"/>
      <c r="IB796" s="140"/>
      <c r="IC796" s="140"/>
      <c r="ID796" s="140"/>
      <c r="IE796" s="140"/>
      <c r="IF796" s="140"/>
      <c r="IG796" s="140"/>
      <c r="IH796" s="140"/>
      <c r="II796" s="140"/>
      <c r="IJ796" s="140"/>
      <c r="IK796" s="140"/>
      <c r="IL796" s="140"/>
      <c r="IM796" s="140"/>
      <c r="IN796" s="140"/>
      <c r="IO796" s="140"/>
      <c r="IP796" s="140"/>
      <c r="IQ796" s="140"/>
      <c r="IR796" s="140"/>
      <c r="IS796" s="140"/>
      <c r="IT796" s="140"/>
      <c r="IU796" s="140"/>
      <c r="IV796" s="140"/>
      <c r="IW796" s="140"/>
      <c r="IX796" s="140"/>
      <c r="IY796" s="140"/>
      <c r="IZ796" s="140"/>
      <c r="JA796" s="140"/>
      <c r="JB796" s="140"/>
      <c r="JC796" s="140"/>
      <c r="JD796" s="140"/>
      <c r="JE796" s="140"/>
      <c r="JF796" s="140"/>
      <c r="JG796" s="140"/>
      <c r="JH796" s="140"/>
      <c r="JI796" s="140"/>
      <c r="JJ796" s="140"/>
      <c r="JK796" s="140"/>
      <c r="JL796" s="140"/>
      <c r="JM796" s="140"/>
      <c r="JN796" s="140"/>
      <c r="JO796" s="140"/>
      <c r="JP796" s="140"/>
      <c r="JQ796" s="140"/>
      <c r="JR796" s="140"/>
      <c r="JS796" s="140"/>
      <c r="JT796" s="140"/>
      <c r="JU796" s="140"/>
      <c r="JV796" s="140"/>
      <c r="JW796" s="140"/>
      <c r="JX796" s="140"/>
      <c r="JY796" s="140"/>
      <c r="JZ796" s="140"/>
      <c r="KA796" s="140"/>
      <c r="KB796" s="140"/>
      <c r="KC796" s="140"/>
      <c r="KD796" s="140"/>
      <c r="KE796" s="140"/>
      <c r="KF796" s="140"/>
      <c r="KG796" s="140"/>
      <c r="KH796" s="140"/>
      <c r="KI796" s="140"/>
      <c r="KJ796" s="140"/>
      <c r="KK796" s="140"/>
      <c r="KL796" s="140"/>
      <c r="KM796" s="140"/>
      <c r="KN796" s="140"/>
      <c r="KO796" s="140"/>
      <c r="KP796" s="140"/>
      <c r="KQ796" s="140"/>
      <c r="KR796" s="140"/>
      <c r="KS796" s="140"/>
      <c r="KT796" s="140"/>
      <c r="KU796" s="140"/>
      <c r="KV796" s="140"/>
      <c r="KW796" s="140"/>
      <c r="KX796" s="140"/>
      <c r="KY796" s="140"/>
      <c r="KZ796" s="140"/>
      <c r="LA796" s="140"/>
      <c r="LB796" s="140"/>
      <c r="LC796" s="140"/>
      <c r="LD796" s="140"/>
      <c r="LE796" s="140"/>
      <c r="LF796" s="140"/>
      <c r="LG796" s="140"/>
      <c r="LH796" s="140"/>
      <c r="LI796" s="140"/>
      <c r="LJ796" s="140"/>
      <c r="LK796" s="140"/>
      <c r="LL796" s="140"/>
      <c r="LM796" s="140"/>
      <c r="LN796" s="140"/>
      <c r="LO796" s="140"/>
      <c r="LP796" s="140"/>
      <c r="LQ796" s="140"/>
      <c r="LR796" s="140"/>
      <c r="LS796" s="140"/>
      <c r="LT796" s="140"/>
      <c r="LU796" s="140"/>
      <c r="LV796" s="140"/>
      <c r="LW796" s="140"/>
      <c r="LX796" s="140"/>
      <c r="LY796" s="140"/>
      <c r="LZ796" s="140"/>
      <c r="MA796" s="140"/>
      <c r="MB796" s="140"/>
      <c r="MC796" s="140"/>
      <c r="MD796" s="140"/>
      <c r="ME796" s="140"/>
      <c r="MF796" s="140"/>
      <c r="MG796" s="140"/>
      <c r="MH796" s="140"/>
      <c r="MI796" s="140"/>
      <c r="MJ796" s="140"/>
      <c r="MK796" s="140"/>
      <c r="ML796" s="140"/>
    </row>
    <row r="797" spans="3:350" s="4" customFormat="1" ht="18" customHeight="1" x14ac:dyDescent="0.3">
      <c r="H797" s="140"/>
      <c r="I797" s="140"/>
      <c r="J797" s="140"/>
      <c r="K797" s="140"/>
      <c r="L797" s="140"/>
      <c r="M797" s="140"/>
      <c r="N797" s="140"/>
      <c r="O797" s="140"/>
      <c r="P797" s="140"/>
      <c r="Q797" s="140"/>
      <c r="R797" s="140"/>
      <c r="S797" s="140"/>
      <c r="T797" s="140"/>
      <c r="U797" s="140"/>
      <c r="V797" s="140"/>
      <c r="W797" s="140"/>
      <c r="X797" s="140"/>
      <c r="Y797" s="140"/>
      <c r="Z797" s="140"/>
      <c r="AA797" s="140"/>
      <c r="AB797" s="140"/>
      <c r="AC797" s="140"/>
      <c r="AD797" s="140"/>
      <c r="AE797" s="140"/>
      <c r="AF797" s="140"/>
      <c r="AG797" s="140"/>
      <c r="AH797" s="140"/>
      <c r="AI797" s="140"/>
      <c r="AJ797" s="140"/>
      <c r="AK797" s="140"/>
      <c r="AL797" s="140"/>
      <c r="AM797" s="140"/>
      <c r="AN797" s="140"/>
      <c r="AO797" s="140"/>
      <c r="AP797" s="140"/>
      <c r="AQ797" s="140"/>
      <c r="AR797" s="140"/>
      <c r="AS797" s="140"/>
      <c r="AT797" s="140"/>
      <c r="AU797" s="140"/>
      <c r="AV797" s="140"/>
      <c r="AW797" s="140"/>
      <c r="AX797" s="140"/>
      <c r="AY797" s="140"/>
      <c r="AZ797" s="140"/>
      <c r="BA797" s="140"/>
      <c r="BB797" s="140"/>
      <c r="BC797" s="140"/>
      <c r="BD797" s="140"/>
      <c r="BE797" s="140"/>
      <c r="BF797" s="140"/>
      <c r="BG797" s="140"/>
      <c r="BH797" s="140"/>
      <c r="BI797" s="140"/>
      <c r="BJ797" s="140"/>
      <c r="BK797" s="140"/>
      <c r="BL797" s="140"/>
      <c r="BM797" s="140"/>
      <c r="BN797" s="140"/>
      <c r="BO797" s="140"/>
      <c r="BP797" s="140"/>
      <c r="BQ797" s="140"/>
      <c r="BR797" s="140"/>
      <c r="BS797" s="140"/>
      <c r="BT797" s="140"/>
      <c r="BU797" s="140"/>
      <c r="BV797" s="140"/>
      <c r="BW797" s="140"/>
      <c r="BX797" s="140"/>
      <c r="BY797" s="140"/>
      <c r="BZ797" s="140"/>
      <c r="CA797" s="140"/>
      <c r="CB797" s="140"/>
      <c r="CC797" s="140"/>
      <c r="CD797" s="140"/>
      <c r="CE797" s="140"/>
      <c r="CF797" s="140"/>
      <c r="CG797" s="140"/>
      <c r="CH797" s="140"/>
      <c r="CI797" s="140"/>
      <c r="CJ797" s="140"/>
      <c r="CK797" s="140"/>
      <c r="CL797" s="140"/>
      <c r="CM797" s="140"/>
      <c r="CN797" s="140"/>
      <c r="FJ797" s="140"/>
      <c r="FK797" s="140"/>
      <c r="FL797" s="140"/>
      <c r="FM797" s="140"/>
      <c r="FN797" s="140"/>
      <c r="FO797" s="140"/>
      <c r="FP797" s="140"/>
      <c r="FQ797" s="140"/>
      <c r="FR797" s="140"/>
      <c r="FS797" s="140"/>
      <c r="FT797" s="140"/>
      <c r="FU797" s="140"/>
      <c r="FV797" s="140"/>
      <c r="FW797" s="140"/>
      <c r="FX797" s="140"/>
      <c r="FY797" s="140"/>
      <c r="FZ797" s="140"/>
      <c r="GA797" s="140"/>
      <c r="GB797" s="140"/>
      <c r="GC797" s="140"/>
      <c r="GD797" s="140"/>
      <c r="GE797" s="140"/>
      <c r="GF797" s="140"/>
      <c r="GG797" s="140"/>
      <c r="GH797" s="140"/>
      <c r="GI797" s="140"/>
      <c r="GJ797" s="140"/>
      <c r="GK797" s="140"/>
      <c r="GL797" s="140"/>
      <c r="GM797" s="140"/>
      <c r="GN797" s="140"/>
      <c r="GO797" s="140"/>
      <c r="GP797" s="140"/>
      <c r="GQ797" s="140"/>
      <c r="GR797" s="140"/>
      <c r="GS797" s="140"/>
      <c r="GT797" s="140"/>
      <c r="GU797" s="140"/>
      <c r="GV797" s="140"/>
      <c r="GW797" s="140"/>
      <c r="GX797" s="140"/>
      <c r="GY797" s="140"/>
      <c r="GZ797" s="140"/>
      <c r="HA797" s="140"/>
      <c r="HB797" s="140"/>
      <c r="HC797" s="140"/>
      <c r="HD797" s="140"/>
      <c r="HE797" s="140"/>
      <c r="HF797" s="140"/>
      <c r="HG797" s="140"/>
      <c r="HH797" s="140"/>
      <c r="HI797" s="140"/>
      <c r="HJ797" s="140"/>
      <c r="HK797" s="140"/>
      <c r="HL797" s="140"/>
      <c r="HM797" s="140"/>
      <c r="HN797" s="140"/>
      <c r="HO797" s="140"/>
      <c r="HP797" s="140"/>
      <c r="HQ797" s="140"/>
      <c r="HR797" s="140"/>
      <c r="HS797" s="140"/>
      <c r="HT797" s="140"/>
      <c r="HU797" s="140"/>
      <c r="HV797" s="140"/>
      <c r="HW797" s="140"/>
      <c r="HX797" s="140"/>
      <c r="HY797" s="140"/>
      <c r="HZ797" s="140"/>
      <c r="IA797" s="140"/>
      <c r="IB797" s="140"/>
      <c r="IC797" s="140"/>
      <c r="ID797" s="140"/>
      <c r="IE797" s="140"/>
      <c r="IF797" s="140"/>
      <c r="IG797" s="140"/>
      <c r="IH797" s="140"/>
      <c r="II797" s="140"/>
      <c r="IJ797" s="140"/>
      <c r="IK797" s="140"/>
      <c r="IL797" s="140"/>
      <c r="IM797" s="140"/>
      <c r="IN797" s="140"/>
      <c r="IO797" s="140"/>
      <c r="IP797" s="140"/>
      <c r="IQ797" s="140"/>
      <c r="IR797" s="140"/>
      <c r="IS797" s="140"/>
      <c r="IT797" s="140"/>
      <c r="IU797" s="140"/>
      <c r="IV797" s="140"/>
      <c r="IW797" s="140"/>
      <c r="IX797" s="140"/>
      <c r="IY797" s="140"/>
      <c r="IZ797" s="140"/>
      <c r="JA797" s="140"/>
      <c r="JB797" s="140"/>
      <c r="JC797" s="140"/>
      <c r="JD797" s="140"/>
      <c r="JE797" s="140"/>
      <c r="JF797" s="140"/>
      <c r="JG797" s="140"/>
      <c r="JH797" s="140"/>
      <c r="JI797" s="140"/>
      <c r="JJ797" s="140"/>
      <c r="JK797" s="140"/>
      <c r="JL797" s="140"/>
      <c r="JM797" s="140"/>
      <c r="JN797" s="140"/>
      <c r="JO797" s="140"/>
      <c r="JP797" s="140"/>
      <c r="JQ797" s="140"/>
      <c r="JR797" s="140"/>
      <c r="JS797" s="140"/>
      <c r="JT797" s="140"/>
      <c r="JU797" s="140"/>
      <c r="JV797" s="140"/>
      <c r="JW797" s="140"/>
      <c r="JX797" s="140"/>
      <c r="JY797" s="140"/>
      <c r="JZ797" s="140"/>
      <c r="KA797" s="140"/>
      <c r="KB797" s="140"/>
      <c r="KC797" s="140"/>
      <c r="KD797" s="140"/>
      <c r="KE797" s="140"/>
      <c r="KF797" s="140"/>
      <c r="KG797" s="140"/>
      <c r="KH797" s="140"/>
      <c r="KI797" s="140"/>
      <c r="KJ797" s="140"/>
      <c r="KK797" s="140"/>
      <c r="KL797" s="140"/>
      <c r="KM797" s="140"/>
      <c r="KN797" s="140"/>
      <c r="KO797" s="140"/>
      <c r="KP797" s="140"/>
      <c r="KQ797" s="140"/>
      <c r="KR797" s="140"/>
      <c r="KS797" s="140"/>
      <c r="KT797" s="140"/>
      <c r="KU797" s="140"/>
      <c r="KV797" s="140"/>
      <c r="KW797" s="140"/>
      <c r="KX797" s="140"/>
      <c r="KY797" s="140"/>
      <c r="KZ797" s="140"/>
      <c r="LA797" s="140"/>
      <c r="LB797" s="140"/>
      <c r="LC797" s="140"/>
      <c r="LD797" s="140"/>
      <c r="LE797" s="140"/>
      <c r="LF797" s="140"/>
      <c r="LG797" s="140"/>
      <c r="LH797" s="140"/>
      <c r="LI797" s="140"/>
      <c r="LJ797" s="140"/>
      <c r="LK797" s="140"/>
      <c r="LL797" s="140"/>
      <c r="LM797" s="140"/>
      <c r="LN797" s="140"/>
      <c r="LO797" s="140"/>
      <c r="LP797" s="140"/>
      <c r="LQ797" s="140"/>
      <c r="LR797" s="140"/>
      <c r="LS797" s="140"/>
      <c r="LT797" s="140"/>
      <c r="LU797" s="140"/>
      <c r="LV797" s="140"/>
      <c r="LW797" s="140"/>
      <c r="LX797" s="140"/>
      <c r="LY797" s="140"/>
      <c r="LZ797" s="140"/>
      <c r="MA797" s="140"/>
      <c r="MB797" s="140"/>
      <c r="MC797" s="140"/>
      <c r="MD797" s="140"/>
      <c r="ME797" s="140"/>
      <c r="MF797" s="140"/>
      <c r="MG797" s="140"/>
      <c r="MH797" s="140"/>
      <c r="MI797" s="140"/>
      <c r="MJ797" s="140"/>
      <c r="MK797" s="140"/>
      <c r="ML797" s="140"/>
    </row>
    <row r="798" spans="3:350" s="4" customFormat="1" ht="18" customHeight="1" x14ac:dyDescent="0.3">
      <c r="H798" s="140"/>
      <c r="I798" s="140"/>
      <c r="J798" s="140"/>
      <c r="K798" s="140"/>
      <c r="L798" s="140"/>
      <c r="M798" s="140"/>
      <c r="N798" s="140"/>
      <c r="O798" s="140"/>
      <c r="P798" s="140"/>
      <c r="Q798" s="140"/>
      <c r="R798" s="140"/>
      <c r="S798" s="140"/>
      <c r="T798" s="140"/>
      <c r="U798" s="140"/>
      <c r="V798" s="140"/>
      <c r="W798" s="140"/>
      <c r="X798" s="140"/>
      <c r="Y798" s="140"/>
      <c r="Z798" s="140"/>
      <c r="AA798" s="140"/>
      <c r="AB798" s="140"/>
      <c r="AC798" s="140"/>
      <c r="AD798" s="140"/>
      <c r="AE798" s="140"/>
      <c r="AF798" s="140"/>
      <c r="AG798" s="140"/>
      <c r="AH798" s="140"/>
      <c r="AI798" s="140"/>
      <c r="AJ798" s="140"/>
      <c r="AK798" s="140"/>
      <c r="AL798" s="140"/>
      <c r="AM798" s="140"/>
      <c r="AN798" s="140"/>
      <c r="AO798" s="140"/>
      <c r="AP798" s="140"/>
      <c r="AQ798" s="140"/>
      <c r="AR798" s="140"/>
      <c r="AS798" s="140"/>
      <c r="AT798" s="140"/>
      <c r="AU798" s="140"/>
      <c r="AV798" s="140"/>
      <c r="AW798" s="140"/>
      <c r="AX798" s="140"/>
      <c r="AY798" s="140"/>
      <c r="AZ798" s="140"/>
      <c r="BA798" s="140"/>
      <c r="BB798" s="140"/>
      <c r="BC798" s="140"/>
      <c r="BD798" s="140"/>
      <c r="BE798" s="140"/>
      <c r="BF798" s="140"/>
      <c r="BG798" s="140"/>
      <c r="BH798" s="140"/>
      <c r="BI798" s="140"/>
      <c r="BJ798" s="140"/>
      <c r="BK798" s="140"/>
      <c r="BL798" s="140"/>
      <c r="BM798" s="140"/>
      <c r="BN798" s="140"/>
      <c r="BO798" s="140"/>
      <c r="BP798" s="140"/>
      <c r="BQ798" s="140"/>
      <c r="BR798" s="140"/>
      <c r="BS798" s="140"/>
      <c r="BT798" s="140"/>
      <c r="BU798" s="140"/>
      <c r="BV798" s="140"/>
      <c r="BW798" s="140"/>
      <c r="BX798" s="140"/>
      <c r="BY798" s="140"/>
      <c r="BZ798" s="140"/>
      <c r="CA798" s="140"/>
      <c r="CB798" s="140"/>
      <c r="CC798" s="140"/>
      <c r="CD798" s="140"/>
      <c r="CE798" s="140"/>
      <c r="CF798" s="140"/>
      <c r="CG798" s="140"/>
      <c r="CH798" s="140"/>
      <c r="CI798" s="140"/>
      <c r="CJ798" s="140"/>
      <c r="CK798" s="140"/>
      <c r="CL798" s="140"/>
      <c r="CM798" s="140"/>
      <c r="CN798" s="140"/>
      <c r="FJ798" s="140"/>
      <c r="FK798" s="140"/>
      <c r="FL798" s="140"/>
      <c r="FM798" s="140"/>
      <c r="FN798" s="140"/>
      <c r="FO798" s="140"/>
      <c r="FP798" s="140"/>
      <c r="FQ798" s="140"/>
      <c r="FR798" s="140"/>
      <c r="FS798" s="140"/>
      <c r="FT798" s="140"/>
      <c r="FU798" s="140"/>
      <c r="FV798" s="140"/>
      <c r="FW798" s="140"/>
      <c r="FX798" s="140"/>
      <c r="FY798" s="140"/>
      <c r="FZ798" s="140"/>
      <c r="GA798" s="140"/>
      <c r="GB798" s="140"/>
      <c r="GC798" s="140"/>
      <c r="GD798" s="140"/>
      <c r="GE798" s="140"/>
      <c r="GF798" s="140"/>
      <c r="GG798" s="140"/>
      <c r="GH798" s="140"/>
      <c r="GI798" s="140"/>
      <c r="GJ798" s="140"/>
      <c r="GK798" s="140"/>
      <c r="GL798" s="140"/>
      <c r="GM798" s="140"/>
      <c r="GN798" s="140"/>
      <c r="GO798" s="140"/>
      <c r="GP798" s="140"/>
      <c r="GQ798" s="140"/>
      <c r="GR798" s="140"/>
      <c r="GS798" s="140"/>
      <c r="GT798" s="140"/>
      <c r="GU798" s="140"/>
      <c r="GV798" s="140"/>
      <c r="GW798" s="140"/>
      <c r="GX798" s="140"/>
      <c r="GY798" s="140"/>
      <c r="GZ798" s="140"/>
      <c r="HA798" s="140"/>
      <c r="HB798" s="140"/>
      <c r="HC798" s="140"/>
      <c r="HD798" s="140"/>
      <c r="HE798" s="140"/>
      <c r="HF798" s="140"/>
      <c r="HG798" s="140"/>
      <c r="HH798" s="140"/>
      <c r="HI798" s="140"/>
      <c r="HJ798" s="140"/>
      <c r="HK798" s="140"/>
      <c r="HL798" s="140"/>
      <c r="HM798" s="140"/>
      <c r="HN798" s="140"/>
      <c r="HO798" s="140"/>
      <c r="HP798" s="140"/>
      <c r="HQ798" s="140"/>
      <c r="HR798" s="140"/>
      <c r="HS798" s="140"/>
      <c r="HT798" s="140"/>
      <c r="HU798" s="140"/>
      <c r="HV798" s="140"/>
      <c r="HW798" s="140"/>
      <c r="HX798" s="140"/>
      <c r="HY798" s="140"/>
      <c r="HZ798" s="140"/>
      <c r="IA798" s="140"/>
      <c r="IB798" s="140"/>
      <c r="IC798" s="140"/>
      <c r="ID798" s="140"/>
      <c r="IE798" s="140"/>
      <c r="IF798" s="140"/>
      <c r="IG798" s="140"/>
      <c r="IH798" s="140"/>
      <c r="II798" s="140"/>
      <c r="IJ798" s="140"/>
      <c r="IK798" s="140"/>
      <c r="IL798" s="140"/>
      <c r="IM798" s="140"/>
      <c r="IN798" s="140"/>
      <c r="IO798" s="140"/>
      <c r="IP798" s="140"/>
      <c r="IQ798" s="140"/>
      <c r="IR798" s="140"/>
      <c r="IS798" s="140"/>
      <c r="IT798" s="140"/>
      <c r="IU798" s="140"/>
      <c r="IV798" s="140"/>
      <c r="IW798" s="140"/>
      <c r="IX798" s="140"/>
      <c r="IY798" s="140"/>
      <c r="IZ798" s="140"/>
      <c r="JA798" s="140"/>
      <c r="JB798" s="140"/>
      <c r="JC798" s="140"/>
      <c r="JD798" s="140"/>
      <c r="JE798" s="140"/>
      <c r="JF798" s="140"/>
      <c r="JG798" s="140"/>
      <c r="JH798" s="140"/>
      <c r="JI798" s="140"/>
      <c r="JJ798" s="140"/>
      <c r="JK798" s="140"/>
      <c r="JL798" s="140"/>
      <c r="JM798" s="140"/>
      <c r="JN798" s="140"/>
      <c r="JO798" s="140"/>
      <c r="JP798" s="140"/>
      <c r="JQ798" s="140"/>
      <c r="JR798" s="140"/>
      <c r="JS798" s="140"/>
      <c r="JT798" s="140"/>
      <c r="JU798" s="140"/>
      <c r="JV798" s="140"/>
      <c r="JW798" s="140"/>
      <c r="JX798" s="140"/>
      <c r="JY798" s="140"/>
      <c r="JZ798" s="140"/>
      <c r="KA798" s="140"/>
      <c r="KB798" s="140"/>
      <c r="KC798" s="140"/>
      <c r="KD798" s="140"/>
      <c r="KE798" s="140"/>
      <c r="KF798" s="140"/>
      <c r="KG798" s="140"/>
      <c r="KH798" s="140"/>
      <c r="KI798" s="140"/>
      <c r="KJ798" s="140"/>
      <c r="KK798" s="140"/>
      <c r="KL798" s="140"/>
      <c r="KM798" s="140"/>
      <c r="KN798" s="140"/>
      <c r="KO798" s="140"/>
      <c r="KP798" s="140"/>
      <c r="KQ798" s="140"/>
      <c r="KR798" s="140"/>
      <c r="KS798" s="140"/>
      <c r="KT798" s="140"/>
      <c r="KU798" s="140"/>
      <c r="KV798" s="140"/>
      <c r="KW798" s="140"/>
      <c r="KX798" s="140"/>
      <c r="KY798" s="140"/>
      <c r="KZ798" s="140"/>
      <c r="LA798" s="140"/>
      <c r="LB798" s="140"/>
      <c r="LC798" s="140"/>
      <c r="LD798" s="140"/>
      <c r="LE798" s="140"/>
      <c r="LF798" s="140"/>
      <c r="LG798" s="140"/>
      <c r="LH798" s="140"/>
      <c r="LI798" s="140"/>
      <c r="LJ798" s="140"/>
      <c r="LK798" s="140"/>
      <c r="LL798" s="140"/>
      <c r="LM798" s="140"/>
      <c r="LN798" s="140"/>
      <c r="LO798" s="140"/>
      <c r="LP798" s="140"/>
      <c r="LQ798" s="140"/>
      <c r="LR798" s="140"/>
      <c r="LS798" s="140"/>
      <c r="LT798" s="140"/>
      <c r="LU798" s="140"/>
      <c r="LV798" s="140"/>
      <c r="LW798" s="140"/>
      <c r="LX798" s="140"/>
      <c r="LY798" s="140"/>
      <c r="LZ798" s="140"/>
      <c r="MA798" s="140"/>
      <c r="MB798" s="140"/>
      <c r="MC798" s="140"/>
      <c r="MD798" s="140"/>
      <c r="ME798" s="140"/>
      <c r="MF798" s="140"/>
      <c r="MG798" s="140"/>
      <c r="MH798" s="140"/>
      <c r="MI798" s="140"/>
      <c r="MJ798" s="140"/>
      <c r="MK798" s="140"/>
      <c r="ML798" s="140"/>
    </row>
    <row r="799" spans="3:350" s="4" customFormat="1" ht="18" customHeight="1" x14ac:dyDescent="0.3">
      <c r="H799" s="140"/>
      <c r="I799" s="140"/>
      <c r="J799" s="140"/>
      <c r="K799" s="140"/>
      <c r="L799" s="140"/>
      <c r="M799" s="140"/>
      <c r="N799" s="140"/>
      <c r="O799" s="140"/>
      <c r="P799" s="140"/>
      <c r="Q799" s="140"/>
      <c r="R799" s="140"/>
      <c r="S799" s="140"/>
      <c r="T799" s="140"/>
      <c r="U799" s="140"/>
      <c r="V799" s="140"/>
      <c r="W799" s="140"/>
      <c r="X799" s="140"/>
      <c r="Y799" s="140"/>
      <c r="Z799" s="140"/>
      <c r="AA799" s="140"/>
      <c r="AB799" s="140"/>
      <c r="AC799" s="140"/>
      <c r="AD799" s="140"/>
      <c r="AE799" s="140"/>
      <c r="AF799" s="140"/>
      <c r="AG799" s="140"/>
      <c r="AH799" s="140"/>
      <c r="AI799" s="140"/>
      <c r="AJ799" s="140"/>
      <c r="AK799" s="140"/>
      <c r="AL799" s="140"/>
      <c r="AM799" s="140"/>
      <c r="AN799" s="140"/>
      <c r="AO799" s="140"/>
      <c r="AP799" s="140"/>
      <c r="AQ799" s="140"/>
      <c r="AR799" s="140"/>
      <c r="AS799" s="140"/>
      <c r="AT799" s="140"/>
      <c r="AU799" s="140"/>
      <c r="AV799" s="140"/>
      <c r="AW799" s="140"/>
      <c r="AX799" s="140"/>
      <c r="AY799" s="140"/>
      <c r="AZ799" s="140"/>
      <c r="BA799" s="140"/>
      <c r="BB799" s="140"/>
      <c r="BC799" s="140"/>
      <c r="BD799" s="140"/>
      <c r="BE799" s="140"/>
      <c r="BF799" s="140"/>
      <c r="BG799" s="140"/>
      <c r="BH799" s="140"/>
      <c r="BI799" s="140"/>
      <c r="BJ799" s="140"/>
      <c r="BK799" s="140"/>
      <c r="BL799" s="140"/>
      <c r="BM799" s="140"/>
      <c r="BN799" s="140"/>
      <c r="BO799" s="140"/>
      <c r="BP799" s="140"/>
      <c r="BQ799" s="140"/>
      <c r="BR799" s="140"/>
      <c r="BS799" s="140"/>
      <c r="BT799" s="140"/>
      <c r="BU799" s="140"/>
      <c r="BV799" s="140"/>
      <c r="BW799" s="140"/>
      <c r="BX799" s="140"/>
      <c r="BY799" s="140"/>
      <c r="BZ799" s="140"/>
      <c r="CA799" s="140"/>
      <c r="CB799" s="140"/>
      <c r="CC799" s="140"/>
      <c r="CD799" s="140"/>
      <c r="CE799" s="140"/>
      <c r="CF799" s="140"/>
      <c r="CG799" s="140"/>
      <c r="CH799" s="140"/>
      <c r="CI799" s="140"/>
      <c r="CJ799" s="140"/>
      <c r="CK799" s="140"/>
      <c r="CL799" s="140"/>
      <c r="CM799" s="140"/>
      <c r="CN799" s="140"/>
      <c r="FJ799" s="140"/>
      <c r="FK799" s="140"/>
      <c r="FL799" s="140"/>
      <c r="FM799" s="140"/>
      <c r="FN799" s="140"/>
      <c r="FO799" s="140"/>
      <c r="FP799" s="140"/>
      <c r="FQ799" s="140"/>
      <c r="FR799" s="140"/>
      <c r="FS799" s="140"/>
      <c r="FT799" s="140"/>
      <c r="FU799" s="140"/>
      <c r="FV799" s="140"/>
      <c r="FW799" s="140"/>
      <c r="FX799" s="140"/>
      <c r="FY799" s="140"/>
      <c r="FZ799" s="140"/>
      <c r="GA799" s="140"/>
      <c r="GB799" s="140"/>
      <c r="GC799" s="140"/>
      <c r="GD799" s="140"/>
      <c r="GE799" s="140"/>
      <c r="GF799" s="140"/>
      <c r="GG799" s="140"/>
      <c r="GH799" s="140"/>
      <c r="GI799" s="140"/>
      <c r="GJ799" s="140"/>
      <c r="GK799" s="140"/>
      <c r="GL799" s="140"/>
      <c r="GM799" s="140"/>
      <c r="GN799" s="140"/>
      <c r="GO799" s="140"/>
      <c r="GP799" s="140"/>
      <c r="GQ799" s="140"/>
      <c r="GR799" s="140"/>
      <c r="GS799" s="140"/>
      <c r="GT799" s="140"/>
      <c r="GU799" s="140"/>
      <c r="GV799" s="140"/>
      <c r="GW799" s="140"/>
      <c r="GX799" s="140"/>
      <c r="GY799" s="140"/>
      <c r="GZ799" s="140"/>
      <c r="HA799" s="140"/>
      <c r="HB799" s="140"/>
      <c r="HC799" s="140"/>
      <c r="HD799" s="140"/>
      <c r="HE799" s="140"/>
      <c r="HF799" s="140"/>
      <c r="HG799" s="140"/>
      <c r="HH799" s="140"/>
      <c r="HI799" s="140"/>
      <c r="HJ799" s="140"/>
      <c r="HK799" s="140"/>
      <c r="HL799" s="140"/>
      <c r="HM799" s="140"/>
      <c r="HN799" s="140"/>
      <c r="HO799" s="140"/>
      <c r="HP799" s="140"/>
      <c r="HQ799" s="140"/>
      <c r="HR799" s="140"/>
      <c r="HS799" s="140"/>
      <c r="HT799" s="140"/>
      <c r="HU799" s="140"/>
      <c r="HV799" s="140"/>
      <c r="HW799" s="140"/>
      <c r="HX799" s="140"/>
      <c r="HY799" s="140"/>
      <c r="HZ799" s="140"/>
      <c r="IA799" s="140"/>
      <c r="IB799" s="140"/>
      <c r="IC799" s="140"/>
      <c r="ID799" s="140"/>
      <c r="IE799" s="140"/>
      <c r="IF799" s="140"/>
      <c r="IG799" s="140"/>
      <c r="IH799" s="140"/>
      <c r="II799" s="140"/>
      <c r="IJ799" s="140"/>
      <c r="IK799" s="140"/>
      <c r="IL799" s="140"/>
      <c r="IM799" s="140"/>
      <c r="IN799" s="140"/>
      <c r="IO799" s="140"/>
      <c r="IP799" s="140"/>
      <c r="IQ799" s="140"/>
      <c r="IR799" s="140"/>
      <c r="IS799" s="140"/>
      <c r="IT799" s="140"/>
      <c r="IU799" s="140"/>
      <c r="IV799" s="140"/>
      <c r="IW799" s="140"/>
      <c r="IX799" s="140"/>
      <c r="IY799" s="140"/>
      <c r="IZ799" s="140"/>
      <c r="JA799" s="140"/>
      <c r="JB799" s="140"/>
      <c r="JC799" s="140"/>
      <c r="JD799" s="140"/>
      <c r="JE799" s="140"/>
      <c r="JF799" s="140"/>
      <c r="JG799" s="140"/>
      <c r="JH799" s="140"/>
      <c r="JI799" s="140"/>
      <c r="JJ799" s="140"/>
      <c r="JK799" s="140"/>
      <c r="JL799" s="140"/>
      <c r="JM799" s="140"/>
      <c r="JN799" s="140"/>
      <c r="JO799" s="140"/>
      <c r="JP799" s="140"/>
      <c r="JQ799" s="140"/>
      <c r="JR799" s="140"/>
      <c r="JS799" s="140"/>
      <c r="JT799" s="140"/>
      <c r="JU799" s="140"/>
      <c r="JV799" s="140"/>
      <c r="JW799" s="140"/>
      <c r="JX799" s="140"/>
      <c r="JY799" s="140"/>
      <c r="JZ799" s="140"/>
      <c r="KA799" s="140"/>
      <c r="KB799" s="140"/>
      <c r="KC799" s="140"/>
      <c r="KD799" s="140"/>
      <c r="KE799" s="140"/>
      <c r="KF799" s="140"/>
      <c r="KG799" s="140"/>
      <c r="KH799" s="140"/>
      <c r="KI799" s="140"/>
      <c r="KJ799" s="140"/>
      <c r="KK799" s="140"/>
      <c r="KL799" s="140"/>
      <c r="KM799" s="140"/>
      <c r="KN799" s="140"/>
      <c r="KO799" s="140"/>
      <c r="KP799" s="140"/>
      <c r="KQ799" s="140"/>
      <c r="KR799" s="140"/>
      <c r="KS799" s="140"/>
      <c r="KT799" s="140"/>
      <c r="KU799" s="140"/>
      <c r="KV799" s="140"/>
      <c r="KW799" s="140"/>
      <c r="KX799" s="140"/>
      <c r="KY799" s="140"/>
      <c r="KZ799" s="140"/>
      <c r="LA799" s="140"/>
      <c r="LB799" s="140"/>
      <c r="LC799" s="140"/>
      <c r="LD799" s="140"/>
      <c r="LE799" s="140"/>
      <c r="LF799" s="140"/>
      <c r="LG799" s="140"/>
      <c r="LH799" s="140"/>
      <c r="LI799" s="140"/>
      <c r="LJ799" s="140"/>
      <c r="LK799" s="140"/>
      <c r="LL799" s="140"/>
      <c r="LM799" s="140"/>
      <c r="LN799" s="140"/>
      <c r="LO799" s="140"/>
      <c r="LP799" s="140"/>
      <c r="LQ799" s="140"/>
      <c r="LR799" s="140"/>
      <c r="LS799" s="140"/>
      <c r="LT799" s="140"/>
      <c r="LU799" s="140"/>
      <c r="LV799" s="140"/>
      <c r="LW799" s="140"/>
      <c r="LX799" s="140"/>
      <c r="LY799" s="140"/>
      <c r="LZ799" s="140"/>
      <c r="MA799" s="140"/>
      <c r="MB799" s="140"/>
      <c r="MC799" s="140"/>
      <c r="MD799" s="140"/>
      <c r="ME799" s="140"/>
      <c r="MF799" s="140"/>
      <c r="MG799" s="140"/>
      <c r="MH799" s="140"/>
      <c r="MI799" s="140"/>
      <c r="MJ799" s="140"/>
      <c r="MK799" s="140"/>
      <c r="ML799" s="140"/>
    </row>
    <row r="800" spans="3:350" s="4" customFormat="1" ht="18" customHeight="1" x14ac:dyDescent="0.3">
      <c r="H800" s="140"/>
      <c r="I800" s="140"/>
      <c r="J800" s="140"/>
      <c r="K800" s="140"/>
      <c r="L800" s="140"/>
      <c r="M800" s="140"/>
      <c r="N800" s="140"/>
      <c r="O800" s="140"/>
      <c r="P800" s="140"/>
      <c r="Q800" s="140"/>
      <c r="R800" s="140"/>
      <c r="S800" s="140"/>
      <c r="T800" s="140"/>
      <c r="U800" s="140"/>
      <c r="V800" s="140"/>
      <c r="W800" s="140"/>
      <c r="X800" s="140"/>
      <c r="Y800" s="140"/>
      <c r="Z800" s="140"/>
      <c r="AA800" s="140"/>
      <c r="AB800" s="140"/>
      <c r="AC800" s="140"/>
      <c r="AD800" s="140"/>
      <c r="AE800" s="140"/>
      <c r="AF800" s="140"/>
      <c r="AG800" s="140"/>
      <c r="AH800" s="140"/>
      <c r="AI800" s="140"/>
      <c r="AJ800" s="140"/>
      <c r="AK800" s="140"/>
      <c r="AL800" s="140"/>
      <c r="AM800" s="140"/>
      <c r="AN800" s="140"/>
      <c r="AO800" s="140"/>
      <c r="AP800" s="140"/>
      <c r="AQ800" s="140"/>
      <c r="AR800" s="140"/>
      <c r="AS800" s="140"/>
      <c r="AT800" s="140"/>
      <c r="AU800" s="140"/>
      <c r="AV800" s="140"/>
      <c r="AW800" s="140"/>
      <c r="AX800" s="140"/>
      <c r="AY800" s="140"/>
      <c r="AZ800" s="140"/>
      <c r="BA800" s="140"/>
      <c r="BB800" s="140"/>
      <c r="BC800" s="140"/>
      <c r="BD800" s="140"/>
      <c r="BE800" s="140"/>
      <c r="BF800" s="140"/>
      <c r="BG800" s="140"/>
      <c r="BH800" s="140"/>
      <c r="BI800" s="140"/>
      <c r="BJ800" s="140"/>
      <c r="BK800" s="140"/>
      <c r="BL800" s="140"/>
      <c r="BM800" s="140"/>
      <c r="BN800" s="140"/>
      <c r="BO800" s="140"/>
      <c r="BP800" s="140"/>
      <c r="BQ800" s="140"/>
      <c r="BR800" s="140"/>
      <c r="BS800" s="140"/>
      <c r="BT800" s="140"/>
      <c r="BU800" s="140"/>
      <c r="BV800" s="140"/>
      <c r="BW800" s="140"/>
      <c r="BX800" s="140"/>
      <c r="BY800" s="140"/>
      <c r="BZ800" s="140"/>
      <c r="CA800" s="140"/>
      <c r="CB800" s="140"/>
      <c r="CC800" s="140"/>
      <c r="CD800" s="140"/>
      <c r="CE800" s="140"/>
      <c r="CF800" s="140"/>
      <c r="CG800" s="140"/>
      <c r="CH800" s="140"/>
      <c r="CI800" s="140"/>
      <c r="CJ800" s="140"/>
      <c r="CK800" s="140"/>
      <c r="CL800" s="140"/>
      <c r="CM800" s="140"/>
      <c r="CN800" s="140"/>
      <c r="FJ800" s="140"/>
      <c r="FK800" s="140"/>
      <c r="FL800" s="140"/>
      <c r="FM800" s="140"/>
      <c r="FN800" s="140"/>
      <c r="FO800" s="140"/>
      <c r="FP800" s="140"/>
      <c r="FQ800" s="140"/>
      <c r="FR800" s="140"/>
      <c r="FS800" s="140"/>
      <c r="FT800" s="140"/>
      <c r="FU800" s="140"/>
      <c r="FV800" s="140"/>
      <c r="FW800" s="140"/>
      <c r="FX800" s="140"/>
      <c r="FY800" s="140"/>
      <c r="FZ800" s="140"/>
      <c r="GA800" s="140"/>
      <c r="GB800" s="140"/>
      <c r="GC800" s="140"/>
      <c r="GD800" s="140"/>
      <c r="GE800" s="140"/>
      <c r="GF800" s="140"/>
      <c r="GG800" s="140"/>
      <c r="GH800" s="140"/>
      <c r="GI800" s="140"/>
      <c r="GJ800" s="140"/>
      <c r="GK800" s="140"/>
      <c r="GL800" s="140"/>
      <c r="GM800" s="140"/>
      <c r="GN800" s="140"/>
      <c r="GO800" s="140"/>
      <c r="GP800" s="140"/>
      <c r="GQ800" s="140"/>
      <c r="GR800" s="140"/>
      <c r="GS800" s="140"/>
      <c r="GT800" s="140"/>
      <c r="GU800" s="140"/>
      <c r="GV800" s="140"/>
      <c r="GW800" s="140"/>
      <c r="GX800" s="140"/>
      <c r="GY800" s="140"/>
      <c r="GZ800" s="140"/>
      <c r="HA800" s="140"/>
      <c r="HB800" s="140"/>
      <c r="HC800" s="140"/>
      <c r="HD800" s="140"/>
      <c r="HE800" s="140"/>
      <c r="HF800" s="140"/>
      <c r="HG800" s="140"/>
      <c r="HH800" s="140"/>
      <c r="HI800" s="140"/>
      <c r="HJ800" s="140"/>
      <c r="HK800" s="140"/>
      <c r="HL800" s="140"/>
      <c r="HM800" s="140"/>
      <c r="HN800" s="140"/>
      <c r="HO800" s="140"/>
      <c r="HP800" s="140"/>
      <c r="HQ800" s="140"/>
      <c r="HR800" s="140"/>
      <c r="HS800" s="140"/>
      <c r="HT800" s="140"/>
      <c r="HU800" s="140"/>
      <c r="HV800" s="140"/>
      <c r="HW800" s="140"/>
      <c r="HX800" s="140"/>
      <c r="HY800" s="140"/>
      <c r="HZ800" s="140"/>
      <c r="IA800" s="140"/>
      <c r="IB800" s="140"/>
      <c r="IC800" s="140"/>
      <c r="ID800" s="140"/>
      <c r="IE800" s="140"/>
      <c r="IF800" s="140"/>
      <c r="IG800" s="140"/>
      <c r="IH800" s="140"/>
      <c r="II800" s="140"/>
      <c r="IJ800" s="140"/>
      <c r="IK800" s="140"/>
      <c r="IL800" s="140"/>
      <c r="IM800" s="140"/>
      <c r="IN800" s="140"/>
      <c r="IO800" s="140"/>
      <c r="IP800" s="140"/>
      <c r="IQ800" s="140"/>
      <c r="IR800" s="140"/>
      <c r="IS800" s="140"/>
      <c r="IT800" s="140"/>
      <c r="IU800" s="140"/>
      <c r="IV800" s="140"/>
      <c r="IW800" s="140"/>
      <c r="IX800" s="140"/>
      <c r="IY800" s="140"/>
      <c r="IZ800" s="140"/>
      <c r="JA800" s="140"/>
      <c r="JB800" s="140"/>
      <c r="JC800" s="140"/>
      <c r="JD800" s="140"/>
      <c r="JE800" s="140"/>
      <c r="JF800" s="140"/>
      <c r="JG800" s="140"/>
      <c r="JH800" s="140"/>
      <c r="JI800" s="140"/>
      <c r="JJ800" s="140"/>
      <c r="JK800" s="140"/>
      <c r="JL800" s="140"/>
      <c r="JM800" s="140"/>
      <c r="JN800" s="140"/>
      <c r="JO800" s="140"/>
      <c r="JP800" s="140"/>
      <c r="JQ800" s="140"/>
      <c r="JR800" s="140"/>
      <c r="JS800" s="140"/>
      <c r="JT800" s="140"/>
      <c r="JU800" s="140"/>
      <c r="JV800" s="140"/>
      <c r="JW800" s="140"/>
      <c r="JX800" s="140"/>
      <c r="JY800" s="140"/>
      <c r="JZ800" s="140"/>
      <c r="KA800" s="140"/>
      <c r="KB800" s="140"/>
      <c r="KC800" s="140"/>
      <c r="KD800" s="140"/>
      <c r="KE800" s="140"/>
      <c r="KF800" s="140"/>
      <c r="KG800" s="140"/>
      <c r="KH800" s="140"/>
      <c r="KI800" s="140"/>
      <c r="KJ800" s="140"/>
      <c r="KK800" s="140"/>
      <c r="KL800" s="140"/>
      <c r="KM800" s="140"/>
      <c r="KN800" s="140"/>
      <c r="KO800" s="140"/>
      <c r="KP800" s="140"/>
      <c r="KQ800" s="140"/>
      <c r="KR800" s="140"/>
      <c r="KS800" s="140"/>
      <c r="KT800" s="140"/>
      <c r="KU800" s="140"/>
      <c r="KV800" s="140"/>
      <c r="KW800" s="140"/>
      <c r="KX800" s="140"/>
      <c r="KY800" s="140"/>
      <c r="KZ800" s="140"/>
      <c r="LA800" s="140"/>
      <c r="LB800" s="140"/>
      <c r="LC800" s="140"/>
      <c r="LD800" s="140"/>
      <c r="LE800" s="140"/>
      <c r="LF800" s="140"/>
      <c r="LG800" s="140"/>
      <c r="LH800" s="140"/>
      <c r="LI800" s="140"/>
      <c r="LJ800" s="140"/>
      <c r="LK800" s="140"/>
      <c r="LL800" s="140"/>
      <c r="LM800" s="140"/>
      <c r="LN800" s="140"/>
      <c r="LO800" s="140"/>
      <c r="LP800" s="140"/>
      <c r="LQ800" s="140"/>
      <c r="LR800" s="140"/>
      <c r="LS800" s="140"/>
      <c r="LT800" s="140"/>
      <c r="LU800" s="140"/>
      <c r="LV800" s="140"/>
      <c r="LW800" s="140"/>
      <c r="LX800" s="140"/>
      <c r="LY800" s="140"/>
      <c r="LZ800" s="140"/>
      <c r="MA800" s="140"/>
      <c r="MB800" s="140"/>
      <c r="MC800" s="140"/>
      <c r="MD800" s="140"/>
      <c r="ME800" s="140"/>
      <c r="MF800" s="140"/>
      <c r="MG800" s="140"/>
      <c r="MH800" s="140"/>
      <c r="MI800" s="140"/>
      <c r="MJ800" s="140"/>
      <c r="MK800" s="140"/>
      <c r="ML800" s="140"/>
    </row>
    <row r="801" spans="3:350" s="4" customFormat="1" ht="18" customHeight="1" x14ac:dyDescent="0.3">
      <c r="H801" s="140"/>
      <c r="I801" s="140"/>
      <c r="J801" s="140"/>
      <c r="K801" s="140"/>
      <c r="L801" s="140"/>
      <c r="M801" s="140"/>
      <c r="N801" s="140"/>
      <c r="O801" s="140"/>
      <c r="P801" s="140"/>
      <c r="Q801" s="140"/>
      <c r="R801" s="140"/>
      <c r="S801" s="140"/>
      <c r="T801" s="140"/>
      <c r="U801" s="140"/>
      <c r="V801" s="140"/>
      <c r="W801" s="140"/>
      <c r="X801" s="140"/>
      <c r="Y801" s="140"/>
      <c r="Z801" s="140"/>
      <c r="AA801" s="140"/>
      <c r="AB801" s="140"/>
      <c r="AC801" s="140"/>
      <c r="AD801" s="140"/>
      <c r="AE801" s="140"/>
      <c r="AF801" s="140"/>
      <c r="AG801" s="140"/>
      <c r="AH801" s="140"/>
      <c r="AI801" s="140"/>
      <c r="AJ801" s="140"/>
      <c r="AK801" s="140"/>
      <c r="AL801" s="140"/>
      <c r="AM801" s="140"/>
      <c r="AN801" s="140"/>
      <c r="AO801" s="140"/>
      <c r="AP801" s="140"/>
      <c r="AQ801" s="140"/>
      <c r="AR801" s="140"/>
      <c r="AS801" s="140"/>
      <c r="AT801" s="140"/>
      <c r="AU801" s="140"/>
      <c r="AV801" s="140"/>
      <c r="AW801" s="140"/>
      <c r="AX801" s="140"/>
      <c r="AY801" s="140"/>
      <c r="AZ801" s="140"/>
      <c r="BA801" s="140"/>
      <c r="BB801" s="140"/>
      <c r="BC801" s="140"/>
      <c r="BD801" s="140"/>
      <c r="BE801" s="140"/>
      <c r="BF801" s="140"/>
      <c r="BG801" s="140"/>
      <c r="BH801" s="140"/>
      <c r="BI801" s="140"/>
      <c r="BJ801" s="140"/>
      <c r="BK801" s="140"/>
      <c r="BL801" s="140"/>
      <c r="BM801" s="140"/>
      <c r="BN801" s="140"/>
      <c r="BO801" s="140"/>
      <c r="BP801" s="140"/>
      <c r="BQ801" s="140"/>
      <c r="BR801" s="140"/>
      <c r="BS801" s="140"/>
      <c r="BT801" s="140"/>
      <c r="BU801" s="140"/>
      <c r="BV801" s="140"/>
      <c r="BW801" s="140"/>
      <c r="BX801" s="140"/>
      <c r="BY801" s="140"/>
      <c r="BZ801" s="140"/>
      <c r="CA801" s="140"/>
      <c r="CB801" s="140"/>
      <c r="CC801" s="140"/>
      <c r="CD801" s="140"/>
      <c r="CE801" s="140"/>
      <c r="CF801" s="140"/>
      <c r="CG801" s="140"/>
      <c r="CH801" s="140"/>
      <c r="CI801" s="140"/>
      <c r="CJ801" s="140"/>
      <c r="CK801" s="140"/>
      <c r="CL801" s="140"/>
      <c r="CM801" s="140"/>
      <c r="CN801" s="140"/>
      <c r="FJ801" s="140"/>
      <c r="FK801" s="140"/>
      <c r="FL801" s="140"/>
      <c r="FM801" s="140"/>
      <c r="FN801" s="140"/>
      <c r="FO801" s="140"/>
      <c r="FP801" s="140"/>
      <c r="FQ801" s="140"/>
      <c r="FR801" s="140"/>
      <c r="FS801" s="140"/>
      <c r="FT801" s="140"/>
      <c r="FU801" s="140"/>
      <c r="FV801" s="140"/>
      <c r="FW801" s="140"/>
      <c r="FX801" s="140"/>
      <c r="FY801" s="140"/>
      <c r="FZ801" s="140"/>
      <c r="GA801" s="140"/>
      <c r="GB801" s="140"/>
      <c r="GC801" s="140"/>
      <c r="GD801" s="140"/>
      <c r="GE801" s="140"/>
      <c r="GF801" s="140"/>
      <c r="GG801" s="140"/>
      <c r="GH801" s="140"/>
      <c r="GI801" s="140"/>
      <c r="GJ801" s="140"/>
      <c r="GK801" s="140"/>
      <c r="GL801" s="140"/>
      <c r="GM801" s="140"/>
      <c r="GN801" s="140"/>
      <c r="GO801" s="140"/>
      <c r="GP801" s="140"/>
      <c r="GQ801" s="140"/>
      <c r="GR801" s="140"/>
      <c r="GS801" s="140"/>
      <c r="GT801" s="140"/>
      <c r="GU801" s="140"/>
      <c r="GV801" s="140"/>
      <c r="GW801" s="140"/>
      <c r="GX801" s="140"/>
      <c r="GY801" s="140"/>
      <c r="GZ801" s="140"/>
      <c r="HA801" s="140"/>
      <c r="HB801" s="140"/>
      <c r="HC801" s="140"/>
      <c r="HD801" s="140"/>
      <c r="HE801" s="140"/>
      <c r="HF801" s="140"/>
      <c r="HG801" s="140"/>
      <c r="HH801" s="140"/>
      <c r="HI801" s="140"/>
      <c r="HJ801" s="140"/>
      <c r="HK801" s="140"/>
      <c r="HL801" s="140"/>
      <c r="HM801" s="140"/>
      <c r="HN801" s="140"/>
      <c r="HO801" s="140"/>
      <c r="HP801" s="140"/>
      <c r="HQ801" s="140"/>
      <c r="HR801" s="140"/>
      <c r="HS801" s="140"/>
      <c r="HT801" s="140"/>
      <c r="HU801" s="140"/>
      <c r="HV801" s="140"/>
      <c r="HW801" s="140"/>
      <c r="HX801" s="140"/>
      <c r="HY801" s="140"/>
      <c r="HZ801" s="140"/>
      <c r="IA801" s="140"/>
      <c r="IB801" s="140"/>
      <c r="IC801" s="140"/>
      <c r="ID801" s="140"/>
      <c r="IE801" s="140"/>
      <c r="IF801" s="140"/>
      <c r="IG801" s="140"/>
      <c r="IH801" s="140"/>
      <c r="II801" s="140"/>
      <c r="IJ801" s="140"/>
      <c r="IK801" s="140"/>
      <c r="IL801" s="140"/>
      <c r="IM801" s="140"/>
      <c r="IN801" s="140"/>
      <c r="IO801" s="140"/>
      <c r="IP801" s="140"/>
      <c r="IQ801" s="140"/>
      <c r="IR801" s="140"/>
      <c r="IS801" s="140"/>
      <c r="IT801" s="140"/>
      <c r="IU801" s="140"/>
      <c r="IV801" s="140"/>
      <c r="IW801" s="140"/>
      <c r="IX801" s="140"/>
      <c r="IY801" s="140"/>
      <c r="IZ801" s="140"/>
      <c r="JA801" s="140"/>
      <c r="JB801" s="140"/>
      <c r="JC801" s="140"/>
      <c r="JD801" s="140"/>
      <c r="JE801" s="140"/>
      <c r="JF801" s="140"/>
      <c r="JG801" s="140"/>
      <c r="JH801" s="140"/>
      <c r="JI801" s="140"/>
      <c r="JJ801" s="140"/>
      <c r="JK801" s="140"/>
      <c r="JL801" s="140"/>
      <c r="JM801" s="140"/>
      <c r="JN801" s="140"/>
      <c r="JO801" s="140"/>
      <c r="JP801" s="140"/>
      <c r="JQ801" s="140"/>
      <c r="JR801" s="140"/>
      <c r="JS801" s="140"/>
      <c r="JT801" s="140"/>
      <c r="JU801" s="140"/>
      <c r="JV801" s="140"/>
      <c r="JW801" s="140"/>
      <c r="JX801" s="140"/>
      <c r="JY801" s="140"/>
      <c r="JZ801" s="140"/>
      <c r="KA801" s="140"/>
      <c r="KB801" s="140"/>
      <c r="KC801" s="140"/>
      <c r="KD801" s="140"/>
      <c r="KE801" s="140"/>
      <c r="KF801" s="140"/>
      <c r="KG801" s="140"/>
      <c r="KH801" s="140"/>
      <c r="KI801" s="140"/>
      <c r="KJ801" s="140"/>
      <c r="KK801" s="140"/>
      <c r="KL801" s="140"/>
      <c r="KM801" s="140"/>
      <c r="KN801" s="140"/>
      <c r="KO801" s="140"/>
      <c r="KP801" s="140"/>
      <c r="KQ801" s="140"/>
      <c r="KR801" s="140"/>
      <c r="KS801" s="140"/>
      <c r="KT801" s="140"/>
      <c r="KU801" s="140"/>
      <c r="KV801" s="140"/>
      <c r="KW801" s="140"/>
      <c r="KX801" s="140"/>
      <c r="KY801" s="140"/>
      <c r="KZ801" s="140"/>
      <c r="LA801" s="140"/>
      <c r="LB801" s="140"/>
      <c r="LC801" s="140"/>
      <c r="LD801" s="140"/>
      <c r="LE801" s="140"/>
      <c r="LF801" s="140"/>
      <c r="LG801" s="140"/>
      <c r="LH801" s="140"/>
      <c r="LI801" s="140"/>
      <c r="LJ801" s="140"/>
      <c r="LK801" s="140"/>
      <c r="LL801" s="140"/>
      <c r="LM801" s="140"/>
      <c r="LN801" s="140"/>
      <c r="LO801" s="140"/>
      <c r="LP801" s="140"/>
      <c r="LQ801" s="140"/>
      <c r="LR801" s="140"/>
      <c r="LS801" s="140"/>
      <c r="LT801" s="140"/>
      <c r="LU801" s="140"/>
      <c r="LV801" s="140"/>
      <c r="LW801" s="140"/>
      <c r="LX801" s="140"/>
      <c r="LY801" s="140"/>
      <c r="LZ801" s="140"/>
      <c r="MA801" s="140"/>
      <c r="MB801" s="140"/>
      <c r="MC801" s="140"/>
      <c r="MD801" s="140"/>
      <c r="ME801" s="140"/>
      <c r="MF801" s="140"/>
      <c r="MG801" s="140"/>
      <c r="MH801" s="140"/>
      <c r="MI801" s="140"/>
      <c r="MJ801" s="140"/>
      <c r="MK801" s="140"/>
      <c r="ML801" s="140"/>
    </row>
    <row r="802" spans="3:350" s="4" customFormat="1" ht="18" customHeight="1" x14ac:dyDescent="0.3">
      <c r="H802" s="140"/>
      <c r="I802" s="140"/>
      <c r="J802" s="140"/>
      <c r="K802" s="140"/>
      <c r="L802" s="140"/>
      <c r="M802" s="140"/>
      <c r="N802" s="140"/>
      <c r="O802" s="140"/>
      <c r="P802" s="140"/>
      <c r="Q802" s="140"/>
      <c r="R802" s="140"/>
      <c r="S802" s="140"/>
      <c r="T802" s="140"/>
      <c r="U802" s="140"/>
      <c r="V802" s="140"/>
      <c r="W802" s="140"/>
      <c r="X802" s="140"/>
      <c r="Y802" s="140"/>
      <c r="Z802" s="140"/>
      <c r="AA802" s="140"/>
      <c r="AB802" s="140"/>
      <c r="AC802" s="140"/>
      <c r="AD802" s="140"/>
      <c r="AE802" s="140"/>
      <c r="AF802" s="140"/>
      <c r="AG802" s="140"/>
      <c r="AH802" s="140"/>
      <c r="AI802" s="140"/>
      <c r="AJ802" s="140"/>
      <c r="AK802" s="140"/>
      <c r="AL802" s="140"/>
      <c r="AM802" s="140"/>
      <c r="AN802" s="140"/>
      <c r="AO802" s="140"/>
      <c r="AP802" s="140"/>
      <c r="AQ802" s="140"/>
      <c r="AR802" s="140"/>
      <c r="AS802" s="140"/>
      <c r="AT802" s="140"/>
      <c r="AU802" s="140"/>
      <c r="AV802" s="140"/>
      <c r="AW802" s="140"/>
      <c r="AX802" s="140"/>
      <c r="AY802" s="140"/>
      <c r="AZ802" s="140"/>
      <c r="BA802" s="140"/>
      <c r="BB802" s="140"/>
      <c r="BC802" s="140"/>
      <c r="BD802" s="140"/>
      <c r="BE802" s="140"/>
      <c r="BF802" s="140"/>
      <c r="BG802" s="140"/>
      <c r="BH802" s="140"/>
      <c r="BI802" s="140"/>
      <c r="BJ802" s="140"/>
      <c r="BK802" s="140"/>
      <c r="BL802" s="140"/>
      <c r="BM802" s="140"/>
      <c r="BN802" s="140"/>
      <c r="BO802" s="140"/>
      <c r="BP802" s="140"/>
      <c r="BQ802" s="140"/>
      <c r="BR802" s="140"/>
      <c r="BS802" s="140"/>
      <c r="BT802" s="140"/>
      <c r="BU802" s="140"/>
      <c r="BV802" s="140"/>
      <c r="BW802" s="140"/>
      <c r="BX802" s="140"/>
      <c r="BY802" s="140"/>
      <c r="BZ802" s="140"/>
      <c r="CA802" s="140"/>
      <c r="CB802" s="140"/>
      <c r="CC802" s="140"/>
      <c r="CD802" s="140"/>
      <c r="CE802" s="140"/>
      <c r="CF802" s="140"/>
      <c r="CG802" s="140"/>
      <c r="CH802" s="140"/>
      <c r="CI802" s="140"/>
      <c r="CJ802" s="140"/>
      <c r="CK802" s="140"/>
      <c r="CL802" s="140"/>
      <c r="CM802" s="140"/>
      <c r="CN802" s="140"/>
      <c r="FJ802" s="140"/>
      <c r="FK802" s="140"/>
      <c r="FL802" s="140"/>
      <c r="FM802" s="140"/>
      <c r="FN802" s="140"/>
      <c r="FO802" s="140"/>
      <c r="FP802" s="140"/>
      <c r="FQ802" s="140"/>
      <c r="FR802" s="140"/>
      <c r="FS802" s="140"/>
      <c r="FT802" s="140"/>
      <c r="FU802" s="140"/>
      <c r="FV802" s="140"/>
      <c r="FW802" s="140"/>
      <c r="FX802" s="140"/>
      <c r="FY802" s="140"/>
      <c r="FZ802" s="140"/>
      <c r="GA802" s="140"/>
      <c r="GB802" s="140"/>
      <c r="GC802" s="140"/>
      <c r="GD802" s="140"/>
      <c r="GE802" s="140"/>
      <c r="GF802" s="140"/>
      <c r="GG802" s="140"/>
      <c r="GH802" s="140"/>
      <c r="GI802" s="140"/>
      <c r="GJ802" s="140"/>
      <c r="GK802" s="140"/>
      <c r="GL802" s="140"/>
      <c r="GM802" s="140"/>
      <c r="GN802" s="140"/>
      <c r="GO802" s="140"/>
      <c r="GP802" s="140"/>
      <c r="GQ802" s="140"/>
      <c r="GR802" s="140"/>
      <c r="GS802" s="140"/>
      <c r="GT802" s="140"/>
      <c r="GU802" s="140"/>
      <c r="GV802" s="140"/>
      <c r="GW802" s="140"/>
      <c r="GX802" s="140"/>
      <c r="GY802" s="140"/>
      <c r="GZ802" s="140"/>
      <c r="HA802" s="140"/>
      <c r="HB802" s="140"/>
      <c r="HC802" s="140"/>
      <c r="HD802" s="140"/>
      <c r="HE802" s="140"/>
      <c r="HF802" s="140"/>
      <c r="HG802" s="140"/>
      <c r="HH802" s="140"/>
      <c r="HI802" s="140"/>
      <c r="HJ802" s="140"/>
      <c r="HK802" s="140"/>
      <c r="HL802" s="140"/>
      <c r="HM802" s="140"/>
      <c r="HN802" s="140"/>
      <c r="HO802" s="140"/>
      <c r="HP802" s="140"/>
      <c r="HQ802" s="140"/>
      <c r="HR802" s="140"/>
      <c r="HS802" s="140"/>
      <c r="HT802" s="140"/>
      <c r="HU802" s="140"/>
      <c r="HV802" s="140"/>
      <c r="HW802" s="140"/>
      <c r="HX802" s="140"/>
      <c r="HY802" s="140"/>
      <c r="HZ802" s="140"/>
      <c r="IA802" s="140"/>
      <c r="IB802" s="140"/>
      <c r="IC802" s="140"/>
      <c r="ID802" s="140"/>
      <c r="IE802" s="140"/>
      <c r="IF802" s="140"/>
      <c r="IG802" s="140"/>
      <c r="IH802" s="140"/>
      <c r="II802" s="140"/>
      <c r="IJ802" s="140"/>
      <c r="IK802" s="140"/>
      <c r="IL802" s="140"/>
      <c r="IM802" s="140"/>
      <c r="IN802" s="140"/>
      <c r="IO802" s="140"/>
      <c r="IP802" s="140"/>
      <c r="IQ802" s="140"/>
      <c r="IR802" s="140"/>
      <c r="IS802" s="140"/>
      <c r="IT802" s="140"/>
      <c r="IU802" s="140"/>
      <c r="IV802" s="140"/>
      <c r="IW802" s="140"/>
      <c r="IX802" s="140"/>
      <c r="IY802" s="140"/>
      <c r="IZ802" s="140"/>
      <c r="JA802" s="140"/>
      <c r="JB802" s="140"/>
      <c r="JC802" s="140"/>
      <c r="JD802" s="140"/>
      <c r="JE802" s="140"/>
      <c r="JF802" s="140"/>
      <c r="JG802" s="140"/>
      <c r="JH802" s="140"/>
      <c r="JI802" s="140"/>
      <c r="JJ802" s="140"/>
      <c r="JK802" s="140"/>
      <c r="JL802" s="140"/>
      <c r="JM802" s="140"/>
      <c r="JN802" s="140"/>
      <c r="JO802" s="140"/>
      <c r="JP802" s="140"/>
      <c r="JQ802" s="140"/>
      <c r="JR802" s="140"/>
      <c r="JS802" s="140"/>
      <c r="JT802" s="140"/>
      <c r="JU802" s="140"/>
      <c r="JV802" s="140"/>
      <c r="JW802" s="140"/>
      <c r="JX802" s="140"/>
      <c r="JY802" s="140"/>
      <c r="JZ802" s="140"/>
      <c r="KA802" s="140"/>
      <c r="KB802" s="140"/>
      <c r="KC802" s="140"/>
      <c r="KD802" s="140"/>
      <c r="KE802" s="140"/>
      <c r="KF802" s="140"/>
      <c r="KG802" s="140"/>
      <c r="KH802" s="140"/>
      <c r="KI802" s="140"/>
      <c r="KJ802" s="140"/>
      <c r="KK802" s="140"/>
      <c r="KL802" s="140"/>
      <c r="KM802" s="140"/>
      <c r="KN802" s="140"/>
      <c r="KO802" s="140"/>
      <c r="KP802" s="140"/>
      <c r="KQ802" s="140"/>
      <c r="KR802" s="140"/>
      <c r="KS802" s="140"/>
      <c r="KT802" s="140"/>
      <c r="KU802" s="140"/>
      <c r="KV802" s="140"/>
      <c r="KW802" s="140"/>
      <c r="KX802" s="140"/>
      <c r="KY802" s="140"/>
      <c r="KZ802" s="140"/>
      <c r="LA802" s="140"/>
      <c r="LB802" s="140"/>
      <c r="LC802" s="140"/>
      <c r="LD802" s="140"/>
      <c r="LE802" s="140"/>
      <c r="LF802" s="140"/>
      <c r="LG802" s="140"/>
      <c r="LH802" s="140"/>
      <c r="LI802" s="140"/>
      <c r="LJ802" s="140"/>
      <c r="LK802" s="140"/>
      <c r="LL802" s="140"/>
      <c r="LM802" s="140"/>
      <c r="LN802" s="140"/>
      <c r="LO802" s="140"/>
      <c r="LP802" s="140"/>
      <c r="LQ802" s="140"/>
      <c r="LR802" s="140"/>
      <c r="LS802" s="140"/>
      <c r="LT802" s="140"/>
      <c r="LU802" s="140"/>
      <c r="LV802" s="140"/>
      <c r="LW802" s="140"/>
      <c r="LX802" s="140"/>
      <c r="LY802" s="140"/>
      <c r="LZ802" s="140"/>
      <c r="MA802" s="140"/>
      <c r="MB802" s="140"/>
      <c r="MC802" s="140"/>
      <c r="MD802" s="140"/>
      <c r="ME802" s="140"/>
      <c r="MF802" s="140"/>
      <c r="MG802" s="140"/>
      <c r="MH802" s="140"/>
      <c r="MI802" s="140"/>
      <c r="MJ802" s="140"/>
      <c r="MK802" s="140"/>
      <c r="ML802" s="140"/>
    </row>
    <row r="803" spans="3:350" s="4" customFormat="1" ht="18" customHeight="1" x14ac:dyDescent="0.3">
      <c r="H803" s="140"/>
      <c r="I803" s="140"/>
      <c r="J803" s="140"/>
      <c r="K803" s="140"/>
      <c r="L803" s="140"/>
      <c r="M803" s="140"/>
      <c r="N803" s="140"/>
      <c r="O803" s="140"/>
      <c r="P803" s="140"/>
      <c r="Q803" s="140"/>
      <c r="R803" s="140"/>
      <c r="S803" s="140"/>
      <c r="T803" s="140"/>
      <c r="U803" s="140"/>
      <c r="V803" s="140"/>
      <c r="W803" s="140"/>
      <c r="X803" s="140"/>
      <c r="Y803" s="140"/>
      <c r="Z803" s="140"/>
      <c r="AA803" s="140"/>
      <c r="AB803" s="140"/>
      <c r="AC803" s="140"/>
      <c r="AD803" s="140"/>
      <c r="AE803" s="140"/>
      <c r="AF803" s="140"/>
      <c r="AG803" s="140"/>
      <c r="AH803" s="140"/>
      <c r="AI803" s="140"/>
      <c r="AJ803" s="140"/>
      <c r="AK803" s="140"/>
      <c r="AL803" s="140"/>
      <c r="AM803" s="140"/>
      <c r="AN803" s="140"/>
      <c r="AO803" s="140"/>
      <c r="AP803" s="140"/>
      <c r="AQ803" s="140"/>
      <c r="AR803" s="140"/>
      <c r="AS803" s="140"/>
      <c r="AT803" s="140"/>
      <c r="AU803" s="140"/>
      <c r="AV803" s="140"/>
      <c r="AW803" s="140"/>
      <c r="AX803" s="140"/>
      <c r="AY803" s="140"/>
      <c r="AZ803" s="140"/>
      <c r="BA803" s="140"/>
      <c r="BB803" s="140"/>
      <c r="BC803" s="140"/>
      <c r="BD803" s="140"/>
      <c r="BE803" s="140"/>
      <c r="BF803" s="140"/>
      <c r="BG803" s="140"/>
      <c r="BH803" s="140"/>
      <c r="BI803" s="140"/>
      <c r="BJ803" s="140"/>
      <c r="BK803" s="140"/>
      <c r="BL803" s="140"/>
      <c r="BM803" s="140"/>
      <c r="BN803" s="140"/>
      <c r="BO803" s="140"/>
      <c r="BP803" s="140"/>
      <c r="BQ803" s="140"/>
      <c r="BR803" s="140"/>
      <c r="BS803" s="140"/>
      <c r="BT803" s="140"/>
      <c r="BU803" s="140"/>
      <c r="BV803" s="140"/>
      <c r="BW803" s="140"/>
      <c r="BX803" s="140"/>
      <c r="BY803" s="140"/>
      <c r="BZ803" s="140"/>
      <c r="CA803" s="140"/>
      <c r="CB803" s="140"/>
      <c r="CC803" s="140"/>
      <c r="CD803" s="140"/>
      <c r="CE803" s="140"/>
      <c r="CF803" s="140"/>
      <c r="CG803" s="140"/>
      <c r="CH803" s="140"/>
      <c r="CI803" s="140"/>
      <c r="CJ803" s="140"/>
      <c r="CK803" s="140"/>
      <c r="CL803" s="140"/>
      <c r="CM803" s="140"/>
      <c r="CN803" s="140"/>
      <c r="FJ803" s="140"/>
      <c r="FK803" s="140"/>
      <c r="FL803" s="140"/>
      <c r="FM803" s="140"/>
      <c r="FN803" s="140"/>
      <c r="FO803" s="140"/>
      <c r="FP803" s="140"/>
      <c r="FQ803" s="140"/>
      <c r="FR803" s="140"/>
      <c r="FS803" s="140"/>
      <c r="FT803" s="140"/>
      <c r="FU803" s="140"/>
      <c r="FV803" s="140"/>
      <c r="FW803" s="140"/>
      <c r="FX803" s="140"/>
      <c r="FY803" s="140"/>
      <c r="FZ803" s="140"/>
      <c r="GA803" s="140"/>
      <c r="GB803" s="140"/>
      <c r="GC803" s="140"/>
      <c r="GD803" s="140"/>
      <c r="GE803" s="140"/>
      <c r="GF803" s="140"/>
      <c r="GG803" s="140"/>
      <c r="GH803" s="140"/>
      <c r="GI803" s="140"/>
      <c r="GJ803" s="140"/>
      <c r="GK803" s="140"/>
      <c r="GL803" s="140"/>
      <c r="GM803" s="140"/>
      <c r="GN803" s="140"/>
      <c r="GO803" s="140"/>
      <c r="GP803" s="140"/>
      <c r="GQ803" s="140"/>
      <c r="GR803" s="140"/>
      <c r="GS803" s="140"/>
      <c r="GT803" s="140"/>
      <c r="GU803" s="140"/>
      <c r="GV803" s="140"/>
      <c r="GW803" s="140"/>
      <c r="GX803" s="140"/>
      <c r="GY803" s="140"/>
      <c r="GZ803" s="140"/>
      <c r="HA803" s="140"/>
      <c r="HB803" s="140"/>
      <c r="HC803" s="140"/>
      <c r="HD803" s="140"/>
      <c r="HE803" s="140"/>
      <c r="HF803" s="140"/>
      <c r="HG803" s="140"/>
      <c r="HH803" s="140"/>
      <c r="HI803" s="140"/>
      <c r="HJ803" s="140"/>
      <c r="HK803" s="140"/>
      <c r="HL803" s="140"/>
      <c r="HM803" s="140"/>
      <c r="HN803" s="140"/>
      <c r="HO803" s="140"/>
      <c r="HP803" s="140"/>
      <c r="HQ803" s="140"/>
      <c r="HR803" s="140"/>
      <c r="HS803" s="140"/>
      <c r="HT803" s="140"/>
      <c r="HU803" s="140"/>
      <c r="HV803" s="140"/>
      <c r="HW803" s="140"/>
      <c r="HX803" s="140"/>
      <c r="HY803" s="140"/>
      <c r="HZ803" s="140"/>
      <c r="IA803" s="140"/>
      <c r="IB803" s="140"/>
      <c r="IC803" s="140"/>
      <c r="ID803" s="140"/>
      <c r="IE803" s="140"/>
      <c r="IF803" s="140"/>
      <c r="IG803" s="140"/>
      <c r="IH803" s="140"/>
      <c r="II803" s="140"/>
      <c r="IJ803" s="140"/>
      <c r="IK803" s="140"/>
      <c r="IL803" s="140"/>
      <c r="IM803" s="140"/>
      <c r="IN803" s="140"/>
      <c r="IO803" s="140"/>
      <c r="IP803" s="140"/>
      <c r="IQ803" s="140"/>
      <c r="IR803" s="140"/>
      <c r="IS803" s="140"/>
      <c r="IT803" s="140"/>
      <c r="IU803" s="140"/>
      <c r="IV803" s="140"/>
      <c r="IW803" s="140"/>
      <c r="IX803" s="140"/>
      <c r="IY803" s="140"/>
      <c r="IZ803" s="140"/>
      <c r="JA803" s="140"/>
      <c r="JB803" s="140"/>
      <c r="JC803" s="140"/>
      <c r="JD803" s="140"/>
      <c r="JE803" s="140"/>
      <c r="JF803" s="140"/>
      <c r="JG803" s="140"/>
      <c r="JH803" s="140"/>
      <c r="JI803" s="140"/>
      <c r="JJ803" s="140"/>
      <c r="JK803" s="140"/>
      <c r="JL803" s="140"/>
      <c r="JM803" s="140"/>
      <c r="JN803" s="140"/>
      <c r="JO803" s="140"/>
      <c r="JP803" s="140"/>
      <c r="JQ803" s="140"/>
      <c r="JR803" s="140"/>
      <c r="JS803" s="140"/>
      <c r="JT803" s="140"/>
      <c r="JU803" s="140"/>
      <c r="JV803" s="140"/>
      <c r="JW803" s="140"/>
      <c r="JX803" s="140"/>
      <c r="JY803" s="140"/>
      <c r="JZ803" s="140"/>
      <c r="KA803" s="140"/>
      <c r="KB803" s="140"/>
      <c r="KC803" s="140"/>
      <c r="KD803" s="140"/>
      <c r="KE803" s="140"/>
      <c r="KF803" s="140"/>
      <c r="KG803" s="140"/>
      <c r="KH803" s="140"/>
      <c r="KI803" s="140"/>
      <c r="KJ803" s="140"/>
      <c r="KK803" s="140"/>
      <c r="KL803" s="140"/>
      <c r="KM803" s="140"/>
      <c r="KN803" s="140"/>
      <c r="KO803" s="140"/>
      <c r="KP803" s="140"/>
      <c r="KQ803" s="140"/>
      <c r="KR803" s="140"/>
      <c r="KS803" s="140"/>
      <c r="KT803" s="140"/>
      <c r="KU803" s="140"/>
      <c r="KV803" s="140"/>
      <c r="KW803" s="140"/>
      <c r="KX803" s="140"/>
      <c r="KY803" s="140"/>
      <c r="KZ803" s="140"/>
      <c r="LA803" s="140"/>
      <c r="LB803" s="140"/>
      <c r="LC803" s="140"/>
      <c r="LD803" s="140"/>
      <c r="LE803" s="140"/>
      <c r="LF803" s="140"/>
      <c r="LG803" s="140"/>
      <c r="LH803" s="140"/>
      <c r="LI803" s="140"/>
      <c r="LJ803" s="140"/>
      <c r="LK803" s="140"/>
      <c r="LL803" s="140"/>
      <c r="LM803" s="140"/>
      <c r="LN803" s="140"/>
      <c r="LO803" s="140"/>
      <c r="LP803" s="140"/>
      <c r="LQ803" s="140"/>
      <c r="LR803" s="140"/>
      <c r="LS803" s="140"/>
      <c r="LT803" s="140"/>
      <c r="LU803" s="140"/>
      <c r="LV803" s="140"/>
      <c r="LW803" s="140"/>
      <c r="LX803" s="140"/>
      <c r="LY803" s="140"/>
      <c r="LZ803" s="140"/>
      <c r="MA803" s="140"/>
      <c r="MB803" s="140"/>
      <c r="MC803" s="140"/>
      <c r="MD803" s="140"/>
      <c r="ME803" s="140"/>
      <c r="MF803" s="140"/>
      <c r="MG803" s="140"/>
      <c r="MH803" s="140"/>
      <c r="MI803" s="140"/>
      <c r="MJ803" s="140"/>
      <c r="MK803" s="140"/>
      <c r="ML803" s="140"/>
    </row>
    <row r="804" spans="3:350" s="4" customFormat="1" ht="18" customHeight="1" x14ac:dyDescent="0.3">
      <c r="H804" s="140"/>
      <c r="I804" s="140"/>
      <c r="J804" s="140"/>
      <c r="K804" s="140"/>
      <c r="L804" s="140"/>
      <c r="M804" s="140"/>
      <c r="N804" s="140"/>
      <c r="O804" s="140"/>
      <c r="P804" s="140"/>
      <c r="Q804" s="140"/>
      <c r="R804" s="140"/>
      <c r="S804" s="140"/>
      <c r="T804" s="140"/>
      <c r="U804" s="140"/>
      <c r="V804" s="140"/>
      <c r="W804" s="140"/>
      <c r="X804" s="140"/>
      <c r="Y804" s="140"/>
      <c r="Z804" s="140"/>
      <c r="AA804" s="140"/>
      <c r="AB804" s="140"/>
      <c r="AC804" s="140"/>
      <c r="AD804" s="140"/>
      <c r="AE804" s="140"/>
      <c r="AF804" s="140"/>
      <c r="AG804" s="140"/>
      <c r="AH804" s="140"/>
      <c r="AI804" s="140"/>
      <c r="AJ804" s="140"/>
      <c r="AK804" s="140"/>
      <c r="AL804" s="140"/>
      <c r="AM804" s="140"/>
      <c r="AN804" s="140"/>
      <c r="AO804" s="140"/>
      <c r="AP804" s="140"/>
      <c r="AQ804" s="140"/>
      <c r="AR804" s="140"/>
      <c r="AS804" s="140"/>
      <c r="AT804" s="140"/>
      <c r="AU804" s="140"/>
      <c r="AV804" s="140"/>
      <c r="AW804" s="140"/>
      <c r="AX804" s="140"/>
      <c r="AY804" s="140"/>
      <c r="AZ804" s="140"/>
      <c r="BA804" s="140"/>
      <c r="BB804" s="140"/>
      <c r="BC804" s="140"/>
      <c r="BD804" s="140"/>
      <c r="BE804" s="140"/>
      <c r="BF804" s="140"/>
      <c r="BG804" s="140"/>
      <c r="BH804" s="140"/>
      <c r="BI804" s="140"/>
      <c r="BJ804" s="140"/>
      <c r="BK804" s="140"/>
      <c r="BL804" s="140"/>
      <c r="BM804" s="140"/>
      <c r="BN804" s="140"/>
      <c r="BO804" s="140"/>
      <c r="BP804" s="140"/>
      <c r="BQ804" s="140"/>
      <c r="BR804" s="140"/>
      <c r="BS804" s="140"/>
      <c r="BT804" s="140"/>
      <c r="BU804" s="140"/>
      <c r="BV804" s="140"/>
      <c r="BW804" s="140"/>
      <c r="BX804" s="140"/>
      <c r="BY804" s="140"/>
      <c r="BZ804" s="140"/>
      <c r="CA804" s="140"/>
      <c r="CB804" s="140"/>
      <c r="CC804" s="140"/>
      <c r="CD804" s="140"/>
      <c r="CE804" s="140"/>
      <c r="CF804" s="140"/>
      <c r="CG804" s="140"/>
      <c r="CH804" s="140"/>
      <c r="CI804" s="140"/>
      <c r="CJ804" s="140"/>
      <c r="CK804" s="140"/>
      <c r="CL804" s="140"/>
      <c r="CM804" s="140"/>
      <c r="CN804" s="140"/>
      <c r="FJ804" s="140"/>
      <c r="FK804" s="140"/>
      <c r="FL804" s="140"/>
      <c r="FM804" s="140"/>
      <c r="FN804" s="140"/>
      <c r="FO804" s="140"/>
      <c r="FP804" s="140"/>
      <c r="FQ804" s="140"/>
      <c r="FR804" s="140"/>
      <c r="FS804" s="140"/>
      <c r="FT804" s="140"/>
      <c r="FU804" s="140"/>
      <c r="FV804" s="140"/>
      <c r="FW804" s="140"/>
      <c r="FX804" s="140"/>
      <c r="FY804" s="140"/>
      <c r="FZ804" s="140"/>
      <c r="GA804" s="140"/>
      <c r="GB804" s="140"/>
      <c r="GC804" s="140"/>
      <c r="GD804" s="140"/>
      <c r="GE804" s="140"/>
      <c r="GF804" s="140"/>
      <c r="GG804" s="140"/>
      <c r="GH804" s="140"/>
      <c r="GI804" s="140"/>
      <c r="GJ804" s="140"/>
      <c r="GK804" s="140"/>
      <c r="GL804" s="140"/>
      <c r="GM804" s="140"/>
      <c r="GN804" s="140"/>
      <c r="GO804" s="140"/>
      <c r="GP804" s="140"/>
      <c r="GQ804" s="140"/>
      <c r="GR804" s="140"/>
      <c r="GS804" s="140"/>
      <c r="GT804" s="140"/>
      <c r="GU804" s="140"/>
      <c r="GV804" s="140"/>
      <c r="GW804" s="140"/>
      <c r="GX804" s="140"/>
      <c r="GY804" s="140"/>
      <c r="GZ804" s="140"/>
      <c r="HA804" s="140"/>
      <c r="HB804" s="140"/>
      <c r="HC804" s="140"/>
      <c r="HD804" s="140"/>
      <c r="HE804" s="140"/>
      <c r="HF804" s="140"/>
      <c r="HG804" s="140"/>
      <c r="HH804" s="140"/>
      <c r="HI804" s="140"/>
      <c r="HJ804" s="140"/>
      <c r="HK804" s="140"/>
      <c r="HL804" s="140"/>
      <c r="HM804" s="140"/>
      <c r="HN804" s="140"/>
      <c r="HO804" s="140"/>
      <c r="HP804" s="140"/>
      <c r="HQ804" s="140"/>
      <c r="HR804" s="140"/>
      <c r="HS804" s="140"/>
      <c r="HT804" s="140"/>
      <c r="HU804" s="140"/>
      <c r="HV804" s="140"/>
      <c r="HW804" s="140"/>
      <c r="HX804" s="140"/>
      <c r="HY804" s="140"/>
      <c r="HZ804" s="140"/>
      <c r="IA804" s="140"/>
      <c r="IB804" s="140"/>
      <c r="IC804" s="140"/>
      <c r="ID804" s="140"/>
      <c r="IE804" s="140"/>
      <c r="IF804" s="140"/>
      <c r="IG804" s="140"/>
      <c r="IH804" s="140"/>
      <c r="II804" s="140"/>
      <c r="IJ804" s="140"/>
      <c r="IK804" s="140"/>
      <c r="IL804" s="140"/>
      <c r="IM804" s="140"/>
      <c r="IN804" s="140"/>
      <c r="IO804" s="140"/>
      <c r="IP804" s="140"/>
      <c r="IQ804" s="140"/>
      <c r="IR804" s="140"/>
      <c r="IS804" s="140"/>
      <c r="IT804" s="140"/>
      <c r="IU804" s="140"/>
      <c r="IV804" s="140"/>
      <c r="IW804" s="140"/>
      <c r="IX804" s="140"/>
      <c r="IY804" s="140"/>
      <c r="IZ804" s="140"/>
      <c r="JA804" s="140"/>
      <c r="JB804" s="140"/>
      <c r="JC804" s="140"/>
      <c r="JD804" s="140"/>
      <c r="JE804" s="140"/>
      <c r="JF804" s="140"/>
      <c r="JG804" s="140"/>
      <c r="JH804" s="140"/>
      <c r="JI804" s="140"/>
      <c r="JJ804" s="140"/>
      <c r="JK804" s="140"/>
      <c r="JL804" s="140"/>
      <c r="JM804" s="140"/>
      <c r="JN804" s="140"/>
      <c r="JO804" s="140"/>
      <c r="JP804" s="140"/>
      <c r="JQ804" s="140"/>
      <c r="JR804" s="140"/>
      <c r="JS804" s="140"/>
      <c r="JT804" s="140"/>
      <c r="JU804" s="140"/>
      <c r="JV804" s="140"/>
      <c r="JW804" s="140"/>
      <c r="JX804" s="140"/>
      <c r="JY804" s="140"/>
      <c r="JZ804" s="140"/>
      <c r="KA804" s="140"/>
      <c r="KB804" s="140"/>
      <c r="KC804" s="140"/>
      <c r="KD804" s="140"/>
      <c r="KE804" s="140"/>
      <c r="KF804" s="140"/>
      <c r="KG804" s="140"/>
      <c r="KH804" s="140"/>
      <c r="KI804" s="140"/>
      <c r="KJ804" s="140"/>
      <c r="KK804" s="140"/>
      <c r="KL804" s="140"/>
      <c r="KM804" s="140"/>
      <c r="KN804" s="140"/>
      <c r="KO804" s="140"/>
      <c r="KP804" s="140"/>
      <c r="KQ804" s="140"/>
      <c r="KR804" s="140"/>
      <c r="KS804" s="140"/>
      <c r="KT804" s="140"/>
      <c r="KU804" s="140"/>
      <c r="KV804" s="140"/>
      <c r="KW804" s="140"/>
      <c r="KX804" s="140"/>
      <c r="KY804" s="140"/>
      <c r="KZ804" s="140"/>
      <c r="LA804" s="140"/>
      <c r="LB804" s="140"/>
      <c r="LC804" s="140"/>
      <c r="LD804" s="140"/>
      <c r="LE804" s="140"/>
      <c r="LF804" s="140"/>
      <c r="LG804" s="140"/>
      <c r="LH804" s="140"/>
      <c r="LI804" s="140"/>
      <c r="LJ804" s="140"/>
      <c r="LK804" s="140"/>
      <c r="LL804" s="140"/>
      <c r="LM804" s="140"/>
      <c r="LN804" s="140"/>
      <c r="LO804" s="140"/>
      <c r="LP804" s="140"/>
      <c r="LQ804" s="140"/>
      <c r="LR804" s="140"/>
      <c r="LS804" s="140"/>
      <c r="LT804" s="140"/>
      <c r="LU804" s="140"/>
      <c r="LV804" s="140"/>
      <c r="LW804" s="140"/>
      <c r="LX804" s="140"/>
      <c r="LY804" s="140"/>
      <c r="LZ804" s="140"/>
      <c r="MA804" s="140"/>
      <c r="MB804" s="140"/>
      <c r="MC804" s="140"/>
      <c r="MD804" s="140"/>
      <c r="ME804" s="140"/>
      <c r="MF804" s="140"/>
      <c r="MG804" s="140"/>
      <c r="MH804" s="140"/>
      <c r="MI804" s="140"/>
      <c r="MJ804" s="140"/>
      <c r="MK804" s="140"/>
      <c r="ML804" s="140"/>
    </row>
    <row r="805" spans="3:350" s="4" customFormat="1" ht="18" customHeight="1" x14ac:dyDescent="0.3">
      <c r="H805" s="140"/>
      <c r="I805" s="140"/>
      <c r="J805" s="140"/>
      <c r="K805" s="140"/>
      <c r="L805" s="140"/>
      <c r="M805" s="140"/>
      <c r="N805" s="140"/>
      <c r="O805" s="140"/>
      <c r="P805" s="140"/>
      <c r="Q805" s="140"/>
      <c r="R805" s="140"/>
      <c r="S805" s="140"/>
      <c r="T805" s="140"/>
      <c r="U805" s="140"/>
      <c r="V805" s="140"/>
      <c r="W805" s="140"/>
      <c r="X805" s="140"/>
      <c r="Y805" s="140"/>
      <c r="Z805" s="140"/>
      <c r="AA805" s="140"/>
      <c r="AB805" s="140"/>
      <c r="AC805" s="140"/>
      <c r="AD805" s="140"/>
      <c r="AE805" s="140"/>
      <c r="AF805" s="140"/>
      <c r="AG805" s="140"/>
      <c r="AH805" s="140"/>
      <c r="AI805" s="140"/>
      <c r="AJ805" s="140"/>
      <c r="AK805" s="140"/>
      <c r="AL805" s="140"/>
      <c r="AM805" s="140"/>
      <c r="AN805" s="140"/>
      <c r="AO805" s="140"/>
      <c r="AP805" s="140"/>
      <c r="AQ805" s="140"/>
      <c r="AR805" s="140"/>
      <c r="AS805" s="140"/>
      <c r="AT805" s="140"/>
      <c r="AU805" s="140"/>
      <c r="AV805" s="140"/>
      <c r="AW805" s="140"/>
      <c r="AX805" s="140"/>
      <c r="AY805" s="140"/>
      <c r="AZ805" s="140"/>
      <c r="BA805" s="140"/>
      <c r="BB805" s="140"/>
      <c r="BC805" s="140"/>
      <c r="BD805" s="140"/>
      <c r="BE805" s="140"/>
      <c r="BF805" s="140"/>
      <c r="BG805" s="140"/>
      <c r="BH805" s="140"/>
      <c r="BI805" s="140"/>
      <c r="BJ805" s="140"/>
      <c r="BK805" s="140"/>
      <c r="BL805" s="140"/>
      <c r="BM805" s="140"/>
      <c r="BN805" s="140"/>
      <c r="BO805" s="140"/>
      <c r="BP805" s="140"/>
      <c r="BQ805" s="140"/>
      <c r="BR805" s="140"/>
      <c r="BS805" s="140"/>
      <c r="BT805" s="140"/>
      <c r="BU805" s="140"/>
      <c r="BV805" s="140"/>
      <c r="BW805" s="140"/>
      <c r="BX805" s="140"/>
      <c r="BY805" s="140"/>
      <c r="BZ805" s="140"/>
      <c r="CA805" s="140"/>
      <c r="CB805" s="140"/>
      <c r="CC805" s="140"/>
      <c r="CD805" s="140"/>
      <c r="CE805" s="140"/>
      <c r="CF805" s="140"/>
      <c r="CG805" s="140"/>
      <c r="CH805" s="140"/>
      <c r="CI805" s="140"/>
      <c r="CJ805" s="140"/>
      <c r="CK805" s="140"/>
      <c r="CL805" s="140"/>
      <c r="CM805" s="140"/>
      <c r="CN805" s="140"/>
      <c r="FJ805" s="140"/>
      <c r="FK805" s="140"/>
      <c r="FL805" s="140"/>
      <c r="FM805" s="140"/>
      <c r="FN805" s="140"/>
      <c r="FO805" s="140"/>
      <c r="FP805" s="140"/>
      <c r="FQ805" s="140"/>
      <c r="FR805" s="140"/>
      <c r="FS805" s="140"/>
      <c r="FT805" s="140"/>
      <c r="FU805" s="140"/>
      <c r="FV805" s="140"/>
      <c r="FW805" s="140"/>
      <c r="FX805" s="140"/>
      <c r="FY805" s="140"/>
      <c r="FZ805" s="140"/>
      <c r="GA805" s="140"/>
      <c r="GB805" s="140"/>
      <c r="GC805" s="140"/>
      <c r="GD805" s="140"/>
      <c r="GE805" s="140"/>
      <c r="GF805" s="140"/>
      <c r="GG805" s="140"/>
      <c r="GH805" s="140"/>
      <c r="GI805" s="140"/>
      <c r="GJ805" s="140"/>
      <c r="GK805" s="140"/>
      <c r="GL805" s="140"/>
      <c r="GM805" s="140"/>
      <c r="GN805" s="140"/>
      <c r="GO805" s="140"/>
      <c r="GP805" s="140"/>
      <c r="GQ805" s="140"/>
      <c r="GR805" s="140"/>
      <c r="GS805" s="140"/>
      <c r="GT805" s="140"/>
      <c r="GU805" s="140"/>
      <c r="GV805" s="140"/>
      <c r="GW805" s="140"/>
      <c r="GX805" s="140"/>
      <c r="GY805" s="140"/>
      <c r="GZ805" s="140"/>
      <c r="HA805" s="140"/>
      <c r="HB805" s="140"/>
      <c r="HC805" s="140"/>
      <c r="HD805" s="140"/>
      <c r="HE805" s="140"/>
      <c r="HF805" s="140"/>
      <c r="HG805" s="140"/>
      <c r="HH805" s="140"/>
      <c r="HI805" s="140"/>
      <c r="HJ805" s="140"/>
      <c r="HK805" s="140"/>
      <c r="HL805" s="140"/>
      <c r="HM805" s="140"/>
      <c r="HN805" s="140"/>
      <c r="HO805" s="140"/>
      <c r="HP805" s="140"/>
      <c r="HQ805" s="140"/>
      <c r="HR805" s="140"/>
      <c r="HS805" s="140"/>
      <c r="HT805" s="140"/>
      <c r="HU805" s="140"/>
      <c r="HV805" s="140"/>
      <c r="HW805" s="140"/>
      <c r="HX805" s="140"/>
      <c r="HY805" s="140"/>
      <c r="HZ805" s="140"/>
      <c r="IA805" s="140"/>
      <c r="IB805" s="140"/>
      <c r="IC805" s="140"/>
      <c r="ID805" s="140"/>
      <c r="IE805" s="140"/>
      <c r="IF805" s="140"/>
      <c r="IG805" s="140"/>
      <c r="IH805" s="140"/>
      <c r="II805" s="140"/>
      <c r="IJ805" s="140"/>
      <c r="IK805" s="140"/>
      <c r="IL805" s="140"/>
      <c r="IM805" s="140"/>
      <c r="IN805" s="140"/>
      <c r="IO805" s="140"/>
      <c r="IP805" s="140"/>
      <c r="IQ805" s="140"/>
      <c r="IR805" s="140"/>
      <c r="IS805" s="140"/>
      <c r="IT805" s="140"/>
      <c r="IU805" s="140"/>
      <c r="IV805" s="140"/>
      <c r="IW805" s="140"/>
      <c r="IX805" s="140"/>
      <c r="IY805" s="140"/>
      <c r="IZ805" s="140"/>
      <c r="JA805" s="140"/>
      <c r="JB805" s="140"/>
      <c r="JC805" s="140"/>
      <c r="JD805" s="140"/>
      <c r="JE805" s="140"/>
      <c r="JF805" s="140"/>
      <c r="JG805" s="140"/>
      <c r="JH805" s="140"/>
      <c r="JI805" s="140"/>
      <c r="JJ805" s="140"/>
      <c r="JK805" s="140"/>
      <c r="JL805" s="140"/>
      <c r="JM805" s="140"/>
      <c r="JN805" s="140"/>
      <c r="JO805" s="140"/>
      <c r="JP805" s="140"/>
      <c r="JQ805" s="140"/>
      <c r="JR805" s="140"/>
      <c r="JS805" s="140"/>
      <c r="JT805" s="140"/>
      <c r="JU805" s="140"/>
      <c r="JV805" s="140"/>
      <c r="JW805" s="140"/>
      <c r="JX805" s="140"/>
      <c r="JY805" s="140"/>
      <c r="JZ805" s="140"/>
      <c r="KA805" s="140"/>
      <c r="KB805" s="140"/>
      <c r="KC805" s="140"/>
      <c r="KD805" s="140"/>
      <c r="KE805" s="140"/>
      <c r="KF805" s="140"/>
      <c r="KG805" s="140"/>
      <c r="KH805" s="140"/>
      <c r="KI805" s="140"/>
      <c r="KJ805" s="140"/>
      <c r="KK805" s="140"/>
      <c r="KL805" s="140"/>
      <c r="KM805" s="140"/>
      <c r="KN805" s="140"/>
      <c r="KO805" s="140"/>
      <c r="KP805" s="140"/>
      <c r="KQ805" s="140"/>
      <c r="KR805" s="140"/>
      <c r="KS805" s="140"/>
      <c r="KT805" s="140"/>
      <c r="KU805" s="140"/>
      <c r="KV805" s="140"/>
      <c r="KW805" s="140"/>
      <c r="KX805" s="140"/>
      <c r="KY805" s="140"/>
      <c r="KZ805" s="140"/>
      <c r="LA805" s="140"/>
      <c r="LB805" s="140"/>
      <c r="LC805" s="140"/>
      <c r="LD805" s="140"/>
      <c r="LE805" s="140"/>
      <c r="LF805" s="140"/>
      <c r="LG805" s="140"/>
      <c r="LH805" s="140"/>
      <c r="LI805" s="140"/>
      <c r="LJ805" s="140"/>
      <c r="LK805" s="140"/>
      <c r="LL805" s="140"/>
      <c r="LM805" s="140"/>
      <c r="LN805" s="140"/>
      <c r="LO805" s="140"/>
      <c r="LP805" s="140"/>
      <c r="LQ805" s="140"/>
      <c r="LR805" s="140"/>
      <c r="LS805" s="140"/>
      <c r="LT805" s="140"/>
      <c r="LU805" s="140"/>
      <c r="LV805" s="140"/>
      <c r="LW805" s="140"/>
      <c r="LX805" s="140"/>
      <c r="LY805" s="140"/>
      <c r="LZ805" s="140"/>
      <c r="MA805" s="140"/>
      <c r="MB805" s="140"/>
      <c r="MC805" s="140"/>
      <c r="MD805" s="140"/>
      <c r="ME805" s="140"/>
      <c r="MF805" s="140"/>
      <c r="MG805" s="140"/>
      <c r="MH805" s="140"/>
      <c r="MI805" s="140"/>
      <c r="MJ805" s="140"/>
      <c r="MK805" s="140"/>
      <c r="ML805" s="140"/>
    </row>
    <row r="806" spans="3:350" s="4" customFormat="1" ht="18" customHeight="1" x14ac:dyDescent="0.3">
      <c r="H806" s="140"/>
      <c r="I806" s="140"/>
      <c r="J806" s="140"/>
      <c r="K806" s="140"/>
      <c r="L806" s="140"/>
      <c r="M806" s="140"/>
      <c r="N806" s="140"/>
      <c r="O806" s="140"/>
      <c r="P806" s="140"/>
      <c r="Q806" s="140"/>
      <c r="R806" s="140"/>
      <c r="S806" s="140"/>
      <c r="T806" s="140"/>
      <c r="U806" s="140"/>
      <c r="V806" s="140"/>
      <c r="W806" s="140"/>
      <c r="X806" s="140"/>
      <c r="Y806" s="140"/>
      <c r="Z806" s="140"/>
      <c r="AA806" s="140"/>
      <c r="AB806" s="140"/>
      <c r="AC806" s="140"/>
      <c r="AD806" s="140"/>
      <c r="AE806" s="140"/>
      <c r="AF806" s="140"/>
      <c r="AG806" s="140"/>
      <c r="AH806" s="140"/>
      <c r="AI806" s="140"/>
      <c r="AJ806" s="140"/>
      <c r="AK806" s="140"/>
      <c r="AL806" s="140"/>
      <c r="AM806" s="140"/>
      <c r="AN806" s="140"/>
      <c r="AO806" s="140"/>
      <c r="AP806" s="140"/>
      <c r="AQ806" s="140"/>
      <c r="AR806" s="140"/>
      <c r="AS806" s="140"/>
      <c r="AT806" s="140"/>
      <c r="AU806" s="140"/>
      <c r="AV806" s="140"/>
      <c r="AW806" s="140"/>
      <c r="AX806" s="140"/>
      <c r="AY806" s="140"/>
      <c r="AZ806" s="140"/>
      <c r="BA806" s="140"/>
      <c r="BB806" s="140"/>
      <c r="BC806" s="140"/>
      <c r="BD806" s="140"/>
      <c r="BE806" s="140"/>
      <c r="BF806" s="140"/>
      <c r="BG806" s="140"/>
      <c r="BH806" s="140"/>
      <c r="BI806" s="140"/>
      <c r="BJ806" s="140"/>
      <c r="BK806" s="140"/>
      <c r="BL806" s="140"/>
      <c r="BM806" s="140"/>
      <c r="BN806" s="140"/>
      <c r="BO806" s="140"/>
      <c r="BP806" s="140"/>
      <c r="BQ806" s="140"/>
      <c r="BR806" s="140"/>
      <c r="BS806" s="140"/>
      <c r="BT806" s="140"/>
      <c r="BU806" s="140"/>
      <c r="BV806" s="140"/>
      <c r="BW806" s="140"/>
      <c r="BX806" s="140"/>
      <c r="BY806" s="140"/>
      <c r="BZ806" s="140"/>
      <c r="CA806" s="140"/>
      <c r="CB806" s="140"/>
      <c r="CC806" s="140"/>
      <c r="CD806" s="140"/>
      <c r="CE806" s="140"/>
      <c r="CF806" s="140"/>
      <c r="CG806" s="140"/>
      <c r="CH806" s="140"/>
      <c r="CI806" s="140"/>
      <c r="CJ806" s="140"/>
      <c r="CK806" s="140"/>
      <c r="CL806" s="140"/>
      <c r="CM806" s="140"/>
      <c r="CN806" s="140"/>
      <c r="FJ806" s="140"/>
      <c r="FK806" s="140"/>
      <c r="FL806" s="140"/>
      <c r="FM806" s="140"/>
      <c r="FN806" s="140"/>
      <c r="FO806" s="140"/>
      <c r="FP806" s="140"/>
      <c r="FQ806" s="140"/>
      <c r="FR806" s="140"/>
      <c r="FS806" s="140"/>
      <c r="FT806" s="140"/>
      <c r="FU806" s="140"/>
      <c r="FV806" s="140"/>
      <c r="FW806" s="140"/>
      <c r="FX806" s="140"/>
      <c r="FY806" s="140"/>
      <c r="FZ806" s="140"/>
      <c r="GA806" s="140"/>
      <c r="GB806" s="140"/>
      <c r="GC806" s="140"/>
      <c r="GD806" s="140"/>
      <c r="GE806" s="140"/>
      <c r="GF806" s="140"/>
      <c r="GG806" s="140"/>
      <c r="GH806" s="140"/>
      <c r="GI806" s="140"/>
      <c r="GJ806" s="140"/>
      <c r="GK806" s="140"/>
      <c r="GL806" s="140"/>
      <c r="GM806" s="140"/>
      <c r="GN806" s="140"/>
      <c r="GO806" s="140"/>
      <c r="GP806" s="140"/>
      <c r="GQ806" s="140"/>
      <c r="GR806" s="140"/>
      <c r="GS806" s="140"/>
      <c r="GT806" s="140"/>
      <c r="GU806" s="140"/>
      <c r="GV806" s="140"/>
      <c r="GW806" s="140"/>
      <c r="GX806" s="140"/>
      <c r="GY806" s="140"/>
      <c r="GZ806" s="140"/>
      <c r="HA806" s="140"/>
      <c r="HB806" s="140"/>
      <c r="HC806" s="140"/>
      <c r="HD806" s="140"/>
      <c r="HE806" s="140"/>
      <c r="HF806" s="140"/>
      <c r="HG806" s="140"/>
      <c r="HH806" s="140"/>
      <c r="HI806" s="140"/>
      <c r="HJ806" s="140"/>
      <c r="HK806" s="140"/>
      <c r="HL806" s="140"/>
      <c r="HM806" s="140"/>
      <c r="HN806" s="140"/>
      <c r="HO806" s="140"/>
      <c r="HP806" s="140"/>
      <c r="HQ806" s="140"/>
      <c r="HR806" s="140"/>
      <c r="HS806" s="140"/>
      <c r="HT806" s="140"/>
      <c r="HU806" s="140"/>
      <c r="HV806" s="140"/>
      <c r="HW806" s="140"/>
      <c r="HX806" s="140"/>
      <c r="HY806" s="140"/>
      <c r="HZ806" s="140"/>
      <c r="IA806" s="140"/>
      <c r="IB806" s="140"/>
      <c r="IC806" s="140"/>
      <c r="ID806" s="140"/>
      <c r="IE806" s="140"/>
      <c r="IF806" s="140"/>
      <c r="IG806" s="140"/>
      <c r="IH806" s="140"/>
      <c r="II806" s="140"/>
      <c r="IJ806" s="140"/>
      <c r="IK806" s="140"/>
      <c r="IL806" s="140"/>
      <c r="IM806" s="140"/>
      <c r="IN806" s="140"/>
      <c r="IO806" s="140"/>
      <c r="IP806" s="140"/>
      <c r="IQ806" s="140"/>
      <c r="IR806" s="140"/>
      <c r="IS806" s="140"/>
      <c r="IT806" s="140"/>
      <c r="IU806" s="140"/>
      <c r="IV806" s="140"/>
      <c r="IW806" s="140"/>
      <c r="IX806" s="140"/>
      <c r="IY806" s="140"/>
      <c r="IZ806" s="140"/>
      <c r="JA806" s="140"/>
      <c r="JB806" s="140"/>
      <c r="JC806" s="140"/>
      <c r="JD806" s="140"/>
      <c r="JE806" s="140"/>
      <c r="JF806" s="140"/>
      <c r="JG806" s="140"/>
      <c r="JH806" s="140"/>
      <c r="JI806" s="140"/>
      <c r="JJ806" s="140"/>
      <c r="JK806" s="140"/>
      <c r="JL806" s="140"/>
      <c r="JM806" s="140"/>
      <c r="JN806" s="140"/>
      <c r="JO806" s="140"/>
      <c r="JP806" s="140"/>
      <c r="JQ806" s="140"/>
      <c r="JR806" s="140"/>
      <c r="JS806" s="140"/>
      <c r="JT806" s="140"/>
      <c r="JU806" s="140"/>
      <c r="JV806" s="140"/>
      <c r="JW806" s="140"/>
      <c r="JX806" s="140"/>
      <c r="JY806" s="140"/>
      <c r="JZ806" s="140"/>
      <c r="KA806" s="140"/>
      <c r="KB806" s="140"/>
      <c r="KC806" s="140"/>
      <c r="KD806" s="140"/>
      <c r="KE806" s="140"/>
      <c r="KF806" s="140"/>
      <c r="KG806" s="140"/>
      <c r="KH806" s="140"/>
      <c r="KI806" s="140"/>
      <c r="KJ806" s="140"/>
      <c r="KK806" s="140"/>
      <c r="KL806" s="140"/>
      <c r="KM806" s="140"/>
      <c r="KN806" s="140"/>
      <c r="KO806" s="140"/>
      <c r="KP806" s="140"/>
      <c r="KQ806" s="140"/>
      <c r="KR806" s="140"/>
      <c r="KS806" s="140"/>
      <c r="KT806" s="140"/>
      <c r="KU806" s="140"/>
      <c r="KV806" s="140"/>
      <c r="KW806" s="140"/>
      <c r="KX806" s="140"/>
      <c r="KY806" s="140"/>
      <c r="KZ806" s="140"/>
      <c r="LA806" s="140"/>
      <c r="LB806" s="140"/>
      <c r="LC806" s="140"/>
      <c r="LD806" s="140"/>
      <c r="LE806" s="140"/>
      <c r="LF806" s="140"/>
      <c r="LG806" s="140"/>
      <c r="LH806" s="140"/>
      <c r="LI806" s="140"/>
      <c r="LJ806" s="140"/>
      <c r="LK806" s="140"/>
      <c r="LL806" s="140"/>
      <c r="LM806" s="140"/>
      <c r="LN806" s="140"/>
      <c r="LO806" s="140"/>
      <c r="LP806" s="140"/>
      <c r="LQ806" s="140"/>
      <c r="LR806" s="140"/>
      <c r="LS806" s="140"/>
      <c r="LT806" s="140"/>
      <c r="LU806" s="140"/>
      <c r="LV806" s="140"/>
      <c r="LW806" s="140"/>
      <c r="LX806" s="140"/>
      <c r="LY806" s="140"/>
      <c r="LZ806" s="140"/>
      <c r="MA806" s="140"/>
      <c r="MB806" s="140"/>
      <c r="MC806" s="140"/>
      <c r="MD806" s="140"/>
      <c r="ME806" s="140"/>
      <c r="MF806" s="140"/>
      <c r="MG806" s="140"/>
      <c r="MH806" s="140"/>
      <c r="MI806" s="140"/>
      <c r="MJ806" s="140"/>
      <c r="MK806" s="140"/>
      <c r="ML806" s="140"/>
    </row>
    <row r="807" spans="3:350" s="4" customFormat="1" ht="18" customHeight="1" x14ac:dyDescent="0.3">
      <c r="H807" s="140"/>
      <c r="I807" s="140"/>
      <c r="J807" s="140"/>
      <c r="K807" s="140"/>
      <c r="L807" s="140"/>
      <c r="M807" s="140"/>
      <c r="N807" s="140"/>
      <c r="O807" s="140"/>
      <c r="P807" s="140"/>
      <c r="Q807" s="140"/>
      <c r="R807" s="140"/>
      <c r="S807" s="140"/>
      <c r="T807" s="140"/>
      <c r="U807" s="140"/>
      <c r="V807" s="140"/>
      <c r="W807" s="140"/>
      <c r="X807" s="140"/>
      <c r="Y807" s="140"/>
      <c r="Z807" s="140"/>
      <c r="AA807" s="140"/>
      <c r="AB807" s="140"/>
      <c r="AC807" s="140"/>
      <c r="AD807" s="140"/>
      <c r="AE807" s="140"/>
      <c r="AF807" s="140"/>
      <c r="AG807" s="140"/>
      <c r="AH807" s="140"/>
      <c r="AI807" s="140"/>
      <c r="AJ807" s="140"/>
      <c r="AK807" s="140"/>
      <c r="AL807" s="140"/>
      <c r="AM807" s="140"/>
      <c r="AN807" s="140"/>
      <c r="AO807" s="140"/>
      <c r="AP807" s="140"/>
      <c r="AQ807" s="140"/>
      <c r="AR807" s="140"/>
      <c r="AS807" s="140"/>
      <c r="AT807" s="140"/>
      <c r="AU807" s="140"/>
      <c r="AV807" s="140"/>
      <c r="AW807" s="140"/>
      <c r="AX807" s="140"/>
      <c r="AY807" s="140"/>
      <c r="AZ807" s="140"/>
      <c r="BA807" s="140"/>
      <c r="BB807" s="140"/>
      <c r="BC807" s="140"/>
      <c r="BD807" s="140"/>
      <c r="BE807" s="140"/>
      <c r="BF807" s="140"/>
      <c r="BG807" s="140"/>
      <c r="BH807" s="140"/>
      <c r="BI807" s="140"/>
      <c r="BJ807" s="140"/>
      <c r="BK807" s="140"/>
      <c r="BL807" s="140"/>
      <c r="BM807" s="140"/>
      <c r="BN807" s="140"/>
      <c r="BO807" s="140"/>
      <c r="BP807" s="140"/>
      <c r="BQ807" s="140"/>
      <c r="BR807" s="140"/>
      <c r="BS807" s="140"/>
      <c r="BT807" s="140"/>
      <c r="BU807" s="140"/>
      <c r="BV807" s="140"/>
      <c r="BW807" s="140"/>
      <c r="BX807" s="140"/>
      <c r="BY807" s="140"/>
      <c r="BZ807" s="140"/>
      <c r="CA807" s="140"/>
      <c r="CB807" s="140"/>
      <c r="CC807" s="140"/>
      <c r="CD807" s="140"/>
      <c r="CE807" s="140"/>
      <c r="CF807" s="140"/>
      <c r="CG807" s="140"/>
      <c r="CH807" s="140"/>
      <c r="CI807" s="140"/>
      <c r="CJ807" s="140"/>
      <c r="CK807" s="140"/>
      <c r="CL807" s="140"/>
      <c r="CM807" s="140"/>
      <c r="CN807" s="140"/>
      <c r="FJ807" s="140"/>
      <c r="FK807" s="140"/>
      <c r="FL807" s="140"/>
      <c r="FM807" s="140"/>
      <c r="FN807" s="140"/>
      <c r="FO807" s="140"/>
      <c r="FP807" s="140"/>
      <c r="FQ807" s="140"/>
      <c r="FR807" s="140"/>
      <c r="FS807" s="140"/>
      <c r="FT807" s="140"/>
      <c r="FU807" s="140"/>
      <c r="FV807" s="140"/>
      <c r="FW807" s="140"/>
      <c r="FX807" s="140"/>
      <c r="FY807" s="140"/>
      <c r="FZ807" s="140"/>
      <c r="GA807" s="140"/>
      <c r="GB807" s="140"/>
      <c r="GC807" s="140"/>
      <c r="GD807" s="140"/>
      <c r="GE807" s="140"/>
      <c r="GF807" s="140"/>
      <c r="GG807" s="140"/>
      <c r="GH807" s="140"/>
      <c r="GI807" s="140"/>
      <c r="GJ807" s="140"/>
      <c r="GK807" s="140"/>
      <c r="GL807" s="140"/>
      <c r="GM807" s="140"/>
      <c r="GN807" s="140"/>
      <c r="GO807" s="140"/>
      <c r="GP807" s="140"/>
      <c r="GQ807" s="140"/>
      <c r="GR807" s="140"/>
      <c r="GS807" s="140"/>
      <c r="GT807" s="140"/>
      <c r="GU807" s="140"/>
      <c r="GV807" s="140"/>
      <c r="GW807" s="140"/>
      <c r="GX807" s="140"/>
      <c r="GY807" s="140"/>
      <c r="GZ807" s="140"/>
      <c r="HA807" s="140"/>
      <c r="HB807" s="140"/>
      <c r="HC807" s="140"/>
      <c r="HD807" s="140"/>
      <c r="HE807" s="140"/>
      <c r="HF807" s="140"/>
      <c r="HG807" s="140"/>
      <c r="HH807" s="140"/>
      <c r="HI807" s="140"/>
      <c r="HJ807" s="140"/>
      <c r="HK807" s="140"/>
      <c r="HL807" s="140"/>
      <c r="HM807" s="140"/>
      <c r="HN807" s="140"/>
      <c r="HO807" s="140"/>
      <c r="HP807" s="140"/>
      <c r="HQ807" s="140"/>
      <c r="HR807" s="140"/>
      <c r="HS807" s="140"/>
      <c r="HT807" s="140"/>
      <c r="HU807" s="140"/>
      <c r="HV807" s="140"/>
      <c r="HW807" s="140"/>
      <c r="HX807" s="140"/>
      <c r="HY807" s="140"/>
      <c r="HZ807" s="140"/>
      <c r="IA807" s="140"/>
      <c r="IB807" s="140"/>
      <c r="IC807" s="140"/>
      <c r="ID807" s="140"/>
      <c r="IE807" s="140"/>
      <c r="IF807" s="140"/>
      <c r="IG807" s="140"/>
      <c r="IH807" s="140"/>
      <c r="II807" s="140"/>
      <c r="IJ807" s="140"/>
      <c r="IK807" s="140"/>
      <c r="IL807" s="140"/>
      <c r="IM807" s="140"/>
      <c r="IN807" s="140"/>
      <c r="IO807" s="140"/>
      <c r="IP807" s="140"/>
      <c r="IQ807" s="140"/>
      <c r="IR807" s="140"/>
      <c r="IS807" s="140"/>
      <c r="IT807" s="140"/>
      <c r="IU807" s="140"/>
      <c r="IV807" s="140"/>
      <c r="IW807" s="140"/>
      <c r="IX807" s="140"/>
      <c r="IY807" s="140"/>
      <c r="IZ807" s="140"/>
      <c r="JA807" s="140"/>
      <c r="JB807" s="140"/>
      <c r="JC807" s="140"/>
      <c r="JD807" s="140"/>
      <c r="JE807" s="140"/>
      <c r="JF807" s="140"/>
      <c r="JG807" s="140"/>
      <c r="JH807" s="140"/>
      <c r="JI807" s="140"/>
      <c r="JJ807" s="140"/>
      <c r="JK807" s="140"/>
      <c r="JL807" s="140"/>
      <c r="JM807" s="140"/>
      <c r="JN807" s="140"/>
      <c r="JO807" s="140"/>
      <c r="JP807" s="140"/>
      <c r="JQ807" s="140"/>
      <c r="JR807" s="140"/>
      <c r="JS807" s="140"/>
      <c r="JT807" s="140"/>
      <c r="JU807" s="140"/>
      <c r="JV807" s="140"/>
      <c r="JW807" s="140"/>
      <c r="JX807" s="140"/>
      <c r="JY807" s="140"/>
      <c r="JZ807" s="140"/>
      <c r="KA807" s="140"/>
      <c r="KB807" s="140"/>
      <c r="KC807" s="140"/>
      <c r="KD807" s="140"/>
      <c r="KE807" s="140"/>
      <c r="KF807" s="140"/>
      <c r="KG807" s="140"/>
      <c r="KH807" s="140"/>
      <c r="KI807" s="140"/>
      <c r="KJ807" s="140"/>
      <c r="KK807" s="140"/>
      <c r="KL807" s="140"/>
      <c r="KM807" s="140"/>
      <c r="KN807" s="140"/>
      <c r="KO807" s="140"/>
      <c r="KP807" s="140"/>
      <c r="KQ807" s="140"/>
      <c r="KR807" s="140"/>
      <c r="KS807" s="140"/>
      <c r="KT807" s="140"/>
      <c r="KU807" s="140"/>
      <c r="KV807" s="140"/>
      <c r="KW807" s="140"/>
      <c r="KX807" s="140"/>
      <c r="KY807" s="140"/>
      <c r="KZ807" s="140"/>
      <c r="LA807" s="140"/>
      <c r="LB807" s="140"/>
      <c r="LC807" s="140"/>
      <c r="LD807" s="140"/>
      <c r="LE807" s="140"/>
      <c r="LF807" s="140"/>
      <c r="LG807" s="140"/>
      <c r="LH807" s="140"/>
      <c r="LI807" s="140"/>
      <c r="LJ807" s="140"/>
      <c r="LK807" s="140"/>
      <c r="LL807" s="140"/>
      <c r="LM807" s="140"/>
      <c r="LN807" s="140"/>
      <c r="LO807" s="140"/>
      <c r="LP807" s="140"/>
      <c r="LQ807" s="140"/>
      <c r="LR807" s="140"/>
      <c r="LS807" s="140"/>
      <c r="LT807" s="140"/>
      <c r="LU807" s="140"/>
      <c r="LV807" s="140"/>
      <c r="LW807" s="140"/>
      <c r="LX807" s="140"/>
      <c r="LY807" s="140"/>
      <c r="LZ807" s="140"/>
      <c r="MA807" s="140"/>
      <c r="MB807" s="140"/>
      <c r="MC807" s="140"/>
      <c r="MD807" s="140"/>
      <c r="ME807" s="140"/>
      <c r="MF807" s="140"/>
      <c r="MG807" s="140"/>
      <c r="MH807" s="140"/>
      <c r="MI807" s="140"/>
      <c r="MJ807" s="140"/>
      <c r="MK807" s="140"/>
      <c r="ML807" s="140"/>
    </row>
    <row r="808" spans="3:350" s="4" customFormat="1" ht="18" customHeight="1" x14ac:dyDescent="0.3">
      <c r="H808" s="140"/>
      <c r="I808" s="140"/>
      <c r="J808" s="140"/>
      <c r="K808" s="140"/>
      <c r="L808" s="140"/>
      <c r="M808" s="140"/>
      <c r="N808" s="140"/>
      <c r="O808" s="140"/>
      <c r="P808" s="140"/>
      <c r="Q808" s="140"/>
      <c r="R808" s="140"/>
      <c r="S808" s="140"/>
      <c r="T808" s="140"/>
      <c r="U808" s="140"/>
      <c r="V808" s="140"/>
      <c r="W808" s="140"/>
      <c r="X808" s="140"/>
      <c r="Y808" s="140"/>
      <c r="Z808" s="140"/>
      <c r="AA808" s="140"/>
      <c r="AB808" s="140"/>
      <c r="AC808" s="140"/>
      <c r="AD808" s="140"/>
      <c r="AE808" s="140"/>
      <c r="AF808" s="140"/>
      <c r="AG808" s="140"/>
      <c r="AH808" s="140"/>
      <c r="AI808" s="140"/>
      <c r="AJ808" s="140"/>
      <c r="AK808" s="140"/>
      <c r="AL808" s="140"/>
      <c r="AM808" s="140"/>
      <c r="AN808" s="140"/>
      <c r="AO808" s="140"/>
      <c r="AP808" s="140"/>
      <c r="AQ808" s="140"/>
      <c r="AR808" s="140"/>
      <c r="AS808" s="140"/>
      <c r="AT808" s="140"/>
      <c r="AU808" s="140"/>
      <c r="AV808" s="140"/>
      <c r="AW808" s="140"/>
      <c r="AX808" s="140"/>
      <c r="AY808" s="140"/>
      <c r="AZ808" s="140"/>
      <c r="BA808" s="140"/>
      <c r="BB808" s="140"/>
      <c r="BC808" s="140"/>
      <c r="BD808" s="140"/>
      <c r="BE808" s="140"/>
      <c r="BF808" s="140"/>
      <c r="BG808" s="140"/>
      <c r="BH808" s="140"/>
      <c r="BI808" s="140"/>
      <c r="BJ808" s="140"/>
      <c r="BK808" s="140"/>
      <c r="BL808" s="140"/>
      <c r="BM808" s="140"/>
      <c r="BN808" s="140"/>
      <c r="BO808" s="140"/>
      <c r="BP808" s="140"/>
      <c r="BQ808" s="140"/>
      <c r="BR808" s="140"/>
      <c r="BS808" s="140"/>
      <c r="BT808" s="140"/>
      <c r="BU808" s="140"/>
      <c r="BV808" s="140"/>
      <c r="BW808" s="140"/>
      <c r="BX808" s="140"/>
      <c r="BY808" s="140"/>
      <c r="BZ808" s="140"/>
      <c r="CA808" s="140"/>
      <c r="CB808" s="140"/>
      <c r="CC808" s="140"/>
      <c r="CD808" s="140"/>
      <c r="CE808" s="140"/>
      <c r="CF808" s="140"/>
      <c r="CG808" s="140"/>
      <c r="CH808" s="140"/>
      <c r="CI808" s="140"/>
      <c r="CJ808" s="140"/>
      <c r="CK808" s="140"/>
      <c r="CL808" s="140"/>
      <c r="CM808" s="140"/>
      <c r="CN808" s="140"/>
      <c r="FJ808" s="140"/>
      <c r="FK808" s="140"/>
      <c r="FL808" s="140"/>
      <c r="FM808" s="140"/>
      <c r="FN808" s="140"/>
      <c r="FO808" s="140"/>
      <c r="FP808" s="140"/>
      <c r="FQ808" s="140"/>
      <c r="FR808" s="140"/>
      <c r="FS808" s="140"/>
      <c r="FT808" s="140"/>
      <c r="FU808" s="140"/>
      <c r="FV808" s="140"/>
      <c r="FW808" s="140"/>
      <c r="FX808" s="140"/>
      <c r="FY808" s="140"/>
      <c r="FZ808" s="140"/>
      <c r="GA808" s="140"/>
      <c r="GB808" s="140"/>
      <c r="GC808" s="140"/>
      <c r="GD808" s="140"/>
      <c r="GE808" s="140"/>
      <c r="GF808" s="140"/>
      <c r="GG808" s="140"/>
      <c r="GH808" s="140"/>
      <c r="GI808" s="140"/>
      <c r="GJ808" s="140"/>
      <c r="GK808" s="140"/>
      <c r="GL808" s="140"/>
      <c r="GM808" s="140"/>
      <c r="GN808" s="140"/>
      <c r="GO808" s="140"/>
      <c r="GP808" s="140"/>
      <c r="GQ808" s="140"/>
      <c r="GR808" s="140"/>
      <c r="GS808" s="140"/>
      <c r="GT808" s="140"/>
      <c r="GU808" s="140"/>
      <c r="GV808" s="140"/>
      <c r="GW808" s="140"/>
      <c r="GX808" s="140"/>
      <c r="GY808" s="140"/>
      <c r="GZ808" s="140"/>
      <c r="HA808" s="140"/>
      <c r="HB808" s="140"/>
      <c r="HC808" s="140"/>
      <c r="HD808" s="140"/>
      <c r="HE808" s="140"/>
      <c r="HF808" s="140"/>
      <c r="HG808" s="140"/>
      <c r="HH808" s="140"/>
      <c r="HI808" s="140"/>
      <c r="HJ808" s="140"/>
      <c r="HK808" s="140"/>
      <c r="HL808" s="140"/>
      <c r="HM808" s="140"/>
      <c r="HN808" s="140"/>
      <c r="HO808" s="140"/>
      <c r="HP808" s="140"/>
      <c r="HQ808" s="140"/>
      <c r="HR808" s="140"/>
      <c r="HS808" s="140"/>
      <c r="HT808" s="140"/>
      <c r="HU808" s="140"/>
      <c r="HV808" s="140"/>
      <c r="HW808" s="140"/>
      <c r="HX808" s="140"/>
      <c r="HY808" s="140"/>
      <c r="HZ808" s="140"/>
      <c r="IA808" s="140"/>
      <c r="IB808" s="140"/>
      <c r="IC808" s="140"/>
      <c r="ID808" s="140"/>
      <c r="IE808" s="140"/>
      <c r="IF808" s="140"/>
      <c r="IG808" s="140"/>
      <c r="IH808" s="140"/>
      <c r="II808" s="140"/>
      <c r="IJ808" s="140"/>
      <c r="IK808" s="140"/>
      <c r="IL808" s="140"/>
      <c r="IM808" s="140"/>
      <c r="IN808" s="140"/>
      <c r="IO808" s="140"/>
      <c r="IP808" s="140"/>
      <c r="IQ808" s="140"/>
      <c r="IR808" s="140"/>
      <c r="IS808" s="140"/>
      <c r="IT808" s="140"/>
      <c r="IU808" s="140"/>
      <c r="IV808" s="140"/>
      <c r="IW808" s="140"/>
      <c r="IX808" s="140"/>
      <c r="IY808" s="140"/>
      <c r="IZ808" s="140"/>
      <c r="JA808" s="140"/>
      <c r="JB808" s="140"/>
      <c r="JC808" s="140"/>
      <c r="JD808" s="140"/>
      <c r="JE808" s="140"/>
      <c r="JF808" s="140"/>
      <c r="JG808" s="140"/>
      <c r="JH808" s="140"/>
      <c r="JI808" s="140"/>
      <c r="JJ808" s="140"/>
      <c r="JK808" s="140"/>
      <c r="JL808" s="140"/>
      <c r="JM808" s="140"/>
      <c r="JN808" s="140"/>
      <c r="JO808" s="140"/>
      <c r="JP808" s="140"/>
      <c r="JQ808" s="140"/>
      <c r="JR808" s="140"/>
      <c r="JS808" s="140"/>
      <c r="JT808" s="140"/>
      <c r="JU808" s="140"/>
      <c r="JV808" s="140"/>
      <c r="JW808" s="140"/>
      <c r="JX808" s="140"/>
      <c r="JY808" s="140"/>
      <c r="JZ808" s="140"/>
      <c r="KA808" s="140"/>
      <c r="KB808" s="140"/>
      <c r="KC808" s="140"/>
      <c r="KD808" s="140"/>
      <c r="KE808" s="140"/>
      <c r="KF808" s="140"/>
      <c r="KG808" s="140"/>
      <c r="KH808" s="140"/>
      <c r="KI808" s="140"/>
      <c r="KJ808" s="140"/>
      <c r="KK808" s="140"/>
      <c r="KL808" s="140"/>
      <c r="KM808" s="140"/>
      <c r="KN808" s="140"/>
      <c r="KO808" s="140"/>
      <c r="KP808" s="140"/>
      <c r="KQ808" s="140"/>
      <c r="KR808" s="140"/>
      <c r="KS808" s="140"/>
      <c r="KT808" s="140"/>
      <c r="KU808" s="140"/>
      <c r="KV808" s="140"/>
      <c r="KW808" s="140"/>
      <c r="KX808" s="140"/>
      <c r="KY808" s="140"/>
      <c r="KZ808" s="140"/>
      <c r="LA808" s="140"/>
      <c r="LB808" s="140"/>
      <c r="LC808" s="140"/>
      <c r="LD808" s="140"/>
      <c r="LE808" s="140"/>
      <c r="LF808" s="140"/>
      <c r="LG808" s="140"/>
      <c r="LH808" s="140"/>
      <c r="LI808" s="140"/>
      <c r="LJ808" s="140"/>
      <c r="LK808" s="140"/>
      <c r="LL808" s="140"/>
      <c r="LM808" s="140"/>
      <c r="LN808" s="140"/>
      <c r="LO808" s="140"/>
      <c r="LP808" s="140"/>
      <c r="LQ808" s="140"/>
      <c r="LR808" s="140"/>
      <c r="LS808" s="140"/>
      <c r="LT808" s="140"/>
      <c r="LU808" s="140"/>
      <c r="LV808" s="140"/>
      <c r="LW808" s="140"/>
      <c r="LX808" s="140"/>
      <c r="LY808" s="140"/>
      <c r="LZ808" s="140"/>
      <c r="MA808" s="140"/>
      <c r="MB808" s="140"/>
      <c r="MC808" s="140"/>
      <c r="MD808" s="140"/>
      <c r="ME808" s="140"/>
      <c r="MF808" s="140"/>
      <c r="MG808" s="140"/>
      <c r="MH808" s="140"/>
      <c r="MI808" s="140"/>
      <c r="MJ808" s="140"/>
      <c r="MK808" s="140"/>
      <c r="ML808" s="140"/>
    </row>
    <row r="809" spans="3:350" s="4" customFormat="1" ht="18" customHeight="1" x14ac:dyDescent="0.3">
      <c r="H809" s="140"/>
      <c r="I809" s="140"/>
      <c r="J809" s="140"/>
      <c r="K809" s="140"/>
      <c r="L809" s="140"/>
      <c r="M809" s="140"/>
      <c r="N809" s="140"/>
      <c r="O809" s="140"/>
      <c r="P809" s="140"/>
      <c r="Q809" s="140"/>
      <c r="R809" s="140"/>
      <c r="S809" s="140"/>
      <c r="T809" s="140"/>
      <c r="U809" s="140"/>
      <c r="V809" s="140"/>
      <c r="W809" s="140"/>
      <c r="X809" s="140"/>
      <c r="Y809" s="140"/>
      <c r="Z809" s="140"/>
      <c r="AA809" s="140"/>
      <c r="AB809" s="140"/>
      <c r="AC809" s="140"/>
      <c r="AD809" s="140"/>
      <c r="AE809" s="140"/>
      <c r="AF809" s="140"/>
      <c r="AG809" s="140"/>
      <c r="AH809" s="140"/>
      <c r="AI809" s="140"/>
      <c r="AJ809" s="140"/>
      <c r="AK809" s="140"/>
      <c r="AL809" s="140"/>
      <c r="AM809" s="140"/>
      <c r="AN809" s="140"/>
      <c r="AO809" s="140"/>
      <c r="AP809" s="140"/>
      <c r="AQ809" s="140"/>
      <c r="AR809" s="140"/>
      <c r="AS809" s="140"/>
      <c r="AT809" s="140"/>
      <c r="AU809" s="140"/>
      <c r="AV809" s="140"/>
      <c r="AW809" s="140"/>
      <c r="AX809" s="140"/>
      <c r="AY809" s="140"/>
      <c r="AZ809" s="140"/>
      <c r="BA809" s="140"/>
      <c r="BB809" s="140"/>
      <c r="BC809" s="140"/>
      <c r="BD809" s="140"/>
      <c r="BE809" s="140"/>
      <c r="BF809" s="140"/>
      <c r="BG809" s="140"/>
      <c r="BH809" s="140"/>
      <c r="BI809" s="140"/>
      <c r="BJ809" s="140"/>
      <c r="BK809" s="140"/>
      <c r="BL809" s="140"/>
      <c r="BM809" s="140"/>
      <c r="BN809" s="140"/>
      <c r="BO809" s="140"/>
      <c r="BP809" s="140"/>
      <c r="BQ809" s="140"/>
      <c r="BR809" s="140"/>
      <c r="BS809" s="140"/>
      <c r="BT809" s="140"/>
      <c r="BU809" s="140"/>
      <c r="BV809" s="140"/>
      <c r="BW809" s="140"/>
      <c r="BX809" s="140"/>
      <c r="BY809" s="140"/>
      <c r="BZ809" s="140"/>
      <c r="CA809" s="140"/>
      <c r="CB809" s="140"/>
      <c r="CC809" s="140"/>
      <c r="CD809" s="140"/>
      <c r="CE809" s="140"/>
      <c r="CF809" s="140"/>
      <c r="CG809" s="140"/>
      <c r="CH809" s="140"/>
      <c r="CI809" s="140"/>
      <c r="CJ809" s="140"/>
      <c r="CK809" s="140"/>
      <c r="CL809" s="140"/>
      <c r="CM809" s="140"/>
      <c r="CN809" s="140"/>
      <c r="FJ809" s="140"/>
      <c r="FK809" s="140"/>
      <c r="FL809" s="140"/>
      <c r="FM809" s="140"/>
      <c r="FN809" s="140"/>
      <c r="FO809" s="140"/>
      <c r="FP809" s="140"/>
      <c r="FQ809" s="140"/>
      <c r="FR809" s="140"/>
      <c r="FS809" s="140"/>
      <c r="FT809" s="140"/>
      <c r="FU809" s="140"/>
      <c r="FV809" s="140"/>
      <c r="FW809" s="140"/>
      <c r="FX809" s="140"/>
      <c r="FY809" s="140"/>
      <c r="FZ809" s="140"/>
      <c r="GA809" s="140"/>
      <c r="GB809" s="140"/>
      <c r="GC809" s="140"/>
      <c r="GD809" s="140"/>
      <c r="GE809" s="140"/>
      <c r="GF809" s="140"/>
      <c r="GG809" s="140"/>
      <c r="GH809" s="140"/>
      <c r="GI809" s="140"/>
      <c r="GJ809" s="140"/>
      <c r="GK809" s="140"/>
      <c r="GL809" s="140"/>
      <c r="GM809" s="140"/>
      <c r="GN809" s="140"/>
      <c r="GO809" s="140"/>
      <c r="GP809" s="140"/>
      <c r="GQ809" s="140"/>
      <c r="GR809" s="140"/>
      <c r="GS809" s="140"/>
      <c r="GT809" s="140"/>
      <c r="GU809" s="140"/>
      <c r="GV809" s="140"/>
      <c r="GW809" s="140"/>
      <c r="GX809" s="140"/>
      <c r="GY809" s="140"/>
      <c r="GZ809" s="140"/>
      <c r="HA809" s="140"/>
      <c r="HB809" s="140"/>
      <c r="HC809" s="140"/>
      <c r="HD809" s="140"/>
      <c r="HE809" s="140"/>
      <c r="HF809" s="140"/>
      <c r="HG809" s="140"/>
      <c r="HH809" s="140"/>
      <c r="HI809" s="140"/>
      <c r="HJ809" s="140"/>
      <c r="HK809" s="140"/>
      <c r="HL809" s="140"/>
      <c r="HM809" s="140"/>
      <c r="HN809" s="140"/>
      <c r="HO809" s="140"/>
      <c r="HP809" s="140"/>
      <c r="HQ809" s="140"/>
      <c r="HR809" s="140"/>
      <c r="HS809" s="140"/>
      <c r="HT809" s="140"/>
      <c r="HU809" s="140"/>
      <c r="HV809" s="140"/>
      <c r="HW809" s="140"/>
      <c r="HX809" s="140"/>
      <c r="HY809" s="140"/>
      <c r="HZ809" s="140"/>
      <c r="IA809" s="140"/>
      <c r="IB809" s="140"/>
      <c r="IC809" s="140"/>
      <c r="ID809" s="140"/>
      <c r="IE809" s="140"/>
      <c r="IF809" s="140"/>
      <c r="IG809" s="140"/>
      <c r="IH809" s="140"/>
      <c r="II809" s="140"/>
      <c r="IJ809" s="140"/>
      <c r="IK809" s="140"/>
      <c r="IL809" s="140"/>
      <c r="IM809" s="140"/>
      <c r="IN809" s="140"/>
      <c r="IO809" s="140"/>
      <c r="IP809" s="140"/>
      <c r="IQ809" s="140"/>
      <c r="IR809" s="140"/>
      <c r="IS809" s="140"/>
      <c r="IT809" s="140"/>
      <c r="IU809" s="140"/>
      <c r="IV809" s="140"/>
      <c r="IW809" s="140"/>
      <c r="IX809" s="140"/>
      <c r="IY809" s="140"/>
      <c r="IZ809" s="140"/>
      <c r="JA809" s="140"/>
      <c r="JB809" s="140"/>
      <c r="JC809" s="140"/>
      <c r="JD809" s="140"/>
      <c r="JE809" s="140"/>
      <c r="JF809" s="140"/>
      <c r="JG809" s="140"/>
      <c r="JH809" s="140"/>
      <c r="JI809" s="140"/>
      <c r="JJ809" s="140"/>
      <c r="JK809" s="140"/>
      <c r="JL809" s="140"/>
      <c r="JM809" s="140"/>
      <c r="JN809" s="140"/>
      <c r="JO809" s="140"/>
      <c r="JP809" s="140"/>
      <c r="JQ809" s="140"/>
      <c r="JR809" s="140"/>
      <c r="JS809" s="140"/>
      <c r="JT809" s="140"/>
      <c r="JU809" s="140"/>
      <c r="JV809" s="140"/>
      <c r="JW809" s="140"/>
      <c r="JX809" s="140"/>
      <c r="JY809" s="140"/>
      <c r="JZ809" s="140"/>
      <c r="KA809" s="140"/>
      <c r="KB809" s="140"/>
      <c r="KC809" s="140"/>
      <c r="KD809" s="140"/>
      <c r="KE809" s="140"/>
      <c r="KF809" s="140"/>
      <c r="KG809" s="140"/>
      <c r="KH809" s="140"/>
      <c r="KI809" s="140"/>
      <c r="KJ809" s="140"/>
      <c r="KK809" s="140"/>
      <c r="KL809" s="140"/>
      <c r="KM809" s="140"/>
      <c r="KN809" s="140"/>
      <c r="KO809" s="140"/>
      <c r="KP809" s="140"/>
      <c r="KQ809" s="140"/>
      <c r="KR809" s="140"/>
      <c r="KS809" s="140"/>
      <c r="KT809" s="140"/>
      <c r="KU809" s="140"/>
      <c r="KV809" s="140"/>
      <c r="KW809" s="140"/>
      <c r="KX809" s="140"/>
      <c r="KY809" s="140"/>
      <c r="KZ809" s="140"/>
      <c r="LA809" s="140"/>
      <c r="LB809" s="140"/>
      <c r="LC809" s="140"/>
      <c r="LD809" s="140"/>
      <c r="LE809" s="140"/>
      <c r="LF809" s="140"/>
      <c r="LG809" s="140"/>
      <c r="LH809" s="140"/>
      <c r="LI809" s="140"/>
      <c r="LJ809" s="140"/>
      <c r="LK809" s="140"/>
      <c r="LL809" s="140"/>
      <c r="LM809" s="140"/>
      <c r="LN809" s="140"/>
      <c r="LO809" s="140"/>
      <c r="LP809" s="140"/>
      <c r="LQ809" s="140"/>
      <c r="LR809" s="140"/>
      <c r="LS809" s="140"/>
      <c r="LT809" s="140"/>
      <c r="LU809" s="140"/>
      <c r="LV809" s="140"/>
      <c r="LW809" s="140"/>
      <c r="LX809" s="140"/>
      <c r="LY809" s="140"/>
      <c r="LZ809" s="140"/>
      <c r="MA809" s="140"/>
      <c r="MB809" s="140"/>
      <c r="MC809" s="140"/>
      <c r="MD809" s="140"/>
      <c r="ME809" s="140"/>
      <c r="MF809" s="140"/>
      <c r="MG809" s="140"/>
      <c r="MH809" s="140"/>
      <c r="MI809" s="140"/>
      <c r="MJ809" s="140"/>
      <c r="MK809" s="140"/>
      <c r="ML809" s="140"/>
    </row>
    <row r="810" spans="3:350" s="4" customFormat="1" ht="15" customHeight="1" x14ac:dyDescent="0.3">
      <c r="H810" s="140"/>
      <c r="I810" s="140"/>
      <c r="J810" s="140"/>
      <c r="K810" s="140"/>
      <c r="L810" s="140"/>
      <c r="M810" s="140"/>
      <c r="N810" s="140"/>
      <c r="O810" s="140"/>
      <c r="P810" s="140"/>
      <c r="Q810" s="140"/>
      <c r="R810" s="140"/>
      <c r="S810" s="140"/>
      <c r="T810" s="140"/>
      <c r="U810" s="140"/>
      <c r="V810" s="140"/>
      <c r="W810" s="140"/>
      <c r="X810" s="140"/>
      <c r="Y810" s="140"/>
      <c r="Z810" s="140"/>
      <c r="AA810" s="140"/>
      <c r="AB810" s="140"/>
      <c r="AC810" s="140"/>
      <c r="AD810" s="140"/>
      <c r="AE810" s="140"/>
      <c r="AF810" s="140"/>
      <c r="AG810" s="140"/>
      <c r="AH810" s="140"/>
      <c r="AI810" s="140"/>
      <c r="AJ810" s="140"/>
      <c r="AK810" s="140"/>
      <c r="AL810" s="140"/>
      <c r="AM810" s="140"/>
      <c r="AN810" s="140"/>
      <c r="AO810" s="140"/>
      <c r="AP810" s="140"/>
      <c r="AQ810" s="140"/>
      <c r="AR810" s="140"/>
      <c r="AS810" s="140"/>
      <c r="AT810" s="140"/>
      <c r="AU810" s="140"/>
      <c r="AV810" s="140"/>
      <c r="AW810" s="140"/>
      <c r="AX810" s="140"/>
      <c r="AY810" s="140"/>
      <c r="AZ810" s="140"/>
      <c r="BA810" s="140"/>
      <c r="BB810" s="140"/>
      <c r="BC810" s="140"/>
      <c r="BD810" s="140"/>
      <c r="BE810" s="140"/>
      <c r="BF810" s="140"/>
      <c r="BG810" s="140"/>
      <c r="BH810" s="140"/>
      <c r="BI810" s="140"/>
      <c r="BJ810" s="140"/>
      <c r="BK810" s="140"/>
      <c r="BL810" s="140"/>
      <c r="BM810" s="140"/>
      <c r="BN810" s="140"/>
      <c r="BO810" s="140"/>
      <c r="BP810" s="140"/>
      <c r="BQ810" s="140"/>
      <c r="BR810" s="140"/>
      <c r="BS810" s="140"/>
      <c r="BT810" s="140"/>
      <c r="BU810" s="140"/>
      <c r="BV810" s="140"/>
      <c r="BW810" s="140"/>
      <c r="BX810" s="140"/>
      <c r="BY810" s="140"/>
      <c r="BZ810" s="140"/>
      <c r="CA810" s="140"/>
      <c r="CB810" s="140"/>
      <c r="CC810" s="140"/>
      <c r="CD810" s="140"/>
      <c r="CE810" s="140"/>
      <c r="CF810" s="140"/>
      <c r="CG810" s="140"/>
      <c r="CH810" s="140"/>
      <c r="CI810" s="140"/>
      <c r="CJ810" s="140"/>
      <c r="CK810" s="140"/>
      <c r="CL810" s="140"/>
      <c r="CM810" s="140"/>
      <c r="CN810" s="140"/>
      <c r="CO810" s="140"/>
      <c r="CP810" s="140"/>
      <c r="CQ810" s="140"/>
      <c r="CR810" s="140"/>
      <c r="CS810" s="140"/>
      <c r="CT810" s="140"/>
      <c r="CU810" s="140"/>
      <c r="CV810" s="140"/>
      <c r="CW810" s="140"/>
      <c r="CX810" s="140"/>
      <c r="CY810" s="140"/>
      <c r="CZ810" s="140"/>
      <c r="DA810" s="140"/>
      <c r="DB810" s="140"/>
      <c r="DC810" s="140"/>
      <c r="DD810" s="140"/>
      <c r="DE810" s="140"/>
      <c r="DF810" s="140"/>
      <c r="DG810" s="140"/>
      <c r="DH810" s="140"/>
      <c r="DI810" s="140"/>
      <c r="DJ810" s="140"/>
      <c r="DK810" s="140"/>
      <c r="DL810" s="140"/>
      <c r="DM810" s="140"/>
      <c r="DN810" s="140"/>
      <c r="DO810" s="140"/>
      <c r="DP810" s="140"/>
      <c r="DQ810" s="140"/>
      <c r="DR810" s="140"/>
      <c r="DS810" s="140"/>
      <c r="DT810" s="140"/>
      <c r="DU810" s="140"/>
      <c r="DV810" s="140"/>
      <c r="DW810" s="140"/>
      <c r="DX810" s="140"/>
      <c r="DY810" s="140"/>
      <c r="DZ810" s="140"/>
      <c r="EA810" s="140"/>
      <c r="EB810" s="140"/>
      <c r="EC810" s="140"/>
      <c r="ED810" s="140"/>
      <c r="EE810" s="140"/>
      <c r="EF810" s="140"/>
      <c r="EG810" s="140"/>
      <c r="EH810" s="140"/>
      <c r="EI810" s="140"/>
      <c r="EJ810" s="140"/>
      <c r="EK810" s="140"/>
      <c r="EL810" s="140"/>
      <c r="EM810" s="140"/>
      <c r="EN810" s="140"/>
      <c r="EO810" s="140"/>
      <c r="EP810" s="140"/>
      <c r="EQ810" s="140"/>
      <c r="ER810" s="140"/>
      <c r="ES810" s="140"/>
      <c r="ET810" s="140"/>
      <c r="EU810" s="140"/>
      <c r="EV810" s="140"/>
      <c r="EW810" s="140"/>
      <c r="EX810" s="140"/>
      <c r="EY810" s="140"/>
      <c r="EZ810" s="140"/>
      <c r="FA810" s="140"/>
      <c r="FB810" s="140"/>
      <c r="FC810" s="140"/>
      <c r="FD810" s="140"/>
      <c r="FE810" s="140"/>
      <c r="FF810" s="140"/>
      <c r="FG810" s="140"/>
      <c r="FH810" s="140"/>
      <c r="FI810" s="140"/>
      <c r="FJ810" s="140"/>
      <c r="FK810" s="140"/>
      <c r="FL810" s="140"/>
      <c r="FM810" s="140"/>
      <c r="FN810" s="140"/>
      <c r="FO810" s="140"/>
      <c r="FP810" s="140"/>
      <c r="FQ810" s="140"/>
      <c r="FR810" s="140"/>
      <c r="FS810" s="140"/>
      <c r="FT810" s="140"/>
      <c r="FU810" s="140"/>
      <c r="FV810" s="140"/>
      <c r="FW810" s="140"/>
      <c r="FX810" s="140"/>
      <c r="FY810" s="140"/>
      <c r="FZ810" s="140"/>
      <c r="GA810" s="140"/>
      <c r="GB810" s="140"/>
      <c r="GC810" s="140"/>
      <c r="GD810" s="140"/>
      <c r="GE810" s="140"/>
      <c r="GF810" s="140"/>
      <c r="GG810" s="140"/>
      <c r="GH810" s="140"/>
      <c r="GI810" s="140"/>
      <c r="GJ810" s="140"/>
      <c r="GK810" s="140"/>
      <c r="GL810" s="140"/>
      <c r="GM810" s="140"/>
      <c r="GN810" s="140"/>
      <c r="GO810" s="140"/>
      <c r="GP810" s="140"/>
      <c r="GQ810" s="140"/>
      <c r="GR810" s="140"/>
      <c r="GS810" s="140"/>
      <c r="GT810" s="140"/>
      <c r="GU810" s="140"/>
      <c r="GV810" s="140"/>
      <c r="GW810" s="140"/>
      <c r="GX810" s="140"/>
      <c r="GY810" s="140"/>
      <c r="GZ810" s="140"/>
      <c r="HA810" s="140"/>
      <c r="HB810" s="140"/>
      <c r="HC810" s="140"/>
      <c r="HD810" s="140"/>
      <c r="HE810" s="140"/>
      <c r="HF810" s="140"/>
      <c r="HG810" s="140"/>
      <c r="HH810" s="140"/>
      <c r="HI810" s="140"/>
      <c r="HJ810" s="140"/>
      <c r="HK810" s="140"/>
      <c r="HL810" s="140"/>
      <c r="HM810" s="140"/>
      <c r="HN810" s="140"/>
      <c r="HO810" s="140"/>
      <c r="HP810" s="140"/>
      <c r="HQ810" s="140"/>
      <c r="HR810" s="140"/>
      <c r="HS810" s="140"/>
      <c r="HT810" s="140"/>
      <c r="HU810" s="140"/>
      <c r="HV810" s="140"/>
      <c r="HW810" s="140"/>
      <c r="HX810" s="140"/>
      <c r="HY810" s="140"/>
      <c r="HZ810" s="140"/>
      <c r="IA810" s="140"/>
      <c r="IB810" s="140"/>
      <c r="IC810" s="140"/>
      <c r="ID810" s="140"/>
      <c r="IE810" s="140"/>
      <c r="IF810" s="140"/>
      <c r="IG810" s="140"/>
      <c r="IH810" s="140"/>
      <c r="II810" s="140"/>
      <c r="IJ810" s="140"/>
      <c r="IK810" s="140"/>
      <c r="IL810" s="140"/>
      <c r="IM810" s="140"/>
      <c r="IN810" s="140"/>
      <c r="IO810" s="140"/>
      <c r="IP810" s="140"/>
      <c r="IQ810" s="140"/>
      <c r="IR810" s="140"/>
      <c r="IS810" s="140"/>
      <c r="IT810" s="140"/>
      <c r="IU810" s="140"/>
      <c r="IV810" s="140"/>
      <c r="IW810" s="140"/>
      <c r="IX810" s="140"/>
      <c r="IY810" s="140"/>
      <c r="IZ810" s="140"/>
      <c r="JA810" s="140"/>
      <c r="JB810" s="140"/>
      <c r="JC810" s="140"/>
      <c r="JD810" s="140"/>
      <c r="JE810" s="140"/>
      <c r="JF810" s="140"/>
      <c r="JG810" s="140"/>
      <c r="JH810" s="140"/>
      <c r="JI810" s="140"/>
      <c r="JJ810" s="140"/>
      <c r="JK810" s="140"/>
      <c r="JL810" s="140"/>
      <c r="JM810" s="140"/>
      <c r="JN810" s="140"/>
      <c r="JO810" s="140"/>
      <c r="JP810" s="140"/>
      <c r="JQ810" s="140"/>
      <c r="JR810" s="140"/>
      <c r="JS810" s="140"/>
      <c r="JT810" s="140"/>
      <c r="JU810" s="140"/>
      <c r="JV810" s="140"/>
      <c r="JW810" s="140"/>
      <c r="JX810" s="140"/>
      <c r="JY810" s="140"/>
      <c r="JZ810" s="140"/>
      <c r="KA810" s="140"/>
      <c r="KB810" s="140"/>
      <c r="KC810" s="140"/>
      <c r="KD810" s="140"/>
      <c r="KE810" s="140"/>
      <c r="KF810" s="140"/>
      <c r="KG810" s="140"/>
      <c r="KH810" s="140"/>
      <c r="KI810" s="140"/>
      <c r="KJ810" s="140"/>
      <c r="KK810" s="140"/>
      <c r="KL810" s="140"/>
      <c r="KM810" s="140"/>
      <c r="KN810" s="140"/>
      <c r="KO810" s="140"/>
      <c r="KP810" s="140"/>
      <c r="KQ810" s="140"/>
      <c r="KR810" s="140"/>
      <c r="KS810" s="140"/>
      <c r="KT810" s="140"/>
      <c r="KU810" s="140"/>
      <c r="KV810" s="140"/>
      <c r="KW810" s="140"/>
      <c r="KX810" s="140"/>
      <c r="KY810" s="140"/>
      <c r="KZ810" s="140"/>
      <c r="LA810" s="140"/>
      <c r="LB810" s="140"/>
      <c r="LC810" s="140"/>
      <c r="LD810" s="140"/>
      <c r="LE810" s="140"/>
      <c r="LF810" s="140"/>
      <c r="LG810" s="140"/>
      <c r="LH810" s="140"/>
      <c r="LI810" s="140"/>
      <c r="LJ810" s="140"/>
      <c r="LK810" s="140"/>
      <c r="LL810" s="140"/>
      <c r="LM810" s="140"/>
      <c r="LN810" s="140"/>
      <c r="LO810" s="140"/>
      <c r="LP810" s="140"/>
      <c r="LQ810" s="140"/>
      <c r="LR810" s="140"/>
      <c r="LS810" s="140"/>
      <c r="LT810" s="140"/>
      <c r="LU810" s="140"/>
      <c r="LV810" s="140"/>
      <c r="LW810" s="140"/>
      <c r="LX810" s="140"/>
      <c r="LY810" s="140"/>
      <c r="LZ810" s="140"/>
      <c r="MA810" s="140"/>
      <c r="MB810" s="140"/>
      <c r="MC810" s="140"/>
      <c r="MD810" s="140"/>
      <c r="ME810" s="140"/>
      <c r="MF810" s="140"/>
      <c r="MG810" s="140"/>
      <c r="MH810" s="140"/>
      <c r="MI810" s="140"/>
      <c r="MJ810" s="140"/>
      <c r="MK810" s="140"/>
      <c r="ML810" s="140"/>
    </row>
    <row r="811" spans="3:350" s="4" customFormat="1" ht="15" customHeight="1" x14ac:dyDescent="0.3">
      <c r="H811" s="140"/>
      <c r="I811" s="140"/>
      <c r="J811" s="140"/>
      <c r="K811" s="140"/>
      <c r="L811" s="140"/>
      <c r="M811" s="140"/>
      <c r="N811" s="140"/>
      <c r="O811" s="140"/>
      <c r="P811" s="140"/>
      <c r="Q811" s="140"/>
      <c r="R811" s="140"/>
      <c r="S811" s="140"/>
      <c r="T811" s="140"/>
      <c r="U811" s="140"/>
      <c r="V811" s="140"/>
      <c r="W811" s="140"/>
      <c r="X811" s="140"/>
      <c r="Y811" s="140"/>
      <c r="Z811" s="140"/>
      <c r="AA811" s="140"/>
      <c r="AB811" s="140"/>
      <c r="AC811" s="140"/>
      <c r="AD811" s="140"/>
      <c r="AE811" s="140"/>
      <c r="AF811" s="140"/>
      <c r="AG811" s="140"/>
      <c r="AH811" s="140"/>
      <c r="AI811" s="140"/>
      <c r="AJ811" s="140"/>
      <c r="AK811" s="140"/>
      <c r="AL811" s="140"/>
      <c r="AM811" s="140"/>
      <c r="AN811" s="140"/>
      <c r="AO811" s="140"/>
      <c r="AP811" s="140"/>
      <c r="AQ811" s="140"/>
      <c r="AR811" s="140"/>
      <c r="AS811" s="140"/>
      <c r="AT811" s="140"/>
      <c r="AU811" s="140"/>
      <c r="AV811" s="140"/>
      <c r="AW811" s="140"/>
      <c r="AX811" s="140"/>
      <c r="AY811" s="140"/>
      <c r="AZ811" s="140"/>
      <c r="BA811" s="140"/>
      <c r="BB811" s="140"/>
      <c r="BC811" s="140"/>
      <c r="BD811" s="140"/>
      <c r="BE811" s="140"/>
      <c r="BF811" s="140"/>
      <c r="BG811" s="140"/>
      <c r="BH811" s="140"/>
      <c r="BI811" s="140"/>
      <c r="BJ811" s="140"/>
      <c r="BK811" s="140"/>
      <c r="BL811" s="140"/>
      <c r="BM811" s="140"/>
      <c r="BN811" s="140"/>
      <c r="BO811" s="140"/>
      <c r="BP811" s="140"/>
      <c r="BQ811" s="140"/>
      <c r="BR811" s="140"/>
      <c r="BS811" s="140"/>
      <c r="BT811" s="140"/>
      <c r="BU811" s="140"/>
      <c r="BV811" s="140"/>
      <c r="BW811" s="140"/>
      <c r="BX811" s="140"/>
      <c r="BY811" s="140"/>
      <c r="BZ811" s="140"/>
      <c r="CA811" s="140"/>
      <c r="CB811" s="140"/>
      <c r="CC811" s="140"/>
      <c r="CD811" s="140"/>
      <c r="CE811" s="140"/>
      <c r="CF811" s="140"/>
      <c r="CG811" s="140"/>
      <c r="CH811" s="140"/>
      <c r="CI811" s="140"/>
      <c r="CJ811" s="140"/>
      <c r="CK811" s="140"/>
      <c r="CL811" s="140"/>
      <c r="CM811" s="140"/>
      <c r="CN811" s="140"/>
      <c r="CO811" s="140"/>
      <c r="CP811" s="140"/>
      <c r="CQ811" s="140"/>
      <c r="CR811" s="140"/>
      <c r="CS811" s="140"/>
      <c r="CT811" s="140"/>
      <c r="CU811" s="140"/>
      <c r="CV811" s="140"/>
      <c r="CW811" s="140"/>
      <c r="CX811" s="140"/>
      <c r="CY811" s="140"/>
      <c r="CZ811" s="140"/>
      <c r="DA811" s="140"/>
      <c r="DB811" s="140"/>
      <c r="DC811" s="140"/>
      <c r="DD811" s="140"/>
      <c r="DE811" s="140"/>
      <c r="DF811" s="140"/>
      <c r="DG811" s="140"/>
      <c r="DH811" s="140"/>
      <c r="DI811" s="140"/>
      <c r="DJ811" s="140"/>
      <c r="DK811" s="140"/>
      <c r="DL811" s="140"/>
      <c r="DM811" s="140"/>
      <c r="DN811" s="140"/>
      <c r="DO811" s="140"/>
      <c r="DP811" s="140"/>
      <c r="DQ811" s="140"/>
      <c r="DR811" s="140"/>
      <c r="DS811" s="140"/>
      <c r="DT811" s="140"/>
      <c r="DU811" s="140"/>
      <c r="DV811" s="140"/>
      <c r="DW811" s="140"/>
      <c r="DX811" s="140"/>
      <c r="DY811" s="140"/>
      <c r="DZ811" s="140"/>
      <c r="EA811" s="140"/>
      <c r="EB811" s="140"/>
      <c r="EC811" s="140"/>
      <c r="ED811" s="140"/>
      <c r="EE811" s="140"/>
      <c r="EF811" s="140"/>
      <c r="EG811" s="140"/>
      <c r="EH811" s="140"/>
      <c r="EI811" s="140"/>
      <c r="EJ811" s="140"/>
      <c r="EK811" s="140"/>
      <c r="EL811" s="140"/>
      <c r="EM811" s="140"/>
      <c r="EN811" s="140"/>
      <c r="EO811" s="140"/>
      <c r="EP811" s="140"/>
      <c r="EQ811" s="140"/>
      <c r="ER811" s="140"/>
      <c r="ES811" s="140"/>
      <c r="ET811" s="140"/>
      <c r="EU811" s="140"/>
      <c r="EV811" s="140"/>
      <c r="EW811" s="140"/>
      <c r="EX811" s="140"/>
      <c r="EY811" s="140"/>
      <c r="EZ811" s="140"/>
      <c r="FA811" s="140"/>
      <c r="FB811" s="140"/>
      <c r="FC811" s="140"/>
      <c r="FD811" s="140"/>
      <c r="FE811" s="140"/>
      <c r="FF811" s="140"/>
      <c r="FG811" s="140"/>
      <c r="FH811" s="140"/>
      <c r="FI811" s="140"/>
      <c r="FJ811" s="140"/>
      <c r="FK811" s="140"/>
      <c r="FL811" s="140"/>
      <c r="FM811" s="140"/>
      <c r="FN811" s="140"/>
      <c r="FO811" s="140"/>
      <c r="FP811" s="140"/>
      <c r="FQ811" s="140"/>
      <c r="FR811" s="140"/>
      <c r="FS811" s="140"/>
      <c r="FT811" s="140"/>
      <c r="FU811" s="140"/>
      <c r="FV811" s="140"/>
      <c r="FW811" s="140"/>
      <c r="FX811" s="140"/>
      <c r="FY811" s="140"/>
      <c r="FZ811" s="140"/>
      <c r="GA811" s="140"/>
      <c r="GB811" s="140"/>
      <c r="GC811" s="140"/>
      <c r="GD811" s="140"/>
      <c r="GE811" s="140"/>
      <c r="GF811" s="140"/>
      <c r="GG811" s="140"/>
      <c r="GH811" s="140"/>
      <c r="GI811" s="140"/>
      <c r="GJ811" s="140"/>
      <c r="GK811" s="140"/>
      <c r="GL811" s="140"/>
      <c r="GM811" s="140"/>
      <c r="GN811" s="140"/>
      <c r="GO811" s="140"/>
      <c r="GP811" s="140"/>
      <c r="GQ811" s="140"/>
      <c r="GR811" s="140"/>
      <c r="GS811" s="140"/>
      <c r="GT811" s="140"/>
      <c r="GU811" s="140"/>
      <c r="GV811" s="140"/>
      <c r="GW811" s="140"/>
      <c r="GX811" s="140"/>
      <c r="GY811" s="140"/>
      <c r="GZ811" s="140"/>
      <c r="HA811" s="140"/>
      <c r="HB811" s="140"/>
      <c r="HC811" s="140"/>
      <c r="HD811" s="140"/>
      <c r="HE811" s="140"/>
      <c r="HF811" s="140"/>
      <c r="HG811" s="140"/>
      <c r="HH811" s="140"/>
      <c r="HI811" s="140"/>
      <c r="HJ811" s="140"/>
      <c r="HK811" s="140"/>
      <c r="HL811" s="140"/>
      <c r="HM811" s="140"/>
      <c r="HN811" s="140"/>
      <c r="HO811" s="140"/>
      <c r="HP811" s="140"/>
      <c r="HQ811" s="140"/>
      <c r="HR811" s="140"/>
      <c r="HS811" s="140"/>
      <c r="HT811" s="140"/>
      <c r="HU811" s="140"/>
      <c r="HV811" s="140"/>
      <c r="HW811" s="140"/>
      <c r="HX811" s="140"/>
      <c r="HY811" s="140"/>
      <c r="HZ811" s="140"/>
      <c r="IA811" s="140"/>
      <c r="IB811" s="140"/>
      <c r="IC811" s="140"/>
      <c r="ID811" s="140"/>
      <c r="IE811" s="140"/>
      <c r="IF811" s="140"/>
      <c r="IG811" s="140"/>
      <c r="IH811" s="140"/>
      <c r="II811" s="140"/>
      <c r="IJ811" s="140"/>
      <c r="IK811" s="140"/>
      <c r="IL811" s="140"/>
      <c r="IM811" s="140"/>
      <c r="IN811" s="140"/>
      <c r="IO811" s="140"/>
      <c r="IP811" s="140"/>
      <c r="IQ811" s="140"/>
      <c r="IR811" s="140"/>
      <c r="IS811" s="140"/>
      <c r="IT811" s="140"/>
      <c r="IU811" s="140"/>
      <c r="IV811" s="140"/>
      <c r="IW811" s="140"/>
      <c r="IX811" s="140"/>
      <c r="IY811" s="140"/>
      <c r="IZ811" s="140"/>
      <c r="JA811" s="140"/>
      <c r="JB811" s="140"/>
      <c r="JC811" s="140"/>
      <c r="JD811" s="140"/>
      <c r="JE811" s="140"/>
      <c r="JF811" s="140"/>
      <c r="JG811" s="140"/>
      <c r="JH811" s="140"/>
      <c r="JI811" s="140"/>
      <c r="JJ811" s="140"/>
      <c r="JK811" s="140"/>
      <c r="JL811" s="140"/>
      <c r="JM811" s="140"/>
      <c r="JN811" s="140"/>
      <c r="JO811" s="140"/>
      <c r="JP811" s="140"/>
      <c r="JQ811" s="140"/>
      <c r="JR811" s="140"/>
      <c r="JS811" s="140"/>
      <c r="JT811" s="140"/>
      <c r="JU811" s="140"/>
      <c r="JV811" s="140"/>
      <c r="JW811" s="140"/>
      <c r="JX811" s="140"/>
      <c r="JY811" s="140"/>
      <c r="JZ811" s="140"/>
      <c r="KA811" s="140"/>
      <c r="KB811" s="140"/>
      <c r="KC811" s="140"/>
      <c r="KD811" s="140"/>
      <c r="KE811" s="140"/>
      <c r="KF811" s="140"/>
      <c r="KG811" s="140"/>
      <c r="KH811" s="140"/>
      <c r="KI811" s="140"/>
      <c r="KJ811" s="140"/>
      <c r="KK811" s="140"/>
      <c r="KL811" s="140"/>
      <c r="KM811" s="140"/>
      <c r="KN811" s="140"/>
      <c r="KO811" s="140"/>
      <c r="KP811" s="140"/>
      <c r="KQ811" s="140"/>
      <c r="KR811" s="140"/>
      <c r="KS811" s="140"/>
      <c r="KT811" s="140"/>
      <c r="KU811" s="140"/>
      <c r="KV811" s="140"/>
      <c r="KW811" s="140"/>
      <c r="KX811" s="140"/>
      <c r="KY811" s="140"/>
      <c r="KZ811" s="140"/>
      <c r="LA811" s="140"/>
      <c r="LB811" s="140"/>
      <c r="LC811" s="140"/>
      <c r="LD811" s="140"/>
      <c r="LE811" s="140"/>
      <c r="LF811" s="140"/>
      <c r="LG811" s="140"/>
      <c r="LH811" s="140"/>
      <c r="LI811" s="140"/>
      <c r="LJ811" s="140"/>
      <c r="LK811" s="140"/>
      <c r="LL811" s="140"/>
      <c r="LM811" s="140"/>
      <c r="LN811" s="140"/>
      <c r="LO811" s="140"/>
      <c r="LP811" s="140"/>
      <c r="LQ811" s="140"/>
      <c r="LR811" s="140"/>
      <c r="LS811" s="140"/>
      <c r="LT811" s="140"/>
      <c r="LU811" s="140"/>
      <c r="LV811" s="140"/>
      <c r="LW811" s="140"/>
      <c r="LX811" s="140"/>
      <c r="LY811" s="140"/>
      <c r="LZ811" s="140"/>
      <c r="MA811" s="140"/>
      <c r="MB811" s="140"/>
      <c r="MC811" s="140"/>
      <c r="MD811" s="140"/>
      <c r="ME811" s="140"/>
      <c r="MF811" s="140"/>
      <c r="MG811" s="140"/>
      <c r="MH811" s="140"/>
      <c r="MI811" s="140"/>
      <c r="MJ811" s="140"/>
      <c r="MK811" s="140"/>
      <c r="ML811" s="140"/>
    </row>
    <row r="812" spans="3:350" s="4" customFormat="1" ht="15" customHeight="1" x14ac:dyDescent="0.3">
      <c r="H812" s="140"/>
      <c r="I812" s="140"/>
      <c r="J812" s="140"/>
      <c r="K812" s="140"/>
      <c r="L812" s="140"/>
      <c r="M812" s="140"/>
      <c r="N812" s="140"/>
      <c r="O812" s="140"/>
      <c r="P812" s="140"/>
      <c r="Q812" s="140"/>
      <c r="R812" s="140"/>
      <c r="S812" s="140"/>
      <c r="T812" s="140"/>
      <c r="U812" s="140"/>
      <c r="V812" s="140"/>
      <c r="W812" s="140"/>
      <c r="X812" s="140"/>
      <c r="Y812" s="140"/>
      <c r="Z812" s="140"/>
      <c r="AA812" s="140"/>
      <c r="AB812" s="140"/>
      <c r="AC812" s="140"/>
      <c r="AD812" s="140"/>
      <c r="AE812" s="140"/>
      <c r="AF812" s="140"/>
      <c r="AG812" s="140"/>
      <c r="AH812" s="140"/>
      <c r="AI812" s="140"/>
      <c r="AJ812" s="140"/>
      <c r="AK812" s="140"/>
      <c r="AL812" s="140"/>
      <c r="AM812" s="140"/>
      <c r="AN812" s="140"/>
      <c r="AO812" s="140"/>
      <c r="AP812" s="140"/>
      <c r="AQ812" s="140"/>
      <c r="AR812" s="140"/>
      <c r="AS812" s="140"/>
      <c r="AT812" s="140"/>
      <c r="AU812" s="140"/>
      <c r="AV812" s="140"/>
      <c r="AW812" s="140"/>
      <c r="AX812" s="140"/>
      <c r="AY812" s="140"/>
      <c r="AZ812" s="140"/>
      <c r="BA812" s="140"/>
      <c r="BB812" s="140"/>
      <c r="BC812" s="140"/>
      <c r="BD812" s="140"/>
      <c r="BE812" s="140"/>
      <c r="BF812" s="140"/>
      <c r="BG812" s="140"/>
      <c r="BH812" s="140"/>
      <c r="BI812" s="140"/>
      <c r="BJ812" s="140"/>
      <c r="BK812" s="140"/>
      <c r="BL812" s="140"/>
      <c r="BM812" s="140"/>
      <c r="BN812" s="140"/>
      <c r="BO812" s="140"/>
      <c r="BP812" s="140"/>
      <c r="BQ812" s="140"/>
      <c r="BR812" s="140"/>
      <c r="BS812" s="140"/>
      <c r="BT812" s="140"/>
      <c r="BU812" s="140"/>
      <c r="BV812" s="140"/>
      <c r="BW812" s="140"/>
      <c r="BX812" s="140"/>
      <c r="BY812" s="140"/>
      <c r="BZ812" s="140"/>
      <c r="CA812" s="140"/>
      <c r="CB812" s="140"/>
      <c r="CC812" s="140"/>
      <c r="CD812" s="140"/>
      <c r="CE812" s="140"/>
      <c r="CF812" s="140"/>
      <c r="CG812" s="140"/>
      <c r="CH812" s="140"/>
      <c r="CI812" s="140"/>
      <c r="CJ812" s="140"/>
      <c r="CK812" s="140"/>
      <c r="CL812" s="140"/>
      <c r="CM812" s="140"/>
      <c r="CN812" s="140"/>
      <c r="CO812" s="140"/>
      <c r="CP812" s="140"/>
      <c r="CQ812" s="140"/>
      <c r="CR812" s="140"/>
      <c r="CS812" s="140"/>
      <c r="CT812" s="140"/>
      <c r="CU812" s="140"/>
      <c r="CV812" s="140"/>
      <c r="CW812" s="140"/>
      <c r="CX812" s="140"/>
      <c r="CY812" s="140"/>
      <c r="CZ812" s="140"/>
      <c r="DA812" s="140"/>
      <c r="DB812" s="140"/>
      <c r="DC812" s="140"/>
      <c r="DD812" s="140"/>
      <c r="DE812" s="140"/>
      <c r="DF812" s="140"/>
      <c r="DG812" s="140"/>
      <c r="DH812" s="140"/>
      <c r="DI812" s="140"/>
      <c r="DJ812" s="140"/>
      <c r="DK812" s="140"/>
      <c r="DL812" s="140"/>
      <c r="DM812" s="140"/>
      <c r="DN812" s="140"/>
      <c r="DO812" s="140"/>
      <c r="DP812" s="140"/>
      <c r="DQ812" s="140"/>
      <c r="DR812" s="140"/>
      <c r="DS812" s="140"/>
      <c r="DT812" s="140"/>
      <c r="DU812" s="140"/>
      <c r="DV812" s="140"/>
      <c r="DW812" s="140"/>
      <c r="DX812" s="140"/>
      <c r="DY812" s="140"/>
      <c r="DZ812" s="140"/>
      <c r="EA812" s="140"/>
      <c r="EB812" s="140"/>
      <c r="EC812" s="140"/>
      <c r="ED812" s="140"/>
      <c r="EE812" s="140"/>
      <c r="EF812" s="140"/>
      <c r="EG812" s="140"/>
      <c r="EH812" s="140"/>
      <c r="EI812" s="140"/>
      <c r="EJ812" s="140"/>
      <c r="EK812" s="140"/>
      <c r="EL812" s="140"/>
      <c r="EM812" s="140"/>
      <c r="EN812" s="140"/>
      <c r="EO812" s="140"/>
      <c r="EP812" s="140"/>
      <c r="EQ812" s="140"/>
      <c r="ER812" s="140"/>
      <c r="ES812" s="140"/>
      <c r="ET812" s="140"/>
      <c r="EU812" s="140"/>
      <c r="EV812" s="140"/>
      <c r="EW812" s="140"/>
      <c r="EX812" s="140"/>
      <c r="EY812" s="140"/>
      <c r="EZ812" s="140"/>
      <c r="FA812" s="140"/>
      <c r="FB812" s="140"/>
      <c r="FC812" s="140"/>
      <c r="FD812" s="140"/>
      <c r="FE812" s="140"/>
      <c r="FF812" s="140"/>
      <c r="FG812" s="140"/>
      <c r="FH812" s="140"/>
      <c r="FI812" s="140"/>
      <c r="FJ812" s="140"/>
      <c r="FK812" s="140"/>
      <c r="FL812" s="140"/>
      <c r="FM812" s="140"/>
      <c r="FN812" s="140"/>
      <c r="FO812" s="140"/>
      <c r="FP812" s="140"/>
      <c r="FQ812" s="140"/>
      <c r="FR812" s="140"/>
      <c r="FS812" s="140"/>
      <c r="FT812" s="140"/>
      <c r="FU812" s="140"/>
      <c r="FV812" s="140"/>
      <c r="FW812" s="140"/>
      <c r="FX812" s="140"/>
      <c r="FY812" s="140"/>
      <c r="FZ812" s="140"/>
      <c r="GA812" s="140"/>
      <c r="GB812" s="140"/>
      <c r="GC812" s="140"/>
      <c r="GD812" s="140"/>
      <c r="GE812" s="140"/>
      <c r="GF812" s="140"/>
      <c r="GG812" s="140"/>
      <c r="GH812" s="140"/>
      <c r="GI812" s="140"/>
      <c r="GJ812" s="140"/>
      <c r="GK812" s="140"/>
      <c r="GL812" s="140"/>
      <c r="GM812" s="140"/>
      <c r="GN812" s="140"/>
      <c r="GO812" s="140"/>
      <c r="GP812" s="140"/>
      <c r="GQ812" s="140"/>
      <c r="GR812" s="140"/>
      <c r="GS812" s="140"/>
      <c r="GT812" s="140"/>
      <c r="GU812" s="140"/>
      <c r="GV812" s="140"/>
      <c r="GW812" s="140"/>
      <c r="GX812" s="140"/>
      <c r="GY812" s="140"/>
      <c r="GZ812" s="140"/>
      <c r="HA812" s="140"/>
      <c r="HB812" s="140"/>
      <c r="HC812" s="140"/>
      <c r="HD812" s="140"/>
      <c r="HE812" s="140"/>
      <c r="HF812" s="140"/>
      <c r="HG812" s="140"/>
      <c r="HH812" s="140"/>
      <c r="HI812" s="140"/>
      <c r="HJ812" s="140"/>
      <c r="HK812" s="140"/>
      <c r="HL812" s="140"/>
      <c r="HM812" s="140"/>
      <c r="HN812" s="140"/>
      <c r="HO812" s="140"/>
      <c r="HP812" s="140"/>
      <c r="HQ812" s="140"/>
      <c r="HR812" s="140"/>
      <c r="HS812" s="140"/>
      <c r="HT812" s="140"/>
      <c r="HU812" s="140"/>
      <c r="HV812" s="140"/>
      <c r="HW812" s="140"/>
      <c r="HX812" s="140"/>
      <c r="HY812" s="140"/>
      <c r="HZ812" s="140"/>
      <c r="IA812" s="140"/>
      <c r="IB812" s="140"/>
      <c r="IC812" s="140"/>
      <c r="ID812" s="140"/>
      <c r="IE812" s="140"/>
      <c r="IF812" s="140"/>
      <c r="IG812" s="140"/>
      <c r="IH812" s="140"/>
      <c r="II812" s="140"/>
      <c r="IJ812" s="140"/>
      <c r="IK812" s="140"/>
      <c r="IL812" s="140"/>
      <c r="IM812" s="140"/>
      <c r="IN812" s="140"/>
      <c r="IO812" s="140"/>
      <c r="IP812" s="140"/>
      <c r="IQ812" s="140"/>
      <c r="IR812" s="140"/>
      <c r="IS812" s="140"/>
      <c r="IT812" s="140"/>
      <c r="IU812" s="140"/>
      <c r="IV812" s="140"/>
      <c r="IW812" s="140"/>
      <c r="IX812" s="140"/>
      <c r="IY812" s="140"/>
      <c r="IZ812" s="140"/>
      <c r="JA812" s="140"/>
      <c r="JB812" s="140"/>
      <c r="JC812" s="140"/>
      <c r="JD812" s="140"/>
      <c r="JE812" s="140"/>
      <c r="JF812" s="140"/>
      <c r="JG812" s="140"/>
      <c r="JH812" s="140"/>
      <c r="JI812" s="140"/>
      <c r="JJ812" s="140"/>
      <c r="JK812" s="140"/>
      <c r="JL812" s="140"/>
      <c r="JM812" s="140"/>
      <c r="JN812" s="140"/>
      <c r="JO812" s="140"/>
      <c r="JP812" s="140"/>
      <c r="JQ812" s="140"/>
      <c r="JR812" s="140"/>
      <c r="JS812" s="140"/>
      <c r="JT812" s="140"/>
      <c r="JU812" s="140"/>
      <c r="JV812" s="140"/>
      <c r="JW812" s="140"/>
      <c r="JX812" s="140"/>
      <c r="JY812" s="140"/>
      <c r="JZ812" s="140"/>
      <c r="KA812" s="140"/>
      <c r="KB812" s="140"/>
      <c r="KC812" s="140"/>
      <c r="KD812" s="140"/>
      <c r="KE812" s="140"/>
      <c r="KF812" s="140"/>
      <c r="KG812" s="140"/>
      <c r="KH812" s="140"/>
      <c r="KI812" s="140"/>
      <c r="KJ812" s="140"/>
      <c r="KK812" s="140"/>
      <c r="KL812" s="140"/>
      <c r="KM812" s="140"/>
      <c r="KN812" s="140"/>
      <c r="KO812" s="140"/>
      <c r="KP812" s="140"/>
      <c r="KQ812" s="140"/>
      <c r="KR812" s="140"/>
      <c r="KS812" s="140"/>
      <c r="KT812" s="140"/>
      <c r="KU812" s="140"/>
      <c r="KV812" s="140"/>
      <c r="KW812" s="140"/>
      <c r="KX812" s="140"/>
      <c r="KY812" s="140"/>
      <c r="KZ812" s="140"/>
      <c r="LA812" s="140"/>
      <c r="LB812" s="140"/>
      <c r="LC812" s="140"/>
      <c r="LD812" s="140"/>
      <c r="LE812" s="140"/>
      <c r="LF812" s="140"/>
      <c r="LG812" s="140"/>
      <c r="LH812" s="140"/>
      <c r="LI812" s="140"/>
      <c r="LJ812" s="140"/>
      <c r="LK812" s="140"/>
      <c r="LL812" s="140"/>
      <c r="LM812" s="140"/>
      <c r="LN812" s="140"/>
      <c r="LO812" s="140"/>
      <c r="LP812" s="140"/>
      <c r="LQ812" s="140"/>
      <c r="LR812" s="140"/>
      <c r="LS812" s="140"/>
      <c r="LT812" s="140"/>
      <c r="LU812" s="140"/>
      <c r="LV812" s="140"/>
      <c r="LW812" s="140"/>
      <c r="LX812" s="140"/>
      <c r="LY812" s="140"/>
      <c r="LZ812" s="140"/>
      <c r="MA812" s="140"/>
      <c r="MB812" s="140"/>
      <c r="MC812" s="140"/>
      <c r="MD812" s="140"/>
      <c r="ME812" s="140"/>
      <c r="MF812" s="140"/>
      <c r="MG812" s="140"/>
      <c r="MH812" s="140"/>
      <c r="MI812" s="140"/>
      <c r="MJ812" s="140"/>
      <c r="MK812" s="140"/>
      <c r="ML812" s="140"/>
    </row>
    <row r="813" spans="3:350" x14ac:dyDescent="0.3">
      <c r="C813" s="120" t="s">
        <v>370</v>
      </c>
      <c r="H813" s="121" t="s">
        <v>100</v>
      </c>
      <c r="S813" s="122" t="s">
        <v>5</v>
      </c>
      <c r="BD813" s="123" t="s">
        <v>6</v>
      </c>
      <c r="CO813" s="124" t="s">
        <v>7</v>
      </c>
      <c r="DZ813" s="125" t="s">
        <v>8</v>
      </c>
      <c r="FK813" s="126" t="s">
        <v>9</v>
      </c>
      <c r="GV813" s="127" t="s">
        <v>10</v>
      </c>
      <c r="IG813" s="128" t="s">
        <v>11</v>
      </c>
      <c r="JR813" s="129" t="str">
        <f>JR$4</f>
        <v>AMS2 2023</v>
      </c>
      <c r="LC813" s="130" t="str">
        <f>LC$4</f>
        <v>AMS3 2025</v>
      </c>
    </row>
    <row r="814" spans="3:350" s="4" customFormat="1" ht="18" customHeight="1" x14ac:dyDescent="0.3">
      <c r="C814" s="131"/>
      <c r="D814" s="132"/>
      <c r="E814" s="133" t="s">
        <v>101</v>
      </c>
      <c r="F814" s="134" t="s">
        <v>102</v>
      </c>
      <c r="H814" s="135">
        <f t="shared" ref="H814:Q814" si="1207">H$1</f>
        <v>2015</v>
      </c>
      <c r="I814" s="133">
        <f t="shared" si="1207"/>
        <v>2016</v>
      </c>
      <c r="J814" s="133">
        <f t="shared" si="1207"/>
        <v>2017</v>
      </c>
      <c r="K814" s="133">
        <f t="shared" si="1207"/>
        <v>2018</v>
      </c>
      <c r="L814" s="133">
        <f t="shared" si="1207"/>
        <v>2019</v>
      </c>
      <c r="M814" s="133">
        <f t="shared" si="1207"/>
        <v>2020</v>
      </c>
      <c r="N814" s="133">
        <f t="shared" si="1207"/>
        <v>2021</v>
      </c>
      <c r="O814" s="133">
        <f t="shared" si="1207"/>
        <v>2022</v>
      </c>
      <c r="P814" s="133">
        <f t="shared" si="1207"/>
        <v>2023</v>
      </c>
      <c r="Q814" s="134">
        <f t="shared" si="1207"/>
        <v>2024</v>
      </c>
      <c r="S814" s="135">
        <f t="shared" ref="S814:BB814" si="1208">S$1</f>
        <v>2015</v>
      </c>
      <c r="T814" s="133">
        <f t="shared" si="1208"/>
        <v>2016</v>
      </c>
      <c r="U814" s="133">
        <f t="shared" si="1208"/>
        <v>2017</v>
      </c>
      <c r="V814" s="133">
        <f t="shared" si="1208"/>
        <v>2018</v>
      </c>
      <c r="W814" s="133">
        <f t="shared" si="1208"/>
        <v>2019</v>
      </c>
      <c r="X814" s="133">
        <f t="shared" si="1208"/>
        <v>2020</v>
      </c>
      <c r="Y814" s="133">
        <f t="shared" si="1208"/>
        <v>2021</v>
      </c>
      <c r="Z814" s="133">
        <f t="shared" si="1208"/>
        <v>2022</v>
      </c>
      <c r="AA814" s="133">
        <f t="shared" si="1208"/>
        <v>2023</v>
      </c>
      <c r="AB814" s="133">
        <f t="shared" si="1208"/>
        <v>2024</v>
      </c>
      <c r="AC814" s="133">
        <f t="shared" si="1208"/>
        <v>2025</v>
      </c>
      <c r="AD814" s="133">
        <f t="shared" si="1208"/>
        <v>2026</v>
      </c>
      <c r="AE814" s="133">
        <f t="shared" si="1208"/>
        <v>2027</v>
      </c>
      <c r="AF814" s="133">
        <f t="shared" si="1208"/>
        <v>2028</v>
      </c>
      <c r="AG814" s="133">
        <f t="shared" si="1208"/>
        <v>2029</v>
      </c>
      <c r="AH814" s="133">
        <f t="shared" si="1208"/>
        <v>2030</v>
      </c>
      <c r="AI814" s="133">
        <f t="shared" si="1208"/>
        <v>2031</v>
      </c>
      <c r="AJ814" s="133">
        <f t="shared" si="1208"/>
        <v>2032</v>
      </c>
      <c r="AK814" s="133">
        <f t="shared" si="1208"/>
        <v>2033</v>
      </c>
      <c r="AL814" s="133">
        <f t="shared" si="1208"/>
        <v>2034</v>
      </c>
      <c r="AM814" s="133">
        <f t="shared" si="1208"/>
        <v>2035</v>
      </c>
      <c r="AN814" s="133">
        <f t="shared" si="1208"/>
        <v>2036</v>
      </c>
      <c r="AO814" s="133">
        <f t="shared" si="1208"/>
        <v>2037</v>
      </c>
      <c r="AP814" s="133">
        <f t="shared" si="1208"/>
        <v>2038</v>
      </c>
      <c r="AQ814" s="133">
        <f t="shared" si="1208"/>
        <v>2039</v>
      </c>
      <c r="AR814" s="133">
        <f t="shared" si="1208"/>
        <v>2040</v>
      </c>
      <c r="AS814" s="133">
        <f t="shared" si="1208"/>
        <v>2041</v>
      </c>
      <c r="AT814" s="133">
        <f t="shared" si="1208"/>
        <v>2042</v>
      </c>
      <c r="AU814" s="133">
        <f t="shared" si="1208"/>
        <v>2043</v>
      </c>
      <c r="AV814" s="133">
        <f t="shared" si="1208"/>
        <v>2044</v>
      </c>
      <c r="AW814" s="133">
        <f t="shared" si="1208"/>
        <v>2045</v>
      </c>
      <c r="AX814" s="133">
        <f t="shared" si="1208"/>
        <v>2046</v>
      </c>
      <c r="AY814" s="133">
        <f t="shared" si="1208"/>
        <v>2047</v>
      </c>
      <c r="AZ814" s="133">
        <f t="shared" si="1208"/>
        <v>2048</v>
      </c>
      <c r="BA814" s="133">
        <f t="shared" si="1208"/>
        <v>2049</v>
      </c>
      <c r="BB814" s="134">
        <f t="shared" si="1208"/>
        <v>2050</v>
      </c>
      <c r="BD814" s="135">
        <f t="shared" ref="BD814:CM814" si="1209">BD$1</f>
        <v>2015</v>
      </c>
      <c r="BE814" s="133">
        <f t="shared" si="1209"/>
        <v>2016</v>
      </c>
      <c r="BF814" s="133">
        <f t="shared" si="1209"/>
        <v>2017</v>
      </c>
      <c r="BG814" s="133">
        <f t="shared" si="1209"/>
        <v>2018</v>
      </c>
      <c r="BH814" s="133">
        <f t="shared" si="1209"/>
        <v>2019</v>
      </c>
      <c r="BI814" s="133">
        <f t="shared" si="1209"/>
        <v>2020</v>
      </c>
      <c r="BJ814" s="133">
        <f t="shared" si="1209"/>
        <v>2021</v>
      </c>
      <c r="BK814" s="133">
        <f t="shared" si="1209"/>
        <v>2022</v>
      </c>
      <c r="BL814" s="133">
        <f t="shared" si="1209"/>
        <v>2023</v>
      </c>
      <c r="BM814" s="133">
        <f t="shared" si="1209"/>
        <v>2024</v>
      </c>
      <c r="BN814" s="133">
        <f t="shared" si="1209"/>
        <v>2025</v>
      </c>
      <c r="BO814" s="133">
        <f t="shared" si="1209"/>
        <v>2026</v>
      </c>
      <c r="BP814" s="133">
        <f t="shared" si="1209"/>
        <v>2027</v>
      </c>
      <c r="BQ814" s="133">
        <f t="shared" si="1209"/>
        <v>2028</v>
      </c>
      <c r="BR814" s="133">
        <f t="shared" si="1209"/>
        <v>2029</v>
      </c>
      <c r="BS814" s="133">
        <f t="shared" si="1209"/>
        <v>2030</v>
      </c>
      <c r="BT814" s="133">
        <f t="shared" si="1209"/>
        <v>2031</v>
      </c>
      <c r="BU814" s="133">
        <f t="shared" si="1209"/>
        <v>2032</v>
      </c>
      <c r="BV814" s="133">
        <f t="shared" si="1209"/>
        <v>2033</v>
      </c>
      <c r="BW814" s="133">
        <f t="shared" si="1209"/>
        <v>2034</v>
      </c>
      <c r="BX814" s="133">
        <f t="shared" si="1209"/>
        <v>2035</v>
      </c>
      <c r="BY814" s="133">
        <f t="shared" si="1209"/>
        <v>2036</v>
      </c>
      <c r="BZ814" s="133">
        <f t="shared" si="1209"/>
        <v>2037</v>
      </c>
      <c r="CA814" s="133">
        <f t="shared" si="1209"/>
        <v>2038</v>
      </c>
      <c r="CB814" s="133">
        <f t="shared" si="1209"/>
        <v>2039</v>
      </c>
      <c r="CC814" s="133">
        <f t="shared" si="1209"/>
        <v>2040</v>
      </c>
      <c r="CD814" s="133">
        <f t="shared" si="1209"/>
        <v>2041</v>
      </c>
      <c r="CE814" s="133">
        <f t="shared" si="1209"/>
        <v>2042</v>
      </c>
      <c r="CF814" s="133">
        <f t="shared" si="1209"/>
        <v>2043</v>
      </c>
      <c r="CG814" s="133">
        <f t="shared" si="1209"/>
        <v>2044</v>
      </c>
      <c r="CH814" s="133">
        <f t="shared" si="1209"/>
        <v>2045</v>
      </c>
      <c r="CI814" s="133">
        <f t="shared" si="1209"/>
        <v>2046</v>
      </c>
      <c r="CJ814" s="133">
        <f t="shared" si="1209"/>
        <v>2047</v>
      </c>
      <c r="CK814" s="133">
        <f t="shared" si="1209"/>
        <v>2048</v>
      </c>
      <c r="CL814" s="133">
        <f t="shared" si="1209"/>
        <v>2049</v>
      </c>
      <c r="CM814" s="134">
        <f t="shared" si="1209"/>
        <v>2050</v>
      </c>
      <c r="CO814" s="135">
        <f t="shared" ref="CO814:DX814" si="1210">CO$1</f>
        <v>2015</v>
      </c>
      <c r="CP814" s="133">
        <f t="shared" si="1210"/>
        <v>2016</v>
      </c>
      <c r="CQ814" s="133">
        <f t="shared" si="1210"/>
        <v>2017</v>
      </c>
      <c r="CR814" s="133">
        <f t="shared" si="1210"/>
        <v>2018</v>
      </c>
      <c r="CS814" s="133">
        <f t="shared" si="1210"/>
        <v>2019</v>
      </c>
      <c r="CT814" s="133">
        <f t="shared" si="1210"/>
        <v>2020</v>
      </c>
      <c r="CU814" s="133">
        <f t="shared" si="1210"/>
        <v>2021</v>
      </c>
      <c r="CV814" s="133">
        <f t="shared" si="1210"/>
        <v>2022</v>
      </c>
      <c r="CW814" s="133">
        <f t="shared" si="1210"/>
        <v>2023</v>
      </c>
      <c r="CX814" s="133">
        <f t="shared" si="1210"/>
        <v>2024</v>
      </c>
      <c r="CY814" s="133">
        <f t="shared" si="1210"/>
        <v>2025</v>
      </c>
      <c r="CZ814" s="133">
        <f t="shared" si="1210"/>
        <v>2026</v>
      </c>
      <c r="DA814" s="133">
        <f t="shared" si="1210"/>
        <v>2027</v>
      </c>
      <c r="DB814" s="133">
        <f t="shared" si="1210"/>
        <v>2028</v>
      </c>
      <c r="DC814" s="133">
        <f t="shared" si="1210"/>
        <v>2029</v>
      </c>
      <c r="DD814" s="133">
        <f t="shared" si="1210"/>
        <v>2030</v>
      </c>
      <c r="DE814" s="133">
        <f t="shared" si="1210"/>
        <v>2031</v>
      </c>
      <c r="DF814" s="133">
        <f t="shared" si="1210"/>
        <v>2032</v>
      </c>
      <c r="DG814" s="133">
        <f t="shared" si="1210"/>
        <v>2033</v>
      </c>
      <c r="DH814" s="133">
        <f t="shared" si="1210"/>
        <v>2034</v>
      </c>
      <c r="DI814" s="133">
        <f t="shared" si="1210"/>
        <v>2035</v>
      </c>
      <c r="DJ814" s="133">
        <f t="shared" si="1210"/>
        <v>2036</v>
      </c>
      <c r="DK814" s="133">
        <f t="shared" si="1210"/>
        <v>2037</v>
      </c>
      <c r="DL814" s="133">
        <f t="shared" si="1210"/>
        <v>2038</v>
      </c>
      <c r="DM814" s="133">
        <f t="shared" si="1210"/>
        <v>2039</v>
      </c>
      <c r="DN814" s="133">
        <f t="shared" si="1210"/>
        <v>2040</v>
      </c>
      <c r="DO814" s="133">
        <f t="shared" si="1210"/>
        <v>2041</v>
      </c>
      <c r="DP814" s="133">
        <f t="shared" si="1210"/>
        <v>2042</v>
      </c>
      <c r="DQ814" s="133">
        <f t="shared" si="1210"/>
        <v>2043</v>
      </c>
      <c r="DR814" s="133">
        <f t="shared" si="1210"/>
        <v>2044</v>
      </c>
      <c r="DS814" s="133">
        <f t="shared" si="1210"/>
        <v>2045</v>
      </c>
      <c r="DT814" s="133">
        <f t="shared" si="1210"/>
        <v>2046</v>
      </c>
      <c r="DU814" s="133">
        <f t="shared" si="1210"/>
        <v>2047</v>
      </c>
      <c r="DV814" s="133">
        <f t="shared" si="1210"/>
        <v>2048</v>
      </c>
      <c r="DW814" s="133">
        <f t="shared" si="1210"/>
        <v>2049</v>
      </c>
      <c r="DX814" s="134">
        <f t="shared" si="1210"/>
        <v>2050</v>
      </c>
      <c r="DZ814" s="135">
        <f t="shared" ref="DZ814:FI814" si="1211">DZ$1</f>
        <v>2015</v>
      </c>
      <c r="EA814" s="133">
        <f t="shared" si="1211"/>
        <v>2016</v>
      </c>
      <c r="EB814" s="133">
        <f t="shared" si="1211"/>
        <v>2017</v>
      </c>
      <c r="EC814" s="133">
        <f t="shared" si="1211"/>
        <v>2018</v>
      </c>
      <c r="ED814" s="133">
        <f t="shared" si="1211"/>
        <v>2019</v>
      </c>
      <c r="EE814" s="133">
        <f t="shared" si="1211"/>
        <v>2020</v>
      </c>
      <c r="EF814" s="133">
        <f t="shared" si="1211"/>
        <v>2021</v>
      </c>
      <c r="EG814" s="133">
        <f t="shared" si="1211"/>
        <v>2022</v>
      </c>
      <c r="EH814" s="133">
        <f t="shared" si="1211"/>
        <v>2023</v>
      </c>
      <c r="EI814" s="133">
        <f t="shared" si="1211"/>
        <v>2024</v>
      </c>
      <c r="EJ814" s="133">
        <f t="shared" si="1211"/>
        <v>2025</v>
      </c>
      <c r="EK814" s="133">
        <f t="shared" si="1211"/>
        <v>2026</v>
      </c>
      <c r="EL814" s="133">
        <f t="shared" si="1211"/>
        <v>2027</v>
      </c>
      <c r="EM814" s="133">
        <f t="shared" si="1211"/>
        <v>2028</v>
      </c>
      <c r="EN814" s="133">
        <f t="shared" si="1211"/>
        <v>2029</v>
      </c>
      <c r="EO814" s="133">
        <f t="shared" si="1211"/>
        <v>2030</v>
      </c>
      <c r="EP814" s="133">
        <f t="shared" si="1211"/>
        <v>2031</v>
      </c>
      <c r="EQ814" s="133">
        <f t="shared" si="1211"/>
        <v>2032</v>
      </c>
      <c r="ER814" s="133">
        <f t="shared" si="1211"/>
        <v>2033</v>
      </c>
      <c r="ES814" s="133">
        <f t="shared" si="1211"/>
        <v>2034</v>
      </c>
      <c r="ET814" s="133">
        <f t="shared" si="1211"/>
        <v>2035</v>
      </c>
      <c r="EU814" s="133">
        <f t="shared" si="1211"/>
        <v>2036</v>
      </c>
      <c r="EV814" s="133">
        <f t="shared" si="1211"/>
        <v>2037</v>
      </c>
      <c r="EW814" s="133">
        <f t="shared" si="1211"/>
        <v>2038</v>
      </c>
      <c r="EX814" s="133">
        <f t="shared" si="1211"/>
        <v>2039</v>
      </c>
      <c r="EY814" s="133">
        <f t="shared" si="1211"/>
        <v>2040</v>
      </c>
      <c r="EZ814" s="133">
        <f t="shared" si="1211"/>
        <v>2041</v>
      </c>
      <c r="FA814" s="133">
        <f t="shared" si="1211"/>
        <v>2042</v>
      </c>
      <c r="FB814" s="133">
        <f t="shared" si="1211"/>
        <v>2043</v>
      </c>
      <c r="FC814" s="133">
        <f t="shared" si="1211"/>
        <v>2044</v>
      </c>
      <c r="FD814" s="133">
        <f t="shared" si="1211"/>
        <v>2045</v>
      </c>
      <c r="FE814" s="133">
        <f t="shared" si="1211"/>
        <v>2046</v>
      </c>
      <c r="FF814" s="133">
        <f t="shared" si="1211"/>
        <v>2047</v>
      </c>
      <c r="FG814" s="133">
        <f t="shared" si="1211"/>
        <v>2048</v>
      </c>
      <c r="FH814" s="133">
        <f t="shared" si="1211"/>
        <v>2049</v>
      </c>
      <c r="FI814" s="134">
        <f t="shared" si="1211"/>
        <v>2050</v>
      </c>
      <c r="FK814" s="135">
        <f t="shared" ref="FK814:GT814" si="1212">FK$1</f>
        <v>2015</v>
      </c>
      <c r="FL814" s="133">
        <f t="shared" si="1212"/>
        <v>2016</v>
      </c>
      <c r="FM814" s="133">
        <f t="shared" si="1212"/>
        <v>2017</v>
      </c>
      <c r="FN814" s="133">
        <f t="shared" si="1212"/>
        <v>2018</v>
      </c>
      <c r="FO814" s="133">
        <f t="shared" si="1212"/>
        <v>2019</v>
      </c>
      <c r="FP814" s="133">
        <f t="shared" si="1212"/>
        <v>2020</v>
      </c>
      <c r="FQ814" s="133">
        <f t="shared" si="1212"/>
        <v>2021</v>
      </c>
      <c r="FR814" s="133">
        <f t="shared" si="1212"/>
        <v>2022</v>
      </c>
      <c r="FS814" s="133">
        <f t="shared" si="1212"/>
        <v>2023</v>
      </c>
      <c r="FT814" s="133">
        <f t="shared" si="1212"/>
        <v>2024</v>
      </c>
      <c r="FU814" s="133">
        <f t="shared" si="1212"/>
        <v>2025</v>
      </c>
      <c r="FV814" s="133">
        <f t="shared" si="1212"/>
        <v>2026</v>
      </c>
      <c r="FW814" s="133">
        <f t="shared" si="1212"/>
        <v>2027</v>
      </c>
      <c r="FX814" s="133">
        <f t="shared" si="1212"/>
        <v>2028</v>
      </c>
      <c r="FY814" s="133">
        <f t="shared" si="1212"/>
        <v>2029</v>
      </c>
      <c r="FZ814" s="133">
        <f t="shared" si="1212"/>
        <v>2030</v>
      </c>
      <c r="GA814" s="133">
        <f t="shared" si="1212"/>
        <v>2031</v>
      </c>
      <c r="GB814" s="133">
        <f t="shared" si="1212"/>
        <v>2032</v>
      </c>
      <c r="GC814" s="133">
        <f t="shared" si="1212"/>
        <v>2033</v>
      </c>
      <c r="GD814" s="133">
        <f t="shared" si="1212"/>
        <v>2034</v>
      </c>
      <c r="GE814" s="133">
        <f t="shared" si="1212"/>
        <v>2035</v>
      </c>
      <c r="GF814" s="133">
        <f t="shared" si="1212"/>
        <v>2036</v>
      </c>
      <c r="GG814" s="133">
        <f t="shared" si="1212"/>
        <v>2037</v>
      </c>
      <c r="GH814" s="133">
        <f t="shared" si="1212"/>
        <v>2038</v>
      </c>
      <c r="GI814" s="133">
        <f t="shared" si="1212"/>
        <v>2039</v>
      </c>
      <c r="GJ814" s="133">
        <f t="shared" si="1212"/>
        <v>2040</v>
      </c>
      <c r="GK814" s="133">
        <f t="shared" si="1212"/>
        <v>2041</v>
      </c>
      <c r="GL814" s="133">
        <f t="shared" si="1212"/>
        <v>2042</v>
      </c>
      <c r="GM814" s="133">
        <f t="shared" si="1212"/>
        <v>2043</v>
      </c>
      <c r="GN814" s="133">
        <f t="shared" si="1212"/>
        <v>2044</v>
      </c>
      <c r="GO814" s="133">
        <f t="shared" si="1212"/>
        <v>2045</v>
      </c>
      <c r="GP814" s="133">
        <f t="shared" si="1212"/>
        <v>2046</v>
      </c>
      <c r="GQ814" s="133">
        <f t="shared" si="1212"/>
        <v>2047</v>
      </c>
      <c r="GR814" s="133">
        <f t="shared" si="1212"/>
        <v>2048</v>
      </c>
      <c r="GS814" s="133">
        <f t="shared" si="1212"/>
        <v>2049</v>
      </c>
      <c r="GT814" s="134">
        <f t="shared" si="1212"/>
        <v>2050</v>
      </c>
      <c r="GV814" s="135">
        <f t="shared" ref="GV814:IE814" si="1213">GV$1</f>
        <v>2015</v>
      </c>
      <c r="GW814" s="133">
        <f t="shared" si="1213"/>
        <v>2016</v>
      </c>
      <c r="GX814" s="133">
        <f t="shared" si="1213"/>
        <v>2017</v>
      </c>
      <c r="GY814" s="133">
        <f t="shared" si="1213"/>
        <v>2018</v>
      </c>
      <c r="GZ814" s="133">
        <f t="shared" si="1213"/>
        <v>2019</v>
      </c>
      <c r="HA814" s="133">
        <f t="shared" si="1213"/>
        <v>2020</v>
      </c>
      <c r="HB814" s="133">
        <f t="shared" si="1213"/>
        <v>2021</v>
      </c>
      <c r="HC814" s="133">
        <f t="shared" si="1213"/>
        <v>2022</v>
      </c>
      <c r="HD814" s="133">
        <f t="shared" si="1213"/>
        <v>2023</v>
      </c>
      <c r="HE814" s="133">
        <f t="shared" si="1213"/>
        <v>2024</v>
      </c>
      <c r="HF814" s="133">
        <f t="shared" si="1213"/>
        <v>2025</v>
      </c>
      <c r="HG814" s="133">
        <f t="shared" si="1213"/>
        <v>2026</v>
      </c>
      <c r="HH814" s="133">
        <f t="shared" si="1213"/>
        <v>2027</v>
      </c>
      <c r="HI814" s="133">
        <f t="shared" si="1213"/>
        <v>2028</v>
      </c>
      <c r="HJ814" s="133">
        <f t="shared" si="1213"/>
        <v>2029</v>
      </c>
      <c r="HK814" s="133">
        <f t="shared" si="1213"/>
        <v>2030</v>
      </c>
      <c r="HL814" s="133">
        <f t="shared" si="1213"/>
        <v>2031</v>
      </c>
      <c r="HM814" s="133">
        <f t="shared" si="1213"/>
        <v>2032</v>
      </c>
      <c r="HN814" s="133">
        <f t="shared" si="1213"/>
        <v>2033</v>
      </c>
      <c r="HO814" s="133">
        <f t="shared" si="1213"/>
        <v>2034</v>
      </c>
      <c r="HP814" s="133">
        <f t="shared" si="1213"/>
        <v>2035</v>
      </c>
      <c r="HQ814" s="133">
        <f t="shared" si="1213"/>
        <v>2036</v>
      </c>
      <c r="HR814" s="133">
        <f t="shared" si="1213"/>
        <v>2037</v>
      </c>
      <c r="HS814" s="133">
        <f t="shared" si="1213"/>
        <v>2038</v>
      </c>
      <c r="HT814" s="133">
        <f t="shared" si="1213"/>
        <v>2039</v>
      </c>
      <c r="HU814" s="133">
        <f t="shared" si="1213"/>
        <v>2040</v>
      </c>
      <c r="HV814" s="133">
        <f t="shared" si="1213"/>
        <v>2041</v>
      </c>
      <c r="HW814" s="133">
        <f t="shared" si="1213"/>
        <v>2042</v>
      </c>
      <c r="HX814" s="133">
        <f t="shared" si="1213"/>
        <v>2043</v>
      </c>
      <c r="HY814" s="133">
        <f t="shared" si="1213"/>
        <v>2044</v>
      </c>
      <c r="HZ814" s="133">
        <f t="shared" si="1213"/>
        <v>2045</v>
      </c>
      <c r="IA814" s="133">
        <f t="shared" si="1213"/>
        <v>2046</v>
      </c>
      <c r="IB814" s="133">
        <f t="shared" si="1213"/>
        <v>2047</v>
      </c>
      <c r="IC814" s="133">
        <f t="shared" si="1213"/>
        <v>2048</v>
      </c>
      <c r="ID814" s="133">
        <f t="shared" si="1213"/>
        <v>2049</v>
      </c>
      <c r="IE814" s="134">
        <f t="shared" si="1213"/>
        <v>2050</v>
      </c>
      <c r="IG814" s="135">
        <f t="shared" ref="IG814:JP814" si="1214">IG$1</f>
        <v>2015</v>
      </c>
      <c r="IH814" s="133">
        <f t="shared" si="1214"/>
        <v>2016</v>
      </c>
      <c r="II814" s="133">
        <f t="shared" si="1214"/>
        <v>2017</v>
      </c>
      <c r="IJ814" s="133">
        <f t="shared" si="1214"/>
        <v>2018</v>
      </c>
      <c r="IK814" s="133">
        <f t="shared" si="1214"/>
        <v>2019</v>
      </c>
      <c r="IL814" s="133">
        <f t="shared" si="1214"/>
        <v>2020</v>
      </c>
      <c r="IM814" s="133">
        <f t="shared" si="1214"/>
        <v>2021</v>
      </c>
      <c r="IN814" s="133">
        <f t="shared" si="1214"/>
        <v>2022</v>
      </c>
      <c r="IO814" s="133">
        <f t="shared" si="1214"/>
        <v>2023</v>
      </c>
      <c r="IP814" s="133">
        <f t="shared" si="1214"/>
        <v>2024</v>
      </c>
      <c r="IQ814" s="133">
        <f t="shared" si="1214"/>
        <v>2025</v>
      </c>
      <c r="IR814" s="133">
        <f t="shared" si="1214"/>
        <v>2026</v>
      </c>
      <c r="IS814" s="133">
        <f t="shared" si="1214"/>
        <v>2027</v>
      </c>
      <c r="IT814" s="133">
        <f t="shared" si="1214"/>
        <v>2028</v>
      </c>
      <c r="IU814" s="133">
        <f t="shared" si="1214"/>
        <v>2029</v>
      </c>
      <c r="IV814" s="133">
        <f t="shared" si="1214"/>
        <v>2030</v>
      </c>
      <c r="IW814" s="133">
        <f t="shared" si="1214"/>
        <v>2031</v>
      </c>
      <c r="IX814" s="133">
        <f t="shared" si="1214"/>
        <v>2032</v>
      </c>
      <c r="IY814" s="133">
        <f t="shared" si="1214"/>
        <v>2033</v>
      </c>
      <c r="IZ814" s="133">
        <f t="shared" si="1214"/>
        <v>2034</v>
      </c>
      <c r="JA814" s="133">
        <f t="shared" si="1214"/>
        <v>2035</v>
      </c>
      <c r="JB814" s="133">
        <f t="shared" si="1214"/>
        <v>2036</v>
      </c>
      <c r="JC814" s="133">
        <f t="shared" si="1214"/>
        <v>2037</v>
      </c>
      <c r="JD814" s="133">
        <f t="shared" si="1214"/>
        <v>2038</v>
      </c>
      <c r="JE814" s="133">
        <f t="shared" si="1214"/>
        <v>2039</v>
      </c>
      <c r="JF814" s="133">
        <f t="shared" si="1214"/>
        <v>2040</v>
      </c>
      <c r="JG814" s="133">
        <f t="shared" si="1214"/>
        <v>2041</v>
      </c>
      <c r="JH814" s="133">
        <f t="shared" si="1214"/>
        <v>2042</v>
      </c>
      <c r="JI814" s="133">
        <f t="shared" si="1214"/>
        <v>2043</v>
      </c>
      <c r="JJ814" s="133">
        <f t="shared" si="1214"/>
        <v>2044</v>
      </c>
      <c r="JK814" s="133">
        <f t="shared" si="1214"/>
        <v>2045</v>
      </c>
      <c r="JL814" s="133">
        <f t="shared" si="1214"/>
        <v>2046</v>
      </c>
      <c r="JM814" s="133">
        <f t="shared" si="1214"/>
        <v>2047</v>
      </c>
      <c r="JN814" s="133">
        <f t="shared" si="1214"/>
        <v>2048</v>
      </c>
      <c r="JO814" s="133">
        <f t="shared" si="1214"/>
        <v>2049</v>
      </c>
      <c r="JP814" s="134">
        <f t="shared" si="1214"/>
        <v>2050</v>
      </c>
      <c r="JR814" s="135">
        <f t="shared" ref="JR814:MC814" si="1215">JR$1</f>
        <v>2015</v>
      </c>
      <c r="JS814" s="133">
        <f t="shared" si="1215"/>
        <v>2016</v>
      </c>
      <c r="JT814" s="133">
        <f t="shared" si="1215"/>
        <v>2017</v>
      </c>
      <c r="JU814" s="133">
        <f t="shared" si="1215"/>
        <v>2018</v>
      </c>
      <c r="JV814" s="133">
        <f t="shared" si="1215"/>
        <v>2019</v>
      </c>
      <c r="JW814" s="133">
        <f t="shared" si="1215"/>
        <v>2020</v>
      </c>
      <c r="JX814" s="133">
        <f t="shared" si="1215"/>
        <v>2021</v>
      </c>
      <c r="JY814" s="133">
        <f t="shared" si="1215"/>
        <v>2022</v>
      </c>
      <c r="JZ814" s="133">
        <f t="shared" si="1215"/>
        <v>2023</v>
      </c>
      <c r="KA814" s="133">
        <f t="shared" si="1215"/>
        <v>2024</v>
      </c>
      <c r="KB814" s="133">
        <f t="shared" si="1215"/>
        <v>2025</v>
      </c>
      <c r="KC814" s="133">
        <f t="shared" si="1215"/>
        <v>2026</v>
      </c>
      <c r="KD814" s="133">
        <f t="shared" si="1215"/>
        <v>2027</v>
      </c>
      <c r="KE814" s="133">
        <f t="shared" si="1215"/>
        <v>2028</v>
      </c>
      <c r="KF814" s="133">
        <f t="shared" si="1215"/>
        <v>2029</v>
      </c>
      <c r="KG814" s="133">
        <f t="shared" si="1215"/>
        <v>2030</v>
      </c>
      <c r="KH814" s="133">
        <f t="shared" si="1215"/>
        <v>2031</v>
      </c>
      <c r="KI814" s="133">
        <f t="shared" si="1215"/>
        <v>2032</v>
      </c>
      <c r="KJ814" s="133">
        <f t="shared" si="1215"/>
        <v>2033</v>
      </c>
      <c r="KK814" s="133">
        <f t="shared" si="1215"/>
        <v>2034</v>
      </c>
      <c r="KL814" s="133">
        <f t="shared" si="1215"/>
        <v>2035</v>
      </c>
      <c r="KM814" s="133">
        <f t="shared" si="1215"/>
        <v>2036</v>
      </c>
      <c r="KN814" s="133">
        <f t="shared" si="1215"/>
        <v>2037</v>
      </c>
      <c r="KO814" s="133">
        <f t="shared" si="1215"/>
        <v>2038</v>
      </c>
      <c r="KP814" s="133">
        <f t="shared" si="1215"/>
        <v>2039</v>
      </c>
      <c r="KQ814" s="133">
        <f t="shared" si="1215"/>
        <v>2040</v>
      </c>
      <c r="KR814" s="133">
        <f t="shared" si="1215"/>
        <v>2041</v>
      </c>
      <c r="KS814" s="133">
        <f t="shared" si="1215"/>
        <v>2042</v>
      </c>
      <c r="KT814" s="133">
        <f t="shared" si="1215"/>
        <v>2043</v>
      </c>
      <c r="KU814" s="133">
        <f t="shared" si="1215"/>
        <v>2044</v>
      </c>
      <c r="KV814" s="133">
        <f t="shared" si="1215"/>
        <v>2045</v>
      </c>
      <c r="KW814" s="133">
        <f t="shared" si="1215"/>
        <v>2046</v>
      </c>
      <c r="KX814" s="133">
        <f t="shared" si="1215"/>
        <v>2047</v>
      </c>
      <c r="KY814" s="133">
        <f t="shared" si="1215"/>
        <v>2048</v>
      </c>
      <c r="KZ814" s="133">
        <f t="shared" si="1215"/>
        <v>2049</v>
      </c>
      <c r="LA814" s="134">
        <f t="shared" si="1215"/>
        <v>2050</v>
      </c>
      <c r="LC814" s="135">
        <f t="shared" si="1215"/>
        <v>2015</v>
      </c>
      <c r="LD814" s="133">
        <f t="shared" si="1215"/>
        <v>2016</v>
      </c>
      <c r="LE814" s="133">
        <f t="shared" si="1215"/>
        <v>2017</v>
      </c>
      <c r="LF814" s="133">
        <f t="shared" si="1215"/>
        <v>2018</v>
      </c>
      <c r="LG814" s="133">
        <f t="shared" si="1215"/>
        <v>2019</v>
      </c>
      <c r="LH814" s="133">
        <f t="shared" si="1215"/>
        <v>2020</v>
      </c>
      <c r="LI814" s="133">
        <f t="shared" si="1215"/>
        <v>2021</v>
      </c>
      <c r="LJ814" s="133">
        <f t="shared" si="1215"/>
        <v>2022</v>
      </c>
      <c r="LK814" s="133">
        <f t="shared" si="1215"/>
        <v>2023</v>
      </c>
      <c r="LL814" s="133">
        <f t="shared" si="1215"/>
        <v>2024</v>
      </c>
      <c r="LM814" s="133">
        <f t="shared" si="1215"/>
        <v>2025</v>
      </c>
      <c r="LN814" s="133">
        <f t="shared" si="1215"/>
        <v>2026</v>
      </c>
      <c r="LO814" s="133">
        <f t="shared" si="1215"/>
        <v>2027</v>
      </c>
      <c r="LP814" s="133">
        <f t="shared" si="1215"/>
        <v>2028</v>
      </c>
      <c r="LQ814" s="133">
        <f t="shared" si="1215"/>
        <v>2029</v>
      </c>
      <c r="LR814" s="133">
        <f t="shared" si="1215"/>
        <v>2030</v>
      </c>
      <c r="LS814" s="133">
        <f t="shared" si="1215"/>
        <v>2031</v>
      </c>
      <c r="LT814" s="133">
        <f t="shared" si="1215"/>
        <v>2032</v>
      </c>
      <c r="LU814" s="133">
        <f t="shared" si="1215"/>
        <v>2033</v>
      </c>
      <c r="LV814" s="133">
        <f t="shared" si="1215"/>
        <v>2034</v>
      </c>
      <c r="LW814" s="133">
        <f t="shared" si="1215"/>
        <v>2035</v>
      </c>
      <c r="LX814" s="133">
        <f t="shared" si="1215"/>
        <v>2036</v>
      </c>
      <c r="LY814" s="133">
        <f t="shared" si="1215"/>
        <v>2037</v>
      </c>
      <c r="LZ814" s="133">
        <f t="shared" si="1215"/>
        <v>2038</v>
      </c>
      <c r="MA814" s="133">
        <f t="shared" si="1215"/>
        <v>2039</v>
      </c>
      <c r="MB814" s="133">
        <f t="shared" si="1215"/>
        <v>2040</v>
      </c>
      <c r="MC814" s="133">
        <f t="shared" si="1215"/>
        <v>2041</v>
      </c>
      <c r="MD814" s="133">
        <f t="shared" ref="MD814:ML814" si="1216">MD$1</f>
        <v>2042</v>
      </c>
      <c r="ME814" s="133">
        <f t="shared" si="1216"/>
        <v>2043</v>
      </c>
      <c r="MF814" s="133">
        <f t="shared" si="1216"/>
        <v>2044</v>
      </c>
      <c r="MG814" s="133">
        <f t="shared" si="1216"/>
        <v>2045</v>
      </c>
      <c r="MH814" s="133">
        <f t="shared" si="1216"/>
        <v>2046</v>
      </c>
      <c r="MI814" s="133">
        <f t="shared" si="1216"/>
        <v>2047</v>
      </c>
      <c r="MJ814" s="133">
        <f t="shared" si="1216"/>
        <v>2048</v>
      </c>
      <c r="MK814" s="133">
        <f t="shared" si="1216"/>
        <v>2049</v>
      </c>
      <c r="ML814" s="134">
        <f t="shared" si="1216"/>
        <v>2050</v>
      </c>
    </row>
    <row r="815" spans="3:350" s="4" customFormat="1" ht="18" customHeight="1" x14ac:dyDescent="0.3">
      <c r="C815" s="136" t="s">
        <v>371</v>
      </c>
      <c r="E815" s="137" t="s">
        <v>367</v>
      </c>
      <c r="F815" s="138"/>
      <c r="H815" s="245"/>
      <c r="I815" s="1"/>
      <c r="J815" s="1"/>
      <c r="K815" s="1"/>
      <c r="L815" s="1"/>
      <c r="M815" s="1"/>
      <c r="N815" s="1"/>
      <c r="O815" s="1"/>
      <c r="P815" s="1"/>
      <c r="Q815" s="138"/>
      <c r="S815" s="245"/>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38"/>
      <c r="BD815" s="245"/>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38"/>
      <c r="CO815" s="245"/>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38"/>
      <c r="DZ815" s="245"/>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38"/>
      <c r="FK815" s="245"/>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38"/>
      <c r="GV815" s="245"/>
      <c r="GW815" s="1"/>
      <c r="GX815" s="1"/>
      <c r="GY815" s="1"/>
      <c r="GZ815" s="1"/>
      <c r="HA815" s="1"/>
      <c r="HB815" s="1"/>
      <c r="HC815" s="1"/>
      <c r="HD815" s="1"/>
      <c r="HE815" s="1"/>
      <c r="HF815" s="1"/>
      <c r="HG815" s="1"/>
      <c r="HH815" s="1"/>
      <c r="HI815" s="1"/>
      <c r="HJ815" s="1"/>
      <c r="HK815" s="1"/>
      <c r="HL815" s="1"/>
      <c r="HM815" s="1"/>
      <c r="HN815" s="1"/>
      <c r="HO815" s="1"/>
      <c r="HP815" s="1"/>
      <c r="HQ815" s="1"/>
      <c r="HR815" s="1"/>
      <c r="HS815" s="1"/>
      <c r="HT815" s="1"/>
      <c r="HU815" s="1"/>
      <c r="HV815" s="1"/>
      <c r="HW815" s="1"/>
      <c r="HX815" s="1"/>
      <c r="HY815" s="1"/>
      <c r="HZ815" s="1"/>
      <c r="IA815" s="1"/>
      <c r="IB815" s="1"/>
      <c r="IC815" s="1"/>
      <c r="ID815" s="1"/>
      <c r="IE815" s="138"/>
      <c r="IG815" s="245"/>
      <c r="IH815" s="1"/>
      <c r="II815" s="1"/>
      <c r="IJ815" s="1"/>
      <c r="IK815" s="1"/>
      <c r="IL815" s="1"/>
      <c r="IM815" s="1"/>
      <c r="IN815" s="1"/>
      <c r="IO815" s="1"/>
      <c r="IP815" s="1"/>
      <c r="IQ815" s="1"/>
      <c r="IR815" s="1"/>
      <c r="IS815" s="1"/>
      <c r="IT815" s="1"/>
      <c r="IU815" s="1"/>
      <c r="IV815" s="1"/>
      <c r="IW815" s="1"/>
      <c r="IX815" s="1"/>
      <c r="IY815" s="1"/>
      <c r="IZ815" s="1"/>
      <c r="JA815" s="1"/>
      <c r="JB815" s="1"/>
      <c r="JC815" s="1"/>
      <c r="JD815" s="1"/>
      <c r="JE815" s="1"/>
      <c r="JF815" s="1"/>
      <c r="JG815" s="1"/>
      <c r="JH815" s="1"/>
      <c r="JI815" s="1"/>
      <c r="JJ815" s="1"/>
      <c r="JK815" s="1"/>
      <c r="JL815" s="1"/>
      <c r="JM815" s="1"/>
      <c r="JN815" s="1"/>
      <c r="JO815" s="1"/>
      <c r="JP815" s="138"/>
      <c r="JR815" s="245"/>
      <c r="JS815" s="1"/>
      <c r="JT815" s="1"/>
      <c r="JU815" s="1"/>
      <c r="JV815" s="1"/>
      <c r="JW815" s="1"/>
      <c r="JX815" s="1"/>
      <c r="JY815" s="1"/>
      <c r="JZ815" s="1"/>
      <c r="KA815" s="330">
        <f t="shared" ref="KA815:KG815" si="1217">SUM($KG689:$KG690)</f>
        <v>2636.9670844049015</v>
      </c>
      <c r="KB815" s="330">
        <f t="shared" si="1217"/>
        <v>2636.9670844049015</v>
      </c>
      <c r="KC815" s="330">
        <f t="shared" si="1217"/>
        <v>2636.9670844049015</v>
      </c>
      <c r="KD815" s="330">
        <f t="shared" si="1217"/>
        <v>2636.9670844049015</v>
      </c>
      <c r="KE815" s="330">
        <f t="shared" si="1217"/>
        <v>2636.9670844049015</v>
      </c>
      <c r="KF815" s="330">
        <f t="shared" si="1217"/>
        <v>2636.9670844049015</v>
      </c>
      <c r="KG815" s="330">
        <f t="shared" si="1217"/>
        <v>2636.9670844049015</v>
      </c>
      <c r="KH815" s="330">
        <f t="shared" ref="KH815:LA815" si="1218">SUM($LA689:$LA690)</f>
        <v>2315.1068050328108</v>
      </c>
      <c r="KI815" s="330">
        <f t="shared" si="1218"/>
        <v>2315.1068050328108</v>
      </c>
      <c r="KJ815" s="330">
        <f t="shared" si="1218"/>
        <v>2315.1068050328108</v>
      </c>
      <c r="KK815" s="330">
        <f t="shared" si="1218"/>
        <v>2315.1068050328108</v>
      </c>
      <c r="KL815" s="330">
        <f t="shared" si="1218"/>
        <v>2315.1068050328108</v>
      </c>
      <c r="KM815" s="330">
        <f t="shared" si="1218"/>
        <v>2315.1068050328108</v>
      </c>
      <c r="KN815" s="330">
        <f t="shared" si="1218"/>
        <v>2315.1068050328108</v>
      </c>
      <c r="KO815" s="330">
        <f t="shared" si="1218"/>
        <v>2315.1068050328108</v>
      </c>
      <c r="KP815" s="330">
        <f t="shared" si="1218"/>
        <v>2315.1068050328108</v>
      </c>
      <c r="KQ815" s="330">
        <f t="shared" si="1218"/>
        <v>2315.1068050328108</v>
      </c>
      <c r="KR815" s="330">
        <f t="shared" si="1218"/>
        <v>2315.1068050328108</v>
      </c>
      <c r="KS815" s="330">
        <f t="shared" si="1218"/>
        <v>2315.1068050328108</v>
      </c>
      <c r="KT815" s="330">
        <f t="shared" si="1218"/>
        <v>2315.1068050328108</v>
      </c>
      <c r="KU815" s="330">
        <f t="shared" si="1218"/>
        <v>2315.1068050328108</v>
      </c>
      <c r="KV815" s="330">
        <f t="shared" si="1218"/>
        <v>2315.1068050328108</v>
      </c>
      <c r="KW815" s="330">
        <f t="shared" si="1218"/>
        <v>2315.1068050328108</v>
      </c>
      <c r="KX815" s="330">
        <f t="shared" si="1218"/>
        <v>2315.1068050328108</v>
      </c>
      <c r="KY815" s="330">
        <f t="shared" si="1218"/>
        <v>2315.1068050328108</v>
      </c>
      <c r="KZ815" s="330">
        <f t="shared" si="1218"/>
        <v>2315.1068050328108</v>
      </c>
      <c r="LA815" s="331">
        <f t="shared" si="1218"/>
        <v>2315.1068050328108</v>
      </c>
      <c r="LC815" s="245"/>
      <c r="LD815" s="1"/>
      <c r="LE815" s="1"/>
      <c r="LF815" s="1"/>
      <c r="LG815" s="1"/>
      <c r="LH815" s="1"/>
      <c r="LI815" s="1"/>
      <c r="LJ815" s="1"/>
      <c r="LK815" s="1"/>
      <c r="LL815" s="330">
        <f>SUM($LR689:$LR690)</f>
        <v>3359.2862615579152</v>
      </c>
      <c r="LM815" s="330">
        <f t="shared" ref="LM815:LR815" si="1219">SUM($LR689:$LR690)</f>
        <v>3359.2862615579152</v>
      </c>
      <c r="LN815" s="330">
        <f t="shared" si="1219"/>
        <v>3359.2862615579152</v>
      </c>
      <c r="LO815" s="330">
        <f t="shared" si="1219"/>
        <v>3359.2862615579152</v>
      </c>
      <c r="LP815" s="330">
        <f t="shared" si="1219"/>
        <v>3359.2862615579152</v>
      </c>
      <c r="LQ815" s="330">
        <f t="shared" si="1219"/>
        <v>3359.2862615579152</v>
      </c>
      <c r="LR815" s="330">
        <f t="shared" si="1219"/>
        <v>3359.2862615579152</v>
      </c>
      <c r="LS815" s="330">
        <f>SUM($MB689:$MB690)</f>
        <v>3589.6582830802836</v>
      </c>
      <c r="LT815" s="330">
        <f t="shared" ref="LT815:MB815" si="1220">SUM($MB689:$MB690)</f>
        <v>3589.6582830802836</v>
      </c>
      <c r="LU815" s="330">
        <f t="shared" si="1220"/>
        <v>3589.6582830802836</v>
      </c>
      <c r="LV815" s="330">
        <f t="shared" si="1220"/>
        <v>3589.6582830802836</v>
      </c>
      <c r="LW815" s="330">
        <f t="shared" si="1220"/>
        <v>3589.6582830802836</v>
      </c>
      <c r="LX815" s="330">
        <f t="shared" si="1220"/>
        <v>3589.6582830802836</v>
      </c>
      <c r="LY815" s="330">
        <f t="shared" si="1220"/>
        <v>3589.6582830802836</v>
      </c>
      <c r="LZ815" s="330">
        <f t="shared" si="1220"/>
        <v>3589.6582830802836</v>
      </c>
      <c r="MA815" s="330">
        <f t="shared" si="1220"/>
        <v>3589.6582830802836</v>
      </c>
      <c r="MB815" s="330">
        <f t="shared" si="1220"/>
        <v>3589.6582830802836</v>
      </c>
      <c r="MC815" s="330">
        <f t="shared" ref="MC815:ML815" si="1221">SUM($ML689:$ML690)</f>
        <v>3978.2658322843708</v>
      </c>
      <c r="MD815" s="330">
        <f t="shared" si="1221"/>
        <v>3978.2658322843708</v>
      </c>
      <c r="ME815" s="330">
        <f t="shared" si="1221"/>
        <v>3978.2658322843708</v>
      </c>
      <c r="MF815" s="330">
        <f t="shared" si="1221"/>
        <v>3978.2658322843708</v>
      </c>
      <c r="MG815" s="330">
        <f t="shared" si="1221"/>
        <v>3978.2658322843708</v>
      </c>
      <c r="MH815" s="330">
        <f t="shared" si="1221"/>
        <v>3978.2658322843708</v>
      </c>
      <c r="MI815" s="330">
        <f t="shared" si="1221"/>
        <v>3978.2658322843708</v>
      </c>
      <c r="MJ815" s="330">
        <f t="shared" si="1221"/>
        <v>3978.2658322843708</v>
      </c>
      <c r="MK815" s="330">
        <f t="shared" si="1221"/>
        <v>3978.2658322843708</v>
      </c>
      <c r="ML815" s="425">
        <f t="shared" si="1221"/>
        <v>3978.2658322843708</v>
      </c>
    </row>
    <row r="816" spans="3:350" s="4" customFormat="1" ht="18" customHeight="1" x14ac:dyDescent="0.3">
      <c r="C816" s="136" t="s">
        <v>372</v>
      </c>
      <c r="E816" s="1" t="s">
        <v>123</v>
      </c>
      <c r="F816" s="138"/>
      <c r="H816" s="332"/>
      <c r="I816" s="297"/>
      <c r="J816" s="297"/>
      <c r="K816" s="297"/>
      <c r="L816" s="297"/>
      <c r="M816" s="297"/>
      <c r="N816" s="297"/>
      <c r="O816" s="297"/>
      <c r="P816" s="297"/>
      <c r="Q816" s="333"/>
      <c r="S816" s="245"/>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38"/>
      <c r="BD816" s="245"/>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38"/>
      <c r="CO816" s="245"/>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38"/>
      <c r="DZ816" s="245"/>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38"/>
      <c r="FK816" s="245"/>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I816" s="1"/>
      <c r="GJ816" s="1"/>
      <c r="GK816" s="1"/>
      <c r="GL816" s="1"/>
      <c r="GM816" s="1"/>
      <c r="GN816" s="1"/>
      <c r="GO816" s="1"/>
      <c r="GP816" s="1"/>
      <c r="GQ816" s="1"/>
      <c r="GR816" s="1"/>
      <c r="GS816" s="1"/>
      <c r="GT816" s="138"/>
      <c r="GV816" s="245"/>
      <c r="GW816" s="1"/>
      <c r="GX816" s="1"/>
      <c r="GY816" s="1"/>
      <c r="GZ816" s="1"/>
      <c r="HA816" s="1"/>
      <c r="HB816" s="1"/>
      <c r="HC816" s="1"/>
      <c r="HD816" s="1"/>
      <c r="HE816" s="1"/>
      <c r="HF816" s="1"/>
      <c r="HG816" s="1"/>
      <c r="HH816" s="1"/>
      <c r="HI816" s="1"/>
      <c r="HJ816" s="1"/>
      <c r="HK816" s="1"/>
      <c r="HL816" s="1"/>
      <c r="HM816" s="1"/>
      <c r="HN816" s="1"/>
      <c r="HO816" s="1"/>
      <c r="HP816" s="1"/>
      <c r="HQ816" s="1"/>
      <c r="HR816" s="1"/>
      <c r="HS816" s="1"/>
      <c r="HT816" s="1"/>
      <c r="HU816" s="1"/>
      <c r="HV816" s="1"/>
      <c r="HW816" s="1"/>
      <c r="HX816" s="1"/>
      <c r="HY816" s="1"/>
      <c r="HZ816" s="1"/>
      <c r="IA816" s="1"/>
      <c r="IB816" s="1"/>
      <c r="IC816" s="1"/>
      <c r="ID816" s="1"/>
      <c r="IE816" s="138"/>
      <c r="IG816" s="245"/>
      <c r="IH816" s="1"/>
      <c r="II816" s="1"/>
      <c r="IJ816" s="1"/>
      <c r="IK816" s="1"/>
      <c r="IL816" s="1"/>
      <c r="IM816" s="1"/>
      <c r="IN816" s="1"/>
      <c r="IO816" s="1"/>
      <c r="IP816" s="1"/>
      <c r="IQ816" s="1"/>
      <c r="IR816" s="1"/>
      <c r="IS816" s="1"/>
      <c r="IT816" s="1"/>
      <c r="IU816" s="1"/>
      <c r="IV816" s="1"/>
      <c r="IW816" s="1"/>
      <c r="IX816" s="1"/>
      <c r="IY816" s="1"/>
      <c r="IZ816" s="1"/>
      <c r="JA816" s="1"/>
      <c r="JB816" s="1"/>
      <c r="JC816" s="1"/>
      <c r="JD816" s="1"/>
      <c r="JE816" s="1"/>
      <c r="JF816" s="1"/>
      <c r="JG816" s="1"/>
      <c r="JH816" s="1"/>
      <c r="JI816" s="1"/>
      <c r="JJ816" s="1"/>
      <c r="JK816" s="1"/>
      <c r="JL816" s="1"/>
      <c r="JM816" s="1"/>
      <c r="JN816" s="1"/>
      <c r="JO816" s="1"/>
      <c r="JP816" s="138"/>
      <c r="JR816" s="245"/>
      <c r="JS816" s="1"/>
      <c r="JT816" s="1"/>
      <c r="JU816" s="1"/>
      <c r="JV816" s="1"/>
      <c r="JW816" s="334"/>
      <c r="JX816" s="334"/>
      <c r="JY816" s="334"/>
      <c r="JZ816" s="335"/>
      <c r="KA816" s="335">
        <f>NORMDIST(KA814,$KG814,5,FALSE)</f>
        <v>3.8837210996642592E-2</v>
      </c>
      <c r="KB816" s="335">
        <f t="shared" ref="KB816:KG816" si="1222">NORMDIST(KB814,$KG814,5,FALSE)</f>
        <v>4.8394144903828672E-2</v>
      </c>
      <c r="KC816" s="335">
        <f t="shared" si="1222"/>
        <v>5.7938310552296549E-2</v>
      </c>
      <c r="KD816" s="335">
        <f t="shared" si="1222"/>
        <v>6.6644920578359926E-2</v>
      </c>
      <c r="KE816" s="335">
        <f t="shared" si="1222"/>
        <v>7.3654028060664664E-2</v>
      </c>
      <c r="KF816" s="335">
        <f t="shared" si="1222"/>
        <v>7.8208538795091181E-2</v>
      </c>
      <c r="KG816" s="335">
        <f t="shared" si="1222"/>
        <v>7.9788456080286549E-2</v>
      </c>
      <c r="KH816" s="336">
        <f>NORMDIST(KH814,$KG814,5, FALSE)</f>
        <v>7.8208538795091181E-2</v>
      </c>
      <c r="KI816" s="336">
        <f t="shared" ref="KI816:LA816" si="1223">NORMDIST(KI814,$KG814,5, FALSE)</f>
        <v>7.3654028060664664E-2</v>
      </c>
      <c r="KJ816" s="336">
        <f t="shared" si="1223"/>
        <v>6.6644920578359926E-2</v>
      </c>
      <c r="KK816" s="336">
        <f t="shared" si="1223"/>
        <v>5.7938310552296549E-2</v>
      </c>
      <c r="KL816" s="336">
        <f t="shared" si="1223"/>
        <v>4.8394144903828672E-2</v>
      </c>
      <c r="KM816" s="336">
        <f t="shared" si="1223"/>
        <v>3.8837210996642592E-2</v>
      </c>
      <c r="KN816" s="336">
        <f t="shared" si="1223"/>
        <v>2.9945493127148972E-2</v>
      </c>
      <c r="KO816" s="336">
        <f t="shared" si="1223"/>
        <v>2.2184166935891109E-2</v>
      </c>
      <c r="KP816" s="336">
        <f t="shared" si="1223"/>
        <v>1.5790031660178828E-2</v>
      </c>
      <c r="KQ816" s="336">
        <f t="shared" si="1223"/>
        <v>1.0798193302637612E-2</v>
      </c>
      <c r="KR816" s="336">
        <f t="shared" si="1223"/>
        <v>7.0949185692462842E-3</v>
      </c>
      <c r="KS816" s="336">
        <f t="shared" si="1223"/>
        <v>4.4789060589685804E-3</v>
      </c>
      <c r="KT816" s="336">
        <f t="shared" si="1223"/>
        <v>2.7165938467371225E-3</v>
      </c>
      <c r="KU816" s="336">
        <f t="shared" si="1223"/>
        <v>1.5830903165959939E-3</v>
      </c>
      <c r="KV816" s="336">
        <f t="shared" si="1223"/>
        <v>8.8636968238760153E-4</v>
      </c>
      <c r="KW816" s="336">
        <f t="shared" si="1223"/>
        <v>4.768176402929681E-4</v>
      </c>
      <c r="KX816" s="336">
        <f t="shared" si="1223"/>
        <v>2.4644383369460396E-4</v>
      </c>
      <c r="KY816" s="336">
        <f t="shared" si="1223"/>
        <v>1.2238038602275437E-4</v>
      </c>
      <c r="KZ816" s="336">
        <f t="shared" si="1223"/>
        <v>5.8389385158292053E-5</v>
      </c>
      <c r="LA816" s="337">
        <f t="shared" si="1223"/>
        <v>2.6766045152977071E-5</v>
      </c>
      <c r="LC816" s="245"/>
      <c r="LD816" s="1"/>
      <c r="LE816" s="1"/>
      <c r="LF816" s="1"/>
      <c r="LG816" s="1"/>
      <c r="LH816" s="1"/>
      <c r="LI816" s="1"/>
      <c r="LJ816" s="1"/>
      <c r="LK816" s="1"/>
      <c r="LL816" s="335">
        <f>NORMDIST(LL814,$LO814,5,FALSE)</f>
        <v>6.6644920578359926E-2</v>
      </c>
      <c r="LM816" s="335">
        <f t="shared" ref="LM816:LR816" si="1224">NORMDIST(LM814,$LO814,5,FALSE)</f>
        <v>7.3654028060664664E-2</v>
      </c>
      <c r="LN816" s="335">
        <f t="shared" si="1224"/>
        <v>7.8208538795091181E-2</v>
      </c>
      <c r="LO816" s="335">
        <f t="shared" si="1224"/>
        <v>7.9788456080286549E-2</v>
      </c>
      <c r="LP816" s="335">
        <f t="shared" si="1224"/>
        <v>7.8208538795091181E-2</v>
      </c>
      <c r="LQ816" s="335">
        <f t="shared" si="1224"/>
        <v>7.3654028060664664E-2</v>
      </c>
      <c r="LR816" s="335">
        <f t="shared" si="1224"/>
        <v>6.6644920578359926E-2</v>
      </c>
      <c r="LS816" s="335">
        <f>NORMDIST(LS814,$LS814,5,FALSE)</f>
        <v>7.9788456080286549E-2</v>
      </c>
      <c r="LT816" s="335">
        <f>NORMDIST(LT814,$LS814,5,FALSE)</f>
        <v>7.8208538795091181E-2</v>
      </c>
      <c r="LU816" s="335">
        <f t="shared" ref="LU816:MB816" si="1225">NORMDIST(LU814,$LW814,5,FALSE)</f>
        <v>7.3654028060664664E-2</v>
      </c>
      <c r="LV816" s="335">
        <f t="shared" si="1225"/>
        <v>7.8208538795091181E-2</v>
      </c>
      <c r="LW816" s="335">
        <f t="shared" si="1225"/>
        <v>7.9788456080286549E-2</v>
      </c>
      <c r="LX816" s="335">
        <f t="shared" si="1225"/>
        <v>7.8208538795091181E-2</v>
      </c>
      <c r="LY816" s="335">
        <f t="shared" si="1225"/>
        <v>7.3654028060664664E-2</v>
      </c>
      <c r="LZ816" s="335">
        <f t="shared" si="1225"/>
        <v>6.6644920578359926E-2</v>
      </c>
      <c r="MA816" s="335">
        <f t="shared" si="1225"/>
        <v>5.7938310552296549E-2</v>
      </c>
      <c r="MB816" s="335">
        <f t="shared" si="1225"/>
        <v>4.8394144903828672E-2</v>
      </c>
      <c r="MC816" s="335">
        <f>NORMDIST(MC814,$MG814,5,FALSE)</f>
        <v>5.7938310552296549E-2</v>
      </c>
      <c r="MD816" s="335">
        <f t="shared" ref="MD816" si="1226">NORMDIST(MD814,$MG814,5,FALSE)</f>
        <v>6.6644920578359926E-2</v>
      </c>
      <c r="ME816" s="335">
        <f>NORMDIST(ME814,$MH814,5,FALSE)</f>
        <v>6.6644920578359926E-2</v>
      </c>
      <c r="MF816" s="335">
        <f t="shared" ref="MF816:ML816" si="1227">NORMDIST(MF814,$MH814,5,FALSE)</f>
        <v>7.3654028060664664E-2</v>
      </c>
      <c r="MG816" s="335">
        <f t="shared" si="1227"/>
        <v>7.8208538795091181E-2</v>
      </c>
      <c r="MH816" s="335">
        <f t="shared" si="1227"/>
        <v>7.9788456080286549E-2</v>
      </c>
      <c r="MI816" s="335">
        <f t="shared" si="1227"/>
        <v>7.8208538795091181E-2</v>
      </c>
      <c r="MJ816" s="335">
        <f t="shared" si="1227"/>
        <v>7.3654028060664664E-2</v>
      </c>
      <c r="MK816" s="335">
        <f t="shared" si="1227"/>
        <v>6.6644920578359926E-2</v>
      </c>
      <c r="ML816" s="335">
        <f t="shared" si="1227"/>
        <v>5.7938310552296549E-2</v>
      </c>
    </row>
    <row r="817" spans="3:350" s="4" customFormat="1" ht="18" customHeight="1" x14ac:dyDescent="0.3">
      <c r="C817" s="136" t="s">
        <v>373</v>
      </c>
      <c r="E817" s="137" t="s">
        <v>367</v>
      </c>
      <c r="F817" s="138"/>
      <c r="H817" s="332"/>
      <c r="I817" s="297"/>
      <c r="J817" s="297"/>
      <c r="K817" s="297"/>
      <c r="L817" s="297"/>
      <c r="M817" s="297"/>
      <c r="N817" s="297"/>
      <c r="O817" s="297"/>
      <c r="P817" s="297"/>
      <c r="Q817" s="333"/>
      <c r="S817" s="245"/>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38"/>
      <c r="BD817" s="245"/>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38"/>
      <c r="CO817" s="245"/>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38"/>
      <c r="DZ817" s="245"/>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38"/>
      <c r="FK817" s="245"/>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c r="GN817" s="1"/>
      <c r="GO817" s="1"/>
      <c r="GP817" s="1"/>
      <c r="GQ817" s="1"/>
      <c r="GR817" s="1"/>
      <c r="GS817" s="1"/>
      <c r="GT817" s="138"/>
      <c r="GV817" s="245"/>
      <c r="GW817" s="1"/>
      <c r="GX817" s="1"/>
      <c r="GY817" s="1"/>
      <c r="GZ817" s="1"/>
      <c r="HA817" s="1"/>
      <c r="HB817" s="1"/>
      <c r="HC817" s="1"/>
      <c r="HD817" s="1"/>
      <c r="HE817" s="1"/>
      <c r="HF817" s="1"/>
      <c r="HG817" s="1"/>
      <c r="HH817" s="1"/>
      <c r="HI817" s="1"/>
      <c r="HJ817" s="1"/>
      <c r="HK817" s="1"/>
      <c r="HL817" s="1"/>
      <c r="HM817" s="1"/>
      <c r="HN817" s="1"/>
      <c r="HO817" s="1"/>
      <c r="HP817" s="1"/>
      <c r="HQ817" s="1"/>
      <c r="HR817" s="1"/>
      <c r="HS817" s="1"/>
      <c r="HT817" s="1"/>
      <c r="HU817" s="1"/>
      <c r="HV817" s="1"/>
      <c r="HW817" s="1"/>
      <c r="HX817" s="1"/>
      <c r="HY817" s="1"/>
      <c r="HZ817" s="1"/>
      <c r="IA817" s="1"/>
      <c r="IB817" s="1"/>
      <c r="IC817" s="1"/>
      <c r="ID817" s="1"/>
      <c r="IE817" s="138"/>
      <c r="IG817" s="245"/>
      <c r="IH817" s="1"/>
      <c r="II817" s="1"/>
      <c r="IJ817" s="1"/>
      <c r="IK817" s="1"/>
      <c r="IL817" s="1"/>
      <c r="IM817" s="1"/>
      <c r="IN817" s="1"/>
      <c r="IO817" s="1"/>
      <c r="IP817" s="1"/>
      <c r="IQ817" s="1"/>
      <c r="IR817" s="1"/>
      <c r="IS817" s="1"/>
      <c r="IT817" s="1"/>
      <c r="IU817" s="1"/>
      <c r="IV817" s="1"/>
      <c r="IW817" s="1"/>
      <c r="IX817" s="1"/>
      <c r="IY817" s="1"/>
      <c r="IZ817" s="1"/>
      <c r="JA817" s="1"/>
      <c r="JB817" s="1"/>
      <c r="JC817" s="1"/>
      <c r="JD817" s="1"/>
      <c r="JE817" s="1"/>
      <c r="JF817" s="1"/>
      <c r="JG817" s="1"/>
      <c r="JH817" s="1"/>
      <c r="JI817" s="1"/>
      <c r="JJ817" s="1"/>
      <c r="JK817" s="1"/>
      <c r="JL817" s="1"/>
      <c r="JM817" s="1"/>
      <c r="JN817" s="1"/>
      <c r="JO817" s="1"/>
      <c r="JP817" s="138"/>
      <c r="JR817" s="245"/>
      <c r="JS817" s="1"/>
      <c r="JT817" s="1"/>
      <c r="JU817" s="1"/>
      <c r="JV817" s="1"/>
      <c r="JW817" s="334"/>
      <c r="JX817" s="334"/>
      <c r="JY817" s="334"/>
      <c r="JZ817" s="334"/>
      <c r="KA817" s="330">
        <f t="shared" ref="KA817:KE817" si="1228">KA816*2*$D$821/(SUM($KA816:$KG816)*2)</f>
        <v>7338.8292077150918</v>
      </c>
      <c r="KB817" s="330">
        <f t="shared" si="1228"/>
        <v>9144.744305488799</v>
      </c>
      <c r="KC817" s="330">
        <f t="shared" si="1228"/>
        <v>10948.246663840488</v>
      </c>
      <c r="KD817" s="330">
        <f t="shared" si="1228"/>
        <v>12593.481280841765</v>
      </c>
      <c r="KE817" s="330">
        <f t="shared" si="1228"/>
        <v>13917.949268916376</v>
      </c>
      <c r="KF817" s="330">
        <f>KF816*2*$D$821/(SUM($KA816:$KG816)*2)</f>
        <v>14778.587186699677</v>
      </c>
      <c r="KG817" s="330">
        <f>KG816*2*$D$821/(SUM($KA816:$KG816)*2)</f>
        <v>15077.134451573254</v>
      </c>
      <c r="KH817" s="330">
        <f t="shared" ref="KH817:LA817" si="1229">KH816*2*$D$822/(SUM($KH816:$LA816)*2)</f>
        <v>15138.972072027193</v>
      </c>
      <c r="KI817" s="330">
        <f t="shared" si="1229"/>
        <v>14257.346972357655</v>
      </c>
      <c r="KJ817" s="330">
        <f t="shared" si="1229"/>
        <v>12900.581022510905</v>
      </c>
      <c r="KK817" s="330">
        <f t="shared" si="1229"/>
        <v>11215.226353349404</v>
      </c>
      <c r="KL817" s="330">
        <f t="shared" si="1229"/>
        <v>9367.7444871874268</v>
      </c>
      <c r="KM817" s="330">
        <f t="shared" si="1229"/>
        <v>7517.7910454772882</v>
      </c>
      <c r="KN817" s="330">
        <f t="shared" si="1229"/>
        <v>5796.6047073551135</v>
      </c>
      <c r="KO817" s="330">
        <f t="shared" si="1229"/>
        <v>4294.230385298084</v>
      </c>
      <c r="KP817" s="330">
        <f t="shared" si="1229"/>
        <v>3056.505747360623</v>
      </c>
      <c r="KQ817" s="330">
        <f t="shared" si="1229"/>
        <v>2090.2263276557014</v>
      </c>
      <c r="KR817" s="330">
        <f t="shared" si="1229"/>
        <v>1373.3765612798827</v>
      </c>
      <c r="KS817" s="330">
        <f t="shared" si="1229"/>
        <v>866.99016225853109</v>
      </c>
      <c r="KT817" s="330">
        <f t="shared" si="1229"/>
        <v>525.85611507902956</v>
      </c>
      <c r="KU817" s="330">
        <f t="shared" si="1229"/>
        <v>306.44173206248041</v>
      </c>
      <c r="KV817" s="330">
        <f t="shared" si="1229"/>
        <v>171.57622522925524</v>
      </c>
      <c r="KW817" s="330">
        <f t="shared" si="1229"/>
        <v>92.298475985568842</v>
      </c>
      <c r="KX817" s="330">
        <f t="shared" si="1229"/>
        <v>47.704590484691387</v>
      </c>
      <c r="KY817" s="330">
        <f t="shared" si="1229"/>
        <v>23.689398558085227</v>
      </c>
      <c r="KZ817" s="330">
        <f t="shared" si="1229"/>
        <v>11.302541702386398</v>
      </c>
      <c r="LA817" s="331">
        <f t="shared" si="1229"/>
        <v>5.1811530594018986</v>
      </c>
      <c r="LC817" s="245"/>
      <c r="LD817" s="1"/>
      <c r="LE817" s="1"/>
      <c r="LF817" s="1"/>
      <c r="LG817" s="1"/>
      <c r="LH817" s="1"/>
      <c r="LI817" s="1"/>
      <c r="LJ817" s="1"/>
      <c r="LK817" s="1"/>
      <c r="LL817" s="330">
        <f>LL816*2*$D$826/(SUM($LL816:$LR816)*2)</f>
        <v>5167.0282600135806</v>
      </c>
      <c r="LM817" s="330">
        <f t="shared" ref="LM817:LR817" si="1230">LM816*2*$D$826/(SUM($LL816:$LR816)*2)</f>
        <v>5710.4493658420251</v>
      </c>
      <c r="LN817" s="330">
        <f t="shared" si="1230"/>
        <v>6063.5638338478338</v>
      </c>
      <c r="LO817" s="330">
        <f t="shared" si="1230"/>
        <v>6186.055948629335</v>
      </c>
      <c r="LP817" s="330">
        <f t="shared" si="1230"/>
        <v>6063.5638338478338</v>
      </c>
      <c r="LQ817" s="330">
        <f t="shared" si="1230"/>
        <v>5710.4493658420251</v>
      </c>
      <c r="LR817" s="330">
        <f t="shared" si="1230"/>
        <v>5167.0282600135806</v>
      </c>
      <c r="LS817" s="330">
        <f>LS816*2*$D$827/(SUM($LS816:$MB816)*2)</f>
        <v>4945.3582829195002</v>
      </c>
      <c r="LT817" s="330">
        <f t="shared" ref="LT817:MB817" si="1231">LT816*2*$D$827/(SUM($LS816:$MB816)*2)</f>
        <v>4847.4336279442668</v>
      </c>
      <c r="LU817" s="330">
        <f t="shared" si="1231"/>
        <v>4565.1410697015353</v>
      </c>
      <c r="LV817" s="330">
        <f t="shared" si="1231"/>
        <v>4847.4336279442668</v>
      </c>
      <c r="LW817" s="330">
        <f t="shared" si="1231"/>
        <v>4945.3582829195002</v>
      </c>
      <c r="LX817" s="330">
        <f t="shared" si="1231"/>
        <v>4847.4336279442668</v>
      </c>
      <c r="LY817" s="330">
        <f t="shared" si="1231"/>
        <v>4565.1410697015353</v>
      </c>
      <c r="LZ817" s="330">
        <f t="shared" si="1231"/>
        <v>4130.7104584786557</v>
      </c>
      <c r="MA817" s="330">
        <f t="shared" si="1231"/>
        <v>3591.0671551263963</v>
      </c>
      <c r="MB817" s="330">
        <f t="shared" si="1231"/>
        <v>2999.5114218545</v>
      </c>
      <c r="MC817" s="330">
        <f>MC816*2*$D$828/(SUM($MC816:$ML816)*2)</f>
        <v>2652.0765506985299</v>
      </c>
      <c r="MD817" s="330">
        <f t="shared" ref="MD817:ML817" si="1232">MD816*2*$D$828/(SUM($MC816:$ML816)*2)</f>
        <v>3050.6141688321695</v>
      </c>
      <c r="ME817" s="330">
        <f t="shared" si="1232"/>
        <v>3050.6141688321695</v>
      </c>
      <c r="MF817" s="330">
        <f t="shared" si="1232"/>
        <v>3371.4500616628279</v>
      </c>
      <c r="MG817" s="330">
        <f t="shared" si="1232"/>
        <v>3579.9288903261972</v>
      </c>
      <c r="MH817" s="330">
        <f t="shared" si="1232"/>
        <v>3652.2482511112835</v>
      </c>
      <c r="MI817" s="330">
        <f t="shared" si="1232"/>
        <v>3579.9288903261972</v>
      </c>
      <c r="MJ817" s="330">
        <f t="shared" si="1232"/>
        <v>3371.4500616628279</v>
      </c>
      <c r="MK817" s="330">
        <f t="shared" si="1232"/>
        <v>3050.6141688321695</v>
      </c>
      <c r="ML817" s="331">
        <f t="shared" si="1232"/>
        <v>2652.0765506985299</v>
      </c>
    </row>
    <row r="818" spans="3:350" s="4" customFormat="1" ht="18" customHeight="1" x14ac:dyDescent="0.3">
      <c r="C818" s="208" t="s">
        <v>106</v>
      </c>
      <c r="E818" s="1" t="s">
        <v>105</v>
      </c>
      <c r="F818" s="1"/>
      <c r="H818" s="338">
        <f>H777</f>
        <v>4933.8371416424261</v>
      </c>
      <c r="I818" s="297">
        <f t="shared" ref="I818:M818" si="1233">I777</f>
        <v>4841.1030883169242</v>
      </c>
      <c r="J818" s="297">
        <f t="shared" si="1233"/>
        <v>4821.8771226458239</v>
      </c>
      <c r="K818" s="297">
        <f t="shared" si="1233"/>
        <v>4810.5688669117908</v>
      </c>
      <c r="L818" s="297">
        <f t="shared" si="1233"/>
        <v>4855.6269760295327</v>
      </c>
      <c r="M818" s="297">
        <f t="shared" si="1233"/>
        <v>4907.6842420164667</v>
      </c>
      <c r="N818" s="297"/>
      <c r="O818" s="297"/>
      <c r="P818" s="297"/>
      <c r="Q818" s="339"/>
      <c r="S818" s="340"/>
      <c r="T818" s="209"/>
      <c r="U818" s="209"/>
      <c r="V818" s="209"/>
      <c r="W818" s="209"/>
      <c r="X818" s="209"/>
      <c r="Y818" s="209"/>
      <c r="Z818" s="209"/>
      <c r="AA818" s="209"/>
      <c r="AB818" s="209"/>
      <c r="AC818" s="209"/>
      <c r="AD818" s="209"/>
      <c r="AE818" s="209"/>
      <c r="AF818" s="209"/>
      <c r="AG818" s="209"/>
      <c r="AH818" s="209"/>
      <c r="AI818" s="209"/>
      <c r="AJ818" s="209"/>
      <c r="AK818" s="209"/>
      <c r="AL818" s="209"/>
      <c r="AM818" s="209"/>
      <c r="AN818" s="209"/>
      <c r="AO818" s="209"/>
      <c r="AP818" s="209"/>
      <c r="AQ818" s="209"/>
      <c r="AR818" s="209"/>
      <c r="AS818" s="209"/>
      <c r="AT818" s="209"/>
      <c r="AU818" s="209"/>
      <c r="AV818" s="209"/>
      <c r="AW818" s="209"/>
      <c r="AX818" s="209"/>
      <c r="AY818" s="209"/>
      <c r="AZ818" s="209"/>
      <c r="BA818" s="209"/>
      <c r="BB818" s="210"/>
      <c r="BD818" s="340"/>
      <c r="BE818" s="209"/>
      <c r="BF818" s="209"/>
      <c r="BG818" s="209"/>
      <c r="BH818" s="209"/>
      <c r="BI818" s="209"/>
      <c r="BJ818" s="209"/>
      <c r="BK818" s="209"/>
      <c r="BL818" s="209"/>
      <c r="BM818" s="209"/>
      <c r="BN818" s="209"/>
      <c r="BO818" s="209"/>
      <c r="BP818" s="209"/>
      <c r="BQ818" s="209"/>
      <c r="BR818" s="209"/>
      <c r="BS818" s="209"/>
      <c r="BT818" s="209"/>
      <c r="BU818" s="209"/>
      <c r="BV818" s="209"/>
      <c r="BW818" s="209"/>
      <c r="BX818" s="209"/>
      <c r="BY818" s="209"/>
      <c r="BZ818" s="209"/>
      <c r="CA818" s="209"/>
      <c r="CB818" s="209"/>
      <c r="CC818" s="209"/>
      <c r="CD818" s="209"/>
      <c r="CE818" s="209"/>
      <c r="CF818" s="209"/>
      <c r="CG818" s="209"/>
      <c r="CH818" s="209"/>
      <c r="CI818" s="209"/>
      <c r="CJ818" s="209"/>
      <c r="CK818" s="209"/>
      <c r="CL818" s="209"/>
      <c r="CM818" s="210"/>
      <c r="CO818" s="340"/>
      <c r="CP818" s="209"/>
      <c r="CQ818" s="209"/>
      <c r="CR818" s="209"/>
      <c r="CS818" s="209"/>
      <c r="CT818" s="209"/>
      <c r="CU818" s="209"/>
      <c r="CV818" s="209"/>
      <c r="CW818" s="209"/>
      <c r="CX818" s="209"/>
      <c r="CY818" s="209"/>
      <c r="CZ818" s="209"/>
      <c r="DA818" s="209"/>
      <c r="DB818" s="209"/>
      <c r="DC818" s="209"/>
      <c r="DD818" s="209"/>
      <c r="DE818" s="209"/>
      <c r="DF818" s="209"/>
      <c r="DG818" s="209"/>
      <c r="DH818" s="209"/>
      <c r="DI818" s="209"/>
      <c r="DJ818" s="209"/>
      <c r="DK818" s="209"/>
      <c r="DL818" s="209"/>
      <c r="DM818" s="209"/>
      <c r="DN818" s="209"/>
      <c r="DO818" s="209"/>
      <c r="DP818" s="209"/>
      <c r="DQ818" s="209"/>
      <c r="DR818" s="209"/>
      <c r="DS818" s="209"/>
      <c r="DT818" s="209"/>
      <c r="DU818" s="209"/>
      <c r="DV818" s="209"/>
      <c r="DW818" s="209"/>
      <c r="DX818" s="210"/>
      <c r="DZ818" s="340"/>
      <c r="EA818" s="209"/>
      <c r="EB818" s="209"/>
      <c r="EC818" s="209"/>
      <c r="ED818" s="209"/>
      <c r="EE818" s="209"/>
      <c r="EF818" s="209"/>
      <c r="EG818" s="209"/>
      <c r="EH818" s="209"/>
      <c r="EI818" s="209"/>
      <c r="EJ818" s="209"/>
      <c r="EK818" s="209"/>
      <c r="EL818" s="209"/>
      <c r="EM818" s="209"/>
      <c r="EN818" s="209"/>
      <c r="EO818" s="209"/>
      <c r="EP818" s="209"/>
      <c r="EQ818" s="209"/>
      <c r="ER818" s="209"/>
      <c r="ES818" s="209"/>
      <c r="ET818" s="209"/>
      <c r="EU818" s="209"/>
      <c r="EV818" s="209"/>
      <c r="EW818" s="209"/>
      <c r="EX818" s="209"/>
      <c r="EY818" s="209"/>
      <c r="EZ818" s="209"/>
      <c r="FA818" s="209"/>
      <c r="FB818" s="209"/>
      <c r="FC818" s="209"/>
      <c r="FD818" s="209"/>
      <c r="FE818" s="209"/>
      <c r="FF818" s="209"/>
      <c r="FG818" s="209"/>
      <c r="FH818" s="209"/>
      <c r="FI818" s="210"/>
      <c r="FK818" s="340"/>
      <c r="FL818" s="209"/>
      <c r="FM818" s="209"/>
      <c r="FN818" s="209"/>
      <c r="FO818" s="209"/>
      <c r="FP818" s="209"/>
      <c r="FQ818" s="209"/>
      <c r="FR818" s="209"/>
      <c r="FS818" s="209"/>
      <c r="FT818" s="209"/>
      <c r="FU818" s="209"/>
      <c r="FV818" s="209"/>
      <c r="FW818" s="209"/>
      <c r="FX818" s="209"/>
      <c r="FY818" s="209"/>
      <c r="FZ818" s="209"/>
      <c r="GA818" s="209"/>
      <c r="GB818" s="209"/>
      <c r="GC818" s="209"/>
      <c r="GD818" s="209"/>
      <c r="GE818" s="209"/>
      <c r="GF818" s="209"/>
      <c r="GG818" s="209"/>
      <c r="GH818" s="209"/>
      <c r="GI818" s="209"/>
      <c r="GJ818" s="209"/>
      <c r="GK818" s="209"/>
      <c r="GL818" s="209"/>
      <c r="GM818" s="209"/>
      <c r="GN818" s="209"/>
      <c r="GO818" s="209"/>
      <c r="GP818" s="209"/>
      <c r="GQ818" s="209"/>
      <c r="GR818" s="209"/>
      <c r="GS818" s="209"/>
      <c r="GT818" s="210"/>
      <c r="GV818" s="340"/>
      <c r="GW818" s="209"/>
      <c r="GX818" s="209"/>
      <c r="GY818" s="209"/>
      <c r="GZ818" s="209"/>
      <c r="HA818" s="209"/>
      <c r="HB818" s="209"/>
      <c r="HC818" s="209"/>
      <c r="HD818" s="209"/>
      <c r="HE818" s="209"/>
      <c r="HF818" s="209"/>
      <c r="HG818" s="209"/>
      <c r="HH818" s="209"/>
      <c r="HI818" s="209"/>
      <c r="HJ818" s="209"/>
      <c r="HK818" s="209"/>
      <c r="HL818" s="209"/>
      <c r="HM818" s="209"/>
      <c r="HN818" s="209"/>
      <c r="HO818" s="209"/>
      <c r="HP818" s="209"/>
      <c r="HQ818" s="209"/>
      <c r="HR818" s="209"/>
      <c r="HS818" s="209"/>
      <c r="HT818" s="209"/>
      <c r="HU818" s="209"/>
      <c r="HV818" s="209"/>
      <c r="HW818" s="209"/>
      <c r="HX818" s="209"/>
      <c r="HY818" s="209"/>
      <c r="HZ818" s="209"/>
      <c r="IA818" s="209"/>
      <c r="IB818" s="209"/>
      <c r="IC818" s="209"/>
      <c r="ID818" s="209"/>
      <c r="IE818" s="210"/>
      <c r="IG818" s="340"/>
      <c r="IH818" s="209"/>
      <c r="II818" s="209"/>
      <c r="IJ818" s="209"/>
      <c r="IK818" s="209"/>
      <c r="IL818" s="209"/>
      <c r="IM818" s="209"/>
      <c r="IN818" s="209"/>
      <c r="IO818" s="209"/>
      <c r="IP818" s="209"/>
      <c r="IQ818" s="209"/>
      <c r="IR818" s="209"/>
      <c r="IS818" s="209"/>
      <c r="IT818" s="209"/>
      <c r="IU818" s="209"/>
      <c r="IV818" s="209"/>
      <c r="IW818" s="209"/>
      <c r="IX818" s="209"/>
      <c r="IY818" s="209"/>
      <c r="IZ818" s="209"/>
      <c r="JA818" s="209"/>
      <c r="JB818" s="209"/>
      <c r="JC818" s="209"/>
      <c r="JD818" s="209"/>
      <c r="JE818" s="209"/>
      <c r="JF818" s="209"/>
      <c r="JG818" s="209"/>
      <c r="JH818" s="209"/>
      <c r="JI818" s="209"/>
      <c r="JJ818" s="209"/>
      <c r="JK818" s="209"/>
      <c r="JL818" s="209"/>
      <c r="JM818" s="209"/>
      <c r="JN818" s="209"/>
      <c r="JO818" s="209"/>
      <c r="JP818" s="210"/>
      <c r="JR818" s="340"/>
      <c r="JS818" s="209"/>
      <c r="JT818" s="209"/>
      <c r="JU818" s="209"/>
      <c r="JV818" s="209"/>
      <c r="JW818" s="209"/>
      <c r="JX818" s="209"/>
      <c r="JY818" s="209"/>
      <c r="JZ818" s="209"/>
      <c r="KA818" s="341">
        <f>KA815+KA817</f>
        <v>9975.7962921199942</v>
      </c>
      <c r="KB818" s="341">
        <f t="shared" ref="KB818:LA818" si="1234">KB815+KB817</f>
        <v>11781.7113898937</v>
      </c>
      <c r="KC818" s="341">
        <f t="shared" si="1234"/>
        <v>13585.213748245389</v>
      </c>
      <c r="KD818" s="341">
        <f t="shared" si="1234"/>
        <v>15230.448365246666</v>
      </c>
      <c r="KE818" s="341">
        <f t="shared" si="1234"/>
        <v>16554.916353321278</v>
      </c>
      <c r="KF818" s="341">
        <f>KF815+KF817</f>
        <v>17415.554271104578</v>
      </c>
      <c r="KG818" s="341">
        <f>KG815+KG817</f>
        <v>17714.101535978156</v>
      </c>
      <c r="KH818" s="341">
        <f t="shared" si="1234"/>
        <v>17454.078877060005</v>
      </c>
      <c r="KI818" s="341">
        <f t="shared" si="1234"/>
        <v>16572.453777390467</v>
      </c>
      <c r="KJ818" s="341">
        <f t="shared" si="1234"/>
        <v>15215.687827543716</v>
      </c>
      <c r="KK818" s="341">
        <f t="shared" si="1234"/>
        <v>13530.333158382215</v>
      </c>
      <c r="KL818" s="341">
        <f t="shared" si="1234"/>
        <v>11682.851292220237</v>
      </c>
      <c r="KM818" s="341">
        <f t="shared" si="1234"/>
        <v>9832.8978505100986</v>
      </c>
      <c r="KN818" s="341">
        <f t="shared" si="1234"/>
        <v>8111.7115123879248</v>
      </c>
      <c r="KO818" s="341">
        <f t="shared" si="1234"/>
        <v>6609.3371903308944</v>
      </c>
      <c r="KP818" s="341">
        <f t="shared" si="1234"/>
        <v>5371.6125523934334</v>
      </c>
      <c r="KQ818" s="341">
        <f t="shared" si="1234"/>
        <v>4405.3331326885127</v>
      </c>
      <c r="KR818" s="341">
        <f t="shared" si="1234"/>
        <v>3688.4833663126938</v>
      </c>
      <c r="KS818" s="341">
        <f t="shared" si="1234"/>
        <v>3182.096967291342</v>
      </c>
      <c r="KT818" s="341">
        <f t="shared" si="1234"/>
        <v>2840.9629201118405</v>
      </c>
      <c r="KU818" s="341">
        <f t="shared" si="1234"/>
        <v>2621.5485370952911</v>
      </c>
      <c r="KV818" s="341">
        <f t="shared" si="1234"/>
        <v>2486.683030262066</v>
      </c>
      <c r="KW818" s="341">
        <f t="shared" si="1234"/>
        <v>2407.4052810183798</v>
      </c>
      <c r="KX818" s="341">
        <f t="shared" si="1234"/>
        <v>2362.8113955175022</v>
      </c>
      <c r="KY818" s="341">
        <f t="shared" si="1234"/>
        <v>2338.7962035908959</v>
      </c>
      <c r="KZ818" s="341">
        <f t="shared" si="1234"/>
        <v>2326.4093467351972</v>
      </c>
      <c r="LA818" s="342">
        <f t="shared" si="1234"/>
        <v>2320.2879580922126</v>
      </c>
      <c r="LC818" s="340"/>
      <c r="LD818" s="209"/>
      <c r="LE818" s="209"/>
      <c r="LF818" s="209"/>
      <c r="LG818" s="209"/>
      <c r="LH818" s="209"/>
      <c r="LI818" s="209"/>
      <c r="LJ818" s="209"/>
      <c r="LK818" s="209"/>
      <c r="LL818" s="330">
        <f t="shared" ref="LL818:ML818" si="1235">LL815+LL817</f>
        <v>8526.3145215714958</v>
      </c>
      <c r="LM818" s="330">
        <f t="shared" si="1235"/>
        <v>9069.7356273999394</v>
      </c>
      <c r="LN818" s="330">
        <f t="shared" si="1235"/>
        <v>9422.850095405749</v>
      </c>
      <c r="LO818" s="330">
        <f t="shared" si="1235"/>
        <v>9545.3422101872493</v>
      </c>
      <c r="LP818" s="330">
        <f t="shared" si="1235"/>
        <v>9422.850095405749</v>
      </c>
      <c r="LQ818" s="330">
        <f t="shared" si="1235"/>
        <v>9069.7356273999394</v>
      </c>
      <c r="LR818" s="330">
        <f t="shared" si="1235"/>
        <v>8526.3145215714958</v>
      </c>
      <c r="LS818" s="330">
        <f t="shared" si="1235"/>
        <v>8535.0165659997838</v>
      </c>
      <c r="LT818" s="330">
        <f t="shared" si="1235"/>
        <v>8437.0919110245504</v>
      </c>
      <c r="LU818" s="330">
        <f t="shared" si="1235"/>
        <v>8154.7993527818189</v>
      </c>
      <c r="LV818" s="330">
        <f t="shared" si="1235"/>
        <v>8437.0919110245504</v>
      </c>
      <c r="LW818" s="330">
        <f t="shared" si="1235"/>
        <v>8535.0165659997838</v>
      </c>
      <c r="LX818" s="330">
        <f t="shared" si="1235"/>
        <v>8437.0919110245504</v>
      </c>
      <c r="LY818" s="330">
        <f t="shared" si="1235"/>
        <v>8154.7993527818189</v>
      </c>
      <c r="LZ818" s="330">
        <f t="shared" si="1235"/>
        <v>7720.3687415589393</v>
      </c>
      <c r="MA818" s="330">
        <f t="shared" si="1235"/>
        <v>7180.7254382066803</v>
      </c>
      <c r="MB818" s="330">
        <f t="shared" si="1235"/>
        <v>6589.169704934784</v>
      </c>
      <c r="MC818" s="330">
        <f t="shared" si="1235"/>
        <v>6630.3423829829007</v>
      </c>
      <c r="MD818" s="330">
        <f t="shared" si="1235"/>
        <v>7028.8800011165404</v>
      </c>
      <c r="ME818" s="330">
        <f t="shared" si="1235"/>
        <v>7028.8800011165404</v>
      </c>
      <c r="MF818" s="330">
        <f t="shared" si="1235"/>
        <v>7349.7158939471992</v>
      </c>
      <c r="MG818" s="330">
        <f t="shared" si="1235"/>
        <v>7558.1947226105676</v>
      </c>
      <c r="MH818" s="330">
        <f t="shared" si="1235"/>
        <v>7630.5140833956539</v>
      </c>
      <c r="MI818" s="330">
        <f t="shared" si="1235"/>
        <v>7558.1947226105676</v>
      </c>
      <c r="MJ818" s="330">
        <f t="shared" si="1235"/>
        <v>7349.7158939471992</v>
      </c>
      <c r="MK818" s="330">
        <f t="shared" si="1235"/>
        <v>7028.8800011165404</v>
      </c>
      <c r="ML818" s="369">
        <f t="shared" si="1235"/>
        <v>6630.3423829829007</v>
      </c>
    </row>
    <row r="819" spans="3:350" s="4" customFormat="1" ht="15" customHeight="1" x14ac:dyDescent="0.3">
      <c r="C819" s="156"/>
      <c r="D819" s="156"/>
      <c r="E819" s="156"/>
      <c r="F819" s="156"/>
      <c r="H819" s="157"/>
      <c r="I819" s="157"/>
      <c r="J819" s="157"/>
      <c r="K819" s="157"/>
      <c r="L819" s="157"/>
      <c r="M819" s="157"/>
      <c r="N819" s="157"/>
      <c r="O819" s="157"/>
      <c r="P819" s="157"/>
      <c r="Q819" s="157"/>
      <c r="R819" s="140"/>
      <c r="S819" s="157"/>
      <c r="T819" s="157"/>
      <c r="U819" s="157"/>
      <c r="V819" s="157"/>
      <c r="W819" s="157"/>
      <c r="X819" s="157"/>
      <c r="Y819" s="157"/>
      <c r="Z819" s="157"/>
      <c r="AA819" s="157"/>
      <c r="AB819" s="157"/>
      <c r="AC819" s="157"/>
      <c r="AD819" s="157"/>
      <c r="AE819" s="157"/>
      <c r="AF819" s="157"/>
      <c r="AG819" s="157"/>
      <c r="AH819" s="157"/>
      <c r="AI819" s="157"/>
      <c r="AJ819" s="157"/>
      <c r="AK819" s="157"/>
      <c r="AL819" s="157"/>
      <c r="AM819" s="157"/>
      <c r="AN819" s="157"/>
      <c r="AO819" s="157"/>
      <c r="AP819" s="157"/>
      <c r="AQ819" s="157"/>
      <c r="AR819" s="157"/>
      <c r="AS819" s="157"/>
      <c r="AT819" s="157"/>
      <c r="AU819" s="157"/>
      <c r="AV819" s="157"/>
      <c r="AW819" s="157"/>
      <c r="AX819" s="157"/>
      <c r="AY819" s="157"/>
      <c r="AZ819" s="157"/>
      <c r="BA819" s="157"/>
      <c r="BB819" s="157"/>
      <c r="BC819" s="140"/>
      <c r="BD819" s="157"/>
      <c r="BE819" s="157"/>
      <c r="BF819" s="157"/>
      <c r="BG819" s="157"/>
      <c r="BH819" s="157"/>
      <c r="BI819" s="157"/>
      <c r="BJ819" s="157"/>
      <c r="BK819" s="157"/>
      <c r="BL819" s="157"/>
      <c r="BM819" s="157"/>
      <c r="BN819" s="157"/>
      <c r="BO819" s="157"/>
      <c r="BP819" s="157"/>
      <c r="BQ819" s="157"/>
      <c r="BR819" s="157"/>
      <c r="BS819" s="157"/>
      <c r="BT819" s="157"/>
      <c r="BU819" s="157"/>
      <c r="BV819" s="157"/>
      <c r="BW819" s="157"/>
      <c r="BX819" s="157"/>
      <c r="BY819" s="157"/>
      <c r="BZ819" s="157"/>
      <c r="CA819" s="157"/>
      <c r="CB819" s="157"/>
      <c r="CC819" s="157"/>
      <c r="CD819" s="157"/>
      <c r="CE819" s="157"/>
      <c r="CF819" s="157"/>
      <c r="CG819" s="157"/>
      <c r="CH819" s="157"/>
      <c r="CI819" s="157"/>
      <c r="CJ819" s="157"/>
      <c r="CK819" s="157"/>
      <c r="CL819" s="157"/>
      <c r="CM819" s="157"/>
      <c r="CN819" s="140"/>
      <c r="CO819" s="157"/>
      <c r="CP819" s="157"/>
      <c r="CQ819" s="157"/>
      <c r="CR819" s="157"/>
      <c r="CS819" s="157"/>
      <c r="CT819" s="157"/>
      <c r="CU819" s="157"/>
      <c r="CV819" s="157"/>
      <c r="CW819" s="157"/>
      <c r="CX819" s="157"/>
      <c r="CY819" s="157"/>
      <c r="CZ819" s="157"/>
      <c r="DA819" s="157"/>
      <c r="DB819" s="157"/>
      <c r="DC819" s="157"/>
      <c r="DD819" s="157"/>
      <c r="DE819" s="157"/>
      <c r="DF819" s="157"/>
      <c r="DG819" s="157"/>
      <c r="DH819" s="157"/>
      <c r="DI819" s="157"/>
      <c r="DJ819" s="157"/>
      <c r="DK819" s="157"/>
      <c r="DL819" s="157"/>
      <c r="DM819" s="157"/>
      <c r="DN819" s="157"/>
      <c r="DO819" s="157"/>
      <c r="DP819" s="157"/>
      <c r="DQ819" s="157"/>
      <c r="DR819" s="157"/>
      <c r="DS819" s="157"/>
      <c r="DT819" s="157"/>
      <c r="DU819" s="157"/>
      <c r="DV819" s="157"/>
      <c r="DW819" s="157"/>
      <c r="DX819" s="157"/>
      <c r="DY819" s="140"/>
      <c r="DZ819" s="157"/>
      <c r="EA819" s="157"/>
      <c r="EB819" s="157"/>
      <c r="EC819" s="157"/>
      <c r="ED819" s="157"/>
      <c r="EE819" s="157"/>
      <c r="EF819" s="157"/>
      <c r="EG819" s="157"/>
      <c r="EH819" s="157"/>
      <c r="EI819" s="157"/>
      <c r="EJ819" s="157"/>
      <c r="EK819" s="157"/>
      <c r="EL819" s="157"/>
      <c r="EM819" s="157"/>
      <c r="EN819" s="157"/>
      <c r="EO819" s="157"/>
      <c r="EP819" s="157"/>
      <c r="EQ819" s="157"/>
      <c r="ER819" s="157"/>
      <c r="ES819" s="157"/>
      <c r="ET819" s="157"/>
      <c r="EU819" s="157"/>
      <c r="EV819" s="157"/>
      <c r="EW819" s="157"/>
      <c r="EX819" s="157"/>
      <c r="EY819" s="157"/>
      <c r="EZ819" s="157"/>
      <c r="FA819" s="157"/>
      <c r="FB819" s="157"/>
      <c r="FC819" s="157"/>
      <c r="FD819" s="157"/>
      <c r="FE819" s="157"/>
      <c r="FF819" s="157"/>
      <c r="FG819" s="157"/>
      <c r="FH819" s="157"/>
      <c r="FI819" s="157"/>
      <c r="FJ819" s="140"/>
      <c r="FK819" s="157"/>
      <c r="FL819" s="157"/>
      <c r="FM819" s="157"/>
      <c r="FN819" s="157"/>
      <c r="FO819" s="157"/>
      <c r="FP819" s="157"/>
      <c r="FQ819" s="157"/>
      <c r="FR819" s="157"/>
      <c r="FS819" s="157"/>
      <c r="FT819" s="157"/>
      <c r="FU819" s="157"/>
      <c r="FV819" s="157"/>
      <c r="FW819" s="157"/>
      <c r="FX819" s="157"/>
      <c r="FY819" s="157"/>
      <c r="FZ819" s="157"/>
      <c r="GA819" s="157"/>
      <c r="GB819" s="157"/>
      <c r="GC819" s="157"/>
      <c r="GD819" s="157"/>
      <c r="GE819" s="157"/>
      <c r="GF819" s="157"/>
      <c r="GG819" s="157"/>
      <c r="GH819" s="157"/>
      <c r="GI819" s="157"/>
      <c r="GJ819" s="157"/>
      <c r="GK819" s="157"/>
      <c r="GL819" s="157"/>
      <c r="GM819" s="157"/>
      <c r="GN819" s="157"/>
      <c r="GO819" s="157"/>
      <c r="GP819" s="157"/>
      <c r="GQ819" s="157"/>
      <c r="GR819" s="157"/>
      <c r="GS819" s="157"/>
      <c r="GT819" s="157"/>
      <c r="GU819" s="140"/>
      <c r="GV819" s="157"/>
      <c r="GW819" s="157"/>
      <c r="GX819" s="157"/>
      <c r="GY819" s="157"/>
      <c r="GZ819" s="157"/>
      <c r="HA819" s="157"/>
      <c r="HB819" s="157"/>
      <c r="HC819" s="157"/>
      <c r="HD819" s="157"/>
      <c r="HE819" s="157"/>
      <c r="HF819" s="157"/>
      <c r="HG819" s="157"/>
      <c r="HH819" s="157"/>
      <c r="HI819" s="157"/>
      <c r="HJ819" s="157"/>
      <c r="HK819" s="157"/>
      <c r="HL819" s="157"/>
      <c r="HM819" s="157"/>
      <c r="HN819" s="157"/>
      <c r="HO819" s="157"/>
      <c r="HP819" s="157"/>
      <c r="HQ819" s="157"/>
      <c r="HR819" s="157"/>
      <c r="HS819" s="157"/>
      <c r="HT819" s="157"/>
      <c r="HU819" s="157"/>
      <c r="HV819" s="157"/>
      <c r="HW819" s="157"/>
      <c r="HX819" s="157"/>
      <c r="HY819" s="157"/>
      <c r="HZ819" s="157"/>
      <c r="IA819" s="157"/>
      <c r="IB819" s="157"/>
      <c r="IC819" s="157"/>
      <c r="ID819" s="157"/>
      <c r="IE819" s="157"/>
      <c r="IF819" s="140"/>
      <c r="IG819" s="157"/>
      <c r="IH819" s="157"/>
      <c r="II819" s="157"/>
      <c r="IJ819" s="157"/>
      <c r="IK819" s="157"/>
      <c r="IL819" s="157"/>
      <c r="IM819" s="157"/>
      <c r="IN819" s="157"/>
      <c r="IO819" s="157"/>
      <c r="IP819" s="157"/>
      <c r="IQ819" s="157"/>
      <c r="IR819" s="157"/>
      <c r="IS819" s="157"/>
      <c r="IT819" s="157"/>
      <c r="IU819" s="157"/>
      <c r="IV819" s="157"/>
      <c r="IW819" s="157"/>
      <c r="IX819" s="157"/>
      <c r="IY819" s="157"/>
      <c r="IZ819" s="157"/>
      <c r="JA819" s="157"/>
      <c r="JB819" s="157"/>
      <c r="JC819" s="157"/>
      <c r="JD819" s="157"/>
      <c r="JE819" s="157"/>
      <c r="JF819" s="157"/>
      <c r="JG819" s="157"/>
      <c r="JH819" s="157"/>
      <c r="JI819" s="157"/>
      <c r="JJ819" s="157"/>
      <c r="JK819" s="157"/>
      <c r="JL819" s="157"/>
      <c r="JM819" s="157"/>
      <c r="JN819" s="157"/>
      <c r="JO819" s="157"/>
      <c r="JP819" s="157"/>
      <c r="JQ819" s="140"/>
      <c r="JR819" s="157"/>
      <c r="JS819" s="157"/>
      <c r="JT819" s="157"/>
      <c r="JU819" s="157"/>
      <c r="JV819" s="157"/>
      <c r="JW819" s="157"/>
      <c r="JX819" s="157"/>
      <c r="JY819" s="157"/>
      <c r="JZ819" s="157"/>
      <c r="KA819" s="157"/>
      <c r="KB819" s="157"/>
      <c r="KC819" s="157"/>
      <c r="KD819" s="157"/>
      <c r="KE819" s="157"/>
      <c r="KF819" s="157"/>
      <c r="KG819" s="157"/>
      <c r="KH819" s="157"/>
      <c r="KI819" s="157"/>
      <c r="KJ819" s="157"/>
      <c r="KK819" s="157"/>
      <c r="KL819" s="157"/>
      <c r="KM819" s="157"/>
      <c r="KN819" s="157"/>
      <c r="KO819" s="157"/>
      <c r="KP819" s="157"/>
      <c r="KQ819" s="157"/>
      <c r="KR819" s="157"/>
      <c r="KS819" s="157"/>
      <c r="KT819" s="157"/>
      <c r="KU819" s="157"/>
      <c r="KV819" s="157"/>
      <c r="KW819" s="157"/>
      <c r="KX819" s="157"/>
      <c r="KY819" s="157"/>
      <c r="KZ819" s="157"/>
      <c r="LA819" s="157"/>
      <c r="LB819" s="140"/>
      <c r="LC819" s="157"/>
      <c r="LD819" s="157"/>
      <c r="LE819" s="157"/>
      <c r="LF819" s="157"/>
      <c r="LG819" s="157"/>
      <c r="LH819" s="157"/>
      <c r="LI819" s="157"/>
      <c r="LJ819" s="157"/>
      <c r="LK819" s="157"/>
      <c r="LL819" s="157"/>
      <c r="LM819" s="157"/>
      <c r="LN819" s="157"/>
      <c r="LO819" s="157"/>
      <c r="LP819" s="157"/>
      <c r="LQ819" s="157"/>
      <c r="LR819" s="157"/>
      <c r="LS819" s="157"/>
      <c r="LT819" s="157"/>
      <c r="LU819" s="157"/>
      <c r="LV819" s="157"/>
      <c r="LW819" s="157"/>
      <c r="LX819" s="157"/>
      <c r="LY819" s="157"/>
      <c r="LZ819" s="157"/>
      <c r="MA819" s="157"/>
      <c r="MB819" s="157"/>
      <c r="MC819" s="157"/>
      <c r="MD819" s="157"/>
      <c r="ME819" s="157"/>
      <c r="MF819" s="157"/>
      <c r="MG819" s="157"/>
      <c r="MH819" s="157"/>
      <c r="MI819" s="157"/>
      <c r="MJ819" s="157"/>
      <c r="MK819" s="157"/>
      <c r="ML819" s="157"/>
    </row>
    <row r="820" spans="3:350" s="4" customFormat="1" ht="15" customHeight="1" x14ac:dyDescent="0.3">
      <c r="C820" s="159" t="s">
        <v>539</v>
      </c>
      <c r="H820" s="140"/>
      <c r="I820" s="140"/>
      <c r="J820" s="140"/>
      <c r="K820" s="140"/>
      <c r="L820" s="140"/>
      <c r="M820" s="140"/>
      <c r="N820" s="140"/>
      <c r="O820" s="140"/>
      <c r="P820" s="140"/>
      <c r="Q820" s="140"/>
      <c r="R820" s="140"/>
      <c r="S820" s="140"/>
      <c r="T820" s="140"/>
      <c r="U820" s="140"/>
      <c r="V820" s="140"/>
      <c r="W820" s="140"/>
      <c r="X820" s="140"/>
      <c r="Y820" s="140"/>
      <c r="Z820" s="140"/>
      <c r="AA820" s="140"/>
      <c r="AB820" s="140"/>
      <c r="AC820" s="140"/>
      <c r="AD820" s="140"/>
      <c r="AE820" s="140"/>
      <c r="AF820" s="140"/>
      <c r="AG820" s="140"/>
      <c r="AH820" s="140"/>
      <c r="AI820" s="140"/>
      <c r="AJ820" s="140"/>
      <c r="AK820" s="140"/>
      <c r="AL820" s="140"/>
      <c r="AM820" s="140"/>
      <c r="AN820" s="140"/>
      <c r="AO820" s="140"/>
      <c r="AP820" s="140"/>
      <c r="AQ820" s="140"/>
      <c r="AR820" s="140"/>
      <c r="AS820" s="140"/>
      <c r="AT820" s="140"/>
      <c r="AU820" s="140"/>
      <c r="AV820" s="140"/>
      <c r="AW820" s="140"/>
      <c r="AX820" s="140"/>
      <c r="AY820" s="140"/>
      <c r="AZ820" s="140"/>
      <c r="BA820" s="140"/>
      <c r="BB820" s="140"/>
      <c r="BC820" s="140"/>
      <c r="BD820" s="140"/>
      <c r="BE820" s="140"/>
      <c r="BF820" s="140"/>
      <c r="BG820" s="140"/>
      <c r="BH820" s="140"/>
      <c r="BI820" s="140"/>
      <c r="BJ820" s="140"/>
      <c r="BK820" s="140"/>
      <c r="BL820" s="140"/>
      <c r="BM820" s="140"/>
      <c r="BN820" s="140"/>
      <c r="BO820" s="140"/>
      <c r="BP820" s="140"/>
      <c r="BQ820" s="140"/>
      <c r="BR820" s="140"/>
      <c r="BS820" s="140"/>
      <c r="BT820" s="140"/>
      <c r="BU820" s="140"/>
      <c r="BV820" s="140"/>
      <c r="BW820" s="140"/>
      <c r="BX820" s="140"/>
      <c r="BY820" s="140"/>
      <c r="BZ820" s="140"/>
      <c r="CA820" s="140"/>
      <c r="CB820" s="140"/>
      <c r="CC820" s="140"/>
      <c r="CD820" s="140"/>
      <c r="CE820" s="140"/>
      <c r="CF820" s="140"/>
      <c r="CG820" s="140"/>
      <c r="CH820" s="140"/>
      <c r="CI820" s="140"/>
      <c r="CJ820" s="140"/>
      <c r="CK820" s="140"/>
      <c r="CL820" s="140"/>
      <c r="CM820" s="140"/>
      <c r="CN820" s="140"/>
      <c r="CO820" s="140"/>
      <c r="CP820" s="140"/>
      <c r="CQ820" s="140"/>
      <c r="CR820" s="140"/>
      <c r="CS820" s="140"/>
      <c r="CT820" s="140"/>
      <c r="CU820" s="140"/>
      <c r="CV820" s="140"/>
      <c r="CW820" s="140"/>
      <c r="CX820" s="140"/>
      <c r="CY820" s="140"/>
      <c r="CZ820" s="140"/>
      <c r="DA820" s="140"/>
      <c r="DB820" s="140"/>
      <c r="DC820" s="140"/>
      <c r="DD820" s="140"/>
      <c r="DE820" s="140"/>
      <c r="DF820" s="140"/>
      <c r="DG820" s="140"/>
      <c r="DH820" s="140"/>
      <c r="DI820" s="140"/>
      <c r="DJ820" s="140"/>
      <c r="DK820" s="140"/>
      <c r="DL820" s="140"/>
      <c r="DM820" s="140"/>
      <c r="DN820" s="140"/>
      <c r="DO820" s="140"/>
      <c r="DP820" s="140"/>
      <c r="DQ820" s="140"/>
      <c r="DR820" s="140"/>
      <c r="DS820" s="140"/>
      <c r="DT820" s="140"/>
      <c r="DU820" s="140"/>
      <c r="DV820" s="140"/>
      <c r="DW820" s="140"/>
      <c r="DX820" s="140"/>
      <c r="DY820" s="140"/>
      <c r="DZ820" s="140"/>
      <c r="EA820" s="140"/>
      <c r="EB820" s="140"/>
      <c r="EC820" s="140"/>
      <c r="ED820" s="140"/>
      <c r="EE820" s="140"/>
      <c r="EF820" s="140"/>
      <c r="EG820" s="140"/>
      <c r="EH820" s="140"/>
      <c r="EI820" s="140"/>
      <c r="EJ820" s="140"/>
      <c r="EK820" s="140"/>
      <c r="EL820" s="140"/>
      <c r="EM820" s="140"/>
      <c r="EN820" s="140"/>
      <c r="EO820" s="140"/>
      <c r="EP820" s="140"/>
      <c r="EQ820" s="140"/>
      <c r="ER820" s="140"/>
      <c r="ES820" s="140"/>
      <c r="ET820" s="140"/>
      <c r="EU820" s="140"/>
      <c r="EV820" s="140"/>
      <c r="EW820" s="140"/>
      <c r="EX820" s="140"/>
      <c r="EY820" s="140"/>
      <c r="EZ820" s="140"/>
      <c r="FA820" s="140"/>
      <c r="FB820" s="140"/>
      <c r="FC820" s="140"/>
      <c r="FD820" s="140"/>
      <c r="FE820" s="140"/>
      <c r="FF820" s="140"/>
      <c r="FG820" s="140"/>
      <c r="FH820" s="140"/>
      <c r="FI820" s="140"/>
      <c r="FJ820" s="140"/>
      <c r="FK820" s="140"/>
      <c r="FL820" s="140"/>
      <c r="FM820" s="140"/>
      <c r="FN820" s="140"/>
      <c r="FO820" s="140"/>
      <c r="FP820" s="140"/>
      <c r="FQ820" s="140"/>
      <c r="FR820" s="140"/>
      <c r="FS820" s="140"/>
      <c r="FT820" s="140"/>
      <c r="FU820" s="140"/>
      <c r="FV820" s="140"/>
      <c r="FW820" s="140"/>
      <c r="FX820" s="140"/>
      <c r="FY820" s="140"/>
      <c r="FZ820" s="140"/>
      <c r="GA820" s="140"/>
      <c r="GB820" s="140"/>
      <c r="GC820" s="140"/>
      <c r="GD820" s="140"/>
      <c r="GE820" s="140"/>
      <c r="GF820" s="140"/>
      <c r="GG820" s="140"/>
      <c r="GH820" s="140"/>
      <c r="GI820" s="140"/>
      <c r="GJ820" s="140"/>
      <c r="GK820" s="140"/>
      <c r="GL820" s="140"/>
      <c r="GM820" s="140"/>
      <c r="GN820" s="140"/>
      <c r="GO820" s="140"/>
      <c r="GP820" s="140"/>
      <c r="GQ820" s="140"/>
      <c r="GR820" s="140"/>
      <c r="GS820" s="140"/>
      <c r="GT820" s="140"/>
      <c r="GU820" s="140"/>
      <c r="GV820" s="140"/>
      <c r="GW820" s="140"/>
      <c r="GX820" s="140"/>
      <c r="GY820" s="140"/>
      <c r="GZ820" s="140"/>
      <c r="HA820" s="140"/>
      <c r="HB820" s="140"/>
      <c r="HC820" s="140"/>
      <c r="HD820" s="140"/>
      <c r="HE820" s="140"/>
      <c r="HF820" s="140"/>
      <c r="HG820" s="140"/>
      <c r="HH820" s="140"/>
      <c r="HI820" s="140"/>
      <c r="HJ820" s="140"/>
      <c r="HK820" s="140"/>
      <c r="HL820" s="140"/>
      <c r="HM820" s="140"/>
      <c r="HN820" s="140"/>
      <c r="HO820" s="140"/>
      <c r="HP820" s="140"/>
      <c r="HQ820" s="140"/>
      <c r="HR820" s="140"/>
      <c r="HS820" s="140"/>
      <c r="HT820" s="140"/>
      <c r="HU820" s="140"/>
      <c r="HV820" s="140"/>
      <c r="HW820" s="140"/>
      <c r="HX820" s="140"/>
      <c r="HY820" s="140"/>
      <c r="HZ820" s="140"/>
      <c r="IA820" s="140"/>
      <c r="IB820" s="140"/>
      <c r="IC820" s="140"/>
      <c r="ID820" s="140"/>
      <c r="IE820" s="140"/>
      <c r="IF820" s="140"/>
      <c r="IG820" s="140"/>
      <c r="IH820" s="140"/>
      <c r="II820" s="140"/>
      <c r="IJ820" s="140"/>
      <c r="IK820" s="140"/>
      <c r="IL820" s="140"/>
      <c r="IM820" s="140"/>
      <c r="IN820" s="140"/>
      <c r="IO820" s="140"/>
      <c r="IP820" s="140"/>
      <c r="IQ820" s="140"/>
      <c r="IR820" s="140"/>
      <c r="IS820" s="140"/>
      <c r="IT820" s="140"/>
      <c r="IU820" s="140"/>
      <c r="IV820" s="140"/>
      <c r="IW820" s="140"/>
      <c r="IX820" s="140"/>
      <c r="IY820" s="140"/>
      <c r="IZ820" s="140"/>
      <c r="JA820" s="140"/>
      <c r="JB820" s="140"/>
      <c r="JC820" s="140"/>
      <c r="JD820" s="140"/>
      <c r="JE820" s="140"/>
      <c r="JF820" s="140"/>
      <c r="JG820" s="140"/>
      <c r="JH820" s="140"/>
      <c r="JI820" s="140"/>
      <c r="JJ820" s="140"/>
      <c r="JK820" s="140"/>
      <c r="JL820" s="140"/>
      <c r="JM820" s="140"/>
      <c r="JN820" s="140"/>
      <c r="JO820" s="140"/>
      <c r="JP820" s="140"/>
      <c r="JQ820" s="140"/>
      <c r="JR820" s="140"/>
      <c r="JS820" s="140"/>
      <c r="JT820" s="140"/>
      <c r="JU820" s="140"/>
      <c r="JV820" s="140"/>
      <c r="JW820" s="140"/>
      <c r="JX820" s="140"/>
      <c r="JY820" s="140"/>
      <c r="JZ820" s="140"/>
      <c r="KA820" s="140"/>
      <c r="KB820" s="140"/>
      <c r="KC820" s="140"/>
      <c r="KD820" s="140"/>
      <c r="KE820" s="140"/>
      <c r="KF820" s="140"/>
      <c r="KG820" s="140"/>
      <c r="KH820" s="140"/>
      <c r="KI820" s="140"/>
      <c r="KJ820" s="140"/>
      <c r="KK820" s="140"/>
      <c r="KL820" s="140"/>
      <c r="KM820" s="140"/>
      <c r="KN820" s="140"/>
      <c r="KO820" s="140"/>
      <c r="KP820" s="140"/>
      <c r="KQ820" s="140"/>
      <c r="KR820" s="140"/>
      <c r="KS820" s="140"/>
      <c r="KT820" s="140"/>
      <c r="KU820" s="140"/>
      <c r="KV820" s="140"/>
      <c r="KW820" s="140"/>
      <c r="KX820" s="140"/>
      <c r="KY820" s="140"/>
      <c r="KZ820" s="140"/>
      <c r="LA820" s="140"/>
      <c r="LB820" s="140"/>
      <c r="LC820" s="140"/>
      <c r="LD820" s="140"/>
      <c r="LE820" s="140"/>
      <c r="LF820" s="140"/>
      <c r="LG820" s="140"/>
      <c r="LH820" s="140"/>
      <c r="LI820" s="140"/>
      <c r="LJ820" s="140"/>
      <c r="LK820" s="140"/>
      <c r="LL820" s="140"/>
      <c r="LM820" s="140"/>
      <c r="LN820" s="140"/>
      <c r="LO820" s="140"/>
      <c r="LP820" s="140"/>
      <c r="LQ820" s="140"/>
      <c r="LR820" s="140"/>
      <c r="LS820" s="140"/>
      <c r="LT820" s="140"/>
      <c r="LU820" s="140"/>
      <c r="LV820" s="140"/>
      <c r="LW820" s="140"/>
      <c r="LX820" s="140"/>
      <c r="LY820" s="140"/>
      <c r="LZ820" s="140"/>
      <c r="MA820" s="140"/>
      <c r="MB820" s="140"/>
      <c r="MC820" s="140"/>
      <c r="MD820" s="140"/>
      <c r="ME820" s="140"/>
      <c r="MF820" s="140"/>
      <c r="MG820" s="140"/>
      <c r="MH820" s="140"/>
      <c r="MI820" s="140"/>
      <c r="MJ820" s="140"/>
      <c r="MK820" s="140"/>
      <c r="ML820" s="140"/>
    </row>
    <row r="821" spans="3:350" s="4" customFormat="1" ht="15" customHeight="1" x14ac:dyDescent="0.3">
      <c r="C821" s="343" t="s">
        <v>374</v>
      </c>
      <c r="D821" s="324">
        <f>(KG670-KG689-KG690)*KD510</f>
        <v>83798.97236507546</v>
      </c>
      <c r="E821" s="324">
        <f>D821/7</f>
        <v>11971.281766439351</v>
      </c>
      <c r="H821" s="140"/>
      <c r="I821" s="140"/>
      <c r="J821" s="140"/>
      <c r="K821" s="140"/>
      <c r="L821" s="140"/>
      <c r="M821" s="140"/>
      <c r="N821" s="140"/>
      <c r="O821" s="140"/>
      <c r="P821" s="140"/>
      <c r="Q821" s="140"/>
      <c r="R821" s="140"/>
      <c r="S821" s="140"/>
      <c r="T821" s="140"/>
      <c r="U821" s="140"/>
      <c r="V821" s="140"/>
      <c r="W821" s="140"/>
      <c r="X821" s="140"/>
      <c r="Y821" s="140"/>
      <c r="Z821" s="140"/>
      <c r="AA821" s="140"/>
      <c r="AB821" s="140"/>
      <c r="AC821" s="140"/>
      <c r="AD821" s="140"/>
      <c r="AE821" s="140"/>
      <c r="AF821" s="140"/>
      <c r="AG821" s="140"/>
      <c r="AH821" s="140"/>
      <c r="AI821" s="140"/>
      <c r="AJ821" s="140"/>
      <c r="AK821" s="140"/>
      <c r="AL821" s="140"/>
      <c r="AM821" s="140"/>
      <c r="AN821" s="140"/>
      <c r="AO821" s="140"/>
      <c r="AP821" s="140"/>
      <c r="AQ821" s="140"/>
      <c r="AR821" s="140"/>
      <c r="AS821" s="140"/>
      <c r="AT821" s="140"/>
      <c r="AU821" s="140"/>
      <c r="AV821" s="140"/>
      <c r="AW821" s="140"/>
      <c r="AX821" s="140"/>
      <c r="AY821" s="140"/>
      <c r="AZ821" s="140"/>
      <c r="BA821" s="140"/>
      <c r="BB821" s="140"/>
      <c r="BC821" s="140"/>
      <c r="BD821" s="140"/>
      <c r="BE821" s="140"/>
      <c r="BF821" s="140"/>
      <c r="BG821" s="140"/>
      <c r="BH821" s="140"/>
      <c r="BI821" s="140"/>
      <c r="BJ821" s="140"/>
      <c r="BK821" s="140"/>
      <c r="BL821" s="140"/>
      <c r="BM821" s="140"/>
      <c r="BN821" s="140"/>
      <c r="BO821" s="140"/>
      <c r="BP821" s="140"/>
      <c r="BQ821" s="140"/>
      <c r="BR821" s="140"/>
      <c r="BS821" s="140"/>
      <c r="BT821" s="140"/>
      <c r="BU821" s="140"/>
      <c r="BV821" s="140"/>
      <c r="BW821" s="140"/>
      <c r="BX821" s="140"/>
      <c r="BY821" s="140"/>
      <c r="BZ821" s="140"/>
      <c r="CA821" s="140"/>
      <c r="CB821" s="140"/>
      <c r="CC821" s="140"/>
      <c r="CD821" s="140"/>
      <c r="CE821" s="140"/>
      <c r="CF821" s="140"/>
      <c r="CG821" s="140"/>
      <c r="CH821" s="140"/>
      <c r="CI821" s="140"/>
      <c r="CJ821" s="140"/>
      <c r="CK821" s="140"/>
      <c r="CL821" s="140"/>
      <c r="CM821" s="140"/>
      <c r="CN821" s="140"/>
      <c r="CO821" s="140"/>
      <c r="CP821" s="140"/>
      <c r="CQ821" s="140"/>
      <c r="CR821" s="140"/>
      <c r="CS821" s="140"/>
      <c r="CT821" s="140"/>
      <c r="CU821" s="140"/>
      <c r="CV821" s="140"/>
      <c r="CW821" s="140"/>
      <c r="CX821" s="140"/>
      <c r="CY821" s="140"/>
      <c r="CZ821" s="140"/>
      <c r="DA821" s="140"/>
      <c r="DB821" s="140"/>
      <c r="DC821" s="140"/>
      <c r="DD821" s="140"/>
      <c r="DE821" s="140"/>
      <c r="DF821" s="140"/>
      <c r="DG821" s="140"/>
      <c r="DH821" s="140"/>
      <c r="DI821" s="140"/>
      <c r="DJ821" s="140"/>
      <c r="DK821" s="140"/>
      <c r="DL821" s="140"/>
      <c r="DM821" s="140"/>
      <c r="DN821" s="140"/>
      <c r="DO821" s="140"/>
      <c r="DP821" s="140"/>
      <c r="DQ821" s="140"/>
      <c r="DR821" s="140"/>
      <c r="DS821" s="140"/>
      <c r="DT821" s="140"/>
      <c r="DU821" s="140"/>
      <c r="DV821" s="140"/>
      <c r="DW821" s="140"/>
      <c r="DX821" s="140"/>
      <c r="DY821" s="140"/>
      <c r="DZ821" s="140"/>
      <c r="EA821" s="140"/>
      <c r="EB821" s="140"/>
      <c r="EC821" s="140"/>
      <c r="ED821" s="140"/>
      <c r="EE821" s="140"/>
      <c r="EF821" s="140"/>
      <c r="EG821" s="140"/>
      <c r="EH821" s="140"/>
      <c r="EI821" s="140"/>
      <c r="EJ821" s="140"/>
      <c r="EK821" s="140"/>
      <c r="EL821" s="140"/>
      <c r="EM821" s="140"/>
      <c r="EN821" s="140"/>
      <c r="EO821" s="140"/>
      <c r="EP821" s="140"/>
      <c r="EQ821" s="140"/>
      <c r="ER821" s="140"/>
      <c r="ES821" s="140"/>
      <c r="ET821" s="140"/>
      <c r="EU821" s="140"/>
      <c r="EV821" s="140"/>
      <c r="EW821" s="140"/>
      <c r="EX821" s="140"/>
      <c r="EY821" s="140"/>
      <c r="EZ821" s="140"/>
      <c r="FA821" s="140"/>
      <c r="FB821" s="140"/>
      <c r="FC821" s="140"/>
      <c r="FD821" s="140"/>
      <c r="FE821" s="140"/>
      <c r="FF821" s="140"/>
      <c r="FG821" s="140"/>
      <c r="FH821" s="140"/>
      <c r="FI821" s="140"/>
      <c r="FJ821" s="140"/>
      <c r="FK821" s="140"/>
      <c r="FL821" s="140"/>
      <c r="FM821" s="140"/>
      <c r="FN821" s="140"/>
      <c r="FO821" s="140"/>
      <c r="FP821" s="140"/>
      <c r="FQ821" s="140"/>
      <c r="FR821" s="140"/>
      <c r="FS821" s="140"/>
      <c r="FT821" s="140"/>
      <c r="FU821" s="140"/>
      <c r="FV821" s="140"/>
      <c r="FW821" s="140"/>
      <c r="FX821" s="140"/>
      <c r="FY821" s="140"/>
      <c r="FZ821" s="140"/>
      <c r="GA821" s="140"/>
      <c r="GB821" s="140"/>
      <c r="GC821" s="140"/>
      <c r="GD821" s="140"/>
      <c r="GE821" s="140"/>
      <c r="GF821" s="140"/>
      <c r="GG821" s="140"/>
      <c r="GH821" s="140"/>
      <c r="GI821" s="140"/>
      <c r="GJ821" s="140"/>
      <c r="GK821" s="140"/>
      <c r="GL821" s="140"/>
      <c r="GM821" s="140"/>
      <c r="GN821" s="140"/>
      <c r="GO821" s="140"/>
      <c r="GP821" s="140"/>
      <c r="GQ821" s="140"/>
      <c r="GR821" s="140"/>
      <c r="GS821" s="140"/>
      <c r="GT821" s="140"/>
      <c r="GU821" s="140"/>
      <c r="GV821" s="140"/>
      <c r="GW821" s="140"/>
      <c r="GX821" s="140"/>
      <c r="GY821" s="140"/>
      <c r="GZ821" s="140"/>
      <c r="HA821" s="140"/>
      <c r="HB821" s="140"/>
      <c r="HC821" s="140"/>
      <c r="HD821" s="140"/>
      <c r="HE821" s="140"/>
      <c r="HF821" s="140"/>
      <c r="HG821" s="140"/>
      <c r="HH821" s="140"/>
      <c r="HI821" s="140"/>
      <c r="HJ821" s="140"/>
      <c r="HK821" s="140"/>
      <c r="HL821" s="140"/>
      <c r="HM821" s="140"/>
      <c r="HN821" s="140"/>
      <c r="HO821" s="140"/>
      <c r="HP821" s="140"/>
      <c r="HQ821" s="140"/>
      <c r="HR821" s="140"/>
      <c r="HS821" s="140"/>
      <c r="HT821" s="140"/>
      <c r="HU821" s="140"/>
      <c r="HV821" s="140"/>
      <c r="HW821" s="140"/>
      <c r="HX821" s="140"/>
      <c r="HY821" s="140"/>
      <c r="HZ821" s="140"/>
      <c r="IA821" s="140"/>
      <c r="IB821" s="140"/>
      <c r="IC821" s="140"/>
      <c r="ID821" s="140"/>
      <c r="IE821" s="140"/>
      <c r="IF821" s="140"/>
      <c r="IG821" s="140"/>
      <c r="IH821" s="140"/>
      <c r="II821" s="140"/>
      <c r="IJ821" s="140"/>
      <c r="IK821" s="140"/>
      <c r="IL821" s="140"/>
      <c r="IM821" s="140"/>
      <c r="IN821" s="140"/>
      <c r="IO821" s="140"/>
      <c r="IP821" s="140"/>
      <c r="IQ821" s="140"/>
      <c r="IR821" s="140"/>
      <c r="IS821" s="140"/>
      <c r="IT821" s="140"/>
      <c r="IU821" s="140"/>
      <c r="IV821" s="140"/>
      <c r="IW821" s="140"/>
      <c r="IX821" s="140"/>
      <c r="IY821" s="140"/>
      <c r="IZ821" s="140"/>
      <c r="JA821" s="140"/>
      <c r="JB821" s="140"/>
      <c r="JC821" s="140"/>
      <c r="JD821" s="140"/>
      <c r="JE821" s="140"/>
      <c r="JF821" s="140"/>
      <c r="JG821" s="140"/>
      <c r="JH821" s="140"/>
      <c r="JI821" s="140"/>
      <c r="JJ821" s="140"/>
      <c r="JK821" s="140"/>
      <c r="JL821" s="140"/>
      <c r="JM821" s="140"/>
      <c r="JN821" s="140"/>
      <c r="JO821" s="140"/>
      <c r="JP821" s="140"/>
      <c r="JQ821" s="140"/>
      <c r="JR821" s="140"/>
      <c r="JS821" s="140"/>
      <c r="JT821" s="140"/>
      <c r="JU821" s="140"/>
      <c r="JV821" s="140"/>
      <c r="JW821" s="140"/>
      <c r="JX821" s="140"/>
      <c r="JY821" s="140"/>
      <c r="JZ821" s="140"/>
      <c r="KA821" s="140"/>
      <c r="KB821" s="140"/>
      <c r="KC821" s="140"/>
      <c r="KD821" s="140"/>
      <c r="KE821" s="140"/>
      <c r="KF821" s="140"/>
      <c r="KG821" s="140"/>
      <c r="KH821" s="140"/>
      <c r="KI821" s="140"/>
      <c r="KJ821" s="140"/>
      <c r="KK821" s="140"/>
      <c r="KL821" s="140"/>
      <c r="KM821" s="140"/>
      <c r="KN821" s="140"/>
      <c r="KO821" s="140"/>
      <c r="KP821" s="140"/>
      <c r="KQ821" s="140"/>
      <c r="KR821" s="140"/>
      <c r="KS821" s="140"/>
      <c r="KT821" s="140"/>
      <c r="KU821" s="140"/>
      <c r="KV821" s="140"/>
      <c r="KW821" s="140"/>
      <c r="KX821" s="140"/>
      <c r="KY821" s="140"/>
      <c r="KZ821" s="140"/>
      <c r="LA821" s="140"/>
      <c r="LB821" s="140"/>
      <c r="LC821" s="140"/>
      <c r="LD821" s="140"/>
      <c r="LE821" s="140"/>
      <c r="LF821" s="140"/>
      <c r="LG821" s="140"/>
      <c r="LH821" s="140"/>
      <c r="LI821" s="140"/>
      <c r="LJ821" s="140"/>
      <c r="LK821" s="140"/>
      <c r="LL821" s="140"/>
      <c r="LM821" s="140"/>
      <c r="LN821" s="140"/>
      <c r="LO821" s="140"/>
      <c r="LP821" s="140"/>
      <c r="LQ821" s="140"/>
      <c r="LR821" s="140"/>
      <c r="LS821" s="140"/>
      <c r="LT821" s="140"/>
      <c r="LU821" s="140"/>
      <c r="LV821" s="140"/>
      <c r="LW821" s="140"/>
      <c r="LX821" s="140"/>
      <c r="LY821" s="140"/>
      <c r="LZ821" s="140"/>
      <c r="MA821" s="140"/>
      <c r="MB821" s="140"/>
      <c r="MC821" s="140"/>
      <c r="MD821" s="140"/>
      <c r="ME821" s="140"/>
      <c r="MF821" s="140"/>
      <c r="MG821" s="140"/>
      <c r="MH821" s="140"/>
      <c r="MI821" s="140"/>
      <c r="MJ821" s="140"/>
      <c r="MK821" s="140"/>
      <c r="ML821" s="140"/>
    </row>
    <row r="822" spans="3:350" s="4" customFormat="1" ht="15" customHeight="1" x14ac:dyDescent="0.3">
      <c r="C822" s="343" t="s">
        <v>375</v>
      </c>
      <c r="D822" s="324">
        <f>(LA670-LA689-LA690)*KX510</f>
        <v>89059.646076278674</v>
      </c>
      <c r="E822" s="324">
        <f>D822/20</f>
        <v>4452.9823038139339</v>
      </c>
      <c r="H822" s="140"/>
      <c r="I822" s="140"/>
      <c r="J822" s="140"/>
      <c r="K822" s="140"/>
      <c r="L822" s="140"/>
      <c r="M822" s="140"/>
      <c r="N822" s="140"/>
      <c r="O822" s="140"/>
      <c r="P822" s="140"/>
      <c r="Q822" s="140"/>
      <c r="R822" s="140"/>
      <c r="S822" s="140"/>
      <c r="T822" s="140"/>
      <c r="U822" s="140"/>
      <c r="V822" s="140"/>
      <c r="W822" s="140"/>
      <c r="X822" s="140"/>
      <c r="Y822" s="140"/>
      <c r="Z822" s="140"/>
      <c r="AA822" s="140"/>
      <c r="AB822" s="140"/>
      <c r="AC822" s="140"/>
      <c r="AD822" s="140"/>
      <c r="AE822" s="140"/>
      <c r="AF822" s="140"/>
      <c r="AG822" s="140"/>
      <c r="AH822" s="140"/>
      <c r="AI822" s="140"/>
      <c r="AJ822" s="140"/>
      <c r="AK822" s="140"/>
      <c r="AL822" s="140"/>
      <c r="AM822" s="140"/>
      <c r="AN822" s="140"/>
      <c r="AO822" s="140"/>
      <c r="AP822" s="140"/>
      <c r="AQ822" s="140"/>
      <c r="AR822" s="140"/>
      <c r="AS822" s="140"/>
      <c r="AT822" s="140"/>
      <c r="AU822" s="140"/>
      <c r="AV822" s="140"/>
      <c r="AW822" s="140"/>
      <c r="AX822" s="140"/>
      <c r="AY822" s="140"/>
      <c r="AZ822" s="140"/>
      <c r="BA822" s="140"/>
      <c r="BB822" s="140"/>
      <c r="BC822" s="140"/>
      <c r="BD822" s="140"/>
      <c r="BE822" s="140"/>
      <c r="BF822" s="140"/>
      <c r="BG822" s="140"/>
      <c r="BH822" s="140"/>
      <c r="BI822" s="140"/>
      <c r="BJ822" s="140"/>
      <c r="BK822" s="140"/>
      <c r="BL822" s="140"/>
      <c r="BM822" s="140"/>
      <c r="BN822" s="140"/>
      <c r="BO822" s="140"/>
      <c r="BP822" s="140"/>
      <c r="BQ822" s="140"/>
      <c r="BR822" s="140"/>
      <c r="BS822" s="140"/>
      <c r="BT822" s="140"/>
      <c r="BU822" s="140"/>
      <c r="BV822" s="140"/>
      <c r="BW822" s="140"/>
      <c r="BX822" s="140"/>
      <c r="BY822" s="140"/>
      <c r="BZ822" s="140"/>
      <c r="CA822" s="140"/>
      <c r="CB822" s="140"/>
      <c r="CC822" s="140"/>
      <c r="CD822" s="140"/>
      <c r="CE822" s="140"/>
      <c r="CF822" s="140"/>
      <c r="CG822" s="140"/>
      <c r="CH822" s="140"/>
      <c r="CI822" s="140"/>
      <c r="CJ822" s="140"/>
      <c r="CK822" s="140"/>
      <c r="CL822" s="140"/>
      <c r="CM822" s="140"/>
      <c r="CN822" s="140"/>
      <c r="CO822" s="140"/>
      <c r="CP822" s="140"/>
      <c r="CQ822" s="140"/>
      <c r="CR822" s="140"/>
      <c r="CS822" s="140"/>
      <c r="CT822" s="140"/>
      <c r="CU822" s="140"/>
      <c r="CV822" s="140"/>
      <c r="CW822" s="140"/>
      <c r="CX822" s="140"/>
      <c r="CY822" s="140"/>
      <c r="CZ822" s="140"/>
      <c r="DA822" s="140"/>
      <c r="DB822" s="140"/>
      <c r="DC822" s="140"/>
      <c r="DD822" s="140"/>
      <c r="DE822" s="140"/>
      <c r="DF822" s="140"/>
      <c r="DG822" s="140"/>
      <c r="DH822" s="140"/>
      <c r="DI822" s="140"/>
      <c r="DJ822" s="140"/>
      <c r="DK822" s="140"/>
      <c r="DL822" s="140"/>
      <c r="DM822" s="140"/>
      <c r="DN822" s="140"/>
      <c r="DO822" s="140"/>
      <c r="DP822" s="140"/>
      <c r="DQ822" s="140"/>
      <c r="DR822" s="140"/>
      <c r="DS822" s="140"/>
      <c r="DT822" s="140"/>
      <c r="DU822" s="140"/>
      <c r="DV822" s="140"/>
      <c r="DW822" s="140"/>
      <c r="DX822" s="140"/>
      <c r="DY822" s="140"/>
      <c r="DZ822" s="140"/>
      <c r="EA822" s="140"/>
      <c r="EB822" s="140"/>
      <c r="EC822" s="140"/>
      <c r="ED822" s="140"/>
      <c r="EE822" s="140"/>
      <c r="EF822" s="140"/>
      <c r="EG822" s="140"/>
      <c r="EH822" s="140"/>
      <c r="EI822" s="140"/>
      <c r="EJ822" s="140"/>
      <c r="EK822" s="140"/>
      <c r="EL822" s="140"/>
      <c r="EM822" s="140"/>
      <c r="EN822" s="140"/>
      <c r="EO822" s="140"/>
      <c r="EP822" s="140"/>
      <c r="EQ822" s="140"/>
      <c r="ER822" s="140"/>
      <c r="ES822" s="140"/>
      <c r="ET822" s="140"/>
      <c r="EU822" s="140"/>
      <c r="EV822" s="140"/>
      <c r="EW822" s="140"/>
      <c r="EX822" s="140"/>
      <c r="EY822" s="140"/>
      <c r="EZ822" s="140"/>
      <c r="FA822" s="140"/>
      <c r="FB822" s="140"/>
      <c r="FC822" s="140"/>
      <c r="FD822" s="140"/>
      <c r="FE822" s="140"/>
      <c r="FF822" s="140"/>
      <c r="FG822" s="140"/>
      <c r="FH822" s="140"/>
      <c r="FI822" s="140"/>
      <c r="FJ822" s="140"/>
      <c r="FK822" s="140"/>
      <c r="FL822" s="140"/>
      <c r="FM822" s="140"/>
      <c r="FN822" s="140"/>
      <c r="FO822" s="140"/>
      <c r="FP822" s="140"/>
      <c r="FQ822" s="140"/>
      <c r="FR822" s="140"/>
      <c r="FS822" s="140"/>
      <c r="FT822" s="140"/>
      <c r="FU822" s="140"/>
      <c r="FV822" s="140"/>
      <c r="FW822" s="140"/>
      <c r="FX822" s="140"/>
      <c r="FY822" s="140"/>
      <c r="FZ822" s="140"/>
      <c r="GA822" s="140"/>
      <c r="GB822" s="140"/>
      <c r="GC822" s="140"/>
      <c r="GD822" s="140"/>
      <c r="GE822" s="140"/>
      <c r="GF822" s="140"/>
      <c r="GG822" s="140"/>
      <c r="GH822" s="140"/>
      <c r="GI822" s="140"/>
      <c r="GJ822" s="140"/>
      <c r="GK822" s="140"/>
      <c r="GL822" s="140"/>
      <c r="GM822" s="140"/>
      <c r="GN822" s="140"/>
      <c r="GO822" s="140"/>
      <c r="GP822" s="140"/>
      <c r="GQ822" s="140"/>
      <c r="GR822" s="140"/>
      <c r="GS822" s="140"/>
      <c r="GT822" s="140"/>
      <c r="GU822" s="140"/>
      <c r="GV822" s="140"/>
      <c r="GW822" s="140"/>
      <c r="GX822" s="140"/>
      <c r="GY822" s="140"/>
      <c r="GZ822" s="140"/>
      <c r="HA822" s="140"/>
      <c r="HB822" s="140"/>
      <c r="HC822" s="140"/>
      <c r="HD822" s="140"/>
      <c r="HE822" s="140"/>
      <c r="HF822" s="140"/>
      <c r="HG822" s="140"/>
      <c r="HH822" s="140"/>
      <c r="HI822" s="140"/>
      <c r="HJ822" s="140"/>
      <c r="HK822" s="140"/>
      <c r="HL822" s="140"/>
      <c r="HM822" s="140"/>
      <c r="HN822" s="140"/>
      <c r="HO822" s="140"/>
      <c r="HP822" s="140"/>
      <c r="HQ822" s="140"/>
      <c r="HR822" s="140"/>
      <c r="HS822" s="140"/>
      <c r="HT822" s="140"/>
      <c r="HU822" s="140"/>
      <c r="HV822" s="140"/>
      <c r="HW822" s="140"/>
      <c r="HX822" s="140"/>
      <c r="HY822" s="140"/>
      <c r="HZ822" s="140"/>
      <c r="IA822" s="140"/>
      <c r="IB822" s="140"/>
      <c r="IC822" s="140"/>
      <c r="ID822" s="140"/>
      <c r="IE822" s="140"/>
      <c r="IF822" s="140"/>
      <c r="IG822" s="140"/>
      <c r="IH822" s="140"/>
      <c r="II822" s="140"/>
      <c r="IJ822" s="140"/>
      <c r="IK822" s="140"/>
      <c r="IL822" s="140"/>
      <c r="IM822" s="140"/>
      <c r="IN822" s="140"/>
      <c r="IO822" s="140"/>
      <c r="IP822" s="140"/>
      <c r="IQ822" s="140"/>
      <c r="IR822" s="140"/>
      <c r="IS822" s="140"/>
      <c r="IT822" s="140"/>
      <c r="IU822" s="140"/>
      <c r="IV822" s="140"/>
      <c r="IW822" s="140"/>
      <c r="IX822" s="140"/>
      <c r="IY822" s="140"/>
      <c r="IZ822" s="140"/>
      <c r="JA822" s="140"/>
      <c r="JB822" s="140"/>
      <c r="JC822" s="140"/>
      <c r="JD822" s="140"/>
      <c r="JE822" s="140"/>
      <c r="JF822" s="140"/>
      <c r="JG822" s="140"/>
      <c r="JH822" s="140"/>
      <c r="JI822" s="140"/>
      <c r="JJ822" s="140"/>
      <c r="JK822" s="140"/>
      <c r="JL822" s="140"/>
      <c r="JM822" s="140"/>
      <c r="JN822" s="140"/>
      <c r="JO822" s="140"/>
      <c r="JP822" s="140"/>
      <c r="JQ822" s="140"/>
      <c r="JR822" s="140"/>
      <c r="JS822" s="140"/>
      <c r="JT822" s="140"/>
      <c r="JU822" s="140"/>
      <c r="JV822" s="140"/>
      <c r="JW822" s="140"/>
      <c r="JX822" s="140"/>
      <c r="JY822" s="140"/>
      <c r="JZ822" s="140"/>
      <c r="KA822" s="140"/>
      <c r="KB822" s="140"/>
      <c r="KC822" s="140"/>
      <c r="KD822" s="140"/>
      <c r="KE822" s="140"/>
      <c r="KF822" s="140"/>
      <c r="KG822" s="140"/>
      <c r="KH822" s="140"/>
      <c r="KI822" s="140"/>
      <c r="KJ822" s="140"/>
      <c r="KK822" s="140"/>
      <c r="KL822" s="140"/>
      <c r="KM822" s="140"/>
      <c r="KN822" s="140"/>
      <c r="KO822" s="140"/>
      <c r="KP822" s="140"/>
      <c r="KQ822" s="140"/>
      <c r="KR822" s="140"/>
      <c r="KS822" s="140"/>
      <c r="KT822" s="140"/>
      <c r="KU822" s="140"/>
      <c r="KV822" s="140"/>
      <c r="KW822" s="140"/>
      <c r="KX822" s="140"/>
      <c r="KY822" s="140"/>
      <c r="KZ822" s="140"/>
      <c r="LA822" s="140"/>
      <c r="LB822" s="140"/>
      <c r="LC822" s="140"/>
      <c r="LD822" s="140"/>
      <c r="LE822" s="140"/>
      <c r="LF822" s="140"/>
      <c r="LG822" s="140"/>
      <c r="LH822" s="140"/>
      <c r="LI822" s="140"/>
      <c r="LJ822" s="140"/>
      <c r="LK822" s="140"/>
      <c r="LL822" s="140"/>
      <c r="LM822" s="140"/>
      <c r="LN822" s="140"/>
      <c r="LO822" s="140"/>
      <c r="LP822" s="140"/>
      <c r="LQ822" s="140"/>
      <c r="LR822" s="140"/>
      <c r="LS822" s="140"/>
      <c r="LT822" s="140"/>
      <c r="LU822" s="140"/>
      <c r="LV822" s="140"/>
      <c r="LW822" s="140"/>
      <c r="LX822" s="140"/>
      <c r="LY822" s="140"/>
      <c r="LZ822" s="140"/>
      <c r="MA822" s="140"/>
      <c r="MB822" s="140"/>
      <c r="MC822" s="140"/>
      <c r="MD822" s="140"/>
      <c r="ME822" s="140"/>
      <c r="MF822" s="140"/>
      <c r="MG822" s="140"/>
      <c r="MH822" s="140"/>
      <c r="MI822" s="140"/>
      <c r="MJ822" s="140"/>
      <c r="MK822" s="140"/>
      <c r="ML822" s="140"/>
    </row>
    <row r="823" spans="3:350" s="4" customFormat="1" ht="15" customHeight="1" x14ac:dyDescent="0.3">
      <c r="C823" s="343" t="s">
        <v>97</v>
      </c>
      <c r="D823" s="324">
        <f>SUM(D821:D822)</f>
        <v>172858.61844135413</v>
      </c>
      <c r="H823" s="140"/>
      <c r="I823" s="140"/>
      <c r="J823" s="140"/>
      <c r="K823" s="140"/>
      <c r="L823" s="140"/>
      <c r="M823" s="140"/>
      <c r="N823" s="140"/>
      <c r="O823" s="140"/>
      <c r="P823" s="140"/>
      <c r="Q823" s="140"/>
      <c r="R823" s="140"/>
      <c r="S823" s="140"/>
      <c r="T823" s="140"/>
      <c r="U823" s="140"/>
      <c r="V823" s="140"/>
      <c r="W823" s="140"/>
      <c r="X823" s="140"/>
      <c r="Y823" s="140"/>
      <c r="Z823" s="140"/>
      <c r="AA823" s="140"/>
      <c r="AB823" s="140"/>
      <c r="AC823" s="140"/>
      <c r="AD823" s="140"/>
      <c r="AE823" s="140"/>
      <c r="AF823" s="140"/>
      <c r="AG823" s="140"/>
      <c r="AH823" s="140"/>
      <c r="AI823" s="140"/>
      <c r="AJ823" s="140"/>
      <c r="AK823" s="140"/>
      <c r="AL823" s="140"/>
      <c r="AM823" s="140"/>
      <c r="AN823" s="140"/>
      <c r="AO823" s="140"/>
      <c r="AP823" s="140"/>
      <c r="AQ823" s="140"/>
      <c r="AR823" s="140"/>
      <c r="AS823" s="140"/>
      <c r="AT823" s="140"/>
      <c r="AU823" s="140"/>
      <c r="AV823" s="140"/>
      <c r="AW823" s="140"/>
      <c r="AX823" s="140"/>
      <c r="AY823" s="140"/>
      <c r="AZ823" s="140"/>
      <c r="BA823" s="140"/>
      <c r="BB823" s="140"/>
      <c r="BC823" s="140"/>
      <c r="BD823" s="140"/>
      <c r="BE823" s="140"/>
      <c r="BF823" s="140"/>
      <c r="BG823" s="140"/>
      <c r="BH823" s="140"/>
      <c r="BI823" s="140"/>
      <c r="BJ823" s="140"/>
      <c r="BK823" s="140"/>
      <c r="BL823" s="140"/>
      <c r="BM823" s="140"/>
      <c r="BN823" s="140"/>
      <c r="BO823" s="140"/>
      <c r="BP823" s="140"/>
      <c r="BQ823" s="140"/>
      <c r="BR823" s="140"/>
      <c r="BS823" s="140"/>
      <c r="BT823" s="140"/>
      <c r="BU823" s="140"/>
      <c r="BV823" s="140"/>
      <c r="BW823" s="140"/>
      <c r="BX823" s="140"/>
      <c r="BY823" s="140"/>
      <c r="BZ823" s="140"/>
      <c r="CA823" s="140"/>
      <c r="CB823" s="140"/>
      <c r="CC823" s="140"/>
      <c r="CD823" s="140"/>
      <c r="CE823" s="140"/>
      <c r="CF823" s="140"/>
      <c r="CG823" s="140"/>
      <c r="CH823" s="140"/>
      <c r="CI823" s="140"/>
      <c r="CJ823" s="140"/>
      <c r="CK823" s="140"/>
      <c r="CL823" s="140"/>
      <c r="CM823" s="140"/>
      <c r="CN823" s="140"/>
      <c r="CO823" s="140"/>
      <c r="CP823" s="140"/>
      <c r="CQ823" s="140"/>
      <c r="CR823" s="140"/>
      <c r="CS823" s="140"/>
      <c r="CT823" s="140"/>
      <c r="CU823" s="140"/>
      <c r="CV823" s="140"/>
      <c r="CW823" s="140"/>
      <c r="CX823" s="140"/>
      <c r="CY823" s="140"/>
      <c r="CZ823" s="140"/>
      <c r="DA823" s="140"/>
      <c r="DB823" s="140"/>
      <c r="DC823" s="140"/>
      <c r="DD823" s="140"/>
      <c r="DE823" s="140"/>
      <c r="DF823" s="140"/>
      <c r="DG823" s="140"/>
      <c r="DH823" s="140"/>
      <c r="DI823" s="140"/>
      <c r="DJ823" s="140"/>
      <c r="DK823" s="140"/>
      <c r="DL823" s="140"/>
      <c r="DM823" s="140"/>
      <c r="DN823" s="140"/>
      <c r="DO823" s="140"/>
      <c r="DP823" s="140"/>
      <c r="DQ823" s="140"/>
      <c r="DR823" s="140"/>
      <c r="DS823" s="140"/>
      <c r="DT823" s="140"/>
      <c r="DU823" s="140"/>
      <c r="DV823" s="140"/>
      <c r="DW823" s="140"/>
      <c r="DX823" s="140"/>
      <c r="DY823" s="140"/>
      <c r="DZ823" s="140"/>
      <c r="EA823" s="140"/>
      <c r="EB823" s="140"/>
      <c r="EC823" s="140"/>
      <c r="ED823" s="140"/>
      <c r="EE823" s="140"/>
      <c r="EF823" s="140"/>
      <c r="EG823" s="140"/>
      <c r="EH823" s="140"/>
      <c r="EI823" s="140"/>
      <c r="EJ823" s="140"/>
      <c r="EK823" s="140"/>
      <c r="EL823" s="140"/>
      <c r="EM823" s="140"/>
      <c r="EN823" s="140"/>
      <c r="EO823" s="140"/>
      <c r="EP823" s="140"/>
      <c r="EQ823" s="140"/>
      <c r="ER823" s="140"/>
      <c r="ES823" s="140"/>
      <c r="ET823" s="140"/>
      <c r="EU823" s="140"/>
      <c r="EV823" s="140"/>
      <c r="EW823" s="140"/>
      <c r="EX823" s="140"/>
      <c r="EY823" s="140"/>
      <c r="EZ823" s="140"/>
      <c r="FA823" s="140"/>
      <c r="FB823" s="140"/>
      <c r="FC823" s="140"/>
      <c r="FD823" s="140"/>
      <c r="FE823" s="140"/>
      <c r="FF823" s="140"/>
      <c r="FG823" s="140"/>
      <c r="FH823" s="140"/>
      <c r="FI823" s="140"/>
      <c r="FJ823" s="140"/>
      <c r="FK823" s="140"/>
      <c r="FL823" s="140"/>
      <c r="FM823" s="140"/>
      <c r="FN823" s="140"/>
      <c r="FO823" s="140"/>
      <c r="FP823" s="140"/>
      <c r="FQ823" s="140"/>
      <c r="FR823" s="140"/>
      <c r="FS823" s="140"/>
      <c r="FT823" s="140"/>
      <c r="FU823" s="140"/>
      <c r="FV823" s="140"/>
      <c r="FW823" s="140"/>
      <c r="FX823" s="140"/>
      <c r="FY823" s="140"/>
      <c r="FZ823" s="140"/>
      <c r="GA823" s="140"/>
      <c r="GB823" s="140"/>
      <c r="GC823" s="140"/>
      <c r="GD823" s="140"/>
      <c r="GE823" s="140"/>
      <c r="GF823" s="140"/>
      <c r="GG823" s="140"/>
      <c r="GH823" s="140"/>
      <c r="GI823" s="140"/>
      <c r="GJ823" s="140"/>
      <c r="GK823" s="140"/>
      <c r="GL823" s="140"/>
      <c r="GM823" s="140"/>
      <c r="GN823" s="140"/>
      <c r="GO823" s="140"/>
      <c r="GP823" s="140"/>
      <c r="GQ823" s="140"/>
      <c r="GR823" s="140"/>
      <c r="GS823" s="140"/>
      <c r="GT823" s="140"/>
      <c r="GU823" s="140"/>
      <c r="GV823" s="140"/>
      <c r="GW823" s="140"/>
      <c r="GX823" s="140"/>
      <c r="GY823" s="140"/>
      <c r="GZ823" s="140"/>
      <c r="HA823" s="140"/>
      <c r="HB823" s="140"/>
      <c r="HC823" s="140"/>
      <c r="HD823" s="140"/>
      <c r="HE823" s="140"/>
      <c r="HF823" s="140"/>
      <c r="HG823" s="140"/>
      <c r="HH823" s="140"/>
      <c r="HI823" s="140"/>
      <c r="HJ823" s="140"/>
      <c r="HK823" s="140"/>
      <c r="HL823" s="140"/>
      <c r="HM823" s="140"/>
      <c r="HN823" s="140"/>
      <c r="HO823" s="140"/>
      <c r="HP823" s="140"/>
      <c r="HQ823" s="140"/>
      <c r="HR823" s="140"/>
      <c r="HS823" s="140"/>
      <c r="HT823" s="140"/>
      <c r="HU823" s="140"/>
      <c r="HV823" s="140"/>
      <c r="HW823" s="140"/>
      <c r="HX823" s="140"/>
      <c r="HY823" s="140"/>
      <c r="HZ823" s="140"/>
      <c r="IA823" s="140"/>
      <c r="IB823" s="140"/>
      <c r="IC823" s="140"/>
      <c r="ID823" s="140"/>
      <c r="IE823" s="140"/>
      <c r="IF823" s="140"/>
      <c r="IG823" s="140"/>
      <c r="IH823" s="140"/>
      <c r="II823" s="140"/>
      <c r="IJ823" s="140"/>
      <c r="IK823" s="140"/>
      <c r="IL823" s="140"/>
      <c r="IM823" s="140"/>
      <c r="IN823" s="140"/>
      <c r="IO823" s="140"/>
      <c r="IP823" s="140"/>
      <c r="IQ823" s="140"/>
      <c r="IR823" s="140"/>
      <c r="IS823" s="140"/>
      <c r="IT823" s="140"/>
      <c r="IU823" s="140"/>
      <c r="IV823" s="140"/>
      <c r="IW823" s="140"/>
      <c r="IX823" s="140"/>
      <c r="IY823" s="140"/>
      <c r="IZ823" s="140"/>
      <c r="JA823" s="140"/>
      <c r="JB823" s="140"/>
      <c r="JC823" s="140"/>
      <c r="JD823" s="140"/>
      <c r="JE823" s="140"/>
      <c r="JF823" s="140"/>
      <c r="JG823" s="140"/>
      <c r="JH823" s="140"/>
      <c r="JI823" s="140"/>
      <c r="JJ823" s="140"/>
      <c r="JK823" s="140"/>
      <c r="JL823" s="140"/>
      <c r="JM823" s="140"/>
      <c r="JN823" s="140"/>
      <c r="JO823" s="140"/>
      <c r="JP823" s="140"/>
      <c r="JQ823" s="140"/>
      <c r="JR823" s="140"/>
      <c r="JS823" s="140"/>
      <c r="JT823" s="140"/>
      <c r="JU823" s="140"/>
      <c r="JV823" s="140"/>
      <c r="JW823" s="140"/>
      <c r="JX823" s="140"/>
      <c r="JY823" s="140"/>
      <c r="JZ823" s="140"/>
      <c r="KA823" s="140"/>
      <c r="KB823" s="140"/>
      <c r="KC823" s="140"/>
      <c r="KD823" s="140"/>
      <c r="KE823" s="140"/>
      <c r="KF823" s="140"/>
      <c r="KG823" s="140"/>
      <c r="KH823" s="140"/>
      <c r="KI823" s="140"/>
      <c r="KJ823" s="140"/>
      <c r="KK823" s="140"/>
      <c r="KL823" s="140"/>
      <c r="KM823" s="140"/>
      <c r="KN823" s="140"/>
      <c r="KO823" s="140"/>
      <c r="KP823" s="140"/>
      <c r="KQ823" s="140"/>
      <c r="KR823" s="140"/>
      <c r="KS823" s="140"/>
      <c r="KT823" s="140"/>
      <c r="KU823" s="140"/>
      <c r="KV823" s="140"/>
      <c r="KW823" s="140"/>
      <c r="KX823" s="140"/>
      <c r="KY823" s="140"/>
      <c r="KZ823" s="140"/>
      <c r="LA823" s="140"/>
      <c r="LB823" s="140"/>
      <c r="LC823" s="140"/>
      <c r="LD823" s="140"/>
      <c r="LE823" s="140"/>
      <c r="LF823" s="140"/>
      <c r="LG823" s="140"/>
      <c r="LH823" s="140"/>
      <c r="LI823" s="140"/>
      <c r="LJ823" s="140"/>
      <c r="LK823" s="140"/>
      <c r="LL823" s="140"/>
      <c r="LM823" s="140"/>
      <c r="LN823" s="140"/>
      <c r="LO823" s="140"/>
      <c r="LP823" s="140"/>
      <c r="LQ823" s="140"/>
      <c r="LR823" s="140"/>
      <c r="LS823" s="140"/>
      <c r="LT823" s="140"/>
      <c r="LU823" s="140"/>
      <c r="LV823" s="140"/>
      <c r="LW823" s="140"/>
      <c r="LX823" s="140"/>
      <c r="LY823" s="140"/>
      <c r="LZ823" s="140"/>
      <c r="MA823" s="140"/>
      <c r="MB823" s="140"/>
      <c r="MC823" s="140"/>
      <c r="MD823" s="140"/>
      <c r="ME823" s="140"/>
      <c r="MF823" s="140"/>
      <c r="MG823" s="140"/>
      <c r="MH823" s="140"/>
      <c r="MI823" s="140"/>
      <c r="MJ823" s="140"/>
      <c r="MK823" s="140"/>
      <c r="ML823" s="140"/>
    </row>
    <row r="824" spans="3:350" s="4" customFormat="1" ht="15" customHeight="1" x14ac:dyDescent="0.3">
      <c r="H824" s="140"/>
      <c r="I824" s="140"/>
      <c r="J824" s="140"/>
      <c r="K824" s="140"/>
      <c r="L824" s="140"/>
      <c r="M824" s="140"/>
      <c r="N824" s="140"/>
      <c r="O824" s="140"/>
      <c r="P824" s="140"/>
      <c r="Q824" s="140"/>
      <c r="R824" s="140"/>
      <c r="S824" s="140"/>
      <c r="T824" s="140"/>
      <c r="U824" s="140"/>
      <c r="V824" s="140"/>
      <c r="W824" s="140"/>
      <c r="X824" s="140"/>
      <c r="Y824" s="140"/>
      <c r="Z824" s="140"/>
      <c r="AA824" s="140"/>
      <c r="AB824" s="140"/>
      <c r="AC824" s="140"/>
      <c r="AD824" s="140"/>
      <c r="AE824" s="140"/>
      <c r="AF824" s="140"/>
      <c r="AG824" s="140"/>
      <c r="AH824" s="140"/>
      <c r="AI824" s="140"/>
      <c r="AJ824" s="140"/>
      <c r="AK824" s="140"/>
      <c r="AL824" s="140"/>
      <c r="AM824" s="140"/>
      <c r="AN824" s="140"/>
      <c r="AO824" s="140"/>
      <c r="AP824" s="140"/>
      <c r="AQ824" s="140"/>
      <c r="AR824" s="140"/>
      <c r="AS824" s="140"/>
      <c r="AT824" s="140"/>
      <c r="AU824" s="140"/>
      <c r="AV824" s="140"/>
      <c r="AW824" s="140"/>
      <c r="AX824" s="140"/>
      <c r="AY824" s="140"/>
      <c r="AZ824" s="140"/>
      <c r="BA824" s="140"/>
      <c r="BB824" s="140"/>
      <c r="BC824" s="140"/>
      <c r="BD824" s="140"/>
      <c r="BE824" s="140"/>
      <c r="BF824" s="140"/>
      <c r="BG824" s="140"/>
      <c r="BH824" s="140"/>
      <c r="BI824" s="140"/>
      <c r="BJ824" s="140"/>
      <c r="BK824" s="140"/>
      <c r="BL824" s="140"/>
      <c r="BM824" s="140"/>
      <c r="BN824" s="140"/>
      <c r="BO824" s="140"/>
      <c r="BP824" s="140"/>
      <c r="BQ824" s="140"/>
      <c r="BR824" s="140"/>
      <c r="BS824" s="140"/>
      <c r="BT824" s="140"/>
      <c r="BU824" s="140"/>
      <c r="BV824" s="140"/>
      <c r="BW824" s="140"/>
      <c r="BX824" s="140"/>
      <c r="BY824" s="140"/>
      <c r="BZ824" s="140"/>
      <c r="CA824" s="140"/>
      <c r="CB824" s="140"/>
      <c r="CC824" s="140"/>
      <c r="CD824" s="140"/>
      <c r="CE824" s="140"/>
      <c r="CF824" s="140"/>
      <c r="CG824" s="140"/>
      <c r="CH824" s="140"/>
      <c r="CI824" s="140"/>
      <c r="CJ824" s="140"/>
      <c r="CK824" s="140"/>
      <c r="CL824" s="140"/>
      <c r="CM824" s="140"/>
      <c r="CN824" s="140"/>
      <c r="CO824" s="140"/>
      <c r="CP824" s="140"/>
      <c r="CQ824" s="140"/>
      <c r="CR824" s="140"/>
      <c r="CS824" s="140"/>
      <c r="CT824" s="140"/>
      <c r="CU824" s="140"/>
      <c r="CV824" s="140"/>
      <c r="CW824" s="140"/>
      <c r="CX824" s="140"/>
      <c r="CY824" s="140"/>
      <c r="CZ824" s="140"/>
      <c r="DA824" s="140"/>
      <c r="DB824" s="140"/>
      <c r="DC824" s="140"/>
      <c r="DD824" s="140"/>
      <c r="DE824" s="140"/>
      <c r="DF824" s="140"/>
      <c r="DG824" s="140"/>
      <c r="DH824" s="140"/>
      <c r="DI824" s="140"/>
      <c r="DJ824" s="140"/>
      <c r="DK824" s="140"/>
      <c r="DL824" s="140"/>
      <c r="DM824" s="140"/>
      <c r="DN824" s="140"/>
      <c r="DO824" s="140"/>
      <c r="DP824" s="140"/>
      <c r="DQ824" s="140"/>
      <c r="DR824" s="140"/>
      <c r="DS824" s="140"/>
      <c r="DT824" s="140"/>
      <c r="DU824" s="140"/>
      <c r="DV824" s="140"/>
      <c r="DW824" s="140"/>
      <c r="DX824" s="140"/>
      <c r="DY824" s="140"/>
      <c r="DZ824" s="140"/>
      <c r="EA824" s="140"/>
      <c r="EB824" s="140"/>
      <c r="EC824" s="140"/>
      <c r="ED824" s="140"/>
      <c r="EE824" s="140"/>
      <c r="EF824" s="140"/>
      <c r="EG824" s="140"/>
      <c r="EH824" s="140"/>
      <c r="EI824" s="140"/>
      <c r="EJ824" s="140"/>
      <c r="EK824" s="140"/>
      <c r="EL824" s="140"/>
      <c r="EM824" s="140"/>
      <c r="EN824" s="140"/>
      <c r="EO824" s="140"/>
      <c r="EP824" s="140"/>
      <c r="EQ824" s="140"/>
      <c r="ER824" s="140"/>
      <c r="ES824" s="140"/>
      <c r="ET824" s="140"/>
      <c r="EU824" s="140"/>
      <c r="EV824" s="140"/>
      <c r="EW824" s="140"/>
      <c r="EX824" s="140"/>
      <c r="EY824" s="140"/>
      <c r="EZ824" s="140"/>
      <c r="FA824" s="140"/>
      <c r="FB824" s="140"/>
      <c r="FC824" s="140"/>
      <c r="FD824" s="140"/>
      <c r="FE824" s="140"/>
      <c r="FF824" s="140"/>
      <c r="FG824" s="140"/>
      <c r="FH824" s="140"/>
      <c r="FI824" s="140"/>
      <c r="FJ824" s="140"/>
      <c r="FK824" s="140"/>
      <c r="FL824" s="140"/>
      <c r="FM824" s="140"/>
      <c r="FN824" s="140"/>
      <c r="FO824" s="140"/>
      <c r="FP824" s="140"/>
      <c r="FQ824" s="140"/>
      <c r="FR824" s="140"/>
      <c r="FS824" s="140"/>
      <c r="FT824" s="140"/>
      <c r="FU824" s="140"/>
      <c r="FV824" s="140"/>
      <c r="FW824" s="140"/>
      <c r="FX824" s="140"/>
      <c r="FY824" s="140"/>
      <c r="FZ824" s="140"/>
      <c r="GA824" s="140"/>
      <c r="GB824" s="140"/>
      <c r="GC824" s="140"/>
      <c r="GD824" s="140"/>
      <c r="GE824" s="140"/>
      <c r="GF824" s="140"/>
      <c r="GG824" s="140"/>
      <c r="GH824" s="140"/>
      <c r="GI824" s="140"/>
      <c r="GJ824" s="140"/>
      <c r="GK824" s="140"/>
      <c r="GL824" s="140"/>
      <c r="GM824" s="140"/>
      <c r="GN824" s="140"/>
      <c r="GO824" s="140"/>
      <c r="GP824" s="140"/>
      <c r="GQ824" s="140"/>
      <c r="GR824" s="140"/>
      <c r="GS824" s="140"/>
      <c r="GT824" s="140"/>
      <c r="GU824" s="140"/>
      <c r="GV824" s="140"/>
      <c r="GW824" s="140"/>
      <c r="GX824" s="140"/>
      <c r="GY824" s="140"/>
      <c r="GZ824" s="140"/>
      <c r="HA824" s="140"/>
      <c r="HB824" s="140"/>
      <c r="HC824" s="140"/>
      <c r="HD824" s="140"/>
      <c r="HE824" s="140"/>
      <c r="HF824" s="140"/>
      <c r="HG824" s="140"/>
      <c r="HH824" s="140"/>
      <c r="HI824" s="140"/>
      <c r="HJ824" s="140"/>
      <c r="HK824" s="140"/>
      <c r="HL824" s="140"/>
      <c r="HM824" s="140"/>
      <c r="HN824" s="140"/>
      <c r="HO824" s="140"/>
      <c r="HP824" s="140"/>
      <c r="HQ824" s="140"/>
      <c r="HR824" s="140"/>
      <c r="HS824" s="140"/>
      <c r="HT824" s="140"/>
      <c r="HU824" s="140"/>
      <c r="HV824" s="140"/>
      <c r="HW824" s="140"/>
      <c r="HX824" s="140"/>
      <c r="HY824" s="140"/>
      <c r="HZ824" s="140"/>
      <c r="IA824" s="140"/>
      <c r="IB824" s="140"/>
      <c r="IC824" s="140"/>
      <c r="ID824" s="140"/>
      <c r="IE824" s="140"/>
      <c r="IF824" s="140"/>
      <c r="IG824" s="140"/>
      <c r="IH824" s="140"/>
      <c r="II824" s="140"/>
      <c r="IJ824" s="140"/>
      <c r="IK824" s="140"/>
      <c r="IL824" s="140"/>
      <c r="IM824" s="140"/>
      <c r="IN824" s="140"/>
      <c r="IO824" s="140"/>
      <c r="IP824" s="140"/>
      <c r="IQ824" s="140"/>
      <c r="IR824" s="140"/>
      <c r="IS824" s="140"/>
      <c r="IT824" s="140"/>
      <c r="IU824" s="140"/>
      <c r="IV824" s="140"/>
      <c r="IW824" s="140"/>
      <c r="IX824" s="140"/>
      <c r="IY824" s="140"/>
      <c r="IZ824" s="140"/>
      <c r="JA824" s="140"/>
      <c r="JB824" s="140"/>
      <c r="JC824" s="140"/>
      <c r="JD824" s="140"/>
      <c r="JE824" s="140"/>
      <c r="JF824" s="140"/>
      <c r="JG824" s="140"/>
      <c r="JH824" s="140"/>
      <c r="JI824" s="140"/>
      <c r="JJ824" s="140"/>
      <c r="JK824" s="140"/>
      <c r="JL824" s="140"/>
      <c r="JM824" s="140"/>
      <c r="JN824" s="140"/>
      <c r="JO824" s="140"/>
      <c r="JP824" s="140"/>
      <c r="JQ824" s="140"/>
      <c r="JR824" s="140"/>
      <c r="JS824" s="140"/>
      <c r="JT824" s="140"/>
      <c r="JU824" s="140"/>
      <c r="JV824" s="140"/>
      <c r="JW824" s="140"/>
      <c r="JX824" s="140"/>
      <c r="JY824" s="140"/>
      <c r="JZ824" s="140"/>
      <c r="KA824" s="140"/>
      <c r="KB824" s="140"/>
      <c r="KC824" s="140"/>
      <c r="KD824" s="140"/>
      <c r="KE824" s="140"/>
      <c r="KF824" s="140"/>
      <c r="KG824" s="140"/>
      <c r="KH824" s="140"/>
      <c r="KI824" s="140"/>
      <c r="KJ824" s="140"/>
      <c r="KK824" s="140"/>
      <c r="KL824" s="140"/>
      <c r="KM824" s="140"/>
      <c r="KN824" s="140"/>
      <c r="KO824" s="140"/>
      <c r="KP824" s="140"/>
      <c r="KQ824" s="140"/>
      <c r="KR824" s="140"/>
      <c r="KS824" s="140"/>
      <c r="KT824" s="140"/>
      <c r="KU824" s="140"/>
      <c r="KV824" s="140"/>
      <c r="KW824" s="140"/>
      <c r="KX824" s="140"/>
      <c r="KY824" s="140"/>
      <c r="KZ824" s="140"/>
      <c r="LA824" s="140"/>
      <c r="LB824" s="140"/>
      <c r="LC824" s="140"/>
      <c r="LD824" s="140"/>
      <c r="LE824" s="140"/>
      <c r="LF824" s="140"/>
      <c r="LG824" s="140"/>
      <c r="LH824" s="140"/>
      <c r="LI824" s="140"/>
      <c r="LJ824" s="140"/>
      <c r="LK824" s="140"/>
      <c r="LL824" s="140"/>
      <c r="LM824" s="140"/>
      <c r="LN824" s="140"/>
      <c r="LO824" s="140"/>
      <c r="LP824" s="140"/>
      <c r="LQ824" s="140"/>
      <c r="LR824" s="140"/>
      <c r="LS824" s="140"/>
      <c r="LT824" s="140"/>
      <c r="LU824" s="140"/>
      <c r="LV824" s="140"/>
      <c r="LW824" s="140"/>
      <c r="LX824" s="140"/>
      <c r="LY824" s="140"/>
      <c r="LZ824" s="140"/>
      <c r="MA824" s="140"/>
      <c r="MB824" s="140"/>
      <c r="MC824" s="140"/>
      <c r="MD824" s="140"/>
      <c r="ME824" s="140"/>
      <c r="MF824" s="140"/>
      <c r="MG824" s="140"/>
      <c r="MH824" s="140"/>
      <c r="MI824" s="140"/>
      <c r="MJ824" s="140"/>
      <c r="MK824" s="140"/>
      <c r="ML824" s="140"/>
    </row>
    <row r="825" spans="3:350" s="4" customFormat="1" ht="15" customHeight="1" x14ac:dyDescent="0.3">
      <c r="C825" s="435" t="s">
        <v>540</v>
      </c>
      <c r="H825" s="140"/>
      <c r="I825" s="140"/>
      <c r="J825" s="140"/>
      <c r="K825" s="140"/>
      <c r="L825" s="140"/>
      <c r="M825" s="140"/>
      <c r="N825" s="140"/>
      <c r="O825" s="140"/>
      <c r="P825" s="140"/>
      <c r="Q825" s="140"/>
      <c r="R825" s="140"/>
      <c r="S825" s="140"/>
      <c r="T825" s="140"/>
      <c r="U825" s="140"/>
      <c r="V825" s="140"/>
      <c r="W825" s="140"/>
      <c r="X825" s="140"/>
      <c r="Y825" s="140"/>
      <c r="Z825" s="140"/>
      <c r="AA825" s="140"/>
      <c r="AB825" s="140"/>
      <c r="AC825" s="140"/>
      <c r="AD825" s="140"/>
      <c r="AE825" s="140"/>
      <c r="AF825" s="140"/>
      <c r="AG825" s="140"/>
      <c r="AH825" s="140"/>
      <c r="AI825" s="140"/>
      <c r="AJ825" s="140"/>
      <c r="AK825" s="140"/>
      <c r="AL825" s="140"/>
      <c r="AM825" s="140"/>
      <c r="AN825" s="140"/>
      <c r="AO825" s="140"/>
      <c r="AP825" s="140"/>
      <c r="AQ825" s="140"/>
      <c r="AR825" s="140"/>
      <c r="AS825" s="140"/>
      <c r="AT825" s="140"/>
      <c r="AU825" s="140"/>
      <c r="AV825" s="140"/>
      <c r="AW825" s="140"/>
      <c r="AX825" s="140"/>
      <c r="AY825" s="140"/>
      <c r="AZ825" s="140"/>
      <c r="BA825" s="140"/>
      <c r="BB825" s="140"/>
      <c r="BC825" s="140"/>
      <c r="BD825" s="140"/>
      <c r="BE825" s="140"/>
      <c r="BF825" s="140"/>
      <c r="BG825" s="140"/>
      <c r="BH825" s="140"/>
      <c r="BI825" s="140"/>
      <c r="BJ825" s="140"/>
      <c r="BK825" s="140"/>
      <c r="BL825" s="140"/>
      <c r="BM825" s="140"/>
      <c r="BN825" s="140"/>
      <c r="BO825" s="140"/>
      <c r="BP825" s="140"/>
      <c r="BQ825" s="140"/>
      <c r="BR825" s="140"/>
      <c r="BS825" s="140"/>
      <c r="BT825" s="140"/>
      <c r="BU825" s="140"/>
      <c r="BV825" s="140"/>
      <c r="BW825" s="140"/>
      <c r="BX825" s="140"/>
      <c r="BY825" s="140"/>
      <c r="BZ825" s="140"/>
      <c r="CA825" s="140"/>
      <c r="CB825" s="140"/>
      <c r="CC825" s="140"/>
      <c r="CD825" s="140"/>
      <c r="CE825" s="140"/>
      <c r="CF825" s="140"/>
      <c r="CG825" s="140"/>
      <c r="CH825" s="140"/>
      <c r="CI825" s="140"/>
      <c r="CJ825" s="140"/>
      <c r="CK825" s="140"/>
      <c r="CL825" s="140"/>
      <c r="CM825" s="140"/>
      <c r="CN825" s="140"/>
      <c r="CO825" s="140"/>
      <c r="CP825" s="140"/>
      <c r="CQ825" s="140"/>
      <c r="CR825" s="140"/>
      <c r="CS825" s="140"/>
      <c r="CT825" s="140"/>
      <c r="CU825" s="140"/>
      <c r="CV825" s="140"/>
      <c r="CW825" s="140"/>
      <c r="CX825" s="140"/>
      <c r="CY825" s="140"/>
      <c r="CZ825" s="140"/>
      <c r="DA825" s="140"/>
      <c r="DB825" s="140"/>
      <c r="DC825" s="140"/>
      <c r="DD825" s="140"/>
      <c r="DE825" s="140"/>
      <c r="DF825" s="140"/>
      <c r="DG825" s="140"/>
      <c r="DH825" s="140"/>
      <c r="DI825" s="140"/>
      <c r="DJ825" s="140"/>
      <c r="DK825" s="140"/>
      <c r="DL825" s="140"/>
      <c r="DM825" s="140"/>
      <c r="DN825" s="140"/>
      <c r="DO825" s="140"/>
      <c r="DP825" s="140"/>
      <c r="DQ825" s="140"/>
      <c r="DR825" s="140"/>
      <c r="DS825" s="140"/>
      <c r="DT825" s="140"/>
      <c r="DU825" s="140"/>
      <c r="DV825" s="140"/>
      <c r="DW825" s="140"/>
      <c r="DX825" s="140"/>
      <c r="DY825" s="140"/>
      <c r="DZ825" s="140"/>
      <c r="EA825" s="140"/>
      <c r="EB825" s="140"/>
      <c r="EC825" s="140"/>
      <c r="ED825" s="140"/>
      <c r="EE825" s="140"/>
      <c r="EF825" s="140"/>
      <c r="EG825" s="140"/>
      <c r="EH825" s="140"/>
      <c r="EI825" s="140"/>
      <c r="EJ825" s="140"/>
      <c r="EK825" s="140"/>
      <c r="EL825" s="140"/>
      <c r="EM825" s="140"/>
      <c r="EN825" s="140"/>
      <c r="EO825" s="140"/>
      <c r="EP825" s="140"/>
      <c r="EQ825" s="140"/>
      <c r="ER825" s="140"/>
      <c r="ES825" s="140"/>
      <c r="ET825" s="140"/>
      <c r="EU825" s="140"/>
      <c r="EV825" s="140"/>
      <c r="EW825" s="140"/>
      <c r="EX825" s="140"/>
      <c r="EY825" s="140"/>
      <c r="EZ825" s="140"/>
      <c r="FA825" s="140"/>
      <c r="FB825" s="140"/>
      <c r="FC825" s="140"/>
      <c r="FD825" s="140"/>
      <c r="FE825" s="140"/>
      <c r="FF825" s="140"/>
      <c r="FG825" s="140"/>
      <c r="FH825" s="140"/>
      <c r="FI825" s="140"/>
      <c r="FJ825" s="140"/>
      <c r="FK825" s="140"/>
      <c r="FL825" s="140"/>
      <c r="FM825" s="140"/>
      <c r="FN825" s="140"/>
      <c r="FO825" s="140"/>
      <c r="FP825" s="140"/>
      <c r="FQ825" s="140"/>
      <c r="FR825" s="140"/>
      <c r="FS825" s="140"/>
      <c r="FT825" s="140"/>
      <c r="FU825" s="140"/>
      <c r="FV825" s="140"/>
      <c r="FW825" s="140"/>
      <c r="FX825" s="140"/>
      <c r="FY825" s="140"/>
      <c r="FZ825" s="140"/>
      <c r="GA825" s="140"/>
      <c r="GB825" s="140"/>
      <c r="GC825" s="140"/>
      <c r="GD825" s="140"/>
      <c r="GE825" s="140"/>
      <c r="GF825" s="140"/>
      <c r="GG825" s="140"/>
      <c r="GH825" s="140"/>
      <c r="GI825" s="140"/>
      <c r="GJ825" s="140"/>
      <c r="GK825" s="140"/>
      <c r="GL825" s="140"/>
      <c r="GM825" s="140"/>
      <c r="GN825" s="140"/>
      <c r="GO825" s="140"/>
      <c r="GP825" s="140"/>
      <c r="GQ825" s="140"/>
      <c r="GR825" s="140"/>
      <c r="GS825" s="140"/>
      <c r="GT825" s="140"/>
      <c r="GU825" s="140"/>
      <c r="GV825" s="140"/>
      <c r="GW825" s="140"/>
      <c r="GX825" s="140"/>
      <c r="GY825" s="140"/>
      <c r="GZ825" s="140"/>
      <c r="HA825" s="140"/>
      <c r="HB825" s="140"/>
      <c r="HC825" s="140"/>
      <c r="HD825" s="140"/>
      <c r="HE825" s="140"/>
      <c r="HF825" s="140"/>
      <c r="HG825" s="140"/>
      <c r="HH825" s="140"/>
      <c r="HI825" s="140"/>
      <c r="HJ825" s="140"/>
      <c r="HK825" s="140"/>
      <c r="HL825" s="140"/>
      <c r="HM825" s="140"/>
      <c r="HN825" s="140"/>
      <c r="HO825" s="140"/>
      <c r="HP825" s="140"/>
      <c r="HQ825" s="140"/>
      <c r="HR825" s="140"/>
      <c r="HS825" s="140"/>
      <c r="HT825" s="140"/>
      <c r="HU825" s="140"/>
      <c r="HV825" s="140"/>
      <c r="HW825" s="140"/>
      <c r="HX825" s="140"/>
      <c r="HY825" s="140"/>
      <c r="HZ825" s="140"/>
      <c r="IA825" s="140"/>
      <c r="IB825" s="140"/>
      <c r="IC825" s="140"/>
      <c r="ID825" s="140"/>
      <c r="IE825" s="140"/>
      <c r="IF825" s="140"/>
      <c r="IG825" s="140"/>
      <c r="IH825" s="140"/>
      <c r="II825" s="140"/>
      <c r="IJ825" s="140"/>
      <c r="IK825" s="140"/>
      <c r="IL825" s="140"/>
      <c r="IM825" s="140"/>
      <c r="IN825" s="140"/>
      <c r="IO825" s="140"/>
      <c r="IP825" s="140"/>
      <c r="IQ825" s="140"/>
      <c r="IR825" s="140"/>
      <c r="IS825" s="140"/>
      <c r="IT825" s="140"/>
      <c r="IU825" s="140"/>
      <c r="IV825" s="140"/>
      <c r="IW825" s="140"/>
      <c r="IX825" s="140"/>
      <c r="IY825" s="140"/>
      <c r="IZ825" s="140"/>
      <c r="JA825" s="140"/>
      <c r="JB825" s="140"/>
      <c r="JC825" s="140"/>
      <c r="JD825" s="140"/>
      <c r="JE825" s="140"/>
      <c r="JF825" s="140"/>
      <c r="JG825" s="140"/>
      <c r="JH825" s="140"/>
      <c r="JI825" s="140"/>
      <c r="JJ825" s="140"/>
      <c r="JK825" s="140"/>
      <c r="JL825" s="140"/>
      <c r="JM825" s="140"/>
      <c r="JN825" s="140"/>
      <c r="JO825" s="140"/>
      <c r="JP825" s="140"/>
      <c r="JQ825" s="140"/>
      <c r="JR825" s="140"/>
      <c r="JS825" s="140"/>
      <c r="JT825" s="140"/>
      <c r="JU825" s="140"/>
      <c r="JV825" s="140"/>
      <c r="JW825" s="140"/>
      <c r="JX825" s="140"/>
      <c r="JY825" s="140"/>
      <c r="JZ825" s="140"/>
      <c r="KA825" s="140"/>
      <c r="KB825" s="140"/>
      <c r="KC825" s="140"/>
      <c r="KD825" s="140"/>
      <c r="KE825" s="140"/>
      <c r="KF825" s="140"/>
      <c r="KG825" s="140"/>
      <c r="KH825" s="140"/>
      <c r="KI825" s="140"/>
      <c r="KJ825" s="140"/>
      <c r="KK825" s="140"/>
      <c r="KL825" s="140"/>
      <c r="KM825" s="140"/>
      <c r="KN825" s="140"/>
      <c r="KO825" s="140"/>
      <c r="KP825" s="140"/>
      <c r="KQ825" s="140"/>
      <c r="KR825" s="140"/>
      <c r="KS825" s="140"/>
      <c r="KT825" s="140"/>
      <c r="KU825" s="140"/>
      <c r="KV825" s="140"/>
      <c r="KW825" s="140"/>
      <c r="KX825" s="140"/>
      <c r="KY825" s="140"/>
      <c r="KZ825" s="140"/>
      <c r="LA825" s="140"/>
      <c r="LB825" s="140"/>
      <c r="LC825" s="140"/>
      <c r="LD825" s="140"/>
      <c r="LE825" s="140"/>
      <c r="LF825" s="140"/>
      <c r="LG825" s="140"/>
      <c r="LH825" s="140"/>
      <c r="LI825" s="140"/>
      <c r="LJ825" s="140"/>
      <c r="LK825" s="140"/>
      <c r="LL825" s="140"/>
      <c r="LM825" s="140"/>
      <c r="LN825" s="140"/>
      <c r="LO825" s="140"/>
      <c r="LP825" s="140"/>
      <c r="LQ825" s="140"/>
      <c r="LR825" s="140"/>
      <c r="LS825" s="140"/>
      <c r="LT825" s="140"/>
      <c r="LU825" s="140"/>
      <c r="LV825" s="140"/>
      <c r="LW825" s="140"/>
      <c r="LX825" s="140"/>
      <c r="LY825" s="140"/>
      <c r="LZ825" s="140"/>
      <c r="MA825" s="140"/>
      <c r="MB825" s="140"/>
      <c r="MC825" s="140"/>
      <c r="MD825" s="140"/>
      <c r="ME825" s="140"/>
      <c r="MF825" s="140"/>
      <c r="MG825" s="140"/>
      <c r="MH825" s="140"/>
      <c r="MI825" s="140"/>
      <c r="MJ825" s="140"/>
      <c r="MK825" s="140"/>
      <c r="ML825" s="140"/>
    </row>
    <row r="826" spans="3:350" s="4" customFormat="1" ht="15" customHeight="1" x14ac:dyDescent="0.3">
      <c r="C826" s="436" t="s">
        <v>374</v>
      </c>
      <c r="D826" s="324">
        <f>(LR670-LR689-LR690)*LO510</f>
        <v>40068.138868036214</v>
      </c>
      <c r="E826" s="324">
        <f>D826/7</f>
        <v>5724.0198382908875</v>
      </c>
      <c r="F826" s="437">
        <f>D826/D821-1</f>
        <v>-0.52185405456433442</v>
      </c>
      <c r="H826" s="140"/>
      <c r="I826" s="140"/>
      <c r="J826" s="140"/>
      <c r="K826" s="140"/>
      <c r="L826" s="140"/>
      <c r="M826" s="140"/>
      <c r="N826" s="140"/>
      <c r="O826" s="140"/>
      <c r="P826" s="140"/>
      <c r="Q826" s="140"/>
      <c r="R826" s="140"/>
      <c r="S826" s="140"/>
      <c r="T826" s="140"/>
      <c r="U826" s="140"/>
      <c r="V826" s="140"/>
      <c r="W826" s="140"/>
      <c r="X826" s="140"/>
      <c r="Y826" s="140"/>
      <c r="Z826" s="140"/>
      <c r="AA826" s="140"/>
      <c r="AB826" s="140"/>
      <c r="AC826" s="140"/>
      <c r="AD826" s="140"/>
      <c r="AE826" s="140"/>
      <c r="AF826" s="140"/>
      <c r="AG826" s="140"/>
      <c r="AH826" s="140"/>
      <c r="AI826" s="140"/>
      <c r="AJ826" s="140"/>
      <c r="AK826" s="140"/>
      <c r="AL826" s="140"/>
      <c r="AM826" s="140"/>
      <c r="AN826" s="140"/>
      <c r="AO826" s="140"/>
      <c r="AP826" s="140"/>
      <c r="AQ826" s="140"/>
      <c r="AR826" s="140"/>
      <c r="AS826" s="140"/>
      <c r="AT826" s="140"/>
      <c r="AU826" s="140"/>
      <c r="AV826" s="140"/>
      <c r="AW826" s="140"/>
      <c r="AX826" s="140"/>
      <c r="AY826" s="140"/>
      <c r="AZ826" s="140"/>
      <c r="BA826" s="140"/>
      <c r="BB826" s="140"/>
      <c r="BC826" s="140"/>
      <c r="BD826" s="140"/>
      <c r="BE826" s="140"/>
      <c r="BF826" s="140"/>
      <c r="BG826" s="140"/>
      <c r="BH826" s="140"/>
      <c r="BI826" s="140"/>
      <c r="BJ826" s="140"/>
      <c r="BK826" s="140"/>
      <c r="BL826" s="140"/>
      <c r="BM826" s="140"/>
      <c r="BN826" s="140"/>
      <c r="BO826" s="140"/>
      <c r="BP826" s="140"/>
      <c r="BQ826" s="140"/>
      <c r="BR826" s="140"/>
      <c r="BS826" s="140"/>
      <c r="BT826" s="140"/>
      <c r="BU826" s="140"/>
      <c r="BV826" s="140"/>
      <c r="BW826" s="140"/>
      <c r="BX826" s="140"/>
      <c r="BY826" s="140"/>
      <c r="BZ826" s="140"/>
      <c r="CA826" s="140"/>
      <c r="CB826" s="140"/>
      <c r="CC826" s="140"/>
      <c r="CD826" s="140"/>
      <c r="CE826" s="140"/>
      <c r="CF826" s="140"/>
      <c r="CG826" s="140"/>
      <c r="CH826" s="140"/>
      <c r="CI826" s="140"/>
      <c r="CJ826" s="140"/>
      <c r="CK826" s="140"/>
      <c r="CL826" s="140"/>
      <c r="CM826" s="140"/>
      <c r="CN826" s="140"/>
      <c r="CO826" s="140"/>
      <c r="CP826" s="140"/>
      <c r="CQ826" s="140"/>
      <c r="CR826" s="140"/>
      <c r="CS826" s="140"/>
      <c r="CT826" s="140"/>
      <c r="CU826" s="140"/>
      <c r="CV826" s="140"/>
      <c r="CW826" s="140"/>
      <c r="CX826" s="140"/>
      <c r="CY826" s="140"/>
      <c r="CZ826" s="140"/>
      <c r="DA826" s="140"/>
      <c r="DB826" s="140"/>
      <c r="DC826" s="140"/>
      <c r="DD826" s="140"/>
      <c r="DE826" s="140"/>
      <c r="DF826" s="140"/>
      <c r="DG826" s="140"/>
      <c r="DH826" s="140"/>
      <c r="DI826" s="140"/>
      <c r="DJ826" s="140"/>
      <c r="DK826" s="140"/>
      <c r="DL826" s="140"/>
      <c r="DM826" s="140"/>
      <c r="DN826" s="140"/>
      <c r="DO826" s="140"/>
      <c r="DP826" s="140"/>
      <c r="DQ826" s="140"/>
      <c r="DR826" s="140"/>
      <c r="DS826" s="140"/>
      <c r="DT826" s="140"/>
      <c r="DU826" s="140"/>
      <c r="DV826" s="140"/>
      <c r="DW826" s="140"/>
      <c r="DX826" s="140"/>
      <c r="DY826" s="140"/>
      <c r="DZ826" s="140"/>
      <c r="EA826" s="140"/>
      <c r="EB826" s="140"/>
      <c r="EC826" s="140"/>
      <c r="ED826" s="140"/>
      <c r="EE826" s="140"/>
      <c r="EF826" s="140"/>
      <c r="EG826" s="140"/>
      <c r="EH826" s="140"/>
      <c r="EI826" s="140"/>
      <c r="EJ826" s="140"/>
      <c r="EK826" s="140"/>
      <c r="EL826" s="140"/>
      <c r="EM826" s="140"/>
      <c r="EN826" s="140"/>
      <c r="EO826" s="140"/>
      <c r="EP826" s="140"/>
      <c r="EQ826" s="140"/>
      <c r="ER826" s="140"/>
      <c r="ES826" s="140"/>
      <c r="ET826" s="140"/>
      <c r="EU826" s="140"/>
      <c r="EV826" s="140"/>
      <c r="EW826" s="140"/>
      <c r="EX826" s="140"/>
      <c r="EY826" s="140"/>
      <c r="EZ826" s="140"/>
      <c r="FA826" s="140"/>
      <c r="FB826" s="140"/>
      <c r="FC826" s="140"/>
      <c r="FD826" s="140"/>
      <c r="FE826" s="140"/>
      <c r="FF826" s="140"/>
      <c r="FG826" s="140"/>
      <c r="FH826" s="140"/>
      <c r="FI826" s="140"/>
      <c r="FJ826" s="140"/>
      <c r="FK826" s="140"/>
      <c r="FL826" s="140"/>
      <c r="FM826" s="140"/>
      <c r="FN826" s="140"/>
      <c r="FO826" s="140"/>
      <c r="FP826" s="140"/>
      <c r="FQ826" s="140"/>
      <c r="FR826" s="140"/>
      <c r="FS826" s="140"/>
      <c r="FT826" s="140"/>
      <c r="FU826" s="140"/>
      <c r="FV826" s="140"/>
      <c r="FW826" s="140"/>
      <c r="FX826" s="140"/>
      <c r="FY826" s="140"/>
      <c r="FZ826" s="140"/>
      <c r="GA826" s="140"/>
      <c r="GB826" s="140"/>
      <c r="GC826" s="140"/>
      <c r="GD826" s="140"/>
      <c r="GE826" s="140"/>
      <c r="GF826" s="140"/>
      <c r="GG826" s="140"/>
      <c r="GH826" s="140"/>
      <c r="GI826" s="140"/>
      <c r="GJ826" s="140"/>
      <c r="GK826" s="140"/>
      <c r="GL826" s="140"/>
      <c r="GM826" s="140"/>
      <c r="GN826" s="140"/>
      <c r="GO826" s="140"/>
      <c r="GP826" s="140"/>
      <c r="GQ826" s="140"/>
      <c r="GR826" s="140"/>
      <c r="GS826" s="140"/>
      <c r="GT826" s="140"/>
      <c r="GU826" s="140"/>
      <c r="GV826" s="140"/>
      <c r="GW826" s="140"/>
      <c r="GX826" s="140"/>
      <c r="GY826" s="140"/>
      <c r="GZ826" s="140"/>
      <c r="HA826" s="140"/>
      <c r="HB826" s="140"/>
      <c r="HC826" s="140"/>
      <c r="HD826" s="140"/>
      <c r="HE826" s="140"/>
      <c r="HF826" s="140"/>
      <c r="HG826" s="140"/>
      <c r="HH826" s="140"/>
      <c r="HI826" s="140"/>
      <c r="HJ826" s="140"/>
      <c r="HK826" s="140"/>
      <c r="HL826" s="140"/>
      <c r="HM826" s="140"/>
      <c r="HN826" s="140"/>
      <c r="HO826" s="140"/>
      <c r="HP826" s="140"/>
      <c r="HQ826" s="140"/>
      <c r="HR826" s="140"/>
      <c r="HS826" s="140"/>
      <c r="HT826" s="140"/>
      <c r="HU826" s="140"/>
      <c r="HV826" s="140"/>
      <c r="HW826" s="140"/>
      <c r="HX826" s="140"/>
      <c r="HY826" s="140"/>
      <c r="HZ826" s="140"/>
      <c r="IA826" s="140"/>
      <c r="IB826" s="140"/>
      <c r="IC826" s="140"/>
      <c r="ID826" s="140"/>
      <c r="IE826" s="140"/>
      <c r="IF826" s="140"/>
      <c r="IG826" s="140"/>
      <c r="IH826" s="140"/>
      <c r="II826" s="140"/>
      <c r="IJ826" s="140"/>
      <c r="IK826" s="140"/>
      <c r="IL826" s="140"/>
      <c r="IM826" s="140"/>
      <c r="IN826" s="140"/>
      <c r="IO826" s="140"/>
      <c r="IP826" s="140"/>
      <c r="IQ826" s="140"/>
      <c r="IR826" s="140"/>
      <c r="IS826" s="140"/>
      <c r="IT826" s="140"/>
      <c r="IU826" s="140"/>
      <c r="IV826" s="140"/>
      <c r="IW826" s="140"/>
      <c r="IX826" s="140"/>
      <c r="IY826" s="140"/>
      <c r="IZ826" s="140"/>
      <c r="JA826" s="140"/>
      <c r="JB826" s="140"/>
      <c r="JC826" s="140"/>
      <c r="JD826" s="140"/>
      <c r="JE826" s="140"/>
      <c r="JF826" s="140"/>
      <c r="JG826" s="140"/>
      <c r="JH826" s="140"/>
      <c r="JI826" s="140"/>
      <c r="JJ826" s="140"/>
      <c r="JK826" s="140"/>
      <c r="JL826" s="140"/>
      <c r="JM826" s="140"/>
      <c r="JN826" s="140"/>
      <c r="JO826" s="140"/>
      <c r="JP826" s="140"/>
      <c r="JQ826" s="140"/>
      <c r="JR826" s="140"/>
      <c r="JS826" s="140"/>
      <c r="JT826" s="140"/>
      <c r="JU826" s="140"/>
      <c r="JV826" s="140"/>
      <c r="JW826" s="140"/>
      <c r="JX826" s="140"/>
      <c r="JY826" s="140"/>
      <c r="JZ826" s="140"/>
      <c r="KA826" s="140"/>
      <c r="KB826" s="140"/>
      <c r="KC826" s="140"/>
      <c r="KD826" s="140"/>
      <c r="KE826" s="140"/>
      <c r="KF826" s="140"/>
      <c r="KG826" s="140"/>
      <c r="KH826" s="140"/>
      <c r="KI826" s="140"/>
      <c r="KJ826" s="140"/>
      <c r="KK826" s="140"/>
      <c r="KL826" s="140"/>
      <c r="KM826" s="140"/>
      <c r="KN826" s="140"/>
      <c r="KO826" s="140"/>
      <c r="KP826" s="140"/>
      <c r="KQ826" s="140"/>
      <c r="KR826" s="140"/>
      <c r="KS826" s="140"/>
      <c r="KT826" s="140"/>
      <c r="KU826" s="140"/>
      <c r="KV826" s="140"/>
      <c r="KW826" s="140"/>
      <c r="KX826" s="140"/>
      <c r="KY826" s="140"/>
      <c r="KZ826" s="140"/>
      <c r="LA826" s="140"/>
      <c r="LB826" s="140"/>
      <c r="LC826" s="140"/>
      <c r="LD826" s="140"/>
      <c r="LE826" s="140"/>
      <c r="LF826" s="140"/>
      <c r="LG826" s="140"/>
      <c r="LH826" s="140"/>
      <c r="LI826" s="140"/>
      <c r="LJ826" s="140"/>
      <c r="LK826" s="140"/>
      <c r="LL826" s="140"/>
      <c r="LM826" s="140"/>
      <c r="LN826" s="140"/>
      <c r="LO826" s="140"/>
      <c r="LP826" s="140"/>
      <c r="LQ826" s="140"/>
      <c r="LR826" s="140"/>
      <c r="LS826" s="140"/>
      <c r="LT826" s="140"/>
      <c r="LU826" s="140"/>
      <c r="LV826" s="140"/>
      <c r="LW826" s="140"/>
      <c r="LX826" s="140"/>
      <c r="LY826" s="140"/>
      <c r="LZ826" s="140"/>
      <c r="MA826" s="140"/>
      <c r="MB826" s="140"/>
      <c r="MC826" s="140"/>
      <c r="MD826" s="140"/>
      <c r="ME826" s="140"/>
      <c r="MF826" s="140"/>
      <c r="MG826" s="140"/>
      <c r="MH826" s="140"/>
      <c r="MI826" s="140"/>
      <c r="MJ826" s="140"/>
      <c r="MK826" s="140"/>
      <c r="ML826" s="140"/>
    </row>
    <row r="827" spans="3:350" s="4" customFormat="1" ht="15" customHeight="1" x14ac:dyDescent="0.3">
      <c r="C827" s="436" t="s">
        <v>471</v>
      </c>
      <c r="D827" s="324">
        <f>(MB670-MB689-MB690)*LY510</f>
        <v>44284.58862453443</v>
      </c>
      <c r="E827" s="324">
        <f>D827/10</f>
        <v>4428.4588624534426</v>
      </c>
      <c r="H827" s="140"/>
      <c r="I827" s="140"/>
      <c r="J827" s="140"/>
      <c r="K827" s="140"/>
      <c r="L827" s="140"/>
      <c r="M827" s="140"/>
      <c r="N827" s="140"/>
      <c r="O827" s="140"/>
      <c r="P827" s="140"/>
      <c r="Q827" s="140"/>
      <c r="R827" s="140"/>
      <c r="S827" s="140"/>
      <c r="T827" s="140"/>
      <c r="U827" s="140"/>
      <c r="V827" s="140"/>
      <c r="W827" s="140"/>
      <c r="X827" s="140"/>
      <c r="Y827" s="140"/>
      <c r="Z827" s="140"/>
      <c r="AA827" s="140"/>
      <c r="AB827" s="140"/>
      <c r="AC827" s="140"/>
      <c r="AD827" s="140"/>
      <c r="AE827" s="140"/>
      <c r="AF827" s="140"/>
      <c r="AG827" s="140"/>
      <c r="AH827" s="140"/>
      <c r="AI827" s="140"/>
      <c r="AJ827" s="140"/>
      <c r="AK827" s="140"/>
      <c r="AL827" s="140"/>
      <c r="AM827" s="140"/>
      <c r="AN827" s="140"/>
      <c r="AO827" s="140"/>
      <c r="AP827" s="140"/>
      <c r="AQ827" s="140"/>
      <c r="AR827" s="140"/>
      <c r="AS827" s="140"/>
      <c r="AT827" s="140"/>
      <c r="AU827" s="140"/>
      <c r="AV827" s="140"/>
      <c r="AW827" s="140"/>
      <c r="AX827" s="140"/>
      <c r="AY827" s="140"/>
      <c r="AZ827" s="140"/>
      <c r="BA827" s="140"/>
      <c r="BB827" s="140"/>
      <c r="BC827" s="140"/>
      <c r="BD827" s="140"/>
      <c r="BE827" s="140"/>
      <c r="BF827" s="140"/>
      <c r="BG827" s="140"/>
      <c r="BH827" s="140"/>
      <c r="BI827" s="140"/>
      <c r="BJ827" s="140"/>
      <c r="BK827" s="140"/>
      <c r="BL827" s="140"/>
      <c r="BM827" s="140"/>
      <c r="BN827" s="140"/>
      <c r="BO827" s="140"/>
      <c r="BP827" s="140"/>
      <c r="BQ827" s="140"/>
      <c r="BR827" s="140"/>
      <c r="BS827" s="140"/>
      <c r="BT827" s="140"/>
      <c r="BU827" s="140"/>
      <c r="BV827" s="140"/>
      <c r="BW827" s="140"/>
      <c r="BX827" s="140"/>
      <c r="BY827" s="140"/>
      <c r="BZ827" s="140"/>
      <c r="CA827" s="140"/>
      <c r="CB827" s="140"/>
      <c r="CC827" s="140"/>
      <c r="CD827" s="140"/>
      <c r="CE827" s="140"/>
      <c r="CF827" s="140"/>
      <c r="CG827" s="140"/>
      <c r="CH827" s="140"/>
      <c r="CI827" s="140"/>
      <c r="CJ827" s="140"/>
      <c r="CK827" s="140"/>
      <c r="CL827" s="140"/>
      <c r="CM827" s="140"/>
      <c r="CN827" s="140"/>
      <c r="CO827" s="140"/>
      <c r="CP827" s="140"/>
      <c r="CQ827" s="140"/>
      <c r="CR827" s="140"/>
      <c r="CS827" s="140"/>
      <c r="CT827" s="140"/>
      <c r="CU827" s="140"/>
      <c r="CV827" s="140"/>
      <c r="CW827" s="140"/>
      <c r="CX827" s="140"/>
      <c r="CY827" s="140"/>
      <c r="CZ827" s="140"/>
      <c r="DA827" s="140"/>
      <c r="DB827" s="140"/>
      <c r="DC827" s="140"/>
      <c r="DD827" s="140"/>
      <c r="DE827" s="140"/>
      <c r="DF827" s="140"/>
      <c r="DG827" s="140"/>
      <c r="DH827" s="140"/>
      <c r="DI827" s="140"/>
      <c r="DJ827" s="140"/>
      <c r="DK827" s="140"/>
      <c r="DL827" s="140"/>
      <c r="DM827" s="140"/>
      <c r="DN827" s="140"/>
      <c r="DO827" s="140"/>
      <c r="DP827" s="140"/>
      <c r="DQ827" s="140"/>
      <c r="DR827" s="140"/>
      <c r="DS827" s="140"/>
      <c r="DT827" s="140"/>
      <c r="DU827" s="140"/>
      <c r="DV827" s="140"/>
      <c r="DW827" s="140"/>
      <c r="DX827" s="140"/>
      <c r="DY827" s="140"/>
      <c r="DZ827" s="140"/>
      <c r="EA827" s="140"/>
      <c r="EB827" s="140"/>
      <c r="EC827" s="140"/>
      <c r="ED827" s="140"/>
      <c r="EE827" s="140"/>
      <c r="EF827" s="140"/>
      <c r="EG827" s="140"/>
      <c r="EH827" s="140"/>
      <c r="EI827" s="140"/>
      <c r="EJ827" s="140"/>
      <c r="EK827" s="140"/>
      <c r="EL827" s="140"/>
      <c r="EM827" s="140"/>
      <c r="EN827" s="140"/>
      <c r="EO827" s="140"/>
      <c r="EP827" s="140"/>
      <c r="EQ827" s="140"/>
      <c r="ER827" s="140"/>
      <c r="ES827" s="140"/>
      <c r="ET827" s="140"/>
      <c r="EU827" s="140"/>
      <c r="EV827" s="140"/>
      <c r="EW827" s="140"/>
      <c r="EX827" s="140"/>
      <c r="EY827" s="140"/>
      <c r="EZ827" s="140"/>
      <c r="FA827" s="140"/>
      <c r="FB827" s="140"/>
      <c r="FC827" s="140"/>
      <c r="FD827" s="140"/>
      <c r="FE827" s="140"/>
      <c r="FF827" s="140"/>
      <c r="FG827" s="140"/>
      <c r="FH827" s="140"/>
      <c r="FI827" s="140"/>
      <c r="FJ827" s="140"/>
      <c r="FK827" s="140"/>
      <c r="FL827" s="140"/>
      <c r="FM827" s="140"/>
      <c r="FN827" s="140"/>
      <c r="FO827" s="140"/>
      <c r="FP827" s="140"/>
      <c r="FQ827" s="140"/>
      <c r="FR827" s="140"/>
      <c r="FS827" s="140"/>
      <c r="FT827" s="140"/>
      <c r="FU827" s="140"/>
      <c r="FV827" s="140"/>
      <c r="FW827" s="140"/>
      <c r="FX827" s="140"/>
      <c r="FY827" s="140"/>
      <c r="FZ827" s="140"/>
      <c r="GA827" s="140"/>
      <c r="GB827" s="140"/>
      <c r="GC827" s="140"/>
      <c r="GD827" s="140"/>
      <c r="GE827" s="140"/>
      <c r="GF827" s="140"/>
      <c r="GG827" s="140"/>
      <c r="GH827" s="140"/>
      <c r="GI827" s="140"/>
      <c r="GJ827" s="140"/>
      <c r="GK827" s="140"/>
      <c r="GL827" s="140"/>
      <c r="GM827" s="140"/>
      <c r="GN827" s="140"/>
      <c r="GO827" s="140"/>
      <c r="GP827" s="140"/>
      <c r="GQ827" s="140"/>
      <c r="GR827" s="140"/>
      <c r="GS827" s="140"/>
      <c r="GT827" s="140"/>
      <c r="GU827" s="140"/>
      <c r="GV827" s="140"/>
      <c r="GW827" s="140"/>
      <c r="GX827" s="140"/>
      <c r="GY827" s="140"/>
      <c r="GZ827" s="140"/>
      <c r="HA827" s="140"/>
      <c r="HB827" s="140"/>
      <c r="HC827" s="140"/>
      <c r="HD827" s="140"/>
      <c r="HE827" s="140"/>
      <c r="HF827" s="140"/>
      <c r="HG827" s="140"/>
      <c r="HH827" s="140"/>
      <c r="HI827" s="140"/>
      <c r="HJ827" s="140"/>
      <c r="HK827" s="140"/>
      <c r="HL827" s="140"/>
      <c r="HM827" s="140"/>
      <c r="HN827" s="140"/>
      <c r="HO827" s="140"/>
      <c r="HP827" s="140"/>
      <c r="HQ827" s="140"/>
      <c r="HR827" s="140"/>
      <c r="HS827" s="140"/>
      <c r="HT827" s="140"/>
      <c r="HU827" s="140"/>
      <c r="HV827" s="140"/>
      <c r="HW827" s="140"/>
      <c r="HX827" s="140"/>
      <c r="HY827" s="140"/>
      <c r="HZ827" s="140"/>
      <c r="IA827" s="140"/>
      <c r="IB827" s="140"/>
      <c r="IC827" s="140"/>
      <c r="ID827" s="140"/>
      <c r="IE827" s="140"/>
      <c r="IF827" s="140"/>
      <c r="IG827" s="140"/>
      <c r="IH827" s="140"/>
      <c r="II827" s="140"/>
      <c r="IJ827" s="140"/>
      <c r="IK827" s="140"/>
      <c r="IL827" s="140"/>
      <c r="IM827" s="140"/>
      <c r="IN827" s="140"/>
      <c r="IO827" s="140"/>
      <c r="IP827" s="140"/>
      <c r="IQ827" s="140"/>
      <c r="IR827" s="140"/>
      <c r="IS827" s="140"/>
      <c r="IT827" s="140"/>
      <c r="IU827" s="140"/>
      <c r="IV827" s="140"/>
      <c r="IW827" s="140"/>
      <c r="IX827" s="140"/>
      <c r="IY827" s="140"/>
      <c r="IZ827" s="140"/>
      <c r="JA827" s="140"/>
      <c r="JB827" s="140"/>
      <c r="JC827" s="140"/>
      <c r="JD827" s="140"/>
      <c r="JE827" s="140"/>
      <c r="JF827" s="140"/>
      <c r="JG827" s="140"/>
      <c r="JH827" s="140"/>
      <c r="JI827" s="140"/>
      <c r="JJ827" s="140"/>
      <c r="JK827" s="140"/>
      <c r="JL827" s="140"/>
      <c r="JM827" s="140"/>
      <c r="JN827" s="140"/>
      <c r="JO827" s="140"/>
      <c r="JP827" s="140"/>
      <c r="JQ827" s="140"/>
      <c r="JR827" s="140"/>
      <c r="JS827" s="140"/>
      <c r="JT827" s="140"/>
      <c r="JU827" s="140"/>
      <c r="JV827" s="140"/>
      <c r="JW827" s="140"/>
      <c r="JX827" s="140"/>
      <c r="JY827" s="140"/>
      <c r="JZ827" s="140"/>
      <c r="KA827" s="140"/>
      <c r="KB827" s="140"/>
      <c r="KC827" s="140"/>
      <c r="KD827" s="140"/>
      <c r="KE827" s="140"/>
      <c r="KF827" s="140"/>
      <c r="KG827" s="140"/>
      <c r="KH827" s="140"/>
      <c r="KI827" s="140"/>
      <c r="KJ827" s="140"/>
      <c r="KK827" s="140"/>
      <c r="KL827" s="140"/>
      <c r="KM827" s="140"/>
      <c r="KN827" s="140"/>
      <c r="KO827" s="140"/>
      <c r="KP827" s="140"/>
      <c r="KQ827" s="140"/>
      <c r="KR827" s="140"/>
      <c r="KS827" s="140"/>
      <c r="KT827" s="140"/>
      <c r="KU827" s="140"/>
      <c r="KV827" s="140"/>
      <c r="KW827" s="140"/>
      <c r="KX827" s="140"/>
      <c r="KY827" s="140"/>
      <c r="KZ827" s="140"/>
      <c r="LA827" s="140"/>
      <c r="LB827" s="140"/>
      <c r="LC827" s="140"/>
      <c r="LD827" s="140"/>
      <c r="LE827" s="140"/>
      <c r="LF827" s="140"/>
      <c r="LG827" s="140"/>
      <c r="LH827" s="140"/>
      <c r="LI827" s="140"/>
      <c r="LJ827" s="140"/>
      <c r="LK827" s="140"/>
      <c r="LL827" s="140"/>
      <c r="LM827" s="140"/>
      <c r="LN827" s="140"/>
      <c r="LO827" s="140"/>
      <c r="LP827" s="140"/>
      <c r="LQ827" s="140"/>
      <c r="LR827" s="140"/>
      <c r="LS827" s="140"/>
      <c r="LT827" s="140"/>
      <c r="LU827" s="140"/>
      <c r="LV827" s="140"/>
      <c r="LW827" s="140"/>
      <c r="LX827" s="140"/>
      <c r="LY827" s="140"/>
      <c r="LZ827" s="140"/>
      <c r="MA827" s="140"/>
      <c r="MB827" s="140"/>
      <c r="MC827" s="140"/>
      <c r="MD827" s="140"/>
      <c r="ME827" s="140"/>
      <c r="MF827" s="140"/>
      <c r="MG827" s="140"/>
      <c r="MH827" s="140"/>
      <c r="MI827" s="140"/>
      <c r="MJ827" s="140"/>
      <c r="MK827" s="140"/>
      <c r="ML827" s="140"/>
    </row>
    <row r="828" spans="3:350" s="4" customFormat="1" ht="15" customHeight="1" x14ac:dyDescent="0.3">
      <c r="C828" s="436" t="s">
        <v>472</v>
      </c>
      <c r="D828" s="324">
        <f>(ML670-ML689-ML690)*MI510</f>
        <v>32011.001762982905</v>
      </c>
      <c r="E828" s="324">
        <f>D828/10</f>
        <v>3201.1001762982905</v>
      </c>
      <c r="F828" s="437">
        <f>SUM(D827:D828)/D$822-1</f>
        <v>-0.1433203055604898</v>
      </c>
      <c r="H828" s="140"/>
      <c r="I828" s="140"/>
      <c r="J828" s="140"/>
      <c r="K828" s="140"/>
      <c r="L828" s="140"/>
      <c r="M828" s="140"/>
      <c r="N828" s="140"/>
      <c r="O828" s="140"/>
      <c r="P828" s="140"/>
      <c r="Q828" s="140"/>
      <c r="R828" s="140"/>
      <c r="S828" s="140"/>
      <c r="T828" s="140"/>
      <c r="U828" s="140"/>
      <c r="V828" s="140"/>
      <c r="W828" s="140"/>
      <c r="X828" s="140"/>
      <c r="Y828" s="140"/>
      <c r="Z828" s="140"/>
      <c r="AA828" s="140"/>
      <c r="AB828" s="140"/>
      <c r="AC828" s="140"/>
      <c r="AD828" s="140"/>
      <c r="AE828" s="140"/>
      <c r="AF828" s="140"/>
      <c r="AG828" s="140"/>
      <c r="AH828" s="140"/>
      <c r="AI828" s="140"/>
      <c r="AJ828" s="140"/>
      <c r="AK828" s="140"/>
      <c r="AL828" s="140"/>
      <c r="AM828" s="140"/>
      <c r="AN828" s="140"/>
      <c r="AO828" s="140"/>
      <c r="AP828" s="140"/>
      <c r="AQ828" s="140"/>
      <c r="AR828" s="140"/>
      <c r="AS828" s="140"/>
      <c r="AT828" s="140"/>
      <c r="AU828" s="140"/>
      <c r="AV828" s="140"/>
      <c r="AW828" s="140"/>
      <c r="AX828" s="140"/>
      <c r="AY828" s="140"/>
      <c r="AZ828" s="140"/>
      <c r="BA828" s="140"/>
      <c r="BB828" s="140"/>
      <c r="BC828" s="140"/>
      <c r="BD828" s="140"/>
      <c r="BE828" s="140"/>
      <c r="BF828" s="140"/>
      <c r="BG828" s="140"/>
      <c r="BH828" s="140"/>
      <c r="BI828" s="140"/>
      <c r="BJ828" s="140"/>
      <c r="BK828" s="140"/>
      <c r="BL828" s="140"/>
      <c r="BM828" s="140"/>
      <c r="BN828" s="140"/>
      <c r="BO828" s="140"/>
      <c r="BP828" s="140"/>
      <c r="BQ828" s="140"/>
      <c r="BR828" s="140"/>
      <c r="BS828" s="140"/>
      <c r="BT828" s="140"/>
      <c r="BU828" s="140"/>
      <c r="BV828" s="140"/>
      <c r="BW828" s="140"/>
      <c r="BX828" s="140"/>
      <c r="BY828" s="140"/>
      <c r="BZ828" s="140"/>
      <c r="CA828" s="140"/>
      <c r="CB828" s="140"/>
      <c r="CC828" s="140"/>
      <c r="CD828" s="140"/>
      <c r="CE828" s="140"/>
      <c r="CF828" s="140"/>
      <c r="CG828" s="140"/>
      <c r="CH828" s="140"/>
      <c r="CI828" s="140"/>
      <c r="CJ828" s="140"/>
      <c r="CK828" s="140"/>
      <c r="CL828" s="140"/>
      <c r="CM828" s="140"/>
      <c r="CN828" s="140"/>
      <c r="CO828" s="140"/>
      <c r="CP828" s="140"/>
      <c r="CQ828" s="140"/>
      <c r="CR828" s="140"/>
      <c r="CS828" s="140"/>
      <c r="CT828" s="140"/>
      <c r="CU828" s="140"/>
      <c r="CV828" s="140"/>
      <c r="CW828" s="140"/>
      <c r="CX828" s="140"/>
      <c r="CY828" s="140"/>
      <c r="CZ828" s="140"/>
      <c r="DA828" s="140"/>
      <c r="DB828" s="140"/>
      <c r="DC828" s="140"/>
      <c r="DD828" s="140"/>
      <c r="DE828" s="140"/>
      <c r="DF828" s="140"/>
      <c r="DG828" s="140"/>
      <c r="DH828" s="140"/>
      <c r="DI828" s="140"/>
      <c r="DJ828" s="140"/>
      <c r="DK828" s="140"/>
      <c r="DL828" s="140"/>
      <c r="DM828" s="140"/>
      <c r="DN828" s="140"/>
      <c r="DO828" s="140"/>
      <c r="DP828" s="140"/>
      <c r="DQ828" s="140"/>
      <c r="DR828" s="140"/>
      <c r="DS828" s="140"/>
      <c r="DT828" s="140"/>
      <c r="DU828" s="140"/>
      <c r="DV828" s="140"/>
      <c r="DW828" s="140"/>
      <c r="DX828" s="140"/>
      <c r="DY828" s="140"/>
      <c r="DZ828" s="140"/>
      <c r="EA828" s="140"/>
      <c r="EB828" s="140"/>
      <c r="EC828" s="140"/>
      <c r="ED828" s="140"/>
      <c r="EE828" s="140"/>
      <c r="EF828" s="140"/>
      <c r="EG828" s="140"/>
      <c r="EH828" s="140"/>
      <c r="EI828" s="140"/>
      <c r="EJ828" s="140"/>
      <c r="EK828" s="140"/>
      <c r="EL828" s="140"/>
      <c r="EM828" s="140"/>
      <c r="EN828" s="140"/>
      <c r="EO828" s="140"/>
      <c r="EP828" s="140"/>
      <c r="EQ828" s="140"/>
      <c r="ER828" s="140"/>
      <c r="ES828" s="140"/>
      <c r="ET828" s="140"/>
      <c r="EU828" s="140"/>
      <c r="EV828" s="140"/>
      <c r="EW828" s="140"/>
      <c r="EX828" s="140"/>
      <c r="EY828" s="140"/>
      <c r="EZ828" s="140"/>
      <c r="FA828" s="140"/>
      <c r="FB828" s="140"/>
      <c r="FC828" s="140"/>
      <c r="FD828" s="140"/>
      <c r="FE828" s="140"/>
      <c r="FF828" s="140"/>
      <c r="FG828" s="140"/>
      <c r="FH828" s="140"/>
      <c r="FI828" s="140"/>
      <c r="FJ828" s="140"/>
      <c r="FK828" s="140"/>
      <c r="FL828" s="140"/>
      <c r="FM828" s="140"/>
      <c r="FN828" s="140"/>
      <c r="FO828" s="140"/>
      <c r="FP828" s="140"/>
      <c r="FQ828" s="140"/>
      <c r="FR828" s="140"/>
      <c r="FS828" s="140"/>
      <c r="FT828" s="140"/>
      <c r="FU828" s="140"/>
      <c r="FV828" s="140"/>
      <c r="FW828" s="140"/>
      <c r="FX828" s="140"/>
      <c r="FY828" s="140"/>
      <c r="FZ828" s="140"/>
      <c r="GA828" s="140"/>
      <c r="GB828" s="140"/>
      <c r="GC828" s="140"/>
      <c r="GD828" s="140"/>
      <c r="GE828" s="140"/>
      <c r="GF828" s="140"/>
      <c r="GG828" s="140"/>
      <c r="GH828" s="140"/>
      <c r="GI828" s="140"/>
      <c r="GJ828" s="140"/>
      <c r="GK828" s="140"/>
      <c r="GL828" s="140"/>
      <c r="GM828" s="140"/>
      <c r="GN828" s="140"/>
      <c r="GO828" s="140"/>
      <c r="GP828" s="140"/>
      <c r="GQ828" s="140"/>
      <c r="GR828" s="140"/>
      <c r="GS828" s="140"/>
      <c r="GT828" s="140"/>
      <c r="GU828" s="140"/>
      <c r="GV828" s="140"/>
      <c r="GW828" s="140"/>
      <c r="GX828" s="140"/>
      <c r="GY828" s="140"/>
      <c r="GZ828" s="140"/>
      <c r="HA828" s="140"/>
      <c r="HB828" s="140"/>
      <c r="HC828" s="140"/>
      <c r="HD828" s="140"/>
      <c r="HE828" s="140"/>
      <c r="HF828" s="140"/>
      <c r="HG828" s="140"/>
      <c r="HH828" s="140"/>
      <c r="HI828" s="140"/>
      <c r="HJ828" s="140"/>
      <c r="HK828" s="140"/>
      <c r="HL828" s="140"/>
      <c r="HM828" s="140"/>
      <c r="HN828" s="140"/>
      <c r="HO828" s="140"/>
      <c r="HP828" s="140"/>
      <c r="HQ828" s="140"/>
      <c r="HR828" s="140"/>
      <c r="HS828" s="140"/>
      <c r="HT828" s="140"/>
      <c r="HU828" s="140"/>
      <c r="HV828" s="140"/>
      <c r="HW828" s="140"/>
      <c r="HX828" s="140"/>
      <c r="HY828" s="140"/>
      <c r="HZ828" s="140"/>
      <c r="IA828" s="140"/>
      <c r="IB828" s="140"/>
      <c r="IC828" s="140"/>
      <c r="ID828" s="140"/>
      <c r="IE828" s="140"/>
      <c r="IF828" s="140"/>
      <c r="IG828" s="140"/>
      <c r="IH828" s="140"/>
      <c r="II828" s="140"/>
      <c r="IJ828" s="140"/>
      <c r="IK828" s="140"/>
      <c r="IL828" s="140"/>
      <c r="IM828" s="140"/>
      <c r="IN828" s="140"/>
      <c r="IO828" s="140"/>
      <c r="IP828" s="140"/>
      <c r="IQ828" s="140"/>
      <c r="IR828" s="140"/>
      <c r="IS828" s="140"/>
      <c r="IT828" s="140"/>
      <c r="IU828" s="140"/>
      <c r="IV828" s="140"/>
      <c r="IW828" s="140"/>
      <c r="IX828" s="140"/>
      <c r="IY828" s="140"/>
      <c r="IZ828" s="140"/>
      <c r="JA828" s="140"/>
      <c r="JB828" s="140"/>
      <c r="JC828" s="140"/>
      <c r="JD828" s="140"/>
      <c r="JE828" s="140"/>
      <c r="JF828" s="140"/>
      <c r="JG828" s="140"/>
      <c r="JH828" s="140"/>
      <c r="JI828" s="140"/>
      <c r="JJ828" s="140"/>
      <c r="JK828" s="140"/>
      <c r="JL828" s="140"/>
      <c r="JM828" s="140"/>
      <c r="JN828" s="140"/>
      <c r="JO828" s="140"/>
      <c r="JP828" s="140"/>
      <c r="JQ828" s="140"/>
      <c r="JR828" s="140"/>
      <c r="JS828" s="140"/>
      <c r="JT828" s="140"/>
      <c r="JU828" s="140"/>
      <c r="JV828" s="140"/>
      <c r="JW828" s="140"/>
      <c r="JX828" s="140"/>
      <c r="JY828" s="140"/>
      <c r="JZ828" s="140"/>
      <c r="KA828" s="140"/>
      <c r="KB828" s="140"/>
      <c r="KC828" s="140"/>
      <c r="KD828" s="140"/>
      <c r="KE828" s="140"/>
      <c r="KF828" s="140"/>
      <c r="KG828" s="140"/>
      <c r="KH828" s="140"/>
      <c r="KI828" s="140"/>
      <c r="KJ828" s="140"/>
      <c r="KK828" s="140"/>
      <c r="KL828" s="140"/>
      <c r="KM828" s="140"/>
      <c r="KN828" s="140"/>
      <c r="KO828" s="140"/>
      <c r="KP828" s="140"/>
      <c r="KQ828" s="140"/>
      <c r="KR828" s="140"/>
      <c r="KS828" s="140"/>
      <c r="KT828" s="140"/>
      <c r="KU828" s="140"/>
      <c r="KV828" s="140"/>
      <c r="KW828" s="140"/>
      <c r="KX828" s="140"/>
      <c r="KY828" s="140"/>
      <c r="KZ828" s="140"/>
      <c r="LA828" s="140"/>
      <c r="LB828" s="140"/>
      <c r="LC828" s="140"/>
      <c r="LD828" s="140"/>
      <c r="LE828" s="140"/>
      <c r="LF828" s="140"/>
      <c r="LG828" s="140"/>
      <c r="LH828" s="140"/>
      <c r="LI828" s="140"/>
      <c r="LJ828" s="140"/>
      <c r="LK828" s="140"/>
      <c r="LL828" s="140"/>
      <c r="LM828" s="140"/>
      <c r="LN828" s="140"/>
      <c r="LO828" s="140"/>
      <c r="LP828" s="140"/>
      <c r="LQ828" s="140"/>
      <c r="LR828" s="140"/>
      <c r="LS828" s="140"/>
      <c r="LT828" s="140"/>
      <c r="LU828" s="140"/>
      <c r="LV828" s="140"/>
      <c r="LW828" s="140"/>
      <c r="LX828" s="140"/>
      <c r="LY828" s="140"/>
      <c r="LZ828" s="140"/>
      <c r="MA828" s="140"/>
      <c r="MB828" s="140"/>
      <c r="MC828" s="140"/>
      <c r="MD828" s="140"/>
      <c r="ME828" s="140"/>
      <c r="MF828" s="140"/>
      <c r="MG828" s="140"/>
      <c r="MH828" s="140"/>
      <c r="MI828" s="140"/>
      <c r="MJ828" s="140"/>
      <c r="MK828" s="140"/>
      <c r="ML828" s="140"/>
    </row>
    <row r="829" spans="3:350" s="4" customFormat="1" ht="15" customHeight="1" x14ac:dyDescent="0.3">
      <c r="C829" s="436" t="s">
        <v>97</v>
      </c>
      <c r="D829" s="324">
        <f>SUM(D826:D828)</f>
        <v>116363.72925555355</v>
      </c>
      <c r="F829" s="437">
        <f>D829/D823-1</f>
        <v>-0.32682714749896979</v>
      </c>
      <c r="H829" s="140"/>
      <c r="I829" s="140"/>
      <c r="J829" s="140"/>
      <c r="K829" s="140"/>
      <c r="L829" s="140"/>
      <c r="M829" s="140"/>
      <c r="N829" s="140"/>
      <c r="O829" s="140"/>
      <c r="P829" s="140"/>
      <c r="Q829" s="140"/>
      <c r="R829" s="140"/>
      <c r="S829" s="140"/>
      <c r="T829" s="140"/>
      <c r="U829" s="140"/>
      <c r="V829" s="140"/>
      <c r="W829" s="140"/>
      <c r="X829" s="140"/>
      <c r="Y829" s="140"/>
      <c r="Z829" s="140"/>
      <c r="AA829" s="140"/>
      <c r="AB829" s="140"/>
      <c r="AC829" s="140"/>
      <c r="AD829" s="140"/>
      <c r="AE829" s="140"/>
      <c r="AF829" s="140"/>
      <c r="AG829" s="140"/>
      <c r="AH829" s="140"/>
      <c r="AI829" s="140"/>
      <c r="AJ829" s="140"/>
      <c r="AK829" s="140"/>
      <c r="AL829" s="140"/>
      <c r="AM829" s="140"/>
      <c r="AN829" s="140"/>
      <c r="AO829" s="140"/>
      <c r="AP829" s="140"/>
      <c r="AQ829" s="140"/>
      <c r="AR829" s="140"/>
      <c r="AS829" s="140"/>
      <c r="AT829" s="140"/>
      <c r="AU829" s="140"/>
      <c r="AV829" s="140"/>
      <c r="AW829" s="140"/>
      <c r="AX829" s="140"/>
      <c r="AY829" s="140"/>
      <c r="AZ829" s="140"/>
      <c r="BA829" s="140"/>
      <c r="BB829" s="140"/>
      <c r="BC829" s="140"/>
      <c r="BD829" s="140"/>
      <c r="BE829" s="140"/>
      <c r="BF829" s="140"/>
      <c r="BG829" s="140"/>
      <c r="BH829" s="140"/>
      <c r="BI829" s="140"/>
      <c r="BJ829" s="140"/>
      <c r="BK829" s="140"/>
      <c r="BL829" s="140"/>
      <c r="BM829" s="140"/>
      <c r="BN829" s="140"/>
      <c r="BO829" s="140"/>
      <c r="BP829" s="140"/>
      <c r="BQ829" s="140"/>
      <c r="BR829" s="140"/>
      <c r="BS829" s="140"/>
      <c r="BT829" s="140"/>
      <c r="BU829" s="140"/>
      <c r="BV829" s="140"/>
      <c r="BW829" s="140"/>
      <c r="BX829" s="140"/>
      <c r="BY829" s="140"/>
      <c r="BZ829" s="140"/>
      <c r="CA829" s="140"/>
      <c r="CB829" s="140"/>
      <c r="CC829" s="140"/>
      <c r="CD829" s="140"/>
      <c r="CE829" s="140"/>
      <c r="CF829" s="140"/>
      <c r="CG829" s="140"/>
      <c r="CH829" s="140"/>
      <c r="CI829" s="140"/>
      <c r="CJ829" s="140"/>
      <c r="CK829" s="140"/>
      <c r="CL829" s="140"/>
      <c r="CM829" s="140"/>
      <c r="CN829" s="140"/>
      <c r="CO829" s="140"/>
      <c r="CP829" s="140"/>
      <c r="CQ829" s="140"/>
      <c r="CR829" s="140"/>
      <c r="CS829" s="140"/>
      <c r="CT829" s="140"/>
      <c r="CU829" s="140"/>
      <c r="CV829" s="140"/>
      <c r="CW829" s="140"/>
      <c r="CX829" s="140"/>
      <c r="CY829" s="140"/>
      <c r="CZ829" s="140"/>
      <c r="DA829" s="140"/>
      <c r="DB829" s="140"/>
      <c r="DC829" s="140"/>
      <c r="DD829" s="140"/>
      <c r="DE829" s="140"/>
      <c r="DF829" s="140"/>
      <c r="DG829" s="140"/>
      <c r="DH829" s="140"/>
      <c r="DI829" s="140"/>
      <c r="DJ829" s="140"/>
      <c r="DK829" s="140"/>
      <c r="DL829" s="140"/>
      <c r="DM829" s="140"/>
      <c r="DN829" s="140"/>
      <c r="DO829" s="140"/>
      <c r="DP829" s="140"/>
      <c r="DQ829" s="140"/>
      <c r="DR829" s="140"/>
      <c r="DS829" s="140"/>
      <c r="DT829" s="140"/>
      <c r="DU829" s="140"/>
      <c r="DV829" s="140"/>
      <c r="DW829" s="140"/>
      <c r="DX829" s="140"/>
      <c r="DY829" s="140"/>
      <c r="DZ829" s="140"/>
      <c r="EA829" s="140"/>
      <c r="EB829" s="140"/>
      <c r="EC829" s="140"/>
      <c r="ED829" s="140"/>
      <c r="EE829" s="140"/>
      <c r="EF829" s="140"/>
      <c r="EG829" s="140"/>
      <c r="EH829" s="140"/>
      <c r="EI829" s="140"/>
      <c r="EJ829" s="140"/>
      <c r="EK829" s="140"/>
      <c r="EL829" s="140"/>
      <c r="EM829" s="140"/>
      <c r="EN829" s="140"/>
      <c r="EO829" s="140"/>
      <c r="EP829" s="140"/>
      <c r="EQ829" s="140"/>
      <c r="ER829" s="140"/>
      <c r="ES829" s="140"/>
      <c r="ET829" s="140"/>
      <c r="EU829" s="140"/>
      <c r="EV829" s="140"/>
      <c r="EW829" s="140"/>
      <c r="EX829" s="140"/>
      <c r="EY829" s="140"/>
      <c r="EZ829" s="140"/>
      <c r="FA829" s="140"/>
      <c r="FB829" s="140"/>
      <c r="FC829" s="140"/>
      <c r="FD829" s="140"/>
      <c r="FE829" s="140"/>
      <c r="FF829" s="140"/>
      <c r="FG829" s="140"/>
      <c r="FH829" s="140"/>
      <c r="FI829" s="140"/>
      <c r="FJ829" s="140"/>
      <c r="FK829" s="140"/>
      <c r="FL829" s="140"/>
      <c r="FM829" s="140"/>
      <c r="FN829" s="140"/>
      <c r="FO829" s="140"/>
      <c r="FP829" s="140"/>
      <c r="FQ829" s="140"/>
      <c r="FR829" s="140"/>
      <c r="FS829" s="140"/>
      <c r="FT829" s="140"/>
      <c r="FU829" s="140"/>
      <c r="FV829" s="140"/>
      <c r="FW829" s="140"/>
      <c r="FX829" s="140"/>
      <c r="FY829" s="140"/>
      <c r="FZ829" s="140"/>
      <c r="GA829" s="140"/>
      <c r="GB829" s="140"/>
      <c r="GC829" s="140"/>
      <c r="GD829" s="140"/>
      <c r="GE829" s="140"/>
      <c r="GF829" s="140"/>
      <c r="GG829" s="140"/>
      <c r="GH829" s="140"/>
      <c r="GI829" s="140"/>
      <c r="GJ829" s="140"/>
      <c r="GK829" s="140"/>
      <c r="GL829" s="140"/>
      <c r="GM829" s="140"/>
      <c r="GN829" s="140"/>
      <c r="GO829" s="140"/>
      <c r="GP829" s="140"/>
      <c r="GQ829" s="140"/>
      <c r="GR829" s="140"/>
      <c r="GS829" s="140"/>
      <c r="GT829" s="140"/>
      <c r="GU829" s="140"/>
      <c r="GV829" s="140"/>
      <c r="GW829" s="140"/>
      <c r="GX829" s="140"/>
      <c r="GY829" s="140"/>
      <c r="GZ829" s="140"/>
      <c r="HA829" s="140"/>
      <c r="HB829" s="140"/>
      <c r="HC829" s="140"/>
      <c r="HD829" s="140"/>
      <c r="HE829" s="140"/>
      <c r="HF829" s="140"/>
      <c r="HG829" s="140"/>
      <c r="HH829" s="140"/>
      <c r="HI829" s="140"/>
      <c r="HJ829" s="140"/>
      <c r="HK829" s="140"/>
      <c r="HL829" s="140"/>
      <c r="HM829" s="140"/>
      <c r="HN829" s="140"/>
      <c r="HO829" s="140"/>
      <c r="HP829" s="140"/>
      <c r="HQ829" s="140"/>
      <c r="HR829" s="140"/>
      <c r="HS829" s="140"/>
      <c r="HT829" s="140"/>
      <c r="HU829" s="140"/>
      <c r="HV829" s="140"/>
      <c r="HW829" s="140"/>
      <c r="HX829" s="140"/>
      <c r="HY829" s="140"/>
      <c r="HZ829" s="140"/>
      <c r="IA829" s="140"/>
      <c r="IB829" s="140"/>
      <c r="IC829" s="140"/>
      <c r="ID829" s="140"/>
      <c r="IE829" s="140"/>
      <c r="IF829" s="140"/>
      <c r="IG829" s="140"/>
      <c r="IH829" s="140"/>
      <c r="II829" s="140"/>
      <c r="IJ829" s="140"/>
      <c r="IK829" s="140"/>
      <c r="IL829" s="140"/>
      <c r="IM829" s="140"/>
      <c r="IN829" s="140"/>
      <c r="IO829" s="140"/>
      <c r="IP829" s="140"/>
      <c r="IQ829" s="140"/>
      <c r="IR829" s="140"/>
      <c r="IS829" s="140"/>
      <c r="IT829" s="140"/>
      <c r="IU829" s="140"/>
      <c r="IV829" s="140"/>
      <c r="IW829" s="140"/>
      <c r="IX829" s="140"/>
      <c r="IY829" s="140"/>
      <c r="IZ829" s="140"/>
      <c r="JA829" s="140"/>
      <c r="JB829" s="140"/>
      <c r="JC829" s="140"/>
      <c r="JD829" s="140"/>
      <c r="JE829" s="140"/>
      <c r="JF829" s="140"/>
      <c r="JG829" s="140"/>
      <c r="JH829" s="140"/>
      <c r="JI829" s="140"/>
      <c r="JJ829" s="140"/>
      <c r="JK829" s="140"/>
      <c r="JL829" s="140"/>
      <c r="JM829" s="140"/>
      <c r="JN829" s="140"/>
      <c r="JO829" s="140"/>
      <c r="JP829" s="140"/>
      <c r="JQ829" s="140"/>
      <c r="JR829" s="140"/>
      <c r="JS829" s="140"/>
      <c r="JT829" s="140"/>
      <c r="JU829" s="140"/>
      <c r="JV829" s="140"/>
      <c r="JW829" s="140"/>
      <c r="JX829" s="140"/>
      <c r="JY829" s="140"/>
      <c r="JZ829" s="140"/>
      <c r="KA829" s="140"/>
      <c r="KB829" s="140"/>
      <c r="KC829" s="140"/>
      <c r="KD829" s="140"/>
      <c r="KE829" s="140"/>
      <c r="KF829" s="140"/>
      <c r="KG829" s="140"/>
      <c r="KH829" s="140"/>
      <c r="KI829" s="140"/>
      <c r="KJ829" s="140"/>
      <c r="KK829" s="140"/>
      <c r="KL829" s="140"/>
      <c r="KM829" s="140"/>
      <c r="KN829" s="140"/>
      <c r="KO829" s="140"/>
      <c r="KP829" s="140"/>
      <c r="KQ829" s="140"/>
      <c r="KR829" s="140"/>
      <c r="KS829" s="140"/>
      <c r="KT829" s="140"/>
      <c r="KU829" s="140"/>
      <c r="KV829" s="140"/>
      <c r="KW829" s="140"/>
      <c r="KX829" s="140"/>
      <c r="KY829" s="140"/>
      <c r="KZ829" s="140"/>
      <c r="LA829" s="140"/>
      <c r="LB829" s="140"/>
      <c r="LC829" s="140"/>
      <c r="LD829" s="140"/>
      <c r="LE829" s="140"/>
      <c r="LF829" s="140"/>
      <c r="LG829" s="140"/>
      <c r="LH829" s="140"/>
      <c r="LI829" s="140"/>
      <c r="LJ829" s="140"/>
      <c r="LK829" s="140"/>
      <c r="LL829" s="140"/>
      <c r="LM829" s="140"/>
      <c r="LN829" s="140"/>
      <c r="LO829" s="140"/>
      <c r="LP829" s="140"/>
      <c r="LQ829" s="140"/>
      <c r="LR829" s="140"/>
      <c r="LS829" s="140"/>
      <c r="LT829" s="140"/>
      <c r="LU829" s="140"/>
      <c r="LV829" s="140"/>
      <c r="LW829" s="140"/>
      <c r="LX829" s="140"/>
      <c r="LY829" s="140"/>
      <c r="LZ829" s="140"/>
      <c r="MA829" s="140"/>
      <c r="MB829" s="140"/>
      <c r="MC829" s="140"/>
      <c r="MD829" s="140"/>
      <c r="ME829" s="140"/>
      <c r="MF829" s="140"/>
      <c r="MG829" s="140"/>
      <c r="MH829" s="140"/>
      <c r="MI829" s="140"/>
      <c r="MJ829" s="140"/>
      <c r="MK829" s="140"/>
      <c r="ML829" s="140"/>
    </row>
    <row r="830" spans="3:350" s="4" customFormat="1" ht="15" customHeight="1" x14ac:dyDescent="0.3">
      <c r="H830" s="140"/>
      <c r="I830" s="140"/>
      <c r="J830" s="140"/>
      <c r="K830" s="140"/>
      <c r="L830" s="140"/>
      <c r="M830" s="140"/>
      <c r="N830" s="140"/>
      <c r="O830" s="140"/>
      <c r="P830" s="140"/>
      <c r="Q830" s="140"/>
      <c r="R830" s="140"/>
      <c r="S830" s="140"/>
      <c r="T830" s="140"/>
      <c r="U830" s="140"/>
      <c r="V830" s="140"/>
      <c r="W830" s="140"/>
      <c r="X830" s="140"/>
      <c r="Y830" s="140"/>
      <c r="Z830" s="140"/>
      <c r="AA830" s="140"/>
      <c r="AB830" s="140"/>
      <c r="AC830" s="140"/>
      <c r="AD830" s="140"/>
      <c r="AE830" s="140"/>
      <c r="AF830" s="140"/>
      <c r="AG830" s="140"/>
      <c r="AH830" s="140"/>
      <c r="AI830" s="140"/>
      <c r="AJ830" s="140"/>
      <c r="AK830" s="140"/>
      <c r="AL830" s="140"/>
      <c r="AM830" s="140"/>
      <c r="AN830" s="140"/>
      <c r="AO830" s="140"/>
      <c r="AP830" s="140"/>
      <c r="AQ830" s="140"/>
      <c r="AR830" s="140"/>
      <c r="AS830" s="140"/>
      <c r="AT830" s="140"/>
      <c r="AU830" s="140"/>
      <c r="AV830" s="140"/>
      <c r="AW830" s="140"/>
      <c r="AX830" s="140"/>
      <c r="AY830" s="140"/>
      <c r="AZ830" s="140"/>
      <c r="BA830" s="140"/>
      <c r="BB830" s="140"/>
      <c r="BC830" s="140"/>
      <c r="BD830" s="140"/>
      <c r="BE830" s="140"/>
      <c r="BF830" s="140"/>
      <c r="BG830" s="140"/>
      <c r="BH830" s="140"/>
      <c r="BI830" s="140"/>
      <c r="BJ830" s="140"/>
      <c r="BK830" s="140"/>
      <c r="BL830" s="140"/>
      <c r="BM830" s="140"/>
      <c r="BN830" s="140"/>
      <c r="BO830" s="140"/>
      <c r="BP830" s="140"/>
      <c r="BQ830" s="140"/>
      <c r="BR830" s="140"/>
      <c r="BS830" s="140"/>
      <c r="BT830" s="140"/>
      <c r="BU830" s="140"/>
      <c r="BV830" s="140"/>
      <c r="BW830" s="140"/>
      <c r="BX830" s="140"/>
      <c r="BY830" s="140"/>
      <c r="BZ830" s="140"/>
      <c r="CA830" s="140"/>
      <c r="CB830" s="140"/>
      <c r="CC830" s="140"/>
      <c r="CD830" s="140"/>
      <c r="CE830" s="140"/>
      <c r="CF830" s="140"/>
      <c r="CG830" s="140"/>
      <c r="CH830" s="140"/>
      <c r="CI830" s="140"/>
      <c r="CJ830" s="140"/>
      <c r="CK830" s="140"/>
      <c r="CL830" s="140"/>
      <c r="CM830" s="140"/>
      <c r="CN830" s="140"/>
      <c r="CO830" s="140"/>
      <c r="CP830" s="140"/>
      <c r="CQ830" s="140"/>
      <c r="CR830" s="140"/>
      <c r="CS830" s="140"/>
      <c r="CT830" s="140"/>
      <c r="CU830" s="140"/>
      <c r="CV830" s="140"/>
      <c r="CW830" s="140"/>
      <c r="CX830" s="140"/>
      <c r="CY830" s="140"/>
      <c r="CZ830" s="140"/>
      <c r="DA830" s="140"/>
      <c r="DB830" s="140"/>
      <c r="DC830" s="140"/>
      <c r="DD830" s="140"/>
      <c r="DE830" s="140"/>
      <c r="DF830" s="140"/>
      <c r="DG830" s="140"/>
      <c r="DH830" s="140"/>
      <c r="DI830" s="140"/>
      <c r="DJ830" s="140"/>
      <c r="DK830" s="140"/>
      <c r="DL830" s="140"/>
      <c r="DM830" s="140"/>
      <c r="DN830" s="140"/>
      <c r="DO830" s="140"/>
      <c r="DP830" s="140"/>
      <c r="DQ830" s="140"/>
      <c r="DR830" s="140"/>
      <c r="DS830" s="140"/>
      <c r="DT830" s="140"/>
      <c r="DU830" s="140"/>
      <c r="DV830" s="140"/>
      <c r="DW830" s="140"/>
      <c r="DX830" s="140"/>
      <c r="DY830" s="140"/>
      <c r="DZ830" s="140"/>
      <c r="EA830" s="140"/>
      <c r="EB830" s="140"/>
      <c r="EC830" s="140"/>
      <c r="ED830" s="140"/>
      <c r="EE830" s="140"/>
      <c r="EF830" s="140"/>
      <c r="EG830" s="140"/>
      <c r="EH830" s="140"/>
      <c r="EI830" s="140"/>
      <c r="EJ830" s="140"/>
      <c r="EK830" s="140"/>
      <c r="EL830" s="140"/>
      <c r="EM830" s="140"/>
      <c r="EN830" s="140"/>
      <c r="EO830" s="140"/>
      <c r="EP830" s="140"/>
      <c r="EQ830" s="140"/>
      <c r="ER830" s="140"/>
      <c r="ES830" s="140"/>
      <c r="ET830" s="140"/>
      <c r="EU830" s="140"/>
      <c r="EV830" s="140"/>
      <c r="EW830" s="140"/>
      <c r="EX830" s="140"/>
      <c r="EY830" s="140"/>
      <c r="EZ830" s="140"/>
      <c r="FA830" s="140"/>
      <c r="FB830" s="140"/>
      <c r="FC830" s="140"/>
      <c r="FD830" s="140"/>
      <c r="FE830" s="140"/>
      <c r="FF830" s="140"/>
      <c r="FG830" s="140"/>
      <c r="FH830" s="140"/>
      <c r="FI830" s="140"/>
      <c r="FJ830" s="140"/>
      <c r="FK830" s="140"/>
      <c r="FL830" s="140"/>
      <c r="FM830" s="140"/>
      <c r="FN830" s="140"/>
      <c r="FO830" s="140"/>
      <c r="FP830" s="140"/>
      <c r="FQ830" s="140"/>
      <c r="FR830" s="140"/>
      <c r="FS830" s="140"/>
      <c r="FT830" s="140"/>
      <c r="FU830" s="140"/>
      <c r="FV830" s="140"/>
      <c r="FW830" s="140"/>
      <c r="FX830" s="140"/>
      <c r="FY830" s="140"/>
      <c r="FZ830" s="140"/>
      <c r="GA830" s="140"/>
      <c r="GB830" s="140"/>
      <c r="GC830" s="140"/>
      <c r="GD830" s="140"/>
      <c r="GE830" s="140"/>
      <c r="GF830" s="140"/>
      <c r="GG830" s="140"/>
      <c r="GH830" s="140"/>
      <c r="GI830" s="140"/>
      <c r="GJ830" s="140"/>
      <c r="GK830" s="140"/>
      <c r="GL830" s="140"/>
      <c r="GM830" s="140"/>
      <c r="GN830" s="140"/>
      <c r="GO830" s="140"/>
      <c r="GP830" s="140"/>
      <c r="GQ830" s="140"/>
      <c r="GR830" s="140"/>
      <c r="GS830" s="140"/>
      <c r="GT830" s="140"/>
      <c r="GU830" s="140"/>
      <c r="GV830" s="140"/>
      <c r="GW830" s="140"/>
      <c r="GX830" s="140"/>
      <c r="GY830" s="140"/>
      <c r="GZ830" s="140"/>
      <c r="HA830" s="140"/>
      <c r="HB830" s="140"/>
      <c r="HC830" s="140"/>
      <c r="HD830" s="140"/>
      <c r="HE830" s="140"/>
      <c r="HF830" s="140"/>
      <c r="HG830" s="140"/>
      <c r="HH830" s="140"/>
      <c r="HI830" s="140"/>
      <c r="HJ830" s="140"/>
      <c r="HK830" s="140"/>
      <c r="HL830" s="140"/>
      <c r="HM830" s="140"/>
      <c r="HN830" s="140"/>
      <c r="HO830" s="140"/>
      <c r="HP830" s="140"/>
      <c r="HQ830" s="140"/>
      <c r="HR830" s="140"/>
      <c r="HS830" s="140"/>
      <c r="HT830" s="140"/>
      <c r="HU830" s="140"/>
      <c r="HV830" s="140"/>
      <c r="HW830" s="140"/>
      <c r="HX830" s="140"/>
      <c r="HY830" s="140"/>
      <c r="HZ830" s="140"/>
      <c r="IA830" s="140"/>
      <c r="IB830" s="140"/>
      <c r="IC830" s="140"/>
      <c r="ID830" s="140"/>
      <c r="IE830" s="140"/>
      <c r="IF830" s="140"/>
      <c r="IG830" s="140"/>
      <c r="IH830" s="140"/>
      <c r="II830" s="140"/>
      <c r="IJ830" s="140"/>
      <c r="IK830" s="140"/>
      <c r="IL830" s="140"/>
      <c r="IM830" s="140"/>
      <c r="IN830" s="140"/>
      <c r="IO830" s="140"/>
      <c r="IP830" s="140"/>
      <c r="IQ830" s="140"/>
      <c r="IR830" s="140"/>
      <c r="IS830" s="140"/>
      <c r="IT830" s="140"/>
      <c r="IU830" s="140"/>
      <c r="IV830" s="140"/>
      <c r="IW830" s="140"/>
      <c r="IX830" s="140"/>
      <c r="IY830" s="140"/>
      <c r="IZ830" s="140"/>
      <c r="JA830" s="140"/>
      <c r="JB830" s="140"/>
      <c r="JC830" s="140"/>
      <c r="JD830" s="140"/>
      <c r="JE830" s="140"/>
      <c r="JF830" s="140"/>
      <c r="JG830" s="140"/>
      <c r="JH830" s="140"/>
      <c r="JI830" s="140"/>
      <c r="JJ830" s="140"/>
      <c r="JK830" s="140"/>
      <c r="JL830" s="140"/>
      <c r="JM830" s="140"/>
      <c r="JN830" s="140"/>
      <c r="JO830" s="140"/>
      <c r="JP830" s="140"/>
      <c r="JQ830" s="140"/>
      <c r="JR830" s="140"/>
      <c r="JS830" s="140"/>
      <c r="JT830" s="140"/>
      <c r="JU830" s="140"/>
      <c r="JV830" s="140"/>
      <c r="JW830" s="140"/>
      <c r="JX830" s="140"/>
      <c r="JY830" s="140"/>
      <c r="JZ830" s="140"/>
      <c r="KA830" s="140"/>
      <c r="KB830" s="140"/>
      <c r="KC830" s="140"/>
      <c r="KD830" s="140"/>
      <c r="KE830" s="140"/>
      <c r="KF830" s="140"/>
      <c r="KG830" s="140"/>
      <c r="KH830" s="140"/>
      <c r="KI830" s="140"/>
      <c r="KJ830" s="140"/>
      <c r="KK830" s="140"/>
      <c r="KL830" s="140"/>
      <c r="KM830" s="140"/>
      <c r="KN830" s="140"/>
      <c r="KO830" s="140"/>
      <c r="KP830" s="140"/>
      <c r="KQ830" s="140"/>
      <c r="KR830" s="140"/>
      <c r="KS830" s="140"/>
      <c r="KT830" s="140"/>
      <c r="KU830" s="140"/>
      <c r="KV830" s="140"/>
      <c r="KW830" s="140"/>
      <c r="KX830" s="140"/>
      <c r="KY830" s="140"/>
      <c r="KZ830" s="140"/>
      <c r="LA830" s="140"/>
      <c r="LB830" s="140"/>
      <c r="LC830" s="140"/>
      <c r="LD830" s="140"/>
      <c r="LE830" s="140"/>
      <c r="LF830" s="140"/>
      <c r="LG830" s="140"/>
      <c r="LH830" s="140"/>
      <c r="LI830" s="140"/>
      <c r="LJ830" s="140"/>
      <c r="LK830" s="140"/>
      <c r="LL830" s="140"/>
      <c r="LM830" s="140"/>
      <c r="LN830" s="140"/>
      <c r="LO830" s="140"/>
      <c r="LP830" s="140"/>
      <c r="LQ830" s="140"/>
      <c r="LR830" s="140"/>
      <c r="LS830" s="140"/>
      <c r="LT830" s="140"/>
      <c r="LU830" s="140"/>
      <c r="LV830" s="140"/>
      <c r="LW830" s="140"/>
      <c r="LX830" s="140"/>
      <c r="LY830" s="140"/>
      <c r="LZ830" s="140"/>
      <c r="MA830" s="140"/>
      <c r="MB830" s="140"/>
      <c r="MC830" s="140"/>
      <c r="MD830" s="140"/>
      <c r="ME830" s="140"/>
      <c r="MF830" s="140"/>
      <c r="MG830" s="140"/>
      <c r="MH830" s="140"/>
      <c r="MI830" s="140"/>
      <c r="MJ830" s="140"/>
      <c r="MK830" s="140"/>
      <c r="ML830" s="140"/>
    </row>
    <row r="831" spans="3:350" outlineLevel="1" x14ac:dyDescent="0.3">
      <c r="C831" s="120" t="s">
        <v>365</v>
      </c>
    </row>
    <row r="832" spans="3:350" ht="18" customHeight="1" outlineLevel="1" x14ac:dyDescent="0.3">
      <c r="C832" s="131"/>
      <c r="D832" s="132"/>
      <c r="E832" s="133" t="s">
        <v>101</v>
      </c>
      <c r="F832" s="134" t="s">
        <v>102</v>
      </c>
      <c r="H832" s="135">
        <v>2015</v>
      </c>
      <c r="I832" s="133">
        <v>2020</v>
      </c>
      <c r="J832" s="133">
        <v>2025</v>
      </c>
      <c r="K832" s="133">
        <v>2030</v>
      </c>
      <c r="L832" s="133">
        <v>2040</v>
      </c>
      <c r="M832" s="134">
        <v>2050</v>
      </c>
      <c r="N832" s="1"/>
      <c r="O832" s="1"/>
      <c r="P832" s="1"/>
      <c r="Q832" s="1"/>
      <c r="S832" s="135">
        <f>S$1</f>
        <v>2015</v>
      </c>
      <c r="T832" s="133">
        <f t="shared" ref="T832:BB832" si="1236">T$1</f>
        <v>2016</v>
      </c>
      <c r="U832" s="133">
        <f t="shared" si="1236"/>
        <v>2017</v>
      </c>
      <c r="V832" s="133">
        <f t="shared" si="1236"/>
        <v>2018</v>
      </c>
      <c r="W832" s="133">
        <f t="shared" si="1236"/>
        <v>2019</v>
      </c>
      <c r="X832" s="133">
        <f t="shared" si="1236"/>
        <v>2020</v>
      </c>
      <c r="Y832" s="133">
        <f t="shared" si="1236"/>
        <v>2021</v>
      </c>
      <c r="Z832" s="133">
        <f t="shared" si="1236"/>
        <v>2022</v>
      </c>
      <c r="AA832" s="133">
        <f t="shared" si="1236"/>
        <v>2023</v>
      </c>
      <c r="AB832" s="133">
        <f t="shared" si="1236"/>
        <v>2024</v>
      </c>
      <c r="AC832" s="133">
        <f t="shared" si="1236"/>
        <v>2025</v>
      </c>
      <c r="AD832" s="133">
        <f t="shared" si="1236"/>
        <v>2026</v>
      </c>
      <c r="AE832" s="133">
        <f t="shared" si="1236"/>
        <v>2027</v>
      </c>
      <c r="AF832" s="133">
        <f t="shared" si="1236"/>
        <v>2028</v>
      </c>
      <c r="AG832" s="133">
        <f t="shared" si="1236"/>
        <v>2029</v>
      </c>
      <c r="AH832" s="133">
        <f t="shared" si="1236"/>
        <v>2030</v>
      </c>
      <c r="AI832" s="133">
        <f t="shared" si="1236"/>
        <v>2031</v>
      </c>
      <c r="AJ832" s="133">
        <f t="shared" si="1236"/>
        <v>2032</v>
      </c>
      <c r="AK832" s="133">
        <f t="shared" si="1236"/>
        <v>2033</v>
      </c>
      <c r="AL832" s="133">
        <f t="shared" si="1236"/>
        <v>2034</v>
      </c>
      <c r="AM832" s="133">
        <f t="shared" si="1236"/>
        <v>2035</v>
      </c>
      <c r="AN832" s="133">
        <f t="shared" si="1236"/>
        <v>2036</v>
      </c>
      <c r="AO832" s="133">
        <f t="shared" si="1236"/>
        <v>2037</v>
      </c>
      <c r="AP832" s="133">
        <f t="shared" si="1236"/>
        <v>2038</v>
      </c>
      <c r="AQ832" s="133">
        <f t="shared" si="1236"/>
        <v>2039</v>
      </c>
      <c r="AR832" s="133">
        <f t="shared" si="1236"/>
        <v>2040</v>
      </c>
      <c r="AS832" s="133">
        <f t="shared" si="1236"/>
        <v>2041</v>
      </c>
      <c r="AT832" s="133">
        <f t="shared" si="1236"/>
        <v>2042</v>
      </c>
      <c r="AU832" s="133">
        <f t="shared" si="1236"/>
        <v>2043</v>
      </c>
      <c r="AV832" s="133">
        <f t="shared" si="1236"/>
        <v>2044</v>
      </c>
      <c r="AW832" s="133">
        <f t="shared" si="1236"/>
        <v>2045</v>
      </c>
      <c r="AX832" s="133">
        <f t="shared" si="1236"/>
        <v>2046</v>
      </c>
      <c r="AY832" s="133">
        <f t="shared" si="1236"/>
        <v>2047</v>
      </c>
      <c r="AZ832" s="133">
        <f t="shared" si="1236"/>
        <v>2048</v>
      </c>
      <c r="BA832" s="133">
        <f t="shared" si="1236"/>
        <v>2049</v>
      </c>
      <c r="BB832" s="134">
        <f t="shared" si="1236"/>
        <v>2050</v>
      </c>
    </row>
    <row r="833" spans="3:350" ht="18" customHeight="1" outlineLevel="1" x14ac:dyDescent="0.3">
      <c r="C833" s="204" t="str">
        <f>$H$2</f>
        <v>Historique</v>
      </c>
      <c r="D833" s="4"/>
      <c r="E833" s="1" t="s">
        <v>367</v>
      </c>
      <c r="F833" s="138"/>
      <c r="H833" s="205">
        <f>H$818</f>
        <v>4933.8371416424261</v>
      </c>
      <c r="I833" s="206">
        <f>Q$818</f>
        <v>0</v>
      </c>
      <c r="J833" s="206"/>
      <c r="K833" s="206"/>
      <c r="L833" s="206"/>
      <c r="M833" s="207"/>
      <c r="N833" s="206"/>
      <c r="O833" s="206"/>
      <c r="P833" s="206"/>
      <c r="Q833" s="206"/>
      <c r="S833" s="205">
        <f>H$818</f>
        <v>4933.8371416424261</v>
      </c>
      <c r="T833" s="206">
        <f>I$818</f>
        <v>4841.1030883169242</v>
      </c>
      <c r="U833" s="206">
        <f>J$818</f>
        <v>4821.8771226458239</v>
      </c>
      <c r="V833" s="206">
        <f>K$818</f>
        <v>4810.5688669117908</v>
      </c>
      <c r="W833" s="206">
        <f>L$818</f>
        <v>4855.6269760295327</v>
      </c>
      <c r="X833" s="206"/>
      <c r="Y833" s="206"/>
      <c r="Z833" s="206"/>
      <c r="AA833" s="206"/>
      <c r="AB833" s="206"/>
      <c r="AC833" s="206"/>
      <c r="AD833" s="206"/>
      <c r="AE833" s="206"/>
      <c r="AF833" s="206"/>
      <c r="AG833" s="206"/>
      <c r="AH833" s="206"/>
      <c r="AI833" s="206"/>
      <c r="AJ833" s="206"/>
      <c r="AK833" s="206"/>
      <c r="AL833" s="206"/>
      <c r="AM833" s="206"/>
      <c r="AN833" s="206"/>
      <c r="AO833" s="206"/>
      <c r="AP833" s="206"/>
      <c r="AQ833" s="206"/>
      <c r="AR833" s="206"/>
      <c r="AS833" s="206"/>
      <c r="AT833" s="206"/>
      <c r="AU833" s="206"/>
      <c r="AV833" s="206"/>
      <c r="AW833" s="206"/>
      <c r="AX833" s="206"/>
      <c r="AY833" s="206"/>
      <c r="AZ833" s="206"/>
      <c r="BA833" s="206"/>
      <c r="BB833" s="207"/>
    </row>
    <row r="834" spans="3:350" ht="18" customHeight="1" outlineLevel="1" x14ac:dyDescent="0.3">
      <c r="C834" s="204" t="str">
        <f>$S$2</f>
        <v>AMS 2018</v>
      </c>
      <c r="D834" s="4"/>
      <c r="E834" s="137" t="s">
        <v>105</v>
      </c>
      <c r="F834" s="138"/>
      <c r="H834" s="205">
        <f>S$818</f>
        <v>0</v>
      </c>
      <c r="I834" s="206">
        <f>X$818</f>
        <v>0</v>
      </c>
      <c r="J834" s="206">
        <f>AC$818</f>
        <v>0</v>
      </c>
      <c r="K834" s="206">
        <f>AH$818</f>
        <v>0</v>
      </c>
      <c r="L834" s="206">
        <f>AR$818</f>
        <v>0</v>
      </c>
      <c r="M834" s="207">
        <f>BB$818</f>
        <v>0</v>
      </c>
      <c r="N834" s="206"/>
      <c r="O834" s="206"/>
      <c r="P834" s="206"/>
      <c r="Q834" s="206"/>
      <c r="S834" s="205"/>
      <c r="T834" s="206"/>
      <c r="U834" s="206"/>
      <c r="V834" s="206"/>
      <c r="W834" s="206"/>
      <c r="X834" s="206"/>
      <c r="Y834" s="206">
        <f t="shared" ref="Y834:BB834" si="1237">Y$818</f>
        <v>0</v>
      </c>
      <c r="Z834" s="206">
        <f t="shared" si="1237"/>
        <v>0</v>
      </c>
      <c r="AA834" s="206">
        <f t="shared" si="1237"/>
        <v>0</v>
      </c>
      <c r="AB834" s="206">
        <f t="shared" si="1237"/>
        <v>0</v>
      </c>
      <c r="AC834" s="206">
        <f t="shared" si="1237"/>
        <v>0</v>
      </c>
      <c r="AD834" s="206">
        <f t="shared" si="1237"/>
        <v>0</v>
      </c>
      <c r="AE834" s="206">
        <f t="shared" si="1237"/>
        <v>0</v>
      </c>
      <c r="AF834" s="206">
        <f t="shared" si="1237"/>
        <v>0</v>
      </c>
      <c r="AG834" s="206">
        <f t="shared" si="1237"/>
        <v>0</v>
      </c>
      <c r="AH834" s="206">
        <f t="shared" si="1237"/>
        <v>0</v>
      </c>
      <c r="AI834" s="206">
        <f t="shared" si="1237"/>
        <v>0</v>
      </c>
      <c r="AJ834" s="206">
        <f t="shared" si="1237"/>
        <v>0</v>
      </c>
      <c r="AK834" s="206">
        <f t="shared" si="1237"/>
        <v>0</v>
      </c>
      <c r="AL834" s="206">
        <f t="shared" si="1237"/>
        <v>0</v>
      </c>
      <c r="AM834" s="206">
        <f t="shared" si="1237"/>
        <v>0</v>
      </c>
      <c r="AN834" s="206">
        <f t="shared" si="1237"/>
        <v>0</v>
      </c>
      <c r="AO834" s="206">
        <f t="shared" si="1237"/>
        <v>0</v>
      </c>
      <c r="AP834" s="206">
        <f t="shared" si="1237"/>
        <v>0</v>
      </c>
      <c r="AQ834" s="206">
        <f t="shared" si="1237"/>
        <v>0</v>
      </c>
      <c r="AR834" s="206">
        <f t="shared" si="1237"/>
        <v>0</v>
      </c>
      <c r="AS834" s="206">
        <f t="shared" si="1237"/>
        <v>0</v>
      </c>
      <c r="AT834" s="206">
        <f t="shared" si="1237"/>
        <v>0</v>
      </c>
      <c r="AU834" s="206">
        <f t="shared" si="1237"/>
        <v>0</v>
      </c>
      <c r="AV834" s="206">
        <f t="shared" si="1237"/>
        <v>0</v>
      </c>
      <c r="AW834" s="206">
        <f t="shared" si="1237"/>
        <v>0</v>
      </c>
      <c r="AX834" s="206">
        <f t="shared" si="1237"/>
        <v>0</v>
      </c>
      <c r="AY834" s="206">
        <f t="shared" si="1237"/>
        <v>0</v>
      </c>
      <c r="AZ834" s="206">
        <f t="shared" si="1237"/>
        <v>0</v>
      </c>
      <c r="BA834" s="206">
        <f t="shared" si="1237"/>
        <v>0</v>
      </c>
      <c r="BB834" s="207">
        <f t="shared" si="1237"/>
        <v>0</v>
      </c>
    </row>
    <row r="835" spans="3:350" ht="18" customHeight="1" outlineLevel="1" x14ac:dyDescent="0.3">
      <c r="C835" s="204" t="str">
        <f>$BD$2</f>
        <v>ADEME Tend.</v>
      </c>
      <c r="D835" s="4"/>
      <c r="E835" s="137" t="s">
        <v>105</v>
      </c>
      <c r="F835" s="138"/>
      <c r="H835" s="205">
        <f>BD$818</f>
        <v>0</v>
      </c>
      <c r="I835" s="206">
        <f>BI$818</f>
        <v>0</v>
      </c>
      <c r="J835" s="206">
        <f>BN$818</f>
        <v>0</v>
      </c>
      <c r="K835" s="206">
        <f>BS$818</f>
        <v>0</v>
      </c>
      <c r="L835" s="206">
        <f>CC$818</f>
        <v>0</v>
      </c>
      <c r="M835" s="207">
        <f>CM$818</f>
        <v>0</v>
      </c>
      <c r="N835" s="206"/>
      <c r="O835" s="206"/>
      <c r="P835" s="206"/>
      <c r="Q835" s="206"/>
      <c r="S835" s="205"/>
      <c r="T835" s="206"/>
      <c r="U835" s="206"/>
      <c r="V835" s="206"/>
      <c r="W835" s="206"/>
      <c r="X835" s="206"/>
      <c r="Y835" s="206">
        <f t="shared" ref="Y835:BB835" si="1238">BJ$818</f>
        <v>0</v>
      </c>
      <c r="Z835" s="206">
        <f t="shared" si="1238"/>
        <v>0</v>
      </c>
      <c r="AA835" s="206">
        <f t="shared" si="1238"/>
        <v>0</v>
      </c>
      <c r="AB835" s="206">
        <f t="shared" si="1238"/>
        <v>0</v>
      </c>
      <c r="AC835" s="206">
        <f t="shared" si="1238"/>
        <v>0</v>
      </c>
      <c r="AD835" s="206">
        <f t="shared" si="1238"/>
        <v>0</v>
      </c>
      <c r="AE835" s="206">
        <f t="shared" si="1238"/>
        <v>0</v>
      </c>
      <c r="AF835" s="206">
        <f t="shared" si="1238"/>
        <v>0</v>
      </c>
      <c r="AG835" s="206">
        <f t="shared" si="1238"/>
        <v>0</v>
      </c>
      <c r="AH835" s="206">
        <f t="shared" si="1238"/>
        <v>0</v>
      </c>
      <c r="AI835" s="206">
        <f t="shared" si="1238"/>
        <v>0</v>
      </c>
      <c r="AJ835" s="206">
        <f t="shared" si="1238"/>
        <v>0</v>
      </c>
      <c r="AK835" s="206">
        <f t="shared" si="1238"/>
        <v>0</v>
      </c>
      <c r="AL835" s="206">
        <f t="shared" si="1238"/>
        <v>0</v>
      </c>
      <c r="AM835" s="206">
        <f t="shared" si="1238"/>
        <v>0</v>
      </c>
      <c r="AN835" s="206">
        <f t="shared" si="1238"/>
        <v>0</v>
      </c>
      <c r="AO835" s="206">
        <f t="shared" si="1238"/>
        <v>0</v>
      </c>
      <c r="AP835" s="206">
        <f t="shared" si="1238"/>
        <v>0</v>
      </c>
      <c r="AQ835" s="206">
        <f t="shared" si="1238"/>
        <v>0</v>
      </c>
      <c r="AR835" s="206">
        <f t="shared" si="1238"/>
        <v>0</v>
      </c>
      <c r="AS835" s="206">
        <f t="shared" si="1238"/>
        <v>0</v>
      </c>
      <c r="AT835" s="206">
        <f t="shared" si="1238"/>
        <v>0</v>
      </c>
      <c r="AU835" s="206">
        <f t="shared" si="1238"/>
        <v>0</v>
      </c>
      <c r="AV835" s="206">
        <f t="shared" si="1238"/>
        <v>0</v>
      </c>
      <c r="AW835" s="206">
        <f t="shared" si="1238"/>
        <v>0</v>
      </c>
      <c r="AX835" s="206">
        <f t="shared" si="1238"/>
        <v>0</v>
      </c>
      <c r="AY835" s="206">
        <f t="shared" si="1238"/>
        <v>0</v>
      </c>
      <c r="AZ835" s="206">
        <f t="shared" si="1238"/>
        <v>0</v>
      </c>
      <c r="BA835" s="206">
        <f t="shared" si="1238"/>
        <v>0</v>
      </c>
      <c r="BB835" s="207">
        <f t="shared" si="1238"/>
        <v>0</v>
      </c>
    </row>
    <row r="836" spans="3:350" ht="18" customHeight="1" outlineLevel="1" x14ac:dyDescent="0.3">
      <c r="C836" s="204" t="str">
        <f>$CO$2</f>
        <v>ADEME S1</v>
      </c>
      <c r="D836" s="4"/>
      <c r="E836" s="137" t="s">
        <v>105</v>
      </c>
      <c r="F836" s="138"/>
      <c r="H836" s="205">
        <f>CO$818</f>
        <v>0</v>
      </c>
      <c r="I836" s="206">
        <f>CT$818</f>
        <v>0</v>
      </c>
      <c r="J836" s="206">
        <f>CY$818</f>
        <v>0</v>
      </c>
      <c r="K836" s="206">
        <f>DD$818</f>
        <v>0</v>
      </c>
      <c r="L836" s="206">
        <f>DN$818</f>
        <v>0</v>
      </c>
      <c r="M836" s="207">
        <f>DX$818</f>
        <v>0</v>
      </c>
      <c r="N836" s="206"/>
      <c r="O836" s="206"/>
      <c r="P836" s="206"/>
      <c r="Q836" s="206"/>
      <c r="S836" s="205"/>
      <c r="T836" s="206"/>
      <c r="U836" s="206"/>
      <c r="V836" s="206"/>
      <c r="W836" s="206"/>
      <c r="X836" s="206"/>
      <c r="Y836" s="206">
        <f t="shared" ref="Y836:BB836" si="1239">CU$818</f>
        <v>0</v>
      </c>
      <c r="Z836" s="206">
        <f t="shared" si="1239"/>
        <v>0</v>
      </c>
      <c r="AA836" s="206">
        <f t="shared" si="1239"/>
        <v>0</v>
      </c>
      <c r="AB836" s="206">
        <f t="shared" si="1239"/>
        <v>0</v>
      </c>
      <c r="AC836" s="206">
        <f t="shared" si="1239"/>
        <v>0</v>
      </c>
      <c r="AD836" s="206">
        <f t="shared" si="1239"/>
        <v>0</v>
      </c>
      <c r="AE836" s="206">
        <f t="shared" si="1239"/>
        <v>0</v>
      </c>
      <c r="AF836" s="206">
        <f t="shared" si="1239"/>
        <v>0</v>
      </c>
      <c r="AG836" s="206">
        <f t="shared" si="1239"/>
        <v>0</v>
      </c>
      <c r="AH836" s="206">
        <f t="shared" si="1239"/>
        <v>0</v>
      </c>
      <c r="AI836" s="206">
        <f t="shared" si="1239"/>
        <v>0</v>
      </c>
      <c r="AJ836" s="206">
        <f t="shared" si="1239"/>
        <v>0</v>
      </c>
      <c r="AK836" s="206">
        <f t="shared" si="1239"/>
        <v>0</v>
      </c>
      <c r="AL836" s="206">
        <f t="shared" si="1239"/>
        <v>0</v>
      </c>
      <c r="AM836" s="206">
        <f t="shared" si="1239"/>
        <v>0</v>
      </c>
      <c r="AN836" s="206">
        <f t="shared" si="1239"/>
        <v>0</v>
      </c>
      <c r="AO836" s="206">
        <f t="shared" si="1239"/>
        <v>0</v>
      </c>
      <c r="AP836" s="206">
        <f t="shared" si="1239"/>
        <v>0</v>
      </c>
      <c r="AQ836" s="206">
        <f t="shared" si="1239"/>
        <v>0</v>
      </c>
      <c r="AR836" s="206">
        <f t="shared" si="1239"/>
        <v>0</v>
      </c>
      <c r="AS836" s="206">
        <f t="shared" si="1239"/>
        <v>0</v>
      </c>
      <c r="AT836" s="206">
        <f t="shared" si="1239"/>
        <v>0</v>
      </c>
      <c r="AU836" s="206">
        <f t="shared" si="1239"/>
        <v>0</v>
      </c>
      <c r="AV836" s="206">
        <f t="shared" si="1239"/>
        <v>0</v>
      </c>
      <c r="AW836" s="206">
        <f t="shared" si="1239"/>
        <v>0</v>
      </c>
      <c r="AX836" s="206">
        <f t="shared" si="1239"/>
        <v>0</v>
      </c>
      <c r="AY836" s="206">
        <f t="shared" si="1239"/>
        <v>0</v>
      </c>
      <c r="AZ836" s="206">
        <f t="shared" si="1239"/>
        <v>0</v>
      </c>
      <c r="BA836" s="206">
        <f t="shared" si="1239"/>
        <v>0</v>
      </c>
      <c r="BB836" s="207">
        <f t="shared" si="1239"/>
        <v>0</v>
      </c>
    </row>
    <row r="837" spans="3:350" ht="18" customHeight="1" outlineLevel="1" x14ac:dyDescent="0.3">
      <c r="C837" s="204" t="str">
        <f>$DZ$2</f>
        <v>ADEME S2</v>
      </c>
      <c r="D837" s="4"/>
      <c r="E837" s="137" t="s">
        <v>105</v>
      </c>
      <c r="F837" s="138"/>
      <c r="H837" s="205">
        <f>DZ$818</f>
        <v>0</v>
      </c>
      <c r="I837" s="206">
        <f>EE$818</f>
        <v>0</v>
      </c>
      <c r="J837" s="206">
        <f>EJ$818</f>
        <v>0</v>
      </c>
      <c r="K837" s="206">
        <f>EO$818</f>
        <v>0</v>
      </c>
      <c r="L837" s="206">
        <f>EY$818</f>
        <v>0</v>
      </c>
      <c r="M837" s="207">
        <f>FI$818</f>
        <v>0</v>
      </c>
      <c r="N837" s="206"/>
      <c r="O837" s="206"/>
      <c r="P837" s="206"/>
      <c r="Q837" s="206"/>
      <c r="S837" s="205"/>
      <c r="T837" s="206"/>
      <c r="U837" s="206"/>
      <c r="V837" s="206"/>
      <c r="W837" s="206"/>
      <c r="X837" s="206"/>
      <c r="Y837" s="206">
        <f t="shared" ref="Y837:BB837" si="1240">EF$818</f>
        <v>0</v>
      </c>
      <c r="Z837" s="206">
        <f t="shared" si="1240"/>
        <v>0</v>
      </c>
      <c r="AA837" s="206">
        <f t="shared" si="1240"/>
        <v>0</v>
      </c>
      <c r="AB837" s="206">
        <f t="shared" si="1240"/>
        <v>0</v>
      </c>
      <c r="AC837" s="206">
        <f t="shared" si="1240"/>
        <v>0</v>
      </c>
      <c r="AD837" s="206">
        <f t="shared" si="1240"/>
        <v>0</v>
      </c>
      <c r="AE837" s="206">
        <f t="shared" si="1240"/>
        <v>0</v>
      </c>
      <c r="AF837" s="206">
        <f t="shared" si="1240"/>
        <v>0</v>
      </c>
      <c r="AG837" s="206">
        <f t="shared" si="1240"/>
        <v>0</v>
      </c>
      <c r="AH837" s="206">
        <f t="shared" si="1240"/>
        <v>0</v>
      </c>
      <c r="AI837" s="206">
        <f t="shared" si="1240"/>
        <v>0</v>
      </c>
      <c r="AJ837" s="206">
        <f t="shared" si="1240"/>
        <v>0</v>
      </c>
      <c r="AK837" s="206">
        <f t="shared" si="1240"/>
        <v>0</v>
      </c>
      <c r="AL837" s="206">
        <f t="shared" si="1240"/>
        <v>0</v>
      </c>
      <c r="AM837" s="206">
        <f t="shared" si="1240"/>
        <v>0</v>
      </c>
      <c r="AN837" s="206">
        <f t="shared" si="1240"/>
        <v>0</v>
      </c>
      <c r="AO837" s="206">
        <f t="shared" si="1240"/>
        <v>0</v>
      </c>
      <c r="AP837" s="206">
        <f t="shared" si="1240"/>
        <v>0</v>
      </c>
      <c r="AQ837" s="206">
        <f t="shared" si="1240"/>
        <v>0</v>
      </c>
      <c r="AR837" s="206">
        <f t="shared" si="1240"/>
        <v>0</v>
      </c>
      <c r="AS837" s="206">
        <f t="shared" si="1240"/>
        <v>0</v>
      </c>
      <c r="AT837" s="206">
        <f t="shared" si="1240"/>
        <v>0</v>
      </c>
      <c r="AU837" s="206">
        <f t="shared" si="1240"/>
        <v>0</v>
      </c>
      <c r="AV837" s="206">
        <f t="shared" si="1240"/>
        <v>0</v>
      </c>
      <c r="AW837" s="206">
        <f t="shared" si="1240"/>
        <v>0</v>
      </c>
      <c r="AX837" s="206">
        <f t="shared" si="1240"/>
        <v>0</v>
      </c>
      <c r="AY837" s="206">
        <f t="shared" si="1240"/>
        <v>0</v>
      </c>
      <c r="AZ837" s="206">
        <f t="shared" si="1240"/>
        <v>0</v>
      </c>
      <c r="BA837" s="206">
        <f t="shared" si="1240"/>
        <v>0</v>
      </c>
      <c r="BB837" s="207">
        <f t="shared" si="1240"/>
        <v>0</v>
      </c>
    </row>
    <row r="838" spans="3:350" ht="18" customHeight="1" outlineLevel="1" x14ac:dyDescent="0.3">
      <c r="C838" s="204" t="str">
        <f>$FK$2</f>
        <v>ADEME S3</v>
      </c>
      <c r="D838" s="4"/>
      <c r="E838" s="137" t="s">
        <v>105</v>
      </c>
      <c r="F838" s="138"/>
      <c r="H838" s="205">
        <f>FK$818</f>
        <v>0</v>
      </c>
      <c r="I838" s="206">
        <f>FP$818</f>
        <v>0</v>
      </c>
      <c r="J838" s="206">
        <f>FU$818</f>
        <v>0</v>
      </c>
      <c r="K838" s="206">
        <f>FZ$818</f>
        <v>0</v>
      </c>
      <c r="L838" s="206">
        <f>GJ$818</f>
        <v>0</v>
      </c>
      <c r="M838" s="207">
        <f>GT$818</f>
        <v>0</v>
      </c>
      <c r="N838" s="206"/>
      <c r="O838" s="206"/>
      <c r="P838" s="206"/>
      <c r="Q838" s="206"/>
      <c r="S838" s="205"/>
      <c r="T838" s="206"/>
      <c r="U838" s="206"/>
      <c r="V838" s="206"/>
      <c r="W838" s="206"/>
      <c r="X838" s="206"/>
      <c r="Y838" s="206">
        <f t="shared" ref="Y838:BB838" si="1241">FQ$818</f>
        <v>0</v>
      </c>
      <c r="Z838" s="206">
        <f t="shared" si="1241"/>
        <v>0</v>
      </c>
      <c r="AA838" s="206">
        <f t="shared" si="1241"/>
        <v>0</v>
      </c>
      <c r="AB838" s="206">
        <f t="shared" si="1241"/>
        <v>0</v>
      </c>
      <c r="AC838" s="206">
        <f t="shared" si="1241"/>
        <v>0</v>
      </c>
      <c r="AD838" s="206">
        <f t="shared" si="1241"/>
        <v>0</v>
      </c>
      <c r="AE838" s="206">
        <f t="shared" si="1241"/>
        <v>0</v>
      </c>
      <c r="AF838" s="206">
        <f t="shared" si="1241"/>
        <v>0</v>
      </c>
      <c r="AG838" s="206">
        <f t="shared" si="1241"/>
        <v>0</v>
      </c>
      <c r="AH838" s="206">
        <f t="shared" si="1241"/>
        <v>0</v>
      </c>
      <c r="AI838" s="206">
        <f t="shared" si="1241"/>
        <v>0</v>
      </c>
      <c r="AJ838" s="206">
        <f t="shared" si="1241"/>
        <v>0</v>
      </c>
      <c r="AK838" s="206">
        <f t="shared" si="1241"/>
        <v>0</v>
      </c>
      <c r="AL838" s="206">
        <f t="shared" si="1241"/>
        <v>0</v>
      </c>
      <c r="AM838" s="206">
        <f t="shared" si="1241"/>
        <v>0</v>
      </c>
      <c r="AN838" s="206">
        <f t="shared" si="1241"/>
        <v>0</v>
      </c>
      <c r="AO838" s="206">
        <f t="shared" si="1241"/>
        <v>0</v>
      </c>
      <c r="AP838" s="206">
        <f t="shared" si="1241"/>
        <v>0</v>
      </c>
      <c r="AQ838" s="206">
        <f t="shared" si="1241"/>
        <v>0</v>
      </c>
      <c r="AR838" s="206">
        <f t="shared" si="1241"/>
        <v>0</v>
      </c>
      <c r="AS838" s="206">
        <f t="shared" si="1241"/>
        <v>0</v>
      </c>
      <c r="AT838" s="206">
        <f t="shared" si="1241"/>
        <v>0</v>
      </c>
      <c r="AU838" s="206">
        <f t="shared" si="1241"/>
        <v>0</v>
      </c>
      <c r="AV838" s="206">
        <f t="shared" si="1241"/>
        <v>0</v>
      </c>
      <c r="AW838" s="206">
        <f t="shared" si="1241"/>
        <v>0</v>
      </c>
      <c r="AX838" s="206">
        <f t="shared" si="1241"/>
        <v>0</v>
      </c>
      <c r="AY838" s="206">
        <f t="shared" si="1241"/>
        <v>0</v>
      </c>
      <c r="AZ838" s="206">
        <f t="shared" si="1241"/>
        <v>0</v>
      </c>
      <c r="BA838" s="206">
        <f t="shared" si="1241"/>
        <v>0</v>
      </c>
      <c r="BB838" s="207">
        <f t="shared" si="1241"/>
        <v>0</v>
      </c>
    </row>
    <row r="839" spans="3:350" ht="18" customHeight="1" outlineLevel="1" x14ac:dyDescent="0.3">
      <c r="C839" s="204" t="str">
        <f>$GV$2</f>
        <v>ADEME S4</v>
      </c>
      <c r="D839" s="4"/>
      <c r="E839" s="137" t="s">
        <v>105</v>
      </c>
      <c r="F839" s="138"/>
      <c r="H839" s="205">
        <f>GV$818</f>
        <v>0</v>
      </c>
      <c r="I839" s="206">
        <f>HA$818</f>
        <v>0</v>
      </c>
      <c r="J839" s="206">
        <f>HF$818</f>
        <v>0</v>
      </c>
      <c r="K839" s="206">
        <f>HK$818</f>
        <v>0</v>
      </c>
      <c r="L839" s="206">
        <f>HU$818</f>
        <v>0</v>
      </c>
      <c r="M839" s="207">
        <f>IE$818</f>
        <v>0</v>
      </c>
      <c r="N839" s="206"/>
      <c r="O839" s="206"/>
      <c r="P839" s="206"/>
      <c r="Q839" s="206"/>
      <c r="S839" s="205"/>
      <c r="T839" s="206"/>
      <c r="U839" s="206"/>
      <c r="V839" s="206"/>
      <c r="W839" s="206"/>
      <c r="X839" s="206"/>
      <c r="Y839" s="206">
        <f t="shared" ref="Y839:BB839" si="1242">HB$818</f>
        <v>0</v>
      </c>
      <c r="Z839" s="206">
        <f t="shared" si="1242"/>
        <v>0</v>
      </c>
      <c r="AA839" s="206">
        <f t="shared" si="1242"/>
        <v>0</v>
      </c>
      <c r="AB839" s="206">
        <f t="shared" si="1242"/>
        <v>0</v>
      </c>
      <c r="AC839" s="206">
        <f t="shared" si="1242"/>
        <v>0</v>
      </c>
      <c r="AD839" s="206">
        <f t="shared" si="1242"/>
        <v>0</v>
      </c>
      <c r="AE839" s="206">
        <f t="shared" si="1242"/>
        <v>0</v>
      </c>
      <c r="AF839" s="206">
        <f t="shared" si="1242"/>
        <v>0</v>
      </c>
      <c r="AG839" s="206">
        <f t="shared" si="1242"/>
        <v>0</v>
      </c>
      <c r="AH839" s="206">
        <f t="shared" si="1242"/>
        <v>0</v>
      </c>
      <c r="AI839" s="206">
        <f t="shared" si="1242"/>
        <v>0</v>
      </c>
      <c r="AJ839" s="206">
        <f t="shared" si="1242"/>
        <v>0</v>
      </c>
      <c r="AK839" s="206">
        <f t="shared" si="1242"/>
        <v>0</v>
      </c>
      <c r="AL839" s="206">
        <f t="shared" si="1242"/>
        <v>0</v>
      </c>
      <c r="AM839" s="206">
        <f t="shared" si="1242"/>
        <v>0</v>
      </c>
      <c r="AN839" s="206">
        <f t="shared" si="1242"/>
        <v>0</v>
      </c>
      <c r="AO839" s="206">
        <f t="shared" si="1242"/>
        <v>0</v>
      </c>
      <c r="AP839" s="206">
        <f t="shared" si="1242"/>
        <v>0</v>
      </c>
      <c r="AQ839" s="206">
        <f t="shared" si="1242"/>
        <v>0</v>
      </c>
      <c r="AR839" s="206">
        <f t="shared" si="1242"/>
        <v>0</v>
      </c>
      <c r="AS839" s="206">
        <f t="shared" si="1242"/>
        <v>0</v>
      </c>
      <c r="AT839" s="206">
        <f t="shared" si="1242"/>
        <v>0</v>
      </c>
      <c r="AU839" s="206">
        <f t="shared" si="1242"/>
        <v>0</v>
      </c>
      <c r="AV839" s="206">
        <f t="shared" si="1242"/>
        <v>0</v>
      </c>
      <c r="AW839" s="206">
        <f t="shared" si="1242"/>
        <v>0</v>
      </c>
      <c r="AX839" s="206">
        <f t="shared" si="1242"/>
        <v>0</v>
      </c>
      <c r="AY839" s="206">
        <f t="shared" si="1242"/>
        <v>0</v>
      </c>
      <c r="AZ839" s="206">
        <f t="shared" si="1242"/>
        <v>0</v>
      </c>
      <c r="BA839" s="206">
        <f t="shared" si="1242"/>
        <v>0</v>
      </c>
      <c r="BB839" s="207">
        <f t="shared" si="1242"/>
        <v>0</v>
      </c>
    </row>
    <row r="840" spans="3:350" ht="18" customHeight="1" outlineLevel="1" x14ac:dyDescent="0.3">
      <c r="C840" s="204" t="str">
        <f>$IG$2</f>
        <v>AME 2023</v>
      </c>
      <c r="D840" s="4"/>
      <c r="E840" s="137" t="s">
        <v>105</v>
      </c>
      <c r="F840" s="138"/>
      <c r="H840" s="205">
        <f>IG$818</f>
        <v>0</v>
      </c>
      <c r="I840" s="206">
        <f>IL$818</f>
        <v>0</v>
      </c>
      <c r="J840" s="206">
        <f>IQ$818</f>
        <v>0</v>
      </c>
      <c r="K840" s="206">
        <f>IV$818</f>
        <v>0</v>
      </c>
      <c r="L840" s="206">
        <f>JF$818</f>
        <v>0</v>
      </c>
      <c r="M840" s="207">
        <f>JP$818</f>
        <v>0</v>
      </c>
      <c r="N840" s="206"/>
      <c r="O840" s="206"/>
      <c r="P840" s="206"/>
      <c r="Q840" s="206"/>
      <c r="S840" s="205"/>
      <c r="T840" s="206"/>
      <c r="U840" s="206"/>
      <c r="V840" s="206"/>
      <c r="W840" s="206"/>
      <c r="X840" s="206"/>
      <c r="Y840" s="206">
        <f t="shared" ref="Y840:BB840" si="1243">IM$818</f>
        <v>0</v>
      </c>
      <c r="Z840" s="206">
        <f t="shared" si="1243"/>
        <v>0</v>
      </c>
      <c r="AA840" s="206">
        <f t="shared" si="1243"/>
        <v>0</v>
      </c>
      <c r="AB840" s="206">
        <f t="shared" si="1243"/>
        <v>0</v>
      </c>
      <c r="AC840" s="206">
        <f t="shared" si="1243"/>
        <v>0</v>
      </c>
      <c r="AD840" s="206">
        <f t="shared" si="1243"/>
        <v>0</v>
      </c>
      <c r="AE840" s="206">
        <f t="shared" si="1243"/>
        <v>0</v>
      </c>
      <c r="AF840" s="206">
        <f t="shared" si="1243"/>
        <v>0</v>
      </c>
      <c r="AG840" s="206">
        <f t="shared" si="1243"/>
        <v>0</v>
      </c>
      <c r="AH840" s="206">
        <f t="shared" si="1243"/>
        <v>0</v>
      </c>
      <c r="AI840" s="206">
        <f t="shared" si="1243"/>
        <v>0</v>
      </c>
      <c r="AJ840" s="206">
        <f t="shared" si="1243"/>
        <v>0</v>
      </c>
      <c r="AK840" s="206">
        <f t="shared" si="1243"/>
        <v>0</v>
      </c>
      <c r="AL840" s="206">
        <f t="shared" si="1243"/>
        <v>0</v>
      </c>
      <c r="AM840" s="206">
        <f t="shared" si="1243"/>
        <v>0</v>
      </c>
      <c r="AN840" s="206">
        <f t="shared" si="1243"/>
        <v>0</v>
      </c>
      <c r="AO840" s="206">
        <f t="shared" si="1243"/>
        <v>0</v>
      </c>
      <c r="AP840" s="206">
        <f t="shared" si="1243"/>
        <v>0</v>
      </c>
      <c r="AQ840" s="206">
        <f t="shared" si="1243"/>
        <v>0</v>
      </c>
      <c r="AR840" s="206">
        <f t="shared" si="1243"/>
        <v>0</v>
      </c>
      <c r="AS840" s="206">
        <f t="shared" si="1243"/>
        <v>0</v>
      </c>
      <c r="AT840" s="206">
        <f t="shared" si="1243"/>
        <v>0</v>
      </c>
      <c r="AU840" s="206">
        <f t="shared" si="1243"/>
        <v>0</v>
      </c>
      <c r="AV840" s="206">
        <f t="shared" si="1243"/>
        <v>0</v>
      </c>
      <c r="AW840" s="206">
        <f t="shared" si="1243"/>
        <v>0</v>
      </c>
      <c r="AX840" s="206">
        <f t="shared" si="1243"/>
        <v>0</v>
      </c>
      <c r="AY840" s="206">
        <f t="shared" si="1243"/>
        <v>0</v>
      </c>
      <c r="AZ840" s="206">
        <f t="shared" si="1243"/>
        <v>0</v>
      </c>
      <c r="BA840" s="206">
        <f t="shared" si="1243"/>
        <v>0</v>
      </c>
      <c r="BB840" s="207">
        <f t="shared" si="1243"/>
        <v>0</v>
      </c>
    </row>
    <row r="841" spans="3:350" ht="18" customHeight="1" outlineLevel="1" x14ac:dyDescent="0.3">
      <c r="C841" s="204" t="str">
        <f>$JR$2</f>
        <v>AMS run 2 2023</v>
      </c>
      <c r="D841" s="4"/>
      <c r="E841" s="137" t="s">
        <v>105</v>
      </c>
      <c r="F841" s="138"/>
      <c r="H841" s="205">
        <f>JR$818</f>
        <v>0</v>
      </c>
      <c r="I841" s="206">
        <f>JW$818</f>
        <v>0</v>
      </c>
      <c r="J841" s="206">
        <f>KB$818</f>
        <v>11781.7113898937</v>
      </c>
      <c r="K841" s="206">
        <f>KG$818</f>
        <v>17714.101535978156</v>
      </c>
      <c r="L841" s="206">
        <f>KQ$818</f>
        <v>4405.3331326885127</v>
      </c>
      <c r="M841" s="207">
        <f>LA$818</f>
        <v>2320.2879580922126</v>
      </c>
      <c r="N841" s="206"/>
      <c r="O841" s="206"/>
      <c r="P841" s="206"/>
      <c r="Q841" s="206"/>
      <c r="S841" s="205"/>
      <c r="T841" s="206"/>
      <c r="U841" s="206"/>
      <c r="V841" s="206"/>
      <c r="W841" s="206"/>
      <c r="X841" s="206"/>
      <c r="Y841" s="206"/>
      <c r="Z841" s="206"/>
      <c r="AA841" s="206"/>
      <c r="AB841" s="206">
        <f t="shared" ref="AB841:BB841" si="1244">KA$818</f>
        <v>9975.7962921199942</v>
      </c>
      <c r="AC841" s="206">
        <f t="shared" si="1244"/>
        <v>11781.7113898937</v>
      </c>
      <c r="AD841" s="206">
        <f t="shared" si="1244"/>
        <v>13585.213748245389</v>
      </c>
      <c r="AE841" s="206">
        <f t="shared" si="1244"/>
        <v>15230.448365246666</v>
      </c>
      <c r="AF841" s="206">
        <f t="shared" si="1244"/>
        <v>16554.916353321278</v>
      </c>
      <c r="AG841" s="206">
        <f t="shared" si="1244"/>
        <v>17415.554271104578</v>
      </c>
      <c r="AH841" s="206">
        <f t="shared" si="1244"/>
        <v>17714.101535978156</v>
      </c>
      <c r="AI841" s="206">
        <f t="shared" si="1244"/>
        <v>17454.078877060005</v>
      </c>
      <c r="AJ841" s="206">
        <f t="shared" si="1244"/>
        <v>16572.453777390467</v>
      </c>
      <c r="AK841" s="206">
        <f t="shared" si="1244"/>
        <v>15215.687827543716</v>
      </c>
      <c r="AL841" s="206">
        <f t="shared" si="1244"/>
        <v>13530.333158382215</v>
      </c>
      <c r="AM841" s="206">
        <f t="shared" si="1244"/>
        <v>11682.851292220237</v>
      </c>
      <c r="AN841" s="206">
        <f t="shared" si="1244"/>
        <v>9832.8978505100986</v>
      </c>
      <c r="AO841" s="206">
        <f t="shared" si="1244"/>
        <v>8111.7115123879248</v>
      </c>
      <c r="AP841" s="206">
        <f t="shared" si="1244"/>
        <v>6609.3371903308944</v>
      </c>
      <c r="AQ841" s="206">
        <f t="shared" si="1244"/>
        <v>5371.6125523934334</v>
      </c>
      <c r="AR841" s="206">
        <f t="shared" si="1244"/>
        <v>4405.3331326885127</v>
      </c>
      <c r="AS841" s="206">
        <f t="shared" si="1244"/>
        <v>3688.4833663126938</v>
      </c>
      <c r="AT841" s="206">
        <f t="shared" si="1244"/>
        <v>3182.096967291342</v>
      </c>
      <c r="AU841" s="206">
        <f t="shared" si="1244"/>
        <v>2840.9629201118405</v>
      </c>
      <c r="AV841" s="206">
        <f t="shared" si="1244"/>
        <v>2621.5485370952911</v>
      </c>
      <c r="AW841" s="206">
        <f t="shared" si="1244"/>
        <v>2486.683030262066</v>
      </c>
      <c r="AX841" s="206">
        <f t="shared" si="1244"/>
        <v>2407.4052810183798</v>
      </c>
      <c r="AY841" s="206">
        <f t="shared" si="1244"/>
        <v>2362.8113955175022</v>
      </c>
      <c r="AZ841" s="206">
        <f t="shared" si="1244"/>
        <v>2338.7962035908959</v>
      </c>
      <c r="BA841" s="206">
        <f t="shared" si="1244"/>
        <v>2326.4093467351972</v>
      </c>
      <c r="BB841" s="207">
        <f t="shared" si="1244"/>
        <v>2320.2879580922126</v>
      </c>
    </row>
    <row r="842" spans="3:350" ht="18" customHeight="1" outlineLevel="1" x14ac:dyDescent="0.3">
      <c r="C842" s="204" t="str">
        <f>$LC$2</f>
        <v>AMS run 3 2025</v>
      </c>
      <c r="D842" s="4"/>
      <c r="E842" s="137" t="s">
        <v>105</v>
      </c>
      <c r="F842" s="138"/>
      <c r="H842" s="205">
        <f>LC$818</f>
        <v>0</v>
      </c>
      <c r="I842" s="206">
        <f>LH$818</f>
        <v>0</v>
      </c>
      <c r="J842" s="206">
        <f>LM$818</f>
        <v>9069.7356273999394</v>
      </c>
      <c r="K842" s="206">
        <f>LR$818</f>
        <v>8526.3145215714958</v>
      </c>
      <c r="L842" s="206">
        <f>MB$818</f>
        <v>6589.169704934784</v>
      </c>
      <c r="M842" s="207">
        <f>ML$818</f>
        <v>6630.3423829829007</v>
      </c>
      <c r="N842" s="206"/>
      <c r="O842" s="206"/>
      <c r="P842" s="206"/>
      <c r="Q842" s="206"/>
      <c r="S842" s="205"/>
      <c r="T842" s="206"/>
      <c r="U842" s="206"/>
      <c r="V842" s="206"/>
      <c r="W842" s="206"/>
      <c r="X842" s="206"/>
      <c r="Y842" s="206"/>
      <c r="Z842" s="206"/>
      <c r="AA842" s="206"/>
      <c r="AB842" s="206">
        <f t="shared" ref="AB842" si="1245">LL$818</f>
        <v>8526.3145215714958</v>
      </c>
      <c r="AC842" s="206">
        <f>LM$818</f>
        <v>9069.7356273999394</v>
      </c>
      <c r="AD842" s="206">
        <f t="shared" ref="AD842:BB842" si="1246">LN$818</f>
        <v>9422.850095405749</v>
      </c>
      <c r="AE842" s="206">
        <f t="shared" si="1246"/>
        <v>9545.3422101872493</v>
      </c>
      <c r="AF842" s="206">
        <f t="shared" si="1246"/>
        <v>9422.850095405749</v>
      </c>
      <c r="AG842" s="206">
        <f t="shared" si="1246"/>
        <v>9069.7356273999394</v>
      </c>
      <c r="AH842" s="206">
        <f t="shared" si="1246"/>
        <v>8526.3145215714958</v>
      </c>
      <c r="AI842" s="206">
        <f t="shared" si="1246"/>
        <v>8535.0165659997838</v>
      </c>
      <c r="AJ842" s="206">
        <f t="shared" si="1246"/>
        <v>8437.0919110245504</v>
      </c>
      <c r="AK842" s="206">
        <f t="shared" si="1246"/>
        <v>8154.7993527818189</v>
      </c>
      <c r="AL842" s="206">
        <f t="shared" si="1246"/>
        <v>8437.0919110245504</v>
      </c>
      <c r="AM842" s="206">
        <f t="shared" si="1246"/>
        <v>8535.0165659997838</v>
      </c>
      <c r="AN842" s="206">
        <f t="shared" si="1246"/>
        <v>8437.0919110245504</v>
      </c>
      <c r="AO842" s="206">
        <f t="shared" si="1246"/>
        <v>8154.7993527818189</v>
      </c>
      <c r="AP842" s="206">
        <f t="shared" si="1246"/>
        <v>7720.3687415589393</v>
      </c>
      <c r="AQ842" s="206">
        <f t="shared" si="1246"/>
        <v>7180.7254382066803</v>
      </c>
      <c r="AR842" s="206">
        <f t="shared" si="1246"/>
        <v>6589.169704934784</v>
      </c>
      <c r="AS842" s="206">
        <f t="shared" si="1246"/>
        <v>6630.3423829829007</v>
      </c>
      <c r="AT842" s="206">
        <f t="shared" si="1246"/>
        <v>7028.8800011165404</v>
      </c>
      <c r="AU842" s="206">
        <f t="shared" si="1246"/>
        <v>7028.8800011165404</v>
      </c>
      <c r="AV842" s="206">
        <f t="shared" si="1246"/>
        <v>7349.7158939471992</v>
      </c>
      <c r="AW842" s="206">
        <f t="shared" si="1246"/>
        <v>7558.1947226105676</v>
      </c>
      <c r="AX842" s="206">
        <f t="shared" si="1246"/>
        <v>7630.5140833956539</v>
      </c>
      <c r="AY842" s="206">
        <f t="shared" si="1246"/>
        <v>7558.1947226105676</v>
      </c>
      <c r="AZ842" s="206">
        <f t="shared" si="1246"/>
        <v>7349.7158939471992</v>
      </c>
      <c r="BA842" s="206">
        <f t="shared" si="1246"/>
        <v>7028.8800011165404</v>
      </c>
      <c r="BB842" s="207">
        <f t="shared" si="1246"/>
        <v>6630.3423829829007</v>
      </c>
    </row>
    <row r="843" spans="3:350" ht="18" customHeight="1" outlineLevel="1" x14ac:dyDescent="0.3">
      <c r="C843" s="208"/>
      <c r="D843" s="39"/>
      <c r="E843" s="209"/>
      <c r="F843" s="210"/>
      <c r="H843" s="211"/>
      <c r="I843" s="166"/>
      <c r="J843" s="166"/>
      <c r="K843" s="166"/>
      <c r="L843" s="166"/>
      <c r="M843" s="212"/>
      <c r="S843" s="211"/>
      <c r="T843" s="166"/>
      <c r="U843" s="166"/>
      <c r="V843" s="166"/>
      <c r="W843" s="166"/>
      <c r="X843" s="166"/>
      <c r="Y843" s="166"/>
      <c r="Z843" s="166"/>
      <c r="AA843" s="166"/>
      <c r="AB843" s="166"/>
      <c r="AC843" s="166"/>
      <c r="AD843" s="166"/>
      <c r="AE843" s="166"/>
      <c r="AF843" s="166"/>
      <c r="AG843" s="166"/>
      <c r="AH843" s="166"/>
      <c r="AI843" s="166"/>
      <c r="AJ843" s="166"/>
      <c r="AK843" s="166"/>
      <c r="AL843" s="166"/>
      <c r="AM843" s="166"/>
      <c r="AN843" s="166"/>
      <c r="AO843" s="166"/>
      <c r="AP843" s="166"/>
      <c r="AQ843" s="166"/>
      <c r="AR843" s="166"/>
      <c r="AS843" s="166"/>
      <c r="AT843" s="166"/>
      <c r="AU843" s="166"/>
      <c r="AV843" s="166"/>
      <c r="AW843" s="166"/>
      <c r="AX843" s="166"/>
      <c r="AY843" s="166"/>
      <c r="AZ843" s="166"/>
      <c r="BA843" s="166"/>
      <c r="BB843" s="212"/>
    </row>
    <row r="844" spans="3:350" s="4" customFormat="1" ht="18" customHeight="1" outlineLevel="1" x14ac:dyDescent="0.3">
      <c r="H844" s="140"/>
      <c r="I844" s="140"/>
      <c r="J844" s="140"/>
      <c r="K844" s="140"/>
      <c r="L844" s="140"/>
      <c r="M844" s="140"/>
      <c r="N844" s="140"/>
      <c r="O844" s="140"/>
      <c r="P844" s="140"/>
      <c r="Q844" s="140"/>
      <c r="R844" s="140"/>
      <c r="S844" s="140"/>
      <c r="T844" s="140"/>
      <c r="U844" s="140"/>
      <c r="V844" s="140"/>
      <c r="W844" s="140"/>
      <c r="X844" s="140"/>
      <c r="Y844" s="140"/>
      <c r="Z844" s="140"/>
      <c r="AA844" s="140"/>
      <c r="AB844" s="140"/>
      <c r="AC844" s="140"/>
      <c r="AD844" s="140"/>
      <c r="AE844" s="140"/>
      <c r="AF844" s="140"/>
      <c r="AG844" s="140"/>
      <c r="AH844" s="140"/>
      <c r="AI844" s="140"/>
      <c r="AJ844" s="140"/>
      <c r="AK844" s="140"/>
      <c r="AL844" s="140"/>
      <c r="AM844" s="140"/>
      <c r="AN844" s="140"/>
      <c r="AO844" s="140"/>
      <c r="AP844" s="140"/>
      <c r="AQ844" s="140"/>
      <c r="AR844" s="140"/>
      <c r="AS844" s="140"/>
      <c r="AT844" s="140"/>
      <c r="AU844" s="140"/>
      <c r="AV844" s="140"/>
      <c r="AW844" s="140"/>
      <c r="AX844" s="140"/>
      <c r="AY844" s="140"/>
      <c r="AZ844" s="140"/>
      <c r="BA844" s="140"/>
      <c r="BB844" s="140"/>
      <c r="BC844" s="140"/>
      <c r="BD844" s="140"/>
      <c r="BE844" s="140"/>
      <c r="BF844" s="140"/>
      <c r="BG844" s="140"/>
      <c r="BH844" s="140"/>
      <c r="BI844" s="140"/>
      <c r="BJ844" s="140"/>
      <c r="BK844" s="140"/>
      <c r="BL844" s="140"/>
      <c r="BM844" s="140"/>
      <c r="BN844" s="140"/>
      <c r="BO844" s="140"/>
      <c r="BP844" s="140"/>
      <c r="BQ844" s="140"/>
      <c r="BR844" s="140"/>
      <c r="BS844" s="140"/>
      <c r="BT844" s="140"/>
      <c r="BU844" s="140"/>
      <c r="BV844" s="140"/>
      <c r="BW844" s="140"/>
      <c r="BX844" s="140"/>
      <c r="BY844" s="140"/>
      <c r="BZ844" s="140"/>
      <c r="CA844" s="140"/>
      <c r="CB844" s="140"/>
      <c r="CC844" s="140"/>
      <c r="CD844" s="140"/>
      <c r="CE844" s="140"/>
      <c r="CF844" s="140"/>
      <c r="CG844" s="140"/>
      <c r="CH844" s="140"/>
      <c r="CI844" s="140"/>
      <c r="CJ844" s="140"/>
      <c r="CK844" s="140"/>
      <c r="CL844" s="140"/>
      <c r="CM844" s="140"/>
      <c r="CN844" s="140"/>
      <c r="FJ844" s="140"/>
      <c r="FK844" s="140"/>
      <c r="FL844" s="140"/>
      <c r="FM844" s="140"/>
      <c r="FN844" s="140"/>
      <c r="FO844" s="140"/>
      <c r="FP844" s="140"/>
      <c r="FQ844" s="140"/>
      <c r="FR844" s="140"/>
      <c r="FS844" s="140"/>
      <c r="FT844" s="140"/>
      <c r="FU844" s="140"/>
      <c r="FV844" s="140"/>
      <c r="FW844" s="140"/>
      <c r="FX844" s="140"/>
      <c r="FY844" s="140"/>
      <c r="FZ844" s="140"/>
      <c r="GA844" s="140"/>
      <c r="GB844" s="140"/>
      <c r="GC844" s="140"/>
      <c r="GD844" s="140"/>
      <c r="GE844" s="140"/>
      <c r="GF844" s="140"/>
      <c r="GG844" s="140"/>
      <c r="GH844" s="140"/>
      <c r="GI844" s="140"/>
      <c r="GJ844" s="140"/>
      <c r="GK844" s="140"/>
      <c r="GL844" s="140"/>
      <c r="GM844" s="140"/>
      <c r="GN844" s="140"/>
      <c r="GO844" s="140"/>
      <c r="GP844" s="140"/>
      <c r="GQ844" s="140"/>
      <c r="GR844" s="140"/>
      <c r="GS844" s="140"/>
      <c r="GT844" s="140"/>
      <c r="GU844" s="140"/>
      <c r="GV844" s="140"/>
      <c r="GW844" s="140"/>
      <c r="GX844" s="140"/>
      <c r="GY844" s="140"/>
      <c r="GZ844" s="140"/>
      <c r="HA844" s="140"/>
      <c r="HB844" s="140"/>
      <c r="HC844" s="140"/>
      <c r="HD844" s="140"/>
      <c r="HE844" s="140"/>
      <c r="HF844" s="140"/>
      <c r="HG844" s="140"/>
      <c r="HH844" s="140"/>
      <c r="HI844" s="140"/>
      <c r="HJ844" s="140"/>
      <c r="HK844" s="140"/>
      <c r="HL844" s="140"/>
      <c r="HM844" s="140"/>
      <c r="HN844" s="140"/>
      <c r="HO844" s="140"/>
      <c r="HP844" s="140"/>
      <c r="HQ844" s="140"/>
      <c r="HR844" s="140"/>
      <c r="HS844" s="140"/>
      <c r="HT844" s="140"/>
      <c r="HU844" s="140"/>
      <c r="HV844" s="140"/>
      <c r="HW844" s="140"/>
      <c r="HX844" s="140"/>
      <c r="HY844" s="140"/>
      <c r="HZ844" s="140"/>
      <c r="IA844" s="140"/>
      <c r="IB844" s="140"/>
      <c r="IC844" s="140"/>
      <c r="ID844" s="140"/>
      <c r="IE844" s="140"/>
      <c r="IF844" s="140"/>
      <c r="IG844" s="140"/>
      <c r="IH844" s="140"/>
      <c r="II844" s="140"/>
      <c r="IJ844" s="140"/>
      <c r="IK844" s="140"/>
      <c r="IL844" s="140"/>
      <c r="IM844" s="140"/>
      <c r="IN844" s="140"/>
      <c r="IO844" s="140"/>
      <c r="IP844" s="140"/>
      <c r="IQ844" s="140"/>
      <c r="IR844" s="140"/>
      <c r="IS844" s="140"/>
      <c r="IT844" s="140"/>
      <c r="IU844" s="140"/>
      <c r="IV844" s="140"/>
      <c r="IW844" s="140"/>
      <c r="IX844" s="140"/>
      <c r="IY844" s="140"/>
      <c r="IZ844" s="140"/>
      <c r="JA844" s="140"/>
      <c r="JB844" s="140"/>
      <c r="JC844" s="140"/>
      <c r="JD844" s="140"/>
      <c r="JE844" s="140"/>
      <c r="JF844" s="140"/>
      <c r="JG844" s="140"/>
      <c r="JH844" s="140"/>
      <c r="JI844" s="140"/>
      <c r="JJ844" s="140"/>
      <c r="JK844" s="140"/>
      <c r="JL844" s="140"/>
      <c r="JM844" s="140"/>
      <c r="JN844" s="140"/>
      <c r="JO844" s="140"/>
      <c r="JP844" s="140"/>
      <c r="JQ844" s="140"/>
      <c r="JR844" s="140"/>
      <c r="JS844" s="140"/>
      <c r="JT844" s="140"/>
      <c r="JU844" s="140"/>
      <c r="JV844" s="140"/>
      <c r="JW844" s="140"/>
      <c r="JX844" s="140"/>
      <c r="JY844" s="140"/>
      <c r="JZ844" s="140"/>
      <c r="KA844" s="140"/>
      <c r="KB844" s="140"/>
      <c r="KC844" s="140"/>
      <c r="KD844" s="140"/>
      <c r="KE844" s="140"/>
      <c r="KF844" s="140"/>
      <c r="KG844" s="140"/>
      <c r="KH844" s="140"/>
      <c r="KI844" s="140"/>
      <c r="KJ844" s="140"/>
      <c r="KK844" s="140"/>
      <c r="KL844" s="140"/>
      <c r="KM844" s="140"/>
      <c r="KN844" s="140"/>
      <c r="KO844" s="140"/>
      <c r="KP844" s="140"/>
      <c r="KQ844" s="140"/>
      <c r="KR844" s="140"/>
      <c r="KS844" s="140"/>
      <c r="KT844" s="140"/>
      <c r="KU844" s="140"/>
      <c r="KV844" s="140"/>
      <c r="KW844" s="140"/>
      <c r="KX844" s="140"/>
      <c r="KY844" s="140"/>
      <c r="KZ844" s="140"/>
      <c r="LA844" s="140"/>
      <c r="LB844" s="140"/>
      <c r="LC844" s="140"/>
      <c r="LD844" s="140"/>
      <c r="LE844" s="140"/>
      <c r="LF844" s="140"/>
      <c r="LG844" s="140"/>
      <c r="LH844" s="140"/>
      <c r="LI844" s="140"/>
      <c r="LJ844" s="140"/>
      <c r="LK844" s="140"/>
      <c r="LL844" s="140"/>
      <c r="LM844" s="140"/>
      <c r="LN844" s="140"/>
      <c r="LO844" s="140"/>
      <c r="LP844" s="140"/>
      <c r="LQ844" s="140"/>
      <c r="LR844" s="140"/>
      <c r="LS844" s="140"/>
      <c r="LT844" s="140"/>
      <c r="LU844" s="140"/>
      <c r="LV844" s="140"/>
      <c r="LW844" s="140"/>
      <c r="LX844" s="140"/>
      <c r="LY844" s="140"/>
      <c r="LZ844" s="140"/>
      <c r="MA844" s="140"/>
      <c r="MB844" s="140"/>
      <c r="MC844" s="140"/>
      <c r="MD844" s="140"/>
      <c r="ME844" s="140"/>
      <c r="MF844" s="140"/>
      <c r="MG844" s="140"/>
      <c r="MH844" s="140"/>
      <c r="MI844" s="140"/>
      <c r="MJ844" s="140"/>
      <c r="MK844" s="140"/>
      <c r="ML844" s="140"/>
    </row>
    <row r="845" spans="3:350" s="4" customFormat="1" ht="18" customHeight="1" x14ac:dyDescent="0.3">
      <c r="H845" s="140"/>
      <c r="I845" s="140"/>
      <c r="J845" s="140"/>
      <c r="K845" s="140"/>
      <c r="L845" s="140"/>
      <c r="M845" s="140"/>
      <c r="N845" s="140"/>
      <c r="O845" s="140"/>
      <c r="P845" s="140"/>
      <c r="Q845" s="140"/>
      <c r="R845" s="140"/>
      <c r="S845" s="140"/>
      <c r="T845" s="140"/>
      <c r="U845" s="140"/>
      <c r="V845" s="140"/>
      <c r="W845" s="140"/>
      <c r="X845" s="140"/>
      <c r="Y845" s="140"/>
      <c r="Z845" s="140"/>
      <c r="AA845" s="140"/>
      <c r="AB845" s="140"/>
      <c r="AC845" s="140"/>
      <c r="AD845" s="140"/>
      <c r="AE845" s="140"/>
      <c r="AF845" s="140"/>
      <c r="AG845" s="140"/>
      <c r="AH845" s="140"/>
      <c r="AI845" s="140"/>
      <c r="AJ845" s="140"/>
      <c r="AK845" s="140"/>
      <c r="AL845" s="140"/>
      <c r="AM845" s="140"/>
      <c r="AN845" s="140"/>
      <c r="AO845" s="140"/>
      <c r="AP845" s="140"/>
      <c r="AQ845" s="140"/>
      <c r="AR845" s="140"/>
      <c r="AS845" s="140"/>
      <c r="AT845" s="140"/>
      <c r="AU845" s="140"/>
      <c r="AV845" s="140"/>
      <c r="AW845" s="140"/>
      <c r="AX845" s="140"/>
      <c r="AY845" s="140"/>
      <c r="AZ845" s="140"/>
      <c r="BA845" s="140"/>
      <c r="BB845" s="140"/>
      <c r="BC845" s="140"/>
      <c r="BD845" s="140"/>
      <c r="BE845" s="140"/>
      <c r="BF845" s="140"/>
      <c r="BG845" s="140"/>
      <c r="BH845" s="140"/>
      <c r="BI845" s="140"/>
      <c r="BJ845" s="140"/>
      <c r="BK845" s="140"/>
      <c r="BL845" s="140"/>
      <c r="BM845" s="140"/>
      <c r="BN845" s="140"/>
      <c r="BO845" s="140"/>
      <c r="BP845" s="140"/>
      <c r="BQ845" s="140"/>
      <c r="BR845" s="140"/>
      <c r="BS845" s="140"/>
      <c r="BT845" s="140"/>
      <c r="BU845" s="140"/>
      <c r="BV845" s="140"/>
      <c r="BW845" s="140"/>
      <c r="BX845" s="140"/>
      <c r="BY845" s="140"/>
      <c r="BZ845" s="140"/>
      <c r="CA845" s="140"/>
      <c r="CB845" s="140"/>
      <c r="CC845" s="140"/>
      <c r="CD845" s="140"/>
      <c r="CE845" s="140"/>
      <c r="CF845" s="140"/>
      <c r="CG845" s="140"/>
      <c r="CH845" s="140"/>
      <c r="CI845" s="140"/>
      <c r="CJ845" s="140"/>
      <c r="CK845" s="140"/>
      <c r="CL845" s="140"/>
      <c r="CM845" s="140"/>
      <c r="CN845" s="140"/>
      <c r="FJ845" s="140"/>
      <c r="FK845" s="140"/>
      <c r="FL845" s="140"/>
      <c r="FM845" s="140"/>
      <c r="FN845" s="140"/>
      <c r="FO845" s="140"/>
      <c r="FP845" s="140"/>
      <c r="FQ845" s="140"/>
      <c r="FR845" s="140"/>
      <c r="FS845" s="140"/>
      <c r="FT845" s="140"/>
      <c r="FU845" s="140"/>
      <c r="FV845" s="140"/>
      <c r="FW845" s="140"/>
      <c r="FX845" s="140"/>
      <c r="FY845" s="140"/>
      <c r="FZ845" s="140"/>
      <c r="GA845" s="140"/>
      <c r="GB845" s="140"/>
      <c r="GC845" s="140"/>
      <c r="GD845" s="140"/>
      <c r="GE845" s="140"/>
      <c r="GF845" s="140"/>
      <c r="GG845" s="140"/>
      <c r="GH845" s="140"/>
      <c r="GI845" s="140"/>
      <c r="GJ845" s="140"/>
      <c r="GK845" s="140"/>
      <c r="GL845" s="140"/>
      <c r="GM845" s="140"/>
      <c r="GN845" s="140"/>
      <c r="GO845" s="140"/>
      <c r="GP845" s="140"/>
      <c r="GQ845" s="140"/>
      <c r="GR845" s="140"/>
      <c r="GS845" s="140"/>
      <c r="GT845" s="140"/>
      <c r="GU845" s="140"/>
      <c r="GV845" s="140"/>
      <c r="GW845" s="140"/>
      <c r="GX845" s="140"/>
      <c r="GY845" s="140"/>
      <c r="GZ845" s="140"/>
      <c r="HA845" s="140"/>
      <c r="HB845" s="140"/>
      <c r="HC845" s="140"/>
      <c r="HD845" s="140"/>
      <c r="HE845" s="140"/>
      <c r="HF845" s="140"/>
      <c r="HG845" s="140"/>
      <c r="HH845" s="140"/>
      <c r="HI845" s="140"/>
      <c r="HJ845" s="140"/>
      <c r="HK845" s="140"/>
      <c r="HL845" s="140"/>
      <c r="HM845" s="140"/>
      <c r="HN845" s="140"/>
      <c r="HO845" s="140"/>
      <c r="HP845" s="140"/>
      <c r="HQ845" s="140"/>
      <c r="HR845" s="140"/>
      <c r="HS845" s="140"/>
      <c r="HT845" s="140"/>
      <c r="HU845" s="140"/>
      <c r="HV845" s="140"/>
      <c r="HW845" s="140"/>
      <c r="HX845" s="140"/>
      <c r="HY845" s="140"/>
      <c r="HZ845" s="140"/>
      <c r="IA845" s="140"/>
      <c r="IB845" s="140"/>
      <c r="IC845" s="140"/>
      <c r="ID845" s="140"/>
      <c r="IE845" s="140"/>
      <c r="IF845" s="140"/>
      <c r="IG845" s="140"/>
      <c r="IH845" s="140"/>
      <c r="II845" s="140"/>
      <c r="IJ845" s="140"/>
      <c r="IK845" s="140"/>
      <c r="IL845" s="140"/>
      <c r="IM845" s="140"/>
      <c r="IN845" s="140"/>
      <c r="IO845" s="140"/>
      <c r="IP845" s="140"/>
      <c r="IQ845" s="140"/>
      <c r="IR845" s="140"/>
      <c r="IS845" s="140"/>
      <c r="IT845" s="140"/>
      <c r="IU845" s="140"/>
      <c r="IV845" s="140"/>
      <c r="IW845" s="140"/>
      <c r="IX845" s="140"/>
      <c r="IY845" s="140"/>
      <c r="IZ845" s="140"/>
      <c r="JA845" s="140"/>
      <c r="JB845" s="140"/>
      <c r="JC845" s="140"/>
      <c r="JD845" s="140"/>
      <c r="JE845" s="140"/>
      <c r="JF845" s="140"/>
      <c r="JG845" s="140"/>
      <c r="JH845" s="140"/>
      <c r="JI845" s="140"/>
      <c r="JJ845" s="140"/>
      <c r="JK845" s="140"/>
      <c r="JL845" s="140"/>
      <c r="JM845" s="140"/>
      <c r="JN845" s="140"/>
      <c r="JO845" s="140"/>
      <c r="JP845" s="140"/>
      <c r="JQ845" s="140"/>
      <c r="JR845" s="140"/>
      <c r="JS845" s="140"/>
      <c r="JT845" s="140"/>
      <c r="JU845" s="140"/>
      <c r="JV845" s="140"/>
      <c r="JW845" s="140"/>
      <c r="JX845" s="140"/>
      <c r="JY845" s="140"/>
      <c r="JZ845" s="140"/>
      <c r="KA845" s="140"/>
      <c r="KB845" s="140"/>
      <c r="KC845" s="140"/>
      <c r="KD845" s="140"/>
      <c r="KE845" s="140"/>
      <c r="KF845" s="140"/>
      <c r="KG845" s="140"/>
      <c r="KH845" s="140"/>
      <c r="KI845" s="140"/>
      <c r="KJ845" s="140"/>
      <c r="KK845" s="140"/>
      <c r="KL845" s="140"/>
      <c r="KM845" s="140"/>
      <c r="KN845" s="140"/>
      <c r="KO845" s="140"/>
      <c r="KP845" s="140"/>
      <c r="KQ845" s="140"/>
      <c r="KR845" s="140"/>
      <c r="KS845" s="140"/>
      <c r="KT845" s="140"/>
      <c r="KU845" s="140"/>
      <c r="KV845" s="140"/>
      <c r="KW845" s="140"/>
      <c r="KX845" s="140"/>
      <c r="KY845" s="140"/>
      <c r="KZ845" s="140"/>
      <c r="LA845" s="140"/>
      <c r="LB845" s="140"/>
      <c r="LC845" s="140"/>
      <c r="LD845" s="140"/>
      <c r="LE845" s="140"/>
      <c r="LF845" s="140"/>
      <c r="LG845" s="140"/>
      <c r="LH845" s="140"/>
      <c r="LI845" s="140"/>
      <c r="LJ845" s="140"/>
      <c r="LK845" s="140"/>
      <c r="LL845" s="140"/>
      <c r="LM845" s="140"/>
      <c r="LN845" s="140"/>
      <c r="LO845" s="140"/>
      <c r="LP845" s="140"/>
      <c r="LQ845" s="140"/>
      <c r="LR845" s="140"/>
      <c r="LS845" s="140"/>
      <c r="LT845" s="140"/>
      <c r="LU845" s="140"/>
      <c r="LV845" s="140"/>
      <c r="LW845" s="140"/>
      <c r="LX845" s="140"/>
      <c r="LY845" s="140"/>
      <c r="LZ845" s="140"/>
      <c r="MA845" s="140"/>
      <c r="MB845" s="140"/>
      <c r="MC845" s="140"/>
      <c r="MD845" s="140"/>
      <c r="ME845" s="140"/>
      <c r="MF845" s="140"/>
      <c r="MG845" s="140"/>
      <c r="MH845" s="140"/>
      <c r="MI845" s="140"/>
      <c r="MJ845" s="140"/>
      <c r="MK845" s="140"/>
      <c r="ML845" s="140"/>
    </row>
    <row r="846" spans="3:350" s="4" customFormat="1" ht="18" customHeight="1" x14ac:dyDescent="0.3">
      <c r="H846" s="140"/>
      <c r="I846" s="140"/>
      <c r="J846" s="140"/>
      <c r="K846" s="140"/>
      <c r="L846" s="140"/>
      <c r="M846" s="140"/>
      <c r="N846" s="140"/>
      <c r="O846" s="140"/>
      <c r="P846" s="140"/>
      <c r="Q846" s="140"/>
      <c r="R846" s="140"/>
      <c r="S846" s="140"/>
      <c r="T846" s="140"/>
      <c r="U846" s="140"/>
      <c r="V846" s="140"/>
      <c r="W846" s="140"/>
      <c r="X846" s="140"/>
      <c r="Y846" s="140"/>
      <c r="Z846" s="140"/>
      <c r="AA846" s="140"/>
      <c r="AB846" s="140"/>
      <c r="AC846" s="140"/>
      <c r="AD846" s="140"/>
      <c r="AE846" s="140"/>
      <c r="AF846" s="140"/>
      <c r="AG846" s="140"/>
      <c r="AH846" s="140"/>
      <c r="AI846" s="140"/>
      <c r="AJ846" s="140"/>
      <c r="AK846" s="140"/>
      <c r="AL846" s="140"/>
      <c r="AM846" s="140"/>
      <c r="AN846" s="140"/>
      <c r="AO846" s="140"/>
      <c r="AP846" s="140"/>
      <c r="AQ846" s="140"/>
      <c r="AR846" s="140"/>
      <c r="AS846" s="140"/>
      <c r="AT846" s="140"/>
      <c r="AU846" s="140"/>
      <c r="AV846" s="140"/>
      <c r="AW846" s="140"/>
      <c r="AX846" s="140"/>
      <c r="AY846" s="140"/>
      <c r="AZ846" s="140"/>
      <c r="BA846" s="140"/>
      <c r="BB846" s="140"/>
      <c r="BC846" s="140"/>
      <c r="BD846" s="140"/>
      <c r="BE846" s="140"/>
      <c r="BF846" s="140"/>
      <c r="BG846" s="140"/>
      <c r="BH846" s="140"/>
      <c r="BI846" s="140"/>
      <c r="BJ846" s="140"/>
      <c r="BK846" s="140"/>
      <c r="BL846" s="140"/>
      <c r="BM846" s="140"/>
      <c r="BN846" s="140"/>
      <c r="BO846" s="140"/>
      <c r="BP846" s="140"/>
      <c r="BQ846" s="140"/>
      <c r="BR846" s="140"/>
      <c r="BS846" s="140"/>
      <c r="BT846" s="140"/>
      <c r="BU846" s="140"/>
      <c r="BV846" s="140"/>
      <c r="BW846" s="140"/>
      <c r="BX846" s="140"/>
      <c r="BY846" s="140"/>
      <c r="BZ846" s="140"/>
      <c r="CA846" s="140"/>
      <c r="CB846" s="140"/>
      <c r="CC846" s="140"/>
      <c r="CD846" s="140"/>
      <c r="CE846" s="140"/>
      <c r="CF846" s="140"/>
      <c r="CG846" s="140"/>
      <c r="CH846" s="140"/>
      <c r="CI846" s="140"/>
      <c r="CJ846" s="140"/>
      <c r="CK846" s="140"/>
      <c r="CL846" s="140"/>
      <c r="CM846" s="140"/>
      <c r="CN846" s="140"/>
      <c r="FJ846" s="140"/>
      <c r="FK846" s="140"/>
      <c r="FL846" s="140"/>
      <c r="FM846" s="140"/>
      <c r="FN846" s="140"/>
      <c r="FO846" s="140"/>
      <c r="FP846" s="140"/>
      <c r="FQ846" s="140"/>
      <c r="FR846" s="140"/>
      <c r="FS846" s="140"/>
      <c r="FT846" s="140"/>
      <c r="FU846" s="140"/>
      <c r="FV846" s="140"/>
      <c r="FW846" s="140"/>
      <c r="FX846" s="140"/>
      <c r="FY846" s="140"/>
      <c r="FZ846" s="140"/>
      <c r="GA846" s="140"/>
      <c r="GB846" s="140"/>
      <c r="GC846" s="140"/>
      <c r="GD846" s="140"/>
      <c r="GE846" s="140"/>
      <c r="GF846" s="140"/>
      <c r="GG846" s="140"/>
      <c r="GH846" s="140"/>
      <c r="GI846" s="140"/>
      <c r="GJ846" s="140"/>
      <c r="GK846" s="140"/>
      <c r="GL846" s="140"/>
      <c r="GM846" s="140"/>
      <c r="GN846" s="140"/>
      <c r="GO846" s="140"/>
      <c r="GP846" s="140"/>
      <c r="GQ846" s="140"/>
      <c r="GR846" s="140"/>
      <c r="GS846" s="140"/>
      <c r="GT846" s="140"/>
      <c r="GU846" s="140"/>
      <c r="GV846" s="140"/>
      <c r="GW846" s="140"/>
      <c r="GX846" s="140"/>
      <c r="GY846" s="140"/>
      <c r="GZ846" s="140"/>
      <c r="HA846" s="140"/>
      <c r="HB846" s="140"/>
      <c r="HC846" s="140"/>
      <c r="HD846" s="140"/>
      <c r="HE846" s="140"/>
      <c r="HF846" s="140"/>
      <c r="HG846" s="140"/>
      <c r="HH846" s="140"/>
      <c r="HI846" s="140"/>
      <c r="HJ846" s="140"/>
      <c r="HK846" s="140"/>
      <c r="HL846" s="140"/>
      <c r="HM846" s="140"/>
      <c r="HN846" s="140"/>
      <c r="HO846" s="140"/>
      <c r="HP846" s="140"/>
      <c r="HQ846" s="140"/>
      <c r="HR846" s="140"/>
      <c r="HS846" s="140"/>
      <c r="HT846" s="140"/>
      <c r="HU846" s="140"/>
      <c r="HV846" s="140"/>
      <c r="HW846" s="140"/>
      <c r="HX846" s="140"/>
      <c r="HY846" s="140"/>
      <c r="HZ846" s="140"/>
      <c r="IA846" s="140"/>
      <c r="IB846" s="140"/>
      <c r="IC846" s="140"/>
      <c r="ID846" s="140"/>
      <c r="IE846" s="140"/>
      <c r="IF846" s="140"/>
      <c r="IG846" s="140"/>
      <c r="IH846" s="140"/>
      <c r="II846" s="140"/>
      <c r="IJ846" s="140"/>
      <c r="IK846" s="140"/>
      <c r="IL846" s="140"/>
      <c r="IM846" s="140"/>
      <c r="IN846" s="140"/>
      <c r="IO846" s="140"/>
      <c r="IP846" s="140"/>
      <c r="IQ846" s="140"/>
      <c r="IR846" s="140"/>
      <c r="IS846" s="140"/>
      <c r="IT846" s="140"/>
      <c r="IU846" s="140"/>
      <c r="IV846" s="140"/>
      <c r="IW846" s="140"/>
      <c r="IX846" s="140"/>
      <c r="IY846" s="140"/>
      <c r="IZ846" s="140"/>
      <c r="JA846" s="140"/>
      <c r="JB846" s="140"/>
      <c r="JC846" s="140"/>
      <c r="JD846" s="140"/>
      <c r="JE846" s="140"/>
      <c r="JF846" s="140"/>
      <c r="JG846" s="140"/>
      <c r="JH846" s="140"/>
      <c r="JI846" s="140"/>
      <c r="JJ846" s="140"/>
      <c r="JK846" s="140"/>
      <c r="JL846" s="140"/>
      <c r="JM846" s="140"/>
      <c r="JN846" s="140"/>
      <c r="JO846" s="140"/>
      <c r="JP846" s="140"/>
      <c r="JQ846" s="140"/>
      <c r="JR846" s="140"/>
      <c r="JS846" s="140"/>
      <c r="JT846" s="140"/>
      <c r="JU846" s="140"/>
      <c r="JV846" s="140"/>
      <c r="JW846" s="140"/>
      <c r="JX846" s="140"/>
      <c r="JY846" s="140"/>
      <c r="JZ846" s="140"/>
      <c r="KA846" s="140"/>
      <c r="KB846" s="140"/>
      <c r="KC846" s="140"/>
      <c r="KD846" s="140"/>
      <c r="KE846" s="140"/>
      <c r="KF846" s="140"/>
      <c r="KG846" s="140"/>
      <c r="KH846" s="140"/>
      <c r="KI846" s="140"/>
      <c r="KJ846" s="140"/>
      <c r="KK846" s="140"/>
      <c r="KL846" s="140"/>
      <c r="KM846" s="140"/>
      <c r="KN846" s="140"/>
      <c r="KO846" s="140"/>
      <c r="KP846" s="140"/>
      <c r="KQ846" s="140"/>
      <c r="KR846" s="140"/>
      <c r="KS846" s="140"/>
      <c r="KT846" s="140"/>
      <c r="KU846" s="140"/>
      <c r="KV846" s="140"/>
      <c r="KW846" s="140"/>
      <c r="KX846" s="140"/>
      <c r="KY846" s="140"/>
      <c r="KZ846" s="140"/>
      <c r="LA846" s="140"/>
      <c r="LB846" s="140"/>
      <c r="LC846" s="140"/>
      <c r="LD846" s="140"/>
      <c r="LE846" s="140"/>
      <c r="LF846" s="140"/>
      <c r="LG846" s="140"/>
      <c r="LH846" s="140"/>
      <c r="LI846" s="140"/>
      <c r="LJ846" s="140"/>
      <c r="LK846" s="140"/>
      <c r="LL846" s="140"/>
      <c r="LM846" s="140"/>
      <c r="LN846" s="140"/>
      <c r="LO846" s="140"/>
      <c r="LP846" s="140"/>
      <c r="LQ846" s="140"/>
      <c r="LR846" s="140"/>
      <c r="LS846" s="140"/>
      <c r="LT846" s="140"/>
      <c r="LU846" s="140"/>
      <c r="LV846" s="140"/>
      <c r="LW846" s="140"/>
      <c r="LX846" s="140"/>
      <c r="LY846" s="140"/>
      <c r="LZ846" s="140"/>
      <c r="MA846" s="140"/>
      <c r="MB846" s="140"/>
      <c r="MC846" s="140"/>
      <c r="MD846" s="140"/>
      <c r="ME846" s="140"/>
      <c r="MF846" s="140"/>
      <c r="MG846" s="140"/>
      <c r="MH846" s="140"/>
      <c r="MI846" s="140"/>
      <c r="MJ846" s="140"/>
      <c r="MK846" s="140"/>
      <c r="ML846" s="140"/>
    </row>
    <row r="847" spans="3:350" s="4" customFormat="1" ht="18" customHeight="1" x14ac:dyDescent="0.3">
      <c r="H847" s="140"/>
      <c r="I847" s="140"/>
      <c r="J847" s="140"/>
      <c r="K847" s="140"/>
      <c r="L847" s="140"/>
      <c r="M847" s="140"/>
      <c r="N847" s="140"/>
      <c r="O847" s="140"/>
      <c r="P847" s="140"/>
      <c r="Q847" s="140"/>
      <c r="R847" s="140"/>
      <c r="S847" s="140"/>
      <c r="T847" s="140"/>
      <c r="U847" s="140"/>
      <c r="V847" s="140"/>
      <c r="W847" s="140"/>
      <c r="X847" s="140"/>
      <c r="Y847" s="140"/>
      <c r="Z847" s="140"/>
      <c r="AA847" s="140"/>
      <c r="AB847" s="140"/>
      <c r="AC847" s="140"/>
      <c r="AD847" s="140"/>
      <c r="AE847" s="140"/>
      <c r="AF847" s="140"/>
      <c r="AG847" s="140"/>
      <c r="AH847" s="140"/>
      <c r="AI847" s="140"/>
      <c r="AJ847" s="140"/>
      <c r="AK847" s="140"/>
      <c r="AL847" s="140"/>
      <c r="AM847" s="140"/>
      <c r="AN847" s="140"/>
      <c r="AO847" s="140"/>
      <c r="AP847" s="140"/>
      <c r="AQ847" s="140"/>
      <c r="AR847" s="140"/>
      <c r="AS847" s="140"/>
      <c r="AT847" s="140"/>
      <c r="AU847" s="140"/>
      <c r="AV847" s="140"/>
      <c r="AW847" s="140"/>
      <c r="AX847" s="140"/>
      <c r="AY847" s="140"/>
      <c r="AZ847" s="140"/>
      <c r="BA847" s="140"/>
      <c r="BB847" s="140"/>
      <c r="BC847" s="140"/>
      <c r="BD847" s="140"/>
      <c r="BE847" s="140"/>
      <c r="BF847" s="140"/>
      <c r="BG847" s="140"/>
      <c r="BH847" s="140"/>
      <c r="BI847" s="140"/>
      <c r="BJ847" s="140"/>
      <c r="BK847" s="140"/>
      <c r="BL847" s="140"/>
      <c r="BM847" s="140"/>
      <c r="BN847" s="140"/>
      <c r="BO847" s="140"/>
      <c r="BP847" s="140"/>
      <c r="BQ847" s="140"/>
      <c r="BR847" s="140"/>
      <c r="BS847" s="140"/>
      <c r="BT847" s="140"/>
      <c r="BU847" s="140"/>
      <c r="BV847" s="140"/>
      <c r="BW847" s="140"/>
      <c r="BX847" s="140"/>
      <c r="BY847" s="140"/>
      <c r="BZ847" s="140"/>
      <c r="CA847" s="140"/>
      <c r="CB847" s="140"/>
      <c r="CC847" s="140"/>
      <c r="CD847" s="140"/>
      <c r="CE847" s="140"/>
      <c r="CF847" s="140"/>
      <c r="CG847" s="140"/>
      <c r="CH847" s="140"/>
      <c r="CI847" s="140"/>
      <c r="CJ847" s="140"/>
      <c r="CK847" s="140"/>
      <c r="CL847" s="140"/>
      <c r="CM847" s="140"/>
      <c r="CN847" s="140"/>
      <c r="FJ847" s="140"/>
      <c r="FK847" s="140"/>
      <c r="FL847" s="140"/>
      <c r="FM847" s="140"/>
      <c r="FN847" s="140"/>
      <c r="FO847" s="140"/>
      <c r="FP847" s="140"/>
      <c r="FQ847" s="140"/>
      <c r="FR847" s="140"/>
      <c r="FS847" s="140"/>
      <c r="FT847" s="140"/>
      <c r="FU847" s="140"/>
      <c r="FV847" s="140"/>
      <c r="FW847" s="140"/>
      <c r="FX847" s="140"/>
      <c r="FY847" s="140"/>
      <c r="FZ847" s="140"/>
      <c r="GA847" s="140"/>
      <c r="GB847" s="140"/>
      <c r="GC847" s="140"/>
      <c r="GD847" s="140"/>
      <c r="GE847" s="140"/>
      <c r="GF847" s="140"/>
      <c r="GG847" s="140"/>
      <c r="GH847" s="140"/>
      <c r="GI847" s="140"/>
      <c r="GJ847" s="140"/>
      <c r="GK847" s="140"/>
      <c r="GL847" s="140"/>
      <c r="GM847" s="140"/>
      <c r="GN847" s="140"/>
      <c r="GO847" s="140"/>
      <c r="GP847" s="140"/>
      <c r="GQ847" s="140"/>
      <c r="GR847" s="140"/>
      <c r="GS847" s="140"/>
      <c r="GT847" s="140"/>
      <c r="GU847" s="140"/>
      <c r="GV847" s="140"/>
      <c r="GW847" s="140"/>
      <c r="GX847" s="140"/>
      <c r="GY847" s="140"/>
      <c r="GZ847" s="140"/>
      <c r="HA847" s="140"/>
      <c r="HB847" s="140"/>
      <c r="HC847" s="140"/>
      <c r="HD847" s="140"/>
      <c r="HE847" s="140"/>
      <c r="HF847" s="140"/>
      <c r="HG847" s="140"/>
      <c r="HH847" s="140"/>
      <c r="HI847" s="140"/>
      <c r="HJ847" s="140"/>
      <c r="HK847" s="140"/>
      <c r="HL847" s="140"/>
      <c r="HM847" s="140"/>
      <c r="HN847" s="140"/>
      <c r="HO847" s="140"/>
      <c r="HP847" s="140"/>
      <c r="HQ847" s="140"/>
      <c r="HR847" s="140"/>
      <c r="HS847" s="140"/>
      <c r="HT847" s="140"/>
      <c r="HU847" s="140"/>
      <c r="HV847" s="140"/>
      <c r="HW847" s="140"/>
      <c r="HX847" s="140"/>
      <c r="HY847" s="140"/>
      <c r="HZ847" s="140"/>
      <c r="IA847" s="140"/>
      <c r="IB847" s="140"/>
      <c r="IC847" s="140"/>
      <c r="ID847" s="140"/>
      <c r="IE847" s="140"/>
      <c r="IF847" s="140"/>
      <c r="IG847" s="140"/>
      <c r="IH847" s="140"/>
      <c r="II847" s="140"/>
      <c r="IJ847" s="140"/>
      <c r="IK847" s="140"/>
      <c r="IL847" s="140"/>
      <c r="IM847" s="140"/>
      <c r="IN847" s="140"/>
      <c r="IO847" s="140"/>
      <c r="IP847" s="140"/>
      <c r="IQ847" s="140"/>
      <c r="IR847" s="140"/>
      <c r="IS847" s="140"/>
      <c r="IT847" s="140"/>
      <c r="IU847" s="140"/>
      <c r="IV847" s="140"/>
      <c r="IW847" s="140"/>
      <c r="IX847" s="140"/>
      <c r="IY847" s="140"/>
      <c r="IZ847" s="140"/>
      <c r="JA847" s="140"/>
      <c r="JB847" s="140"/>
      <c r="JC847" s="140"/>
      <c r="JD847" s="140"/>
      <c r="JE847" s="140"/>
      <c r="JF847" s="140"/>
      <c r="JG847" s="140"/>
      <c r="JH847" s="140"/>
      <c r="JI847" s="140"/>
      <c r="JJ847" s="140"/>
      <c r="JK847" s="140"/>
      <c r="JL847" s="140"/>
      <c r="JM847" s="140"/>
      <c r="JN847" s="140"/>
      <c r="JO847" s="140"/>
      <c r="JP847" s="140"/>
      <c r="JQ847" s="140"/>
      <c r="JR847" s="140"/>
      <c r="JS847" s="140"/>
      <c r="JT847" s="140"/>
      <c r="JU847" s="140"/>
      <c r="JV847" s="140"/>
      <c r="JW847" s="140"/>
      <c r="JX847" s="140"/>
      <c r="JY847" s="140"/>
      <c r="JZ847" s="140"/>
      <c r="KA847" s="140"/>
      <c r="KB847" s="140"/>
      <c r="KC847" s="140"/>
      <c r="KD847" s="140"/>
      <c r="KE847" s="140"/>
      <c r="KF847" s="140"/>
      <c r="KG847" s="140"/>
      <c r="KH847" s="140"/>
      <c r="KI847" s="140"/>
      <c r="KJ847" s="140"/>
      <c r="KK847" s="140"/>
      <c r="KL847" s="140"/>
      <c r="KM847" s="140"/>
      <c r="KN847" s="140"/>
      <c r="KO847" s="140"/>
      <c r="KP847" s="140"/>
      <c r="KQ847" s="140"/>
      <c r="KR847" s="140"/>
      <c r="KS847" s="140"/>
      <c r="KT847" s="140"/>
      <c r="KU847" s="140"/>
      <c r="KV847" s="140"/>
      <c r="KW847" s="140"/>
      <c r="KX847" s="140"/>
      <c r="KY847" s="140"/>
      <c r="KZ847" s="140"/>
      <c r="LA847" s="140"/>
      <c r="LB847" s="140"/>
      <c r="LC847" s="140"/>
      <c r="LD847" s="140"/>
      <c r="LE847" s="140"/>
      <c r="LF847" s="140"/>
      <c r="LG847" s="140"/>
      <c r="LH847" s="140"/>
      <c r="LI847" s="140"/>
      <c r="LJ847" s="140"/>
      <c r="LK847" s="140"/>
      <c r="LL847" s="140"/>
      <c r="LM847" s="140"/>
      <c r="LN847" s="140"/>
      <c r="LO847" s="140"/>
      <c r="LP847" s="140"/>
      <c r="LQ847" s="140"/>
      <c r="LR847" s="140"/>
      <c r="LS847" s="140"/>
      <c r="LT847" s="140"/>
      <c r="LU847" s="140"/>
      <c r="LV847" s="140"/>
      <c r="LW847" s="140"/>
      <c r="LX847" s="140"/>
      <c r="LY847" s="140"/>
      <c r="LZ847" s="140"/>
      <c r="MA847" s="140"/>
      <c r="MB847" s="140"/>
      <c r="MC847" s="140"/>
      <c r="MD847" s="140"/>
      <c r="ME847" s="140"/>
      <c r="MF847" s="140"/>
      <c r="MG847" s="140"/>
      <c r="MH847" s="140"/>
      <c r="MI847" s="140"/>
      <c r="MJ847" s="140"/>
      <c r="MK847" s="140"/>
      <c r="ML847" s="140"/>
    </row>
    <row r="848" spans="3:350" s="4" customFormat="1" ht="18" customHeight="1" x14ac:dyDescent="0.3">
      <c r="H848" s="140"/>
      <c r="I848" s="140"/>
      <c r="J848" s="140"/>
      <c r="K848" s="140"/>
      <c r="L848" s="140"/>
      <c r="M848" s="140"/>
      <c r="N848" s="140"/>
      <c r="O848" s="140"/>
      <c r="P848" s="140"/>
      <c r="Q848" s="140"/>
      <c r="R848" s="140"/>
      <c r="S848" s="140"/>
      <c r="T848" s="140"/>
      <c r="U848" s="140"/>
      <c r="V848" s="140"/>
      <c r="W848" s="140"/>
      <c r="X848" s="140"/>
      <c r="Y848" s="140"/>
      <c r="Z848" s="140"/>
      <c r="AA848" s="140"/>
      <c r="AB848" s="140"/>
      <c r="AC848" s="140"/>
      <c r="AD848" s="140"/>
      <c r="AE848" s="140"/>
      <c r="AF848" s="140"/>
      <c r="AG848" s="140"/>
      <c r="AH848" s="140"/>
      <c r="AI848" s="140"/>
      <c r="AJ848" s="140"/>
      <c r="AK848" s="140"/>
      <c r="AL848" s="140"/>
      <c r="AM848" s="140"/>
      <c r="AN848" s="140"/>
      <c r="AO848" s="140"/>
      <c r="AP848" s="140"/>
      <c r="AQ848" s="140"/>
      <c r="AR848" s="140"/>
      <c r="AS848" s="140"/>
      <c r="AT848" s="140"/>
      <c r="AU848" s="140"/>
      <c r="AV848" s="140"/>
      <c r="AW848" s="140"/>
      <c r="AX848" s="140"/>
      <c r="AY848" s="140"/>
      <c r="AZ848" s="140"/>
      <c r="BA848" s="140"/>
      <c r="BB848" s="140"/>
      <c r="BC848" s="140"/>
      <c r="BD848" s="140"/>
      <c r="BE848" s="140"/>
      <c r="BF848" s="140"/>
      <c r="BG848" s="140"/>
      <c r="BH848" s="140"/>
      <c r="BI848" s="140"/>
      <c r="BJ848" s="140"/>
      <c r="BK848" s="140"/>
      <c r="BL848" s="140"/>
      <c r="BM848" s="140"/>
      <c r="BN848" s="140"/>
      <c r="BO848" s="140"/>
      <c r="BP848" s="140"/>
      <c r="BQ848" s="140"/>
      <c r="BR848" s="140"/>
      <c r="BS848" s="140"/>
      <c r="BT848" s="140"/>
      <c r="BU848" s="140"/>
      <c r="BV848" s="140"/>
      <c r="BW848" s="140"/>
      <c r="BX848" s="140"/>
      <c r="BY848" s="140"/>
      <c r="BZ848" s="140"/>
      <c r="CA848" s="140"/>
      <c r="CB848" s="140"/>
      <c r="CC848" s="140"/>
      <c r="CD848" s="140"/>
      <c r="CE848" s="140"/>
      <c r="CF848" s="140"/>
      <c r="CG848" s="140"/>
      <c r="CH848" s="140"/>
      <c r="CI848" s="140"/>
      <c r="CJ848" s="140"/>
      <c r="CK848" s="140"/>
      <c r="CL848" s="140"/>
      <c r="CM848" s="140"/>
      <c r="CN848" s="140"/>
      <c r="FJ848" s="140"/>
      <c r="FK848" s="140"/>
      <c r="FL848" s="140"/>
      <c r="FM848" s="140"/>
      <c r="FN848" s="140"/>
      <c r="FO848" s="140"/>
      <c r="FP848" s="140"/>
      <c r="FQ848" s="140"/>
      <c r="FR848" s="140"/>
      <c r="FS848" s="140"/>
      <c r="FT848" s="140"/>
      <c r="FU848" s="140"/>
      <c r="FV848" s="140"/>
      <c r="FW848" s="140"/>
      <c r="FX848" s="140"/>
      <c r="FY848" s="140"/>
      <c r="FZ848" s="140"/>
      <c r="GA848" s="140"/>
      <c r="GB848" s="140"/>
      <c r="GC848" s="140"/>
      <c r="GD848" s="140"/>
      <c r="GE848" s="140"/>
      <c r="GF848" s="140"/>
      <c r="GG848" s="140"/>
      <c r="GH848" s="140"/>
      <c r="GI848" s="140"/>
      <c r="GJ848" s="140"/>
      <c r="GK848" s="140"/>
      <c r="GL848" s="140"/>
      <c r="GM848" s="140"/>
      <c r="GN848" s="140"/>
      <c r="GO848" s="140"/>
      <c r="GP848" s="140"/>
      <c r="GQ848" s="140"/>
      <c r="GR848" s="140"/>
      <c r="GS848" s="140"/>
      <c r="GT848" s="140"/>
      <c r="GU848" s="140"/>
      <c r="GV848" s="140"/>
      <c r="GW848" s="140"/>
      <c r="GX848" s="140"/>
      <c r="GY848" s="140"/>
      <c r="GZ848" s="140"/>
      <c r="HA848" s="140"/>
      <c r="HB848" s="140"/>
      <c r="HC848" s="140"/>
      <c r="HD848" s="140"/>
      <c r="HE848" s="140"/>
      <c r="HF848" s="140"/>
      <c r="HG848" s="140"/>
      <c r="HH848" s="140"/>
      <c r="HI848" s="140"/>
      <c r="HJ848" s="140"/>
      <c r="HK848" s="140"/>
      <c r="HL848" s="140"/>
      <c r="HM848" s="140"/>
      <c r="HN848" s="140"/>
      <c r="HO848" s="140"/>
      <c r="HP848" s="140"/>
      <c r="HQ848" s="140"/>
      <c r="HR848" s="140"/>
      <c r="HS848" s="140"/>
      <c r="HT848" s="140"/>
      <c r="HU848" s="140"/>
      <c r="HV848" s="140"/>
      <c r="HW848" s="140"/>
      <c r="HX848" s="140"/>
      <c r="HY848" s="140"/>
      <c r="HZ848" s="140"/>
      <c r="IA848" s="140"/>
      <c r="IB848" s="140"/>
      <c r="IC848" s="140"/>
      <c r="ID848" s="140"/>
      <c r="IE848" s="140"/>
      <c r="IF848" s="140"/>
      <c r="IG848" s="140"/>
      <c r="IH848" s="140"/>
      <c r="II848" s="140"/>
      <c r="IJ848" s="140"/>
      <c r="IK848" s="140"/>
      <c r="IL848" s="140"/>
      <c r="IM848" s="140"/>
      <c r="IN848" s="140"/>
      <c r="IO848" s="140"/>
      <c r="IP848" s="140"/>
      <c r="IQ848" s="140"/>
      <c r="IR848" s="140"/>
      <c r="IS848" s="140"/>
      <c r="IT848" s="140"/>
      <c r="IU848" s="140"/>
      <c r="IV848" s="140"/>
      <c r="IW848" s="140"/>
      <c r="IX848" s="140"/>
      <c r="IY848" s="140"/>
      <c r="IZ848" s="140"/>
      <c r="JA848" s="140"/>
      <c r="JB848" s="140"/>
      <c r="JC848" s="140"/>
      <c r="JD848" s="140"/>
      <c r="JE848" s="140"/>
      <c r="JF848" s="140"/>
      <c r="JG848" s="140"/>
      <c r="JH848" s="140"/>
      <c r="JI848" s="140"/>
      <c r="JJ848" s="140"/>
      <c r="JK848" s="140"/>
      <c r="JL848" s="140"/>
      <c r="JM848" s="140"/>
      <c r="JN848" s="140"/>
      <c r="JO848" s="140"/>
      <c r="JP848" s="140"/>
      <c r="JQ848" s="140"/>
      <c r="JR848" s="140"/>
      <c r="JS848" s="140"/>
      <c r="JT848" s="140"/>
      <c r="JU848" s="140"/>
      <c r="JV848" s="140"/>
      <c r="JW848" s="140"/>
      <c r="JX848" s="140"/>
      <c r="JY848" s="140"/>
      <c r="JZ848" s="140"/>
      <c r="KA848" s="140"/>
      <c r="KB848" s="140"/>
      <c r="KC848" s="140"/>
      <c r="KD848" s="140"/>
      <c r="KE848" s="140"/>
      <c r="KF848" s="140"/>
      <c r="KG848" s="140"/>
      <c r="KH848" s="140"/>
      <c r="KI848" s="140"/>
      <c r="KJ848" s="140"/>
      <c r="KK848" s="140"/>
      <c r="KL848" s="140"/>
      <c r="KM848" s="140"/>
      <c r="KN848" s="140"/>
      <c r="KO848" s="140"/>
      <c r="KP848" s="140"/>
      <c r="KQ848" s="140"/>
      <c r="KR848" s="140"/>
      <c r="KS848" s="140"/>
      <c r="KT848" s="140"/>
      <c r="KU848" s="140"/>
      <c r="KV848" s="140"/>
      <c r="KW848" s="140"/>
      <c r="KX848" s="140"/>
      <c r="KY848" s="140"/>
      <c r="KZ848" s="140"/>
      <c r="LA848" s="140"/>
      <c r="LB848" s="140"/>
      <c r="LC848" s="140"/>
      <c r="LD848" s="140"/>
      <c r="LE848" s="140"/>
      <c r="LF848" s="140"/>
      <c r="LG848" s="140"/>
      <c r="LH848" s="140"/>
      <c r="LI848" s="140"/>
      <c r="LJ848" s="140"/>
      <c r="LK848" s="140"/>
      <c r="LL848" s="140"/>
      <c r="LM848" s="140"/>
      <c r="LN848" s="140"/>
      <c r="LO848" s="140"/>
      <c r="LP848" s="140"/>
      <c r="LQ848" s="140"/>
      <c r="LR848" s="140"/>
      <c r="LS848" s="140"/>
      <c r="LT848" s="140"/>
      <c r="LU848" s="140"/>
      <c r="LV848" s="140"/>
      <c r="LW848" s="140"/>
      <c r="LX848" s="140"/>
      <c r="LY848" s="140"/>
      <c r="LZ848" s="140"/>
      <c r="MA848" s="140"/>
      <c r="MB848" s="140"/>
      <c r="MC848" s="140"/>
      <c r="MD848" s="140"/>
      <c r="ME848" s="140"/>
      <c r="MF848" s="140"/>
      <c r="MG848" s="140"/>
      <c r="MH848" s="140"/>
      <c r="MI848" s="140"/>
      <c r="MJ848" s="140"/>
      <c r="MK848" s="140"/>
      <c r="ML848" s="140"/>
    </row>
    <row r="849" spans="3:350" s="4" customFormat="1" ht="18" customHeight="1" x14ac:dyDescent="0.3">
      <c r="H849" s="140"/>
      <c r="I849" s="140"/>
      <c r="J849" s="140"/>
      <c r="K849" s="140"/>
      <c r="L849" s="140"/>
      <c r="M849" s="140"/>
      <c r="N849" s="140"/>
      <c r="O849" s="140"/>
      <c r="P849" s="140"/>
      <c r="Q849" s="140"/>
      <c r="R849" s="140"/>
      <c r="S849" s="140"/>
      <c r="T849" s="140"/>
      <c r="U849" s="140"/>
      <c r="V849" s="140"/>
      <c r="W849" s="140"/>
      <c r="X849" s="140"/>
      <c r="Y849" s="140"/>
      <c r="Z849" s="140"/>
      <c r="AA849" s="140"/>
      <c r="AB849" s="140"/>
      <c r="AC849" s="140"/>
      <c r="AD849" s="140"/>
      <c r="AE849" s="140"/>
      <c r="AF849" s="140"/>
      <c r="AG849" s="140"/>
      <c r="AH849" s="140"/>
      <c r="AI849" s="140"/>
      <c r="AJ849" s="140"/>
      <c r="AK849" s="140"/>
      <c r="AL849" s="140"/>
      <c r="AM849" s="140"/>
      <c r="AN849" s="140"/>
      <c r="AO849" s="140"/>
      <c r="AP849" s="140"/>
      <c r="AQ849" s="140"/>
      <c r="AR849" s="140"/>
      <c r="AS849" s="140"/>
      <c r="AT849" s="140"/>
      <c r="AU849" s="140"/>
      <c r="AV849" s="140"/>
      <c r="AW849" s="140"/>
      <c r="AX849" s="140"/>
      <c r="AY849" s="140"/>
      <c r="AZ849" s="140"/>
      <c r="BA849" s="140"/>
      <c r="BB849" s="140"/>
      <c r="BC849" s="140"/>
      <c r="BD849" s="140"/>
      <c r="BE849" s="140"/>
      <c r="BF849" s="140"/>
      <c r="BG849" s="140"/>
      <c r="BH849" s="140"/>
      <c r="BI849" s="140"/>
      <c r="BJ849" s="140"/>
      <c r="BK849" s="140"/>
      <c r="BL849" s="140"/>
      <c r="BM849" s="140"/>
      <c r="BN849" s="140"/>
      <c r="BO849" s="140"/>
      <c r="BP849" s="140"/>
      <c r="BQ849" s="140"/>
      <c r="BR849" s="140"/>
      <c r="BS849" s="140"/>
      <c r="BT849" s="140"/>
      <c r="BU849" s="140"/>
      <c r="BV849" s="140"/>
      <c r="BW849" s="140"/>
      <c r="BX849" s="140"/>
      <c r="BY849" s="140"/>
      <c r="BZ849" s="140"/>
      <c r="CA849" s="140"/>
      <c r="CB849" s="140"/>
      <c r="CC849" s="140"/>
      <c r="CD849" s="140"/>
      <c r="CE849" s="140"/>
      <c r="CF849" s="140"/>
      <c r="CG849" s="140"/>
      <c r="CH849" s="140"/>
      <c r="CI849" s="140"/>
      <c r="CJ849" s="140"/>
      <c r="CK849" s="140"/>
      <c r="CL849" s="140"/>
      <c r="CM849" s="140"/>
      <c r="CN849" s="140"/>
      <c r="FJ849" s="140"/>
      <c r="FK849" s="140"/>
      <c r="FL849" s="140"/>
      <c r="FM849" s="140"/>
      <c r="FN849" s="140"/>
      <c r="FO849" s="140"/>
      <c r="FP849" s="140"/>
      <c r="FQ849" s="140"/>
      <c r="FR849" s="140"/>
      <c r="FS849" s="140"/>
      <c r="FT849" s="140"/>
      <c r="FU849" s="140"/>
      <c r="FV849" s="140"/>
      <c r="FW849" s="140"/>
      <c r="FX849" s="140"/>
      <c r="FY849" s="140"/>
      <c r="FZ849" s="140"/>
      <c r="GA849" s="140"/>
      <c r="GB849" s="140"/>
      <c r="GC849" s="140"/>
      <c r="GD849" s="140"/>
      <c r="GE849" s="140"/>
      <c r="GF849" s="140"/>
      <c r="GG849" s="140"/>
      <c r="GH849" s="140"/>
      <c r="GI849" s="140"/>
      <c r="GJ849" s="140"/>
      <c r="GK849" s="140"/>
      <c r="GL849" s="140"/>
      <c r="GM849" s="140"/>
      <c r="GN849" s="140"/>
      <c r="GO849" s="140"/>
      <c r="GP849" s="140"/>
      <c r="GQ849" s="140"/>
      <c r="GR849" s="140"/>
      <c r="GS849" s="140"/>
      <c r="GT849" s="140"/>
      <c r="GU849" s="140"/>
      <c r="GV849" s="140"/>
      <c r="GW849" s="140"/>
      <c r="GX849" s="140"/>
      <c r="GY849" s="140"/>
      <c r="GZ849" s="140"/>
      <c r="HA849" s="140"/>
      <c r="HB849" s="140"/>
      <c r="HC849" s="140"/>
      <c r="HD849" s="140"/>
      <c r="HE849" s="140"/>
      <c r="HF849" s="140"/>
      <c r="HG849" s="140"/>
      <c r="HH849" s="140"/>
      <c r="HI849" s="140"/>
      <c r="HJ849" s="140"/>
      <c r="HK849" s="140"/>
      <c r="HL849" s="140"/>
      <c r="HM849" s="140"/>
      <c r="HN849" s="140"/>
      <c r="HO849" s="140"/>
      <c r="HP849" s="140"/>
      <c r="HQ849" s="140"/>
      <c r="HR849" s="140"/>
      <c r="HS849" s="140"/>
      <c r="HT849" s="140"/>
      <c r="HU849" s="140"/>
      <c r="HV849" s="140"/>
      <c r="HW849" s="140"/>
      <c r="HX849" s="140"/>
      <c r="HY849" s="140"/>
      <c r="HZ849" s="140"/>
      <c r="IA849" s="140"/>
      <c r="IB849" s="140"/>
      <c r="IC849" s="140"/>
      <c r="ID849" s="140"/>
      <c r="IE849" s="140"/>
      <c r="IF849" s="140"/>
      <c r="IG849" s="140"/>
      <c r="IH849" s="140"/>
      <c r="II849" s="140"/>
      <c r="IJ849" s="140"/>
      <c r="IK849" s="140"/>
      <c r="IL849" s="140"/>
      <c r="IM849" s="140"/>
      <c r="IN849" s="140"/>
      <c r="IO849" s="140"/>
      <c r="IP849" s="140"/>
      <c r="IQ849" s="140"/>
      <c r="IR849" s="140"/>
      <c r="IS849" s="140"/>
      <c r="IT849" s="140"/>
      <c r="IU849" s="140"/>
      <c r="IV849" s="140"/>
      <c r="IW849" s="140"/>
      <c r="IX849" s="140"/>
      <c r="IY849" s="140"/>
      <c r="IZ849" s="140"/>
      <c r="JA849" s="140"/>
      <c r="JB849" s="140"/>
      <c r="JC849" s="140"/>
      <c r="JD849" s="140"/>
      <c r="JE849" s="140"/>
      <c r="JF849" s="140"/>
      <c r="JG849" s="140"/>
      <c r="JH849" s="140"/>
      <c r="JI849" s="140"/>
      <c r="JJ849" s="140"/>
      <c r="JK849" s="140"/>
      <c r="JL849" s="140"/>
      <c r="JM849" s="140"/>
      <c r="JN849" s="140"/>
      <c r="JO849" s="140"/>
      <c r="JP849" s="140"/>
      <c r="JQ849" s="140"/>
      <c r="JR849" s="140"/>
      <c r="JS849" s="140"/>
      <c r="JT849" s="140"/>
      <c r="JU849" s="140"/>
      <c r="JV849" s="140"/>
      <c r="JW849" s="140"/>
      <c r="JX849" s="140"/>
      <c r="JY849" s="140"/>
      <c r="JZ849" s="140"/>
      <c r="KA849" s="140"/>
      <c r="KB849" s="140"/>
      <c r="KC849" s="140"/>
      <c r="KD849" s="140"/>
      <c r="KE849" s="140"/>
      <c r="KF849" s="140"/>
      <c r="KG849" s="140"/>
      <c r="KH849" s="140"/>
      <c r="KI849" s="140"/>
      <c r="KJ849" s="140"/>
      <c r="KK849" s="140"/>
      <c r="KL849" s="140"/>
      <c r="KM849" s="140"/>
      <c r="KN849" s="140"/>
      <c r="KO849" s="140"/>
      <c r="KP849" s="140"/>
      <c r="KQ849" s="140"/>
      <c r="KR849" s="140"/>
      <c r="KS849" s="140"/>
      <c r="KT849" s="140"/>
      <c r="KU849" s="140"/>
      <c r="KV849" s="140"/>
      <c r="KW849" s="140"/>
      <c r="KX849" s="140"/>
      <c r="KY849" s="140"/>
      <c r="KZ849" s="140"/>
      <c r="LA849" s="140"/>
      <c r="LB849" s="140"/>
      <c r="LC849" s="140"/>
      <c r="LD849" s="140"/>
      <c r="LE849" s="140"/>
      <c r="LF849" s="140"/>
      <c r="LG849" s="140"/>
      <c r="LH849" s="140"/>
      <c r="LI849" s="140"/>
      <c r="LJ849" s="140"/>
      <c r="LK849" s="140"/>
      <c r="LL849" s="140"/>
      <c r="LM849" s="140"/>
      <c r="LN849" s="140"/>
      <c r="LO849" s="140"/>
      <c r="LP849" s="140"/>
      <c r="LQ849" s="140"/>
      <c r="LR849" s="140"/>
      <c r="LS849" s="140"/>
      <c r="LT849" s="140"/>
      <c r="LU849" s="140"/>
      <c r="LV849" s="140"/>
      <c r="LW849" s="140"/>
      <c r="LX849" s="140"/>
      <c r="LY849" s="140"/>
      <c r="LZ849" s="140"/>
      <c r="MA849" s="140"/>
      <c r="MB849" s="140"/>
      <c r="MC849" s="140"/>
      <c r="MD849" s="140"/>
      <c r="ME849" s="140"/>
      <c r="MF849" s="140"/>
      <c r="MG849" s="140"/>
      <c r="MH849" s="140"/>
      <c r="MI849" s="140"/>
      <c r="MJ849" s="140"/>
      <c r="MK849" s="140"/>
      <c r="ML849" s="140"/>
    </row>
    <row r="850" spans="3:350" s="4" customFormat="1" ht="18" customHeight="1" x14ac:dyDescent="0.3">
      <c r="H850" s="140"/>
      <c r="I850" s="140"/>
      <c r="J850" s="140"/>
      <c r="K850" s="140"/>
      <c r="L850" s="140"/>
      <c r="M850" s="140"/>
      <c r="N850" s="140"/>
      <c r="O850" s="140"/>
      <c r="P850" s="140"/>
      <c r="Q850" s="140"/>
      <c r="R850" s="140"/>
      <c r="S850" s="140"/>
      <c r="T850" s="140"/>
      <c r="U850" s="140"/>
      <c r="V850" s="140"/>
      <c r="W850" s="140"/>
      <c r="X850" s="140"/>
      <c r="Y850" s="140"/>
      <c r="Z850" s="140"/>
      <c r="AA850" s="140"/>
      <c r="AB850" s="140"/>
      <c r="AC850" s="140"/>
      <c r="AD850" s="140"/>
      <c r="AE850" s="140"/>
      <c r="AF850" s="140"/>
      <c r="AG850" s="140"/>
      <c r="AH850" s="140"/>
      <c r="AI850" s="140"/>
      <c r="AJ850" s="140"/>
      <c r="AK850" s="140"/>
      <c r="AL850" s="140"/>
      <c r="AM850" s="140"/>
      <c r="AN850" s="140"/>
      <c r="AO850" s="140"/>
      <c r="AP850" s="140"/>
      <c r="AQ850" s="140"/>
      <c r="AR850" s="140"/>
      <c r="AS850" s="140"/>
      <c r="AT850" s="140"/>
      <c r="AU850" s="140"/>
      <c r="AV850" s="140"/>
      <c r="AW850" s="140"/>
      <c r="AX850" s="140"/>
      <c r="AY850" s="140"/>
      <c r="AZ850" s="140"/>
      <c r="BA850" s="140"/>
      <c r="BB850" s="140"/>
      <c r="BC850" s="140"/>
      <c r="BD850" s="140"/>
      <c r="BE850" s="140"/>
      <c r="BF850" s="140"/>
      <c r="BG850" s="140"/>
      <c r="BH850" s="140"/>
      <c r="BI850" s="140"/>
      <c r="BJ850" s="140"/>
      <c r="BK850" s="140"/>
      <c r="BL850" s="140"/>
      <c r="BM850" s="140"/>
      <c r="BN850" s="140"/>
      <c r="BO850" s="140"/>
      <c r="BP850" s="140"/>
      <c r="BQ850" s="140"/>
      <c r="BR850" s="140"/>
      <c r="BS850" s="140"/>
      <c r="BT850" s="140"/>
      <c r="BU850" s="140"/>
      <c r="BV850" s="140"/>
      <c r="BW850" s="140"/>
      <c r="BX850" s="140"/>
      <c r="BY850" s="140"/>
      <c r="BZ850" s="140"/>
      <c r="CA850" s="140"/>
      <c r="CB850" s="140"/>
      <c r="CC850" s="140"/>
      <c r="CD850" s="140"/>
      <c r="CE850" s="140"/>
      <c r="CF850" s="140"/>
      <c r="CG850" s="140"/>
      <c r="CH850" s="140"/>
      <c r="CI850" s="140"/>
      <c r="CJ850" s="140"/>
      <c r="CK850" s="140"/>
      <c r="CL850" s="140"/>
      <c r="CM850" s="140"/>
      <c r="CN850" s="140"/>
      <c r="FJ850" s="140"/>
      <c r="FK850" s="140"/>
      <c r="FL850" s="140"/>
      <c r="FM850" s="140"/>
      <c r="FN850" s="140"/>
      <c r="FO850" s="140"/>
      <c r="FP850" s="140"/>
      <c r="FQ850" s="140"/>
      <c r="FR850" s="140"/>
      <c r="FS850" s="140"/>
      <c r="FT850" s="140"/>
      <c r="FU850" s="140"/>
      <c r="FV850" s="140"/>
      <c r="FW850" s="140"/>
      <c r="FX850" s="140"/>
      <c r="FY850" s="140"/>
      <c r="FZ850" s="140"/>
      <c r="GA850" s="140"/>
      <c r="GB850" s="140"/>
      <c r="GC850" s="140"/>
      <c r="GD850" s="140"/>
      <c r="GE850" s="140"/>
      <c r="GF850" s="140"/>
      <c r="GG850" s="140"/>
      <c r="GH850" s="140"/>
      <c r="GI850" s="140"/>
      <c r="GJ850" s="140"/>
      <c r="GK850" s="140"/>
      <c r="GL850" s="140"/>
      <c r="GM850" s="140"/>
      <c r="GN850" s="140"/>
      <c r="GO850" s="140"/>
      <c r="GP850" s="140"/>
      <c r="GQ850" s="140"/>
      <c r="GR850" s="140"/>
      <c r="GS850" s="140"/>
      <c r="GT850" s="140"/>
      <c r="GU850" s="140"/>
      <c r="GV850" s="140"/>
      <c r="GW850" s="140"/>
      <c r="GX850" s="140"/>
      <c r="GY850" s="140"/>
      <c r="GZ850" s="140"/>
      <c r="HA850" s="140"/>
      <c r="HB850" s="140"/>
      <c r="HC850" s="140"/>
      <c r="HD850" s="140"/>
      <c r="HE850" s="140"/>
      <c r="HF850" s="140"/>
      <c r="HG850" s="140"/>
      <c r="HH850" s="140"/>
      <c r="HI850" s="140"/>
      <c r="HJ850" s="140"/>
      <c r="HK850" s="140"/>
      <c r="HL850" s="140"/>
      <c r="HM850" s="140"/>
      <c r="HN850" s="140"/>
      <c r="HO850" s="140"/>
      <c r="HP850" s="140"/>
      <c r="HQ850" s="140"/>
      <c r="HR850" s="140"/>
      <c r="HS850" s="140"/>
      <c r="HT850" s="140"/>
      <c r="HU850" s="140"/>
      <c r="HV850" s="140"/>
      <c r="HW850" s="140"/>
      <c r="HX850" s="140"/>
      <c r="HY850" s="140"/>
      <c r="HZ850" s="140"/>
      <c r="IA850" s="140"/>
      <c r="IB850" s="140"/>
      <c r="IC850" s="140"/>
      <c r="ID850" s="140"/>
      <c r="IE850" s="140"/>
      <c r="IF850" s="140"/>
      <c r="IG850" s="140"/>
      <c r="IH850" s="140"/>
      <c r="II850" s="140"/>
      <c r="IJ850" s="140"/>
      <c r="IK850" s="140"/>
      <c r="IL850" s="140"/>
      <c r="IM850" s="140"/>
      <c r="IN850" s="140"/>
      <c r="IO850" s="140"/>
      <c r="IP850" s="140"/>
      <c r="IQ850" s="140"/>
      <c r="IR850" s="140"/>
      <c r="IS850" s="140"/>
      <c r="IT850" s="140"/>
      <c r="IU850" s="140"/>
      <c r="IV850" s="140"/>
      <c r="IW850" s="140"/>
      <c r="IX850" s="140"/>
      <c r="IY850" s="140"/>
      <c r="IZ850" s="140"/>
      <c r="JA850" s="140"/>
      <c r="JB850" s="140"/>
      <c r="JC850" s="140"/>
      <c r="JD850" s="140"/>
      <c r="JE850" s="140"/>
      <c r="JF850" s="140"/>
      <c r="JG850" s="140"/>
      <c r="JH850" s="140"/>
      <c r="JI850" s="140"/>
      <c r="JJ850" s="140"/>
      <c r="JK850" s="140"/>
      <c r="JL850" s="140"/>
      <c r="JM850" s="140"/>
      <c r="JN850" s="140"/>
      <c r="JO850" s="140"/>
      <c r="JP850" s="140"/>
      <c r="JQ850" s="140"/>
      <c r="JR850" s="140"/>
      <c r="JS850" s="140"/>
      <c r="JT850" s="140"/>
      <c r="JU850" s="140"/>
      <c r="JV850" s="140"/>
      <c r="JW850" s="140"/>
      <c r="JX850" s="140"/>
      <c r="JY850" s="140"/>
      <c r="JZ850" s="140"/>
      <c r="KA850" s="140"/>
      <c r="KB850" s="140"/>
      <c r="KC850" s="140"/>
      <c r="KD850" s="140"/>
      <c r="KE850" s="140"/>
      <c r="KF850" s="140"/>
      <c r="KG850" s="140"/>
      <c r="KH850" s="140"/>
      <c r="KI850" s="140"/>
      <c r="KJ850" s="140"/>
      <c r="KK850" s="140"/>
      <c r="KL850" s="140"/>
      <c r="KM850" s="140"/>
      <c r="KN850" s="140"/>
      <c r="KO850" s="140"/>
      <c r="KP850" s="140"/>
      <c r="KQ850" s="140"/>
      <c r="KR850" s="140"/>
      <c r="KS850" s="140"/>
      <c r="KT850" s="140"/>
      <c r="KU850" s="140"/>
      <c r="KV850" s="140"/>
      <c r="KW850" s="140"/>
      <c r="KX850" s="140"/>
      <c r="KY850" s="140"/>
      <c r="KZ850" s="140"/>
      <c r="LA850" s="140"/>
      <c r="LB850" s="140"/>
      <c r="LC850" s="140"/>
      <c r="LD850" s="140"/>
      <c r="LE850" s="140"/>
      <c r="LF850" s="140"/>
      <c r="LG850" s="140"/>
      <c r="LH850" s="140"/>
      <c r="LI850" s="140"/>
      <c r="LJ850" s="140"/>
      <c r="LK850" s="140"/>
      <c r="LL850" s="140"/>
      <c r="LM850" s="140"/>
      <c r="LN850" s="140"/>
      <c r="LO850" s="140"/>
      <c r="LP850" s="140"/>
      <c r="LQ850" s="140"/>
      <c r="LR850" s="140"/>
      <c r="LS850" s="140"/>
      <c r="LT850" s="140"/>
      <c r="LU850" s="140"/>
      <c r="LV850" s="140"/>
      <c r="LW850" s="140"/>
      <c r="LX850" s="140"/>
      <c r="LY850" s="140"/>
      <c r="LZ850" s="140"/>
      <c r="MA850" s="140"/>
      <c r="MB850" s="140"/>
      <c r="MC850" s="140"/>
      <c r="MD850" s="140"/>
      <c r="ME850" s="140"/>
      <c r="MF850" s="140"/>
      <c r="MG850" s="140"/>
      <c r="MH850" s="140"/>
      <c r="MI850" s="140"/>
      <c r="MJ850" s="140"/>
      <c r="MK850" s="140"/>
      <c r="ML850" s="140"/>
    </row>
    <row r="851" spans="3:350" s="4" customFormat="1" ht="18" customHeight="1" x14ac:dyDescent="0.3">
      <c r="H851" s="140"/>
      <c r="I851" s="140"/>
      <c r="J851" s="140"/>
      <c r="K851" s="140"/>
      <c r="L851" s="140"/>
      <c r="M851" s="140"/>
      <c r="N851" s="140"/>
      <c r="O851" s="140"/>
      <c r="P851" s="140"/>
      <c r="Q851" s="140"/>
      <c r="R851" s="140"/>
      <c r="S851" s="140"/>
      <c r="T851" s="140"/>
      <c r="U851" s="140"/>
      <c r="V851" s="140"/>
      <c r="W851" s="140"/>
      <c r="X851" s="140"/>
      <c r="Y851" s="140"/>
      <c r="Z851" s="140"/>
      <c r="AA851" s="140"/>
      <c r="AB851" s="140"/>
      <c r="AC851" s="140"/>
      <c r="AD851" s="140"/>
      <c r="AE851" s="140"/>
      <c r="AF851" s="140"/>
      <c r="AG851" s="140"/>
      <c r="AH851" s="140"/>
      <c r="AI851" s="140"/>
      <c r="AJ851" s="140"/>
      <c r="AK851" s="140"/>
      <c r="AL851" s="140"/>
      <c r="AM851" s="140"/>
      <c r="AN851" s="140"/>
      <c r="AO851" s="140"/>
      <c r="AP851" s="140"/>
      <c r="AQ851" s="140"/>
      <c r="AR851" s="140"/>
      <c r="AS851" s="140"/>
      <c r="AT851" s="140"/>
      <c r="AU851" s="140"/>
      <c r="AV851" s="140"/>
      <c r="AW851" s="140"/>
      <c r="AX851" s="140"/>
      <c r="AY851" s="140"/>
      <c r="AZ851" s="140"/>
      <c r="BA851" s="140"/>
      <c r="BB851" s="140"/>
      <c r="BC851" s="140"/>
      <c r="BD851" s="140"/>
      <c r="BE851" s="140"/>
      <c r="BF851" s="140"/>
      <c r="BG851" s="140"/>
      <c r="BH851" s="140"/>
      <c r="BI851" s="140"/>
      <c r="BJ851" s="140"/>
      <c r="BK851" s="140"/>
      <c r="BL851" s="140"/>
      <c r="BM851" s="140"/>
      <c r="BN851" s="140"/>
      <c r="BO851" s="140"/>
      <c r="BP851" s="140"/>
      <c r="BQ851" s="140"/>
      <c r="BR851" s="140"/>
      <c r="BS851" s="140"/>
      <c r="BT851" s="140"/>
      <c r="BU851" s="140"/>
      <c r="BV851" s="140"/>
      <c r="BW851" s="140"/>
      <c r="BX851" s="140"/>
      <c r="BY851" s="140"/>
      <c r="BZ851" s="140"/>
      <c r="CA851" s="140"/>
      <c r="CB851" s="140"/>
      <c r="CC851" s="140"/>
      <c r="CD851" s="140"/>
      <c r="CE851" s="140"/>
      <c r="CF851" s="140"/>
      <c r="CG851" s="140"/>
      <c r="CH851" s="140"/>
      <c r="CI851" s="140"/>
      <c r="CJ851" s="140"/>
      <c r="CK851" s="140"/>
      <c r="CL851" s="140"/>
      <c r="CM851" s="140"/>
      <c r="CN851" s="140"/>
      <c r="FJ851" s="140"/>
      <c r="FK851" s="140"/>
      <c r="FL851" s="140"/>
      <c r="FM851" s="140"/>
      <c r="FN851" s="140"/>
      <c r="FO851" s="140"/>
      <c r="FP851" s="140"/>
      <c r="FQ851" s="140"/>
      <c r="FR851" s="140"/>
      <c r="FS851" s="140"/>
      <c r="FT851" s="140"/>
      <c r="FU851" s="140"/>
      <c r="FV851" s="140"/>
      <c r="FW851" s="140"/>
      <c r="FX851" s="140"/>
      <c r="FY851" s="140"/>
      <c r="FZ851" s="140"/>
      <c r="GA851" s="140"/>
      <c r="GB851" s="140"/>
      <c r="GC851" s="140"/>
      <c r="GD851" s="140"/>
      <c r="GE851" s="140"/>
      <c r="GF851" s="140"/>
      <c r="GG851" s="140"/>
      <c r="GH851" s="140"/>
      <c r="GI851" s="140"/>
      <c r="GJ851" s="140"/>
      <c r="GK851" s="140"/>
      <c r="GL851" s="140"/>
      <c r="GM851" s="140"/>
      <c r="GN851" s="140"/>
      <c r="GO851" s="140"/>
      <c r="GP851" s="140"/>
      <c r="GQ851" s="140"/>
      <c r="GR851" s="140"/>
      <c r="GS851" s="140"/>
      <c r="GT851" s="140"/>
      <c r="GU851" s="140"/>
      <c r="GV851" s="140"/>
      <c r="GW851" s="140"/>
      <c r="GX851" s="140"/>
      <c r="GY851" s="140"/>
      <c r="GZ851" s="140"/>
      <c r="HA851" s="140"/>
      <c r="HB851" s="140"/>
      <c r="HC851" s="140"/>
      <c r="HD851" s="140"/>
      <c r="HE851" s="140"/>
      <c r="HF851" s="140"/>
      <c r="HG851" s="140"/>
      <c r="HH851" s="140"/>
      <c r="HI851" s="140"/>
      <c r="HJ851" s="140"/>
      <c r="HK851" s="140"/>
      <c r="HL851" s="140"/>
      <c r="HM851" s="140"/>
      <c r="HN851" s="140"/>
      <c r="HO851" s="140"/>
      <c r="HP851" s="140"/>
      <c r="HQ851" s="140"/>
      <c r="HR851" s="140"/>
      <c r="HS851" s="140"/>
      <c r="HT851" s="140"/>
      <c r="HU851" s="140"/>
      <c r="HV851" s="140"/>
      <c r="HW851" s="140"/>
      <c r="HX851" s="140"/>
      <c r="HY851" s="140"/>
      <c r="HZ851" s="140"/>
      <c r="IA851" s="140"/>
      <c r="IB851" s="140"/>
      <c r="IC851" s="140"/>
      <c r="ID851" s="140"/>
      <c r="IE851" s="140"/>
      <c r="IF851" s="140"/>
      <c r="IG851" s="140"/>
      <c r="IH851" s="140"/>
      <c r="II851" s="140"/>
      <c r="IJ851" s="140"/>
      <c r="IK851" s="140"/>
      <c r="IL851" s="140"/>
      <c r="IM851" s="140"/>
      <c r="IN851" s="140"/>
      <c r="IO851" s="140"/>
      <c r="IP851" s="140"/>
      <c r="IQ851" s="140"/>
      <c r="IR851" s="140"/>
      <c r="IS851" s="140"/>
      <c r="IT851" s="140"/>
      <c r="IU851" s="140"/>
      <c r="IV851" s="140"/>
      <c r="IW851" s="140"/>
      <c r="IX851" s="140"/>
      <c r="IY851" s="140"/>
      <c r="IZ851" s="140"/>
      <c r="JA851" s="140"/>
      <c r="JB851" s="140"/>
      <c r="JC851" s="140"/>
      <c r="JD851" s="140"/>
      <c r="JE851" s="140"/>
      <c r="JF851" s="140"/>
      <c r="JG851" s="140"/>
      <c r="JH851" s="140"/>
      <c r="JI851" s="140"/>
      <c r="JJ851" s="140"/>
      <c r="JK851" s="140"/>
      <c r="JL851" s="140"/>
      <c r="JM851" s="140"/>
      <c r="JN851" s="140"/>
      <c r="JO851" s="140"/>
      <c r="JP851" s="140"/>
      <c r="JQ851" s="140"/>
      <c r="JR851" s="140"/>
      <c r="JS851" s="140"/>
      <c r="JT851" s="140"/>
      <c r="JU851" s="140"/>
      <c r="JV851" s="140"/>
      <c r="JW851" s="140"/>
      <c r="JX851" s="140"/>
      <c r="JY851" s="140"/>
      <c r="JZ851" s="140"/>
      <c r="KA851" s="140"/>
      <c r="KB851" s="140"/>
      <c r="KC851" s="140"/>
      <c r="KD851" s="140"/>
      <c r="KE851" s="140"/>
      <c r="KF851" s="140"/>
      <c r="KG851" s="140"/>
      <c r="KH851" s="140"/>
      <c r="KI851" s="140"/>
      <c r="KJ851" s="140"/>
      <c r="KK851" s="140"/>
      <c r="KL851" s="140"/>
      <c r="KM851" s="140"/>
      <c r="KN851" s="140"/>
      <c r="KO851" s="140"/>
      <c r="KP851" s="140"/>
      <c r="KQ851" s="140"/>
      <c r="KR851" s="140"/>
      <c r="KS851" s="140"/>
      <c r="KT851" s="140"/>
      <c r="KU851" s="140"/>
      <c r="KV851" s="140"/>
      <c r="KW851" s="140"/>
      <c r="KX851" s="140"/>
      <c r="KY851" s="140"/>
      <c r="KZ851" s="140"/>
      <c r="LA851" s="140"/>
      <c r="LB851" s="140"/>
      <c r="LC851" s="140"/>
      <c r="LD851" s="140"/>
      <c r="LE851" s="140"/>
      <c r="LF851" s="140"/>
      <c r="LG851" s="140"/>
      <c r="LH851" s="140"/>
      <c r="LI851" s="140"/>
      <c r="LJ851" s="140"/>
      <c r="LK851" s="140"/>
      <c r="LL851" s="140"/>
      <c r="LM851" s="140"/>
      <c r="LN851" s="140"/>
      <c r="LO851" s="140"/>
      <c r="LP851" s="140"/>
      <c r="LQ851" s="140"/>
      <c r="LR851" s="140"/>
      <c r="LS851" s="140"/>
      <c r="LT851" s="140"/>
      <c r="LU851" s="140"/>
      <c r="LV851" s="140"/>
      <c r="LW851" s="140"/>
      <c r="LX851" s="140"/>
      <c r="LY851" s="140"/>
      <c r="LZ851" s="140"/>
      <c r="MA851" s="140"/>
      <c r="MB851" s="140"/>
      <c r="MC851" s="140"/>
      <c r="MD851" s="140"/>
      <c r="ME851" s="140"/>
      <c r="MF851" s="140"/>
      <c r="MG851" s="140"/>
      <c r="MH851" s="140"/>
      <c r="MI851" s="140"/>
      <c r="MJ851" s="140"/>
      <c r="MK851" s="140"/>
      <c r="ML851" s="140"/>
    </row>
    <row r="852" spans="3:350" s="4" customFormat="1" ht="18" customHeight="1" x14ac:dyDescent="0.3">
      <c r="H852" s="140"/>
      <c r="I852" s="140"/>
      <c r="J852" s="140"/>
      <c r="K852" s="140"/>
      <c r="L852" s="140"/>
      <c r="M852" s="140"/>
      <c r="N852" s="140"/>
      <c r="O852" s="140"/>
      <c r="P852" s="140"/>
      <c r="Q852" s="140"/>
      <c r="R852" s="140"/>
      <c r="S852" s="140"/>
      <c r="T852" s="140"/>
      <c r="U852" s="140"/>
      <c r="V852" s="140"/>
      <c r="W852" s="140"/>
      <c r="X852" s="140"/>
      <c r="Y852" s="140"/>
      <c r="Z852" s="140"/>
      <c r="AA852" s="140"/>
      <c r="AB852" s="140"/>
      <c r="AC852" s="140"/>
      <c r="AD852" s="140"/>
      <c r="AE852" s="140"/>
      <c r="AF852" s="140"/>
      <c r="AG852" s="140"/>
      <c r="AH852" s="140"/>
      <c r="AI852" s="140"/>
      <c r="AJ852" s="140"/>
      <c r="AK852" s="140"/>
      <c r="AL852" s="140"/>
      <c r="AM852" s="140"/>
      <c r="AN852" s="140"/>
      <c r="AO852" s="140"/>
      <c r="AP852" s="140"/>
      <c r="AQ852" s="140"/>
      <c r="AR852" s="140"/>
      <c r="AS852" s="140"/>
      <c r="AT852" s="140"/>
      <c r="AU852" s="140"/>
      <c r="AV852" s="140"/>
      <c r="AW852" s="140"/>
      <c r="AX852" s="140"/>
      <c r="AY852" s="140"/>
      <c r="AZ852" s="140"/>
      <c r="BA852" s="140"/>
      <c r="BB852" s="140"/>
      <c r="BC852" s="140"/>
      <c r="BD852" s="140"/>
      <c r="BE852" s="140"/>
      <c r="BF852" s="140"/>
      <c r="BG852" s="140"/>
      <c r="BH852" s="140"/>
      <c r="BI852" s="140"/>
      <c r="BJ852" s="140"/>
      <c r="BK852" s="140"/>
      <c r="BL852" s="140"/>
      <c r="BM852" s="140"/>
      <c r="BN852" s="140"/>
      <c r="BO852" s="140"/>
      <c r="BP852" s="140"/>
      <c r="BQ852" s="140"/>
      <c r="BR852" s="140"/>
      <c r="BS852" s="140"/>
      <c r="BT852" s="140"/>
      <c r="BU852" s="140"/>
      <c r="BV852" s="140"/>
      <c r="BW852" s="140"/>
      <c r="BX852" s="140"/>
      <c r="BY852" s="140"/>
      <c r="BZ852" s="140"/>
      <c r="CA852" s="140"/>
      <c r="CB852" s="140"/>
      <c r="CC852" s="140"/>
      <c r="CD852" s="140"/>
      <c r="CE852" s="140"/>
      <c r="CF852" s="140"/>
      <c r="CG852" s="140"/>
      <c r="CH852" s="140"/>
      <c r="CI852" s="140"/>
      <c r="CJ852" s="140"/>
      <c r="CK852" s="140"/>
      <c r="CL852" s="140"/>
      <c r="CM852" s="140"/>
      <c r="CN852" s="140"/>
      <c r="FJ852" s="140"/>
      <c r="FK852" s="140"/>
      <c r="FL852" s="140"/>
      <c r="FM852" s="140"/>
      <c r="FN852" s="140"/>
      <c r="FO852" s="140"/>
      <c r="FP852" s="140"/>
      <c r="FQ852" s="140"/>
      <c r="FR852" s="140"/>
      <c r="FS852" s="140"/>
      <c r="FT852" s="140"/>
      <c r="FU852" s="140"/>
      <c r="FV852" s="140"/>
      <c r="FW852" s="140"/>
      <c r="FX852" s="140"/>
      <c r="FY852" s="140"/>
      <c r="FZ852" s="140"/>
      <c r="GA852" s="140"/>
      <c r="GB852" s="140"/>
      <c r="GC852" s="140"/>
      <c r="GD852" s="140"/>
      <c r="GE852" s="140"/>
      <c r="GF852" s="140"/>
      <c r="GG852" s="140"/>
      <c r="GH852" s="140"/>
      <c r="GI852" s="140"/>
      <c r="GJ852" s="140"/>
      <c r="GK852" s="140"/>
      <c r="GL852" s="140"/>
      <c r="GM852" s="140"/>
      <c r="GN852" s="140"/>
      <c r="GO852" s="140"/>
      <c r="GP852" s="140"/>
      <c r="GQ852" s="140"/>
      <c r="GR852" s="140"/>
      <c r="GS852" s="140"/>
      <c r="GT852" s="140"/>
      <c r="GU852" s="140"/>
      <c r="GV852" s="140"/>
      <c r="GW852" s="140"/>
      <c r="GX852" s="140"/>
      <c r="GY852" s="140"/>
      <c r="GZ852" s="140"/>
      <c r="HA852" s="140"/>
      <c r="HB852" s="140"/>
      <c r="HC852" s="140"/>
      <c r="HD852" s="140"/>
      <c r="HE852" s="140"/>
      <c r="HF852" s="140"/>
      <c r="HG852" s="140"/>
      <c r="HH852" s="140"/>
      <c r="HI852" s="140"/>
      <c r="HJ852" s="140"/>
      <c r="HK852" s="140"/>
      <c r="HL852" s="140"/>
      <c r="HM852" s="140"/>
      <c r="HN852" s="140"/>
      <c r="HO852" s="140"/>
      <c r="HP852" s="140"/>
      <c r="HQ852" s="140"/>
      <c r="HR852" s="140"/>
      <c r="HS852" s="140"/>
      <c r="HT852" s="140"/>
      <c r="HU852" s="140"/>
      <c r="HV852" s="140"/>
      <c r="HW852" s="140"/>
      <c r="HX852" s="140"/>
      <c r="HY852" s="140"/>
      <c r="HZ852" s="140"/>
      <c r="IA852" s="140"/>
      <c r="IB852" s="140"/>
      <c r="IC852" s="140"/>
      <c r="ID852" s="140"/>
      <c r="IE852" s="140"/>
      <c r="IF852" s="140"/>
      <c r="IG852" s="140"/>
      <c r="IH852" s="140"/>
      <c r="II852" s="140"/>
      <c r="IJ852" s="140"/>
      <c r="IK852" s="140"/>
      <c r="IL852" s="140"/>
      <c r="IM852" s="140"/>
      <c r="IN852" s="140"/>
      <c r="IO852" s="140"/>
      <c r="IP852" s="140"/>
      <c r="IQ852" s="140"/>
      <c r="IR852" s="140"/>
      <c r="IS852" s="140"/>
      <c r="IT852" s="140"/>
      <c r="IU852" s="140"/>
      <c r="IV852" s="140"/>
      <c r="IW852" s="140"/>
      <c r="IX852" s="140"/>
      <c r="IY852" s="140"/>
      <c r="IZ852" s="140"/>
      <c r="JA852" s="140"/>
      <c r="JB852" s="140"/>
      <c r="JC852" s="140"/>
      <c r="JD852" s="140"/>
      <c r="JE852" s="140"/>
      <c r="JF852" s="140"/>
      <c r="JG852" s="140"/>
      <c r="JH852" s="140"/>
      <c r="JI852" s="140"/>
      <c r="JJ852" s="140"/>
      <c r="JK852" s="140"/>
      <c r="JL852" s="140"/>
      <c r="JM852" s="140"/>
      <c r="JN852" s="140"/>
      <c r="JO852" s="140"/>
      <c r="JP852" s="140"/>
      <c r="JQ852" s="140"/>
      <c r="JR852" s="140"/>
      <c r="JS852" s="140"/>
      <c r="JT852" s="140"/>
      <c r="JU852" s="140"/>
      <c r="JV852" s="140"/>
      <c r="JW852" s="140"/>
      <c r="JX852" s="140"/>
      <c r="JY852" s="140"/>
      <c r="JZ852" s="140"/>
      <c r="KA852" s="140"/>
      <c r="KB852" s="140"/>
      <c r="KC852" s="140"/>
      <c r="KD852" s="140"/>
      <c r="KE852" s="140"/>
      <c r="KF852" s="140"/>
      <c r="KG852" s="140"/>
      <c r="KH852" s="140"/>
      <c r="KI852" s="140"/>
      <c r="KJ852" s="140"/>
      <c r="KK852" s="140"/>
      <c r="KL852" s="140"/>
      <c r="KM852" s="140"/>
      <c r="KN852" s="140"/>
      <c r="KO852" s="140"/>
      <c r="KP852" s="140"/>
      <c r="KQ852" s="140"/>
      <c r="KR852" s="140"/>
      <c r="KS852" s="140"/>
      <c r="KT852" s="140"/>
      <c r="KU852" s="140"/>
      <c r="KV852" s="140"/>
      <c r="KW852" s="140"/>
      <c r="KX852" s="140"/>
      <c r="KY852" s="140"/>
      <c r="KZ852" s="140"/>
      <c r="LA852" s="140"/>
      <c r="LB852" s="140"/>
      <c r="LC852" s="140"/>
      <c r="LD852" s="140"/>
      <c r="LE852" s="140"/>
      <c r="LF852" s="140"/>
      <c r="LG852" s="140"/>
      <c r="LH852" s="140"/>
      <c r="LI852" s="140"/>
      <c r="LJ852" s="140"/>
      <c r="LK852" s="140"/>
      <c r="LL852" s="140"/>
      <c r="LM852" s="140"/>
      <c r="LN852" s="140"/>
      <c r="LO852" s="140"/>
      <c r="LP852" s="140"/>
      <c r="LQ852" s="140"/>
      <c r="LR852" s="140"/>
      <c r="LS852" s="140"/>
      <c r="LT852" s="140"/>
      <c r="LU852" s="140"/>
      <c r="LV852" s="140"/>
      <c r="LW852" s="140"/>
      <c r="LX852" s="140"/>
      <c r="LY852" s="140"/>
      <c r="LZ852" s="140"/>
      <c r="MA852" s="140"/>
      <c r="MB852" s="140"/>
      <c r="MC852" s="140"/>
      <c r="MD852" s="140"/>
      <c r="ME852" s="140"/>
      <c r="MF852" s="140"/>
      <c r="MG852" s="140"/>
      <c r="MH852" s="140"/>
      <c r="MI852" s="140"/>
      <c r="MJ852" s="140"/>
      <c r="MK852" s="140"/>
      <c r="ML852" s="140"/>
    </row>
    <row r="853" spans="3:350" s="4" customFormat="1" ht="18" customHeight="1" x14ac:dyDescent="0.3">
      <c r="H853" s="140"/>
      <c r="I853" s="140"/>
      <c r="J853" s="140"/>
      <c r="K853" s="140"/>
      <c r="L853" s="140"/>
      <c r="M853" s="140"/>
      <c r="N853" s="140"/>
      <c r="O853" s="140"/>
      <c r="P853" s="140"/>
      <c r="Q853" s="140"/>
      <c r="R853" s="140"/>
      <c r="S853" s="140"/>
      <c r="T853" s="140"/>
      <c r="U853" s="140"/>
      <c r="V853" s="140"/>
      <c r="W853" s="140"/>
      <c r="X853" s="140"/>
      <c r="Y853" s="140"/>
      <c r="Z853" s="140"/>
      <c r="AA853" s="140"/>
      <c r="AB853" s="140"/>
      <c r="AC853" s="140"/>
      <c r="AD853" s="140"/>
      <c r="AE853" s="140"/>
      <c r="AF853" s="140"/>
      <c r="AG853" s="140"/>
      <c r="AH853" s="140"/>
      <c r="AI853" s="140"/>
      <c r="AJ853" s="140"/>
      <c r="AK853" s="140"/>
      <c r="AL853" s="140"/>
      <c r="AM853" s="140"/>
      <c r="AN853" s="140"/>
      <c r="AO853" s="140"/>
      <c r="AP853" s="140"/>
      <c r="AQ853" s="140"/>
      <c r="AR853" s="140"/>
      <c r="AS853" s="140"/>
      <c r="AT853" s="140"/>
      <c r="AU853" s="140"/>
      <c r="AV853" s="140"/>
      <c r="AW853" s="140"/>
      <c r="AX853" s="140"/>
      <c r="AY853" s="140"/>
      <c r="AZ853" s="140"/>
      <c r="BA853" s="140"/>
      <c r="BB853" s="140"/>
      <c r="BC853" s="140"/>
      <c r="BD853" s="140"/>
      <c r="BE853" s="140"/>
      <c r="BF853" s="140"/>
      <c r="BG853" s="140"/>
      <c r="BH853" s="140"/>
      <c r="BI853" s="140"/>
      <c r="BJ853" s="140"/>
      <c r="BK853" s="140"/>
      <c r="BL853" s="140"/>
      <c r="BM853" s="140"/>
      <c r="BN853" s="140"/>
      <c r="BO853" s="140"/>
      <c r="BP853" s="140"/>
      <c r="BQ853" s="140"/>
      <c r="BR853" s="140"/>
      <c r="BS853" s="140"/>
      <c r="BT853" s="140"/>
      <c r="BU853" s="140"/>
      <c r="BV853" s="140"/>
      <c r="BW853" s="140"/>
      <c r="BX853" s="140"/>
      <c r="BY853" s="140"/>
      <c r="BZ853" s="140"/>
      <c r="CA853" s="140"/>
      <c r="CB853" s="140"/>
      <c r="CC853" s="140"/>
      <c r="CD853" s="140"/>
      <c r="CE853" s="140"/>
      <c r="CF853" s="140"/>
      <c r="CG853" s="140"/>
      <c r="CH853" s="140"/>
      <c r="CI853" s="140"/>
      <c r="CJ853" s="140"/>
      <c r="CK853" s="140"/>
      <c r="CL853" s="140"/>
      <c r="CM853" s="140"/>
      <c r="CN853" s="140"/>
      <c r="FJ853" s="140"/>
      <c r="FK853" s="140"/>
      <c r="FL853" s="140"/>
      <c r="FM853" s="140"/>
      <c r="FN853" s="140"/>
      <c r="FO853" s="140"/>
      <c r="FP853" s="140"/>
      <c r="FQ853" s="140"/>
      <c r="FR853" s="140"/>
      <c r="FS853" s="140"/>
      <c r="FT853" s="140"/>
      <c r="FU853" s="140"/>
      <c r="FV853" s="140"/>
      <c r="FW853" s="140"/>
      <c r="FX853" s="140"/>
      <c r="FY853" s="140"/>
      <c r="FZ853" s="140"/>
      <c r="GA853" s="140"/>
      <c r="GB853" s="140"/>
      <c r="GC853" s="140"/>
      <c r="GD853" s="140"/>
      <c r="GE853" s="140"/>
      <c r="GF853" s="140"/>
      <c r="GG853" s="140"/>
      <c r="GH853" s="140"/>
      <c r="GI853" s="140"/>
      <c r="GJ853" s="140"/>
      <c r="GK853" s="140"/>
      <c r="GL853" s="140"/>
      <c r="GM853" s="140"/>
      <c r="GN853" s="140"/>
      <c r="GO853" s="140"/>
      <c r="GP853" s="140"/>
      <c r="GQ853" s="140"/>
      <c r="GR853" s="140"/>
      <c r="GS853" s="140"/>
      <c r="GT853" s="140"/>
      <c r="GU853" s="140"/>
      <c r="GV853" s="140"/>
      <c r="GW853" s="140"/>
      <c r="GX853" s="140"/>
      <c r="GY853" s="140"/>
      <c r="GZ853" s="140"/>
      <c r="HA853" s="140"/>
      <c r="HB853" s="140"/>
      <c r="HC853" s="140"/>
      <c r="HD853" s="140"/>
      <c r="HE853" s="140"/>
      <c r="HF853" s="140"/>
      <c r="HG853" s="140"/>
      <c r="HH853" s="140"/>
      <c r="HI853" s="140"/>
      <c r="HJ853" s="140"/>
      <c r="HK853" s="140"/>
      <c r="HL853" s="140"/>
      <c r="HM853" s="140"/>
      <c r="HN853" s="140"/>
      <c r="HO853" s="140"/>
      <c r="HP853" s="140"/>
      <c r="HQ853" s="140"/>
      <c r="HR853" s="140"/>
      <c r="HS853" s="140"/>
      <c r="HT853" s="140"/>
      <c r="HU853" s="140"/>
      <c r="HV853" s="140"/>
      <c r="HW853" s="140"/>
      <c r="HX853" s="140"/>
      <c r="HY853" s="140"/>
      <c r="HZ853" s="140"/>
      <c r="IA853" s="140"/>
      <c r="IB853" s="140"/>
      <c r="IC853" s="140"/>
      <c r="ID853" s="140"/>
      <c r="IE853" s="140"/>
      <c r="IF853" s="140"/>
      <c r="IG853" s="140"/>
      <c r="IH853" s="140"/>
      <c r="II853" s="140"/>
      <c r="IJ853" s="140"/>
      <c r="IK853" s="140"/>
      <c r="IL853" s="140"/>
      <c r="IM853" s="140"/>
      <c r="IN853" s="140"/>
      <c r="IO853" s="140"/>
      <c r="IP853" s="140"/>
      <c r="IQ853" s="140"/>
      <c r="IR853" s="140"/>
      <c r="IS853" s="140"/>
      <c r="IT853" s="140"/>
      <c r="IU853" s="140"/>
      <c r="IV853" s="140"/>
      <c r="IW853" s="140"/>
      <c r="IX853" s="140"/>
      <c r="IY853" s="140"/>
      <c r="IZ853" s="140"/>
      <c r="JA853" s="140"/>
      <c r="JB853" s="140"/>
      <c r="JC853" s="140"/>
      <c r="JD853" s="140"/>
      <c r="JE853" s="140"/>
      <c r="JF853" s="140"/>
      <c r="JG853" s="140"/>
      <c r="JH853" s="140"/>
      <c r="JI853" s="140"/>
      <c r="JJ853" s="140"/>
      <c r="JK853" s="140"/>
      <c r="JL853" s="140"/>
      <c r="JM853" s="140"/>
      <c r="JN853" s="140"/>
      <c r="JO853" s="140"/>
      <c r="JP853" s="140"/>
      <c r="JQ853" s="140"/>
      <c r="JR853" s="140"/>
      <c r="JS853" s="140"/>
      <c r="JT853" s="140"/>
      <c r="JU853" s="140"/>
      <c r="JV853" s="140"/>
      <c r="JW853" s="140"/>
      <c r="JX853" s="140"/>
      <c r="JY853" s="140"/>
      <c r="JZ853" s="140"/>
      <c r="KA853" s="140"/>
      <c r="KB853" s="140"/>
      <c r="KC853" s="140"/>
      <c r="KD853" s="140"/>
      <c r="KE853" s="140"/>
      <c r="KF853" s="140"/>
      <c r="KG853" s="140"/>
      <c r="KH853" s="140"/>
      <c r="KI853" s="140"/>
      <c r="KJ853" s="140"/>
      <c r="KK853" s="140"/>
      <c r="KL853" s="140"/>
      <c r="KM853" s="140"/>
      <c r="KN853" s="140"/>
      <c r="KO853" s="140"/>
      <c r="KP853" s="140"/>
      <c r="KQ853" s="140"/>
      <c r="KR853" s="140"/>
      <c r="KS853" s="140"/>
      <c r="KT853" s="140"/>
      <c r="KU853" s="140"/>
      <c r="KV853" s="140"/>
      <c r="KW853" s="140"/>
      <c r="KX853" s="140"/>
      <c r="KY853" s="140"/>
      <c r="KZ853" s="140"/>
      <c r="LA853" s="140"/>
      <c r="LB853" s="140"/>
      <c r="LC853" s="140"/>
      <c r="LD853" s="140"/>
      <c r="LE853" s="140"/>
      <c r="LF853" s="140"/>
      <c r="LG853" s="140"/>
      <c r="LH853" s="140"/>
      <c r="LI853" s="140"/>
      <c r="LJ853" s="140"/>
      <c r="LK853" s="140"/>
      <c r="LL853" s="140"/>
      <c r="LM853" s="140"/>
      <c r="LN853" s="140"/>
      <c r="LO853" s="140"/>
      <c r="LP853" s="140"/>
      <c r="LQ853" s="140"/>
      <c r="LR853" s="140"/>
      <c r="LS853" s="140"/>
      <c r="LT853" s="140"/>
      <c r="LU853" s="140"/>
      <c r="LV853" s="140"/>
      <c r="LW853" s="140"/>
      <c r="LX853" s="140"/>
      <c r="LY853" s="140"/>
      <c r="LZ853" s="140"/>
      <c r="MA853" s="140"/>
      <c r="MB853" s="140"/>
      <c r="MC853" s="140"/>
      <c r="MD853" s="140"/>
      <c r="ME853" s="140"/>
      <c r="MF853" s="140"/>
      <c r="MG853" s="140"/>
      <c r="MH853" s="140"/>
      <c r="MI853" s="140"/>
      <c r="MJ853" s="140"/>
      <c r="MK853" s="140"/>
      <c r="ML853" s="140"/>
    </row>
    <row r="854" spans="3:350" s="4" customFormat="1" ht="18" customHeight="1" x14ac:dyDescent="0.3">
      <c r="H854" s="140"/>
      <c r="I854" s="140"/>
      <c r="J854" s="140"/>
      <c r="K854" s="140"/>
      <c r="L854" s="140"/>
      <c r="M854" s="140"/>
      <c r="N854" s="140"/>
      <c r="O854" s="140"/>
      <c r="P854" s="140"/>
      <c r="Q854" s="140"/>
      <c r="R854" s="140"/>
      <c r="S854" s="140"/>
      <c r="T854" s="140"/>
      <c r="U854" s="140"/>
      <c r="V854" s="140"/>
      <c r="W854" s="140"/>
      <c r="X854" s="140"/>
      <c r="Y854" s="140"/>
      <c r="Z854" s="140"/>
      <c r="AA854" s="140"/>
      <c r="AB854" s="140"/>
      <c r="AC854" s="140"/>
      <c r="AD854" s="140"/>
      <c r="AE854" s="140"/>
      <c r="AF854" s="140"/>
      <c r="AG854" s="140"/>
      <c r="AH854" s="140"/>
      <c r="AI854" s="140"/>
      <c r="AJ854" s="140"/>
      <c r="AK854" s="140"/>
      <c r="AL854" s="140"/>
      <c r="AM854" s="140"/>
      <c r="AN854" s="140"/>
      <c r="AO854" s="140"/>
      <c r="AP854" s="140"/>
      <c r="AQ854" s="140"/>
      <c r="AR854" s="140"/>
      <c r="AS854" s="140"/>
      <c r="AT854" s="140"/>
      <c r="AU854" s="140"/>
      <c r="AV854" s="140"/>
      <c r="AW854" s="140"/>
      <c r="AX854" s="140"/>
      <c r="AY854" s="140"/>
      <c r="AZ854" s="140"/>
      <c r="BA854" s="140"/>
      <c r="BB854" s="140"/>
      <c r="BC854" s="140"/>
      <c r="BD854" s="140"/>
      <c r="BE854" s="140"/>
      <c r="BF854" s="140"/>
      <c r="BG854" s="140"/>
      <c r="BH854" s="140"/>
      <c r="BI854" s="140"/>
      <c r="BJ854" s="140"/>
      <c r="BK854" s="140"/>
      <c r="BL854" s="140"/>
      <c r="BM854" s="140"/>
      <c r="BN854" s="140"/>
      <c r="BO854" s="140"/>
      <c r="BP854" s="140"/>
      <c r="BQ854" s="140"/>
      <c r="BR854" s="140"/>
      <c r="BS854" s="140"/>
      <c r="BT854" s="140"/>
      <c r="BU854" s="140"/>
      <c r="BV854" s="140"/>
      <c r="BW854" s="140"/>
      <c r="BX854" s="140"/>
      <c r="BY854" s="140"/>
      <c r="BZ854" s="140"/>
      <c r="CA854" s="140"/>
      <c r="CB854" s="140"/>
      <c r="CC854" s="140"/>
      <c r="CD854" s="140"/>
      <c r="CE854" s="140"/>
      <c r="CF854" s="140"/>
      <c r="CG854" s="140"/>
      <c r="CH854" s="140"/>
      <c r="CI854" s="140"/>
      <c r="CJ854" s="140"/>
      <c r="CK854" s="140"/>
      <c r="CL854" s="140"/>
      <c r="CM854" s="140"/>
      <c r="CN854" s="140"/>
      <c r="FJ854" s="140"/>
      <c r="FK854" s="140"/>
      <c r="FL854" s="140"/>
      <c r="FM854" s="140"/>
      <c r="FN854" s="140"/>
      <c r="FO854" s="140"/>
      <c r="FP854" s="140"/>
      <c r="FQ854" s="140"/>
      <c r="FR854" s="140"/>
      <c r="FS854" s="140"/>
      <c r="FT854" s="140"/>
      <c r="FU854" s="140"/>
      <c r="FV854" s="140"/>
      <c r="FW854" s="140"/>
      <c r="FX854" s="140"/>
      <c r="FY854" s="140"/>
      <c r="FZ854" s="140"/>
      <c r="GA854" s="140"/>
      <c r="GB854" s="140"/>
      <c r="GC854" s="140"/>
      <c r="GD854" s="140"/>
      <c r="GE854" s="140"/>
      <c r="GF854" s="140"/>
      <c r="GG854" s="140"/>
      <c r="GH854" s="140"/>
      <c r="GI854" s="140"/>
      <c r="GJ854" s="140"/>
      <c r="GK854" s="140"/>
      <c r="GL854" s="140"/>
      <c r="GM854" s="140"/>
      <c r="GN854" s="140"/>
      <c r="GO854" s="140"/>
      <c r="GP854" s="140"/>
      <c r="GQ854" s="140"/>
      <c r="GR854" s="140"/>
      <c r="GS854" s="140"/>
      <c r="GT854" s="140"/>
      <c r="GU854" s="140"/>
      <c r="GV854" s="140"/>
      <c r="GW854" s="140"/>
      <c r="GX854" s="140"/>
      <c r="GY854" s="140"/>
      <c r="GZ854" s="140"/>
      <c r="HA854" s="140"/>
      <c r="HB854" s="140"/>
      <c r="HC854" s="140"/>
      <c r="HD854" s="140"/>
      <c r="HE854" s="140"/>
      <c r="HF854" s="140"/>
      <c r="HG854" s="140"/>
      <c r="HH854" s="140"/>
      <c r="HI854" s="140"/>
      <c r="HJ854" s="140"/>
      <c r="HK854" s="140"/>
      <c r="HL854" s="140"/>
      <c r="HM854" s="140"/>
      <c r="HN854" s="140"/>
      <c r="HO854" s="140"/>
      <c r="HP854" s="140"/>
      <c r="HQ854" s="140"/>
      <c r="HR854" s="140"/>
      <c r="HS854" s="140"/>
      <c r="HT854" s="140"/>
      <c r="HU854" s="140"/>
      <c r="HV854" s="140"/>
      <c r="HW854" s="140"/>
      <c r="HX854" s="140"/>
      <c r="HY854" s="140"/>
      <c r="HZ854" s="140"/>
      <c r="IA854" s="140"/>
      <c r="IB854" s="140"/>
      <c r="IC854" s="140"/>
      <c r="ID854" s="140"/>
      <c r="IE854" s="140"/>
      <c r="IF854" s="140"/>
      <c r="IG854" s="140"/>
      <c r="IH854" s="140"/>
      <c r="II854" s="140"/>
      <c r="IJ854" s="140"/>
      <c r="IK854" s="140"/>
      <c r="IL854" s="140"/>
      <c r="IM854" s="140"/>
      <c r="IN854" s="140"/>
      <c r="IO854" s="140"/>
      <c r="IP854" s="140"/>
      <c r="IQ854" s="140"/>
      <c r="IR854" s="140"/>
      <c r="IS854" s="140"/>
      <c r="IT854" s="140"/>
      <c r="IU854" s="140"/>
      <c r="IV854" s="140"/>
      <c r="IW854" s="140"/>
      <c r="IX854" s="140"/>
      <c r="IY854" s="140"/>
      <c r="IZ854" s="140"/>
      <c r="JA854" s="140"/>
      <c r="JB854" s="140"/>
      <c r="JC854" s="140"/>
      <c r="JD854" s="140"/>
      <c r="JE854" s="140"/>
      <c r="JF854" s="140"/>
      <c r="JG854" s="140"/>
      <c r="JH854" s="140"/>
      <c r="JI854" s="140"/>
      <c r="JJ854" s="140"/>
      <c r="JK854" s="140"/>
      <c r="JL854" s="140"/>
      <c r="JM854" s="140"/>
      <c r="JN854" s="140"/>
      <c r="JO854" s="140"/>
      <c r="JP854" s="140"/>
      <c r="JQ854" s="140"/>
      <c r="JR854" s="140"/>
      <c r="JS854" s="140"/>
      <c r="JT854" s="140"/>
      <c r="JU854" s="140"/>
      <c r="JV854" s="140"/>
      <c r="JW854" s="140"/>
      <c r="JX854" s="140"/>
      <c r="JY854" s="140"/>
      <c r="JZ854" s="140"/>
      <c r="KA854" s="140"/>
      <c r="KB854" s="140"/>
      <c r="KC854" s="140"/>
      <c r="KD854" s="140"/>
      <c r="KE854" s="140"/>
      <c r="KF854" s="140"/>
      <c r="KG854" s="140"/>
      <c r="KH854" s="140"/>
      <c r="KI854" s="140"/>
      <c r="KJ854" s="140"/>
      <c r="KK854" s="140"/>
      <c r="KL854" s="140"/>
      <c r="KM854" s="140"/>
      <c r="KN854" s="140"/>
      <c r="KO854" s="140"/>
      <c r="KP854" s="140"/>
      <c r="KQ854" s="140"/>
      <c r="KR854" s="140"/>
      <c r="KS854" s="140"/>
      <c r="KT854" s="140"/>
      <c r="KU854" s="140"/>
      <c r="KV854" s="140"/>
      <c r="KW854" s="140"/>
      <c r="KX854" s="140"/>
      <c r="KY854" s="140"/>
      <c r="KZ854" s="140"/>
      <c r="LA854" s="140"/>
      <c r="LB854" s="140"/>
      <c r="LC854" s="140"/>
      <c r="LD854" s="140"/>
      <c r="LE854" s="140"/>
      <c r="LF854" s="140"/>
      <c r="LG854" s="140"/>
      <c r="LH854" s="140"/>
      <c r="LI854" s="140"/>
      <c r="LJ854" s="140"/>
      <c r="LK854" s="140"/>
      <c r="LL854" s="140"/>
      <c r="LM854" s="140"/>
      <c r="LN854" s="140"/>
      <c r="LO854" s="140"/>
      <c r="LP854" s="140"/>
      <c r="LQ854" s="140"/>
      <c r="LR854" s="140"/>
      <c r="LS854" s="140"/>
      <c r="LT854" s="140"/>
      <c r="LU854" s="140"/>
      <c r="LV854" s="140"/>
      <c r="LW854" s="140"/>
      <c r="LX854" s="140"/>
      <c r="LY854" s="140"/>
      <c r="LZ854" s="140"/>
      <c r="MA854" s="140"/>
      <c r="MB854" s="140"/>
      <c r="MC854" s="140"/>
      <c r="MD854" s="140"/>
      <c r="ME854" s="140"/>
      <c r="MF854" s="140"/>
      <c r="MG854" s="140"/>
      <c r="MH854" s="140"/>
      <c r="MI854" s="140"/>
      <c r="MJ854" s="140"/>
      <c r="MK854" s="140"/>
      <c r="ML854" s="140"/>
    </row>
    <row r="855" spans="3:350" s="4" customFormat="1" ht="18" customHeight="1" x14ac:dyDescent="0.3">
      <c r="H855" s="140"/>
      <c r="I855" s="140"/>
      <c r="J855" s="140"/>
      <c r="K855" s="140"/>
      <c r="L855" s="140"/>
      <c r="M855" s="140"/>
      <c r="N855" s="140"/>
      <c r="O855" s="140"/>
      <c r="P855" s="140"/>
      <c r="Q855" s="140"/>
      <c r="R855" s="140"/>
      <c r="S855" s="140"/>
      <c r="T855" s="140"/>
      <c r="U855" s="140"/>
      <c r="V855" s="140"/>
      <c r="W855" s="140"/>
      <c r="X855" s="140"/>
      <c r="Y855" s="140"/>
      <c r="Z855" s="140"/>
      <c r="AA855" s="140"/>
      <c r="AB855" s="140"/>
      <c r="AC855" s="140"/>
      <c r="AD855" s="140"/>
      <c r="AE855" s="140"/>
      <c r="AF855" s="140"/>
      <c r="AG855" s="140"/>
      <c r="AH855" s="140"/>
      <c r="AI855" s="140"/>
      <c r="AJ855" s="140"/>
      <c r="AK855" s="140"/>
      <c r="AL855" s="140"/>
      <c r="AM855" s="140"/>
      <c r="AN855" s="140"/>
      <c r="AO855" s="140"/>
      <c r="AP855" s="140"/>
      <c r="AQ855" s="140"/>
      <c r="AR855" s="140"/>
      <c r="AS855" s="140"/>
      <c r="AT855" s="140"/>
      <c r="AU855" s="140"/>
      <c r="AV855" s="140"/>
      <c r="AW855" s="140"/>
      <c r="AX855" s="140"/>
      <c r="AY855" s="140"/>
      <c r="AZ855" s="140"/>
      <c r="BA855" s="140"/>
      <c r="BB855" s="140"/>
      <c r="BC855" s="140"/>
      <c r="BD855" s="140"/>
      <c r="BE855" s="140"/>
      <c r="BF855" s="140"/>
      <c r="BG855" s="140"/>
      <c r="BH855" s="140"/>
      <c r="BI855" s="140"/>
      <c r="BJ855" s="140"/>
      <c r="BK855" s="140"/>
      <c r="BL855" s="140"/>
      <c r="BM855" s="140"/>
      <c r="BN855" s="140"/>
      <c r="BO855" s="140"/>
      <c r="BP855" s="140"/>
      <c r="BQ855" s="140"/>
      <c r="BR855" s="140"/>
      <c r="BS855" s="140"/>
      <c r="BT855" s="140"/>
      <c r="BU855" s="140"/>
      <c r="BV855" s="140"/>
      <c r="BW855" s="140"/>
      <c r="BX855" s="140"/>
      <c r="BY855" s="140"/>
      <c r="BZ855" s="140"/>
      <c r="CA855" s="140"/>
      <c r="CB855" s="140"/>
      <c r="CC855" s="140"/>
      <c r="CD855" s="140"/>
      <c r="CE855" s="140"/>
      <c r="CF855" s="140"/>
      <c r="CG855" s="140"/>
      <c r="CH855" s="140"/>
      <c r="CI855" s="140"/>
      <c r="CJ855" s="140"/>
      <c r="CK855" s="140"/>
      <c r="CL855" s="140"/>
      <c r="CM855" s="140"/>
      <c r="CN855" s="140"/>
      <c r="FJ855" s="140"/>
      <c r="FK855" s="140"/>
      <c r="FL855" s="140"/>
      <c r="FM855" s="140"/>
      <c r="FN855" s="140"/>
      <c r="FO855" s="140"/>
      <c r="FP855" s="140"/>
      <c r="FQ855" s="140"/>
      <c r="FR855" s="140"/>
      <c r="FS855" s="140"/>
      <c r="FT855" s="140"/>
      <c r="FU855" s="140"/>
      <c r="FV855" s="140"/>
      <c r="FW855" s="140"/>
      <c r="FX855" s="140"/>
      <c r="FY855" s="140"/>
      <c r="FZ855" s="140"/>
      <c r="GA855" s="140"/>
      <c r="GB855" s="140"/>
      <c r="GC855" s="140"/>
      <c r="GD855" s="140"/>
      <c r="GE855" s="140"/>
      <c r="GF855" s="140"/>
      <c r="GG855" s="140"/>
      <c r="GH855" s="140"/>
      <c r="GI855" s="140"/>
      <c r="GJ855" s="140"/>
      <c r="GK855" s="140"/>
      <c r="GL855" s="140"/>
      <c r="GM855" s="140"/>
      <c r="GN855" s="140"/>
      <c r="GO855" s="140"/>
      <c r="GP855" s="140"/>
      <c r="GQ855" s="140"/>
      <c r="GR855" s="140"/>
      <c r="GS855" s="140"/>
      <c r="GT855" s="140"/>
      <c r="GU855" s="140"/>
      <c r="GV855" s="140"/>
      <c r="GW855" s="140"/>
      <c r="GX855" s="140"/>
      <c r="GY855" s="140"/>
      <c r="GZ855" s="140"/>
      <c r="HA855" s="140"/>
      <c r="HB855" s="140"/>
      <c r="HC855" s="140"/>
      <c r="HD855" s="140"/>
      <c r="HE855" s="140"/>
      <c r="HF855" s="140"/>
      <c r="HG855" s="140"/>
      <c r="HH855" s="140"/>
      <c r="HI855" s="140"/>
      <c r="HJ855" s="140"/>
      <c r="HK855" s="140"/>
      <c r="HL855" s="140"/>
      <c r="HM855" s="140"/>
      <c r="HN855" s="140"/>
      <c r="HO855" s="140"/>
      <c r="HP855" s="140"/>
      <c r="HQ855" s="140"/>
      <c r="HR855" s="140"/>
      <c r="HS855" s="140"/>
      <c r="HT855" s="140"/>
      <c r="HU855" s="140"/>
      <c r="HV855" s="140"/>
      <c r="HW855" s="140"/>
      <c r="HX855" s="140"/>
      <c r="HY855" s="140"/>
      <c r="HZ855" s="140"/>
      <c r="IA855" s="140"/>
      <c r="IB855" s="140"/>
      <c r="IC855" s="140"/>
      <c r="ID855" s="140"/>
      <c r="IE855" s="140"/>
      <c r="IF855" s="140"/>
      <c r="IG855" s="140"/>
      <c r="IH855" s="140"/>
      <c r="II855" s="140"/>
      <c r="IJ855" s="140"/>
      <c r="IK855" s="140"/>
      <c r="IL855" s="140"/>
      <c r="IM855" s="140"/>
      <c r="IN855" s="140"/>
      <c r="IO855" s="140"/>
      <c r="IP855" s="140"/>
      <c r="IQ855" s="140"/>
      <c r="IR855" s="140"/>
      <c r="IS855" s="140"/>
      <c r="IT855" s="140"/>
      <c r="IU855" s="140"/>
      <c r="IV855" s="140"/>
      <c r="IW855" s="140"/>
      <c r="IX855" s="140"/>
      <c r="IY855" s="140"/>
      <c r="IZ855" s="140"/>
      <c r="JA855" s="140"/>
      <c r="JB855" s="140"/>
      <c r="JC855" s="140"/>
      <c r="JD855" s="140"/>
      <c r="JE855" s="140"/>
      <c r="JF855" s="140"/>
      <c r="JG855" s="140"/>
      <c r="JH855" s="140"/>
      <c r="JI855" s="140"/>
      <c r="JJ855" s="140"/>
      <c r="JK855" s="140"/>
      <c r="JL855" s="140"/>
      <c r="JM855" s="140"/>
      <c r="JN855" s="140"/>
      <c r="JO855" s="140"/>
      <c r="JP855" s="140"/>
      <c r="JQ855" s="140"/>
      <c r="JR855" s="140"/>
      <c r="JS855" s="140"/>
      <c r="JT855" s="140"/>
      <c r="JU855" s="140"/>
      <c r="JV855" s="140"/>
      <c r="JW855" s="140"/>
      <c r="JX855" s="140"/>
      <c r="JY855" s="140"/>
      <c r="JZ855" s="140"/>
      <c r="KA855" s="140"/>
      <c r="KB855" s="140"/>
      <c r="KC855" s="140"/>
      <c r="KD855" s="140"/>
      <c r="KE855" s="140"/>
      <c r="KF855" s="140"/>
      <c r="KG855" s="140"/>
      <c r="KH855" s="140"/>
      <c r="KI855" s="140"/>
      <c r="KJ855" s="140"/>
      <c r="KK855" s="140"/>
      <c r="KL855" s="140"/>
      <c r="KM855" s="140"/>
      <c r="KN855" s="140"/>
      <c r="KO855" s="140"/>
      <c r="KP855" s="140"/>
      <c r="KQ855" s="140"/>
      <c r="KR855" s="140"/>
      <c r="KS855" s="140"/>
      <c r="KT855" s="140"/>
      <c r="KU855" s="140"/>
      <c r="KV855" s="140"/>
      <c r="KW855" s="140"/>
      <c r="KX855" s="140"/>
      <c r="KY855" s="140"/>
      <c r="KZ855" s="140"/>
      <c r="LA855" s="140"/>
      <c r="LB855" s="140"/>
      <c r="LC855" s="140"/>
      <c r="LD855" s="140"/>
      <c r="LE855" s="140"/>
      <c r="LF855" s="140"/>
      <c r="LG855" s="140"/>
      <c r="LH855" s="140"/>
      <c r="LI855" s="140"/>
      <c r="LJ855" s="140"/>
      <c r="LK855" s="140"/>
      <c r="LL855" s="140"/>
      <c r="LM855" s="140"/>
      <c r="LN855" s="140"/>
      <c r="LO855" s="140"/>
      <c r="LP855" s="140"/>
      <c r="LQ855" s="140"/>
      <c r="LR855" s="140"/>
      <c r="LS855" s="140"/>
      <c r="LT855" s="140"/>
      <c r="LU855" s="140"/>
      <c r="LV855" s="140"/>
      <c r="LW855" s="140"/>
      <c r="LX855" s="140"/>
      <c r="LY855" s="140"/>
      <c r="LZ855" s="140"/>
      <c r="MA855" s="140"/>
      <c r="MB855" s="140"/>
      <c r="MC855" s="140"/>
      <c r="MD855" s="140"/>
      <c r="ME855" s="140"/>
      <c r="MF855" s="140"/>
      <c r="MG855" s="140"/>
      <c r="MH855" s="140"/>
      <c r="MI855" s="140"/>
      <c r="MJ855" s="140"/>
      <c r="MK855" s="140"/>
      <c r="ML855" s="140"/>
    </row>
    <row r="856" spans="3:350" s="4" customFormat="1" ht="18" customHeight="1" x14ac:dyDescent="0.3">
      <c r="H856" s="140"/>
      <c r="I856" s="140"/>
      <c r="J856" s="140"/>
      <c r="K856" s="140"/>
      <c r="L856" s="140"/>
      <c r="M856" s="140"/>
      <c r="N856" s="140"/>
      <c r="O856" s="140"/>
      <c r="P856" s="140"/>
      <c r="Q856" s="140"/>
      <c r="R856" s="140"/>
      <c r="S856" s="140"/>
      <c r="T856" s="140"/>
      <c r="U856" s="140"/>
      <c r="V856" s="140"/>
      <c r="W856" s="140"/>
      <c r="X856" s="140"/>
      <c r="Y856" s="140"/>
      <c r="Z856" s="140"/>
      <c r="AA856" s="140"/>
      <c r="AB856" s="140"/>
      <c r="AC856" s="140"/>
      <c r="AD856" s="140"/>
      <c r="AE856" s="140"/>
      <c r="AF856" s="140"/>
      <c r="AG856" s="140"/>
      <c r="AH856" s="140"/>
      <c r="AI856" s="140"/>
      <c r="AJ856" s="140"/>
      <c r="AK856" s="140"/>
      <c r="AL856" s="140"/>
      <c r="AM856" s="140"/>
      <c r="AN856" s="140"/>
      <c r="AO856" s="140"/>
      <c r="AP856" s="140"/>
      <c r="AQ856" s="140"/>
      <c r="AR856" s="140"/>
      <c r="AS856" s="140"/>
      <c r="AT856" s="140"/>
      <c r="AU856" s="140"/>
      <c r="AV856" s="140"/>
      <c r="AW856" s="140"/>
      <c r="AX856" s="140"/>
      <c r="AY856" s="140"/>
      <c r="AZ856" s="140"/>
      <c r="BA856" s="140"/>
      <c r="BB856" s="140"/>
      <c r="BC856" s="140"/>
      <c r="BD856" s="140"/>
      <c r="BE856" s="140"/>
      <c r="BF856" s="140"/>
      <c r="BG856" s="140"/>
      <c r="BH856" s="140"/>
      <c r="BI856" s="140"/>
      <c r="BJ856" s="140"/>
      <c r="BK856" s="140"/>
      <c r="BL856" s="140"/>
      <c r="BM856" s="140"/>
      <c r="BN856" s="140"/>
      <c r="BO856" s="140"/>
      <c r="BP856" s="140"/>
      <c r="BQ856" s="140"/>
      <c r="BR856" s="140"/>
      <c r="BS856" s="140"/>
      <c r="BT856" s="140"/>
      <c r="BU856" s="140"/>
      <c r="BV856" s="140"/>
      <c r="BW856" s="140"/>
      <c r="BX856" s="140"/>
      <c r="BY856" s="140"/>
      <c r="BZ856" s="140"/>
      <c r="CA856" s="140"/>
      <c r="CB856" s="140"/>
      <c r="CC856" s="140"/>
      <c r="CD856" s="140"/>
      <c r="CE856" s="140"/>
      <c r="CF856" s="140"/>
      <c r="CG856" s="140"/>
      <c r="CH856" s="140"/>
      <c r="CI856" s="140"/>
      <c r="CJ856" s="140"/>
      <c r="CK856" s="140"/>
      <c r="CL856" s="140"/>
      <c r="CM856" s="140"/>
      <c r="CN856" s="140"/>
      <c r="FJ856" s="140"/>
      <c r="FK856" s="140"/>
      <c r="FL856" s="140"/>
      <c r="FM856" s="140"/>
      <c r="FN856" s="140"/>
      <c r="FO856" s="140"/>
      <c r="FP856" s="140"/>
      <c r="FQ856" s="140"/>
      <c r="FR856" s="140"/>
      <c r="FS856" s="140"/>
      <c r="FT856" s="140"/>
      <c r="FU856" s="140"/>
      <c r="FV856" s="140"/>
      <c r="FW856" s="140"/>
      <c r="FX856" s="140"/>
      <c r="FY856" s="140"/>
      <c r="FZ856" s="140"/>
      <c r="GA856" s="140"/>
      <c r="GB856" s="140"/>
      <c r="GC856" s="140"/>
      <c r="GD856" s="140"/>
      <c r="GE856" s="140"/>
      <c r="GF856" s="140"/>
      <c r="GG856" s="140"/>
      <c r="GH856" s="140"/>
      <c r="GI856" s="140"/>
      <c r="GJ856" s="140"/>
      <c r="GK856" s="140"/>
      <c r="GL856" s="140"/>
      <c r="GM856" s="140"/>
      <c r="GN856" s="140"/>
      <c r="GO856" s="140"/>
      <c r="GP856" s="140"/>
      <c r="GQ856" s="140"/>
      <c r="GR856" s="140"/>
      <c r="GS856" s="140"/>
      <c r="GT856" s="140"/>
      <c r="GU856" s="140"/>
      <c r="GV856" s="140"/>
      <c r="GW856" s="140"/>
      <c r="GX856" s="140"/>
      <c r="GY856" s="140"/>
      <c r="GZ856" s="140"/>
      <c r="HA856" s="140"/>
      <c r="HB856" s="140"/>
      <c r="HC856" s="140"/>
      <c r="HD856" s="140"/>
      <c r="HE856" s="140"/>
      <c r="HF856" s="140"/>
      <c r="HG856" s="140"/>
      <c r="HH856" s="140"/>
      <c r="HI856" s="140"/>
      <c r="HJ856" s="140"/>
      <c r="HK856" s="140"/>
      <c r="HL856" s="140"/>
      <c r="HM856" s="140"/>
      <c r="HN856" s="140"/>
      <c r="HO856" s="140"/>
      <c r="HP856" s="140"/>
      <c r="HQ856" s="140"/>
      <c r="HR856" s="140"/>
      <c r="HS856" s="140"/>
      <c r="HT856" s="140"/>
      <c r="HU856" s="140"/>
      <c r="HV856" s="140"/>
      <c r="HW856" s="140"/>
      <c r="HX856" s="140"/>
      <c r="HY856" s="140"/>
      <c r="HZ856" s="140"/>
      <c r="IA856" s="140"/>
      <c r="IB856" s="140"/>
      <c r="IC856" s="140"/>
      <c r="ID856" s="140"/>
      <c r="IE856" s="140"/>
      <c r="IF856" s="140"/>
      <c r="IG856" s="140"/>
      <c r="IH856" s="140"/>
      <c r="II856" s="140"/>
      <c r="IJ856" s="140"/>
      <c r="IK856" s="140"/>
      <c r="IL856" s="140"/>
      <c r="IM856" s="140"/>
      <c r="IN856" s="140"/>
      <c r="IO856" s="140"/>
      <c r="IP856" s="140"/>
      <c r="IQ856" s="140"/>
      <c r="IR856" s="140"/>
      <c r="IS856" s="140"/>
      <c r="IT856" s="140"/>
      <c r="IU856" s="140"/>
      <c r="IV856" s="140"/>
      <c r="IW856" s="140"/>
      <c r="IX856" s="140"/>
      <c r="IY856" s="140"/>
      <c r="IZ856" s="140"/>
      <c r="JA856" s="140"/>
      <c r="JB856" s="140"/>
      <c r="JC856" s="140"/>
      <c r="JD856" s="140"/>
      <c r="JE856" s="140"/>
      <c r="JF856" s="140"/>
      <c r="JG856" s="140"/>
      <c r="JH856" s="140"/>
      <c r="JI856" s="140"/>
      <c r="JJ856" s="140"/>
      <c r="JK856" s="140"/>
      <c r="JL856" s="140"/>
      <c r="JM856" s="140"/>
      <c r="JN856" s="140"/>
      <c r="JO856" s="140"/>
      <c r="JP856" s="140"/>
      <c r="JQ856" s="140"/>
      <c r="JR856" s="140"/>
      <c r="JS856" s="140"/>
      <c r="JT856" s="140"/>
      <c r="JU856" s="140"/>
      <c r="JV856" s="140"/>
      <c r="JW856" s="140"/>
      <c r="JX856" s="140"/>
      <c r="JY856" s="140"/>
      <c r="JZ856" s="140"/>
      <c r="KA856" s="140"/>
      <c r="KB856" s="140"/>
      <c r="KC856" s="140"/>
      <c r="KD856" s="140"/>
      <c r="KE856" s="140"/>
      <c r="KF856" s="140"/>
      <c r="KG856" s="140"/>
      <c r="KH856" s="140"/>
      <c r="KI856" s="140"/>
      <c r="KJ856" s="140"/>
      <c r="KK856" s="140"/>
      <c r="KL856" s="140"/>
      <c r="KM856" s="140"/>
      <c r="KN856" s="140"/>
      <c r="KO856" s="140"/>
      <c r="KP856" s="140"/>
      <c r="KQ856" s="140"/>
      <c r="KR856" s="140"/>
      <c r="KS856" s="140"/>
      <c r="KT856" s="140"/>
      <c r="KU856" s="140"/>
      <c r="KV856" s="140"/>
      <c r="KW856" s="140"/>
      <c r="KX856" s="140"/>
      <c r="KY856" s="140"/>
      <c r="KZ856" s="140"/>
      <c r="LA856" s="140"/>
      <c r="LB856" s="140"/>
      <c r="LC856" s="140"/>
      <c r="LD856" s="140"/>
      <c r="LE856" s="140"/>
      <c r="LF856" s="140"/>
      <c r="LG856" s="140"/>
      <c r="LH856" s="140"/>
      <c r="LI856" s="140"/>
      <c r="LJ856" s="140"/>
      <c r="LK856" s="140"/>
      <c r="LL856" s="140"/>
      <c r="LM856" s="140"/>
      <c r="LN856" s="140"/>
      <c r="LO856" s="140"/>
      <c r="LP856" s="140"/>
      <c r="LQ856" s="140"/>
      <c r="LR856" s="140"/>
      <c r="LS856" s="140"/>
      <c r="LT856" s="140"/>
      <c r="LU856" s="140"/>
      <c r="LV856" s="140"/>
      <c r="LW856" s="140"/>
      <c r="LX856" s="140"/>
      <c r="LY856" s="140"/>
      <c r="LZ856" s="140"/>
      <c r="MA856" s="140"/>
      <c r="MB856" s="140"/>
      <c r="MC856" s="140"/>
      <c r="MD856" s="140"/>
      <c r="ME856" s="140"/>
      <c r="MF856" s="140"/>
      <c r="MG856" s="140"/>
      <c r="MH856" s="140"/>
      <c r="MI856" s="140"/>
      <c r="MJ856" s="140"/>
      <c r="MK856" s="140"/>
      <c r="ML856" s="140"/>
    </row>
    <row r="857" spans="3:350" s="4" customFormat="1" ht="18" customHeight="1" x14ac:dyDescent="0.3">
      <c r="H857" s="140"/>
      <c r="I857" s="140"/>
      <c r="J857" s="140"/>
      <c r="K857" s="140"/>
      <c r="L857" s="140"/>
      <c r="M857" s="140"/>
      <c r="N857" s="140"/>
      <c r="O857" s="140"/>
      <c r="P857" s="140"/>
      <c r="Q857" s="140"/>
      <c r="R857" s="140"/>
      <c r="S857" s="140"/>
      <c r="T857" s="140"/>
      <c r="U857" s="140"/>
      <c r="V857" s="140"/>
      <c r="W857" s="140"/>
      <c r="X857" s="140"/>
      <c r="Y857" s="140"/>
      <c r="Z857" s="140"/>
      <c r="AA857" s="140"/>
      <c r="AB857" s="140"/>
      <c r="AC857" s="140"/>
      <c r="AD857" s="140"/>
      <c r="AE857" s="140"/>
      <c r="AF857" s="140"/>
      <c r="AG857" s="140"/>
      <c r="AH857" s="140"/>
      <c r="AI857" s="140"/>
      <c r="AJ857" s="140"/>
      <c r="AK857" s="140"/>
      <c r="AL857" s="140"/>
      <c r="AM857" s="140"/>
      <c r="AN857" s="140"/>
      <c r="AO857" s="140"/>
      <c r="AP857" s="140"/>
      <c r="AQ857" s="140"/>
      <c r="AR857" s="140"/>
      <c r="AS857" s="140"/>
      <c r="AT857" s="140"/>
      <c r="AU857" s="140"/>
      <c r="AV857" s="140"/>
      <c r="AW857" s="140"/>
      <c r="AX857" s="140"/>
      <c r="AY857" s="140"/>
      <c r="AZ857" s="140"/>
      <c r="BA857" s="140"/>
      <c r="BB857" s="140"/>
      <c r="BC857" s="140"/>
      <c r="BD857" s="140"/>
      <c r="BE857" s="140"/>
      <c r="BF857" s="140"/>
      <c r="BG857" s="140"/>
      <c r="BH857" s="140"/>
      <c r="BI857" s="140"/>
      <c r="BJ857" s="140"/>
      <c r="BK857" s="140"/>
      <c r="BL857" s="140"/>
      <c r="BM857" s="140"/>
      <c r="BN857" s="140"/>
      <c r="BO857" s="140"/>
      <c r="BP857" s="140"/>
      <c r="BQ857" s="140"/>
      <c r="BR857" s="140"/>
      <c r="BS857" s="140"/>
      <c r="BT857" s="140"/>
      <c r="BU857" s="140"/>
      <c r="BV857" s="140"/>
      <c r="BW857" s="140"/>
      <c r="BX857" s="140"/>
      <c r="BY857" s="140"/>
      <c r="BZ857" s="140"/>
      <c r="CA857" s="140"/>
      <c r="CB857" s="140"/>
      <c r="CC857" s="140"/>
      <c r="CD857" s="140"/>
      <c r="CE857" s="140"/>
      <c r="CF857" s="140"/>
      <c r="CG857" s="140"/>
      <c r="CH857" s="140"/>
      <c r="CI857" s="140"/>
      <c r="CJ857" s="140"/>
      <c r="CK857" s="140"/>
      <c r="CL857" s="140"/>
      <c r="CM857" s="140"/>
      <c r="CN857" s="140"/>
      <c r="FJ857" s="140"/>
      <c r="FK857" s="140"/>
      <c r="FL857" s="140"/>
      <c r="FM857" s="140"/>
      <c r="FN857" s="140"/>
      <c r="FO857" s="140"/>
      <c r="FP857" s="140"/>
      <c r="FQ857" s="140"/>
      <c r="FR857" s="140"/>
      <c r="FS857" s="140"/>
      <c r="FT857" s="140"/>
      <c r="FU857" s="140"/>
      <c r="FV857" s="140"/>
      <c r="FW857" s="140"/>
      <c r="FX857" s="140"/>
      <c r="FY857" s="140"/>
      <c r="FZ857" s="140"/>
      <c r="GA857" s="140"/>
      <c r="GB857" s="140"/>
      <c r="GC857" s="140"/>
      <c r="GD857" s="140"/>
      <c r="GE857" s="140"/>
      <c r="GF857" s="140"/>
      <c r="GG857" s="140"/>
      <c r="GH857" s="140"/>
      <c r="GI857" s="140"/>
      <c r="GJ857" s="140"/>
      <c r="GK857" s="140"/>
      <c r="GL857" s="140"/>
      <c r="GM857" s="140"/>
      <c r="GN857" s="140"/>
      <c r="GO857" s="140"/>
      <c r="GP857" s="140"/>
      <c r="GQ857" s="140"/>
      <c r="GR857" s="140"/>
      <c r="GS857" s="140"/>
      <c r="GT857" s="140"/>
      <c r="GU857" s="140"/>
      <c r="GV857" s="140"/>
      <c r="GW857" s="140"/>
      <c r="GX857" s="140"/>
      <c r="GY857" s="140"/>
      <c r="GZ857" s="140"/>
      <c r="HA857" s="140"/>
      <c r="HB857" s="140"/>
      <c r="HC857" s="140"/>
      <c r="HD857" s="140"/>
      <c r="HE857" s="140"/>
      <c r="HF857" s="140"/>
      <c r="HG857" s="140"/>
      <c r="HH857" s="140"/>
      <c r="HI857" s="140"/>
      <c r="HJ857" s="140"/>
      <c r="HK857" s="140"/>
      <c r="HL857" s="140"/>
      <c r="HM857" s="140"/>
      <c r="HN857" s="140"/>
      <c r="HO857" s="140"/>
      <c r="HP857" s="140"/>
      <c r="HQ857" s="140"/>
      <c r="HR857" s="140"/>
      <c r="HS857" s="140"/>
      <c r="HT857" s="140"/>
      <c r="HU857" s="140"/>
      <c r="HV857" s="140"/>
      <c r="HW857" s="140"/>
      <c r="HX857" s="140"/>
      <c r="HY857" s="140"/>
      <c r="HZ857" s="140"/>
      <c r="IA857" s="140"/>
      <c r="IB857" s="140"/>
      <c r="IC857" s="140"/>
      <c r="ID857" s="140"/>
      <c r="IE857" s="140"/>
      <c r="IF857" s="140"/>
      <c r="IG857" s="140"/>
      <c r="IH857" s="140"/>
      <c r="II857" s="140"/>
      <c r="IJ857" s="140"/>
      <c r="IK857" s="140"/>
      <c r="IL857" s="140"/>
      <c r="IM857" s="140"/>
      <c r="IN857" s="140"/>
      <c r="IO857" s="140"/>
      <c r="IP857" s="140"/>
      <c r="IQ857" s="140"/>
      <c r="IR857" s="140"/>
      <c r="IS857" s="140"/>
      <c r="IT857" s="140"/>
      <c r="IU857" s="140"/>
      <c r="IV857" s="140"/>
      <c r="IW857" s="140"/>
      <c r="IX857" s="140"/>
      <c r="IY857" s="140"/>
      <c r="IZ857" s="140"/>
      <c r="JA857" s="140"/>
      <c r="JB857" s="140"/>
      <c r="JC857" s="140"/>
      <c r="JD857" s="140"/>
      <c r="JE857" s="140"/>
      <c r="JF857" s="140"/>
      <c r="JG857" s="140"/>
      <c r="JH857" s="140"/>
      <c r="JI857" s="140"/>
      <c r="JJ857" s="140"/>
      <c r="JK857" s="140"/>
      <c r="JL857" s="140"/>
      <c r="JM857" s="140"/>
      <c r="JN857" s="140"/>
      <c r="JO857" s="140"/>
      <c r="JP857" s="140"/>
      <c r="JQ857" s="140"/>
      <c r="JR857" s="140"/>
      <c r="JS857" s="140"/>
      <c r="JT857" s="140"/>
      <c r="JU857" s="140"/>
      <c r="JV857" s="140"/>
      <c r="JW857" s="140"/>
      <c r="JX857" s="140"/>
      <c r="JY857" s="140"/>
      <c r="JZ857" s="140"/>
      <c r="KA857" s="140"/>
      <c r="KB857" s="140"/>
      <c r="KC857" s="140"/>
      <c r="KD857" s="140"/>
      <c r="KE857" s="140"/>
      <c r="KF857" s="140"/>
      <c r="KG857" s="140"/>
      <c r="KH857" s="140"/>
      <c r="KI857" s="140"/>
      <c r="KJ857" s="140"/>
      <c r="KK857" s="140"/>
      <c r="KL857" s="140"/>
      <c r="KM857" s="140"/>
      <c r="KN857" s="140"/>
      <c r="KO857" s="140"/>
      <c r="KP857" s="140"/>
      <c r="KQ857" s="140"/>
      <c r="KR857" s="140"/>
      <c r="KS857" s="140"/>
      <c r="KT857" s="140"/>
      <c r="KU857" s="140"/>
      <c r="KV857" s="140"/>
      <c r="KW857" s="140"/>
      <c r="KX857" s="140"/>
      <c r="KY857" s="140"/>
      <c r="KZ857" s="140"/>
      <c r="LA857" s="140"/>
      <c r="LB857" s="140"/>
      <c r="LC857" s="140"/>
      <c r="LD857" s="140"/>
      <c r="LE857" s="140"/>
      <c r="LF857" s="140"/>
      <c r="LG857" s="140"/>
      <c r="LH857" s="140"/>
      <c r="LI857" s="140"/>
      <c r="LJ857" s="140"/>
      <c r="LK857" s="140"/>
      <c r="LL857" s="140"/>
      <c r="LM857" s="140"/>
      <c r="LN857" s="140"/>
      <c r="LO857" s="140"/>
      <c r="LP857" s="140"/>
      <c r="LQ857" s="140"/>
      <c r="LR857" s="140"/>
      <c r="LS857" s="140"/>
      <c r="LT857" s="140"/>
      <c r="LU857" s="140"/>
      <c r="LV857" s="140"/>
      <c r="LW857" s="140"/>
      <c r="LX857" s="140"/>
      <c r="LY857" s="140"/>
      <c r="LZ857" s="140"/>
      <c r="MA857" s="140"/>
      <c r="MB857" s="140"/>
      <c r="MC857" s="140"/>
      <c r="MD857" s="140"/>
      <c r="ME857" s="140"/>
      <c r="MF857" s="140"/>
      <c r="MG857" s="140"/>
      <c r="MH857" s="140"/>
      <c r="MI857" s="140"/>
      <c r="MJ857" s="140"/>
      <c r="MK857" s="140"/>
      <c r="ML857" s="140"/>
    </row>
    <row r="858" spans="3:350" s="4" customFormat="1" ht="18" customHeight="1" x14ac:dyDescent="0.3">
      <c r="H858" s="140"/>
      <c r="I858" s="140"/>
      <c r="J858" s="140"/>
      <c r="K858" s="140"/>
      <c r="L858" s="140"/>
      <c r="M858" s="140"/>
      <c r="N858" s="140"/>
      <c r="O858" s="140"/>
      <c r="P858" s="140"/>
      <c r="Q858" s="140"/>
      <c r="R858" s="140"/>
      <c r="S858" s="140"/>
      <c r="T858" s="140"/>
      <c r="U858" s="140"/>
      <c r="V858" s="140"/>
      <c r="W858" s="140"/>
      <c r="X858" s="140"/>
      <c r="Y858" s="140"/>
      <c r="Z858" s="140"/>
      <c r="AA858" s="140"/>
      <c r="AB858" s="140"/>
      <c r="AC858" s="140"/>
      <c r="AD858" s="140"/>
      <c r="AE858" s="140"/>
      <c r="AF858" s="140"/>
      <c r="AG858" s="140"/>
      <c r="AH858" s="140"/>
      <c r="AI858" s="140"/>
      <c r="AJ858" s="140"/>
      <c r="AK858" s="140"/>
      <c r="AL858" s="140"/>
      <c r="AM858" s="140"/>
      <c r="AN858" s="140"/>
      <c r="AO858" s="140"/>
      <c r="AP858" s="140"/>
      <c r="AQ858" s="140"/>
      <c r="AR858" s="140"/>
      <c r="AS858" s="140"/>
      <c r="AT858" s="140"/>
      <c r="AU858" s="140"/>
      <c r="AV858" s="140"/>
      <c r="AW858" s="140"/>
      <c r="AX858" s="140"/>
      <c r="AY858" s="140"/>
      <c r="AZ858" s="140"/>
      <c r="BA858" s="140"/>
      <c r="BB858" s="140"/>
      <c r="BC858" s="140"/>
      <c r="BD858" s="140"/>
      <c r="BE858" s="140"/>
      <c r="BF858" s="140"/>
      <c r="BG858" s="140"/>
      <c r="BH858" s="140"/>
      <c r="BI858" s="140"/>
      <c r="BJ858" s="140"/>
      <c r="BK858" s="140"/>
      <c r="BL858" s="140"/>
      <c r="BM858" s="140"/>
      <c r="BN858" s="140"/>
      <c r="BO858" s="140"/>
      <c r="BP858" s="140"/>
      <c r="BQ858" s="140"/>
      <c r="BR858" s="140"/>
      <c r="BS858" s="140"/>
      <c r="BT858" s="140"/>
      <c r="BU858" s="140"/>
      <c r="BV858" s="140"/>
      <c r="BW858" s="140"/>
      <c r="BX858" s="140"/>
      <c r="BY858" s="140"/>
      <c r="BZ858" s="140"/>
      <c r="CA858" s="140"/>
      <c r="CB858" s="140"/>
      <c r="CC858" s="140"/>
      <c r="CD858" s="140"/>
      <c r="CE858" s="140"/>
      <c r="CF858" s="140"/>
      <c r="CG858" s="140"/>
      <c r="CH858" s="140"/>
      <c r="CI858" s="140"/>
      <c r="CJ858" s="140"/>
      <c r="CK858" s="140"/>
      <c r="CL858" s="140"/>
      <c r="CM858" s="140"/>
      <c r="CN858" s="140"/>
      <c r="FJ858" s="140"/>
      <c r="FK858" s="140"/>
      <c r="FL858" s="140"/>
      <c r="FM858" s="140"/>
      <c r="FN858" s="140"/>
      <c r="FO858" s="140"/>
      <c r="FP858" s="140"/>
      <c r="FQ858" s="140"/>
      <c r="FR858" s="140"/>
      <c r="FS858" s="140"/>
      <c r="FT858" s="140"/>
      <c r="FU858" s="140"/>
      <c r="FV858" s="140"/>
      <c r="FW858" s="140"/>
      <c r="FX858" s="140"/>
      <c r="FY858" s="140"/>
      <c r="FZ858" s="140"/>
      <c r="GA858" s="140"/>
      <c r="GB858" s="140"/>
      <c r="GC858" s="140"/>
      <c r="GD858" s="140"/>
      <c r="GE858" s="140"/>
      <c r="GF858" s="140"/>
      <c r="GG858" s="140"/>
      <c r="GH858" s="140"/>
      <c r="GI858" s="140"/>
      <c r="GJ858" s="140"/>
      <c r="GK858" s="140"/>
      <c r="GL858" s="140"/>
      <c r="GM858" s="140"/>
      <c r="GN858" s="140"/>
      <c r="GO858" s="140"/>
      <c r="GP858" s="140"/>
      <c r="GQ858" s="140"/>
      <c r="GR858" s="140"/>
      <c r="GS858" s="140"/>
      <c r="GT858" s="140"/>
      <c r="GU858" s="140"/>
      <c r="GV858" s="140"/>
      <c r="GW858" s="140"/>
      <c r="GX858" s="140"/>
      <c r="GY858" s="140"/>
      <c r="GZ858" s="140"/>
      <c r="HA858" s="140"/>
      <c r="HB858" s="140"/>
      <c r="HC858" s="140"/>
      <c r="HD858" s="140"/>
      <c r="HE858" s="140"/>
      <c r="HF858" s="140"/>
      <c r="HG858" s="140"/>
      <c r="HH858" s="140"/>
      <c r="HI858" s="140"/>
      <c r="HJ858" s="140"/>
      <c r="HK858" s="140"/>
      <c r="HL858" s="140"/>
      <c r="HM858" s="140"/>
      <c r="HN858" s="140"/>
      <c r="HO858" s="140"/>
      <c r="HP858" s="140"/>
      <c r="HQ858" s="140"/>
      <c r="HR858" s="140"/>
      <c r="HS858" s="140"/>
      <c r="HT858" s="140"/>
      <c r="HU858" s="140"/>
      <c r="HV858" s="140"/>
      <c r="HW858" s="140"/>
      <c r="HX858" s="140"/>
      <c r="HY858" s="140"/>
      <c r="HZ858" s="140"/>
      <c r="IA858" s="140"/>
      <c r="IB858" s="140"/>
      <c r="IC858" s="140"/>
      <c r="ID858" s="140"/>
      <c r="IE858" s="140"/>
      <c r="IF858" s="140"/>
      <c r="IG858" s="140"/>
      <c r="IH858" s="140"/>
      <c r="II858" s="140"/>
      <c r="IJ858" s="140"/>
      <c r="IK858" s="140"/>
      <c r="IL858" s="140"/>
      <c r="IM858" s="140"/>
      <c r="IN858" s="140"/>
      <c r="IO858" s="140"/>
      <c r="IP858" s="140"/>
      <c r="IQ858" s="140"/>
      <c r="IR858" s="140"/>
      <c r="IS858" s="140"/>
      <c r="IT858" s="140"/>
      <c r="IU858" s="140"/>
      <c r="IV858" s="140"/>
      <c r="IW858" s="140"/>
      <c r="IX858" s="140"/>
      <c r="IY858" s="140"/>
      <c r="IZ858" s="140"/>
      <c r="JA858" s="140"/>
      <c r="JB858" s="140"/>
      <c r="JC858" s="140"/>
      <c r="JD858" s="140"/>
      <c r="JE858" s="140"/>
      <c r="JF858" s="140"/>
      <c r="JG858" s="140"/>
      <c r="JH858" s="140"/>
      <c r="JI858" s="140"/>
      <c r="JJ858" s="140"/>
      <c r="JK858" s="140"/>
      <c r="JL858" s="140"/>
      <c r="JM858" s="140"/>
      <c r="JN858" s="140"/>
      <c r="JO858" s="140"/>
      <c r="JP858" s="140"/>
      <c r="JQ858" s="140"/>
      <c r="JR858" s="140"/>
      <c r="JS858" s="140"/>
      <c r="JT858" s="140"/>
      <c r="JU858" s="140"/>
      <c r="JV858" s="140"/>
      <c r="JW858" s="140"/>
      <c r="JX858" s="140"/>
      <c r="JY858" s="140"/>
      <c r="JZ858" s="140"/>
      <c r="KA858" s="140"/>
      <c r="KB858" s="140"/>
      <c r="KC858" s="140"/>
      <c r="KD858" s="140"/>
      <c r="KE858" s="140"/>
      <c r="KF858" s="140"/>
      <c r="KG858" s="140"/>
      <c r="KH858" s="140"/>
      <c r="KI858" s="140"/>
      <c r="KJ858" s="140"/>
      <c r="KK858" s="140"/>
      <c r="KL858" s="140"/>
      <c r="KM858" s="140"/>
      <c r="KN858" s="140"/>
      <c r="KO858" s="140"/>
      <c r="KP858" s="140"/>
      <c r="KQ858" s="140"/>
      <c r="KR858" s="140"/>
      <c r="KS858" s="140"/>
      <c r="KT858" s="140"/>
      <c r="KU858" s="140"/>
      <c r="KV858" s="140"/>
      <c r="KW858" s="140"/>
      <c r="KX858" s="140"/>
      <c r="KY858" s="140"/>
      <c r="KZ858" s="140"/>
      <c r="LA858" s="140"/>
      <c r="LB858" s="140"/>
      <c r="LC858" s="140"/>
      <c r="LD858" s="140"/>
      <c r="LE858" s="140"/>
      <c r="LF858" s="140"/>
      <c r="LG858" s="140"/>
      <c r="LH858" s="140"/>
      <c r="LI858" s="140"/>
      <c r="LJ858" s="140"/>
      <c r="LK858" s="140"/>
      <c r="LL858" s="140"/>
      <c r="LM858" s="140"/>
      <c r="LN858" s="140"/>
      <c r="LO858" s="140"/>
      <c r="LP858" s="140"/>
      <c r="LQ858" s="140"/>
      <c r="LR858" s="140"/>
      <c r="LS858" s="140"/>
      <c r="LT858" s="140"/>
      <c r="LU858" s="140"/>
      <c r="LV858" s="140"/>
      <c r="LW858" s="140"/>
      <c r="LX858" s="140"/>
      <c r="LY858" s="140"/>
      <c r="LZ858" s="140"/>
      <c r="MA858" s="140"/>
      <c r="MB858" s="140"/>
      <c r="MC858" s="140"/>
      <c r="MD858" s="140"/>
      <c r="ME858" s="140"/>
      <c r="MF858" s="140"/>
      <c r="MG858" s="140"/>
      <c r="MH858" s="140"/>
      <c r="MI858" s="140"/>
      <c r="MJ858" s="140"/>
      <c r="MK858" s="140"/>
      <c r="ML858" s="140"/>
    </row>
    <row r="859" spans="3:350" s="4" customFormat="1" ht="18" customHeight="1" x14ac:dyDescent="0.3">
      <c r="H859" s="140"/>
      <c r="I859" s="140"/>
      <c r="J859" s="140"/>
      <c r="K859" s="140"/>
      <c r="L859" s="140"/>
      <c r="M859" s="140"/>
      <c r="N859" s="140"/>
      <c r="O859" s="140"/>
      <c r="P859" s="140"/>
      <c r="Q859" s="140"/>
      <c r="R859" s="140"/>
      <c r="S859" s="140"/>
      <c r="T859" s="140"/>
      <c r="U859" s="140"/>
      <c r="V859" s="140"/>
      <c r="W859" s="140"/>
      <c r="X859" s="140"/>
      <c r="Y859" s="140"/>
      <c r="Z859" s="140"/>
      <c r="AA859" s="140"/>
      <c r="AB859" s="140"/>
      <c r="AC859" s="140"/>
      <c r="AD859" s="140"/>
      <c r="AE859" s="140"/>
      <c r="AF859" s="140"/>
      <c r="AG859" s="140"/>
      <c r="AH859" s="140"/>
      <c r="AI859" s="140"/>
      <c r="AJ859" s="140"/>
      <c r="AK859" s="140"/>
      <c r="AL859" s="140"/>
      <c r="AM859" s="140"/>
      <c r="AN859" s="140"/>
      <c r="AO859" s="140"/>
      <c r="AP859" s="140"/>
      <c r="AQ859" s="140"/>
      <c r="AR859" s="140"/>
      <c r="AS859" s="140"/>
      <c r="AT859" s="140"/>
      <c r="AU859" s="140"/>
      <c r="AV859" s="140"/>
      <c r="AW859" s="140"/>
      <c r="AX859" s="140"/>
      <c r="AY859" s="140"/>
      <c r="AZ859" s="140"/>
      <c r="BA859" s="140"/>
      <c r="BB859" s="140"/>
      <c r="BC859" s="140"/>
      <c r="BD859" s="140"/>
      <c r="BE859" s="140"/>
      <c r="BF859" s="140"/>
      <c r="BG859" s="140"/>
      <c r="BH859" s="140"/>
      <c r="BI859" s="140"/>
      <c r="BJ859" s="140"/>
      <c r="BK859" s="140"/>
      <c r="BL859" s="140"/>
      <c r="BM859" s="140"/>
      <c r="BN859" s="140"/>
      <c r="BO859" s="140"/>
      <c r="BP859" s="140"/>
      <c r="BQ859" s="140"/>
      <c r="BR859" s="140"/>
      <c r="BS859" s="140"/>
      <c r="BT859" s="140"/>
      <c r="BU859" s="140"/>
      <c r="BV859" s="140"/>
      <c r="BW859" s="140"/>
      <c r="BX859" s="140"/>
      <c r="BY859" s="140"/>
      <c r="BZ859" s="140"/>
      <c r="CA859" s="140"/>
      <c r="CB859" s="140"/>
      <c r="CC859" s="140"/>
      <c r="CD859" s="140"/>
      <c r="CE859" s="140"/>
      <c r="CF859" s="140"/>
      <c r="CG859" s="140"/>
      <c r="CH859" s="140"/>
      <c r="CI859" s="140"/>
      <c r="CJ859" s="140"/>
      <c r="CK859" s="140"/>
      <c r="CL859" s="140"/>
      <c r="CM859" s="140"/>
      <c r="CN859" s="140"/>
      <c r="FJ859" s="140"/>
      <c r="FK859" s="140"/>
      <c r="FL859" s="140"/>
      <c r="FM859" s="140"/>
      <c r="FN859" s="140"/>
      <c r="FO859" s="140"/>
      <c r="FP859" s="140"/>
      <c r="FQ859" s="140"/>
      <c r="FR859" s="140"/>
      <c r="FS859" s="140"/>
      <c r="FT859" s="140"/>
      <c r="FU859" s="140"/>
      <c r="FV859" s="140"/>
      <c r="FW859" s="140"/>
      <c r="FX859" s="140"/>
      <c r="FY859" s="140"/>
      <c r="FZ859" s="140"/>
      <c r="GA859" s="140"/>
      <c r="GB859" s="140"/>
      <c r="GC859" s="140"/>
      <c r="GD859" s="140"/>
      <c r="GE859" s="140"/>
      <c r="GF859" s="140"/>
      <c r="GG859" s="140"/>
      <c r="GH859" s="140"/>
      <c r="GI859" s="140"/>
      <c r="GJ859" s="140"/>
      <c r="GK859" s="140"/>
      <c r="GL859" s="140"/>
      <c r="GM859" s="140"/>
      <c r="GN859" s="140"/>
      <c r="GO859" s="140"/>
      <c r="GP859" s="140"/>
      <c r="GQ859" s="140"/>
      <c r="GR859" s="140"/>
      <c r="GS859" s="140"/>
      <c r="GT859" s="140"/>
      <c r="GU859" s="140"/>
      <c r="GV859" s="140"/>
      <c r="GW859" s="140"/>
      <c r="GX859" s="140"/>
      <c r="GY859" s="140"/>
      <c r="GZ859" s="140"/>
      <c r="HA859" s="140"/>
      <c r="HB859" s="140"/>
      <c r="HC859" s="140"/>
      <c r="HD859" s="140"/>
      <c r="HE859" s="140"/>
      <c r="HF859" s="140"/>
      <c r="HG859" s="140"/>
      <c r="HH859" s="140"/>
      <c r="HI859" s="140"/>
      <c r="HJ859" s="140"/>
      <c r="HK859" s="140"/>
      <c r="HL859" s="140"/>
      <c r="HM859" s="140"/>
      <c r="HN859" s="140"/>
      <c r="HO859" s="140"/>
      <c r="HP859" s="140"/>
      <c r="HQ859" s="140"/>
      <c r="HR859" s="140"/>
      <c r="HS859" s="140"/>
      <c r="HT859" s="140"/>
      <c r="HU859" s="140"/>
      <c r="HV859" s="140"/>
      <c r="HW859" s="140"/>
      <c r="HX859" s="140"/>
      <c r="HY859" s="140"/>
      <c r="HZ859" s="140"/>
      <c r="IA859" s="140"/>
      <c r="IB859" s="140"/>
      <c r="IC859" s="140"/>
      <c r="ID859" s="140"/>
      <c r="IE859" s="140"/>
      <c r="IF859" s="140"/>
      <c r="IG859" s="140"/>
      <c r="IH859" s="140"/>
      <c r="II859" s="140"/>
      <c r="IJ859" s="140"/>
      <c r="IK859" s="140"/>
      <c r="IL859" s="140"/>
      <c r="IM859" s="140"/>
      <c r="IN859" s="140"/>
      <c r="IO859" s="140"/>
      <c r="IP859" s="140"/>
      <c r="IQ859" s="140"/>
      <c r="IR859" s="140"/>
      <c r="IS859" s="140"/>
      <c r="IT859" s="140"/>
      <c r="IU859" s="140"/>
      <c r="IV859" s="140"/>
      <c r="IW859" s="140"/>
      <c r="IX859" s="140"/>
      <c r="IY859" s="140"/>
      <c r="IZ859" s="140"/>
      <c r="JA859" s="140"/>
      <c r="JB859" s="140"/>
      <c r="JC859" s="140"/>
      <c r="JD859" s="140"/>
      <c r="JE859" s="140"/>
      <c r="JF859" s="140"/>
      <c r="JG859" s="140"/>
      <c r="JH859" s="140"/>
      <c r="JI859" s="140"/>
      <c r="JJ859" s="140"/>
      <c r="JK859" s="140"/>
      <c r="JL859" s="140"/>
      <c r="JM859" s="140"/>
      <c r="JN859" s="140"/>
      <c r="JO859" s="140"/>
      <c r="JP859" s="140"/>
      <c r="JQ859" s="140"/>
      <c r="JR859" s="140"/>
      <c r="JS859" s="140"/>
      <c r="JT859" s="140"/>
      <c r="JU859" s="140"/>
      <c r="JV859" s="140"/>
      <c r="JW859" s="140"/>
      <c r="JX859" s="140"/>
      <c r="JY859" s="140"/>
      <c r="JZ859" s="140"/>
      <c r="KA859" s="140"/>
      <c r="KB859" s="140"/>
      <c r="KC859" s="140"/>
      <c r="KD859" s="140"/>
      <c r="KE859" s="140"/>
      <c r="KF859" s="140"/>
      <c r="KG859" s="140"/>
      <c r="KH859" s="140"/>
      <c r="KI859" s="140"/>
      <c r="KJ859" s="140"/>
      <c r="KK859" s="140"/>
      <c r="KL859" s="140"/>
      <c r="KM859" s="140"/>
      <c r="KN859" s="140"/>
      <c r="KO859" s="140"/>
      <c r="KP859" s="140"/>
      <c r="KQ859" s="140"/>
      <c r="KR859" s="140"/>
      <c r="KS859" s="140"/>
      <c r="KT859" s="140"/>
      <c r="KU859" s="140"/>
      <c r="KV859" s="140"/>
      <c r="KW859" s="140"/>
      <c r="KX859" s="140"/>
      <c r="KY859" s="140"/>
      <c r="KZ859" s="140"/>
      <c r="LA859" s="140"/>
      <c r="LB859" s="140"/>
      <c r="LC859" s="140"/>
      <c r="LD859" s="140"/>
      <c r="LE859" s="140"/>
      <c r="LF859" s="140"/>
      <c r="LG859" s="140"/>
      <c r="LH859" s="140"/>
      <c r="LI859" s="140"/>
      <c r="LJ859" s="140"/>
      <c r="LK859" s="140"/>
      <c r="LL859" s="140"/>
      <c r="LM859" s="140"/>
      <c r="LN859" s="140"/>
      <c r="LO859" s="140"/>
      <c r="LP859" s="140"/>
      <c r="LQ859" s="140"/>
      <c r="LR859" s="140"/>
      <c r="LS859" s="140"/>
      <c r="LT859" s="140"/>
      <c r="LU859" s="140"/>
      <c r="LV859" s="140"/>
      <c r="LW859" s="140"/>
      <c r="LX859" s="140"/>
      <c r="LY859" s="140"/>
      <c r="LZ859" s="140"/>
      <c r="MA859" s="140"/>
      <c r="MB859" s="140"/>
      <c r="MC859" s="140"/>
      <c r="MD859" s="140"/>
      <c r="ME859" s="140"/>
      <c r="MF859" s="140"/>
      <c r="MG859" s="140"/>
      <c r="MH859" s="140"/>
      <c r="MI859" s="140"/>
      <c r="MJ859" s="140"/>
      <c r="MK859" s="140"/>
      <c r="ML859" s="140"/>
    </row>
    <row r="860" spans="3:350" s="4" customFormat="1" ht="18" customHeight="1" x14ac:dyDescent="0.3">
      <c r="H860" s="140"/>
      <c r="I860" s="140"/>
      <c r="J860" s="140"/>
      <c r="K860" s="140"/>
      <c r="L860" s="140"/>
      <c r="M860" s="140"/>
      <c r="N860" s="140"/>
      <c r="O860" s="140"/>
      <c r="P860" s="140"/>
      <c r="Q860" s="140"/>
      <c r="R860" s="140"/>
      <c r="S860" s="140"/>
      <c r="T860" s="140"/>
      <c r="U860" s="140"/>
      <c r="V860" s="140"/>
      <c r="W860" s="140"/>
      <c r="X860" s="140"/>
      <c r="Y860" s="140"/>
      <c r="Z860" s="140"/>
      <c r="AA860" s="140"/>
      <c r="AB860" s="140"/>
      <c r="AC860" s="140"/>
      <c r="AD860" s="140"/>
      <c r="AE860" s="140"/>
      <c r="AF860" s="140"/>
      <c r="AG860" s="140"/>
      <c r="AH860" s="140"/>
      <c r="AI860" s="140"/>
      <c r="AJ860" s="140"/>
      <c r="AK860" s="140"/>
      <c r="AL860" s="140"/>
      <c r="AM860" s="140"/>
      <c r="AN860" s="140"/>
      <c r="AO860" s="140"/>
      <c r="AP860" s="140"/>
      <c r="AQ860" s="140"/>
      <c r="AR860" s="140"/>
      <c r="AS860" s="140"/>
      <c r="AT860" s="140"/>
      <c r="AU860" s="140"/>
      <c r="AV860" s="140"/>
      <c r="AW860" s="140"/>
      <c r="AX860" s="140"/>
      <c r="AY860" s="140"/>
      <c r="AZ860" s="140"/>
      <c r="BA860" s="140"/>
      <c r="BB860" s="140"/>
      <c r="BC860" s="140"/>
      <c r="BD860" s="140"/>
      <c r="BE860" s="140"/>
      <c r="BF860" s="140"/>
      <c r="BG860" s="140"/>
      <c r="BH860" s="140"/>
      <c r="BI860" s="140"/>
      <c r="BJ860" s="140"/>
      <c r="BK860" s="140"/>
      <c r="BL860" s="140"/>
      <c r="BM860" s="140"/>
      <c r="BN860" s="140"/>
      <c r="BO860" s="140"/>
      <c r="BP860" s="140"/>
      <c r="BQ860" s="140"/>
      <c r="BR860" s="140"/>
      <c r="BS860" s="140"/>
      <c r="BT860" s="140"/>
      <c r="BU860" s="140"/>
      <c r="BV860" s="140"/>
      <c r="BW860" s="140"/>
      <c r="BX860" s="140"/>
      <c r="BY860" s="140"/>
      <c r="BZ860" s="140"/>
      <c r="CA860" s="140"/>
      <c r="CB860" s="140"/>
      <c r="CC860" s="140"/>
      <c r="CD860" s="140"/>
      <c r="CE860" s="140"/>
      <c r="CF860" s="140"/>
      <c r="CG860" s="140"/>
      <c r="CH860" s="140"/>
      <c r="CI860" s="140"/>
      <c r="CJ860" s="140"/>
      <c r="CK860" s="140"/>
      <c r="CL860" s="140"/>
      <c r="CM860" s="140"/>
      <c r="CN860" s="140"/>
      <c r="FJ860" s="140"/>
      <c r="FK860" s="140"/>
      <c r="FL860" s="140"/>
      <c r="FM860" s="140"/>
      <c r="FN860" s="140"/>
      <c r="FO860" s="140"/>
      <c r="FP860" s="140"/>
      <c r="FQ860" s="140"/>
      <c r="FR860" s="140"/>
      <c r="FS860" s="140"/>
      <c r="FT860" s="140"/>
      <c r="FU860" s="140"/>
      <c r="FV860" s="140"/>
      <c r="FW860" s="140"/>
      <c r="FX860" s="140"/>
      <c r="FY860" s="140"/>
      <c r="FZ860" s="140"/>
      <c r="GA860" s="140"/>
      <c r="GB860" s="140"/>
      <c r="GC860" s="140"/>
      <c r="GD860" s="140"/>
      <c r="GE860" s="140"/>
      <c r="GF860" s="140"/>
      <c r="GG860" s="140"/>
      <c r="GH860" s="140"/>
      <c r="GI860" s="140"/>
      <c r="GJ860" s="140"/>
      <c r="GK860" s="140"/>
      <c r="GL860" s="140"/>
      <c r="GM860" s="140"/>
      <c r="GN860" s="140"/>
      <c r="GO860" s="140"/>
      <c r="GP860" s="140"/>
      <c r="GQ860" s="140"/>
      <c r="GR860" s="140"/>
      <c r="GS860" s="140"/>
      <c r="GT860" s="140"/>
      <c r="GU860" s="140"/>
      <c r="GV860" s="140"/>
      <c r="GW860" s="140"/>
      <c r="GX860" s="140"/>
      <c r="GY860" s="140"/>
      <c r="GZ860" s="140"/>
      <c r="HA860" s="140"/>
      <c r="HB860" s="140"/>
      <c r="HC860" s="140"/>
      <c r="HD860" s="140"/>
      <c r="HE860" s="140"/>
      <c r="HF860" s="140"/>
      <c r="HG860" s="140"/>
      <c r="HH860" s="140"/>
      <c r="HI860" s="140"/>
      <c r="HJ860" s="140"/>
      <c r="HK860" s="140"/>
      <c r="HL860" s="140"/>
      <c r="HM860" s="140"/>
      <c r="HN860" s="140"/>
      <c r="HO860" s="140"/>
      <c r="HP860" s="140"/>
      <c r="HQ860" s="140"/>
      <c r="HR860" s="140"/>
      <c r="HS860" s="140"/>
      <c r="HT860" s="140"/>
      <c r="HU860" s="140"/>
      <c r="HV860" s="140"/>
      <c r="HW860" s="140"/>
      <c r="HX860" s="140"/>
      <c r="HY860" s="140"/>
      <c r="HZ860" s="140"/>
      <c r="IA860" s="140"/>
      <c r="IB860" s="140"/>
      <c r="IC860" s="140"/>
      <c r="ID860" s="140"/>
      <c r="IE860" s="140"/>
      <c r="IF860" s="140"/>
      <c r="IG860" s="140"/>
      <c r="IH860" s="140"/>
      <c r="II860" s="140"/>
      <c r="IJ860" s="140"/>
      <c r="IK860" s="140"/>
      <c r="IL860" s="140"/>
      <c r="IM860" s="140"/>
      <c r="IN860" s="140"/>
      <c r="IO860" s="140"/>
      <c r="IP860" s="140"/>
      <c r="IQ860" s="140"/>
      <c r="IR860" s="140"/>
      <c r="IS860" s="140"/>
      <c r="IT860" s="140"/>
      <c r="IU860" s="140"/>
      <c r="IV860" s="140"/>
      <c r="IW860" s="140"/>
      <c r="IX860" s="140"/>
      <c r="IY860" s="140"/>
      <c r="IZ860" s="140"/>
      <c r="JA860" s="140"/>
      <c r="JB860" s="140"/>
      <c r="JC860" s="140"/>
      <c r="JD860" s="140"/>
      <c r="JE860" s="140"/>
      <c r="JF860" s="140"/>
      <c r="JG860" s="140"/>
      <c r="JH860" s="140"/>
      <c r="JI860" s="140"/>
      <c r="JJ860" s="140"/>
      <c r="JK860" s="140"/>
      <c r="JL860" s="140"/>
      <c r="JM860" s="140"/>
      <c r="JN860" s="140"/>
      <c r="JO860" s="140"/>
      <c r="JP860" s="140"/>
      <c r="JQ860" s="140"/>
      <c r="JR860" s="140"/>
      <c r="JS860" s="140"/>
      <c r="JT860" s="140"/>
      <c r="JU860" s="140"/>
      <c r="JV860" s="140"/>
      <c r="JW860" s="140"/>
      <c r="JX860" s="140"/>
      <c r="JY860" s="140"/>
      <c r="JZ860" s="140"/>
      <c r="KA860" s="140"/>
      <c r="KB860" s="140"/>
      <c r="KC860" s="140"/>
      <c r="KD860" s="140"/>
      <c r="KE860" s="140"/>
      <c r="KF860" s="140"/>
      <c r="KG860" s="140"/>
      <c r="KH860" s="140"/>
      <c r="KI860" s="140"/>
      <c r="KJ860" s="140"/>
      <c r="KK860" s="140"/>
      <c r="KL860" s="140"/>
      <c r="KM860" s="140"/>
      <c r="KN860" s="140"/>
      <c r="KO860" s="140"/>
      <c r="KP860" s="140"/>
      <c r="KQ860" s="140"/>
      <c r="KR860" s="140"/>
      <c r="KS860" s="140"/>
      <c r="KT860" s="140"/>
      <c r="KU860" s="140"/>
      <c r="KV860" s="140"/>
      <c r="KW860" s="140"/>
      <c r="KX860" s="140"/>
      <c r="KY860" s="140"/>
      <c r="KZ860" s="140"/>
      <c r="LA860" s="140"/>
      <c r="LB860" s="140"/>
      <c r="LC860" s="140"/>
      <c r="LD860" s="140"/>
      <c r="LE860" s="140"/>
      <c r="LF860" s="140"/>
      <c r="LG860" s="140"/>
      <c r="LH860" s="140"/>
      <c r="LI860" s="140"/>
      <c r="LJ860" s="140"/>
      <c r="LK860" s="140"/>
      <c r="LL860" s="140"/>
      <c r="LM860" s="140"/>
      <c r="LN860" s="140"/>
      <c r="LO860" s="140"/>
      <c r="LP860" s="140"/>
      <c r="LQ860" s="140"/>
      <c r="LR860" s="140"/>
      <c r="LS860" s="140"/>
      <c r="LT860" s="140"/>
      <c r="LU860" s="140"/>
      <c r="LV860" s="140"/>
      <c r="LW860" s="140"/>
      <c r="LX860" s="140"/>
      <c r="LY860" s="140"/>
      <c r="LZ860" s="140"/>
      <c r="MA860" s="140"/>
      <c r="MB860" s="140"/>
      <c r="MC860" s="140"/>
      <c r="MD860" s="140"/>
      <c r="ME860" s="140"/>
      <c r="MF860" s="140"/>
      <c r="MG860" s="140"/>
      <c r="MH860" s="140"/>
      <c r="MI860" s="140"/>
      <c r="MJ860" s="140"/>
      <c r="MK860" s="140"/>
      <c r="ML860" s="140"/>
    </row>
    <row r="861" spans="3:350" s="4" customFormat="1" ht="15" customHeight="1" x14ac:dyDescent="0.3">
      <c r="H861" s="140"/>
      <c r="I861" s="140"/>
      <c r="J861" s="140"/>
      <c r="K861" s="140"/>
      <c r="L861" s="140"/>
      <c r="M861" s="140"/>
      <c r="N861" s="140"/>
      <c r="O861" s="140"/>
      <c r="P861" s="140"/>
      <c r="Q861" s="140"/>
      <c r="R861" s="140"/>
      <c r="S861" s="140"/>
      <c r="T861" s="140"/>
      <c r="U861" s="140"/>
      <c r="V861" s="140"/>
      <c r="W861" s="140"/>
      <c r="X861" s="140"/>
      <c r="Y861" s="140"/>
      <c r="Z861" s="140"/>
      <c r="AA861" s="140"/>
      <c r="AB861" s="140"/>
      <c r="AC861" s="140"/>
      <c r="AD861" s="140"/>
      <c r="AE861" s="140"/>
      <c r="AF861" s="140"/>
      <c r="AG861" s="140"/>
      <c r="AH861" s="140"/>
      <c r="AI861" s="140"/>
      <c r="AJ861" s="140"/>
      <c r="AK861" s="140"/>
      <c r="AL861" s="140"/>
      <c r="AM861" s="140"/>
      <c r="AN861" s="140"/>
      <c r="AO861" s="140"/>
      <c r="AP861" s="140"/>
      <c r="AQ861" s="140"/>
      <c r="AR861" s="140"/>
      <c r="AS861" s="140"/>
      <c r="AT861" s="140"/>
      <c r="AU861" s="140"/>
      <c r="AV861" s="140"/>
      <c r="AW861" s="140"/>
      <c r="AX861" s="140"/>
      <c r="AY861" s="140"/>
      <c r="AZ861" s="140"/>
      <c r="BA861" s="140"/>
      <c r="BB861" s="140"/>
      <c r="BC861" s="140"/>
      <c r="BD861" s="140"/>
      <c r="BE861" s="140"/>
      <c r="BF861" s="140"/>
      <c r="BG861" s="140"/>
      <c r="BH861" s="140"/>
      <c r="BI861" s="140"/>
      <c r="BJ861" s="140"/>
      <c r="BK861" s="140"/>
      <c r="BL861" s="140"/>
      <c r="BM861" s="140"/>
      <c r="BN861" s="140"/>
      <c r="BO861" s="140"/>
      <c r="BP861" s="140"/>
      <c r="BQ861" s="140"/>
      <c r="BR861" s="140"/>
      <c r="BS861" s="140"/>
      <c r="BT861" s="140"/>
      <c r="BU861" s="140"/>
      <c r="BV861" s="140"/>
      <c r="BW861" s="140"/>
      <c r="BX861" s="140"/>
      <c r="BY861" s="140"/>
      <c r="BZ861" s="140"/>
      <c r="CA861" s="140"/>
      <c r="CB861" s="140"/>
      <c r="CC861" s="140"/>
      <c r="CD861" s="140"/>
      <c r="CE861" s="140"/>
      <c r="CF861" s="140"/>
      <c r="CG861" s="140"/>
      <c r="CH861" s="140"/>
      <c r="CI861" s="140"/>
      <c r="CJ861" s="140"/>
      <c r="CK861" s="140"/>
      <c r="CL861" s="140"/>
      <c r="CM861" s="140"/>
      <c r="CN861" s="140"/>
      <c r="CO861" s="140"/>
      <c r="CP861" s="140"/>
      <c r="CQ861" s="140"/>
      <c r="CR861" s="140"/>
      <c r="CS861" s="140"/>
      <c r="CT861" s="140"/>
      <c r="CU861" s="140"/>
      <c r="CV861" s="140"/>
      <c r="CW861" s="140"/>
      <c r="CX861" s="140"/>
      <c r="CY861" s="140"/>
      <c r="CZ861" s="140"/>
      <c r="DA861" s="140"/>
      <c r="DB861" s="140"/>
      <c r="DC861" s="140"/>
      <c r="DD861" s="140"/>
      <c r="DE861" s="140"/>
      <c r="DF861" s="140"/>
      <c r="DG861" s="140"/>
      <c r="DH861" s="140"/>
      <c r="DI861" s="140"/>
      <c r="DJ861" s="140"/>
      <c r="DK861" s="140"/>
      <c r="DL861" s="140"/>
      <c r="DM861" s="140"/>
      <c r="DN861" s="140"/>
      <c r="DO861" s="140"/>
      <c r="DP861" s="140"/>
      <c r="DQ861" s="140"/>
      <c r="DR861" s="140"/>
      <c r="DS861" s="140"/>
      <c r="DT861" s="140"/>
      <c r="DU861" s="140"/>
      <c r="DV861" s="140"/>
      <c r="DW861" s="140"/>
      <c r="DX861" s="140"/>
      <c r="DY861" s="140"/>
      <c r="DZ861" s="140"/>
      <c r="EA861" s="140"/>
      <c r="EB861" s="140"/>
      <c r="EC861" s="140"/>
      <c r="ED861" s="140"/>
      <c r="EE861" s="140"/>
      <c r="EF861" s="140"/>
      <c r="EG861" s="140"/>
      <c r="EH861" s="140"/>
      <c r="EI861" s="140"/>
      <c r="EJ861" s="140"/>
      <c r="EK861" s="140"/>
      <c r="EL861" s="140"/>
      <c r="EM861" s="140"/>
      <c r="EN861" s="140"/>
      <c r="EO861" s="140"/>
      <c r="EP861" s="140"/>
      <c r="EQ861" s="140"/>
      <c r="ER861" s="140"/>
      <c r="ES861" s="140"/>
      <c r="ET861" s="140"/>
      <c r="EU861" s="140"/>
      <c r="EV861" s="140"/>
      <c r="EW861" s="140"/>
      <c r="EX861" s="140"/>
      <c r="EY861" s="140"/>
      <c r="EZ861" s="140"/>
      <c r="FA861" s="140"/>
      <c r="FB861" s="140"/>
      <c r="FC861" s="140"/>
      <c r="FD861" s="140"/>
      <c r="FE861" s="140"/>
      <c r="FF861" s="140"/>
      <c r="FG861" s="140"/>
      <c r="FH861" s="140"/>
      <c r="FI861" s="140"/>
      <c r="FJ861" s="140"/>
      <c r="FK861" s="140"/>
      <c r="FL861" s="140"/>
      <c r="FM861" s="140"/>
      <c r="FN861" s="140"/>
      <c r="FO861" s="140"/>
      <c r="FP861" s="140"/>
      <c r="FQ861" s="140"/>
      <c r="FR861" s="140"/>
      <c r="FS861" s="140"/>
      <c r="FT861" s="140"/>
      <c r="FU861" s="140"/>
      <c r="FV861" s="140"/>
      <c r="FW861" s="140"/>
      <c r="FX861" s="140"/>
      <c r="FY861" s="140"/>
      <c r="FZ861" s="140"/>
      <c r="GA861" s="140"/>
      <c r="GB861" s="140"/>
      <c r="GC861" s="140"/>
      <c r="GD861" s="140"/>
      <c r="GE861" s="140"/>
      <c r="GF861" s="140"/>
      <c r="GG861" s="140"/>
      <c r="GH861" s="140"/>
      <c r="GI861" s="140"/>
      <c r="GJ861" s="140"/>
      <c r="GK861" s="140"/>
      <c r="GL861" s="140"/>
      <c r="GM861" s="140"/>
      <c r="GN861" s="140"/>
      <c r="GO861" s="140"/>
      <c r="GP861" s="140"/>
      <c r="GQ861" s="140"/>
      <c r="GR861" s="140"/>
      <c r="GS861" s="140"/>
      <c r="GT861" s="140"/>
      <c r="GU861" s="140"/>
      <c r="GV861" s="140"/>
      <c r="GW861" s="140"/>
      <c r="GX861" s="140"/>
      <c r="GY861" s="140"/>
      <c r="GZ861" s="140"/>
      <c r="HA861" s="140"/>
      <c r="HB861" s="140"/>
      <c r="HC861" s="140"/>
      <c r="HD861" s="140"/>
      <c r="HE861" s="140"/>
      <c r="HF861" s="140"/>
      <c r="HG861" s="140"/>
      <c r="HH861" s="140"/>
      <c r="HI861" s="140"/>
      <c r="HJ861" s="140"/>
      <c r="HK861" s="140"/>
      <c r="HL861" s="140"/>
      <c r="HM861" s="140"/>
      <c r="HN861" s="140"/>
      <c r="HO861" s="140"/>
      <c r="HP861" s="140"/>
      <c r="HQ861" s="140"/>
      <c r="HR861" s="140"/>
      <c r="HS861" s="140"/>
      <c r="HT861" s="140"/>
      <c r="HU861" s="140"/>
      <c r="HV861" s="140"/>
      <c r="HW861" s="140"/>
      <c r="HX861" s="140"/>
      <c r="HY861" s="140"/>
      <c r="HZ861" s="140"/>
      <c r="IA861" s="140"/>
      <c r="IB861" s="140"/>
      <c r="IC861" s="140"/>
      <c r="ID861" s="140"/>
      <c r="IE861" s="140"/>
      <c r="IF861" s="140"/>
      <c r="IG861" s="140"/>
      <c r="IH861" s="140"/>
      <c r="II861" s="140"/>
      <c r="IJ861" s="140"/>
      <c r="IK861" s="140"/>
      <c r="IL861" s="140"/>
      <c r="IM861" s="140"/>
      <c r="IN861" s="140"/>
      <c r="IO861" s="140"/>
      <c r="IP861" s="140"/>
      <c r="IQ861" s="140"/>
      <c r="IR861" s="140"/>
      <c r="IS861" s="140"/>
      <c r="IT861" s="140"/>
      <c r="IU861" s="140"/>
      <c r="IV861" s="140"/>
      <c r="IW861" s="140"/>
      <c r="IX861" s="140"/>
      <c r="IY861" s="140"/>
      <c r="IZ861" s="140"/>
      <c r="JA861" s="140"/>
      <c r="JB861" s="140"/>
      <c r="JC861" s="140"/>
      <c r="JD861" s="140"/>
      <c r="JE861" s="140"/>
      <c r="JF861" s="140"/>
      <c r="JG861" s="140"/>
      <c r="JH861" s="140"/>
      <c r="JI861" s="140"/>
      <c r="JJ861" s="140"/>
      <c r="JK861" s="140"/>
      <c r="JL861" s="140"/>
      <c r="JM861" s="140"/>
      <c r="JN861" s="140"/>
      <c r="JO861" s="140"/>
      <c r="JP861" s="140"/>
      <c r="JQ861" s="140"/>
      <c r="JR861" s="140"/>
      <c r="JS861" s="140"/>
      <c r="JT861" s="140"/>
      <c r="JU861" s="140"/>
      <c r="JV861" s="140"/>
      <c r="JW861" s="140"/>
      <c r="JX861" s="140"/>
      <c r="JY861" s="140"/>
      <c r="JZ861" s="140"/>
      <c r="KA861" s="140"/>
      <c r="KB861" s="140"/>
      <c r="KC861" s="140"/>
      <c r="KD861" s="140"/>
      <c r="KE861" s="140"/>
      <c r="KF861" s="140"/>
      <c r="KG861" s="140"/>
      <c r="KH861" s="140"/>
      <c r="KI861" s="140"/>
      <c r="KJ861" s="140"/>
      <c r="KK861" s="140"/>
      <c r="KL861" s="140"/>
      <c r="KM861" s="140"/>
      <c r="KN861" s="140"/>
      <c r="KO861" s="140"/>
      <c r="KP861" s="140"/>
      <c r="KQ861" s="140"/>
      <c r="KR861" s="140"/>
      <c r="KS861" s="140"/>
      <c r="KT861" s="140"/>
      <c r="KU861" s="140"/>
      <c r="KV861" s="140"/>
      <c r="KW861" s="140"/>
      <c r="KX861" s="140"/>
      <c r="KY861" s="140"/>
      <c r="KZ861" s="140"/>
      <c r="LA861" s="140"/>
      <c r="LB861" s="140"/>
      <c r="LC861" s="140"/>
      <c r="LD861" s="140"/>
      <c r="LE861" s="140"/>
      <c r="LF861" s="140"/>
      <c r="LG861" s="140"/>
      <c r="LH861" s="140"/>
      <c r="LI861" s="140"/>
      <c r="LJ861" s="140"/>
      <c r="LK861" s="140"/>
      <c r="LL861" s="140"/>
      <c r="LM861" s="140"/>
      <c r="LN861" s="140"/>
      <c r="LO861" s="140"/>
      <c r="LP861" s="140"/>
      <c r="LQ861" s="140"/>
      <c r="LR861" s="140"/>
      <c r="LS861" s="140"/>
      <c r="LT861" s="140"/>
      <c r="LU861" s="140"/>
      <c r="LV861" s="140"/>
      <c r="LW861" s="140"/>
      <c r="LX861" s="140"/>
      <c r="LY861" s="140"/>
      <c r="LZ861" s="140"/>
      <c r="MA861" s="140"/>
      <c r="MB861" s="140"/>
      <c r="MC861" s="140"/>
      <c r="MD861" s="140"/>
      <c r="ME861" s="140"/>
      <c r="MF861" s="140"/>
      <c r="MG861" s="140"/>
      <c r="MH861" s="140"/>
      <c r="MI861" s="140"/>
      <c r="MJ861" s="140"/>
      <c r="MK861" s="140"/>
      <c r="ML861" s="140"/>
    </row>
    <row r="862" spans="3:350" s="4" customFormat="1" ht="15" customHeight="1" x14ac:dyDescent="0.3">
      <c r="H862" s="140"/>
      <c r="I862" s="140"/>
      <c r="J862" s="140"/>
      <c r="K862" s="140"/>
      <c r="L862" s="140"/>
      <c r="M862" s="140"/>
      <c r="N862" s="140"/>
      <c r="O862" s="140"/>
      <c r="P862" s="140"/>
      <c r="Q862" s="140"/>
      <c r="R862" s="140"/>
      <c r="S862" s="140"/>
      <c r="T862" s="140"/>
      <c r="U862" s="140"/>
      <c r="V862" s="140"/>
      <c r="W862" s="140"/>
      <c r="X862" s="140"/>
      <c r="Y862" s="140"/>
      <c r="Z862" s="140"/>
      <c r="AA862" s="140"/>
      <c r="AB862" s="140"/>
      <c r="AC862" s="140"/>
      <c r="AD862" s="140"/>
      <c r="AE862" s="140"/>
      <c r="AF862" s="140"/>
      <c r="AG862" s="140"/>
      <c r="AH862" s="140"/>
      <c r="AI862" s="140"/>
      <c r="AJ862" s="140"/>
      <c r="AK862" s="140"/>
      <c r="AL862" s="140"/>
      <c r="AM862" s="140"/>
      <c r="AN862" s="140"/>
      <c r="AO862" s="140"/>
      <c r="AP862" s="140"/>
      <c r="AQ862" s="140"/>
      <c r="AR862" s="140"/>
      <c r="AS862" s="140"/>
      <c r="AT862" s="140"/>
      <c r="AU862" s="140"/>
      <c r="AV862" s="140"/>
      <c r="AW862" s="140"/>
      <c r="AX862" s="140"/>
      <c r="AY862" s="140"/>
      <c r="AZ862" s="140"/>
      <c r="BA862" s="140"/>
      <c r="BB862" s="140"/>
      <c r="BC862" s="140"/>
      <c r="BD862" s="140"/>
      <c r="BE862" s="140"/>
      <c r="BF862" s="140"/>
      <c r="BG862" s="140"/>
      <c r="BH862" s="140"/>
      <c r="BI862" s="140"/>
      <c r="BJ862" s="140"/>
      <c r="BK862" s="140"/>
      <c r="BL862" s="140"/>
      <c r="BM862" s="140"/>
      <c r="BN862" s="140"/>
      <c r="BO862" s="140"/>
      <c r="BP862" s="140"/>
      <c r="BQ862" s="140"/>
      <c r="BR862" s="140"/>
      <c r="BS862" s="140"/>
      <c r="BT862" s="140"/>
      <c r="BU862" s="140"/>
      <c r="BV862" s="140"/>
      <c r="BW862" s="140"/>
      <c r="BX862" s="140"/>
      <c r="BY862" s="140"/>
      <c r="BZ862" s="140"/>
      <c r="CA862" s="140"/>
      <c r="CB862" s="140"/>
      <c r="CC862" s="140"/>
      <c r="CD862" s="140"/>
      <c r="CE862" s="140"/>
      <c r="CF862" s="140"/>
      <c r="CG862" s="140"/>
      <c r="CH862" s="140"/>
      <c r="CI862" s="140"/>
      <c r="CJ862" s="140"/>
      <c r="CK862" s="140"/>
      <c r="CL862" s="140"/>
      <c r="CM862" s="140"/>
      <c r="CN862" s="140"/>
      <c r="CO862" s="140"/>
      <c r="CP862" s="140"/>
      <c r="CQ862" s="140"/>
      <c r="CR862" s="140"/>
      <c r="CS862" s="140"/>
      <c r="CT862" s="140"/>
      <c r="CU862" s="140"/>
      <c r="CV862" s="140"/>
      <c r="CW862" s="140"/>
      <c r="CX862" s="140"/>
      <c r="CY862" s="140"/>
      <c r="CZ862" s="140"/>
      <c r="DA862" s="140"/>
      <c r="DB862" s="140"/>
      <c r="DC862" s="140"/>
      <c r="DD862" s="140"/>
      <c r="DE862" s="140"/>
      <c r="DF862" s="140"/>
      <c r="DG862" s="140"/>
      <c r="DH862" s="140"/>
      <c r="DI862" s="140"/>
      <c r="DJ862" s="140"/>
      <c r="DK862" s="140"/>
      <c r="DL862" s="140"/>
      <c r="DM862" s="140"/>
      <c r="DN862" s="140"/>
      <c r="DO862" s="140"/>
      <c r="DP862" s="140"/>
      <c r="DQ862" s="140"/>
      <c r="DR862" s="140"/>
      <c r="DS862" s="140"/>
      <c r="DT862" s="140"/>
      <c r="DU862" s="140"/>
      <c r="DV862" s="140"/>
      <c r="DW862" s="140"/>
      <c r="DX862" s="140"/>
      <c r="DY862" s="140"/>
      <c r="DZ862" s="140"/>
      <c r="EA862" s="140"/>
      <c r="EB862" s="140"/>
      <c r="EC862" s="140"/>
      <c r="ED862" s="140"/>
      <c r="EE862" s="140"/>
      <c r="EF862" s="140"/>
      <c r="EG862" s="140"/>
      <c r="EH862" s="140"/>
      <c r="EI862" s="140"/>
      <c r="EJ862" s="140"/>
      <c r="EK862" s="140"/>
      <c r="EL862" s="140"/>
      <c r="EM862" s="140"/>
      <c r="EN862" s="140"/>
      <c r="EO862" s="140"/>
      <c r="EP862" s="140"/>
      <c r="EQ862" s="140"/>
      <c r="ER862" s="140"/>
      <c r="ES862" s="140"/>
      <c r="ET862" s="140"/>
      <c r="EU862" s="140"/>
      <c r="EV862" s="140"/>
      <c r="EW862" s="140"/>
      <c r="EX862" s="140"/>
      <c r="EY862" s="140"/>
      <c r="EZ862" s="140"/>
      <c r="FA862" s="140"/>
      <c r="FB862" s="140"/>
      <c r="FC862" s="140"/>
      <c r="FD862" s="140"/>
      <c r="FE862" s="140"/>
      <c r="FF862" s="140"/>
      <c r="FG862" s="140"/>
      <c r="FH862" s="140"/>
      <c r="FI862" s="140"/>
      <c r="FJ862" s="140"/>
      <c r="FK862" s="140"/>
      <c r="FL862" s="140"/>
      <c r="FM862" s="140"/>
      <c r="FN862" s="140"/>
      <c r="FO862" s="140"/>
      <c r="FP862" s="140"/>
      <c r="FQ862" s="140"/>
      <c r="FR862" s="140"/>
      <c r="FS862" s="140"/>
      <c r="FT862" s="140"/>
      <c r="FU862" s="140"/>
      <c r="FV862" s="140"/>
      <c r="FW862" s="140"/>
      <c r="FX862" s="140"/>
      <c r="FY862" s="140"/>
      <c r="FZ862" s="140"/>
      <c r="GA862" s="140"/>
      <c r="GB862" s="140"/>
      <c r="GC862" s="140"/>
      <c r="GD862" s="140"/>
      <c r="GE862" s="140"/>
      <c r="GF862" s="140"/>
      <c r="GG862" s="140"/>
      <c r="GH862" s="140"/>
      <c r="GI862" s="140"/>
      <c r="GJ862" s="140"/>
      <c r="GK862" s="140"/>
      <c r="GL862" s="140"/>
      <c r="GM862" s="140"/>
      <c r="GN862" s="140"/>
      <c r="GO862" s="140"/>
      <c r="GP862" s="140"/>
      <c r="GQ862" s="140"/>
      <c r="GR862" s="140"/>
      <c r="GS862" s="140"/>
      <c r="GT862" s="140"/>
      <c r="GU862" s="140"/>
      <c r="GV862" s="140"/>
      <c r="GW862" s="140"/>
      <c r="GX862" s="140"/>
      <c r="GY862" s="140"/>
      <c r="GZ862" s="140"/>
      <c r="HA862" s="140"/>
      <c r="HB862" s="140"/>
      <c r="HC862" s="140"/>
      <c r="HD862" s="140"/>
      <c r="HE862" s="140"/>
      <c r="HF862" s="140"/>
      <c r="HG862" s="140"/>
      <c r="HH862" s="140"/>
      <c r="HI862" s="140"/>
      <c r="HJ862" s="140"/>
      <c r="HK862" s="140"/>
      <c r="HL862" s="140"/>
      <c r="HM862" s="140"/>
      <c r="HN862" s="140"/>
      <c r="HO862" s="140"/>
      <c r="HP862" s="140"/>
      <c r="HQ862" s="140"/>
      <c r="HR862" s="140"/>
      <c r="HS862" s="140"/>
      <c r="HT862" s="140"/>
      <c r="HU862" s="140"/>
      <c r="HV862" s="140"/>
      <c r="HW862" s="140"/>
      <c r="HX862" s="140"/>
      <c r="HY862" s="140"/>
      <c r="HZ862" s="140"/>
      <c r="IA862" s="140"/>
      <c r="IB862" s="140"/>
      <c r="IC862" s="140"/>
      <c r="ID862" s="140"/>
      <c r="IE862" s="140"/>
      <c r="IF862" s="140"/>
      <c r="IG862" s="140"/>
      <c r="IH862" s="140"/>
      <c r="II862" s="140"/>
      <c r="IJ862" s="140"/>
      <c r="IK862" s="140"/>
      <c r="IL862" s="140"/>
      <c r="IM862" s="140"/>
      <c r="IN862" s="140"/>
      <c r="IO862" s="140"/>
      <c r="IP862" s="140"/>
      <c r="IQ862" s="140"/>
      <c r="IR862" s="140"/>
      <c r="IS862" s="140"/>
      <c r="IT862" s="140"/>
      <c r="IU862" s="140"/>
      <c r="IV862" s="140"/>
      <c r="IW862" s="140"/>
      <c r="IX862" s="140"/>
      <c r="IY862" s="140"/>
      <c r="IZ862" s="140"/>
      <c r="JA862" s="140"/>
      <c r="JB862" s="140"/>
      <c r="JC862" s="140"/>
      <c r="JD862" s="140"/>
      <c r="JE862" s="140"/>
      <c r="JF862" s="140"/>
      <c r="JG862" s="140"/>
      <c r="JH862" s="140"/>
      <c r="JI862" s="140"/>
      <c r="JJ862" s="140"/>
      <c r="JK862" s="140"/>
      <c r="JL862" s="140"/>
      <c r="JM862" s="140"/>
      <c r="JN862" s="140"/>
      <c r="JO862" s="140"/>
      <c r="JP862" s="140"/>
      <c r="JQ862" s="140"/>
      <c r="JR862" s="140"/>
      <c r="JS862" s="140"/>
      <c r="JT862" s="140"/>
      <c r="JU862" s="140"/>
      <c r="JV862" s="140"/>
      <c r="JW862" s="140"/>
      <c r="JX862" s="140"/>
      <c r="JY862" s="140"/>
      <c r="JZ862" s="140"/>
      <c r="KA862" s="140"/>
      <c r="KB862" s="140"/>
      <c r="KC862" s="140"/>
      <c r="KD862" s="140"/>
      <c r="KE862" s="140"/>
      <c r="KF862" s="140"/>
      <c r="KG862" s="140"/>
      <c r="KH862" s="140"/>
      <c r="KI862" s="140"/>
      <c r="KJ862" s="140"/>
      <c r="KK862" s="140"/>
      <c r="KL862" s="140"/>
      <c r="KN862" s="140"/>
      <c r="KO862" s="140"/>
      <c r="KP862" s="140"/>
      <c r="KQ862" s="140"/>
      <c r="KR862" s="140"/>
      <c r="KS862" s="140"/>
      <c r="KT862" s="140"/>
      <c r="KU862" s="140"/>
      <c r="KV862" s="140"/>
      <c r="KW862" s="140"/>
      <c r="KX862" s="140"/>
      <c r="KY862" s="140"/>
      <c r="KZ862" s="140"/>
      <c r="LA862" s="140"/>
      <c r="LB862" s="140"/>
      <c r="LC862" s="140"/>
      <c r="LD862" s="140"/>
      <c r="LE862" s="140"/>
      <c r="LF862" s="140"/>
      <c r="LG862" s="140"/>
      <c r="LH862" s="140"/>
      <c r="LI862" s="140"/>
      <c r="LJ862" s="140"/>
      <c r="LK862" s="140"/>
      <c r="LL862" s="140"/>
      <c r="LM862" s="140"/>
      <c r="LN862" s="140"/>
      <c r="LO862" s="140"/>
      <c r="LP862" s="140"/>
      <c r="LQ862" s="140"/>
      <c r="LR862" s="140"/>
      <c r="LS862" s="140"/>
      <c r="LT862" s="140"/>
      <c r="LU862" s="140"/>
      <c r="LV862" s="140"/>
      <c r="LW862" s="140"/>
      <c r="LX862" s="140"/>
      <c r="LY862" s="140"/>
      <c r="LZ862" s="140"/>
      <c r="MA862" s="140"/>
      <c r="MB862" s="140"/>
      <c r="MC862" s="140"/>
      <c r="MD862" s="140"/>
      <c r="ME862" s="140"/>
      <c r="MF862" s="140"/>
      <c r="MG862" s="140"/>
      <c r="MH862" s="140"/>
      <c r="MI862" s="140"/>
      <c r="MJ862" s="140"/>
      <c r="MK862" s="140"/>
      <c r="ML862" s="140"/>
    </row>
    <row r="863" spans="3:350" ht="15" customHeight="1" x14ac:dyDescent="0.3"/>
    <row r="864" spans="3:350" ht="15" customHeight="1" x14ac:dyDescent="0.4">
      <c r="C864" s="213" t="s">
        <v>376</v>
      </c>
    </row>
    <row r="866" spans="1:350" x14ac:dyDescent="0.3">
      <c r="C866" s="79" t="s">
        <v>377</v>
      </c>
    </row>
    <row r="867" spans="1:350" x14ac:dyDescent="0.3">
      <c r="C867" s="79" t="s">
        <v>378</v>
      </c>
    </row>
    <row r="868" spans="1:350" x14ac:dyDescent="0.3">
      <c r="C868" s="78" t="s">
        <v>379</v>
      </c>
    </row>
    <row r="869" spans="1:350" x14ac:dyDescent="0.3">
      <c r="C869" s="78" t="s">
        <v>380</v>
      </c>
    </row>
    <row r="870" spans="1:350" x14ac:dyDescent="0.3">
      <c r="C870" s="79"/>
    </row>
    <row r="871" spans="1:350" x14ac:dyDescent="0.3">
      <c r="C871" s="79" t="s">
        <v>381</v>
      </c>
    </row>
    <row r="873" spans="1:350" x14ac:dyDescent="0.3">
      <c r="C873" s="120" t="s">
        <v>382</v>
      </c>
      <c r="H873" s="121" t="s">
        <v>100</v>
      </c>
    </row>
    <row r="874" spans="1:350" s="4" customFormat="1" ht="18" customHeight="1" x14ac:dyDescent="0.3">
      <c r="C874" s="131"/>
      <c r="D874" s="132"/>
      <c r="E874" s="133" t="s">
        <v>101</v>
      </c>
      <c r="F874" s="134" t="s">
        <v>102</v>
      </c>
      <c r="H874" s="135">
        <f t="shared" ref="H874:Q874" si="1247">H$1</f>
        <v>2015</v>
      </c>
      <c r="I874" s="133">
        <f t="shared" si="1247"/>
        <v>2016</v>
      </c>
      <c r="J874" s="133">
        <f t="shared" si="1247"/>
        <v>2017</v>
      </c>
      <c r="K874" s="133">
        <f t="shared" si="1247"/>
        <v>2018</v>
      </c>
      <c r="L874" s="133">
        <f t="shared" si="1247"/>
        <v>2019</v>
      </c>
      <c r="M874" s="133">
        <f t="shared" si="1247"/>
        <v>2020</v>
      </c>
      <c r="N874" s="133">
        <f t="shared" si="1247"/>
        <v>2021</v>
      </c>
      <c r="O874" s="133">
        <f t="shared" si="1247"/>
        <v>2022</v>
      </c>
      <c r="P874" s="133">
        <f t="shared" si="1247"/>
        <v>2023</v>
      </c>
      <c r="Q874" s="134">
        <f t="shared" si="1247"/>
        <v>2024</v>
      </c>
      <c r="S874"/>
      <c r="T874"/>
      <c r="U874"/>
      <c r="V874"/>
      <c r="W874"/>
      <c r="X874"/>
      <c r="Y874"/>
      <c r="Z874"/>
      <c r="AA874"/>
      <c r="AB874"/>
      <c r="AC874"/>
      <c r="AD874"/>
      <c r="AE874"/>
      <c r="AF874"/>
      <c r="AG874"/>
      <c r="AH874"/>
      <c r="AI874"/>
      <c r="AJ874"/>
      <c r="AK874"/>
      <c r="AL874"/>
      <c r="AM874"/>
      <c r="AN874"/>
      <c r="AO874"/>
      <c r="AP874"/>
      <c r="AQ874"/>
      <c r="AR874"/>
      <c r="AS874"/>
      <c r="AT874"/>
      <c r="AU874"/>
      <c r="AV874"/>
      <c r="AW874"/>
      <c r="AX874"/>
      <c r="AY874"/>
      <c r="AZ874"/>
      <c r="BA874"/>
      <c r="BB874"/>
      <c r="BC874"/>
      <c r="BD874"/>
      <c r="BE874"/>
      <c r="BF874"/>
      <c r="BG874"/>
      <c r="BH874"/>
      <c r="BI874"/>
      <c r="BJ874"/>
      <c r="BK874"/>
      <c r="BL874"/>
      <c r="BM874"/>
      <c r="BN874"/>
      <c r="BO874"/>
      <c r="BP874"/>
      <c r="BQ874"/>
      <c r="BR874"/>
      <c r="BS874"/>
      <c r="BT874"/>
      <c r="BU874"/>
      <c r="BV874"/>
      <c r="BW874"/>
      <c r="BX874"/>
      <c r="BY874"/>
      <c r="BZ874"/>
      <c r="CA874"/>
      <c r="CB874"/>
      <c r="CC874"/>
      <c r="CD874"/>
      <c r="CE874"/>
      <c r="CF874"/>
      <c r="CG874"/>
      <c r="CH874"/>
      <c r="CI874"/>
      <c r="CJ874"/>
      <c r="CK874"/>
      <c r="CL874"/>
      <c r="CM874"/>
      <c r="CN874"/>
      <c r="CO874"/>
      <c r="CP874"/>
      <c r="CQ874"/>
      <c r="CR874"/>
      <c r="CS874"/>
      <c r="CT874"/>
      <c r="CU874"/>
      <c r="CV874"/>
      <c r="CW874"/>
      <c r="CX874"/>
      <c r="CY874"/>
      <c r="CZ874"/>
      <c r="DA874"/>
      <c r="DB874"/>
      <c r="DC874"/>
      <c r="DD874"/>
      <c r="DE874"/>
      <c r="DF874"/>
      <c r="DG874"/>
      <c r="DH874"/>
      <c r="DI874"/>
      <c r="DJ874"/>
      <c r="DK874"/>
      <c r="DL874"/>
      <c r="DM874"/>
      <c r="DN874"/>
      <c r="DO874"/>
      <c r="DP874"/>
      <c r="DQ874"/>
      <c r="DR874"/>
      <c r="DS874"/>
      <c r="DT874"/>
      <c r="DU874"/>
      <c r="DV874"/>
      <c r="DW874"/>
      <c r="DX874"/>
      <c r="DY874"/>
      <c r="DZ874"/>
      <c r="EA874"/>
      <c r="EB874"/>
      <c r="EC874"/>
      <c r="ED874"/>
      <c r="EE874"/>
      <c r="EF874"/>
      <c r="EG874"/>
      <c r="EH874"/>
      <c r="EI874"/>
      <c r="EJ874"/>
      <c r="EK874"/>
      <c r="EL874"/>
      <c r="EM874"/>
      <c r="EN874"/>
      <c r="EO874"/>
      <c r="EP874"/>
      <c r="EQ874"/>
      <c r="ER874"/>
      <c r="ES874"/>
      <c r="ET874"/>
      <c r="EU874"/>
      <c r="EV874"/>
      <c r="EW874"/>
      <c r="EX874"/>
      <c r="EY874"/>
      <c r="EZ874"/>
      <c r="FA874"/>
      <c r="FB874"/>
      <c r="FC874"/>
      <c r="FD874"/>
      <c r="FE874"/>
      <c r="FF874"/>
      <c r="FG874"/>
      <c r="FH874"/>
      <c r="FI874"/>
      <c r="FJ874"/>
      <c r="FK874"/>
      <c r="FL874"/>
      <c r="FM874"/>
      <c r="FN874"/>
      <c r="FO874"/>
      <c r="FP874"/>
      <c r="FQ874"/>
      <c r="FR874"/>
      <c r="FS874"/>
      <c r="FT874"/>
      <c r="FU874"/>
      <c r="FV874"/>
      <c r="FW874"/>
      <c r="FX874"/>
      <c r="FY874"/>
      <c r="FZ874"/>
      <c r="GA874"/>
      <c r="GB874"/>
      <c r="GC874"/>
      <c r="GD874"/>
      <c r="GE874"/>
      <c r="GF874"/>
      <c r="GG874"/>
      <c r="GH874"/>
      <c r="GI874"/>
      <c r="GJ874"/>
      <c r="GK874"/>
      <c r="GL874"/>
      <c r="GM874"/>
      <c r="GN874"/>
      <c r="GO874"/>
      <c r="GP874"/>
      <c r="GQ874"/>
      <c r="GR874"/>
      <c r="GS874"/>
      <c r="GT874"/>
      <c r="GU874"/>
      <c r="GV874"/>
      <c r="GW874"/>
      <c r="GX874"/>
      <c r="GY874"/>
      <c r="GZ874"/>
      <c r="HA874"/>
      <c r="HB874"/>
      <c r="HC874"/>
      <c r="HD874"/>
      <c r="HE874"/>
      <c r="HF874"/>
      <c r="HG874"/>
      <c r="HH874"/>
      <c r="HI874"/>
      <c r="HJ874"/>
      <c r="HK874"/>
      <c r="HL874"/>
      <c r="HM874"/>
      <c r="HN874"/>
      <c r="HO874"/>
      <c r="HP874"/>
      <c r="HQ874"/>
      <c r="HR874"/>
      <c r="HS874"/>
      <c r="HT874"/>
      <c r="HU874"/>
      <c r="HV874"/>
      <c r="HW874"/>
      <c r="HX874"/>
      <c r="HY874"/>
      <c r="HZ874"/>
      <c r="IA874"/>
      <c r="IB874"/>
      <c r="IC874"/>
      <c r="ID874"/>
      <c r="IE874"/>
      <c r="IF874"/>
      <c r="IG874"/>
      <c r="IH874"/>
      <c r="II874"/>
      <c r="IJ874"/>
      <c r="IK874"/>
      <c r="IL874"/>
      <c r="IM874"/>
      <c r="IN874"/>
      <c r="IO874"/>
      <c r="IP874"/>
      <c r="IQ874"/>
      <c r="IR874"/>
      <c r="IS874"/>
      <c r="IT874"/>
      <c r="IU874"/>
      <c r="IV874"/>
      <c r="IW874"/>
      <c r="IX874"/>
      <c r="IY874"/>
      <c r="IZ874"/>
      <c r="JA874"/>
      <c r="JB874"/>
      <c r="JC874"/>
      <c r="JD874"/>
      <c r="JE874"/>
      <c r="JF874"/>
      <c r="JG874"/>
      <c r="JH874"/>
      <c r="JI874"/>
      <c r="JJ874"/>
      <c r="JK874"/>
      <c r="JL874"/>
      <c r="JM874"/>
      <c r="JN874"/>
      <c r="JO874"/>
      <c r="JP874"/>
      <c r="JQ874"/>
      <c r="JR874"/>
      <c r="JS874"/>
      <c r="JT874"/>
      <c r="JU874"/>
      <c r="JV874"/>
      <c r="JW874"/>
      <c r="JX874"/>
      <c r="JY874"/>
      <c r="JZ874"/>
      <c r="KA874"/>
      <c r="KB874"/>
      <c r="KC874"/>
      <c r="KD874"/>
      <c r="KE874"/>
      <c r="KF874"/>
      <c r="KG874"/>
      <c r="KH874"/>
      <c r="KI874"/>
      <c r="KJ874"/>
      <c r="KK874"/>
      <c r="KL874"/>
      <c r="KM874"/>
      <c r="KN874"/>
      <c r="KO874"/>
      <c r="KP874"/>
      <c r="KQ874"/>
      <c r="KR874"/>
      <c r="KS874"/>
      <c r="KT874"/>
      <c r="KU874"/>
      <c r="KV874"/>
      <c r="KW874"/>
      <c r="KX874"/>
      <c r="KY874"/>
      <c r="KZ874"/>
      <c r="LA874"/>
      <c r="LB874"/>
      <c r="LC874"/>
      <c r="LD874"/>
      <c r="LE874"/>
      <c r="LF874"/>
      <c r="LG874"/>
      <c r="LH874"/>
      <c r="LI874"/>
      <c r="LJ874"/>
      <c r="LK874"/>
      <c r="LL874"/>
      <c r="LM874"/>
      <c r="LN874"/>
      <c r="LO874"/>
      <c r="LP874"/>
      <c r="LQ874"/>
      <c r="LR874"/>
      <c r="LS874"/>
      <c r="LT874"/>
      <c r="LU874"/>
      <c r="LV874"/>
      <c r="LW874"/>
      <c r="LX874"/>
      <c r="LY874"/>
      <c r="LZ874"/>
      <c r="MA874"/>
      <c r="MB874"/>
      <c r="MC874"/>
      <c r="MD874"/>
      <c r="ME874"/>
      <c r="MF874"/>
      <c r="MG874"/>
      <c r="MH874"/>
      <c r="MI874"/>
      <c r="MJ874"/>
      <c r="MK874"/>
      <c r="ML874"/>
    </row>
    <row r="875" spans="1:350" s="4" customFormat="1" ht="18" customHeight="1" x14ac:dyDescent="0.3">
      <c r="A875" s="344" t="s">
        <v>383</v>
      </c>
      <c r="B875" s="345" t="s">
        <v>384</v>
      </c>
      <c r="C875" s="185" t="s">
        <v>385</v>
      </c>
      <c r="E875" s="137" t="s">
        <v>386</v>
      </c>
      <c r="F875" s="138"/>
      <c r="H875" s="139">
        <v>3087.2060780984966</v>
      </c>
      <c r="I875" s="140">
        <v>3456.4777236255359</v>
      </c>
      <c r="J875" s="140">
        <v>3874.5778865992015</v>
      </c>
      <c r="K875" s="140">
        <v>3881.1610210775498</v>
      </c>
      <c r="L875" s="140">
        <v>3977.4292620133392</v>
      </c>
      <c r="M875" s="140">
        <v>3788.1794858941057</v>
      </c>
      <c r="N875" s="140">
        <v>4852.2666862373444</v>
      </c>
      <c r="O875" s="140">
        <v>5313.5780290035855</v>
      </c>
      <c r="P875" s="140">
        <v>5744.0406488353929</v>
      </c>
      <c r="Q875" s="141"/>
      <c r="R875" s="140"/>
      <c r="S875"/>
      <c r="T875"/>
      <c r="U875"/>
      <c r="V875"/>
      <c r="W875"/>
      <c r="X875"/>
      <c r="Y875"/>
      <c r="Z875"/>
      <c r="AA875"/>
      <c r="AB875"/>
      <c r="AC875"/>
      <c r="AD875"/>
      <c r="AE875"/>
      <c r="AF875"/>
      <c r="AG875"/>
      <c r="AH875"/>
      <c r="AI875"/>
      <c r="AJ875"/>
      <c r="AK875"/>
      <c r="AL875"/>
      <c r="AM875"/>
      <c r="AN875"/>
      <c r="AO875"/>
      <c r="AP875"/>
      <c r="AQ875"/>
      <c r="AR875"/>
      <c r="AS875"/>
      <c r="AT875"/>
      <c r="AU875"/>
      <c r="AV875"/>
      <c r="AW875"/>
      <c r="AX875"/>
      <c r="AY875"/>
      <c r="AZ875"/>
      <c r="BA875"/>
      <c r="BB875"/>
      <c r="BC875"/>
      <c r="BD875"/>
      <c r="BE875"/>
      <c r="BF875"/>
      <c r="BG875"/>
      <c r="BH875"/>
      <c r="BI875"/>
      <c r="BJ875"/>
      <c r="BK875"/>
      <c r="BL875"/>
      <c r="BM875"/>
      <c r="BN875"/>
      <c r="BO875"/>
      <c r="BP875"/>
      <c r="BQ875"/>
      <c r="BR875"/>
      <c r="BS875"/>
      <c r="BT875"/>
      <c r="BU875"/>
      <c r="BV875"/>
      <c r="BW875"/>
      <c r="BX875"/>
      <c r="BY875"/>
      <c r="BZ875"/>
      <c r="CA875"/>
      <c r="CB875"/>
      <c r="CC875"/>
      <c r="CD875"/>
      <c r="CE875"/>
      <c r="CF875"/>
      <c r="CG875"/>
      <c r="CH875"/>
      <c r="CI875"/>
      <c r="CJ875"/>
      <c r="CK875"/>
      <c r="CL875"/>
      <c r="CM875"/>
      <c r="CN875"/>
      <c r="CO875"/>
      <c r="CP875"/>
      <c r="CQ875"/>
      <c r="CR875"/>
      <c r="CS875"/>
      <c r="CT875"/>
      <c r="CU875"/>
      <c r="CV875"/>
      <c r="CW875"/>
      <c r="CX875"/>
      <c r="CY875"/>
      <c r="CZ875"/>
      <c r="DA875"/>
      <c r="DB875"/>
      <c r="DC875"/>
      <c r="DD875"/>
      <c r="DE875"/>
      <c r="DF875"/>
      <c r="DG875"/>
      <c r="DH875"/>
      <c r="DI875"/>
      <c r="DJ875"/>
      <c r="DK875"/>
      <c r="DL875"/>
      <c r="DM875"/>
      <c r="DN875"/>
      <c r="DO875"/>
      <c r="DP875"/>
      <c r="DQ875"/>
      <c r="DR875"/>
      <c r="DS875"/>
      <c r="DT875"/>
      <c r="DU875"/>
      <c r="DV875"/>
      <c r="DW875"/>
      <c r="DX875"/>
      <c r="DY875"/>
      <c r="DZ875"/>
      <c r="EA875"/>
      <c r="EB875"/>
      <c r="EC875"/>
      <c r="ED875"/>
      <c r="EE875"/>
      <c r="EF875"/>
      <c r="EG875"/>
      <c r="EH875"/>
      <c r="EI875"/>
      <c r="EJ875"/>
      <c r="EK875"/>
      <c r="EL875"/>
      <c r="EM875"/>
      <c r="EN875"/>
      <c r="EO875"/>
      <c r="EP875"/>
      <c r="EQ875"/>
      <c r="ER875"/>
      <c r="ES875"/>
      <c r="ET875"/>
      <c r="EU875"/>
      <c r="EV875"/>
      <c r="EW875"/>
      <c r="EX875"/>
      <c r="EY875"/>
      <c r="EZ875"/>
      <c r="FA875"/>
      <c r="FB875"/>
      <c r="FC875"/>
      <c r="FD875"/>
      <c r="FE875"/>
      <c r="FF875"/>
      <c r="FG875"/>
      <c r="FH875"/>
      <c r="FI875"/>
      <c r="FJ875"/>
      <c r="FK875"/>
      <c r="FL875"/>
      <c r="FM875"/>
      <c r="FN875"/>
      <c r="FO875"/>
      <c r="FP875"/>
      <c r="FQ875"/>
      <c r="FR875"/>
      <c r="FS875"/>
      <c r="FT875"/>
      <c r="FU875"/>
      <c r="FV875"/>
      <c r="FW875"/>
      <c r="FX875"/>
      <c r="FY875"/>
      <c r="FZ875"/>
      <c r="GA875"/>
      <c r="GB875"/>
      <c r="GC875"/>
      <c r="GD875"/>
      <c r="GE875"/>
      <c r="GF875"/>
      <c r="GG875"/>
      <c r="GH875"/>
      <c r="GI875"/>
      <c r="GJ875"/>
      <c r="GK875"/>
      <c r="GL875"/>
      <c r="GM875"/>
      <c r="GN875"/>
      <c r="GO875"/>
      <c r="GP875"/>
      <c r="GQ875"/>
      <c r="GR875"/>
      <c r="GS875"/>
      <c r="GT875"/>
      <c r="GU875"/>
      <c r="GV875"/>
      <c r="GW875"/>
      <c r="GX875"/>
      <c r="GY875"/>
      <c r="GZ875"/>
      <c r="HA875"/>
      <c r="HB875"/>
      <c r="HC875"/>
      <c r="HD875"/>
      <c r="HE875"/>
      <c r="HF875"/>
      <c r="HG875"/>
      <c r="HH875"/>
      <c r="HI875"/>
      <c r="HJ875"/>
      <c r="HK875"/>
      <c r="HL875"/>
      <c r="HM875"/>
      <c r="HN875"/>
      <c r="HO875"/>
      <c r="HP875"/>
      <c r="HQ875"/>
      <c r="HR875"/>
      <c r="HS875"/>
      <c r="HT875"/>
      <c r="HU875"/>
      <c r="HV875"/>
      <c r="HW875"/>
      <c r="HX875"/>
      <c r="HY875"/>
      <c r="HZ875"/>
      <c r="IA875"/>
      <c r="IB875"/>
      <c r="IC875"/>
      <c r="ID875"/>
      <c r="IE875"/>
      <c r="IF875"/>
      <c r="IG875"/>
      <c r="IH875"/>
      <c r="II875"/>
      <c r="IJ875"/>
      <c r="IK875"/>
      <c r="IL875"/>
      <c r="IM875"/>
      <c r="IN875"/>
      <c r="IO875"/>
      <c r="IP875"/>
      <c r="IQ875"/>
      <c r="IR875"/>
      <c r="IS875"/>
      <c r="IT875"/>
      <c r="IU875"/>
      <c r="IV875"/>
      <c r="IW875"/>
      <c r="IX875"/>
      <c r="IY875"/>
      <c r="IZ875"/>
      <c r="JA875"/>
      <c r="JB875"/>
      <c r="JC875"/>
      <c r="JD875"/>
      <c r="JE875"/>
      <c r="JF875"/>
      <c r="JG875"/>
      <c r="JH875"/>
      <c r="JI875"/>
      <c r="JJ875"/>
      <c r="JK875"/>
      <c r="JL875"/>
      <c r="JM875"/>
      <c r="JN875"/>
      <c r="JO875"/>
      <c r="JP875"/>
      <c r="JQ875"/>
      <c r="JR875"/>
      <c r="JS875"/>
      <c r="JT875"/>
      <c r="JU875"/>
      <c r="JV875"/>
      <c r="JW875"/>
      <c r="JX875"/>
      <c r="JY875"/>
      <c r="JZ875"/>
      <c r="KA875"/>
      <c r="KB875"/>
      <c r="KC875"/>
      <c r="KD875"/>
      <c r="KE875"/>
      <c r="KF875"/>
      <c r="KG875"/>
      <c r="KH875"/>
      <c r="KI875"/>
      <c r="KJ875"/>
      <c r="KK875"/>
      <c r="KL875"/>
      <c r="KM875"/>
      <c r="KN875"/>
      <c r="KO875"/>
      <c r="KP875"/>
      <c r="KQ875"/>
      <c r="KR875"/>
      <c r="KS875"/>
      <c r="KT875"/>
      <c r="KU875"/>
      <c r="KV875"/>
      <c r="KW875"/>
      <c r="KX875"/>
      <c r="KY875"/>
      <c r="KZ875"/>
      <c r="LA875"/>
      <c r="LB875"/>
      <c r="LC875"/>
      <c r="LD875"/>
      <c r="LE875"/>
      <c r="LF875"/>
      <c r="LG875"/>
      <c r="LH875"/>
      <c r="LI875"/>
      <c r="LJ875"/>
      <c r="LK875"/>
      <c r="LL875"/>
      <c r="LM875"/>
      <c r="LN875"/>
      <c r="LO875"/>
      <c r="LP875"/>
      <c r="LQ875"/>
      <c r="LR875"/>
      <c r="LS875"/>
      <c r="LT875"/>
      <c r="LU875"/>
      <c r="LV875"/>
      <c r="LW875"/>
      <c r="LX875"/>
      <c r="LY875"/>
      <c r="LZ875"/>
      <c r="MA875"/>
      <c r="MB875"/>
      <c r="MC875"/>
      <c r="MD875"/>
      <c r="ME875"/>
      <c r="MF875"/>
      <c r="MG875"/>
      <c r="MH875"/>
      <c r="MI875"/>
      <c r="MJ875"/>
      <c r="MK875"/>
      <c r="ML875"/>
    </row>
    <row r="876" spans="1:350" s="4" customFormat="1" ht="18" customHeight="1" x14ac:dyDescent="0.3">
      <c r="A876" s="344" t="s">
        <v>387</v>
      </c>
      <c r="B876" s="345" t="s">
        <v>384</v>
      </c>
      <c r="C876" s="185" t="s">
        <v>388</v>
      </c>
      <c r="E876" s="137" t="s">
        <v>105</v>
      </c>
      <c r="F876" s="138"/>
      <c r="H876" s="139">
        <v>431.25467786410491</v>
      </c>
      <c r="I876" s="140">
        <v>467.68422450155583</v>
      </c>
      <c r="J876" s="140">
        <v>485.39790330064073</v>
      </c>
      <c r="K876" s="140">
        <v>485.72587372926978</v>
      </c>
      <c r="L876" s="140">
        <v>425.30612939669999</v>
      </c>
      <c r="M876" s="140">
        <v>414.49362476488795</v>
      </c>
      <c r="N876" s="140">
        <v>519.96830366365123</v>
      </c>
      <c r="O876" s="140">
        <v>408.86867469778832</v>
      </c>
      <c r="P876" s="140">
        <v>441.99186963665585</v>
      </c>
      <c r="Q876" s="141"/>
      <c r="R876" s="140"/>
      <c r="S876"/>
      <c r="T876"/>
      <c r="U876"/>
      <c r="V876"/>
      <c r="W876"/>
      <c r="X876"/>
      <c r="Y876"/>
      <c r="Z876"/>
      <c r="AA876"/>
      <c r="AB876"/>
      <c r="AC876"/>
      <c r="AD876"/>
      <c r="AE876"/>
      <c r="AF876"/>
      <c r="AG876"/>
      <c r="AH876"/>
      <c r="AI876"/>
      <c r="AJ876"/>
      <c r="AK876"/>
      <c r="AL876"/>
      <c r="AM876"/>
      <c r="AN876"/>
      <c r="AO876"/>
      <c r="AP876"/>
      <c r="AQ876"/>
      <c r="AR876"/>
      <c r="AS876"/>
      <c r="AT876"/>
      <c r="AU876"/>
      <c r="AV876"/>
      <c r="AW876"/>
      <c r="AX876"/>
      <c r="AY876"/>
      <c r="AZ876"/>
      <c r="BA876"/>
      <c r="BB876"/>
      <c r="BC876"/>
      <c r="BD876"/>
      <c r="BE876"/>
      <c r="BF876"/>
      <c r="BG876"/>
      <c r="BH876"/>
      <c r="BI876"/>
      <c r="BJ876"/>
      <c r="BK876"/>
      <c r="BL876"/>
      <c r="BM876"/>
      <c r="BN876"/>
      <c r="BO876"/>
      <c r="BP876"/>
      <c r="BQ876"/>
      <c r="BR876"/>
      <c r="BS876"/>
      <c r="BT876"/>
      <c r="BU876"/>
      <c r="BV876"/>
      <c r="BW876"/>
      <c r="BX876"/>
      <c r="BY876"/>
      <c r="BZ876"/>
      <c r="CA876"/>
      <c r="CB876"/>
      <c r="CC876"/>
      <c r="CD876"/>
      <c r="CE876"/>
      <c r="CF876"/>
      <c r="CG876"/>
      <c r="CH876"/>
      <c r="CI876"/>
      <c r="CJ876"/>
      <c r="CK876"/>
      <c r="CL876"/>
      <c r="CM876"/>
      <c r="CN876"/>
      <c r="CO876"/>
      <c r="CP876"/>
      <c r="CQ876"/>
      <c r="CR876"/>
      <c r="CS876"/>
      <c r="CT876"/>
      <c r="CU876"/>
      <c r="CV876"/>
      <c r="CW876"/>
      <c r="CX876"/>
      <c r="CY876"/>
      <c r="CZ876"/>
      <c r="DA876"/>
      <c r="DB876"/>
      <c r="DC876"/>
      <c r="DD876"/>
      <c r="DE876"/>
      <c r="DF876"/>
      <c r="DG876"/>
      <c r="DH876"/>
      <c r="DI876"/>
      <c r="DJ876"/>
      <c r="DK876"/>
      <c r="DL876"/>
      <c r="DM876"/>
      <c r="DN876"/>
      <c r="DO876"/>
      <c r="DP876"/>
      <c r="DQ876"/>
      <c r="DR876"/>
      <c r="DS876"/>
      <c r="DT876"/>
      <c r="DU876"/>
      <c r="DV876"/>
      <c r="DW876"/>
      <c r="DX876"/>
      <c r="DY876"/>
      <c r="DZ876"/>
      <c r="EA876"/>
      <c r="EB876"/>
      <c r="EC876"/>
      <c r="ED876"/>
      <c r="EE876"/>
      <c r="EF876"/>
      <c r="EG876"/>
      <c r="EH876"/>
      <c r="EI876"/>
      <c r="EJ876"/>
      <c r="EK876"/>
      <c r="EL876"/>
      <c r="EM876"/>
      <c r="EN876"/>
      <c r="EO876"/>
      <c r="EP876"/>
      <c r="EQ876"/>
      <c r="ER876"/>
      <c r="ES876"/>
      <c r="ET876"/>
      <c r="EU876"/>
      <c r="EV876"/>
      <c r="EW876"/>
      <c r="EX876"/>
      <c r="EY876"/>
      <c r="EZ876"/>
      <c r="FA876"/>
      <c r="FB876"/>
      <c r="FC876"/>
      <c r="FD876"/>
      <c r="FE876"/>
      <c r="FF876"/>
      <c r="FG876"/>
      <c r="FH876"/>
      <c r="FI876"/>
      <c r="FJ876"/>
      <c r="FK876"/>
      <c r="FL876"/>
      <c r="FM876"/>
      <c r="FN876"/>
      <c r="FO876"/>
      <c r="FP876"/>
      <c r="FQ876"/>
      <c r="FR876"/>
      <c r="FS876"/>
      <c r="FT876"/>
      <c r="FU876"/>
      <c r="FV876"/>
      <c r="FW876"/>
      <c r="FX876"/>
      <c r="FY876"/>
      <c r="FZ876"/>
      <c r="GA876"/>
      <c r="GB876"/>
      <c r="GC876"/>
      <c r="GD876"/>
      <c r="GE876"/>
      <c r="GF876"/>
      <c r="GG876"/>
      <c r="GH876"/>
      <c r="GI876"/>
      <c r="GJ876"/>
      <c r="GK876"/>
      <c r="GL876"/>
      <c r="GM876"/>
      <c r="GN876"/>
      <c r="GO876"/>
      <c r="GP876"/>
      <c r="GQ876"/>
      <c r="GR876"/>
      <c r="GS876"/>
      <c r="GT876"/>
      <c r="GU876"/>
      <c r="GV876"/>
      <c r="GW876"/>
      <c r="GX876"/>
      <c r="GY876"/>
      <c r="GZ876"/>
      <c r="HA876"/>
      <c r="HB876"/>
      <c r="HC876"/>
      <c r="HD876"/>
      <c r="HE876"/>
      <c r="HF876"/>
      <c r="HG876"/>
      <c r="HH876"/>
      <c r="HI876"/>
      <c r="HJ876"/>
      <c r="HK876"/>
      <c r="HL876"/>
      <c r="HM876"/>
      <c r="HN876"/>
      <c r="HO876"/>
      <c r="HP876"/>
      <c r="HQ876"/>
      <c r="HR876"/>
      <c r="HS876"/>
      <c r="HT876"/>
      <c r="HU876"/>
      <c r="HV876"/>
      <c r="HW876"/>
      <c r="HX876"/>
      <c r="HY876"/>
      <c r="HZ876"/>
      <c r="IA876"/>
      <c r="IB876"/>
      <c r="IC876"/>
      <c r="ID876"/>
      <c r="IE876"/>
      <c r="IF876"/>
      <c r="IG876"/>
      <c r="IH876"/>
      <c r="II876"/>
      <c r="IJ876"/>
      <c r="IK876"/>
      <c r="IL876"/>
      <c r="IM876"/>
      <c r="IN876"/>
      <c r="IO876"/>
      <c r="IP876"/>
      <c r="IQ876"/>
      <c r="IR876"/>
      <c r="IS876"/>
      <c r="IT876"/>
      <c r="IU876"/>
      <c r="IV876"/>
      <c r="IW876"/>
      <c r="IX876"/>
      <c r="IY876"/>
      <c r="IZ876"/>
      <c r="JA876"/>
      <c r="JB876"/>
      <c r="JC876"/>
      <c r="JD876"/>
      <c r="JE876"/>
      <c r="JF876"/>
      <c r="JG876"/>
      <c r="JH876"/>
      <c r="JI876"/>
      <c r="JJ876"/>
      <c r="JK876"/>
      <c r="JL876"/>
      <c r="JM876"/>
      <c r="JN876"/>
      <c r="JO876"/>
      <c r="JP876"/>
      <c r="JQ876"/>
      <c r="JR876"/>
      <c r="JS876"/>
      <c r="JT876"/>
      <c r="JU876"/>
      <c r="JV876"/>
      <c r="JW876"/>
      <c r="JX876"/>
      <c r="JY876"/>
      <c r="JZ876"/>
      <c r="KA876"/>
      <c r="KB876"/>
      <c r="KC876"/>
      <c r="KD876"/>
      <c r="KE876"/>
      <c r="KF876"/>
      <c r="KG876"/>
      <c r="KH876"/>
      <c r="KI876"/>
      <c r="KJ876"/>
      <c r="KK876"/>
      <c r="KL876"/>
      <c r="KM876"/>
      <c r="KN876"/>
      <c r="KO876"/>
      <c r="KP876"/>
      <c r="KQ876"/>
      <c r="KR876"/>
      <c r="KS876"/>
      <c r="KT876"/>
      <c r="KU876"/>
      <c r="KV876"/>
      <c r="KW876"/>
      <c r="KX876"/>
      <c r="KY876"/>
      <c r="KZ876"/>
      <c r="LA876"/>
      <c r="LB876"/>
      <c r="LC876"/>
      <c r="LD876"/>
      <c r="LE876"/>
      <c r="LF876"/>
      <c r="LG876"/>
      <c r="LH876"/>
      <c r="LI876"/>
      <c r="LJ876"/>
      <c r="LK876"/>
      <c r="LL876"/>
      <c r="LM876"/>
      <c r="LN876"/>
      <c r="LO876"/>
      <c r="LP876"/>
      <c r="LQ876"/>
      <c r="LR876"/>
      <c r="LS876"/>
      <c r="LT876"/>
      <c r="LU876"/>
      <c r="LV876"/>
      <c r="LW876"/>
      <c r="LX876"/>
      <c r="LY876"/>
      <c r="LZ876"/>
      <c r="MA876"/>
      <c r="MB876"/>
      <c r="MC876"/>
      <c r="MD876"/>
      <c r="ME876"/>
      <c r="MF876"/>
      <c r="MG876"/>
      <c r="MH876"/>
      <c r="MI876"/>
      <c r="MJ876"/>
      <c r="MK876"/>
      <c r="ML876"/>
    </row>
    <row r="877" spans="1:350" s="4" customFormat="1" ht="18" customHeight="1" x14ac:dyDescent="0.3">
      <c r="A877" s="344" t="s">
        <v>389</v>
      </c>
      <c r="B877" s="345" t="s">
        <v>384</v>
      </c>
      <c r="C877" s="185" t="s">
        <v>390</v>
      </c>
      <c r="E877" s="137" t="s">
        <v>105</v>
      </c>
      <c r="F877" s="186"/>
      <c r="H877" s="139">
        <v>27111.088026050264</v>
      </c>
      <c r="I877" s="140">
        <v>27183.93211060184</v>
      </c>
      <c r="J877" s="140">
        <v>27557.929958093304</v>
      </c>
      <c r="K877" s="140">
        <v>27934.341450278414</v>
      </c>
      <c r="L877" s="140">
        <v>28506.148359489467</v>
      </c>
      <c r="M877" s="140">
        <v>25925.975781552705</v>
      </c>
      <c r="N877" s="140">
        <v>27828.63058258688</v>
      </c>
      <c r="O877" s="140">
        <v>31106.85400417645</v>
      </c>
      <c r="P877" s="140">
        <v>33626.876820492245</v>
      </c>
      <c r="Q877" s="141"/>
      <c r="R877" s="140"/>
      <c r="S877"/>
      <c r="T877"/>
      <c r="U877"/>
      <c r="V877"/>
      <c r="W877"/>
      <c r="X877"/>
      <c r="Y877"/>
      <c r="Z877"/>
      <c r="AA877"/>
      <c r="AB877"/>
      <c r="AC877"/>
      <c r="AD877"/>
      <c r="AE877"/>
      <c r="AF877"/>
      <c r="AG877"/>
      <c r="AH877"/>
      <c r="AI877"/>
      <c r="AJ877"/>
      <c r="AK877"/>
      <c r="AL877"/>
      <c r="AM877"/>
      <c r="AN877"/>
      <c r="AO877"/>
      <c r="AP877"/>
      <c r="AQ877"/>
      <c r="AR877"/>
      <c r="AS877"/>
      <c r="AT877"/>
      <c r="AU877"/>
      <c r="AV877"/>
      <c r="AW877"/>
      <c r="AX877"/>
      <c r="AY877"/>
      <c r="AZ877"/>
      <c r="BA877"/>
      <c r="BB877"/>
      <c r="BC877"/>
      <c r="BD877"/>
      <c r="BE877"/>
      <c r="BF877"/>
      <c r="BG877"/>
      <c r="BH877"/>
      <c r="BI877"/>
      <c r="BJ877"/>
      <c r="BK877"/>
      <c r="BL877"/>
      <c r="BM877"/>
      <c r="BN877"/>
      <c r="BO877"/>
      <c r="BP877"/>
      <c r="BQ877"/>
      <c r="BR877"/>
      <c r="BS877"/>
      <c r="BT877"/>
      <c r="BU877"/>
      <c r="BV877"/>
      <c r="BW877"/>
      <c r="BX877"/>
      <c r="BY877"/>
      <c r="BZ877"/>
      <c r="CA877"/>
      <c r="CB877"/>
      <c r="CC877"/>
      <c r="CD877"/>
      <c r="CE877"/>
      <c r="CF877"/>
      <c r="CG877"/>
      <c r="CH877"/>
      <c r="CI877"/>
      <c r="CJ877"/>
      <c r="CK877"/>
      <c r="CL877"/>
      <c r="CM877"/>
      <c r="CN877"/>
      <c r="CO877"/>
      <c r="CP877"/>
      <c r="CQ877"/>
      <c r="CR877"/>
      <c r="CS877"/>
      <c r="CT877"/>
      <c r="CU877"/>
      <c r="CV877"/>
      <c r="CW877"/>
      <c r="CX877"/>
      <c r="CY877"/>
      <c r="CZ877"/>
      <c r="DA877"/>
      <c r="DB877"/>
      <c r="DC877"/>
      <c r="DD877"/>
      <c r="DE877"/>
      <c r="DF877"/>
      <c r="DG877"/>
      <c r="DH877"/>
      <c r="DI877"/>
      <c r="DJ877"/>
      <c r="DK877"/>
      <c r="DL877"/>
      <c r="DM877"/>
      <c r="DN877"/>
      <c r="DO877"/>
      <c r="DP877"/>
      <c r="DQ877"/>
      <c r="DR877"/>
      <c r="DS877"/>
      <c r="DT877"/>
      <c r="DU877"/>
      <c r="DV877"/>
      <c r="DW877"/>
      <c r="DX877"/>
      <c r="DY877"/>
      <c r="DZ877"/>
      <c r="EA877"/>
      <c r="EB877"/>
      <c r="EC877"/>
      <c r="ED877"/>
      <c r="EE877"/>
      <c r="EF877"/>
      <c r="EG877"/>
      <c r="EH877"/>
      <c r="EI877"/>
      <c r="EJ877"/>
      <c r="EK877"/>
      <c r="EL877"/>
      <c r="EM877"/>
      <c r="EN877"/>
      <c r="EO877"/>
      <c r="EP877"/>
      <c r="EQ877"/>
      <c r="ER877"/>
      <c r="ES877"/>
      <c r="ET877"/>
      <c r="EU877"/>
      <c r="EV877"/>
      <c r="EW877"/>
      <c r="EX877"/>
      <c r="EY877"/>
      <c r="EZ877"/>
      <c r="FA877"/>
      <c r="FB877"/>
      <c r="FC877"/>
      <c r="FD877"/>
      <c r="FE877"/>
      <c r="FF877"/>
      <c r="FG877"/>
      <c r="FH877"/>
      <c r="FI877"/>
      <c r="FJ877"/>
      <c r="FK877"/>
      <c r="FL877"/>
      <c r="FM877"/>
      <c r="FN877"/>
      <c r="FO877"/>
      <c r="FP877"/>
      <c r="FQ877"/>
      <c r="FR877"/>
      <c r="FS877"/>
      <c r="FT877"/>
      <c r="FU877"/>
      <c r="FV877"/>
      <c r="FW877"/>
      <c r="FX877"/>
      <c r="FY877"/>
      <c r="FZ877"/>
      <c r="GA877"/>
      <c r="GB877"/>
      <c r="GC877"/>
      <c r="GD877"/>
      <c r="GE877"/>
      <c r="GF877"/>
      <c r="GG877"/>
      <c r="GH877"/>
      <c r="GI877"/>
      <c r="GJ877"/>
      <c r="GK877"/>
      <c r="GL877"/>
      <c r="GM877"/>
      <c r="GN877"/>
      <c r="GO877"/>
      <c r="GP877"/>
      <c r="GQ877"/>
      <c r="GR877"/>
      <c r="GS877"/>
      <c r="GT877"/>
      <c r="GU877"/>
      <c r="GV877"/>
      <c r="GW877"/>
      <c r="GX877"/>
      <c r="GY877"/>
      <c r="GZ877"/>
      <c r="HA877"/>
      <c r="HB877"/>
      <c r="HC877"/>
      <c r="HD877"/>
      <c r="HE877"/>
      <c r="HF877"/>
      <c r="HG877"/>
      <c r="HH877"/>
      <c r="HI877"/>
      <c r="HJ877"/>
      <c r="HK877"/>
      <c r="HL877"/>
      <c r="HM877"/>
      <c r="HN877"/>
      <c r="HO877"/>
      <c r="HP877"/>
      <c r="HQ877"/>
      <c r="HR877"/>
      <c r="HS877"/>
      <c r="HT877"/>
      <c r="HU877"/>
      <c r="HV877"/>
      <c r="HW877"/>
      <c r="HX877"/>
      <c r="HY877"/>
      <c r="HZ877"/>
      <c r="IA877"/>
      <c r="IB877"/>
      <c r="IC877"/>
      <c r="ID877"/>
      <c r="IE877"/>
      <c r="IF877"/>
      <c r="IG877"/>
      <c r="IH877"/>
      <c r="II877"/>
      <c r="IJ877"/>
      <c r="IK877"/>
      <c r="IL877"/>
      <c r="IM877"/>
      <c r="IN877"/>
      <c r="IO877"/>
      <c r="IP877"/>
      <c r="IQ877"/>
      <c r="IR877"/>
      <c r="IS877"/>
      <c r="IT877"/>
      <c r="IU877"/>
      <c r="IV877"/>
      <c r="IW877"/>
      <c r="IX877"/>
      <c r="IY877"/>
      <c r="IZ877"/>
      <c r="JA877"/>
      <c r="JB877"/>
      <c r="JC877"/>
      <c r="JD877"/>
      <c r="JE877"/>
      <c r="JF877"/>
      <c r="JG877"/>
      <c r="JH877"/>
      <c r="JI877"/>
      <c r="JJ877"/>
      <c r="JK877"/>
      <c r="JL877"/>
      <c r="JM877"/>
      <c r="JN877"/>
      <c r="JO877"/>
      <c r="JP877"/>
      <c r="JQ877"/>
      <c r="JR877"/>
      <c r="JS877"/>
      <c r="JT877"/>
      <c r="JU877"/>
      <c r="JV877"/>
      <c r="JW877"/>
      <c r="JX877"/>
      <c r="JY877"/>
      <c r="JZ877"/>
      <c r="KA877"/>
      <c r="KB877"/>
      <c r="KC877"/>
      <c r="KD877"/>
      <c r="KE877"/>
      <c r="KF877"/>
      <c r="KG877"/>
      <c r="KH877"/>
      <c r="KI877"/>
      <c r="KJ877"/>
      <c r="KK877"/>
      <c r="KL877"/>
      <c r="KM877"/>
      <c r="KN877"/>
      <c r="KO877"/>
      <c r="KP877"/>
      <c r="KQ877"/>
      <c r="KR877"/>
      <c r="KS877"/>
      <c r="KT877"/>
      <c r="KU877"/>
      <c r="KV877"/>
      <c r="KW877"/>
      <c r="KX877"/>
      <c r="KY877"/>
      <c r="KZ877"/>
      <c r="LA877"/>
      <c r="LB877"/>
      <c r="LC877"/>
      <c r="LD877"/>
      <c r="LE877"/>
      <c r="LF877"/>
      <c r="LG877"/>
      <c r="LH877"/>
      <c r="LI877"/>
      <c r="LJ877"/>
      <c r="LK877"/>
      <c r="LL877"/>
      <c r="LM877"/>
      <c r="LN877"/>
      <c r="LO877"/>
      <c r="LP877"/>
      <c r="LQ877"/>
      <c r="LR877"/>
      <c r="LS877"/>
      <c r="LT877"/>
      <c r="LU877"/>
      <c r="LV877"/>
      <c r="LW877"/>
      <c r="LX877"/>
      <c r="LY877"/>
      <c r="LZ877"/>
      <c r="MA877"/>
      <c r="MB877"/>
      <c r="MC877"/>
      <c r="MD877"/>
      <c r="ME877"/>
      <c r="MF877"/>
      <c r="MG877"/>
      <c r="MH877"/>
      <c r="MI877"/>
      <c r="MJ877"/>
      <c r="MK877"/>
      <c r="ML877"/>
    </row>
    <row r="878" spans="1:350" s="4" customFormat="1" ht="18" customHeight="1" x14ac:dyDescent="0.3">
      <c r="C878" s="148" t="s">
        <v>106</v>
      </c>
      <c r="D878" s="132"/>
      <c r="E878" s="149" t="s">
        <v>386</v>
      </c>
      <c r="F878" s="179"/>
      <c r="H878" s="180">
        <f>SUM(H875:H877)</f>
        <v>30629.548782012866</v>
      </c>
      <c r="I878" s="181">
        <f t="shared" ref="I878:P878" si="1248">SUM(I875:I877)</f>
        <v>31108.09405872893</v>
      </c>
      <c r="J878" s="181">
        <f t="shared" si="1248"/>
        <v>31917.905747993147</v>
      </c>
      <c r="K878" s="181">
        <f t="shared" si="1248"/>
        <v>32301.228345085234</v>
      </c>
      <c r="L878" s="181">
        <f t="shared" si="1248"/>
        <v>32908.883750899506</v>
      </c>
      <c r="M878" s="181">
        <f t="shared" si="1248"/>
        <v>30128.648892211699</v>
      </c>
      <c r="N878" s="181">
        <f t="shared" si="1248"/>
        <v>33200.865572487877</v>
      </c>
      <c r="O878" s="181">
        <f t="shared" si="1248"/>
        <v>36829.300707877825</v>
      </c>
      <c r="P878" s="181">
        <f t="shared" si="1248"/>
        <v>39812.909338964295</v>
      </c>
      <c r="Q878" s="182">
        <f t="shared" ref="Q878" si="1249">SUM(Q875:Q876)</f>
        <v>0</v>
      </c>
      <c r="R878" s="140"/>
      <c r="S878"/>
      <c r="T878"/>
      <c r="U878"/>
      <c r="V878"/>
      <c r="W878"/>
      <c r="X878"/>
      <c r="Y878"/>
      <c r="Z878"/>
      <c r="AA878"/>
      <c r="AB878"/>
      <c r="AC878"/>
      <c r="AD878"/>
      <c r="AE878"/>
      <c r="AF878"/>
      <c r="AG878"/>
      <c r="AH878"/>
      <c r="AI878"/>
      <c r="AJ878"/>
      <c r="AK878"/>
      <c r="AL878"/>
      <c r="AM878"/>
      <c r="AN878"/>
      <c r="AO878"/>
      <c r="AP878"/>
      <c r="AQ878"/>
      <c r="AR878"/>
      <c r="AS878"/>
      <c r="AT878"/>
      <c r="AU878"/>
      <c r="AV878"/>
      <c r="AW878"/>
      <c r="AX878"/>
      <c r="AY878"/>
      <c r="AZ878"/>
      <c r="BA878"/>
      <c r="BB878"/>
      <c r="BC878"/>
      <c r="BD878"/>
      <c r="BE878"/>
      <c r="BF878"/>
      <c r="BG878"/>
      <c r="BH878"/>
      <c r="BI878"/>
      <c r="BJ878"/>
      <c r="BK878"/>
      <c r="BL878"/>
      <c r="BM878"/>
      <c r="BN878"/>
      <c r="BO878"/>
      <c r="BP878"/>
      <c r="BQ878"/>
      <c r="BR878"/>
      <c r="BS878"/>
      <c r="BT878"/>
      <c r="BU878"/>
      <c r="BV878"/>
      <c r="BW878"/>
      <c r="BX878"/>
      <c r="BY878"/>
      <c r="BZ878"/>
      <c r="CA878"/>
      <c r="CB878"/>
      <c r="CC878"/>
      <c r="CD878"/>
      <c r="CE878"/>
      <c r="CF878"/>
      <c r="CG878"/>
      <c r="CH878"/>
      <c r="CI878"/>
      <c r="CJ878"/>
      <c r="CK878"/>
      <c r="CL878"/>
      <c r="CM878"/>
      <c r="CN878"/>
      <c r="CO878"/>
      <c r="CP878"/>
      <c r="CQ878"/>
      <c r="CR878"/>
      <c r="CS878"/>
      <c r="CT878"/>
      <c r="CU878"/>
      <c r="CV878"/>
      <c r="CW878"/>
      <c r="CX878"/>
      <c r="CY878"/>
      <c r="CZ878"/>
      <c r="DA878"/>
      <c r="DB878"/>
      <c r="DC878"/>
      <c r="DD878"/>
      <c r="DE878"/>
      <c r="DF878"/>
      <c r="DG878"/>
      <c r="DH878"/>
      <c r="DI878"/>
      <c r="DJ878"/>
      <c r="DK878"/>
      <c r="DL878"/>
      <c r="DM878"/>
      <c r="DN878"/>
      <c r="DO878"/>
      <c r="DP878"/>
      <c r="DQ878"/>
      <c r="DR878"/>
      <c r="DS878"/>
      <c r="DT878"/>
      <c r="DU878"/>
      <c r="DV878"/>
      <c r="DW878"/>
      <c r="DX878"/>
      <c r="DY878"/>
      <c r="DZ878"/>
      <c r="EA878"/>
      <c r="EB878"/>
      <c r="EC878"/>
      <c r="ED878"/>
      <c r="EE878"/>
      <c r="EF878"/>
      <c r="EG878"/>
      <c r="EH878"/>
      <c r="EI878"/>
      <c r="EJ878"/>
      <c r="EK878"/>
      <c r="EL878"/>
      <c r="EM878"/>
      <c r="EN878"/>
      <c r="EO878"/>
      <c r="EP878"/>
      <c r="EQ878"/>
      <c r="ER878"/>
      <c r="ES878"/>
      <c r="ET878"/>
      <c r="EU878"/>
      <c r="EV878"/>
      <c r="EW878"/>
      <c r="EX878"/>
      <c r="EY878"/>
      <c r="EZ878"/>
      <c r="FA878"/>
      <c r="FB878"/>
      <c r="FC878"/>
      <c r="FD878"/>
      <c r="FE878"/>
      <c r="FF878"/>
      <c r="FG878"/>
      <c r="FH878"/>
      <c r="FI878"/>
      <c r="FJ878"/>
      <c r="FK878"/>
      <c r="FL878"/>
      <c r="FM878"/>
      <c r="FN878"/>
      <c r="FO878"/>
      <c r="FP878"/>
      <c r="FQ878"/>
      <c r="FR878"/>
      <c r="FS878"/>
      <c r="FT878"/>
      <c r="FU878"/>
      <c r="FV878"/>
      <c r="FW878"/>
      <c r="FX878"/>
      <c r="FY878"/>
      <c r="FZ878"/>
      <c r="GA878"/>
      <c r="GB878"/>
      <c r="GC878"/>
      <c r="GD878"/>
      <c r="GE878"/>
      <c r="GF878"/>
      <c r="GG878"/>
      <c r="GH878"/>
      <c r="GI878"/>
      <c r="GJ878"/>
      <c r="GK878"/>
      <c r="GL878"/>
      <c r="GM878"/>
      <c r="GN878"/>
      <c r="GO878"/>
      <c r="GP878"/>
      <c r="GQ878"/>
      <c r="GR878"/>
      <c r="GS878"/>
      <c r="GT878"/>
      <c r="GU878"/>
      <c r="GV878"/>
      <c r="GW878"/>
      <c r="GX878"/>
      <c r="GY878"/>
      <c r="GZ878"/>
      <c r="HA878"/>
      <c r="HB878"/>
      <c r="HC878"/>
      <c r="HD878"/>
      <c r="HE878"/>
      <c r="HF878"/>
      <c r="HG878"/>
      <c r="HH878"/>
      <c r="HI878"/>
      <c r="HJ878"/>
      <c r="HK878"/>
      <c r="HL878"/>
      <c r="HM878"/>
      <c r="HN878"/>
      <c r="HO878"/>
      <c r="HP878"/>
      <c r="HQ878"/>
      <c r="HR878"/>
      <c r="HS878"/>
      <c r="HT878"/>
      <c r="HU878"/>
      <c r="HV878"/>
      <c r="HW878"/>
      <c r="HX878"/>
      <c r="HY878"/>
      <c r="HZ878"/>
      <c r="IA878"/>
      <c r="IB878"/>
      <c r="IC878"/>
      <c r="ID878"/>
      <c r="IE878"/>
      <c r="IF878"/>
      <c r="IG878"/>
      <c r="IH878"/>
      <c r="II878"/>
      <c r="IJ878"/>
      <c r="IK878"/>
      <c r="IL878"/>
      <c r="IM878"/>
      <c r="IN878"/>
      <c r="IO878"/>
      <c r="IP878"/>
      <c r="IQ878"/>
      <c r="IR878"/>
      <c r="IS878"/>
      <c r="IT878"/>
      <c r="IU878"/>
      <c r="IV878"/>
      <c r="IW878"/>
      <c r="IX878"/>
      <c r="IY878"/>
      <c r="IZ878"/>
      <c r="JA878"/>
      <c r="JB878"/>
      <c r="JC878"/>
      <c r="JD878"/>
      <c r="JE878"/>
      <c r="JF878"/>
      <c r="JG878"/>
      <c r="JH878"/>
      <c r="JI878"/>
      <c r="JJ878"/>
      <c r="JK878"/>
      <c r="JL878"/>
      <c r="JM878"/>
      <c r="JN878"/>
      <c r="JO878"/>
      <c r="JP878"/>
      <c r="JQ878"/>
      <c r="JR878"/>
      <c r="JS878"/>
      <c r="JT878"/>
      <c r="JU878"/>
      <c r="JV878"/>
      <c r="JW878"/>
      <c r="JX878"/>
      <c r="JY878"/>
      <c r="JZ878"/>
      <c r="KA878"/>
      <c r="KB878"/>
      <c r="KC878"/>
      <c r="KD878"/>
      <c r="KE878"/>
      <c r="KF878"/>
      <c r="KG878"/>
      <c r="KH878"/>
      <c r="KI878"/>
      <c r="KJ878"/>
      <c r="KK878"/>
      <c r="KL878"/>
      <c r="KM878"/>
      <c r="KN878"/>
      <c r="KO878"/>
      <c r="KP878"/>
      <c r="KQ878"/>
      <c r="KR878"/>
      <c r="KS878"/>
      <c r="KT878"/>
      <c r="KU878"/>
      <c r="KV878"/>
      <c r="KW878"/>
      <c r="KX878"/>
      <c r="KY878"/>
      <c r="KZ878"/>
      <c r="LA878"/>
      <c r="LB878"/>
      <c r="LC878"/>
      <c r="LD878"/>
      <c r="LE878"/>
      <c r="LF878"/>
      <c r="LG878"/>
      <c r="LH878"/>
      <c r="LI878"/>
      <c r="LJ878"/>
      <c r="LK878"/>
      <c r="LL878"/>
      <c r="LM878"/>
      <c r="LN878"/>
      <c r="LO878"/>
      <c r="LP878"/>
      <c r="LQ878"/>
      <c r="LR878"/>
      <c r="LS878"/>
      <c r="LT878"/>
      <c r="LU878"/>
      <c r="LV878"/>
      <c r="LW878"/>
      <c r="LX878"/>
      <c r="LY878"/>
      <c r="LZ878"/>
      <c r="MA878"/>
      <c r="MB878"/>
      <c r="MC878"/>
      <c r="MD878"/>
      <c r="ME878"/>
      <c r="MF878"/>
      <c r="MG878"/>
      <c r="MH878"/>
      <c r="MI878"/>
      <c r="MJ878"/>
      <c r="MK878"/>
      <c r="ML878"/>
    </row>
    <row r="880" spans="1:350" x14ac:dyDescent="0.3">
      <c r="C880" s="346" t="s">
        <v>391</v>
      </c>
    </row>
    <row r="882" spans="3:350" x14ac:dyDescent="0.3">
      <c r="C882" s="120" t="s">
        <v>392</v>
      </c>
      <c r="H882" s="121" t="s">
        <v>100</v>
      </c>
      <c r="S882" s="122" t="s">
        <v>5</v>
      </c>
      <c r="BD882" s="123" t="s">
        <v>6</v>
      </c>
      <c r="CO882" s="124" t="s">
        <v>7</v>
      </c>
      <c r="DZ882" s="125" t="s">
        <v>8</v>
      </c>
      <c r="FK882" s="126" t="s">
        <v>9</v>
      </c>
      <c r="GV882" s="127" t="s">
        <v>10</v>
      </c>
      <c r="IG882" s="128" t="s">
        <v>11</v>
      </c>
      <c r="JR882" s="129" t="str">
        <f>JR$4</f>
        <v>AMS2 2023</v>
      </c>
      <c r="LC882" s="130" t="str">
        <f>LC$4</f>
        <v>AMS3 2025</v>
      </c>
    </row>
    <row r="883" spans="3:350" s="4" customFormat="1" ht="18" customHeight="1" x14ac:dyDescent="0.3">
      <c r="C883" s="131"/>
      <c r="D883" s="132"/>
      <c r="E883" s="133" t="s">
        <v>101</v>
      </c>
      <c r="F883" s="134" t="s">
        <v>102</v>
      </c>
      <c r="H883" s="135">
        <f t="shared" ref="H883:Q883" si="1250">H$1</f>
        <v>2015</v>
      </c>
      <c r="I883" s="133">
        <f t="shared" si="1250"/>
        <v>2016</v>
      </c>
      <c r="J883" s="133">
        <f t="shared" si="1250"/>
        <v>2017</v>
      </c>
      <c r="K883" s="133">
        <f t="shared" si="1250"/>
        <v>2018</v>
      </c>
      <c r="L883" s="133">
        <f t="shared" si="1250"/>
        <v>2019</v>
      </c>
      <c r="M883" s="133">
        <f t="shared" si="1250"/>
        <v>2020</v>
      </c>
      <c r="N883" s="133">
        <f t="shared" si="1250"/>
        <v>2021</v>
      </c>
      <c r="O883" s="133">
        <f t="shared" si="1250"/>
        <v>2022</v>
      </c>
      <c r="P883" s="133">
        <f t="shared" si="1250"/>
        <v>2023</v>
      </c>
      <c r="Q883" s="134">
        <f t="shared" si="1250"/>
        <v>2024</v>
      </c>
      <c r="S883" s="135">
        <f t="shared" ref="S883:BB883" si="1251">S$1</f>
        <v>2015</v>
      </c>
      <c r="T883" s="133">
        <f t="shared" si="1251"/>
        <v>2016</v>
      </c>
      <c r="U883" s="133">
        <f t="shared" si="1251"/>
        <v>2017</v>
      </c>
      <c r="V883" s="133">
        <f t="shared" si="1251"/>
        <v>2018</v>
      </c>
      <c r="W883" s="133">
        <f t="shared" si="1251"/>
        <v>2019</v>
      </c>
      <c r="X883" s="133">
        <f t="shared" si="1251"/>
        <v>2020</v>
      </c>
      <c r="Y883" s="133">
        <f t="shared" si="1251"/>
        <v>2021</v>
      </c>
      <c r="Z883" s="133">
        <f t="shared" si="1251"/>
        <v>2022</v>
      </c>
      <c r="AA883" s="133">
        <f t="shared" si="1251"/>
        <v>2023</v>
      </c>
      <c r="AB883" s="133">
        <f t="shared" si="1251"/>
        <v>2024</v>
      </c>
      <c r="AC883" s="133">
        <f t="shared" si="1251"/>
        <v>2025</v>
      </c>
      <c r="AD883" s="133">
        <f t="shared" si="1251"/>
        <v>2026</v>
      </c>
      <c r="AE883" s="133">
        <f t="shared" si="1251"/>
        <v>2027</v>
      </c>
      <c r="AF883" s="133">
        <f t="shared" si="1251"/>
        <v>2028</v>
      </c>
      <c r="AG883" s="133">
        <f t="shared" si="1251"/>
        <v>2029</v>
      </c>
      <c r="AH883" s="133">
        <f t="shared" si="1251"/>
        <v>2030</v>
      </c>
      <c r="AI883" s="133">
        <f t="shared" si="1251"/>
        <v>2031</v>
      </c>
      <c r="AJ883" s="133">
        <f t="shared" si="1251"/>
        <v>2032</v>
      </c>
      <c r="AK883" s="133">
        <f t="shared" si="1251"/>
        <v>2033</v>
      </c>
      <c r="AL883" s="133">
        <f t="shared" si="1251"/>
        <v>2034</v>
      </c>
      <c r="AM883" s="133">
        <f t="shared" si="1251"/>
        <v>2035</v>
      </c>
      <c r="AN883" s="133">
        <f t="shared" si="1251"/>
        <v>2036</v>
      </c>
      <c r="AO883" s="133">
        <f t="shared" si="1251"/>
        <v>2037</v>
      </c>
      <c r="AP883" s="133">
        <f t="shared" si="1251"/>
        <v>2038</v>
      </c>
      <c r="AQ883" s="133">
        <f t="shared" si="1251"/>
        <v>2039</v>
      </c>
      <c r="AR883" s="133">
        <f t="shared" si="1251"/>
        <v>2040</v>
      </c>
      <c r="AS883" s="133">
        <f t="shared" si="1251"/>
        <v>2041</v>
      </c>
      <c r="AT883" s="133">
        <f t="shared" si="1251"/>
        <v>2042</v>
      </c>
      <c r="AU883" s="133">
        <f t="shared" si="1251"/>
        <v>2043</v>
      </c>
      <c r="AV883" s="133">
        <f t="shared" si="1251"/>
        <v>2044</v>
      </c>
      <c r="AW883" s="133">
        <f t="shared" si="1251"/>
        <v>2045</v>
      </c>
      <c r="AX883" s="133">
        <f t="shared" si="1251"/>
        <v>2046</v>
      </c>
      <c r="AY883" s="133">
        <f t="shared" si="1251"/>
        <v>2047</v>
      </c>
      <c r="AZ883" s="133">
        <f t="shared" si="1251"/>
        <v>2048</v>
      </c>
      <c r="BA883" s="133">
        <f t="shared" si="1251"/>
        <v>2049</v>
      </c>
      <c r="BB883" s="134">
        <f t="shared" si="1251"/>
        <v>2050</v>
      </c>
      <c r="BD883" s="135">
        <f t="shared" ref="BD883:CM883" si="1252">BD$1</f>
        <v>2015</v>
      </c>
      <c r="BE883" s="133">
        <f t="shared" si="1252"/>
        <v>2016</v>
      </c>
      <c r="BF883" s="133">
        <f t="shared" si="1252"/>
        <v>2017</v>
      </c>
      <c r="BG883" s="133">
        <f t="shared" si="1252"/>
        <v>2018</v>
      </c>
      <c r="BH883" s="133">
        <f t="shared" si="1252"/>
        <v>2019</v>
      </c>
      <c r="BI883" s="133">
        <f t="shared" si="1252"/>
        <v>2020</v>
      </c>
      <c r="BJ883" s="133">
        <f t="shared" si="1252"/>
        <v>2021</v>
      </c>
      <c r="BK883" s="133">
        <f t="shared" si="1252"/>
        <v>2022</v>
      </c>
      <c r="BL883" s="133">
        <f t="shared" si="1252"/>
        <v>2023</v>
      </c>
      <c r="BM883" s="133">
        <f t="shared" si="1252"/>
        <v>2024</v>
      </c>
      <c r="BN883" s="133">
        <f t="shared" si="1252"/>
        <v>2025</v>
      </c>
      <c r="BO883" s="133">
        <f t="shared" si="1252"/>
        <v>2026</v>
      </c>
      <c r="BP883" s="133">
        <f t="shared" si="1252"/>
        <v>2027</v>
      </c>
      <c r="BQ883" s="133">
        <f t="shared" si="1252"/>
        <v>2028</v>
      </c>
      <c r="BR883" s="133">
        <f t="shared" si="1252"/>
        <v>2029</v>
      </c>
      <c r="BS883" s="133">
        <f t="shared" si="1252"/>
        <v>2030</v>
      </c>
      <c r="BT883" s="133">
        <f t="shared" si="1252"/>
        <v>2031</v>
      </c>
      <c r="BU883" s="133">
        <f t="shared" si="1252"/>
        <v>2032</v>
      </c>
      <c r="BV883" s="133">
        <f t="shared" si="1252"/>
        <v>2033</v>
      </c>
      <c r="BW883" s="133">
        <f t="shared" si="1252"/>
        <v>2034</v>
      </c>
      <c r="BX883" s="133">
        <f t="shared" si="1252"/>
        <v>2035</v>
      </c>
      <c r="BY883" s="133">
        <f t="shared" si="1252"/>
        <v>2036</v>
      </c>
      <c r="BZ883" s="133">
        <f t="shared" si="1252"/>
        <v>2037</v>
      </c>
      <c r="CA883" s="133">
        <f t="shared" si="1252"/>
        <v>2038</v>
      </c>
      <c r="CB883" s="133">
        <f t="shared" si="1252"/>
        <v>2039</v>
      </c>
      <c r="CC883" s="133">
        <f t="shared" si="1252"/>
        <v>2040</v>
      </c>
      <c r="CD883" s="133">
        <f t="shared" si="1252"/>
        <v>2041</v>
      </c>
      <c r="CE883" s="133">
        <f t="shared" si="1252"/>
        <v>2042</v>
      </c>
      <c r="CF883" s="133">
        <f t="shared" si="1252"/>
        <v>2043</v>
      </c>
      <c r="CG883" s="133">
        <f t="shared" si="1252"/>
        <v>2044</v>
      </c>
      <c r="CH883" s="133">
        <f t="shared" si="1252"/>
        <v>2045</v>
      </c>
      <c r="CI883" s="133">
        <f t="shared" si="1252"/>
        <v>2046</v>
      </c>
      <c r="CJ883" s="133">
        <f t="shared" si="1252"/>
        <v>2047</v>
      </c>
      <c r="CK883" s="133">
        <f t="shared" si="1252"/>
        <v>2048</v>
      </c>
      <c r="CL883" s="133">
        <f t="shared" si="1252"/>
        <v>2049</v>
      </c>
      <c r="CM883" s="134">
        <f t="shared" si="1252"/>
        <v>2050</v>
      </c>
      <c r="CO883" s="135">
        <f t="shared" ref="CO883:DX883" si="1253">CO$1</f>
        <v>2015</v>
      </c>
      <c r="CP883" s="133">
        <f t="shared" si="1253"/>
        <v>2016</v>
      </c>
      <c r="CQ883" s="133">
        <f t="shared" si="1253"/>
        <v>2017</v>
      </c>
      <c r="CR883" s="133">
        <f t="shared" si="1253"/>
        <v>2018</v>
      </c>
      <c r="CS883" s="133">
        <f t="shared" si="1253"/>
        <v>2019</v>
      </c>
      <c r="CT883" s="133">
        <f t="shared" si="1253"/>
        <v>2020</v>
      </c>
      <c r="CU883" s="133">
        <f t="shared" si="1253"/>
        <v>2021</v>
      </c>
      <c r="CV883" s="133">
        <f t="shared" si="1253"/>
        <v>2022</v>
      </c>
      <c r="CW883" s="133">
        <f t="shared" si="1253"/>
        <v>2023</v>
      </c>
      <c r="CX883" s="133">
        <f t="shared" si="1253"/>
        <v>2024</v>
      </c>
      <c r="CY883" s="133">
        <f t="shared" si="1253"/>
        <v>2025</v>
      </c>
      <c r="CZ883" s="133">
        <f t="shared" si="1253"/>
        <v>2026</v>
      </c>
      <c r="DA883" s="133">
        <f t="shared" si="1253"/>
        <v>2027</v>
      </c>
      <c r="DB883" s="133">
        <f t="shared" si="1253"/>
        <v>2028</v>
      </c>
      <c r="DC883" s="133">
        <f t="shared" si="1253"/>
        <v>2029</v>
      </c>
      <c r="DD883" s="133">
        <f t="shared" si="1253"/>
        <v>2030</v>
      </c>
      <c r="DE883" s="133">
        <f t="shared" si="1253"/>
        <v>2031</v>
      </c>
      <c r="DF883" s="133">
        <f t="shared" si="1253"/>
        <v>2032</v>
      </c>
      <c r="DG883" s="133">
        <f t="shared" si="1253"/>
        <v>2033</v>
      </c>
      <c r="DH883" s="133">
        <f t="shared" si="1253"/>
        <v>2034</v>
      </c>
      <c r="DI883" s="133">
        <f t="shared" si="1253"/>
        <v>2035</v>
      </c>
      <c r="DJ883" s="133">
        <f t="shared" si="1253"/>
        <v>2036</v>
      </c>
      <c r="DK883" s="133">
        <f t="shared" si="1253"/>
        <v>2037</v>
      </c>
      <c r="DL883" s="133">
        <f t="shared" si="1253"/>
        <v>2038</v>
      </c>
      <c r="DM883" s="133">
        <f t="shared" si="1253"/>
        <v>2039</v>
      </c>
      <c r="DN883" s="133">
        <f t="shared" si="1253"/>
        <v>2040</v>
      </c>
      <c r="DO883" s="133">
        <f t="shared" si="1253"/>
        <v>2041</v>
      </c>
      <c r="DP883" s="133">
        <f t="shared" si="1253"/>
        <v>2042</v>
      </c>
      <c r="DQ883" s="133">
        <f t="shared" si="1253"/>
        <v>2043</v>
      </c>
      <c r="DR883" s="133">
        <f t="shared" si="1253"/>
        <v>2044</v>
      </c>
      <c r="DS883" s="133">
        <f t="shared" si="1253"/>
        <v>2045</v>
      </c>
      <c r="DT883" s="133">
        <f t="shared" si="1253"/>
        <v>2046</v>
      </c>
      <c r="DU883" s="133">
        <f t="shared" si="1253"/>
        <v>2047</v>
      </c>
      <c r="DV883" s="133">
        <f t="shared" si="1253"/>
        <v>2048</v>
      </c>
      <c r="DW883" s="133">
        <f t="shared" si="1253"/>
        <v>2049</v>
      </c>
      <c r="DX883" s="134">
        <f t="shared" si="1253"/>
        <v>2050</v>
      </c>
      <c r="DZ883" s="135">
        <f t="shared" ref="DZ883:FI883" si="1254">DZ$1</f>
        <v>2015</v>
      </c>
      <c r="EA883" s="133">
        <f t="shared" si="1254"/>
        <v>2016</v>
      </c>
      <c r="EB883" s="133">
        <f t="shared" si="1254"/>
        <v>2017</v>
      </c>
      <c r="EC883" s="133">
        <f t="shared" si="1254"/>
        <v>2018</v>
      </c>
      <c r="ED883" s="133">
        <f t="shared" si="1254"/>
        <v>2019</v>
      </c>
      <c r="EE883" s="133">
        <f t="shared" si="1254"/>
        <v>2020</v>
      </c>
      <c r="EF883" s="133">
        <f t="shared" si="1254"/>
        <v>2021</v>
      </c>
      <c r="EG883" s="133">
        <f t="shared" si="1254"/>
        <v>2022</v>
      </c>
      <c r="EH883" s="133">
        <f t="shared" si="1254"/>
        <v>2023</v>
      </c>
      <c r="EI883" s="133">
        <f t="shared" si="1254"/>
        <v>2024</v>
      </c>
      <c r="EJ883" s="133">
        <f t="shared" si="1254"/>
        <v>2025</v>
      </c>
      <c r="EK883" s="133">
        <f t="shared" si="1254"/>
        <v>2026</v>
      </c>
      <c r="EL883" s="133">
        <f t="shared" si="1254"/>
        <v>2027</v>
      </c>
      <c r="EM883" s="133">
        <f t="shared" si="1254"/>
        <v>2028</v>
      </c>
      <c r="EN883" s="133">
        <f t="shared" si="1254"/>
        <v>2029</v>
      </c>
      <c r="EO883" s="133">
        <f t="shared" si="1254"/>
        <v>2030</v>
      </c>
      <c r="EP883" s="133">
        <f t="shared" si="1254"/>
        <v>2031</v>
      </c>
      <c r="EQ883" s="133">
        <f t="shared" si="1254"/>
        <v>2032</v>
      </c>
      <c r="ER883" s="133">
        <f t="shared" si="1254"/>
        <v>2033</v>
      </c>
      <c r="ES883" s="133">
        <f t="shared" si="1254"/>
        <v>2034</v>
      </c>
      <c r="ET883" s="133">
        <f t="shared" si="1254"/>
        <v>2035</v>
      </c>
      <c r="EU883" s="133">
        <f t="shared" si="1254"/>
        <v>2036</v>
      </c>
      <c r="EV883" s="133">
        <f t="shared" si="1254"/>
        <v>2037</v>
      </c>
      <c r="EW883" s="133">
        <f t="shared" si="1254"/>
        <v>2038</v>
      </c>
      <c r="EX883" s="133">
        <f t="shared" si="1254"/>
        <v>2039</v>
      </c>
      <c r="EY883" s="133">
        <f t="shared" si="1254"/>
        <v>2040</v>
      </c>
      <c r="EZ883" s="133">
        <f t="shared" si="1254"/>
        <v>2041</v>
      </c>
      <c r="FA883" s="133">
        <f t="shared" si="1254"/>
        <v>2042</v>
      </c>
      <c r="FB883" s="133">
        <f t="shared" si="1254"/>
        <v>2043</v>
      </c>
      <c r="FC883" s="133">
        <f t="shared" si="1254"/>
        <v>2044</v>
      </c>
      <c r="FD883" s="133">
        <f t="shared" si="1254"/>
        <v>2045</v>
      </c>
      <c r="FE883" s="133">
        <f t="shared" si="1254"/>
        <v>2046</v>
      </c>
      <c r="FF883" s="133">
        <f t="shared" si="1254"/>
        <v>2047</v>
      </c>
      <c r="FG883" s="133">
        <f t="shared" si="1254"/>
        <v>2048</v>
      </c>
      <c r="FH883" s="133">
        <f t="shared" si="1254"/>
        <v>2049</v>
      </c>
      <c r="FI883" s="134">
        <f t="shared" si="1254"/>
        <v>2050</v>
      </c>
      <c r="FK883" s="135">
        <f t="shared" ref="FK883:GT883" si="1255">FK$1</f>
        <v>2015</v>
      </c>
      <c r="FL883" s="133">
        <f t="shared" si="1255"/>
        <v>2016</v>
      </c>
      <c r="FM883" s="133">
        <f t="shared" si="1255"/>
        <v>2017</v>
      </c>
      <c r="FN883" s="133">
        <f t="shared" si="1255"/>
        <v>2018</v>
      </c>
      <c r="FO883" s="133">
        <f t="shared" si="1255"/>
        <v>2019</v>
      </c>
      <c r="FP883" s="133">
        <f t="shared" si="1255"/>
        <v>2020</v>
      </c>
      <c r="FQ883" s="133">
        <f t="shared" si="1255"/>
        <v>2021</v>
      </c>
      <c r="FR883" s="133">
        <f t="shared" si="1255"/>
        <v>2022</v>
      </c>
      <c r="FS883" s="133">
        <f t="shared" si="1255"/>
        <v>2023</v>
      </c>
      <c r="FT883" s="133">
        <f t="shared" si="1255"/>
        <v>2024</v>
      </c>
      <c r="FU883" s="133">
        <f t="shared" si="1255"/>
        <v>2025</v>
      </c>
      <c r="FV883" s="133">
        <f t="shared" si="1255"/>
        <v>2026</v>
      </c>
      <c r="FW883" s="133">
        <f t="shared" si="1255"/>
        <v>2027</v>
      </c>
      <c r="FX883" s="133">
        <f t="shared" si="1255"/>
        <v>2028</v>
      </c>
      <c r="FY883" s="133">
        <f t="shared" si="1255"/>
        <v>2029</v>
      </c>
      <c r="FZ883" s="133">
        <f t="shared" si="1255"/>
        <v>2030</v>
      </c>
      <c r="GA883" s="133">
        <f t="shared" si="1255"/>
        <v>2031</v>
      </c>
      <c r="GB883" s="133">
        <f t="shared" si="1255"/>
        <v>2032</v>
      </c>
      <c r="GC883" s="133">
        <f t="shared" si="1255"/>
        <v>2033</v>
      </c>
      <c r="GD883" s="133">
        <f t="shared" si="1255"/>
        <v>2034</v>
      </c>
      <c r="GE883" s="133">
        <f t="shared" si="1255"/>
        <v>2035</v>
      </c>
      <c r="GF883" s="133">
        <f t="shared" si="1255"/>
        <v>2036</v>
      </c>
      <c r="GG883" s="133">
        <f t="shared" si="1255"/>
        <v>2037</v>
      </c>
      <c r="GH883" s="133">
        <f t="shared" si="1255"/>
        <v>2038</v>
      </c>
      <c r="GI883" s="133">
        <f t="shared" si="1255"/>
        <v>2039</v>
      </c>
      <c r="GJ883" s="133">
        <f t="shared" si="1255"/>
        <v>2040</v>
      </c>
      <c r="GK883" s="133">
        <f t="shared" si="1255"/>
        <v>2041</v>
      </c>
      <c r="GL883" s="133">
        <f t="shared" si="1255"/>
        <v>2042</v>
      </c>
      <c r="GM883" s="133">
        <f t="shared" si="1255"/>
        <v>2043</v>
      </c>
      <c r="GN883" s="133">
        <f t="shared" si="1255"/>
        <v>2044</v>
      </c>
      <c r="GO883" s="133">
        <f t="shared" si="1255"/>
        <v>2045</v>
      </c>
      <c r="GP883" s="133">
        <f t="shared" si="1255"/>
        <v>2046</v>
      </c>
      <c r="GQ883" s="133">
        <f t="shared" si="1255"/>
        <v>2047</v>
      </c>
      <c r="GR883" s="133">
        <f t="shared" si="1255"/>
        <v>2048</v>
      </c>
      <c r="GS883" s="133">
        <f t="shared" si="1255"/>
        <v>2049</v>
      </c>
      <c r="GT883" s="134">
        <f t="shared" si="1255"/>
        <v>2050</v>
      </c>
      <c r="GV883" s="135">
        <f t="shared" ref="GV883:IE883" si="1256">GV$1</f>
        <v>2015</v>
      </c>
      <c r="GW883" s="133">
        <f t="shared" si="1256"/>
        <v>2016</v>
      </c>
      <c r="GX883" s="133">
        <f t="shared" si="1256"/>
        <v>2017</v>
      </c>
      <c r="GY883" s="133">
        <f t="shared" si="1256"/>
        <v>2018</v>
      </c>
      <c r="GZ883" s="133">
        <f t="shared" si="1256"/>
        <v>2019</v>
      </c>
      <c r="HA883" s="133">
        <f t="shared" si="1256"/>
        <v>2020</v>
      </c>
      <c r="HB883" s="133">
        <f t="shared" si="1256"/>
        <v>2021</v>
      </c>
      <c r="HC883" s="133">
        <f t="shared" si="1256"/>
        <v>2022</v>
      </c>
      <c r="HD883" s="133">
        <f t="shared" si="1256"/>
        <v>2023</v>
      </c>
      <c r="HE883" s="133">
        <f t="shared" si="1256"/>
        <v>2024</v>
      </c>
      <c r="HF883" s="133">
        <f t="shared" si="1256"/>
        <v>2025</v>
      </c>
      <c r="HG883" s="133">
        <f t="shared" si="1256"/>
        <v>2026</v>
      </c>
      <c r="HH883" s="133">
        <f t="shared" si="1256"/>
        <v>2027</v>
      </c>
      <c r="HI883" s="133">
        <f t="shared" si="1256"/>
        <v>2028</v>
      </c>
      <c r="HJ883" s="133">
        <f t="shared" si="1256"/>
        <v>2029</v>
      </c>
      <c r="HK883" s="133">
        <f t="shared" si="1256"/>
        <v>2030</v>
      </c>
      <c r="HL883" s="133">
        <f t="shared" si="1256"/>
        <v>2031</v>
      </c>
      <c r="HM883" s="133">
        <f t="shared" si="1256"/>
        <v>2032</v>
      </c>
      <c r="HN883" s="133">
        <f t="shared" si="1256"/>
        <v>2033</v>
      </c>
      <c r="HO883" s="133">
        <f t="shared" si="1256"/>
        <v>2034</v>
      </c>
      <c r="HP883" s="133">
        <f t="shared" si="1256"/>
        <v>2035</v>
      </c>
      <c r="HQ883" s="133">
        <f t="shared" si="1256"/>
        <v>2036</v>
      </c>
      <c r="HR883" s="133">
        <f t="shared" si="1256"/>
        <v>2037</v>
      </c>
      <c r="HS883" s="133">
        <f t="shared" si="1256"/>
        <v>2038</v>
      </c>
      <c r="HT883" s="133">
        <f t="shared" si="1256"/>
        <v>2039</v>
      </c>
      <c r="HU883" s="133">
        <f t="shared" si="1256"/>
        <v>2040</v>
      </c>
      <c r="HV883" s="133">
        <f t="shared" si="1256"/>
        <v>2041</v>
      </c>
      <c r="HW883" s="133">
        <f t="shared" si="1256"/>
        <v>2042</v>
      </c>
      <c r="HX883" s="133">
        <f t="shared" si="1256"/>
        <v>2043</v>
      </c>
      <c r="HY883" s="133">
        <f t="shared" si="1256"/>
        <v>2044</v>
      </c>
      <c r="HZ883" s="133">
        <f t="shared" si="1256"/>
        <v>2045</v>
      </c>
      <c r="IA883" s="133">
        <f t="shared" si="1256"/>
        <v>2046</v>
      </c>
      <c r="IB883" s="133">
        <f t="shared" si="1256"/>
        <v>2047</v>
      </c>
      <c r="IC883" s="133">
        <f t="shared" si="1256"/>
        <v>2048</v>
      </c>
      <c r="ID883" s="133">
        <f t="shared" si="1256"/>
        <v>2049</v>
      </c>
      <c r="IE883" s="134">
        <f t="shared" si="1256"/>
        <v>2050</v>
      </c>
      <c r="IG883" s="135">
        <f t="shared" ref="IG883:JP883" si="1257">IG$1</f>
        <v>2015</v>
      </c>
      <c r="IH883" s="133">
        <f t="shared" si="1257"/>
        <v>2016</v>
      </c>
      <c r="II883" s="133">
        <f t="shared" si="1257"/>
        <v>2017</v>
      </c>
      <c r="IJ883" s="133">
        <f t="shared" si="1257"/>
        <v>2018</v>
      </c>
      <c r="IK883" s="133">
        <f t="shared" si="1257"/>
        <v>2019</v>
      </c>
      <c r="IL883" s="133">
        <f t="shared" si="1257"/>
        <v>2020</v>
      </c>
      <c r="IM883" s="133">
        <f t="shared" si="1257"/>
        <v>2021</v>
      </c>
      <c r="IN883" s="133">
        <f t="shared" si="1257"/>
        <v>2022</v>
      </c>
      <c r="IO883" s="133">
        <f t="shared" si="1257"/>
        <v>2023</v>
      </c>
      <c r="IP883" s="133">
        <f t="shared" si="1257"/>
        <v>2024</v>
      </c>
      <c r="IQ883" s="133">
        <f t="shared" si="1257"/>
        <v>2025</v>
      </c>
      <c r="IR883" s="133">
        <f t="shared" si="1257"/>
        <v>2026</v>
      </c>
      <c r="IS883" s="133">
        <f t="shared" si="1257"/>
        <v>2027</v>
      </c>
      <c r="IT883" s="133">
        <f t="shared" si="1257"/>
        <v>2028</v>
      </c>
      <c r="IU883" s="133">
        <f t="shared" si="1257"/>
        <v>2029</v>
      </c>
      <c r="IV883" s="133">
        <f t="shared" si="1257"/>
        <v>2030</v>
      </c>
      <c r="IW883" s="133">
        <f t="shared" si="1257"/>
        <v>2031</v>
      </c>
      <c r="IX883" s="133">
        <f t="shared" si="1257"/>
        <v>2032</v>
      </c>
      <c r="IY883" s="133">
        <f t="shared" si="1257"/>
        <v>2033</v>
      </c>
      <c r="IZ883" s="133">
        <f t="shared" si="1257"/>
        <v>2034</v>
      </c>
      <c r="JA883" s="133">
        <f t="shared" si="1257"/>
        <v>2035</v>
      </c>
      <c r="JB883" s="133">
        <f t="shared" si="1257"/>
        <v>2036</v>
      </c>
      <c r="JC883" s="133">
        <f t="shared" si="1257"/>
        <v>2037</v>
      </c>
      <c r="JD883" s="133">
        <f t="shared" si="1257"/>
        <v>2038</v>
      </c>
      <c r="JE883" s="133">
        <f t="shared" si="1257"/>
        <v>2039</v>
      </c>
      <c r="JF883" s="133">
        <f t="shared" si="1257"/>
        <v>2040</v>
      </c>
      <c r="JG883" s="133">
        <f t="shared" si="1257"/>
        <v>2041</v>
      </c>
      <c r="JH883" s="133">
        <f t="shared" si="1257"/>
        <v>2042</v>
      </c>
      <c r="JI883" s="133">
        <f t="shared" si="1257"/>
        <v>2043</v>
      </c>
      <c r="JJ883" s="133">
        <f t="shared" si="1257"/>
        <v>2044</v>
      </c>
      <c r="JK883" s="133">
        <f t="shared" si="1257"/>
        <v>2045</v>
      </c>
      <c r="JL883" s="133">
        <f t="shared" si="1257"/>
        <v>2046</v>
      </c>
      <c r="JM883" s="133">
        <f t="shared" si="1257"/>
        <v>2047</v>
      </c>
      <c r="JN883" s="133">
        <f t="shared" si="1257"/>
        <v>2048</v>
      </c>
      <c r="JO883" s="133">
        <f t="shared" si="1257"/>
        <v>2049</v>
      </c>
      <c r="JP883" s="134">
        <f t="shared" si="1257"/>
        <v>2050</v>
      </c>
      <c r="JR883" s="135">
        <f t="shared" ref="JR883:MC883" si="1258">JR$1</f>
        <v>2015</v>
      </c>
      <c r="JS883" s="133">
        <f t="shared" si="1258"/>
        <v>2016</v>
      </c>
      <c r="JT883" s="133">
        <f t="shared" si="1258"/>
        <v>2017</v>
      </c>
      <c r="JU883" s="133">
        <f t="shared" si="1258"/>
        <v>2018</v>
      </c>
      <c r="JV883" s="133">
        <f t="shared" si="1258"/>
        <v>2019</v>
      </c>
      <c r="JW883" s="133">
        <f t="shared" si="1258"/>
        <v>2020</v>
      </c>
      <c r="JX883" s="133">
        <f t="shared" si="1258"/>
        <v>2021</v>
      </c>
      <c r="JY883" s="133">
        <f t="shared" si="1258"/>
        <v>2022</v>
      </c>
      <c r="JZ883" s="133">
        <f t="shared" si="1258"/>
        <v>2023</v>
      </c>
      <c r="KA883" s="133">
        <f t="shared" si="1258"/>
        <v>2024</v>
      </c>
      <c r="KB883" s="133">
        <f t="shared" si="1258"/>
        <v>2025</v>
      </c>
      <c r="KC883" s="133">
        <f t="shared" si="1258"/>
        <v>2026</v>
      </c>
      <c r="KD883" s="133">
        <f t="shared" si="1258"/>
        <v>2027</v>
      </c>
      <c r="KE883" s="133">
        <f t="shared" si="1258"/>
        <v>2028</v>
      </c>
      <c r="KF883" s="133">
        <f t="shared" si="1258"/>
        <v>2029</v>
      </c>
      <c r="KG883" s="133">
        <f t="shared" si="1258"/>
        <v>2030</v>
      </c>
      <c r="KH883" s="133">
        <f t="shared" si="1258"/>
        <v>2031</v>
      </c>
      <c r="KI883" s="133">
        <f t="shared" si="1258"/>
        <v>2032</v>
      </c>
      <c r="KJ883" s="133">
        <f t="shared" si="1258"/>
        <v>2033</v>
      </c>
      <c r="KK883" s="133">
        <f t="shared" si="1258"/>
        <v>2034</v>
      </c>
      <c r="KL883" s="133">
        <f t="shared" si="1258"/>
        <v>2035</v>
      </c>
      <c r="KM883" s="133">
        <f t="shared" si="1258"/>
        <v>2036</v>
      </c>
      <c r="KN883" s="133">
        <f t="shared" si="1258"/>
        <v>2037</v>
      </c>
      <c r="KO883" s="133">
        <f t="shared" si="1258"/>
        <v>2038</v>
      </c>
      <c r="KP883" s="133">
        <f t="shared" si="1258"/>
        <v>2039</v>
      </c>
      <c r="KQ883" s="133">
        <f t="shared" si="1258"/>
        <v>2040</v>
      </c>
      <c r="KR883" s="133">
        <f t="shared" si="1258"/>
        <v>2041</v>
      </c>
      <c r="KS883" s="133">
        <f t="shared" si="1258"/>
        <v>2042</v>
      </c>
      <c r="KT883" s="133">
        <f t="shared" si="1258"/>
        <v>2043</v>
      </c>
      <c r="KU883" s="133">
        <f t="shared" si="1258"/>
        <v>2044</v>
      </c>
      <c r="KV883" s="133">
        <f t="shared" si="1258"/>
        <v>2045</v>
      </c>
      <c r="KW883" s="133">
        <f t="shared" si="1258"/>
        <v>2046</v>
      </c>
      <c r="KX883" s="133">
        <f t="shared" si="1258"/>
        <v>2047</v>
      </c>
      <c r="KY883" s="133">
        <f t="shared" si="1258"/>
        <v>2048</v>
      </c>
      <c r="KZ883" s="133">
        <f t="shared" si="1258"/>
        <v>2049</v>
      </c>
      <c r="LA883" s="134">
        <f t="shared" si="1258"/>
        <v>2050</v>
      </c>
      <c r="LC883" s="135">
        <f t="shared" si="1258"/>
        <v>2015</v>
      </c>
      <c r="LD883" s="133">
        <f t="shared" si="1258"/>
        <v>2016</v>
      </c>
      <c r="LE883" s="133">
        <f t="shared" si="1258"/>
        <v>2017</v>
      </c>
      <c r="LF883" s="133">
        <f t="shared" si="1258"/>
        <v>2018</v>
      </c>
      <c r="LG883" s="133">
        <f t="shared" si="1258"/>
        <v>2019</v>
      </c>
      <c r="LH883" s="133">
        <f t="shared" si="1258"/>
        <v>2020</v>
      </c>
      <c r="LI883" s="133">
        <f t="shared" si="1258"/>
        <v>2021</v>
      </c>
      <c r="LJ883" s="133">
        <f t="shared" si="1258"/>
        <v>2022</v>
      </c>
      <c r="LK883" s="133">
        <f t="shared" si="1258"/>
        <v>2023</v>
      </c>
      <c r="LL883" s="133">
        <f t="shared" si="1258"/>
        <v>2024</v>
      </c>
      <c r="LM883" s="133">
        <f t="shared" si="1258"/>
        <v>2025</v>
      </c>
      <c r="LN883" s="133">
        <f t="shared" si="1258"/>
        <v>2026</v>
      </c>
      <c r="LO883" s="133">
        <f t="shared" si="1258"/>
        <v>2027</v>
      </c>
      <c r="LP883" s="133">
        <f t="shared" si="1258"/>
        <v>2028</v>
      </c>
      <c r="LQ883" s="133">
        <f t="shared" si="1258"/>
        <v>2029</v>
      </c>
      <c r="LR883" s="133">
        <f t="shared" si="1258"/>
        <v>2030</v>
      </c>
      <c r="LS883" s="133">
        <f t="shared" si="1258"/>
        <v>2031</v>
      </c>
      <c r="LT883" s="133">
        <f t="shared" si="1258"/>
        <v>2032</v>
      </c>
      <c r="LU883" s="133">
        <f t="shared" si="1258"/>
        <v>2033</v>
      </c>
      <c r="LV883" s="133">
        <f t="shared" si="1258"/>
        <v>2034</v>
      </c>
      <c r="LW883" s="133">
        <f t="shared" si="1258"/>
        <v>2035</v>
      </c>
      <c r="LX883" s="133">
        <f t="shared" si="1258"/>
        <v>2036</v>
      </c>
      <c r="LY883" s="133">
        <f t="shared" si="1258"/>
        <v>2037</v>
      </c>
      <c r="LZ883" s="133">
        <f t="shared" si="1258"/>
        <v>2038</v>
      </c>
      <c r="MA883" s="133">
        <f t="shared" si="1258"/>
        <v>2039</v>
      </c>
      <c r="MB883" s="133">
        <f t="shared" si="1258"/>
        <v>2040</v>
      </c>
      <c r="MC883" s="133">
        <f t="shared" si="1258"/>
        <v>2041</v>
      </c>
      <c r="MD883" s="133">
        <f t="shared" ref="MD883:ML883" si="1259">MD$1</f>
        <v>2042</v>
      </c>
      <c r="ME883" s="133">
        <f t="shared" si="1259"/>
        <v>2043</v>
      </c>
      <c r="MF883" s="133">
        <f t="shared" si="1259"/>
        <v>2044</v>
      </c>
      <c r="MG883" s="133">
        <f t="shared" si="1259"/>
        <v>2045</v>
      </c>
      <c r="MH883" s="133">
        <f t="shared" si="1259"/>
        <v>2046</v>
      </c>
      <c r="MI883" s="133">
        <f t="shared" si="1259"/>
        <v>2047</v>
      </c>
      <c r="MJ883" s="133">
        <f t="shared" si="1259"/>
        <v>2048</v>
      </c>
      <c r="MK883" s="133">
        <f t="shared" si="1259"/>
        <v>2049</v>
      </c>
      <c r="ML883" s="134">
        <f t="shared" si="1259"/>
        <v>2050</v>
      </c>
    </row>
    <row r="884" spans="3:350" s="4" customFormat="1" ht="18" customHeight="1" x14ac:dyDescent="0.3">
      <c r="C884" s="204" t="s">
        <v>228</v>
      </c>
      <c r="E884" s="1"/>
      <c r="F884" s="138"/>
      <c r="H884" s="245"/>
      <c r="I884" s="1"/>
      <c r="J884" s="1"/>
      <c r="K884" s="1"/>
      <c r="L884" s="1"/>
      <c r="M884" s="1"/>
      <c r="N884" s="1"/>
      <c r="O884" s="1"/>
      <c r="P884" s="1"/>
      <c r="Q884" s="138"/>
      <c r="S884" s="245"/>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38"/>
      <c r="BD884" s="245"/>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38"/>
      <c r="CO884" s="245"/>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38"/>
      <c r="DZ884" s="245"/>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38"/>
      <c r="FK884" s="245"/>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c r="GN884" s="1"/>
      <c r="GO884" s="1"/>
      <c r="GP884" s="1"/>
      <c r="GQ884" s="1"/>
      <c r="GR884" s="1"/>
      <c r="GS884" s="1"/>
      <c r="GT884" s="138"/>
      <c r="GV884" s="245"/>
      <c r="GW884" s="1"/>
      <c r="GX884" s="1"/>
      <c r="GY884" s="1"/>
      <c r="GZ884" s="1"/>
      <c r="HA884" s="1"/>
      <c r="HB884" s="1"/>
      <c r="HC884" s="1"/>
      <c r="HD884" s="1"/>
      <c r="HE884" s="1"/>
      <c r="HF884" s="1"/>
      <c r="HG884" s="1"/>
      <c r="HH884" s="1"/>
      <c r="HI884" s="1"/>
      <c r="HJ884" s="1"/>
      <c r="HK884" s="1"/>
      <c r="HL884" s="1"/>
      <c r="HM884" s="1"/>
      <c r="HN884" s="1"/>
      <c r="HO884" s="1"/>
      <c r="HP884" s="1"/>
      <c r="HQ884" s="1"/>
      <c r="HR884" s="1"/>
      <c r="HS884" s="1"/>
      <c r="HT884" s="1"/>
      <c r="HU884" s="1"/>
      <c r="HV884" s="1"/>
      <c r="HW884" s="1"/>
      <c r="HX884" s="1"/>
      <c r="HY884" s="1"/>
      <c r="HZ884" s="1"/>
      <c r="IA884" s="1"/>
      <c r="IB884" s="1"/>
      <c r="IC884" s="1"/>
      <c r="ID884" s="1"/>
      <c r="IE884" s="138"/>
      <c r="IG884" s="245"/>
      <c r="IH884" s="1"/>
      <c r="II884" s="1"/>
      <c r="IJ884" s="1"/>
      <c r="IK884" s="1"/>
      <c r="IL884" s="1"/>
      <c r="IM884" s="1"/>
      <c r="IN884" s="1"/>
      <c r="IO884" s="1"/>
      <c r="IP884" s="1"/>
      <c r="IQ884" s="1"/>
      <c r="IR884" s="1"/>
      <c r="IS884" s="1"/>
      <c r="IT884" s="1"/>
      <c r="IU884" s="1"/>
      <c r="IV884" s="1"/>
      <c r="IW884" s="1"/>
      <c r="IX884" s="1"/>
      <c r="IY884" s="1"/>
      <c r="IZ884" s="1"/>
      <c r="JA884" s="1"/>
      <c r="JB884" s="1"/>
      <c r="JC884" s="1"/>
      <c r="JD884" s="1"/>
      <c r="JE884" s="1"/>
      <c r="JF884" s="1"/>
      <c r="JG884" s="1"/>
      <c r="JH884" s="1"/>
      <c r="JI884" s="1"/>
      <c r="JJ884" s="1"/>
      <c r="JK884" s="1"/>
      <c r="JL884" s="1"/>
      <c r="JM884" s="1"/>
      <c r="JN884" s="1"/>
      <c r="JO884" s="1"/>
      <c r="JP884" s="138"/>
      <c r="JR884" s="245"/>
      <c r="JS884" s="1"/>
      <c r="JT884" s="1"/>
      <c r="JU884" s="1"/>
      <c r="JV884" s="1"/>
      <c r="JW884" s="1"/>
      <c r="JX884" s="1"/>
      <c r="JY884" s="1"/>
      <c r="JZ884" s="1"/>
      <c r="KA884" s="1"/>
      <c r="KB884" s="1"/>
      <c r="KC884" s="1"/>
      <c r="KD884" s="1"/>
      <c r="KE884" s="1"/>
      <c r="KF884" s="1"/>
      <c r="KG884" s="1"/>
      <c r="KH884" s="1"/>
      <c r="KI884" s="1"/>
      <c r="KJ884" s="1"/>
      <c r="KK884" s="1"/>
      <c r="KL884" s="1"/>
      <c r="KM884" s="1"/>
      <c r="KN884" s="1"/>
      <c r="KO884" s="1"/>
      <c r="KP884" s="1"/>
      <c r="KQ884" s="1"/>
      <c r="KR884" s="1"/>
      <c r="KS884" s="1"/>
      <c r="KT884" s="1"/>
      <c r="KU884" s="1"/>
      <c r="KV884" s="1"/>
      <c r="KW884" s="1"/>
      <c r="KX884" s="1"/>
      <c r="KY884" s="1"/>
      <c r="KZ884" s="1"/>
      <c r="LA884" s="138"/>
      <c r="LC884" s="245"/>
      <c r="LD884" s="1"/>
      <c r="LE884" s="1"/>
      <c r="LF884" s="1"/>
      <c r="LG884" s="1"/>
      <c r="LH884" s="1"/>
      <c r="LI884" s="1"/>
      <c r="LJ884" s="1"/>
      <c r="LK884" s="1"/>
      <c r="LL884" s="1"/>
      <c r="LM884" s="1"/>
      <c r="LN884" s="1"/>
      <c r="LO884" s="1"/>
      <c r="LP884" s="1"/>
      <c r="LQ884" s="1"/>
      <c r="LR884" s="1"/>
      <c r="LS884" s="1"/>
      <c r="LT884" s="1"/>
      <c r="LU884" s="1"/>
      <c r="LV884" s="1"/>
      <c r="LW884" s="1"/>
      <c r="LX884" s="1"/>
      <c r="LY884" s="1"/>
      <c r="LZ884" s="1"/>
      <c r="MA884" s="1"/>
      <c r="MB884" s="1"/>
      <c r="MC884" s="1"/>
      <c r="MD884" s="1"/>
      <c r="ME884" s="1"/>
      <c r="MF884" s="1"/>
      <c r="MG884" s="1"/>
      <c r="MH884" s="1"/>
      <c r="MI884" s="1"/>
      <c r="MJ884" s="1"/>
      <c r="MK884" s="1"/>
      <c r="ML884" s="138"/>
    </row>
    <row r="885" spans="3:350" s="4" customFormat="1" ht="18" customHeight="1" x14ac:dyDescent="0.3">
      <c r="C885" s="136" t="s">
        <v>163</v>
      </c>
      <c r="E885" s="1" t="s">
        <v>103</v>
      </c>
      <c r="F885" s="138"/>
      <c r="H885" s="347"/>
      <c r="I885" s="334"/>
      <c r="J885" s="334"/>
      <c r="K885" s="334"/>
      <c r="L885" s="334"/>
      <c r="M885" s="334"/>
      <c r="N885" s="334"/>
      <c r="O885" s="348">
        <f>1000*0.03</f>
        <v>30</v>
      </c>
      <c r="P885" s="334"/>
      <c r="Q885" s="138"/>
      <c r="S885" s="245"/>
      <c r="T885" s="1"/>
      <c r="U885" s="1"/>
      <c r="V885" s="1"/>
      <c r="W885" s="1"/>
      <c r="X885" s="140">
        <f t="shared" ref="X885:BB885" si="1260">(X404+X421+X437)/10^3</f>
        <v>28.099752953880337</v>
      </c>
      <c r="Y885" s="140">
        <f t="shared" si="1260"/>
        <v>28.681127152926134</v>
      </c>
      <c r="Z885" s="140">
        <f t="shared" si="1260"/>
        <v>28.681127152926134</v>
      </c>
      <c r="AA885" s="140">
        <f t="shared" si="1260"/>
        <v>28.681127152926145</v>
      </c>
      <c r="AB885" s="140">
        <f t="shared" si="1260"/>
        <v>28.681127152926127</v>
      </c>
      <c r="AC885" s="140">
        <f t="shared" si="1260"/>
        <v>28.681127152926127</v>
      </c>
      <c r="AD885" s="140">
        <f t="shared" si="1260"/>
        <v>28.681127152926159</v>
      </c>
      <c r="AE885" s="140">
        <f t="shared" si="1260"/>
        <v>28.681127152926098</v>
      </c>
      <c r="AF885" s="140">
        <f t="shared" si="1260"/>
        <v>28.681127152926159</v>
      </c>
      <c r="AG885" s="140">
        <f t="shared" si="1260"/>
        <v>28.681127152926098</v>
      </c>
      <c r="AH885" s="140">
        <f t="shared" si="1260"/>
        <v>28.681127152926159</v>
      </c>
      <c r="AI885" s="140">
        <f t="shared" si="1260"/>
        <v>28.681127152926098</v>
      </c>
      <c r="AJ885" s="140">
        <f t="shared" si="1260"/>
        <v>28.681127152926216</v>
      </c>
      <c r="AK885" s="140">
        <f t="shared" si="1260"/>
        <v>28.681127152926098</v>
      </c>
      <c r="AL885" s="140">
        <f t="shared" si="1260"/>
        <v>28.681127152926098</v>
      </c>
      <c r="AM885" s="140">
        <f t="shared" si="1260"/>
        <v>28.681127152926216</v>
      </c>
      <c r="AN885" s="140">
        <f t="shared" si="1260"/>
        <v>28.681127152926042</v>
      </c>
      <c r="AO885" s="140">
        <f t="shared" si="1260"/>
        <v>28.681127152926216</v>
      </c>
      <c r="AP885" s="140">
        <f t="shared" si="1260"/>
        <v>28.681127152926098</v>
      </c>
      <c r="AQ885" s="140">
        <f t="shared" si="1260"/>
        <v>28.681127152926098</v>
      </c>
      <c r="AR885" s="140">
        <f t="shared" si="1260"/>
        <v>28.681127152926216</v>
      </c>
      <c r="AS885" s="140">
        <f t="shared" si="1260"/>
        <v>28.681127152926216</v>
      </c>
      <c r="AT885" s="140">
        <f t="shared" si="1260"/>
        <v>28.681127152926098</v>
      </c>
      <c r="AU885" s="140">
        <f t="shared" si="1260"/>
        <v>28.681127152926098</v>
      </c>
      <c r="AV885" s="140">
        <f t="shared" si="1260"/>
        <v>28.681127152926098</v>
      </c>
      <c r="AW885" s="140">
        <f t="shared" si="1260"/>
        <v>28.681127152926216</v>
      </c>
      <c r="AX885" s="140">
        <f t="shared" si="1260"/>
        <v>28.681127152925981</v>
      </c>
      <c r="AY885" s="140">
        <f t="shared" si="1260"/>
        <v>28.681127152926098</v>
      </c>
      <c r="AZ885" s="140">
        <f t="shared" si="1260"/>
        <v>28.681127152926216</v>
      </c>
      <c r="BA885" s="140">
        <f t="shared" si="1260"/>
        <v>28.681127152926216</v>
      </c>
      <c r="BB885" s="141">
        <f t="shared" si="1260"/>
        <v>28.681127152926098</v>
      </c>
      <c r="BD885" s="245"/>
      <c r="BE885" s="1"/>
      <c r="BF885" s="1"/>
      <c r="BG885" s="1"/>
      <c r="BH885" s="1"/>
      <c r="BI885" s="140">
        <f t="shared" ref="BI885:CM885" si="1261">(BI404+BI421+BI437)/10^3</f>
        <v>0</v>
      </c>
      <c r="BJ885" s="140">
        <f t="shared" si="1261"/>
        <v>32.807381578578315</v>
      </c>
      <c r="BK885" s="140">
        <f t="shared" si="1261"/>
        <v>32.807381578578315</v>
      </c>
      <c r="BL885" s="140">
        <f t="shared" si="1261"/>
        <v>32.807381578578315</v>
      </c>
      <c r="BM885" s="140">
        <f t="shared" si="1261"/>
        <v>32.807381578578322</v>
      </c>
      <c r="BN885" s="140">
        <f t="shared" si="1261"/>
        <v>32.807381578578315</v>
      </c>
      <c r="BO885" s="140">
        <f t="shared" si="1261"/>
        <v>32.807381578578315</v>
      </c>
      <c r="BP885" s="140">
        <f t="shared" si="1261"/>
        <v>32.807381578578315</v>
      </c>
      <c r="BQ885" s="140">
        <f t="shared" si="1261"/>
        <v>32.807381578578315</v>
      </c>
      <c r="BR885" s="140">
        <f t="shared" si="1261"/>
        <v>32.807381578578315</v>
      </c>
      <c r="BS885" s="140">
        <f t="shared" si="1261"/>
        <v>32.807381578578315</v>
      </c>
      <c r="BT885" s="140">
        <f t="shared" si="1261"/>
        <v>32.807381578578315</v>
      </c>
      <c r="BU885" s="140">
        <f t="shared" si="1261"/>
        <v>32.807381578578308</v>
      </c>
      <c r="BV885" s="140">
        <f t="shared" si="1261"/>
        <v>32.807381578578315</v>
      </c>
      <c r="BW885" s="140">
        <f t="shared" si="1261"/>
        <v>32.807381578578322</v>
      </c>
      <c r="BX885" s="140">
        <f t="shared" si="1261"/>
        <v>32.80738157857833</v>
      </c>
      <c r="BY885" s="140">
        <f t="shared" si="1261"/>
        <v>32.807381578578308</v>
      </c>
      <c r="BZ885" s="140">
        <f t="shared" si="1261"/>
        <v>32.807381578578308</v>
      </c>
      <c r="CA885" s="140">
        <f t="shared" si="1261"/>
        <v>32.807381578578315</v>
      </c>
      <c r="CB885" s="140">
        <f t="shared" si="1261"/>
        <v>32.807381578578322</v>
      </c>
      <c r="CC885" s="140">
        <f t="shared" si="1261"/>
        <v>32.807381578578308</v>
      </c>
      <c r="CD885" s="140">
        <f t="shared" si="1261"/>
        <v>32.807381578578315</v>
      </c>
      <c r="CE885" s="140">
        <f t="shared" si="1261"/>
        <v>32.807381578578308</v>
      </c>
      <c r="CF885" s="140">
        <f t="shared" si="1261"/>
        <v>32.807381578578315</v>
      </c>
      <c r="CG885" s="140">
        <f t="shared" si="1261"/>
        <v>32.807381578578308</v>
      </c>
      <c r="CH885" s="140">
        <f t="shared" si="1261"/>
        <v>32.807381578578315</v>
      </c>
      <c r="CI885" s="140">
        <f t="shared" si="1261"/>
        <v>32.807381578578322</v>
      </c>
      <c r="CJ885" s="140">
        <f t="shared" si="1261"/>
        <v>32.807381578578337</v>
      </c>
      <c r="CK885" s="140">
        <f t="shared" si="1261"/>
        <v>32.807381578578308</v>
      </c>
      <c r="CL885" s="140">
        <f t="shared" si="1261"/>
        <v>32.807381578578315</v>
      </c>
      <c r="CM885" s="141">
        <f t="shared" si="1261"/>
        <v>32.807381578578322</v>
      </c>
      <c r="CO885" s="245"/>
      <c r="CP885" s="1"/>
      <c r="CQ885" s="1"/>
      <c r="CR885" s="1"/>
      <c r="CS885" s="1"/>
      <c r="CT885" s="140">
        <f t="shared" ref="CT885:DX885" si="1262">(CT404+CT421+CT437)/10^3</f>
        <v>0</v>
      </c>
      <c r="CU885" s="140">
        <f t="shared" si="1262"/>
        <v>24.657505653554157</v>
      </c>
      <c r="CV885" s="140">
        <f t="shared" si="1262"/>
        <v>24.657505653554157</v>
      </c>
      <c r="CW885" s="140">
        <f t="shared" si="1262"/>
        <v>24.657505653554157</v>
      </c>
      <c r="CX885" s="140">
        <f t="shared" si="1262"/>
        <v>24.657505653554164</v>
      </c>
      <c r="CY885" s="140">
        <f t="shared" si="1262"/>
        <v>24.657505653554157</v>
      </c>
      <c r="CZ885" s="140">
        <f t="shared" si="1262"/>
        <v>24.657505653554157</v>
      </c>
      <c r="DA885" s="140">
        <f t="shared" si="1262"/>
        <v>24.657505653554161</v>
      </c>
      <c r="DB885" s="140">
        <f t="shared" si="1262"/>
        <v>24.657505653554168</v>
      </c>
      <c r="DC885" s="140">
        <f t="shared" si="1262"/>
        <v>24.65750565355415</v>
      </c>
      <c r="DD885" s="140">
        <f t="shared" si="1262"/>
        <v>24.657505653554161</v>
      </c>
      <c r="DE885" s="140">
        <f t="shared" si="1262"/>
        <v>24.657505653554164</v>
      </c>
      <c r="DF885" s="140">
        <f t="shared" si="1262"/>
        <v>24.657505653554143</v>
      </c>
      <c r="DG885" s="140">
        <f t="shared" si="1262"/>
        <v>24.657505653554161</v>
      </c>
      <c r="DH885" s="140">
        <f t="shared" si="1262"/>
        <v>24.657505653554161</v>
      </c>
      <c r="DI885" s="140">
        <f t="shared" si="1262"/>
        <v>24.65750565355415</v>
      </c>
      <c r="DJ885" s="140">
        <f t="shared" si="1262"/>
        <v>24.657505653554175</v>
      </c>
      <c r="DK885" s="140">
        <f t="shared" si="1262"/>
        <v>24.657505653554161</v>
      </c>
      <c r="DL885" s="140">
        <f t="shared" si="1262"/>
        <v>24.65750565355415</v>
      </c>
      <c r="DM885" s="140">
        <f t="shared" si="1262"/>
        <v>24.65750565355415</v>
      </c>
      <c r="DN885" s="140">
        <f t="shared" si="1262"/>
        <v>24.657505653554168</v>
      </c>
      <c r="DO885" s="140">
        <f t="shared" si="1262"/>
        <v>24.65750565355415</v>
      </c>
      <c r="DP885" s="140">
        <f t="shared" si="1262"/>
        <v>24.657505653554182</v>
      </c>
      <c r="DQ885" s="140">
        <f t="shared" si="1262"/>
        <v>24.657505653554136</v>
      </c>
      <c r="DR885" s="140">
        <f t="shared" si="1262"/>
        <v>24.657505653554161</v>
      </c>
      <c r="DS885" s="140">
        <f t="shared" si="1262"/>
        <v>24.657505653554171</v>
      </c>
      <c r="DT885" s="140">
        <f t="shared" si="1262"/>
        <v>24.657505653554143</v>
      </c>
      <c r="DU885" s="140">
        <f t="shared" si="1262"/>
        <v>24.657505653554168</v>
      </c>
      <c r="DV885" s="140">
        <f t="shared" si="1262"/>
        <v>24.657505653554161</v>
      </c>
      <c r="DW885" s="140">
        <f t="shared" si="1262"/>
        <v>24.657505653554185</v>
      </c>
      <c r="DX885" s="141">
        <f t="shared" si="1262"/>
        <v>24.657505653554121</v>
      </c>
      <c r="DZ885" s="245"/>
      <c r="EA885" s="1"/>
      <c r="EB885" s="1"/>
      <c r="EC885" s="1"/>
      <c r="ED885" s="1"/>
      <c r="EE885" s="140">
        <f t="shared" ref="EE885:FI885" si="1263">(EE404+EE421+EE437)/10^3</f>
        <v>0</v>
      </c>
      <c r="EF885" s="140">
        <f t="shared" si="1263"/>
        <v>25.208624207169034</v>
      </c>
      <c r="EG885" s="140">
        <f t="shared" si="1263"/>
        <v>25.208624207169034</v>
      </c>
      <c r="EH885" s="140">
        <f t="shared" si="1263"/>
        <v>25.208624207169034</v>
      </c>
      <c r="EI885" s="140">
        <f t="shared" si="1263"/>
        <v>25.208624207169034</v>
      </c>
      <c r="EJ885" s="140">
        <f t="shared" si="1263"/>
        <v>25.208624207169034</v>
      </c>
      <c r="EK885" s="140">
        <f t="shared" si="1263"/>
        <v>25.208624207169034</v>
      </c>
      <c r="EL885" s="140">
        <f t="shared" si="1263"/>
        <v>25.208624207169027</v>
      </c>
      <c r="EM885" s="140">
        <f t="shared" si="1263"/>
        <v>25.208624207169041</v>
      </c>
      <c r="EN885" s="140">
        <f t="shared" si="1263"/>
        <v>25.208624207169027</v>
      </c>
      <c r="EO885" s="140">
        <f t="shared" si="1263"/>
        <v>25.208624207169034</v>
      </c>
      <c r="EP885" s="140">
        <f t="shared" si="1263"/>
        <v>25.208624207169041</v>
      </c>
      <c r="EQ885" s="140">
        <f t="shared" si="1263"/>
        <v>25.20862420716902</v>
      </c>
      <c r="ER885" s="140">
        <f t="shared" si="1263"/>
        <v>25.208624207169034</v>
      </c>
      <c r="ES885" s="140">
        <f t="shared" si="1263"/>
        <v>25.208624207169027</v>
      </c>
      <c r="ET885" s="140">
        <f t="shared" si="1263"/>
        <v>25.208624207169041</v>
      </c>
      <c r="EU885" s="140">
        <f t="shared" si="1263"/>
        <v>25.208624207169041</v>
      </c>
      <c r="EV885" s="140">
        <f t="shared" si="1263"/>
        <v>25.208624207169027</v>
      </c>
      <c r="EW885" s="140">
        <f t="shared" si="1263"/>
        <v>25.20862420716902</v>
      </c>
      <c r="EX885" s="140">
        <f t="shared" si="1263"/>
        <v>25.208624207169041</v>
      </c>
      <c r="EY885" s="140">
        <f t="shared" si="1263"/>
        <v>25.208624207169027</v>
      </c>
      <c r="EZ885" s="140">
        <f t="shared" si="1263"/>
        <v>25.20862420716902</v>
      </c>
      <c r="FA885" s="140">
        <f t="shared" si="1263"/>
        <v>25.208624207169073</v>
      </c>
      <c r="FB885" s="140">
        <f t="shared" si="1263"/>
        <v>25.208624207169027</v>
      </c>
      <c r="FC885" s="140">
        <f t="shared" si="1263"/>
        <v>25.208624207169013</v>
      </c>
      <c r="FD885" s="140">
        <f t="shared" si="1263"/>
        <v>25.208624207169034</v>
      </c>
      <c r="FE885" s="140">
        <f t="shared" si="1263"/>
        <v>25.208624207169034</v>
      </c>
      <c r="FF885" s="140">
        <f t="shared" si="1263"/>
        <v>25.208624207169066</v>
      </c>
      <c r="FG885" s="140">
        <f t="shared" si="1263"/>
        <v>25.208624207168992</v>
      </c>
      <c r="FH885" s="140">
        <f t="shared" si="1263"/>
        <v>25.208624207169066</v>
      </c>
      <c r="FI885" s="141">
        <f t="shared" si="1263"/>
        <v>25.208624207169013</v>
      </c>
      <c r="FK885" s="245"/>
      <c r="FL885" s="1"/>
      <c r="FM885" s="1"/>
      <c r="FN885" s="1"/>
      <c r="FO885" s="1"/>
      <c r="FP885" s="140">
        <f t="shared" ref="FP885:GT885" si="1264">(FP404+FP421+FP437)/10^3</f>
        <v>0</v>
      </c>
      <c r="FQ885" s="140">
        <f t="shared" si="1264"/>
        <v>29.893626467270046</v>
      </c>
      <c r="FR885" s="140">
        <f t="shared" si="1264"/>
        <v>29.893626467270046</v>
      </c>
      <c r="FS885" s="140">
        <f t="shared" si="1264"/>
        <v>29.893626467270046</v>
      </c>
      <c r="FT885" s="140">
        <f t="shared" si="1264"/>
        <v>29.893626467270046</v>
      </c>
      <c r="FU885" s="140">
        <f t="shared" si="1264"/>
        <v>29.893626467270046</v>
      </c>
      <c r="FV885" s="140">
        <f t="shared" si="1264"/>
        <v>29.89362646727005</v>
      </c>
      <c r="FW885" s="140">
        <f t="shared" si="1264"/>
        <v>29.89362646727005</v>
      </c>
      <c r="FX885" s="140">
        <f t="shared" si="1264"/>
        <v>29.89362646727005</v>
      </c>
      <c r="FY885" s="140">
        <f t="shared" si="1264"/>
        <v>29.893626467270046</v>
      </c>
      <c r="FZ885" s="140">
        <f t="shared" si="1264"/>
        <v>29.89362646727005</v>
      </c>
      <c r="GA885" s="140">
        <f t="shared" si="1264"/>
        <v>29.89362646727005</v>
      </c>
      <c r="GB885" s="140">
        <f t="shared" si="1264"/>
        <v>29.893626467270042</v>
      </c>
      <c r="GC885" s="140">
        <f t="shared" si="1264"/>
        <v>29.89362646727005</v>
      </c>
      <c r="GD885" s="140">
        <f t="shared" si="1264"/>
        <v>29.893626467270057</v>
      </c>
      <c r="GE885" s="140">
        <f t="shared" si="1264"/>
        <v>29.893626467270053</v>
      </c>
      <c r="GF885" s="140">
        <f t="shared" si="1264"/>
        <v>29.893626467270046</v>
      </c>
      <c r="GG885" s="140">
        <f t="shared" si="1264"/>
        <v>29.89362646727005</v>
      </c>
      <c r="GH885" s="140">
        <f t="shared" si="1264"/>
        <v>29.89362646727005</v>
      </c>
      <c r="GI885" s="140">
        <f t="shared" si="1264"/>
        <v>29.893626467270064</v>
      </c>
      <c r="GJ885" s="140">
        <f t="shared" si="1264"/>
        <v>29.893626467270035</v>
      </c>
      <c r="GK885" s="140">
        <f t="shared" si="1264"/>
        <v>29.893626467270035</v>
      </c>
      <c r="GL885" s="140">
        <f t="shared" si="1264"/>
        <v>29.893626467270071</v>
      </c>
      <c r="GM885" s="140">
        <f t="shared" si="1264"/>
        <v>29.893626467270071</v>
      </c>
      <c r="GN885" s="140">
        <f t="shared" si="1264"/>
        <v>29.89362646727001</v>
      </c>
      <c r="GO885" s="140">
        <f t="shared" si="1264"/>
        <v>29.893626467270064</v>
      </c>
      <c r="GP885" s="140">
        <f t="shared" si="1264"/>
        <v>29.893626467270032</v>
      </c>
      <c r="GQ885" s="140">
        <f t="shared" si="1264"/>
        <v>29.893626467270085</v>
      </c>
      <c r="GR885" s="140">
        <f t="shared" si="1264"/>
        <v>29.893626467270025</v>
      </c>
      <c r="GS885" s="140">
        <f t="shared" si="1264"/>
        <v>29.893626467270071</v>
      </c>
      <c r="GT885" s="141">
        <f t="shared" si="1264"/>
        <v>29.893626467270035</v>
      </c>
      <c r="GV885" s="245"/>
      <c r="GW885" s="1"/>
      <c r="GX885" s="1"/>
      <c r="GY885" s="1"/>
      <c r="GZ885" s="1"/>
      <c r="HA885" s="140">
        <f t="shared" ref="HA885:IE885" si="1265">(HA404+HA421+HA437)/10^3</f>
        <v>0</v>
      </c>
      <c r="HB885" s="140">
        <f t="shared" si="1265"/>
        <v>32.040682054043245</v>
      </c>
      <c r="HC885" s="140">
        <f t="shared" si="1265"/>
        <v>32.040682054043245</v>
      </c>
      <c r="HD885" s="140">
        <f t="shared" si="1265"/>
        <v>32.040682054043245</v>
      </c>
      <c r="HE885" s="140">
        <f t="shared" si="1265"/>
        <v>32.040682054043245</v>
      </c>
      <c r="HF885" s="140">
        <f t="shared" si="1265"/>
        <v>32.040682054043245</v>
      </c>
      <c r="HG885" s="140">
        <f t="shared" si="1265"/>
        <v>32.040682054043245</v>
      </c>
      <c r="HH885" s="140">
        <f t="shared" si="1265"/>
        <v>32.040682054043245</v>
      </c>
      <c r="HI885" s="140">
        <f t="shared" si="1265"/>
        <v>32.040682054043238</v>
      </c>
      <c r="HJ885" s="140">
        <f t="shared" si="1265"/>
        <v>32.040682054043252</v>
      </c>
      <c r="HK885" s="140">
        <f t="shared" si="1265"/>
        <v>32.040682054043252</v>
      </c>
      <c r="HL885" s="140">
        <f t="shared" si="1265"/>
        <v>32.040682054043252</v>
      </c>
      <c r="HM885" s="140">
        <f t="shared" si="1265"/>
        <v>32.040682054043245</v>
      </c>
      <c r="HN885" s="140">
        <f t="shared" si="1265"/>
        <v>32.040682054043245</v>
      </c>
      <c r="HO885" s="140">
        <f t="shared" si="1265"/>
        <v>32.040682054043245</v>
      </c>
      <c r="HP885" s="140">
        <f t="shared" si="1265"/>
        <v>32.040682054043252</v>
      </c>
      <c r="HQ885" s="140">
        <f t="shared" si="1265"/>
        <v>32.040682054043231</v>
      </c>
      <c r="HR885" s="140">
        <f t="shared" si="1265"/>
        <v>32.040682054043273</v>
      </c>
      <c r="HS885" s="140">
        <f t="shared" si="1265"/>
        <v>32.040682054043231</v>
      </c>
      <c r="HT885" s="140">
        <f t="shared" si="1265"/>
        <v>32.040682054043238</v>
      </c>
      <c r="HU885" s="140">
        <f t="shared" si="1265"/>
        <v>32.040682054043266</v>
      </c>
      <c r="HV885" s="140">
        <f t="shared" si="1265"/>
        <v>32.040682054043245</v>
      </c>
      <c r="HW885" s="140">
        <f t="shared" si="1265"/>
        <v>32.040682054043266</v>
      </c>
      <c r="HX885" s="140">
        <f t="shared" si="1265"/>
        <v>32.040682054043224</v>
      </c>
      <c r="HY885" s="140">
        <f t="shared" si="1265"/>
        <v>32.040682054043259</v>
      </c>
      <c r="HZ885" s="140">
        <f t="shared" si="1265"/>
        <v>32.040682054043231</v>
      </c>
      <c r="IA885" s="140">
        <f t="shared" si="1265"/>
        <v>32.040682054043259</v>
      </c>
      <c r="IB885" s="140">
        <f t="shared" si="1265"/>
        <v>32.040682054043273</v>
      </c>
      <c r="IC885" s="140">
        <f t="shared" si="1265"/>
        <v>32.040682054043224</v>
      </c>
      <c r="ID885" s="140">
        <f t="shared" si="1265"/>
        <v>32.040682054043245</v>
      </c>
      <c r="IE885" s="141">
        <f t="shared" si="1265"/>
        <v>32.040682054043266</v>
      </c>
      <c r="IG885" s="245"/>
      <c r="IH885" s="1"/>
      <c r="II885" s="1"/>
      <c r="IJ885" s="1"/>
      <c r="IK885" s="1"/>
      <c r="IL885" s="140"/>
      <c r="IM885" s="140"/>
      <c r="IN885" s="140"/>
      <c r="IO885" s="140"/>
      <c r="IP885" s="140"/>
      <c r="IQ885" s="140"/>
      <c r="IR885" s="140"/>
      <c r="IS885" s="140"/>
      <c r="IT885" s="140"/>
      <c r="IU885" s="140"/>
      <c r="IV885" s="140"/>
      <c r="IW885" s="140"/>
      <c r="IX885" s="140"/>
      <c r="IY885" s="140"/>
      <c r="IZ885" s="140"/>
      <c r="JA885" s="140"/>
      <c r="JB885" s="140"/>
      <c r="JC885" s="140"/>
      <c r="JD885" s="140"/>
      <c r="JE885" s="140"/>
      <c r="JF885" s="140"/>
      <c r="JG885" s="140"/>
      <c r="JH885" s="140"/>
      <c r="JI885" s="140"/>
      <c r="JJ885" s="140"/>
      <c r="JK885" s="140"/>
      <c r="JL885" s="140"/>
      <c r="JM885" s="140"/>
      <c r="JN885" s="140"/>
      <c r="JO885" s="140"/>
      <c r="JP885" s="141"/>
      <c r="JR885" s="245"/>
      <c r="JS885" s="1"/>
      <c r="JT885" s="1"/>
      <c r="JU885" s="1"/>
      <c r="JV885" s="1"/>
      <c r="JW885" s="140"/>
      <c r="JX885" s="140"/>
      <c r="JY885" s="140"/>
      <c r="JZ885" s="140"/>
      <c r="KA885" s="140"/>
      <c r="KB885" s="140"/>
      <c r="KC885" s="140"/>
      <c r="KD885" s="140"/>
      <c r="KE885" s="140"/>
      <c r="KF885" s="140"/>
      <c r="KG885" s="140"/>
      <c r="KH885" s="140"/>
      <c r="KI885" s="140"/>
      <c r="KJ885" s="140"/>
      <c r="KK885" s="140"/>
      <c r="KL885" s="140"/>
      <c r="KM885" s="140"/>
      <c r="KN885" s="140"/>
      <c r="KO885" s="140"/>
      <c r="KP885" s="140"/>
      <c r="KQ885" s="140"/>
      <c r="KR885" s="140"/>
      <c r="KS885" s="140"/>
      <c r="KT885" s="140"/>
      <c r="KU885" s="140"/>
      <c r="KV885" s="140"/>
      <c r="KW885" s="140"/>
      <c r="KX885" s="140"/>
      <c r="KY885" s="140"/>
      <c r="KZ885" s="140"/>
      <c r="LA885" s="141"/>
      <c r="LC885" s="245"/>
      <c r="LD885" s="1"/>
      <c r="LE885" s="1"/>
      <c r="LF885" s="1"/>
      <c r="LG885" s="1"/>
      <c r="LH885" s="140"/>
      <c r="LI885" s="140"/>
      <c r="LJ885" s="140"/>
      <c r="LK885" s="140"/>
      <c r="LL885" s="140"/>
      <c r="LM885" s="140"/>
      <c r="LN885" s="140"/>
      <c r="LO885" s="140"/>
      <c r="LP885" s="140"/>
      <c r="LQ885" s="140"/>
      <c r="LR885" s="140"/>
      <c r="LS885" s="140"/>
      <c r="LT885" s="140"/>
      <c r="LU885" s="140"/>
      <c r="LV885" s="140"/>
      <c r="LW885" s="140"/>
      <c r="LX885" s="140"/>
      <c r="LY885" s="140"/>
      <c r="LZ885" s="140"/>
      <c r="MA885" s="140"/>
      <c r="MB885" s="140"/>
      <c r="MC885" s="140"/>
      <c r="MD885" s="140"/>
      <c r="ME885" s="140"/>
      <c r="MF885" s="140"/>
      <c r="MG885" s="140"/>
      <c r="MH885" s="140"/>
      <c r="MI885" s="140"/>
      <c r="MJ885" s="140"/>
      <c r="MK885" s="140"/>
      <c r="ML885" s="141"/>
    </row>
    <row r="886" spans="3:350" s="4" customFormat="1" ht="18" customHeight="1" x14ac:dyDescent="0.3">
      <c r="C886" s="136" t="s">
        <v>228</v>
      </c>
      <c r="E886" s="1" t="s">
        <v>393</v>
      </c>
      <c r="F886" s="138"/>
      <c r="H886" s="139">
        <v>3904.7894029099866</v>
      </c>
      <c r="I886" s="140">
        <v>4332.3763811623157</v>
      </c>
      <c r="J886" s="140">
        <v>4788.5628989669758</v>
      </c>
      <c r="K886" s="140">
        <v>4749.0333950238037</v>
      </c>
      <c r="L886" s="140">
        <v>4727.5566916803346</v>
      </c>
      <c r="M886" s="140">
        <v>4388.1397776695358</v>
      </c>
      <c r="N886" s="140">
        <v>5530.5491330042878</v>
      </c>
      <c r="O886" s="140">
        <v>5722.4467037013737</v>
      </c>
      <c r="P886" s="140">
        <v>5880.2590479772325</v>
      </c>
      <c r="Q886" s="138"/>
      <c r="S886" s="245"/>
      <c r="T886" s="1"/>
      <c r="U886" s="1"/>
      <c r="V886" s="1"/>
      <c r="W886" s="1"/>
      <c r="X886" s="140">
        <f t="shared" ref="X886:BB886" si="1266">X777</f>
        <v>11175.645050860463</v>
      </c>
      <c r="Y886" s="140">
        <f t="shared" si="1266"/>
        <v>11418.824947999177</v>
      </c>
      <c r="Z886" s="140">
        <f t="shared" si="1266"/>
        <v>11418.824947999177</v>
      </c>
      <c r="AA886" s="140">
        <f t="shared" si="1266"/>
        <v>11418.824947999179</v>
      </c>
      <c r="AB886" s="140">
        <f t="shared" si="1266"/>
        <v>11418.824947999174</v>
      </c>
      <c r="AC886" s="140">
        <f t="shared" si="1266"/>
        <v>11418.824947999174</v>
      </c>
      <c r="AD886" s="140">
        <f t="shared" si="1266"/>
        <v>11418.824947999185</v>
      </c>
      <c r="AE886" s="140">
        <f t="shared" si="1266"/>
        <v>11418.824947999161</v>
      </c>
      <c r="AF886" s="140">
        <f t="shared" si="1266"/>
        <v>11418.824947999185</v>
      </c>
      <c r="AG886" s="140">
        <f t="shared" si="1266"/>
        <v>11418.824947999161</v>
      </c>
      <c r="AH886" s="140">
        <f t="shared" si="1266"/>
        <v>11418.824947999185</v>
      </c>
      <c r="AI886" s="140">
        <f t="shared" si="1266"/>
        <v>11418.824947999161</v>
      </c>
      <c r="AJ886" s="140">
        <f t="shared" si="1266"/>
        <v>11418.82494799921</v>
      </c>
      <c r="AK886" s="140">
        <f t="shared" si="1266"/>
        <v>11418.824947999161</v>
      </c>
      <c r="AL886" s="140">
        <f t="shared" si="1266"/>
        <v>11418.824947999161</v>
      </c>
      <c r="AM886" s="140">
        <f t="shared" si="1266"/>
        <v>11418.82494799921</v>
      </c>
      <c r="AN886" s="140">
        <f t="shared" si="1266"/>
        <v>11418.824947999137</v>
      </c>
      <c r="AO886" s="140">
        <f t="shared" si="1266"/>
        <v>11418.82494799921</v>
      </c>
      <c r="AP886" s="140">
        <f t="shared" si="1266"/>
        <v>11418.824947999161</v>
      </c>
      <c r="AQ886" s="140">
        <f t="shared" si="1266"/>
        <v>11418.824947999161</v>
      </c>
      <c r="AR886" s="140">
        <f t="shared" si="1266"/>
        <v>11418.82494799921</v>
      </c>
      <c r="AS886" s="140">
        <f t="shared" si="1266"/>
        <v>11418.82494799921</v>
      </c>
      <c r="AT886" s="140">
        <f t="shared" si="1266"/>
        <v>11418.824947999161</v>
      </c>
      <c r="AU886" s="140">
        <f t="shared" si="1266"/>
        <v>11418.824947999161</v>
      </c>
      <c r="AV886" s="140">
        <f t="shared" si="1266"/>
        <v>11418.824947999161</v>
      </c>
      <c r="AW886" s="140">
        <f t="shared" si="1266"/>
        <v>11418.82494799921</v>
      </c>
      <c r="AX886" s="140">
        <f t="shared" si="1266"/>
        <v>11418.824947999112</v>
      </c>
      <c r="AY886" s="140">
        <f t="shared" si="1266"/>
        <v>11418.824947999161</v>
      </c>
      <c r="AZ886" s="140">
        <f t="shared" si="1266"/>
        <v>11418.82494799921</v>
      </c>
      <c r="BA886" s="140">
        <f t="shared" si="1266"/>
        <v>11418.82494799921</v>
      </c>
      <c r="BB886" s="141">
        <f t="shared" si="1266"/>
        <v>11418.824947999161</v>
      </c>
      <c r="BD886" s="245"/>
      <c r="BE886" s="1"/>
      <c r="BF886" s="1"/>
      <c r="BG886" s="1"/>
      <c r="BH886" s="1"/>
      <c r="BI886" s="140">
        <f t="shared" ref="BI886:CM886" si="1267">BI777</f>
        <v>0</v>
      </c>
      <c r="BJ886" s="140">
        <f t="shared" si="1267"/>
        <v>8401.1761948143176</v>
      </c>
      <c r="BK886" s="140">
        <f t="shared" si="1267"/>
        <v>8401.1761948143176</v>
      </c>
      <c r="BL886" s="140">
        <f t="shared" si="1267"/>
        <v>8401.1761948143176</v>
      </c>
      <c r="BM886" s="140">
        <f t="shared" si="1267"/>
        <v>8401.1761948143176</v>
      </c>
      <c r="BN886" s="140">
        <f t="shared" si="1267"/>
        <v>8401.1761948143176</v>
      </c>
      <c r="BO886" s="140">
        <f t="shared" si="1267"/>
        <v>8401.1761948143157</v>
      </c>
      <c r="BP886" s="140">
        <f t="shared" si="1267"/>
        <v>8401.1761948143176</v>
      </c>
      <c r="BQ886" s="140">
        <f t="shared" si="1267"/>
        <v>8401.1761948143176</v>
      </c>
      <c r="BR886" s="140">
        <f t="shared" si="1267"/>
        <v>8401.1761948143157</v>
      </c>
      <c r="BS886" s="140">
        <f t="shared" si="1267"/>
        <v>8401.1761948143176</v>
      </c>
      <c r="BT886" s="140">
        <f t="shared" si="1267"/>
        <v>8401.1761948143176</v>
      </c>
      <c r="BU886" s="140">
        <f t="shared" si="1267"/>
        <v>8401.1761948143157</v>
      </c>
      <c r="BV886" s="140">
        <f t="shared" si="1267"/>
        <v>8401.1761948143176</v>
      </c>
      <c r="BW886" s="140">
        <f t="shared" si="1267"/>
        <v>8401.1761948143194</v>
      </c>
      <c r="BX886" s="140">
        <f t="shared" si="1267"/>
        <v>8401.1761948143212</v>
      </c>
      <c r="BY886" s="140">
        <f t="shared" si="1267"/>
        <v>8401.1761948143157</v>
      </c>
      <c r="BZ886" s="140">
        <f t="shared" si="1267"/>
        <v>8401.1761948143157</v>
      </c>
      <c r="CA886" s="140">
        <f t="shared" si="1267"/>
        <v>8401.1761948143176</v>
      </c>
      <c r="CB886" s="140">
        <f t="shared" si="1267"/>
        <v>8401.1761948143212</v>
      </c>
      <c r="CC886" s="140">
        <f t="shared" si="1267"/>
        <v>8401.1761948143176</v>
      </c>
      <c r="CD886" s="140">
        <f t="shared" si="1267"/>
        <v>8401.1761948143194</v>
      </c>
      <c r="CE886" s="140">
        <f t="shared" si="1267"/>
        <v>8401.1761948143157</v>
      </c>
      <c r="CF886" s="140">
        <f t="shared" si="1267"/>
        <v>8401.1761948143139</v>
      </c>
      <c r="CG886" s="140">
        <f t="shared" si="1267"/>
        <v>8401.1761948143194</v>
      </c>
      <c r="CH886" s="140">
        <f t="shared" si="1267"/>
        <v>8401.1761948143139</v>
      </c>
      <c r="CI886" s="140">
        <f t="shared" si="1267"/>
        <v>8401.1761948143212</v>
      </c>
      <c r="CJ886" s="140">
        <f t="shared" si="1267"/>
        <v>8401.176194814323</v>
      </c>
      <c r="CK886" s="140">
        <f t="shared" si="1267"/>
        <v>8401.1761948143176</v>
      </c>
      <c r="CL886" s="140">
        <f t="shared" si="1267"/>
        <v>8401.1761948143157</v>
      </c>
      <c r="CM886" s="141">
        <f t="shared" si="1267"/>
        <v>8401.1761948143248</v>
      </c>
      <c r="CO886" s="245"/>
      <c r="CP886" s="1"/>
      <c r="CQ886" s="1"/>
      <c r="CR886" s="1"/>
      <c r="CS886" s="1"/>
      <c r="CT886" s="140">
        <f t="shared" ref="CT886:DX886" si="1268">CT777</f>
        <v>0</v>
      </c>
      <c r="CU886" s="140">
        <f t="shared" si="1268"/>
        <v>8671.9548504639661</v>
      </c>
      <c r="CV886" s="140">
        <f t="shared" si="1268"/>
        <v>8671.9548504639661</v>
      </c>
      <c r="CW886" s="140">
        <f t="shared" si="1268"/>
        <v>8671.9548504639661</v>
      </c>
      <c r="CX886" s="140">
        <f t="shared" si="1268"/>
        <v>8671.9548504639661</v>
      </c>
      <c r="CY886" s="140">
        <f t="shared" si="1268"/>
        <v>8671.9548504639642</v>
      </c>
      <c r="CZ886" s="140">
        <f t="shared" si="1268"/>
        <v>8671.9548504639679</v>
      </c>
      <c r="DA886" s="140">
        <f t="shared" si="1268"/>
        <v>8671.9548504639661</v>
      </c>
      <c r="DB886" s="140">
        <f t="shared" si="1268"/>
        <v>8671.9548504639661</v>
      </c>
      <c r="DC886" s="140">
        <f t="shared" si="1268"/>
        <v>8671.9548504639661</v>
      </c>
      <c r="DD886" s="140">
        <f t="shared" si="1268"/>
        <v>8671.9548504639624</v>
      </c>
      <c r="DE886" s="140">
        <f t="shared" si="1268"/>
        <v>8671.9548504639697</v>
      </c>
      <c r="DF886" s="140">
        <f t="shared" si="1268"/>
        <v>8671.9548504639642</v>
      </c>
      <c r="DG886" s="140">
        <f t="shared" si="1268"/>
        <v>8671.9548504639661</v>
      </c>
      <c r="DH886" s="140">
        <f t="shared" si="1268"/>
        <v>8671.9548504639642</v>
      </c>
      <c r="DI886" s="140">
        <f t="shared" si="1268"/>
        <v>8671.9548504639642</v>
      </c>
      <c r="DJ886" s="140">
        <f t="shared" si="1268"/>
        <v>8671.9548504639697</v>
      </c>
      <c r="DK886" s="140">
        <f t="shared" si="1268"/>
        <v>8671.9548504639661</v>
      </c>
      <c r="DL886" s="140">
        <f t="shared" si="1268"/>
        <v>8671.9548504639642</v>
      </c>
      <c r="DM886" s="140">
        <f t="shared" si="1268"/>
        <v>8671.9548504639606</v>
      </c>
      <c r="DN886" s="140">
        <f t="shared" si="1268"/>
        <v>8671.9548504639661</v>
      </c>
      <c r="DO886" s="140">
        <f t="shared" si="1268"/>
        <v>8671.9548504639679</v>
      </c>
      <c r="DP886" s="140">
        <f t="shared" si="1268"/>
        <v>8671.9548504639733</v>
      </c>
      <c r="DQ886" s="140">
        <f t="shared" si="1268"/>
        <v>8671.954850463957</v>
      </c>
      <c r="DR886" s="140">
        <f t="shared" si="1268"/>
        <v>8671.9548504639715</v>
      </c>
      <c r="DS886" s="140">
        <f t="shared" si="1268"/>
        <v>8671.9548504639661</v>
      </c>
      <c r="DT886" s="140">
        <f t="shared" si="1268"/>
        <v>8671.9548504639661</v>
      </c>
      <c r="DU886" s="140">
        <f t="shared" si="1268"/>
        <v>8671.9548504639624</v>
      </c>
      <c r="DV886" s="140">
        <f t="shared" si="1268"/>
        <v>8671.9548504639715</v>
      </c>
      <c r="DW886" s="140">
        <f t="shared" si="1268"/>
        <v>8671.9548504639715</v>
      </c>
      <c r="DX886" s="141">
        <f t="shared" si="1268"/>
        <v>8671.9548504639588</v>
      </c>
      <c r="DZ886" s="245"/>
      <c r="EA886" s="1"/>
      <c r="EB886" s="1"/>
      <c r="EC886" s="1"/>
      <c r="ED886" s="1"/>
      <c r="EE886" s="140">
        <f t="shared" ref="EE886:FI886" si="1269">EE777</f>
        <v>0</v>
      </c>
      <c r="EF886" s="140">
        <f t="shared" si="1269"/>
        <v>8013.6179934781285</v>
      </c>
      <c r="EG886" s="140">
        <f t="shared" si="1269"/>
        <v>8013.6179934781285</v>
      </c>
      <c r="EH886" s="140">
        <f t="shared" si="1269"/>
        <v>8013.6179934781276</v>
      </c>
      <c r="EI886" s="140">
        <f t="shared" si="1269"/>
        <v>8013.6179934781285</v>
      </c>
      <c r="EJ886" s="140">
        <f t="shared" si="1269"/>
        <v>8013.6179934781276</v>
      </c>
      <c r="EK886" s="140">
        <f t="shared" si="1269"/>
        <v>8013.6179934781294</v>
      </c>
      <c r="EL886" s="140">
        <f t="shared" si="1269"/>
        <v>8013.6179934781276</v>
      </c>
      <c r="EM886" s="140">
        <f t="shared" si="1269"/>
        <v>8013.6179934781339</v>
      </c>
      <c r="EN886" s="140">
        <f t="shared" si="1269"/>
        <v>8013.6179934781258</v>
      </c>
      <c r="EO886" s="140">
        <f t="shared" si="1269"/>
        <v>8013.6179934781294</v>
      </c>
      <c r="EP886" s="140">
        <f t="shared" si="1269"/>
        <v>8013.6179934781312</v>
      </c>
      <c r="EQ886" s="140">
        <f t="shared" si="1269"/>
        <v>8013.6179934781239</v>
      </c>
      <c r="ER886" s="140">
        <f t="shared" si="1269"/>
        <v>8013.6179934781285</v>
      </c>
      <c r="ES886" s="140">
        <f t="shared" si="1269"/>
        <v>8013.6179934781258</v>
      </c>
      <c r="ET886" s="140">
        <f t="shared" si="1269"/>
        <v>8013.6179934781312</v>
      </c>
      <c r="EU886" s="140">
        <f t="shared" si="1269"/>
        <v>8013.6179934781339</v>
      </c>
      <c r="EV886" s="140">
        <f t="shared" si="1269"/>
        <v>8013.6179934781267</v>
      </c>
      <c r="EW886" s="140">
        <f t="shared" si="1269"/>
        <v>8013.6179934781258</v>
      </c>
      <c r="EX886" s="140">
        <f t="shared" si="1269"/>
        <v>8013.6179934781339</v>
      </c>
      <c r="EY886" s="140">
        <f t="shared" si="1269"/>
        <v>8013.6179934781267</v>
      </c>
      <c r="EZ886" s="140">
        <f t="shared" si="1269"/>
        <v>8013.6179934781212</v>
      </c>
      <c r="FA886" s="140">
        <f t="shared" si="1269"/>
        <v>8013.617993478143</v>
      </c>
      <c r="FB886" s="140">
        <f t="shared" si="1269"/>
        <v>8013.6179934781276</v>
      </c>
      <c r="FC886" s="140">
        <f t="shared" si="1269"/>
        <v>8013.617993478123</v>
      </c>
      <c r="FD886" s="140">
        <f t="shared" si="1269"/>
        <v>8013.6179934781303</v>
      </c>
      <c r="FE886" s="140">
        <f t="shared" si="1269"/>
        <v>8013.6179934781276</v>
      </c>
      <c r="FF886" s="140">
        <f t="shared" si="1269"/>
        <v>8013.6179934781403</v>
      </c>
      <c r="FG886" s="140">
        <f t="shared" si="1269"/>
        <v>8013.6179934781112</v>
      </c>
      <c r="FH886" s="140">
        <f t="shared" si="1269"/>
        <v>8013.6179934781403</v>
      </c>
      <c r="FI886" s="141">
        <f t="shared" si="1269"/>
        <v>8013.6179934781239</v>
      </c>
      <c r="FK886" s="245"/>
      <c r="FL886" s="1"/>
      <c r="FM886" s="1"/>
      <c r="FN886" s="1"/>
      <c r="FO886" s="1"/>
      <c r="FP886" s="140">
        <f t="shared" ref="FP886:GT886" si="1270">FP777</f>
        <v>0</v>
      </c>
      <c r="FQ886" s="140">
        <f t="shared" si="1270"/>
        <v>9561.0966468796432</v>
      </c>
      <c r="FR886" s="140">
        <f t="shared" si="1270"/>
        <v>9561.0966468796432</v>
      </c>
      <c r="FS886" s="140">
        <f t="shared" si="1270"/>
        <v>9561.0966468796432</v>
      </c>
      <c r="FT886" s="140">
        <f t="shared" si="1270"/>
        <v>9561.0966468796432</v>
      </c>
      <c r="FU886" s="140">
        <f t="shared" si="1270"/>
        <v>9561.0966468796432</v>
      </c>
      <c r="FV886" s="140">
        <f t="shared" si="1270"/>
        <v>9561.0966468796432</v>
      </c>
      <c r="FW886" s="140">
        <f t="shared" si="1270"/>
        <v>9561.0966468796432</v>
      </c>
      <c r="FX886" s="140">
        <f t="shared" si="1270"/>
        <v>9561.0966468796469</v>
      </c>
      <c r="FY886" s="140">
        <f t="shared" si="1270"/>
        <v>9561.0966468796432</v>
      </c>
      <c r="FZ886" s="140">
        <f t="shared" si="1270"/>
        <v>9561.0966468796469</v>
      </c>
      <c r="GA886" s="140">
        <f t="shared" si="1270"/>
        <v>9561.0966468796469</v>
      </c>
      <c r="GB886" s="140">
        <f t="shared" si="1270"/>
        <v>9561.0966468796396</v>
      </c>
      <c r="GC886" s="140">
        <f t="shared" si="1270"/>
        <v>9561.0966468796432</v>
      </c>
      <c r="GD886" s="140">
        <f t="shared" si="1270"/>
        <v>9561.0966468796469</v>
      </c>
      <c r="GE886" s="140">
        <f t="shared" si="1270"/>
        <v>9561.0966468796505</v>
      </c>
      <c r="GF886" s="140">
        <f t="shared" si="1270"/>
        <v>9561.0966468796432</v>
      </c>
      <c r="GG886" s="140">
        <f t="shared" si="1270"/>
        <v>9561.0966468796432</v>
      </c>
      <c r="GH886" s="140">
        <f t="shared" si="1270"/>
        <v>9561.0966468796432</v>
      </c>
      <c r="GI886" s="140">
        <f t="shared" si="1270"/>
        <v>9561.0966468796541</v>
      </c>
      <c r="GJ886" s="140">
        <f t="shared" si="1270"/>
        <v>9561.0966468796396</v>
      </c>
      <c r="GK886" s="140">
        <f t="shared" si="1270"/>
        <v>9561.0966468796396</v>
      </c>
      <c r="GL886" s="140">
        <f t="shared" si="1270"/>
        <v>9561.0966468796505</v>
      </c>
      <c r="GM886" s="140">
        <f t="shared" si="1270"/>
        <v>9561.0966468796541</v>
      </c>
      <c r="GN886" s="140">
        <f t="shared" si="1270"/>
        <v>9561.0966468796287</v>
      </c>
      <c r="GO886" s="140">
        <f t="shared" si="1270"/>
        <v>9561.0966468796541</v>
      </c>
      <c r="GP886" s="140">
        <f t="shared" si="1270"/>
        <v>9561.0966468796323</v>
      </c>
      <c r="GQ886" s="140">
        <f t="shared" si="1270"/>
        <v>9561.0966468796614</v>
      </c>
      <c r="GR886" s="140">
        <f t="shared" si="1270"/>
        <v>9561.0966468796323</v>
      </c>
      <c r="GS886" s="140">
        <f t="shared" si="1270"/>
        <v>9561.0966468796541</v>
      </c>
      <c r="GT886" s="141">
        <f t="shared" si="1270"/>
        <v>9561.0966468796432</v>
      </c>
      <c r="GV886" s="245"/>
      <c r="GW886" s="1"/>
      <c r="GX886" s="1"/>
      <c r="GY886" s="1"/>
      <c r="GZ886" s="1"/>
      <c r="HA886" s="140">
        <f t="shared" ref="HA886:IE886" si="1271">HA777</f>
        <v>0</v>
      </c>
      <c r="HB886" s="140">
        <f t="shared" si="1271"/>
        <v>9186.5698463483968</v>
      </c>
      <c r="HC886" s="140">
        <f t="shared" si="1271"/>
        <v>9186.5698463483968</v>
      </c>
      <c r="HD886" s="140">
        <f t="shared" si="1271"/>
        <v>9186.5698463483986</v>
      </c>
      <c r="HE886" s="140">
        <f t="shared" si="1271"/>
        <v>9186.569846348395</v>
      </c>
      <c r="HF886" s="140">
        <f t="shared" si="1271"/>
        <v>9186.5698463483986</v>
      </c>
      <c r="HG886" s="140">
        <f t="shared" si="1271"/>
        <v>9186.5698463483986</v>
      </c>
      <c r="HH886" s="140">
        <f t="shared" si="1271"/>
        <v>9186.5698463483968</v>
      </c>
      <c r="HI886" s="140">
        <f t="shared" si="1271"/>
        <v>9186.5698463483932</v>
      </c>
      <c r="HJ886" s="140">
        <f t="shared" si="1271"/>
        <v>9186.5698463483986</v>
      </c>
      <c r="HK886" s="140">
        <f t="shared" si="1271"/>
        <v>9186.5698463483968</v>
      </c>
      <c r="HL886" s="140">
        <f t="shared" si="1271"/>
        <v>9186.5698463484023</v>
      </c>
      <c r="HM886" s="140">
        <f t="shared" si="1271"/>
        <v>9186.569846348395</v>
      </c>
      <c r="HN886" s="140">
        <f t="shared" si="1271"/>
        <v>9186.569846348395</v>
      </c>
      <c r="HO886" s="140">
        <f t="shared" si="1271"/>
        <v>9186.5698463483986</v>
      </c>
      <c r="HP886" s="140">
        <f t="shared" si="1271"/>
        <v>9186.5698463483986</v>
      </c>
      <c r="HQ886" s="140">
        <f t="shared" si="1271"/>
        <v>9186.5698463483895</v>
      </c>
      <c r="HR886" s="140">
        <f t="shared" si="1271"/>
        <v>9186.5698463484077</v>
      </c>
      <c r="HS886" s="140">
        <f t="shared" si="1271"/>
        <v>9186.5698463483895</v>
      </c>
      <c r="HT886" s="140">
        <f t="shared" si="1271"/>
        <v>9186.569846348395</v>
      </c>
      <c r="HU886" s="140">
        <f t="shared" si="1271"/>
        <v>9186.5698463483986</v>
      </c>
      <c r="HV886" s="140">
        <f t="shared" si="1271"/>
        <v>9186.5698463483968</v>
      </c>
      <c r="HW886" s="140">
        <f t="shared" si="1271"/>
        <v>9186.5698463484059</v>
      </c>
      <c r="HX886" s="140">
        <f t="shared" si="1271"/>
        <v>9186.5698463483841</v>
      </c>
      <c r="HY886" s="140">
        <f t="shared" si="1271"/>
        <v>9186.5698463484059</v>
      </c>
      <c r="HZ886" s="140">
        <f t="shared" si="1271"/>
        <v>9186.5698463483877</v>
      </c>
      <c r="IA886" s="140">
        <f t="shared" si="1271"/>
        <v>9186.5698463484005</v>
      </c>
      <c r="IB886" s="140">
        <f t="shared" si="1271"/>
        <v>9186.5698463484077</v>
      </c>
      <c r="IC886" s="140">
        <f t="shared" si="1271"/>
        <v>9186.5698463483877</v>
      </c>
      <c r="ID886" s="140">
        <f t="shared" si="1271"/>
        <v>9186.5698463484005</v>
      </c>
      <c r="IE886" s="141">
        <f t="shared" si="1271"/>
        <v>9186.5698463483986</v>
      </c>
      <c r="IG886" s="245"/>
      <c r="IH886" s="1"/>
      <c r="II886" s="1"/>
      <c r="IJ886" s="1"/>
      <c r="IK886" s="1"/>
      <c r="IL886" s="140">
        <f t="shared" ref="IL886:JP886" si="1272">IL777</f>
        <v>0</v>
      </c>
      <c r="IM886" s="140">
        <f t="shared" si="1272"/>
        <v>0</v>
      </c>
      <c r="IN886" s="140">
        <f t="shared" si="1272"/>
        <v>0</v>
      </c>
      <c r="IO886" s="140">
        <f t="shared" si="1272"/>
        <v>0</v>
      </c>
      <c r="IP886" s="140">
        <f t="shared" si="1272"/>
        <v>12847.361225753939</v>
      </c>
      <c r="IQ886" s="140">
        <f t="shared" si="1272"/>
        <v>12847.361225753939</v>
      </c>
      <c r="IR886" s="140">
        <f t="shared" si="1272"/>
        <v>12847.361225753939</v>
      </c>
      <c r="IS886" s="140">
        <f t="shared" si="1272"/>
        <v>12847.361225753939</v>
      </c>
      <c r="IT886" s="140">
        <f t="shared" si="1272"/>
        <v>12847.361225753939</v>
      </c>
      <c r="IU886" s="140">
        <f t="shared" si="1272"/>
        <v>12847.361225753939</v>
      </c>
      <c r="IV886" s="140">
        <f t="shared" si="1272"/>
        <v>12847.361225753939</v>
      </c>
      <c r="IW886" s="140">
        <f t="shared" si="1272"/>
        <v>2720.3171195773293</v>
      </c>
      <c r="IX886" s="140">
        <f t="shared" si="1272"/>
        <v>2720.3171195773293</v>
      </c>
      <c r="IY886" s="140">
        <f t="shared" si="1272"/>
        <v>2720.3171195773293</v>
      </c>
      <c r="IZ886" s="140">
        <f t="shared" si="1272"/>
        <v>2720.3171195773293</v>
      </c>
      <c r="JA886" s="140">
        <f t="shared" si="1272"/>
        <v>2720.3171195773293</v>
      </c>
      <c r="JB886" s="140">
        <f t="shared" si="1272"/>
        <v>2720.3171195773293</v>
      </c>
      <c r="JC886" s="140">
        <f t="shared" si="1272"/>
        <v>2720.3171195773293</v>
      </c>
      <c r="JD886" s="140">
        <f t="shared" si="1272"/>
        <v>2720.3171195773293</v>
      </c>
      <c r="JE886" s="140">
        <f t="shared" si="1272"/>
        <v>2720.3171195773293</v>
      </c>
      <c r="JF886" s="140">
        <f t="shared" si="1272"/>
        <v>2720.3171195773293</v>
      </c>
      <c r="JG886" s="140">
        <f t="shared" si="1272"/>
        <v>2720.3171195773293</v>
      </c>
      <c r="JH886" s="140">
        <f t="shared" si="1272"/>
        <v>2720.3171195773293</v>
      </c>
      <c r="JI886" s="140">
        <f t="shared" si="1272"/>
        <v>2720.3171195773293</v>
      </c>
      <c r="JJ886" s="140">
        <f t="shared" si="1272"/>
        <v>2720.3171195773293</v>
      </c>
      <c r="JK886" s="140">
        <f t="shared" si="1272"/>
        <v>2720.3171195773293</v>
      </c>
      <c r="JL886" s="140">
        <f t="shared" si="1272"/>
        <v>2720.3171195773293</v>
      </c>
      <c r="JM886" s="140">
        <f t="shared" si="1272"/>
        <v>2720.3171195773293</v>
      </c>
      <c r="JN886" s="140">
        <f t="shared" si="1272"/>
        <v>2720.3171195773293</v>
      </c>
      <c r="JO886" s="140">
        <f t="shared" si="1272"/>
        <v>2720.3171195773293</v>
      </c>
      <c r="JP886" s="141">
        <f t="shared" si="1272"/>
        <v>2720.3171195773293</v>
      </c>
      <c r="JR886" s="245"/>
      <c r="JS886" s="1"/>
      <c r="JT886" s="1"/>
      <c r="JU886" s="1"/>
      <c r="JV886" s="1"/>
      <c r="JW886" s="140">
        <f t="shared" ref="JW886:LA886" si="1273">JW818</f>
        <v>0</v>
      </c>
      <c r="JX886" s="140">
        <f t="shared" si="1273"/>
        <v>0</v>
      </c>
      <c r="JY886" s="140">
        <f t="shared" si="1273"/>
        <v>0</v>
      </c>
      <c r="JZ886" s="140">
        <f t="shared" si="1273"/>
        <v>0</v>
      </c>
      <c r="KA886" s="140">
        <f t="shared" si="1273"/>
        <v>9975.7962921199942</v>
      </c>
      <c r="KB886" s="140">
        <f t="shared" si="1273"/>
        <v>11781.7113898937</v>
      </c>
      <c r="KC886" s="140">
        <f t="shared" si="1273"/>
        <v>13585.213748245389</v>
      </c>
      <c r="KD886" s="140">
        <f t="shared" si="1273"/>
        <v>15230.448365246666</v>
      </c>
      <c r="KE886" s="140">
        <f t="shared" si="1273"/>
        <v>16554.916353321278</v>
      </c>
      <c r="KF886" s="140">
        <f t="shared" si="1273"/>
        <v>17415.554271104578</v>
      </c>
      <c r="KG886" s="140">
        <f>KG818</f>
        <v>17714.101535978156</v>
      </c>
      <c r="KH886" s="140">
        <f t="shared" si="1273"/>
        <v>17454.078877060005</v>
      </c>
      <c r="KI886" s="140">
        <f t="shared" si="1273"/>
        <v>16572.453777390467</v>
      </c>
      <c r="KJ886" s="140">
        <f t="shared" si="1273"/>
        <v>15215.687827543716</v>
      </c>
      <c r="KK886" s="140">
        <f t="shared" si="1273"/>
        <v>13530.333158382215</v>
      </c>
      <c r="KL886" s="140">
        <f t="shared" si="1273"/>
        <v>11682.851292220237</v>
      </c>
      <c r="KM886" s="140">
        <f t="shared" si="1273"/>
        <v>9832.8978505100986</v>
      </c>
      <c r="KN886" s="140">
        <f t="shared" si="1273"/>
        <v>8111.7115123879248</v>
      </c>
      <c r="KO886" s="140">
        <f t="shared" si="1273"/>
        <v>6609.3371903308944</v>
      </c>
      <c r="KP886" s="140">
        <f t="shared" si="1273"/>
        <v>5371.6125523934334</v>
      </c>
      <c r="KQ886" s="140">
        <f t="shared" si="1273"/>
        <v>4405.3331326885127</v>
      </c>
      <c r="KR886" s="140">
        <f t="shared" si="1273"/>
        <v>3688.4833663126938</v>
      </c>
      <c r="KS886" s="140">
        <f t="shared" si="1273"/>
        <v>3182.096967291342</v>
      </c>
      <c r="KT886" s="140">
        <f t="shared" si="1273"/>
        <v>2840.9629201118405</v>
      </c>
      <c r="KU886" s="140">
        <f t="shared" si="1273"/>
        <v>2621.5485370952911</v>
      </c>
      <c r="KV886" s="140">
        <f t="shared" si="1273"/>
        <v>2486.683030262066</v>
      </c>
      <c r="KW886" s="140">
        <f t="shared" si="1273"/>
        <v>2407.4052810183798</v>
      </c>
      <c r="KX886" s="140">
        <f t="shared" si="1273"/>
        <v>2362.8113955175022</v>
      </c>
      <c r="KY886" s="140">
        <f t="shared" si="1273"/>
        <v>2338.7962035908959</v>
      </c>
      <c r="KZ886" s="140">
        <f t="shared" si="1273"/>
        <v>2326.4093467351972</v>
      </c>
      <c r="LA886" s="141">
        <f t="shared" si="1273"/>
        <v>2320.2879580922126</v>
      </c>
      <c r="LC886" s="245"/>
      <c r="LD886" s="1"/>
      <c r="LE886" s="1"/>
      <c r="LF886" s="1"/>
      <c r="LG886" s="1"/>
      <c r="LH886" s="140">
        <f t="shared" ref="LH886:ML886" si="1274">LH818</f>
        <v>0</v>
      </c>
      <c r="LI886" s="140">
        <f t="shared" si="1274"/>
        <v>0</v>
      </c>
      <c r="LJ886" s="140">
        <f t="shared" si="1274"/>
        <v>0</v>
      </c>
      <c r="LK886" s="140">
        <f t="shared" si="1274"/>
        <v>0</v>
      </c>
      <c r="LL886" s="140">
        <f t="shared" si="1274"/>
        <v>8526.3145215714958</v>
      </c>
      <c r="LM886" s="140">
        <f t="shared" si="1274"/>
        <v>9069.7356273999394</v>
      </c>
      <c r="LN886" s="140">
        <f t="shared" si="1274"/>
        <v>9422.850095405749</v>
      </c>
      <c r="LO886" s="140">
        <f t="shared" si="1274"/>
        <v>9545.3422101872493</v>
      </c>
      <c r="LP886" s="140">
        <f t="shared" si="1274"/>
        <v>9422.850095405749</v>
      </c>
      <c r="LQ886" s="140">
        <f t="shared" si="1274"/>
        <v>9069.7356273999394</v>
      </c>
      <c r="LR886" s="140">
        <f>LR818</f>
        <v>8526.3145215714958</v>
      </c>
      <c r="LS886" s="140">
        <f t="shared" si="1274"/>
        <v>8535.0165659997838</v>
      </c>
      <c r="LT886" s="140">
        <f t="shared" si="1274"/>
        <v>8437.0919110245504</v>
      </c>
      <c r="LU886" s="140">
        <f t="shared" si="1274"/>
        <v>8154.7993527818189</v>
      </c>
      <c r="LV886" s="140">
        <f t="shared" si="1274"/>
        <v>8437.0919110245504</v>
      </c>
      <c r="LW886" s="140">
        <f t="shared" si="1274"/>
        <v>8535.0165659997838</v>
      </c>
      <c r="LX886" s="140">
        <f t="shared" si="1274"/>
        <v>8437.0919110245504</v>
      </c>
      <c r="LY886" s="140">
        <f t="shared" si="1274"/>
        <v>8154.7993527818189</v>
      </c>
      <c r="LZ886" s="140">
        <f t="shared" si="1274"/>
        <v>7720.3687415589393</v>
      </c>
      <c r="MA886" s="140">
        <f t="shared" si="1274"/>
        <v>7180.7254382066803</v>
      </c>
      <c r="MB886" s="140">
        <f t="shared" si="1274"/>
        <v>6589.169704934784</v>
      </c>
      <c r="MC886" s="140">
        <f t="shared" si="1274"/>
        <v>6630.3423829829007</v>
      </c>
      <c r="MD886" s="140">
        <f t="shared" si="1274"/>
        <v>7028.8800011165404</v>
      </c>
      <c r="ME886" s="140">
        <f t="shared" si="1274"/>
        <v>7028.8800011165404</v>
      </c>
      <c r="MF886" s="140">
        <f t="shared" si="1274"/>
        <v>7349.7158939471992</v>
      </c>
      <c r="MG886" s="140">
        <f t="shared" si="1274"/>
        <v>7558.1947226105676</v>
      </c>
      <c r="MH886" s="140">
        <f t="shared" si="1274"/>
        <v>7630.5140833956539</v>
      </c>
      <c r="MI886" s="140">
        <f t="shared" si="1274"/>
        <v>7558.1947226105676</v>
      </c>
      <c r="MJ886" s="140">
        <f t="shared" si="1274"/>
        <v>7349.7158939471992</v>
      </c>
      <c r="MK886" s="140">
        <f t="shared" si="1274"/>
        <v>7028.8800011165404</v>
      </c>
      <c r="ML886" s="141">
        <f t="shared" si="1274"/>
        <v>6630.3423829829007</v>
      </c>
    </row>
    <row r="887" spans="3:350" s="4" customFormat="1" ht="18" customHeight="1" x14ac:dyDescent="0.3">
      <c r="C887" s="204" t="s">
        <v>394</v>
      </c>
      <c r="E887" s="1"/>
      <c r="F887" s="138" t="s">
        <v>395</v>
      </c>
      <c r="H887" s="245"/>
      <c r="I887" s="1"/>
      <c r="J887" s="1"/>
      <c r="K887" s="1"/>
      <c r="L887" s="1"/>
      <c r="M887" s="1"/>
      <c r="N887" s="1"/>
      <c r="O887" s="1"/>
      <c r="P887" s="1"/>
      <c r="Q887" s="138"/>
      <c r="S887" s="245"/>
      <c r="T887" s="1"/>
      <c r="U887" s="1"/>
      <c r="V887" s="1"/>
      <c r="W887" s="1"/>
      <c r="X887" s="140"/>
      <c r="Y887" s="140"/>
      <c r="Z887" s="140"/>
      <c r="AA887" s="140"/>
      <c r="AB887" s="140"/>
      <c r="AC887" s="140"/>
      <c r="AD887" s="140"/>
      <c r="AE887" s="140"/>
      <c r="AF887" s="140"/>
      <c r="AG887" s="140"/>
      <c r="AH887" s="140"/>
      <c r="AI887" s="140"/>
      <c r="AJ887" s="140"/>
      <c r="AK887" s="140"/>
      <c r="AL887" s="140"/>
      <c r="AM887" s="140"/>
      <c r="AN887" s="140"/>
      <c r="AO887" s="140"/>
      <c r="AP887" s="140"/>
      <c r="AQ887" s="140"/>
      <c r="AR887" s="140"/>
      <c r="AS887" s="140"/>
      <c r="AT887" s="140"/>
      <c r="AU887" s="140"/>
      <c r="AV887" s="140"/>
      <c r="AW887" s="140"/>
      <c r="AX887" s="140"/>
      <c r="AY887" s="140"/>
      <c r="AZ887" s="140"/>
      <c r="BA887" s="140"/>
      <c r="BB887" s="141"/>
      <c r="BD887" s="245"/>
      <c r="BE887" s="1"/>
      <c r="BF887" s="1"/>
      <c r="BG887" s="1"/>
      <c r="BH887" s="1"/>
      <c r="BI887" s="140"/>
      <c r="BJ887" s="140"/>
      <c r="BK887" s="140"/>
      <c r="BL887" s="140"/>
      <c r="BM887" s="140"/>
      <c r="BN887" s="140"/>
      <c r="BO887" s="140"/>
      <c r="BP887" s="140"/>
      <c r="BQ887" s="140"/>
      <c r="BR887" s="140"/>
      <c r="BS887" s="140"/>
      <c r="BT887" s="140"/>
      <c r="BU887" s="140"/>
      <c r="BV887" s="140"/>
      <c r="BW887" s="140"/>
      <c r="BX887" s="140"/>
      <c r="BY887" s="140"/>
      <c r="BZ887" s="140"/>
      <c r="CA887" s="140"/>
      <c r="CB887" s="140"/>
      <c r="CC887" s="140"/>
      <c r="CD887" s="140"/>
      <c r="CE887" s="140"/>
      <c r="CF887" s="140"/>
      <c r="CG887" s="140"/>
      <c r="CH887" s="140"/>
      <c r="CI887" s="140"/>
      <c r="CJ887" s="140"/>
      <c r="CK887" s="140"/>
      <c r="CL887" s="140"/>
      <c r="CM887" s="141"/>
      <c r="CO887" s="245"/>
      <c r="CP887" s="1"/>
      <c r="CQ887" s="1"/>
      <c r="CR887" s="1"/>
      <c r="CS887" s="1"/>
      <c r="CT887" s="140"/>
      <c r="CU887" s="140"/>
      <c r="CV887" s="140"/>
      <c r="CW887" s="140"/>
      <c r="CX887" s="140"/>
      <c r="CY887" s="140"/>
      <c r="CZ887" s="140"/>
      <c r="DA887" s="140"/>
      <c r="DB887" s="140"/>
      <c r="DC887" s="140"/>
      <c r="DD887" s="140"/>
      <c r="DE887" s="140"/>
      <c r="DF887" s="140"/>
      <c r="DG887" s="140"/>
      <c r="DH887" s="140"/>
      <c r="DI887" s="140"/>
      <c r="DJ887" s="140"/>
      <c r="DK887" s="140"/>
      <c r="DL887" s="140"/>
      <c r="DM887" s="140"/>
      <c r="DN887" s="140"/>
      <c r="DO887" s="140"/>
      <c r="DP887" s="140"/>
      <c r="DQ887" s="140"/>
      <c r="DR887" s="140"/>
      <c r="DS887" s="140"/>
      <c r="DT887" s="140"/>
      <c r="DU887" s="140"/>
      <c r="DV887" s="140"/>
      <c r="DW887" s="140"/>
      <c r="DX887" s="141"/>
      <c r="DZ887" s="245"/>
      <c r="EA887" s="1"/>
      <c r="EB887" s="1"/>
      <c r="EC887" s="1"/>
      <c r="ED887" s="1"/>
      <c r="EE887" s="140"/>
      <c r="EF887" s="140"/>
      <c r="EG887" s="140"/>
      <c r="EH887" s="140"/>
      <c r="EI887" s="140"/>
      <c r="EJ887" s="140"/>
      <c r="EK887" s="140"/>
      <c r="EL887" s="140"/>
      <c r="EM887" s="140"/>
      <c r="EN887" s="140"/>
      <c r="EO887" s="140"/>
      <c r="EP887" s="140"/>
      <c r="EQ887" s="140"/>
      <c r="ER887" s="140"/>
      <c r="ES887" s="140"/>
      <c r="ET887" s="140"/>
      <c r="EU887" s="140"/>
      <c r="EV887" s="140"/>
      <c r="EW887" s="140"/>
      <c r="EX887" s="140"/>
      <c r="EY887" s="140"/>
      <c r="EZ887" s="140"/>
      <c r="FA887" s="140"/>
      <c r="FB887" s="140"/>
      <c r="FC887" s="140"/>
      <c r="FD887" s="140"/>
      <c r="FE887" s="140"/>
      <c r="FF887" s="140"/>
      <c r="FG887" s="140"/>
      <c r="FH887" s="140"/>
      <c r="FI887" s="141"/>
      <c r="FK887" s="245"/>
      <c r="FL887" s="1"/>
      <c r="FM887" s="1"/>
      <c r="FN887" s="1"/>
      <c r="FO887" s="1"/>
      <c r="FP887" s="140"/>
      <c r="FQ887" s="140"/>
      <c r="FR887" s="140"/>
      <c r="FS887" s="140"/>
      <c r="FT887" s="140"/>
      <c r="FU887" s="140"/>
      <c r="FV887" s="140"/>
      <c r="FW887" s="140"/>
      <c r="FX887" s="140"/>
      <c r="FY887" s="140"/>
      <c r="FZ887" s="140"/>
      <c r="GA887" s="140"/>
      <c r="GB887" s="140"/>
      <c r="GC887" s="140"/>
      <c r="GD887" s="140"/>
      <c r="GE887" s="140"/>
      <c r="GF887" s="140"/>
      <c r="GG887" s="140"/>
      <c r="GH887" s="140"/>
      <c r="GI887" s="140"/>
      <c r="GJ887" s="140"/>
      <c r="GK887" s="140"/>
      <c r="GL887" s="140"/>
      <c r="GM887" s="140"/>
      <c r="GN887" s="140"/>
      <c r="GO887" s="140"/>
      <c r="GP887" s="140"/>
      <c r="GQ887" s="140"/>
      <c r="GR887" s="140"/>
      <c r="GS887" s="140"/>
      <c r="GT887" s="141"/>
      <c r="GV887" s="245"/>
      <c r="GW887" s="1"/>
      <c r="GX887" s="1"/>
      <c r="GY887" s="1"/>
      <c r="GZ887" s="1"/>
      <c r="HA887" s="140"/>
      <c r="HB887" s="140"/>
      <c r="HC887" s="140"/>
      <c r="HD887" s="140"/>
      <c r="HE887" s="140"/>
      <c r="HF887" s="140"/>
      <c r="HG887" s="140"/>
      <c r="HH887" s="140"/>
      <c r="HI887" s="140"/>
      <c r="HJ887" s="140"/>
      <c r="HK887" s="140"/>
      <c r="HL887" s="140"/>
      <c r="HM887" s="140"/>
      <c r="HN887" s="140"/>
      <c r="HO887" s="140"/>
      <c r="HP887" s="140"/>
      <c r="HQ887" s="140"/>
      <c r="HR887" s="140"/>
      <c r="HS887" s="140"/>
      <c r="HT887" s="140"/>
      <c r="HU887" s="140"/>
      <c r="HV887" s="140"/>
      <c r="HW887" s="140"/>
      <c r="HX887" s="140"/>
      <c r="HY887" s="140"/>
      <c r="HZ887" s="140"/>
      <c r="IA887" s="140"/>
      <c r="IB887" s="140"/>
      <c r="IC887" s="140"/>
      <c r="ID887" s="140"/>
      <c r="IE887" s="141"/>
      <c r="IG887" s="245"/>
      <c r="IH887" s="1"/>
      <c r="II887" s="1"/>
      <c r="IJ887" s="1"/>
      <c r="IK887" s="1"/>
      <c r="IL887" s="140"/>
      <c r="IM887" s="140"/>
      <c r="IN887" s="140"/>
      <c r="IO887" s="140"/>
      <c r="IP887" s="140"/>
      <c r="IQ887" s="140"/>
      <c r="IR887" s="140"/>
      <c r="IS887" s="140"/>
      <c r="IT887" s="140"/>
      <c r="IU887" s="140"/>
      <c r="IV887" s="140"/>
      <c r="IW887" s="140"/>
      <c r="IX887" s="140"/>
      <c r="IY887" s="140"/>
      <c r="IZ887" s="140"/>
      <c r="JA887" s="140"/>
      <c r="JB887" s="140"/>
      <c r="JC887" s="140"/>
      <c r="JD887" s="140"/>
      <c r="JE887" s="140"/>
      <c r="JF887" s="140"/>
      <c r="JG887" s="140"/>
      <c r="JH887" s="140"/>
      <c r="JI887" s="140"/>
      <c r="JJ887" s="140"/>
      <c r="JK887" s="140"/>
      <c r="JL887" s="140"/>
      <c r="JM887" s="140"/>
      <c r="JN887" s="140"/>
      <c r="JO887" s="140"/>
      <c r="JP887" s="141"/>
      <c r="JR887" s="245"/>
      <c r="JS887" s="1"/>
      <c r="JT887" s="1"/>
      <c r="JU887" s="1"/>
      <c r="JV887" s="1"/>
      <c r="JW887" s="140"/>
      <c r="JX887" s="140"/>
      <c r="JY887" s="140"/>
      <c r="JZ887" s="140"/>
      <c r="KA887" s="140"/>
      <c r="KB887" s="140"/>
      <c r="KC887" s="140"/>
      <c r="KD887" s="140"/>
      <c r="KE887" s="140"/>
      <c r="KF887" s="140"/>
      <c r="KG887" s="140"/>
      <c r="KH887" s="140"/>
      <c r="KI887" s="140"/>
      <c r="KJ887" s="140"/>
      <c r="KK887" s="140"/>
      <c r="KL887" s="140"/>
      <c r="KM887" s="140"/>
      <c r="KN887" s="140"/>
      <c r="KO887" s="140"/>
      <c r="KP887" s="140"/>
      <c r="KQ887" s="140"/>
      <c r="KR887" s="140"/>
      <c r="KS887" s="140"/>
      <c r="KT887" s="140"/>
      <c r="KU887" s="140"/>
      <c r="KV887" s="140"/>
      <c r="KW887" s="140"/>
      <c r="KX887" s="140"/>
      <c r="KY887" s="140"/>
      <c r="KZ887" s="140"/>
      <c r="LA887" s="141"/>
      <c r="LC887" s="245"/>
      <c r="LD887" s="1"/>
      <c r="LE887" s="1"/>
      <c r="LF887" s="1"/>
      <c r="LG887" s="1"/>
      <c r="LH887" s="140"/>
      <c r="LI887" s="140"/>
      <c r="LJ887" s="140"/>
      <c r="LK887" s="140"/>
      <c r="LL887" s="140"/>
      <c r="LM887" s="140"/>
      <c r="LN887" s="140"/>
      <c r="LO887" s="140"/>
      <c r="LP887" s="140"/>
      <c r="LQ887" s="140"/>
      <c r="LR887" s="140"/>
      <c r="LS887" s="140"/>
      <c r="LT887" s="140"/>
      <c r="LU887" s="140"/>
      <c r="LV887" s="140"/>
      <c r="LW887" s="140"/>
      <c r="LX887" s="140"/>
      <c r="LY887" s="140"/>
      <c r="LZ887" s="140"/>
      <c r="MA887" s="140"/>
      <c r="MB887" s="140"/>
      <c r="MC887" s="140"/>
      <c r="MD887" s="140"/>
      <c r="ME887" s="140"/>
      <c r="MF887" s="140"/>
      <c r="MG887" s="140"/>
      <c r="MH887" s="140"/>
      <c r="MI887" s="140"/>
      <c r="MJ887" s="140"/>
      <c r="MK887" s="140"/>
      <c r="ML887" s="141"/>
    </row>
    <row r="888" spans="3:350" s="4" customFormat="1" ht="18" customHeight="1" x14ac:dyDescent="0.3">
      <c r="C888" s="136" t="s">
        <v>396</v>
      </c>
      <c r="E888" s="1" t="s">
        <v>393</v>
      </c>
      <c r="F888" s="138" t="s">
        <v>397</v>
      </c>
      <c r="H888" s="349">
        <f>H886*$F$905</f>
        <v>5857.1841043649802</v>
      </c>
      <c r="I888" s="350">
        <f t="shared" ref="I888:N888" si="1275">I886*$F$905</f>
        <v>6498.5645717434736</v>
      </c>
      <c r="J888" s="350">
        <f t="shared" si="1275"/>
        <v>7182.8443484504642</v>
      </c>
      <c r="K888" s="350">
        <f t="shared" si="1275"/>
        <v>7123.5500925357055</v>
      </c>
      <c r="L888" s="350">
        <f t="shared" si="1275"/>
        <v>7091.3350375205018</v>
      </c>
      <c r="M888" s="350">
        <f t="shared" si="1275"/>
        <v>6582.2096665043036</v>
      </c>
      <c r="N888" s="350">
        <f t="shared" si="1275"/>
        <v>8295.8236995064326</v>
      </c>
      <c r="O888" s="350">
        <f>O886*$F$905</f>
        <v>8583.6700555520601</v>
      </c>
      <c r="P888" s="350">
        <f t="shared" ref="P888" si="1276">P886*$F$905</f>
        <v>8820.3885719658483</v>
      </c>
      <c r="Q888" s="138"/>
      <c r="S888" s="245"/>
      <c r="T888" s="1"/>
      <c r="U888" s="1"/>
      <c r="V888" s="1"/>
      <c r="W888" s="1"/>
      <c r="X888" s="140">
        <f t="shared" ref="X888:BB888" si="1277">X886*$F$905</f>
        <v>16763.467576290695</v>
      </c>
      <c r="Y888" s="140">
        <f t="shared" si="1277"/>
        <v>17128.237421998765</v>
      </c>
      <c r="Z888" s="140">
        <f t="shared" si="1277"/>
        <v>17128.237421998765</v>
      </c>
      <c r="AA888" s="140">
        <f t="shared" si="1277"/>
        <v>17128.237421998769</v>
      </c>
      <c r="AB888" s="140">
        <f t="shared" si="1277"/>
        <v>17128.237421998761</v>
      </c>
      <c r="AC888" s="140">
        <f t="shared" si="1277"/>
        <v>17128.237421998761</v>
      </c>
      <c r="AD888" s="140">
        <f t="shared" si="1277"/>
        <v>17128.237421998776</v>
      </c>
      <c r="AE888" s="140">
        <f t="shared" si="1277"/>
        <v>17128.23742199874</v>
      </c>
      <c r="AF888" s="140">
        <f t="shared" si="1277"/>
        <v>17128.237421998776</v>
      </c>
      <c r="AG888" s="140">
        <f t="shared" si="1277"/>
        <v>17128.23742199874</v>
      </c>
      <c r="AH888" s="140">
        <f t="shared" si="1277"/>
        <v>17128.237421998776</v>
      </c>
      <c r="AI888" s="140">
        <f t="shared" si="1277"/>
        <v>17128.23742199874</v>
      </c>
      <c r="AJ888" s="140">
        <f t="shared" si="1277"/>
        <v>17128.237421998816</v>
      </c>
      <c r="AK888" s="140">
        <f t="shared" si="1277"/>
        <v>17128.23742199874</v>
      </c>
      <c r="AL888" s="140">
        <f t="shared" si="1277"/>
        <v>17128.23742199874</v>
      </c>
      <c r="AM888" s="140">
        <f t="shared" si="1277"/>
        <v>17128.237421998816</v>
      </c>
      <c r="AN888" s="140">
        <f t="shared" si="1277"/>
        <v>17128.237421998707</v>
      </c>
      <c r="AO888" s="140">
        <f t="shared" si="1277"/>
        <v>17128.237421998816</v>
      </c>
      <c r="AP888" s="140">
        <f t="shared" si="1277"/>
        <v>17128.23742199874</v>
      </c>
      <c r="AQ888" s="140">
        <f t="shared" si="1277"/>
        <v>17128.23742199874</v>
      </c>
      <c r="AR888" s="140">
        <f t="shared" si="1277"/>
        <v>17128.237421998816</v>
      </c>
      <c r="AS888" s="140">
        <f t="shared" si="1277"/>
        <v>17128.237421998816</v>
      </c>
      <c r="AT888" s="140">
        <f t="shared" si="1277"/>
        <v>17128.23742199874</v>
      </c>
      <c r="AU888" s="140">
        <f t="shared" si="1277"/>
        <v>17128.23742199874</v>
      </c>
      <c r="AV888" s="140">
        <f t="shared" si="1277"/>
        <v>17128.23742199874</v>
      </c>
      <c r="AW888" s="140">
        <f t="shared" si="1277"/>
        <v>17128.237421998816</v>
      </c>
      <c r="AX888" s="140">
        <f t="shared" si="1277"/>
        <v>17128.237421998667</v>
      </c>
      <c r="AY888" s="140">
        <f t="shared" si="1277"/>
        <v>17128.23742199874</v>
      </c>
      <c r="AZ888" s="140">
        <f t="shared" si="1277"/>
        <v>17128.237421998816</v>
      </c>
      <c r="BA888" s="140">
        <f t="shared" si="1277"/>
        <v>17128.237421998816</v>
      </c>
      <c r="BB888" s="141">
        <f t="shared" si="1277"/>
        <v>17128.23742199874</v>
      </c>
      <c r="BD888" s="245"/>
      <c r="BE888" s="1"/>
      <c r="BF888" s="1"/>
      <c r="BG888" s="1"/>
      <c r="BH888" s="1"/>
      <c r="BI888" s="140">
        <f t="shared" ref="BI888:CM888" si="1278">BI886*$F$905</f>
        <v>0</v>
      </c>
      <c r="BJ888" s="140">
        <f t="shared" si="1278"/>
        <v>12601.764292221476</v>
      </c>
      <c r="BK888" s="140">
        <f t="shared" si="1278"/>
        <v>12601.764292221476</v>
      </c>
      <c r="BL888" s="140">
        <f t="shared" si="1278"/>
        <v>12601.764292221476</v>
      </c>
      <c r="BM888" s="140">
        <f t="shared" si="1278"/>
        <v>12601.764292221476</v>
      </c>
      <c r="BN888" s="140">
        <f t="shared" si="1278"/>
        <v>12601.764292221476</v>
      </c>
      <c r="BO888" s="140">
        <f t="shared" si="1278"/>
        <v>12601.764292221473</v>
      </c>
      <c r="BP888" s="140">
        <f t="shared" si="1278"/>
        <v>12601.764292221476</v>
      </c>
      <c r="BQ888" s="140">
        <f t="shared" si="1278"/>
        <v>12601.764292221476</v>
      </c>
      <c r="BR888" s="140">
        <f t="shared" si="1278"/>
        <v>12601.764292221473</v>
      </c>
      <c r="BS888" s="140">
        <f t="shared" si="1278"/>
        <v>12601.764292221476</v>
      </c>
      <c r="BT888" s="140">
        <f t="shared" si="1278"/>
        <v>12601.764292221476</v>
      </c>
      <c r="BU888" s="140">
        <f t="shared" si="1278"/>
        <v>12601.764292221473</v>
      </c>
      <c r="BV888" s="140">
        <f t="shared" si="1278"/>
        <v>12601.764292221476</v>
      </c>
      <c r="BW888" s="140">
        <f t="shared" si="1278"/>
        <v>12601.76429222148</v>
      </c>
      <c r="BX888" s="140">
        <f t="shared" si="1278"/>
        <v>12601.764292221482</v>
      </c>
      <c r="BY888" s="140">
        <f t="shared" si="1278"/>
        <v>12601.764292221473</v>
      </c>
      <c r="BZ888" s="140">
        <f t="shared" si="1278"/>
        <v>12601.764292221473</v>
      </c>
      <c r="CA888" s="140">
        <f t="shared" si="1278"/>
        <v>12601.764292221476</v>
      </c>
      <c r="CB888" s="140">
        <f t="shared" si="1278"/>
        <v>12601.764292221482</v>
      </c>
      <c r="CC888" s="140">
        <f t="shared" si="1278"/>
        <v>12601.764292221476</v>
      </c>
      <c r="CD888" s="140">
        <f t="shared" si="1278"/>
        <v>12601.76429222148</v>
      </c>
      <c r="CE888" s="140">
        <f t="shared" si="1278"/>
        <v>12601.764292221473</v>
      </c>
      <c r="CF888" s="140">
        <f t="shared" si="1278"/>
        <v>12601.764292221471</v>
      </c>
      <c r="CG888" s="140">
        <f t="shared" si="1278"/>
        <v>12601.76429222148</v>
      </c>
      <c r="CH888" s="140">
        <f t="shared" si="1278"/>
        <v>12601.764292221471</v>
      </c>
      <c r="CI888" s="140">
        <f t="shared" si="1278"/>
        <v>12601.764292221482</v>
      </c>
      <c r="CJ888" s="140">
        <f t="shared" si="1278"/>
        <v>12601.764292221484</v>
      </c>
      <c r="CK888" s="140">
        <f t="shared" si="1278"/>
        <v>12601.764292221476</v>
      </c>
      <c r="CL888" s="140">
        <f t="shared" si="1278"/>
        <v>12601.764292221473</v>
      </c>
      <c r="CM888" s="141">
        <f t="shared" si="1278"/>
        <v>12601.764292221487</v>
      </c>
      <c r="CO888" s="245"/>
      <c r="CP888" s="1"/>
      <c r="CQ888" s="1"/>
      <c r="CR888" s="1"/>
      <c r="CS888" s="1"/>
      <c r="CT888" s="140">
        <f t="shared" ref="CT888:DX888" si="1279">CT886*$F$905</f>
        <v>0</v>
      </c>
      <c r="CU888" s="140">
        <f t="shared" si="1279"/>
        <v>13007.932275695948</v>
      </c>
      <c r="CV888" s="140">
        <f t="shared" si="1279"/>
        <v>13007.932275695948</v>
      </c>
      <c r="CW888" s="140">
        <f t="shared" si="1279"/>
        <v>13007.932275695948</v>
      </c>
      <c r="CX888" s="140">
        <f t="shared" si="1279"/>
        <v>13007.932275695948</v>
      </c>
      <c r="CY888" s="140">
        <f t="shared" si="1279"/>
        <v>13007.932275695946</v>
      </c>
      <c r="CZ888" s="140">
        <f t="shared" si="1279"/>
        <v>13007.932275695952</v>
      </c>
      <c r="DA888" s="140">
        <f t="shared" si="1279"/>
        <v>13007.932275695948</v>
      </c>
      <c r="DB888" s="140">
        <f t="shared" si="1279"/>
        <v>13007.932275695948</v>
      </c>
      <c r="DC888" s="140">
        <f t="shared" si="1279"/>
        <v>13007.932275695948</v>
      </c>
      <c r="DD888" s="140">
        <f t="shared" si="1279"/>
        <v>13007.932275695945</v>
      </c>
      <c r="DE888" s="140">
        <f t="shared" si="1279"/>
        <v>13007.932275695955</v>
      </c>
      <c r="DF888" s="140">
        <f t="shared" si="1279"/>
        <v>13007.932275695946</v>
      </c>
      <c r="DG888" s="140">
        <f t="shared" si="1279"/>
        <v>13007.932275695948</v>
      </c>
      <c r="DH888" s="140">
        <f t="shared" si="1279"/>
        <v>13007.932275695946</v>
      </c>
      <c r="DI888" s="140">
        <f t="shared" si="1279"/>
        <v>13007.932275695946</v>
      </c>
      <c r="DJ888" s="140">
        <f t="shared" si="1279"/>
        <v>13007.932275695955</v>
      </c>
      <c r="DK888" s="140">
        <f t="shared" si="1279"/>
        <v>13007.932275695948</v>
      </c>
      <c r="DL888" s="140">
        <f t="shared" si="1279"/>
        <v>13007.932275695946</v>
      </c>
      <c r="DM888" s="140">
        <f t="shared" si="1279"/>
        <v>13007.932275695941</v>
      </c>
      <c r="DN888" s="140">
        <f t="shared" si="1279"/>
        <v>13007.932275695948</v>
      </c>
      <c r="DO888" s="140">
        <f t="shared" si="1279"/>
        <v>13007.932275695952</v>
      </c>
      <c r="DP888" s="140">
        <f t="shared" si="1279"/>
        <v>13007.932275695959</v>
      </c>
      <c r="DQ888" s="140">
        <f t="shared" si="1279"/>
        <v>13007.932275695935</v>
      </c>
      <c r="DR888" s="140">
        <f t="shared" si="1279"/>
        <v>13007.932275695957</v>
      </c>
      <c r="DS888" s="140">
        <f t="shared" si="1279"/>
        <v>13007.932275695948</v>
      </c>
      <c r="DT888" s="140">
        <f t="shared" si="1279"/>
        <v>13007.932275695948</v>
      </c>
      <c r="DU888" s="140">
        <f t="shared" si="1279"/>
        <v>13007.932275695945</v>
      </c>
      <c r="DV888" s="140">
        <f t="shared" si="1279"/>
        <v>13007.932275695957</v>
      </c>
      <c r="DW888" s="140">
        <f t="shared" si="1279"/>
        <v>13007.932275695957</v>
      </c>
      <c r="DX888" s="141">
        <f t="shared" si="1279"/>
        <v>13007.932275695937</v>
      </c>
      <c r="DZ888" s="245"/>
      <c r="EA888" s="1"/>
      <c r="EB888" s="1"/>
      <c r="EC888" s="1"/>
      <c r="ED888" s="1"/>
      <c r="EE888" s="140">
        <f t="shared" ref="EE888:FI888" si="1280">EE886*$F$905</f>
        <v>0</v>
      </c>
      <c r="EF888" s="140">
        <f t="shared" si="1280"/>
        <v>12020.426990217193</v>
      </c>
      <c r="EG888" s="140">
        <f t="shared" si="1280"/>
        <v>12020.426990217193</v>
      </c>
      <c r="EH888" s="140">
        <f t="shared" si="1280"/>
        <v>12020.426990217191</v>
      </c>
      <c r="EI888" s="140">
        <f t="shared" si="1280"/>
        <v>12020.426990217193</v>
      </c>
      <c r="EJ888" s="140">
        <f t="shared" si="1280"/>
        <v>12020.426990217191</v>
      </c>
      <c r="EK888" s="140">
        <f t="shared" si="1280"/>
        <v>12020.426990217195</v>
      </c>
      <c r="EL888" s="140">
        <f t="shared" si="1280"/>
        <v>12020.426990217191</v>
      </c>
      <c r="EM888" s="140">
        <f t="shared" si="1280"/>
        <v>12020.426990217202</v>
      </c>
      <c r="EN888" s="140">
        <f t="shared" si="1280"/>
        <v>12020.426990217189</v>
      </c>
      <c r="EO888" s="140">
        <f t="shared" si="1280"/>
        <v>12020.426990217195</v>
      </c>
      <c r="EP888" s="140">
        <f t="shared" si="1280"/>
        <v>12020.426990217196</v>
      </c>
      <c r="EQ888" s="140">
        <f t="shared" si="1280"/>
        <v>12020.426990217185</v>
      </c>
      <c r="ER888" s="140">
        <f t="shared" si="1280"/>
        <v>12020.426990217193</v>
      </c>
      <c r="ES888" s="140">
        <f t="shared" si="1280"/>
        <v>12020.426990217189</v>
      </c>
      <c r="ET888" s="140">
        <f t="shared" si="1280"/>
        <v>12020.426990217196</v>
      </c>
      <c r="EU888" s="140">
        <f t="shared" si="1280"/>
        <v>12020.426990217202</v>
      </c>
      <c r="EV888" s="140">
        <f t="shared" si="1280"/>
        <v>12020.426990217191</v>
      </c>
      <c r="EW888" s="140">
        <f t="shared" si="1280"/>
        <v>12020.426990217189</v>
      </c>
      <c r="EX888" s="140">
        <f t="shared" si="1280"/>
        <v>12020.426990217202</v>
      </c>
      <c r="EY888" s="140">
        <f t="shared" si="1280"/>
        <v>12020.426990217191</v>
      </c>
      <c r="EZ888" s="140">
        <f t="shared" si="1280"/>
        <v>12020.426990217182</v>
      </c>
      <c r="FA888" s="140">
        <f t="shared" si="1280"/>
        <v>12020.426990217215</v>
      </c>
      <c r="FB888" s="140">
        <f t="shared" si="1280"/>
        <v>12020.426990217191</v>
      </c>
      <c r="FC888" s="140">
        <f t="shared" si="1280"/>
        <v>12020.426990217184</v>
      </c>
      <c r="FD888" s="140">
        <f t="shared" si="1280"/>
        <v>12020.426990217195</v>
      </c>
      <c r="FE888" s="140">
        <f t="shared" si="1280"/>
        <v>12020.426990217191</v>
      </c>
      <c r="FF888" s="140">
        <f t="shared" si="1280"/>
        <v>12020.426990217211</v>
      </c>
      <c r="FG888" s="140">
        <f t="shared" si="1280"/>
        <v>12020.426990217167</v>
      </c>
      <c r="FH888" s="140">
        <f t="shared" si="1280"/>
        <v>12020.426990217211</v>
      </c>
      <c r="FI888" s="141">
        <f t="shared" si="1280"/>
        <v>12020.426990217185</v>
      </c>
      <c r="FK888" s="245"/>
      <c r="FL888" s="1"/>
      <c r="FM888" s="1"/>
      <c r="FN888" s="1"/>
      <c r="FO888" s="1"/>
      <c r="FP888" s="140">
        <f t="shared" ref="FP888:GT888" si="1281">FP886*$F$905</f>
        <v>0</v>
      </c>
      <c r="FQ888" s="140">
        <f t="shared" si="1281"/>
        <v>14341.644970319465</v>
      </c>
      <c r="FR888" s="140">
        <f t="shared" si="1281"/>
        <v>14341.644970319465</v>
      </c>
      <c r="FS888" s="140">
        <f t="shared" si="1281"/>
        <v>14341.644970319465</v>
      </c>
      <c r="FT888" s="140">
        <f t="shared" si="1281"/>
        <v>14341.644970319465</v>
      </c>
      <c r="FU888" s="140">
        <f t="shared" si="1281"/>
        <v>14341.644970319465</v>
      </c>
      <c r="FV888" s="140">
        <f t="shared" si="1281"/>
        <v>14341.644970319465</v>
      </c>
      <c r="FW888" s="140">
        <f t="shared" si="1281"/>
        <v>14341.644970319465</v>
      </c>
      <c r="FX888" s="140">
        <f t="shared" si="1281"/>
        <v>14341.64497031947</v>
      </c>
      <c r="FY888" s="140">
        <f t="shared" si="1281"/>
        <v>14341.644970319465</v>
      </c>
      <c r="FZ888" s="140">
        <f t="shared" si="1281"/>
        <v>14341.64497031947</v>
      </c>
      <c r="GA888" s="140">
        <f t="shared" si="1281"/>
        <v>14341.64497031947</v>
      </c>
      <c r="GB888" s="140">
        <f t="shared" si="1281"/>
        <v>14341.644970319459</v>
      </c>
      <c r="GC888" s="140">
        <f t="shared" si="1281"/>
        <v>14341.644970319465</v>
      </c>
      <c r="GD888" s="140">
        <f t="shared" si="1281"/>
        <v>14341.64497031947</v>
      </c>
      <c r="GE888" s="140">
        <f t="shared" si="1281"/>
        <v>14341.644970319476</v>
      </c>
      <c r="GF888" s="140">
        <f t="shared" si="1281"/>
        <v>14341.644970319465</v>
      </c>
      <c r="GG888" s="140">
        <f t="shared" si="1281"/>
        <v>14341.644970319465</v>
      </c>
      <c r="GH888" s="140">
        <f t="shared" si="1281"/>
        <v>14341.644970319465</v>
      </c>
      <c r="GI888" s="140">
        <f t="shared" si="1281"/>
        <v>14341.644970319481</v>
      </c>
      <c r="GJ888" s="140">
        <f t="shared" si="1281"/>
        <v>14341.644970319459</v>
      </c>
      <c r="GK888" s="140">
        <f t="shared" si="1281"/>
        <v>14341.644970319459</v>
      </c>
      <c r="GL888" s="140">
        <f t="shared" si="1281"/>
        <v>14341.644970319476</v>
      </c>
      <c r="GM888" s="140">
        <f t="shared" si="1281"/>
        <v>14341.644970319481</v>
      </c>
      <c r="GN888" s="140">
        <f t="shared" si="1281"/>
        <v>14341.644970319443</v>
      </c>
      <c r="GO888" s="140">
        <f t="shared" si="1281"/>
        <v>14341.644970319481</v>
      </c>
      <c r="GP888" s="140">
        <f t="shared" si="1281"/>
        <v>14341.644970319448</v>
      </c>
      <c r="GQ888" s="140">
        <f t="shared" si="1281"/>
        <v>14341.644970319492</v>
      </c>
      <c r="GR888" s="140">
        <f t="shared" si="1281"/>
        <v>14341.644970319448</v>
      </c>
      <c r="GS888" s="140">
        <f t="shared" si="1281"/>
        <v>14341.644970319481</v>
      </c>
      <c r="GT888" s="141">
        <f t="shared" si="1281"/>
        <v>14341.644970319465</v>
      </c>
      <c r="GV888" s="245"/>
      <c r="GW888" s="1"/>
      <c r="GX888" s="1"/>
      <c r="GY888" s="1"/>
      <c r="GZ888" s="1"/>
      <c r="HA888" s="140">
        <f t="shared" ref="HA888:IE888" si="1282">HA886*$F$905</f>
        <v>0</v>
      </c>
      <c r="HB888" s="140">
        <f t="shared" si="1282"/>
        <v>13779.854769522595</v>
      </c>
      <c r="HC888" s="140">
        <f t="shared" si="1282"/>
        <v>13779.854769522595</v>
      </c>
      <c r="HD888" s="140">
        <f t="shared" si="1282"/>
        <v>13779.854769522597</v>
      </c>
      <c r="HE888" s="140">
        <f t="shared" si="1282"/>
        <v>13779.854769522593</v>
      </c>
      <c r="HF888" s="140">
        <f t="shared" si="1282"/>
        <v>13779.854769522597</v>
      </c>
      <c r="HG888" s="140">
        <f t="shared" si="1282"/>
        <v>13779.854769522597</v>
      </c>
      <c r="HH888" s="140">
        <f t="shared" si="1282"/>
        <v>13779.854769522595</v>
      </c>
      <c r="HI888" s="140">
        <f t="shared" si="1282"/>
        <v>13779.85476952259</v>
      </c>
      <c r="HJ888" s="140">
        <f t="shared" si="1282"/>
        <v>13779.854769522597</v>
      </c>
      <c r="HK888" s="140">
        <f t="shared" si="1282"/>
        <v>13779.854769522595</v>
      </c>
      <c r="HL888" s="140">
        <f t="shared" si="1282"/>
        <v>13779.854769522604</v>
      </c>
      <c r="HM888" s="140">
        <f t="shared" si="1282"/>
        <v>13779.854769522593</v>
      </c>
      <c r="HN888" s="140">
        <f t="shared" si="1282"/>
        <v>13779.854769522593</v>
      </c>
      <c r="HO888" s="140">
        <f t="shared" si="1282"/>
        <v>13779.854769522597</v>
      </c>
      <c r="HP888" s="140">
        <f t="shared" si="1282"/>
        <v>13779.854769522597</v>
      </c>
      <c r="HQ888" s="140">
        <f t="shared" si="1282"/>
        <v>13779.854769522584</v>
      </c>
      <c r="HR888" s="140">
        <f t="shared" si="1282"/>
        <v>13779.854769522612</v>
      </c>
      <c r="HS888" s="140">
        <f t="shared" si="1282"/>
        <v>13779.854769522584</v>
      </c>
      <c r="HT888" s="140">
        <f t="shared" si="1282"/>
        <v>13779.854769522593</v>
      </c>
      <c r="HU888" s="140">
        <f t="shared" si="1282"/>
        <v>13779.854769522597</v>
      </c>
      <c r="HV888" s="140">
        <f t="shared" si="1282"/>
        <v>13779.854769522595</v>
      </c>
      <c r="HW888" s="140">
        <f t="shared" si="1282"/>
        <v>13779.854769522608</v>
      </c>
      <c r="HX888" s="140">
        <f t="shared" si="1282"/>
        <v>13779.854769522575</v>
      </c>
      <c r="HY888" s="140">
        <f t="shared" si="1282"/>
        <v>13779.854769522608</v>
      </c>
      <c r="HZ888" s="140">
        <f t="shared" si="1282"/>
        <v>13779.854769522583</v>
      </c>
      <c r="IA888" s="140">
        <f t="shared" si="1282"/>
        <v>13779.854769522601</v>
      </c>
      <c r="IB888" s="140">
        <f t="shared" si="1282"/>
        <v>13779.854769522612</v>
      </c>
      <c r="IC888" s="140">
        <f t="shared" si="1282"/>
        <v>13779.854769522583</v>
      </c>
      <c r="ID888" s="140">
        <f t="shared" si="1282"/>
        <v>13779.854769522601</v>
      </c>
      <c r="IE888" s="141">
        <f t="shared" si="1282"/>
        <v>13779.854769522597</v>
      </c>
      <c r="IG888" s="245"/>
      <c r="IH888" s="1"/>
      <c r="II888" s="1"/>
      <c r="IJ888" s="1"/>
      <c r="IK888" s="1"/>
      <c r="IL888" s="140">
        <f t="shared" ref="IL888:JP888" si="1283">IL886*$F$905</f>
        <v>0</v>
      </c>
      <c r="IM888" s="140">
        <f t="shared" si="1283"/>
        <v>0</v>
      </c>
      <c r="IN888" s="140">
        <f t="shared" si="1283"/>
        <v>0</v>
      </c>
      <c r="IO888" s="140">
        <f t="shared" si="1283"/>
        <v>0</v>
      </c>
      <c r="IP888" s="140">
        <f t="shared" si="1283"/>
        <v>19271.04183863091</v>
      </c>
      <c r="IQ888" s="140">
        <f>IQ886*$F$905</f>
        <v>19271.04183863091</v>
      </c>
      <c r="IR888" s="140">
        <f t="shared" si="1283"/>
        <v>19271.04183863091</v>
      </c>
      <c r="IS888" s="140">
        <f t="shared" si="1283"/>
        <v>19271.04183863091</v>
      </c>
      <c r="IT888" s="140">
        <f t="shared" si="1283"/>
        <v>19271.04183863091</v>
      </c>
      <c r="IU888" s="140">
        <f t="shared" si="1283"/>
        <v>19271.04183863091</v>
      </c>
      <c r="IV888" s="140">
        <f t="shared" si="1283"/>
        <v>19271.04183863091</v>
      </c>
      <c r="IW888" s="140">
        <f t="shared" si="1283"/>
        <v>4080.475679365994</v>
      </c>
      <c r="IX888" s="140">
        <f t="shared" si="1283"/>
        <v>4080.475679365994</v>
      </c>
      <c r="IY888" s="140">
        <f t="shared" si="1283"/>
        <v>4080.475679365994</v>
      </c>
      <c r="IZ888" s="140">
        <f t="shared" si="1283"/>
        <v>4080.475679365994</v>
      </c>
      <c r="JA888" s="140">
        <f t="shared" si="1283"/>
        <v>4080.475679365994</v>
      </c>
      <c r="JB888" s="140">
        <f t="shared" si="1283"/>
        <v>4080.475679365994</v>
      </c>
      <c r="JC888" s="140">
        <f t="shared" si="1283"/>
        <v>4080.475679365994</v>
      </c>
      <c r="JD888" s="140">
        <f t="shared" si="1283"/>
        <v>4080.475679365994</v>
      </c>
      <c r="JE888" s="140">
        <f t="shared" si="1283"/>
        <v>4080.475679365994</v>
      </c>
      <c r="JF888" s="140">
        <f t="shared" si="1283"/>
        <v>4080.475679365994</v>
      </c>
      <c r="JG888" s="140">
        <f t="shared" si="1283"/>
        <v>4080.475679365994</v>
      </c>
      <c r="JH888" s="140">
        <f t="shared" si="1283"/>
        <v>4080.475679365994</v>
      </c>
      <c r="JI888" s="140">
        <f t="shared" si="1283"/>
        <v>4080.475679365994</v>
      </c>
      <c r="JJ888" s="140">
        <f t="shared" si="1283"/>
        <v>4080.475679365994</v>
      </c>
      <c r="JK888" s="140">
        <f t="shared" si="1283"/>
        <v>4080.475679365994</v>
      </c>
      <c r="JL888" s="140">
        <f t="shared" si="1283"/>
        <v>4080.475679365994</v>
      </c>
      <c r="JM888" s="140">
        <f t="shared" si="1283"/>
        <v>4080.475679365994</v>
      </c>
      <c r="JN888" s="140">
        <f t="shared" si="1283"/>
        <v>4080.475679365994</v>
      </c>
      <c r="JO888" s="140">
        <f t="shared" si="1283"/>
        <v>4080.475679365994</v>
      </c>
      <c r="JP888" s="141">
        <f t="shared" si="1283"/>
        <v>4080.475679365994</v>
      </c>
      <c r="JR888" s="245"/>
      <c r="JS888" s="1"/>
      <c r="JT888" s="1"/>
      <c r="JU888" s="1"/>
      <c r="JV888" s="1"/>
      <c r="JW888" s="140">
        <f>JW886*$F$905</f>
        <v>0</v>
      </c>
      <c r="JX888" s="140">
        <f t="shared" ref="JX888:LA888" si="1284">JX886*$F$905</f>
        <v>0</v>
      </c>
      <c r="JY888" s="140">
        <f t="shared" si="1284"/>
        <v>0</v>
      </c>
      <c r="JZ888" s="140">
        <f t="shared" si="1284"/>
        <v>0</v>
      </c>
      <c r="KA888" s="140">
        <f t="shared" si="1284"/>
        <v>14963.694438179991</v>
      </c>
      <c r="KB888" s="140">
        <f t="shared" si="1284"/>
        <v>17672.56708484055</v>
      </c>
      <c r="KC888" s="140">
        <f t="shared" si="1284"/>
        <v>20377.820622368083</v>
      </c>
      <c r="KD888" s="140">
        <f t="shared" si="1284"/>
        <v>22845.672547869999</v>
      </c>
      <c r="KE888" s="140">
        <f t="shared" si="1284"/>
        <v>24832.374529981917</v>
      </c>
      <c r="KF888" s="140">
        <f t="shared" si="1284"/>
        <v>26123.331406656867</v>
      </c>
      <c r="KG888" s="140">
        <f>KG886*$F$905</f>
        <v>26571.152303967232</v>
      </c>
      <c r="KH888" s="140">
        <f t="shared" si="1284"/>
        <v>26181.118315590007</v>
      </c>
      <c r="KI888" s="140">
        <f t="shared" si="1284"/>
        <v>24858.6806660857</v>
      </c>
      <c r="KJ888" s="140">
        <f t="shared" si="1284"/>
        <v>22823.531741315572</v>
      </c>
      <c r="KK888" s="140">
        <f t="shared" si="1284"/>
        <v>20295.499737573322</v>
      </c>
      <c r="KL888" s="140">
        <f t="shared" si="1284"/>
        <v>17524.276938330357</v>
      </c>
      <c r="KM888" s="140">
        <f t="shared" si="1284"/>
        <v>14749.346775765149</v>
      </c>
      <c r="KN888" s="140">
        <f t="shared" si="1284"/>
        <v>12167.567268581886</v>
      </c>
      <c r="KO888" s="140">
        <f t="shared" si="1284"/>
        <v>9914.0057854963416</v>
      </c>
      <c r="KP888" s="140">
        <f t="shared" si="1284"/>
        <v>8057.41882859015</v>
      </c>
      <c r="KQ888" s="140">
        <f t="shared" si="1284"/>
        <v>6607.9996990327691</v>
      </c>
      <c r="KR888" s="140">
        <f t="shared" si="1284"/>
        <v>5532.7250494690406</v>
      </c>
      <c r="KS888" s="140">
        <f t="shared" si="1284"/>
        <v>4773.1454509370133</v>
      </c>
      <c r="KT888" s="140">
        <f t="shared" si="1284"/>
        <v>4261.4443801677608</v>
      </c>
      <c r="KU888" s="140">
        <f t="shared" si="1284"/>
        <v>3932.3228056429366</v>
      </c>
      <c r="KV888" s="140">
        <f t="shared" si="1284"/>
        <v>3730.0245453930993</v>
      </c>
      <c r="KW888" s="140">
        <f t="shared" si="1284"/>
        <v>3611.1079215275695</v>
      </c>
      <c r="KX888" s="140">
        <f t="shared" si="1284"/>
        <v>3544.2170932762533</v>
      </c>
      <c r="KY888" s="140">
        <f t="shared" si="1284"/>
        <v>3508.1943053863438</v>
      </c>
      <c r="KZ888" s="140">
        <f t="shared" si="1284"/>
        <v>3489.6140201027956</v>
      </c>
      <c r="LA888" s="141">
        <f t="shared" si="1284"/>
        <v>3480.431937138319</v>
      </c>
      <c r="LC888" s="245"/>
      <c r="LD888" s="1"/>
      <c r="LE888" s="1"/>
      <c r="LF888" s="1"/>
      <c r="LG888" s="1"/>
      <c r="LH888" s="140">
        <f t="shared" ref="LH888:ML888" si="1285">LH886*$F$905</f>
        <v>0</v>
      </c>
      <c r="LI888" s="140">
        <f t="shared" si="1285"/>
        <v>0</v>
      </c>
      <c r="LJ888" s="140">
        <f t="shared" si="1285"/>
        <v>0</v>
      </c>
      <c r="LK888" s="140">
        <f t="shared" si="1285"/>
        <v>0</v>
      </c>
      <c r="LL888" s="140">
        <f t="shared" si="1285"/>
        <v>12789.471782357243</v>
      </c>
      <c r="LM888" s="140">
        <f t="shared" si="1285"/>
        <v>13604.603441099909</v>
      </c>
      <c r="LN888" s="140">
        <f t="shared" si="1285"/>
        <v>14134.275143108624</v>
      </c>
      <c r="LO888" s="140">
        <f t="shared" si="1285"/>
        <v>14318.013315280874</v>
      </c>
      <c r="LP888" s="140">
        <f t="shared" si="1285"/>
        <v>14134.275143108624</v>
      </c>
      <c r="LQ888" s="140">
        <f t="shared" si="1285"/>
        <v>13604.603441099909</v>
      </c>
      <c r="LR888" s="140">
        <f t="shared" si="1285"/>
        <v>12789.471782357243</v>
      </c>
      <c r="LS888" s="140">
        <f t="shared" si="1285"/>
        <v>12802.524848999676</v>
      </c>
      <c r="LT888" s="140">
        <f t="shared" si="1285"/>
        <v>12655.637866536825</v>
      </c>
      <c r="LU888" s="140">
        <f t="shared" si="1285"/>
        <v>12232.199029172729</v>
      </c>
      <c r="LV888" s="140">
        <f t="shared" si="1285"/>
        <v>12655.637866536825</v>
      </c>
      <c r="LW888" s="140">
        <f t="shared" si="1285"/>
        <v>12802.524848999676</v>
      </c>
      <c r="LX888" s="140">
        <f t="shared" si="1285"/>
        <v>12655.637866536825</v>
      </c>
      <c r="LY888" s="140">
        <f t="shared" si="1285"/>
        <v>12232.199029172729</v>
      </c>
      <c r="LZ888" s="140">
        <f t="shared" si="1285"/>
        <v>11580.55311233841</v>
      </c>
      <c r="MA888" s="140">
        <f t="shared" si="1285"/>
        <v>10771.08815731002</v>
      </c>
      <c r="MB888" s="140">
        <f t="shared" si="1285"/>
        <v>9883.7545574021751</v>
      </c>
      <c r="MC888" s="140">
        <f t="shared" si="1285"/>
        <v>9945.5135744743511</v>
      </c>
      <c r="MD888" s="140">
        <f t="shared" si="1285"/>
        <v>10543.320001674811</v>
      </c>
      <c r="ME888" s="140">
        <f t="shared" si="1285"/>
        <v>10543.320001674811</v>
      </c>
      <c r="MF888" s="140">
        <f t="shared" si="1285"/>
        <v>11024.573840920799</v>
      </c>
      <c r="MG888" s="140">
        <f t="shared" si="1285"/>
        <v>11337.292083915851</v>
      </c>
      <c r="MH888" s="140">
        <f t="shared" si="1285"/>
        <v>11445.771125093481</v>
      </c>
      <c r="MI888" s="140">
        <f t="shared" si="1285"/>
        <v>11337.292083915851</v>
      </c>
      <c r="MJ888" s="140">
        <f t="shared" si="1285"/>
        <v>11024.573840920799</v>
      </c>
      <c r="MK888" s="140">
        <f t="shared" si="1285"/>
        <v>10543.320001674811</v>
      </c>
      <c r="ML888" s="141">
        <f t="shared" si="1285"/>
        <v>9945.5135744743511</v>
      </c>
    </row>
    <row r="889" spans="3:350" s="4" customFormat="1" ht="18" customHeight="1" x14ac:dyDescent="0.3">
      <c r="C889" s="136" t="s">
        <v>398</v>
      </c>
      <c r="E889" s="137" t="s">
        <v>105</v>
      </c>
      <c r="F889" s="138"/>
      <c r="H889" s="245"/>
      <c r="I889" s="1"/>
      <c r="J889" s="1"/>
      <c r="K889" s="1"/>
      <c r="L889" s="1"/>
      <c r="M889" s="1"/>
      <c r="N889" s="1"/>
      <c r="O889" s="350">
        <f>O888</f>
        <v>8583.6700555520601</v>
      </c>
      <c r="P889" s="1"/>
      <c r="Q889" s="138"/>
      <c r="S889" s="245"/>
      <c r="T889" s="1"/>
      <c r="U889" s="1"/>
      <c r="V889" s="1"/>
      <c r="W889" s="1"/>
      <c r="X889" s="140">
        <f t="shared" ref="X889:BB889" si="1286">$O889</f>
        <v>8583.6700555520601</v>
      </c>
      <c r="Y889" s="140">
        <f t="shared" si="1286"/>
        <v>8583.6700555520601</v>
      </c>
      <c r="Z889" s="140">
        <f t="shared" si="1286"/>
        <v>8583.6700555520601</v>
      </c>
      <c r="AA889" s="140">
        <f t="shared" si="1286"/>
        <v>8583.6700555520601</v>
      </c>
      <c r="AB889" s="140">
        <f t="shared" si="1286"/>
        <v>8583.6700555520601</v>
      </c>
      <c r="AC889" s="140">
        <f t="shared" si="1286"/>
        <v>8583.6700555520601</v>
      </c>
      <c r="AD889" s="140">
        <f t="shared" si="1286"/>
        <v>8583.6700555520601</v>
      </c>
      <c r="AE889" s="140">
        <f t="shared" si="1286"/>
        <v>8583.6700555520601</v>
      </c>
      <c r="AF889" s="140">
        <f t="shared" si="1286"/>
        <v>8583.6700555520601</v>
      </c>
      <c r="AG889" s="140">
        <f t="shared" si="1286"/>
        <v>8583.6700555520601</v>
      </c>
      <c r="AH889" s="140">
        <f t="shared" si="1286"/>
        <v>8583.6700555520601</v>
      </c>
      <c r="AI889" s="140">
        <f t="shared" si="1286"/>
        <v>8583.6700555520601</v>
      </c>
      <c r="AJ889" s="140">
        <f t="shared" si="1286"/>
        <v>8583.6700555520601</v>
      </c>
      <c r="AK889" s="140">
        <f t="shared" si="1286"/>
        <v>8583.6700555520601</v>
      </c>
      <c r="AL889" s="140">
        <f t="shared" si="1286"/>
        <v>8583.6700555520601</v>
      </c>
      <c r="AM889" s="140">
        <f t="shared" si="1286"/>
        <v>8583.6700555520601</v>
      </c>
      <c r="AN889" s="140">
        <f t="shared" si="1286"/>
        <v>8583.6700555520601</v>
      </c>
      <c r="AO889" s="140">
        <f t="shared" si="1286"/>
        <v>8583.6700555520601</v>
      </c>
      <c r="AP889" s="140">
        <f t="shared" si="1286"/>
        <v>8583.6700555520601</v>
      </c>
      <c r="AQ889" s="140">
        <f t="shared" si="1286"/>
        <v>8583.6700555520601</v>
      </c>
      <c r="AR889" s="140">
        <f t="shared" si="1286"/>
        <v>8583.6700555520601</v>
      </c>
      <c r="AS889" s="140">
        <f t="shared" si="1286"/>
        <v>8583.6700555520601</v>
      </c>
      <c r="AT889" s="140">
        <f t="shared" si="1286"/>
        <v>8583.6700555520601</v>
      </c>
      <c r="AU889" s="140">
        <f t="shared" si="1286"/>
        <v>8583.6700555520601</v>
      </c>
      <c r="AV889" s="140">
        <f t="shared" si="1286"/>
        <v>8583.6700555520601</v>
      </c>
      <c r="AW889" s="140">
        <f t="shared" si="1286"/>
        <v>8583.6700555520601</v>
      </c>
      <c r="AX889" s="140">
        <f t="shared" si="1286"/>
        <v>8583.6700555520601</v>
      </c>
      <c r="AY889" s="140">
        <f t="shared" si="1286"/>
        <v>8583.6700555520601</v>
      </c>
      <c r="AZ889" s="140">
        <f t="shared" si="1286"/>
        <v>8583.6700555520601</v>
      </c>
      <c r="BA889" s="140">
        <f t="shared" si="1286"/>
        <v>8583.6700555520601</v>
      </c>
      <c r="BB889" s="141">
        <f t="shared" si="1286"/>
        <v>8583.6700555520601</v>
      </c>
      <c r="BD889" s="245"/>
      <c r="BE889" s="1"/>
      <c r="BF889" s="1"/>
      <c r="BG889" s="1"/>
      <c r="BH889" s="1"/>
      <c r="BI889" s="140">
        <f t="shared" ref="BI889:CM889" si="1287">$O889</f>
        <v>8583.6700555520601</v>
      </c>
      <c r="BJ889" s="140">
        <f t="shared" si="1287"/>
        <v>8583.6700555520601</v>
      </c>
      <c r="BK889" s="140">
        <f t="shared" si="1287"/>
        <v>8583.6700555520601</v>
      </c>
      <c r="BL889" s="140">
        <f t="shared" si="1287"/>
        <v>8583.6700555520601</v>
      </c>
      <c r="BM889" s="140">
        <f t="shared" si="1287"/>
        <v>8583.6700555520601</v>
      </c>
      <c r="BN889" s="140">
        <f t="shared" si="1287"/>
        <v>8583.6700555520601</v>
      </c>
      <c r="BO889" s="140">
        <f t="shared" si="1287"/>
        <v>8583.6700555520601</v>
      </c>
      <c r="BP889" s="140">
        <f t="shared" si="1287"/>
        <v>8583.6700555520601</v>
      </c>
      <c r="BQ889" s="140">
        <f t="shared" si="1287"/>
        <v>8583.6700555520601</v>
      </c>
      <c r="BR889" s="140">
        <f t="shared" si="1287"/>
        <v>8583.6700555520601</v>
      </c>
      <c r="BS889" s="140">
        <f t="shared" si="1287"/>
        <v>8583.6700555520601</v>
      </c>
      <c r="BT889" s="140">
        <f t="shared" si="1287"/>
        <v>8583.6700555520601</v>
      </c>
      <c r="BU889" s="140">
        <f t="shared" si="1287"/>
        <v>8583.6700555520601</v>
      </c>
      <c r="BV889" s="140">
        <f t="shared" si="1287"/>
        <v>8583.6700555520601</v>
      </c>
      <c r="BW889" s="140">
        <f t="shared" si="1287"/>
        <v>8583.6700555520601</v>
      </c>
      <c r="BX889" s="140">
        <f t="shared" si="1287"/>
        <v>8583.6700555520601</v>
      </c>
      <c r="BY889" s="140">
        <f t="shared" si="1287"/>
        <v>8583.6700555520601</v>
      </c>
      <c r="BZ889" s="140">
        <f t="shared" si="1287"/>
        <v>8583.6700555520601</v>
      </c>
      <c r="CA889" s="140">
        <f t="shared" si="1287"/>
        <v>8583.6700555520601</v>
      </c>
      <c r="CB889" s="140">
        <f t="shared" si="1287"/>
        <v>8583.6700555520601</v>
      </c>
      <c r="CC889" s="140">
        <f t="shared" si="1287"/>
        <v>8583.6700555520601</v>
      </c>
      <c r="CD889" s="140">
        <f t="shared" si="1287"/>
        <v>8583.6700555520601</v>
      </c>
      <c r="CE889" s="140">
        <f t="shared" si="1287"/>
        <v>8583.6700555520601</v>
      </c>
      <c r="CF889" s="140">
        <f t="shared" si="1287"/>
        <v>8583.6700555520601</v>
      </c>
      <c r="CG889" s="140">
        <f t="shared" si="1287"/>
        <v>8583.6700555520601</v>
      </c>
      <c r="CH889" s="140">
        <f t="shared" si="1287"/>
        <v>8583.6700555520601</v>
      </c>
      <c r="CI889" s="140">
        <f t="shared" si="1287"/>
        <v>8583.6700555520601</v>
      </c>
      <c r="CJ889" s="140">
        <f t="shared" si="1287"/>
        <v>8583.6700555520601</v>
      </c>
      <c r="CK889" s="140">
        <f t="shared" si="1287"/>
        <v>8583.6700555520601</v>
      </c>
      <c r="CL889" s="140">
        <f t="shared" si="1287"/>
        <v>8583.6700555520601</v>
      </c>
      <c r="CM889" s="141">
        <f t="shared" si="1287"/>
        <v>8583.6700555520601</v>
      </c>
      <c r="CO889" s="245"/>
      <c r="CP889" s="1"/>
      <c r="CQ889" s="1"/>
      <c r="CR889" s="1"/>
      <c r="CS889" s="1"/>
      <c r="CT889" s="140">
        <f t="shared" ref="CT889:DX889" si="1288">$O889</f>
        <v>8583.6700555520601</v>
      </c>
      <c r="CU889" s="140">
        <f t="shared" si="1288"/>
        <v>8583.6700555520601</v>
      </c>
      <c r="CV889" s="140">
        <f t="shared" si="1288"/>
        <v>8583.6700555520601</v>
      </c>
      <c r="CW889" s="140">
        <f t="shared" si="1288"/>
        <v>8583.6700555520601</v>
      </c>
      <c r="CX889" s="140">
        <f t="shared" si="1288"/>
        <v>8583.6700555520601</v>
      </c>
      <c r="CY889" s="140">
        <f t="shared" si="1288"/>
        <v>8583.6700555520601</v>
      </c>
      <c r="CZ889" s="140">
        <f t="shared" si="1288"/>
        <v>8583.6700555520601</v>
      </c>
      <c r="DA889" s="140">
        <f t="shared" si="1288"/>
        <v>8583.6700555520601</v>
      </c>
      <c r="DB889" s="140">
        <f t="shared" si="1288"/>
        <v>8583.6700555520601</v>
      </c>
      <c r="DC889" s="140">
        <f t="shared" si="1288"/>
        <v>8583.6700555520601</v>
      </c>
      <c r="DD889" s="140">
        <f t="shared" si="1288"/>
        <v>8583.6700555520601</v>
      </c>
      <c r="DE889" s="140">
        <f t="shared" si="1288"/>
        <v>8583.6700555520601</v>
      </c>
      <c r="DF889" s="140">
        <f t="shared" si="1288"/>
        <v>8583.6700555520601</v>
      </c>
      <c r="DG889" s="140">
        <f t="shared" si="1288"/>
        <v>8583.6700555520601</v>
      </c>
      <c r="DH889" s="140">
        <f t="shared" si="1288"/>
        <v>8583.6700555520601</v>
      </c>
      <c r="DI889" s="140">
        <f t="shared" si="1288"/>
        <v>8583.6700555520601</v>
      </c>
      <c r="DJ889" s="140">
        <f t="shared" si="1288"/>
        <v>8583.6700555520601</v>
      </c>
      <c r="DK889" s="140">
        <f t="shared" si="1288"/>
        <v>8583.6700555520601</v>
      </c>
      <c r="DL889" s="140">
        <f t="shared" si="1288"/>
        <v>8583.6700555520601</v>
      </c>
      <c r="DM889" s="140">
        <f t="shared" si="1288"/>
        <v>8583.6700555520601</v>
      </c>
      <c r="DN889" s="140">
        <f t="shared" si="1288"/>
        <v>8583.6700555520601</v>
      </c>
      <c r="DO889" s="140">
        <f t="shared" si="1288"/>
        <v>8583.6700555520601</v>
      </c>
      <c r="DP889" s="140">
        <f t="shared" si="1288"/>
        <v>8583.6700555520601</v>
      </c>
      <c r="DQ889" s="140">
        <f t="shared" si="1288"/>
        <v>8583.6700555520601</v>
      </c>
      <c r="DR889" s="140">
        <f t="shared" si="1288"/>
        <v>8583.6700555520601</v>
      </c>
      <c r="DS889" s="140">
        <f t="shared" si="1288"/>
        <v>8583.6700555520601</v>
      </c>
      <c r="DT889" s="140">
        <f t="shared" si="1288"/>
        <v>8583.6700555520601</v>
      </c>
      <c r="DU889" s="140">
        <f t="shared" si="1288"/>
        <v>8583.6700555520601</v>
      </c>
      <c r="DV889" s="140">
        <f t="shared" si="1288"/>
        <v>8583.6700555520601</v>
      </c>
      <c r="DW889" s="140">
        <f t="shared" si="1288"/>
        <v>8583.6700555520601</v>
      </c>
      <c r="DX889" s="141">
        <f t="shared" si="1288"/>
        <v>8583.6700555520601</v>
      </c>
      <c r="DZ889" s="245"/>
      <c r="EA889" s="1"/>
      <c r="EB889" s="1"/>
      <c r="EC889" s="1"/>
      <c r="ED889" s="1"/>
      <c r="EE889" s="140">
        <f t="shared" ref="EE889:FI889" si="1289">$O889</f>
        <v>8583.6700555520601</v>
      </c>
      <c r="EF889" s="140">
        <f t="shared" si="1289"/>
        <v>8583.6700555520601</v>
      </c>
      <c r="EG889" s="140">
        <f t="shared" si="1289"/>
        <v>8583.6700555520601</v>
      </c>
      <c r="EH889" s="140">
        <f t="shared" si="1289"/>
        <v>8583.6700555520601</v>
      </c>
      <c r="EI889" s="140">
        <f t="shared" si="1289"/>
        <v>8583.6700555520601</v>
      </c>
      <c r="EJ889" s="140">
        <f t="shared" si="1289"/>
        <v>8583.6700555520601</v>
      </c>
      <c r="EK889" s="140">
        <f t="shared" si="1289"/>
        <v>8583.6700555520601</v>
      </c>
      <c r="EL889" s="140">
        <f t="shared" si="1289"/>
        <v>8583.6700555520601</v>
      </c>
      <c r="EM889" s="140">
        <f t="shared" si="1289"/>
        <v>8583.6700555520601</v>
      </c>
      <c r="EN889" s="140">
        <f t="shared" si="1289"/>
        <v>8583.6700555520601</v>
      </c>
      <c r="EO889" s="140">
        <f t="shared" si="1289"/>
        <v>8583.6700555520601</v>
      </c>
      <c r="EP889" s="140">
        <f t="shared" si="1289"/>
        <v>8583.6700555520601</v>
      </c>
      <c r="EQ889" s="140">
        <f t="shared" si="1289"/>
        <v>8583.6700555520601</v>
      </c>
      <c r="ER889" s="140">
        <f t="shared" si="1289"/>
        <v>8583.6700555520601</v>
      </c>
      <c r="ES889" s="140">
        <f t="shared" si="1289"/>
        <v>8583.6700555520601</v>
      </c>
      <c r="ET889" s="140">
        <f t="shared" si="1289"/>
        <v>8583.6700555520601</v>
      </c>
      <c r="EU889" s="140">
        <f t="shared" si="1289"/>
        <v>8583.6700555520601</v>
      </c>
      <c r="EV889" s="140">
        <f t="shared" si="1289"/>
        <v>8583.6700555520601</v>
      </c>
      <c r="EW889" s="140">
        <f t="shared" si="1289"/>
        <v>8583.6700555520601</v>
      </c>
      <c r="EX889" s="140">
        <f t="shared" si="1289"/>
        <v>8583.6700555520601</v>
      </c>
      <c r="EY889" s="140">
        <f t="shared" si="1289"/>
        <v>8583.6700555520601</v>
      </c>
      <c r="EZ889" s="140">
        <f t="shared" si="1289"/>
        <v>8583.6700555520601</v>
      </c>
      <c r="FA889" s="140">
        <f t="shared" si="1289"/>
        <v>8583.6700555520601</v>
      </c>
      <c r="FB889" s="140">
        <f t="shared" si="1289"/>
        <v>8583.6700555520601</v>
      </c>
      <c r="FC889" s="140">
        <f t="shared" si="1289"/>
        <v>8583.6700555520601</v>
      </c>
      <c r="FD889" s="140">
        <f t="shared" si="1289"/>
        <v>8583.6700555520601</v>
      </c>
      <c r="FE889" s="140">
        <f t="shared" si="1289"/>
        <v>8583.6700555520601</v>
      </c>
      <c r="FF889" s="140">
        <f t="shared" si="1289"/>
        <v>8583.6700555520601</v>
      </c>
      <c r="FG889" s="140">
        <f t="shared" si="1289"/>
        <v>8583.6700555520601</v>
      </c>
      <c r="FH889" s="140">
        <f t="shared" si="1289"/>
        <v>8583.6700555520601</v>
      </c>
      <c r="FI889" s="141">
        <f t="shared" si="1289"/>
        <v>8583.6700555520601</v>
      </c>
      <c r="FK889" s="245"/>
      <c r="FL889" s="1"/>
      <c r="FM889" s="1"/>
      <c r="FN889" s="1"/>
      <c r="FO889" s="1"/>
      <c r="FP889" s="140">
        <f t="shared" ref="FP889:GT889" si="1290">$O889</f>
        <v>8583.6700555520601</v>
      </c>
      <c r="FQ889" s="140">
        <f t="shared" si="1290"/>
        <v>8583.6700555520601</v>
      </c>
      <c r="FR889" s="140">
        <f t="shared" si="1290"/>
        <v>8583.6700555520601</v>
      </c>
      <c r="FS889" s="140">
        <f t="shared" si="1290"/>
        <v>8583.6700555520601</v>
      </c>
      <c r="FT889" s="140">
        <f t="shared" si="1290"/>
        <v>8583.6700555520601</v>
      </c>
      <c r="FU889" s="140">
        <f t="shared" si="1290"/>
        <v>8583.6700555520601</v>
      </c>
      <c r="FV889" s="140">
        <f t="shared" si="1290"/>
        <v>8583.6700555520601</v>
      </c>
      <c r="FW889" s="140">
        <f t="shared" si="1290"/>
        <v>8583.6700555520601</v>
      </c>
      <c r="FX889" s="140">
        <f t="shared" si="1290"/>
        <v>8583.6700555520601</v>
      </c>
      <c r="FY889" s="140">
        <f t="shared" si="1290"/>
        <v>8583.6700555520601</v>
      </c>
      <c r="FZ889" s="140">
        <f t="shared" si="1290"/>
        <v>8583.6700555520601</v>
      </c>
      <c r="GA889" s="140">
        <f t="shared" si="1290"/>
        <v>8583.6700555520601</v>
      </c>
      <c r="GB889" s="140">
        <f t="shared" si="1290"/>
        <v>8583.6700555520601</v>
      </c>
      <c r="GC889" s="140">
        <f t="shared" si="1290"/>
        <v>8583.6700555520601</v>
      </c>
      <c r="GD889" s="140">
        <f t="shared" si="1290"/>
        <v>8583.6700555520601</v>
      </c>
      <c r="GE889" s="140">
        <f t="shared" si="1290"/>
        <v>8583.6700555520601</v>
      </c>
      <c r="GF889" s="140">
        <f t="shared" si="1290"/>
        <v>8583.6700555520601</v>
      </c>
      <c r="GG889" s="140">
        <f t="shared" si="1290"/>
        <v>8583.6700555520601</v>
      </c>
      <c r="GH889" s="140">
        <f t="shared" si="1290"/>
        <v>8583.6700555520601</v>
      </c>
      <c r="GI889" s="140">
        <f t="shared" si="1290"/>
        <v>8583.6700555520601</v>
      </c>
      <c r="GJ889" s="140">
        <f t="shared" si="1290"/>
        <v>8583.6700555520601</v>
      </c>
      <c r="GK889" s="140">
        <f t="shared" si="1290"/>
        <v>8583.6700555520601</v>
      </c>
      <c r="GL889" s="140">
        <f t="shared" si="1290"/>
        <v>8583.6700555520601</v>
      </c>
      <c r="GM889" s="140">
        <f t="shared" si="1290"/>
        <v>8583.6700555520601</v>
      </c>
      <c r="GN889" s="140">
        <f t="shared" si="1290"/>
        <v>8583.6700555520601</v>
      </c>
      <c r="GO889" s="140">
        <f t="shared" si="1290"/>
        <v>8583.6700555520601</v>
      </c>
      <c r="GP889" s="140">
        <f t="shared" si="1290"/>
        <v>8583.6700555520601</v>
      </c>
      <c r="GQ889" s="140">
        <f t="shared" si="1290"/>
        <v>8583.6700555520601</v>
      </c>
      <c r="GR889" s="140">
        <f t="shared" si="1290"/>
        <v>8583.6700555520601</v>
      </c>
      <c r="GS889" s="140">
        <f t="shared" si="1290"/>
        <v>8583.6700555520601</v>
      </c>
      <c r="GT889" s="141">
        <f t="shared" si="1290"/>
        <v>8583.6700555520601</v>
      </c>
      <c r="GV889" s="245"/>
      <c r="GW889" s="1"/>
      <c r="GX889" s="1"/>
      <c r="GY889" s="1"/>
      <c r="GZ889" s="1"/>
      <c r="HA889" s="140">
        <f t="shared" ref="HA889:IE889" si="1291">$O889</f>
        <v>8583.6700555520601</v>
      </c>
      <c r="HB889" s="140">
        <f t="shared" si="1291"/>
        <v>8583.6700555520601</v>
      </c>
      <c r="HC889" s="140">
        <f t="shared" si="1291"/>
        <v>8583.6700555520601</v>
      </c>
      <c r="HD889" s="140">
        <f t="shared" si="1291"/>
        <v>8583.6700555520601</v>
      </c>
      <c r="HE889" s="140">
        <f t="shared" si="1291"/>
        <v>8583.6700555520601</v>
      </c>
      <c r="HF889" s="140">
        <f t="shared" si="1291"/>
        <v>8583.6700555520601</v>
      </c>
      <c r="HG889" s="140">
        <f t="shared" si="1291"/>
        <v>8583.6700555520601</v>
      </c>
      <c r="HH889" s="140">
        <f t="shared" si="1291"/>
        <v>8583.6700555520601</v>
      </c>
      <c r="HI889" s="140">
        <f t="shared" si="1291"/>
        <v>8583.6700555520601</v>
      </c>
      <c r="HJ889" s="140">
        <f t="shared" si="1291"/>
        <v>8583.6700555520601</v>
      </c>
      <c r="HK889" s="140">
        <f t="shared" si="1291"/>
        <v>8583.6700555520601</v>
      </c>
      <c r="HL889" s="140">
        <f t="shared" si="1291"/>
        <v>8583.6700555520601</v>
      </c>
      <c r="HM889" s="140">
        <f t="shared" si="1291"/>
        <v>8583.6700555520601</v>
      </c>
      <c r="HN889" s="140">
        <f t="shared" si="1291"/>
        <v>8583.6700555520601</v>
      </c>
      <c r="HO889" s="140">
        <f t="shared" si="1291"/>
        <v>8583.6700555520601</v>
      </c>
      <c r="HP889" s="140">
        <f t="shared" si="1291"/>
        <v>8583.6700555520601</v>
      </c>
      <c r="HQ889" s="140">
        <f t="shared" si="1291"/>
        <v>8583.6700555520601</v>
      </c>
      <c r="HR889" s="140">
        <f t="shared" si="1291"/>
        <v>8583.6700555520601</v>
      </c>
      <c r="HS889" s="140">
        <f t="shared" si="1291"/>
        <v>8583.6700555520601</v>
      </c>
      <c r="HT889" s="140">
        <f t="shared" si="1291"/>
        <v>8583.6700555520601</v>
      </c>
      <c r="HU889" s="140">
        <f t="shared" si="1291"/>
        <v>8583.6700555520601</v>
      </c>
      <c r="HV889" s="140">
        <f t="shared" si="1291"/>
        <v>8583.6700555520601</v>
      </c>
      <c r="HW889" s="140">
        <f t="shared" si="1291"/>
        <v>8583.6700555520601</v>
      </c>
      <c r="HX889" s="140">
        <f t="shared" si="1291"/>
        <v>8583.6700555520601</v>
      </c>
      <c r="HY889" s="140">
        <f t="shared" si="1291"/>
        <v>8583.6700555520601</v>
      </c>
      <c r="HZ889" s="140">
        <f t="shared" si="1291"/>
        <v>8583.6700555520601</v>
      </c>
      <c r="IA889" s="140">
        <f t="shared" si="1291"/>
        <v>8583.6700555520601</v>
      </c>
      <c r="IB889" s="140">
        <f t="shared" si="1291"/>
        <v>8583.6700555520601</v>
      </c>
      <c r="IC889" s="140">
        <f t="shared" si="1291"/>
        <v>8583.6700555520601</v>
      </c>
      <c r="ID889" s="140">
        <f t="shared" si="1291"/>
        <v>8583.6700555520601</v>
      </c>
      <c r="IE889" s="141">
        <f t="shared" si="1291"/>
        <v>8583.6700555520601</v>
      </c>
      <c r="IG889" s="245"/>
      <c r="IH889" s="1"/>
      <c r="II889" s="1"/>
      <c r="IJ889" s="1"/>
      <c r="IK889" s="1"/>
      <c r="IL889" s="140">
        <f t="shared" ref="IL889:JP889" si="1292">$O889</f>
        <v>8583.6700555520601</v>
      </c>
      <c r="IM889" s="140">
        <f t="shared" si="1292"/>
        <v>8583.6700555520601</v>
      </c>
      <c r="IN889" s="140">
        <f t="shared" si="1292"/>
        <v>8583.6700555520601</v>
      </c>
      <c r="IO889" s="140">
        <f t="shared" si="1292"/>
        <v>8583.6700555520601</v>
      </c>
      <c r="IP889" s="140">
        <f t="shared" si="1292"/>
        <v>8583.6700555520601</v>
      </c>
      <c r="IQ889" s="140">
        <f t="shared" si="1292"/>
        <v>8583.6700555520601</v>
      </c>
      <c r="IR889" s="140">
        <f t="shared" si="1292"/>
        <v>8583.6700555520601</v>
      </c>
      <c r="IS889" s="140">
        <f t="shared" si="1292"/>
        <v>8583.6700555520601</v>
      </c>
      <c r="IT889" s="140">
        <f t="shared" si="1292"/>
        <v>8583.6700555520601</v>
      </c>
      <c r="IU889" s="140">
        <f t="shared" si="1292"/>
        <v>8583.6700555520601</v>
      </c>
      <c r="IV889" s="140">
        <f t="shared" si="1292"/>
        <v>8583.6700555520601</v>
      </c>
      <c r="IW889" s="140">
        <f t="shared" si="1292"/>
        <v>8583.6700555520601</v>
      </c>
      <c r="IX889" s="140">
        <f t="shared" si="1292"/>
        <v>8583.6700555520601</v>
      </c>
      <c r="IY889" s="140">
        <f t="shared" si="1292"/>
        <v>8583.6700555520601</v>
      </c>
      <c r="IZ889" s="140">
        <f t="shared" si="1292"/>
        <v>8583.6700555520601</v>
      </c>
      <c r="JA889" s="140">
        <f t="shared" si="1292"/>
        <v>8583.6700555520601</v>
      </c>
      <c r="JB889" s="140">
        <f t="shared" si="1292"/>
        <v>8583.6700555520601</v>
      </c>
      <c r="JC889" s="140">
        <f t="shared" si="1292"/>
        <v>8583.6700555520601</v>
      </c>
      <c r="JD889" s="140">
        <f t="shared" si="1292"/>
        <v>8583.6700555520601</v>
      </c>
      <c r="JE889" s="140">
        <f t="shared" si="1292"/>
        <v>8583.6700555520601</v>
      </c>
      <c r="JF889" s="140">
        <f t="shared" si="1292"/>
        <v>8583.6700555520601</v>
      </c>
      <c r="JG889" s="140">
        <f t="shared" si="1292"/>
        <v>8583.6700555520601</v>
      </c>
      <c r="JH889" s="140">
        <f t="shared" si="1292"/>
        <v>8583.6700555520601</v>
      </c>
      <c r="JI889" s="140">
        <f t="shared" si="1292"/>
        <v>8583.6700555520601</v>
      </c>
      <c r="JJ889" s="140">
        <f t="shared" si="1292"/>
        <v>8583.6700555520601</v>
      </c>
      <c r="JK889" s="140">
        <f t="shared" si="1292"/>
        <v>8583.6700555520601</v>
      </c>
      <c r="JL889" s="140">
        <f t="shared" si="1292"/>
        <v>8583.6700555520601</v>
      </c>
      <c r="JM889" s="140">
        <f t="shared" si="1292"/>
        <v>8583.6700555520601</v>
      </c>
      <c r="JN889" s="140">
        <f t="shared" si="1292"/>
        <v>8583.6700555520601</v>
      </c>
      <c r="JO889" s="140">
        <f t="shared" si="1292"/>
        <v>8583.6700555520601</v>
      </c>
      <c r="JP889" s="141">
        <f t="shared" si="1292"/>
        <v>8583.6700555520601</v>
      </c>
      <c r="JR889" s="245"/>
      <c r="JS889" s="1"/>
      <c r="JT889" s="1"/>
      <c r="JU889" s="1"/>
      <c r="JV889" s="1"/>
      <c r="JW889" s="140">
        <f t="shared" ref="JW889:LA889" si="1293">$O889</f>
        <v>8583.6700555520601</v>
      </c>
      <c r="JX889" s="140">
        <f t="shared" si="1293"/>
        <v>8583.6700555520601</v>
      </c>
      <c r="JY889" s="140">
        <f t="shared" si="1293"/>
        <v>8583.6700555520601</v>
      </c>
      <c r="JZ889" s="140">
        <f t="shared" si="1293"/>
        <v>8583.6700555520601</v>
      </c>
      <c r="KA889" s="140">
        <f t="shared" si="1293"/>
        <v>8583.6700555520601</v>
      </c>
      <c r="KB889" s="140">
        <f t="shared" si="1293"/>
        <v>8583.6700555520601</v>
      </c>
      <c r="KC889" s="140">
        <f t="shared" si="1293"/>
        <v>8583.6700555520601</v>
      </c>
      <c r="KD889" s="140">
        <f t="shared" si="1293"/>
        <v>8583.6700555520601</v>
      </c>
      <c r="KE889" s="140">
        <f t="shared" si="1293"/>
        <v>8583.6700555520601</v>
      </c>
      <c r="KF889" s="140">
        <f t="shared" si="1293"/>
        <v>8583.6700555520601</v>
      </c>
      <c r="KG889" s="140">
        <f t="shared" si="1293"/>
        <v>8583.6700555520601</v>
      </c>
      <c r="KH889" s="140">
        <f t="shared" si="1293"/>
        <v>8583.6700555520601</v>
      </c>
      <c r="KI889" s="140">
        <f t="shared" si="1293"/>
        <v>8583.6700555520601</v>
      </c>
      <c r="KJ889" s="140">
        <f t="shared" si="1293"/>
        <v>8583.6700555520601</v>
      </c>
      <c r="KK889" s="140">
        <f t="shared" si="1293"/>
        <v>8583.6700555520601</v>
      </c>
      <c r="KL889" s="140">
        <f t="shared" si="1293"/>
        <v>8583.6700555520601</v>
      </c>
      <c r="KM889" s="140">
        <f t="shared" si="1293"/>
        <v>8583.6700555520601</v>
      </c>
      <c r="KN889" s="140">
        <f t="shared" si="1293"/>
        <v>8583.6700555520601</v>
      </c>
      <c r="KO889" s="140">
        <f t="shared" si="1293"/>
        <v>8583.6700555520601</v>
      </c>
      <c r="KP889" s="140">
        <f t="shared" si="1293"/>
        <v>8583.6700555520601</v>
      </c>
      <c r="KQ889" s="140">
        <f t="shared" si="1293"/>
        <v>8583.6700555520601</v>
      </c>
      <c r="KR889" s="140">
        <f t="shared" si="1293"/>
        <v>8583.6700555520601</v>
      </c>
      <c r="KS889" s="140">
        <f t="shared" si="1293"/>
        <v>8583.6700555520601</v>
      </c>
      <c r="KT889" s="140">
        <f t="shared" si="1293"/>
        <v>8583.6700555520601</v>
      </c>
      <c r="KU889" s="140">
        <f t="shared" si="1293"/>
        <v>8583.6700555520601</v>
      </c>
      <c r="KV889" s="140">
        <f t="shared" si="1293"/>
        <v>8583.6700555520601</v>
      </c>
      <c r="KW889" s="140">
        <f t="shared" si="1293"/>
        <v>8583.6700555520601</v>
      </c>
      <c r="KX889" s="140">
        <f t="shared" si="1293"/>
        <v>8583.6700555520601</v>
      </c>
      <c r="KY889" s="140">
        <f t="shared" si="1293"/>
        <v>8583.6700555520601</v>
      </c>
      <c r="KZ889" s="140">
        <f t="shared" si="1293"/>
        <v>8583.6700555520601</v>
      </c>
      <c r="LA889" s="141">
        <f t="shared" si="1293"/>
        <v>8583.6700555520601</v>
      </c>
      <c r="LC889" s="245"/>
      <c r="LD889" s="1"/>
      <c r="LE889" s="1"/>
      <c r="LF889" s="1"/>
      <c r="LG889" s="1"/>
      <c r="LH889" s="140">
        <f t="shared" ref="LH889:ML889" si="1294">$O889</f>
        <v>8583.6700555520601</v>
      </c>
      <c r="LI889" s="140">
        <f t="shared" si="1294"/>
        <v>8583.6700555520601</v>
      </c>
      <c r="LJ889" s="140">
        <f t="shared" si="1294"/>
        <v>8583.6700555520601</v>
      </c>
      <c r="LK889" s="140">
        <f t="shared" si="1294"/>
        <v>8583.6700555520601</v>
      </c>
      <c r="LL889" s="140">
        <f t="shared" si="1294"/>
        <v>8583.6700555520601</v>
      </c>
      <c r="LM889" s="140">
        <f t="shared" si="1294"/>
        <v>8583.6700555520601</v>
      </c>
      <c r="LN889" s="140">
        <f t="shared" si="1294"/>
        <v>8583.6700555520601</v>
      </c>
      <c r="LO889" s="140">
        <f t="shared" si="1294"/>
        <v>8583.6700555520601</v>
      </c>
      <c r="LP889" s="140">
        <f t="shared" si="1294"/>
        <v>8583.6700555520601</v>
      </c>
      <c r="LQ889" s="140">
        <f t="shared" si="1294"/>
        <v>8583.6700555520601</v>
      </c>
      <c r="LR889" s="140">
        <f t="shared" si="1294"/>
        <v>8583.6700555520601</v>
      </c>
      <c r="LS889" s="140">
        <f t="shared" si="1294"/>
        <v>8583.6700555520601</v>
      </c>
      <c r="LT889" s="140">
        <f t="shared" si="1294"/>
        <v>8583.6700555520601</v>
      </c>
      <c r="LU889" s="140">
        <f t="shared" si="1294"/>
        <v>8583.6700555520601</v>
      </c>
      <c r="LV889" s="140">
        <f t="shared" si="1294"/>
        <v>8583.6700555520601</v>
      </c>
      <c r="LW889" s="140">
        <f t="shared" si="1294"/>
        <v>8583.6700555520601</v>
      </c>
      <c r="LX889" s="140">
        <f t="shared" si="1294"/>
        <v>8583.6700555520601</v>
      </c>
      <c r="LY889" s="140">
        <f t="shared" si="1294"/>
        <v>8583.6700555520601</v>
      </c>
      <c r="LZ889" s="140">
        <f t="shared" si="1294"/>
        <v>8583.6700555520601</v>
      </c>
      <c r="MA889" s="140">
        <f t="shared" si="1294"/>
        <v>8583.6700555520601</v>
      </c>
      <c r="MB889" s="140">
        <f t="shared" si="1294"/>
        <v>8583.6700555520601</v>
      </c>
      <c r="MC889" s="140">
        <f t="shared" si="1294"/>
        <v>8583.6700555520601</v>
      </c>
      <c r="MD889" s="140">
        <f t="shared" si="1294"/>
        <v>8583.6700555520601</v>
      </c>
      <c r="ME889" s="140">
        <f t="shared" si="1294"/>
        <v>8583.6700555520601</v>
      </c>
      <c r="MF889" s="140">
        <f t="shared" si="1294"/>
        <v>8583.6700555520601</v>
      </c>
      <c r="MG889" s="140">
        <f t="shared" si="1294"/>
        <v>8583.6700555520601</v>
      </c>
      <c r="MH889" s="140">
        <f t="shared" si="1294"/>
        <v>8583.6700555520601</v>
      </c>
      <c r="MI889" s="140">
        <f t="shared" si="1294"/>
        <v>8583.6700555520601</v>
      </c>
      <c r="MJ889" s="140">
        <f t="shared" si="1294"/>
        <v>8583.6700555520601</v>
      </c>
      <c r="MK889" s="140">
        <f t="shared" si="1294"/>
        <v>8583.6700555520601</v>
      </c>
      <c r="ML889" s="141">
        <f t="shared" si="1294"/>
        <v>8583.6700555520601</v>
      </c>
    </row>
    <row r="890" spans="3:350" s="4" customFormat="1" ht="18" customHeight="1" x14ac:dyDescent="0.3">
      <c r="C890" s="136" t="s">
        <v>399</v>
      </c>
      <c r="E890" s="137" t="s">
        <v>105</v>
      </c>
      <c r="F890" s="138"/>
      <c r="H890" s="245"/>
      <c r="I890" s="1"/>
      <c r="J890" s="1"/>
      <c r="K890" s="1"/>
      <c r="L890" s="1"/>
      <c r="M890" s="1"/>
      <c r="N890" s="1"/>
      <c r="O890" s="350">
        <f>O889-O888</f>
        <v>0</v>
      </c>
      <c r="P890" s="1"/>
      <c r="Q890" s="138"/>
      <c r="S890" s="245"/>
      <c r="T890" s="1"/>
      <c r="U890" s="1"/>
      <c r="V890" s="1"/>
      <c r="W890" s="1"/>
      <c r="X890" s="140">
        <f t="shared" ref="X890:BB890" si="1295">X889-X888</f>
        <v>-8179.7975207386353</v>
      </c>
      <c r="Y890" s="140">
        <f t="shared" si="1295"/>
        <v>-8544.5673664467049</v>
      </c>
      <c r="Z890" s="140">
        <f t="shared" si="1295"/>
        <v>-8544.5673664467049</v>
      </c>
      <c r="AA890" s="140">
        <f t="shared" si="1295"/>
        <v>-8544.5673664467085</v>
      </c>
      <c r="AB890" s="140">
        <f t="shared" si="1295"/>
        <v>-8544.5673664467013</v>
      </c>
      <c r="AC890" s="140">
        <f t="shared" si="1295"/>
        <v>-8544.5673664467013</v>
      </c>
      <c r="AD890" s="140">
        <f t="shared" si="1295"/>
        <v>-8544.5673664467158</v>
      </c>
      <c r="AE890" s="140">
        <f t="shared" si="1295"/>
        <v>-8544.5673664466794</v>
      </c>
      <c r="AF890" s="140">
        <f t="shared" si="1295"/>
        <v>-8544.5673664467158</v>
      </c>
      <c r="AG890" s="140">
        <f t="shared" si="1295"/>
        <v>-8544.5673664466794</v>
      </c>
      <c r="AH890" s="140">
        <f t="shared" si="1295"/>
        <v>-8544.5673664467158</v>
      </c>
      <c r="AI890" s="140">
        <f t="shared" si="1295"/>
        <v>-8544.5673664466794</v>
      </c>
      <c r="AJ890" s="140">
        <f t="shared" si="1295"/>
        <v>-8544.5673664467558</v>
      </c>
      <c r="AK890" s="140">
        <f t="shared" si="1295"/>
        <v>-8544.5673664466794</v>
      </c>
      <c r="AL890" s="140">
        <f t="shared" si="1295"/>
        <v>-8544.5673664466794</v>
      </c>
      <c r="AM890" s="140">
        <f t="shared" si="1295"/>
        <v>-8544.5673664467558</v>
      </c>
      <c r="AN890" s="140">
        <f t="shared" si="1295"/>
        <v>-8544.5673664466467</v>
      </c>
      <c r="AO890" s="140">
        <f t="shared" si="1295"/>
        <v>-8544.5673664467558</v>
      </c>
      <c r="AP890" s="140">
        <f t="shared" si="1295"/>
        <v>-8544.5673664466794</v>
      </c>
      <c r="AQ890" s="140">
        <f t="shared" si="1295"/>
        <v>-8544.5673664466794</v>
      </c>
      <c r="AR890" s="140">
        <f t="shared" si="1295"/>
        <v>-8544.5673664467558</v>
      </c>
      <c r="AS890" s="140">
        <f t="shared" si="1295"/>
        <v>-8544.5673664467558</v>
      </c>
      <c r="AT890" s="140">
        <f t="shared" si="1295"/>
        <v>-8544.5673664466794</v>
      </c>
      <c r="AU890" s="140">
        <f t="shared" si="1295"/>
        <v>-8544.5673664466794</v>
      </c>
      <c r="AV890" s="140">
        <f t="shared" si="1295"/>
        <v>-8544.5673664466794</v>
      </c>
      <c r="AW890" s="140">
        <f t="shared" si="1295"/>
        <v>-8544.5673664467558</v>
      </c>
      <c r="AX890" s="140">
        <f t="shared" si="1295"/>
        <v>-8544.5673664466067</v>
      </c>
      <c r="AY890" s="140">
        <f t="shared" si="1295"/>
        <v>-8544.5673664466794</v>
      </c>
      <c r="AZ890" s="140">
        <f t="shared" si="1295"/>
        <v>-8544.5673664467558</v>
      </c>
      <c r="BA890" s="140">
        <f t="shared" si="1295"/>
        <v>-8544.5673664467558</v>
      </c>
      <c r="BB890" s="141">
        <f t="shared" si="1295"/>
        <v>-8544.5673664466794</v>
      </c>
      <c r="BD890" s="245"/>
      <c r="BE890" s="1"/>
      <c r="BF890" s="1"/>
      <c r="BG890" s="1"/>
      <c r="BH890" s="1"/>
      <c r="BI890" s="140">
        <f t="shared" ref="BI890:CM890" si="1296">BI889-BI888</f>
        <v>8583.6700555520601</v>
      </c>
      <c r="BJ890" s="140">
        <f t="shared" si="1296"/>
        <v>-4018.0942366694162</v>
      </c>
      <c r="BK890" s="140">
        <f t="shared" si="1296"/>
        <v>-4018.0942366694162</v>
      </c>
      <c r="BL890" s="140">
        <f t="shared" si="1296"/>
        <v>-4018.0942366694162</v>
      </c>
      <c r="BM890" s="140">
        <f t="shared" si="1296"/>
        <v>-4018.0942366694162</v>
      </c>
      <c r="BN890" s="140">
        <f t="shared" si="1296"/>
        <v>-4018.0942366694162</v>
      </c>
      <c r="BO890" s="140">
        <f t="shared" si="1296"/>
        <v>-4018.0942366694126</v>
      </c>
      <c r="BP890" s="140">
        <f t="shared" si="1296"/>
        <v>-4018.0942366694162</v>
      </c>
      <c r="BQ890" s="140">
        <f t="shared" si="1296"/>
        <v>-4018.0942366694162</v>
      </c>
      <c r="BR890" s="140">
        <f t="shared" si="1296"/>
        <v>-4018.0942366694126</v>
      </c>
      <c r="BS890" s="140">
        <f t="shared" si="1296"/>
        <v>-4018.0942366694162</v>
      </c>
      <c r="BT890" s="140">
        <f t="shared" si="1296"/>
        <v>-4018.0942366694162</v>
      </c>
      <c r="BU890" s="140">
        <f t="shared" si="1296"/>
        <v>-4018.0942366694126</v>
      </c>
      <c r="BV890" s="140">
        <f t="shared" si="1296"/>
        <v>-4018.0942366694162</v>
      </c>
      <c r="BW890" s="140">
        <f t="shared" si="1296"/>
        <v>-4018.0942366694198</v>
      </c>
      <c r="BX890" s="140">
        <f t="shared" si="1296"/>
        <v>-4018.0942366694217</v>
      </c>
      <c r="BY890" s="140">
        <f t="shared" si="1296"/>
        <v>-4018.0942366694126</v>
      </c>
      <c r="BZ890" s="140">
        <f t="shared" si="1296"/>
        <v>-4018.0942366694126</v>
      </c>
      <c r="CA890" s="140">
        <f t="shared" si="1296"/>
        <v>-4018.0942366694162</v>
      </c>
      <c r="CB890" s="140">
        <f t="shared" si="1296"/>
        <v>-4018.0942366694217</v>
      </c>
      <c r="CC890" s="140">
        <f t="shared" si="1296"/>
        <v>-4018.0942366694162</v>
      </c>
      <c r="CD890" s="140">
        <f t="shared" si="1296"/>
        <v>-4018.0942366694198</v>
      </c>
      <c r="CE890" s="140">
        <f t="shared" si="1296"/>
        <v>-4018.0942366694126</v>
      </c>
      <c r="CF890" s="140">
        <f t="shared" si="1296"/>
        <v>-4018.0942366694107</v>
      </c>
      <c r="CG890" s="140">
        <f t="shared" si="1296"/>
        <v>-4018.0942366694198</v>
      </c>
      <c r="CH890" s="140">
        <f t="shared" si="1296"/>
        <v>-4018.0942366694107</v>
      </c>
      <c r="CI890" s="140">
        <f t="shared" si="1296"/>
        <v>-4018.0942366694217</v>
      </c>
      <c r="CJ890" s="140">
        <f t="shared" si="1296"/>
        <v>-4018.0942366694235</v>
      </c>
      <c r="CK890" s="140">
        <f t="shared" si="1296"/>
        <v>-4018.0942366694162</v>
      </c>
      <c r="CL890" s="140">
        <f t="shared" si="1296"/>
        <v>-4018.0942366694126</v>
      </c>
      <c r="CM890" s="141">
        <f t="shared" si="1296"/>
        <v>-4018.0942366694271</v>
      </c>
      <c r="CO890" s="245"/>
      <c r="CP890" s="1"/>
      <c r="CQ890" s="1"/>
      <c r="CR890" s="1"/>
      <c r="CS890" s="1"/>
      <c r="CT890" s="140">
        <f t="shared" ref="CT890:DX890" si="1297">CT889-CT888</f>
        <v>8583.6700555520601</v>
      </c>
      <c r="CU890" s="140">
        <f t="shared" si="1297"/>
        <v>-4424.262220143888</v>
      </c>
      <c r="CV890" s="140">
        <f t="shared" si="1297"/>
        <v>-4424.262220143888</v>
      </c>
      <c r="CW890" s="140">
        <f t="shared" si="1297"/>
        <v>-4424.262220143888</v>
      </c>
      <c r="CX890" s="140">
        <f t="shared" si="1297"/>
        <v>-4424.262220143888</v>
      </c>
      <c r="CY890" s="140">
        <f t="shared" si="1297"/>
        <v>-4424.2622201438862</v>
      </c>
      <c r="CZ890" s="140">
        <f t="shared" si="1297"/>
        <v>-4424.2622201438917</v>
      </c>
      <c r="DA890" s="140">
        <f t="shared" si="1297"/>
        <v>-4424.262220143888</v>
      </c>
      <c r="DB890" s="140">
        <f t="shared" si="1297"/>
        <v>-4424.262220143888</v>
      </c>
      <c r="DC890" s="140">
        <f t="shared" si="1297"/>
        <v>-4424.262220143888</v>
      </c>
      <c r="DD890" s="140">
        <f t="shared" si="1297"/>
        <v>-4424.2622201438844</v>
      </c>
      <c r="DE890" s="140">
        <f t="shared" si="1297"/>
        <v>-4424.2622201438953</v>
      </c>
      <c r="DF890" s="140">
        <f t="shared" si="1297"/>
        <v>-4424.2622201438862</v>
      </c>
      <c r="DG890" s="140">
        <f t="shared" si="1297"/>
        <v>-4424.262220143888</v>
      </c>
      <c r="DH890" s="140">
        <f t="shared" si="1297"/>
        <v>-4424.2622201438862</v>
      </c>
      <c r="DI890" s="140">
        <f t="shared" si="1297"/>
        <v>-4424.2622201438862</v>
      </c>
      <c r="DJ890" s="140">
        <f t="shared" si="1297"/>
        <v>-4424.2622201438953</v>
      </c>
      <c r="DK890" s="140">
        <f t="shared" si="1297"/>
        <v>-4424.262220143888</v>
      </c>
      <c r="DL890" s="140">
        <f t="shared" si="1297"/>
        <v>-4424.2622201438862</v>
      </c>
      <c r="DM890" s="140">
        <f t="shared" si="1297"/>
        <v>-4424.2622201438808</v>
      </c>
      <c r="DN890" s="140">
        <f t="shared" si="1297"/>
        <v>-4424.262220143888</v>
      </c>
      <c r="DO890" s="140">
        <f t="shared" si="1297"/>
        <v>-4424.2622201438917</v>
      </c>
      <c r="DP890" s="140">
        <f t="shared" si="1297"/>
        <v>-4424.262220143899</v>
      </c>
      <c r="DQ890" s="140">
        <f t="shared" si="1297"/>
        <v>-4424.2622201438753</v>
      </c>
      <c r="DR890" s="140">
        <f t="shared" si="1297"/>
        <v>-4424.2622201438971</v>
      </c>
      <c r="DS890" s="140">
        <f t="shared" si="1297"/>
        <v>-4424.262220143888</v>
      </c>
      <c r="DT890" s="140">
        <f t="shared" si="1297"/>
        <v>-4424.262220143888</v>
      </c>
      <c r="DU890" s="140">
        <f t="shared" si="1297"/>
        <v>-4424.2622201438844</v>
      </c>
      <c r="DV890" s="140">
        <f t="shared" si="1297"/>
        <v>-4424.2622201438971</v>
      </c>
      <c r="DW890" s="140">
        <f t="shared" si="1297"/>
        <v>-4424.2622201438971</v>
      </c>
      <c r="DX890" s="141">
        <f t="shared" si="1297"/>
        <v>-4424.2622201438771</v>
      </c>
      <c r="DZ890" s="245"/>
      <c r="EA890" s="1"/>
      <c r="EB890" s="1"/>
      <c r="EC890" s="1"/>
      <c r="ED890" s="1"/>
      <c r="EE890" s="140">
        <f t="shared" ref="EE890:FI890" si="1298">EE889-EE888</f>
        <v>8583.6700555520601</v>
      </c>
      <c r="EF890" s="140">
        <f t="shared" si="1298"/>
        <v>-3436.7569346651326</v>
      </c>
      <c r="EG890" s="140">
        <f t="shared" si="1298"/>
        <v>-3436.7569346651326</v>
      </c>
      <c r="EH890" s="140">
        <f t="shared" si="1298"/>
        <v>-3436.7569346651308</v>
      </c>
      <c r="EI890" s="140">
        <f t="shared" si="1298"/>
        <v>-3436.7569346651326</v>
      </c>
      <c r="EJ890" s="140">
        <f t="shared" si="1298"/>
        <v>-3436.7569346651308</v>
      </c>
      <c r="EK890" s="140">
        <f t="shared" si="1298"/>
        <v>-3436.7569346651344</v>
      </c>
      <c r="EL890" s="140">
        <f t="shared" si="1298"/>
        <v>-3436.7569346651308</v>
      </c>
      <c r="EM890" s="140">
        <f t="shared" si="1298"/>
        <v>-3436.7569346651417</v>
      </c>
      <c r="EN890" s="140">
        <f t="shared" si="1298"/>
        <v>-3436.7569346651289</v>
      </c>
      <c r="EO890" s="140">
        <f t="shared" si="1298"/>
        <v>-3436.7569346651344</v>
      </c>
      <c r="EP890" s="140">
        <f t="shared" si="1298"/>
        <v>-3436.7569346651362</v>
      </c>
      <c r="EQ890" s="140">
        <f t="shared" si="1298"/>
        <v>-3436.7569346651253</v>
      </c>
      <c r="ER890" s="140">
        <f t="shared" si="1298"/>
        <v>-3436.7569346651326</v>
      </c>
      <c r="ES890" s="140">
        <f t="shared" si="1298"/>
        <v>-3436.7569346651289</v>
      </c>
      <c r="ET890" s="140">
        <f t="shared" si="1298"/>
        <v>-3436.7569346651362</v>
      </c>
      <c r="EU890" s="140">
        <f t="shared" si="1298"/>
        <v>-3436.7569346651417</v>
      </c>
      <c r="EV890" s="140">
        <f t="shared" si="1298"/>
        <v>-3436.7569346651308</v>
      </c>
      <c r="EW890" s="140">
        <f t="shared" si="1298"/>
        <v>-3436.7569346651289</v>
      </c>
      <c r="EX890" s="140">
        <f t="shared" si="1298"/>
        <v>-3436.7569346651417</v>
      </c>
      <c r="EY890" s="140">
        <f t="shared" si="1298"/>
        <v>-3436.7569346651308</v>
      </c>
      <c r="EZ890" s="140">
        <f t="shared" si="1298"/>
        <v>-3436.7569346651217</v>
      </c>
      <c r="FA890" s="140">
        <f t="shared" si="1298"/>
        <v>-3436.7569346651544</v>
      </c>
      <c r="FB890" s="140">
        <f t="shared" si="1298"/>
        <v>-3436.7569346651308</v>
      </c>
      <c r="FC890" s="140">
        <f t="shared" si="1298"/>
        <v>-3436.7569346651235</v>
      </c>
      <c r="FD890" s="140">
        <f t="shared" si="1298"/>
        <v>-3436.7569346651344</v>
      </c>
      <c r="FE890" s="140">
        <f t="shared" si="1298"/>
        <v>-3436.7569346651308</v>
      </c>
      <c r="FF890" s="140">
        <f t="shared" si="1298"/>
        <v>-3436.7569346651508</v>
      </c>
      <c r="FG890" s="140">
        <f t="shared" si="1298"/>
        <v>-3436.7569346651071</v>
      </c>
      <c r="FH890" s="140">
        <f t="shared" si="1298"/>
        <v>-3436.7569346651508</v>
      </c>
      <c r="FI890" s="141">
        <f t="shared" si="1298"/>
        <v>-3436.7569346651253</v>
      </c>
      <c r="FK890" s="245"/>
      <c r="FL890" s="1"/>
      <c r="FM890" s="1"/>
      <c r="FN890" s="1"/>
      <c r="FO890" s="1"/>
      <c r="FP890" s="140">
        <f t="shared" ref="FP890:GT890" si="1299">FP889-FP888</f>
        <v>8583.6700555520601</v>
      </c>
      <c r="FQ890" s="140">
        <f t="shared" si="1299"/>
        <v>-5757.9749147674047</v>
      </c>
      <c r="FR890" s="140">
        <f t="shared" si="1299"/>
        <v>-5757.9749147674047</v>
      </c>
      <c r="FS890" s="140">
        <f t="shared" si="1299"/>
        <v>-5757.9749147674047</v>
      </c>
      <c r="FT890" s="140">
        <f t="shared" si="1299"/>
        <v>-5757.9749147674047</v>
      </c>
      <c r="FU890" s="140">
        <f t="shared" si="1299"/>
        <v>-5757.9749147674047</v>
      </c>
      <c r="FV890" s="140">
        <f t="shared" si="1299"/>
        <v>-5757.9749147674047</v>
      </c>
      <c r="FW890" s="140">
        <f t="shared" si="1299"/>
        <v>-5757.9749147674047</v>
      </c>
      <c r="FX890" s="140">
        <f t="shared" si="1299"/>
        <v>-5757.9749147674102</v>
      </c>
      <c r="FY890" s="140">
        <f t="shared" si="1299"/>
        <v>-5757.9749147674047</v>
      </c>
      <c r="FZ890" s="140">
        <f t="shared" si="1299"/>
        <v>-5757.9749147674102</v>
      </c>
      <c r="GA890" s="140">
        <f t="shared" si="1299"/>
        <v>-5757.9749147674102</v>
      </c>
      <c r="GB890" s="140">
        <f t="shared" si="1299"/>
        <v>-5757.9749147673992</v>
      </c>
      <c r="GC890" s="140">
        <f t="shared" si="1299"/>
        <v>-5757.9749147674047</v>
      </c>
      <c r="GD890" s="140">
        <f t="shared" si="1299"/>
        <v>-5757.9749147674102</v>
      </c>
      <c r="GE890" s="140">
        <f t="shared" si="1299"/>
        <v>-5757.9749147674156</v>
      </c>
      <c r="GF890" s="140">
        <f t="shared" si="1299"/>
        <v>-5757.9749147674047</v>
      </c>
      <c r="GG890" s="140">
        <f t="shared" si="1299"/>
        <v>-5757.9749147674047</v>
      </c>
      <c r="GH890" s="140">
        <f t="shared" si="1299"/>
        <v>-5757.9749147674047</v>
      </c>
      <c r="GI890" s="140">
        <f t="shared" si="1299"/>
        <v>-5757.9749147674211</v>
      </c>
      <c r="GJ890" s="140">
        <f t="shared" si="1299"/>
        <v>-5757.9749147673992</v>
      </c>
      <c r="GK890" s="140">
        <f t="shared" si="1299"/>
        <v>-5757.9749147673992</v>
      </c>
      <c r="GL890" s="140">
        <f t="shared" si="1299"/>
        <v>-5757.9749147674156</v>
      </c>
      <c r="GM890" s="140">
        <f t="shared" si="1299"/>
        <v>-5757.9749147674211</v>
      </c>
      <c r="GN890" s="140">
        <f t="shared" si="1299"/>
        <v>-5757.9749147673829</v>
      </c>
      <c r="GO890" s="140">
        <f t="shared" si="1299"/>
        <v>-5757.9749147674211</v>
      </c>
      <c r="GP890" s="140">
        <f t="shared" si="1299"/>
        <v>-5757.9749147673883</v>
      </c>
      <c r="GQ890" s="140">
        <f t="shared" si="1299"/>
        <v>-5757.974914767432</v>
      </c>
      <c r="GR890" s="140">
        <f t="shared" si="1299"/>
        <v>-5757.9749147673883</v>
      </c>
      <c r="GS890" s="140">
        <f t="shared" si="1299"/>
        <v>-5757.9749147674211</v>
      </c>
      <c r="GT890" s="141">
        <f t="shared" si="1299"/>
        <v>-5757.9749147674047</v>
      </c>
      <c r="GV890" s="245"/>
      <c r="GW890" s="1"/>
      <c r="GX890" s="1"/>
      <c r="GY890" s="1"/>
      <c r="GZ890" s="1"/>
      <c r="HA890" s="140">
        <f t="shared" ref="HA890:IE890" si="1300">HA889-HA888</f>
        <v>8583.6700555520601</v>
      </c>
      <c r="HB890" s="140">
        <f t="shared" si="1300"/>
        <v>-5196.1847139705351</v>
      </c>
      <c r="HC890" s="140">
        <f t="shared" si="1300"/>
        <v>-5196.1847139705351</v>
      </c>
      <c r="HD890" s="140">
        <f t="shared" si="1300"/>
        <v>-5196.1847139705369</v>
      </c>
      <c r="HE890" s="140">
        <f t="shared" si="1300"/>
        <v>-5196.1847139705333</v>
      </c>
      <c r="HF890" s="140">
        <f t="shared" si="1300"/>
        <v>-5196.1847139705369</v>
      </c>
      <c r="HG890" s="140">
        <f t="shared" si="1300"/>
        <v>-5196.1847139705369</v>
      </c>
      <c r="HH890" s="140">
        <f t="shared" si="1300"/>
        <v>-5196.1847139705351</v>
      </c>
      <c r="HI890" s="140">
        <f t="shared" si="1300"/>
        <v>-5196.1847139705296</v>
      </c>
      <c r="HJ890" s="140">
        <f t="shared" si="1300"/>
        <v>-5196.1847139705369</v>
      </c>
      <c r="HK890" s="140">
        <f t="shared" si="1300"/>
        <v>-5196.1847139705351</v>
      </c>
      <c r="HL890" s="140">
        <f t="shared" si="1300"/>
        <v>-5196.1847139705442</v>
      </c>
      <c r="HM890" s="140">
        <f t="shared" si="1300"/>
        <v>-5196.1847139705333</v>
      </c>
      <c r="HN890" s="140">
        <f t="shared" si="1300"/>
        <v>-5196.1847139705333</v>
      </c>
      <c r="HO890" s="140">
        <f t="shared" si="1300"/>
        <v>-5196.1847139705369</v>
      </c>
      <c r="HP890" s="140">
        <f t="shared" si="1300"/>
        <v>-5196.1847139705369</v>
      </c>
      <c r="HQ890" s="140">
        <f t="shared" si="1300"/>
        <v>-5196.1847139705242</v>
      </c>
      <c r="HR890" s="140">
        <f t="shared" si="1300"/>
        <v>-5196.1847139705515</v>
      </c>
      <c r="HS890" s="140">
        <f t="shared" si="1300"/>
        <v>-5196.1847139705242</v>
      </c>
      <c r="HT890" s="140">
        <f t="shared" si="1300"/>
        <v>-5196.1847139705333</v>
      </c>
      <c r="HU890" s="140">
        <f t="shared" si="1300"/>
        <v>-5196.1847139705369</v>
      </c>
      <c r="HV890" s="140">
        <f t="shared" si="1300"/>
        <v>-5196.1847139705351</v>
      </c>
      <c r="HW890" s="140">
        <f t="shared" si="1300"/>
        <v>-5196.1847139705478</v>
      </c>
      <c r="HX890" s="140">
        <f t="shared" si="1300"/>
        <v>-5196.1847139705151</v>
      </c>
      <c r="HY890" s="140">
        <f t="shared" si="1300"/>
        <v>-5196.1847139705478</v>
      </c>
      <c r="HZ890" s="140">
        <f t="shared" si="1300"/>
        <v>-5196.1847139705224</v>
      </c>
      <c r="IA890" s="140">
        <f t="shared" si="1300"/>
        <v>-5196.1847139705405</v>
      </c>
      <c r="IB890" s="140">
        <f t="shared" si="1300"/>
        <v>-5196.1847139705515</v>
      </c>
      <c r="IC890" s="140">
        <f t="shared" si="1300"/>
        <v>-5196.1847139705224</v>
      </c>
      <c r="ID890" s="140">
        <f t="shared" si="1300"/>
        <v>-5196.1847139705405</v>
      </c>
      <c r="IE890" s="141">
        <f t="shared" si="1300"/>
        <v>-5196.1847139705369</v>
      </c>
      <c r="IG890" s="245"/>
      <c r="IH890" s="1"/>
      <c r="II890" s="1"/>
      <c r="IJ890" s="1"/>
      <c r="IK890" s="1"/>
      <c r="IL890" s="140">
        <f t="shared" ref="IL890:JP890" si="1301">IL889-IL888</f>
        <v>8583.6700555520601</v>
      </c>
      <c r="IM890" s="140">
        <f t="shared" si="1301"/>
        <v>8583.6700555520601</v>
      </c>
      <c r="IN890" s="140">
        <f t="shared" si="1301"/>
        <v>8583.6700555520601</v>
      </c>
      <c r="IO890" s="140">
        <f t="shared" si="1301"/>
        <v>8583.6700555520601</v>
      </c>
      <c r="IP890" s="140">
        <f t="shared" si="1301"/>
        <v>-10687.37178307885</v>
      </c>
      <c r="IQ890" s="140">
        <f>IQ889-IQ888</f>
        <v>-10687.37178307885</v>
      </c>
      <c r="IR890" s="140">
        <f t="shared" si="1301"/>
        <v>-10687.37178307885</v>
      </c>
      <c r="IS890" s="140">
        <f t="shared" si="1301"/>
        <v>-10687.37178307885</v>
      </c>
      <c r="IT890" s="140">
        <f t="shared" si="1301"/>
        <v>-10687.37178307885</v>
      </c>
      <c r="IU890" s="140">
        <f t="shared" si="1301"/>
        <v>-10687.37178307885</v>
      </c>
      <c r="IV890" s="140">
        <f t="shared" si="1301"/>
        <v>-10687.37178307885</v>
      </c>
      <c r="IW890" s="140">
        <f t="shared" si="1301"/>
        <v>4503.1943761860657</v>
      </c>
      <c r="IX890" s="140">
        <f t="shared" si="1301"/>
        <v>4503.1943761860657</v>
      </c>
      <c r="IY890" s="140">
        <f t="shared" si="1301"/>
        <v>4503.1943761860657</v>
      </c>
      <c r="IZ890" s="140">
        <f t="shared" si="1301"/>
        <v>4503.1943761860657</v>
      </c>
      <c r="JA890" s="140">
        <f t="shared" si="1301"/>
        <v>4503.1943761860657</v>
      </c>
      <c r="JB890" s="140">
        <f t="shared" si="1301"/>
        <v>4503.1943761860657</v>
      </c>
      <c r="JC890" s="140">
        <f t="shared" si="1301"/>
        <v>4503.1943761860657</v>
      </c>
      <c r="JD890" s="140">
        <f t="shared" si="1301"/>
        <v>4503.1943761860657</v>
      </c>
      <c r="JE890" s="140">
        <f t="shared" si="1301"/>
        <v>4503.1943761860657</v>
      </c>
      <c r="JF890" s="140">
        <f t="shared" si="1301"/>
        <v>4503.1943761860657</v>
      </c>
      <c r="JG890" s="140">
        <f t="shared" si="1301"/>
        <v>4503.1943761860657</v>
      </c>
      <c r="JH890" s="140">
        <f t="shared" si="1301"/>
        <v>4503.1943761860657</v>
      </c>
      <c r="JI890" s="140">
        <f t="shared" si="1301"/>
        <v>4503.1943761860657</v>
      </c>
      <c r="JJ890" s="140">
        <f t="shared" si="1301"/>
        <v>4503.1943761860657</v>
      </c>
      <c r="JK890" s="140">
        <f t="shared" si="1301"/>
        <v>4503.1943761860657</v>
      </c>
      <c r="JL890" s="140">
        <f t="shared" si="1301"/>
        <v>4503.1943761860657</v>
      </c>
      <c r="JM890" s="140">
        <f t="shared" si="1301"/>
        <v>4503.1943761860657</v>
      </c>
      <c r="JN890" s="140">
        <f t="shared" si="1301"/>
        <v>4503.1943761860657</v>
      </c>
      <c r="JO890" s="140">
        <f t="shared" si="1301"/>
        <v>4503.1943761860657</v>
      </c>
      <c r="JP890" s="141">
        <f t="shared" si="1301"/>
        <v>4503.1943761860657</v>
      </c>
      <c r="JR890" s="245"/>
      <c r="JS890" s="1"/>
      <c r="JT890" s="1"/>
      <c r="JU890" s="1"/>
      <c r="JV890" s="1"/>
      <c r="JW890" s="140">
        <f t="shared" ref="JW890:LA890" si="1302">JW889-JW888</f>
        <v>8583.6700555520601</v>
      </c>
      <c r="JX890" s="140">
        <f t="shared" si="1302"/>
        <v>8583.6700555520601</v>
      </c>
      <c r="JY890" s="140">
        <f t="shared" si="1302"/>
        <v>8583.6700555520601</v>
      </c>
      <c r="JZ890" s="140">
        <f t="shared" si="1302"/>
        <v>8583.6700555520601</v>
      </c>
      <c r="KA890" s="140">
        <f t="shared" si="1302"/>
        <v>-6380.0243826279311</v>
      </c>
      <c r="KB890" s="140">
        <f t="shared" si="1302"/>
        <v>-9088.8970292884896</v>
      </c>
      <c r="KC890" s="140">
        <f t="shared" si="1302"/>
        <v>-11794.150566816023</v>
      </c>
      <c r="KD890" s="140">
        <f t="shared" si="1302"/>
        <v>-14262.002492317939</v>
      </c>
      <c r="KE890" s="140">
        <f t="shared" si="1302"/>
        <v>-16248.704474429856</v>
      </c>
      <c r="KF890" s="140">
        <f t="shared" si="1302"/>
        <v>-17539.661351104805</v>
      </c>
      <c r="KG890" s="140">
        <f t="shared" si="1302"/>
        <v>-17987.482248415174</v>
      </c>
      <c r="KH890" s="140">
        <f t="shared" si="1302"/>
        <v>-17597.448260037949</v>
      </c>
      <c r="KI890" s="140">
        <f t="shared" si="1302"/>
        <v>-16275.01061053364</v>
      </c>
      <c r="KJ890" s="140">
        <f t="shared" si="1302"/>
        <v>-14239.861685763512</v>
      </c>
      <c r="KK890" s="140">
        <f t="shared" si="1302"/>
        <v>-11711.829682021262</v>
      </c>
      <c r="KL890" s="140">
        <f t="shared" si="1302"/>
        <v>-8940.6068827782965</v>
      </c>
      <c r="KM890" s="140">
        <f t="shared" si="1302"/>
        <v>-6165.6767202130886</v>
      </c>
      <c r="KN890" s="140">
        <f t="shared" si="1302"/>
        <v>-3583.8972130298262</v>
      </c>
      <c r="KO890" s="140">
        <f t="shared" si="1302"/>
        <v>-1330.3357299442814</v>
      </c>
      <c r="KP890" s="140">
        <f t="shared" si="1302"/>
        <v>526.25122696191011</v>
      </c>
      <c r="KQ890" s="140">
        <f t="shared" si="1302"/>
        <v>1975.6703565192911</v>
      </c>
      <c r="KR890" s="140">
        <f t="shared" si="1302"/>
        <v>3050.9450060830195</v>
      </c>
      <c r="KS890" s="140">
        <f t="shared" si="1302"/>
        <v>3810.5246046150469</v>
      </c>
      <c r="KT890" s="140">
        <f t="shared" si="1302"/>
        <v>4322.2256753842994</v>
      </c>
      <c r="KU890" s="140">
        <f t="shared" si="1302"/>
        <v>4651.347249909124</v>
      </c>
      <c r="KV890" s="140">
        <f t="shared" si="1302"/>
        <v>4853.6455101589609</v>
      </c>
      <c r="KW890" s="140">
        <f t="shared" si="1302"/>
        <v>4972.5621340244907</v>
      </c>
      <c r="KX890" s="140">
        <f t="shared" si="1302"/>
        <v>5039.4529622758073</v>
      </c>
      <c r="KY890" s="140">
        <f t="shared" si="1302"/>
        <v>5075.4757501657168</v>
      </c>
      <c r="KZ890" s="140">
        <f t="shared" si="1302"/>
        <v>5094.0560354492645</v>
      </c>
      <c r="LA890" s="141">
        <f t="shared" si="1302"/>
        <v>5103.2381184137412</v>
      </c>
      <c r="LC890" s="245"/>
      <c r="LD890" s="1"/>
      <c r="LE890" s="1"/>
      <c r="LF890" s="1"/>
      <c r="LG890" s="1"/>
      <c r="LH890" s="140">
        <f t="shared" ref="LH890:ML890" si="1303">LH889-LH888</f>
        <v>8583.6700555520601</v>
      </c>
      <c r="LI890" s="140">
        <f t="shared" si="1303"/>
        <v>8583.6700555520601</v>
      </c>
      <c r="LJ890" s="140">
        <f t="shared" si="1303"/>
        <v>8583.6700555520601</v>
      </c>
      <c r="LK890" s="140">
        <f t="shared" si="1303"/>
        <v>8583.6700555520601</v>
      </c>
      <c r="LL890" s="140">
        <f t="shared" si="1303"/>
        <v>-4205.8017268051826</v>
      </c>
      <c r="LM890" s="140">
        <f t="shared" si="1303"/>
        <v>-5020.933385547849</v>
      </c>
      <c r="LN890" s="140">
        <f t="shared" si="1303"/>
        <v>-5550.6050875565634</v>
      </c>
      <c r="LO890" s="140">
        <f t="shared" si="1303"/>
        <v>-5734.3432597288138</v>
      </c>
      <c r="LP890" s="140">
        <f t="shared" si="1303"/>
        <v>-5550.6050875565634</v>
      </c>
      <c r="LQ890" s="140">
        <f t="shared" si="1303"/>
        <v>-5020.933385547849</v>
      </c>
      <c r="LR890" s="140">
        <f t="shared" si="1303"/>
        <v>-4205.8017268051826</v>
      </c>
      <c r="LS890" s="140">
        <f t="shared" si="1303"/>
        <v>-4218.8547934476155</v>
      </c>
      <c r="LT890" s="140">
        <f t="shared" si="1303"/>
        <v>-4071.9678109847646</v>
      </c>
      <c r="LU890" s="140">
        <f t="shared" si="1303"/>
        <v>-3648.5289736206687</v>
      </c>
      <c r="LV890" s="140">
        <f t="shared" si="1303"/>
        <v>-4071.9678109847646</v>
      </c>
      <c r="LW890" s="140">
        <f t="shared" si="1303"/>
        <v>-4218.8547934476155</v>
      </c>
      <c r="LX890" s="140">
        <f t="shared" si="1303"/>
        <v>-4071.9678109847646</v>
      </c>
      <c r="LY890" s="140">
        <f t="shared" si="1303"/>
        <v>-3648.5289736206687</v>
      </c>
      <c r="LZ890" s="140">
        <f t="shared" si="1303"/>
        <v>-2996.8830567863497</v>
      </c>
      <c r="MA890" s="140">
        <f t="shared" si="1303"/>
        <v>-2187.4181017579594</v>
      </c>
      <c r="MB890" s="140">
        <f t="shared" si="1303"/>
        <v>-1300.084501850115</v>
      </c>
      <c r="MC890" s="140">
        <f t="shared" si="1303"/>
        <v>-1361.843518922291</v>
      </c>
      <c r="MD890" s="140">
        <f t="shared" si="1303"/>
        <v>-1959.6499461227504</v>
      </c>
      <c r="ME890" s="140">
        <f t="shared" si="1303"/>
        <v>-1959.6499461227504</v>
      </c>
      <c r="MF890" s="140">
        <f t="shared" si="1303"/>
        <v>-2440.9037853687387</v>
      </c>
      <c r="MG890" s="140">
        <f t="shared" si="1303"/>
        <v>-2753.6220283637904</v>
      </c>
      <c r="MH890" s="140">
        <f t="shared" si="1303"/>
        <v>-2862.1010695414207</v>
      </c>
      <c r="MI890" s="140">
        <f t="shared" si="1303"/>
        <v>-2753.6220283637904</v>
      </c>
      <c r="MJ890" s="140">
        <f t="shared" si="1303"/>
        <v>-2440.9037853687387</v>
      </c>
      <c r="MK890" s="140">
        <f t="shared" si="1303"/>
        <v>-1959.6499461227504</v>
      </c>
      <c r="ML890" s="141">
        <f t="shared" si="1303"/>
        <v>-1361.843518922291</v>
      </c>
    </row>
    <row r="891" spans="3:350" s="4" customFormat="1" ht="18" customHeight="1" x14ac:dyDescent="0.3">
      <c r="C891" s="204" t="s">
        <v>400</v>
      </c>
      <c r="E891" s="1"/>
      <c r="F891" s="138"/>
      <c r="H891" s="245"/>
      <c r="I891" s="1"/>
      <c r="J891" s="1"/>
      <c r="K891" s="1"/>
      <c r="L891" s="1"/>
      <c r="M891" s="1"/>
      <c r="N891" s="1"/>
      <c r="O891" s="1"/>
      <c r="P891" s="1"/>
      <c r="Q891" s="138"/>
      <c r="S891" s="245"/>
      <c r="T891" s="1"/>
      <c r="U891" s="1"/>
      <c r="V891" s="1"/>
      <c r="W891" s="1"/>
      <c r="X891" s="140"/>
      <c r="Y891" s="140"/>
      <c r="Z891" s="140"/>
      <c r="AA891" s="140"/>
      <c r="AB891" s="140"/>
      <c r="AC891" s="140"/>
      <c r="AD891" s="140"/>
      <c r="AE891" s="140"/>
      <c r="AF891" s="140"/>
      <c r="AG891" s="140"/>
      <c r="AH891" s="140"/>
      <c r="AI891" s="140"/>
      <c r="AJ891" s="140"/>
      <c r="AK891" s="140"/>
      <c r="AL891" s="140"/>
      <c r="AM891" s="140"/>
      <c r="AN891" s="140"/>
      <c r="AO891" s="140"/>
      <c r="AP891" s="140"/>
      <c r="AQ891" s="140"/>
      <c r="AR891" s="140"/>
      <c r="AS891" s="140"/>
      <c r="AT891" s="140"/>
      <c r="AU891" s="140"/>
      <c r="AV891" s="140"/>
      <c r="AW891" s="140"/>
      <c r="AX891" s="140"/>
      <c r="AY891" s="140"/>
      <c r="AZ891" s="140"/>
      <c r="BA891" s="140"/>
      <c r="BB891" s="141"/>
      <c r="BD891" s="245"/>
      <c r="BE891" s="1"/>
      <c r="BF891" s="1"/>
      <c r="BG891" s="1"/>
      <c r="BH891" s="1"/>
      <c r="BI891" s="140"/>
      <c r="BJ891" s="140"/>
      <c r="BK891" s="140"/>
      <c r="BL891" s="140"/>
      <c r="BM891" s="140"/>
      <c r="BN891" s="140"/>
      <c r="BO891" s="140"/>
      <c r="BP891" s="140"/>
      <c r="BQ891" s="140"/>
      <c r="BR891" s="140"/>
      <c r="BS891" s="140"/>
      <c r="BT891" s="140"/>
      <c r="BU891" s="140"/>
      <c r="BV891" s="140"/>
      <c r="BW891" s="140"/>
      <c r="BX891" s="140"/>
      <c r="BY891" s="140"/>
      <c r="BZ891" s="140"/>
      <c r="CA891" s="140"/>
      <c r="CB891" s="140"/>
      <c r="CC891" s="140"/>
      <c r="CD891" s="140"/>
      <c r="CE891" s="140"/>
      <c r="CF891" s="140"/>
      <c r="CG891" s="140"/>
      <c r="CH891" s="140"/>
      <c r="CI891" s="140"/>
      <c r="CJ891" s="140"/>
      <c r="CK891" s="140"/>
      <c r="CL891" s="140"/>
      <c r="CM891" s="141"/>
      <c r="CO891" s="245"/>
      <c r="CP891" s="1"/>
      <c r="CQ891" s="1"/>
      <c r="CR891" s="1"/>
      <c r="CS891" s="1"/>
      <c r="CT891" s="140"/>
      <c r="CU891" s="140"/>
      <c r="CV891" s="140"/>
      <c r="CW891" s="140"/>
      <c r="CX891" s="140"/>
      <c r="CY891" s="140"/>
      <c r="CZ891" s="140"/>
      <c r="DA891" s="140"/>
      <c r="DB891" s="140"/>
      <c r="DC891" s="140"/>
      <c r="DD891" s="140"/>
      <c r="DE891" s="140"/>
      <c r="DF891" s="140"/>
      <c r="DG891" s="140"/>
      <c r="DH891" s="140"/>
      <c r="DI891" s="140"/>
      <c r="DJ891" s="140"/>
      <c r="DK891" s="140"/>
      <c r="DL891" s="140"/>
      <c r="DM891" s="140"/>
      <c r="DN891" s="140"/>
      <c r="DO891" s="140"/>
      <c r="DP891" s="140"/>
      <c r="DQ891" s="140"/>
      <c r="DR891" s="140"/>
      <c r="DS891" s="140"/>
      <c r="DT891" s="140"/>
      <c r="DU891" s="140"/>
      <c r="DV891" s="140"/>
      <c r="DW891" s="140"/>
      <c r="DX891" s="141"/>
      <c r="DZ891" s="245"/>
      <c r="EA891" s="1"/>
      <c r="EB891" s="1"/>
      <c r="EC891" s="1"/>
      <c r="ED891" s="1"/>
      <c r="EE891" s="140"/>
      <c r="EF891" s="140"/>
      <c r="EG891" s="140"/>
      <c r="EH891" s="140"/>
      <c r="EI891" s="140"/>
      <c r="EJ891" s="140"/>
      <c r="EK891" s="140"/>
      <c r="EL891" s="140"/>
      <c r="EM891" s="140"/>
      <c r="EN891" s="140"/>
      <c r="EO891" s="140"/>
      <c r="EP891" s="140"/>
      <c r="EQ891" s="140"/>
      <c r="ER891" s="140"/>
      <c r="ES891" s="140"/>
      <c r="ET891" s="140"/>
      <c r="EU891" s="140"/>
      <c r="EV891" s="140"/>
      <c r="EW891" s="140"/>
      <c r="EX891" s="140"/>
      <c r="EY891" s="140"/>
      <c r="EZ891" s="140"/>
      <c r="FA891" s="140"/>
      <c r="FB891" s="140"/>
      <c r="FC891" s="140"/>
      <c r="FD891" s="140"/>
      <c r="FE891" s="140"/>
      <c r="FF891" s="140"/>
      <c r="FG891" s="140"/>
      <c r="FH891" s="140"/>
      <c r="FI891" s="141"/>
      <c r="FK891" s="245"/>
      <c r="FL891" s="1"/>
      <c r="FM891" s="1"/>
      <c r="FN891" s="1"/>
      <c r="FO891" s="1"/>
      <c r="FP891" s="140"/>
      <c r="FQ891" s="140"/>
      <c r="FR891" s="140"/>
      <c r="FS891" s="140"/>
      <c r="FT891" s="140"/>
      <c r="FU891" s="140"/>
      <c r="FV891" s="140"/>
      <c r="FW891" s="140"/>
      <c r="FX891" s="140"/>
      <c r="FY891" s="140"/>
      <c r="FZ891" s="140"/>
      <c r="GA891" s="140"/>
      <c r="GB891" s="140"/>
      <c r="GC891" s="140"/>
      <c r="GD891" s="140"/>
      <c r="GE891" s="140"/>
      <c r="GF891" s="140"/>
      <c r="GG891" s="140"/>
      <c r="GH891" s="140"/>
      <c r="GI891" s="140"/>
      <c r="GJ891" s="140"/>
      <c r="GK891" s="140"/>
      <c r="GL891" s="140"/>
      <c r="GM891" s="140"/>
      <c r="GN891" s="140"/>
      <c r="GO891" s="140"/>
      <c r="GP891" s="140"/>
      <c r="GQ891" s="140"/>
      <c r="GR891" s="140"/>
      <c r="GS891" s="140"/>
      <c r="GT891" s="141"/>
      <c r="GV891" s="245"/>
      <c r="GW891" s="1"/>
      <c r="GX891" s="1"/>
      <c r="GY891" s="1"/>
      <c r="GZ891" s="1"/>
      <c r="HA891" s="140"/>
      <c r="HB891" s="140"/>
      <c r="HC891" s="140"/>
      <c r="HD891" s="140"/>
      <c r="HE891" s="140"/>
      <c r="HF891" s="140"/>
      <c r="HG891" s="140"/>
      <c r="HH891" s="140"/>
      <c r="HI891" s="140"/>
      <c r="HJ891" s="140"/>
      <c r="HK891" s="140"/>
      <c r="HL891" s="140"/>
      <c r="HM891" s="140"/>
      <c r="HN891" s="140"/>
      <c r="HO891" s="140"/>
      <c r="HP891" s="140"/>
      <c r="HQ891" s="140"/>
      <c r="HR891" s="140"/>
      <c r="HS891" s="140"/>
      <c r="HT891" s="140"/>
      <c r="HU891" s="140"/>
      <c r="HV891" s="140"/>
      <c r="HW891" s="140"/>
      <c r="HX891" s="140"/>
      <c r="HY891" s="140"/>
      <c r="HZ891" s="140"/>
      <c r="IA891" s="140"/>
      <c r="IB891" s="140"/>
      <c r="IC891" s="140"/>
      <c r="ID891" s="140"/>
      <c r="IE891" s="141"/>
      <c r="IG891" s="245"/>
      <c r="IH891" s="1"/>
      <c r="II891" s="1"/>
      <c r="IJ891" s="1"/>
      <c r="IK891" s="1"/>
      <c r="IL891" s="140"/>
      <c r="IM891" s="140"/>
      <c r="IN891" s="140"/>
      <c r="IO891" s="140"/>
      <c r="IP891" s="140"/>
      <c r="IQ891" s="140"/>
      <c r="IR891" s="140"/>
      <c r="IS891" s="140"/>
      <c r="IT891" s="140"/>
      <c r="IU891" s="140"/>
      <c r="IV891" s="140"/>
      <c r="IW891" s="140"/>
      <c r="IX891" s="140"/>
      <c r="IY891" s="140"/>
      <c r="IZ891" s="140"/>
      <c r="JA891" s="140"/>
      <c r="JB891" s="140"/>
      <c r="JC891" s="140"/>
      <c r="JD891" s="140"/>
      <c r="JE891" s="140"/>
      <c r="JF891" s="140"/>
      <c r="JG891" s="140"/>
      <c r="JH891" s="140"/>
      <c r="JI891" s="140"/>
      <c r="JJ891" s="140"/>
      <c r="JK891" s="140"/>
      <c r="JL891" s="140"/>
      <c r="JM891" s="140"/>
      <c r="JN891" s="140"/>
      <c r="JO891" s="140"/>
      <c r="JP891" s="141"/>
      <c r="JR891" s="245"/>
      <c r="JS891" s="1"/>
      <c r="JT891" s="1"/>
      <c r="JU891" s="1"/>
      <c r="JV891" s="1"/>
      <c r="JW891" s="140"/>
      <c r="JX891" s="140"/>
      <c r="JY891" s="140"/>
      <c r="JZ891" s="140"/>
      <c r="KA891" s="140"/>
      <c r="KB891" s="140"/>
      <c r="KC891" s="140"/>
      <c r="KD891" s="140"/>
      <c r="KE891" s="140"/>
      <c r="KF891" s="140"/>
      <c r="KG891" s="140"/>
      <c r="KH891" s="140"/>
      <c r="KI891" s="140"/>
      <c r="KJ891" s="140"/>
      <c r="KK891" s="140"/>
      <c r="KL891" s="140"/>
      <c r="KM891" s="140"/>
      <c r="KN891" s="140"/>
      <c r="KO891" s="140"/>
      <c r="KP891" s="140"/>
      <c r="KQ891" s="140"/>
      <c r="KR891" s="140"/>
      <c r="KS891" s="140"/>
      <c r="KT891" s="140"/>
      <c r="KU891" s="140"/>
      <c r="KV891" s="140"/>
      <c r="KW891" s="140"/>
      <c r="KX891" s="140"/>
      <c r="KY891" s="140"/>
      <c r="KZ891" s="140"/>
      <c r="LA891" s="141"/>
      <c r="LC891" s="245"/>
      <c r="LD891" s="1"/>
      <c r="LE891" s="1"/>
      <c r="LF891" s="1"/>
      <c r="LG891" s="1"/>
      <c r="LH891" s="140"/>
      <c r="LI891" s="140"/>
      <c r="LJ891" s="140"/>
      <c r="LK891" s="140"/>
      <c r="LL891" s="140"/>
      <c r="LM891" s="140"/>
      <c r="LN891" s="140"/>
      <c r="LO891" s="140"/>
      <c r="LP891" s="140"/>
      <c r="LQ891" s="140"/>
      <c r="LR891" s="140"/>
      <c r="LS891" s="140"/>
      <c r="LT891" s="140"/>
      <c r="LU891" s="140"/>
      <c r="LV891" s="140"/>
      <c r="LW891" s="140"/>
      <c r="LX891" s="140"/>
      <c r="LY891" s="140"/>
      <c r="LZ891" s="140"/>
      <c r="MA891" s="140"/>
      <c r="MB891" s="140"/>
      <c r="MC891" s="140"/>
      <c r="MD891" s="140"/>
      <c r="ME891" s="140"/>
      <c r="MF891" s="140"/>
      <c r="MG891" s="140"/>
      <c r="MH891" s="140"/>
      <c r="MI891" s="140"/>
      <c r="MJ891" s="140"/>
      <c r="MK891" s="140"/>
      <c r="ML891" s="141"/>
    </row>
    <row r="892" spans="3:350" s="4" customFormat="1" ht="18" customHeight="1" x14ac:dyDescent="0.3">
      <c r="C892" s="136" t="s">
        <v>228</v>
      </c>
      <c r="E892" s="137" t="s">
        <v>401</v>
      </c>
      <c r="F892" s="138"/>
      <c r="H892" s="139"/>
      <c r="I892" s="140"/>
      <c r="J892" s="140"/>
      <c r="K892" s="140"/>
      <c r="L892" s="140"/>
      <c r="M892" s="140"/>
      <c r="N892" s="140"/>
      <c r="O892" s="140">
        <f>O886/O885</f>
        <v>190.74822345671245</v>
      </c>
      <c r="P892" s="140"/>
      <c r="Q892" s="141"/>
      <c r="R892" s="140"/>
      <c r="S892" s="139"/>
      <c r="T892" s="140"/>
      <c r="U892" s="140"/>
      <c r="V892" s="140"/>
      <c r="W892" s="140"/>
      <c r="X892" s="140">
        <f t="shared" ref="X892:BB892" si="1304">X886/X885</f>
        <v>397.71328485353115</v>
      </c>
      <c r="Y892" s="140">
        <f t="shared" si="1304"/>
        <v>398.13027176772567</v>
      </c>
      <c r="Z892" s="140">
        <f t="shared" si="1304"/>
        <v>398.13027176772567</v>
      </c>
      <c r="AA892" s="140">
        <f t="shared" si="1304"/>
        <v>398.13027176772556</v>
      </c>
      <c r="AB892" s="140">
        <f t="shared" si="1304"/>
        <v>398.13027176772562</v>
      </c>
      <c r="AC892" s="140">
        <f t="shared" si="1304"/>
        <v>398.13027176772562</v>
      </c>
      <c r="AD892" s="140">
        <f t="shared" si="1304"/>
        <v>398.13027176772556</v>
      </c>
      <c r="AE892" s="140">
        <f t="shared" si="1304"/>
        <v>398.13027176772556</v>
      </c>
      <c r="AF892" s="140">
        <f t="shared" si="1304"/>
        <v>398.13027176772556</v>
      </c>
      <c r="AG892" s="140">
        <f t="shared" si="1304"/>
        <v>398.13027176772556</v>
      </c>
      <c r="AH892" s="140">
        <f t="shared" si="1304"/>
        <v>398.13027176772556</v>
      </c>
      <c r="AI892" s="140">
        <f t="shared" si="1304"/>
        <v>398.13027176772556</v>
      </c>
      <c r="AJ892" s="140">
        <f t="shared" si="1304"/>
        <v>398.13027176772567</v>
      </c>
      <c r="AK892" s="140">
        <f t="shared" si="1304"/>
        <v>398.13027176772556</v>
      </c>
      <c r="AL892" s="140">
        <f t="shared" si="1304"/>
        <v>398.13027176772556</v>
      </c>
      <c r="AM892" s="140">
        <f t="shared" si="1304"/>
        <v>398.13027176772567</v>
      </c>
      <c r="AN892" s="140">
        <f t="shared" si="1304"/>
        <v>398.13027176772556</v>
      </c>
      <c r="AO892" s="140">
        <f t="shared" si="1304"/>
        <v>398.13027176772567</v>
      </c>
      <c r="AP892" s="140">
        <f t="shared" si="1304"/>
        <v>398.13027176772556</v>
      </c>
      <c r="AQ892" s="140">
        <f t="shared" si="1304"/>
        <v>398.13027176772556</v>
      </c>
      <c r="AR892" s="140">
        <f t="shared" si="1304"/>
        <v>398.13027176772567</v>
      </c>
      <c r="AS892" s="140">
        <f t="shared" si="1304"/>
        <v>398.13027176772567</v>
      </c>
      <c r="AT892" s="140">
        <f t="shared" si="1304"/>
        <v>398.13027176772556</v>
      </c>
      <c r="AU892" s="140">
        <f t="shared" si="1304"/>
        <v>398.13027176772556</v>
      </c>
      <c r="AV892" s="140">
        <f t="shared" si="1304"/>
        <v>398.13027176772556</v>
      </c>
      <c r="AW892" s="140">
        <f t="shared" si="1304"/>
        <v>398.13027176772567</v>
      </c>
      <c r="AX892" s="140">
        <f t="shared" si="1304"/>
        <v>398.1302717677255</v>
      </c>
      <c r="AY892" s="140">
        <f t="shared" si="1304"/>
        <v>398.13027176772556</v>
      </c>
      <c r="AZ892" s="140">
        <f t="shared" si="1304"/>
        <v>398.13027176772567</v>
      </c>
      <c r="BA892" s="140">
        <f t="shared" si="1304"/>
        <v>398.13027176772567</v>
      </c>
      <c r="BB892" s="141">
        <f t="shared" si="1304"/>
        <v>398.13027176772556</v>
      </c>
      <c r="BC892" s="140"/>
      <c r="BD892" s="139"/>
      <c r="BE892" s="140"/>
      <c r="BF892" s="140"/>
      <c r="BG892" s="140"/>
      <c r="BH892" s="140"/>
      <c r="BI892" s="140" t="e">
        <f t="shared" ref="BI892:CM892" si="1305">BI886/BI885</f>
        <v>#DIV/0!</v>
      </c>
      <c r="BJ892" s="140">
        <f t="shared" si="1305"/>
        <v>256.07579119632919</v>
      </c>
      <c r="BK892" s="140">
        <f t="shared" si="1305"/>
        <v>256.07579119632919</v>
      </c>
      <c r="BL892" s="140">
        <f t="shared" si="1305"/>
        <v>256.07579119632919</v>
      </c>
      <c r="BM892" s="140">
        <f t="shared" si="1305"/>
        <v>256.07579119632913</v>
      </c>
      <c r="BN892" s="140">
        <f t="shared" si="1305"/>
        <v>256.07579119632919</v>
      </c>
      <c r="BO892" s="140">
        <f t="shared" si="1305"/>
        <v>256.07579119632913</v>
      </c>
      <c r="BP892" s="140">
        <f t="shared" si="1305"/>
        <v>256.07579119632919</v>
      </c>
      <c r="BQ892" s="140">
        <f t="shared" si="1305"/>
        <v>256.07579119632919</v>
      </c>
      <c r="BR892" s="140">
        <f t="shared" si="1305"/>
        <v>256.07579119632913</v>
      </c>
      <c r="BS892" s="140">
        <f t="shared" si="1305"/>
        <v>256.07579119632919</v>
      </c>
      <c r="BT892" s="140">
        <f t="shared" si="1305"/>
        <v>256.07579119632919</v>
      </c>
      <c r="BU892" s="140">
        <f t="shared" si="1305"/>
        <v>256.07579119632919</v>
      </c>
      <c r="BV892" s="140">
        <f t="shared" si="1305"/>
        <v>256.07579119632919</v>
      </c>
      <c r="BW892" s="140">
        <f t="shared" si="1305"/>
        <v>256.07579119632919</v>
      </c>
      <c r="BX892" s="140">
        <f t="shared" si="1305"/>
        <v>256.07579119632919</v>
      </c>
      <c r="BY892" s="140">
        <f t="shared" si="1305"/>
        <v>256.07579119632919</v>
      </c>
      <c r="BZ892" s="140">
        <f t="shared" si="1305"/>
        <v>256.07579119632919</v>
      </c>
      <c r="CA892" s="140">
        <f t="shared" si="1305"/>
        <v>256.07579119632919</v>
      </c>
      <c r="CB892" s="140">
        <f t="shared" si="1305"/>
        <v>256.07579119632925</v>
      </c>
      <c r="CC892" s="140">
        <f t="shared" si="1305"/>
        <v>256.07579119632925</v>
      </c>
      <c r="CD892" s="140">
        <f t="shared" si="1305"/>
        <v>256.07579119632925</v>
      </c>
      <c r="CE892" s="140">
        <f t="shared" si="1305"/>
        <v>256.07579119632919</v>
      </c>
      <c r="CF892" s="140">
        <f t="shared" si="1305"/>
        <v>256.07579119632908</v>
      </c>
      <c r="CG892" s="140">
        <f t="shared" si="1305"/>
        <v>256.07579119632931</v>
      </c>
      <c r="CH892" s="140">
        <f t="shared" si="1305"/>
        <v>256.07579119632908</v>
      </c>
      <c r="CI892" s="140">
        <f t="shared" si="1305"/>
        <v>256.07579119632925</v>
      </c>
      <c r="CJ892" s="140">
        <f t="shared" si="1305"/>
        <v>256.07579119632919</v>
      </c>
      <c r="CK892" s="140">
        <f t="shared" si="1305"/>
        <v>256.07579119632925</v>
      </c>
      <c r="CL892" s="140">
        <f t="shared" si="1305"/>
        <v>256.07579119632913</v>
      </c>
      <c r="CM892" s="141">
        <f t="shared" si="1305"/>
        <v>256.07579119632936</v>
      </c>
      <c r="CN892" s="140"/>
      <c r="CO892" s="139"/>
      <c r="CP892" s="140"/>
      <c r="CQ892" s="140"/>
      <c r="CR892" s="140"/>
      <c r="CS892" s="140"/>
      <c r="CT892" s="140" t="e">
        <f t="shared" ref="CT892:DX892" si="1306">CT886/CT885</f>
        <v>#DIV/0!</v>
      </c>
      <c r="CU892" s="140">
        <f t="shared" si="1306"/>
        <v>351.69635454241421</v>
      </c>
      <c r="CV892" s="140">
        <f t="shared" si="1306"/>
        <v>351.69635454241421</v>
      </c>
      <c r="CW892" s="140">
        <f t="shared" si="1306"/>
        <v>351.69635454241421</v>
      </c>
      <c r="CX892" s="140">
        <f t="shared" si="1306"/>
        <v>351.6963545424141</v>
      </c>
      <c r="CY892" s="140">
        <f t="shared" si="1306"/>
        <v>351.69635454241416</v>
      </c>
      <c r="CZ892" s="140">
        <f t="shared" si="1306"/>
        <v>351.69635454241433</v>
      </c>
      <c r="DA892" s="140">
        <f t="shared" si="1306"/>
        <v>351.69635454241416</v>
      </c>
      <c r="DB892" s="140">
        <f t="shared" si="1306"/>
        <v>351.6963545424141</v>
      </c>
      <c r="DC892" s="140">
        <f t="shared" si="1306"/>
        <v>351.69635454241433</v>
      </c>
      <c r="DD892" s="140">
        <f t="shared" si="1306"/>
        <v>351.69635454241404</v>
      </c>
      <c r="DE892" s="140">
        <f t="shared" si="1306"/>
        <v>351.69635454241427</v>
      </c>
      <c r="DF892" s="140">
        <f t="shared" si="1306"/>
        <v>351.69635454241438</v>
      </c>
      <c r="DG892" s="140">
        <f t="shared" si="1306"/>
        <v>351.69635454241416</v>
      </c>
      <c r="DH892" s="140">
        <f t="shared" si="1306"/>
        <v>351.6963545424141</v>
      </c>
      <c r="DI892" s="140">
        <f t="shared" si="1306"/>
        <v>351.69635454241427</v>
      </c>
      <c r="DJ892" s="140">
        <f t="shared" si="1306"/>
        <v>351.6963545424141</v>
      </c>
      <c r="DK892" s="140">
        <f t="shared" si="1306"/>
        <v>351.69635454241416</v>
      </c>
      <c r="DL892" s="140">
        <f t="shared" si="1306"/>
        <v>351.69635454241427</v>
      </c>
      <c r="DM892" s="140">
        <f t="shared" si="1306"/>
        <v>351.6963545424141</v>
      </c>
      <c r="DN892" s="140">
        <f t="shared" si="1306"/>
        <v>351.6963545424141</v>
      </c>
      <c r="DO892" s="140">
        <f t="shared" si="1306"/>
        <v>351.69635454241438</v>
      </c>
      <c r="DP892" s="140">
        <f t="shared" si="1306"/>
        <v>351.69635454241416</v>
      </c>
      <c r="DQ892" s="140">
        <f t="shared" si="1306"/>
        <v>351.69635454241416</v>
      </c>
      <c r="DR892" s="140">
        <f t="shared" si="1306"/>
        <v>351.69635454241438</v>
      </c>
      <c r="DS892" s="140">
        <f t="shared" si="1306"/>
        <v>351.69635454241404</v>
      </c>
      <c r="DT892" s="140">
        <f t="shared" si="1306"/>
        <v>351.69635454241444</v>
      </c>
      <c r="DU892" s="140">
        <f t="shared" si="1306"/>
        <v>351.69635454241393</v>
      </c>
      <c r="DV892" s="140">
        <f t="shared" si="1306"/>
        <v>351.69635454241438</v>
      </c>
      <c r="DW892" s="140">
        <f t="shared" si="1306"/>
        <v>351.69635454241404</v>
      </c>
      <c r="DX892" s="141">
        <f t="shared" si="1306"/>
        <v>351.69635454241444</v>
      </c>
      <c r="DY892" s="140"/>
      <c r="DZ892" s="139"/>
      <c r="EA892" s="140"/>
      <c r="EB892" s="140"/>
      <c r="EC892" s="140"/>
      <c r="ED892" s="140"/>
      <c r="EE892" s="140" t="e">
        <f t="shared" ref="EE892:FI892" si="1307">EE886/EE885</f>
        <v>#DIV/0!</v>
      </c>
      <c r="EF892" s="140">
        <f t="shared" si="1307"/>
        <v>317.89192173364029</v>
      </c>
      <c r="EG892" s="140">
        <f t="shared" si="1307"/>
        <v>317.89192173364029</v>
      </c>
      <c r="EH892" s="140">
        <f t="shared" si="1307"/>
        <v>317.89192173364023</v>
      </c>
      <c r="EI892" s="140">
        <f t="shared" si="1307"/>
        <v>317.89192173364029</v>
      </c>
      <c r="EJ892" s="140">
        <f t="shared" si="1307"/>
        <v>317.89192173364023</v>
      </c>
      <c r="EK892" s="140">
        <f t="shared" si="1307"/>
        <v>317.89192173364034</v>
      </c>
      <c r="EL892" s="140">
        <f t="shared" si="1307"/>
        <v>317.89192173364034</v>
      </c>
      <c r="EM892" s="140">
        <f t="shared" si="1307"/>
        <v>317.8919217336404</v>
      </c>
      <c r="EN892" s="140">
        <f t="shared" si="1307"/>
        <v>317.89192173364029</v>
      </c>
      <c r="EO892" s="140">
        <f t="shared" si="1307"/>
        <v>317.89192173364034</v>
      </c>
      <c r="EP892" s="140">
        <f t="shared" si="1307"/>
        <v>317.89192173364029</v>
      </c>
      <c r="EQ892" s="140">
        <f t="shared" si="1307"/>
        <v>317.89192173364029</v>
      </c>
      <c r="ER892" s="140">
        <f t="shared" si="1307"/>
        <v>317.89192173364029</v>
      </c>
      <c r="ES892" s="140">
        <f t="shared" si="1307"/>
        <v>317.89192173364029</v>
      </c>
      <c r="ET892" s="140">
        <f t="shared" si="1307"/>
        <v>317.89192173364029</v>
      </c>
      <c r="EU892" s="140">
        <f t="shared" si="1307"/>
        <v>317.8919217336404</v>
      </c>
      <c r="EV892" s="140">
        <f t="shared" si="1307"/>
        <v>317.89192173364029</v>
      </c>
      <c r="EW892" s="140">
        <f t="shared" si="1307"/>
        <v>317.89192173364034</v>
      </c>
      <c r="EX892" s="140">
        <f t="shared" si="1307"/>
        <v>317.8919217336404</v>
      </c>
      <c r="EY892" s="140">
        <f t="shared" si="1307"/>
        <v>317.89192173364029</v>
      </c>
      <c r="EZ892" s="140">
        <f t="shared" si="1307"/>
        <v>317.89192173364017</v>
      </c>
      <c r="FA892" s="140">
        <f t="shared" si="1307"/>
        <v>317.89192173364034</v>
      </c>
      <c r="FB892" s="140">
        <f t="shared" si="1307"/>
        <v>317.89192173364034</v>
      </c>
      <c r="FC892" s="140">
        <f t="shared" si="1307"/>
        <v>317.89192173364034</v>
      </c>
      <c r="FD892" s="140">
        <f t="shared" si="1307"/>
        <v>317.89192173364034</v>
      </c>
      <c r="FE892" s="140">
        <f t="shared" si="1307"/>
        <v>317.89192173364023</v>
      </c>
      <c r="FF892" s="140">
        <f t="shared" si="1307"/>
        <v>317.89192173364034</v>
      </c>
      <c r="FG892" s="140">
        <f t="shared" si="1307"/>
        <v>317.89192173364012</v>
      </c>
      <c r="FH892" s="140">
        <f t="shared" si="1307"/>
        <v>317.89192173364034</v>
      </c>
      <c r="FI892" s="141">
        <f t="shared" si="1307"/>
        <v>317.89192173364034</v>
      </c>
      <c r="FJ892" s="140"/>
      <c r="FK892" s="139"/>
      <c r="FL892" s="140"/>
      <c r="FM892" s="140"/>
      <c r="FN892" s="140"/>
      <c r="FO892" s="140"/>
      <c r="FP892" s="140" t="e">
        <f t="shared" ref="FP892:GT892" si="1308">FP886/FP885</f>
        <v>#DIV/0!</v>
      </c>
      <c r="FQ892" s="140">
        <f t="shared" si="1308"/>
        <v>319.83729566394038</v>
      </c>
      <c r="FR892" s="140">
        <f t="shared" si="1308"/>
        <v>319.83729566394038</v>
      </c>
      <c r="FS892" s="140">
        <f t="shared" si="1308"/>
        <v>319.83729566394038</v>
      </c>
      <c r="FT892" s="140">
        <f t="shared" si="1308"/>
        <v>319.83729566394038</v>
      </c>
      <c r="FU892" s="140">
        <f t="shared" si="1308"/>
        <v>319.83729566394038</v>
      </c>
      <c r="FV892" s="140">
        <f t="shared" si="1308"/>
        <v>319.83729566394032</v>
      </c>
      <c r="FW892" s="140">
        <f t="shared" si="1308"/>
        <v>319.83729566394032</v>
      </c>
      <c r="FX892" s="140">
        <f t="shared" si="1308"/>
        <v>319.83729566394044</v>
      </c>
      <c r="FY892" s="140">
        <f t="shared" si="1308"/>
        <v>319.83729566394038</v>
      </c>
      <c r="FZ892" s="140">
        <f t="shared" si="1308"/>
        <v>319.83729566394044</v>
      </c>
      <c r="GA892" s="140">
        <f t="shared" si="1308"/>
        <v>319.83729566394044</v>
      </c>
      <c r="GB892" s="140">
        <f t="shared" si="1308"/>
        <v>319.83729566394027</v>
      </c>
      <c r="GC892" s="140">
        <f t="shared" si="1308"/>
        <v>319.83729566394032</v>
      </c>
      <c r="GD892" s="140">
        <f t="shared" si="1308"/>
        <v>319.83729566394038</v>
      </c>
      <c r="GE892" s="140">
        <f t="shared" si="1308"/>
        <v>319.83729566394055</v>
      </c>
      <c r="GF892" s="140">
        <f t="shared" si="1308"/>
        <v>319.83729566394038</v>
      </c>
      <c r="GG892" s="140">
        <f t="shared" si="1308"/>
        <v>319.83729566394032</v>
      </c>
      <c r="GH892" s="140">
        <f t="shared" si="1308"/>
        <v>319.83729566394032</v>
      </c>
      <c r="GI892" s="140">
        <f t="shared" si="1308"/>
        <v>319.83729566394055</v>
      </c>
      <c r="GJ892" s="140">
        <f t="shared" si="1308"/>
        <v>319.83729566394038</v>
      </c>
      <c r="GK892" s="140">
        <f t="shared" si="1308"/>
        <v>319.83729566394038</v>
      </c>
      <c r="GL892" s="140">
        <f t="shared" si="1308"/>
        <v>319.83729566394038</v>
      </c>
      <c r="GM892" s="140">
        <f t="shared" si="1308"/>
        <v>319.83729566394049</v>
      </c>
      <c r="GN892" s="140">
        <f t="shared" si="1308"/>
        <v>319.83729566394027</v>
      </c>
      <c r="GO892" s="140">
        <f t="shared" si="1308"/>
        <v>319.83729566394055</v>
      </c>
      <c r="GP892" s="140">
        <f t="shared" si="1308"/>
        <v>319.83729566394015</v>
      </c>
      <c r="GQ892" s="140">
        <f t="shared" si="1308"/>
        <v>319.83729566394055</v>
      </c>
      <c r="GR892" s="140">
        <f t="shared" si="1308"/>
        <v>319.83729566394027</v>
      </c>
      <c r="GS892" s="140">
        <f t="shared" si="1308"/>
        <v>319.83729566394049</v>
      </c>
      <c r="GT892" s="141">
        <f t="shared" si="1308"/>
        <v>319.83729566394049</v>
      </c>
      <c r="GU892" s="140"/>
      <c r="GV892" s="139"/>
      <c r="GW892" s="140"/>
      <c r="GX892" s="140"/>
      <c r="GY892" s="140"/>
      <c r="GZ892" s="140"/>
      <c r="HA892" s="140" t="e">
        <f t="shared" ref="HA892:IE892" si="1309">HA886/HA885</f>
        <v>#DIV/0!</v>
      </c>
      <c r="HB892" s="140">
        <f t="shared" si="1309"/>
        <v>286.71580183135131</v>
      </c>
      <c r="HC892" s="140">
        <f t="shared" si="1309"/>
        <v>286.71580183135131</v>
      </c>
      <c r="HD892" s="140">
        <f t="shared" si="1309"/>
        <v>286.71580183135137</v>
      </c>
      <c r="HE892" s="140">
        <f t="shared" si="1309"/>
        <v>286.71580183135126</v>
      </c>
      <c r="HF892" s="140">
        <f t="shared" si="1309"/>
        <v>286.71580183135137</v>
      </c>
      <c r="HG892" s="140">
        <f t="shared" si="1309"/>
        <v>286.71580183135137</v>
      </c>
      <c r="HH892" s="140">
        <f t="shared" si="1309"/>
        <v>286.71580183135131</v>
      </c>
      <c r="HI892" s="140">
        <f t="shared" si="1309"/>
        <v>286.71580183135126</v>
      </c>
      <c r="HJ892" s="140">
        <f t="shared" si="1309"/>
        <v>286.71580183135131</v>
      </c>
      <c r="HK892" s="140">
        <f t="shared" si="1309"/>
        <v>286.71580183135126</v>
      </c>
      <c r="HL892" s="140">
        <f t="shared" si="1309"/>
        <v>286.71580183135143</v>
      </c>
      <c r="HM892" s="140">
        <f t="shared" si="1309"/>
        <v>286.71580183135126</v>
      </c>
      <c r="HN892" s="140">
        <f t="shared" si="1309"/>
        <v>286.71580183135126</v>
      </c>
      <c r="HO892" s="140">
        <f t="shared" si="1309"/>
        <v>286.71580183135137</v>
      </c>
      <c r="HP892" s="140">
        <f t="shared" si="1309"/>
        <v>286.71580183135131</v>
      </c>
      <c r="HQ892" s="140">
        <f t="shared" si="1309"/>
        <v>286.7158018313512</v>
      </c>
      <c r="HR892" s="140">
        <f t="shared" si="1309"/>
        <v>286.71580183135137</v>
      </c>
      <c r="HS892" s="140">
        <f t="shared" si="1309"/>
        <v>286.7158018313512</v>
      </c>
      <c r="HT892" s="140">
        <f t="shared" si="1309"/>
        <v>286.71580183135131</v>
      </c>
      <c r="HU892" s="140">
        <f t="shared" si="1309"/>
        <v>286.71580183135114</v>
      </c>
      <c r="HV892" s="140">
        <f t="shared" si="1309"/>
        <v>286.71580183135131</v>
      </c>
      <c r="HW892" s="140">
        <f t="shared" si="1309"/>
        <v>286.71580183135137</v>
      </c>
      <c r="HX892" s="140">
        <f t="shared" si="1309"/>
        <v>286.71580183135109</v>
      </c>
      <c r="HY892" s="140">
        <f t="shared" si="1309"/>
        <v>286.71580183135143</v>
      </c>
      <c r="HZ892" s="140">
        <f t="shared" si="1309"/>
        <v>286.71580183135114</v>
      </c>
      <c r="IA892" s="140">
        <f t="shared" si="1309"/>
        <v>286.71580183135126</v>
      </c>
      <c r="IB892" s="140">
        <f t="shared" si="1309"/>
        <v>286.71580183135137</v>
      </c>
      <c r="IC892" s="140">
        <f t="shared" si="1309"/>
        <v>286.7158018313512</v>
      </c>
      <c r="ID892" s="140">
        <f t="shared" si="1309"/>
        <v>286.71580183135143</v>
      </c>
      <c r="IE892" s="141">
        <f t="shared" si="1309"/>
        <v>286.71580183135114</v>
      </c>
      <c r="IF892" s="140"/>
      <c r="IG892" s="139"/>
      <c r="IH892" s="140"/>
      <c r="II892" s="140"/>
      <c r="IJ892" s="140"/>
      <c r="IK892" s="140"/>
      <c r="IL892" s="140"/>
      <c r="IM892" s="140"/>
      <c r="IN892" s="140"/>
      <c r="IO892" s="140"/>
      <c r="IP892" s="140"/>
      <c r="IQ892" s="140"/>
      <c r="IR892" s="140"/>
      <c r="IS892" s="140"/>
      <c r="IT892" s="140"/>
      <c r="IU892" s="140"/>
      <c r="IV892" s="140"/>
      <c r="IW892" s="140"/>
      <c r="IX892" s="140"/>
      <c r="IY892" s="140"/>
      <c r="IZ892" s="140"/>
      <c r="JA892" s="140"/>
      <c r="JB892" s="140"/>
      <c r="JC892" s="140"/>
      <c r="JD892" s="140"/>
      <c r="JE892" s="140"/>
      <c r="JF892" s="140"/>
      <c r="JG892" s="140"/>
      <c r="JH892" s="140"/>
      <c r="JI892" s="140"/>
      <c r="JJ892" s="140"/>
      <c r="JK892" s="140"/>
      <c r="JL892" s="140"/>
      <c r="JM892" s="140"/>
      <c r="JN892" s="140"/>
      <c r="JO892" s="140"/>
      <c r="JP892" s="141"/>
      <c r="JQ892" s="140"/>
      <c r="JR892" s="139"/>
      <c r="JS892" s="140"/>
      <c r="JT892" s="140"/>
      <c r="JU892" s="140"/>
      <c r="JV892" s="140"/>
      <c r="JW892" s="140"/>
      <c r="JX892" s="140"/>
      <c r="JY892" s="140"/>
      <c r="JZ892" s="140"/>
      <c r="KA892" s="140"/>
      <c r="KB892" s="140"/>
      <c r="KC892" s="140"/>
      <c r="KD892" s="140"/>
      <c r="KE892" s="140"/>
      <c r="KF892" s="140"/>
      <c r="KG892" s="140"/>
      <c r="KH892" s="140"/>
      <c r="KI892" s="140"/>
      <c r="KJ892" s="140"/>
      <c r="KK892" s="140"/>
      <c r="KL892" s="140"/>
      <c r="KM892" s="140"/>
      <c r="KN892" s="140"/>
      <c r="KO892" s="140"/>
      <c r="KP892" s="140"/>
      <c r="KQ892" s="140"/>
      <c r="KR892" s="140"/>
      <c r="KS892" s="140"/>
      <c r="KT892" s="140"/>
      <c r="KU892" s="140"/>
      <c r="KV892" s="140"/>
      <c r="KW892" s="140"/>
      <c r="KX892" s="140"/>
      <c r="KY892" s="140"/>
      <c r="KZ892" s="140"/>
      <c r="LA892" s="141"/>
      <c r="LB892" s="140"/>
      <c r="LC892" s="139"/>
      <c r="LD892" s="140"/>
      <c r="LE892" s="140"/>
      <c r="LF892" s="140"/>
      <c r="LG892" s="140"/>
      <c r="LH892" s="140"/>
      <c r="LI892" s="140"/>
      <c r="LJ892" s="140"/>
      <c r="LK892" s="140"/>
      <c r="LL892" s="140"/>
      <c r="LM892" s="140"/>
      <c r="LN892" s="140"/>
      <c r="LO892" s="140"/>
      <c r="LP892" s="140"/>
      <c r="LQ892" s="140"/>
      <c r="LR892" s="140"/>
      <c r="LS892" s="140"/>
      <c r="LT892" s="140"/>
      <c r="LU892" s="140"/>
      <c r="LV892" s="140"/>
      <c r="LW892" s="140"/>
      <c r="LX892" s="140"/>
      <c r="LY892" s="140"/>
      <c r="LZ892" s="140"/>
      <c r="MA892" s="140"/>
      <c r="MB892" s="140"/>
      <c r="MC892" s="140"/>
      <c r="MD892" s="140"/>
      <c r="ME892" s="140"/>
      <c r="MF892" s="140"/>
      <c r="MG892" s="140"/>
      <c r="MH892" s="140"/>
      <c r="MI892" s="140"/>
      <c r="MJ892" s="140"/>
      <c r="MK892" s="140"/>
      <c r="ML892" s="141"/>
    </row>
    <row r="893" spans="3:350" s="4" customFormat="1" ht="18" customHeight="1" x14ac:dyDescent="0.3">
      <c r="C893" s="136" t="s">
        <v>394</v>
      </c>
      <c r="E893" s="137" t="s">
        <v>105</v>
      </c>
      <c r="F893" s="186"/>
      <c r="H893" s="139"/>
      <c r="I893" s="140"/>
      <c r="J893" s="140"/>
      <c r="K893" s="140"/>
      <c r="L893" s="140"/>
      <c r="M893" s="140"/>
      <c r="N893" s="140"/>
      <c r="O893" s="140">
        <f>O888/O885</f>
        <v>286.12233518506866</v>
      </c>
      <c r="P893" s="140"/>
      <c r="Q893" s="141"/>
      <c r="R893" s="140"/>
      <c r="S893" s="139"/>
      <c r="T893" s="140">
        <f t="shared" ref="T893:W894" si="1310">(T418*T469+T435*T$497+T450*T$498)/10^3</f>
        <v>0</v>
      </c>
      <c r="U893" s="140">
        <f t="shared" si="1310"/>
        <v>0</v>
      </c>
      <c r="V893" s="140">
        <f t="shared" si="1310"/>
        <v>0</v>
      </c>
      <c r="W893" s="140">
        <f t="shared" si="1310"/>
        <v>0</v>
      </c>
      <c r="X893" s="140">
        <f t="shared" ref="X893:BB893" si="1311">X888/X885</f>
        <v>596.56992728029672</v>
      </c>
      <c r="Y893" s="140">
        <f t="shared" si="1311"/>
        <v>597.19540765158843</v>
      </c>
      <c r="Z893" s="140">
        <f t="shared" si="1311"/>
        <v>597.19540765158843</v>
      </c>
      <c r="AA893" s="140">
        <f t="shared" si="1311"/>
        <v>597.19540765158831</v>
      </c>
      <c r="AB893" s="140">
        <f t="shared" si="1311"/>
        <v>597.19540765158843</v>
      </c>
      <c r="AC893" s="140">
        <f t="shared" si="1311"/>
        <v>597.19540765158843</v>
      </c>
      <c r="AD893" s="140">
        <f t="shared" si="1311"/>
        <v>597.19540765158831</v>
      </c>
      <c r="AE893" s="140">
        <f t="shared" si="1311"/>
        <v>597.19540765158831</v>
      </c>
      <c r="AF893" s="140">
        <f t="shared" si="1311"/>
        <v>597.19540765158831</v>
      </c>
      <c r="AG893" s="140">
        <f t="shared" si="1311"/>
        <v>597.19540765158831</v>
      </c>
      <c r="AH893" s="140">
        <f t="shared" si="1311"/>
        <v>597.19540765158831</v>
      </c>
      <c r="AI893" s="140">
        <f t="shared" si="1311"/>
        <v>597.19540765158831</v>
      </c>
      <c r="AJ893" s="140">
        <f t="shared" si="1311"/>
        <v>597.19540765158854</v>
      </c>
      <c r="AK893" s="140">
        <f t="shared" si="1311"/>
        <v>597.19540765158831</v>
      </c>
      <c r="AL893" s="140">
        <f t="shared" si="1311"/>
        <v>597.19540765158831</v>
      </c>
      <c r="AM893" s="140">
        <f t="shared" si="1311"/>
        <v>597.19540765158854</v>
      </c>
      <c r="AN893" s="140">
        <f t="shared" si="1311"/>
        <v>597.19540765158831</v>
      </c>
      <c r="AO893" s="140">
        <f t="shared" si="1311"/>
        <v>597.19540765158854</v>
      </c>
      <c r="AP893" s="140">
        <f t="shared" si="1311"/>
        <v>597.19540765158831</v>
      </c>
      <c r="AQ893" s="140">
        <f t="shared" si="1311"/>
        <v>597.19540765158831</v>
      </c>
      <c r="AR893" s="140">
        <f t="shared" si="1311"/>
        <v>597.19540765158854</v>
      </c>
      <c r="AS893" s="140">
        <f t="shared" si="1311"/>
        <v>597.19540765158854</v>
      </c>
      <c r="AT893" s="140">
        <f t="shared" si="1311"/>
        <v>597.19540765158831</v>
      </c>
      <c r="AU893" s="140">
        <f t="shared" si="1311"/>
        <v>597.19540765158831</v>
      </c>
      <c r="AV893" s="140">
        <f t="shared" si="1311"/>
        <v>597.19540765158831</v>
      </c>
      <c r="AW893" s="140">
        <f t="shared" si="1311"/>
        <v>597.19540765158854</v>
      </c>
      <c r="AX893" s="140">
        <f t="shared" si="1311"/>
        <v>597.1954076515882</v>
      </c>
      <c r="AY893" s="140">
        <f t="shared" si="1311"/>
        <v>597.19540765158831</v>
      </c>
      <c r="AZ893" s="140">
        <f t="shared" si="1311"/>
        <v>597.19540765158854</v>
      </c>
      <c r="BA893" s="140">
        <f t="shared" si="1311"/>
        <v>597.19540765158854</v>
      </c>
      <c r="BB893" s="141">
        <f t="shared" si="1311"/>
        <v>597.19540765158831</v>
      </c>
      <c r="BC893" s="140"/>
      <c r="BD893" s="139"/>
      <c r="BE893" s="140">
        <f t="shared" ref="BE893:BH894" si="1312">(BE418*BE469+BE435*BE$497+BE450*BE$498)/10^3</f>
        <v>0</v>
      </c>
      <c r="BF893" s="140">
        <f t="shared" si="1312"/>
        <v>0</v>
      </c>
      <c r="BG893" s="140">
        <f t="shared" si="1312"/>
        <v>0</v>
      </c>
      <c r="BH893" s="140">
        <f t="shared" si="1312"/>
        <v>0</v>
      </c>
      <c r="BI893" s="140" t="e">
        <f t="shared" ref="BI893:CM893" si="1313">BI888/BI885</f>
        <v>#DIV/0!</v>
      </c>
      <c r="BJ893" s="140">
        <f t="shared" si="1313"/>
        <v>384.11368679449379</v>
      </c>
      <c r="BK893" s="140">
        <f t="shared" si="1313"/>
        <v>384.11368679449379</v>
      </c>
      <c r="BL893" s="140">
        <f t="shared" si="1313"/>
        <v>384.11368679449379</v>
      </c>
      <c r="BM893" s="140">
        <f t="shared" si="1313"/>
        <v>384.11368679449373</v>
      </c>
      <c r="BN893" s="140">
        <f t="shared" si="1313"/>
        <v>384.11368679449379</v>
      </c>
      <c r="BO893" s="140">
        <f t="shared" si="1313"/>
        <v>384.11368679449367</v>
      </c>
      <c r="BP893" s="140">
        <f t="shared" si="1313"/>
        <v>384.11368679449379</v>
      </c>
      <c r="BQ893" s="140">
        <f t="shared" si="1313"/>
        <v>384.11368679449379</v>
      </c>
      <c r="BR893" s="140">
        <f t="shared" si="1313"/>
        <v>384.11368679449367</v>
      </c>
      <c r="BS893" s="140">
        <f t="shared" si="1313"/>
        <v>384.11368679449379</v>
      </c>
      <c r="BT893" s="140">
        <f t="shared" si="1313"/>
        <v>384.11368679449379</v>
      </c>
      <c r="BU893" s="140">
        <f t="shared" si="1313"/>
        <v>384.11368679449379</v>
      </c>
      <c r="BV893" s="140">
        <f t="shared" si="1313"/>
        <v>384.11368679449379</v>
      </c>
      <c r="BW893" s="140">
        <f t="shared" si="1313"/>
        <v>384.11368679449384</v>
      </c>
      <c r="BX893" s="140">
        <f t="shared" si="1313"/>
        <v>384.11368679449379</v>
      </c>
      <c r="BY893" s="140">
        <f t="shared" si="1313"/>
        <v>384.11368679449379</v>
      </c>
      <c r="BZ893" s="140">
        <f t="shared" si="1313"/>
        <v>384.11368679449379</v>
      </c>
      <c r="CA893" s="140">
        <f t="shared" si="1313"/>
        <v>384.11368679449379</v>
      </c>
      <c r="CB893" s="140">
        <f t="shared" si="1313"/>
        <v>384.1136867944939</v>
      </c>
      <c r="CC893" s="140">
        <f t="shared" si="1313"/>
        <v>384.1136867944939</v>
      </c>
      <c r="CD893" s="140">
        <f t="shared" si="1313"/>
        <v>384.1136867944939</v>
      </c>
      <c r="CE893" s="140">
        <f t="shared" si="1313"/>
        <v>384.11368679449379</v>
      </c>
      <c r="CF893" s="140">
        <f t="shared" si="1313"/>
        <v>384.11368679449362</v>
      </c>
      <c r="CG893" s="140">
        <f t="shared" si="1313"/>
        <v>384.11368679449396</v>
      </c>
      <c r="CH893" s="140">
        <f t="shared" si="1313"/>
        <v>384.11368679449362</v>
      </c>
      <c r="CI893" s="140">
        <f t="shared" si="1313"/>
        <v>384.1136867944939</v>
      </c>
      <c r="CJ893" s="140">
        <f t="shared" si="1313"/>
        <v>384.11368679449379</v>
      </c>
      <c r="CK893" s="140">
        <f t="shared" si="1313"/>
        <v>384.1136867944939</v>
      </c>
      <c r="CL893" s="140">
        <f t="shared" si="1313"/>
        <v>384.11368679449367</v>
      </c>
      <c r="CM893" s="141">
        <f t="shared" si="1313"/>
        <v>384.11368679449401</v>
      </c>
      <c r="CN893" s="140"/>
      <c r="CO893" s="139"/>
      <c r="CP893" s="140">
        <f t="shared" ref="CP893:CS894" si="1314">(CP418*CP469+CP435*CP$497+CP450*CP$498)/10^3</f>
        <v>0</v>
      </c>
      <c r="CQ893" s="140">
        <f t="shared" si="1314"/>
        <v>0</v>
      </c>
      <c r="CR893" s="140">
        <f t="shared" si="1314"/>
        <v>0</v>
      </c>
      <c r="CS893" s="140">
        <f t="shared" si="1314"/>
        <v>0</v>
      </c>
      <c r="CT893" s="140" t="e">
        <f t="shared" ref="CT893:DX893" si="1315">CT888/CT885</f>
        <v>#DIV/0!</v>
      </c>
      <c r="CU893" s="140">
        <f t="shared" si="1315"/>
        <v>527.54453181362135</v>
      </c>
      <c r="CV893" s="140">
        <f t="shared" si="1315"/>
        <v>527.54453181362135</v>
      </c>
      <c r="CW893" s="140">
        <f t="shared" si="1315"/>
        <v>527.54453181362135</v>
      </c>
      <c r="CX893" s="140">
        <f t="shared" si="1315"/>
        <v>527.54453181362112</v>
      </c>
      <c r="CY893" s="140">
        <f t="shared" si="1315"/>
        <v>527.54453181362123</v>
      </c>
      <c r="CZ893" s="140">
        <f t="shared" si="1315"/>
        <v>527.54453181362146</v>
      </c>
      <c r="DA893" s="140">
        <f t="shared" si="1315"/>
        <v>527.54453181362123</v>
      </c>
      <c r="DB893" s="140">
        <f t="shared" si="1315"/>
        <v>527.54453181362112</v>
      </c>
      <c r="DC893" s="140">
        <f t="shared" si="1315"/>
        <v>527.54453181362146</v>
      </c>
      <c r="DD893" s="140">
        <f t="shared" si="1315"/>
        <v>527.54453181362112</v>
      </c>
      <c r="DE893" s="140">
        <f t="shared" si="1315"/>
        <v>527.54453181362146</v>
      </c>
      <c r="DF893" s="140">
        <f t="shared" si="1315"/>
        <v>527.54453181362157</v>
      </c>
      <c r="DG893" s="140">
        <f t="shared" si="1315"/>
        <v>527.54453181362123</v>
      </c>
      <c r="DH893" s="140">
        <f t="shared" si="1315"/>
        <v>527.54453181362112</v>
      </c>
      <c r="DI893" s="140">
        <f t="shared" si="1315"/>
        <v>527.54453181362135</v>
      </c>
      <c r="DJ893" s="140">
        <f t="shared" si="1315"/>
        <v>527.54453181362123</v>
      </c>
      <c r="DK893" s="140">
        <f t="shared" si="1315"/>
        <v>527.54453181362123</v>
      </c>
      <c r="DL893" s="140">
        <f t="shared" si="1315"/>
        <v>527.54453181362135</v>
      </c>
      <c r="DM893" s="140">
        <f t="shared" si="1315"/>
        <v>527.54453181362112</v>
      </c>
      <c r="DN893" s="140">
        <f t="shared" si="1315"/>
        <v>527.54453181362112</v>
      </c>
      <c r="DO893" s="140">
        <f t="shared" si="1315"/>
        <v>527.54453181362157</v>
      </c>
      <c r="DP893" s="140">
        <f t="shared" si="1315"/>
        <v>527.54453181362123</v>
      </c>
      <c r="DQ893" s="140">
        <f t="shared" si="1315"/>
        <v>527.54453181362123</v>
      </c>
      <c r="DR893" s="140">
        <f t="shared" si="1315"/>
        <v>527.54453181362157</v>
      </c>
      <c r="DS893" s="140">
        <f t="shared" si="1315"/>
        <v>527.54453181362101</v>
      </c>
      <c r="DT893" s="140">
        <f t="shared" si="1315"/>
        <v>527.54453181362157</v>
      </c>
      <c r="DU893" s="140">
        <f t="shared" si="1315"/>
        <v>527.54453181362089</v>
      </c>
      <c r="DV893" s="140">
        <f t="shared" si="1315"/>
        <v>527.54453181362157</v>
      </c>
      <c r="DW893" s="140">
        <f t="shared" si="1315"/>
        <v>527.54453181362112</v>
      </c>
      <c r="DX893" s="141">
        <f t="shared" si="1315"/>
        <v>527.54453181362157</v>
      </c>
      <c r="DY893" s="140"/>
      <c r="DZ893" s="139"/>
      <c r="EA893" s="140">
        <f t="shared" ref="EA893:ED894" si="1316">(EA418*EA469+EA435*EA$497+EA450*EA$498)/10^3</f>
        <v>0</v>
      </c>
      <c r="EB893" s="140">
        <f t="shared" si="1316"/>
        <v>0</v>
      </c>
      <c r="EC893" s="140">
        <f t="shared" si="1316"/>
        <v>0</v>
      </c>
      <c r="ED893" s="140">
        <f t="shared" si="1316"/>
        <v>0</v>
      </c>
      <c r="EE893" s="140" t="e">
        <f t="shared" ref="EE893:FI893" si="1317">EE888/EE885</f>
        <v>#DIV/0!</v>
      </c>
      <c r="EF893" s="140">
        <f t="shared" si="1317"/>
        <v>476.83788260046043</v>
      </c>
      <c r="EG893" s="140">
        <f t="shared" si="1317"/>
        <v>476.83788260046043</v>
      </c>
      <c r="EH893" s="140">
        <f t="shared" si="1317"/>
        <v>476.83788260046038</v>
      </c>
      <c r="EI893" s="140">
        <f t="shared" si="1317"/>
        <v>476.83788260046043</v>
      </c>
      <c r="EJ893" s="140">
        <f t="shared" si="1317"/>
        <v>476.83788260046038</v>
      </c>
      <c r="EK893" s="140">
        <f t="shared" si="1317"/>
        <v>476.83788260046049</v>
      </c>
      <c r="EL893" s="140">
        <f t="shared" si="1317"/>
        <v>476.83788260046049</v>
      </c>
      <c r="EM893" s="140">
        <f t="shared" si="1317"/>
        <v>476.83788260046066</v>
      </c>
      <c r="EN893" s="140">
        <f t="shared" si="1317"/>
        <v>476.83788260046043</v>
      </c>
      <c r="EO893" s="140">
        <f t="shared" si="1317"/>
        <v>476.83788260046049</v>
      </c>
      <c r="EP893" s="140">
        <f t="shared" si="1317"/>
        <v>476.83788260046043</v>
      </c>
      <c r="EQ893" s="140">
        <f t="shared" si="1317"/>
        <v>476.83788260046043</v>
      </c>
      <c r="ER893" s="140">
        <f t="shared" si="1317"/>
        <v>476.83788260046043</v>
      </c>
      <c r="ES893" s="140">
        <f t="shared" si="1317"/>
        <v>476.83788260046043</v>
      </c>
      <c r="ET893" s="140">
        <f t="shared" si="1317"/>
        <v>476.83788260046043</v>
      </c>
      <c r="EU893" s="140">
        <f t="shared" si="1317"/>
        <v>476.83788260046066</v>
      </c>
      <c r="EV893" s="140">
        <f t="shared" si="1317"/>
        <v>476.83788260046049</v>
      </c>
      <c r="EW893" s="140">
        <f t="shared" si="1317"/>
        <v>476.83788260046055</v>
      </c>
      <c r="EX893" s="140">
        <f t="shared" si="1317"/>
        <v>476.83788260046066</v>
      </c>
      <c r="EY893" s="140">
        <f t="shared" si="1317"/>
        <v>476.83788260046049</v>
      </c>
      <c r="EZ893" s="140">
        <f t="shared" si="1317"/>
        <v>476.83788260046026</v>
      </c>
      <c r="FA893" s="140">
        <f t="shared" si="1317"/>
        <v>476.83788260046055</v>
      </c>
      <c r="FB893" s="140">
        <f t="shared" si="1317"/>
        <v>476.83788260046049</v>
      </c>
      <c r="FC893" s="140">
        <f t="shared" si="1317"/>
        <v>476.83788260046049</v>
      </c>
      <c r="FD893" s="140">
        <f t="shared" si="1317"/>
        <v>476.83788260046049</v>
      </c>
      <c r="FE893" s="140">
        <f t="shared" si="1317"/>
        <v>476.83788260046038</v>
      </c>
      <c r="FF893" s="140">
        <f t="shared" si="1317"/>
        <v>476.83788260046055</v>
      </c>
      <c r="FG893" s="140">
        <f t="shared" si="1317"/>
        <v>476.8378826004602</v>
      </c>
      <c r="FH893" s="140">
        <f t="shared" si="1317"/>
        <v>476.83788260046055</v>
      </c>
      <c r="FI893" s="141">
        <f t="shared" si="1317"/>
        <v>476.83788260046055</v>
      </c>
      <c r="FJ893" s="140"/>
      <c r="FK893" s="139"/>
      <c r="FL893" s="140">
        <f t="shared" ref="FL893:FO894" si="1318">(FL418*FL469+FL435*FL$497+FL450*FL$498)/10^3</f>
        <v>0</v>
      </c>
      <c r="FM893" s="140">
        <f t="shared" si="1318"/>
        <v>0</v>
      </c>
      <c r="FN893" s="140">
        <f t="shared" si="1318"/>
        <v>0</v>
      </c>
      <c r="FO893" s="140">
        <f t="shared" si="1318"/>
        <v>0</v>
      </c>
      <c r="FP893" s="140" t="e">
        <f t="shared" ref="FP893:GT893" si="1319">FP888/FP885</f>
        <v>#DIV/0!</v>
      </c>
      <c r="FQ893" s="140">
        <f t="shared" si="1319"/>
        <v>479.75594349591057</v>
      </c>
      <c r="FR893" s="140">
        <f t="shared" si="1319"/>
        <v>479.75594349591057</v>
      </c>
      <c r="FS893" s="140">
        <f t="shared" si="1319"/>
        <v>479.75594349591057</v>
      </c>
      <c r="FT893" s="140">
        <f t="shared" si="1319"/>
        <v>479.75594349591057</v>
      </c>
      <c r="FU893" s="140">
        <f t="shared" si="1319"/>
        <v>479.75594349591057</v>
      </c>
      <c r="FV893" s="140">
        <f t="shared" si="1319"/>
        <v>479.75594349591051</v>
      </c>
      <c r="FW893" s="140">
        <f t="shared" si="1319"/>
        <v>479.75594349591051</v>
      </c>
      <c r="FX893" s="140">
        <f t="shared" si="1319"/>
        <v>479.75594349591069</v>
      </c>
      <c r="FY893" s="140">
        <f t="shared" si="1319"/>
        <v>479.75594349591057</v>
      </c>
      <c r="FZ893" s="140">
        <f t="shared" si="1319"/>
        <v>479.75594349591069</v>
      </c>
      <c r="GA893" s="140">
        <f t="shared" si="1319"/>
        <v>479.75594349591069</v>
      </c>
      <c r="GB893" s="140">
        <f t="shared" si="1319"/>
        <v>479.75594349591046</v>
      </c>
      <c r="GC893" s="140">
        <f t="shared" si="1319"/>
        <v>479.75594349591051</v>
      </c>
      <c r="GD893" s="140">
        <f t="shared" si="1319"/>
        <v>479.75594349591057</v>
      </c>
      <c r="GE893" s="140">
        <f t="shared" si="1319"/>
        <v>479.7559434959108</v>
      </c>
      <c r="GF893" s="140">
        <f t="shared" si="1319"/>
        <v>479.75594349591057</v>
      </c>
      <c r="GG893" s="140">
        <f t="shared" si="1319"/>
        <v>479.75594349591051</v>
      </c>
      <c r="GH893" s="140">
        <f t="shared" si="1319"/>
        <v>479.75594349591051</v>
      </c>
      <c r="GI893" s="140">
        <f t="shared" si="1319"/>
        <v>479.75594349591086</v>
      </c>
      <c r="GJ893" s="140">
        <f t="shared" si="1319"/>
        <v>479.75594349591057</v>
      </c>
      <c r="GK893" s="140">
        <f t="shared" si="1319"/>
        <v>479.75594349591057</v>
      </c>
      <c r="GL893" s="140">
        <f t="shared" si="1319"/>
        <v>479.75594349591051</v>
      </c>
      <c r="GM893" s="140">
        <f t="shared" si="1319"/>
        <v>479.75594349591074</v>
      </c>
      <c r="GN893" s="140">
        <f t="shared" si="1319"/>
        <v>479.7559434959104</v>
      </c>
      <c r="GO893" s="140">
        <f t="shared" si="1319"/>
        <v>479.75594349591086</v>
      </c>
      <c r="GP893" s="140">
        <f t="shared" si="1319"/>
        <v>479.75594349591023</v>
      </c>
      <c r="GQ893" s="140">
        <f t="shared" si="1319"/>
        <v>479.75594349591086</v>
      </c>
      <c r="GR893" s="140">
        <f t="shared" si="1319"/>
        <v>479.75594349591034</v>
      </c>
      <c r="GS893" s="140">
        <f t="shared" si="1319"/>
        <v>479.75594349591074</v>
      </c>
      <c r="GT893" s="141">
        <f t="shared" si="1319"/>
        <v>479.75594349591074</v>
      </c>
      <c r="GU893" s="140"/>
      <c r="GV893" s="139"/>
      <c r="GW893" s="140">
        <f t="shared" ref="GW893:GZ894" si="1320">(GW418*GW469+GW435*GW$497+GW450*GW$498)/10^3</f>
        <v>0</v>
      </c>
      <c r="GX893" s="140">
        <f t="shared" si="1320"/>
        <v>0</v>
      </c>
      <c r="GY893" s="140">
        <f t="shared" si="1320"/>
        <v>0</v>
      </c>
      <c r="GZ893" s="140">
        <f t="shared" si="1320"/>
        <v>0</v>
      </c>
      <c r="HA893" s="140" t="e">
        <f t="shared" ref="HA893:IE893" si="1321">HA888/HA885</f>
        <v>#DIV/0!</v>
      </c>
      <c r="HB893" s="140">
        <f t="shared" si="1321"/>
        <v>430.07370274702697</v>
      </c>
      <c r="HC893" s="140">
        <f t="shared" si="1321"/>
        <v>430.07370274702697</v>
      </c>
      <c r="HD893" s="140">
        <f t="shared" si="1321"/>
        <v>430.07370274702703</v>
      </c>
      <c r="HE893" s="140">
        <f t="shared" si="1321"/>
        <v>430.07370274702691</v>
      </c>
      <c r="HF893" s="140">
        <f t="shared" si="1321"/>
        <v>430.07370274702703</v>
      </c>
      <c r="HG893" s="140">
        <f t="shared" si="1321"/>
        <v>430.07370274702703</v>
      </c>
      <c r="HH893" s="140">
        <f t="shared" si="1321"/>
        <v>430.07370274702697</v>
      </c>
      <c r="HI893" s="140">
        <f t="shared" si="1321"/>
        <v>430.07370274702686</v>
      </c>
      <c r="HJ893" s="140">
        <f t="shared" si="1321"/>
        <v>430.07370274702691</v>
      </c>
      <c r="HK893" s="140">
        <f t="shared" si="1321"/>
        <v>430.07370274702686</v>
      </c>
      <c r="HL893" s="140">
        <f t="shared" si="1321"/>
        <v>430.07370274702714</v>
      </c>
      <c r="HM893" s="140">
        <f t="shared" si="1321"/>
        <v>430.07370274702691</v>
      </c>
      <c r="HN893" s="140">
        <f t="shared" si="1321"/>
        <v>430.07370274702691</v>
      </c>
      <c r="HO893" s="140">
        <f t="shared" si="1321"/>
        <v>430.07370274702703</v>
      </c>
      <c r="HP893" s="140">
        <f t="shared" si="1321"/>
        <v>430.07370274702691</v>
      </c>
      <c r="HQ893" s="140">
        <f t="shared" si="1321"/>
        <v>430.0737027470268</v>
      </c>
      <c r="HR893" s="140">
        <f t="shared" si="1321"/>
        <v>430.07370274702708</v>
      </c>
      <c r="HS893" s="140">
        <f t="shared" si="1321"/>
        <v>430.0737027470268</v>
      </c>
      <c r="HT893" s="140">
        <f t="shared" si="1321"/>
        <v>430.07370274702697</v>
      </c>
      <c r="HU893" s="140">
        <f t="shared" si="1321"/>
        <v>430.07370274702674</v>
      </c>
      <c r="HV893" s="140">
        <f t="shared" si="1321"/>
        <v>430.07370274702697</v>
      </c>
      <c r="HW893" s="140">
        <f t="shared" si="1321"/>
        <v>430.07370274702708</v>
      </c>
      <c r="HX893" s="140">
        <f t="shared" si="1321"/>
        <v>430.07370274702663</v>
      </c>
      <c r="HY893" s="140">
        <f t="shared" si="1321"/>
        <v>430.07370274702714</v>
      </c>
      <c r="HZ893" s="140">
        <f t="shared" si="1321"/>
        <v>430.07370274702674</v>
      </c>
      <c r="IA893" s="140">
        <f t="shared" si="1321"/>
        <v>430.07370274702691</v>
      </c>
      <c r="IB893" s="140">
        <f t="shared" si="1321"/>
        <v>430.07370274702708</v>
      </c>
      <c r="IC893" s="140">
        <f t="shared" si="1321"/>
        <v>430.07370274702686</v>
      </c>
      <c r="ID893" s="140">
        <f t="shared" si="1321"/>
        <v>430.07370274702714</v>
      </c>
      <c r="IE893" s="141">
        <f t="shared" si="1321"/>
        <v>430.07370274702674</v>
      </c>
      <c r="IF893" s="140"/>
      <c r="IG893" s="139"/>
      <c r="IH893" s="140"/>
      <c r="II893" s="140"/>
      <c r="IJ893" s="140"/>
      <c r="IK893" s="140"/>
      <c r="IL893" s="140"/>
      <c r="IM893" s="140"/>
      <c r="IN893" s="140"/>
      <c r="IO893" s="140"/>
      <c r="IP893" s="140"/>
      <c r="IQ893" s="140"/>
      <c r="IR893" s="140"/>
      <c r="IS893" s="140"/>
      <c r="IT893" s="140"/>
      <c r="IU893" s="140"/>
      <c r="IV893" s="140"/>
      <c r="IW893" s="140"/>
      <c r="IX893" s="140"/>
      <c r="IY893" s="140"/>
      <c r="IZ893" s="140"/>
      <c r="JA893" s="140"/>
      <c r="JB893" s="140"/>
      <c r="JC893" s="140"/>
      <c r="JD893" s="140"/>
      <c r="JE893" s="140"/>
      <c r="JF893" s="140"/>
      <c r="JG893" s="140"/>
      <c r="JH893" s="140"/>
      <c r="JI893" s="140"/>
      <c r="JJ893" s="140"/>
      <c r="JK893" s="140"/>
      <c r="JL893" s="140"/>
      <c r="JM893" s="140"/>
      <c r="JN893" s="140"/>
      <c r="JO893" s="140"/>
      <c r="JP893" s="141"/>
      <c r="JQ893" s="140"/>
      <c r="JR893" s="139"/>
      <c r="JS893" s="140"/>
      <c r="JT893" s="140"/>
      <c r="JU893" s="140"/>
      <c r="JV893" s="140"/>
      <c r="JW893" s="140"/>
      <c r="JX893" s="140"/>
      <c r="JY893" s="140"/>
      <c r="JZ893" s="140"/>
      <c r="KA893" s="140"/>
      <c r="KB893" s="140"/>
      <c r="KC893" s="140"/>
      <c r="KD893" s="140"/>
      <c r="KE893" s="140"/>
      <c r="KF893" s="140"/>
      <c r="KG893" s="140"/>
      <c r="KH893" s="140"/>
      <c r="KI893" s="140"/>
      <c r="KJ893" s="140"/>
      <c r="KK893" s="140"/>
      <c r="KL893" s="140"/>
      <c r="KM893" s="140"/>
      <c r="KN893" s="140"/>
      <c r="KO893" s="140"/>
      <c r="KP893" s="140"/>
      <c r="KQ893" s="140"/>
      <c r="KR893" s="140"/>
      <c r="KS893" s="140"/>
      <c r="KT893" s="140"/>
      <c r="KU893" s="140"/>
      <c r="KV893" s="140"/>
      <c r="KW893" s="140"/>
      <c r="KX893" s="140"/>
      <c r="KY893" s="140"/>
      <c r="KZ893" s="140"/>
      <c r="LA893" s="141"/>
      <c r="LB893" s="140"/>
      <c r="LC893" s="139"/>
      <c r="LD893" s="140"/>
      <c r="LE893" s="140"/>
      <c r="LF893" s="140"/>
      <c r="LG893" s="140"/>
      <c r="LH893" s="140"/>
      <c r="LI893" s="140"/>
      <c r="LJ893" s="140"/>
      <c r="LK893" s="140"/>
      <c r="LL893" s="140"/>
      <c r="LM893" s="140"/>
      <c r="LN893" s="140"/>
      <c r="LO893" s="140"/>
      <c r="LP893" s="140"/>
      <c r="LQ893" s="140"/>
      <c r="LR893" s="140"/>
      <c r="LS893" s="140"/>
      <c r="LT893" s="140"/>
      <c r="LU893" s="140"/>
      <c r="LV893" s="140"/>
      <c r="LW893" s="140"/>
      <c r="LX893" s="140"/>
      <c r="LY893" s="140"/>
      <c r="LZ893" s="140"/>
      <c r="MA893" s="140"/>
      <c r="MB893" s="140"/>
      <c r="MC893" s="140"/>
      <c r="MD893" s="140"/>
      <c r="ME893" s="140"/>
      <c r="MF893" s="140"/>
      <c r="MG893" s="140"/>
      <c r="MH893" s="140"/>
      <c r="MI893" s="140"/>
      <c r="MJ893" s="140"/>
      <c r="MK893" s="140"/>
      <c r="ML893" s="141"/>
    </row>
    <row r="894" spans="3:350" s="4" customFormat="1" ht="18" customHeight="1" x14ac:dyDescent="0.3">
      <c r="C894" s="136" t="s">
        <v>106</v>
      </c>
      <c r="E894" s="137" t="s">
        <v>105</v>
      </c>
      <c r="F894" s="186"/>
      <c r="H894" s="139"/>
      <c r="I894" s="140"/>
      <c r="J894" s="140"/>
      <c r="K894" s="140"/>
      <c r="L894" s="140"/>
      <c r="M894" s="140"/>
      <c r="N894" s="140"/>
      <c r="O894" s="140">
        <f>O892+O893</f>
        <v>476.87055864178114</v>
      </c>
      <c r="P894" s="140"/>
      <c r="Q894" s="141"/>
      <c r="R894" s="140"/>
      <c r="S894" s="139"/>
      <c r="T894" s="140">
        <f t="shared" si="1310"/>
        <v>0</v>
      </c>
      <c r="U894" s="140">
        <f t="shared" si="1310"/>
        <v>0</v>
      </c>
      <c r="V894" s="140">
        <f t="shared" si="1310"/>
        <v>0</v>
      </c>
      <c r="W894" s="140">
        <f t="shared" si="1310"/>
        <v>0</v>
      </c>
      <c r="X894" s="140">
        <f t="shared" ref="X894:BB894" si="1322">X892+X893</f>
        <v>994.28321213382787</v>
      </c>
      <c r="Y894" s="140">
        <f t="shared" si="1322"/>
        <v>995.32567941931416</v>
      </c>
      <c r="Z894" s="140">
        <f t="shared" si="1322"/>
        <v>995.32567941931416</v>
      </c>
      <c r="AA894" s="140">
        <f t="shared" si="1322"/>
        <v>995.32567941931393</v>
      </c>
      <c r="AB894" s="140">
        <f t="shared" si="1322"/>
        <v>995.32567941931404</v>
      </c>
      <c r="AC894" s="140">
        <f t="shared" si="1322"/>
        <v>995.32567941931404</v>
      </c>
      <c r="AD894" s="140">
        <f t="shared" si="1322"/>
        <v>995.32567941931393</v>
      </c>
      <c r="AE894" s="140">
        <f t="shared" si="1322"/>
        <v>995.32567941931393</v>
      </c>
      <c r="AF894" s="140">
        <f t="shared" si="1322"/>
        <v>995.32567941931393</v>
      </c>
      <c r="AG894" s="140">
        <f t="shared" si="1322"/>
        <v>995.32567941931393</v>
      </c>
      <c r="AH894" s="140">
        <f t="shared" si="1322"/>
        <v>995.32567941931393</v>
      </c>
      <c r="AI894" s="140">
        <f t="shared" si="1322"/>
        <v>995.32567941931393</v>
      </c>
      <c r="AJ894" s="140">
        <f t="shared" si="1322"/>
        <v>995.32567941931416</v>
      </c>
      <c r="AK894" s="140">
        <f t="shared" si="1322"/>
        <v>995.32567941931393</v>
      </c>
      <c r="AL894" s="140">
        <f t="shared" si="1322"/>
        <v>995.32567941931393</v>
      </c>
      <c r="AM894" s="140">
        <f t="shared" si="1322"/>
        <v>995.32567941931416</v>
      </c>
      <c r="AN894" s="140">
        <f t="shared" si="1322"/>
        <v>995.32567941931393</v>
      </c>
      <c r="AO894" s="140">
        <f t="shared" si="1322"/>
        <v>995.32567941931416</v>
      </c>
      <c r="AP894" s="140">
        <f t="shared" si="1322"/>
        <v>995.32567941931393</v>
      </c>
      <c r="AQ894" s="140">
        <f t="shared" si="1322"/>
        <v>995.32567941931393</v>
      </c>
      <c r="AR894" s="140">
        <f t="shared" si="1322"/>
        <v>995.32567941931416</v>
      </c>
      <c r="AS894" s="140">
        <f t="shared" si="1322"/>
        <v>995.32567941931416</v>
      </c>
      <c r="AT894" s="140">
        <f t="shared" si="1322"/>
        <v>995.32567941931393</v>
      </c>
      <c r="AU894" s="140">
        <f t="shared" si="1322"/>
        <v>995.32567941931393</v>
      </c>
      <c r="AV894" s="140">
        <f t="shared" si="1322"/>
        <v>995.32567941931393</v>
      </c>
      <c r="AW894" s="140">
        <f t="shared" si="1322"/>
        <v>995.32567941931416</v>
      </c>
      <c r="AX894" s="140">
        <f t="shared" si="1322"/>
        <v>995.3256794193137</v>
      </c>
      <c r="AY894" s="140">
        <f t="shared" si="1322"/>
        <v>995.32567941931393</v>
      </c>
      <c r="AZ894" s="140">
        <f t="shared" si="1322"/>
        <v>995.32567941931416</v>
      </c>
      <c r="BA894" s="140">
        <f t="shared" si="1322"/>
        <v>995.32567941931416</v>
      </c>
      <c r="BB894" s="141">
        <f t="shared" si="1322"/>
        <v>995.32567941931393</v>
      </c>
      <c r="BC894" s="140"/>
      <c r="BD894" s="139"/>
      <c r="BE894" s="140">
        <f t="shared" si="1312"/>
        <v>0</v>
      </c>
      <c r="BF894" s="140">
        <f t="shared" si="1312"/>
        <v>0</v>
      </c>
      <c r="BG894" s="140">
        <f t="shared" si="1312"/>
        <v>0</v>
      </c>
      <c r="BH894" s="140">
        <f t="shared" si="1312"/>
        <v>0</v>
      </c>
      <c r="BI894" s="140" t="e">
        <f t="shared" ref="BI894:CM894" si="1323">BI892+BI893</f>
        <v>#DIV/0!</v>
      </c>
      <c r="BJ894" s="140">
        <f t="shared" si="1323"/>
        <v>640.18947799082298</v>
      </c>
      <c r="BK894" s="140">
        <f t="shared" si="1323"/>
        <v>640.18947799082298</v>
      </c>
      <c r="BL894" s="140">
        <f t="shared" si="1323"/>
        <v>640.18947799082298</v>
      </c>
      <c r="BM894" s="140">
        <f t="shared" si="1323"/>
        <v>640.18947799082287</v>
      </c>
      <c r="BN894" s="140">
        <f t="shared" si="1323"/>
        <v>640.18947799082298</v>
      </c>
      <c r="BO894" s="140">
        <f t="shared" si="1323"/>
        <v>640.18947799082275</v>
      </c>
      <c r="BP894" s="140">
        <f t="shared" si="1323"/>
        <v>640.18947799082298</v>
      </c>
      <c r="BQ894" s="140">
        <f t="shared" si="1323"/>
        <v>640.18947799082298</v>
      </c>
      <c r="BR894" s="140">
        <f t="shared" si="1323"/>
        <v>640.18947799082275</v>
      </c>
      <c r="BS894" s="140">
        <f t="shared" si="1323"/>
        <v>640.18947799082298</v>
      </c>
      <c r="BT894" s="140">
        <f t="shared" si="1323"/>
        <v>640.18947799082298</v>
      </c>
      <c r="BU894" s="140">
        <f t="shared" si="1323"/>
        <v>640.18947799082298</v>
      </c>
      <c r="BV894" s="140">
        <f t="shared" si="1323"/>
        <v>640.18947799082298</v>
      </c>
      <c r="BW894" s="140">
        <f t="shared" si="1323"/>
        <v>640.18947799082298</v>
      </c>
      <c r="BX894" s="140">
        <f t="shared" si="1323"/>
        <v>640.18947799082298</v>
      </c>
      <c r="BY894" s="140">
        <f t="shared" si="1323"/>
        <v>640.18947799082298</v>
      </c>
      <c r="BZ894" s="140">
        <f t="shared" si="1323"/>
        <v>640.18947799082298</v>
      </c>
      <c r="CA894" s="140">
        <f t="shared" si="1323"/>
        <v>640.18947799082298</v>
      </c>
      <c r="CB894" s="140">
        <f t="shared" si="1323"/>
        <v>640.18947799082321</v>
      </c>
      <c r="CC894" s="140">
        <f t="shared" si="1323"/>
        <v>640.18947799082321</v>
      </c>
      <c r="CD894" s="140">
        <f t="shared" si="1323"/>
        <v>640.18947799082321</v>
      </c>
      <c r="CE894" s="140">
        <f t="shared" si="1323"/>
        <v>640.18947799082298</v>
      </c>
      <c r="CF894" s="140">
        <f t="shared" si="1323"/>
        <v>640.18947799082275</v>
      </c>
      <c r="CG894" s="140">
        <f t="shared" si="1323"/>
        <v>640.18947799082321</v>
      </c>
      <c r="CH894" s="140">
        <f t="shared" si="1323"/>
        <v>640.18947799082275</v>
      </c>
      <c r="CI894" s="140">
        <f t="shared" si="1323"/>
        <v>640.18947799082321</v>
      </c>
      <c r="CJ894" s="140">
        <f t="shared" si="1323"/>
        <v>640.18947799082298</v>
      </c>
      <c r="CK894" s="140">
        <f t="shared" si="1323"/>
        <v>640.18947799082321</v>
      </c>
      <c r="CL894" s="140">
        <f t="shared" si="1323"/>
        <v>640.18947799082275</v>
      </c>
      <c r="CM894" s="141">
        <f t="shared" si="1323"/>
        <v>640.18947799082343</v>
      </c>
      <c r="CN894" s="140"/>
      <c r="CO894" s="139"/>
      <c r="CP894" s="140">
        <f t="shared" si="1314"/>
        <v>0</v>
      </c>
      <c r="CQ894" s="140">
        <f t="shared" si="1314"/>
        <v>0</v>
      </c>
      <c r="CR894" s="140">
        <f t="shared" si="1314"/>
        <v>0</v>
      </c>
      <c r="CS894" s="140">
        <f t="shared" si="1314"/>
        <v>0</v>
      </c>
      <c r="CT894" s="140" t="e">
        <f t="shared" ref="CT894:DX894" si="1324">CT892+CT893</f>
        <v>#DIV/0!</v>
      </c>
      <c r="CU894" s="140">
        <f t="shared" si="1324"/>
        <v>879.24088635603562</v>
      </c>
      <c r="CV894" s="140">
        <f t="shared" si="1324"/>
        <v>879.24088635603562</v>
      </c>
      <c r="CW894" s="140">
        <f t="shared" si="1324"/>
        <v>879.24088635603562</v>
      </c>
      <c r="CX894" s="140">
        <f t="shared" si="1324"/>
        <v>879.24088635603516</v>
      </c>
      <c r="CY894" s="140">
        <f t="shared" si="1324"/>
        <v>879.24088635603539</v>
      </c>
      <c r="CZ894" s="140">
        <f t="shared" si="1324"/>
        <v>879.24088635603584</v>
      </c>
      <c r="DA894" s="140">
        <f t="shared" si="1324"/>
        <v>879.24088635603539</v>
      </c>
      <c r="DB894" s="140">
        <f t="shared" si="1324"/>
        <v>879.24088635603516</v>
      </c>
      <c r="DC894" s="140">
        <f t="shared" si="1324"/>
        <v>879.24088635603584</v>
      </c>
      <c r="DD894" s="140">
        <f t="shared" si="1324"/>
        <v>879.24088635603516</v>
      </c>
      <c r="DE894" s="140">
        <f t="shared" si="1324"/>
        <v>879.24088635603573</v>
      </c>
      <c r="DF894" s="140">
        <f t="shared" si="1324"/>
        <v>879.24088635603596</v>
      </c>
      <c r="DG894" s="140">
        <f t="shared" si="1324"/>
        <v>879.24088635603539</v>
      </c>
      <c r="DH894" s="140">
        <f t="shared" si="1324"/>
        <v>879.24088635603516</v>
      </c>
      <c r="DI894" s="140">
        <f t="shared" si="1324"/>
        <v>879.24088635603562</v>
      </c>
      <c r="DJ894" s="140">
        <f t="shared" si="1324"/>
        <v>879.24088635603539</v>
      </c>
      <c r="DK894" s="140">
        <f t="shared" si="1324"/>
        <v>879.24088635603539</v>
      </c>
      <c r="DL894" s="140">
        <f t="shared" si="1324"/>
        <v>879.24088635603562</v>
      </c>
      <c r="DM894" s="140">
        <f t="shared" si="1324"/>
        <v>879.24088635603516</v>
      </c>
      <c r="DN894" s="140">
        <f t="shared" si="1324"/>
        <v>879.24088635603516</v>
      </c>
      <c r="DO894" s="140">
        <f t="shared" si="1324"/>
        <v>879.24088635603596</v>
      </c>
      <c r="DP894" s="140">
        <f t="shared" si="1324"/>
        <v>879.24088635603539</v>
      </c>
      <c r="DQ894" s="140">
        <f t="shared" si="1324"/>
        <v>879.24088635603539</v>
      </c>
      <c r="DR894" s="140">
        <f t="shared" si="1324"/>
        <v>879.24088635603596</v>
      </c>
      <c r="DS894" s="140">
        <f t="shared" si="1324"/>
        <v>879.24088635603505</v>
      </c>
      <c r="DT894" s="140">
        <f t="shared" si="1324"/>
        <v>879.24088635603607</v>
      </c>
      <c r="DU894" s="140">
        <f t="shared" si="1324"/>
        <v>879.24088635603482</v>
      </c>
      <c r="DV894" s="140">
        <f t="shared" si="1324"/>
        <v>879.24088635603596</v>
      </c>
      <c r="DW894" s="140">
        <f t="shared" si="1324"/>
        <v>879.24088635603516</v>
      </c>
      <c r="DX894" s="141">
        <f t="shared" si="1324"/>
        <v>879.24088635603607</v>
      </c>
      <c r="DY894" s="140"/>
      <c r="DZ894" s="139"/>
      <c r="EA894" s="140">
        <f t="shared" si="1316"/>
        <v>0</v>
      </c>
      <c r="EB894" s="140">
        <f t="shared" si="1316"/>
        <v>0</v>
      </c>
      <c r="EC894" s="140">
        <f t="shared" si="1316"/>
        <v>0</v>
      </c>
      <c r="ED894" s="140">
        <f t="shared" si="1316"/>
        <v>0</v>
      </c>
      <c r="EE894" s="140" t="e">
        <f t="shared" ref="EE894:FI894" si="1325">EE892+EE893</f>
        <v>#DIV/0!</v>
      </c>
      <c r="EF894" s="140">
        <f t="shared" si="1325"/>
        <v>794.72980433410066</v>
      </c>
      <c r="EG894" s="140">
        <f t="shared" si="1325"/>
        <v>794.72980433410066</v>
      </c>
      <c r="EH894" s="140">
        <f t="shared" si="1325"/>
        <v>794.72980433410066</v>
      </c>
      <c r="EI894" s="140">
        <f t="shared" si="1325"/>
        <v>794.72980433410066</v>
      </c>
      <c r="EJ894" s="140">
        <f t="shared" si="1325"/>
        <v>794.72980433410066</v>
      </c>
      <c r="EK894" s="140">
        <f t="shared" si="1325"/>
        <v>794.72980433410089</v>
      </c>
      <c r="EL894" s="140">
        <f t="shared" si="1325"/>
        <v>794.72980433410089</v>
      </c>
      <c r="EM894" s="140">
        <f t="shared" si="1325"/>
        <v>794.72980433410112</v>
      </c>
      <c r="EN894" s="140">
        <f t="shared" si="1325"/>
        <v>794.72980433410066</v>
      </c>
      <c r="EO894" s="140">
        <f t="shared" si="1325"/>
        <v>794.72980433410089</v>
      </c>
      <c r="EP894" s="140">
        <f t="shared" si="1325"/>
        <v>794.72980433410066</v>
      </c>
      <c r="EQ894" s="140">
        <f t="shared" si="1325"/>
        <v>794.72980433410066</v>
      </c>
      <c r="ER894" s="140">
        <f t="shared" si="1325"/>
        <v>794.72980433410066</v>
      </c>
      <c r="ES894" s="140">
        <f t="shared" si="1325"/>
        <v>794.72980433410066</v>
      </c>
      <c r="ET894" s="140">
        <f t="shared" si="1325"/>
        <v>794.72980433410066</v>
      </c>
      <c r="EU894" s="140">
        <f t="shared" si="1325"/>
        <v>794.72980433410112</v>
      </c>
      <c r="EV894" s="140">
        <f t="shared" si="1325"/>
        <v>794.72980433410078</v>
      </c>
      <c r="EW894" s="140">
        <f t="shared" si="1325"/>
        <v>794.72980433410089</v>
      </c>
      <c r="EX894" s="140">
        <f t="shared" si="1325"/>
        <v>794.72980433410112</v>
      </c>
      <c r="EY894" s="140">
        <f t="shared" si="1325"/>
        <v>794.72980433410078</v>
      </c>
      <c r="EZ894" s="140">
        <f t="shared" si="1325"/>
        <v>794.72980433410044</v>
      </c>
      <c r="FA894" s="140">
        <f t="shared" si="1325"/>
        <v>794.72980433410089</v>
      </c>
      <c r="FB894" s="140">
        <f t="shared" si="1325"/>
        <v>794.72980433410089</v>
      </c>
      <c r="FC894" s="140">
        <f t="shared" si="1325"/>
        <v>794.72980433410089</v>
      </c>
      <c r="FD894" s="140">
        <f t="shared" si="1325"/>
        <v>794.72980433410089</v>
      </c>
      <c r="FE894" s="140">
        <f t="shared" si="1325"/>
        <v>794.72980433410066</v>
      </c>
      <c r="FF894" s="140">
        <f t="shared" si="1325"/>
        <v>794.72980433410089</v>
      </c>
      <c r="FG894" s="140">
        <f t="shared" si="1325"/>
        <v>794.72980433410032</v>
      </c>
      <c r="FH894" s="140">
        <f t="shared" si="1325"/>
        <v>794.72980433410089</v>
      </c>
      <c r="FI894" s="141">
        <f t="shared" si="1325"/>
        <v>794.72980433410089</v>
      </c>
      <c r="FJ894" s="140"/>
      <c r="FK894" s="139"/>
      <c r="FL894" s="140">
        <f t="shared" si="1318"/>
        <v>0</v>
      </c>
      <c r="FM894" s="140">
        <f t="shared" si="1318"/>
        <v>0</v>
      </c>
      <c r="FN894" s="140">
        <f t="shared" si="1318"/>
        <v>0</v>
      </c>
      <c r="FO894" s="140">
        <f t="shared" si="1318"/>
        <v>0</v>
      </c>
      <c r="FP894" s="140" t="e">
        <f t="shared" ref="FP894:GT894" si="1326">FP892+FP893</f>
        <v>#DIV/0!</v>
      </c>
      <c r="FQ894" s="140">
        <f t="shared" si="1326"/>
        <v>799.59323915985101</v>
      </c>
      <c r="FR894" s="140">
        <f t="shared" si="1326"/>
        <v>799.59323915985101</v>
      </c>
      <c r="FS894" s="140">
        <f t="shared" si="1326"/>
        <v>799.59323915985101</v>
      </c>
      <c r="FT894" s="140">
        <f t="shared" si="1326"/>
        <v>799.59323915985101</v>
      </c>
      <c r="FU894" s="140">
        <f t="shared" si="1326"/>
        <v>799.59323915985101</v>
      </c>
      <c r="FV894" s="140">
        <f t="shared" si="1326"/>
        <v>799.59323915985078</v>
      </c>
      <c r="FW894" s="140">
        <f t="shared" si="1326"/>
        <v>799.59323915985078</v>
      </c>
      <c r="FX894" s="140">
        <f t="shared" si="1326"/>
        <v>799.59323915985112</v>
      </c>
      <c r="FY894" s="140">
        <f t="shared" si="1326"/>
        <v>799.59323915985101</v>
      </c>
      <c r="FZ894" s="140">
        <f t="shared" si="1326"/>
        <v>799.59323915985112</v>
      </c>
      <c r="GA894" s="140">
        <f t="shared" si="1326"/>
        <v>799.59323915985112</v>
      </c>
      <c r="GB894" s="140">
        <f t="shared" si="1326"/>
        <v>799.59323915985078</v>
      </c>
      <c r="GC894" s="140">
        <f t="shared" si="1326"/>
        <v>799.59323915985078</v>
      </c>
      <c r="GD894" s="140">
        <f t="shared" si="1326"/>
        <v>799.59323915985101</v>
      </c>
      <c r="GE894" s="140">
        <f t="shared" si="1326"/>
        <v>799.59323915985135</v>
      </c>
      <c r="GF894" s="140">
        <f t="shared" si="1326"/>
        <v>799.59323915985101</v>
      </c>
      <c r="GG894" s="140">
        <f t="shared" si="1326"/>
        <v>799.59323915985078</v>
      </c>
      <c r="GH894" s="140">
        <f t="shared" si="1326"/>
        <v>799.59323915985078</v>
      </c>
      <c r="GI894" s="140">
        <f t="shared" si="1326"/>
        <v>799.59323915985146</v>
      </c>
      <c r="GJ894" s="140">
        <f t="shared" si="1326"/>
        <v>799.59323915985101</v>
      </c>
      <c r="GK894" s="140">
        <f t="shared" si="1326"/>
        <v>799.59323915985101</v>
      </c>
      <c r="GL894" s="140">
        <f t="shared" si="1326"/>
        <v>799.5932391598509</v>
      </c>
      <c r="GM894" s="140">
        <f t="shared" si="1326"/>
        <v>799.59323915985124</v>
      </c>
      <c r="GN894" s="140">
        <f t="shared" si="1326"/>
        <v>799.59323915985067</v>
      </c>
      <c r="GO894" s="140">
        <f t="shared" si="1326"/>
        <v>799.59323915985146</v>
      </c>
      <c r="GP894" s="140">
        <f t="shared" si="1326"/>
        <v>799.59323915985033</v>
      </c>
      <c r="GQ894" s="140">
        <f t="shared" si="1326"/>
        <v>799.59323915985146</v>
      </c>
      <c r="GR894" s="140">
        <f t="shared" si="1326"/>
        <v>799.59323915985055</v>
      </c>
      <c r="GS894" s="140">
        <f t="shared" si="1326"/>
        <v>799.59323915985124</v>
      </c>
      <c r="GT894" s="141">
        <f t="shared" si="1326"/>
        <v>799.59323915985124</v>
      </c>
      <c r="GU894" s="140"/>
      <c r="GV894" s="139"/>
      <c r="GW894" s="140">
        <f t="shared" si="1320"/>
        <v>0</v>
      </c>
      <c r="GX894" s="140">
        <f t="shared" si="1320"/>
        <v>0</v>
      </c>
      <c r="GY894" s="140">
        <f t="shared" si="1320"/>
        <v>0</v>
      </c>
      <c r="GZ894" s="140">
        <f t="shared" si="1320"/>
        <v>0</v>
      </c>
      <c r="HA894" s="140" t="e">
        <f t="shared" ref="HA894:IE894" si="1327">HA892+HA893</f>
        <v>#DIV/0!</v>
      </c>
      <c r="HB894" s="140">
        <f t="shared" si="1327"/>
        <v>716.78950457837823</v>
      </c>
      <c r="HC894" s="140">
        <f t="shared" si="1327"/>
        <v>716.78950457837823</v>
      </c>
      <c r="HD894" s="140">
        <f t="shared" si="1327"/>
        <v>716.78950457837846</v>
      </c>
      <c r="HE894" s="140">
        <f t="shared" si="1327"/>
        <v>716.78950457837823</v>
      </c>
      <c r="HF894" s="140">
        <f t="shared" si="1327"/>
        <v>716.78950457837846</v>
      </c>
      <c r="HG894" s="140">
        <f t="shared" si="1327"/>
        <v>716.78950457837846</v>
      </c>
      <c r="HH894" s="140">
        <f t="shared" si="1327"/>
        <v>716.78950457837823</v>
      </c>
      <c r="HI894" s="140">
        <f t="shared" si="1327"/>
        <v>716.78950457837811</v>
      </c>
      <c r="HJ894" s="140">
        <f t="shared" si="1327"/>
        <v>716.78950457837823</v>
      </c>
      <c r="HK894" s="140">
        <f t="shared" si="1327"/>
        <v>716.78950457837811</v>
      </c>
      <c r="HL894" s="140">
        <f t="shared" si="1327"/>
        <v>716.78950457837857</v>
      </c>
      <c r="HM894" s="140">
        <f t="shared" si="1327"/>
        <v>716.78950457837823</v>
      </c>
      <c r="HN894" s="140">
        <f t="shared" si="1327"/>
        <v>716.78950457837823</v>
      </c>
      <c r="HO894" s="140">
        <f t="shared" si="1327"/>
        <v>716.78950457837846</v>
      </c>
      <c r="HP894" s="140">
        <f t="shared" si="1327"/>
        <v>716.78950457837823</v>
      </c>
      <c r="HQ894" s="140">
        <f t="shared" si="1327"/>
        <v>716.789504578378</v>
      </c>
      <c r="HR894" s="140">
        <f t="shared" si="1327"/>
        <v>716.78950457837846</v>
      </c>
      <c r="HS894" s="140">
        <f t="shared" si="1327"/>
        <v>716.789504578378</v>
      </c>
      <c r="HT894" s="140">
        <f t="shared" si="1327"/>
        <v>716.78950457837823</v>
      </c>
      <c r="HU894" s="140">
        <f t="shared" si="1327"/>
        <v>716.78950457837789</v>
      </c>
      <c r="HV894" s="140">
        <f t="shared" si="1327"/>
        <v>716.78950457837823</v>
      </c>
      <c r="HW894" s="140">
        <f t="shared" si="1327"/>
        <v>716.78950457837846</v>
      </c>
      <c r="HX894" s="140">
        <f t="shared" si="1327"/>
        <v>716.78950457837777</v>
      </c>
      <c r="HY894" s="140">
        <f t="shared" si="1327"/>
        <v>716.78950457837857</v>
      </c>
      <c r="HZ894" s="140">
        <f t="shared" si="1327"/>
        <v>716.78950457837789</v>
      </c>
      <c r="IA894" s="140">
        <f t="shared" si="1327"/>
        <v>716.78950457837823</v>
      </c>
      <c r="IB894" s="140">
        <f t="shared" si="1327"/>
        <v>716.78950457837846</v>
      </c>
      <c r="IC894" s="140">
        <f t="shared" si="1327"/>
        <v>716.789504578378</v>
      </c>
      <c r="ID894" s="140">
        <f t="shared" si="1327"/>
        <v>716.78950457837857</v>
      </c>
      <c r="IE894" s="141">
        <f t="shared" si="1327"/>
        <v>716.78950457837789</v>
      </c>
      <c r="IF894" s="140"/>
      <c r="IG894" s="139"/>
      <c r="IH894" s="140"/>
      <c r="II894" s="140"/>
      <c r="IJ894" s="140"/>
      <c r="IK894" s="140"/>
      <c r="IL894" s="140"/>
      <c r="IM894" s="140"/>
      <c r="IN894" s="140"/>
      <c r="IO894" s="140"/>
      <c r="IP894" s="140"/>
      <c r="IQ894" s="140"/>
      <c r="IR894" s="140"/>
      <c r="IS894" s="140"/>
      <c r="IT894" s="140"/>
      <c r="IU894" s="140"/>
      <c r="IV894" s="140"/>
      <c r="IW894" s="140"/>
      <c r="IX894" s="140"/>
      <c r="IY894" s="140"/>
      <c r="IZ894" s="140"/>
      <c r="JA894" s="140"/>
      <c r="JB894" s="140"/>
      <c r="JC894" s="140"/>
      <c r="JD894" s="140"/>
      <c r="JE894" s="140"/>
      <c r="JF894" s="140"/>
      <c r="JG894" s="140"/>
      <c r="JH894" s="140"/>
      <c r="JI894" s="140"/>
      <c r="JJ894" s="140"/>
      <c r="JK894" s="140"/>
      <c r="JL894" s="140"/>
      <c r="JM894" s="140"/>
      <c r="JN894" s="140"/>
      <c r="JO894" s="140"/>
      <c r="JP894" s="141"/>
      <c r="JQ894" s="140"/>
      <c r="JR894" s="139"/>
      <c r="JS894" s="140"/>
      <c r="JT894" s="140"/>
      <c r="JU894" s="140"/>
      <c r="JV894" s="140"/>
      <c r="JW894" s="140"/>
      <c r="JX894" s="140"/>
      <c r="JY894" s="140"/>
      <c r="JZ894" s="140"/>
      <c r="KA894" s="140"/>
      <c r="KB894" s="140"/>
      <c r="KC894" s="140"/>
      <c r="KD894" s="140"/>
      <c r="KE894" s="140"/>
      <c r="KF894" s="140"/>
      <c r="KG894" s="140"/>
      <c r="KH894" s="140"/>
      <c r="KI894" s="140"/>
      <c r="KJ894" s="140"/>
      <c r="KK894" s="140"/>
      <c r="KL894" s="140"/>
      <c r="KM894" s="140"/>
      <c r="KN894" s="140"/>
      <c r="KO894" s="140"/>
      <c r="KP894" s="140"/>
      <c r="KQ894" s="140"/>
      <c r="KR894" s="140"/>
      <c r="KS894" s="140"/>
      <c r="KT894" s="140"/>
      <c r="KU894" s="140"/>
      <c r="KV894" s="140"/>
      <c r="KW894" s="140"/>
      <c r="KX894" s="140"/>
      <c r="KY894" s="140"/>
      <c r="KZ894" s="140"/>
      <c r="LA894" s="141"/>
      <c r="LB894" s="140"/>
      <c r="LC894" s="139"/>
      <c r="LD894" s="140"/>
      <c r="LE894" s="140"/>
      <c r="LF894" s="140"/>
      <c r="LG894" s="140"/>
      <c r="LH894" s="140"/>
      <c r="LI894" s="140"/>
      <c r="LJ894" s="140"/>
      <c r="LK894" s="140"/>
      <c r="LL894" s="140"/>
      <c r="LM894" s="140"/>
      <c r="LN894" s="140"/>
      <c r="LO894" s="140"/>
      <c r="LP894" s="140"/>
      <c r="LQ894" s="140"/>
      <c r="LR894" s="140"/>
      <c r="LS894" s="140"/>
      <c r="LT894" s="140"/>
      <c r="LU894" s="140"/>
      <c r="LV894" s="140"/>
      <c r="LW894" s="140"/>
      <c r="LX894" s="140"/>
      <c r="LY894" s="140"/>
      <c r="LZ894" s="140"/>
      <c r="MA894" s="140"/>
      <c r="MB894" s="140"/>
      <c r="MC894" s="140"/>
      <c r="MD894" s="140"/>
      <c r="ME894" s="140"/>
      <c r="MF894" s="140"/>
      <c r="MG894" s="140"/>
      <c r="MH894" s="140"/>
      <c r="MI894" s="140"/>
      <c r="MJ894" s="140"/>
      <c r="MK894" s="140"/>
      <c r="ML894" s="141"/>
    </row>
    <row r="895" spans="3:350" s="4" customFormat="1" ht="18" customHeight="1" x14ac:dyDescent="0.3">
      <c r="C895" s="204" t="s">
        <v>402</v>
      </c>
      <c r="E895" s="1" t="s">
        <v>393</v>
      </c>
      <c r="F895" s="138"/>
      <c r="H895" s="139">
        <v>24230.714146618422</v>
      </c>
      <c r="I895" s="140">
        <v>23513.200227948484</v>
      </c>
      <c r="J895" s="140">
        <v>23084.039535482203</v>
      </c>
      <c r="K895" s="140">
        <v>23255.327036874922</v>
      </c>
      <c r="L895" s="140">
        <v>23517.91590539764</v>
      </c>
      <c r="M895" s="140">
        <v>20487.89609865463</v>
      </c>
      <c r="N895" s="140">
        <v>20352.887503660579</v>
      </c>
      <c r="O895" s="140">
        <v>22523.183948624392</v>
      </c>
      <c r="P895" s="140">
        <v>23144.323234585718</v>
      </c>
      <c r="Q895" s="138"/>
      <c r="S895" s="245"/>
      <c r="T895" s="1"/>
      <c r="U895" s="1"/>
      <c r="V895" s="1"/>
      <c r="W895" s="1"/>
      <c r="X895" s="192">
        <f>$O895</f>
        <v>22523.183948624392</v>
      </c>
      <c r="Y895" s="192">
        <f t="shared" ref="Y895:BB895" si="1328">$O895</f>
        <v>22523.183948624392</v>
      </c>
      <c r="Z895" s="192">
        <f t="shared" si="1328"/>
        <v>22523.183948624392</v>
      </c>
      <c r="AA895" s="192">
        <f t="shared" si="1328"/>
        <v>22523.183948624392</v>
      </c>
      <c r="AB895" s="192">
        <f t="shared" si="1328"/>
        <v>22523.183948624392</v>
      </c>
      <c r="AC895" s="192">
        <f>$O895</f>
        <v>22523.183948624392</v>
      </c>
      <c r="AD895" s="192">
        <f t="shared" si="1328"/>
        <v>22523.183948624392</v>
      </c>
      <c r="AE895" s="192">
        <f t="shared" si="1328"/>
        <v>22523.183948624392</v>
      </c>
      <c r="AF895" s="192">
        <f t="shared" si="1328"/>
        <v>22523.183948624392</v>
      </c>
      <c r="AG895" s="192">
        <f t="shared" si="1328"/>
        <v>22523.183948624392</v>
      </c>
      <c r="AH895" s="192">
        <f t="shared" si="1328"/>
        <v>22523.183948624392</v>
      </c>
      <c r="AI895" s="192">
        <f t="shared" si="1328"/>
        <v>22523.183948624392</v>
      </c>
      <c r="AJ895" s="192">
        <f t="shared" si="1328"/>
        <v>22523.183948624392</v>
      </c>
      <c r="AK895" s="192">
        <f t="shared" si="1328"/>
        <v>22523.183948624392</v>
      </c>
      <c r="AL895" s="192">
        <f t="shared" si="1328"/>
        <v>22523.183948624392</v>
      </c>
      <c r="AM895" s="192">
        <f t="shared" si="1328"/>
        <v>22523.183948624392</v>
      </c>
      <c r="AN895" s="192">
        <f t="shared" si="1328"/>
        <v>22523.183948624392</v>
      </c>
      <c r="AO895" s="192">
        <f t="shared" si="1328"/>
        <v>22523.183948624392</v>
      </c>
      <c r="AP895" s="192">
        <f t="shared" si="1328"/>
        <v>22523.183948624392</v>
      </c>
      <c r="AQ895" s="192">
        <f t="shared" si="1328"/>
        <v>22523.183948624392</v>
      </c>
      <c r="AR895" s="192">
        <f t="shared" si="1328"/>
        <v>22523.183948624392</v>
      </c>
      <c r="AS895" s="192">
        <f t="shared" si="1328"/>
        <v>22523.183948624392</v>
      </c>
      <c r="AT895" s="192">
        <f t="shared" si="1328"/>
        <v>22523.183948624392</v>
      </c>
      <c r="AU895" s="192">
        <f t="shared" si="1328"/>
        <v>22523.183948624392</v>
      </c>
      <c r="AV895" s="192">
        <f t="shared" si="1328"/>
        <v>22523.183948624392</v>
      </c>
      <c r="AW895" s="192">
        <f t="shared" si="1328"/>
        <v>22523.183948624392</v>
      </c>
      <c r="AX895" s="192">
        <f t="shared" si="1328"/>
        <v>22523.183948624392</v>
      </c>
      <c r="AY895" s="192">
        <f t="shared" si="1328"/>
        <v>22523.183948624392</v>
      </c>
      <c r="AZ895" s="192">
        <f t="shared" si="1328"/>
        <v>22523.183948624392</v>
      </c>
      <c r="BA895" s="192">
        <f t="shared" si="1328"/>
        <v>22523.183948624392</v>
      </c>
      <c r="BB895" s="193">
        <f t="shared" si="1328"/>
        <v>22523.183948624392</v>
      </c>
      <c r="BD895" s="245"/>
      <c r="BE895" s="1"/>
      <c r="BF895" s="1"/>
      <c r="BG895" s="1"/>
      <c r="BH895" s="1"/>
      <c r="BI895" s="192">
        <f>$O895</f>
        <v>22523.183948624392</v>
      </c>
      <c r="BJ895" s="192">
        <f t="shared" ref="BJ895:CM895" si="1329">$O895</f>
        <v>22523.183948624392</v>
      </c>
      <c r="BK895" s="192">
        <f t="shared" si="1329"/>
        <v>22523.183948624392</v>
      </c>
      <c r="BL895" s="192">
        <f t="shared" si="1329"/>
        <v>22523.183948624392</v>
      </c>
      <c r="BM895" s="192">
        <f t="shared" si="1329"/>
        <v>22523.183948624392</v>
      </c>
      <c r="BN895" s="192">
        <f t="shared" si="1329"/>
        <v>22523.183948624392</v>
      </c>
      <c r="BO895" s="192">
        <f t="shared" si="1329"/>
        <v>22523.183948624392</v>
      </c>
      <c r="BP895" s="192">
        <f t="shared" si="1329"/>
        <v>22523.183948624392</v>
      </c>
      <c r="BQ895" s="192">
        <f t="shared" si="1329"/>
        <v>22523.183948624392</v>
      </c>
      <c r="BR895" s="192">
        <f t="shared" si="1329"/>
        <v>22523.183948624392</v>
      </c>
      <c r="BS895" s="192">
        <f t="shared" si="1329"/>
        <v>22523.183948624392</v>
      </c>
      <c r="BT895" s="192">
        <f t="shared" si="1329"/>
        <v>22523.183948624392</v>
      </c>
      <c r="BU895" s="192">
        <f t="shared" si="1329"/>
        <v>22523.183948624392</v>
      </c>
      <c r="BV895" s="192">
        <f t="shared" si="1329"/>
        <v>22523.183948624392</v>
      </c>
      <c r="BW895" s="192">
        <f t="shared" si="1329"/>
        <v>22523.183948624392</v>
      </c>
      <c r="BX895" s="192">
        <f t="shared" si="1329"/>
        <v>22523.183948624392</v>
      </c>
      <c r="BY895" s="192">
        <f t="shared" si="1329"/>
        <v>22523.183948624392</v>
      </c>
      <c r="BZ895" s="192">
        <f t="shared" si="1329"/>
        <v>22523.183948624392</v>
      </c>
      <c r="CA895" s="192">
        <f t="shared" si="1329"/>
        <v>22523.183948624392</v>
      </c>
      <c r="CB895" s="192">
        <f t="shared" si="1329"/>
        <v>22523.183948624392</v>
      </c>
      <c r="CC895" s="192">
        <f t="shared" si="1329"/>
        <v>22523.183948624392</v>
      </c>
      <c r="CD895" s="192">
        <f t="shared" si="1329"/>
        <v>22523.183948624392</v>
      </c>
      <c r="CE895" s="192">
        <f t="shared" si="1329"/>
        <v>22523.183948624392</v>
      </c>
      <c r="CF895" s="192">
        <f t="shared" si="1329"/>
        <v>22523.183948624392</v>
      </c>
      <c r="CG895" s="192">
        <f t="shared" si="1329"/>
        <v>22523.183948624392</v>
      </c>
      <c r="CH895" s="192">
        <f t="shared" si="1329"/>
        <v>22523.183948624392</v>
      </c>
      <c r="CI895" s="192">
        <f t="shared" si="1329"/>
        <v>22523.183948624392</v>
      </c>
      <c r="CJ895" s="192">
        <f t="shared" si="1329"/>
        <v>22523.183948624392</v>
      </c>
      <c r="CK895" s="192">
        <f t="shared" si="1329"/>
        <v>22523.183948624392</v>
      </c>
      <c r="CL895" s="192">
        <f t="shared" si="1329"/>
        <v>22523.183948624392</v>
      </c>
      <c r="CM895" s="193">
        <f t="shared" si="1329"/>
        <v>22523.183948624392</v>
      </c>
      <c r="CO895" s="245"/>
      <c r="CP895" s="1"/>
      <c r="CQ895" s="1"/>
      <c r="CR895" s="1"/>
      <c r="CS895" s="1"/>
      <c r="CT895" s="192">
        <f>$O895</f>
        <v>22523.183948624392</v>
      </c>
      <c r="CU895" s="192">
        <f t="shared" ref="CU895:DX895" si="1330">$O895</f>
        <v>22523.183948624392</v>
      </c>
      <c r="CV895" s="192">
        <f t="shared" si="1330"/>
        <v>22523.183948624392</v>
      </c>
      <c r="CW895" s="192">
        <f t="shared" si="1330"/>
        <v>22523.183948624392</v>
      </c>
      <c r="CX895" s="192">
        <f t="shared" si="1330"/>
        <v>22523.183948624392</v>
      </c>
      <c r="CY895" s="192">
        <f t="shared" si="1330"/>
        <v>22523.183948624392</v>
      </c>
      <c r="CZ895" s="192">
        <f t="shared" si="1330"/>
        <v>22523.183948624392</v>
      </c>
      <c r="DA895" s="192">
        <f t="shared" si="1330"/>
        <v>22523.183948624392</v>
      </c>
      <c r="DB895" s="192">
        <f t="shared" si="1330"/>
        <v>22523.183948624392</v>
      </c>
      <c r="DC895" s="192">
        <f t="shared" si="1330"/>
        <v>22523.183948624392</v>
      </c>
      <c r="DD895" s="192">
        <f t="shared" si="1330"/>
        <v>22523.183948624392</v>
      </c>
      <c r="DE895" s="192">
        <f t="shared" si="1330"/>
        <v>22523.183948624392</v>
      </c>
      <c r="DF895" s="192">
        <f t="shared" si="1330"/>
        <v>22523.183948624392</v>
      </c>
      <c r="DG895" s="192">
        <f t="shared" si="1330"/>
        <v>22523.183948624392</v>
      </c>
      <c r="DH895" s="192">
        <f t="shared" si="1330"/>
        <v>22523.183948624392</v>
      </c>
      <c r="DI895" s="192">
        <f t="shared" si="1330"/>
        <v>22523.183948624392</v>
      </c>
      <c r="DJ895" s="192">
        <f t="shared" si="1330"/>
        <v>22523.183948624392</v>
      </c>
      <c r="DK895" s="192">
        <f t="shared" si="1330"/>
        <v>22523.183948624392</v>
      </c>
      <c r="DL895" s="192">
        <f t="shared" si="1330"/>
        <v>22523.183948624392</v>
      </c>
      <c r="DM895" s="192">
        <f t="shared" si="1330"/>
        <v>22523.183948624392</v>
      </c>
      <c r="DN895" s="192">
        <f t="shared" si="1330"/>
        <v>22523.183948624392</v>
      </c>
      <c r="DO895" s="192">
        <f t="shared" si="1330"/>
        <v>22523.183948624392</v>
      </c>
      <c r="DP895" s="192">
        <f t="shared" si="1330"/>
        <v>22523.183948624392</v>
      </c>
      <c r="DQ895" s="192">
        <f t="shared" si="1330"/>
        <v>22523.183948624392</v>
      </c>
      <c r="DR895" s="192">
        <f t="shared" si="1330"/>
        <v>22523.183948624392</v>
      </c>
      <c r="DS895" s="192">
        <f t="shared" si="1330"/>
        <v>22523.183948624392</v>
      </c>
      <c r="DT895" s="192">
        <f t="shared" si="1330"/>
        <v>22523.183948624392</v>
      </c>
      <c r="DU895" s="192">
        <f t="shared" si="1330"/>
        <v>22523.183948624392</v>
      </c>
      <c r="DV895" s="192">
        <f t="shared" si="1330"/>
        <v>22523.183948624392</v>
      </c>
      <c r="DW895" s="192">
        <f t="shared" si="1330"/>
        <v>22523.183948624392</v>
      </c>
      <c r="DX895" s="193">
        <f t="shared" si="1330"/>
        <v>22523.183948624392</v>
      </c>
      <c r="DZ895" s="245"/>
      <c r="EA895" s="1"/>
      <c r="EB895" s="1"/>
      <c r="EC895" s="1"/>
      <c r="ED895" s="1"/>
      <c r="EE895" s="192">
        <f>$O895</f>
        <v>22523.183948624392</v>
      </c>
      <c r="EF895" s="192">
        <f t="shared" ref="EF895:FI895" si="1331">$O895</f>
        <v>22523.183948624392</v>
      </c>
      <c r="EG895" s="192">
        <f t="shared" si="1331"/>
        <v>22523.183948624392</v>
      </c>
      <c r="EH895" s="192">
        <f t="shared" si="1331"/>
        <v>22523.183948624392</v>
      </c>
      <c r="EI895" s="192">
        <f t="shared" si="1331"/>
        <v>22523.183948624392</v>
      </c>
      <c r="EJ895" s="192">
        <f t="shared" si="1331"/>
        <v>22523.183948624392</v>
      </c>
      <c r="EK895" s="192">
        <f t="shared" si="1331"/>
        <v>22523.183948624392</v>
      </c>
      <c r="EL895" s="192">
        <f t="shared" si="1331"/>
        <v>22523.183948624392</v>
      </c>
      <c r="EM895" s="192">
        <f t="shared" si="1331"/>
        <v>22523.183948624392</v>
      </c>
      <c r="EN895" s="192">
        <f t="shared" si="1331"/>
        <v>22523.183948624392</v>
      </c>
      <c r="EO895" s="192">
        <f t="shared" si="1331"/>
        <v>22523.183948624392</v>
      </c>
      <c r="EP895" s="192">
        <f t="shared" si="1331"/>
        <v>22523.183948624392</v>
      </c>
      <c r="EQ895" s="192">
        <f t="shared" si="1331"/>
        <v>22523.183948624392</v>
      </c>
      <c r="ER895" s="192">
        <f t="shared" si="1331"/>
        <v>22523.183948624392</v>
      </c>
      <c r="ES895" s="192">
        <f t="shared" si="1331"/>
        <v>22523.183948624392</v>
      </c>
      <c r="ET895" s="192">
        <f t="shared" si="1331"/>
        <v>22523.183948624392</v>
      </c>
      <c r="EU895" s="192">
        <f t="shared" si="1331"/>
        <v>22523.183948624392</v>
      </c>
      <c r="EV895" s="192">
        <f t="shared" si="1331"/>
        <v>22523.183948624392</v>
      </c>
      <c r="EW895" s="192">
        <f t="shared" si="1331"/>
        <v>22523.183948624392</v>
      </c>
      <c r="EX895" s="192">
        <f t="shared" si="1331"/>
        <v>22523.183948624392</v>
      </c>
      <c r="EY895" s="192">
        <f t="shared" si="1331"/>
        <v>22523.183948624392</v>
      </c>
      <c r="EZ895" s="192">
        <f t="shared" si="1331"/>
        <v>22523.183948624392</v>
      </c>
      <c r="FA895" s="192">
        <f t="shared" si="1331"/>
        <v>22523.183948624392</v>
      </c>
      <c r="FB895" s="192">
        <f t="shared" si="1331"/>
        <v>22523.183948624392</v>
      </c>
      <c r="FC895" s="192">
        <f t="shared" si="1331"/>
        <v>22523.183948624392</v>
      </c>
      <c r="FD895" s="192">
        <f t="shared" si="1331"/>
        <v>22523.183948624392</v>
      </c>
      <c r="FE895" s="192">
        <f t="shared" si="1331"/>
        <v>22523.183948624392</v>
      </c>
      <c r="FF895" s="192">
        <f t="shared" si="1331"/>
        <v>22523.183948624392</v>
      </c>
      <c r="FG895" s="192">
        <f t="shared" si="1331"/>
        <v>22523.183948624392</v>
      </c>
      <c r="FH895" s="192">
        <f t="shared" si="1331"/>
        <v>22523.183948624392</v>
      </c>
      <c r="FI895" s="193">
        <f t="shared" si="1331"/>
        <v>22523.183948624392</v>
      </c>
      <c r="FK895" s="245"/>
      <c r="FL895" s="1"/>
      <c r="FM895" s="1"/>
      <c r="FN895" s="1"/>
      <c r="FO895" s="1"/>
      <c r="FP895" s="192">
        <f>$O895</f>
        <v>22523.183948624392</v>
      </c>
      <c r="FQ895" s="192">
        <f t="shared" ref="FQ895:GT895" si="1332">$O895</f>
        <v>22523.183948624392</v>
      </c>
      <c r="FR895" s="192">
        <f t="shared" si="1332"/>
        <v>22523.183948624392</v>
      </c>
      <c r="FS895" s="192">
        <f t="shared" si="1332"/>
        <v>22523.183948624392</v>
      </c>
      <c r="FT895" s="192">
        <f t="shared" si="1332"/>
        <v>22523.183948624392</v>
      </c>
      <c r="FU895" s="192">
        <f t="shared" si="1332"/>
        <v>22523.183948624392</v>
      </c>
      <c r="FV895" s="192">
        <f t="shared" si="1332"/>
        <v>22523.183948624392</v>
      </c>
      <c r="FW895" s="192">
        <f t="shared" si="1332"/>
        <v>22523.183948624392</v>
      </c>
      <c r="FX895" s="192">
        <f t="shared" si="1332"/>
        <v>22523.183948624392</v>
      </c>
      <c r="FY895" s="192">
        <f t="shared" si="1332"/>
        <v>22523.183948624392</v>
      </c>
      <c r="FZ895" s="192">
        <f t="shared" si="1332"/>
        <v>22523.183948624392</v>
      </c>
      <c r="GA895" s="192">
        <f t="shared" si="1332"/>
        <v>22523.183948624392</v>
      </c>
      <c r="GB895" s="192">
        <f t="shared" si="1332"/>
        <v>22523.183948624392</v>
      </c>
      <c r="GC895" s="192">
        <f t="shared" si="1332"/>
        <v>22523.183948624392</v>
      </c>
      <c r="GD895" s="192">
        <f t="shared" si="1332"/>
        <v>22523.183948624392</v>
      </c>
      <c r="GE895" s="192">
        <f t="shared" si="1332"/>
        <v>22523.183948624392</v>
      </c>
      <c r="GF895" s="192">
        <f t="shared" si="1332"/>
        <v>22523.183948624392</v>
      </c>
      <c r="GG895" s="192">
        <f t="shared" si="1332"/>
        <v>22523.183948624392</v>
      </c>
      <c r="GH895" s="192">
        <f t="shared" si="1332"/>
        <v>22523.183948624392</v>
      </c>
      <c r="GI895" s="192">
        <f t="shared" si="1332"/>
        <v>22523.183948624392</v>
      </c>
      <c r="GJ895" s="192">
        <f t="shared" si="1332"/>
        <v>22523.183948624392</v>
      </c>
      <c r="GK895" s="192">
        <f t="shared" si="1332"/>
        <v>22523.183948624392</v>
      </c>
      <c r="GL895" s="192">
        <f t="shared" si="1332"/>
        <v>22523.183948624392</v>
      </c>
      <c r="GM895" s="192">
        <f t="shared" si="1332"/>
        <v>22523.183948624392</v>
      </c>
      <c r="GN895" s="192">
        <f t="shared" si="1332"/>
        <v>22523.183948624392</v>
      </c>
      <c r="GO895" s="192">
        <f t="shared" si="1332"/>
        <v>22523.183948624392</v>
      </c>
      <c r="GP895" s="192">
        <f t="shared" si="1332"/>
        <v>22523.183948624392</v>
      </c>
      <c r="GQ895" s="192">
        <f t="shared" si="1332"/>
        <v>22523.183948624392</v>
      </c>
      <c r="GR895" s="192">
        <f t="shared" si="1332"/>
        <v>22523.183948624392</v>
      </c>
      <c r="GS895" s="192">
        <f t="shared" si="1332"/>
        <v>22523.183948624392</v>
      </c>
      <c r="GT895" s="193">
        <f t="shared" si="1332"/>
        <v>22523.183948624392</v>
      </c>
      <c r="GV895" s="245"/>
      <c r="GW895" s="1"/>
      <c r="GX895" s="1"/>
      <c r="GY895" s="1"/>
      <c r="GZ895" s="1"/>
      <c r="HA895" s="192">
        <f>$O895</f>
        <v>22523.183948624392</v>
      </c>
      <c r="HB895" s="192">
        <f t="shared" ref="HB895:IE895" si="1333">$O895</f>
        <v>22523.183948624392</v>
      </c>
      <c r="HC895" s="192">
        <f t="shared" si="1333"/>
        <v>22523.183948624392</v>
      </c>
      <c r="HD895" s="192">
        <f t="shared" si="1333"/>
        <v>22523.183948624392</v>
      </c>
      <c r="HE895" s="192">
        <f t="shared" si="1333"/>
        <v>22523.183948624392</v>
      </c>
      <c r="HF895" s="192">
        <f t="shared" si="1333"/>
        <v>22523.183948624392</v>
      </c>
      <c r="HG895" s="192">
        <f t="shared" si="1333"/>
        <v>22523.183948624392</v>
      </c>
      <c r="HH895" s="192">
        <f t="shared" si="1333"/>
        <v>22523.183948624392</v>
      </c>
      <c r="HI895" s="192">
        <f t="shared" si="1333"/>
        <v>22523.183948624392</v>
      </c>
      <c r="HJ895" s="192">
        <f t="shared" si="1333"/>
        <v>22523.183948624392</v>
      </c>
      <c r="HK895" s="192">
        <f t="shared" si="1333"/>
        <v>22523.183948624392</v>
      </c>
      <c r="HL895" s="192">
        <f t="shared" si="1333"/>
        <v>22523.183948624392</v>
      </c>
      <c r="HM895" s="192">
        <f t="shared" si="1333"/>
        <v>22523.183948624392</v>
      </c>
      <c r="HN895" s="192">
        <f t="shared" si="1333"/>
        <v>22523.183948624392</v>
      </c>
      <c r="HO895" s="192">
        <f t="shared" si="1333"/>
        <v>22523.183948624392</v>
      </c>
      <c r="HP895" s="192">
        <f t="shared" si="1333"/>
        <v>22523.183948624392</v>
      </c>
      <c r="HQ895" s="192">
        <f t="shared" si="1333"/>
        <v>22523.183948624392</v>
      </c>
      <c r="HR895" s="192">
        <f t="shared" si="1333"/>
        <v>22523.183948624392</v>
      </c>
      <c r="HS895" s="192">
        <f t="shared" si="1333"/>
        <v>22523.183948624392</v>
      </c>
      <c r="HT895" s="192">
        <f t="shared" si="1333"/>
        <v>22523.183948624392</v>
      </c>
      <c r="HU895" s="192">
        <f t="shared" si="1333"/>
        <v>22523.183948624392</v>
      </c>
      <c r="HV895" s="192">
        <f t="shared" si="1333"/>
        <v>22523.183948624392</v>
      </c>
      <c r="HW895" s="192">
        <f t="shared" si="1333"/>
        <v>22523.183948624392</v>
      </c>
      <c r="HX895" s="192">
        <f t="shared" si="1333"/>
        <v>22523.183948624392</v>
      </c>
      <c r="HY895" s="192">
        <f t="shared" si="1333"/>
        <v>22523.183948624392</v>
      </c>
      <c r="HZ895" s="192">
        <f t="shared" si="1333"/>
        <v>22523.183948624392</v>
      </c>
      <c r="IA895" s="192">
        <f t="shared" si="1333"/>
        <v>22523.183948624392</v>
      </c>
      <c r="IB895" s="192">
        <f t="shared" si="1333"/>
        <v>22523.183948624392</v>
      </c>
      <c r="IC895" s="192">
        <f t="shared" si="1333"/>
        <v>22523.183948624392</v>
      </c>
      <c r="ID895" s="192">
        <f t="shared" si="1333"/>
        <v>22523.183948624392</v>
      </c>
      <c r="IE895" s="193">
        <f t="shared" si="1333"/>
        <v>22523.183948624392</v>
      </c>
      <c r="IG895" s="245"/>
      <c r="IH895" s="1"/>
      <c r="II895" s="1"/>
      <c r="IJ895" s="1"/>
      <c r="IK895" s="1"/>
      <c r="IL895" s="192">
        <f>$O895</f>
        <v>22523.183948624392</v>
      </c>
      <c r="IM895" s="192">
        <f t="shared" ref="IM895:JP895" si="1334">$O895</f>
        <v>22523.183948624392</v>
      </c>
      <c r="IN895" s="192">
        <f t="shared" si="1334"/>
        <v>22523.183948624392</v>
      </c>
      <c r="IO895" s="192">
        <f t="shared" si="1334"/>
        <v>22523.183948624392</v>
      </c>
      <c r="IP895" s="192">
        <f t="shared" si="1334"/>
        <v>22523.183948624392</v>
      </c>
      <c r="IQ895" s="192">
        <f t="shared" si="1334"/>
        <v>22523.183948624392</v>
      </c>
      <c r="IR895" s="192">
        <f t="shared" si="1334"/>
        <v>22523.183948624392</v>
      </c>
      <c r="IS895" s="192">
        <f t="shared" si="1334"/>
        <v>22523.183948624392</v>
      </c>
      <c r="IT895" s="192">
        <f t="shared" si="1334"/>
        <v>22523.183948624392</v>
      </c>
      <c r="IU895" s="192">
        <f t="shared" si="1334"/>
        <v>22523.183948624392</v>
      </c>
      <c r="IV895" s="192">
        <f t="shared" si="1334"/>
        <v>22523.183948624392</v>
      </c>
      <c r="IW895" s="192">
        <f t="shared" si="1334"/>
        <v>22523.183948624392</v>
      </c>
      <c r="IX895" s="192">
        <f t="shared" si="1334"/>
        <v>22523.183948624392</v>
      </c>
      <c r="IY895" s="192">
        <f t="shared" si="1334"/>
        <v>22523.183948624392</v>
      </c>
      <c r="IZ895" s="192">
        <f t="shared" si="1334"/>
        <v>22523.183948624392</v>
      </c>
      <c r="JA895" s="192">
        <f t="shared" si="1334"/>
        <v>22523.183948624392</v>
      </c>
      <c r="JB895" s="192">
        <f t="shared" si="1334"/>
        <v>22523.183948624392</v>
      </c>
      <c r="JC895" s="192">
        <f t="shared" si="1334"/>
        <v>22523.183948624392</v>
      </c>
      <c r="JD895" s="192">
        <f t="shared" si="1334"/>
        <v>22523.183948624392</v>
      </c>
      <c r="JE895" s="192">
        <f t="shared" si="1334"/>
        <v>22523.183948624392</v>
      </c>
      <c r="JF895" s="192">
        <f t="shared" si="1334"/>
        <v>22523.183948624392</v>
      </c>
      <c r="JG895" s="192">
        <f t="shared" si="1334"/>
        <v>22523.183948624392</v>
      </c>
      <c r="JH895" s="192">
        <f t="shared" si="1334"/>
        <v>22523.183948624392</v>
      </c>
      <c r="JI895" s="192">
        <f t="shared" si="1334"/>
        <v>22523.183948624392</v>
      </c>
      <c r="JJ895" s="192">
        <f t="shared" si="1334"/>
        <v>22523.183948624392</v>
      </c>
      <c r="JK895" s="192">
        <f t="shared" si="1334"/>
        <v>22523.183948624392</v>
      </c>
      <c r="JL895" s="192">
        <f t="shared" si="1334"/>
        <v>22523.183948624392</v>
      </c>
      <c r="JM895" s="192">
        <f t="shared" si="1334"/>
        <v>22523.183948624392</v>
      </c>
      <c r="JN895" s="192">
        <f t="shared" si="1334"/>
        <v>22523.183948624392</v>
      </c>
      <c r="JO895" s="192">
        <f t="shared" si="1334"/>
        <v>22523.183948624392</v>
      </c>
      <c r="JP895" s="193">
        <f t="shared" si="1334"/>
        <v>22523.183948624392</v>
      </c>
      <c r="JR895" s="245"/>
      <c r="JS895" s="1"/>
      <c r="JT895" s="1"/>
      <c r="JU895" s="1"/>
      <c r="JV895" s="1"/>
      <c r="JW895" s="192">
        <f>$O895</f>
        <v>22523.183948624392</v>
      </c>
      <c r="JX895" s="192">
        <f t="shared" ref="JX895:LA895" si="1335">$O895</f>
        <v>22523.183948624392</v>
      </c>
      <c r="JY895" s="192">
        <f t="shared" si="1335"/>
        <v>22523.183948624392</v>
      </c>
      <c r="JZ895" s="192">
        <f t="shared" si="1335"/>
        <v>22523.183948624392</v>
      </c>
      <c r="KA895" s="192">
        <f t="shared" si="1335"/>
        <v>22523.183948624392</v>
      </c>
      <c r="KB895" s="192">
        <f>$O895</f>
        <v>22523.183948624392</v>
      </c>
      <c r="KC895" s="192">
        <f t="shared" si="1335"/>
        <v>22523.183948624392</v>
      </c>
      <c r="KD895" s="192">
        <f t="shared" si="1335"/>
        <v>22523.183948624392</v>
      </c>
      <c r="KE895" s="192">
        <f t="shared" si="1335"/>
        <v>22523.183948624392</v>
      </c>
      <c r="KF895" s="192">
        <f t="shared" si="1335"/>
        <v>22523.183948624392</v>
      </c>
      <c r="KG895" s="192">
        <f>$O895</f>
        <v>22523.183948624392</v>
      </c>
      <c r="KH895" s="192">
        <f t="shared" si="1335"/>
        <v>22523.183948624392</v>
      </c>
      <c r="KI895" s="192">
        <f>$O895</f>
        <v>22523.183948624392</v>
      </c>
      <c r="KJ895" s="192">
        <f t="shared" si="1335"/>
        <v>22523.183948624392</v>
      </c>
      <c r="KK895" s="192">
        <f t="shared" si="1335"/>
        <v>22523.183948624392</v>
      </c>
      <c r="KL895" s="192">
        <f t="shared" si="1335"/>
        <v>22523.183948624392</v>
      </c>
      <c r="KM895" s="192">
        <f t="shared" si="1335"/>
        <v>22523.183948624392</v>
      </c>
      <c r="KN895" s="192">
        <f t="shared" si="1335"/>
        <v>22523.183948624392</v>
      </c>
      <c r="KO895" s="192">
        <f t="shared" si="1335"/>
        <v>22523.183948624392</v>
      </c>
      <c r="KP895" s="192">
        <f t="shared" si="1335"/>
        <v>22523.183948624392</v>
      </c>
      <c r="KQ895" s="192">
        <f t="shared" si="1335"/>
        <v>22523.183948624392</v>
      </c>
      <c r="KR895" s="192">
        <f t="shared" si="1335"/>
        <v>22523.183948624392</v>
      </c>
      <c r="KS895" s="192">
        <f t="shared" si="1335"/>
        <v>22523.183948624392</v>
      </c>
      <c r="KT895" s="192">
        <f t="shared" si="1335"/>
        <v>22523.183948624392</v>
      </c>
      <c r="KU895" s="192">
        <f t="shared" si="1335"/>
        <v>22523.183948624392</v>
      </c>
      <c r="KV895" s="192">
        <f t="shared" si="1335"/>
        <v>22523.183948624392</v>
      </c>
      <c r="KW895" s="192">
        <f t="shared" si="1335"/>
        <v>22523.183948624392</v>
      </c>
      <c r="KX895" s="192">
        <f t="shared" si="1335"/>
        <v>22523.183948624392</v>
      </c>
      <c r="KY895" s="192">
        <f t="shared" si="1335"/>
        <v>22523.183948624392</v>
      </c>
      <c r="KZ895" s="192">
        <f t="shared" si="1335"/>
        <v>22523.183948624392</v>
      </c>
      <c r="LA895" s="193">
        <f t="shared" si="1335"/>
        <v>22523.183948624392</v>
      </c>
      <c r="LC895" s="245"/>
      <c r="LD895" s="1"/>
      <c r="LE895" s="1"/>
      <c r="LF895" s="1"/>
      <c r="LG895" s="1"/>
      <c r="LH895" s="192">
        <f>$O895</f>
        <v>22523.183948624392</v>
      </c>
      <c r="LI895" s="192">
        <f t="shared" ref="LI895:ML895" si="1336">$O895</f>
        <v>22523.183948624392</v>
      </c>
      <c r="LJ895" s="192">
        <f t="shared" si="1336"/>
        <v>22523.183948624392</v>
      </c>
      <c r="LK895" s="192">
        <f t="shared" si="1336"/>
        <v>22523.183948624392</v>
      </c>
      <c r="LL895" s="192">
        <f t="shared" si="1336"/>
        <v>22523.183948624392</v>
      </c>
      <c r="LM895" s="192">
        <f t="shared" si="1336"/>
        <v>22523.183948624392</v>
      </c>
      <c r="LN895" s="192">
        <f t="shared" si="1336"/>
        <v>22523.183948624392</v>
      </c>
      <c r="LO895" s="192">
        <f t="shared" si="1336"/>
        <v>22523.183948624392</v>
      </c>
      <c r="LP895" s="192">
        <f t="shared" si="1336"/>
        <v>22523.183948624392</v>
      </c>
      <c r="LQ895" s="192">
        <f t="shared" si="1336"/>
        <v>22523.183948624392</v>
      </c>
      <c r="LR895" s="192">
        <f t="shared" si="1336"/>
        <v>22523.183948624392</v>
      </c>
      <c r="LS895" s="192">
        <f t="shared" si="1336"/>
        <v>22523.183948624392</v>
      </c>
      <c r="LT895" s="192">
        <f t="shared" si="1336"/>
        <v>22523.183948624392</v>
      </c>
      <c r="LU895" s="192">
        <f t="shared" si="1336"/>
        <v>22523.183948624392</v>
      </c>
      <c r="LV895" s="192">
        <f t="shared" si="1336"/>
        <v>22523.183948624392</v>
      </c>
      <c r="LW895" s="192">
        <f t="shared" si="1336"/>
        <v>22523.183948624392</v>
      </c>
      <c r="LX895" s="192">
        <f t="shared" si="1336"/>
        <v>22523.183948624392</v>
      </c>
      <c r="LY895" s="192">
        <f t="shared" si="1336"/>
        <v>22523.183948624392</v>
      </c>
      <c r="LZ895" s="192">
        <f t="shared" si="1336"/>
        <v>22523.183948624392</v>
      </c>
      <c r="MA895" s="192">
        <f t="shared" si="1336"/>
        <v>22523.183948624392</v>
      </c>
      <c r="MB895" s="192">
        <f t="shared" si="1336"/>
        <v>22523.183948624392</v>
      </c>
      <c r="MC895" s="192">
        <f t="shared" si="1336"/>
        <v>22523.183948624392</v>
      </c>
      <c r="MD895" s="192">
        <f t="shared" si="1336"/>
        <v>22523.183948624392</v>
      </c>
      <c r="ME895" s="192">
        <f t="shared" si="1336"/>
        <v>22523.183948624392</v>
      </c>
      <c r="MF895" s="192">
        <f t="shared" si="1336"/>
        <v>22523.183948624392</v>
      </c>
      <c r="MG895" s="192">
        <f t="shared" si="1336"/>
        <v>22523.183948624392</v>
      </c>
      <c r="MH895" s="192">
        <f t="shared" si="1336"/>
        <v>22523.183948624392</v>
      </c>
      <c r="MI895" s="192">
        <f t="shared" si="1336"/>
        <v>22523.183948624392</v>
      </c>
      <c r="MJ895" s="192">
        <f t="shared" si="1336"/>
        <v>22523.183948624392</v>
      </c>
      <c r="MK895" s="192">
        <f t="shared" si="1336"/>
        <v>22523.183948624392</v>
      </c>
      <c r="ML895" s="193">
        <f t="shared" si="1336"/>
        <v>22523.183948624392</v>
      </c>
    </row>
    <row r="896" spans="3:350" s="4" customFormat="1" ht="15" customHeight="1" x14ac:dyDescent="0.3">
      <c r="C896" s="156"/>
      <c r="D896" s="156"/>
      <c r="E896" s="156"/>
      <c r="F896" s="156"/>
      <c r="H896" s="157"/>
      <c r="I896" s="157"/>
      <c r="J896" s="157"/>
      <c r="K896" s="157"/>
      <c r="L896" s="157"/>
      <c r="M896" s="157"/>
      <c r="N896" s="157"/>
      <c r="O896" s="157"/>
      <c r="P896" s="157"/>
      <c r="Q896" s="157"/>
      <c r="R896" s="140"/>
      <c r="S896" s="157"/>
      <c r="T896" s="157"/>
      <c r="U896" s="157"/>
      <c r="V896" s="157"/>
      <c r="W896" s="157"/>
      <c r="X896" s="157"/>
      <c r="Y896" s="157"/>
      <c r="Z896" s="157"/>
      <c r="AA896" s="157"/>
      <c r="AB896" s="157"/>
      <c r="AC896" s="157"/>
      <c r="AD896" s="157"/>
      <c r="AE896" s="157"/>
      <c r="AF896" s="157"/>
      <c r="AG896" s="157"/>
      <c r="AH896" s="157"/>
      <c r="AI896" s="157"/>
      <c r="AJ896" s="157"/>
      <c r="AK896" s="157"/>
      <c r="AL896" s="157"/>
      <c r="AM896" s="157"/>
      <c r="AN896" s="157"/>
      <c r="AO896" s="157"/>
      <c r="AP896" s="157"/>
      <c r="AQ896" s="157"/>
      <c r="AR896" s="157"/>
      <c r="AS896" s="157"/>
      <c r="AT896" s="157"/>
      <c r="AU896" s="157"/>
      <c r="AV896" s="157"/>
      <c r="AW896" s="157"/>
      <c r="AX896" s="157"/>
      <c r="AY896" s="157"/>
      <c r="AZ896" s="157"/>
      <c r="BA896" s="157"/>
      <c r="BB896" s="157"/>
      <c r="BC896" s="140"/>
      <c r="BD896" s="157"/>
      <c r="BE896" s="157"/>
      <c r="BF896" s="157"/>
      <c r="BG896" s="157"/>
      <c r="BH896" s="157"/>
      <c r="BI896" s="157"/>
      <c r="BJ896" s="157"/>
      <c r="BK896" s="157"/>
      <c r="BL896" s="157"/>
      <c r="BM896" s="157"/>
      <c r="BN896" s="157"/>
      <c r="BO896" s="157"/>
      <c r="BP896" s="157"/>
      <c r="BQ896" s="157"/>
      <c r="BR896" s="157"/>
      <c r="BS896" s="157"/>
      <c r="BT896" s="157"/>
      <c r="BU896" s="157"/>
      <c r="BV896" s="157"/>
      <c r="BW896" s="157"/>
      <c r="BX896" s="157"/>
      <c r="BY896" s="157"/>
      <c r="BZ896" s="157"/>
      <c r="CA896" s="157"/>
      <c r="CB896" s="157"/>
      <c r="CC896" s="157"/>
      <c r="CD896" s="157"/>
      <c r="CE896" s="157"/>
      <c r="CF896" s="157"/>
      <c r="CG896" s="157"/>
      <c r="CH896" s="157"/>
      <c r="CI896" s="157"/>
      <c r="CJ896" s="157"/>
      <c r="CK896" s="157"/>
      <c r="CL896" s="157"/>
      <c r="CM896" s="157"/>
      <c r="CN896" s="140"/>
      <c r="CO896" s="157"/>
      <c r="CP896" s="157"/>
      <c r="CQ896" s="157"/>
      <c r="CR896" s="157"/>
      <c r="CS896" s="157"/>
      <c r="CT896" s="157"/>
      <c r="CU896" s="157"/>
      <c r="CV896" s="157"/>
      <c r="CW896" s="157"/>
      <c r="CX896" s="157"/>
      <c r="CY896" s="157"/>
      <c r="CZ896" s="157"/>
      <c r="DA896" s="157"/>
      <c r="DB896" s="157"/>
      <c r="DC896" s="157"/>
      <c r="DD896" s="157"/>
      <c r="DE896" s="157"/>
      <c r="DF896" s="157"/>
      <c r="DG896" s="157"/>
      <c r="DH896" s="157"/>
      <c r="DI896" s="157"/>
      <c r="DJ896" s="157"/>
      <c r="DK896" s="157"/>
      <c r="DL896" s="157"/>
      <c r="DM896" s="157"/>
      <c r="DN896" s="157"/>
      <c r="DO896" s="157"/>
      <c r="DP896" s="157"/>
      <c r="DQ896" s="157"/>
      <c r="DR896" s="157"/>
      <c r="DS896" s="157"/>
      <c r="DT896" s="157"/>
      <c r="DU896" s="157"/>
      <c r="DV896" s="157"/>
      <c r="DW896" s="157"/>
      <c r="DX896" s="157"/>
      <c r="DY896" s="140"/>
      <c r="DZ896" s="157"/>
      <c r="EA896" s="157"/>
      <c r="EB896" s="157"/>
      <c r="EC896" s="157"/>
      <c r="ED896" s="157"/>
      <c r="EE896" s="157"/>
      <c r="EF896" s="157"/>
      <c r="EG896" s="157"/>
      <c r="EH896" s="157"/>
      <c r="EI896" s="157"/>
      <c r="EJ896" s="157"/>
      <c r="EK896" s="157"/>
      <c r="EL896" s="157"/>
      <c r="EM896" s="157"/>
      <c r="EN896" s="157"/>
      <c r="EO896" s="157"/>
      <c r="EP896" s="157"/>
      <c r="EQ896" s="157"/>
      <c r="ER896" s="157"/>
      <c r="ES896" s="157"/>
      <c r="ET896" s="157"/>
      <c r="EU896" s="157"/>
      <c r="EV896" s="157"/>
      <c r="EW896" s="157"/>
      <c r="EX896" s="157"/>
      <c r="EY896" s="157"/>
      <c r="EZ896" s="157"/>
      <c r="FA896" s="157"/>
      <c r="FB896" s="157"/>
      <c r="FC896" s="157"/>
      <c r="FD896" s="157"/>
      <c r="FE896" s="157"/>
      <c r="FF896" s="157"/>
      <c r="FG896" s="157"/>
      <c r="FH896" s="157"/>
      <c r="FI896" s="157"/>
      <c r="FJ896" s="140"/>
      <c r="FK896" s="157"/>
      <c r="FL896" s="157"/>
      <c r="FM896" s="157"/>
      <c r="FN896" s="157"/>
      <c r="FO896" s="157"/>
      <c r="FP896" s="157"/>
      <c r="FQ896" s="157"/>
      <c r="FR896" s="157"/>
      <c r="FS896" s="157"/>
      <c r="FT896" s="157"/>
      <c r="FU896" s="157"/>
      <c r="FV896" s="157"/>
      <c r="FW896" s="157"/>
      <c r="FX896" s="157"/>
      <c r="FY896" s="157"/>
      <c r="FZ896" s="157"/>
      <c r="GA896" s="157"/>
      <c r="GB896" s="157"/>
      <c r="GC896" s="157"/>
      <c r="GD896" s="157"/>
      <c r="GE896" s="157"/>
      <c r="GF896" s="157"/>
      <c r="GG896" s="157"/>
      <c r="GH896" s="157"/>
      <c r="GI896" s="157"/>
      <c r="GJ896" s="157"/>
      <c r="GK896" s="157"/>
      <c r="GL896" s="157"/>
      <c r="GM896" s="157"/>
      <c r="GN896" s="157"/>
      <c r="GO896" s="157"/>
      <c r="GP896" s="157"/>
      <c r="GQ896" s="157"/>
      <c r="GR896" s="157"/>
      <c r="GS896" s="157"/>
      <c r="GT896" s="157"/>
      <c r="GU896" s="140"/>
      <c r="GV896" s="157"/>
      <c r="GW896" s="157"/>
      <c r="GX896" s="157"/>
      <c r="GY896" s="157"/>
      <c r="GZ896" s="157"/>
      <c r="HA896" s="157"/>
      <c r="HB896" s="157"/>
      <c r="HC896" s="157"/>
      <c r="HD896" s="157"/>
      <c r="HE896" s="157"/>
      <c r="HF896" s="157"/>
      <c r="HG896" s="157"/>
      <c r="HH896" s="157"/>
      <c r="HI896" s="157"/>
      <c r="HJ896" s="157"/>
      <c r="HK896" s="157"/>
      <c r="HL896" s="157"/>
      <c r="HM896" s="157"/>
      <c r="HN896" s="157"/>
      <c r="HO896" s="157"/>
      <c r="HP896" s="157"/>
      <c r="HQ896" s="157"/>
      <c r="HR896" s="157"/>
      <c r="HS896" s="157"/>
      <c r="HT896" s="157"/>
      <c r="HU896" s="157"/>
      <c r="HV896" s="157"/>
      <c r="HW896" s="157"/>
      <c r="HX896" s="157"/>
      <c r="HY896" s="157"/>
      <c r="HZ896" s="157"/>
      <c r="IA896" s="157"/>
      <c r="IB896" s="157"/>
      <c r="IC896" s="157"/>
      <c r="ID896" s="157"/>
      <c r="IE896" s="157"/>
      <c r="IF896" s="140"/>
      <c r="IG896" s="157"/>
      <c r="IH896" s="157"/>
      <c r="II896" s="157"/>
      <c r="IJ896" s="157"/>
      <c r="IK896" s="157"/>
      <c r="IL896" s="157"/>
      <c r="IM896" s="157"/>
      <c r="IN896" s="157"/>
      <c r="IO896" s="157"/>
      <c r="IP896" s="157"/>
      <c r="IQ896" s="157"/>
      <c r="IR896" s="157"/>
      <c r="IS896" s="157"/>
      <c r="IT896" s="157"/>
      <c r="IU896" s="157"/>
      <c r="IV896" s="157"/>
      <c r="IW896" s="157"/>
      <c r="IX896" s="157"/>
      <c r="IY896" s="157"/>
      <c r="IZ896" s="157"/>
      <c r="JA896" s="157"/>
      <c r="JB896" s="157"/>
      <c r="JC896" s="157"/>
      <c r="JD896" s="157"/>
      <c r="JE896" s="157"/>
      <c r="JF896" s="157"/>
      <c r="JG896" s="157"/>
      <c r="JH896" s="157"/>
      <c r="JI896" s="157"/>
      <c r="JJ896" s="157"/>
      <c r="JK896" s="157"/>
      <c r="JL896" s="157"/>
      <c r="JM896" s="157"/>
      <c r="JN896" s="157"/>
      <c r="JO896" s="157"/>
      <c r="JP896" s="157"/>
      <c r="JQ896" s="140"/>
      <c r="JR896" s="157"/>
      <c r="JS896" s="157"/>
      <c r="JT896" s="157"/>
      <c r="JU896" s="157"/>
      <c r="JV896" s="157"/>
      <c r="JW896" s="157"/>
      <c r="JX896" s="157"/>
      <c r="JY896" s="157"/>
      <c r="JZ896" s="157"/>
      <c r="KA896" s="157"/>
      <c r="KB896" s="157"/>
      <c r="KC896" s="157"/>
      <c r="KD896" s="157"/>
      <c r="KE896" s="157"/>
      <c r="KF896" s="157"/>
      <c r="KG896" s="157"/>
      <c r="KH896" s="157"/>
      <c r="KI896" s="157"/>
      <c r="KJ896" s="157"/>
      <c r="KK896" s="157"/>
      <c r="KL896" s="157"/>
      <c r="KM896" s="157"/>
      <c r="KN896" s="157"/>
      <c r="KO896" s="157"/>
      <c r="KP896" s="157"/>
      <c r="KQ896" s="157"/>
      <c r="KR896" s="157"/>
      <c r="KS896" s="157"/>
      <c r="KT896" s="157"/>
      <c r="KU896" s="157"/>
      <c r="KV896" s="157"/>
      <c r="KW896" s="157"/>
      <c r="KX896" s="157"/>
      <c r="KY896" s="157"/>
      <c r="KZ896" s="157"/>
      <c r="LA896" s="157"/>
      <c r="LB896" s="140"/>
      <c r="LC896" s="157"/>
      <c r="LD896" s="157"/>
      <c r="LE896" s="157"/>
      <c r="LF896" s="157"/>
      <c r="LG896" s="157"/>
      <c r="LH896" s="157"/>
      <c r="LI896" s="157"/>
      <c r="LJ896" s="157"/>
      <c r="LK896" s="157"/>
      <c r="LL896" s="157"/>
      <c r="LM896" s="157"/>
      <c r="LN896" s="157"/>
      <c r="LO896" s="157"/>
      <c r="LP896" s="157"/>
      <c r="LQ896" s="157"/>
      <c r="LR896" s="157"/>
      <c r="LS896" s="157"/>
      <c r="LT896" s="157"/>
      <c r="LU896" s="157"/>
      <c r="LV896" s="157"/>
      <c r="LW896" s="157"/>
      <c r="LX896" s="157"/>
      <c r="LY896" s="157"/>
      <c r="LZ896" s="157"/>
      <c r="MA896" s="157"/>
      <c r="MB896" s="157"/>
      <c r="MC896" s="157"/>
      <c r="MD896" s="157"/>
      <c r="ME896" s="157"/>
      <c r="MF896" s="157"/>
      <c r="MG896" s="157"/>
      <c r="MH896" s="157"/>
      <c r="MI896" s="157"/>
      <c r="MJ896" s="157"/>
      <c r="MK896" s="157"/>
      <c r="ML896" s="157"/>
    </row>
    <row r="897" spans="3:350" s="4" customFormat="1" ht="15" customHeight="1" x14ac:dyDescent="0.3">
      <c r="C897" s="159" t="s">
        <v>403</v>
      </c>
      <c r="D897" s="159"/>
      <c r="E897" s="159"/>
      <c r="F897" s="159"/>
      <c r="H897" s="140"/>
      <c r="I897" s="140"/>
      <c r="J897" s="140"/>
      <c r="K897" s="140"/>
      <c r="L897" s="140"/>
      <c r="M897" s="140"/>
      <c r="N897" s="140"/>
      <c r="O897" s="140"/>
      <c r="P897" s="140"/>
      <c r="Q897" s="140"/>
      <c r="R897" s="140"/>
      <c r="S897" s="140"/>
      <c r="T897" s="140"/>
      <c r="U897" s="140"/>
      <c r="V897" s="140"/>
      <c r="W897" s="140"/>
      <c r="X897" s="140"/>
      <c r="Y897" s="140"/>
      <c r="Z897" s="140"/>
      <c r="AA897" s="140"/>
      <c r="AB897" s="140"/>
      <c r="AC897" s="140"/>
      <c r="AD897" s="140"/>
      <c r="AE897" s="140"/>
      <c r="AF897" s="140"/>
      <c r="AG897" s="140"/>
      <c r="AH897" s="140"/>
      <c r="AI897" s="140"/>
      <c r="AJ897" s="140"/>
      <c r="AK897" s="140"/>
      <c r="AL897" s="140"/>
      <c r="AM897" s="140"/>
      <c r="AN897" s="140"/>
      <c r="AO897" s="140"/>
      <c r="AP897" s="140"/>
      <c r="AQ897" s="140"/>
      <c r="AR897" s="140"/>
      <c r="AS897" s="140"/>
      <c r="AT897" s="140"/>
      <c r="AU897" s="140"/>
      <c r="AV897" s="140"/>
      <c r="AW897" s="140"/>
      <c r="AX897" s="140"/>
      <c r="AY897" s="140"/>
      <c r="AZ897" s="140"/>
      <c r="BA897" s="140"/>
      <c r="BB897" s="140"/>
      <c r="BC897" s="140"/>
      <c r="BD897" s="140"/>
      <c r="BE897" s="140"/>
      <c r="BF897" s="140"/>
      <c r="BG897" s="140"/>
      <c r="BH897" s="140"/>
      <c r="BI897" s="140"/>
      <c r="BJ897" s="140"/>
      <c r="BK897" s="140"/>
      <c r="BL897" s="140"/>
      <c r="BM897" s="140"/>
      <c r="BN897" s="140"/>
      <c r="BO897" s="140"/>
      <c r="BP897" s="140"/>
      <c r="BQ897" s="140"/>
      <c r="BR897" s="140"/>
      <c r="BS897" s="140"/>
      <c r="BT897" s="140"/>
      <c r="BU897" s="140"/>
      <c r="BV897" s="140"/>
      <c r="BW897" s="140"/>
      <c r="BX897" s="140"/>
      <c r="BY897" s="140"/>
      <c r="BZ897" s="140"/>
      <c r="CA897" s="140"/>
      <c r="CB897" s="140"/>
      <c r="CC897" s="140"/>
      <c r="CD897" s="140"/>
      <c r="CE897" s="140"/>
      <c r="CF897" s="140"/>
      <c r="CG897" s="140"/>
      <c r="CH897" s="140"/>
      <c r="CI897" s="140"/>
      <c r="CJ897" s="140"/>
      <c r="CK897" s="140"/>
      <c r="CL897" s="140"/>
      <c r="CM897" s="140"/>
      <c r="CN897" s="140"/>
      <c r="CO897" s="140"/>
      <c r="CP897" s="140"/>
      <c r="CQ897" s="140"/>
      <c r="CR897" s="140"/>
      <c r="CS897" s="140"/>
      <c r="CT897" s="140"/>
      <c r="CU897" s="140"/>
      <c r="CV897" s="140"/>
      <c r="CW897" s="140"/>
      <c r="CX897" s="140"/>
      <c r="CY897" s="140"/>
      <c r="CZ897" s="140"/>
      <c r="DA897" s="140"/>
      <c r="DB897" s="140"/>
      <c r="DC897" s="140"/>
      <c r="DD897" s="140"/>
      <c r="DE897" s="140"/>
      <c r="DF897" s="140"/>
      <c r="DG897" s="140"/>
      <c r="DH897" s="140"/>
      <c r="DI897" s="140"/>
      <c r="DJ897" s="140"/>
      <c r="DK897" s="140"/>
      <c r="DL897" s="140"/>
      <c r="DM897" s="140"/>
      <c r="DN897" s="140"/>
      <c r="DO897" s="140"/>
      <c r="DP897" s="140"/>
      <c r="DQ897" s="140"/>
      <c r="DR897" s="140"/>
      <c r="DS897" s="140"/>
      <c r="DT897" s="140"/>
      <c r="DU897" s="140"/>
      <c r="DV897" s="140"/>
      <c r="DW897" s="140"/>
      <c r="DX897" s="140"/>
      <c r="DY897" s="140"/>
      <c r="DZ897" s="140"/>
      <c r="EA897" s="140"/>
      <c r="EB897" s="140"/>
      <c r="EC897" s="140"/>
      <c r="ED897" s="140"/>
      <c r="EE897" s="140"/>
      <c r="EF897" s="140"/>
      <c r="EG897" s="140"/>
      <c r="EH897" s="140"/>
      <c r="EI897" s="140"/>
      <c r="EJ897" s="140"/>
      <c r="EK897" s="140"/>
      <c r="EL897" s="140"/>
      <c r="EM897" s="140"/>
      <c r="EN897" s="140"/>
      <c r="EO897" s="140"/>
      <c r="EP897" s="140"/>
      <c r="EQ897" s="140"/>
      <c r="ER897" s="140"/>
      <c r="ES897" s="140"/>
      <c r="ET897" s="140"/>
      <c r="EU897" s="140"/>
      <c r="EV897" s="140"/>
      <c r="EW897" s="140"/>
      <c r="EX897" s="140"/>
      <c r="EY897" s="140"/>
      <c r="EZ897" s="140"/>
      <c r="FA897" s="140"/>
      <c r="FB897" s="140"/>
      <c r="FC897" s="140"/>
      <c r="FD897" s="140"/>
      <c r="FE897" s="140"/>
      <c r="FF897" s="140"/>
      <c r="FG897" s="140"/>
      <c r="FH897" s="140"/>
      <c r="FI897" s="140"/>
      <c r="FJ897" s="140"/>
      <c r="FK897" s="140"/>
      <c r="FL897" s="140"/>
      <c r="FM897" s="140"/>
      <c r="FN897" s="140"/>
      <c r="FO897" s="140"/>
      <c r="FP897" s="140"/>
      <c r="FQ897" s="140"/>
      <c r="FR897" s="140"/>
      <c r="FS897" s="140"/>
      <c r="FT897" s="140"/>
      <c r="FU897" s="140"/>
      <c r="FV897" s="140"/>
      <c r="FW897" s="140"/>
      <c r="FX897" s="140"/>
      <c r="FY897" s="140"/>
      <c r="FZ897" s="140"/>
      <c r="GA897" s="140"/>
      <c r="GB897" s="140"/>
      <c r="GC897" s="140"/>
      <c r="GD897" s="140"/>
      <c r="GE897" s="140"/>
      <c r="GF897" s="140"/>
      <c r="GG897" s="140"/>
      <c r="GH897" s="140"/>
      <c r="GI897" s="140"/>
      <c r="GJ897" s="140"/>
      <c r="GK897" s="140"/>
      <c r="GL897" s="140"/>
      <c r="GM897" s="140"/>
      <c r="GN897" s="140"/>
      <c r="GO897" s="140"/>
      <c r="GP897" s="140"/>
      <c r="GQ897" s="140"/>
      <c r="GR897" s="140"/>
      <c r="GS897" s="140"/>
      <c r="GT897" s="140"/>
      <c r="GU897" s="140"/>
      <c r="GV897" s="140"/>
      <c r="GW897" s="140"/>
      <c r="GX897" s="140"/>
      <c r="GY897" s="140"/>
      <c r="GZ897" s="140"/>
      <c r="HA897" s="140"/>
      <c r="HB897" s="140"/>
      <c r="HC897" s="140"/>
      <c r="HD897" s="140"/>
      <c r="HE897" s="140"/>
      <c r="HF897" s="140"/>
      <c r="HG897" s="140"/>
      <c r="HH897" s="140"/>
      <c r="HI897" s="140"/>
      <c r="HJ897" s="140"/>
      <c r="HK897" s="140"/>
      <c r="HL897" s="140"/>
      <c r="HM897" s="140"/>
      <c r="HN897" s="140"/>
      <c r="HO897" s="140"/>
      <c r="HP897" s="140"/>
      <c r="HQ897" s="140"/>
      <c r="HR897" s="140"/>
      <c r="HS897" s="140"/>
      <c r="HT897" s="140"/>
      <c r="HU897" s="140"/>
      <c r="HV897" s="140"/>
      <c r="HW897" s="140"/>
      <c r="HX897" s="140"/>
      <c r="HY897" s="140"/>
      <c r="HZ897" s="140"/>
      <c r="IA897" s="140"/>
      <c r="IB897" s="140"/>
      <c r="IC897" s="140"/>
      <c r="ID897" s="140"/>
      <c r="IE897" s="140"/>
      <c r="IF897" s="140"/>
      <c r="IG897" s="140"/>
      <c r="IH897" s="140"/>
      <c r="II897" s="140"/>
      <c r="IJ897" s="140"/>
      <c r="IK897" s="140"/>
      <c r="IL897" s="140"/>
      <c r="IM897" s="140"/>
      <c r="IN897" s="140"/>
      <c r="IO897" s="140"/>
      <c r="IP897" s="140"/>
      <c r="IQ897" s="140"/>
      <c r="IR897" s="140"/>
      <c r="IS897" s="140"/>
      <c r="IT897" s="140"/>
      <c r="IU897" s="140"/>
      <c r="IV897" s="140"/>
      <c r="IW897" s="140"/>
      <c r="IX897" s="140"/>
      <c r="IY897" s="140"/>
      <c r="IZ897" s="140"/>
      <c r="JA897" s="140"/>
      <c r="JB897" s="140"/>
      <c r="JC897" s="140"/>
      <c r="JD897" s="140"/>
      <c r="JE897" s="140"/>
      <c r="JF897" s="140"/>
      <c r="JG897" s="140"/>
      <c r="JH897" s="140"/>
      <c r="JI897" s="140"/>
      <c r="JJ897" s="140"/>
      <c r="JK897" s="140"/>
      <c r="JL897" s="140"/>
      <c r="JM897" s="140"/>
      <c r="JN897" s="140"/>
      <c r="JO897" s="140"/>
      <c r="JP897" s="140"/>
      <c r="JQ897" s="140"/>
      <c r="JR897" s="140"/>
      <c r="JS897" s="140"/>
      <c r="JT897" s="140"/>
      <c r="JU897" s="140"/>
      <c r="JV897" s="140"/>
      <c r="JW897" s="140"/>
      <c r="JX897" s="140"/>
      <c r="JY897" s="140"/>
      <c r="JZ897" s="140"/>
      <c r="KA897" s="140"/>
      <c r="KB897" s="140"/>
      <c r="KC897" s="140"/>
      <c r="KD897" s="140"/>
      <c r="KE897" s="140"/>
      <c r="KF897" s="140"/>
      <c r="KG897" s="140"/>
      <c r="KH897" s="140"/>
      <c r="KI897" s="140"/>
      <c r="KJ897" s="140"/>
      <c r="KK897" s="140"/>
      <c r="KL897" s="140"/>
      <c r="KM897" s="140"/>
      <c r="KN897" s="140"/>
      <c r="KO897" s="140"/>
      <c r="KP897" s="140"/>
      <c r="KQ897" s="140"/>
      <c r="KR897" s="140"/>
      <c r="KS897" s="140"/>
      <c r="KT897" s="140"/>
      <c r="KU897" s="140"/>
      <c r="KV897" s="140"/>
      <c r="KW897" s="140"/>
      <c r="KX897" s="140"/>
      <c r="KY897" s="140"/>
      <c r="KZ897" s="140"/>
      <c r="LA897" s="140"/>
      <c r="LB897" s="140"/>
      <c r="LC897" s="140"/>
      <c r="LD897" s="140"/>
      <c r="LE897" s="140"/>
      <c r="LF897" s="140"/>
      <c r="LG897" s="140"/>
      <c r="LH897" s="140"/>
      <c r="LI897" s="140"/>
      <c r="LJ897" s="140"/>
      <c r="LK897" s="140"/>
      <c r="LL897" s="140"/>
      <c r="LM897" s="140"/>
      <c r="LN897" s="140"/>
      <c r="LO897" s="140"/>
      <c r="LP897" s="140"/>
      <c r="LQ897" s="140"/>
      <c r="LR897" s="140"/>
      <c r="LS897" s="140"/>
      <c r="LT897" s="140"/>
      <c r="LU897" s="140"/>
      <c r="LV897" s="140"/>
      <c r="LW897" s="140"/>
      <c r="LX897" s="140"/>
      <c r="LY897" s="140"/>
      <c r="LZ897" s="140"/>
      <c r="MA897" s="140"/>
      <c r="MB897" s="140"/>
      <c r="MC897" s="140"/>
      <c r="MD897" s="140"/>
      <c r="ME897" s="140"/>
      <c r="MF897" s="140"/>
      <c r="MG897" s="140"/>
      <c r="MH897" s="140"/>
      <c r="MI897" s="140"/>
      <c r="MJ897" s="140"/>
      <c r="MK897" s="140"/>
      <c r="ML897" s="140"/>
    </row>
    <row r="898" spans="3:350" s="4" customFormat="1" ht="15" customHeight="1" x14ac:dyDescent="0.3">
      <c r="C898" s="159" t="s">
        <v>404</v>
      </c>
      <c r="D898" s="159"/>
      <c r="E898" s="159"/>
      <c r="F898" s="159"/>
      <c r="H898" s="140"/>
      <c r="I898" s="140"/>
      <c r="J898" s="140"/>
      <c r="K898" s="140"/>
      <c r="L898" s="140"/>
      <c r="M898" s="140"/>
      <c r="N898" s="140"/>
      <c r="O898" s="140"/>
      <c r="P898" s="140"/>
      <c r="Q898" s="140"/>
      <c r="R898" s="140"/>
      <c r="S898" s="140"/>
      <c r="T898" s="140"/>
      <c r="U898" s="140"/>
      <c r="V898" s="140"/>
      <c r="W898" s="140"/>
      <c r="X898" s="140"/>
      <c r="Y898" s="140"/>
      <c r="Z898" s="140"/>
      <c r="AA898" s="140"/>
      <c r="AB898" s="140"/>
      <c r="AC898" s="140"/>
      <c r="AD898" s="140"/>
      <c r="AE898" s="140"/>
      <c r="AF898" s="140"/>
      <c r="AG898" s="140"/>
      <c r="AH898" s="140"/>
      <c r="AI898" s="140"/>
      <c r="AJ898" s="140"/>
      <c r="AK898" s="140"/>
      <c r="AL898" s="140"/>
      <c r="AM898" s="140"/>
      <c r="AN898" s="140"/>
      <c r="AO898" s="140"/>
      <c r="AP898" s="140"/>
      <c r="AQ898" s="140"/>
      <c r="AR898" s="140"/>
      <c r="AS898" s="140"/>
      <c r="AT898" s="140"/>
      <c r="AU898" s="140"/>
      <c r="AV898" s="140"/>
      <c r="AW898" s="140"/>
      <c r="AX898" s="140"/>
      <c r="AY898" s="140"/>
      <c r="AZ898" s="140"/>
      <c r="BA898" s="140"/>
      <c r="BB898" s="140"/>
      <c r="BC898" s="140"/>
      <c r="BD898" s="140"/>
      <c r="BE898" s="140"/>
      <c r="BF898" s="140"/>
      <c r="BG898" s="140"/>
      <c r="BH898" s="140"/>
      <c r="BI898" s="140"/>
      <c r="BJ898" s="140"/>
      <c r="BK898" s="140"/>
      <c r="BL898" s="140"/>
      <c r="BM898" s="140"/>
      <c r="BN898" s="140"/>
      <c r="BO898" s="140"/>
      <c r="BP898" s="140"/>
      <c r="BQ898" s="140"/>
      <c r="BR898" s="140"/>
      <c r="BS898" s="140"/>
      <c r="BT898" s="140"/>
      <c r="BU898" s="140"/>
      <c r="BV898" s="140"/>
      <c r="BW898" s="140"/>
      <c r="BX898" s="140"/>
      <c r="BY898" s="140"/>
      <c r="BZ898" s="140"/>
      <c r="CA898" s="140"/>
      <c r="CB898" s="140"/>
      <c r="CC898" s="140"/>
      <c r="CD898" s="140"/>
      <c r="CE898" s="140"/>
      <c r="CF898" s="140"/>
      <c r="CG898" s="140"/>
      <c r="CH898" s="140"/>
      <c r="CI898" s="140"/>
      <c r="CJ898" s="140"/>
      <c r="CK898" s="140"/>
      <c r="CL898" s="140"/>
      <c r="CM898" s="140"/>
      <c r="CN898" s="140"/>
      <c r="CO898" s="140"/>
      <c r="CP898" s="140"/>
      <c r="CQ898" s="140"/>
      <c r="CR898" s="140"/>
      <c r="CS898" s="140"/>
      <c r="CT898" s="140"/>
      <c r="CU898" s="140"/>
      <c r="CV898" s="140"/>
      <c r="CW898" s="140"/>
      <c r="CX898" s="140"/>
      <c r="CY898" s="140"/>
      <c r="CZ898" s="140"/>
      <c r="DA898" s="140"/>
      <c r="DB898" s="140"/>
      <c r="DC898" s="140"/>
      <c r="DD898" s="140"/>
      <c r="DE898" s="140"/>
      <c r="DF898" s="140"/>
      <c r="DG898" s="140"/>
      <c r="DH898" s="140"/>
      <c r="DI898" s="140"/>
      <c r="DJ898" s="140"/>
      <c r="DK898" s="140"/>
      <c r="DL898" s="140"/>
      <c r="DM898" s="140"/>
      <c r="DN898" s="140"/>
      <c r="DO898" s="140"/>
      <c r="DP898" s="140"/>
      <c r="DQ898" s="140"/>
      <c r="DR898" s="140"/>
      <c r="DS898" s="140"/>
      <c r="DT898" s="140"/>
      <c r="DU898" s="140"/>
      <c r="DV898" s="140"/>
      <c r="DW898" s="140"/>
      <c r="DX898" s="140"/>
      <c r="DY898" s="140"/>
      <c r="DZ898" s="140"/>
      <c r="EA898" s="140"/>
      <c r="EB898" s="140"/>
      <c r="EC898" s="140"/>
      <c r="ED898" s="140"/>
      <c r="EE898" s="140"/>
      <c r="EF898" s="140"/>
      <c r="EG898" s="140"/>
      <c r="EH898" s="140"/>
      <c r="EI898" s="140"/>
      <c r="EJ898" s="140"/>
      <c r="EK898" s="140"/>
      <c r="EL898" s="140"/>
      <c r="EM898" s="140"/>
      <c r="EN898" s="140"/>
      <c r="EO898" s="140"/>
      <c r="EP898" s="140"/>
      <c r="EQ898" s="140"/>
      <c r="ER898" s="140"/>
      <c r="ES898" s="140"/>
      <c r="ET898" s="140"/>
      <c r="EU898" s="140"/>
      <c r="EV898" s="140"/>
      <c r="EW898" s="140"/>
      <c r="EX898" s="140"/>
      <c r="EY898" s="140"/>
      <c r="EZ898" s="140"/>
      <c r="FA898" s="140"/>
      <c r="FB898" s="140"/>
      <c r="FC898" s="140"/>
      <c r="FD898" s="140"/>
      <c r="FE898" s="140"/>
      <c r="FF898" s="140"/>
      <c r="FG898" s="140"/>
      <c r="FH898" s="140"/>
      <c r="FI898" s="140"/>
      <c r="FJ898" s="140"/>
      <c r="FK898" s="140"/>
      <c r="FL898" s="140"/>
      <c r="FM898" s="140"/>
      <c r="FN898" s="140"/>
      <c r="FO898" s="140"/>
      <c r="FP898" s="140"/>
      <c r="FQ898" s="140"/>
      <c r="FR898" s="140"/>
      <c r="FS898" s="140"/>
      <c r="FT898" s="140"/>
      <c r="FU898" s="140"/>
      <c r="FV898" s="140"/>
      <c r="FW898" s="140"/>
      <c r="FX898" s="140"/>
      <c r="FY898" s="140"/>
      <c r="FZ898" s="140"/>
      <c r="GA898" s="140"/>
      <c r="GB898" s="140"/>
      <c r="GC898" s="140"/>
      <c r="GD898" s="140"/>
      <c r="GE898" s="140"/>
      <c r="GF898" s="140"/>
      <c r="GG898" s="140"/>
      <c r="GH898" s="140"/>
      <c r="GI898" s="140"/>
      <c r="GJ898" s="140"/>
      <c r="GK898" s="140"/>
      <c r="GL898" s="140"/>
      <c r="GM898" s="140"/>
      <c r="GN898" s="140"/>
      <c r="GO898" s="140"/>
      <c r="GP898" s="140"/>
      <c r="GQ898" s="140"/>
      <c r="GR898" s="140"/>
      <c r="GS898" s="140"/>
      <c r="GT898" s="140"/>
      <c r="GU898" s="140"/>
      <c r="GV898" s="140"/>
      <c r="GW898" s="140"/>
      <c r="GX898" s="140"/>
      <c r="GY898" s="140"/>
      <c r="GZ898" s="140"/>
      <c r="HA898" s="140"/>
      <c r="HB898" s="140"/>
      <c r="HC898" s="140"/>
      <c r="HD898" s="140"/>
      <c r="HE898" s="140"/>
      <c r="HF898" s="140"/>
      <c r="HG898" s="140"/>
      <c r="HH898" s="140"/>
      <c r="HI898" s="140"/>
      <c r="HJ898" s="140"/>
      <c r="HK898" s="140"/>
      <c r="HL898" s="140"/>
      <c r="HM898" s="140"/>
      <c r="HN898" s="140"/>
      <c r="HO898" s="140"/>
      <c r="HP898" s="140"/>
      <c r="HQ898" s="140"/>
      <c r="HR898" s="140"/>
      <c r="HS898" s="140"/>
      <c r="HT898" s="140"/>
      <c r="HU898" s="140"/>
      <c r="HV898" s="140"/>
      <c r="HW898" s="140"/>
      <c r="HX898" s="140"/>
      <c r="HY898" s="140"/>
      <c r="HZ898" s="140"/>
      <c r="IA898" s="140"/>
      <c r="IB898" s="140"/>
      <c r="IC898" s="140"/>
      <c r="ID898" s="140"/>
      <c r="IE898" s="140"/>
      <c r="IF898" s="140"/>
      <c r="IG898" s="140"/>
      <c r="IH898" s="140"/>
      <c r="II898" s="140"/>
      <c r="IJ898" s="140"/>
      <c r="IK898" s="140"/>
      <c r="IL898" s="140"/>
      <c r="IM898" s="140"/>
      <c r="IN898" s="140"/>
      <c r="IO898" s="140"/>
      <c r="IP898" s="140"/>
      <c r="IQ898" s="140"/>
      <c r="IR898" s="140"/>
      <c r="IS898" s="140"/>
      <c r="IT898" s="140"/>
      <c r="IU898" s="140"/>
      <c r="IV898" s="140"/>
      <c r="IW898" s="140"/>
      <c r="IX898" s="140"/>
      <c r="IY898" s="140"/>
      <c r="IZ898" s="140"/>
      <c r="JA898" s="140"/>
      <c r="JB898" s="140"/>
      <c r="JC898" s="140"/>
      <c r="JD898" s="140"/>
      <c r="JE898" s="140"/>
      <c r="JF898" s="140"/>
      <c r="JG898" s="140"/>
      <c r="JH898" s="140"/>
      <c r="JI898" s="140"/>
      <c r="JJ898" s="140"/>
      <c r="JK898" s="140"/>
      <c r="JL898" s="140"/>
      <c r="JM898" s="140"/>
      <c r="JN898" s="140"/>
      <c r="JO898" s="140"/>
      <c r="JP898" s="140"/>
      <c r="JQ898" s="140"/>
      <c r="JR898" s="140"/>
      <c r="JS898" s="140"/>
      <c r="JT898" s="140"/>
      <c r="JU898" s="140"/>
      <c r="JV898" s="140"/>
      <c r="JW898" s="140"/>
      <c r="JX898" s="140"/>
      <c r="JY898" s="140"/>
      <c r="JZ898" s="140"/>
      <c r="KA898" s="140"/>
      <c r="KB898" s="140"/>
      <c r="KC898" s="140"/>
      <c r="KD898" s="140"/>
      <c r="KE898" s="140"/>
      <c r="KF898" s="140"/>
      <c r="KG898" s="140"/>
      <c r="KH898" s="140"/>
      <c r="KI898" s="140"/>
      <c r="KJ898" s="140"/>
      <c r="KK898" s="140"/>
      <c r="KL898" s="140"/>
      <c r="KM898" s="140"/>
      <c r="KN898" s="140"/>
      <c r="KO898" s="140"/>
      <c r="KP898" s="140"/>
      <c r="KQ898" s="140"/>
      <c r="KR898" s="140"/>
      <c r="KS898" s="140"/>
      <c r="KT898" s="140"/>
      <c r="KU898" s="140"/>
      <c r="KV898" s="140"/>
      <c r="KW898" s="140"/>
      <c r="KX898" s="140"/>
      <c r="KY898" s="140"/>
      <c r="KZ898" s="140"/>
      <c r="LA898" s="140"/>
      <c r="LB898" s="140"/>
      <c r="LC898" s="140"/>
      <c r="LD898" s="140"/>
      <c r="LE898" s="140"/>
      <c r="LF898" s="140"/>
      <c r="LG898" s="140"/>
      <c r="LH898" s="140"/>
      <c r="LI898" s="140"/>
      <c r="LJ898" s="140"/>
      <c r="LK898" s="140"/>
      <c r="LL898" s="140"/>
      <c r="LM898" s="140"/>
      <c r="LN898" s="140"/>
      <c r="LO898" s="140"/>
      <c r="LP898" s="140"/>
      <c r="LQ898" s="140"/>
      <c r="LR898" s="140"/>
      <c r="LS898" s="140"/>
      <c r="LT898" s="140"/>
      <c r="LU898" s="140"/>
      <c r="LV898" s="140"/>
      <c r="LW898" s="140"/>
      <c r="LX898" s="140"/>
      <c r="LY898" s="140"/>
      <c r="LZ898" s="140"/>
      <c r="MA898" s="140"/>
      <c r="MB898" s="140"/>
      <c r="MC898" s="140"/>
      <c r="MD898" s="140"/>
      <c r="ME898" s="140"/>
      <c r="MF898" s="140"/>
      <c r="MG898" s="140"/>
      <c r="MH898" s="140"/>
      <c r="MI898" s="140"/>
      <c r="MJ898" s="140"/>
      <c r="MK898" s="140"/>
      <c r="ML898" s="140"/>
    </row>
    <row r="899" spans="3:350" s="4" customFormat="1" ht="15" customHeight="1" x14ac:dyDescent="0.3">
      <c r="C899" s="159" t="s">
        <v>405</v>
      </c>
      <c r="D899" s="159"/>
      <c r="E899" s="159"/>
      <c r="F899" s="159"/>
      <c r="H899" s="140"/>
      <c r="I899" s="140"/>
      <c r="J899" s="140"/>
      <c r="K899" s="140"/>
      <c r="L899" s="140"/>
      <c r="M899" s="140"/>
      <c r="N899" s="140"/>
      <c r="O899" s="140"/>
      <c r="P899" s="140"/>
      <c r="Q899" s="140"/>
      <c r="R899" s="140"/>
      <c r="S899" s="140"/>
      <c r="T899" s="140"/>
      <c r="U899" s="140"/>
      <c r="V899" s="140"/>
      <c r="W899" s="140"/>
      <c r="X899" s="140"/>
      <c r="Y899" s="140"/>
      <c r="Z899" s="140"/>
      <c r="AA899" s="140"/>
      <c r="AB899" s="140"/>
      <c r="AC899" s="140"/>
      <c r="AD899" s="140"/>
      <c r="AE899" s="140"/>
      <c r="AF899" s="140"/>
      <c r="AG899" s="140"/>
      <c r="AH899" s="140"/>
      <c r="AI899" s="140"/>
      <c r="AJ899" s="140"/>
      <c r="AK899" s="140"/>
      <c r="AL899" s="140"/>
      <c r="AM899" s="140"/>
      <c r="AN899" s="140"/>
      <c r="AO899" s="140"/>
      <c r="AP899" s="140"/>
      <c r="AQ899" s="140"/>
      <c r="AR899" s="140"/>
      <c r="AS899" s="140"/>
      <c r="AT899" s="140"/>
      <c r="AU899" s="140"/>
      <c r="AV899" s="140"/>
      <c r="AW899" s="140"/>
      <c r="AX899" s="140"/>
      <c r="AY899" s="140"/>
      <c r="AZ899" s="140"/>
      <c r="BA899" s="140"/>
      <c r="BB899" s="140"/>
      <c r="BC899" s="140"/>
      <c r="BD899" s="140"/>
      <c r="BE899" s="140"/>
      <c r="BF899" s="140"/>
      <c r="BG899" s="140"/>
      <c r="BH899" s="140"/>
      <c r="BI899" s="140"/>
      <c r="BJ899" s="140"/>
      <c r="BK899" s="140"/>
      <c r="BL899" s="140"/>
      <c r="BM899" s="140"/>
      <c r="BN899" s="140"/>
      <c r="BO899" s="140"/>
      <c r="BP899" s="140"/>
      <c r="BQ899" s="140"/>
      <c r="BR899" s="140"/>
      <c r="BS899" s="140"/>
      <c r="BT899" s="140"/>
      <c r="BU899" s="140"/>
      <c r="BV899" s="140"/>
      <c r="BW899" s="140"/>
      <c r="BX899" s="140"/>
      <c r="BY899" s="140"/>
      <c r="BZ899" s="140"/>
      <c r="CA899" s="140"/>
      <c r="CB899" s="140"/>
      <c r="CC899" s="140"/>
      <c r="CD899" s="140"/>
      <c r="CE899" s="140"/>
      <c r="CF899" s="140"/>
      <c r="CG899" s="140"/>
      <c r="CH899" s="140"/>
      <c r="CI899" s="140"/>
      <c r="CJ899" s="140"/>
      <c r="CK899" s="140"/>
      <c r="CL899" s="140"/>
      <c r="CM899" s="140"/>
      <c r="CN899" s="140"/>
      <c r="CO899" s="140"/>
      <c r="CP899" s="140"/>
      <c r="CQ899" s="140"/>
      <c r="CR899" s="140"/>
      <c r="CS899" s="140"/>
      <c r="CT899" s="140"/>
      <c r="CU899" s="140"/>
      <c r="CV899" s="140"/>
      <c r="CW899" s="140"/>
      <c r="CX899" s="140"/>
      <c r="CY899" s="140"/>
      <c r="CZ899" s="140"/>
      <c r="DA899" s="140"/>
      <c r="DB899" s="140"/>
      <c r="DC899" s="140"/>
      <c r="DD899" s="140"/>
      <c r="DE899" s="140"/>
      <c r="DF899" s="140"/>
      <c r="DG899" s="140"/>
      <c r="DH899" s="140"/>
      <c r="DI899" s="140"/>
      <c r="DJ899" s="140"/>
      <c r="DK899" s="140"/>
      <c r="DL899" s="140"/>
      <c r="DM899" s="140"/>
      <c r="DN899" s="140"/>
      <c r="DO899" s="140"/>
      <c r="DP899" s="140"/>
      <c r="DQ899" s="140"/>
      <c r="DR899" s="140"/>
      <c r="DS899" s="140"/>
      <c r="DT899" s="140"/>
      <c r="DU899" s="140"/>
      <c r="DV899" s="140"/>
      <c r="DW899" s="140"/>
      <c r="DX899" s="140"/>
      <c r="DY899" s="140"/>
      <c r="DZ899" s="140"/>
      <c r="EA899" s="140"/>
      <c r="EB899" s="140"/>
      <c r="EC899" s="140"/>
      <c r="ED899" s="140"/>
      <c r="EE899" s="140"/>
      <c r="EF899" s="140"/>
      <c r="EG899" s="140"/>
      <c r="EH899" s="140"/>
      <c r="EI899" s="140"/>
      <c r="EJ899" s="140"/>
      <c r="EK899" s="140"/>
      <c r="EL899" s="140"/>
      <c r="EM899" s="140"/>
      <c r="EN899" s="140"/>
      <c r="EO899" s="140"/>
      <c r="EP899" s="140"/>
      <c r="EQ899" s="140"/>
      <c r="ER899" s="140"/>
      <c r="ES899" s="140"/>
      <c r="ET899" s="140"/>
      <c r="EU899" s="140"/>
      <c r="EV899" s="140"/>
      <c r="EW899" s="140"/>
      <c r="EX899" s="140"/>
      <c r="EY899" s="140"/>
      <c r="EZ899" s="140"/>
      <c r="FA899" s="140"/>
      <c r="FB899" s="140"/>
      <c r="FC899" s="140"/>
      <c r="FD899" s="140"/>
      <c r="FE899" s="140"/>
      <c r="FF899" s="140"/>
      <c r="FG899" s="140"/>
      <c r="FH899" s="140"/>
      <c r="FI899" s="140"/>
      <c r="FJ899" s="140"/>
      <c r="FK899" s="140"/>
      <c r="FL899" s="140"/>
      <c r="FM899" s="140"/>
      <c r="FN899" s="140"/>
      <c r="FO899" s="140"/>
      <c r="FP899" s="140"/>
      <c r="FQ899" s="140"/>
      <c r="FR899" s="140"/>
      <c r="FS899" s="140"/>
      <c r="FT899" s="140"/>
      <c r="FU899" s="140"/>
      <c r="FV899" s="140"/>
      <c r="FW899" s="140"/>
      <c r="FX899" s="140"/>
      <c r="FY899" s="140"/>
      <c r="FZ899" s="140"/>
      <c r="GA899" s="140"/>
      <c r="GB899" s="140"/>
      <c r="GC899" s="140"/>
      <c r="GD899" s="140"/>
      <c r="GE899" s="140"/>
      <c r="GF899" s="140"/>
      <c r="GG899" s="140"/>
      <c r="GH899" s="140"/>
      <c r="GI899" s="140"/>
      <c r="GJ899" s="140"/>
      <c r="GK899" s="140"/>
      <c r="GL899" s="140"/>
      <c r="GM899" s="140"/>
      <c r="GN899" s="140"/>
      <c r="GO899" s="140"/>
      <c r="GP899" s="140"/>
      <c r="GQ899" s="140"/>
      <c r="GR899" s="140"/>
      <c r="GS899" s="140"/>
      <c r="GT899" s="140"/>
      <c r="GU899" s="140"/>
      <c r="GV899" s="140"/>
      <c r="GW899" s="140"/>
      <c r="GX899" s="140"/>
      <c r="GY899" s="140"/>
      <c r="GZ899" s="140"/>
      <c r="HA899" s="140"/>
      <c r="HB899" s="140"/>
      <c r="HC899" s="140"/>
      <c r="HD899" s="140"/>
      <c r="HE899" s="140"/>
      <c r="HF899" s="140"/>
      <c r="HG899" s="140"/>
      <c r="HH899" s="140"/>
      <c r="HI899" s="140"/>
      <c r="HJ899" s="140"/>
      <c r="HK899" s="140"/>
      <c r="HL899" s="140"/>
      <c r="HM899" s="140"/>
      <c r="HN899" s="140"/>
      <c r="HO899" s="140"/>
      <c r="HP899" s="140"/>
      <c r="HQ899" s="140"/>
      <c r="HR899" s="140"/>
      <c r="HS899" s="140"/>
      <c r="HT899" s="140"/>
      <c r="HU899" s="140"/>
      <c r="HV899" s="140"/>
      <c r="HW899" s="140"/>
      <c r="HX899" s="140"/>
      <c r="HY899" s="140"/>
      <c r="HZ899" s="140"/>
      <c r="IA899" s="140"/>
      <c r="IB899" s="140"/>
      <c r="IC899" s="140"/>
      <c r="ID899" s="140"/>
      <c r="IE899" s="140"/>
      <c r="IF899" s="140"/>
      <c r="IG899" s="140"/>
      <c r="IH899" s="140"/>
      <c r="II899" s="140"/>
      <c r="IJ899" s="140"/>
      <c r="IK899" s="140"/>
      <c r="IL899" s="140"/>
      <c r="IM899" s="140"/>
      <c r="IN899" s="140"/>
      <c r="IO899" s="140"/>
      <c r="IP899" s="140"/>
      <c r="IQ899" s="140"/>
      <c r="IR899" s="140"/>
      <c r="IS899" s="140"/>
      <c r="IT899" s="140"/>
      <c r="IU899" s="140"/>
      <c r="IV899" s="140"/>
      <c r="IW899" s="140"/>
      <c r="IX899" s="140"/>
      <c r="IY899" s="140"/>
      <c r="IZ899" s="140"/>
      <c r="JA899" s="140"/>
      <c r="JB899" s="140"/>
      <c r="JC899" s="140"/>
      <c r="JD899" s="140"/>
      <c r="JE899" s="140"/>
      <c r="JF899" s="140"/>
      <c r="JG899" s="140"/>
      <c r="JH899" s="140"/>
      <c r="JI899" s="140"/>
      <c r="JJ899" s="140"/>
      <c r="JK899" s="140"/>
      <c r="JL899" s="140"/>
      <c r="JM899" s="140"/>
      <c r="JN899" s="140"/>
      <c r="JO899" s="140"/>
      <c r="JP899" s="140"/>
      <c r="JQ899" s="140"/>
      <c r="JR899" s="140"/>
      <c r="JS899" s="140"/>
      <c r="JT899" s="140"/>
      <c r="JU899" s="140"/>
      <c r="JV899" s="140"/>
      <c r="JW899" s="140"/>
      <c r="JX899" s="140"/>
      <c r="JY899" s="140"/>
      <c r="JZ899" s="140"/>
      <c r="KA899" s="140"/>
      <c r="KB899" s="140"/>
      <c r="KC899" s="140"/>
      <c r="KD899" s="140"/>
      <c r="KE899" s="140"/>
      <c r="KF899" s="140"/>
      <c r="KG899" s="140"/>
      <c r="KH899" s="140"/>
      <c r="KI899" s="140"/>
      <c r="KJ899" s="140"/>
      <c r="KK899" s="140"/>
      <c r="KL899" s="140"/>
      <c r="KM899" s="140"/>
      <c r="KN899" s="140"/>
      <c r="KO899" s="140"/>
      <c r="KP899" s="140"/>
      <c r="KQ899" s="140"/>
      <c r="KR899" s="140"/>
      <c r="KS899" s="140"/>
      <c r="KT899" s="140"/>
      <c r="KU899" s="140"/>
      <c r="KV899" s="140"/>
      <c r="KW899" s="140"/>
      <c r="KX899" s="140"/>
      <c r="KY899" s="140"/>
      <c r="KZ899" s="140"/>
      <c r="LA899" s="140"/>
      <c r="LB899" s="140"/>
      <c r="LC899" s="140"/>
      <c r="LD899" s="140"/>
      <c r="LE899" s="140"/>
      <c r="LF899" s="140"/>
      <c r="LG899" s="140"/>
      <c r="LH899" s="140"/>
      <c r="LI899" s="140"/>
      <c r="LJ899" s="140"/>
      <c r="LK899" s="140"/>
      <c r="LL899" s="140"/>
      <c r="LM899" s="140"/>
      <c r="LN899" s="140"/>
      <c r="LO899" s="140"/>
      <c r="LP899" s="140"/>
      <c r="LQ899" s="140"/>
      <c r="LR899" s="140"/>
      <c r="LS899" s="140"/>
      <c r="LT899" s="140"/>
      <c r="LU899" s="140"/>
      <c r="LV899" s="140"/>
      <c r="LW899" s="140"/>
      <c r="LX899" s="140"/>
      <c r="LY899" s="140"/>
      <c r="LZ899" s="140"/>
      <c r="MA899" s="140"/>
      <c r="MB899" s="140"/>
      <c r="MC899" s="140"/>
      <c r="MD899" s="140"/>
      <c r="ME899" s="140"/>
      <c r="MF899" s="140"/>
      <c r="MG899" s="140"/>
      <c r="MH899" s="140"/>
      <c r="MI899" s="140"/>
      <c r="MJ899" s="140"/>
      <c r="MK899" s="140"/>
      <c r="ML899" s="140"/>
    </row>
    <row r="900" spans="3:350" s="4" customFormat="1" ht="15" customHeight="1" x14ac:dyDescent="0.3">
      <c r="C900" s="159"/>
      <c r="D900" s="159"/>
      <c r="E900" s="159"/>
      <c r="F900" s="159"/>
      <c r="H900" s="140"/>
      <c r="I900" s="140"/>
      <c r="J900" s="140"/>
      <c r="K900" s="140"/>
      <c r="L900" s="140"/>
      <c r="M900" s="140"/>
      <c r="N900" s="140"/>
      <c r="O900" s="140"/>
      <c r="P900" s="140"/>
      <c r="Q900" s="140"/>
      <c r="R900" s="140"/>
      <c r="S900" s="140"/>
      <c r="T900" s="140"/>
      <c r="U900" s="140"/>
      <c r="V900" s="140"/>
      <c r="W900" s="140"/>
      <c r="X900" s="140"/>
      <c r="Y900" s="140"/>
      <c r="Z900" s="140"/>
      <c r="AA900" s="140"/>
      <c r="AB900" s="140"/>
      <c r="AC900" s="140"/>
      <c r="AD900" s="140"/>
      <c r="AE900" s="140"/>
      <c r="AF900" s="140"/>
      <c r="AG900" s="140"/>
      <c r="AH900" s="140"/>
      <c r="AI900" s="140"/>
      <c r="AJ900" s="140"/>
      <c r="AK900" s="140"/>
      <c r="AL900" s="140"/>
      <c r="AM900" s="140"/>
      <c r="AN900" s="140"/>
      <c r="AO900" s="140"/>
      <c r="AP900" s="140"/>
      <c r="AQ900" s="140"/>
      <c r="AR900" s="140"/>
      <c r="AS900" s="140"/>
      <c r="AT900" s="140"/>
      <c r="AU900" s="140"/>
      <c r="AV900" s="140"/>
      <c r="AW900" s="140"/>
      <c r="AX900" s="140"/>
      <c r="AY900" s="140"/>
      <c r="AZ900" s="140"/>
      <c r="BA900" s="140"/>
      <c r="BB900" s="140"/>
      <c r="BC900" s="140"/>
      <c r="BD900" s="140"/>
      <c r="BE900" s="140"/>
      <c r="BF900" s="140"/>
      <c r="BG900" s="140"/>
      <c r="BH900" s="140"/>
      <c r="BI900" s="140"/>
      <c r="BJ900" s="140"/>
      <c r="BK900" s="140"/>
      <c r="BL900" s="140"/>
      <c r="BM900" s="140"/>
      <c r="BN900" s="140"/>
      <c r="BO900" s="140"/>
      <c r="BP900" s="140"/>
      <c r="BQ900" s="140"/>
      <c r="BR900" s="140"/>
      <c r="BS900" s="140"/>
      <c r="BT900" s="140"/>
      <c r="BU900" s="140"/>
      <c r="BV900" s="140"/>
      <c r="BW900" s="140"/>
      <c r="BX900" s="140"/>
      <c r="BY900" s="140"/>
      <c r="BZ900" s="140"/>
      <c r="CA900" s="140"/>
      <c r="CB900" s="140"/>
      <c r="CC900" s="140"/>
      <c r="CD900" s="140"/>
      <c r="CE900" s="140"/>
      <c r="CF900" s="140"/>
      <c r="CG900" s="140"/>
      <c r="CH900" s="140"/>
      <c r="CI900" s="140"/>
      <c r="CJ900" s="140"/>
      <c r="CK900" s="140"/>
      <c r="CL900" s="140"/>
      <c r="CM900" s="140"/>
      <c r="CN900" s="140"/>
      <c r="CO900" s="140"/>
      <c r="CP900" s="140"/>
      <c r="CQ900" s="140"/>
      <c r="CR900" s="140"/>
      <c r="CS900" s="140"/>
      <c r="CT900" s="140"/>
      <c r="CU900" s="140"/>
      <c r="CV900" s="140"/>
      <c r="CW900" s="140"/>
      <c r="CX900" s="140"/>
      <c r="CY900" s="140"/>
      <c r="CZ900" s="140"/>
      <c r="DA900" s="140"/>
      <c r="DB900" s="140"/>
      <c r="DC900" s="140"/>
      <c r="DD900" s="140"/>
      <c r="DE900" s="140"/>
      <c r="DF900" s="140"/>
      <c r="DG900" s="140"/>
      <c r="DH900" s="140"/>
      <c r="DI900" s="140"/>
      <c r="DJ900" s="140"/>
      <c r="DK900" s="140"/>
      <c r="DL900" s="140"/>
      <c r="DM900" s="140"/>
      <c r="DN900" s="140"/>
      <c r="DO900" s="140"/>
      <c r="DP900" s="140"/>
      <c r="DQ900" s="140"/>
      <c r="DR900" s="140"/>
      <c r="DS900" s="140"/>
      <c r="DT900" s="140"/>
      <c r="DU900" s="140"/>
      <c r="DV900" s="140"/>
      <c r="DW900" s="140"/>
      <c r="DX900" s="140"/>
      <c r="DY900" s="140"/>
      <c r="DZ900" s="140"/>
      <c r="EA900" s="140"/>
      <c r="EB900" s="140"/>
      <c r="EC900" s="140"/>
      <c r="ED900" s="140"/>
      <c r="EE900" s="140"/>
      <c r="EF900" s="140"/>
      <c r="EG900" s="140"/>
      <c r="EH900" s="140"/>
      <c r="EI900" s="140"/>
      <c r="EJ900" s="140"/>
      <c r="EK900" s="140"/>
      <c r="EL900" s="140"/>
      <c r="EM900" s="140"/>
      <c r="EN900" s="140"/>
      <c r="EO900" s="140"/>
      <c r="EP900" s="140"/>
      <c r="EQ900" s="140"/>
      <c r="ER900" s="140"/>
      <c r="ES900" s="140"/>
      <c r="ET900" s="140"/>
      <c r="EU900" s="140"/>
      <c r="EV900" s="140"/>
      <c r="EW900" s="140"/>
      <c r="EX900" s="140"/>
      <c r="EY900" s="140"/>
      <c r="EZ900" s="140"/>
      <c r="FA900" s="140"/>
      <c r="FB900" s="140"/>
      <c r="FC900" s="140"/>
      <c r="FD900" s="140"/>
      <c r="FE900" s="140"/>
      <c r="FF900" s="140"/>
      <c r="FG900" s="140"/>
      <c r="FH900" s="140"/>
      <c r="FI900" s="140"/>
      <c r="FJ900" s="140"/>
      <c r="FK900" s="140"/>
      <c r="FL900" s="140"/>
      <c r="FM900" s="140"/>
      <c r="FN900" s="140"/>
      <c r="FO900" s="140"/>
      <c r="FP900" s="140"/>
      <c r="FQ900" s="140"/>
      <c r="FR900" s="140"/>
      <c r="FS900" s="140"/>
      <c r="FT900" s="140"/>
      <c r="FU900" s="140"/>
      <c r="FV900" s="140"/>
      <c r="FW900" s="140"/>
      <c r="FX900" s="140"/>
      <c r="FY900" s="140"/>
      <c r="FZ900" s="140"/>
      <c r="GA900" s="140"/>
      <c r="GB900" s="140"/>
      <c r="GC900" s="140"/>
      <c r="GD900" s="140"/>
      <c r="GE900" s="140"/>
      <c r="GF900" s="140"/>
      <c r="GG900" s="140"/>
      <c r="GH900" s="140"/>
      <c r="GI900" s="140"/>
      <c r="GJ900" s="140"/>
      <c r="GK900" s="140"/>
      <c r="GL900" s="140"/>
      <c r="GM900" s="140"/>
      <c r="GN900" s="140"/>
      <c r="GO900" s="140"/>
      <c r="GP900" s="140"/>
      <c r="GQ900" s="140"/>
      <c r="GR900" s="140"/>
      <c r="GS900" s="140"/>
      <c r="GT900" s="140"/>
      <c r="GU900" s="140"/>
      <c r="GV900" s="140"/>
      <c r="GW900" s="140"/>
      <c r="GX900" s="140"/>
      <c r="GY900" s="140"/>
      <c r="GZ900" s="140"/>
      <c r="HA900" s="140"/>
      <c r="HB900" s="140"/>
      <c r="HC900" s="140"/>
      <c r="HD900" s="140"/>
      <c r="HE900" s="140"/>
      <c r="HF900" s="140"/>
      <c r="HG900" s="140"/>
      <c r="HH900" s="140"/>
      <c r="HI900" s="140"/>
      <c r="HJ900" s="140"/>
      <c r="HK900" s="140"/>
      <c r="HL900" s="140"/>
      <c r="HM900" s="140"/>
      <c r="HN900" s="140"/>
      <c r="HO900" s="140"/>
      <c r="HP900" s="140"/>
      <c r="HQ900" s="140"/>
      <c r="HR900" s="140"/>
      <c r="HS900" s="140"/>
      <c r="HT900" s="140"/>
      <c r="HU900" s="140"/>
      <c r="HV900" s="140"/>
      <c r="HW900" s="140"/>
      <c r="HX900" s="140"/>
      <c r="HY900" s="140"/>
      <c r="HZ900" s="140"/>
      <c r="IA900" s="140"/>
      <c r="IB900" s="140"/>
      <c r="IC900" s="140"/>
      <c r="ID900" s="140"/>
      <c r="IE900" s="140"/>
      <c r="IF900" s="140"/>
      <c r="IG900" s="140"/>
      <c r="IH900" s="140"/>
      <c r="II900" s="140"/>
      <c r="IJ900" s="140"/>
      <c r="IK900" s="140"/>
      <c r="IL900" s="140"/>
      <c r="IM900" s="140"/>
      <c r="IN900" s="140"/>
      <c r="IO900" s="140"/>
      <c r="IP900" s="140"/>
      <c r="IQ900" s="140"/>
      <c r="IR900" s="140"/>
      <c r="IS900" s="140"/>
      <c r="IT900" s="140"/>
      <c r="IU900" s="140"/>
      <c r="IV900" s="140"/>
      <c r="IW900" s="140"/>
      <c r="IX900" s="140"/>
      <c r="IY900" s="140"/>
      <c r="IZ900" s="140"/>
      <c r="JA900" s="140"/>
      <c r="JB900" s="140"/>
      <c r="JC900" s="140"/>
      <c r="JD900" s="140"/>
      <c r="JE900" s="140"/>
      <c r="JF900" s="140"/>
      <c r="JG900" s="140"/>
      <c r="JH900" s="140"/>
      <c r="JI900" s="140"/>
      <c r="JJ900" s="140"/>
      <c r="JK900" s="140"/>
      <c r="JL900" s="140"/>
      <c r="JM900" s="140"/>
      <c r="JN900" s="140"/>
      <c r="JO900" s="140"/>
      <c r="JP900" s="140"/>
      <c r="JQ900" s="140"/>
      <c r="JR900" s="140"/>
      <c r="JS900" s="140"/>
      <c r="JT900" s="140"/>
      <c r="JU900" s="140"/>
      <c r="JV900" s="140"/>
      <c r="JW900" s="140"/>
      <c r="JX900" s="140"/>
      <c r="JY900" s="140"/>
      <c r="JZ900" s="140"/>
      <c r="KA900" s="140"/>
      <c r="KB900" s="140"/>
      <c r="KC900" s="140"/>
      <c r="KD900" s="140"/>
      <c r="KE900" s="140"/>
      <c r="KF900" s="140"/>
      <c r="KG900" s="140"/>
      <c r="KH900" s="140"/>
      <c r="KI900" s="140"/>
      <c r="KJ900" s="140"/>
      <c r="KK900" s="140"/>
      <c r="KL900" s="140"/>
      <c r="KM900" s="140"/>
      <c r="KN900" s="140"/>
      <c r="KO900" s="140"/>
      <c r="KP900" s="140"/>
      <c r="KQ900" s="140"/>
      <c r="KR900" s="140"/>
      <c r="KS900" s="140"/>
      <c r="KT900" s="140"/>
      <c r="KU900" s="140"/>
      <c r="KV900" s="140"/>
      <c r="KW900" s="140"/>
      <c r="KX900" s="140"/>
      <c r="KY900" s="140"/>
      <c r="KZ900" s="140"/>
      <c r="LA900" s="140"/>
      <c r="LB900" s="140"/>
      <c r="LC900" s="140"/>
      <c r="LD900" s="140"/>
      <c r="LE900" s="140"/>
      <c r="LF900" s="140"/>
      <c r="LG900" s="140"/>
      <c r="LH900" s="140"/>
      <c r="LI900" s="140"/>
      <c r="LJ900" s="140"/>
      <c r="LK900" s="140"/>
      <c r="LL900" s="140"/>
      <c r="LM900" s="140"/>
      <c r="LN900" s="140"/>
      <c r="LO900" s="140"/>
      <c r="LP900" s="140"/>
      <c r="LQ900" s="140"/>
      <c r="LR900" s="140"/>
      <c r="LS900" s="140"/>
      <c r="LT900" s="140"/>
      <c r="LU900" s="140"/>
      <c r="LV900" s="140"/>
      <c r="LW900" s="140"/>
      <c r="LX900" s="140"/>
      <c r="LY900" s="140"/>
      <c r="LZ900" s="140"/>
      <c r="MA900" s="140"/>
      <c r="MB900" s="140"/>
      <c r="MC900" s="140"/>
      <c r="MD900" s="140"/>
      <c r="ME900" s="140"/>
      <c r="MF900" s="140"/>
      <c r="MG900" s="140"/>
      <c r="MH900" s="140"/>
      <c r="MI900" s="140"/>
      <c r="MJ900" s="140"/>
      <c r="MK900" s="140"/>
      <c r="ML900" s="140"/>
    </row>
    <row r="901" spans="3:350" s="4" customFormat="1" ht="15" customHeight="1" x14ac:dyDescent="0.3">
      <c r="C901" s="351" t="s">
        <v>228</v>
      </c>
      <c r="D901" s="159"/>
      <c r="E901" s="159"/>
      <c r="F901" s="352">
        <v>469</v>
      </c>
      <c r="H901" s="140"/>
      <c r="I901" s="140"/>
      <c r="J901" s="140"/>
      <c r="K901" s="140"/>
      <c r="L901" s="140"/>
      <c r="M901" s="140"/>
      <c r="N901" s="140"/>
      <c r="O901" s="140"/>
      <c r="P901" s="140"/>
      <c r="Q901" s="140"/>
      <c r="R901" s="140"/>
      <c r="S901" s="140"/>
      <c r="T901" s="140"/>
      <c r="U901" s="140"/>
      <c r="V901" s="140"/>
      <c r="W901" s="140"/>
      <c r="X901" s="140"/>
      <c r="Y901" s="140"/>
      <c r="Z901" s="140"/>
      <c r="AA901" s="140"/>
      <c r="AB901" s="140"/>
      <c r="AC901" s="140"/>
      <c r="AD901" s="140"/>
      <c r="AE901" s="140"/>
      <c r="AF901" s="140"/>
      <c r="AG901" s="140"/>
      <c r="AH901" s="140"/>
      <c r="AI901" s="140"/>
      <c r="AJ901" s="140"/>
      <c r="AK901" s="140"/>
      <c r="AL901" s="140"/>
      <c r="AM901" s="140"/>
      <c r="AN901" s="140"/>
      <c r="AO901" s="140"/>
      <c r="AP901" s="140"/>
      <c r="AQ901" s="140"/>
      <c r="AR901" s="140"/>
      <c r="AS901" s="140"/>
      <c r="AT901" s="140"/>
      <c r="AU901" s="140"/>
      <c r="AV901" s="140"/>
      <c r="AW901" s="140"/>
      <c r="AX901" s="140"/>
      <c r="AY901" s="140"/>
      <c r="AZ901" s="140"/>
      <c r="BA901" s="140"/>
      <c r="BB901" s="140"/>
      <c r="BC901" s="140"/>
      <c r="BD901" s="140"/>
      <c r="BE901" s="140"/>
      <c r="BF901" s="140"/>
      <c r="BG901" s="140"/>
      <c r="BH901" s="140"/>
      <c r="BI901" s="140"/>
      <c r="BJ901" s="140"/>
      <c r="BK901" s="140"/>
      <c r="BL901" s="140"/>
      <c r="BM901" s="140"/>
      <c r="BN901" s="140"/>
      <c r="BO901" s="140"/>
      <c r="BP901" s="140"/>
      <c r="BQ901" s="140"/>
      <c r="BR901" s="140"/>
      <c r="BS901" s="140"/>
      <c r="BT901" s="140"/>
      <c r="BU901" s="140"/>
      <c r="BV901" s="140"/>
      <c r="BW901" s="140"/>
      <c r="BX901" s="140"/>
      <c r="BY901" s="140"/>
      <c r="BZ901" s="140"/>
      <c r="CA901" s="140"/>
      <c r="CB901" s="140"/>
      <c r="CC901" s="140"/>
      <c r="CD901" s="140"/>
      <c r="CE901" s="140"/>
      <c r="CF901" s="140"/>
      <c r="CG901" s="140"/>
      <c r="CH901" s="140"/>
      <c r="CI901" s="140"/>
      <c r="CJ901" s="140"/>
      <c r="CK901" s="140"/>
      <c r="CL901" s="140"/>
      <c r="CM901" s="140"/>
      <c r="CN901" s="140"/>
      <c r="CO901" s="140"/>
      <c r="CP901" s="140"/>
      <c r="CQ901" s="140"/>
      <c r="CR901" s="140"/>
      <c r="CS901" s="140"/>
      <c r="CT901" s="140"/>
      <c r="CU901" s="140"/>
      <c r="CV901" s="140"/>
      <c r="CW901" s="140"/>
      <c r="CX901" s="140"/>
      <c r="CY901" s="140"/>
      <c r="CZ901" s="140"/>
      <c r="DA901" s="140"/>
      <c r="DB901" s="140"/>
      <c r="DC901" s="140"/>
      <c r="DD901" s="140"/>
      <c r="DE901" s="140"/>
      <c r="DF901" s="140"/>
      <c r="DG901" s="140"/>
      <c r="DH901" s="140"/>
      <c r="DI901" s="140"/>
      <c r="DJ901" s="140"/>
      <c r="DK901" s="140"/>
      <c r="DL901" s="140"/>
      <c r="DM901" s="140"/>
      <c r="DN901" s="140"/>
      <c r="DO901" s="140"/>
      <c r="DP901" s="140"/>
      <c r="DQ901" s="140"/>
      <c r="DR901" s="140"/>
      <c r="DS901" s="140"/>
      <c r="DT901" s="140"/>
      <c r="DU901" s="140"/>
      <c r="DV901" s="140"/>
      <c r="DW901" s="140"/>
      <c r="DX901" s="140"/>
      <c r="DY901" s="140"/>
      <c r="DZ901" s="140"/>
      <c r="EA901" s="140"/>
      <c r="EB901" s="140"/>
      <c r="EC901" s="140"/>
      <c r="ED901" s="140"/>
      <c r="EE901" s="140"/>
      <c r="EF901" s="140"/>
      <c r="EG901" s="140"/>
      <c r="EH901" s="140"/>
      <c r="EI901" s="140"/>
      <c r="EJ901" s="140"/>
      <c r="EK901" s="140"/>
      <c r="EL901" s="140"/>
      <c r="EM901" s="140"/>
      <c r="EN901" s="140"/>
      <c r="EO901" s="140"/>
      <c r="EP901" s="140"/>
      <c r="EQ901" s="140"/>
      <c r="ER901" s="140"/>
      <c r="ES901" s="140"/>
      <c r="ET901" s="140"/>
      <c r="EU901" s="140"/>
      <c r="EV901" s="140"/>
      <c r="EW901" s="140"/>
      <c r="EX901" s="140"/>
      <c r="EY901" s="140"/>
      <c r="EZ901" s="140"/>
      <c r="FA901" s="140"/>
      <c r="FB901" s="140"/>
      <c r="FC901" s="140"/>
      <c r="FD901" s="140"/>
      <c r="FE901" s="140"/>
      <c r="FF901" s="140"/>
      <c r="FG901" s="140"/>
      <c r="FH901" s="140"/>
      <c r="FI901" s="140"/>
      <c r="FJ901" s="140"/>
      <c r="FK901" s="140"/>
      <c r="FL901" s="140"/>
      <c r="FM901" s="140"/>
      <c r="FN901" s="140"/>
      <c r="FO901" s="140"/>
      <c r="FP901" s="140"/>
      <c r="FQ901" s="140"/>
      <c r="FR901" s="140"/>
      <c r="FS901" s="140"/>
      <c r="FT901" s="140"/>
      <c r="FU901" s="140"/>
      <c r="FV901" s="140"/>
      <c r="FW901" s="140"/>
      <c r="FX901" s="140"/>
      <c r="FY901" s="140"/>
      <c r="FZ901" s="140"/>
      <c r="GA901" s="140"/>
      <c r="GB901" s="140"/>
      <c r="GC901" s="140"/>
      <c r="GD901" s="140"/>
      <c r="GE901" s="140"/>
      <c r="GF901" s="140"/>
      <c r="GG901" s="140"/>
      <c r="GH901" s="140"/>
      <c r="GI901" s="140"/>
      <c r="GJ901" s="140"/>
      <c r="GK901" s="140"/>
      <c r="GL901" s="140"/>
      <c r="GM901" s="140"/>
      <c r="GN901" s="140"/>
      <c r="GO901" s="140"/>
      <c r="GP901" s="140"/>
      <c r="GQ901" s="140"/>
      <c r="GR901" s="140"/>
      <c r="GS901" s="140"/>
      <c r="GT901" s="140"/>
      <c r="GU901" s="140"/>
      <c r="GV901" s="140"/>
      <c r="GW901" s="140"/>
      <c r="GX901" s="140"/>
      <c r="GY901" s="140"/>
      <c r="GZ901" s="140"/>
      <c r="HA901" s="140"/>
      <c r="HB901" s="140"/>
      <c r="HC901" s="140"/>
      <c r="HD901" s="140"/>
      <c r="HE901" s="140"/>
      <c r="HF901" s="140"/>
      <c r="HG901" s="140"/>
      <c r="HH901" s="140"/>
      <c r="HI901" s="140"/>
      <c r="HJ901" s="140"/>
      <c r="HK901" s="140"/>
      <c r="HL901" s="140"/>
      <c r="HM901" s="140"/>
      <c r="HN901" s="140"/>
      <c r="HO901" s="140"/>
      <c r="HP901" s="140"/>
      <c r="HQ901" s="140"/>
      <c r="HR901" s="140"/>
      <c r="HS901" s="140"/>
      <c r="HT901" s="140"/>
      <c r="HU901" s="140"/>
      <c r="HV901" s="140"/>
      <c r="HW901" s="140"/>
      <c r="HX901" s="140"/>
      <c r="HY901" s="140"/>
      <c r="HZ901" s="140"/>
      <c r="IA901" s="140"/>
      <c r="IB901" s="140"/>
      <c r="IC901" s="140"/>
      <c r="ID901" s="140"/>
      <c r="IE901" s="140"/>
      <c r="IF901" s="140"/>
      <c r="IG901" s="140"/>
      <c r="IH901" s="140"/>
      <c r="II901" s="140"/>
      <c r="IJ901" s="140"/>
      <c r="IK901" s="140"/>
      <c r="IL901" s="140"/>
      <c r="IM901" s="140"/>
      <c r="IN901" s="140"/>
      <c r="IO901" s="140"/>
      <c r="IP901" s="140"/>
      <c r="IQ901" s="140"/>
      <c r="IR901" s="140"/>
      <c r="IS901" s="140"/>
      <c r="IT901" s="140"/>
      <c r="IU901" s="140"/>
      <c r="IV901" s="140"/>
      <c r="IW901" s="140"/>
      <c r="IX901" s="140"/>
      <c r="IY901" s="140"/>
      <c r="IZ901" s="140"/>
      <c r="JA901" s="140"/>
      <c r="JB901" s="140"/>
      <c r="JC901" s="140"/>
      <c r="JD901" s="140"/>
      <c r="JE901" s="140"/>
      <c r="JF901" s="140"/>
      <c r="JG901" s="140"/>
      <c r="JH901" s="140"/>
      <c r="JI901" s="140"/>
      <c r="JJ901" s="140"/>
      <c r="JK901" s="140"/>
      <c r="JL901" s="140"/>
      <c r="JM901" s="140"/>
      <c r="JN901" s="140"/>
      <c r="JO901" s="140"/>
      <c r="JP901" s="140"/>
      <c r="JQ901" s="140"/>
      <c r="JR901" s="140"/>
      <c r="JS901" s="140"/>
      <c r="JT901" s="140"/>
      <c r="JU901" s="140"/>
      <c r="JV901" s="140"/>
      <c r="JW901" s="140"/>
      <c r="JX901" s="140"/>
      <c r="JY901" s="140"/>
      <c r="JZ901" s="140"/>
      <c r="KA901" s="140"/>
      <c r="KB901" s="140"/>
      <c r="KC901" s="140"/>
      <c r="KD901" s="140"/>
      <c r="KE901" s="140"/>
      <c r="KF901" s="140"/>
      <c r="KG901" s="140"/>
      <c r="KH901" s="140"/>
      <c r="KI901" s="140"/>
      <c r="KJ901" s="140"/>
      <c r="KK901" s="140"/>
      <c r="KL901" s="140"/>
      <c r="KM901" s="140"/>
      <c r="KN901" s="140"/>
      <c r="KO901" s="140"/>
      <c r="KP901" s="140"/>
      <c r="KQ901" s="140"/>
      <c r="KR901" s="140"/>
      <c r="KS901" s="140"/>
      <c r="KT901" s="140"/>
      <c r="KU901" s="140"/>
      <c r="KV901" s="140"/>
      <c r="KW901" s="140"/>
      <c r="KX901" s="140"/>
      <c r="KY901" s="140"/>
      <c r="KZ901" s="140"/>
      <c r="LA901" s="140"/>
      <c r="LB901" s="140"/>
      <c r="LC901" s="140"/>
      <c r="LD901" s="140"/>
      <c r="LE901" s="140"/>
      <c r="LF901" s="140"/>
      <c r="LG901" s="140"/>
      <c r="LH901" s="140"/>
      <c r="LI901" s="140"/>
      <c r="LJ901" s="140"/>
      <c r="LK901" s="140"/>
      <c r="LL901" s="140"/>
      <c r="LM901" s="140"/>
      <c r="LN901" s="140"/>
      <c r="LO901" s="140"/>
      <c r="LP901" s="140"/>
      <c r="LQ901" s="140"/>
      <c r="LR901" s="140"/>
      <c r="LS901" s="140"/>
      <c r="LT901" s="140"/>
      <c r="LU901" s="140"/>
      <c r="LV901" s="140"/>
      <c r="LW901" s="140"/>
      <c r="LX901" s="140"/>
      <c r="LY901" s="140"/>
      <c r="LZ901" s="140"/>
      <c r="MA901" s="140"/>
      <c r="MB901" s="140"/>
      <c r="MC901" s="140"/>
      <c r="MD901" s="140"/>
      <c r="ME901" s="140"/>
      <c r="MF901" s="140"/>
      <c r="MG901" s="140"/>
      <c r="MH901" s="140"/>
      <c r="MI901" s="140"/>
      <c r="MJ901" s="140"/>
      <c r="MK901" s="140"/>
      <c r="ML901" s="140"/>
    </row>
    <row r="902" spans="3:350" s="4" customFormat="1" ht="15" customHeight="1" x14ac:dyDescent="0.3">
      <c r="C902" s="351" t="s">
        <v>402</v>
      </c>
      <c r="D902" s="159"/>
      <c r="E902" s="159"/>
      <c r="F902" s="352">
        <f>F903-F901</f>
        <v>703.5</v>
      </c>
      <c r="H902" s="140"/>
      <c r="I902" s="140"/>
      <c r="J902" s="140"/>
      <c r="K902" s="140"/>
      <c r="L902" s="140"/>
      <c r="M902" s="140"/>
      <c r="N902" s="140"/>
      <c r="O902" s="140"/>
      <c r="P902" s="140"/>
      <c r="Q902" s="140"/>
      <c r="R902" s="140"/>
      <c r="S902" s="140"/>
      <c r="T902" s="140"/>
      <c r="U902" s="140"/>
      <c r="V902" s="140"/>
      <c r="W902" s="140"/>
      <c r="X902" s="140"/>
      <c r="Y902" s="140"/>
      <c r="Z902" s="140"/>
      <c r="AA902" s="140"/>
      <c r="AB902" s="140"/>
      <c r="AC902" s="140"/>
      <c r="AD902" s="140"/>
      <c r="AE902" s="140"/>
      <c r="AF902" s="140"/>
      <c r="AG902" s="140"/>
      <c r="AH902" s="140"/>
      <c r="AI902" s="140"/>
      <c r="AJ902" s="140"/>
      <c r="AK902" s="140"/>
      <c r="AL902" s="140"/>
      <c r="AM902" s="140"/>
      <c r="AN902" s="140"/>
      <c r="AO902" s="140"/>
      <c r="AP902" s="140"/>
      <c r="AQ902" s="140"/>
      <c r="AR902" s="140"/>
      <c r="AS902" s="140"/>
      <c r="AT902" s="140"/>
      <c r="AU902" s="140"/>
      <c r="AV902" s="140"/>
      <c r="AW902" s="140"/>
      <c r="AX902" s="140"/>
      <c r="AY902" s="140"/>
      <c r="AZ902" s="140"/>
      <c r="BA902" s="140"/>
      <c r="BB902" s="140"/>
      <c r="BC902" s="140"/>
      <c r="BD902" s="140"/>
      <c r="BE902" s="140"/>
      <c r="BF902" s="140"/>
      <c r="BG902" s="140"/>
      <c r="BH902" s="140"/>
      <c r="BI902" s="140"/>
      <c r="BJ902" s="140"/>
      <c r="BK902" s="140"/>
      <c r="BL902" s="140"/>
      <c r="BM902" s="140"/>
      <c r="BN902" s="140"/>
      <c r="BO902" s="140"/>
      <c r="BP902" s="140"/>
      <c r="BQ902" s="140"/>
      <c r="BR902" s="140"/>
      <c r="BS902" s="140"/>
      <c r="BT902" s="140"/>
      <c r="BU902" s="140"/>
      <c r="BV902" s="140"/>
      <c r="BW902" s="140"/>
      <c r="BX902" s="140"/>
      <c r="BY902" s="140"/>
      <c r="BZ902" s="140"/>
      <c r="CA902" s="140"/>
      <c r="CB902" s="140"/>
      <c r="CC902" s="140"/>
      <c r="CD902" s="140"/>
      <c r="CE902" s="140"/>
      <c r="CF902" s="140"/>
      <c r="CG902" s="140"/>
      <c r="CH902" s="140"/>
      <c r="CI902" s="140"/>
      <c r="CJ902" s="140"/>
      <c r="CK902" s="140"/>
      <c r="CL902" s="140"/>
      <c r="CM902" s="140"/>
      <c r="CN902" s="140"/>
      <c r="CO902" s="140"/>
      <c r="CP902" s="140"/>
      <c r="CQ902" s="140"/>
      <c r="CR902" s="140"/>
      <c r="CS902" s="140"/>
      <c r="CT902" s="140"/>
      <c r="CU902" s="140"/>
      <c r="CV902" s="140"/>
      <c r="CW902" s="140"/>
      <c r="CX902" s="140"/>
      <c r="CY902" s="140"/>
      <c r="CZ902" s="140"/>
      <c r="DA902" s="140"/>
      <c r="DB902" s="140"/>
      <c r="DC902" s="140"/>
      <c r="DD902" s="140"/>
      <c r="DE902" s="140"/>
      <c r="DF902" s="140"/>
      <c r="DG902" s="140"/>
      <c r="DH902" s="140"/>
      <c r="DI902" s="140"/>
      <c r="DJ902" s="140"/>
      <c r="DK902" s="140"/>
      <c r="DL902" s="140"/>
      <c r="DM902" s="140"/>
      <c r="DN902" s="140"/>
      <c r="DO902" s="140"/>
      <c r="DP902" s="140"/>
      <c r="DQ902" s="140"/>
      <c r="DR902" s="140"/>
      <c r="DS902" s="140"/>
      <c r="DT902" s="140"/>
      <c r="DU902" s="140"/>
      <c r="DV902" s="140"/>
      <c r="DW902" s="140"/>
      <c r="DX902" s="140"/>
      <c r="DY902" s="140"/>
      <c r="DZ902" s="140"/>
      <c r="EA902" s="140"/>
      <c r="EB902" s="140"/>
      <c r="EC902" s="140"/>
      <c r="ED902" s="140"/>
      <c r="EE902" s="140"/>
      <c r="EF902" s="140"/>
      <c r="EG902" s="140"/>
      <c r="EH902" s="140"/>
      <c r="EI902" s="140"/>
      <c r="EJ902" s="140"/>
      <c r="EK902" s="140"/>
      <c r="EL902" s="140"/>
      <c r="EM902" s="140"/>
      <c r="EN902" s="140"/>
      <c r="EO902" s="140"/>
      <c r="EP902" s="140"/>
      <c r="EQ902" s="140"/>
      <c r="ER902" s="140"/>
      <c r="ES902" s="140"/>
      <c r="ET902" s="140"/>
      <c r="EU902" s="140"/>
      <c r="EV902" s="140"/>
      <c r="EW902" s="140"/>
      <c r="EX902" s="140"/>
      <c r="EY902" s="140"/>
      <c r="EZ902" s="140"/>
      <c r="FA902" s="140"/>
      <c r="FB902" s="140"/>
      <c r="FC902" s="140"/>
      <c r="FD902" s="140"/>
      <c r="FE902" s="140"/>
      <c r="FF902" s="140"/>
      <c r="FG902" s="140"/>
      <c r="FH902" s="140"/>
      <c r="FI902" s="140"/>
      <c r="FJ902" s="140"/>
      <c r="FK902" s="140"/>
      <c r="FL902" s="140"/>
      <c r="FM902" s="140"/>
      <c r="FN902" s="140"/>
      <c r="FO902" s="140"/>
      <c r="FP902" s="140"/>
      <c r="FQ902" s="140"/>
      <c r="FR902" s="140"/>
      <c r="FS902" s="140"/>
      <c r="FT902" s="140"/>
      <c r="FU902" s="140"/>
      <c r="FV902" s="140"/>
      <c r="FW902" s="140"/>
      <c r="FX902" s="140"/>
      <c r="FY902" s="140"/>
      <c r="FZ902" s="140"/>
      <c r="GA902" s="140"/>
      <c r="GB902" s="140"/>
      <c r="GC902" s="140"/>
      <c r="GD902" s="140"/>
      <c r="GE902" s="140"/>
      <c r="GF902" s="140"/>
      <c r="GG902" s="140"/>
      <c r="GH902" s="140"/>
      <c r="GI902" s="140"/>
      <c r="GJ902" s="140"/>
      <c r="GK902" s="140"/>
      <c r="GL902" s="140"/>
      <c r="GM902" s="140"/>
      <c r="GN902" s="140"/>
      <c r="GO902" s="140"/>
      <c r="GP902" s="140"/>
      <c r="GQ902" s="140"/>
      <c r="GR902" s="140"/>
      <c r="GS902" s="140"/>
      <c r="GT902" s="140"/>
      <c r="GU902" s="140"/>
      <c r="GV902" s="140"/>
      <c r="GW902" s="140"/>
      <c r="GX902" s="140"/>
      <c r="GY902" s="140"/>
      <c r="GZ902" s="140"/>
      <c r="HA902" s="140"/>
      <c r="HB902" s="140"/>
      <c r="HC902" s="140"/>
      <c r="HD902" s="140"/>
      <c r="HE902" s="140"/>
      <c r="HF902" s="140"/>
      <c r="HG902" s="140"/>
      <c r="HH902" s="140"/>
      <c r="HI902" s="140"/>
      <c r="HJ902" s="140"/>
      <c r="HK902" s="140"/>
      <c r="HL902" s="140"/>
      <c r="HM902" s="140"/>
      <c r="HN902" s="140"/>
      <c r="HO902" s="140"/>
      <c r="HP902" s="140"/>
      <c r="HQ902" s="140"/>
      <c r="HR902" s="140"/>
      <c r="HS902" s="140"/>
      <c r="HT902" s="140"/>
      <c r="HU902" s="140"/>
      <c r="HV902" s="140"/>
      <c r="HW902" s="140"/>
      <c r="HX902" s="140"/>
      <c r="HY902" s="140"/>
      <c r="HZ902" s="140"/>
      <c r="IA902" s="140"/>
      <c r="IB902" s="140"/>
      <c r="IC902" s="140"/>
      <c r="ID902" s="140"/>
      <c r="IE902" s="140"/>
      <c r="IF902" s="140"/>
      <c r="IG902" s="140"/>
      <c r="IH902" s="140"/>
      <c r="II902" s="140"/>
      <c r="IJ902" s="140"/>
      <c r="IK902" s="140"/>
      <c r="IL902" s="140"/>
      <c r="IM902" s="140"/>
      <c r="IN902" s="140"/>
      <c r="IO902" s="140"/>
      <c r="IP902" s="140"/>
      <c r="IQ902" s="140"/>
      <c r="IR902" s="140"/>
      <c r="IS902" s="140"/>
      <c r="IT902" s="140"/>
      <c r="IU902" s="140"/>
      <c r="IV902" s="140"/>
      <c r="IW902" s="140"/>
      <c r="IX902" s="140"/>
      <c r="IY902" s="140"/>
      <c r="IZ902" s="140"/>
      <c r="JA902" s="140"/>
      <c r="JB902" s="140"/>
      <c r="JC902" s="140"/>
      <c r="JD902" s="140"/>
      <c r="JE902" s="140"/>
      <c r="JF902" s="140"/>
      <c r="JG902" s="140"/>
      <c r="JH902" s="140"/>
      <c r="JI902" s="140"/>
      <c r="JJ902" s="140"/>
      <c r="JK902" s="140"/>
      <c r="JL902" s="140"/>
      <c r="JM902" s="140"/>
      <c r="JN902" s="140"/>
      <c r="JO902" s="140"/>
      <c r="JP902" s="140"/>
      <c r="JQ902" s="140"/>
      <c r="JR902" s="140"/>
      <c r="JS902" s="140"/>
      <c r="JT902" s="140"/>
      <c r="JU902" s="140"/>
      <c r="JV902" s="140"/>
      <c r="JW902" s="140"/>
      <c r="JX902" s="140"/>
      <c r="JY902" s="140"/>
      <c r="JZ902" s="140"/>
      <c r="KA902" s="140"/>
      <c r="KB902" s="140"/>
      <c r="KC902" s="140"/>
      <c r="KD902" s="140"/>
      <c r="KE902" s="140"/>
      <c r="KF902" s="140"/>
      <c r="KG902" s="140"/>
      <c r="KH902" s="140"/>
      <c r="KI902" s="140"/>
      <c r="KJ902" s="140"/>
      <c r="KK902" s="140"/>
      <c r="KL902" s="140"/>
      <c r="KM902" s="140"/>
      <c r="KN902" s="140"/>
      <c r="KO902" s="140"/>
      <c r="KP902" s="140"/>
      <c r="KQ902" s="140"/>
      <c r="KR902" s="140"/>
      <c r="KS902" s="140"/>
      <c r="KT902" s="140"/>
      <c r="KU902" s="140"/>
      <c r="KV902" s="140"/>
      <c r="KW902" s="140"/>
      <c r="KX902" s="140"/>
      <c r="KY902" s="140"/>
      <c r="KZ902" s="140"/>
      <c r="LA902" s="140"/>
      <c r="LB902" s="140"/>
      <c r="LC902" s="140"/>
      <c r="LD902" s="140"/>
      <c r="LE902" s="140"/>
      <c r="LF902" s="140"/>
      <c r="LG902" s="140"/>
      <c r="LH902" s="140"/>
      <c r="LI902" s="140"/>
      <c r="LJ902" s="140"/>
      <c r="LK902" s="140"/>
      <c r="LL902" s="140"/>
      <c r="LM902" s="140"/>
      <c r="LN902" s="140"/>
      <c r="LO902" s="140"/>
      <c r="LP902" s="140"/>
      <c r="LQ902" s="140"/>
      <c r="LR902" s="140"/>
      <c r="LS902" s="140"/>
      <c r="LT902" s="140"/>
      <c r="LU902" s="140"/>
      <c r="LV902" s="140"/>
      <c r="LW902" s="140"/>
      <c r="LX902" s="140"/>
      <c r="LY902" s="140"/>
      <c r="LZ902" s="140"/>
      <c r="MA902" s="140"/>
      <c r="MB902" s="140"/>
      <c r="MC902" s="140"/>
      <c r="MD902" s="140"/>
      <c r="ME902" s="140"/>
      <c r="MF902" s="140"/>
      <c r="MG902" s="140"/>
      <c r="MH902" s="140"/>
      <c r="MI902" s="140"/>
      <c r="MJ902" s="140"/>
      <c r="MK902" s="140"/>
      <c r="ML902" s="140"/>
    </row>
    <row r="903" spans="3:350" s="4" customFormat="1" ht="15" customHeight="1" x14ac:dyDescent="0.3">
      <c r="C903" s="351" t="s">
        <v>106</v>
      </c>
      <c r="D903" s="159"/>
      <c r="E903" s="159"/>
      <c r="F903" s="352">
        <f>F901/0.4</f>
        <v>1172.5</v>
      </c>
      <c r="H903" s="140"/>
      <c r="I903" s="140"/>
      <c r="J903" s="140"/>
      <c r="K903" s="140"/>
      <c r="L903" s="140"/>
      <c r="M903" s="140"/>
      <c r="N903" s="140"/>
      <c r="O903" s="140"/>
      <c r="P903" s="140"/>
      <c r="Q903" s="140"/>
      <c r="R903" s="140"/>
      <c r="S903" s="140"/>
      <c r="T903" s="140"/>
      <c r="U903" s="140"/>
      <c r="V903" s="140"/>
      <c r="W903" s="140"/>
      <c r="X903" s="140"/>
      <c r="Y903" s="140"/>
      <c r="Z903" s="140"/>
      <c r="AA903" s="140"/>
      <c r="AB903" s="140"/>
      <c r="AC903" s="140"/>
      <c r="AD903" s="140"/>
      <c r="AE903" s="140"/>
      <c r="AF903" s="140"/>
      <c r="AG903" s="140"/>
      <c r="AH903" s="140"/>
      <c r="AI903" s="140"/>
      <c r="AJ903" s="140"/>
      <c r="AK903" s="140"/>
      <c r="AL903" s="140"/>
      <c r="AM903" s="140"/>
      <c r="AN903" s="140"/>
      <c r="AO903" s="140"/>
      <c r="AP903" s="140"/>
      <c r="AQ903" s="140"/>
      <c r="AR903" s="140"/>
      <c r="AS903" s="140"/>
      <c r="AT903" s="140"/>
      <c r="AU903" s="140"/>
      <c r="AV903" s="140"/>
      <c r="AW903" s="140"/>
      <c r="AX903" s="140"/>
      <c r="AY903" s="140"/>
      <c r="AZ903" s="140"/>
      <c r="BA903" s="140"/>
      <c r="BB903" s="140"/>
      <c r="BC903" s="140"/>
      <c r="BD903" s="140"/>
      <c r="BE903" s="140"/>
      <c r="BF903" s="140"/>
      <c r="BG903" s="140"/>
      <c r="BH903" s="140"/>
      <c r="BI903" s="140"/>
      <c r="BJ903" s="140"/>
      <c r="BK903" s="140"/>
      <c r="BL903" s="140"/>
      <c r="BM903" s="140"/>
      <c r="BN903" s="140"/>
      <c r="BO903" s="140"/>
      <c r="BP903" s="140"/>
      <c r="BQ903" s="140"/>
      <c r="BR903" s="140"/>
      <c r="BS903" s="140"/>
      <c r="BT903" s="140"/>
      <c r="BU903" s="140"/>
      <c r="BV903" s="140"/>
      <c r="BW903" s="140"/>
      <c r="BX903" s="140"/>
      <c r="BY903" s="140"/>
      <c r="BZ903" s="140"/>
      <c r="CA903" s="140"/>
      <c r="CB903" s="140"/>
      <c r="CC903" s="140"/>
      <c r="CD903" s="140"/>
      <c r="CE903" s="140"/>
      <c r="CF903" s="140"/>
      <c r="CG903" s="140"/>
      <c r="CH903" s="140"/>
      <c r="CI903" s="140"/>
      <c r="CJ903" s="140"/>
      <c r="CK903" s="140"/>
      <c r="CL903" s="140"/>
      <c r="CM903" s="140"/>
      <c r="CN903" s="140"/>
      <c r="CO903" s="140"/>
      <c r="CP903" s="140"/>
      <c r="CQ903" s="140"/>
      <c r="CR903" s="140"/>
      <c r="CS903" s="140"/>
      <c r="CT903" s="140"/>
      <c r="CU903" s="140"/>
      <c r="CV903" s="140"/>
      <c r="CW903" s="140"/>
      <c r="CX903" s="140"/>
      <c r="CY903" s="140"/>
      <c r="CZ903" s="140"/>
      <c r="DA903" s="140"/>
      <c r="DB903" s="140"/>
      <c r="DC903" s="140"/>
      <c r="DD903" s="140"/>
      <c r="DE903" s="140"/>
      <c r="DF903" s="140"/>
      <c r="DG903" s="140"/>
      <c r="DH903" s="140"/>
      <c r="DI903" s="140"/>
      <c r="DJ903" s="140"/>
      <c r="DK903" s="140"/>
      <c r="DL903" s="140"/>
      <c r="DM903" s="140"/>
      <c r="DN903" s="140"/>
      <c r="DO903" s="140"/>
      <c r="DP903" s="140"/>
      <c r="DQ903" s="140"/>
      <c r="DR903" s="140"/>
      <c r="DS903" s="140"/>
      <c r="DT903" s="140"/>
      <c r="DU903" s="140"/>
      <c r="DV903" s="140"/>
      <c r="DW903" s="140"/>
      <c r="DX903" s="140"/>
      <c r="DY903" s="140"/>
      <c r="DZ903" s="140"/>
      <c r="EA903" s="140"/>
      <c r="EB903" s="140"/>
      <c r="EC903" s="140"/>
      <c r="ED903" s="140"/>
      <c r="EE903" s="140"/>
      <c r="EF903" s="140"/>
      <c r="EG903" s="140"/>
      <c r="EH903" s="140"/>
      <c r="EI903" s="140"/>
      <c r="EJ903" s="140"/>
      <c r="EK903" s="140"/>
      <c r="EL903" s="140"/>
      <c r="EM903" s="140"/>
      <c r="EN903" s="140"/>
      <c r="EO903" s="140"/>
      <c r="EP903" s="140"/>
      <c r="EQ903" s="140"/>
      <c r="ER903" s="140"/>
      <c r="ES903" s="140"/>
      <c r="ET903" s="140"/>
      <c r="EU903" s="140"/>
      <c r="EV903" s="140"/>
      <c r="EW903" s="140"/>
      <c r="EX903" s="140"/>
      <c r="EY903" s="140"/>
      <c r="EZ903" s="140"/>
      <c r="FA903" s="140"/>
      <c r="FB903" s="140"/>
      <c r="FC903" s="140"/>
      <c r="FD903" s="140"/>
      <c r="FE903" s="140"/>
      <c r="FF903" s="140"/>
      <c r="FG903" s="140"/>
      <c r="FH903" s="140"/>
      <c r="FI903" s="140"/>
      <c r="FJ903" s="140"/>
      <c r="FK903" s="140"/>
      <c r="FL903" s="140"/>
      <c r="FM903" s="140"/>
      <c r="FN903" s="140"/>
      <c r="FO903" s="140"/>
      <c r="FP903" s="140"/>
      <c r="FQ903" s="140"/>
      <c r="FR903" s="140"/>
      <c r="FS903" s="140"/>
      <c r="FT903" s="140"/>
      <c r="FU903" s="140"/>
      <c r="FV903" s="140"/>
      <c r="FW903" s="140"/>
      <c r="FX903" s="140"/>
      <c r="FY903" s="140"/>
      <c r="FZ903" s="140"/>
      <c r="GA903" s="140"/>
      <c r="GB903" s="140"/>
      <c r="GC903" s="140"/>
      <c r="GD903" s="140"/>
      <c r="GE903" s="140"/>
      <c r="GF903" s="140"/>
      <c r="GG903" s="140"/>
      <c r="GH903" s="140"/>
      <c r="GI903" s="140"/>
      <c r="GJ903" s="140"/>
      <c r="GK903" s="140"/>
      <c r="GL903" s="140"/>
      <c r="GM903" s="140"/>
      <c r="GN903" s="140"/>
      <c r="GO903" s="140"/>
      <c r="GP903" s="140"/>
      <c r="GQ903" s="140"/>
      <c r="GR903" s="140"/>
      <c r="GS903" s="140"/>
      <c r="GT903" s="140"/>
      <c r="GU903" s="140"/>
      <c r="GV903" s="140"/>
      <c r="GW903" s="140"/>
      <c r="GX903" s="140"/>
      <c r="GY903" s="140"/>
      <c r="GZ903" s="140"/>
      <c r="HA903" s="140"/>
      <c r="HB903" s="140"/>
      <c r="HC903" s="140"/>
      <c r="HD903" s="140"/>
      <c r="HE903" s="140"/>
      <c r="HF903" s="140"/>
      <c r="HG903" s="140"/>
      <c r="HH903" s="140"/>
      <c r="HI903" s="140"/>
      <c r="HJ903" s="140"/>
      <c r="HK903" s="140"/>
      <c r="HL903" s="140"/>
      <c r="HM903" s="140"/>
      <c r="HN903" s="140"/>
      <c r="HO903" s="140"/>
      <c r="HP903" s="140"/>
      <c r="HQ903" s="140"/>
      <c r="HR903" s="140"/>
      <c r="HS903" s="140"/>
      <c r="HT903" s="140"/>
      <c r="HU903" s="140"/>
      <c r="HV903" s="140"/>
      <c r="HW903" s="140"/>
      <c r="HX903" s="140"/>
      <c r="HY903" s="140"/>
      <c r="HZ903" s="140"/>
      <c r="IA903" s="140"/>
      <c r="IB903" s="140"/>
      <c r="IC903" s="140"/>
      <c r="ID903" s="140"/>
      <c r="IE903" s="140"/>
      <c r="IF903" s="140"/>
      <c r="IG903" s="140"/>
      <c r="IH903" s="140"/>
      <c r="II903" s="140"/>
      <c r="IJ903" s="140"/>
      <c r="IK903" s="140"/>
      <c r="IL903" s="140"/>
      <c r="IM903" s="140"/>
      <c r="IN903" s="140"/>
      <c r="IO903" s="140"/>
      <c r="IP903" s="140"/>
      <c r="IQ903" s="140"/>
      <c r="IR903" s="140"/>
      <c r="IS903" s="140"/>
      <c r="IT903" s="140"/>
      <c r="IU903" s="140"/>
      <c r="IV903" s="140"/>
      <c r="IW903" s="140"/>
      <c r="IX903" s="140"/>
      <c r="IY903" s="140"/>
      <c r="IZ903" s="140"/>
      <c r="JA903" s="140"/>
      <c r="JB903" s="140"/>
      <c r="JC903" s="140"/>
      <c r="JD903" s="140"/>
      <c r="JE903" s="140"/>
      <c r="JF903" s="140"/>
      <c r="JG903" s="140"/>
      <c r="JH903" s="140"/>
      <c r="JI903" s="140"/>
      <c r="JJ903" s="140"/>
      <c r="JK903" s="140"/>
      <c r="JL903" s="140"/>
      <c r="JM903" s="140"/>
      <c r="JN903" s="140"/>
      <c r="JO903" s="140"/>
      <c r="JP903" s="140"/>
      <c r="JQ903" s="140"/>
      <c r="JR903" s="140"/>
      <c r="JS903" s="140"/>
      <c r="JT903" s="140"/>
      <c r="JU903" s="140"/>
      <c r="JV903" s="140"/>
      <c r="JW903" s="140"/>
      <c r="JX903" s="140"/>
      <c r="JY903" s="140"/>
      <c r="JZ903" s="140"/>
      <c r="KA903" s="140"/>
      <c r="KB903" s="140"/>
      <c r="KC903" s="140"/>
      <c r="KD903" s="140"/>
      <c r="KE903" s="140"/>
      <c r="KF903" s="140"/>
      <c r="KG903" s="140"/>
      <c r="KH903" s="140"/>
      <c r="KI903" s="140"/>
      <c r="KJ903" s="140"/>
      <c r="KK903" s="140"/>
      <c r="KL903" s="140"/>
      <c r="KM903" s="140"/>
      <c r="KN903" s="140"/>
      <c r="KO903" s="140"/>
      <c r="KP903" s="140"/>
      <c r="KQ903" s="140"/>
      <c r="KR903" s="140"/>
      <c r="KS903" s="140"/>
      <c r="KT903" s="140"/>
      <c r="KU903" s="140"/>
      <c r="KV903" s="140"/>
      <c r="KW903" s="140"/>
      <c r="KX903" s="140"/>
      <c r="KY903" s="140"/>
      <c r="KZ903" s="140"/>
      <c r="LA903" s="140"/>
      <c r="LB903" s="140"/>
      <c r="LC903" s="140"/>
      <c r="LD903" s="140"/>
      <c r="LE903" s="140"/>
      <c r="LF903" s="140"/>
      <c r="LG903" s="140"/>
      <c r="LH903" s="140"/>
      <c r="LI903" s="140"/>
      <c r="LJ903" s="140"/>
      <c r="LK903" s="140"/>
      <c r="LL903" s="140"/>
      <c r="LM903" s="140"/>
      <c r="LN903" s="140"/>
      <c r="LO903" s="140"/>
      <c r="LP903" s="140"/>
      <c r="LQ903" s="140"/>
      <c r="LR903" s="140"/>
      <c r="LS903" s="140"/>
      <c r="LT903" s="140"/>
      <c r="LU903" s="140"/>
      <c r="LV903" s="140"/>
      <c r="LW903" s="140"/>
      <c r="LX903" s="140"/>
      <c r="LY903" s="140"/>
      <c r="LZ903" s="140"/>
      <c r="MA903" s="140"/>
      <c r="MB903" s="140"/>
      <c r="MC903" s="140"/>
      <c r="MD903" s="140"/>
      <c r="ME903" s="140"/>
      <c r="MF903" s="140"/>
      <c r="MG903" s="140"/>
      <c r="MH903" s="140"/>
      <c r="MI903" s="140"/>
      <c r="MJ903" s="140"/>
      <c r="MK903" s="140"/>
      <c r="ML903" s="140"/>
    </row>
    <row r="904" spans="3:350" s="4" customFormat="1" ht="15" customHeight="1" x14ac:dyDescent="0.3">
      <c r="C904" s="159"/>
      <c r="D904" s="159"/>
      <c r="E904" s="159"/>
      <c r="F904" s="353"/>
      <c r="H904" s="140"/>
      <c r="I904" s="140"/>
      <c r="J904" s="140"/>
      <c r="K904" s="140"/>
      <c r="L904" s="140"/>
      <c r="M904" s="140"/>
      <c r="N904" s="140"/>
      <c r="O904" s="140"/>
      <c r="P904" s="140"/>
      <c r="Q904" s="140"/>
      <c r="R904" s="140"/>
      <c r="S904" s="140"/>
      <c r="T904" s="140"/>
      <c r="U904" s="140"/>
      <c r="V904" s="140"/>
      <c r="W904" s="140"/>
      <c r="X904" s="140"/>
      <c r="Y904" s="140"/>
      <c r="Z904" s="140"/>
      <c r="AA904" s="140"/>
      <c r="AB904" s="140"/>
      <c r="AC904" s="140"/>
      <c r="AD904" s="140"/>
      <c r="AE904" s="140"/>
      <c r="AF904" s="140"/>
      <c r="AG904" s="140"/>
      <c r="AH904" s="140"/>
      <c r="AI904" s="140"/>
      <c r="AJ904" s="140"/>
      <c r="AK904" s="140"/>
      <c r="AL904" s="140"/>
      <c r="AM904" s="140"/>
      <c r="AN904" s="140"/>
      <c r="AO904" s="140"/>
      <c r="AP904" s="140"/>
      <c r="AQ904" s="140"/>
      <c r="AR904" s="140"/>
      <c r="AS904" s="140"/>
      <c r="AT904" s="140"/>
      <c r="AU904" s="140"/>
      <c r="AV904" s="140"/>
      <c r="AW904" s="140"/>
      <c r="AX904" s="140"/>
      <c r="AY904" s="140"/>
      <c r="AZ904" s="140"/>
      <c r="BA904" s="140"/>
      <c r="BB904" s="140"/>
      <c r="BC904" s="140"/>
      <c r="BD904" s="140"/>
      <c r="BE904" s="140"/>
      <c r="BF904" s="140"/>
      <c r="BG904" s="140"/>
      <c r="BH904" s="140"/>
      <c r="BI904" s="140"/>
      <c r="BJ904" s="140"/>
      <c r="BK904" s="140"/>
      <c r="BL904" s="140"/>
      <c r="BM904" s="140"/>
      <c r="BN904" s="140"/>
      <c r="BO904" s="140"/>
      <c r="BP904" s="140"/>
      <c r="BQ904" s="140"/>
      <c r="BR904" s="140"/>
      <c r="BS904" s="140"/>
      <c r="BT904" s="140"/>
      <c r="BU904" s="140"/>
      <c r="BV904" s="140"/>
      <c r="BW904" s="140"/>
      <c r="BX904" s="140"/>
      <c r="BY904" s="140"/>
      <c r="BZ904" s="140"/>
      <c r="CA904" s="140"/>
      <c r="CB904" s="140"/>
      <c r="CC904" s="140"/>
      <c r="CD904" s="140"/>
      <c r="CE904" s="140"/>
      <c r="CF904" s="140"/>
      <c r="CG904" s="140"/>
      <c r="CH904" s="140"/>
      <c r="CI904" s="140"/>
      <c r="CJ904" s="140"/>
      <c r="CK904" s="140"/>
      <c r="CL904" s="140"/>
      <c r="CM904" s="140"/>
      <c r="CN904" s="140"/>
      <c r="CO904" s="140"/>
      <c r="CP904" s="140"/>
      <c r="CQ904" s="140"/>
      <c r="CR904" s="140"/>
      <c r="CS904" s="140"/>
      <c r="CT904" s="140"/>
      <c r="CU904" s="140"/>
      <c r="CV904" s="140"/>
      <c r="CW904" s="140"/>
      <c r="CX904" s="140"/>
      <c r="CY904" s="140"/>
      <c r="CZ904" s="140"/>
      <c r="DA904" s="140"/>
      <c r="DB904" s="140"/>
      <c r="DC904" s="140"/>
      <c r="DD904" s="140"/>
      <c r="DE904" s="140"/>
      <c r="DF904" s="140"/>
      <c r="DG904" s="140"/>
      <c r="DH904" s="140"/>
      <c r="DI904" s="140"/>
      <c r="DJ904" s="140"/>
      <c r="DK904" s="140"/>
      <c r="DL904" s="140"/>
      <c r="DM904" s="140"/>
      <c r="DN904" s="140"/>
      <c r="DO904" s="140"/>
      <c r="DP904" s="140"/>
      <c r="DQ904" s="140"/>
      <c r="DR904" s="140"/>
      <c r="DS904" s="140"/>
      <c r="DT904" s="140"/>
      <c r="DU904" s="140"/>
      <c r="DV904" s="140"/>
      <c r="DW904" s="140"/>
      <c r="DX904" s="140"/>
      <c r="DY904" s="140"/>
      <c r="DZ904" s="140"/>
      <c r="EA904" s="140"/>
      <c r="EB904" s="140"/>
      <c r="EC904" s="140"/>
      <c r="ED904" s="140"/>
      <c r="EE904" s="140"/>
      <c r="EF904" s="140"/>
      <c r="EG904" s="140"/>
      <c r="EH904" s="140"/>
      <c r="EI904" s="140"/>
      <c r="EJ904" s="140"/>
      <c r="EK904" s="140"/>
      <c r="EL904" s="140"/>
      <c r="EM904" s="140"/>
      <c r="EN904" s="140"/>
      <c r="EO904" s="140"/>
      <c r="EP904" s="140"/>
      <c r="EQ904" s="140"/>
      <c r="ER904" s="140"/>
      <c r="ES904" s="140"/>
      <c r="ET904" s="140"/>
      <c r="EU904" s="140"/>
      <c r="EV904" s="140"/>
      <c r="EW904" s="140"/>
      <c r="EX904" s="140"/>
      <c r="EY904" s="140"/>
      <c r="EZ904" s="140"/>
      <c r="FA904" s="140"/>
      <c r="FB904" s="140"/>
      <c r="FC904" s="140"/>
      <c r="FD904" s="140"/>
      <c r="FE904" s="140"/>
      <c r="FF904" s="140"/>
      <c r="FG904" s="140"/>
      <c r="FH904" s="140"/>
      <c r="FI904" s="140"/>
      <c r="FJ904" s="140"/>
      <c r="FK904" s="140"/>
      <c r="FL904" s="140"/>
      <c r="FM904" s="140"/>
      <c r="FN904" s="140"/>
      <c r="FO904" s="140"/>
      <c r="FP904" s="140"/>
      <c r="FQ904" s="140"/>
      <c r="FR904" s="140"/>
      <c r="FS904" s="140"/>
      <c r="FT904" s="140"/>
      <c r="FU904" s="140"/>
      <c r="FV904" s="140"/>
      <c r="FW904" s="140"/>
      <c r="FX904" s="140"/>
      <c r="FY904" s="140"/>
      <c r="FZ904" s="140"/>
      <c r="GA904" s="140"/>
      <c r="GB904" s="140"/>
      <c r="GC904" s="140"/>
      <c r="GD904" s="140"/>
      <c r="GE904" s="140"/>
      <c r="GF904" s="140"/>
      <c r="GG904" s="140"/>
      <c r="GH904" s="140"/>
      <c r="GI904" s="140"/>
      <c r="GJ904" s="140"/>
      <c r="GK904" s="140"/>
      <c r="GL904" s="140"/>
      <c r="GM904" s="140"/>
      <c r="GN904" s="140"/>
      <c r="GO904" s="140"/>
      <c r="GP904" s="140"/>
      <c r="GQ904" s="140"/>
      <c r="GR904" s="140"/>
      <c r="GS904" s="140"/>
      <c r="GT904" s="140"/>
      <c r="GU904" s="140"/>
      <c r="GV904" s="140"/>
      <c r="GW904" s="140"/>
      <c r="GX904" s="140"/>
      <c r="GY904" s="140"/>
      <c r="GZ904" s="140"/>
      <c r="HA904" s="140"/>
      <c r="HB904" s="140"/>
      <c r="HC904" s="140"/>
      <c r="HD904" s="140"/>
      <c r="HE904" s="140"/>
      <c r="HF904" s="140"/>
      <c r="HG904" s="140"/>
      <c r="HH904" s="140"/>
      <c r="HI904" s="140"/>
      <c r="HJ904" s="140"/>
      <c r="HK904" s="140"/>
      <c r="HL904" s="140"/>
      <c r="HM904" s="140"/>
      <c r="HN904" s="140"/>
      <c r="HO904" s="140"/>
      <c r="HP904" s="140"/>
      <c r="HQ904" s="140"/>
      <c r="HR904" s="140"/>
      <c r="HS904" s="140"/>
      <c r="HT904" s="140"/>
      <c r="HU904" s="140"/>
      <c r="HV904" s="140"/>
      <c r="HW904" s="140"/>
      <c r="HX904" s="140"/>
      <c r="HY904" s="140"/>
      <c r="HZ904" s="140"/>
      <c r="IA904" s="140"/>
      <c r="IB904" s="140"/>
      <c r="IC904" s="140"/>
      <c r="ID904" s="140"/>
      <c r="IE904" s="140"/>
      <c r="IF904" s="140"/>
      <c r="IG904" s="140"/>
      <c r="IH904" s="140"/>
      <c r="II904" s="140"/>
      <c r="IJ904" s="140"/>
      <c r="IK904" s="140"/>
      <c r="IL904" s="140"/>
      <c r="IM904" s="140"/>
      <c r="IN904" s="140"/>
      <c r="IO904" s="140"/>
      <c r="IP904" s="140"/>
      <c r="IQ904" s="140"/>
      <c r="IR904" s="140"/>
      <c r="IS904" s="140"/>
      <c r="IT904" s="140"/>
      <c r="IU904" s="140"/>
      <c r="IV904" s="140"/>
      <c r="IW904" s="140"/>
      <c r="IX904" s="140"/>
      <c r="IY904" s="140"/>
      <c r="IZ904" s="140"/>
      <c r="JA904" s="140"/>
      <c r="JB904" s="140"/>
      <c r="JC904" s="140"/>
      <c r="JD904" s="140"/>
      <c r="JE904" s="140"/>
      <c r="JF904" s="140"/>
      <c r="JG904" s="140"/>
      <c r="JH904" s="140"/>
      <c r="JI904" s="140"/>
      <c r="JJ904" s="140"/>
      <c r="JK904" s="140"/>
      <c r="JL904" s="140"/>
      <c r="JM904" s="140"/>
      <c r="JN904" s="140"/>
      <c r="JO904" s="140"/>
      <c r="JP904" s="140"/>
      <c r="JQ904" s="140"/>
      <c r="JR904" s="140"/>
      <c r="JS904" s="140"/>
      <c r="JT904" s="140"/>
      <c r="JU904" s="140"/>
      <c r="JV904" s="140"/>
      <c r="JW904" s="140"/>
      <c r="JX904" s="140"/>
      <c r="JY904" s="140"/>
      <c r="JZ904" s="140"/>
      <c r="KA904" s="140"/>
      <c r="KB904" s="140"/>
      <c r="KC904" s="140"/>
      <c r="KD904" s="140"/>
      <c r="KE904" s="140"/>
      <c r="KF904" s="140"/>
      <c r="KG904" s="140"/>
      <c r="KH904" s="140"/>
      <c r="KI904" s="140"/>
      <c r="KJ904" s="140"/>
      <c r="KK904" s="140"/>
      <c r="KL904" s="140"/>
      <c r="KM904" s="140"/>
      <c r="KN904" s="140"/>
      <c r="KO904" s="140"/>
      <c r="KP904" s="140"/>
      <c r="KQ904" s="140"/>
      <c r="KR904" s="140"/>
      <c r="KS904" s="140"/>
      <c r="KT904" s="140"/>
      <c r="KU904" s="140"/>
      <c r="KV904" s="140"/>
      <c r="KW904" s="140"/>
      <c r="KX904" s="140"/>
      <c r="KY904" s="140"/>
      <c r="KZ904" s="140"/>
      <c r="LA904" s="140"/>
      <c r="LB904" s="140"/>
      <c r="LC904" s="140"/>
      <c r="LD904" s="140"/>
      <c r="LE904" s="140"/>
      <c r="LF904" s="140"/>
      <c r="LG904" s="140"/>
      <c r="LH904" s="140"/>
      <c r="LI904" s="140"/>
      <c r="LJ904" s="140"/>
      <c r="LK904" s="140"/>
      <c r="LL904" s="140"/>
      <c r="LM904" s="140"/>
      <c r="LN904" s="140"/>
      <c r="LO904" s="140"/>
      <c r="LP904" s="140"/>
      <c r="LQ904" s="140"/>
      <c r="LR904" s="140"/>
      <c r="LS904" s="140"/>
      <c r="LT904" s="140"/>
      <c r="LU904" s="140"/>
      <c r="LV904" s="140"/>
      <c r="LW904" s="140"/>
      <c r="LX904" s="140"/>
      <c r="LY904" s="140"/>
      <c r="LZ904" s="140"/>
      <c r="MA904" s="140"/>
      <c r="MB904" s="140"/>
      <c r="MC904" s="140"/>
      <c r="MD904" s="140"/>
      <c r="ME904" s="140"/>
      <c r="MF904" s="140"/>
      <c r="MG904" s="140"/>
      <c r="MH904" s="140"/>
      <c r="MI904" s="140"/>
      <c r="MJ904" s="140"/>
      <c r="MK904" s="140"/>
      <c r="ML904" s="140"/>
    </row>
    <row r="905" spans="3:350" s="4" customFormat="1" ht="15" customHeight="1" x14ac:dyDescent="0.3">
      <c r="C905" s="159" t="s">
        <v>406</v>
      </c>
      <c r="D905" s="159"/>
      <c r="E905" s="159"/>
      <c r="F905" s="353">
        <f>F902/F901</f>
        <v>1.5</v>
      </c>
      <c r="H905" s="140"/>
      <c r="I905" s="140"/>
      <c r="J905" s="140"/>
      <c r="K905" s="140"/>
      <c r="L905" s="140"/>
      <c r="M905" s="140"/>
      <c r="N905" s="140"/>
      <c r="O905" s="140"/>
      <c r="P905" s="140"/>
      <c r="Q905" s="140"/>
      <c r="R905" s="140"/>
      <c r="S905" s="140"/>
      <c r="T905" s="140"/>
      <c r="U905" s="140"/>
      <c r="V905" s="140"/>
      <c r="W905" s="140"/>
      <c r="X905" s="140"/>
      <c r="Y905" s="140"/>
      <c r="Z905" s="140"/>
      <c r="AA905" s="140"/>
      <c r="AB905" s="140"/>
      <c r="AC905" s="140"/>
      <c r="AD905" s="140"/>
      <c r="AE905" s="140"/>
      <c r="AF905" s="140"/>
      <c r="AG905" s="140"/>
      <c r="AH905" s="140"/>
      <c r="AI905" s="140"/>
      <c r="AJ905" s="140"/>
      <c r="AK905" s="140"/>
      <c r="AL905" s="140"/>
      <c r="AM905" s="140"/>
      <c r="AN905" s="140"/>
      <c r="AO905" s="140"/>
      <c r="AP905" s="140"/>
      <c r="AQ905" s="140"/>
      <c r="AR905" s="140"/>
      <c r="AS905" s="140"/>
      <c r="AT905" s="140"/>
      <c r="AU905" s="140"/>
      <c r="AV905" s="140"/>
      <c r="AW905" s="140"/>
      <c r="AX905" s="140"/>
      <c r="AY905" s="140"/>
      <c r="AZ905" s="140"/>
      <c r="BA905" s="140"/>
      <c r="BB905" s="140"/>
      <c r="BC905" s="140"/>
      <c r="BD905" s="140"/>
      <c r="BE905" s="140"/>
      <c r="BF905" s="140"/>
      <c r="BG905" s="140"/>
      <c r="BH905" s="140"/>
      <c r="BI905" s="140"/>
      <c r="BJ905" s="140"/>
      <c r="BK905" s="140"/>
      <c r="BL905" s="140"/>
      <c r="BM905" s="140"/>
      <c r="BN905" s="140"/>
      <c r="BO905" s="140"/>
      <c r="BP905" s="140"/>
      <c r="BQ905" s="140"/>
      <c r="BR905" s="140"/>
      <c r="BS905" s="140"/>
      <c r="BT905" s="140"/>
      <c r="BU905" s="140"/>
      <c r="BV905" s="140"/>
      <c r="BW905" s="140"/>
      <c r="BX905" s="140"/>
      <c r="BY905" s="140"/>
      <c r="BZ905" s="140"/>
      <c r="CA905" s="140"/>
      <c r="CB905" s="140"/>
      <c r="CC905" s="140"/>
      <c r="CD905" s="140"/>
      <c r="CE905" s="140"/>
      <c r="CF905" s="140"/>
      <c r="CG905" s="140"/>
      <c r="CH905" s="140"/>
      <c r="CI905" s="140"/>
      <c r="CJ905" s="140"/>
      <c r="CK905" s="140"/>
      <c r="CL905" s="140"/>
      <c r="CM905" s="140"/>
      <c r="CN905" s="140"/>
      <c r="CO905" s="140"/>
      <c r="CP905" s="140"/>
      <c r="CQ905" s="140"/>
      <c r="CR905" s="140"/>
      <c r="CS905" s="140"/>
      <c r="CT905" s="140"/>
      <c r="CU905" s="140"/>
      <c r="CV905" s="140"/>
      <c r="CW905" s="140"/>
      <c r="CX905" s="140"/>
      <c r="CY905" s="140"/>
      <c r="CZ905" s="140"/>
      <c r="DA905" s="140"/>
      <c r="DB905" s="140"/>
      <c r="DC905" s="140"/>
      <c r="DD905" s="140"/>
      <c r="DE905" s="140"/>
      <c r="DF905" s="140"/>
      <c r="DG905" s="140"/>
      <c r="DH905" s="140"/>
      <c r="DI905" s="140"/>
      <c r="DJ905" s="140"/>
      <c r="DK905" s="140"/>
      <c r="DL905" s="140"/>
      <c r="DM905" s="140"/>
      <c r="DN905" s="140"/>
      <c r="DO905" s="140"/>
      <c r="DP905" s="140"/>
      <c r="DQ905" s="140"/>
      <c r="DR905" s="140"/>
      <c r="DS905" s="140"/>
      <c r="DT905" s="140"/>
      <c r="DU905" s="140"/>
      <c r="DV905" s="140"/>
      <c r="DW905" s="140"/>
      <c r="DX905" s="140"/>
      <c r="DY905" s="140"/>
      <c r="DZ905" s="140"/>
      <c r="EA905" s="140"/>
      <c r="EB905" s="140"/>
      <c r="EC905" s="140"/>
      <c r="ED905" s="140"/>
      <c r="EE905" s="140"/>
      <c r="EF905" s="140"/>
      <c r="EG905" s="140"/>
      <c r="EH905" s="140"/>
      <c r="EI905" s="140"/>
      <c r="EJ905" s="140"/>
      <c r="EK905" s="140"/>
      <c r="EL905" s="140"/>
      <c r="EM905" s="140"/>
      <c r="EN905" s="140"/>
      <c r="EO905" s="140"/>
      <c r="EP905" s="140"/>
      <c r="EQ905" s="140"/>
      <c r="ER905" s="140"/>
      <c r="ES905" s="140"/>
      <c r="ET905" s="140"/>
      <c r="EU905" s="140"/>
      <c r="EV905" s="140"/>
      <c r="EW905" s="140"/>
      <c r="EX905" s="140"/>
      <c r="EY905" s="140"/>
      <c r="EZ905" s="140"/>
      <c r="FA905" s="140"/>
      <c r="FB905" s="140"/>
      <c r="FC905" s="140"/>
      <c r="FD905" s="140"/>
      <c r="FE905" s="140"/>
      <c r="FF905" s="140"/>
      <c r="FG905" s="140"/>
      <c r="FH905" s="140"/>
      <c r="FI905" s="140"/>
      <c r="FJ905" s="140"/>
      <c r="FK905" s="140"/>
      <c r="FL905" s="140"/>
      <c r="FM905" s="140"/>
      <c r="FN905" s="140"/>
      <c r="FO905" s="140"/>
      <c r="FP905" s="140"/>
      <c r="FQ905" s="140"/>
      <c r="FR905" s="140"/>
      <c r="FS905" s="140"/>
      <c r="FT905" s="140"/>
      <c r="FU905" s="140"/>
      <c r="FV905" s="140"/>
      <c r="FW905" s="140"/>
      <c r="FX905" s="140"/>
      <c r="FY905" s="140"/>
      <c r="FZ905" s="140"/>
      <c r="GA905" s="140"/>
      <c r="GB905" s="140"/>
      <c r="GC905" s="140"/>
      <c r="GD905" s="140"/>
      <c r="GE905" s="140"/>
      <c r="GF905" s="140"/>
      <c r="GG905" s="140"/>
      <c r="GH905" s="140"/>
      <c r="GI905" s="140"/>
      <c r="GJ905" s="140"/>
      <c r="GK905" s="140"/>
      <c r="GL905" s="140"/>
      <c r="GM905" s="140"/>
      <c r="GN905" s="140"/>
      <c r="GO905" s="140"/>
      <c r="GP905" s="140"/>
      <c r="GQ905" s="140"/>
      <c r="GR905" s="140"/>
      <c r="GS905" s="140"/>
      <c r="GT905" s="140"/>
      <c r="GU905" s="140"/>
      <c r="GV905" s="140"/>
      <c r="GW905" s="140"/>
      <c r="GX905" s="140"/>
      <c r="GY905" s="140"/>
      <c r="GZ905" s="140"/>
      <c r="HA905" s="140"/>
      <c r="HB905" s="140"/>
      <c r="HC905" s="140"/>
      <c r="HD905" s="140"/>
      <c r="HE905" s="140"/>
      <c r="HF905" s="140"/>
      <c r="HG905" s="140"/>
      <c r="HH905" s="140"/>
      <c r="HI905" s="140"/>
      <c r="HJ905" s="140"/>
      <c r="HK905" s="140"/>
      <c r="HL905" s="140"/>
      <c r="HM905" s="140"/>
      <c r="HN905" s="140"/>
      <c r="HO905" s="140"/>
      <c r="HP905" s="140"/>
      <c r="HQ905" s="140"/>
      <c r="HR905" s="140"/>
      <c r="HS905" s="140"/>
      <c r="HT905" s="140"/>
      <c r="HU905" s="140"/>
      <c r="HV905" s="140"/>
      <c r="HW905" s="140"/>
      <c r="HX905" s="140"/>
      <c r="HY905" s="140"/>
      <c r="HZ905" s="140"/>
      <c r="IA905" s="140"/>
      <c r="IB905" s="140"/>
      <c r="IC905" s="140"/>
      <c r="ID905" s="140"/>
      <c r="IE905" s="140"/>
      <c r="IF905" s="140"/>
      <c r="IG905" s="140"/>
      <c r="IH905" s="140"/>
      <c r="II905" s="140"/>
      <c r="IJ905" s="140"/>
      <c r="IK905" s="140"/>
      <c r="IL905" s="140"/>
      <c r="IM905" s="140"/>
      <c r="IN905" s="140"/>
      <c r="IO905" s="140"/>
      <c r="IP905" s="140"/>
      <c r="IQ905" s="140"/>
      <c r="IR905" s="140"/>
      <c r="IS905" s="140"/>
      <c r="IT905" s="140"/>
      <c r="IU905" s="140"/>
      <c r="IV905" s="140"/>
      <c r="IW905" s="140"/>
      <c r="IX905" s="140"/>
      <c r="IY905" s="140"/>
      <c r="IZ905" s="140"/>
      <c r="JA905" s="140"/>
      <c r="JB905" s="140"/>
      <c r="JC905" s="140"/>
      <c r="JD905" s="140"/>
      <c r="JE905" s="140"/>
      <c r="JF905" s="140"/>
      <c r="JG905" s="140"/>
      <c r="JH905" s="140"/>
      <c r="JI905" s="140"/>
      <c r="JJ905" s="140"/>
      <c r="JK905" s="140"/>
      <c r="JL905" s="140"/>
      <c r="JM905" s="140"/>
      <c r="JN905" s="140"/>
      <c r="JO905" s="140"/>
      <c r="JP905" s="140"/>
      <c r="JQ905" s="140"/>
      <c r="JR905" s="140"/>
      <c r="JS905" s="140"/>
      <c r="JT905" s="140"/>
      <c r="JU905" s="140"/>
      <c r="JV905" s="140"/>
      <c r="JW905" s="140"/>
      <c r="JX905" s="140"/>
      <c r="JY905" s="140"/>
      <c r="JZ905" s="140"/>
      <c r="KA905" s="140"/>
      <c r="KB905" s="140"/>
      <c r="KC905" s="140"/>
      <c r="KD905" s="140"/>
      <c r="KE905" s="140"/>
      <c r="KF905" s="140"/>
      <c r="KG905" s="140"/>
      <c r="KH905" s="140"/>
      <c r="KI905" s="140"/>
      <c r="KJ905" s="140"/>
      <c r="KK905" s="140"/>
      <c r="KL905" s="140"/>
      <c r="KM905" s="140"/>
      <c r="KN905" s="140"/>
      <c r="KO905" s="140"/>
      <c r="KP905" s="140"/>
      <c r="KQ905" s="140"/>
      <c r="KR905" s="140"/>
      <c r="KS905" s="140"/>
      <c r="KT905" s="140"/>
      <c r="KU905" s="140"/>
      <c r="KV905" s="140"/>
      <c r="KW905" s="140"/>
      <c r="KX905" s="140"/>
      <c r="KY905" s="140"/>
      <c r="KZ905" s="140"/>
      <c r="LA905" s="140"/>
      <c r="LB905" s="140"/>
      <c r="LC905" s="140"/>
      <c r="LD905" s="140"/>
      <c r="LE905" s="140"/>
      <c r="LF905" s="140"/>
      <c r="LG905" s="140"/>
      <c r="LH905" s="140"/>
      <c r="LI905" s="140"/>
      <c r="LJ905" s="140"/>
      <c r="LK905" s="140"/>
      <c r="LL905" s="140"/>
      <c r="LM905" s="140"/>
      <c r="LN905" s="140"/>
      <c r="LO905" s="140"/>
      <c r="LP905" s="140"/>
      <c r="LQ905" s="140"/>
      <c r="LR905" s="140"/>
      <c r="LS905" s="140"/>
      <c r="LT905" s="140"/>
      <c r="LU905" s="140"/>
      <c r="LV905" s="140"/>
      <c r="LW905" s="140"/>
      <c r="LX905" s="140"/>
      <c r="LY905" s="140"/>
      <c r="LZ905" s="140"/>
      <c r="MA905" s="140"/>
      <c r="MB905" s="140"/>
      <c r="MC905" s="140"/>
      <c r="MD905" s="140"/>
      <c r="ME905" s="140"/>
      <c r="MF905" s="140"/>
      <c r="MG905" s="140"/>
      <c r="MH905" s="140"/>
      <c r="MI905" s="140"/>
      <c r="MJ905" s="140"/>
      <c r="MK905" s="140"/>
      <c r="ML905" s="140"/>
    </row>
    <row r="906" spans="3:350" s="4" customFormat="1" ht="15" customHeight="1" x14ac:dyDescent="0.3">
      <c r="H906" s="140"/>
      <c r="I906" s="140"/>
      <c r="J906" s="140"/>
      <c r="K906" s="140"/>
      <c r="L906" s="140"/>
      <c r="M906" s="140"/>
      <c r="N906" s="140"/>
      <c r="O906" s="140"/>
      <c r="P906" s="140"/>
      <c r="Q906" s="140"/>
      <c r="R906" s="140"/>
      <c r="S906" s="140"/>
      <c r="T906" s="140"/>
      <c r="U906" s="140"/>
      <c r="V906" s="140"/>
      <c r="W906" s="140"/>
      <c r="X906" s="140"/>
      <c r="Y906" s="140"/>
      <c r="Z906" s="140"/>
      <c r="AA906" s="140"/>
      <c r="AB906" s="140"/>
      <c r="AC906" s="140"/>
      <c r="AD906" s="140"/>
      <c r="AE906" s="140"/>
      <c r="AF906" s="140"/>
      <c r="AG906" s="140"/>
      <c r="AH906" s="140"/>
      <c r="AI906" s="140"/>
      <c r="AJ906" s="140"/>
      <c r="AK906" s="140"/>
      <c r="AL906" s="140"/>
      <c r="AM906" s="140"/>
      <c r="AN906" s="140"/>
      <c r="AO906" s="140"/>
      <c r="AP906" s="140"/>
      <c r="AQ906" s="140"/>
      <c r="AR906" s="140"/>
      <c r="AS906" s="140"/>
      <c r="AT906" s="140"/>
      <c r="AU906" s="140"/>
      <c r="AV906" s="140"/>
      <c r="AW906" s="140"/>
      <c r="AX906" s="140"/>
      <c r="AY906" s="140"/>
      <c r="AZ906" s="140"/>
      <c r="BA906" s="140"/>
      <c r="BB906" s="140"/>
      <c r="BC906" s="140"/>
      <c r="BD906" s="140"/>
      <c r="BE906" s="140"/>
      <c r="BF906" s="140"/>
      <c r="BG906" s="140"/>
      <c r="BH906" s="140"/>
      <c r="BI906" s="140"/>
      <c r="BJ906" s="140"/>
      <c r="BK906" s="140"/>
      <c r="BL906" s="140"/>
      <c r="BM906" s="140"/>
      <c r="BN906" s="140"/>
      <c r="BO906" s="140"/>
      <c r="BP906" s="140"/>
      <c r="BQ906" s="140"/>
      <c r="BR906" s="140"/>
      <c r="BS906" s="140"/>
      <c r="BT906" s="140"/>
      <c r="BU906" s="140"/>
      <c r="BV906" s="140"/>
      <c r="BW906" s="140"/>
      <c r="BX906" s="140"/>
      <c r="BY906" s="140"/>
      <c r="BZ906" s="140"/>
      <c r="CA906" s="140"/>
      <c r="CB906" s="140"/>
      <c r="CC906" s="140"/>
      <c r="CD906" s="140"/>
      <c r="CE906" s="140"/>
      <c r="CF906" s="140"/>
      <c r="CG906" s="140"/>
      <c r="CH906" s="140"/>
      <c r="CI906" s="140"/>
      <c r="CJ906" s="140"/>
      <c r="CK906" s="140"/>
      <c r="CL906" s="140"/>
      <c r="CM906" s="140"/>
      <c r="CN906" s="140"/>
      <c r="CO906" s="140"/>
      <c r="CP906" s="140"/>
      <c r="CQ906" s="140"/>
      <c r="CR906" s="140"/>
      <c r="CS906" s="140"/>
      <c r="CT906" s="140"/>
      <c r="CU906" s="140"/>
      <c r="CV906" s="140"/>
      <c r="CW906" s="140"/>
      <c r="CX906" s="140"/>
      <c r="CY906" s="140"/>
      <c r="CZ906" s="140"/>
      <c r="DA906" s="140"/>
      <c r="DB906" s="140"/>
      <c r="DC906" s="140"/>
      <c r="DD906" s="140"/>
      <c r="DE906" s="140"/>
      <c r="DF906" s="140"/>
      <c r="DG906" s="140"/>
      <c r="DH906" s="140"/>
      <c r="DI906" s="140"/>
      <c r="DJ906" s="140"/>
      <c r="DK906" s="140"/>
      <c r="DL906" s="140"/>
      <c r="DM906" s="140"/>
      <c r="DN906" s="140"/>
      <c r="DO906" s="140"/>
      <c r="DP906" s="140"/>
      <c r="DQ906" s="140"/>
      <c r="DR906" s="140"/>
      <c r="DS906" s="140"/>
      <c r="DT906" s="140"/>
      <c r="DU906" s="140"/>
      <c r="DV906" s="140"/>
      <c r="DW906" s="140"/>
      <c r="DX906" s="140"/>
      <c r="DY906" s="140"/>
      <c r="DZ906" s="140"/>
      <c r="EA906" s="140"/>
      <c r="EB906" s="140"/>
      <c r="EC906" s="140"/>
      <c r="ED906" s="140"/>
      <c r="EE906" s="140"/>
      <c r="EF906" s="140"/>
      <c r="EG906" s="140"/>
      <c r="EH906" s="140"/>
      <c r="EI906" s="140"/>
      <c r="EJ906" s="140"/>
      <c r="EK906" s="140"/>
      <c r="EL906" s="140"/>
      <c r="EM906" s="140"/>
      <c r="EN906" s="140"/>
      <c r="EO906" s="140"/>
      <c r="EP906" s="140"/>
      <c r="EQ906" s="140"/>
      <c r="ER906" s="140"/>
      <c r="ES906" s="140"/>
      <c r="ET906" s="140"/>
      <c r="EU906" s="140"/>
      <c r="EV906" s="140"/>
      <c r="EW906" s="140"/>
      <c r="EX906" s="140"/>
      <c r="EY906" s="140"/>
      <c r="EZ906" s="140"/>
      <c r="FA906" s="140"/>
      <c r="FB906" s="140"/>
      <c r="FC906" s="140"/>
      <c r="FD906" s="140"/>
      <c r="FE906" s="140"/>
      <c r="FF906" s="140"/>
      <c r="FG906" s="140"/>
      <c r="FH906" s="140"/>
      <c r="FI906" s="140"/>
      <c r="FJ906" s="140"/>
      <c r="FK906" s="140"/>
      <c r="FL906" s="140"/>
      <c r="FM906" s="140"/>
      <c r="FN906" s="140"/>
      <c r="FO906" s="140"/>
      <c r="FP906" s="140"/>
      <c r="FQ906" s="140"/>
      <c r="FR906" s="140"/>
      <c r="FS906" s="140"/>
      <c r="FT906" s="140"/>
      <c r="FU906" s="140"/>
      <c r="FV906" s="140"/>
      <c r="FW906" s="140"/>
      <c r="FX906" s="140"/>
      <c r="FY906" s="140"/>
      <c r="FZ906" s="140"/>
      <c r="GA906" s="140"/>
      <c r="GB906" s="140"/>
      <c r="GC906" s="140"/>
      <c r="GD906" s="140"/>
      <c r="GE906" s="140"/>
      <c r="GF906" s="140"/>
      <c r="GG906" s="140"/>
      <c r="GH906" s="140"/>
      <c r="GI906" s="140"/>
      <c r="GJ906" s="140"/>
      <c r="GK906" s="140"/>
      <c r="GL906" s="140"/>
      <c r="GM906" s="140"/>
      <c r="GN906" s="140"/>
      <c r="GO906" s="140"/>
      <c r="GP906" s="140"/>
      <c r="GQ906" s="140"/>
      <c r="GR906" s="140"/>
      <c r="GS906" s="140"/>
      <c r="GT906" s="140"/>
      <c r="GU906" s="140"/>
      <c r="GV906" s="140"/>
      <c r="GW906" s="140"/>
      <c r="GX906" s="140"/>
      <c r="GY906" s="140"/>
      <c r="GZ906" s="140"/>
      <c r="HA906" s="140"/>
      <c r="HB906" s="140"/>
      <c r="HC906" s="140"/>
      <c r="HD906" s="140"/>
      <c r="HE906" s="140"/>
      <c r="HF906" s="140"/>
      <c r="HG906" s="140"/>
      <c r="HH906" s="140"/>
      <c r="HI906" s="140"/>
      <c r="HJ906" s="140"/>
      <c r="HK906" s="140"/>
      <c r="HL906" s="140"/>
      <c r="HM906" s="140"/>
      <c r="HN906" s="140"/>
      <c r="HO906" s="140"/>
      <c r="HP906" s="140"/>
      <c r="HQ906" s="140"/>
      <c r="HR906" s="140"/>
      <c r="HS906" s="140"/>
      <c r="HT906" s="140"/>
      <c r="HU906" s="140"/>
      <c r="HV906" s="140"/>
      <c r="HW906" s="140"/>
      <c r="HX906" s="140"/>
      <c r="HY906" s="140"/>
      <c r="HZ906" s="140"/>
      <c r="IA906" s="140"/>
      <c r="IB906" s="140"/>
      <c r="IC906" s="140"/>
      <c r="ID906" s="140"/>
      <c r="IE906" s="140"/>
      <c r="IF906" s="140"/>
      <c r="IG906" s="140"/>
      <c r="IH906" s="140"/>
      <c r="II906" s="140"/>
      <c r="IJ906" s="140"/>
      <c r="IK906" s="140"/>
      <c r="IL906" s="140"/>
      <c r="IM906" s="140"/>
      <c r="IN906" s="140"/>
      <c r="IO906" s="140"/>
      <c r="IP906" s="140"/>
      <c r="IQ906" s="140"/>
      <c r="IR906" s="140"/>
      <c r="IS906" s="140"/>
      <c r="IT906" s="140"/>
      <c r="IU906" s="140"/>
      <c r="IV906" s="140"/>
      <c r="IW906" s="140"/>
      <c r="IX906" s="140"/>
      <c r="IY906" s="140"/>
      <c r="IZ906" s="140"/>
      <c r="JA906" s="140"/>
      <c r="JB906" s="140"/>
      <c r="JC906" s="140"/>
      <c r="JD906" s="140"/>
      <c r="JE906" s="140"/>
      <c r="JF906" s="140"/>
      <c r="JG906" s="140"/>
      <c r="JH906" s="140"/>
      <c r="JI906" s="140"/>
      <c r="JJ906" s="140"/>
      <c r="JK906" s="140"/>
      <c r="JL906" s="140"/>
      <c r="JM906" s="140"/>
      <c r="JN906" s="140"/>
      <c r="JO906" s="140"/>
      <c r="JP906" s="140"/>
      <c r="JQ906" s="140"/>
      <c r="JR906" s="140"/>
      <c r="JS906" s="140"/>
      <c r="JT906" s="140"/>
      <c r="JU906" s="140"/>
      <c r="JV906" s="140"/>
      <c r="JW906" s="140"/>
      <c r="JX906" s="140"/>
      <c r="JY906" s="140"/>
      <c r="JZ906" s="140"/>
      <c r="KA906" s="140"/>
      <c r="KB906" s="140"/>
      <c r="KC906" s="140"/>
      <c r="KD906" s="140"/>
      <c r="KE906" s="140"/>
      <c r="KF906" s="140"/>
      <c r="KG906" s="140"/>
      <c r="KH906" s="140"/>
      <c r="KI906" s="140"/>
      <c r="KJ906" s="140"/>
      <c r="KK906" s="140"/>
      <c r="KL906" s="140"/>
      <c r="KM906" s="140"/>
      <c r="KN906" s="140"/>
      <c r="KO906" s="140"/>
      <c r="KP906" s="140"/>
      <c r="KQ906" s="140"/>
      <c r="KR906" s="140"/>
      <c r="KS906" s="140"/>
      <c r="KT906" s="140"/>
      <c r="KU906" s="140"/>
      <c r="KV906" s="140"/>
      <c r="KW906" s="140"/>
      <c r="KX906" s="140"/>
      <c r="KY906" s="140"/>
      <c r="KZ906" s="140"/>
      <c r="LA906" s="140"/>
      <c r="LB906" s="140"/>
      <c r="LC906" s="140"/>
      <c r="LD906" s="140"/>
      <c r="LE906" s="140"/>
      <c r="LF906" s="140"/>
      <c r="LG906" s="140"/>
      <c r="LH906" s="140"/>
      <c r="LI906" s="140"/>
      <c r="LJ906" s="140"/>
      <c r="LK906" s="140"/>
      <c r="LL906" s="140"/>
      <c r="LM906" s="140"/>
      <c r="LN906" s="140"/>
      <c r="LO906" s="140"/>
      <c r="LP906" s="140"/>
      <c r="LQ906" s="140"/>
      <c r="LR906" s="140"/>
      <c r="LS906" s="140"/>
      <c r="LT906" s="140"/>
      <c r="LU906" s="140"/>
      <c r="LV906" s="140"/>
      <c r="LW906" s="140"/>
      <c r="LX906" s="140"/>
      <c r="LY906" s="140"/>
      <c r="LZ906" s="140"/>
      <c r="MA906" s="140"/>
      <c r="MB906" s="140"/>
      <c r="MC906" s="140"/>
      <c r="MD906" s="140"/>
      <c r="ME906" s="140"/>
      <c r="MF906" s="140"/>
      <c r="MG906" s="140"/>
      <c r="MH906" s="140"/>
      <c r="MI906" s="140"/>
      <c r="MJ906" s="140"/>
      <c r="MK906" s="140"/>
      <c r="ML906" s="140"/>
    </row>
    <row r="907" spans="3:350" s="4" customFormat="1" ht="15" customHeight="1" x14ac:dyDescent="0.3">
      <c r="C907" s="159" t="s">
        <v>407</v>
      </c>
      <c r="H907" s="140"/>
      <c r="I907" s="140"/>
      <c r="J907" s="140"/>
      <c r="K907" s="140"/>
      <c r="L907" s="140"/>
      <c r="M907" s="140"/>
      <c r="N907" s="140"/>
      <c r="O907" s="140"/>
      <c r="P907" s="140"/>
      <c r="Q907" s="140"/>
      <c r="R907" s="140"/>
      <c r="S907" s="140"/>
      <c r="T907" s="140"/>
      <c r="U907" s="140"/>
      <c r="V907" s="140"/>
      <c r="W907" s="140"/>
      <c r="X907" s="140"/>
      <c r="Y907" s="140"/>
      <c r="Z907" s="140"/>
      <c r="AA907" s="140"/>
      <c r="AB907" s="140"/>
      <c r="AC907" s="140"/>
      <c r="AD907" s="140"/>
      <c r="AE907" s="140"/>
      <c r="AF907" s="140"/>
      <c r="AG907" s="140"/>
      <c r="AH907" s="140"/>
      <c r="AI907" s="140"/>
      <c r="AJ907" s="140"/>
      <c r="AK907" s="140"/>
      <c r="AL907" s="140"/>
      <c r="AM907" s="140"/>
      <c r="AN907" s="140"/>
      <c r="AO907" s="140"/>
      <c r="AP907" s="140"/>
      <c r="AQ907" s="140"/>
      <c r="AR907" s="140"/>
      <c r="AS907" s="140"/>
      <c r="AT907" s="140"/>
      <c r="AU907" s="140"/>
      <c r="AV907" s="140"/>
      <c r="AW907" s="140"/>
      <c r="AX907" s="140"/>
      <c r="AY907" s="140"/>
      <c r="AZ907" s="140"/>
      <c r="BA907" s="140"/>
      <c r="BB907" s="140"/>
      <c r="BC907" s="140"/>
      <c r="BD907" s="140"/>
      <c r="BE907" s="140"/>
      <c r="BF907" s="140"/>
      <c r="BG907" s="140"/>
      <c r="BH907" s="140"/>
      <c r="BI907" s="140"/>
      <c r="BJ907" s="140"/>
      <c r="BK907" s="140"/>
      <c r="BL907" s="140"/>
      <c r="BM907" s="140"/>
      <c r="BN907" s="140"/>
      <c r="BO907" s="140"/>
      <c r="BP907" s="140"/>
      <c r="BQ907" s="140"/>
      <c r="BR907" s="140"/>
      <c r="BS907" s="140"/>
      <c r="BT907" s="140"/>
      <c r="BU907" s="140"/>
      <c r="BV907" s="140"/>
      <c r="BW907" s="140"/>
      <c r="BX907" s="140"/>
      <c r="BY907" s="140"/>
      <c r="BZ907" s="140"/>
      <c r="CA907" s="140"/>
      <c r="CB907" s="140"/>
      <c r="CC907" s="140"/>
      <c r="CD907" s="140"/>
      <c r="CE907" s="140"/>
      <c r="CF907" s="140"/>
      <c r="CG907" s="140"/>
      <c r="CH907" s="140"/>
      <c r="CI907" s="140"/>
      <c r="CJ907" s="140"/>
      <c r="CK907" s="140"/>
      <c r="CL907" s="140"/>
      <c r="CM907" s="140"/>
      <c r="CN907" s="140"/>
      <c r="CO907" s="140"/>
      <c r="CP907" s="140"/>
      <c r="CQ907" s="140"/>
      <c r="CR907" s="140"/>
      <c r="CS907" s="140"/>
      <c r="CT907" s="140"/>
      <c r="CU907" s="140"/>
      <c r="CV907" s="140"/>
      <c r="CW907" s="140"/>
      <c r="CX907" s="140"/>
      <c r="CY907" s="140"/>
      <c r="CZ907" s="140"/>
      <c r="DA907" s="140"/>
      <c r="DB907" s="140"/>
      <c r="DC907" s="140"/>
      <c r="DD907" s="140"/>
      <c r="DE907" s="140"/>
      <c r="DF907" s="140"/>
      <c r="DG907" s="140"/>
      <c r="DH907" s="140"/>
      <c r="DI907" s="140"/>
      <c r="DJ907" s="140"/>
      <c r="DK907" s="140"/>
      <c r="DL907" s="140"/>
      <c r="DM907" s="140"/>
      <c r="DN907" s="140"/>
      <c r="DO907" s="140"/>
      <c r="DP907" s="140"/>
      <c r="DQ907" s="140"/>
      <c r="DR907" s="140"/>
      <c r="DS907" s="140"/>
      <c r="DT907" s="140"/>
      <c r="DU907" s="140"/>
      <c r="DV907" s="140"/>
      <c r="DW907" s="140"/>
      <c r="DX907" s="140"/>
      <c r="DY907" s="140"/>
      <c r="DZ907" s="140"/>
      <c r="EA907" s="140"/>
      <c r="EB907" s="140"/>
      <c r="EC907" s="140"/>
      <c r="ED907" s="140"/>
      <c r="EE907" s="140"/>
      <c r="EF907" s="140"/>
      <c r="EG907" s="140"/>
      <c r="EH907" s="140"/>
      <c r="EI907" s="140"/>
      <c r="EJ907" s="140"/>
      <c r="EK907" s="140"/>
      <c r="EL907" s="140"/>
      <c r="EM907" s="140"/>
      <c r="EN907" s="140"/>
      <c r="EO907" s="140"/>
      <c r="EP907" s="140"/>
      <c r="EQ907" s="140"/>
      <c r="ER907" s="140"/>
      <c r="ES907" s="140"/>
      <c r="ET907" s="140"/>
      <c r="EU907" s="140"/>
      <c r="EV907" s="140"/>
      <c r="EW907" s="140"/>
      <c r="EX907" s="140"/>
      <c r="EY907" s="140"/>
      <c r="EZ907" s="140"/>
      <c r="FA907" s="140"/>
      <c r="FB907" s="140"/>
      <c r="FC907" s="140"/>
      <c r="FD907" s="140"/>
      <c r="FE907" s="140"/>
      <c r="FF907" s="140"/>
      <c r="FG907" s="140"/>
      <c r="FH907" s="140"/>
      <c r="FI907" s="140"/>
      <c r="FJ907" s="140"/>
      <c r="FK907" s="140"/>
      <c r="FL907" s="140"/>
      <c r="FM907" s="140"/>
      <c r="FN907" s="140"/>
      <c r="FO907" s="140"/>
      <c r="FP907" s="140"/>
      <c r="FQ907" s="140"/>
      <c r="FR907" s="140"/>
      <c r="FS907" s="140"/>
      <c r="FT907" s="140"/>
      <c r="FU907" s="140"/>
      <c r="FV907" s="140"/>
      <c r="FW907" s="140"/>
      <c r="FX907" s="140"/>
      <c r="FY907" s="140"/>
      <c r="FZ907" s="140"/>
      <c r="GA907" s="140"/>
      <c r="GB907" s="140"/>
      <c r="GC907" s="140"/>
      <c r="GD907" s="140"/>
      <c r="GE907" s="140"/>
      <c r="GF907" s="140"/>
      <c r="GG907" s="140"/>
      <c r="GH907" s="140"/>
      <c r="GI907" s="140"/>
      <c r="GJ907" s="140"/>
      <c r="GK907" s="140"/>
      <c r="GL907" s="140"/>
      <c r="GM907" s="140"/>
      <c r="GN907" s="140"/>
      <c r="GO907" s="140"/>
      <c r="GP907" s="140"/>
      <c r="GQ907" s="140"/>
      <c r="GR907" s="140"/>
      <c r="GS907" s="140"/>
      <c r="GT907" s="140"/>
      <c r="GU907" s="140"/>
      <c r="GV907" s="140"/>
      <c r="GW907" s="140"/>
      <c r="GX907" s="140"/>
      <c r="GY907" s="140"/>
      <c r="GZ907" s="140"/>
      <c r="HA907" s="140"/>
      <c r="HB907" s="140"/>
      <c r="HC907" s="140"/>
      <c r="HD907" s="140"/>
      <c r="HE907" s="140"/>
      <c r="HF907" s="140"/>
      <c r="HG907" s="140"/>
      <c r="HH907" s="140"/>
      <c r="HI907" s="140"/>
      <c r="HJ907" s="140"/>
      <c r="HK907" s="140"/>
      <c r="HL907" s="140"/>
      <c r="HM907" s="140"/>
      <c r="HN907" s="140"/>
      <c r="HO907" s="140"/>
      <c r="HP907" s="140"/>
      <c r="HQ907" s="140"/>
      <c r="HR907" s="140"/>
      <c r="HS907" s="140"/>
      <c r="HT907" s="140"/>
      <c r="HU907" s="140"/>
      <c r="HV907" s="140"/>
      <c r="HW907" s="140"/>
      <c r="HX907" s="140"/>
      <c r="HY907" s="140"/>
      <c r="HZ907" s="140"/>
      <c r="IA907" s="140"/>
      <c r="IB907" s="140"/>
      <c r="IC907" s="140"/>
      <c r="ID907" s="140"/>
      <c r="IE907" s="140"/>
      <c r="IF907" s="140"/>
      <c r="IG907" s="140"/>
      <c r="IH907" s="140"/>
      <c r="II907" s="140"/>
      <c r="IJ907" s="140"/>
      <c r="IK907" s="140"/>
      <c r="IL907" s="140"/>
      <c r="IM907" s="140"/>
      <c r="IN907" s="140"/>
      <c r="IO907" s="140"/>
      <c r="IP907" s="140"/>
      <c r="IQ907" s="140"/>
      <c r="IR907" s="140"/>
      <c r="IS907" s="140"/>
      <c r="IT907" s="140"/>
      <c r="IU907" s="140"/>
      <c r="IV907" s="140"/>
      <c r="IW907" s="140"/>
      <c r="IX907" s="140"/>
      <c r="IY907" s="140"/>
      <c r="IZ907" s="140"/>
      <c r="JA907" s="140"/>
      <c r="JB907" s="140"/>
      <c r="JC907" s="140"/>
      <c r="JD907" s="140"/>
      <c r="JE907" s="140"/>
      <c r="JF907" s="140"/>
      <c r="JG907" s="140"/>
      <c r="JH907" s="140"/>
      <c r="JI907" s="140"/>
      <c r="JJ907" s="140"/>
      <c r="JK907" s="140"/>
      <c r="JL907" s="140"/>
      <c r="JM907" s="140"/>
      <c r="JN907" s="140"/>
      <c r="JO907" s="140"/>
      <c r="JP907" s="140"/>
      <c r="JQ907" s="140"/>
      <c r="JR907" s="140"/>
      <c r="JS907" s="140"/>
      <c r="JT907" s="140"/>
      <c r="JU907" s="140"/>
      <c r="JV907" s="140"/>
      <c r="JW907" s="140"/>
      <c r="JX907" s="140"/>
      <c r="JY907" s="140"/>
      <c r="JZ907" s="140"/>
      <c r="KA907" s="140"/>
      <c r="KB907" s="140"/>
      <c r="KC907" s="140"/>
      <c r="KD907" s="140"/>
      <c r="KE907" s="140"/>
      <c r="KF907" s="140"/>
      <c r="KG907" s="140"/>
      <c r="KH907" s="140"/>
      <c r="KI907" s="140"/>
      <c r="KJ907" s="140"/>
      <c r="KK907" s="140"/>
      <c r="KL907" s="140"/>
      <c r="KM907" s="140"/>
      <c r="KN907" s="140"/>
      <c r="KO907" s="140"/>
      <c r="KP907" s="140"/>
      <c r="KQ907" s="140"/>
      <c r="KR907" s="140"/>
      <c r="KS907" s="140"/>
      <c r="KT907" s="140"/>
      <c r="KU907" s="140"/>
      <c r="KV907" s="140"/>
      <c r="KW907" s="140"/>
      <c r="KX907" s="140"/>
      <c r="KY907" s="140"/>
      <c r="KZ907" s="140"/>
      <c r="LA907" s="140"/>
      <c r="LB907" s="140"/>
      <c r="LC907" s="140"/>
      <c r="LD907" s="140"/>
      <c r="LE907" s="140"/>
      <c r="LF907" s="140"/>
      <c r="LG907" s="140"/>
      <c r="LH907" s="140"/>
      <c r="LI907" s="140"/>
      <c r="LJ907" s="140"/>
      <c r="LK907" s="140"/>
      <c r="LL907" s="140"/>
      <c r="LM907" s="140"/>
      <c r="LN907" s="140"/>
      <c r="LO907" s="140"/>
      <c r="LP907" s="140"/>
      <c r="LQ907" s="140"/>
      <c r="LR907" s="140"/>
      <c r="LS907" s="140"/>
      <c r="LT907" s="140"/>
      <c r="LU907" s="140"/>
      <c r="LV907" s="140"/>
      <c r="LW907" s="140"/>
      <c r="LX907" s="140"/>
      <c r="LY907" s="140"/>
      <c r="LZ907" s="140"/>
      <c r="MA907" s="140"/>
      <c r="MB907" s="140"/>
      <c r="MC907" s="140"/>
      <c r="MD907" s="140"/>
      <c r="ME907" s="140"/>
      <c r="MF907" s="140"/>
      <c r="MG907" s="140"/>
      <c r="MH907" s="140"/>
      <c r="MI907" s="140"/>
      <c r="MJ907" s="140"/>
      <c r="MK907" s="140"/>
      <c r="ML907" s="140"/>
    </row>
    <row r="908" spans="3:350" s="4" customFormat="1" ht="15" customHeight="1" x14ac:dyDescent="0.3">
      <c r="H908" s="140"/>
      <c r="I908" s="140"/>
      <c r="J908" s="140"/>
      <c r="K908" s="140"/>
      <c r="L908" s="140"/>
      <c r="M908" s="140"/>
      <c r="N908" s="140"/>
      <c r="O908" s="140"/>
      <c r="P908" s="140"/>
      <c r="Q908" s="140"/>
      <c r="R908" s="140"/>
      <c r="S908" s="140"/>
      <c r="T908" s="140"/>
      <c r="U908" s="140"/>
      <c r="V908" s="140"/>
      <c r="W908" s="140"/>
      <c r="X908" s="140"/>
      <c r="Y908" s="140"/>
      <c r="Z908" s="140"/>
      <c r="AA908" s="140"/>
      <c r="AB908" s="140"/>
      <c r="AC908" s="140"/>
      <c r="AD908" s="140"/>
      <c r="AE908" s="140"/>
      <c r="AF908" s="140"/>
      <c r="AG908" s="140"/>
      <c r="AH908" s="140"/>
      <c r="AI908" s="140"/>
      <c r="AJ908" s="140"/>
      <c r="AK908" s="140"/>
      <c r="AL908" s="140"/>
      <c r="AM908" s="140"/>
      <c r="AN908" s="140"/>
      <c r="AO908" s="140"/>
      <c r="AP908" s="140"/>
      <c r="AQ908" s="140"/>
      <c r="AR908" s="140"/>
      <c r="AS908" s="140"/>
      <c r="AT908" s="140"/>
      <c r="AU908" s="140"/>
      <c r="AV908" s="140"/>
      <c r="AW908" s="140"/>
      <c r="AX908" s="140"/>
      <c r="AY908" s="140"/>
      <c r="AZ908" s="140"/>
      <c r="BA908" s="140"/>
      <c r="BB908" s="140"/>
      <c r="BC908" s="140"/>
      <c r="BD908" s="140"/>
      <c r="BE908" s="140"/>
      <c r="BF908" s="140"/>
      <c r="BG908" s="140"/>
      <c r="BH908" s="140"/>
      <c r="BI908" s="140"/>
      <c r="BJ908" s="140"/>
      <c r="BK908" s="140"/>
      <c r="BL908" s="140"/>
      <c r="BM908" s="140"/>
      <c r="BN908" s="140"/>
      <c r="BO908" s="140"/>
      <c r="BP908" s="140"/>
      <c r="BQ908" s="140"/>
      <c r="BR908" s="140"/>
      <c r="BS908" s="140"/>
      <c r="BT908" s="140"/>
      <c r="BU908" s="140"/>
      <c r="BV908" s="140"/>
      <c r="BW908" s="140"/>
      <c r="BX908" s="140"/>
      <c r="BY908" s="140"/>
      <c r="BZ908" s="140"/>
      <c r="CA908" s="140"/>
      <c r="CB908" s="140"/>
      <c r="CC908" s="140"/>
      <c r="CD908" s="140"/>
      <c r="CE908" s="140"/>
      <c r="CF908" s="140"/>
      <c r="CG908" s="140"/>
      <c r="CH908" s="140"/>
      <c r="CI908" s="140"/>
      <c r="CJ908" s="140"/>
      <c r="CK908" s="140"/>
      <c r="CL908" s="140"/>
      <c r="CM908" s="140"/>
      <c r="CN908" s="140"/>
      <c r="CO908" s="140"/>
      <c r="CP908" s="140"/>
      <c r="CQ908" s="140"/>
      <c r="CR908" s="140"/>
      <c r="CS908" s="140"/>
      <c r="CT908" s="140"/>
      <c r="CU908" s="140"/>
      <c r="CV908" s="140"/>
      <c r="CW908" s="140"/>
      <c r="CX908" s="140"/>
      <c r="CY908" s="140"/>
      <c r="CZ908" s="140"/>
      <c r="DA908" s="140"/>
      <c r="DB908" s="140"/>
      <c r="DC908" s="140"/>
      <c r="DD908" s="140"/>
      <c r="DE908" s="140"/>
      <c r="DF908" s="140"/>
      <c r="DG908" s="140"/>
      <c r="DH908" s="140"/>
      <c r="DI908" s="140"/>
      <c r="DJ908" s="140"/>
      <c r="DK908" s="140"/>
      <c r="DL908" s="140"/>
      <c r="DM908" s="140"/>
      <c r="DN908" s="140"/>
      <c r="DO908" s="140"/>
      <c r="DP908" s="140"/>
      <c r="DQ908" s="140"/>
      <c r="DR908" s="140"/>
      <c r="DS908" s="140"/>
      <c r="DT908" s="140"/>
      <c r="DU908" s="140"/>
      <c r="DV908" s="140"/>
      <c r="DW908" s="140"/>
      <c r="DX908" s="140"/>
      <c r="DY908" s="140"/>
      <c r="DZ908" s="140"/>
      <c r="EA908" s="140"/>
      <c r="EB908" s="140"/>
      <c r="EC908" s="140"/>
      <c r="ED908" s="140"/>
      <c r="EE908" s="140"/>
      <c r="EF908" s="140"/>
      <c r="EG908" s="140"/>
      <c r="EH908" s="140"/>
      <c r="EI908" s="140"/>
      <c r="EJ908" s="140"/>
      <c r="EK908" s="140"/>
      <c r="EL908" s="140"/>
      <c r="EM908" s="140"/>
      <c r="EN908" s="140"/>
      <c r="EO908" s="140"/>
      <c r="EP908" s="140"/>
      <c r="EQ908" s="140"/>
      <c r="ER908" s="140"/>
      <c r="ES908" s="140"/>
      <c r="ET908" s="140"/>
      <c r="EU908" s="140"/>
      <c r="EV908" s="140"/>
      <c r="EW908" s="140"/>
      <c r="EX908" s="140"/>
      <c r="EY908" s="140"/>
      <c r="EZ908" s="140"/>
      <c r="FA908" s="140"/>
      <c r="FB908" s="140"/>
      <c r="FC908" s="140"/>
      <c r="FD908" s="140"/>
      <c r="FE908" s="140"/>
      <c r="FF908" s="140"/>
      <c r="FG908" s="140"/>
      <c r="FH908" s="140"/>
      <c r="FI908" s="140"/>
      <c r="FJ908" s="140"/>
      <c r="FK908" s="140"/>
      <c r="FL908" s="140"/>
      <c r="FM908" s="140"/>
      <c r="FN908" s="140"/>
      <c r="FO908" s="140"/>
      <c r="FP908" s="140"/>
      <c r="FQ908" s="140"/>
      <c r="FR908" s="140"/>
      <c r="FS908" s="140"/>
      <c r="FT908" s="140"/>
      <c r="FU908" s="140"/>
      <c r="FV908" s="140"/>
      <c r="FW908" s="140"/>
      <c r="FX908" s="140"/>
      <c r="FY908" s="140"/>
      <c r="FZ908" s="140"/>
      <c r="GA908" s="140"/>
      <c r="GB908" s="140"/>
      <c r="GC908" s="140"/>
      <c r="GD908" s="140"/>
      <c r="GE908" s="140"/>
      <c r="GF908" s="140"/>
      <c r="GG908" s="140"/>
      <c r="GH908" s="140"/>
      <c r="GI908" s="140"/>
      <c r="GJ908" s="140"/>
      <c r="GK908" s="140"/>
      <c r="GL908" s="140"/>
      <c r="GM908" s="140"/>
      <c r="GN908" s="140"/>
      <c r="GO908" s="140"/>
      <c r="GP908" s="140"/>
      <c r="GQ908" s="140"/>
      <c r="GR908" s="140"/>
      <c r="GS908" s="140"/>
      <c r="GT908" s="140"/>
      <c r="GU908" s="140"/>
      <c r="GV908" s="140"/>
      <c r="GW908" s="140"/>
      <c r="GX908" s="140"/>
      <c r="GY908" s="140"/>
      <c r="GZ908" s="140"/>
      <c r="HA908" s="140"/>
      <c r="HB908" s="140"/>
      <c r="HC908" s="140"/>
      <c r="HD908" s="140"/>
      <c r="HE908" s="140"/>
      <c r="HF908" s="140"/>
      <c r="HG908" s="140"/>
      <c r="HH908" s="140"/>
      <c r="HI908" s="140"/>
      <c r="HJ908" s="140"/>
      <c r="HK908" s="140"/>
      <c r="HL908" s="140"/>
      <c r="HM908" s="140"/>
      <c r="HN908" s="140"/>
      <c r="HO908" s="140"/>
      <c r="HP908" s="140"/>
      <c r="HQ908" s="140"/>
      <c r="HR908" s="140"/>
      <c r="HS908" s="140"/>
      <c r="HT908" s="140"/>
      <c r="HU908" s="140"/>
      <c r="HV908" s="140"/>
      <c r="HW908" s="140"/>
      <c r="HX908" s="140"/>
      <c r="HY908" s="140"/>
      <c r="HZ908" s="140"/>
      <c r="IA908" s="140"/>
      <c r="IB908" s="140"/>
      <c r="IC908" s="140"/>
      <c r="ID908" s="140"/>
      <c r="IE908" s="140"/>
      <c r="IF908" s="140"/>
      <c r="IG908" s="140"/>
      <c r="IH908" s="140"/>
      <c r="II908" s="140"/>
      <c r="IJ908" s="140"/>
      <c r="IK908" s="140"/>
      <c r="IL908" s="140"/>
      <c r="IM908" s="140"/>
      <c r="IN908" s="140"/>
      <c r="IO908" s="140"/>
      <c r="IP908" s="140"/>
      <c r="IQ908" s="140"/>
      <c r="IR908" s="140"/>
      <c r="IS908" s="140"/>
      <c r="IT908" s="140"/>
      <c r="IU908" s="140"/>
      <c r="IV908" s="140"/>
      <c r="IW908" s="140"/>
      <c r="IX908" s="140"/>
      <c r="IY908" s="140"/>
      <c r="IZ908" s="140"/>
      <c r="JA908" s="140"/>
      <c r="JB908" s="140"/>
      <c r="JC908" s="140"/>
      <c r="JD908" s="140"/>
      <c r="JE908" s="140"/>
      <c r="JF908" s="140"/>
      <c r="JG908" s="140"/>
      <c r="JH908" s="140"/>
      <c r="JI908" s="140"/>
      <c r="JJ908" s="140"/>
      <c r="JK908" s="140"/>
      <c r="JL908" s="140"/>
      <c r="JM908" s="140"/>
      <c r="JN908" s="140"/>
      <c r="JO908" s="140"/>
      <c r="JP908" s="140"/>
      <c r="JQ908" s="140"/>
      <c r="JR908" s="140"/>
      <c r="JS908" s="140"/>
      <c r="JT908" s="140"/>
      <c r="JU908" s="140"/>
      <c r="JV908" s="140"/>
      <c r="JW908" s="140"/>
      <c r="JX908" s="140"/>
      <c r="JY908" s="140"/>
      <c r="JZ908" s="140"/>
      <c r="KA908" s="140"/>
      <c r="KB908" s="140"/>
      <c r="KC908" s="140"/>
      <c r="KD908" s="140"/>
      <c r="KE908" s="140"/>
      <c r="KF908" s="140"/>
      <c r="KG908" s="140"/>
      <c r="KH908" s="140"/>
      <c r="KI908" s="140"/>
      <c r="KJ908" s="140"/>
      <c r="KK908" s="140"/>
      <c r="KL908" s="140"/>
      <c r="KM908" s="140"/>
      <c r="KN908" s="140"/>
      <c r="KO908" s="140"/>
      <c r="KP908" s="140"/>
      <c r="KQ908" s="140"/>
      <c r="KR908" s="140"/>
      <c r="KS908" s="140"/>
      <c r="KT908" s="140"/>
      <c r="KU908" s="140"/>
      <c r="KV908" s="140"/>
      <c r="KW908" s="140"/>
      <c r="KX908" s="140"/>
      <c r="KY908" s="140"/>
      <c r="KZ908" s="140"/>
      <c r="LA908" s="140"/>
      <c r="LB908" s="140"/>
      <c r="LC908" s="140"/>
      <c r="LD908" s="140"/>
      <c r="LE908" s="140"/>
      <c r="LF908" s="140"/>
      <c r="LG908" s="140"/>
      <c r="LH908" s="140"/>
      <c r="LI908" s="140"/>
      <c r="LJ908" s="140"/>
      <c r="LK908" s="140"/>
      <c r="LL908" s="140"/>
      <c r="LM908" s="140"/>
      <c r="LN908" s="140"/>
      <c r="LO908" s="140"/>
      <c r="LP908" s="140"/>
      <c r="LQ908" s="140"/>
      <c r="LR908" s="140"/>
      <c r="LS908" s="140"/>
      <c r="LT908" s="140"/>
      <c r="LU908" s="140"/>
      <c r="LV908" s="140"/>
      <c r="LW908" s="140"/>
      <c r="LX908" s="140"/>
      <c r="LY908" s="140"/>
      <c r="LZ908" s="140"/>
      <c r="MA908" s="140"/>
      <c r="MB908" s="140"/>
      <c r="MC908" s="140"/>
      <c r="MD908" s="140"/>
      <c r="ME908" s="140"/>
      <c r="MF908" s="140"/>
      <c r="MG908" s="140"/>
      <c r="MH908" s="140"/>
      <c r="MI908" s="140"/>
      <c r="MJ908" s="140"/>
      <c r="MK908" s="140"/>
      <c r="ML908" s="140"/>
    </row>
    <row r="909" spans="3:350" s="4" customFormat="1" ht="15" customHeight="1" x14ac:dyDescent="0.3">
      <c r="C909" s="159" t="s">
        <v>408</v>
      </c>
      <c r="H909" s="140"/>
      <c r="I909" s="140"/>
      <c r="J909" s="140"/>
      <c r="K909" s="140"/>
      <c r="L909" s="140"/>
      <c r="M909" s="140"/>
      <c r="N909" s="140"/>
      <c r="O909" s="140"/>
      <c r="P909" s="140"/>
      <c r="Q909" s="140"/>
      <c r="R909" s="140"/>
      <c r="S909" s="140"/>
      <c r="T909" s="140"/>
      <c r="U909" s="140"/>
      <c r="V909" s="140"/>
      <c r="W909" s="140"/>
      <c r="X909" s="140"/>
      <c r="Y909" s="140"/>
      <c r="Z909" s="140"/>
      <c r="AA909" s="140"/>
      <c r="AB909" s="140"/>
      <c r="AC909" s="140"/>
      <c r="AD909" s="140"/>
      <c r="AE909" s="140"/>
      <c r="AF909" s="140"/>
      <c r="AG909" s="140"/>
      <c r="AH909" s="140"/>
      <c r="AI909" s="140"/>
      <c r="AJ909" s="140"/>
      <c r="AK909" s="140"/>
      <c r="AL909" s="140"/>
      <c r="AM909" s="140"/>
      <c r="AN909" s="140"/>
      <c r="AO909" s="140"/>
      <c r="AP909" s="140"/>
      <c r="AQ909" s="140"/>
      <c r="AR909" s="140"/>
      <c r="AS909" s="140"/>
      <c r="AT909" s="140"/>
      <c r="AU909" s="140"/>
      <c r="AV909" s="140"/>
      <c r="AW909" s="140"/>
      <c r="AX909" s="140"/>
      <c r="AY909" s="140"/>
      <c r="AZ909" s="140"/>
      <c r="BA909" s="140"/>
      <c r="BB909" s="140"/>
      <c r="BC909" s="140"/>
      <c r="BD909" s="140"/>
      <c r="BE909" s="140"/>
      <c r="BF909" s="140"/>
      <c r="BG909" s="140"/>
      <c r="BH909" s="140"/>
      <c r="BI909" s="140"/>
      <c r="BJ909" s="140"/>
      <c r="BK909" s="140"/>
      <c r="BL909" s="140"/>
      <c r="BM909" s="140"/>
      <c r="BN909" s="140"/>
      <c r="BO909" s="140"/>
      <c r="BP909" s="140"/>
      <c r="BQ909" s="140"/>
      <c r="BR909" s="140"/>
      <c r="BS909" s="140"/>
      <c r="BT909" s="140"/>
      <c r="BU909" s="140"/>
      <c r="BV909" s="140"/>
      <c r="BW909" s="140"/>
      <c r="BX909" s="140"/>
      <c r="BY909" s="140"/>
      <c r="BZ909" s="140"/>
      <c r="CA909" s="140"/>
      <c r="CB909" s="140"/>
      <c r="CC909" s="140"/>
      <c r="CD909" s="140"/>
      <c r="CE909" s="140"/>
      <c r="CF909" s="140"/>
      <c r="CG909" s="140"/>
      <c r="CH909" s="140"/>
      <c r="CI909" s="140"/>
      <c r="CJ909" s="140"/>
      <c r="CK909" s="140"/>
      <c r="CL909" s="140"/>
      <c r="CM909" s="140"/>
      <c r="CN909" s="140"/>
      <c r="CO909" s="140"/>
      <c r="CP909" s="140"/>
      <c r="CQ909" s="140"/>
      <c r="CR909" s="140"/>
      <c r="CS909" s="140"/>
      <c r="CT909" s="140"/>
      <c r="CU909" s="140"/>
      <c r="CV909" s="140"/>
      <c r="CW909" s="140"/>
      <c r="CX909" s="140"/>
      <c r="CY909" s="140"/>
      <c r="CZ909" s="140"/>
      <c r="DA909" s="140"/>
      <c r="DB909" s="140"/>
      <c r="DC909" s="140"/>
      <c r="DD909" s="140"/>
      <c r="DE909" s="140"/>
      <c r="DF909" s="140"/>
      <c r="DG909" s="140"/>
      <c r="DH909" s="140"/>
      <c r="DI909" s="140"/>
      <c r="DJ909" s="140"/>
      <c r="DK909" s="140"/>
      <c r="DL909" s="140"/>
      <c r="DM909" s="140"/>
      <c r="DN909" s="140"/>
      <c r="DO909" s="140"/>
      <c r="DP909" s="140"/>
      <c r="DQ909" s="140"/>
      <c r="DR909" s="140"/>
      <c r="DS909" s="140"/>
      <c r="DT909" s="140"/>
      <c r="DU909" s="140"/>
      <c r="DV909" s="140"/>
      <c r="DW909" s="140"/>
      <c r="DX909" s="140"/>
      <c r="DY909" s="140"/>
      <c r="DZ909" s="140"/>
      <c r="EA909" s="140"/>
      <c r="EB909" s="140"/>
      <c r="EC909" s="140"/>
      <c r="ED909" s="140"/>
      <c r="EE909" s="140"/>
      <c r="EF909" s="140"/>
      <c r="EG909" s="140"/>
      <c r="EH909" s="140"/>
      <c r="EI909" s="140"/>
      <c r="EJ909" s="140"/>
      <c r="EK909" s="140"/>
      <c r="EL909" s="140"/>
      <c r="EM909" s="140"/>
      <c r="EN909" s="140"/>
      <c r="EO909" s="140"/>
      <c r="EP909" s="140"/>
      <c r="EQ909" s="140"/>
      <c r="ER909" s="140"/>
      <c r="ES909" s="140"/>
      <c r="ET909" s="140"/>
      <c r="EU909" s="140"/>
      <c r="EV909" s="140"/>
      <c r="EW909" s="140"/>
      <c r="EX909" s="140"/>
      <c r="EY909" s="140"/>
      <c r="EZ909" s="140"/>
      <c r="FA909" s="140"/>
      <c r="FB909" s="140"/>
      <c r="FC909" s="140"/>
      <c r="FD909" s="140"/>
      <c r="FE909" s="140"/>
      <c r="FF909" s="140"/>
      <c r="FG909" s="140"/>
      <c r="FH909" s="140"/>
      <c r="FI909" s="140"/>
      <c r="FJ909" s="140"/>
      <c r="FK909" s="140"/>
      <c r="FL909" s="140"/>
      <c r="FM909" s="140"/>
      <c r="FN909" s="140"/>
      <c r="FO909" s="140"/>
      <c r="FP909" s="140"/>
      <c r="FQ909" s="140"/>
      <c r="FR909" s="140"/>
      <c r="FS909" s="140"/>
      <c r="FT909" s="140"/>
      <c r="FU909" s="140"/>
      <c r="FV909" s="140"/>
      <c r="FW909" s="140"/>
      <c r="FX909" s="140"/>
      <c r="FY909" s="140"/>
      <c r="FZ909" s="140"/>
      <c r="GA909" s="140"/>
      <c r="GB909" s="140"/>
      <c r="GC909" s="140"/>
      <c r="GD909" s="140"/>
      <c r="GE909" s="140"/>
      <c r="GF909" s="140"/>
      <c r="GG909" s="140"/>
      <c r="GH909" s="140"/>
      <c r="GI909" s="140"/>
      <c r="GJ909" s="140"/>
      <c r="GK909" s="140"/>
      <c r="GL909" s="140"/>
      <c r="GM909" s="140"/>
      <c r="GN909" s="140"/>
      <c r="GO909" s="140"/>
      <c r="GP909" s="140"/>
      <c r="GQ909" s="140"/>
      <c r="GR909" s="140"/>
      <c r="GS909" s="140"/>
      <c r="GT909" s="140"/>
      <c r="GU909" s="140"/>
      <c r="GV909" s="140"/>
      <c r="GW909" s="140"/>
      <c r="GX909" s="140"/>
      <c r="GY909" s="140"/>
      <c r="GZ909" s="140"/>
      <c r="HA909" s="140"/>
      <c r="HB909" s="140"/>
      <c r="HC909" s="140"/>
      <c r="HD909" s="140"/>
      <c r="HE909" s="140"/>
      <c r="HF909" s="140"/>
      <c r="HG909" s="140"/>
      <c r="HH909" s="140"/>
      <c r="HI909" s="140"/>
      <c r="HJ909" s="140"/>
      <c r="HK909" s="140"/>
      <c r="HL909" s="140"/>
      <c r="HM909" s="140"/>
      <c r="HN909" s="140"/>
      <c r="HO909" s="140"/>
      <c r="HP909" s="140"/>
      <c r="HQ909" s="140"/>
      <c r="HR909" s="140"/>
      <c r="HS909" s="140"/>
      <c r="HT909" s="140"/>
      <c r="HU909" s="140"/>
      <c r="HV909" s="140"/>
      <c r="HW909" s="140"/>
      <c r="HX909" s="140"/>
      <c r="HY909" s="140"/>
      <c r="HZ909" s="140"/>
      <c r="IA909" s="140"/>
      <c r="IB909" s="140"/>
      <c r="IC909" s="140"/>
      <c r="ID909" s="140"/>
      <c r="IE909" s="140"/>
      <c r="IF909" s="140"/>
      <c r="IG909" s="140"/>
      <c r="IH909" s="140"/>
      <c r="II909" s="140"/>
      <c r="IJ909" s="140"/>
      <c r="IK909" s="140"/>
      <c r="IL909" s="140"/>
      <c r="IM909" s="140"/>
      <c r="IN909" s="140"/>
      <c r="IO909" s="140"/>
      <c r="IP909" s="140"/>
      <c r="IQ909" s="140"/>
      <c r="IR909" s="140"/>
      <c r="IS909" s="140"/>
      <c r="IT909" s="140"/>
      <c r="IU909" s="140"/>
      <c r="IV909" s="140"/>
      <c r="IW909" s="140"/>
      <c r="IX909" s="140"/>
      <c r="IY909" s="140"/>
      <c r="IZ909" s="140"/>
      <c r="JA909" s="140"/>
      <c r="JB909" s="140"/>
      <c r="JC909" s="140"/>
      <c r="JD909" s="140"/>
      <c r="JE909" s="140"/>
      <c r="JF909" s="140"/>
      <c r="JG909" s="140"/>
      <c r="JH909" s="140"/>
      <c r="JI909" s="140"/>
      <c r="JJ909" s="140"/>
      <c r="JK909" s="140"/>
      <c r="JL909" s="140"/>
      <c r="JM909" s="140"/>
      <c r="JN909" s="140"/>
      <c r="JO909" s="140"/>
      <c r="JP909" s="140"/>
      <c r="JQ909" s="140"/>
      <c r="JR909" s="140"/>
      <c r="JS909" s="140"/>
      <c r="JT909" s="140"/>
      <c r="JU909" s="140"/>
      <c r="JV909" s="140"/>
      <c r="JW909" s="140"/>
      <c r="JX909" s="140"/>
      <c r="JY909" s="140"/>
      <c r="JZ909" s="140"/>
      <c r="KA909" s="140"/>
      <c r="KB909" s="140"/>
      <c r="KC909" s="140"/>
      <c r="KD909" s="140"/>
      <c r="KE909" s="140"/>
      <c r="KF909" s="140"/>
      <c r="KG909" s="140"/>
      <c r="KH909" s="140"/>
      <c r="KI909" s="140"/>
      <c r="KJ909" s="140"/>
      <c r="KK909" s="140"/>
      <c r="KL909" s="140"/>
      <c r="KM909" s="140"/>
      <c r="KN909" s="140"/>
      <c r="KO909" s="140"/>
      <c r="KP909" s="140"/>
      <c r="KQ909" s="140"/>
      <c r="KR909" s="140"/>
      <c r="KS909" s="140"/>
      <c r="KT909" s="140"/>
      <c r="KU909" s="140"/>
      <c r="KV909" s="140"/>
      <c r="KW909" s="140"/>
      <c r="KX909" s="140"/>
      <c r="KY909" s="140"/>
      <c r="KZ909" s="140"/>
      <c r="LA909" s="140"/>
      <c r="LB909" s="140"/>
      <c r="LC909" s="140"/>
      <c r="LD909" s="140"/>
      <c r="LE909" s="140"/>
      <c r="LF909" s="140"/>
      <c r="LG909" s="140"/>
      <c r="LH909" s="140"/>
      <c r="LI909" s="140"/>
      <c r="LJ909" s="140"/>
      <c r="LK909" s="140"/>
      <c r="LL909" s="140"/>
      <c r="LM909" s="140"/>
      <c r="LN909" s="140"/>
      <c r="LO909" s="140"/>
      <c r="LP909" s="140"/>
      <c r="LQ909" s="140"/>
      <c r="LR909" s="140"/>
      <c r="LS909" s="140"/>
      <c r="LT909" s="140"/>
      <c r="LU909" s="140"/>
      <c r="LV909" s="140"/>
      <c r="LW909" s="140"/>
      <c r="LX909" s="140"/>
      <c r="LY909" s="140"/>
      <c r="LZ909" s="140"/>
      <c r="MA909" s="140"/>
      <c r="MB909" s="140"/>
      <c r="MC909" s="140"/>
      <c r="MD909" s="140"/>
      <c r="ME909" s="140"/>
      <c r="MF909" s="140"/>
      <c r="MG909" s="140"/>
      <c r="MH909" s="140"/>
      <c r="MI909" s="140"/>
      <c r="MJ909" s="140"/>
      <c r="MK909" s="140"/>
      <c r="ML909" s="140"/>
    </row>
    <row r="910" spans="3:350" s="4" customFormat="1" ht="15" customHeight="1" x14ac:dyDescent="0.3">
      <c r="C910" s="159" t="s">
        <v>409</v>
      </c>
      <c r="H910" s="140"/>
      <c r="I910" s="140"/>
      <c r="J910" s="140"/>
      <c r="K910" s="140"/>
      <c r="L910" s="140"/>
      <c r="M910" s="140"/>
      <c r="N910" s="140"/>
      <c r="O910" s="140"/>
      <c r="P910" s="140"/>
      <c r="Q910" s="140"/>
      <c r="R910" s="140"/>
      <c r="S910" s="140"/>
      <c r="T910" s="140"/>
      <c r="U910" s="140"/>
      <c r="V910" s="140"/>
      <c r="W910" s="140"/>
      <c r="X910" s="140"/>
      <c r="Y910" s="140"/>
      <c r="Z910" s="140"/>
      <c r="AA910" s="140"/>
      <c r="AB910" s="140"/>
      <c r="AC910" s="140"/>
      <c r="AD910" s="140"/>
      <c r="AE910" s="140"/>
      <c r="AF910" s="140"/>
      <c r="AG910" s="140"/>
      <c r="AH910" s="140"/>
      <c r="AI910" s="140"/>
      <c r="AJ910" s="140"/>
      <c r="AK910" s="140"/>
      <c r="AL910" s="140"/>
      <c r="AM910" s="140"/>
      <c r="AN910" s="140"/>
      <c r="AO910" s="140"/>
      <c r="AP910" s="140"/>
      <c r="AQ910" s="140"/>
      <c r="AR910" s="140"/>
      <c r="AS910" s="140"/>
      <c r="AT910" s="140"/>
      <c r="AU910" s="140"/>
      <c r="AV910" s="140"/>
      <c r="AW910" s="140"/>
      <c r="AX910" s="140"/>
      <c r="AY910" s="140"/>
      <c r="AZ910" s="140"/>
      <c r="BA910" s="140"/>
      <c r="BB910" s="140"/>
      <c r="BC910" s="140"/>
      <c r="BD910" s="140"/>
      <c r="BE910" s="140"/>
      <c r="BF910" s="140"/>
      <c r="BG910" s="140"/>
      <c r="BH910" s="140"/>
      <c r="BI910" s="140"/>
      <c r="BJ910" s="140"/>
      <c r="BK910" s="140"/>
      <c r="BL910" s="140"/>
      <c r="BM910" s="140"/>
      <c r="BN910" s="140"/>
      <c r="BO910" s="140"/>
      <c r="BP910" s="140"/>
      <c r="BQ910" s="140"/>
      <c r="BR910" s="140"/>
      <c r="BS910" s="140"/>
      <c r="BT910" s="140"/>
      <c r="BU910" s="140"/>
      <c r="BV910" s="140"/>
      <c r="BW910" s="140"/>
      <c r="BX910" s="140"/>
      <c r="BY910" s="140"/>
      <c r="BZ910" s="140"/>
      <c r="CA910" s="140"/>
      <c r="CB910" s="140"/>
      <c r="CC910" s="140"/>
      <c r="CD910" s="140"/>
      <c r="CE910" s="140"/>
      <c r="CF910" s="140"/>
      <c r="CG910" s="140"/>
      <c r="CH910" s="140"/>
      <c r="CI910" s="140"/>
      <c r="CJ910" s="140"/>
      <c r="CK910" s="140"/>
      <c r="CL910" s="140"/>
      <c r="CM910" s="140"/>
      <c r="CN910" s="140"/>
      <c r="CO910" s="140"/>
      <c r="CP910" s="140"/>
      <c r="CQ910" s="140"/>
      <c r="CR910" s="140"/>
      <c r="CS910" s="140"/>
      <c r="CT910" s="140"/>
      <c r="CU910" s="140"/>
      <c r="CV910" s="140"/>
      <c r="CW910" s="140"/>
      <c r="CX910" s="140"/>
      <c r="CY910" s="140"/>
      <c r="CZ910" s="140"/>
      <c r="DA910" s="140"/>
      <c r="DB910" s="140"/>
      <c r="DC910" s="140"/>
      <c r="DD910" s="140"/>
      <c r="DE910" s="140"/>
      <c r="DF910" s="140"/>
      <c r="DG910" s="140"/>
      <c r="DH910" s="140"/>
      <c r="DI910" s="140"/>
      <c r="DJ910" s="140"/>
      <c r="DK910" s="140"/>
      <c r="DL910" s="140"/>
      <c r="DM910" s="140"/>
      <c r="DN910" s="140"/>
      <c r="DO910" s="140"/>
      <c r="DP910" s="140"/>
      <c r="DQ910" s="140"/>
      <c r="DR910" s="140"/>
      <c r="DS910" s="140"/>
      <c r="DT910" s="140"/>
      <c r="DU910" s="140"/>
      <c r="DV910" s="140"/>
      <c r="DW910" s="140"/>
      <c r="DX910" s="140"/>
      <c r="DY910" s="140"/>
      <c r="DZ910" s="140"/>
      <c r="EA910" s="140"/>
      <c r="EB910" s="140"/>
      <c r="EC910" s="140"/>
      <c r="ED910" s="140"/>
      <c r="EE910" s="140"/>
      <c r="EF910" s="140"/>
      <c r="EG910" s="140"/>
      <c r="EH910" s="140"/>
      <c r="EI910" s="140"/>
      <c r="EJ910" s="140"/>
      <c r="EK910" s="140"/>
      <c r="EL910" s="140"/>
      <c r="EM910" s="140"/>
      <c r="EN910" s="140"/>
      <c r="EO910" s="140"/>
      <c r="EP910" s="140"/>
      <c r="EQ910" s="140"/>
      <c r="ER910" s="140"/>
      <c r="ES910" s="140"/>
      <c r="ET910" s="140"/>
      <c r="EU910" s="140"/>
      <c r="EV910" s="140"/>
      <c r="EW910" s="140"/>
      <c r="EX910" s="140"/>
      <c r="EY910" s="140"/>
      <c r="EZ910" s="140"/>
      <c r="FA910" s="140"/>
      <c r="FB910" s="140"/>
      <c r="FC910" s="140"/>
      <c r="FD910" s="140"/>
      <c r="FE910" s="140"/>
      <c r="FF910" s="140"/>
      <c r="FG910" s="140"/>
      <c r="FH910" s="140"/>
      <c r="FI910" s="140"/>
      <c r="FJ910" s="140"/>
      <c r="FK910" s="140"/>
      <c r="FL910" s="140"/>
      <c r="FM910" s="140"/>
      <c r="FN910" s="140"/>
      <c r="FO910" s="140"/>
      <c r="FP910" s="140"/>
      <c r="FQ910" s="140"/>
      <c r="FR910" s="140"/>
      <c r="FS910" s="140"/>
      <c r="FT910" s="140"/>
      <c r="FU910" s="140"/>
      <c r="FV910" s="140"/>
      <c r="FW910" s="140"/>
      <c r="FX910" s="140"/>
      <c r="FY910" s="140"/>
      <c r="FZ910" s="140"/>
      <c r="GA910" s="140"/>
      <c r="GB910" s="140"/>
      <c r="GC910" s="140"/>
      <c r="GD910" s="140"/>
      <c r="GE910" s="140"/>
      <c r="GF910" s="140"/>
      <c r="GG910" s="140"/>
      <c r="GH910" s="140"/>
      <c r="GI910" s="140"/>
      <c r="GJ910" s="140"/>
      <c r="GK910" s="140"/>
      <c r="GL910" s="140"/>
      <c r="GM910" s="140"/>
      <c r="GN910" s="140"/>
      <c r="GO910" s="140"/>
      <c r="GP910" s="140"/>
      <c r="GQ910" s="140"/>
      <c r="GR910" s="140"/>
      <c r="GS910" s="140"/>
      <c r="GT910" s="140"/>
      <c r="GU910" s="140"/>
      <c r="GV910" s="140"/>
      <c r="GW910" s="140"/>
      <c r="GX910" s="140"/>
      <c r="GY910" s="140"/>
      <c r="GZ910" s="140"/>
      <c r="HA910" s="140"/>
      <c r="HB910" s="140"/>
      <c r="HC910" s="140"/>
      <c r="HD910" s="140"/>
      <c r="HE910" s="140"/>
      <c r="HF910" s="140"/>
      <c r="HG910" s="140"/>
      <c r="HH910" s="140"/>
      <c r="HI910" s="140"/>
      <c r="HJ910" s="140"/>
      <c r="HK910" s="140"/>
      <c r="HL910" s="140"/>
      <c r="HM910" s="140"/>
      <c r="HN910" s="140"/>
      <c r="HO910" s="140"/>
      <c r="HP910" s="140"/>
      <c r="HQ910" s="140"/>
      <c r="HR910" s="140"/>
      <c r="HS910" s="140"/>
      <c r="HT910" s="140"/>
      <c r="HU910" s="140"/>
      <c r="HV910" s="140"/>
      <c r="HW910" s="140"/>
      <c r="HX910" s="140"/>
      <c r="HY910" s="140"/>
      <c r="HZ910" s="140"/>
      <c r="IA910" s="140"/>
      <c r="IB910" s="140"/>
      <c r="IC910" s="140"/>
      <c r="ID910" s="140"/>
      <c r="IE910" s="140"/>
      <c r="IF910" s="140"/>
      <c r="IG910" s="140"/>
      <c r="IH910" s="140"/>
      <c r="II910" s="140"/>
      <c r="IJ910" s="140"/>
      <c r="IK910" s="140"/>
      <c r="IL910" s="140"/>
      <c r="IM910" s="140"/>
      <c r="IN910" s="140"/>
      <c r="IO910" s="140"/>
      <c r="IP910" s="140"/>
      <c r="IQ910" s="140"/>
      <c r="IR910" s="140"/>
      <c r="IS910" s="140"/>
      <c r="IT910" s="140"/>
      <c r="IU910" s="140"/>
      <c r="IV910" s="140"/>
      <c r="IW910" s="140"/>
      <c r="IX910" s="140"/>
      <c r="IY910" s="140"/>
      <c r="IZ910" s="140"/>
      <c r="JA910" s="140"/>
      <c r="JB910" s="140"/>
      <c r="JC910" s="140"/>
      <c r="JD910" s="140"/>
      <c r="JE910" s="140"/>
      <c r="JF910" s="140"/>
      <c r="JG910" s="140"/>
      <c r="JH910" s="140"/>
      <c r="JI910" s="140"/>
      <c r="JJ910" s="140"/>
      <c r="JK910" s="140"/>
      <c r="JL910" s="140"/>
      <c r="JM910" s="140"/>
      <c r="JN910" s="140"/>
      <c r="JO910" s="140"/>
      <c r="JP910" s="140"/>
      <c r="JQ910" s="140"/>
      <c r="JR910" s="140"/>
      <c r="JS910" s="140"/>
      <c r="JT910" s="140"/>
      <c r="JU910" s="140"/>
      <c r="JV910" s="140"/>
      <c r="JW910" s="140"/>
      <c r="JX910" s="140"/>
      <c r="JY910" s="140"/>
      <c r="JZ910" s="140"/>
      <c r="KA910" s="140"/>
      <c r="KB910" s="140"/>
      <c r="KC910" s="140"/>
      <c r="KD910" s="140"/>
      <c r="KE910" s="140"/>
      <c r="KF910" s="140"/>
      <c r="KG910" s="140"/>
      <c r="KH910" s="140"/>
      <c r="KI910" s="140"/>
      <c r="KJ910" s="140"/>
      <c r="KK910" s="140"/>
      <c r="KL910" s="140"/>
      <c r="KM910" s="140"/>
      <c r="KN910" s="140"/>
      <c r="KO910" s="140"/>
      <c r="KP910" s="140"/>
      <c r="KQ910" s="140"/>
      <c r="KR910" s="140"/>
      <c r="KS910" s="140"/>
      <c r="KT910" s="140"/>
      <c r="KU910" s="140"/>
      <c r="KV910" s="140"/>
      <c r="KW910" s="140"/>
      <c r="KX910" s="140"/>
      <c r="KY910" s="140"/>
      <c r="KZ910" s="140"/>
      <c r="LA910" s="140"/>
      <c r="LB910" s="140"/>
      <c r="LC910" s="140"/>
      <c r="LD910" s="140"/>
      <c r="LE910" s="140"/>
      <c r="LF910" s="140"/>
      <c r="LG910" s="140"/>
      <c r="LH910" s="140"/>
      <c r="LI910" s="140"/>
      <c r="LJ910" s="140"/>
      <c r="LK910" s="140"/>
      <c r="LL910" s="140"/>
      <c r="LM910" s="140"/>
      <c r="LN910" s="140"/>
      <c r="LO910" s="140"/>
      <c r="LP910" s="140"/>
      <c r="LQ910" s="140"/>
      <c r="LR910" s="140"/>
      <c r="LS910" s="140"/>
      <c r="LT910" s="140"/>
      <c r="LU910" s="140"/>
      <c r="LV910" s="140"/>
      <c r="LW910" s="140"/>
      <c r="LX910" s="140"/>
      <c r="LY910" s="140"/>
      <c r="LZ910" s="140"/>
      <c r="MA910" s="140"/>
      <c r="MB910" s="140"/>
      <c r="MC910" s="140"/>
      <c r="MD910" s="140"/>
      <c r="ME910" s="140"/>
      <c r="MF910" s="140"/>
      <c r="MG910" s="140"/>
      <c r="MH910" s="140"/>
      <c r="MI910" s="140"/>
      <c r="MJ910" s="140"/>
      <c r="MK910" s="140"/>
      <c r="ML910" s="140"/>
    </row>
    <row r="911" spans="3:350" s="4" customFormat="1" ht="15" customHeight="1" x14ac:dyDescent="0.3">
      <c r="C911" s="159" t="s">
        <v>410</v>
      </c>
      <c r="H911" s="140"/>
      <c r="I911" s="140"/>
      <c r="J911" s="140"/>
      <c r="K911" s="140"/>
      <c r="L911" s="140"/>
      <c r="M911" s="140"/>
      <c r="N911" s="140"/>
      <c r="O911" s="140"/>
      <c r="P911" s="140"/>
      <c r="Q911" s="140"/>
      <c r="R911" s="140"/>
      <c r="S911" s="140"/>
      <c r="T911" s="140"/>
      <c r="U911" s="140"/>
      <c r="V911" s="140"/>
      <c r="W911" s="140"/>
      <c r="X911" s="140"/>
      <c r="Y911" s="140"/>
      <c r="Z911" s="140"/>
      <c r="AA911" s="140"/>
      <c r="AB911" s="140"/>
      <c r="AC911" s="140"/>
      <c r="AD911" s="140"/>
      <c r="AE911" s="140"/>
      <c r="AF911" s="140"/>
      <c r="AG911" s="140"/>
      <c r="AH911" s="140"/>
      <c r="AI911" s="140"/>
      <c r="AJ911" s="140"/>
      <c r="AK911" s="140"/>
      <c r="AL911" s="140"/>
      <c r="AM911" s="140"/>
      <c r="AN911" s="140"/>
      <c r="AO911" s="140"/>
      <c r="AP911" s="140"/>
      <c r="AQ911" s="140"/>
      <c r="AR911" s="140"/>
      <c r="AS911" s="140"/>
      <c r="AT911" s="140"/>
      <c r="AU911" s="140"/>
      <c r="AV911" s="140"/>
      <c r="AW911" s="140"/>
      <c r="AX911" s="140"/>
      <c r="AY911" s="140"/>
      <c r="AZ911" s="140"/>
      <c r="BA911" s="140"/>
      <c r="BB911" s="140"/>
      <c r="BC911" s="140"/>
      <c r="BD911" s="140"/>
      <c r="BE911" s="140"/>
      <c r="BF911" s="140"/>
      <c r="BG911" s="140"/>
      <c r="BH911" s="140"/>
      <c r="BI911" s="140"/>
      <c r="BJ911" s="140"/>
      <c r="BK911" s="140"/>
      <c r="BL911" s="140"/>
      <c r="BM911" s="140"/>
      <c r="BN911" s="140"/>
      <c r="BO911" s="140"/>
      <c r="BP911" s="140"/>
      <c r="BQ911" s="140"/>
      <c r="BR911" s="140"/>
      <c r="BS911" s="140"/>
      <c r="BT911" s="140"/>
      <c r="BU911" s="140"/>
      <c r="BV911" s="140"/>
      <c r="BW911" s="140"/>
      <c r="BX911" s="140"/>
      <c r="BY911" s="140"/>
      <c r="BZ911" s="140"/>
      <c r="CA911" s="140"/>
      <c r="CB911" s="140"/>
      <c r="CC911" s="140"/>
      <c r="CD911" s="140"/>
      <c r="CE911" s="140"/>
      <c r="CF911" s="140"/>
      <c r="CG911" s="140"/>
      <c r="CH911" s="140"/>
      <c r="CI911" s="140"/>
      <c r="CJ911" s="140"/>
      <c r="CK911" s="140"/>
      <c r="CL911" s="140"/>
      <c r="CM911" s="140"/>
      <c r="CN911" s="140"/>
      <c r="CO911" s="140"/>
      <c r="CP911" s="140"/>
      <c r="CQ911" s="140"/>
      <c r="CR911" s="140"/>
      <c r="CS911" s="140"/>
      <c r="CT911" s="140"/>
      <c r="CU911" s="140"/>
      <c r="CV911" s="140"/>
      <c r="CW911" s="140"/>
      <c r="CX911" s="140"/>
      <c r="CY911" s="140"/>
      <c r="CZ911" s="140"/>
      <c r="DA911" s="140"/>
      <c r="DB911" s="140"/>
      <c r="DC911" s="140"/>
      <c r="DD911" s="140"/>
      <c r="DE911" s="140"/>
      <c r="DF911" s="140"/>
      <c r="DG911" s="140"/>
      <c r="DH911" s="140"/>
      <c r="DI911" s="140"/>
      <c r="DJ911" s="140"/>
      <c r="DK911" s="140"/>
      <c r="DL911" s="140"/>
      <c r="DM911" s="140"/>
      <c r="DN911" s="140"/>
      <c r="DO911" s="140"/>
      <c r="DP911" s="140"/>
      <c r="DQ911" s="140"/>
      <c r="DR911" s="140"/>
      <c r="DS911" s="140"/>
      <c r="DT911" s="140"/>
      <c r="DU911" s="140"/>
      <c r="DV911" s="140"/>
      <c r="DW911" s="140"/>
      <c r="DX911" s="140"/>
      <c r="DY911" s="140"/>
      <c r="DZ911" s="140"/>
      <c r="EA911" s="140"/>
      <c r="EB911" s="140"/>
      <c r="EC911" s="140"/>
      <c r="ED911" s="140"/>
      <c r="EE911" s="140"/>
      <c r="EF911" s="140"/>
      <c r="EG911" s="140"/>
      <c r="EH911" s="140"/>
      <c r="EI911" s="140"/>
      <c r="EJ911" s="140"/>
      <c r="EK911" s="140"/>
      <c r="EL911" s="140"/>
      <c r="EM911" s="140"/>
      <c r="EN911" s="140"/>
      <c r="EO911" s="140"/>
      <c r="EP911" s="140"/>
      <c r="EQ911" s="140"/>
      <c r="ER911" s="140"/>
      <c r="ES911" s="140"/>
      <c r="ET911" s="140"/>
      <c r="EU911" s="140"/>
      <c r="EV911" s="140"/>
      <c r="EW911" s="140"/>
      <c r="EX911" s="140"/>
      <c r="EY911" s="140"/>
      <c r="EZ911" s="140"/>
      <c r="FA911" s="140"/>
      <c r="FB911" s="140"/>
      <c r="FC911" s="140"/>
      <c r="FD911" s="140"/>
      <c r="FE911" s="140"/>
      <c r="FF911" s="140"/>
      <c r="FG911" s="140"/>
      <c r="FH911" s="140"/>
      <c r="FI911" s="140"/>
      <c r="FJ911" s="140"/>
      <c r="FK911" s="140"/>
      <c r="FL911" s="140"/>
      <c r="FM911" s="140"/>
      <c r="FN911" s="140"/>
      <c r="FO911" s="140"/>
      <c r="FP911" s="140"/>
      <c r="FQ911" s="140"/>
      <c r="FR911" s="140"/>
      <c r="FS911" s="140"/>
      <c r="FT911" s="140"/>
      <c r="FU911" s="140"/>
      <c r="FV911" s="140"/>
      <c r="FW911" s="140"/>
      <c r="FX911" s="140"/>
      <c r="FY911" s="140"/>
      <c r="FZ911" s="140"/>
      <c r="GA911" s="140"/>
      <c r="GB911" s="140"/>
      <c r="GC911" s="140"/>
      <c r="GD911" s="140"/>
      <c r="GE911" s="140"/>
      <c r="GF911" s="140"/>
      <c r="GG911" s="140"/>
      <c r="GH911" s="140"/>
      <c r="GI911" s="140"/>
      <c r="GJ911" s="140"/>
      <c r="GK911" s="140"/>
      <c r="GL911" s="140"/>
      <c r="GM911" s="140"/>
      <c r="GN911" s="140"/>
      <c r="GO911" s="140"/>
      <c r="GP911" s="140"/>
      <c r="GQ911" s="140"/>
      <c r="GR911" s="140"/>
      <c r="GS911" s="140"/>
      <c r="GT911" s="140"/>
      <c r="GU911" s="140"/>
      <c r="GV911" s="140"/>
      <c r="GW911" s="140"/>
      <c r="GX911" s="140"/>
      <c r="GY911" s="140"/>
      <c r="GZ911" s="140"/>
      <c r="HA911" s="140"/>
      <c r="HB911" s="140"/>
      <c r="HC911" s="140"/>
      <c r="HD911" s="140"/>
      <c r="HE911" s="140"/>
      <c r="HF911" s="140"/>
      <c r="HG911" s="140"/>
      <c r="HH911" s="140"/>
      <c r="HI911" s="140"/>
      <c r="HJ911" s="140"/>
      <c r="HK911" s="140"/>
      <c r="HL911" s="140"/>
      <c r="HM911" s="140"/>
      <c r="HN911" s="140"/>
      <c r="HO911" s="140"/>
      <c r="HP911" s="140"/>
      <c r="HQ911" s="140"/>
      <c r="HR911" s="140"/>
      <c r="HS911" s="140"/>
      <c r="HT911" s="140"/>
      <c r="HU911" s="140"/>
      <c r="HV911" s="140"/>
      <c r="HW911" s="140"/>
      <c r="HX911" s="140"/>
      <c r="HY911" s="140"/>
      <c r="HZ911" s="140"/>
      <c r="IA911" s="140"/>
      <c r="IB911" s="140"/>
      <c r="IC911" s="140"/>
      <c r="ID911" s="140"/>
      <c r="IE911" s="140"/>
      <c r="IF911" s="140"/>
      <c r="IG911" s="140"/>
      <c r="IH911" s="140"/>
      <c r="II911" s="140"/>
      <c r="IJ911" s="140"/>
      <c r="IK911" s="140"/>
      <c r="IL911" s="140"/>
      <c r="IM911" s="140"/>
      <c r="IN911" s="140"/>
      <c r="IO911" s="140"/>
      <c r="IP911" s="140"/>
      <c r="IQ911" s="140"/>
      <c r="IR911" s="140"/>
      <c r="IS911" s="140"/>
      <c r="IT911" s="140"/>
      <c r="IU911" s="140"/>
      <c r="IV911" s="140"/>
      <c r="IW911" s="140"/>
      <c r="IX911" s="140"/>
      <c r="IY911" s="140"/>
      <c r="IZ911" s="140"/>
      <c r="JA911" s="140"/>
      <c r="JB911" s="140"/>
      <c r="JC911" s="140"/>
      <c r="JD911" s="140"/>
      <c r="JE911" s="140"/>
      <c r="JF911" s="140"/>
      <c r="JG911" s="140"/>
      <c r="JH911" s="140"/>
      <c r="JI911" s="140"/>
      <c r="JJ911" s="140"/>
      <c r="JK911" s="140"/>
      <c r="JL911" s="140"/>
      <c r="JM911" s="140"/>
      <c r="JN911" s="140"/>
      <c r="JO911" s="140"/>
      <c r="JP911" s="140"/>
      <c r="JQ911" s="140"/>
      <c r="JR911" s="140"/>
      <c r="JS911" s="140"/>
      <c r="JT911" s="140"/>
      <c r="JU911" s="140"/>
      <c r="JV911" s="140"/>
      <c r="JW911" s="140"/>
      <c r="JX911" s="140"/>
      <c r="JY911" s="140"/>
      <c r="JZ911" s="140"/>
      <c r="KA911" s="140"/>
      <c r="KB911" s="140"/>
      <c r="KC911" s="140"/>
      <c r="KD911" s="140"/>
      <c r="KE911" s="140"/>
      <c r="KF911" s="140"/>
      <c r="KG911" s="140"/>
      <c r="KH911" s="140"/>
      <c r="KI911" s="140"/>
      <c r="KJ911" s="140"/>
      <c r="KK911" s="140"/>
      <c r="KL911" s="140"/>
      <c r="KM911" s="140"/>
      <c r="KN911" s="140"/>
      <c r="KO911" s="140"/>
      <c r="KP911" s="140"/>
      <c r="KQ911" s="140"/>
      <c r="KR911" s="140"/>
      <c r="KS911" s="140"/>
      <c r="KT911" s="140"/>
      <c r="KU911" s="140"/>
      <c r="KV911" s="140"/>
      <c r="KW911" s="140"/>
      <c r="KX911" s="140"/>
      <c r="KY911" s="140"/>
      <c r="KZ911" s="140"/>
      <c r="LA911" s="140"/>
      <c r="LB911" s="140"/>
      <c r="LC911" s="140"/>
      <c r="LD911" s="140"/>
      <c r="LE911" s="140"/>
      <c r="LF911" s="140"/>
      <c r="LG911" s="140"/>
      <c r="LH911" s="140"/>
      <c r="LI911" s="140"/>
      <c r="LJ911" s="140"/>
      <c r="LK911" s="140"/>
      <c r="LL911" s="140"/>
      <c r="LM911" s="140"/>
      <c r="LN911" s="140"/>
      <c r="LO911" s="140"/>
      <c r="LP911" s="140"/>
      <c r="LQ911" s="140"/>
      <c r="LR911" s="140"/>
      <c r="LS911" s="140"/>
      <c r="LT911" s="140"/>
      <c r="LU911" s="140"/>
      <c r="LV911" s="140"/>
      <c r="LW911" s="140"/>
      <c r="LX911" s="140"/>
      <c r="LY911" s="140"/>
      <c r="LZ911" s="140"/>
      <c r="MA911" s="140"/>
      <c r="MB911" s="140"/>
      <c r="MC911" s="140"/>
      <c r="MD911" s="140"/>
      <c r="ME911" s="140"/>
      <c r="MF911" s="140"/>
      <c r="MG911" s="140"/>
      <c r="MH911" s="140"/>
      <c r="MI911" s="140"/>
      <c r="MJ911" s="140"/>
      <c r="MK911" s="140"/>
      <c r="ML911" s="140"/>
    </row>
    <row r="912" spans="3:350" s="4" customFormat="1" ht="15" customHeight="1" x14ac:dyDescent="0.3">
      <c r="C912" s="159"/>
      <c r="H912" s="140"/>
      <c r="I912" s="140"/>
      <c r="J912" s="140"/>
      <c r="K912" s="140"/>
      <c r="L912" s="140"/>
      <c r="M912" s="140"/>
      <c r="N912" s="140"/>
      <c r="O912" s="140"/>
      <c r="P912" s="140"/>
      <c r="Q912" s="140"/>
      <c r="R912" s="140"/>
      <c r="S912" s="140"/>
      <c r="T912" s="140"/>
      <c r="U912" s="140"/>
      <c r="V912" s="140"/>
      <c r="W912" s="140"/>
      <c r="X912" s="140"/>
      <c r="Y912" s="140"/>
      <c r="Z912" s="140"/>
      <c r="AA912" s="140"/>
      <c r="AB912" s="140"/>
      <c r="AC912" s="140"/>
      <c r="AD912" s="140"/>
      <c r="AE912" s="140"/>
      <c r="AF912" s="140"/>
      <c r="AG912" s="140"/>
      <c r="AH912" s="140"/>
      <c r="AI912" s="140"/>
      <c r="AJ912" s="140"/>
      <c r="AK912" s="140"/>
      <c r="AL912" s="140"/>
      <c r="AM912" s="140"/>
      <c r="AN912" s="140"/>
      <c r="AO912" s="140"/>
      <c r="AP912" s="140"/>
      <c r="AQ912" s="140"/>
      <c r="AR912" s="140"/>
      <c r="AS912" s="140"/>
      <c r="AT912" s="140"/>
      <c r="AU912" s="140"/>
      <c r="AV912" s="140"/>
      <c r="AW912" s="140"/>
      <c r="AX912" s="140"/>
      <c r="AY912" s="140"/>
      <c r="AZ912" s="140"/>
      <c r="BA912" s="140"/>
      <c r="BB912" s="140"/>
      <c r="BC912" s="140"/>
      <c r="BD912" s="140"/>
      <c r="BE912" s="140"/>
      <c r="BF912" s="140"/>
      <c r="BG912" s="140"/>
      <c r="BH912" s="140"/>
      <c r="BI912" s="140"/>
      <c r="BJ912" s="140"/>
      <c r="BK912" s="140"/>
      <c r="BL912" s="140"/>
      <c r="BM912" s="140"/>
      <c r="BN912" s="140"/>
      <c r="BO912" s="140"/>
      <c r="BP912" s="140"/>
      <c r="BQ912" s="140"/>
      <c r="BR912" s="140"/>
      <c r="BS912" s="140"/>
      <c r="BT912" s="140"/>
      <c r="BU912" s="140"/>
      <c r="BV912" s="140"/>
      <c r="BW912" s="140"/>
      <c r="BX912" s="140"/>
      <c r="BY912" s="140"/>
      <c r="BZ912" s="140"/>
      <c r="CA912" s="140"/>
      <c r="CB912" s="140"/>
      <c r="CC912" s="140"/>
      <c r="CD912" s="140"/>
      <c r="CE912" s="140"/>
      <c r="CF912" s="140"/>
      <c r="CG912" s="140"/>
      <c r="CH912" s="140"/>
      <c r="CI912" s="140"/>
      <c r="CJ912" s="140"/>
      <c r="CK912" s="140"/>
      <c r="CL912" s="140"/>
      <c r="CM912" s="140"/>
      <c r="CN912" s="140"/>
      <c r="CO912" s="140"/>
      <c r="CP912" s="140"/>
      <c r="CQ912" s="140"/>
      <c r="CR912" s="140"/>
      <c r="CS912" s="140"/>
      <c r="CT912" s="140"/>
      <c r="CU912" s="140"/>
      <c r="CV912" s="140"/>
      <c r="CW912" s="140"/>
      <c r="CX912" s="140"/>
      <c r="CY912" s="140"/>
      <c r="CZ912" s="140"/>
      <c r="DA912" s="140"/>
      <c r="DB912" s="140"/>
      <c r="DC912" s="140"/>
      <c r="DD912" s="140"/>
      <c r="DE912" s="140"/>
      <c r="DF912" s="140"/>
      <c r="DG912" s="140"/>
      <c r="DH912" s="140"/>
      <c r="DI912" s="140"/>
      <c r="DJ912" s="140"/>
      <c r="DK912" s="140"/>
      <c r="DL912" s="140"/>
      <c r="DM912" s="140"/>
      <c r="DN912" s="140"/>
      <c r="DO912" s="140"/>
      <c r="DP912" s="140"/>
      <c r="DQ912" s="140"/>
      <c r="DR912" s="140"/>
      <c r="DS912" s="140"/>
      <c r="DT912" s="140"/>
      <c r="DU912" s="140"/>
      <c r="DV912" s="140"/>
      <c r="DW912" s="140"/>
      <c r="DX912" s="140"/>
      <c r="DY912" s="140"/>
      <c r="DZ912" s="140"/>
      <c r="EA912" s="140"/>
      <c r="EB912" s="140"/>
      <c r="EC912" s="140"/>
      <c r="ED912" s="140"/>
      <c r="EE912" s="140"/>
      <c r="EF912" s="140"/>
      <c r="EG912" s="140"/>
      <c r="EH912" s="140"/>
      <c r="EI912" s="140"/>
      <c r="EJ912" s="140"/>
      <c r="EK912" s="140"/>
      <c r="EL912" s="140"/>
      <c r="EM912" s="140"/>
      <c r="EN912" s="140"/>
      <c r="EO912" s="140"/>
      <c r="EP912" s="140"/>
      <c r="EQ912" s="140"/>
      <c r="ER912" s="140"/>
      <c r="ES912" s="140"/>
      <c r="ET912" s="140"/>
      <c r="EU912" s="140"/>
      <c r="EV912" s="140"/>
      <c r="EW912" s="140"/>
      <c r="EX912" s="140"/>
      <c r="EY912" s="140"/>
      <c r="EZ912" s="140"/>
      <c r="FA912" s="140"/>
      <c r="FB912" s="140"/>
      <c r="FC912" s="140"/>
      <c r="FD912" s="140"/>
      <c r="FE912" s="140"/>
      <c r="FF912" s="140"/>
      <c r="FG912" s="140"/>
      <c r="FH912" s="140"/>
      <c r="FI912" s="140"/>
      <c r="FJ912" s="140"/>
      <c r="FK912" s="140"/>
      <c r="FL912" s="140"/>
      <c r="FM912" s="140"/>
      <c r="FN912" s="140"/>
      <c r="FO912" s="140"/>
      <c r="FP912" s="140"/>
      <c r="FQ912" s="140"/>
      <c r="FR912" s="140"/>
      <c r="FS912" s="140"/>
      <c r="FT912" s="140"/>
      <c r="FU912" s="140"/>
      <c r="FV912" s="140"/>
      <c r="FW912" s="140"/>
      <c r="FX912" s="140"/>
      <c r="FY912" s="140"/>
      <c r="FZ912" s="140"/>
      <c r="GA912" s="140"/>
      <c r="GB912" s="140"/>
      <c r="GC912" s="140"/>
      <c r="GD912" s="140"/>
      <c r="GE912" s="140"/>
      <c r="GF912" s="140"/>
      <c r="GG912" s="140"/>
      <c r="GH912" s="140"/>
      <c r="GI912" s="140"/>
      <c r="GJ912" s="140"/>
      <c r="GK912" s="140"/>
      <c r="GL912" s="140"/>
      <c r="GM912" s="140"/>
      <c r="GN912" s="140"/>
      <c r="GO912" s="140"/>
      <c r="GP912" s="140"/>
      <c r="GQ912" s="140"/>
      <c r="GR912" s="140"/>
      <c r="GS912" s="140"/>
      <c r="GT912" s="140"/>
      <c r="GU912" s="140"/>
      <c r="GV912" s="140"/>
      <c r="GW912" s="140"/>
      <c r="GX912" s="140"/>
      <c r="GY912" s="140"/>
      <c r="GZ912" s="140"/>
      <c r="HA912" s="140"/>
      <c r="HB912" s="140"/>
      <c r="HC912" s="140"/>
      <c r="HD912" s="140"/>
      <c r="HE912" s="140"/>
      <c r="HF912" s="140"/>
      <c r="HG912" s="140"/>
      <c r="HH912" s="140"/>
      <c r="HI912" s="140"/>
      <c r="HJ912" s="140"/>
      <c r="HK912" s="140"/>
      <c r="HL912" s="140"/>
      <c r="HM912" s="140"/>
      <c r="HN912" s="140"/>
      <c r="HO912" s="140"/>
      <c r="HP912" s="140"/>
      <c r="HQ912" s="140"/>
      <c r="HR912" s="140"/>
      <c r="HS912" s="140"/>
      <c r="HT912" s="140"/>
      <c r="HU912" s="140"/>
      <c r="HV912" s="140"/>
      <c r="HW912" s="140"/>
      <c r="HX912" s="140"/>
      <c r="HY912" s="140"/>
      <c r="HZ912" s="140"/>
      <c r="IA912" s="140"/>
      <c r="IB912" s="140"/>
      <c r="IC912" s="140"/>
      <c r="ID912" s="140"/>
      <c r="IE912" s="140"/>
      <c r="IF912" s="140"/>
      <c r="IG912" s="140"/>
      <c r="IH912" s="140"/>
      <c r="II912" s="140"/>
      <c r="IJ912" s="140"/>
      <c r="IK912" s="140"/>
      <c r="IL912" s="140"/>
      <c r="IM912" s="140"/>
      <c r="IN912" s="140"/>
      <c r="IO912" s="140"/>
      <c r="IP912" s="140"/>
      <c r="IQ912" s="140"/>
      <c r="IR912" s="140"/>
      <c r="IS912" s="140"/>
      <c r="IT912" s="140"/>
      <c r="IU912" s="140"/>
      <c r="IV912" s="140"/>
      <c r="IW912" s="140"/>
      <c r="IX912" s="140"/>
      <c r="IY912" s="140"/>
      <c r="IZ912" s="140"/>
      <c r="JA912" s="140"/>
      <c r="JB912" s="140"/>
      <c r="JC912" s="140"/>
      <c r="JD912" s="140"/>
      <c r="JE912" s="140"/>
      <c r="JF912" s="140"/>
      <c r="JG912" s="140"/>
      <c r="JH912" s="140"/>
      <c r="JI912" s="140"/>
      <c r="JJ912" s="140"/>
      <c r="JK912" s="140"/>
      <c r="JL912" s="140"/>
      <c r="JM912" s="140"/>
      <c r="JN912" s="140"/>
      <c r="JO912" s="140"/>
      <c r="JP912" s="140"/>
      <c r="JQ912" s="140"/>
      <c r="JR912" s="140"/>
      <c r="JS912" s="140"/>
      <c r="JT912" s="140"/>
      <c r="JU912" s="140"/>
      <c r="JV912" s="140"/>
      <c r="JW912" s="140"/>
      <c r="JX912" s="140"/>
      <c r="JY912" s="140"/>
      <c r="JZ912" s="140"/>
      <c r="KA912" s="140"/>
      <c r="KB912" s="140"/>
      <c r="KC912" s="140"/>
      <c r="KD912" s="140"/>
      <c r="KE912" s="140"/>
      <c r="KF912" s="140"/>
      <c r="KG912" s="140"/>
      <c r="KH912" s="140"/>
      <c r="KI912" s="140"/>
      <c r="KJ912" s="140"/>
      <c r="KK912" s="140"/>
      <c r="KL912" s="140"/>
      <c r="KM912" s="140"/>
      <c r="KN912" s="140"/>
      <c r="KO912" s="140"/>
      <c r="KP912" s="140"/>
      <c r="KQ912" s="140"/>
      <c r="KR912" s="140"/>
      <c r="KS912" s="140"/>
      <c r="KT912" s="140"/>
      <c r="KU912" s="140"/>
      <c r="KV912" s="140"/>
      <c r="KW912" s="140"/>
      <c r="KX912" s="140"/>
      <c r="KY912" s="140"/>
      <c r="KZ912" s="140"/>
      <c r="LA912" s="140"/>
      <c r="LB912" s="140"/>
      <c r="LC912" s="140"/>
      <c r="LD912" s="140"/>
      <c r="LE912" s="140"/>
      <c r="LF912" s="140"/>
      <c r="LG912" s="140"/>
      <c r="LH912" s="140"/>
      <c r="LI912" s="140"/>
      <c r="LJ912" s="140"/>
      <c r="LK912" s="140"/>
      <c r="LL912" s="140"/>
      <c r="LM912" s="140"/>
      <c r="LN912" s="140"/>
      <c r="LO912" s="140"/>
      <c r="LP912" s="140"/>
      <c r="LQ912" s="140"/>
      <c r="LR912" s="140"/>
      <c r="LS912" s="140"/>
      <c r="LT912" s="140"/>
      <c r="LU912" s="140"/>
      <c r="LV912" s="140"/>
      <c r="LW912" s="140"/>
      <c r="LX912" s="140"/>
      <c r="LY912" s="140"/>
      <c r="LZ912" s="140"/>
      <c r="MA912" s="140"/>
      <c r="MB912" s="140"/>
      <c r="MC912" s="140"/>
      <c r="MD912" s="140"/>
      <c r="ME912" s="140"/>
      <c r="MF912" s="140"/>
      <c r="MG912" s="140"/>
      <c r="MH912" s="140"/>
      <c r="MI912" s="140"/>
      <c r="MJ912" s="140"/>
      <c r="MK912" s="140"/>
      <c r="ML912" s="140"/>
    </row>
    <row r="913" spans="3:350" s="4" customFormat="1" ht="15" customHeight="1" x14ac:dyDescent="0.3">
      <c r="C913" s="159" t="s">
        <v>411</v>
      </c>
      <c r="H913" s="140"/>
      <c r="I913" s="140"/>
      <c r="J913" s="140"/>
      <c r="K913" s="140"/>
      <c r="L913" s="140"/>
      <c r="M913" s="140"/>
      <c r="N913" s="140"/>
      <c r="O913" s="140"/>
      <c r="P913" s="140"/>
      <c r="Q913" s="140"/>
      <c r="R913" s="140"/>
      <c r="S913" s="140"/>
      <c r="T913" s="140"/>
      <c r="U913" s="140"/>
      <c r="V913" s="140"/>
      <c r="W913" s="140"/>
      <c r="X913" s="140"/>
      <c r="Y913" s="140"/>
      <c r="Z913" s="140"/>
      <c r="AA913" s="140"/>
      <c r="AB913" s="140"/>
      <c r="AC913" s="140"/>
      <c r="AD913" s="140"/>
      <c r="AE913" s="140"/>
      <c r="AF913" s="140"/>
      <c r="AG913" s="140"/>
      <c r="AH913" s="140"/>
      <c r="AI913" s="140"/>
      <c r="AJ913" s="140"/>
      <c r="AK913" s="140"/>
      <c r="AL913" s="140"/>
      <c r="AM913" s="140"/>
      <c r="AN913" s="140"/>
      <c r="AO913" s="140"/>
      <c r="AP913" s="140"/>
      <c r="AQ913" s="140"/>
      <c r="AR913" s="140"/>
      <c r="AS913" s="140"/>
      <c r="AT913" s="140"/>
      <c r="AU913" s="140"/>
      <c r="AV913" s="140"/>
      <c r="AW913" s="140"/>
      <c r="AX913" s="140"/>
      <c r="AY913" s="140"/>
      <c r="AZ913" s="140"/>
      <c r="BA913" s="140"/>
      <c r="BB913" s="140"/>
      <c r="BC913" s="140"/>
      <c r="BD913" s="140"/>
      <c r="BE913" s="140"/>
      <c r="BF913" s="140"/>
      <c r="BG913" s="140"/>
      <c r="BH913" s="140"/>
      <c r="BI913" s="140"/>
      <c r="BJ913" s="140"/>
      <c r="BK913" s="140"/>
      <c r="BL913" s="140"/>
      <c r="BM913" s="140"/>
      <c r="BN913" s="140"/>
      <c r="BO913" s="140"/>
      <c r="BP913" s="140"/>
      <c r="BQ913" s="140"/>
      <c r="BR913" s="140"/>
      <c r="BS913" s="140"/>
      <c r="BT913" s="140"/>
      <c r="BU913" s="140"/>
      <c r="BV913" s="140"/>
      <c r="BW913" s="140"/>
      <c r="BX913" s="140"/>
      <c r="BY913" s="140"/>
      <c r="BZ913" s="140"/>
      <c r="CA913" s="140"/>
      <c r="CB913" s="140"/>
      <c r="CC913" s="140"/>
      <c r="CD913" s="140"/>
      <c r="CE913" s="140"/>
      <c r="CF913" s="140"/>
      <c r="CG913" s="140"/>
      <c r="CH913" s="140"/>
      <c r="CI913" s="140"/>
      <c r="CJ913" s="140"/>
      <c r="CK913" s="140"/>
      <c r="CL913" s="140"/>
      <c r="CM913" s="140"/>
      <c r="CN913" s="140"/>
      <c r="CO913" s="140"/>
      <c r="CP913" s="140"/>
      <c r="CQ913" s="140"/>
      <c r="CR913" s="140"/>
      <c r="CS913" s="140"/>
      <c r="CT913" s="140"/>
      <c r="CU913" s="140"/>
      <c r="CV913" s="140"/>
      <c r="CW913" s="140"/>
      <c r="CX913" s="140"/>
      <c r="CY913" s="140"/>
      <c r="CZ913" s="140"/>
      <c r="DA913" s="140"/>
      <c r="DB913" s="140"/>
      <c r="DC913" s="140"/>
      <c r="DD913" s="140"/>
      <c r="DE913" s="140"/>
      <c r="DF913" s="140"/>
      <c r="DG913" s="140"/>
      <c r="DH913" s="140"/>
      <c r="DI913" s="140"/>
      <c r="DJ913" s="140"/>
      <c r="DK913" s="140"/>
      <c r="DL913" s="140"/>
      <c r="DM913" s="140"/>
      <c r="DN913" s="140"/>
      <c r="DO913" s="140"/>
      <c r="DP913" s="140"/>
      <c r="DQ913" s="140"/>
      <c r="DR913" s="140"/>
      <c r="DS913" s="140"/>
      <c r="DT913" s="140"/>
      <c r="DU913" s="140"/>
      <c r="DV913" s="140"/>
      <c r="DW913" s="140"/>
      <c r="DX913" s="140"/>
      <c r="DY913" s="140"/>
      <c r="DZ913" s="140"/>
      <c r="EA913" s="140"/>
      <c r="EB913" s="140"/>
      <c r="EC913" s="140"/>
      <c r="ED913" s="140"/>
      <c r="EE913" s="140"/>
      <c r="EF913" s="140"/>
      <c r="EG913" s="140"/>
      <c r="EH913" s="140"/>
      <c r="EI913" s="140"/>
      <c r="EJ913" s="140"/>
      <c r="EK913" s="140"/>
      <c r="EL913" s="140"/>
      <c r="EM913" s="140"/>
      <c r="EN913" s="140"/>
      <c r="EO913" s="140"/>
      <c r="EP913" s="140"/>
      <c r="EQ913" s="140"/>
      <c r="ER913" s="140"/>
      <c r="ES913" s="140"/>
      <c r="ET913" s="140"/>
      <c r="EU913" s="140"/>
      <c r="EV913" s="140"/>
      <c r="EW913" s="140"/>
      <c r="EX913" s="140"/>
      <c r="EY913" s="140"/>
      <c r="EZ913" s="140"/>
      <c r="FA913" s="140"/>
      <c r="FB913" s="140"/>
      <c r="FC913" s="140"/>
      <c r="FD913" s="140"/>
      <c r="FE913" s="140"/>
      <c r="FF913" s="140"/>
      <c r="FG913" s="140"/>
      <c r="FH913" s="140"/>
      <c r="FI913" s="140"/>
      <c r="FJ913" s="140"/>
      <c r="FK913" s="140"/>
      <c r="FL913" s="140"/>
      <c r="FM913" s="140"/>
      <c r="FN913" s="140"/>
      <c r="FO913" s="140"/>
      <c r="FP913" s="140"/>
      <c r="FQ913" s="140"/>
      <c r="FR913" s="140"/>
      <c r="FS913" s="140"/>
      <c r="FT913" s="140"/>
      <c r="FU913" s="140"/>
      <c r="FV913" s="140"/>
      <c r="FW913" s="140"/>
      <c r="FX913" s="140"/>
      <c r="FY913" s="140"/>
      <c r="FZ913" s="140"/>
      <c r="GA913" s="140"/>
      <c r="GB913" s="140"/>
      <c r="GC913" s="140"/>
      <c r="GD913" s="140"/>
      <c r="GE913" s="140"/>
      <c r="GF913" s="140"/>
      <c r="GG913" s="140"/>
      <c r="GH913" s="140"/>
      <c r="GI913" s="140"/>
      <c r="GJ913" s="140"/>
      <c r="GK913" s="140"/>
      <c r="GL913" s="140"/>
      <c r="GM913" s="140"/>
      <c r="GN913" s="140"/>
      <c r="GO913" s="140"/>
      <c r="GP913" s="140"/>
      <c r="GQ913" s="140"/>
      <c r="GR913" s="140"/>
      <c r="GS913" s="140"/>
      <c r="GT913" s="140"/>
      <c r="GU913" s="140"/>
      <c r="GV913" s="140"/>
      <c r="GW913" s="140"/>
      <c r="GX913" s="140"/>
      <c r="GY913" s="140"/>
      <c r="GZ913" s="140"/>
      <c r="HA913" s="140"/>
      <c r="HB913" s="140"/>
      <c r="HC913" s="140"/>
      <c r="HD913" s="140"/>
      <c r="HE913" s="140"/>
      <c r="HF913" s="140"/>
      <c r="HG913" s="140"/>
      <c r="HH913" s="140"/>
      <c r="HI913" s="140"/>
      <c r="HJ913" s="140"/>
      <c r="HK913" s="140"/>
      <c r="HL913" s="140"/>
      <c r="HM913" s="140"/>
      <c r="HN913" s="140"/>
      <c r="HO913" s="140"/>
      <c r="HP913" s="140"/>
      <c r="HQ913" s="140"/>
      <c r="HR913" s="140"/>
      <c r="HS913" s="140"/>
      <c r="HT913" s="140"/>
      <c r="HU913" s="140"/>
      <c r="HV913" s="140"/>
      <c r="HW913" s="140"/>
      <c r="HX913" s="140"/>
      <c r="HY913" s="140"/>
      <c r="HZ913" s="140"/>
      <c r="IA913" s="140"/>
      <c r="IB913" s="140"/>
      <c r="IC913" s="140"/>
      <c r="ID913" s="140"/>
      <c r="IE913" s="140"/>
      <c r="IF913" s="140"/>
      <c r="IG913" s="140"/>
      <c r="IH913" s="140"/>
      <c r="II913" s="140"/>
      <c r="IJ913" s="140"/>
      <c r="IK913" s="140"/>
      <c r="IL913" s="140"/>
      <c r="IM913" s="140"/>
      <c r="IN913" s="140"/>
      <c r="IO913" s="140"/>
      <c r="IP913" s="140"/>
      <c r="IQ913" s="140"/>
      <c r="IR913" s="140"/>
      <c r="IS913" s="140"/>
      <c r="IT913" s="140"/>
      <c r="IU913" s="140"/>
      <c r="IV913" s="140"/>
      <c r="IW913" s="140"/>
      <c r="IX913" s="140"/>
      <c r="IY913" s="140"/>
      <c r="IZ913" s="140"/>
      <c r="JA913" s="140"/>
      <c r="JB913" s="140"/>
      <c r="JC913" s="140"/>
      <c r="JD913" s="140"/>
      <c r="JE913" s="140"/>
      <c r="JF913" s="140"/>
      <c r="JG913" s="140"/>
      <c r="JH913" s="140"/>
      <c r="JI913" s="140"/>
      <c r="JJ913" s="140"/>
      <c r="JK913" s="140"/>
      <c r="JL913" s="140"/>
      <c r="JM913" s="140"/>
      <c r="JN913" s="140"/>
      <c r="JO913" s="140"/>
      <c r="JP913" s="140"/>
      <c r="JQ913" s="140"/>
      <c r="JR913" s="140"/>
      <c r="JS913" s="140"/>
      <c r="JT913" s="140"/>
      <c r="JU913" s="140"/>
      <c r="JV913" s="140"/>
      <c r="JW913" s="140"/>
      <c r="JX913" s="140"/>
      <c r="JY913" s="140"/>
      <c r="JZ913" s="140"/>
      <c r="KA913" s="140"/>
      <c r="KB913" s="140"/>
      <c r="KC913" s="140"/>
      <c r="KD913" s="140"/>
      <c r="KE913" s="140"/>
      <c r="KF913" s="140"/>
      <c r="KG913" s="140"/>
      <c r="KH913" s="140"/>
      <c r="KI913" s="140"/>
      <c r="KJ913" s="140"/>
      <c r="KK913" s="140"/>
      <c r="KL913" s="140"/>
      <c r="KM913" s="140"/>
      <c r="KN913" s="140"/>
      <c r="KO913" s="140"/>
      <c r="KP913" s="140"/>
      <c r="KQ913" s="140"/>
      <c r="KR913" s="140"/>
      <c r="KS913" s="140"/>
      <c r="KT913" s="140"/>
      <c r="KU913" s="140"/>
      <c r="KV913" s="140"/>
      <c r="KW913" s="140"/>
      <c r="KX913" s="140"/>
      <c r="KY913" s="140"/>
      <c r="KZ913" s="140"/>
      <c r="LA913" s="140"/>
      <c r="LB913" s="140"/>
      <c r="LC913" s="140"/>
      <c r="LD913" s="140"/>
      <c r="LE913" s="140"/>
      <c r="LF913" s="140"/>
      <c r="LG913" s="140"/>
      <c r="LH913" s="140"/>
      <c r="LI913" s="140"/>
      <c r="LJ913" s="140"/>
      <c r="LK913" s="140"/>
      <c r="LL913" s="140"/>
      <c r="LM913" s="140"/>
      <c r="LN913" s="140"/>
      <c r="LO913" s="140"/>
      <c r="LP913" s="140"/>
      <c r="LQ913" s="140"/>
      <c r="LR913" s="140"/>
      <c r="LS913" s="140"/>
      <c r="LT913" s="140"/>
      <c r="LU913" s="140"/>
      <c r="LV913" s="140"/>
      <c r="LW913" s="140"/>
      <c r="LX913" s="140"/>
      <c r="LY913" s="140"/>
      <c r="LZ913" s="140"/>
      <c r="MA913" s="140"/>
      <c r="MB913" s="140"/>
      <c r="MC913" s="140"/>
      <c r="MD913" s="140"/>
      <c r="ME913" s="140"/>
      <c r="MF913" s="140"/>
      <c r="MG913" s="140"/>
      <c r="MH913" s="140"/>
      <c r="MI913" s="140"/>
      <c r="MJ913" s="140"/>
      <c r="MK913" s="140"/>
      <c r="ML913" s="140"/>
    </row>
    <row r="914" spans="3:350" s="4" customFormat="1" ht="15" customHeight="1" x14ac:dyDescent="0.3">
      <c r="C914" s="159"/>
      <c r="H914" s="140"/>
      <c r="I914" s="140"/>
      <c r="J914" s="140"/>
      <c r="K914" s="140"/>
      <c r="L914" s="140"/>
      <c r="M914" s="140"/>
      <c r="N914" s="140"/>
      <c r="O914" s="140"/>
      <c r="P914" s="140"/>
      <c r="Q914" s="140"/>
      <c r="R914" s="140"/>
      <c r="S914" s="140"/>
      <c r="T914" s="140"/>
      <c r="U914" s="140"/>
      <c r="V914" s="140"/>
      <c r="W914" s="140"/>
      <c r="X914" s="140"/>
      <c r="Y914" s="140"/>
      <c r="Z914" s="140"/>
      <c r="AA914" s="140"/>
      <c r="AB914" s="140"/>
      <c r="AC914" s="140"/>
      <c r="AD914" s="140"/>
      <c r="AE914" s="140"/>
      <c r="AF914" s="140"/>
      <c r="AG914" s="140"/>
      <c r="AH914" s="140"/>
      <c r="AI914" s="140"/>
      <c r="AJ914" s="140"/>
      <c r="AK914" s="140"/>
      <c r="AL914" s="140"/>
      <c r="AM914" s="140"/>
      <c r="AN914" s="140"/>
      <c r="AO914" s="140"/>
      <c r="AP914" s="140"/>
      <c r="AQ914" s="140"/>
      <c r="AR914" s="140"/>
      <c r="AS914" s="140"/>
      <c r="AT914" s="140"/>
      <c r="AU914" s="140"/>
      <c r="AV914" s="140"/>
      <c r="AW914" s="140"/>
      <c r="AX914" s="140"/>
      <c r="AY914" s="140"/>
      <c r="AZ914" s="140"/>
      <c r="BA914" s="140"/>
      <c r="BB914" s="140"/>
      <c r="BC914" s="140"/>
      <c r="BD914" s="140"/>
      <c r="BE914" s="140"/>
      <c r="BF914" s="140"/>
      <c r="BG914" s="140"/>
      <c r="BH914" s="140"/>
      <c r="BI914" s="140"/>
      <c r="BJ914" s="140"/>
      <c r="BK914" s="140"/>
      <c r="BL914" s="140"/>
      <c r="BM914" s="140"/>
      <c r="BN914" s="140"/>
      <c r="BO914" s="140"/>
      <c r="BP914" s="140"/>
      <c r="BQ914" s="140"/>
      <c r="BR914" s="140"/>
      <c r="BS914" s="140"/>
      <c r="BT914" s="140"/>
      <c r="BU914" s="140"/>
      <c r="BV914" s="140"/>
      <c r="BW914" s="140"/>
      <c r="BX914" s="140"/>
      <c r="BY914" s="140"/>
      <c r="BZ914" s="140"/>
      <c r="CA914" s="140"/>
      <c r="CB914" s="140"/>
      <c r="CC914" s="140"/>
      <c r="CD914" s="140"/>
      <c r="CE914" s="140"/>
      <c r="CF914" s="140"/>
      <c r="CG914" s="140"/>
      <c r="CH914" s="140"/>
      <c r="CI914" s="140"/>
      <c r="CJ914" s="140"/>
      <c r="CK914" s="140"/>
      <c r="CL914" s="140"/>
      <c r="CM914" s="140"/>
      <c r="CN914" s="140"/>
      <c r="CO914" s="140"/>
      <c r="CP914" s="140"/>
      <c r="CQ914" s="140"/>
      <c r="CR914" s="140"/>
      <c r="CS914" s="140"/>
      <c r="CT914" s="140"/>
      <c r="CU914" s="140"/>
      <c r="CV914" s="140"/>
      <c r="CW914" s="140"/>
      <c r="CX914" s="140"/>
      <c r="CY914" s="140"/>
      <c r="CZ914" s="140"/>
      <c r="DA914" s="140"/>
      <c r="DB914" s="140"/>
      <c r="DC914" s="140"/>
      <c r="DD914" s="140"/>
      <c r="DE914" s="140"/>
      <c r="DF914" s="140"/>
      <c r="DG914" s="140"/>
      <c r="DH914" s="140"/>
      <c r="DI914" s="140"/>
      <c r="DJ914" s="140"/>
      <c r="DK914" s="140"/>
      <c r="DL914" s="140"/>
      <c r="DM914" s="140"/>
      <c r="DN914" s="140"/>
      <c r="DO914" s="140"/>
      <c r="DP914" s="140"/>
      <c r="DQ914" s="140"/>
      <c r="DR914" s="140"/>
      <c r="DS914" s="140"/>
      <c r="DT914" s="140"/>
      <c r="DU914" s="140"/>
      <c r="DV914" s="140"/>
      <c r="DW914" s="140"/>
      <c r="DX914" s="140"/>
      <c r="DY914" s="140"/>
      <c r="DZ914" s="140"/>
      <c r="EA914" s="140"/>
      <c r="EB914" s="140"/>
      <c r="EC914" s="140"/>
      <c r="ED914" s="140"/>
      <c r="EE914" s="140"/>
      <c r="EF914" s="140"/>
      <c r="EG914" s="140"/>
      <c r="EH914" s="140"/>
      <c r="EI914" s="140"/>
      <c r="EJ914" s="140"/>
      <c r="EK914" s="140"/>
      <c r="EL914" s="140"/>
      <c r="EM914" s="140"/>
      <c r="EN914" s="140"/>
      <c r="EO914" s="140"/>
      <c r="EP914" s="140"/>
      <c r="EQ914" s="140"/>
      <c r="ER914" s="140"/>
      <c r="ES914" s="140"/>
      <c r="ET914" s="140"/>
      <c r="EU914" s="140"/>
      <c r="EV914" s="140"/>
      <c r="EW914" s="140"/>
      <c r="EX914" s="140"/>
      <c r="EY914" s="140"/>
      <c r="EZ914" s="140"/>
      <c r="FA914" s="140"/>
      <c r="FB914" s="140"/>
      <c r="FC914" s="140"/>
      <c r="FD914" s="140"/>
      <c r="FE914" s="140"/>
      <c r="FF914" s="140"/>
      <c r="FG914" s="140"/>
      <c r="FH914" s="140"/>
      <c r="FI914" s="140"/>
      <c r="FJ914" s="140"/>
      <c r="FK914" s="140"/>
      <c r="FL914" s="140"/>
      <c r="FM914" s="140"/>
      <c r="FN914" s="140"/>
      <c r="FO914" s="140"/>
      <c r="FP914" s="140"/>
      <c r="FQ914" s="140"/>
      <c r="FR914" s="140"/>
      <c r="FS914" s="140"/>
      <c r="FT914" s="140"/>
      <c r="FU914" s="140"/>
      <c r="FV914" s="140"/>
      <c r="FW914" s="140"/>
      <c r="FX914" s="140"/>
      <c r="FY914" s="140"/>
      <c r="FZ914" s="140"/>
      <c r="GA914" s="140"/>
      <c r="GB914" s="140"/>
      <c r="GC914" s="140"/>
      <c r="GD914" s="140"/>
      <c r="GE914" s="140"/>
      <c r="GF914" s="140"/>
      <c r="GG914" s="140"/>
      <c r="GH914" s="140"/>
      <c r="GI914" s="140"/>
      <c r="GJ914" s="140"/>
      <c r="GK914" s="140"/>
      <c r="GL914" s="140"/>
      <c r="GM914" s="140"/>
      <c r="GN914" s="140"/>
      <c r="GO914" s="140"/>
      <c r="GP914" s="140"/>
      <c r="GQ914" s="140"/>
      <c r="GR914" s="140"/>
      <c r="GS914" s="140"/>
      <c r="GT914" s="140"/>
      <c r="GU914" s="140"/>
      <c r="GV914" s="140"/>
      <c r="GW914" s="140"/>
      <c r="GX914" s="140"/>
      <c r="GY914" s="140"/>
      <c r="GZ914" s="140"/>
      <c r="HA914" s="140"/>
      <c r="HB914" s="140"/>
      <c r="HC914" s="140"/>
      <c r="HD914" s="140"/>
      <c r="HE914" s="140"/>
      <c r="HF914" s="140"/>
      <c r="HG914" s="140"/>
      <c r="HH914" s="140"/>
      <c r="HI914" s="140"/>
      <c r="HJ914" s="140"/>
      <c r="HK914" s="140"/>
      <c r="HL914" s="140"/>
      <c r="HM914" s="140"/>
      <c r="HN914" s="140"/>
      <c r="HO914" s="140"/>
      <c r="HP914" s="140"/>
      <c r="HQ914" s="140"/>
      <c r="HR914" s="140"/>
      <c r="HS914" s="140"/>
      <c r="HT914" s="140"/>
      <c r="HU914" s="140"/>
      <c r="HV914" s="140"/>
      <c r="HW914" s="140"/>
      <c r="HX914" s="140"/>
      <c r="HY914" s="140"/>
      <c r="HZ914" s="140"/>
      <c r="IA914" s="140"/>
      <c r="IB914" s="140"/>
      <c r="IC914" s="140"/>
      <c r="ID914" s="140"/>
      <c r="IE914" s="140"/>
      <c r="IF914" s="140"/>
      <c r="IG914" s="140"/>
      <c r="IH914" s="140"/>
      <c r="II914" s="140"/>
      <c r="IJ914" s="140"/>
      <c r="IK914" s="140"/>
      <c r="IL914" s="140"/>
      <c r="IM914" s="140"/>
      <c r="IN914" s="140"/>
      <c r="IO914" s="140"/>
      <c r="IP914" s="140"/>
      <c r="IQ914" s="140"/>
      <c r="IR914" s="140"/>
      <c r="IS914" s="140"/>
      <c r="IT914" s="140"/>
      <c r="IU914" s="140"/>
      <c r="IV914" s="140"/>
      <c r="IW914" s="140"/>
      <c r="IX914" s="140"/>
      <c r="IY914" s="140"/>
      <c r="IZ914" s="140"/>
      <c r="JA914" s="140"/>
      <c r="JB914" s="140"/>
      <c r="JC914" s="140"/>
      <c r="JD914" s="140"/>
      <c r="JE914" s="140"/>
      <c r="JF914" s="140"/>
      <c r="JG914" s="140"/>
      <c r="JH914" s="140"/>
      <c r="JI914" s="140"/>
      <c r="JJ914" s="140"/>
      <c r="JK914" s="140"/>
      <c r="JL914" s="140"/>
      <c r="JM914" s="140"/>
      <c r="JN914" s="140"/>
      <c r="JO914" s="140"/>
      <c r="JP914" s="140"/>
      <c r="JQ914" s="140"/>
      <c r="JR914" s="140"/>
      <c r="JS914" s="140"/>
      <c r="JT914" s="140"/>
      <c r="JU914" s="140"/>
      <c r="JV914" s="140"/>
      <c r="JW914" s="140"/>
      <c r="JX914" s="140"/>
      <c r="JY914" s="140"/>
      <c r="JZ914" s="140"/>
      <c r="KA914" s="140"/>
      <c r="KB914" s="140"/>
      <c r="KC914" s="140"/>
      <c r="KD914" s="140"/>
      <c r="KE914" s="140"/>
      <c r="KF914" s="140"/>
      <c r="KG914" s="140"/>
      <c r="KH914" s="140"/>
      <c r="KI914" s="140"/>
      <c r="KJ914" s="140"/>
      <c r="KK914" s="140"/>
      <c r="KL914" s="140"/>
      <c r="KM914" s="140"/>
      <c r="KN914" s="140"/>
      <c r="KO914" s="140"/>
      <c r="KP914" s="140"/>
      <c r="KQ914" s="140"/>
      <c r="KR914" s="140"/>
      <c r="KS914" s="140"/>
      <c r="KT914" s="140"/>
      <c r="KU914" s="140"/>
      <c r="KV914" s="140"/>
      <c r="KW914" s="140"/>
      <c r="KX914" s="140"/>
      <c r="KY914" s="140"/>
      <c r="KZ914" s="140"/>
      <c r="LA914" s="140"/>
      <c r="LB914" s="140"/>
      <c r="LC914" s="140"/>
      <c r="LD914" s="140"/>
      <c r="LE914" s="140"/>
      <c r="LF914" s="140"/>
      <c r="LG914" s="140"/>
      <c r="LH914" s="140"/>
      <c r="LI914" s="140"/>
      <c r="LJ914" s="140"/>
      <c r="LK914" s="140"/>
      <c r="LL914" s="140"/>
      <c r="LM914" s="140"/>
      <c r="LN914" s="140"/>
      <c r="LO914" s="140"/>
      <c r="LP914" s="140"/>
      <c r="LQ914" s="140"/>
      <c r="LR914" s="140"/>
      <c r="LS914" s="140"/>
      <c r="LT914" s="140"/>
      <c r="LU914" s="140"/>
      <c r="LV914" s="140"/>
      <c r="LW914" s="140"/>
      <c r="LX914" s="140"/>
      <c r="LY914" s="140"/>
      <c r="LZ914" s="140"/>
      <c r="MA914" s="140"/>
      <c r="MB914" s="140"/>
      <c r="MC914" s="140"/>
      <c r="MD914" s="140"/>
      <c r="ME914" s="140"/>
      <c r="MF914" s="140"/>
      <c r="MG914" s="140"/>
      <c r="MH914" s="140"/>
      <c r="MI914" s="140"/>
      <c r="MJ914" s="140"/>
      <c r="MK914" s="140"/>
      <c r="ML914" s="140"/>
    </row>
    <row r="915" spans="3:350" s="4" customFormat="1" ht="15" customHeight="1" x14ac:dyDescent="0.3">
      <c r="C915" s="159" t="s">
        <v>412</v>
      </c>
      <c r="H915" s="140"/>
      <c r="I915" s="140"/>
      <c r="J915" s="140"/>
      <c r="K915" s="140"/>
      <c r="L915" s="140"/>
      <c r="M915" s="140"/>
      <c r="N915" s="140"/>
      <c r="O915" s="140"/>
      <c r="P915" s="140"/>
      <c r="Q915" s="140"/>
      <c r="R915" s="140"/>
      <c r="S915" s="140"/>
      <c r="T915" s="140"/>
      <c r="U915" s="140"/>
      <c r="V915" s="140"/>
      <c r="W915" s="140"/>
      <c r="X915" s="140"/>
      <c r="Y915" s="140"/>
      <c r="Z915" s="140"/>
      <c r="AA915" s="140"/>
      <c r="AB915" s="140"/>
      <c r="AC915" s="140"/>
      <c r="AD915" s="140"/>
      <c r="AE915" s="140"/>
      <c r="AF915" s="140"/>
      <c r="AG915" s="140"/>
      <c r="AH915" s="140"/>
      <c r="AI915" s="140"/>
      <c r="AJ915" s="140"/>
      <c r="AK915" s="140"/>
      <c r="AL915" s="140"/>
      <c r="AM915" s="140"/>
      <c r="AN915" s="140"/>
      <c r="AO915" s="140"/>
      <c r="AP915" s="140"/>
      <c r="AQ915" s="140"/>
      <c r="AR915" s="140"/>
      <c r="AS915" s="140"/>
      <c r="AT915" s="140"/>
      <c r="AU915" s="140"/>
      <c r="AV915" s="140"/>
      <c r="AW915" s="140"/>
      <c r="AX915" s="140"/>
      <c r="AY915" s="140"/>
      <c r="AZ915" s="140"/>
      <c r="BA915" s="140"/>
      <c r="BB915" s="140"/>
      <c r="BC915" s="140"/>
      <c r="BD915" s="140"/>
      <c r="BE915" s="140"/>
      <c r="BF915" s="140"/>
      <c r="BG915" s="140"/>
      <c r="BH915" s="140"/>
      <c r="BI915" s="140"/>
      <c r="BJ915" s="140"/>
      <c r="BK915" s="140"/>
      <c r="BL915" s="140"/>
      <c r="BM915" s="140"/>
      <c r="BN915" s="140"/>
      <c r="BO915" s="140"/>
      <c r="BP915" s="140"/>
      <c r="BQ915" s="140"/>
      <c r="BR915" s="140"/>
      <c r="BS915" s="140"/>
      <c r="BT915" s="140"/>
      <c r="BU915" s="140"/>
      <c r="BV915" s="140"/>
      <c r="BW915" s="140"/>
      <c r="BX915" s="140"/>
      <c r="BY915" s="140"/>
      <c r="BZ915" s="140"/>
      <c r="CA915" s="140"/>
      <c r="CB915" s="140"/>
      <c r="CC915" s="140"/>
      <c r="CD915" s="140"/>
      <c r="CE915" s="140"/>
      <c r="CF915" s="140"/>
      <c r="CG915" s="140"/>
      <c r="CH915" s="140"/>
      <c r="CI915" s="140"/>
      <c r="CJ915" s="140"/>
      <c r="CK915" s="140"/>
      <c r="CL915" s="140"/>
      <c r="CM915" s="140"/>
      <c r="CN915" s="140"/>
      <c r="CO915" s="140"/>
      <c r="CP915" s="140"/>
      <c r="CQ915" s="140"/>
      <c r="CR915" s="140"/>
      <c r="CS915" s="140"/>
      <c r="CT915" s="140"/>
      <c r="CU915" s="140"/>
      <c r="CV915" s="140"/>
      <c r="CW915" s="140"/>
      <c r="CX915" s="140"/>
      <c r="CY915" s="140"/>
      <c r="CZ915" s="140"/>
      <c r="DA915" s="140"/>
      <c r="DB915" s="140"/>
      <c r="DC915" s="140"/>
      <c r="DD915" s="140"/>
      <c r="DE915" s="140"/>
      <c r="DF915" s="140"/>
      <c r="DG915" s="140"/>
      <c r="DH915" s="140"/>
      <c r="DI915" s="140"/>
      <c r="DJ915" s="140"/>
      <c r="DK915" s="140"/>
      <c r="DL915" s="140"/>
      <c r="DM915" s="140"/>
      <c r="DN915" s="140"/>
      <c r="DO915" s="140"/>
      <c r="DP915" s="140"/>
      <c r="DQ915" s="140"/>
      <c r="DR915" s="140"/>
      <c r="DS915" s="140"/>
      <c r="DT915" s="140"/>
      <c r="DU915" s="140"/>
      <c r="DV915" s="140"/>
      <c r="DW915" s="140"/>
      <c r="DX915" s="140"/>
      <c r="DY915" s="140"/>
      <c r="DZ915" s="140"/>
      <c r="EA915" s="140"/>
      <c r="EB915" s="140"/>
      <c r="EC915" s="140"/>
      <c r="ED915" s="140"/>
      <c r="EE915" s="140"/>
      <c r="EF915" s="140"/>
      <c r="EG915" s="140"/>
      <c r="EH915" s="140"/>
      <c r="EI915" s="140"/>
      <c r="EJ915" s="140"/>
      <c r="EK915" s="140"/>
      <c r="EL915" s="140"/>
      <c r="EM915" s="140"/>
      <c r="EN915" s="140"/>
      <c r="EO915" s="140"/>
      <c r="EP915" s="140"/>
      <c r="EQ915" s="140"/>
      <c r="ER915" s="140"/>
      <c r="ES915" s="140"/>
      <c r="ET915" s="140"/>
      <c r="EU915" s="140"/>
      <c r="EV915" s="140"/>
      <c r="EW915" s="140"/>
      <c r="EX915" s="140"/>
      <c r="EY915" s="140"/>
      <c r="EZ915" s="140"/>
      <c r="FA915" s="140"/>
      <c r="FB915" s="140"/>
      <c r="FC915" s="140"/>
      <c r="FD915" s="140"/>
      <c r="FE915" s="140"/>
      <c r="FF915" s="140"/>
      <c r="FG915" s="140"/>
      <c r="FH915" s="140"/>
      <c r="FI915" s="140"/>
      <c r="FJ915" s="140"/>
      <c r="FK915" s="140"/>
      <c r="FL915" s="140"/>
      <c r="FM915" s="140"/>
      <c r="FN915" s="140"/>
      <c r="FO915" s="140"/>
      <c r="FP915" s="140"/>
      <c r="FQ915" s="140"/>
      <c r="FR915" s="140"/>
      <c r="FS915" s="140"/>
      <c r="FT915" s="140"/>
      <c r="FU915" s="140"/>
      <c r="FV915" s="140"/>
      <c r="FW915" s="140"/>
      <c r="FX915" s="140"/>
      <c r="FY915" s="140"/>
      <c r="FZ915" s="140"/>
      <c r="GA915" s="140"/>
      <c r="GB915" s="140"/>
      <c r="GC915" s="140"/>
      <c r="GD915" s="140"/>
      <c r="GE915" s="140"/>
      <c r="GF915" s="140"/>
      <c r="GG915" s="140"/>
      <c r="GH915" s="140"/>
      <c r="GI915" s="140"/>
      <c r="GJ915" s="140"/>
      <c r="GK915" s="140"/>
      <c r="GL915" s="140"/>
      <c r="GM915" s="140"/>
      <c r="GN915" s="140"/>
      <c r="GO915" s="140"/>
      <c r="GP915" s="140"/>
      <c r="GQ915" s="140"/>
      <c r="GR915" s="140"/>
      <c r="GS915" s="140"/>
      <c r="GT915" s="140"/>
      <c r="GU915" s="140"/>
      <c r="GV915" s="140"/>
      <c r="GW915" s="140"/>
      <c r="GX915" s="140"/>
      <c r="GY915" s="140"/>
      <c r="GZ915" s="140"/>
      <c r="HA915" s="140"/>
      <c r="HB915" s="140"/>
      <c r="HC915" s="140"/>
      <c r="HD915" s="140"/>
      <c r="HE915" s="140"/>
      <c r="HF915" s="140"/>
      <c r="HG915" s="140"/>
      <c r="HH915" s="140"/>
      <c r="HI915" s="140"/>
      <c r="HJ915" s="140"/>
      <c r="HK915" s="140"/>
      <c r="HL915" s="140"/>
      <c r="HM915" s="140"/>
      <c r="HN915" s="140"/>
      <c r="HO915" s="140"/>
      <c r="HP915" s="140"/>
      <c r="HQ915" s="140"/>
      <c r="HR915" s="140"/>
      <c r="HS915" s="140"/>
      <c r="HT915" s="140"/>
      <c r="HU915" s="140"/>
      <c r="HV915" s="140"/>
      <c r="HW915" s="140"/>
      <c r="HX915" s="140"/>
      <c r="HY915" s="140"/>
      <c r="HZ915" s="140"/>
      <c r="IA915" s="140"/>
      <c r="IB915" s="140"/>
      <c r="IC915" s="140"/>
      <c r="ID915" s="140"/>
      <c r="IE915" s="140"/>
      <c r="IF915" s="140"/>
      <c r="IG915" s="140"/>
      <c r="IH915" s="140"/>
      <c r="II915" s="140"/>
      <c r="IJ915" s="140"/>
      <c r="IK915" s="140"/>
      <c r="IL915" s="140"/>
      <c r="IM915" s="140"/>
      <c r="IN915" s="140"/>
      <c r="IO915" s="140"/>
      <c r="IP915" s="140"/>
      <c r="IQ915" s="140"/>
      <c r="IR915" s="140"/>
      <c r="IS915" s="140"/>
      <c r="IT915" s="140"/>
      <c r="IU915" s="140"/>
      <c r="IV915" s="140"/>
      <c r="IW915" s="140"/>
      <c r="IX915" s="140"/>
      <c r="IY915" s="140"/>
      <c r="IZ915" s="140"/>
      <c r="JA915" s="140"/>
      <c r="JB915" s="140"/>
      <c r="JC915" s="140"/>
      <c r="JD915" s="140"/>
      <c r="JE915" s="140"/>
      <c r="JF915" s="140"/>
      <c r="JG915" s="140"/>
      <c r="JH915" s="140"/>
      <c r="JI915" s="140"/>
      <c r="JJ915" s="140"/>
      <c r="JK915" s="140"/>
      <c r="JL915" s="140"/>
      <c r="JM915" s="140"/>
      <c r="JN915" s="140"/>
      <c r="JO915" s="140"/>
      <c r="JP915" s="140"/>
      <c r="JQ915" s="140"/>
      <c r="JR915" s="140"/>
      <c r="JS915" s="140"/>
      <c r="JT915" s="140"/>
      <c r="JU915" s="140"/>
      <c r="JV915" s="140"/>
      <c r="JW915" s="140"/>
      <c r="JX915" s="140"/>
      <c r="JY915" s="140"/>
      <c r="JZ915" s="140"/>
      <c r="KA915" s="140"/>
      <c r="KB915" s="140"/>
      <c r="KC915" s="140"/>
      <c r="KD915" s="140"/>
      <c r="KE915" s="140"/>
      <c r="KF915" s="140"/>
      <c r="KG915" s="140"/>
      <c r="KH915" s="140"/>
      <c r="KI915" s="140"/>
      <c r="KJ915" s="140"/>
      <c r="KK915" s="140"/>
      <c r="KL915" s="140"/>
      <c r="KM915" s="140"/>
      <c r="KN915" s="140"/>
      <c r="KO915" s="140"/>
      <c r="KP915" s="140"/>
      <c r="KQ915" s="140"/>
      <c r="KR915" s="140"/>
      <c r="KS915" s="140"/>
      <c r="KT915" s="140"/>
      <c r="KU915" s="140"/>
      <c r="KV915" s="140"/>
      <c r="KW915" s="140"/>
      <c r="KX915" s="140"/>
      <c r="KY915" s="140"/>
      <c r="KZ915" s="140"/>
      <c r="LA915" s="140"/>
      <c r="LB915" s="140"/>
      <c r="LC915" s="140"/>
      <c r="LD915" s="140"/>
      <c r="LE915" s="140"/>
      <c r="LF915" s="140"/>
      <c r="LG915" s="140"/>
      <c r="LH915" s="140"/>
      <c r="LI915" s="140"/>
      <c r="LJ915" s="140"/>
      <c r="LK915" s="140"/>
      <c r="LL915" s="140"/>
      <c r="LM915" s="140"/>
      <c r="LN915" s="140"/>
      <c r="LO915" s="140"/>
      <c r="LP915" s="140"/>
      <c r="LQ915" s="140"/>
      <c r="LR915" s="140"/>
      <c r="LS915" s="140"/>
      <c r="LT915" s="140"/>
      <c r="LU915" s="140"/>
      <c r="LV915" s="140"/>
      <c r="LW915" s="140"/>
      <c r="LX915" s="140"/>
      <c r="LY915" s="140"/>
      <c r="LZ915" s="140"/>
      <c r="MA915" s="140"/>
      <c r="MB915" s="140"/>
      <c r="MC915" s="140"/>
      <c r="MD915" s="140"/>
      <c r="ME915" s="140"/>
      <c r="MF915" s="140"/>
      <c r="MG915" s="140"/>
      <c r="MH915" s="140"/>
      <c r="MI915" s="140"/>
      <c r="MJ915" s="140"/>
      <c r="MK915" s="140"/>
      <c r="ML915" s="140"/>
    </row>
    <row r="917" spans="3:350" ht="15" customHeight="1" x14ac:dyDescent="0.4">
      <c r="C917" s="213" t="s">
        <v>413</v>
      </c>
    </row>
    <row r="919" spans="3:350" x14ac:dyDescent="0.3">
      <c r="C919" s="120" t="s">
        <v>414</v>
      </c>
      <c r="S919" s="122" t="s">
        <v>5</v>
      </c>
      <c r="BD919" s="123" t="s">
        <v>6</v>
      </c>
      <c r="CO919" s="124" t="s">
        <v>7</v>
      </c>
      <c r="DZ919" s="125" t="s">
        <v>8</v>
      </c>
      <c r="FK919" s="126" t="s">
        <v>9</v>
      </c>
      <c r="GV919" s="127" t="s">
        <v>10</v>
      </c>
      <c r="IG919" s="128" t="s">
        <v>11</v>
      </c>
      <c r="JR919" s="129" t="str">
        <f>JR$4</f>
        <v>AMS2 2023</v>
      </c>
      <c r="LC919" s="130" t="str">
        <f>LC$4</f>
        <v>AMS3 2025</v>
      </c>
    </row>
    <row r="920" spans="3:350" ht="18" customHeight="1" x14ac:dyDescent="0.3">
      <c r="C920" s="131"/>
      <c r="D920" s="132"/>
      <c r="E920" s="133" t="s">
        <v>101</v>
      </c>
      <c r="F920" s="134" t="s">
        <v>102</v>
      </c>
      <c r="H920" s="135">
        <f t="shared" ref="H920:Q920" si="1337">H$1</f>
        <v>2015</v>
      </c>
      <c r="I920" s="133">
        <f t="shared" si="1337"/>
        <v>2016</v>
      </c>
      <c r="J920" s="133">
        <f t="shared" si="1337"/>
        <v>2017</v>
      </c>
      <c r="K920" s="133">
        <f t="shared" si="1337"/>
        <v>2018</v>
      </c>
      <c r="L920" s="133">
        <f t="shared" si="1337"/>
        <v>2019</v>
      </c>
      <c r="M920" s="133">
        <f t="shared" si="1337"/>
        <v>2020</v>
      </c>
      <c r="N920" s="133">
        <f t="shared" si="1337"/>
        <v>2021</v>
      </c>
      <c r="O920" s="133">
        <f t="shared" si="1337"/>
        <v>2022</v>
      </c>
      <c r="P920" s="9">
        <f t="shared" si="1337"/>
        <v>2023</v>
      </c>
      <c r="Q920" s="134">
        <f t="shared" si="1337"/>
        <v>2024</v>
      </c>
      <c r="S920" s="135">
        <f t="shared" ref="S920:BB920" si="1338">S$1</f>
        <v>2015</v>
      </c>
      <c r="T920" s="133">
        <f t="shared" si="1338"/>
        <v>2016</v>
      </c>
      <c r="U920" s="133">
        <f t="shared" si="1338"/>
        <v>2017</v>
      </c>
      <c r="V920" s="133">
        <f t="shared" si="1338"/>
        <v>2018</v>
      </c>
      <c r="W920" s="133">
        <f t="shared" si="1338"/>
        <v>2019</v>
      </c>
      <c r="X920" s="133">
        <f t="shared" si="1338"/>
        <v>2020</v>
      </c>
      <c r="Y920" s="133">
        <f t="shared" si="1338"/>
        <v>2021</v>
      </c>
      <c r="Z920" s="133">
        <f t="shared" si="1338"/>
        <v>2022</v>
      </c>
      <c r="AA920" s="133">
        <f t="shared" si="1338"/>
        <v>2023</v>
      </c>
      <c r="AB920" s="133">
        <f t="shared" si="1338"/>
        <v>2024</v>
      </c>
      <c r="AC920" s="133">
        <f t="shared" si="1338"/>
        <v>2025</v>
      </c>
      <c r="AD920" s="133">
        <f t="shared" si="1338"/>
        <v>2026</v>
      </c>
      <c r="AE920" s="133">
        <f t="shared" si="1338"/>
        <v>2027</v>
      </c>
      <c r="AF920" s="133">
        <f t="shared" si="1338"/>
        <v>2028</v>
      </c>
      <c r="AG920" s="133">
        <f t="shared" si="1338"/>
        <v>2029</v>
      </c>
      <c r="AH920" s="133">
        <f t="shared" si="1338"/>
        <v>2030</v>
      </c>
      <c r="AI920" s="133">
        <f t="shared" si="1338"/>
        <v>2031</v>
      </c>
      <c r="AJ920" s="133">
        <f t="shared" si="1338"/>
        <v>2032</v>
      </c>
      <c r="AK920" s="133">
        <f t="shared" si="1338"/>
        <v>2033</v>
      </c>
      <c r="AL920" s="133">
        <f t="shared" si="1338"/>
        <v>2034</v>
      </c>
      <c r="AM920" s="133">
        <f t="shared" si="1338"/>
        <v>2035</v>
      </c>
      <c r="AN920" s="133">
        <f t="shared" si="1338"/>
        <v>2036</v>
      </c>
      <c r="AO920" s="133">
        <f t="shared" si="1338"/>
        <v>2037</v>
      </c>
      <c r="AP920" s="133">
        <f t="shared" si="1338"/>
        <v>2038</v>
      </c>
      <c r="AQ920" s="133">
        <f t="shared" si="1338"/>
        <v>2039</v>
      </c>
      <c r="AR920" s="133">
        <f t="shared" si="1338"/>
        <v>2040</v>
      </c>
      <c r="AS920" s="133">
        <f t="shared" si="1338"/>
        <v>2041</v>
      </c>
      <c r="AT920" s="133">
        <f t="shared" si="1338"/>
        <v>2042</v>
      </c>
      <c r="AU920" s="133">
        <f t="shared" si="1338"/>
        <v>2043</v>
      </c>
      <c r="AV920" s="133">
        <f t="shared" si="1338"/>
        <v>2044</v>
      </c>
      <c r="AW920" s="133">
        <f t="shared" si="1338"/>
        <v>2045</v>
      </c>
      <c r="AX920" s="133">
        <f t="shared" si="1338"/>
        <v>2046</v>
      </c>
      <c r="AY920" s="133">
        <f t="shared" si="1338"/>
        <v>2047</v>
      </c>
      <c r="AZ920" s="133">
        <f t="shared" si="1338"/>
        <v>2048</v>
      </c>
      <c r="BA920" s="133">
        <f t="shared" si="1338"/>
        <v>2049</v>
      </c>
      <c r="BB920" s="134">
        <f t="shared" si="1338"/>
        <v>2050</v>
      </c>
      <c r="BC920" s="4"/>
      <c r="BD920" s="135">
        <f t="shared" ref="BD920:CM920" si="1339">BD$1</f>
        <v>2015</v>
      </c>
      <c r="BE920" s="133">
        <f t="shared" si="1339"/>
        <v>2016</v>
      </c>
      <c r="BF920" s="133">
        <f t="shared" si="1339"/>
        <v>2017</v>
      </c>
      <c r="BG920" s="133">
        <f t="shared" si="1339"/>
        <v>2018</v>
      </c>
      <c r="BH920" s="133">
        <f t="shared" si="1339"/>
        <v>2019</v>
      </c>
      <c r="BI920" s="133">
        <f t="shared" si="1339"/>
        <v>2020</v>
      </c>
      <c r="BJ920" s="133">
        <f t="shared" si="1339"/>
        <v>2021</v>
      </c>
      <c r="BK920" s="133">
        <f t="shared" si="1339"/>
        <v>2022</v>
      </c>
      <c r="BL920" s="133">
        <f t="shared" si="1339"/>
        <v>2023</v>
      </c>
      <c r="BM920" s="133">
        <f t="shared" si="1339"/>
        <v>2024</v>
      </c>
      <c r="BN920" s="133">
        <f t="shared" si="1339"/>
        <v>2025</v>
      </c>
      <c r="BO920" s="133">
        <f t="shared" si="1339"/>
        <v>2026</v>
      </c>
      <c r="BP920" s="133">
        <f t="shared" si="1339"/>
        <v>2027</v>
      </c>
      <c r="BQ920" s="133">
        <f t="shared" si="1339"/>
        <v>2028</v>
      </c>
      <c r="BR920" s="133">
        <f t="shared" si="1339"/>
        <v>2029</v>
      </c>
      <c r="BS920" s="133">
        <f t="shared" si="1339"/>
        <v>2030</v>
      </c>
      <c r="BT920" s="133">
        <f t="shared" si="1339"/>
        <v>2031</v>
      </c>
      <c r="BU920" s="133">
        <f t="shared" si="1339"/>
        <v>2032</v>
      </c>
      <c r="BV920" s="133">
        <f t="shared" si="1339"/>
        <v>2033</v>
      </c>
      <c r="BW920" s="133">
        <f t="shared" si="1339"/>
        <v>2034</v>
      </c>
      <c r="BX920" s="133">
        <f t="shared" si="1339"/>
        <v>2035</v>
      </c>
      <c r="BY920" s="133">
        <f t="shared" si="1339"/>
        <v>2036</v>
      </c>
      <c r="BZ920" s="133">
        <f t="shared" si="1339"/>
        <v>2037</v>
      </c>
      <c r="CA920" s="133">
        <f t="shared" si="1339"/>
        <v>2038</v>
      </c>
      <c r="CB920" s="133">
        <f t="shared" si="1339"/>
        <v>2039</v>
      </c>
      <c r="CC920" s="133">
        <f t="shared" si="1339"/>
        <v>2040</v>
      </c>
      <c r="CD920" s="133">
        <f t="shared" si="1339"/>
        <v>2041</v>
      </c>
      <c r="CE920" s="133">
        <f t="shared" si="1339"/>
        <v>2042</v>
      </c>
      <c r="CF920" s="133">
        <f t="shared" si="1339"/>
        <v>2043</v>
      </c>
      <c r="CG920" s="133">
        <f t="shared" si="1339"/>
        <v>2044</v>
      </c>
      <c r="CH920" s="133">
        <f t="shared" si="1339"/>
        <v>2045</v>
      </c>
      <c r="CI920" s="133">
        <f t="shared" si="1339"/>
        <v>2046</v>
      </c>
      <c r="CJ920" s="133">
        <f t="shared" si="1339"/>
        <v>2047</v>
      </c>
      <c r="CK920" s="133">
        <f t="shared" si="1339"/>
        <v>2048</v>
      </c>
      <c r="CL920" s="133">
        <f t="shared" si="1339"/>
        <v>2049</v>
      </c>
      <c r="CM920" s="134">
        <f t="shared" si="1339"/>
        <v>2050</v>
      </c>
      <c r="CN920" s="4"/>
      <c r="CO920" s="135">
        <f t="shared" ref="CO920:DX920" si="1340">CO$1</f>
        <v>2015</v>
      </c>
      <c r="CP920" s="133">
        <f t="shared" si="1340"/>
        <v>2016</v>
      </c>
      <c r="CQ920" s="133">
        <f t="shared" si="1340"/>
        <v>2017</v>
      </c>
      <c r="CR920" s="133">
        <f t="shared" si="1340"/>
        <v>2018</v>
      </c>
      <c r="CS920" s="133">
        <f t="shared" si="1340"/>
        <v>2019</v>
      </c>
      <c r="CT920" s="133">
        <f t="shared" si="1340"/>
        <v>2020</v>
      </c>
      <c r="CU920" s="133">
        <f t="shared" si="1340"/>
        <v>2021</v>
      </c>
      <c r="CV920" s="133">
        <f t="shared" si="1340"/>
        <v>2022</v>
      </c>
      <c r="CW920" s="133">
        <f t="shared" si="1340"/>
        <v>2023</v>
      </c>
      <c r="CX920" s="133">
        <f t="shared" si="1340"/>
        <v>2024</v>
      </c>
      <c r="CY920" s="133">
        <f t="shared" si="1340"/>
        <v>2025</v>
      </c>
      <c r="CZ920" s="133">
        <f t="shared" si="1340"/>
        <v>2026</v>
      </c>
      <c r="DA920" s="133">
        <f t="shared" si="1340"/>
        <v>2027</v>
      </c>
      <c r="DB920" s="133">
        <f t="shared" si="1340"/>
        <v>2028</v>
      </c>
      <c r="DC920" s="133">
        <f t="shared" si="1340"/>
        <v>2029</v>
      </c>
      <c r="DD920" s="133">
        <f t="shared" si="1340"/>
        <v>2030</v>
      </c>
      <c r="DE920" s="133">
        <f t="shared" si="1340"/>
        <v>2031</v>
      </c>
      <c r="DF920" s="133">
        <f t="shared" si="1340"/>
        <v>2032</v>
      </c>
      <c r="DG920" s="133">
        <f t="shared" si="1340"/>
        <v>2033</v>
      </c>
      <c r="DH920" s="133">
        <f t="shared" si="1340"/>
        <v>2034</v>
      </c>
      <c r="DI920" s="133">
        <f t="shared" si="1340"/>
        <v>2035</v>
      </c>
      <c r="DJ920" s="133">
        <f t="shared" si="1340"/>
        <v>2036</v>
      </c>
      <c r="DK920" s="133">
        <f t="shared" si="1340"/>
        <v>2037</v>
      </c>
      <c r="DL920" s="133">
        <f t="shared" si="1340"/>
        <v>2038</v>
      </c>
      <c r="DM920" s="133">
        <f t="shared" si="1340"/>
        <v>2039</v>
      </c>
      <c r="DN920" s="133">
        <f t="shared" si="1340"/>
        <v>2040</v>
      </c>
      <c r="DO920" s="133">
        <f t="shared" si="1340"/>
        <v>2041</v>
      </c>
      <c r="DP920" s="133">
        <f t="shared" si="1340"/>
        <v>2042</v>
      </c>
      <c r="DQ920" s="133">
        <f t="shared" si="1340"/>
        <v>2043</v>
      </c>
      <c r="DR920" s="133">
        <f t="shared" si="1340"/>
        <v>2044</v>
      </c>
      <c r="DS920" s="133">
        <f t="shared" si="1340"/>
        <v>2045</v>
      </c>
      <c r="DT920" s="133">
        <f t="shared" si="1340"/>
        <v>2046</v>
      </c>
      <c r="DU920" s="133">
        <f t="shared" si="1340"/>
        <v>2047</v>
      </c>
      <c r="DV920" s="133">
        <f t="shared" si="1340"/>
        <v>2048</v>
      </c>
      <c r="DW920" s="133">
        <f t="shared" si="1340"/>
        <v>2049</v>
      </c>
      <c r="DX920" s="134">
        <f t="shared" si="1340"/>
        <v>2050</v>
      </c>
      <c r="DY920" s="4"/>
      <c r="DZ920" s="135">
        <f t="shared" ref="DZ920:FI920" si="1341">DZ$1</f>
        <v>2015</v>
      </c>
      <c r="EA920" s="133">
        <f t="shared" si="1341"/>
        <v>2016</v>
      </c>
      <c r="EB920" s="133">
        <f t="shared" si="1341"/>
        <v>2017</v>
      </c>
      <c r="EC920" s="133">
        <f t="shared" si="1341"/>
        <v>2018</v>
      </c>
      <c r="ED920" s="133">
        <f t="shared" si="1341"/>
        <v>2019</v>
      </c>
      <c r="EE920" s="133">
        <f t="shared" si="1341"/>
        <v>2020</v>
      </c>
      <c r="EF920" s="133">
        <f t="shared" si="1341"/>
        <v>2021</v>
      </c>
      <c r="EG920" s="133">
        <f t="shared" si="1341"/>
        <v>2022</v>
      </c>
      <c r="EH920" s="133">
        <f t="shared" si="1341"/>
        <v>2023</v>
      </c>
      <c r="EI920" s="133">
        <f t="shared" si="1341"/>
        <v>2024</v>
      </c>
      <c r="EJ920" s="133">
        <f t="shared" si="1341"/>
        <v>2025</v>
      </c>
      <c r="EK920" s="133">
        <f t="shared" si="1341"/>
        <v>2026</v>
      </c>
      <c r="EL920" s="133">
        <f t="shared" si="1341"/>
        <v>2027</v>
      </c>
      <c r="EM920" s="133">
        <f t="shared" si="1341"/>
        <v>2028</v>
      </c>
      <c r="EN920" s="133">
        <f t="shared" si="1341"/>
        <v>2029</v>
      </c>
      <c r="EO920" s="133">
        <f t="shared" si="1341"/>
        <v>2030</v>
      </c>
      <c r="EP920" s="133">
        <f t="shared" si="1341"/>
        <v>2031</v>
      </c>
      <c r="EQ920" s="133">
        <f t="shared" si="1341"/>
        <v>2032</v>
      </c>
      <c r="ER920" s="133">
        <f t="shared" si="1341"/>
        <v>2033</v>
      </c>
      <c r="ES920" s="133">
        <f t="shared" si="1341"/>
        <v>2034</v>
      </c>
      <c r="ET920" s="133">
        <f t="shared" si="1341"/>
        <v>2035</v>
      </c>
      <c r="EU920" s="133">
        <f t="shared" si="1341"/>
        <v>2036</v>
      </c>
      <c r="EV920" s="133">
        <f t="shared" si="1341"/>
        <v>2037</v>
      </c>
      <c r="EW920" s="133">
        <f t="shared" si="1341"/>
        <v>2038</v>
      </c>
      <c r="EX920" s="133">
        <f t="shared" si="1341"/>
        <v>2039</v>
      </c>
      <c r="EY920" s="133">
        <f t="shared" si="1341"/>
        <v>2040</v>
      </c>
      <c r="EZ920" s="133">
        <f t="shared" si="1341"/>
        <v>2041</v>
      </c>
      <c r="FA920" s="133">
        <f t="shared" si="1341"/>
        <v>2042</v>
      </c>
      <c r="FB920" s="133">
        <f t="shared" si="1341"/>
        <v>2043</v>
      </c>
      <c r="FC920" s="133">
        <f t="shared" si="1341"/>
        <v>2044</v>
      </c>
      <c r="FD920" s="133">
        <f t="shared" si="1341"/>
        <v>2045</v>
      </c>
      <c r="FE920" s="133">
        <f t="shared" si="1341"/>
        <v>2046</v>
      </c>
      <c r="FF920" s="133">
        <f t="shared" si="1341"/>
        <v>2047</v>
      </c>
      <c r="FG920" s="133">
        <f t="shared" si="1341"/>
        <v>2048</v>
      </c>
      <c r="FH920" s="133">
        <f t="shared" si="1341"/>
        <v>2049</v>
      </c>
      <c r="FI920" s="134">
        <f t="shared" si="1341"/>
        <v>2050</v>
      </c>
      <c r="FJ920" s="4"/>
      <c r="FK920" s="135">
        <f t="shared" ref="FK920:GT920" si="1342">FK$1</f>
        <v>2015</v>
      </c>
      <c r="FL920" s="133">
        <f t="shared" si="1342"/>
        <v>2016</v>
      </c>
      <c r="FM920" s="133">
        <f t="shared" si="1342"/>
        <v>2017</v>
      </c>
      <c r="FN920" s="133">
        <f t="shared" si="1342"/>
        <v>2018</v>
      </c>
      <c r="FO920" s="133">
        <f t="shared" si="1342"/>
        <v>2019</v>
      </c>
      <c r="FP920" s="133">
        <f t="shared" si="1342"/>
        <v>2020</v>
      </c>
      <c r="FQ920" s="133">
        <f t="shared" si="1342"/>
        <v>2021</v>
      </c>
      <c r="FR920" s="133">
        <f t="shared" si="1342"/>
        <v>2022</v>
      </c>
      <c r="FS920" s="133">
        <f t="shared" si="1342"/>
        <v>2023</v>
      </c>
      <c r="FT920" s="133">
        <f t="shared" si="1342"/>
        <v>2024</v>
      </c>
      <c r="FU920" s="133">
        <f t="shared" si="1342"/>
        <v>2025</v>
      </c>
      <c r="FV920" s="133">
        <f t="shared" si="1342"/>
        <v>2026</v>
      </c>
      <c r="FW920" s="133">
        <f t="shared" si="1342"/>
        <v>2027</v>
      </c>
      <c r="FX920" s="133">
        <f t="shared" si="1342"/>
        <v>2028</v>
      </c>
      <c r="FY920" s="133">
        <f t="shared" si="1342"/>
        <v>2029</v>
      </c>
      <c r="FZ920" s="133">
        <f t="shared" si="1342"/>
        <v>2030</v>
      </c>
      <c r="GA920" s="133">
        <f t="shared" si="1342"/>
        <v>2031</v>
      </c>
      <c r="GB920" s="133">
        <f t="shared" si="1342"/>
        <v>2032</v>
      </c>
      <c r="GC920" s="133">
        <f t="shared" si="1342"/>
        <v>2033</v>
      </c>
      <c r="GD920" s="133">
        <f t="shared" si="1342"/>
        <v>2034</v>
      </c>
      <c r="GE920" s="133">
        <f t="shared" si="1342"/>
        <v>2035</v>
      </c>
      <c r="GF920" s="133">
        <f t="shared" si="1342"/>
        <v>2036</v>
      </c>
      <c r="GG920" s="133">
        <f t="shared" si="1342"/>
        <v>2037</v>
      </c>
      <c r="GH920" s="133">
        <f t="shared" si="1342"/>
        <v>2038</v>
      </c>
      <c r="GI920" s="133">
        <f t="shared" si="1342"/>
        <v>2039</v>
      </c>
      <c r="GJ920" s="133">
        <f t="shared" si="1342"/>
        <v>2040</v>
      </c>
      <c r="GK920" s="133">
        <f t="shared" si="1342"/>
        <v>2041</v>
      </c>
      <c r="GL920" s="133">
        <f t="shared" si="1342"/>
        <v>2042</v>
      </c>
      <c r="GM920" s="133">
        <f t="shared" si="1342"/>
        <v>2043</v>
      </c>
      <c r="GN920" s="133">
        <f t="shared" si="1342"/>
        <v>2044</v>
      </c>
      <c r="GO920" s="133">
        <f t="shared" si="1342"/>
        <v>2045</v>
      </c>
      <c r="GP920" s="133">
        <f t="shared" si="1342"/>
        <v>2046</v>
      </c>
      <c r="GQ920" s="133">
        <f t="shared" si="1342"/>
        <v>2047</v>
      </c>
      <c r="GR920" s="133">
        <f t="shared" si="1342"/>
        <v>2048</v>
      </c>
      <c r="GS920" s="133">
        <f t="shared" si="1342"/>
        <v>2049</v>
      </c>
      <c r="GT920" s="134">
        <f t="shared" si="1342"/>
        <v>2050</v>
      </c>
      <c r="GU920" s="4"/>
      <c r="GV920" s="135">
        <f t="shared" ref="GV920:IE920" si="1343">GV$1</f>
        <v>2015</v>
      </c>
      <c r="GW920" s="133">
        <f t="shared" si="1343"/>
        <v>2016</v>
      </c>
      <c r="GX920" s="133">
        <f t="shared" si="1343"/>
        <v>2017</v>
      </c>
      <c r="GY920" s="133">
        <f t="shared" si="1343"/>
        <v>2018</v>
      </c>
      <c r="GZ920" s="133">
        <f t="shared" si="1343"/>
        <v>2019</v>
      </c>
      <c r="HA920" s="133">
        <f t="shared" si="1343"/>
        <v>2020</v>
      </c>
      <c r="HB920" s="133">
        <f t="shared" si="1343"/>
        <v>2021</v>
      </c>
      <c r="HC920" s="133">
        <f t="shared" si="1343"/>
        <v>2022</v>
      </c>
      <c r="HD920" s="133">
        <f t="shared" si="1343"/>
        <v>2023</v>
      </c>
      <c r="HE920" s="133">
        <f t="shared" si="1343"/>
        <v>2024</v>
      </c>
      <c r="HF920" s="133">
        <f t="shared" si="1343"/>
        <v>2025</v>
      </c>
      <c r="HG920" s="133">
        <f t="shared" si="1343"/>
        <v>2026</v>
      </c>
      <c r="HH920" s="133">
        <f t="shared" si="1343"/>
        <v>2027</v>
      </c>
      <c r="HI920" s="133">
        <f t="shared" si="1343"/>
        <v>2028</v>
      </c>
      <c r="HJ920" s="133">
        <f t="shared" si="1343"/>
        <v>2029</v>
      </c>
      <c r="HK920" s="133">
        <f t="shared" si="1343"/>
        <v>2030</v>
      </c>
      <c r="HL920" s="133">
        <f t="shared" si="1343"/>
        <v>2031</v>
      </c>
      <c r="HM920" s="133">
        <f t="shared" si="1343"/>
        <v>2032</v>
      </c>
      <c r="HN920" s="133">
        <f t="shared" si="1343"/>
        <v>2033</v>
      </c>
      <c r="HO920" s="133">
        <f t="shared" si="1343"/>
        <v>2034</v>
      </c>
      <c r="HP920" s="133">
        <f t="shared" si="1343"/>
        <v>2035</v>
      </c>
      <c r="HQ920" s="133">
        <f t="shared" si="1343"/>
        <v>2036</v>
      </c>
      <c r="HR920" s="133">
        <f t="shared" si="1343"/>
        <v>2037</v>
      </c>
      <c r="HS920" s="133">
        <f t="shared" si="1343"/>
        <v>2038</v>
      </c>
      <c r="HT920" s="133">
        <f t="shared" si="1343"/>
        <v>2039</v>
      </c>
      <c r="HU920" s="133">
        <f t="shared" si="1343"/>
        <v>2040</v>
      </c>
      <c r="HV920" s="133">
        <f t="shared" si="1343"/>
        <v>2041</v>
      </c>
      <c r="HW920" s="133">
        <f t="shared" si="1343"/>
        <v>2042</v>
      </c>
      <c r="HX920" s="133">
        <f t="shared" si="1343"/>
        <v>2043</v>
      </c>
      <c r="HY920" s="133">
        <f t="shared" si="1343"/>
        <v>2044</v>
      </c>
      <c r="HZ920" s="133">
        <f t="shared" si="1343"/>
        <v>2045</v>
      </c>
      <c r="IA920" s="133">
        <f t="shared" si="1343"/>
        <v>2046</v>
      </c>
      <c r="IB920" s="133">
        <f t="shared" si="1343"/>
        <v>2047</v>
      </c>
      <c r="IC920" s="133">
        <f t="shared" si="1343"/>
        <v>2048</v>
      </c>
      <c r="ID920" s="133">
        <f t="shared" si="1343"/>
        <v>2049</v>
      </c>
      <c r="IE920" s="134">
        <f t="shared" si="1343"/>
        <v>2050</v>
      </c>
      <c r="IF920" s="4"/>
      <c r="IG920" s="135">
        <f t="shared" ref="IG920:JP920" si="1344">IG$1</f>
        <v>2015</v>
      </c>
      <c r="IH920" s="133">
        <f t="shared" si="1344"/>
        <v>2016</v>
      </c>
      <c r="II920" s="133">
        <f t="shared" si="1344"/>
        <v>2017</v>
      </c>
      <c r="IJ920" s="133">
        <f t="shared" si="1344"/>
        <v>2018</v>
      </c>
      <c r="IK920" s="133">
        <f t="shared" si="1344"/>
        <v>2019</v>
      </c>
      <c r="IL920" s="133">
        <f t="shared" si="1344"/>
        <v>2020</v>
      </c>
      <c r="IM920" s="133">
        <f t="shared" si="1344"/>
        <v>2021</v>
      </c>
      <c r="IN920" s="133">
        <f t="shared" si="1344"/>
        <v>2022</v>
      </c>
      <c r="IO920" s="133">
        <f t="shared" si="1344"/>
        <v>2023</v>
      </c>
      <c r="IP920" s="133">
        <f t="shared" si="1344"/>
        <v>2024</v>
      </c>
      <c r="IQ920" s="133">
        <f t="shared" si="1344"/>
        <v>2025</v>
      </c>
      <c r="IR920" s="133">
        <f t="shared" si="1344"/>
        <v>2026</v>
      </c>
      <c r="IS920" s="133">
        <f t="shared" si="1344"/>
        <v>2027</v>
      </c>
      <c r="IT920" s="133">
        <f t="shared" si="1344"/>
        <v>2028</v>
      </c>
      <c r="IU920" s="133">
        <f t="shared" si="1344"/>
        <v>2029</v>
      </c>
      <c r="IV920" s="133">
        <f t="shared" si="1344"/>
        <v>2030</v>
      </c>
      <c r="IW920" s="133">
        <f t="shared" si="1344"/>
        <v>2031</v>
      </c>
      <c r="IX920" s="133">
        <f t="shared" si="1344"/>
        <v>2032</v>
      </c>
      <c r="IY920" s="133">
        <f t="shared" si="1344"/>
        <v>2033</v>
      </c>
      <c r="IZ920" s="133">
        <f t="shared" si="1344"/>
        <v>2034</v>
      </c>
      <c r="JA920" s="133">
        <f t="shared" si="1344"/>
        <v>2035</v>
      </c>
      <c r="JB920" s="133">
        <f t="shared" si="1344"/>
        <v>2036</v>
      </c>
      <c r="JC920" s="133">
        <f t="shared" si="1344"/>
        <v>2037</v>
      </c>
      <c r="JD920" s="133">
        <f t="shared" si="1344"/>
        <v>2038</v>
      </c>
      <c r="JE920" s="133">
        <f t="shared" si="1344"/>
        <v>2039</v>
      </c>
      <c r="JF920" s="133">
        <f t="shared" si="1344"/>
        <v>2040</v>
      </c>
      <c r="JG920" s="133">
        <f t="shared" si="1344"/>
        <v>2041</v>
      </c>
      <c r="JH920" s="133">
        <f t="shared" si="1344"/>
        <v>2042</v>
      </c>
      <c r="JI920" s="133">
        <f t="shared" si="1344"/>
        <v>2043</v>
      </c>
      <c r="JJ920" s="133">
        <f t="shared" si="1344"/>
        <v>2044</v>
      </c>
      <c r="JK920" s="133">
        <f t="shared" si="1344"/>
        <v>2045</v>
      </c>
      <c r="JL920" s="133">
        <f t="shared" si="1344"/>
        <v>2046</v>
      </c>
      <c r="JM920" s="133">
        <f t="shared" si="1344"/>
        <v>2047</v>
      </c>
      <c r="JN920" s="133">
        <f t="shared" si="1344"/>
        <v>2048</v>
      </c>
      <c r="JO920" s="133">
        <f t="shared" si="1344"/>
        <v>2049</v>
      </c>
      <c r="JP920" s="134">
        <f t="shared" si="1344"/>
        <v>2050</v>
      </c>
      <c r="JQ920" s="4"/>
      <c r="JR920" s="135">
        <f t="shared" ref="JR920:LA920" si="1345">JR$1</f>
        <v>2015</v>
      </c>
      <c r="JS920" s="133">
        <f t="shared" si="1345"/>
        <v>2016</v>
      </c>
      <c r="JT920" s="133">
        <f t="shared" si="1345"/>
        <v>2017</v>
      </c>
      <c r="JU920" s="133">
        <f t="shared" si="1345"/>
        <v>2018</v>
      </c>
      <c r="JV920" s="133">
        <f t="shared" si="1345"/>
        <v>2019</v>
      </c>
      <c r="JW920" s="133">
        <f t="shared" si="1345"/>
        <v>2020</v>
      </c>
      <c r="JX920" s="133">
        <f t="shared" si="1345"/>
        <v>2021</v>
      </c>
      <c r="JY920" s="133">
        <f t="shared" si="1345"/>
        <v>2022</v>
      </c>
      <c r="JZ920" s="133">
        <f t="shared" si="1345"/>
        <v>2023</v>
      </c>
      <c r="KA920" s="133">
        <f t="shared" si="1345"/>
        <v>2024</v>
      </c>
      <c r="KB920" s="133">
        <f t="shared" si="1345"/>
        <v>2025</v>
      </c>
      <c r="KC920" s="133">
        <f t="shared" si="1345"/>
        <v>2026</v>
      </c>
      <c r="KD920" s="133">
        <f t="shared" si="1345"/>
        <v>2027</v>
      </c>
      <c r="KE920" s="133">
        <f t="shared" si="1345"/>
        <v>2028</v>
      </c>
      <c r="KF920" s="133">
        <f t="shared" si="1345"/>
        <v>2029</v>
      </c>
      <c r="KG920" s="133">
        <f t="shared" si="1345"/>
        <v>2030</v>
      </c>
      <c r="KH920" s="133">
        <f t="shared" si="1345"/>
        <v>2031</v>
      </c>
      <c r="KI920" s="133">
        <f t="shared" si="1345"/>
        <v>2032</v>
      </c>
      <c r="KJ920" s="133">
        <f t="shared" si="1345"/>
        <v>2033</v>
      </c>
      <c r="KK920" s="133">
        <f t="shared" si="1345"/>
        <v>2034</v>
      </c>
      <c r="KL920" s="133">
        <f t="shared" si="1345"/>
        <v>2035</v>
      </c>
      <c r="KM920" s="133">
        <f t="shared" si="1345"/>
        <v>2036</v>
      </c>
      <c r="KN920" s="133">
        <f t="shared" si="1345"/>
        <v>2037</v>
      </c>
      <c r="KO920" s="133">
        <f t="shared" si="1345"/>
        <v>2038</v>
      </c>
      <c r="KP920" s="133">
        <f t="shared" si="1345"/>
        <v>2039</v>
      </c>
      <c r="KQ920" s="133">
        <f t="shared" si="1345"/>
        <v>2040</v>
      </c>
      <c r="KR920" s="133">
        <f t="shared" si="1345"/>
        <v>2041</v>
      </c>
      <c r="KS920" s="133">
        <f t="shared" si="1345"/>
        <v>2042</v>
      </c>
      <c r="KT920" s="133">
        <f t="shared" si="1345"/>
        <v>2043</v>
      </c>
      <c r="KU920" s="133">
        <f t="shared" si="1345"/>
        <v>2044</v>
      </c>
      <c r="KV920" s="133">
        <f t="shared" si="1345"/>
        <v>2045</v>
      </c>
      <c r="KW920" s="133">
        <f t="shared" si="1345"/>
        <v>2046</v>
      </c>
      <c r="KX920" s="133">
        <f t="shared" si="1345"/>
        <v>2047</v>
      </c>
      <c r="KY920" s="133">
        <f t="shared" si="1345"/>
        <v>2048</v>
      </c>
      <c r="KZ920" s="133">
        <f t="shared" si="1345"/>
        <v>2049</v>
      </c>
      <c r="LA920" s="134">
        <f t="shared" si="1345"/>
        <v>2050</v>
      </c>
      <c r="LB920" s="4"/>
      <c r="LC920" s="135">
        <f t="shared" ref="LC920:ML920" si="1346">LC$1</f>
        <v>2015</v>
      </c>
      <c r="LD920" s="133">
        <f t="shared" si="1346"/>
        <v>2016</v>
      </c>
      <c r="LE920" s="133">
        <f t="shared" si="1346"/>
        <v>2017</v>
      </c>
      <c r="LF920" s="133">
        <f t="shared" si="1346"/>
        <v>2018</v>
      </c>
      <c r="LG920" s="133">
        <f t="shared" si="1346"/>
        <v>2019</v>
      </c>
      <c r="LH920" s="133">
        <f t="shared" si="1346"/>
        <v>2020</v>
      </c>
      <c r="LI920" s="133">
        <f t="shared" si="1346"/>
        <v>2021</v>
      </c>
      <c r="LJ920" s="133">
        <f t="shared" si="1346"/>
        <v>2022</v>
      </c>
      <c r="LK920" s="133">
        <f t="shared" si="1346"/>
        <v>2023</v>
      </c>
      <c r="LL920" s="133">
        <f t="shared" si="1346"/>
        <v>2024</v>
      </c>
      <c r="LM920" s="133">
        <f t="shared" si="1346"/>
        <v>2025</v>
      </c>
      <c r="LN920" s="133">
        <f t="shared" si="1346"/>
        <v>2026</v>
      </c>
      <c r="LO920" s="133">
        <f t="shared" si="1346"/>
        <v>2027</v>
      </c>
      <c r="LP920" s="133">
        <f t="shared" si="1346"/>
        <v>2028</v>
      </c>
      <c r="LQ920" s="133">
        <f t="shared" si="1346"/>
        <v>2029</v>
      </c>
      <c r="LR920" s="133">
        <f t="shared" si="1346"/>
        <v>2030</v>
      </c>
      <c r="LS920" s="133">
        <f t="shared" si="1346"/>
        <v>2031</v>
      </c>
      <c r="LT920" s="133">
        <f t="shared" si="1346"/>
        <v>2032</v>
      </c>
      <c r="LU920" s="133">
        <f t="shared" si="1346"/>
        <v>2033</v>
      </c>
      <c r="LV920" s="133">
        <f t="shared" si="1346"/>
        <v>2034</v>
      </c>
      <c r="LW920" s="133">
        <f t="shared" si="1346"/>
        <v>2035</v>
      </c>
      <c r="LX920" s="133">
        <f t="shared" si="1346"/>
        <v>2036</v>
      </c>
      <c r="LY920" s="133">
        <f t="shared" si="1346"/>
        <v>2037</v>
      </c>
      <c r="LZ920" s="133">
        <f t="shared" si="1346"/>
        <v>2038</v>
      </c>
      <c r="MA920" s="133">
        <f t="shared" si="1346"/>
        <v>2039</v>
      </c>
      <c r="MB920" s="133">
        <f t="shared" si="1346"/>
        <v>2040</v>
      </c>
      <c r="MC920" s="133">
        <f t="shared" si="1346"/>
        <v>2041</v>
      </c>
      <c r="MD920" s="133">
        <f t="shared" si="1346"/>
        <v>2042</v>
      </c>
      <c r="ME920" s="133">
        <f t="shared" si="1346"/>
        <v>2043</v>
      </c>
      <c r="MF920" s="133">
        <f t="shared" si="1346"/>
        <v>2044</v>
      </c>
      <c r="MG920" s="133">
        <f t="shared" si="1346"/>
        <v>2045</v>
      </c>
      <c r="MH920" s="133">
        <f t="shared" si="1346"/>
        <v>2046</v>
      </c>
      <c r="MI920" s="133">
        <f t="shared" si="1346"/>
        <v>2047</v>
      </c>
      <c r="MJ920" s="133">
        <f t="shared" si="1346"/>
        <v>2048</v>
      </c>
      <c r="MK920" s="133">
        <f t="shared" si="1346"/>
        <v>2049</v>
      </c>
      <c r="ML920" s="134">
        <f t="shared" si="1346"/>
        <v>2050</v>
      </c>
    </row>
    <row r="921" spans="3:350" ht="18" customHeight="1" x14ac:dyDescent="0.3">
      <c r="C921" s="185" t="s">
        <v>415</v>
      </c>
      <c r="D921" s="156"/>
      <c r="E921" s="9" t="s">
        <v>416</v>
      </c>
      <c r="F921" s="10" t="s">
        <v>104</v>
      </c>
      <c r="G921" s="4"/>
      <c r="H921" s="354">
        <v>101.15462630675613</v>
      </c>
      <c r="I921" s="355">
        <v>101.80995475113122</v>
      </c>
      <c r="J921" s="355">
        <v>103.77594008425652</v>
      </c>
      <c r="K921" s="355">
        <v>106.19441410516461</v>
      </c>
      <c r="L921" s="355">
        <v>109.0497737556561</v>
      </c>
      <c r="M921" s="355">
        <v>110.51646122640038</v>
      </c>
      <c r="N921" s="355">
        <v>115.69667654860352</v>
      </c>
      <c r="O921" s="355">
        <v>124.87127476985489</v>
      </c>
      <c r="P921" s="355">
        <v>133.49900476854097</v>
      </c>
      <c r="Q921" s="356"/>
      <c r="S921" s="139"/>
      <c r="T921" s="140"/>
      <c r="U921" s="140"/>
      <c r="V921" s="140"/>
      <c r="W921" s="140"/>
      <c r="X921" s="140"/>
      <c r="Y921" s="140"/>
      <c r="Z921" s="140"/>
      <c r="AA921" s="140"/>
      <c r="AB921" s="140"/>
      <c r="AC921" s="140"/>
      <c r="AD921" s="140"/>
      <c r="AE921" s="140"/>
      <c r="AF921" s="140"/>
      <c r="AG921" s="140"/>
      <c r="AH921" s="140"/>
      <c r="AI921" s="140"/>
      <c r="AJ921" s="140"/>
      <c r="AK921" s="140"/>
      <c r="AL921" s="140"/>
      <c r="AM921" s="140"/>
      <c r="AN921" s="140"/>
      <c r="AO921" s="140"/>
      <c r="AP921" s="140"/>
      <c r="AQ921" s="140"/>
      <c r="AR921" s="140"/>
      <c r="AS921" s="140"/>
      <c r="AT921" s="140"/>
      <c r="AU921" s="140"/>
      <c r="AV921" s="140"/>
      <c r="AW921" s="140"/>
      <c r="AX921" s="140"/>
      <c r="AY921" s="140"/>
      <c r="AZ921" s="140"/>
      <c r="BA921" s="140"/>
      <c r="BB921" s="141"/>
      <c r="BC921" s="4"/>
      <c r="BD921" s="139"/>
      <c r="BE921" s="140"/>
      <c r="BF921" s="140"/>
      <c r="BG921" s="140"/>
      <c r="BH921" s="140"/>
      <c r="BI921" s="140"/>
      <c r="BJ921" s="140"/>
      <c r="BK921" s="140"/>
      <c r="BL921" s="140"/>
      <c r="BM921" s="140"/>
      <c r="BN921" s="140"/>
      <c r="BO921" s="140"/>
      <c r="BP921" s="140"/>
      <c r="BQ921" s="140"/>
      <c r="BR921" s="140"/>
      <c r="BS921" s="140"/>
      <c r="BT921" s="140"/>
      <c r="BU921" s="140"/>
      <c r="BV921" s="140"/>
      <c r="BW921" s="140"/>
      <c r="BX921" s="140"/>
      <c r="BY921" s="140"/>
      <c r="BZ921" s="140"/>
      <c r="CA921" s="140"/>
      <c r="CB921" s="140"/>
      <c r="CC921" s="140"/>
      <c r="CD921" s="140"/>
      <c r="CE921" s="140"/>
      <c r="CF921" s="140"/>
      <c r="CG921" s="140"/>
      <c r="CH921" s="140"/>
      <c r="CI921" s="140"/>
      <c r="CJ921" s="140"/>
      <c r="CK921" s="140"/>
      <c r="CL921" s="140"/>
      <c r="CM921" s="141"/>
      <c r="CN921" s="4"/>
      <c r="CO921" s="139"/>
      <c r="CP921" s="140"/>
      <c r="CQ921" s="140"/>
      <c r="CR921" s="140"/>
      <c r="CS921" s="140"/>
      <c r="CT921" s="140"/>
      <c r="CU921" s="140"/>
      <c r="CV921" s="140"/>
      <c r="CW921" s="140"/>
      <c r="CX921" s="140"/>
      <c r="CY921" s="140"/>
      <c r="CZ921" s="140"/>
      <c r="DA921" s="140"/>
      <c r="DB921" s="140"/>
      <c r="DC921" s="140"/>
      <c r="DD921" s="140"/>
      <c r="DE921" s="140"/>
      <c r="DF921" s="140"/>
      <c r="DG921" s="140"/>
      <c r="DH921" s="140"/>
      <c r="DI921" s="140"/>
      <c r="DJ921" s="140"/>
      <c r="DK921" s="140"/>
      <c r="DL921" s="140"/>
      <c r="DM921" s="140"/>
      <c r="DN921" s="140"/>
      <c r="DO921" s="140"/>
      <c r="DP921" s="140"/>
      <c r="DQ921" s="140"/>
      <c r="DR921" s="140"/>
      <c r="DS921" s="140"/>
      <c r="DT921" s="140"/>
      <c r="DU921" s="140"/>
      <c r="DV921" s="140"/>
      <c r="DW921" s="140"/>
      <c r="DX921" s="141"/>
      <c r="DY921" s="4"/>
      <c r="DZ921" s="139"/>
      <c r="EA921" s="140"/>
      <c r="EB921" s="140"/>
      <c r="EC921" s="140"/>
      <c r="ED921" s="140"/>
      <c r="EE921" s="140"/>
      <c r="EF921" s="140"/>
      <c r="EG921" s="140"/>
      <c r="EH921" s="140"/>
      <c r="EI921" s="140"/>
      <c r="EJ921" s="140"/>
      <c r="EK921" s="140"/>
      <c r="EL921" s="140"/>
      <c r="EM921" s="140"/>
      <c r="EN921" s="140"/>
      <c r="EO921" s="140"/>
      <c r="EP921" s="140"/>
      <c r="EQ921" s="140"/>
      <c r="ER921" s="140"/>
      <c r="ES921" s="140"/>
      <c r="ET921" s="140"/>
      <c r="EU921" s="140"/>
      <c r="EV921" s="140"/>
      <c r="EW921" s="140"/>
      <c r="EX921" s="140"/>
      <c r="EY921" s="140"/>
      <c r="EZ921" s="140"/>
      <c r="FA921" s="140"/>
      <c r="FB921" s="140"/>
      <c r="FC921" s="140"/>
      <c r="FD921" s="140"/>
      <c r="FE921" s="140"/>
      <c r="FF921" s="140"/>
      <c r="FG921" s="140"/>
      <c r="FH921" s="140"/>
      <c r="FI921" s="141"/>
      <c r="FJ921" s="4"/>
      <c r="FK921" s="139"/>
      <c r="FL921" s="140"/>
      <c r="FM921" s="140"/>
      <c r="FN921" s="140"/>
      <c r="FO921" s="140"/>
      <c r="FP921" s="140"/>
      <c r="FQ921" s="140"/>
      <c r="FR921" s="140"/>
      <c r="FS921" s="140"/>
      <c r="FT921" s="140"/>
      <c r="FU921" s="140"/>
      <c r="FV921" s="140"/>
      <c r="FW921" s="140"/>
      <c r="FX921" s="140"/>
      <c r="FY921" s="140"/>
      <c r="FZ921" s="140"/>
      <c r="GA921" s="140"/>
      <c r="GB921" s="140"/>
      <c r="GC921" s="140"/>
      <c r="GD921" s="140"/>
      <c r="GE921" s="140"/>
      <c r="GF921" s="140"/>
      <c r="GG921" s="140"/>
      <c r="GH921" s="140"/>
      <c r="GI921" s="140"/>
      <c r="GJ921" s="140"/>
      <c r="GK921" s="140"/>
      <c r="GL921" s="140"/>
      <c r="GM921" s="140"/>
      <c r="GN921" s="140"/>
      <c r="GO921" s="140"/>
      <c r="GP921" s="140"/>
      <c r="GQ921" s="140"/>
      <c r="GR921" s="140"/>
      <c r="GS921" s="140"/>
      <c r="GT921" s="141"/>
      <c r="GU921" s="4"/>
      <c r="GV921" s="139"/>
      <c r="GW921" s="140"/>
      <c r="GX921" s="140"/>
      <c r="GY921" s="140"/>
      <c r="GZ921" s="140"/>
      <c r="HA921" s="140"/>
      <c r="HB921" s="140"/>
      <c r="HC921" s="140"/>
      <c r="HD921" s="140"/>
      <c r="HE921" s="140"/>
      <c r="HF921" s="140"/>
      <c r="HG921" s="140"/>
      <c r="HH921" s="140"/>
      <c r="HI921" s="140"/>
      <c r="HJ921" s="140"/>
      <c r="HK921" s="140"/>
      <c r="HL921" s="140"/>
      <c r="HM921" s="140"/>
      <c r="HN921" s="140"/>
      <c r="HO921" s="140"/>
      <c r="HP921" s="140"/>
      <c r="HQ921" s="140"/>
      <c r="HR921" s="140"/>
      <c r="HS921" s="140"/>
      <c r="HT921" s="140"/>
      <c r="HU921" s="140"/>
      <c r="HV921" s="140"/>
      <c r="HW921" s="140"/>
      <c r="HX921" s="140"/>
      <c r="HY921" s="140"/>
      <c r="HZ921" s="140"/>
      <c r="IA921" s="140"/>
      <c r="IB921" s="140"/>
      <c r="IC921" s="140"/>
      <c r="ID921" s="140"/>
      <c r="IE921" s="141"/>
      <c r="IF921" s="4"/>
      <c r="IG921" s="139"/>
      <c r="IH921" s="140"/>
      <c r="II921" s="140"/>
      <c r="IJ921" s="140"/>
      <c r="IK921" s="140"/>
      <c r="IL921" s="140"/>
      <c r="IM921" s="140"/>
      <c r="IN921" s="140"/>
      <c r="IO921" s="140"/>
      <c r="IP921" s="140"/>
      <c r="IQ921" s="140"/>
      <c r="IR921" s="140"/>
      <c r="IS921" s="140"/>
      <c r="IT921" s="140"/>
      <c r="IU921" s="140"/>
      <c r="IV921" s="140"/>
      <c r="IW921" s="140"/>
      <c r="IX921" s="140"/>
      <c r="IY921" s="140"/>
      <c r="IZ921" s="140"/>
      <c r="JA921" s="140"/>
      <c r="JB921" s="140"/>
      <c r="JC921" s="140"/>
      <c r="JD921" s="140"/>
      <c r="JE921" s="140"/>
      <c r="JF921" s="140"/>
      <c r="JG921" s="140"/>
      <c r="JH921" s="140"/>
      <c r="JI921" s="140"/>
      <c r="JJ921" s="140"/>
      <c r="JK921" s="140"/>
      <c r="JL921" s="140"/>
      <c r="JM921" s="140"/>
      <c r="JN921" s="140"/>
      <c r="JO921" s="140"/>
      <c r="JP921" s="141"/>
      <c r="JQ921" s="4"/>
      <c r="JR921" s="139"/>
      <c r="JS921" s="140"/>
      <c r="JT921" s="140"/>
      <c r="JU921" s="140"/>
      <c r="JV921" s="140"/>
      <c r="JW921" s="140"/>
      <c r="JX921" s="140"/>
      <c r="JY921" s="140"/>
      <c r="JZ921" s="140"/>
      <c r="KA921" s="140"/>
      <c r="KB921" s="140"/>
      <c r="KC921" s="140"/>
      <c r="KD921" s="140"/>
      <c r="KE921" s="140"/>
      <c r="KF921" s="140"/>
      <c r="KG921" s="140"/>
      <c r="KH921" s="140"/>
      <c r="KI921" s="140"/>
      <c r="KJ921" s="140"/>
      <c r="KK921" s="140"/>
      <c r="KL921" s="140"/>
      <c r="KM921" s="140"/>
      <c r="KN921" s="140"/>
      <c r="KO921" s="140"/>
      <c r="KP921" s="140"/>
      <c r="KQ921" s="140"/>
      <c r="KR921" s="140"/>
      <c r="KS921" s="140"/>
      <c r="KT921" s="140"/>
      <c r="KU921" s="140"/>
      <c r="KV921" s="140"/>
      <c r="KW921" s="140"/>
      <c r="KX921" s="140"/>
      <c r="KY921" s="140"/>
      <c r="KZ921" s="140"/>
      <c r="LA921" s="141"/>
      <c r="LB921" s="4"/>
      <c r="LC921" s="139"/>
      <c r="LD921" s="140"/>
      <c r="LE921" s="140"/>
      <c r="LF921" s="140"/>
      <c r="LG921" s="140"/>
      <c r="LH921" s="140"/>
      <c r="LI921" s="140"/>
      <c r="LJ921" s="140"/>
      <c r="LK921" s="140"/>
      <c r="LL921" s="140"/>
      <c r="LM921" s="140"/>
      <c r="LN921" s="140"/>
      <c r="LO921" s="140"/>
      <c r="LP921" s="140"/>
      <c r="LQ921" s="140"/>
      <c r="LR921" s="140"/>
      <c r="LS921" s="140"/>
      <c r="LT921" s="140"/>
      <c r="LU921" s="140"/>
      <c r="LV921" s="140"/>
      <c r="LW921" s="140"/>
      <c r="LX921" s="140"/>
      <c r="LY921" s="140"/>
      <c r="LZ921" s="140"/>
      <c r="MA921" s="140"/>
      <c r="MB921" s="140"/>
      <c r="MC921" s="140"/>
      <c r="MD921" s="140"/>
      <c r="ME921" s="140"/>
      <c r="MF921" s="140"/>
      <c r="MG921" s="140"/>
      <c r="MH921" s="140"/>
      <c r="MI921" s="140"/>
      <c r="MJ921" s="140"/>
      <c r="MK921" s="140"/>
      <c r="ML921" s="141"/>
    </row>
    <row r="922" spans="3:350" ht="18" customHeight="1" x14ac:dyDescent="0.3">
      <c r="C922" s="185" t="s">
        <v>417</v>
      </c>
      <c r="D922" s="39"/>
      <c r="E922" s="209" t="s">
        <v>416</v>
      </c>
      <c r="F922" s="209" t="s">
        <v>141</v>
      </c>
      <c r="G922" s="4"/>
      <c r="H922" s="357">
        <v>112.261451883063</v>
      </c>
      <c r="I922" s="358">
        <v>112.40082574612431</v>
      </c>
      <c r="J922" s="358">
        <v>113.97715043374272</v>
      </c>
      <c r="K922" s="358">
        <v>115.48749282931075</v>
      </c>
      <c r="L922" s="358">
        <v>117.09515603654521</v>
      </c>
      <c r="M922" s="358">
        <v>115.39362373077756</v>
      </c>
      <c r="N922" s="358">
        <v>119.10613652980744</v>
      </c>
      <c r="O922" s="358">
        <v>124.87127476985489</v>
      </c>
      <c r="P922" s="358">
        <v>126.90019464690205</v>
      </c>
      <c r="Q922" s="359"/>
      <c r="S922" s="139">
        <f>$H$922</f>
        <v>112.261451883063</v>
      </c>
      <c r="T922" s="140">
        <f>$I$922</f>
        <v>112.40082574612431</v>
      </c>
      <c r="U922" s="140">
        <f>$J$922</f>
        <v>113.97715043374272</v>
      </c>
      <c r="V922" s="140">
        <f>$K$922</f>
        <v>115.48749282931075</v>
      </c>
      <c r="W922" s="140">
        <f>$L$922</f>
        <v>117.09515603654521</v>
      </c>
      <c r="X922" s="140">
        <f>$M$922</f>
        <v>115.39362373077756</v>
      </c>
      <c r="Y922" s="140">
        <f>$N$922</f>
        <v>119.10613652980744</v>
      </c>
      <c r="Z922" s="140">
        <f>$O$922</f>
        <v>124.87127476985489</v>
      </c>
      <c r="AA922" s="140">
        <f>$P$922</f>
        <v>126.90019464690205</v>
      </c>
      <c r="AB922" s="140">
        <f t="shared" ref="AB922:BB922" si="1347">AA922+AA922*$D$927</f>
        <v>128.16919659337108</v>
      </c>
      <c r="AC922" s="140">
        <f t="shared" si="1347"/>
        <v>129.45088855930479</v>
      </c>
      <c r="AD922" s="140">
        <f t="shared" si="1347"/>
        <v>130.74539744489783</v>
      </c>
      <c r="AE922" s="140">
        <f t="shared" si="1347"/>
        <v>132.05285141934681</v>
      </c>
      <c r="AF922" s="140">
        <f t="shared" si="1347"/>
        <v>133.37337993354026</v>
      </c>
      <c r="AG922" s="140">
        <f t="shared" si="1347"/>
        <v>134.70711373287565</v>
      </c>
      <c r="AH922" s="140">
        <f t="shared" si="1347"/>
        <v>136.05418487020441</v>
      </c>
      <c r="AI922" s="140">
        <f t="shared" si="1347"/>
        <v>137.41472671890645</v>
      </c>
      <c r="AJ922" s="140">
        <f t="shared" si="1347"/>
        <v>138.78887398609552</v>
      </c>
      <c r="AK922" s="140">
        <f t="shared" si="1347"/>
        <v>140.17676272595648</v>
      </c>
      <c r="AL922" s="140">
        <f t="shared" si="1347"/>
        <v>141.57853035321605</v>
      </c>
      <c r="AM922" s="140">
        <f t="shared" si="1347"/>
        <v>142.9943156567482</v>
      </c>
      <c r="AN922" s="140">
        <f t="shared" si="1347"/>
        <v>144.42425881331567</v>
      </c>
      <c r="AO922" s="140">
        <f t="shared" si="1347"/>
        <v>145.86850140144884</v>
      </c>
      <c r="AP922" s="140">
        <f t="shared" si="1347"/>
        <v>147.32718641546333</v>
      </c>
      <c r="AQ922" s="140">
        <f t="shared" si="1347"/>
        <v>148.80045827961797</v>
      </c>
      <c r="AR922" s="140">
        <f t="shared" si="1347"/>
        <v>150.28846286241415</v>
      </c>
      <c r="AS922" s="140">
        <f t="shared" si="1347"/>
        <v>151.79134749103829</v>
      </c>
      <c r="AT922" s="140">
        <f t="shared" si="1347"/>
        <v>153.30926096594868</v>
      </c>
      <c r="AU922" s="140">
        <f t="shared" si="1347"/>
        <v>154.84235357560817</v>
      </c>
      <c r="AV922" s="140">
        <f t="shared" si="1347"/>
        <v>156.39077711136426</v>
      </c>
      <c r="AW922" s="140">
        <f t="shared" si="1347"/>
        <v>157.95468488247789</v>
      </c>
      <c r="AX922" s="140">
        <f t="shared" si="1347"/>
        <v>159.53423173130267</v>
      </c>
      <c r="AY922" s="140">
        <f t="shared" si="1347"/>
        <v>161.12957404861569</v>
      </c>
      <c r="AZ922" s="140">
        <f t="shared" si="1347"/>
        <v>162.74086978910185</v>
      </c>
      <c r="BA922" s="140">
        <f t="shared" si="1347"/>
        <v>164.36827848699286</v>
      </c>
      <c r="BB922" s="193">
        <f t="shared" si="1347"/>
        <v>166.01196127186279</v>
      </c>
      <c r="BC922" s="4"/>
      <c r="BD922" s="139">
        <f>$H$922</f>
        <v>112.261451883063</v>
      </c>
      <c r="BE922" s="140">
        <f>$I$922</f>
        <v>112.40082574612431</v>
      </c>
      <c r="BF922" s="140">
        <f>$J$922</f>
        <v>113.97715043374272</v>
      </c>
      <c r="BG922" s="140">
        <f>$K$922</f>
        <v>115.48749282931075</v>
      </c>
      <c r="BH922" s="140">
        <f>$L$922</f>
        <v>117.09515603654521</v>
      </c>
      <c r="BI922" s="140">
        <f>$M$922</f>
        <v>115.39362373077756</v>
      </c>
      <c r="BJ922" s="140">
        <f>$N$922</f>
        <v>119.10613652980744</v>
      </c>
      <c r="BK922" s="140">
        <f>$O$922</f>
        <v>124.87127476985489</v>
      </c>
      <c r="BL922" s="140">
        <f>$P$922</f>
        <v>126.90019464690205</v>
      </c>
      <c r="BM922" s="140">
        <f t="shared" ref="BM922:CM922" si="1348">BL922+BL922*$D$927</f>
        <v>128.16919659337108</v>
      </c>
      <c r="BN922" s="140">
        <f t="shared" si="1348"/>
        <v>129.45088855930479</v>
      </c>
      <c r="BO922" s="140">
        <f t="shared" si="1348"/>
        <v>130.74539744489783</v>
      </c>
      <c r="BP922" s="140">
        <f t="shared" si="1348"/>
        <v>132.05285141934681</v>
      </c>
      <c r="BQ922" s="140">
        <f t="shared" si="1348"/>
        <v>133.37337993354026</v>
      </c>
      <c r="BR922" s="140">
        <f t="shared" si="1348"/>
        <v>134.70711373287565</v>
      </c>
      <c r="BS922" s="140">
        <f t="shared" si="1348"/>
        <v>136.05418487020441</v>
      </c>
      <c r="BT922" s="140">
        <f t="shared" si="1348"/>
        <v>137.41472671890645</v>
      </c>
      <c r="BU922" s="140">
        <f t="shared" si="1348"/>
        <v>138.78887398609552</v>
      </c>
      <c r="BV922" s="140">
        <f t="shared" si="1348"/>
        <v>140.17676272595648</v>
      </c>
      <c r="BW922" s="140">
        <f t="shared" si="1348"/>
        <v>141.57853035321605</v>
      </c>
      <c r="BX922" s="140">
        <f t="shared" si="1348"/>
        <v>142.9943156567482</v>
      </c>
      <c r="BY922" s="140">
        <f t="shared" si="1348"/>
        <v>144.42425881331567</v>
      </c>
      <c r="BZ922" s="140">
        <f t="shared" si="1348"/>
        <v>145.86850140144884</v>
      </c>
      <c r="CA922" s="140">
        <f t="shared" si="1348"/>
        <v>147.32718641546333</v>
      </c>
      <c r="CB922" s="140">
        <f t="shared" si="1348"/>
        <v>148.80045827961797</v>
      </c>
      <c r="CC922" s="140">
        <f t="shared" si="1348"/>
        <v>150.28846286241415</v>
      </c>
      <c r="CD922" s="140">
        <f t="shared" si="1348"/>
        <v>151.79134749103829</v>
      </c>
      <c r="CE922" s="140">
        <f t="shared" si="1348"/>
        <v>153.30926096594868</v>
      </c>
      <c r="CF922" s="140">
        <f t="shared" si="1348"/>
        <v>154.84235357560817</v>
      </c>
      <c r="CG922" s="140">
        <f t="shared" si="1348"/>
        <v>156.39077711136426</v>
      </c>
      <c r="CH922" s="140">
        <f t="shared" si="1348"/>
        <v>157.95468488247789</v>
      </c>
      <c r="CI922" s="140">
        <f t="shared" si="1348"/>
        <v>159.53423173130267</v>
      </c>
      <c r="CJ922" s="140">
        <f t="shared" si="1348"/>
        <v>161.12957404861569</v>
      </c>
      <c r="CK922" s="140">
        <f t="shared" si="1348"/>
        <v>162.74086978910185</v>
      </c>
      <c r="CL922" s="140">
        <f t="shared" si="1348"/>
        <v>164.36827848699286</v>
      </c>
      <c r="CM922" s="193">
        <f t="shared" si="1348"/>
        <v>166.01196127186279</v>
      </c>
      <c r="CN922" s="4"/>
      <c r="CO922" s="139">
        <f>$H$922</f>
        <v>112.261451883063</v>
      </c>
      <c r="CP922" s="140">
        <f>$I$922</f>
        <v>112.40082574612431</v>
      </c>
      <c r="CQ922" s="140">
        <f>$J$922</f>
        <v>113.97715043374272</v>
      </c>
      <c r="CR922" s="140">
        <f>$K$922</f>
        <v>115.48749282931075</v>
      </c>
      <c r="CS922" s="140">
        <f>$L$922</f>
        <v>117.09515603654521</v>
      </c>
      <c r="CT922" s="140">
        <f>$M$922</f>
        <v>115.39362373077756</v>
      </c>
      <c r="CU922" s="140">
        <f>$N$922</f>
        <v>119.10613652980744</v>
      </c>
      <c r="CV922" s="140">
        <f>$O$922</f>
        <v>124.87127476985489</v>
      </c>
      <c r="CW922" s="140">
        <f>$P$922</f>
        <v>126.90019464690205</v>
      </c>
      <c r="CX922" s="140">
        <f t="shared" ref="CX922:DX922" si="1349">CW922+CW922*$D$927</f>
        <v>128.16919659337108</v>
      </c>
      <c r="CY922" s="140">
        <f t="shared" si="1349"/>
        <v>129.45088855930479</v>
      </c>
      <c r="CZ922" s="140">
        <f t="shared" si="1349"/>
        <v>130.74539744489783</v>
      </c>
      <c r="DA922" s="140">
        <f t="shared" si="1349"/>
        <v>132.05285141934681</v>
      </c>
      <c r="DB922" s="140">
        <f t="shared" si="1349"/>
        <v>133.37337993354026</v>
      </c>
      <c r="DC922" s="140">
        <f t="shared" si="1349"/>
        <v>134.70711373287565</v>
      </c>
      <c r="DD922" s="140">
        <f t="shared" si="1349"/>
        <v>136.05418487020441</v>
      </c>
      <c r="DE922" s="140">
        <f t="shared" si="1349"/>
        <v>137.41472671890645</v>
      </c>
      <c r="DF922" s="140">
        <f t="shared" si="1349"/>
        <v>138.78887398609552</v>
      </c>
      <c r="DG922" s="140">
        <f t="shared" si="1349"/>
        <v>140.17676272595648</v>
      </c>
      <c r="DH922" s="140">
        <f t="shared" si="1349"/>
        <v>141.57853035321605</v>
      </c>
      <c r="DI922" s="140">
        <f t="shared" si="1349"/>
        <v>142.9943156567482</v>
      </c>
      <c r="DJ922" s="140">
        <f t="shared" si="1349"/>
        <v>144.42425881331567</v>
      </c>
      <c r="DK922" s="140">
        <f t="shared" si="1349"/>
        <v>145.86850140144884</v>
      </c>
      <c r="DL922" s="140">
        <f t="shared" si="1349"/>
        <v>147.32718641546333</v>
      </c>
      <c r="DM922" s="140">
        <f t="shared" si="1349"/>
        <v>148.80045827961797</v>
      </c>
      <c r="DN922" s="140">
        <f t="shared" si="1349"/>
        <v>150.28846286241415</v>
      </c>
      <c r="DO922" s="140">
        <f t="shared" si="1349"/>
        <v>151.79134749103829</v>
      </c>
      <c r="DP922" s="140">
        <f t="shared" si="1349"/>
        <v>153.30926096594868</v>
      </c>
      <c r="DQ922" s="140">
        <f t="shared" si="1349"/>
        <v>154.84235357560817</v>
      </c>
      <c r="DR922" s="140">
        <f t="shared" si="1349"/>
        <v>156.39077711136426</v>
      </c>
      <c r="DS922" s="140">
        <f t="shared" si="1349"/>
        <v>157.95468488247789</v>
      </c>
      <c r="DT922" s="140">
        <f t="shared" si="1349"/>
        <v>159.53423173130267</v>
      </c>
      <c r="DU922" s="140">
        <f t="shared" si="1349"/>
        <v>161.12957404861569</v>
      </c>
      <c r="DV922" s="140">
        <f t="shared" si="1349"/>
        <v>162.74086978910185</v>
      </c>
      <c r="DW922" s="140">
        <f t="shared" si="1349"/>
        <v>164.36827848699286</v>
      </c>
      <c r="DX922" s="193">
        <f t="shared" si="1349"/>
        <v>166.01196127186279</v>
      </c>
      <c r="DY922" s="4"/>
      <c r="DZ922" s="139">
        <f>$H$922</f>
        <v>112.261451883063</v>
      </c>
      <c r="EA922" s="140">
        <f>$I$922</f>
        <v>112.40082574612431</v>
      </c>
      <c r="EB922" s="140">
        <f>$J$922</f>
        <v>113.97715043374272</v>
      </c>
      <c r="EC922" s="140">
        <f>$K$922</f>
        <v>115.48749282931075</v>
      </c>
      <c r="ED922" s="140">
        <f>$L$922</f>
        <v>117.09515603654521</v>
      </c>
      <c r="EE922" s="140">
        <f>$M$922</f>
        <v>115.39362373077756</v>
      </c>
      <c r="EF922" s="140">
        <f>$N$922</f>
        <v>119.10613652980744</v>
      </c>
      <c r="EG922" s="140">
        <f>$O$922</f>
        <v>124.87127476985489</v>
      </c>
      <c r="EH922" s="140">
        <f>$P$922</f>
        <v>126.90019464690205</v>
      </c>
      <c r="EI922" s="140">
        <f t="shared" ref="EI922:FI922" si="1350">EH922+EH922*$D$927</f>
        <v>128.16919659337108</v>
      </c>
      <c r="EJ922" s="140">
        <f t="shared" si="1350"/>
        <v>129.45088855930479</v>
      </c>
      <c r="EK922" s="140">
        <f t="shared" si="1350"/>
        <v>130.74539744489783</v>
      </c>
      <c r="EL922" s="140">
        <f t="shared" si="1350"/>
        <v>132.05285141934681</v>
      </c>
      <c r="EM922" s="140">
        <f t="shared" si="1350"/>
        <v>133.37337993354026</v>
      </c>
      <c r="EN922" s="140">
        <f t="shared" si="1350"/>
        <v>134.70711373287565</v>
      </c>
      <c r="EO922" s="140">
        <f t="shared" si="1350"/>
        <v>136.05418487020441</v>
      </c>
      <c r="EP922" s="140">
        <f t="shared" si="1350"/>
        <v>137.41472671890645</v>
      </c>
      <c r="EQ922" s="140">
        <f t="shared" si="1350"/>
        <v>138.78887398609552</v>
      </c>
      <c r="ER922" s="140">
        <f t="shared" si="1350"/>
        <v>140.17676272595648</v>
      </c>
      <c r="ES922" s="140">
        <f t="shared" si="1350"/>
        <v>141.57853035321605</v>
      </c>
      <c r="ET922" s="140">
        <f t="shared" si="1350"/>
        <v>142.9943156567482</v>
      </c>
      <c r="EU922" s="140">
        <f t="shared" si="1350"/>
        <v>144.42425881331567</v>
      </c>
      <c r="EV922" s="140">
        <f t="shared" si="1350"/>
        <v>145.86850140144884</v>
      </c>
      <c r="EW922" s="140">
        <f t="shared" si="1350"/>
        <v>147.32718641546333</v>
      </c>
      <c r="EX922" s="140">
        <f t="shared" si="1350"/>
        <v>148.80045827961797</v>
      </c>
      <c r="EY922" s="140">
        <f t="shared" si="1350"/>
        <v>150.28846286241415</v>
      </c>
      <c r="EZ922" s="140">
        <f t="shared" si="1350"/>
        <v>151.79134749103829</v>
      </c>
      <c r="FA922" s="140">
        <f t="shared" si="1350"/>
        <v>153.30926096594868</v>
      </c>
      <c r="FB922" s="140">
        <f t="shared" si="1350"/>
        <v>154.84235357560817</v>
      </c>
      <c r="FC922" s="140">
        <f t="shared" si="1350"/>
        <v>156.39077711136426</v>
      </c>
      <c r="FD922" s="140">
        <f t="shared" si="1350"/>
        <v>157.95468488247789</v>
      </c>
      <c r="FE922" s="140">
        <f t="shared" si="1350"/>
        <v>159.53423173130267</v>
      </c>
      <c r="FF922" s="140">
        <f t="shared" si="1350"/>
        <v>161.12957404861569</v>
      </c>
      <c r="FG922" s="140">
        <f t="shared" si="1350"/>
        <v>162.74086978910185</v>
      </c>
      <c r="FH922" s="140">
        <f t="shared" si="1350"/>
        <v>164.36827848699286</v>
      </c>
      <c r="FI922" s="193">
        <f t="shared" si="1350"/>
        <v>166.01196127186279</v>
      </c>
      <c r="FJ922" s="4"/>
      <c r="FK922" s="139">
        <f>$H$922</f>
        <v>112.261451883063</v>
      </c>
      <c r="FL922" s="140">
        <f>$I$922</f>
        <v>112.40082574612431</v>
      </c>
      <c r="FM922" s="140">
        <f>$J$922</f>
        <v>113.97715043374272</v>
      </c>
      <c r="FN922" s="140">
        <f>$K$922</f>
        <v>115.48749282931075</v>
      </c>
      <c r="FO922" s="140">
        <f>$L$922</f>
        <v>117.09515603654521</v>
      </c>
      <c r="FP922" s="140">
        <f>$M$922</f>
        <v>115.39362373077756</v>
      </c>
      <c r="FQ922" s="140">
        <f>$N$922</f>
        <v>119.10613652980744</v>
      </c>
      <c r="FR922" s="140">
        <f>$O$922</f>
        <v>124.87127476985489</v>
      </c>
      <c r="FS922" s="140">
        <f>$P$922</f>
        <v>126.90019464690205</v>
      </c>
      <c r="FT922" s="140">
        <f t="shared" ref="FT922:GT922" si="1351">FS922+FS922*$D$927</f>
        <v>128.16919659337108</v>
      </c>
      <c r="FU922" s="140">
        <f t="shared" si="1351"/>
        <v>129.45088855930479</v>
      </c>
      <c r="FV922" s="140">
        <f t="shared" si="1351"/>
        <v>130.74539744489783</v>
      </c>
      <c r="FW922" s="140">
        <f t="shared" si="1351"/>
        <v>132.05285141934681</v>
      </c>
      <c r="FX922" s="140">
        <f t="shared" si="1351"/>
        <v>133.37337993354026</v>
      </c>
      <c r="FY922" s="140">
        <f t="shared" si="1351"/>
        <v>134.70711373287565</v>
      </c>
      <c r="FZ922" s="140">
        <f t="shared" si="1351"/>
        <v>136.05418487020441</v>
      </c>
      <c r="GA922" s="140">
        <f t="shared" si="1351"/>
        <v>137.41472671890645</v>
      </c>
      <c r="GB922" s="140">
        <f t="shared" si="1351"/>
        <v>138.78887398609552</v>
      </c>
      <c r="GC922" s="140">
        <f t="shared" si="1351"/>
        <v>140.17676272595648</v>
      </c>
      <c r="GD922" s="140">
        <f t="shared" si="1351"/>
        <v>141.57853035321605</v>
      </c>
      <c r="GE922" s="140">
        <f t="shared" si="1351"/>
        <v>142.9943156567482</v>
      </c>
      <c r="GF922" s="140">
        <f t="shared" si="1351"/>
        <v>144.42425881331567</v>
      </c>
      <c r="GG922" s="140">
        <f t="shared" si="1351"/>
        <v>145.86850140144884</v>
      </c>
      <c r="GH922" s="140">
        <f t="shared" si="1351"/>
        <v>147.32718641546333</v>
      </c>
      <c r="GI922" s="140">
        <f t="shared" si="1351"/>
        <v>148.80045827961797</v>
      </c>
      <c r="GJ922" s="140">
        <f t="shared" si="1351"/>
        <v>150.28846286241415</v>
      </c>
      <c r="GK922" s="140">
        <f t="shared" si="1351"/>
        <v>151.79134749103829</v>
      </c>
      <c r="GL922" s="140">
        <f t="shared" si="1351"/>
        <v>153.30926096594868</v>
      </c>
      <c r="GM922" s="140">
        <f t="shared" si="1351"/>
        <v>154.84235357560817</v>
      </c>
      <c r="GN922" s="140">
        <f t="shared" si="1351"/>
        <v>156.39077711136426</v>
      </c>
      <c r="GO922" s="140">
        <f t="shared" si="1351"/>
        <v>157.95468488247789</v>
      </c>
      <c r="GP922" s="140">
        <f t="shared" si="1351"/>
        <v>159.53423173130267</v>
      </c>
      <c r="GQ922" s="140">
        <f t="shared" si="1351"/>
        <v>161.12957404861569</v>
      </c>
      <c r="GR922" s="140">
        <f t="shared" si="1351"/>
        <v>162.74086978910185</v>
      </c>
      <c r="GS922" s="140">
        <f t="shared" si="1351"/>
        <v>164.36827848699286</v>
      </c>
      <c r="GT922" s="193">
        <f t="shared" si="1351"/>
        <v>166.01196127186279</v>
      </c>
      <c r="GU922" s="4"/>
      <c r="GV922" s="139">
        <f>$H$922</f>
        <v>112.261451883063</v>
      </c>
      <c r="GW922" s="140">
        <f>$I$922</f>
        <v>112.40082574612431</v>
      </c>
      <c r="GX922" s="140">
        <f>$J$922</f>
        <v>113.97715043374272</v>
      </c>
      <c r="GY922" s="140">
        <f>$K$922</f>
        <v>115.48749282931075</v>
      </c>
      <c r="GZ922" s="140">
        <f>$L$922</f>
        <v>117.09515603654521</v>
      </c>
      <c r="HA922" s="140">
        <f>$M$922</f>
        <v>115.39362373077756</v>
      </c>
      <c r="HB922" s="140">
        <f>$N$922</f>
        <v>119.10613652980744</v>
      </c>
      <c r="HC922" s="140">
        <f>$O$922</f>
        <v>124.87127476985489</v>
      </c>
      <c r="HD922" s="140">
        <f>$P$922</f>
        <v>126.90019464690205</v>
      </c>
      <c r="HE922" s="140">
        <f t="shared" ref="HE922:IE922" si="1352">HD922+HD922*$D$927</f>
        <v>128.16919659337108</v>
      </c>
      <c r="HF922" s="140">
        <f t="shared" si="1352"/>
        <v>129.45088855930479</v>
      </c>
      <c r="HG922" s="140">
        <f t="shared" si="1352"/>
        <v>130.74539744489783</v>
      </c>
      <c r="HH922" s="140">
        <f t="shared" si="1352"/>
        <v>132.05285141934681</v>
      </c>
      <c r="HI922" s="140">
        <f t="shared" si="1352"/>
        <v>133.37337993354026</v>
      </c>
      <c r="HJ922" s="140">
        <f t="shared" si="1352"/>
        <v>134.70711373287565</v>
      </c>
      <c r="HK922" s="140">
        <f t="shared" si="1352"/>
        <v>136.05418487020441</v>
      </c>
      <c r="HL922" s="140">
        <f t="shared" si="1352"/>
        <v>137.41472671890645</v>
      </c>
      <c r="HM922" s="140">
        <f t="shared" si="1352"/>
        <v>138.78887398609552</v>
      </c>
      <c r="HN922" s="140">
        <f t="shared" si="1352"/>
        <v>140.17676272595648</v>
      </c>
      <c r="HO922" s="140">
        <f t="shared" si="1352"/>
        <v>141.57853035321605</v>
      </c>
      <c r="HP922" s="140">
        <f t="shared" si="1352"/>
        <v>142.9943156567482</v>
      </c>
      <c r="HQ922" s="140">
        <f t="shared" si="1352"/>
        <v>144.42425881331567</v>
      </c>
      <c r="HR922" s="140">
        <f t="shared" si="1352"/>
        <v>145.86850140144884</v>
      </c>
      <c r="HS922" s="140">
        <f t="shared" si="1352"/>
        <v>147.32718641546333</v>
      </c>
      <c r="HT922" s="140">
        <f t="shared" si="1352"/>
        <v>148.80045827961797</v>
      </c>
      <c r="HU922" s="140">
        <f t="shared" si="1352"/>
        <v>150.28846286241415</v>
      </c>
      <c r="HV922" s="140">
        <f t="shared" si="1352"/>
        <v>151.79134749103829</v>
      </c>
      <c r="HW922" s="140">
        <f t="shared" si="1352"/>
        <v>153.30926096594868</v>
      </c>
      <c r="HX922" s="140">
        <f t="shared" si="1352"/>
        <v>154.84235357560817</v>
      </c>
      <c r="HY922" s="140">
        <f t="shared" si="1352"/>
        <v>156.39077711136426</v>
      </c>
      <c r="HZ922" s="140">
        <f t="shared" si="1352"/>
        <v>157.95468488247789</v>
      </c>
      <c r="IA922" s="140">
        <f t="shared" si="1352"/>
        <v>159.53423173130267</v>
      </c>
      <c r="IB922" s="140">
        <f t="shared" si="1352"/>
        <v>161.12957404861569</v>
      </c>
      <c r="IC922" s="140">
        <f t="shared" si="1352"/>
        <v>162.74086978910185</v>
      </c>
      <c r="ID922" s="140">
        <f t="shared" si="1352"/>
        <v>164.36827848699286</v>
      </c>
      <c r="IE922" s="193">
        <f t="shared" si="1352"/>
        <v>166.01196127186279</v>
      </c>
      <c r="IF922" s="4"/>
      <c r="IG922" s="139">
        <f>$H$922</f>
        <v>112.261451883063</v>
      </c>
      <c r="IH922" s="140">
        <f>$I$922</f>
        <v>112.40082574612431</v>
      </c>
      <c r="II922" s="140">
        <f>$J$922</f>
        <v>113.97715043374272</v>
      </c>
      <c r="IJ922" s="140">
        <f>$K$922</f>
        <v>115.48749282931075</v>
      </c>
      <c r="IK922" s="140">
        <f>$L$922</f>
        <v>117.09515603654521</v>
      </c>
      <c r="IL922" s="140">
        <f>$M$922</f>
        <v>115.39362373077756</v>
      </c>
      <c r="IM922" s="140">
        <f>$N$922</f>
        <v>119.10613652980744</v>
      </c>
      <c r="IN922" s="140">
        <f>$O$922</f>
        <v>124.87127476985489</v>
      </c>
      <c r="IO922" s="140">
        <f>$P$922</f>
        <v>126.90019464690205</v>
      </c>
      <c r="IP922" s="140">
        <f t="shared" ref="IP922:JP922" si="1353">IO922+IO922*$D$927</f>
        <v>128.16919659337108</v>
      </c>
      <c r="IQ922" s="140">
        <f t="shared" si="1353"/>
        <v>129.45088855930479</v>
      </c>
      <c r="IR922" s="140">
        <f t="shared" si="1353"/>
        <v>130.74539744489783</v>
      </c>
      <c r="IS922" s="140">
        <f t="shared" si="1353"/>
        <v>132.05285141934681</v>
      </c>
      <c r="IT922" s="140">
        <f t="shared" si="1353"/>
        <v>133.37337993354026</v>
      </c>
      <c r="IU922" s="140">
        <f t="shared" si="1353"/>
        <v>134.70711373287565</v>
      </c>
      <c r="IV922" s="140">
        <f t="shared" si="1353"/>
        <v>136.05418487020441</v>
      </c>
      <c r="IW922" s="140">
        <f t="shared" si="1353"/>
        <v>137.41472671890645</v>
      </c>
      <c r="IX922" s="140">
        <f t="shared" si="1353"/>
        <v>138.78887398609552</v>
      </c>
      <c r="IY922" s="140">
        <f t="shared" si="1353"/>
        <v>140.17676272595648</v>
      </c>
      <c r="IZ922" s="140">
        <f t="shared" si="1353"/>
        <v>141.57853035321605</v>
      </c>
      <c r="JA922" s="140">
        <f t="shared" si="1353"/>
        <v>142.9943156567482</v>
      </c>
      <c r="JB922" s="140">
        <f t="shared" si="1353"/>
        <v>144.42425881331567</v>
      </c>
      <c r="JC922" s="140">
        <f t="shared" si="1353"/>
        <v>145.86850140144884</v>
      </c>
      <c r="JD922" s="140">
        <f t="shared" si="1353"/>
        <v>147.32718641546333</v>
      </c>
      <c r="JE922" s="140">
        <f t="shared" si="1353"/>
        <v>148.80045827961797</v>
      </c>
      <c r="JF922" s="140">
        <f t="shared" si="1353"/>
        <v>150.28846286241415</v>
      </c>
      <c r="JG922" s="140">
        <f t="shared" si="1353"/>
        <v>151.79134749103829</v>
      </c>
      <c r="JH922" s="140">
        <f t="shared" si="1353"/>
        <v>153.30926096594868</v>
      </c>
      <c r="JI922" s="140">
        <f t="shared" si="1353"/>
        <v>154.84235357560817</v>
      </c>
      <c r="JJ922" s="140">
        <f t="shared" si="1353"/>
        <v>156.39077711136426</v>
      </c>
      <c r="JK922" s="140">
        <f t="shared" si="1353"/>
        <v>157.95468488247789</v>
      </c>
      <c r="JL922" s="140">
        <f t="shared" si="1353"/>
        <v>159.53423173130267</v>
      </c>
      <c r="JM922" s="140">
        <f t="shared" si="1353"/>
        <v>161.12957404861569</v>
      </c>
      <c r="JN922" s="140">
        <f t="shared" si="1353"/>
        <v>162.74086978910185</v>
      </c>
      <c r="JO922" s="140">
        <f t="shared" si="1353"/>
        <v>164.36827848699286</v>
      </c>
      <c r="JP922" s="193">
        <f t="shared" si="1353"/>
        <v>166.01196127186279</v>
      </c>
      <c r="JQ922" s="4"/>
      <c r="JR922" s="139">
        <f>$H$922</f>
        <v>112.261451883063</v>
      </c>
      <c r="JS922" s="140">
        <f>$I$922</f>
        <v>112.40082574612431</v>
      </c>
      <c r="JT922" s="140">
        <f>$J$922</f>
        <v>113.97715043374272</v>
      </c>
      <c r="JU922" s="140">
        <f>$K$922</f>
        <v>115.48749282931075</v>
      </c>
      <c r="JV922" s="140">
        <f>$L$922</f>
        <v>117.09515603654521</v>
      </c>
      <c r="JW922" s="140">
        <f>$M$922</f>
        <v>115.39362373077756</v>
      </c>
      <c r="JX922" s="140">
        <f>$N$922</f>
        <v>119.10613652980744</v>
      </c>
      <c r="JY922" s="140">
        <f>$O$922</f>
        <v>124.87127476985489</v>
      </c>
      <c r="JZ922" s="140">
        <f>$P$922</f>
        <v>126.90019464690205</v>
      </c>
      <c r="KA922" s="140">
        <f t="shared" ref="KA922:LA922" si="1354">JZ922+JZ922*$D$927</f>
        <v>128.16919659337108</v>
      </c>
      <c r="KB922" s="140">
        <f t="shared" si="1354"/>
        <v>129.45088855930479</v>
      </c>
      <c r="KC922" s="140">
        <f t="shared" si="1354"/>
        <v>130.74539744489783</v>
      </c>
      <c r="KD922" s="140">
        <f t="shared" si="1354"/>
        <v>132.05285141934681</v>
      </c>
      <c r="KE922" s="140">
        <f t="shared" si="1354"/>
        <v>133.37337993354026</v>
      </c>
      <c r="KF922" s="140">
        <f t="shared" si="1354"/>
        <v>134.70711373287565</v>
      </c>
      <c r="KG922" s="140">
        <f t="shared" si="1354"/>
        <v>136.05418487020441</v>
      </c>
      <c r="KH922" s="140">
        <f t="shared" si="1354"/>
        <v>137.41472671890645</v>
      </c>
      <c r="KI922" s="140">
        <f t="shared" si="1354"/>
        <v>138.78887398609552</v>
      </c>
      <c r="KJ922" s="140">
        <f t="shared" si="1354"/>
        <v>140.17676272595648</v>
      </c>
      <c r="KK922" s="140">
        <f t="shared" si="1354"/>
        <v>141.57853035321605</v>
      </c>
      <c r="KL922" s="140">
        <f t="shared" si="1354"/>
        <v>142.9943156567482</v>
      </c>
      <c r="KM922" s="140">
        <f t="shared" si="1354"/>
        <v>144.42425881331567</v>
      </c>
      <c r="KN922" s="140">
        <f t="shared" si="1354"/>
        <v>145.86850140144884</v>
      </c>
      <c r="KO922" s="140">
        <f t="shared" si="1354"/>
        <v>147.32718641546333</v>
      </c>
      <c r="KP922" s="140">
        <f t="shared" si="1354"/>
        <v>148.80045827961797</v>
      </c>
      <c r="KQ922" s="140">
        <f t="shared" si="1354"/>
        <v>150.28846286241415</v>
      </c>
      <c r="KR922" s="140">
        <f t="shared" si="1354"/>
        <v>151.79134749103829</v>
      </c>
      <c r="KS922" s="140">
        <f t="shared" si="1354"/>
        <v>153.30926096594868</v>
      </c>
      <c r="KT922" s="140">
        <f t="shared" si="1354"/>
        <v>154.84235357560817</v>
      </c>
      <c r="KU922" s="140">
        <f t="shared" si="1354"/>
        <v>156.39077711136426</v>
      </c>
      <c r="KV922" s="140">
        <f t="shared" si="1354"/>
        <v>157.95468488247789</v>
      </c>
      <c r="KW922" s="140">
        <f t="shared" si="1354"/>
        <v>159.53423173130267</v>
      </c>
      <c r="KX922" s="140">
        <f t="shared" si="1354"/>
        <v>161.12957404861569</v>
      </c>
      <c r="KY922" s="140">
        <f t="shared" si="1354"/>
        <v>162.74086978910185</v>
      </c>
      <c r="KZ922" s="140">
        <f t="shared" si="1354"/>
        <v>164.36827848699286</v>
      </c>
      <c r="LA922" s="193">
        <f t="shared" si="1354"/>
        <v>166.01196127186279</v>
      </c>
      <c r="LB922" s="4"/>
      <c r="LC922" s="139">
        <f>$H$922</f>
        <v>112.261451883063</v>
      </c>
      <c r="LD922" s="140">
        <f>$I$922</f>
        <v>112.40082574612431</v>
      </c>
      <c r="LE922" s="140">
        <f>$J$922</f>
        <v>113.97715043374272</v>
      </c>
      <c r="LF922" s="140">
        <f>$K$922</f>
        <v>115.48749282931075</v>
      </c>
      <c r="LG922" s="140">
        <f>$L$922</f>
        <v>117.09515603654521</v>
      </c>
      <c r="LH922" s="140">
        <f>$M$922</f>
        <v>115.39362373077756</v>
      </c>
      <c r="LI922" s="140">
        <f>$N$922</f>
        <v>119.10613652980744</v>
      </c>
      <c r="LJ922" s="140">
        <f>$O$922</f>
        <v>124.87127476985489</v>
      </c>
      <c r="LK922" s="140">
        <f>$P$922</f>
        <v>126.90019464690205</v>
      </c>
      <c r="LL922" s="140">
        <f t="shared" ref="LL922:ML922" si="1355">LK922+LK922*$D$927</f>
        <v>128.16919659337108</v>
      </c>
      <c r="LM922" s="140">
        <f t="shared" si="1355"/>
        <v>129.45088855930479</v>
      </c>
      <c r="LN922" s="140">
        <f t="shared" si="1355"/>
        <v>130.74539744489783</v>
      </c>
      <c r="LO922" s="140">
        <f t="shared" si="1355"/>
        <v>132.05285141934681</v>
      </c>
      <c r="LP922" s="140">
        <f t="shared" si="1355"/>
        <v>133.37337993354026</v>
      </c>
      <c r="LQ922" s="140">
        <f t="shared" si="1355"/>
        <v>134.70711373287565</v>
      </c>
      <c r="LR922" s="140">
        <f t="shared" si="1355"/>
        <v>136.05418487020441</v>
      </c>
      <c r="LS922" s="140">
        <f t="shared" si="1355"/>
        <v>137.41472671890645</v>
      </c>
      <c r="LT922" s="140">
        <f t="shared" si="1355"/>
        <v>138.78887398609552</v>
      </c>
      <c r="LU922" s="140">
        <f t="shared" si="1355"/>
        <v>140.17676272595648</v>
      </c>
      <c r="LV922" s="140">
        <f t="shared" si="1355"/>
        <v>141.57853035321605</v>
      </c>
      <c r="LW922" s="140">
        <f t="shared" si="1355"/>
        <v>142.9943156567482</v>
      </c>
      <c r="LX922" s="140">
        <f t="shared" si="1355"/>
        <v>144.42425881331567</v>
      </c>
      <c r="LY922" s="140">
        <f t="shared" si="1355"/>
        <v>145.86850140144884</v>
      </c>
      <c r="LZ922" s="140">
        <f t="shared" si="1355"/>
        <v>147.32718641546333</v>
      </c>
      <c r="MA922" s="140">
        <f t="shared" si="1355"/>
        <v>148.80045827961797</v>
      </c>
      <c r="MB922" s="140">
        <f t="shared" si="1355"/>
        <v>150.28846286241415</v>
      </c>
      <c r="MC922" s="140">
        <f t="shared" si="1355"/>
        <v>151.79134749103829</v>
      </c>
      <c r="MD922" s="140">
        <f t="shared" si="1355"/>
        <v>153.30926096594868</v>
      </c>
      <c r="ME922" s="140">
        <f t="shared" si="1355"/>
        <v>154.84235357560817</v>
      </c>
      <c r="MF922" s="140">
        <f t="shared" si="1355"/>
        <v>156.39077711136426</v>
      </c>
      <c r="MG922" s="140">
        <f t="shared" si="1355"/>
        <v>157.95468488247789</v>
      </c>
      <c r="MH922" s="140">
        <f t="shared" si="1355"/>
        <v>159.53423173130267</v>
      </c>
      <c r="MI922" s="140">
        <f t="shared" si="1355"/>
        <v>161.12957404861569</v>
      </c>
      <c r="MJ922" s="140">
        <f t="shared" si="1355"/>
        <v>162.74086978910185</v>
      </c>
      <c r="MK922" s="140">
        <f t="shared" si="1355"/>
        <v>164.36827848699286</v>
      </c>
      <c r="ML922" s="193">
        <f t="shared" si="1355"/>
        <v>166.01196127186279</v>
      </c>
    </row>
    <row r="923" spans="3:350" x14ac:dyDescent="0.3">
      <c r="C923" s="251"/>
      <c r="D923" s="171"/>
      <c r="E923" s="171"/>
      <c r="F923" s="171"/>
      <c r="H923" s="171"/>
      <c r="I923" s="171"/>
      <c r="J923" s="171"/>
      <c r="K923" s="171"/>
      <c r="L923" s="171"/>
      <c r="M923" s="171"/>
      <c r="N923" s="171"/>
      <c r="O923" s="171"/>
      <c r="P923" s="171"/>
      <c r="Q923" s="171"/>
      <c r="S923" s="171"/>
      <c r="T923" s="171"/>
      <c r="U923" s="171"/>
      <c r="V923" s="171"/>
      <c r="W923" s="171"/>
      <c r="X923" s="171"/>
      <c r="Y923" s="171"/>
      <c r="Z923" s="171"/>
      <c r="AA923" s="171"/>
      <c r="AB923" s="171"/>
      <c r="AC923" s="171"/>
      <c r="AD923" s="171"/>
      <c r="AE923" s="171"/>
      <c r="AF923" s="171"/>
      <c r="AG923" s="171"/>
      <c r="AH923" s="171"/>
      <c r="AI923" s="171"/>
      <c r="AJ923" s="171"/>
      <c r="AK923" s="171"/>
      <c r="AL923" s="171"/>
      <c r="AM923" s="171"/>
      <c r="AN923" s="171"/>
      <c r="AO923" s="171"/>
      <c r="AP923" s="171"/>
      <c r="AQ923" s="171"/>
      <c r="AR923" s="171"/>
      <c r="AS923" s="171"/>
      <c r="AT923" s="171"/>
      <c r="AU923" s="171"/>
      <c r="AV923" s="171"/>
      <c r="AW923" s="171"/>
      <c r="AX923" s="171"/>
      <c r="AY923" s="171"/>
      <c r="AZ923" s="171"/>
      <c r="BA923" s="171"/>
      <c r="BB923" s="171"/>
      <c r="BD923" s="171"/>
      <c r="BE923" s="171"/>
      <c r="BF923" s="171"/>
      <c r="BG923" s="171"/>
      <c r="BH923" s="171"/>
      <c r="BI923" s="171"/>
      <c r="BJ923" s="171"/>
      <c r="BK923" s="171"/>
      <c r="BL923" s="171"/>
      <c r="BM923" s="171"/>
      <c r="BN923" s="171"/>
      <c r="BO923" s="171"/>
      <c r="BP923" s="171"/>
      <c r="BQ923" s="171"/>
      <c r="BR923" s="171"/>
      <c r="BS923" s="171"/>
      <c r="BT923" s="171"/>
      <c r="BU923" s="171"/>
      <c r="BV923" s="171"/>
      <c r="BW923" s="171"/>
      <c r="BX923" s="171"/>
      <c r="BY923" s="171"/>
      <c r="BZ923" s="171"/>
      <c r="CA923" s="171"/>
      <c r="CB923" s="171"/>
      <c r="CC923" s="171"/>
      <c r="CD923" s="171"/>
      <c r="CE923" s="171"/>
      <c r="CF923" s="171"/>
      <c r="CG923" s="171"/>
      <c r="CH923" s="171"/>
      <c r="CI923" s="171"/>
      <c r="CJ923" s="171"/>
      <c r="CK923" s="171"/>
      <c r="CL923" s="171"/>
      <c r="CM923" s="171"/>
      <c r="CO923" s="171"/>
      <c r="CP923" s="171"/>
      <c r="CQ923" s="171"/>
      <c r="CR923" s="171"/>
      <c r="CS923" s="171"/>
      <c r="CT923" s="171"/>
      <c r="CU923" s="171"/>
      <c r="CV923" s="171"/>
      <c r="CW923" s="171"/>
      <c r="CX923" s="171"/>
      <c r="CY923" s="171"/>
      <c r="CZ923" s="171"/>
      <c r="DA923" s="171"/>
      <c r="DB923" s="171"/>
      <c r="DC923" s="171"/>
      <c r="DD923" s="171"/>
      <c r="DE923" s="171"/>
      <c r="DF923" s="171"/>
      <c r="DG923" s="171"/>
      <c r="DH923" s="171"/>
      <c r="DI923" s="171"/>
      <c r="DJ923" s="171"/>
      <c r="DK923" s="171"/>
      <c r="DL923" s="171"/>
      <c r="DM923" s="171"/>
      <c r="DN923" s="171"/>
      <c r="DO923" s="171"/>
      <c r="DP923" s="171"/>
      <c r="DQ923" s="171"/>
      <c r="DR923" s="171"/>
      <c r="DS923" s="171"/>
      <c r="DT923" s="171"/>
      <c r="DU923" s="171"/>
      <c r="DV923" s="171"/>
      <c r="DW923" s="171"/>
      <c r="DX923" s="171"/>
      <c r="DZ923" s="171"/>
      <c r="EA923" s="171"/>
      <c r="EB923" s="171"/>
      <c r="EC923" s="171"/>
      <c r="ED923" s="171"/>
      <c r="EE923" s="171"/>
      <c r="EF923" s="171"/>
      <c r="EG923" s="171"/>
      <c r="EH923" s="171"/>
      <c r="EI923" s="171"/>
      <c r="EJ923" s="171"/>
      <c r="EK923" s="171"/>
      <c r="EL923" s="171"/>
      <c r="EM923" s="171"/>
      <c r="EN923" s="171"/>
      <c r="EO923" s="171"/>
      <c r="EP923" s="171"/>
      <c r="EQ923" s="171"/>
      <c r="ER923" s="171"/>
      <c r="ES923" s="171"/>
      <c r="ET923" s="171"/>
      <c r="EU923" s="171"/>
      <c r="EV923" s="171"/>
      <c r="EW923" s="171"/>
      <c r="EX923" s="171"/>
      <c r="EY923" s="171"/>
      <c r="EZ923" s="171"/>
      <c r="FA923" s="171"/>
      <c r="FB923" s="171"/>
      <c r="FC923" s="171"/>
      <c r="FD923" s="171"/>
      <c r="FE923" s="171"/>
      <c r="FF923" s="171"/>
      <c r="FG923" s="171"/>
      <c r="FH923" s="171"/>
      <c r="FI923" s="171"/>
      <c r="FK923" s="171"/>
      <c r="FL923" s="171"/>
      <c r="FM923" s="171"/>
      <c r="FN923" s="171"/>
      <c r="FO923" s="171"/>
      <c r="FP923" s="171"/>
      <c r="FQ923" s="171"/>
      <c r="FR923" s="171"/>
      <c r="FS923" s="171"/>
      <c r="FT923" s="171"/>
      <c r="FU923" s="171"/>
      <c r="FV923" s="171"/>
      <c r="FW923" s="171"/>
      <c r="FX923" s="171"/>
      <c r="FY923" s="171"/>
      <c r="FZ923" s="171"/>
      <c r="GA923" s="171"/>
      <c r="GB923" s="171"/>
      <c r="GC923" s="171"/>
      <c r="GD923" s="171"/>
      <c r="GE923" s="171"/>
      <c r="GF923" s="171"/>
      <c r="GG923" s="171"/>
      <c r="GH923" s="171"/>
      <c r="GI923" s="171"/>
      <c r="GJ923" s="171"/>
      <c r="GK923" s="171"/>
      <c r="GL923" s="171"/>
      <c r="GM923" s="171"/>
      <c r="GN923" s="171"/>
      <c r="GO923" s="171"/>
      <c r="GP923" s="171"/>
      <c r="GQ923" s="171"/>
      <c r="GR923" s="171"/>
      <c r="GS923" s="171"/>
      <c r="GT923" s="171"/>
      <c r="GV923" s="171"/>
      <c r="GW923" s="171"/>
      <c r="GX923" s="171"/>
      <c r="GY923" s="171"/>
      <c r="GZ923" s="171"/>
      <c r="HA923" s="171"/>
      <c r="HB923" s="171"/>
      <c r="HC923" s="171"/>
      <c r="HD923" s="171"/>
      <c r="HE923" s="171"/>
      <c r="HF923" s="171"/>
      <c r="HG923" s="171"/>
      <c r="HH923" s="171"/>
      <c r="HI923" s="171"/>
      <c r="HJ923" s="171"/>
      <c r="HK923" s="171"/>
      <c r="HL923" s="171"/>
      <c r="HM923" s="171"/>
      <c r="HN923" s="171"/>
      <c r="HO923" s="171"/>
      <c r="HP923" s="171"/>
      <c r="HQ923" s="171"/>
      <c r="HR923" s="171"/>
      <c r="HS923" s="171"/>
      <c r="HT923" s="171"/>
      <c r="HU923" s="171"/>
      <c r="HV923" s="171"/>
      <c r="HW923" s="171"/>
      <c r="HX923" s="171"/>
      <c r="HY923" s="171"/>
      <c r="HZ923" s="171"/>
      <c r="IA923" s="171"/>
      <c r="IB923" s="171"/>
      <c r="IC923" s="171"/>
      <c r="ID923" s="171"/>
      <c r="IE923" s="171"/>
      <c r="IG923" s="171"/>
      <c r="IH923" s="171"/>
      <c r="II923" s="171"/>
      <c r="IJ923" s="171"/>
      <c r="IK923" s="171"/>
      <c r="IL923" s="171"/>
      <c r="IM923" s="171"/>
      <c r="IN923" s="171"/>
      <c r="IO923" s="171"/>
      <c r="IP923" s="171"/>
      <c r="IQ923" s="171"/>
      <c r="IR923" s="171"/>
      <c r="IS923" s="171"/>
      <c r="IT923" s="171"/>
      <c r="IU923" s="171"/>
      <c r="IV923" s="171"/>
      <c r="IW923" s="171"/>
      <c r="IX923" s="171"/>
      <c r="IY923" s="171"/>
      <c r="IZ923" s="171"/>
      <c r="JA923" s="171"/>
      <c r="JB923" s="171"/>
      <c r="JC923" s="171"/>
      <c r="JD923" s="171"/>
      <c r="JE923" s="171"/>
      <c r="JF923" s="171"/>
      <c r="JG923" s="171"/>
      <c r="JH923" s="171"/>
      <c r="JI923" s="171"/>
      <c r="JJ923" s="171"/>
      <c r="JK923" s="171"/>
      <c r="JL923" s="171"/>
      <c r="JM923" s="171"/>
      <c r="JN923" s="171"/>
      <c r="JO923" s="171"/>
      <c r="JP923" s="171"/>
      <c r="JR923" s="171"/>
      <c r="JS923" s="171"/>
      <c r="JT923" s="171"/>
      <c r="JU923" s="171"/>
      <c r="JV923" s="171"/>
      <c r="JW923" s="171"/>
      <c r="JX923" s="171"/>
      <c r="JY923" s="171"/>
      <c r="JZ923" s="171"/>
      <c r="KA923" s="171"/>
      <c r="KB923" s="171"/>
      <c r="KC923" s="171"/>
      <c r="KD923" s="171"/>
      <c r="KE923" s="171"/>
      <c r="KF923" s="171"/>
      <c r="KG923" s="171"/>
      <c r="KH923" s="171"/>
      <c r="KI923" s="171"/>
      <c r="KJ923" s="171"/>
      <c r="KK923" s="171"/>
      <c r="KL923" s="171"/>
      <c r="KM923" s="171"/>
      <c r="KN923" s="171"/>
      <c r="KO923" s="171"/>
      <c r="KP923" s="171"/>
      <c r="KQ923" s="171"/>
      <c r="KR923" s="171"/>
      <c r="KS923" s="171"/>
      <c r="KT923" s="171"/>
      <c r="KU923" s="171"/>
      <c r="KV923" s="171"/>
      <c r="KW923" s="171"/>
      <c r="KX923" s="171"/>
      <c r="KY923" s="171"/>
      <c r="KZ923" s="171"/>
      <c r="LA923" s="171"/>
      <c r="LC923" s="171"/>
      <c r="LD923" s="171"/>
      <c r="LE923" s="171"/>
      <c r="LF923" s="171"/>
      <c r="LG923" s="171"/>
      <c r="LH923" s="171"/>
      <c r="LI923" s="171"/>
      <c r="LJ923" s="171"/>
      <c r="LK923" s="171"/>
      <c r="LL923" s="171"/>
      <c r="LM923" s="171"/>
      <c r="LN923" s="171"/>
      <c r="LO923" s="171"/>
      <c r="LP923" s="171"/>
      <c r="LQ923" s="171"/>
      <c r="LR923" s="171"/>
      <c r="LS923" s="171"/>
      <c r="LT923" s="171"/>
      <c r="LU923" s="171"/>
      <c r="LV923" s="171"/>
      <c r="LW923" s="171"/>
      <c r="LX923" s="171"/>
      <c r="LY923" s="171"/>
      <c r="LZ923" s="171"/>
      <c r="MA923" s="171"/>
      <c r="MB923" s="171"/>
      <c r="MC923" s="171"/>
      <c r="MD923" s="171"/>
      <c r="ME923" s="171"/>
      <c r="MF923" s="171"/>
      <c r="MG923" s="171"/>
      <c r="MH923" s="171"/>
      <c r="MI923" s="171"/>
      <c r="MJ923" s="171"/>
      <c r="MK923" s="171"/>
      <c r="ML923" s="171"/>
    </row>
    <row r="924" spans="3:350" x14ac:dyDescent="0.3">
      <c r="C924" s="79" t="s">
        <v>107</v>
      </c>
      <c r="D924" s="79" t="s">
        <v>418</v>
      </c>
    </row>
    <row r="925" spans="3:350" x14ac:dyDescent="0.3">
      <c r="C925" s="79"/>
      <c r="D925" s="79"/>
    </row>
    <row r="926" spans="3:350" x14ac:dyDescent="0.3">
      <c r="C926" s="79" t="s">
        <v>419</v>
      </c>
      <c r="D926" s="79" t="s">
        <v>420</v>
      </c>
    </row>
    <row r="927" spans="3:350" x14ac:dyDescent="0.3">
      <c r="C927" s="79"/>
      <c r="D927" s="360">
        <v>0.01</v>
      </c>
      <c r="E927" s="79"/>
    </row>
    <row r="928" spans="3:350" x14ac:dyDescent="0.3">
      <c r="C928" s="69"/>
    </row>
    <row r="929" spans="3:350" x14ac:dyDescent="0.3">
      <c r="C929" s="120" t="s">
        <v>421</v>
      </c>
      <c r="H929" s="121" t="s">
        <v>100</v>
      </c>
      <c r="S929" s="122" t="s">
        <v>5</v>
      </c>
      <c r="BD929" s="123" t="s">
        <v>6</v>
      </c>
      <c r="CO929" s="124" t="s">
        <v>7</v>
      </c>
      <c r="DZ929" s="125" t="s">
        <v>8</v>
      </c>
      <c r="FK929" s="126" t="s">
        <v>9</v>
      </c>
      <c r="GV929" s="127" t="s">
        <v>10</v>
      </c>
      <c r="IG929" s="128" t="s">
        <v>11</v>
      </c>
      <c r="JR929" s="129" t="str">
        <f>JR$4</f>
        <v>AMS2 2023</v>
      </c>
      <c r="LC929" s="130" t="str">
        <f>LC$4</f>
        <v>AMS3 2025</v>
      </c>
    </row>
    <row r="930" spans="3:350" s="4" customFormat="1" ht="18" customHeight="1" x14ac:dyDescent="0.3">
      <c r="C930" s="131"/>
      <c r="D930" s="132"/>
      <c r="E930" s="133" t="s">
        <v>101</v>
      </c>
      <c r="F930" s="134" t="s">
        <v>102</v>
      </c>
      <c r="H930" s="135">
        <f t="shared" ref="H930:Q930" si="1356">H$1</f>
        <v>2015</v>
      </c>
      <c r="I930" s="133">
        <f t="shared" si="1356"/>
        <v>2016</v>
      </c>
      <c r="J930" s="133">
        <f t="shared" si="1356"/>
        <v>2017</v>
      </c>
      <c r="K930" s="133">
        <f t="shared" si="1356"/>
        <v>2018</v>
      </c>
      <c r="L930" s="133">
        <f t="shared" si="1356"/>
        <v>2019</v>
      </c>
      <c r="M930" s="133">
        <f t="shared" si="1356"/>
        <v>2020</v>
      </c>
      <c r="N930" s="133">
        <f t="shared" si="1356"/>
        <v>2021</v>
      </c>
      <c r="O930" s="133">
        <f t="shared" si="1356"/>
        <v>2022</v>
      </c>
      <c r="P930" s="133">
        <f t="shared" si="1356"/>
        <v>2023</v>
      </c>
      <c r="Q930" s="134">
        <f t="shared" si="1356"/>
        <v>2024</v>
      </c>
      <c r="S930" s="135">
        <f t="shared" ref="S930:BB930" si="1357">S$1</f>
        <v>2015</v>
      </c>
      <c r="T930" s="133">
        <f t="shared" si="1357"/>
        <v>2016</v>
      </c>
      <c r="U930" s="133">
        <f t="shared" si="1357"/>
        <v>2017</v>
      </c>
      <c r="V930" s="133">
        <f t="shared" si="1357"/>
        <v>2018</v>
      </c>
      <c r="W930" s="133">
        <f t="shared" si="1357"/>
        <v>2019</v>
      </c>
      <c r="X930" s="133">
        <f t="shared" si="1357"/>
        <v>2020</v>
      </c>
      <c r="Y930" s="133">
        <f t="shared" si="1357"/>
        <v>2021</v>
      </c>
      <c r="Z930" s="133">
        <f t="shared" si="1357"/>
        <v>2022</v>
      </c>
      <c r="AA930" s="133">
        <f t="shared" si="1357"/>
        <v>2023</v>
      </c>
      <c r="AB930" s="133">
        <f t="shared" si="1357"/>
        <v>2024</v>
      </c>
      <c r="AC930" s="133">
        <f t="shared" si="1357"/>
        <v>2025</v>
      </c>
      <c r="AD930" s="133">
        <f t="shared" si="1357"/>
        <v>2026</v>
      </c>
      <c r="AE930" s="133">
        <f t="shared" si="1357"/>
        <v>2027</v>
      </c>
      <c r="AF930" s="133">
        <f t="shared" si="1357"/>
        <v>2028</v>
      </c>
      <c r="AG930" s="133">
        <f t="shared" si="1357"/>
        <v>2029</v>
      </c>
      <c r="AH930" s="133">
        <f t="shared" si="1357"/>
        <v>2030</v>
      </c>
      <c r="AI930" s="133">
        <f t="shared" si="1357"/>
        <v>2031</v>
      </c>
      <c r="AJ930" s="133">
        <f t="shared" si="1357"/>
        <v>2032</v>
      </c>
      <c r="AK930" s="133">
        <f t="shared" si="1357"/>
        <v>2033</v>
      </c>
      <c r="AL930" s="133">
        <f t="shared" si="1357"/>
        <v>2034</v>
      </c>
      <c r="AM930" s="133">
        <f t="shared" si="1357"/>
        <v>2035</v>
      </c>
      <c r="AN930" s="133">
        <f t="shared" si="1357"/>
        <v>2036</v>
      </c>
      <c r="AO930" s="133">
        <f t="shared" si="1357"/>
        <v>2037</v>
      </c>
      <c r="AP930" s="133">
        <f t="shared" si="1357"/>
        <v>2038</v>
      </c>
      <c r="AQ930" s="133">
        <f t="shared" si="1357"/>
        <v>2039</v>
      </c>
      <c r="AR930" s="133">
        <f t="shared" si="1357"/>
        <v>2040</v>
      </c>
      <c r="AS930" s="133">
        <f t="shared" si="1357"/>
        <v>2041</v>
      </c>
      <c r="AT930" s="133">
        <f t="shared" si="1357"/>
        <v>2042</v>
      </c>
      <c r="AU930" s="133">
        <f t="shared" si="1357"/>
        <v>2043</v>
      </c>
      <c r="AV930" s="133">
        <f t="shared" si="1357"/>
        <v>2044</v>
      </c>
      <c r="AW930" s="133">
        <f t="shared" si="1357"/>
        <v>2045</v>
      </c>
      <c r="AX930" s="133">
        <f t="shared" si="1357"/>
        <v>2046</v>
      </c>
      <c r="AY930" s="133">
        <f t="shared" si="1357"/>
        <v>2047</v>
      </c>
      <c r="AZ930" s="133">
        <f t="shared" si="1357"/>
        <v>2048</v>
      </c>
      <c r="BA930" s="133">
        <f t="shared" si="1357"/>
        <v>2049</v>
      </c>
      <c r="BB930" s="134">
        <f t="shared" si="1357"/>
        <v>2050</v>
      </c>
      <c r="BD930" s="135">
        <f t="shared" ref="BD930:CM930" si="1358">BD$1</f>
        <v>2015</v>
      </c>
      <c r="BE930" s="133">
        <f t="shared" si="1358"/>
        <v>2016</v>
      </c>
      <c r="BF930" s="133">
        <f t="shared" si="1358"/>
        <v>2017</v>
      </c>
      <c r="BG930" s="133">
        <f t="shared" si="1358"/>
        <v>2018</v>
      </c>
      <c r="BH930" s="133">
        <f t="shared" si="1358"/>
        <v>2019</v>
      </c>
      <c r="BI930" s="133">
        <f t="shared" si="1358"/>
        <v>2020</v>
      </c>
      <c r="BJ930" s="133">
        <f t="shared" si="1358"/>
        <v>2021</v>
      </c>
      <c r="BK930" s="133">
        <f t="shared" si="1358"/>
        <v>2022</v>
      </c>
      <c r="BL930" s="133">
        <f t="shared" si="1358"/>
        <v>2023</v>
      </c>
      <c r="BM930" s="133">
        <f t="shared" si="1358"/>
        <v>2024</v>
      </c>
      <c r="BN930" s="133">
        <f t="shared" si="1358"/>
        <v>2025</v>
      </c>
      <c r="BO930" s="133">
        <f t="shared" si="1358"/>
        <v>2026</v>
      </c>
      <c r="BP930" s="133">
        <f t="shared" si="1358"/>
        <v>2027</v>
      </c>
      <c r="BQ930" s="133">
        <f t="shared" si="1358"/>
        <v>2028</v>
      </c>
      <c r="BR930" s="133">
        <f t="shared" si="1358"/>
        <v>2029</v>
      </c>
      <c r="BS930" s="133">
        <f t="shared" si="1358"/>
        <v>2030</v>
      </c>
      <c r="BT930" s="133">
        <f t="shared" si="1358"/>
        <v>2031</v>
      </c>
      <c r="BU930" s="133">
        <f t="shared" si="1358"/>
        <v>2032</v>
      </c>
      <c r="BV930" s="133">
        <f t="shared" si="1358"/>
        <v>2033</v>
      </c>
      <c r="BW930" s="133">
        <f t="shared" si="1358"/>
        <v>2034</v>
      </c>
      <c r="BX930" s="133">
        <f t="shared" si="1358"/>
        <v>2035</v>
      </c>
      <c r="BY930" s="133">
        <f t="shared" si="1358"/>
        <v>2036</v>
      </c>
      <c r="BZ930" s="133">
        <f t="shared" si="1358"/>
        <v>2037</v>
      </c>
      <c r="CA930" s="133">
        <f t="shared" si="1358"/>
        <v>2038</v>
      </c>
      <c r="CB930" s="133">
        <f t="shared" si="1358"/>
        <v>2039</v>
      </c>
      <c r="CC930" s="133">
        <f t="shared" si="1358"/>
        <v>2040</v>
      </c>
      <c r="CD930" s="133">
        <f t="shared" si="1358"/>
        <v>2041</v>
      </c>
      <c r="CE930" s="133">
        <f t="shared" si="1358"/>
        <v>2042</v>
      </c>
      <c r="CF930" s="133">
        <f t="shared" si="1358"/>
        <v>2043</v>
      </c>
      <c r="CG930" s="133">
        <f t="shared" si="1358"/>
        <v>2044</v>
      </c>
      <c r="CH930" s="133">
        <f t="shared" si="1358"/>
        <v>2045</v>
      </c>
      <c r="CI930" s="133">
        <f t="shared" si="1358"/>
        <v>2046</v>
      </c>
      <c r="CJ930" s="133">
        <f t="shared" si="1358"/>
        <v>2047</v>
      </c>
      <c r="CK930" s="133">
        <f t="shared" si="1358"/>
        <v>2048</v>
      </c>
      <c r="CL930" s="133">
        <f t="shared" si="1358"/>
        <v>2049</v>
      </c>
      <c r="CM930" s="134">
        <f t="shared" si="1358"/>
        <v>2050</v>
      </c>
      <c r="CO930" s="135">
        <f t="shared" ref="CO930:DX930" si="1359">CO$1</f>
        <v>2015</v>
      </c>
      <c r="CP930" s="133">
        <f t="shared" si="1359"/>
        <v>2016</v>
      </c>
      <c r="CQ930" s="133">
        <f t="shared" si="1359"/>
        <v>2017</v>
      </c>
      <c r="CR930" s="133">
        <f t="shared" si="1359"/>
        <v>2018</v>
      </c>
      <c r="CS930" s="133">
        <f t="shared" si="1359"/>
        <v>2019</v>
      </c>
      <c r="CT930" s="133">
        <f t="shared" si="1359"/>
        <v>2020</v>
      </c>
      <c r="CU930" s="133">
        <f t="shared" si="1359"/>
        <v>2021</v>
      </c>
      <c r="CV930" s="133">
        <f t="shared" si="1359"/>
        <v>2022</v>
      </c>
      <c r="CW930" s="133">
        <f t="shared" si="1359"/>
        <v>2023</v>
      </c>
      <c r="CX930" s="133">
        <f t="shared" si="1359"/>
        <v>2024</v>
      </c>
      <c r="CY930" s="133">
        <f t="shared" si="1359"/>
        <v>2025</v>
      </c>
      <c r="CZ930" s="133">
        <f t="shared" si="1359"/>
        <v>2026</v>
      </c>
      <c r="DA930" s="133">
        <f t="shared" si="1359"/>
        <v>2027</v>
      </c>
      <c r="DB930" s="133">
        <f t="shared" si="1359"/>
        <v>2028</v>
      </c>
      <c r="DC930" s="133">
        <f t="shared" si="1359"/>
        <v>2029</v>
      </c>
      <c r="DD930" s="133">
        <f t="shared" si="1359"/>
        <v>2030</v>
      </c>
      <c r="DE930" s="133">
        <f t="shared" si="1359"/>
        <v>2031</v>
      </c>
      <c r="DF930" s="133">
        <f t="shared" si="1359"/>
        <v>2032</v>
      </c>
      <c r="DG930" s="133">
        <f t="shared" si="1359"/>
        <v>2033</v>
      </c>
      <c r="DH930" s="133">
        <f t="shared" si="1359"/>
        <v>2034</v>
      </c>
      <c r="DI930" s="133">
        <f t="shared" si="1359"/>
        <v>2035</v>
      </c>
      <c r="DJ930" s="133">
        <f t="shared" si="1359"/>
        <v>2036</v>
      </c>
      <c r="DK930" s="133">
        <f t="shared" si="1359"/>
        <v>2037</v>
      </c>
      <c r="DL930" s="133">
        <f t="shared" si="1359"/>
        <v>2038</v>
      </c>
      <c r="DM930" s="133">
        <f t="shared" si="1359"/>
        <v>2039</v>
      </c>
      <c r="DN930" s="133">
        <f t="shared" si="1359"/>
        <v>2040</v>
      </c>
      <c r="DO930" s="133">
        <f t="shared" si="1359"/>
        <v>2041</v>
      </c>
      <c r="DP930" s="133">
        <f t="shared" si="1359"/>
        <v>2042</v>
      </c>
      <c r="DQ930" s="133">
        <f t="shared" si="1359"/>
        <v>2043</v>
      </c>
      <c r="DR930" s="133">
        <f t="shared" si="1359"/>
        <v>2044</v>
      </c>
      <c r="DS930" s="133">
        <f t="shared" si="1359"/>
        <v>2045</v>
      </c>
      <c r="DT930" s="133">
        <f t="shared" si="1359"/>
        <v>2046</v>
      </c>
      <c r="DU930" s="133">
        <f t="shared" si="1359"/>
        <v>2047</v>
      </c>
      <c r="DV930" s="133">
        <f t="shared" si="1359"/>
        <v>2048</v>
      </c>
      <c r="DW930" s="133">
        <f t="shared" si="1359"/>
        <v>2049</v>
      </c>
      <c r="DX930" s="134">
        <f t="shared" si="1359"/>
        <v>2050</v>
      </c>
      <c r="DZ930" s="135">
        <f t="shared" ref="DZ930:FI930" si="1360">DZ$1</f>
        <v>2015</v>
      </c>
      <c r="EA930" s="133">
        <f t="shared" si="1360"/>
        <v>2016</v>
      </c>
      <c r="EB930" s="133">
        <f t="shared" si="1360"/>
        <v>2017</v>
      </c>
      <c r="EC930" s="133">
        <f t="shared" si="1360"/>
        <v>2018</v>
      </c>
      <c r="ED930" s="133">
        <f t="shared" si="1360"/>
        <v>2019</v>
      </c>
      <c r="EE930" s="133">
        <f t="shared" si="1360"/>
        <v>2020</v>
      </c>
      <c r="EF930" s="133">
        <f t="shared" si="1360"/>
        <v>2021</v>
      </c>
      <c r="EG930" s="133">
        <f t="shared" si="1360"/>
        <v>2022</v>
      </c>
      <c r="EH930" s="133">
        <f t="shared" si="1360"/>
        <v>2023</v>
      </c>
      <c r="EI930" s="133">
        <f t="shared" si="1360"/>
        <v>2024</v>
      </c>
      <c r="EJ930" s="133">
        <f t="shared" si="1360"/>
        <v>2025</v>
      </c>
      <c r="EK930" s="133">
        <f t="shared" si="1360"/>
        <v>2026</v>
      </c>
      <c r="EL930" s="133">
        <f t="shared" si="1360"/>
        <v>2027</v>
      </c>
      <c r="EM930" s="133">
        <f t="shared" si="1360"/>
        <v>2028</v>
      </c>
      <c r="EN930" s="133">
        <f t="shared" si="1360"/>
        <v>2029</v>
      </c>
      <c r="EO930" s="133">
        <f t="shared" si="1360"/>
        <v>2030</v>
      </c>
      <c r="EP930" s="133">
        <f t="shared" si="1360"/>
        <v>2031</v>
      </c>
      <c r="EQ930" s="133">
        <f t="shared" si="1360"/>
        <v>2032</v>
      </c>
      <c r="ER930" s="133">
        <f t="shared" si="1360"/>
        <v>2033</v>
      </c>
      <c r="ES930" s="133">
        <f t="shared" si="1360"/>
        <v>2034</v>
      </c>
      <c r="ET930" s="133">
        <f t="shared" si="1360"/>
        <v>2035</v>
      </c>
      <c r="EU930" s="133">
        <f t="shared" si="1360"/>
        <v>2036</v>
      </c>
      <c r="EV930" s="133">
        <f t="shared" si="1360"/>
        <v>2037</v>
      </c>
      <c r="EW930" s="133">
        <f t="shared" si="1360"/>
        <v>2038</v>
      </c>
      <c r="EX930" s="133">
        <f t="shared" si="1360"/>
        <v>2039</v>
      </c>
      <c r="EY930" s="133">
        <f t="shared" si="1360"/>
        <v>2040</v>
      </c>
      <c r="EZ930" s="133">
        <f t="shared" si="1360"/>
        <v>2041</v>
      </c>
      <c r="FA930" s="133">
        <f t="shared" si="1360"/>
        <v>2042</v>
      </c>
      <c r="FB930" s="133">
        <f t="shared" si="1360"/>
        <v>2043</v>
      </c>
      <c r="FC930" s="133">
        <f t="shared" si="1360"/>
        <v>2044</v>
      </c>
      <c r="FD930" s="133">
        <f t="shared" si="1360"/>
        <v>2045</v>
      </c>
      <c r="FE930" s="133">
        <f t="shared" si="1360"/>
        <v>2046</v>
      </c>
      <c r="FF930" s="133">
        <f t="shared" si="1360"/>
        <v>2047</v>
      </c>
      <c r="FG930" s="133">
        <f t="shared" si="1360"/>
        <v>2048</v>
      </c>
      <c r="FH930" s="133">
        <f t="shared" si="1360"/>
        <v>2049</v>
      </c>
      <c r="FI930" s="134">
        <f t="shared" si="1360"/>
        <v>2050</v>
      </c>
      <c r="FK930" s="135">
        <f t="shared" ref="FK930:GT930" si="1361">FK$1</f>
        <v>2015</v>
      </c>
      <c r="FL930" s="133">
        <f t="shared" si="1361"/>
        <v>2016</v>
      </c>
      <c r="FM930" s="133">
        <f t="shared" si="1361"/>
        <v>2017</v>
      </c>
      <c r="FN930" s="133">
        <f t="shared" si="1361"/>
        <v>2018</v>
      </c>
      <c r="FO930" s="133">
        <f t="shared" si="1361"/>
        <v>2019</v>
      </c>
      <c r="FP930" s="133">
        <f t="shared" si="1361"/>
        <v>2020</v>
      </c>
      <c r="FQ930" s="133">
        <f t="shared" si="1361"/>
        <v>2021</v>
      </c>
      <c r="FR930" s="133">
        <f t="shared" si="1361"/>
        <v>2022</v>
      </c>
      <c r="FS930" s="133">
        <f t="shared" si="1361"/>
        <v>2023</v>
      </c>
      <c r="FT930" s="133">
        <f t="shared" si="1361"/>
        <v>2024</v>
      </c>
      <c r="FU930" s="133">
        <f t="shared" si="1361"/>
        <v>2025</v>
      </c>
      <c r="FV930" s="133">
        <f t="shared" si="1361"/>
        <v>2026</v>
      </c>
      <c r="FW930" s="133">
        <f t="shared" si="1361"/>
        <v>2027</v>
      </c>
      <c r="FX930" s="133">
        <f t="shared" si="1361"/>
        <v>2028</v>
      </c>
      <c r="FY930" s="133">
        <f t="shared" si="1361"/>
        <v>2029</v>
      </c>
      <c r="FZ930" s="133">
        <f t="shared" si="1361"/>
        <v>2030</v>
      </c>
      <c r="GA930" s="133">
        <f t="shared" si="1361"/>
        <v>2031</v>
      </c>
      <c r="GB930" s="133">
        <f t="shared" si="1361"/>
        <v>2032</v>
      </c>
      <c r="GC930" s="133">
        <f t="shared" si="1361"/>
        <v>2033</v>
      </c>
      <c r="GD930" s="133">
        <f t="shared" si="1361"/>
        <v>2034</v>
      </c>
      <c r="GE930" s="133">
        <f t="shared" si="1361"/>
        <v>2035</v>
      </c>
      <c r="GF930" s="133">
        <f t="shared" si="1361"/>
        <v>2036</v>
      </c>
      <c r="GG930" s="133">
        <f t="shared" si="1361"/>
        <v>2037</v>
      </c>
      <c r="GH930" s="133">
        <f t="shared" si="1361"/>
        <v>2038</v>
      </c>
      <c r="GI930" s="133">
        <f t="shared" si="1361"/>
        <v>2039</v>
      </c>
      <c r="GJ930" s="133">
        <f t="shared" si="1361"/>
        <v>2040</v>
      </c>
      <c r="GK930" s="133">
        <f t="shared" si="1361"/>
        <v>2041</v>
      </c>
      <c r="GL930" s="133">
        <f t="shared" si="1361"/>
        <v>2042</v>
      </c>
      <c r="GM930" s="133">
        <f t="shared" si="1361"/>
        <v>2043</v>
      </c>
      <c r="GN930" s="133">
        <f t="shared" si="1361"/>
        <v>2044</v>
      </c>
      <c r="GO930" s="133">
        <f t="shared" si="1361"/>
        <v>2045</v>
      </c>
      <c r="GP930" s="133">
        <f t="shared" si="1361"/>
        <v>2046</v>
      </c>
      <c r="GQ930" s="133">
        <f t="shared" si="1361"/>
        <v>2047</v>
      </c>
      <c r="GR930" s="133">
        <f t="shared" si="1361"/>
        <v>2048</v>
      </c>
      <c r="GS930" s="133">
        <f t="shared" si="1361"/>
        <v>2049</v>
      </c>
      <c r="GT930" s="134">
        <f t="shared" si="1361"/>
        <v>2050</v>
      </c>
      <c r="GV930" s="135">
        <f t="shared" ref="GV930:IE930" si="1362">GV$1</f>
        <v>2015</v>
      </c>
      <c r="GW930" s="133">
        <f t="shared" si="1362"/>
        <v>2016</v>
      </c>
      <c r="GX930" s="133">
        <f t="shared" si="1362"/>
        <v>2017</v>
      </c>
      <c r="GY930" s="133">
        <f t="shared" si="1362"/>
        <v>2018</v>
      </c>
      <c r="GZ930" s="133">
        <f t="shared" si="1362"/>
        <v>2019</v>
      </c>
      <c r="HA930" s="133">
        <f t="shared" si="1362"/>
        <v>2020</v>
      </c>
      <c r="HB930" s="133">
        <f t="shared" si="1362"/>
        <v>2021</v>
      </c>
      <c r="HC930" s="133">
        <f t="shared" si="1362"/>
        <v>2022</v>
      </c>
      <c r="HD930" s="133">
        <f t="shared" si="1362"/>
        <v>2023</v>
      </c>
      <c r="HE930" s="133">
        <f t="shared" si="1362"/>
        <v>2024</v>
      </c>
      <c r="HF930" s="133">
        <f t="shared" si="1362"/>
        <v>2025</v>
      </c>
      <c r="HG930" s="133">
        <f t="shared" si="1362"/>
        <v>2026</v>
      </c>
      <c r="HH930" s="133">
        <f t="shared" si="1362"/>
        <v>2027</v>
      </c>
      <c r="HI930" s="133">
        <f t="shared" si="1362"/>
        <v>2028</v>
      </c>
      <c r="HJ930" s="133">
        <f t="shared" si="1362"/>
        <v>2029</v>
      </c>
      <c r="HK930" s="133">
        <f t="shared" si="1362"/>
        <v>2030</v>
      </c>
      <c r="HL930" s="133">
        <f t="shared" si="1362"/>
        <v>2031</v>
      </c>
      <c r="HM930" s="133">
        <f t="shared" si="1362"/>
        <v>2032</v>
      </c>
      <c r="HN930" s="133">
        <f t="shared" si="1362"/>
        <v>2033</v>
      </c>
      <c r="HO930" s="133">
        <f t="shared" si="1362"/>
        <v>2034</v>
      </c>
      <c r="HP930" s="133">
        <f t="shared" si="1362"/>
        <v>2035</v>
      </c>
      <c r="HQ930" s="133">
        <f t="shared" si="1362"/>
        <v>2036</v>
      </c>
      <c r="HR930" s="133">
        <f t="shared" si="1362"/>
        <v>2037</v>
      </c>
      <c r="HS930" s="133">
        <f t="shared" si="1362"/>
        <v>2038</v>
      </c>
      <c r="HT930" s="133">
        <f t="shared" si="1362"/>
        <v>2039</v>
      </c>
      <c r="HU930" s="133">
        <f t="shared" si="1362"/>
        <v>2040</v>
      </c>
      <c r="HV930" s="133">
        <f t="shared" si="1362"/>
        <v>2041</v>
      </c>
      <c r="HW930" s="133">
        <f t="shared" si="1362"/>
        <v>2042</v>
      </c>
      <c r="HX930" s="133">
        <f t="shared" si="1362"/>
        <v>2043</v>
      </c>
      <c r="HY930" s="133">
        <f t="shared" si="1362"/>
        <v>2044</v>
      </c>
      <c r="HZ930" s="133">
        <f t="shared" si="1362"/>
        <v>2045</v>
      </c>
      <c r="IA930" s="133">
        <f t="shared" si="1362"/>
        <v>2046</v>
      </c>
      <c r="IB930" s="133">
        <f t="shared" si="1362"/>
        <v>2047</v>
      </c>
      <c r="IC930" s="133">
        <f t="shared" si="1362"/>
        <v>2048</v>
      </c>
      <c r="ID930" s="133">
        <f t="shared" si="1362"/>
        <v>2049</v>
      </c>
      <c r="IE930" s="134">
        <f t="shared" si="1362"/>
        <v>2050</v>
      </c>
      <c r="IG930" s="135">
        <f t="shared" ref="IG930:JP930" si="1363">IG$1</f>
        <v>2015</v>
      </c>
      <c r="IH930" s="133">
        <f t="shared" si="1363"/>
        <v>2016</v>
      </c>
      <c r="II930" s="133">
        <f t="shared" si="1363"/>
        <v>2017</v>
      </c>
      <c r="IJ930" s="133">
        <f t="shared" si="1363"/>
        <v>2018</v>
      </c>
      <c r="IK930" s="133">
        <f t="shared" si="1363"/>
        <v>2019</v>
      </c>
      <c r="IL930" s="133">
        <f t="shared" si="1363"/>
        <v>2020</v>
      </c>
      <c r="IM930" s="133">
        <f t="shared" si="1363"/>
        <v>2021</v>
      </c>
      <c r="IN930" s="133">
        <f t="shared" si="1363"/>
        <v>2022</v>
      </c>
      <c r="IO930" s="133">
        <f t="shared" si="1363"/>
        <v>2023</v>
      </c>
      <c r="IP930" s="133">
        <f t="shared" si="1363"/>
        <v>2024</v>
      </c>
      <c r="IQ930" s="133">
        <f t="shared" si="1363"/>
        <v>2025</v>
      </c>
      <c r="IR930" s="133">
        <f t="shared" si="1363"/>
        <v>2026</v>
      </c>
      <c r="IS930" s="133">
        <f t="shared" si="1363"/>
        <v>2027</v>
      </c>
      <c r="IT930" s="133">
        <f t="shared" si="1363"/>
        <v>2028</v>
      </c>
      <c r="IU930" s="133">
        <f t="shared" si="1363"/>
        <v>2029</v>
      </c>
      <c r="IV930" s="133">
        <f t="shared" si="1363"/>
        <v>2030</v>
      </c>
      <c r="IW930" s="133">
        <f t="shared" si="1363"/>
        <v>2031</v>
      </c>
      <c r="IX930" s="133">
        <f t="shared" si="1363"/>
        <v>2032</v>
      </c>
      <c r="IY930" s="133">
        <f t="shared" si="1363"/>
        <v>2033</v>
      </c>
      <c r="IZ930" s="133">
        <f t="shared" si="1363"/>
        <v>2034</v>
      </c>
      <c r="JA930" s="133">
        <f t="shared" si="1363"/>
        <v>2035</v>
      </c>
      <c r="JB930" s="133">
        <f t="shared" si="1363"/>
        <v>2036</v>
      </c>
      <c r="JC930" s="133">
        <f t="shared" si="1363"/>
        <v>2037</v>
      </c>
      <c r="JD930" s="133">
        <f t="shared" si="1363"/>
        <v>2038</v>
      </c>
      <c r="JE930" s="133">
        <f t="shared" si="1363"/>
        <v>2039</v>
      </c>
      <c r="JF930" s="133">
        <f t="shared" si="1363"/>
        <v>2040</v>
      </c>
      <c r="JG930" s="133">
        <f t="shared" si="1363"/>
        <v>2041</v>
      </c>
      <c r="JH930" s="133">
        <f t="shared" si="1363"/>
        <v>2042</v>
      </c>
      <c r="JI930" s="133">
        <f t="shared" si="1363"/>
        <v>2043</v>
      </c>
      <c r="JJ930" s="133">
        <f t="shared" si="1363"/>
        <v>2044</v>
      </c>
      <c r="JK930" s="133">
        <f t="shared" si="1363"/>
        <v>2045</v>
      </c>
      <c r="JL930" s="133">
        <f t="shared" si="1363"/>
        <v>2046</v>
      </c>
      <c r="JM930" s="133">
        <f t="shared" si="1363"/>
        <v>2047</v>
      </c>
      <c r="JN930" s="133">
        <f t="shared" si="1363"/>
        <v>2048</v>
      </c>
      <c r="JO930" s="133">
        <f t="shared" si="1363"/>
        <v>2049</v>
      </c>
      <c r="JP930" s="134">
        <f t="shared" si="1363"/>
        <v>2050</v>
      </c>
      <c r="JR930" s="135">
        <f t="shared" ref="JR930:MC930" si="1364">JR$1</f>
        <v>2015</v>
      </c>
      <c r="JS930" s="133">
        <f t="shared" si="1364"/>
        <v>2016</v>
      </c>
      <c r="JT930" s="133">
        <f t="shared" si="1364"/>
        <v>2017</v>
      </c>
      <c r="JU930" s="133">
        <f t="shared" si="1364"/>
        <v>2018</v>
      </c>
      <c r="JV930" s="133">
        <f t="shared" si="1364"/>
        <v>2019</v>
      </c>
      <c r="JW930" s="133">
        <f t="shared" si="1364"/>
        <v>2020</v>
      </c>
      <c r="JX930" s="133">
        <f t="shared" si="1364"/>
        <v>2021</v>
      </c>
      <c r="JY930" s="133">
        <f t="shared" si="1364"/>
        <v>2022</v>
      </c>
      <c r="JZ930" s="133">
        <f t="shared" si="1364"/>
        <v>2023</v>
      </c>
      <c r="KA930" s="133">
        <f t="shared" si="1364"/>
        <v>2024</v>
      </c>
      <c r="KB930" s="133">
        <f t="shared" si="1364"/>
        <v>2025</v>
      </c>
      <c r="KC930" s="133">
        <f t="shared" si="1364"/>
        <v>2026</v>
      </c>
      <c r="KD930" s="133">
        <f t="shared" si="1364"/>
        <v>2027</v>
      </c>
      <c r="KE930" s="133">
        <f t="shared" si="1364"/>
        <v>2028</v>
      </c>
      <c r="KF930" s="133">
        <f t="shared" si="1364"/>
        <v>2029</v>
      </c>
      <c r="KG930" s="133">
        <f t="shared" si="1364"/>
        <v>2030</v>
      </c>
      <c r="KH930" s="133">
        <f t="shared" si="1364"/>
        <v>2031</v>
      </c>
      <c r="KI930" s="133">
        <f t="shared" si="1364"/>
        <v>2032</v>
      </c>
      <c r="KJ930" s="133">
        <f t="shared" si="1364"/>
        <v>2033</v>
      </c>
      <c r="KK930" s="133">
        <f t="shared" si="1364"/>
        <v>2034</v>
      </c>
      <c r="KL930" s="133">
        <f t="shared" si="1364"/>
        <v>2035</v>
      </c>
      <c r="KM930" s="133">
        <f t="shared" si="1364"/>
        <v>2036</v>
      </c>
      <c r="KN930" s="133">
        <f t="shared" si="1364"/>
        <v>2037</v>
      </c>
      <c r="KO930" s="133">
        <f t="shared" si="1364"/>
        <v>2038</v>
      </c>
      <c r="KP930" s="133">
        <f t="shared" si="1364"/>
        <v>2039</v>
      </c>
      <c r="KQ930" s="133">
        <f t="shared" si="1364"/>
        <v>2040</v>
      </c>
      <c r="KR930" s="133">
        <f t="shared" si="1364"/>
        <v>2041</v>
      </c>
      <c r="KS930" s="133">
        <f t="shared" si="1364"/>
        <v>2042</v>
      </c>
      <c r="KT930" s="133">
        <f t="shared" si="1364"/>
        <v>2043</v>
      </c>
      <c r="KU930" s="133">
        <f t="shared" si="1364"/>
        <v>2044</v>
      </c>
      <c r="KV930" s="133">
        <f t="shared" si="1364"/>
        <v>2045</v>
      </c>
      <c r="KW930" s="133">
        <f t="shared" si="1364"/>
        <v>2046</v>
      </c>
      <c r="KX930" s="133">
        <f t="shared" si="1364"/>
        <v>2047</v>
      </c>
      <c r="KY930" s="133">
        <f t="shared" si="1364"/>
        <v>2048</v>
      </c>
      <c r="KZ930" s="133">
        <f t="shared" si="1364"/>
        <v>2049</v>
      </c>
      <c r="LA930" s="134">
        <f t="shared" si="1364"/>
        <v>2050</v>
      </c>
      <c r="LC930" s="135">
        <f t="shared" si="1364"/>
        <v>2015</v>
      </c>
      <c r="LD930" s="133">
        <f t="shared" si="1364"/>
        <v>2016</v>
      </c>
      <c r="LE930" s="133">
        <f t="shared" si="1364"/>
        <v>2017</v>
      </c>
      <c r="LF930" s="133">
        <f t="shared" si="1364"/>
        <v>2018</v>
      </c>
      <c r="LG930" s="133">
        <f t="shared" si="1364"/>
        <v>2019</v>
      </c>
      <c r="LH930" s="133">
        <f t="shared" si="1364"/>
        <v>2020</v>
      </c>
      <c r="LI930" s="133">
        <f t="shared" si="1364"/>
        <v>2021</v>
      </c>
      <c r="LJ930" s="133">
        <f t="shared" si="1364"/>
        <v>2022</v>
      </c>
      <c r="LK930" s="133">
        <f t="shared" si="1364"/>
        <v>2023</v>
      </c>
      <c r="LL930" s="133">
        <f t="shared" si="1364"/>
        <v>2024</v>
      </c>
      <c r="LM930" s="133">
        <f t="shared" si="1364"/>
        <v>2025</v>
      </c>
      <c r="LN930" s="133">
        <f t="shared" si="1364"/>
        <v>2026</v>
      </c>
      <c r="LO930" s="133">
        <f t="shared" si="1364"/>
        <v>2027</v>
      </c>
      <c r="LP930" s="133">
        <f t="shared" si="1364"/>
        <v>2028</v>
      </c>
      <c r="LQ930" s="133">
        <f t="shared" si="1364"/>
        <v>2029</v>
      </c>
      <c r="LR930" s="133">
        <f t="shared" si="1364"/>
        <v>2030</v>
      </c>
      <c r="LS930" s="133">
        <f t="shared" si="1364"/>
        <v>2031</v>
      </c>
      <c r="LT930" s="133">
        <f t="shared" si="1364"/>
        <v>2032</v>
      </c>
      <c r="LU930" s="133">
        <f t="shared" si="1364"/>
        <v>2033</v>
      </c>
      <c r="LV930" s="133">
        <f t="shared" si="1364"/>
        <v>2034</v>
      </c>
      <c r="LW930" s="133">
        <f t="shared" si="1364"/>
        <v>2035</v>
      </c>
      <c r="LX930" s="133">
        <f t="shared" si="1364"/>
        <v>2036</v>
      </c>
      <c r="LY930" s="133">
        <f t="shared" si="1364"/>
        <v>2037</v>
      </c>
      <c r="LZ930" s="133">
        <f t="shared" si="1364"/>
        <v>2038</v>
      </c>
      <c r="MA930" s="133">
        <f t="shared" si="1364"/>
        <v>2039</v>
      </c>
      <c r="MB930" s="133">
        <f t="shared" si="1364"/>
        <v>2040</v>
      </c>
      <c r="MC930" s="133">
        <f t="shared" si="1364"/>
        <v>2041</v>
      </c>
      <c r="MD930" s="133">
        <f t="shared" ref="MD930:ML930" si="1365">MD$1</f>
        <v>2042</v>
      </c>
      <c r="ME930" s="133">
        <f t="shared" si="1365"/>
        <v>2043</v>
      </c>
      <c r="MF930" s="133">
        <f t="shared" si="1365"/>
        <v>2044</v>
      </c>
      <c r="MG930" s="133">
        <f t="shared" si="1365"/>
        <v>2045</v>
      </c>
      <c r="MH930" s="133">
        <f t="shared" si="1365"/>
        <v>2046</v>
      </c>
      <c r="MI930" s="133">
        <f t="shared" si="1365"/>
        <v>2047</v>
      </c>
      <c r="MJ930" s="133">
        <f t="shared" si="1365"/>
        <v>2048</v>
      </c>
      <c r="MK930" s="133">
        <f t="shared" si="1365"/>
        <v>2049</v>
      </c>
      <c r="ML930" s="134">
        <f t="shared" si="1365"/>
        <v>2050</v>
      </c>
    </row>
    <row r="931" spans="3:350" s="4" customFormat="1" ht="18" customHeight="1" x14ac:dyDescent="0.3">
      <c r="C931" s="204" t="s">
        <v>228</v>
      </c>
      <c r="E931" s="137" t="s">
        <v>367</v>
      </c>
      <c r="F931" s="138"/>
      <c r="H931" s="139">
        <f t="shared" ref="H931:P931" si="1366">H886</f>
        <v>3904.7894029099866</v>
      </c>
      <c r="I931" s="140">
        <f t="shared" si="1366"/>
        <v>4332.3763811623157</v>
      </c>
      <c r="J931" s="140">
        <f t="shared" si="1366"/>
        <v>4788.5628989669758</v>
      </c>
      <c r="K931" s="140">
        <f t="shared" si="1366"/>
        <v>4749.0333950238037</v>
      </c>
      <c r="L931" s="140">
        <f t="shared" si="1366"/>
        <v>4727.5566916803346</v>
      </c>
      <c r="M931" s="140">
        <f t="shared" si="1366"/>
        <v>4388.1397776695358</v>
      </c>
      <c r="N931" s="140">
        <f t="shared" si="1366"/>
        <v>5530.5491330042878</v>
      </c>
      <c r="O931" s="140">
        <f t="shared" si="1366"/>
        <v>5722.4467037013737</v>
      </c>
      <c r="P931" s="140">
        <f t="shared" si="1366"/>
        <v>5880.2590479772325</v>
      </c>
      <c r="Q931" s="141"/>
      <c r="R931" s="140"/>
      <c r="S931" s="139"/>
      <c r="T931" s="140"/>
      <c r="U931" s="140"/>
      <c r="V931" s="140"/>
      <c r="W931" s="140"/>
      <c r="X931" s="140">
        <f t="shared" ref="X931:BB931" si="1367">X886*X$922/$X$922</f>
        <v>11175.645050860463</v>
      </c>
      <c r="Y931" s="140">
        <f t="shared" si="1367"/>
        <v>11786.198225644343</v>
      </c>
      <c r="Z931" s="140">
        <f t="shared" si="1367"/>
        <v>12356.689923848629</v>
      </c>
      <c r="AA931" s="140">
        <f t="shared" si="1367"/>
        <v>12557.462550277023</v>
      </c>
      <c r="AB931" s="140">
        <f t="shared" si="1367"/>
        <v>12683.037175779786</v>
      </c>
      <c r="AC931" s="140">
        <f t="shared" si="1367"/>
        <v>12809.867547537584</v>
      </c>
      <c r="AD931" s="140">
        <f t="shared" si="1367"/>
        <v>12937.966223012972</v>
      </c>
      <c r="AE931" s="140">
        <f t="shared" si="1367"/>
        <v>13067.345885243076</v>
      </c>
      <c r="AF931" s="140">
        <f t="shared" si="1367"/>
        <v>13198.01934409553</v>
      </c>
      <c r="AG931" s="140">
        <f t="shared" si="1367"/>
        <v>13329.999537536458</v>
      </c>
      <c r="AH931" s="140">
        <f t="shared" si="1367"/>
        <v>13463.299532911849</v>
      </c>
      <c r="AI931" s="140">
        <f t="shared" si="1367"/>
        <v>13597.932528240939</v>
      </c>
      <c r="AJ931" s="140">
        <f t="shared" si="1367"/>
        <v>13733.91185352341</v>
      </c>
      <c r="AK931" s="140">
        <f t="shared" si="1367"/>
        <v>13871.250972058584</v>
      </c>
      <c r="AL931" s="140">
        <f t="shared" si="1367"/>
        <v>14009.96348177917</v>
      </c>
      <c r="AM931" s="140">
        <f t="shared" si="1367"/>
        <v>14150.063116597021</v>
      </c>
      <c r="AN931" s="140">
        <f t="shared" si="1367"/>
        <v>14291.563747762901</v>
      </c>
      <c r="AO931" s="140">
        <f t="shared" si="1367"/>
        <v>14434.479385240622</v>
      </c>
      <c r="AP931" s="140">
        <f t="shared" si="1367"/>
        <v>14578.824179092966</v>
      </c>
      <c r="AQ931" s="140">
        <f t="shared" si="1367"/>
        <v>14724.612420883896</v>
      </c>
      <c r="AR931" s="140">
        <f t="shared" si="1367"/>
        <v>14871.858545092799</v>
      </c>
      <c r="AS931" s="140">
        <f t="shared" si="1367"/>
        <v>15020.577130543728</v>
      </c>
      <c r="AT931" s="140">
        <f t="shared" si="1367"/>
        <v>15170.782901849099</v>
      </c>
      <c r="AU931" s="140">
        <f t="shared" si="1367"/>
        <v>15322.49073086759</v>
      </c>
      <c r="AV931" s="140">
        <f t="shared" si="1367"/>
        <v>15475.715638176267</v>
      </c>
      <c r="AW931" s="140">
        <f t="shared" si="1367"/>
        <v>15630.472794558096</v>
      </c>
      <c r="AX931" s="140">
        <f t="shared" si="1367"/>
        <v>15786.777522503542</v>
      </c>
      <c r="AY931" s="140">
        <f t="shared" si="1367"/>
        <v>15944.645297728646</v>
      </c>
      <c r="AZ931" s="140">
        <f t="shared" si="1367"/>
        <v>16104.091750706</v>
      </c>
      <c r="BA931" s="140">
        <f t="shared" si="1367"/>
        <v>16265.13266821306</v>
      </c>
      <c r="BB931" s="141">
        <f t="shared" si="1367"/>
        <v>16427.783994895122</v>
      </c>
      <c r="BC931" s="140"/>
      <c r="BD931" s="139"/>
      <c r="BE931" s="140"/>
      <c r="BF931" s="140"/>
      <c r="BG931" s="140"/>
      <c r="BH931" s="140"/>
      <c r="BI931" s="140"/>
      <c r="BJ931" s="140">
        <f>BJ886*BJ922/BI922</f>
        <v>8671.4638687929146</v>
      </c>
      <c r="BK931" s="140">
        <f>BK886*BK922/BI922</f>
        <v>9091.1919315418636</v>
      </c>
      <c r="BL931" s="140">
        <f>BL886*BL922/BI922</f>
        <v>9238.9064483508882</v>
      </c>
      <c r="BM931" s="140">
        <f>BM886*BM922/BI922</f>
        <v>9331.2955128343965</v>
      </c>
      <c r="BN931" s="140">
        <f>BN886*BN922/BI922</f>
        <v>9424.6084679627402</v>
      </c>
      <c r="BO931" s="140">
        <f>BO886*BO922/BI922</f>
        <v>9518.8545526423659</v>
      </c>
      <c r="BP931" s="140">
        <f>BP886*BP922/BI922</f>
        <v>9614.0430981687914</v>
      </c>
      <c r="BQ931" s="140">
        <f>BQ886*BQ922/BI922</f>
        <v>9710.1835291504794</v>
      </c>
      <c r="BR931" s="140">
        <f>BR886*BR922/BI922</f>
        <v>9807.2853644419793</v>
      </c>
      <c r="BS931" s="140">
        <f>BS886*BS922/BI922</f>
        <v>9905.3582180864014</v>
      </c>
      <c r="BT931" s="140">
        <f>BT886*BT922/BI922</f>
        <v>10004.411800267266</v>
      </c>
      <c r="BU931" s="140">
        <f>BU886*BU922/BI922</f>
        <v>10104.455918269936</v>
      </c>
      <c r="BV931" s="140">
        <f>BV886*BV922/BI922</f>
        <v>10205.500477452637</v>
      </c>
      <c r="BW931" s="140">
        <f>BW886*BW922/BI922</f>
        <v>10307.555482227168</v>
      </c>
      <c r="BX931" s="140">
        <f>BX886*BX922/BI922</f>
        <v>10410.631037049441</v>
      </c>
      <c r="BY931" s="140">
        <f>BY886*BY922/BI922</f>
        <v>10514.737347419927</v>
      </c>
      <c r="BZ931" s="140">
        <f>BZ886*BZ922/BI922</f>
        <v>10619.884720894128</v>
      </c>
      <c r="CA931" s="140">
        <f>CA886*CA922/BI922</f>
        <v>10726.083568103071</v>
      </c>
      <c r="CB931" s="140">
        <f>CB886*CB922/BI922</f>
        <v>10833.344403784107</v>
      </c>
      <c r="CC931" s="140">
        <f>CC886*CC922/BI922</f>
        <v>10941.677847821944</v>
      </c>
      <c r="CD931" s="140">
        <f>CD886*CD922/BI922</f>
        <v>11051.094626300166</v>
      </c>
      <c r="CE931" s="140">
        <f>CE886*CE922/BI922</f>
        <v>11161.605572563163</v>
      </c>
      <c r="CF931" s="140">
        <f>CF886*CF922/BI922</f>
        <v>11273.221628288793</v>
      </c>
      <c r="CG931" s="140">
        <f>CG886*CG922/BI922</f>
        <v>11385.953844571688</v>
      </c>
      <c r="CH931" s="140">
        <f>CH886*CH922/BI922</f>
        <v>11499.813383017397</v>
      </c>
      <c r="CI931" s="140">
        <f>CI886*CI922/BI922</f>
        <v>11614.811516847582</v>
      </c>
      <c r="CJ931" s="140">
        <f>CJ886*CJ922/BI922</f>
        <v>11730.959632016058</v>
      </c>
      <c r="CK931" s="140">
        <f>CK886*CK922/BI922</f>
        <v>11848.269228336212</v>
      </c>
      <c r="CL931" s="140">
        <f>CL886*CL922/BI922</f>
        <v>11966.75192061957</v>
      </c>
      <c r="CM931" s="141">
        <f>CM886*CM922/BI922</f>
        <v>12086.419439825781</v>
      </c>
      <c r="CN931" s="140"/>
      <c r="CO931" s="139"/>
      <c r="CP931" s="140"/>
      <c r="CQ931" s="140"/>
      <c r="CR931" s="140"/>
      <c r="CS931" s="140"/>
      <c r="CT931" s="140"/>
      <c r="CU931" s="140">
        <f>CU886*CU922/CT922</f>
        <v>8950.9541775851048</v>
      </c>
      <c r="CV931" s="140">
        <f>CV886*CV922/CT922</f>
        <v>9384.2105127966333</v>
      </c>
      <c r="CW931" s="140">
        <f>CW886*CW922/CT922</f>
        <v>9536.6860222754894</v>
      </c>
      <c r="CX931" s="140">
        <f>CX886*CX922/CT922</f>
        <v>9632.0528824982466</v>
      </c>
      <c r="CY931" s="140">
        <f>CY886*CY922/CT922</f>
        <v>9728.3734113232258</v>
      </c>
      <c r="CZ931" s="140">
        <f>CZ886*CZ922/CT922</f>
        <v>9825.6571454364621</v>
      </c>
      <c r="DA931" s="140">
        <f>DA886*DA922/CT922</f>
        <v>9923.9137168908237</v>
      </c>
      <c r="DB931" s="140">
        <f>DB886*DB922/CT922</f>
        <v>10023.15285405973</v>
      </c>
      <c r="DC931" s="140">
        <f>DC886*DC922/CT922</f>
        <v>10123.384382600329</v>
      </c>
      <c r="DD931" s="140">
        <f>DD886*DD922/CT922</f>
        <v>10224.618226426328</v>
      </c>
      <c r="DE931" s="140">
        <f>DE886*DE922/CT922</f>
        <v>10326.864408690599</v>
      </c>
      <c r="DF931" s="140">
        <f>DF886*DF922/CT922</f>
        <v>10430.133052777499</v>
      </c>
      <c r="DG931" s="140">
        <f>DG886*DG922/CT922</f>
        <v>10534.434383305275</v>
      </c>
      <c r="DH931" s="140">
        <f>DH886*DH922/CT922</f>
        <v>10639.778727138328</v>
      </c>
      <c r="DI931" s="140">
        <f>DI886*DI922/CT922</f>
        <v>10746.17651440971</v>
      </c>
      <c r="DJ931" s="140">
        <f>DJ886*DJ922/CT922</f>
        <v>10853.638279553814</v>
      </c>
      <c r="DK931" s="140">
        <f>DK886*DK922/CT922</f>
        <v>10962.174662349345</v>
      </c>
      <c r="DL931" s="140">
        <f>DL886*DL922/CT922</f>
        <v>11071.796408972838</v>
      </c>
      <c r="DM931" s="140">
        <f>DM886*DM922/CT922</f>
        <v>11182.514373062562</v>
      </c>
      <c r="DN931" s="140">
        <f>DN886*DN922/CT922</f>
        <v>11294.339516793196</v>
      </c>
      <c r="DO931" s="140">
        <f>DO886*DO922/CT922</f>
        <v>11407.282911961131</v>
      </c>
      <c r="DP931" s="140">
        <f>DP886*DP922/CT922</f>
        <v>11521.35574108075</v>
      </c>
      <c r="DQ931" s="140">
        <f>DQ886*DQ922/CT922</f>
        <v>11636.569298491533</v>
      </c>
      <c r="DR931" s="140">
        <f>DR886*DR922/CT922</f>
        <v>11752.93499147647</v>
      </c>
      <c r="DS931" s="140">
        <f>DS886*DS922/CT922</f>
        <v>11870.464341391225</v>
      </c>
      <c r="DT931" s="140">
        <f>DT886*DT922/CT922</f>
        <v>11989.168984805139</v>
      </c>
      <c r="DU931" s="140">
        <f>DU886*DU922/CT922</f>
        <v>12109.060674653185</v>
      </c>
      <c r="DV931" s="140">
        <f>DV886*DV922/CT922</f>
        <v>12230.151281399729</v>
      </c>
      <c r="DW931" s="140">
        <f>DW886*DW922/CT922</f>
        <v>12352.452794213727</v>
      </c>
      <c r="DX931" s="141">
        <f>DX886*DX922/CT922</f>
        <v>12475.977322155844</v>
      </c>
      <c r="DY931" s="140"/>
      <c r="DZ931" s="139"/>
      <c r="EA931" s="140"/>
      <c r="EB931" s="140"/>
      <c r="EC931" s="140"/>
      <c r="ED931" s="140"/>
      <c r="EE931" s="140"/>
      <c r="EF931" s="140">
        <f>EF886*EF922/EE922</f>
        <v>8271.4369128036396</v>
      </c>
      <c r="EG931" s="140">
        <f>EG886*EG922/EE922</f>
        <v>8671.8023233147123</v>
      </c>
      <c r="EH931" s="140">
        <f>EH886*EH922/EE922</f>
        <v>8812.7025594660954</v>
      </c>
      <c r="EI931" s="140">
        <f>EI886*EI922/EE922</f>
        <v>8900.8295850607592</v>
      </c>
      <c r="EJ931" s="140">
        <f>EJ886*EJ922/EE922</f>
        <v>8989.8378809113638</v>
      </c>
      <c r="EK931" s="140">
        <f>EK886*EK922/EE922</f>
        <v>9079.736259720481</v>
      </c>
      <c r="EL931" s="140">
        <f>EL886*EL922/EE922</f>
        <v>9170.5336223176837</v>
      </c>
      <c r="EM931" s="140">
        <f>EM886*EM922/EE922</f>
        <v>9262.2389585408655</v>
      </c>
      <c r="EN931" s="140">
        <f>EN886*EN922/EE922</f>
        <v>9354.8613481262637</v>
      </c>
      <c r="EO931" s="140">
        <f>EO886*EO922/EE922</f>
        <v>9448.4099616075309</v>
      </c>
      <c r="EP931" s="140">
        <f>EP886*EP922/EE922</f>
        <v>9542.8940612236074</v>
      </c>
      <c r="EQ931" s="140">
        <f>EQ886*EQ922/EE922</f>
        <v>9638.3230018358372</v>
      </c>
      <c r="ER931" s="140">
        <f>ER886*ER922/EE922</f>
        <v>9734.7062318542012</v>
      </c>
      <c r="ES931" s="140">
        <f>ES886*ES922/EE922</f>
        <v>9832.0532941727397</v>
      </c>
      <c r="ET931" s="140">
        <f>ET886*ET922/EE922</f>
        <v>9930.3738271144739</v>
      </c>
      <c r="EU931" s="140">
        <f>EU886*EU922/EE922</f>
        <v>10029.67756538562</v>
      </c>
      <c r="EV931" s="140">
        <f>EV886*EV922/EE922</f>
        <v>10129.974341039468</v>
      </c>
      <c r="EW931" s="140">
        <f>EW886*EW922/EE922</f>
        <v>10231.274084449862</v>
      </c>
      <c r="EX931" s="140">
        <f>EX886*EX922/EE922</f>
        <v>10333.586825294373</v>
      </c>
      <c r="EY931" s="140">
        <f>EY886*EY922/EE922</f>
        <v>10436.922693547305</v>
      </c>
      <c r="EZ931" s="140">
        <f>EZ886*EZ922/EE922</f>
        <v>10541.291920482772</v>
      </c>
      <c r="FA931" s="140">
        <f>FA886*FA922/EE922</f>
        <v>10646.704839687629</v>
      </c>
      <c r="FB931" s="140">
        <f>FB886*FB922/EE922</f>
        <v>10753.171888084486</v>
      </c>
      <c r="FC931" s="140">
        <f>FC886*FC922/EE922</f>
        <v>10860.703606965322</v>
      </c>
      <c r="FD931" s="140">
        <f>FD886*FD922/EE922</f>
        <v>10969.310643034985</v>
      </c>
      <c r="FE931" s="140">
        <f>FE886*FE922/EE922</f>
        <v>11079.003749465332</v>
      </c>
      <c r="FF931" s="140">
        <f>FF886*FF922/EE922</f>
        <v>11189.793786960005</v>
      </c>
      <c r="FG931" s="140">
        <f>FG886*FG922/EE922</f>
        <v>11301.691724829561</v>
      </c>
      <c r="FH931" s="140">
        <f>FH886*FH922/EE922</f>
        <v>11414.7086420779</v>
      </c>
      <c r="FI931" s="141">
        <f>FI886*FI922/EE922</f>
        <v>11528.855728498653</v>
      </c>
      <c r="FJ931" s="140"/>
      <c r="FK931" s="139"/>
      <c r="FL931" s="140"/>
      <c r="FM931" s="140"/>
      <c r="FN931" s="140"/>
      <c r="FO931" s="140"/>
      <c r="FP931" s="140"/>
      <c r="FQ931" s="140">
        <f>FQ886*FQ922/FP922</f>
        <v>9868.7019765910718</v>
      </c>
      <c r="FR931" s="140">
        <f>FR886*FR922/FP922</f>
        <v>10346.380396885048</v>
      </c>
      <c r="FS931" s="140">
        <f>FS886*FS922/FP922</f>
        <v>10514.489330516266</v>
      </c>
      <c r="FT931" s="140">
        <f>FT886*FT922/FP922</f>
        <v>10619.634223821431</v>
      </c>
      <c r="FU931" s="140">
        <f>FU886*FU922/FP922</f>
        <v>10725.830566059643</v>
      </c>
      <c r="FV931" s="140">
        <f>FV886*FV922/FP922</f>
        <v>10833.08887172024</v>
      </c>
      <c r="FW931" s="140">
        <f>FW886*FW922/FP922</f>
        <v>10941.419760437442</v>
      </c>
      <c r="FX931" s="140">
        <f>FX886*FX922/FP922</f>
        <v>11050.83395804182</v>
      </c>
      <c r="FY931" s="140">
        <f>FY886*FY922/FP922</f>
        <v>11161.342297622232</v>
      </c>
      <c r="FZ931" s="140">
        <f>FZ886*FZ922/FP922</f>
        <v>11272.955720598458</v>
      </c>
      <c r="GA931" s="140">
        <f>GA886*GA922/FP922</f>
        <v>11385.685277804443</v>
      </c>
      <c r="GB931" s="140">
        <f>GB886*GB922/FP922</f>
        <v>11499.542130582478</v>
      </c>
      <c r="GC931" s="140">
        <f>GC886*GC922/FP922</f>
        <v>11614.537551888308</v>
      </c>
      <c r="GD931" s="140">
        <f>GD886*GD922/FP922</f>
        <v>11730.682927407197</v>
      </c>
      <c r="GE931" s="140">
        <f>GE886*GE922/FP922</f>
        <v>11847.989756681272</v>
      </c>
      <c r="GF931" s="140">
        <f>GF886*GF922/FP922</f>
        <v>11966.469654248076</v>
      </c>
      <c r="GG931" s="140">
        <f>GG886*GG922/FP922</f>
        <v>12086.134350790557</v>
      </c>
      <c r="GH931" s="140">
        <f>GH886*GH922/FP922</f>
        <v>12206.995694298463</v>
      </c>
      <c r="GI931" s="140">
        <f>GI886*GI922/FP922</f>
        <v>12329.065651241461</v>
      </c>
      <c r="GJ931" s="140">
        <f>GJ886*GJ922/FP922</f>
        <v>12452.356307753857</v>
      </c>
      <c r="GK931" s="140">
        <f>GK886*GK922/FP922</f>
        <v>12576.879870831397</v>
      </c>
      <c r="GL931" s="140">
        <f>GL886*GL922/FP922</f>
        <v>12702.648669539725</v>
      </c>
      <c r="GM931" s="140">
        <f>GM886*GM922/FP922</f>
        <v>12829.675156235127</v>
      </c>
      <c r="GN931" s="140">
        <f>GN886*GN922/FP922</f>
        <v>12957.971907797444</v>
      </c>
      <c r="GO931" s="140">
        <f>GO886*GO922/FP922</f>
        <v>13087.551626875453</v>
      </c>
      <c r="GP931" s="140">
        <f>GP886*GP922/FP922</f>
        <v>13218.427143144178</v>
      </c>
      <c r="GQ931" s="140">
        <f>GQ886*GQ922/FP922</f>
        <v>13350.611414575658</v>
      </c>
      <c r="GR931" s="140">
        <f>GR886*GR922/FP922</f>
        <v>13484.117528721375</v>
      </c>
      <c r="GS931" s="140">
        <f>GS886*GS922/FP922</f>
        <v>13618.958704008621</v>
      </c>
      <c r="GT931" s="141">
        <f>GT886*GT922/FP922</f>
        <v>13755.148291048688</v>
      </c>
      <c r="GU931" s="140"/>
      <c r="GV931" s="139"/>
      <c r="GW931" s="140"/>
      <c r="GX931" s="140"/>
      <c r="GY931" s="140"/>
      <c r="GZ931" s="140"/>
      <c r="HA931" s="140"/>
      <c r="HB931" s="140">
        <f>HB886*HB922/HA922</f>
        <v>9482.1256754410042</v>
      </c>
      <c r="HC931" s="140">
        <f>HC886*HC922/HA922</f>
        <v>9941.0925005024492</v>
      </c>
      <c r="HD931" s="140">
        <f>HD886*HD922/HA922</f>
        <v>10102.616279378</v>
      </c>
      <c r="HE931" s="140">
        <f>HE886*HE922/HA922</f>
        <v>10203.642442171777</v>
      </c>
      <c r="HF931" s="140">
        <f>HF886*HF922/HA922</f>
        <v>10305.678866593498</v>
      </c>
      <c r="HG931" s="140">
        <f>HG886*HG922/HA922</f>
        <v>10408.735655259434</v>
      </c>
      <c r="HH931" s="140">
        <f>HH886*HH922/HA922</f>
        <v>10512.823011812025</v>
      </c>
      <c r="HI931" s="140">
        <f>HI886*HI922/HA922</f>
        <v>10617.951241930139</v>
      </c>
      <c r="HJ931" s="140">
        <f>HJ886*HJ922/HA922</f>
        <v>10724.130754349448</v>
      </c>
      <c r="HK931" s="140">
        <f>HK886*HK922/HA922</f>
        <v>10831.372061892938</v>
      </c>
      <c r="HL931" s="140">
        <f>HL886*HL922/HA922</f>
        <v>10939.685782511875</v>
      </c>
      <c r="HM931" s="140">
        <f>HM886*HM922/HA922</f>
        <v>11049.082640336985</v>
      </c>
      <c r="HN931" s="140">
        <f>HN886*HN922/HA922</f>
        <v>11159.573466740354</v>
      </c>
      <c r="HO931" s="140">
        <f>HO886*HO922/HA922</f>
        <v>11271.169201407763</v>
      </c>
      <c r="HP931" s="140">
        <f>HP886*HP922/HA922</f>
        <v>11383.880893421841</v>
      </c>
      <c r="HQ931" s="140">
        <f>HQ886*HQ922/HA922</f>
        <v>11497.719702356046</v>
      </c>
      <c r="HR931" s="140">
        <f>HR886*HR922/HA922</f>
        <v>11612.696899379631</v>
      </c>
      <c r="HS931" s="140">
        <f>HS886*HS922/HA922</f>
        <v>11728.823868373403</v>
      </c>
      <c r="HT931" s="140">
        <f>HT886*HT922/HA922</f>
        <v>11846.112107057144</v>
      </c>
      <c r="HU931" s="140">
        <f>HU886*HU922/HA922</f>
        <v>11964.573228127721</v>
      </c>
      <c r="HV931" s="140">
        <f>HV886*HV922/HA922</f>
        <v>12084.218960408998</v>
      </c>
      <c r="HW931" s="140">
        <f>HW886*HW922/HA922</f>
        <v>12205.061150013098</v>
      </c>
      <c r="HX931" s="140">
        <f>HX886*HX922/HA922</f>
        <v>12327.111761513201</v>
      </c>
      <c r="HY931" s="140">
        <f>HY886*HY922/HA922</f>
        <v>12450.382879128363</v>
      </c>
      <c r="HZ931" s="140">
        <f>HZ886*HZ922/HA922</f>
        <v>12574.886707919621</v>
      </c>
      <c r="IA931" s="140">
        <f>IA886*IA922/HA922</f>
        <v>12700.635574998834</v>
      </c>
      <c r="IB931" s="140">
        <f>IB886*IB922/HA922</f>
        <v>12827.641930748834</v>
      </c>
      <c r="IC931" s="140">
        <f>IC886*IC922/HA922</f>
        <v>12955.918350056294</v>
      </c>
      <c r="ID931" s="140">
        <f>ID886*ID922/HA922</f>
        <v>13085.477533556874</v>
      </c>
      <c r="IE931" s="141">
        <f>IE886*IE922/HA922</f>
        <v>13216.332308892439</v>
      </c>
      <c r="IF931" s="140"/>
      <c r="IG931" s="139"/>
      <c r="IH931" s="140"/>
      <c r="II931" s="140"/>
      <c r="IJ931" s="140"/>
      <c r="IK931" s="140"/>
      <c r="IL931" s="140"/>
      <c r="IM931" s="140">
        <f>IM886*IM922/IN922</f>
        <v>0</v>
      </c>
      <c r="IN931" s="140">
        <f>IN886*IN922/IN922</f>
        <v>0</v>
      </c>
      <c r="IO931" s="140">
        <f>IO886*IO922/IN922</f>
        <v>0</v>
      </c>
      <c r="IP931" s="140">
        <f>IP886*IP922/IN922</f>
        <v>13186.667387552154</v>
      </c>
      <c r="IQ931" s="140">
        <f>IQ886*IQ922/IN922</f>
        <v>13318.534061427674</v>
      </c>
      <c r="IR931" s="140">
        <f>IR886*IR922/IN922</f>
        <v>13451.71940204195</v>
      </c>
      <c r="IS931" s="140">
        <f>IS886*IS922/IN922</f>
        <v>13586.236596062368</v>
      </c>
      <c r="IT931" s="140">
        <f>IT886*IT922/IN922</f>
        <v>13722.098962022992</v>
      </c>
      <c r="IU931" s="140">
        <f>IU886*IU922/IN922</f>
        <v>13859.319951643221</v>
      </c>
      <c r="IV931" s="140">
        <f>IV886*IV922/IN922</f>
        <v>13997.913151159653</v>
      </c>
      <c r="IW931" s="140">
        <f>IW886*IW922/IN922</f>
        <v>2993.5758585346257</v>
      </c>
      <c r="IX931" s="140">
        <f>IX886*IX922/IN922</f>
        <v>3023.5116171199716</v>
      </c>
      <c r="IY931" s="140">
        <f>IY886*IY922/IN922</f>
        <v>3053.7467332911715</v>
      </c>
      <c r="IZ931" s="140">
        <f>IZ886*IZ922/IN922</f>
        <v>3084.2842006240835</v>
      </c>
      <c r="JA931" s="140">
        <f>JA886*JA922/IN922</f>
        <v>3115.127042630324</v>
      </c>
      <c r="JB931" s="140">
        <f>JB886*JB922/IN922</f>
        <v>3146.2783130566272</v>
      </c>
      <c r="JC931" s="140">
        <f>JC886*JC922/IN922</f>
        <v>3177.7410961871933</v>
      </c>
      <c r="JD931" s="140">
        <f>JD886*JD922/IN922</f>
        <v>3209.5185071490655</v>
      </c>
      <c r="JE931" s="140">
        <f>JE886*JE922/IN922</f>
        <v>3241.6136922205565</v>
      </c>
      <c r="JF931" s="140">
        <f>JF886*JF922/IN922</f>
        <v>3274.0298291427621</v>
      </c>
      <c r="JG931" s="140">
        <f>JG886*JG922/IN922</f>
        <v>3306.7701274341898</v>
      </c>
      <c r="JH931" s="140">
        <f>JH886*JH922/IN922</f>
        <v>3339.8378287085316</v>
      </c>
      <c r="JI931" s="140">
        <f>JI886*JI922/IN922</f>
        <v>3373.2362069956171</v>
      </c>
      <c r="JJ931" s="140">
        <f>JJ886*JJ922/IN922</f>
        <v>3406.9685690655733</v>
      </c>
      <c r="JK931" s="140">
        <f>JK886*JK922/IN922</f>
        <v>3441.038254756229</v>
      </c>
      <c r="JL931" s="140">
        <f>JL886*JL922/IN922</f>
        <v>3475.4486373037907</v>
      </c>
      <c r="JM931" s="140">
        <f>JM886*JM922/IN922</f>
        <v>3510.2031236768289</v>
      </c>
      <c r="JN931" s="140">
        <f>JN886*JN922/IN922</f>
        <v>3545.3051549135976</v>
      </c>
      <c r="JO931" s="140">
        <f>JO886*JO922/IN922</f>
        <v>3580.7582064627327</v>
      </c>
      <c r="JP931" s="141">
        <f>JP886*JP922/IN922</f>
        <v>3616.5657885273604</v>
      </c>
      <c r="JQ931" s="140"/>
      <c r="JR931" s="139"/>
      <c r="JS931" s="140"/>
      <c r="JT931" s="140"/>
      <c r="JU931" s="140"/>
      <c r="JV931" s="140"/>
      <c r="JW931" s="140"/>
      <c r="JX931" s="140">
        <f t="shared" ref="JX931:LA931" si="1368">JX886*JX922/JT922</f>
        <v>0</v>
      </c>
      <c r="JY931" s="140">
        <f t="shared" si="1368"/>
        <v>0</v>
      </c>
      <c r="JZ931" s="140">
        <f t="shared" si="1368"/>
        <v>0</v>
      </c>
      <c r="KA931" s="140">
        <f t="shared" si="1368"/>
        <v>11080.246505848545</v>
      </c>
      <c r="KB931" s="140">
        <f t="shared" si="1368"/>
        <v>12804.991015633666</v>
      </c>
      <c r="KC931" s="140">
        <f t="shared" si="1368"/>
        <v>14224.281558443945</v>
      </c>
      <c r="KD931" s="140">
        <f t="shared" si="1368"/>
        <v>15848.865642973626</v>
      </c>
      <c r="KE931" s="140">
        <f t="shared" si="1368"/>
        <v>17227.112342480694</v>
      </c>
      <c r="KF931" s="140">
        <f t="shared" si="1368"/>
        <v>18122.695610884046</v>
      </c>
      <c r="KG931" s="140">
        <f>KG886*KG922/KC922</f>
        <v>18433.365091886022</v>
      </c>
      <c r="KH931" s="140">
        <f t="shared" si="1368"/>
        <v>18162.784470324932</v>
      </c>
      <c r="KI931" s="140">
        <f t="shared" si="1368"/>
        <v>17245.361856292166</v>
      </c>
      <c r="KJ931" s="140">
        <f t="shared" si="1368"/>
        <v>15833.505768250179</v>
      </c>
      <c r="KK931" s="140">
        <f t="shared" si="1368"/>
        <v>14079.718941248499</v>
      </c>
      <c r="KL931" s="140">
        <f t="shared" si="1368"/>
        <v>12157.221902918061</v>
      </c>
      <c r="KM931" s="140">
        <f t="shared" si="1368"/>
        <v>10232.152933161187</v>
      </c>
      <c r="KN931" s="140">
        <f t="shared" si="1368"/>
        <v>8441.0795277540383</v>
      </c>
      <c r="KO931" s="140">
        <f t="shared" si="1368"/>
        <v>6877.7027837004607</v>
      </c>
      <c r="KP931" s="140">
        <f t="shared" si="1368"/>
        <v>5589.7215621869427</v>
      </c>
      <c r="KQ931" s="140">
        <f t="shared" si="1368"/>
        <v>4584.2073232615294</v>
      </c>
      <c r="KR931" s="140">
        <f t="shared" si="1368"/>
        <v>3838.2505818032882</v>
      </c>
      <c r="KS931" s="140">
        <f t="shared" si="1368"/>
        <v>3311.3028643722096</v>
      </c>
      <c r="KT931" s="140">
        <f t="shared" si="1368"/>
        <v>2956.3174069296911</v>
      </c>
      <c r="KU931" s="140">
        <f t="shared" si="1368"/>
        <v>2727.9939201109937</v>
      </c>
      <c r="KV931" s="140">
        <f t="shared" si="1368"/>
        <v>2587.6523328896574</v>
      </c>
      <c r="KW931" s="140">
        <f t="shared" si="1368"/>
        <v>2505.1555891229027</v>
      </c>
      <c r="KX931" s="140">
        <f t="shared" si="1368"/>
        <v>2458.7510130492087</v>
      </c>
      <c r="KY931" s="140">
        <f t="shared" si="1368"/>
        <v>2433.7607080294624</v>
      </c>
      <c r="KZ931" s="140">
        <f t="shared" si="1368"/>
        <v>2420.8708951141266</v>
      </c>
      <c r="LA931" s="141">
        <f t="shared" si="1368"/>
        <v>2414.5009535454683</v>
      </c>
      <c r="LB931" s="140"/>
      <c r="LC931" s="139"/>
      <c r="LD931" s="140"/>
      <c r="LE931" s="140"/>
      <c r="LF931" s="140"/>
      <c r="LG931" s="140"/>
      <c r="LH931" s="140"/>
      <c r="LI931" s="140">
        <f>LI886*LI922/LJ922</f>
        <v>0</v>
      </c>
      <c r="LJ931" s="140">
        <f>LJ886*LJ922/LJ922</f>
        <v>0</v>
      </c>
      <c r="LK931" s="140">
        <f>LK886*LK922/LJ922</f>
        <v>0</v>
      </c>
      <c r="LL931" s="140">
        <f>LL886*LL922/LJ922</f>
        <v>8751.4993672189739</v>
      </c>
      <c r="LM931" s="140">
        <f>LM886*LM922/LJ922</f>
        <v>9402.3652607760596</v>
      </c>
      <c r="LN931" s="140">
        <f>LN886*LN922/LJ922</f>
        <v>9866.1143890631047</v>
      </c>
      <c r="LO931" s="140">
        <f>LO886*LO922/LJ922</f>
        <v>10094.312394518538</v>
      </c>
      <c r="LP931" s="140">
        <f>LP886*LP922/LJ922</f>
        <v>10064.423288283273</v>
      </c>
      <c r="LQ931" s="140">
        <f>LQ886*LQ922/LJ922</f>
        <v>9784.1389938482625</v>
      </c>
      <c r="LR931" s="140">
        <f>LR886*LR922/LJ922</f>
        <v>9289.8929262748388</v>
      </c>
      <c r="LS931" s="140">
        <f>LS886*LS922/LJ922</f>
        <v>9392.3680295552949</v>
      </c>
      <c r="LT931" s="140">
        <f>LT886*LT922/LJ922</f>
        <v>9377.4528065519225</v>
      </c>
      <c r="LU931" s="140">
        <f>LU886*LU922/LJ922</f>
        <v>9154.3341417752454</v>
      </c>
      <c r="LV931" s="140">
        <f>LV886*LV922/LJ922</f>
        <v>9565.939607963619</v>
      </c>
      <c r="LW931" s="140">
        <f>LW886*LW922/LJ922</f>
        <v>9773.7358349510378</v>
      </c>
      <c r="LX931" s="140">
        <f>LX886*LX922/LJ922</f>
        <v>9758.2149940836862</v>
      </c>
      <c r="LY931" s="140">
        <f>LY886*LY922/LJ922</f>
        <v>9526.0368168112291</v>
      </c>
      <c r="LZ931" s="140">
        <f>LZ886*LZ922/LJ922</f>
        <v>9108.7418373849559</v>
      </c>
      <c r="MA931" s="140">
        <f>MA886*MA922/LJ922</f>
        <v>8556.7736691610153</v>
      </c>
      <c r="MB931" s="140">
        <f>MB886*MB922/LJ922</f>
        <v>7930.3762079739554</v>
      </c>
      <c r="MC931" s="140">
        <f>MC886*MC922/LJ922</f>
        <v>8059.7287606362916</v>
      </c>
      <c r="MD931" s="140">
        <f>MD886*MD922/LJ922</f>
        <v>8629.6259918510441</v>
      </c>
      <c r="ME931" s="140">
        <f>ME886*ME922/LJ922</f>
        <v>8715.9222517695562</v>
      </c>
      <c r="MF931" s="140">
        <f>MF886*MF922/LJ922</f>
        <v>9204.9014660946705</v>
      </c>
      <c r="MG931" s="140">
        <f>MG886*MG922/LJ922</f>
        <v>9560.6637146189114</v>
      </c>
      <c r="MH931" s="140">
        <f>MH886*MH922/LJ922</f>
        <v>9748.6648090445015</v>
      </c>
      <c r="MI931" s="140">
        <f>MI886*MI922/LJ922</f>
        <v>9752.833055282752</v>
      </c>
      <c r="MJ931" s="140">
        <f>MJ886*MJ922/LJ922</f>
        <v>9578.6573772729917</v>
      </c>
      <c r="MK931" s="140">
        <f>MK886*MK922/LJ922</f>
        <v>9252.1271013250243</v>
      </c>
      <c r="ML931" s="141">
        <f>ML886*ML922/LJ922</f>
        <v>8814.8066473384879</v>
      </c>
    </row>
    <row r="932" spans="3:350" s="4" customFormat="1" ht="18" customHeight="1" x14ac:dyDescent="0.3">
      <c r="C932" s="204" t="s">
        <v>422</v>
      </c>
      <c r="E932" s="137" t="s">
        <v>105</v>
      </c>
      <c r="F932" s="186"/>
      <c r="H932" s="139">
        <f t="shared" ref="H932:P932" si="1369">H888+H895</f>
        <v>30087.898250983402</v>
      </c>
      <c r="I932" s="140">
        <f t="shared" si="1369"/>
        <v>30011.764799691959</v>
      </c>
      <c r="J932" s="140">
        <f t="shared" si="1369"/>
        <v>30266.883883932667</v>
      </c>
      <c r="K932" s="140">
        <f t="shared" si="1369"/>
        <v>30378.877129410626</v>
      </c>
      <c r="L932" s="140">
        <f t="shared" si="1369"/>
        <v>30609.250942918141</v>
      </c>
      <c r="M932" s="140">
        <f>M888+M895</f>
        <v>27070.105765158933</v>
      </c>
      <c r="N932" s="140">
        <f t="shared" si="1369"/>
        <v>28648.711203167011</v>
      </c>
      <c r="O932" s="140">
        <f t="shared" si="1369"/>
        <v>31106.85400417645</v>
      </c>
      <c r="P932" s="140">
        <f t="shared" si="1369"/>
        <v>31964.711806551568</v>
      </c>
      <c r="Q932" s="141"/>
      <c r="R932" s="140"/>
      <c r="S932" s="139"/>
      <c r="T932" s="140"/>
      <c r="U932" s="140"/>
      <c r="V932" s="140"/>
      <c r="W932" s="140"/>
      <c r="X932" s="140">
        <f t="shared" ref="X932:BB932" si="1370">(X888+X895)*X$922/$Z$922</f>
        <v>36304.819439567713</v>
      </c>
      <c r="Y932" s="140">
        <f t="shared" si="1370"/>
        <v>37820.768756262238</v>
      </c>
      <c r="Z932" s="140">
        <f t="shared" si="1370"/>
        <v>39651.421370623153</v>
      </c>
      <c r="AA932" s="140">
        <f t="shared" si="1370"/>
        <v>40295.681286446903</v>
      </c>
      <c r="AB932" s="140">
        <f t="shared" si="1370"/>
        <v>40698.638099311363</v>
      </c>
      <c r="AC932" s="140">
        <f t="shared" si="1370"/>
        <v>41105.624480304476</v>
      </c>
      <c r="AD932" s="140">
        <f t="shared" si="1370"/>
        <v>41516.680725107537</v>
      </c>
      <c r="AE932" s="140">
        <f t="shared" si="1370"/>
        <v>41931.847532358566</v>
      </c>
      <c r="AF932" s="140">
        <f t="shared" si="1370"/>
        <v>42351.166007682194</v>
      </c>
      <c r="AG932" s="140">
        <f t="shared" si="1370"/>
        <v>42774.677667758973</v>
      </c>
      <c r="AH932" s="140">
        <f t="shared" si="1370"/>
        <v>43202.424444436598</v>
      </c>
      <c r="AI932" s="140">
        <f t="shared" si="1370"/>
        <v>43634.448688880926</v>
      </c>
      <c r="AJ932" s="140">
        <f t="shared" si="1370"/>
        <v>44070.793175769824</v>
      </c>
      <c r="AK932" s="140">
        <f t="shared" si="1370"/>
        <v>44511.501107527431</v>
      </c>
      <c r="AL932" s="140">
        <f t="shared" si="1370"/>
        <v>44956.616118602717</v>
      </c>
      <c r="AM932" s="140">
        <f t="shared" si="1370"/>
        <v>45406.182279788824</v>
      </c>
      <c r="AN932" s="140">
        <f t="shared" si="1370"/>
        <v>45860.244102586577</v>
      </c>
      <c r="AO932" s="140">
        <f t="shared" si="1370"/>
        <v>46318.846543612584</v>
      </c>
      <c r="AP932" s="140">
        <f t="shared" si="1370"/>
        <v>46782.03500904861</v>
      </c>
      <c r="AQ932" s="140">
        <f t="shared" si="1370"/>
        <v>47249.855359139103</v>
      </c>
      <c r="AR932" s="140">
        <f t="shared" si="1370"/>
        <v>47722.353912730592</v>
      </c>
      <c r="AS932" s="140">
        <f t="shared" si="1370"/>
        <v>48199.577451857898</v>
      </c>
      <c r="AT932" s="140">
        <f t="shared" si="1370"/>
        <v>48681.573226376378</v>
      </c>
      <c r="AU932" s="140">
        <f t="shared" si="1370"/>
        <v>49168.388958640142</v>
      </c>
      <c r="AV932" s="140">
        <f t="shared" si="1370"/>
        <v>49660.072848226548</v>
      </c>
      <c r="AW932" s="140">
        <f t="shared" si="1370"/>
        <v>50156.673576708905</v>
      </c>
      <c r="AX932" s="140">
        <f t="shared" si="1370"/>
        <v>50658.240312475806</v>
      </c>
      <c r="AY932" s="140">
        <f t="shared" si="1370"/>
        <v>51164.822715600661</v>
      </c>
      <c r="AZ932" s="140">
        <f t="shared" si="1370"/>
        <v>51676.470942756765</v>
      </c>
      <c r="BA932" s="140">
        <f t="shared" si="1370"/>
        <v>52193.235652184332</v>
      </c>
      <c r="BB932" s="141">
        <f t="shared" si="1370"/>
        <v>52715.168008706067</v>
      </c>
      <c r="BC932" s="140"/>
      <c r="BD932" s="139"/>
      <c r="BE932" s="140">
        <f>(BE434*BE485+BE450*BE$497+BE466*BE$498)/10^3</f>
        <v>0</v>
      </c>
      <c r="BF932" s="140">
        <f>(BF434*BF485+BF450*BF$497+BF466*BF$498)/10^3</f>
        <v>0</v>
      </c>
      <c r="BG932" s="140">
        <f>(BG434*BG485+BG450*BG$497+BG466*BG$498)/10^3</f>
        <v>0</v>
      </c>
      <c r="BH932" s="140">
        <f>(BH434*BH485+BH450*BH$497+BH466*BH$498)/10^3</f>
        <v>0</v>
      </c>
      <c r="BI932" s="140"/>
      <c r="BJ932" s="140">
        <f>(BJ888+BJ895)*BJ922/BK922</f>
        <v>33503.276782328234</v>
      </c>
      <c r="BK932" s="140">
        <f>(BK888+BK895)*BK922/BK922</f>
        <v>35124.948240845872</v>
      </c>
      <c r="BL932" s="140">
        <f>(BL888+BL895)*BL922/BK922</f>
        <v>35695.661607850823</v>
      </c>
      <c r="BM932" s="140">
        <f>(BM888+BM895)*BM922/BK922</f>
        <v>36052.618223929341</v>
      </c>
      <c r="BN932" s="140">
        <f>(BN888+BN895)*BN922/BK922</f>
        <v>36413.144406168627</v>
      </c>
      <c r="BO932" s="140">
        <f>(BO888+BO895)*BO922/BK922</f>
        <v>36777.275850230311</v>
      </c>
      <c r="BP932" s="140">
        <f>(BP888+BP895)*BP922/BK922</f>
        <v>37145.048608732614</v>
      </c>
      <c r="BQ932" s="140">
        <f>(BQ888+BQ895)*BQ922/BK922</f>
        <v>37516.499094819941</v>
      </c>
      <c r="BR932" s="140">
        <f>(BR888+BR895)*BR922/BK922</f>
        <v>37891.664085768134</v>
      </c>
      <c r="BS932" s="140">
        <f>(BS888+BS895)*BS922/BK922</f>
        <v>38270.58072662582</v>
      </c>
      <c r="BT932" s="140">
        <f>(BT888+BT895)*BT922/BK922</f>
        <v>38653.286533892082</v>
      </c>
      <c r="BU932" s="140">
        <f>(BU888+BU895)*BU922/BK922</f>
        <v>39039.81939923099</v>
      </c>
      <c r="BV932" s="140">
        <f>(BV888+BV895)*BV922/BK922</f>
        <v>39430.217593223308</v>
      </c>
      <c r="BW932" s="140">
        <f>(BW888+BW895)*BW922/BK922</f>
        <v>39824.519769155544</v>
      </c>
      <c r="BX932" s="140">
        <f>(BX888+BX895)*BX922/BK922</f>
        <v>40222.764966847099</v>
      </c>
      <c r="BY932" s="140">
        <f>(BY888+BY895)*BY922/BK922</f>
        <v>40624.992616515556</v>
      </c>
      <c r="BZ932" s="140">
        <f>(BZ888+BZ895)*BZ922/BK922</f>
        <v>41031.242542680709</v>
      </c>
      <c r="CA932" s="140">
        <f>(CA888+CA895)*CA922/BK922</f>
        <v>41441.554968107528</v>
      </c>
      <c r="CB932" s="140">
        <f>(CB888+CB895)*CB922/BK922</f>
        <v>41855.970517788606</v>
      </c>
      <c r="CC932" s="140">
        <f>(CC888+CC895)*CC922/BK922</f>
        <v>42274.530222966489</v>
      </c>
      <c r="CD932" s="140">
        <f>(CD888+CD895)*CD922/BK922</f>
        <v>42697.275525196157</v>
      </c>
      <c r="CE932" s="140">
        <f>(CE888+CE895)*CE922/BK922</f>
        <v>43124.248280448119</v>
      </c>
      <c r="CF932" s="140">
        <f>(CF888+CF895)*CF922/BK922</f>
        <v>43555.490763252601</v>
      </c>
      <c r="CG932" s="140">
        <f>(CG888+CG895)*CG922/BK922</f>
        <v>43991.045670885127</v>
      </c>
      <c r="CH932" s="140">
        <f>(CH888+CH895)*CH922/BK922</f>
        <v>44430.95612759397</v>
      </c>
      <c r="CI932" s="140">
        <f>(CI888+CI895)*CI922/BK922</f>
        <v>44875.26568886992</v>
      </c>
      <c r="CJ932" s="140">
        <f>(CJ888+CJ895)*CJ922/BK922</f>
        <v>45324.018345758617</v>
      </c>
      <c r="CK932" s="140">
        <f>(CK888+CK895)*CK922/BK922</f>
        <v>45777.258529216204</v>
      </c>
      <c r="CL932" s="140">
        <f>(CL888+CL895)*CL922/BK922</f>
        <v>46235.031114508354</v>
      </c>
      <c r="CM932" s="141">
        <f>(CM888+CM895)*CM922/BK922</f>
        <v>46697.381425653461</v>
      </c>
      <c r="CN932" s="140"/>
      <c r="CO932" s="139"/>
      <c r="CP932" s="140">
        <f>(CP434*CP485+CP450*CP$497+CP466*CP$498)/10^3</f>
        <v>0</v>
      </c>
      <c r="CQ932" s="140">
        <f>(CQ434*CQ485+CQ450*CQ$497+CQ466*CQ$498)/10^3</f>
        <v>0</v>
      </c>
      <c r="CR932" s="140">
        <f>(CR434*CR485+CR450*CR$497+CR466*CR$498)/10^3</f>
        <v>0</v>
      </c>
      <c r="CS932" s="140">
        <f>(CS434*CS485+CS450*CS$497+CS466*CS$498)/10^3</f>
        <v>0</v>
      </c>
      <c r="CT932" s="140"/>
      <c r="CU932" s="140">
        <f>(CU888+CU895)*CU922/CV922</f>
        <v>33890.692538136835</v>
      </c>
      <c r="CV932" s="140">
        <f>(CV888+CV895)*CV922/CV922</f>
        <v>35531.116224320343</v>
      </c>
      <c r="CW932" s="140">
        <f>(CW888+CW895)*CW922/CV922</f>
        <v>36108.429045816418</v>
      </c>
      <c r="CX932" s="140">
        <f>(CX888+CX895)*CX922/CV922</f>
        <v>36469.513336274584</v>
      </c>
      <c r="CY932" s="140">
        <f>(CY888+CY895)*CY922/CV922</f>
        <v>36834.20846963732</v>
      </c>
      <c r="CZ932" s="140">
        <f>(CZ888+CZ895)*CZ922/CV922</f>
        <v>37202.550554333706</v>
      </c>
      <c r="DA932" s="140">
        <f>(DA888+DA895)*DA922/CV922</f>
        <v>37574.576059877036</v>
      </c>
      <c r="DB932" s="140">
        <f>(DB888+DB895)*DB922/CV922</f>
        <v>37950.321820475801</v>
      </c>
      <c r="DC932" s="140">
        <f>(DC888+DC895)*DC922/CV922</f>
        <v>38329.825038680552</v>
      </c>
      <c r="DD932" s="140">
        <f>(DD888+DD895)*DD922/CV922</f>
        <v>38713.123289067349</v>
      </c>
      <c r="DE932" s="140">
        <f>(DE888+DE895)*DE922/CV922</f>
        <v>39100.254521958035</v>
      </c>
      <c r="DF932" s="140">
        <f>(DF888+DF895)*DF922/CV922</f>
        <v>39491.257067177612</v>
      </c>
      <c r="DG932" s="140">
        <f>(DG888+DG895)*DG922/CV922</f>
        <v>39886.169637849394</v>
      </c>
      <c r="DH932" s="140">
        <f>(DH888+DH895)*DH922/CV922</f>
        <v>40285.031334227882</v>
      </c>
      <c r="DI932" s="140">
        <f>(DI888+DI895)*DI922/CV922</f>
        <v>40687.881647570161</v>
      </c>
      <c r="DJ932" s="140">
        <f>(DJ888+DJ895)*DJ922/CV922</f>
        <v>41094.760464045867</v>
      </c>
      <c r="DK932" s="140">
        <f>(DK888+DK895)*DK922/CV922</f>
        <v>41505.708068686326</v>
      </c>
      <c r="DL932" s="140">
        <f>(DL888+DL895)*DL922/CV922</f>
        <v>41920.765149373183</v>
      </c>
      <c r="DM932" s="140">
        <f>(DM888+DM895)*DM922/CV922</f>
        <v>42339.972800866904</v>
      </c>
      <c r="DN932" s="140">
        <f>(DN888+DN895)*DN922/CV922</f>
        <v>42763.372528875596</v>
      </c>
      <c r="DO932" s="140">
        <f>(DO888+DO895)*DO922/CV922</f>
        <v>43191.006254164357</v>
      </c>
      <c r="DP932" s="140">
        <f>(DP888+DP895)*DP922/CV922</f>
        <v>43622.916316706003</v>
      </c>
      <c r="DQ932" s="140">
        <f>(DQ888+DQ895)*DQ922/CV922</f>
        <v>44059.145479873034</v>
      </c>
      <c r="DR932" s="140">
        <f>(DR888+DR895)*DR922/CV922</f>
        <v>44499.736934671797</v>
      </c>
      <c r="DS932" s="140">
        <f>(DS888+DS895)*DS922/CV922</f>
        <v>44944.734304018508</v>
      </c>
      <c r="DT932" s="140">
        <f>(DT888+DT895)*DT922/CV922</f>
        <v>45394.181647058685</v>
      </c>
      <c r="DU932" s="140">
        <f>(DU888+DU895)*DU922/CV922</f>
        <v>45848.123463529264</v>
      </c>
      <c r="DV932" s="140">
        <f>(DV888+DV895)*DV922/CV922</f>
        <v>46306.604698164578</v>
      </c>
      <c r="DW932" s="140">
        <f>(DW888+DW895)*DW922/CV922</f>
        <v>46769.670745146221</v>
      </c>
      <c r="DX932" s="141">
        <f>(DX888+DX895)*DX922/CV922</f>
        <v>47237.367452597653</v>
      </c>
      <c r="DY932" s="140"/>
      <c r="DZ932" s="139"/>
      <c r="EA932" s="140">
        <f>(EA434*EA485+EA450*EA$497+EA466*EA$498)/10^3</f>
        <v>0</v>
      </c>
      <c r="EB932" s="140">
        <f>(EB434*EB485+EB450*EB$497+EB466*EB$498)/10^3</f>
        <v>0</v>
      </c>
      <c r="EC932" s="140">
        <f>(EC434*EC485+EC450*EC$497+EC466*EC$498)/10^3</f>
        <v>0</v>
      </c>
      <c r="ED932" s="140">
        <f>(ED434*ED485+ED450*ED$497+ED466*ED$498)/10^3</f>
        <v>0</v>
      </c>
      <c r="EE932" s="140"/>
      <c r="EF932" s="140">
        <f>(EF888+EF895)*EF922/EG922</f>
        <v>32948.779039032124</v>
      </c>
      <c r="EG932" s="140">
        <f>(EG888+EG895)*EG922/EG922</f>
        <v>34543.610938841586</v>
      </c>
      <c r="EH932" s="140">
        <f>(EH888+EH895)*EH922/EG922</f>
        <v>35104.878684269599</v>
      </c>
      <c r="EI932" s="140">
        <f>(EI888+EI895)*EI922/EG922</f>
        <v>35455.9274711123</v>
      </c>
      <c r="EJ932" s="140">
        <f>(EJ888+EJ895)*EJ922/EG922</f>
        <v>35810.486745823422</v>
      </c>
      <c r="EK932" s="140">
        <f>(EK888+EK895)*EK922/EG922</f>
        <v>36168.591613281664</v>
      </c>
      <c r="EL932" s="140">
        <f>(EL888+EL895)*EL922/EG922</f>
        <v>36530.277529414474</v>
      </c>
      <c r="EM932" s="140">
        <f>(EM888+EM895)*EM922/EG922</f>
        <v>36895.580304708623</v>
      </c>
      <c r="EN932" s="140">
        <f>(EN888+EN895)*EN922/EG922</f>
        <v>37264.536107755695</v>
      </c>
      <c r="EO932" s="140">
        <f>(EO888+EO895)*EO922/EG922</f>
        <v>37637.181468833252</v>
      </c>
      <c r="EP932" s="140">
        <f>(EP888+EP895)*EP922/EG922</f>
        <v>38013.553283521585</v>
      </c>
      <c r="EQ932" s="140">
        <f>(EQ888+EQ895)*EQ922/EG922</f>
        <v>38393.6888163568</v>
      </c>
      <c r="ER932" s="140">
        <f>(ER888+ER895)*ER922/EG922</f>
        <v>38777.625704520375</v>
      </c>
      <c r="ES932" s="140">
        <f>(ES888+ES895)*ES922/EG922</f>
        <v>39165.401961565571</v>
      </c>
      <c r="ET932" s="140">
        <f>(ET888+ET895)*ET922/EG922</f>
        <v>39557.055981181235</v>
      </c>
      <c r="EU932" s="140">
        <f>(EU888+EU895)*EU922/EG922</f>
        <v>39952.626540993057</v>
      </c>
      <c r="EV932" s="140">
        <f>(EV888+EV895)*EV922/EG922</f>
        <v>40352.15280640297</v>
      </c>
      <c r="EW932" s="140">
        <f>(EW888+EW895)*EW922/EG922</f>
        <v>40755.674334466996</v>
      </c>
      <c r="EX932" s="140">
        <f>(EX888+EX895)*EX922/EG922</f>
        <v>41163.231077811688</v>
      </c>
      <c r="EY932" s="140">
        <f>(EY888+EY895)*EY922/EG922</f>
        <v>41574.863388589787</v>
      </c>
      <c r="EZ932" s="140">
        <f>(EZ888+EZ895)*EZ922/EG922</f>
        <v>41990.612022475674</v>
      </c>
      <c r="FA932" s="140">
        <f>(FA888+FA895)*FA922/EG922</f>
        <v>42410.518142700486</v>
      </c>
      <c r="FB932" s="140">
        <f>(FB888+FB895)*FB922/EG922</f>
        <v>42834.623324127446</v>
      </c>
      <c r="FC932" s="140">
        <f>(FC888+FC895)*FC922/EG922</f>
        <v>43262.969557368728</v>
      </c>
      <c r="FD932" s="140">
        <f>(FD888+FD895)*FD922/EG922</f>
        <v>43695.599252942418</v>
      </c>
      <c r="FE932" s="140">
        <f>(FE888+FE895)*FE922/EG922</f>
        <v>44132.555245471827</v>
      </c>
      <c r="FF932" s="140">
        <f>(FF888+FF895)*FF922/EG922</f>
        <v>44573.880797926584</v>
      </c>
      <c r="FG932" s="140">
        <f>(FG888+FG895)*FG922/EG922</f>
        <v>45019.619605905791</v>
      </c>
      <c r="FH932" s="140">
        <f>(FH888+FH895)*FH922/EG922</f>
        <v>45469.815801964905</v>
      </c>
      <c r="FI932" s="141">
        <f>(FI888+FI895)*FI922/EG922</f>
        <v>45924.513959984521</v>
      </c>
      <c r="FJ932" s="140"/>
      <c r="FK932" s="139"/>
      <c r="FL932" s="140">
        <f>(FL434*FL485+FL450*FL$497+FL466*FL$498)/10^3</f>
        <v>0</v>
      </c>
      <c r="FM932" s="140">
        <f>(FM434*FM485+FM450*FM$497+FM466*FM$498)/10^3</f>
        <v>0</v>
      </c>
      <c r="FN932" s="140">
        <f>(FN434*FN485+FN450*FN$497+FN466*FN$498)/10^3</f>
        <v>0</v>
      </c>
      <c r="FO932" s="140">
        <f>(FO434*FO485+FO450*FO$497+FO466*FO$498)/10^3</f>
        <v>0</v>
      </c>
      <c r="FP932" s="140"/>
      <c r="FQ932" s="140">
        <f>(FQ888+FQ895)*FQ922/FR922</f>
        <v>35162.829517519334</v>
      </c>
      <c r="FR932" s="140">
        <f>(FR888+FR895)*FR922/FR922</f>
        <v>36864.828918943851</v>
      </c>
      <c r="FS932" s="140">
        <f>(FS888+FS895)*FS922/FR922</f>
        <v>37463.812026111147</v>
      </c>
      <c r="FT932" s="140">
        <f>(FT888+FT895)*FT922/FR922</f>
        <v>37838.450146372263</v>
      </c>
      <c r="FU932" s="140">
        <f>(FU888+FU895)*FU922/FR922</f>
        <v>38216.834647835982</v>
      </c>
      <c r="FV932" s="140">
        <f>(FV888+FV895)*FV922/FR922</f>
        <v>38599.002994314338</v>
      </c>
      <c r="FW932" s="140">
        <f>(FW888+FW895)*FW922/FR922</f>
        <v>38984.993024257485</v>
      </c>
      <c r="FX932" s="140">
        <f>(FX888+FX895)*FX922/FR922</f>
        <v>39374.842954500069</v>
      </c>
      <c r="FY932" s="140">
        <f>(FY888+FY895)*FY922/FR922</f>
        <v>39768.591384045052</v>
      </c>
      <c r="FZ932" s="140">
        <f>(FZ888+FZ895)*FZ922/FR922</f>
        <v>40166.277297885506</v>
      </c>
      <c r="GA932" s="140">
        <f>(GA888+GA895)*GA922/FR922</f>
        <v>40567.940070864366</v>
      </c>
      <c r="GB932" s="140">
        <f>(GB888+GB895)*GB922/FR922</f>
        <v>40973.619471572994</v>
      </c>
      <c r="GC932" s="140">
        <f>(GC888+GC895)*GC922/FR922</f>
        <v>41383.355666288728</v>
      </c>
      <c r="GD932" s="140">
        <f>(GD888+GD895)*GD922/FR922</f>
        <v>41797.189222951631</v>
      </c>
      <c r="GE932" s="140">
        <f>(GE888+GE895)*GE922/FR922</f>
        <v>42215.161115181145</v>
      </c>
      <c r="GF932" s="140">
        <f>(GF888+GF895)*GF922/FR922</f>
        <v>42637.312726332944</v>
      </c>
      <c r="GG932" s="140">
        <f>(GG888+GG895)*GG922/FR922</f>
        <v>43063.685853596275</v>
      </c>
      <c r="GH932" s="140">
        <f>(GH888+GH895)*GH922/FR922</f>
        <v>43494.322712132242</v>
      </c>
      <c r="GI932" s="140">
        <f>(GI888+GI895)*GI922/FR922</f>
        <v>43929.265939253579</v>
      </c>
      <c r="GJ932" s="140">
        <f>(GJ888+GJ895)*GJ922/FR922</f>
        <v>44368.558598646094</v>
      </c>
      <c r="GK932" s="140">
        <f>(GK888+GK895)*GK922/FR922</f>
        <v>44812.24418463256</v>
      </c>
      <c r="GL932" s="140">
        <f>(GL888+GL895)*GL922/FR922</f>
        <v>45260.366626478899</v>
      </c>
      <c r="GM932" s="140">
        <f>(GM888+GM895)*GM922/FR922</f>
        <v>45712.970292743696</v>
      </c>
      <c r="GN932" s="140">
        <f>(GN888+GN895)*GN922/FR922</f>
        <v>46170.099995671095</v>
      </c>
      <c r="GO932" s="140">
        <f>(GO888+GO895)*GO922/FR922</f>
        <v>46631.800995627847</v>
      </c>
      <c r="GP932" s="140">
        <f>(GP888+GP895)*GP922/FR922</f>
        <v>47098.119005584078</v>
      </c>
      <c r="GQ932" s="140">
        <f>(GQ888+GQ895)*GQ922/FR922</f>
        <v>47569.100195639978</v>
      </c>
      <c r="GR932" s="140">
        <f>(GR888+GR895)*GR922/FR922</f>
        <v>48044.791197596322</v>
      </c>
      <c r="GS932" s="140">
        <f>(GS888+GS895)*GS922/FR922</f>
        <v>48525.239109572329</v>
      </c>
      <c r="GT932" s="141">
        <f>(GT888+GT895)*GT922/FR922</f>
        <v>49010.491500668031</v>
      </c>
      <c r="GU932" s="140"/>
      <c r="GV932" s="139"/>
      <c r="GW932" s="140">
        <f>(GW434*GW485+GW450*GW$497+GW466*GW$498)/10^3</f>
        <v>0</v>
      </c>
      <c r="GX932" s="140">
        <f>(GX434*GX485+GX450*GX$497+GX466*GX$498)/10^3</f>
        <v>0</v>
      </c>
      <c r="GY932" s="140">
        <f>(GY434*GY485+GY450*GY$497+GY466*GY$498)/10^3</f>
        <v>0</v>
      </c>
      <c r="GZ932" s="140">
        <f>(GZ434*GZ485+GZ450*GZ$497+GZ466*GZ$498)/10^3</f>
        <v>0</v>
      </c>
      <c r="HA932" s="140"/>
      <c r="HB932" s="140">
        <f>(HB888+HB895)*HB922/HC922</f>
        <v>34626.976412147065</v>
      </c>
      <c r="HC932" s="140">
        <f>(HC888+HC895)*HC922/HC922</f>
        <v>36303.038718146985</v>
      </c>
      <c r="HD932" s="140">
        <f>(HD888+HD895)*HD922/HC922</f>
        <v>36892.893806823005</v>
      </c>
      <c r="HE932" s="140">
        <f>(HE888+HE895)*HE922/HC922</f>
        <v>37261.822744891244</v>
      </c>
      <c r="HF932" s="140">
        <f>(HF888+HF895)*HF922/HC922</f>
        <v>37634.440972340155</v>
      </c>
      <c r="HG932" s="140">
        <f>(HG888+HG895)*HG922/HC922</f>
        <v>38010.785382063557</v>
      </c>
      <c r="HH932" s="140">
        <f>(HH888+HH895)*HH922/HC922</f>
        <v>38390.893235884192</v>
      </c>
      <c r="HI932" s="140">
        <f>(HI888+HI895)*HI922/HC922</f>
        <v>38774.802168243026</v>
      </c>
      <c r="HJ932" s="140">
        <f>(HJ888+HJ895)*HJ922/HC922</f>
        <v>39162.550189925452</v>
      </c>
      <c r="HK932" s="140">
        <f>(HK888+HK895)*HK922/HC922</f>
        <v>39554.175691824705</v>
      </c>
      <c r="HL932" s="140">
        <f>(HL888+HL895)*HL922/HC922</f>
        <v>39949.717448742973</v>
      </c>
      <c r="HM932" s="140">
        <f>(HM888+HM895)*HM922/HC922</f>
        <v>40349.214623230393</v>
      </c>
      <c r="HN932" s="140">
        <f>(HN888+HN895)*HN922/HC922</f>
        <v>40752.706769462689</v>
      </c>
      <c r="HO932" s="140">
        <f>(HO888+HO895)*HO922/HC922</f>
        <v>41160.233837157321</v>
      </c>
      <c r="HP932" s="140">
        <f>(HP888+HP895)*HP922/HC922</f>
        <v>41571.836175528886</v>
      </c>
      <c r="HQ932" s="140">
        <f>(HQ888+HQ895)*HQ922/HC922</f>
        <v>41987.554537284166</v>
      </c>
      <c r="HR932" s="140">
        <f>(HR888+HR895)*HR922/HC922</f>
        <v>42407.43008265704</v>
      </c>
      <c r="HS932" s="140">
        <f>(HS888+HS895)*HS922/HC922</f>
        <v>42831.504383483581</v>
      </c>
      <c r="HT932" s="140">
        <f>(HT888+HT895)*HT922/HC922</f>
        <v>43259.819427318427</v>
      </c>
      <c r="HU932" s="140">
        <f>(HU888+HU895)*HU922/HC922</f>
        <v>43692.417621591616</v>
      </c>
      <c r="HV932" s="140">
        <f>(HV888+HV895)*HV922/HC922</f>
        <v>44129.34179780753</v>
      </c>
      <c r="HW932" s="140">
        <f>(HW888+HW895)*HW922/HC922</f>
        <v>44570.635215785624</v>
      </c>
      <c r="HX932" s="140">
        <f>(HX888+HX895)*HX922/HC922</f>
        <v>45016.341567943447</v>
      </c>
      <c r="HY932" s="140">
        <f>(HY888+HY895)*HY922/HC922</f>
        <v>45466.504983622915</v>
      </c>
      <c r="HZ932" s="140">
        <f>(HZ888+HZ895)*HZ922/HC922</f>
        <v>45921.170033459108</v>
      </c>
      <c r="IA932" s="140">
        <f>(IA888+IA895)*IA922/HC922</f>
        <v>46380.381733793729</v>
      </c>
      <c r="IB932" s="140">
        <f>(IB888+IB895)*IB922/HC922</f>
        <v>46844.185551131668</v>
      </c>
      <c r="IC932" s="140">
        <f>(IC888+IC895)*IC922/HC922</f>
        <v>47312.627406642954</v>
      </c>
      <c r="ID932" s="140">
        <f>(ID888+ID895)*ID922/HC922</f>
        <v>47785.753680709407</v>
      </c>
      <c r="IE932" s="141">
        <f>(IE888+IE895)*IE922/HC922</f>
        <v>48263.611217516496</v>
      </c>
      <c r="IF932" s="140"/>
      <c r="IG932" s="139"/>
      <c r="IH932" s="140">
        <f>(IH434*IH485+IH450*IH$497+IH466*IH$498)/10^3</f>
        <v>0</v>
      </c>
      <c r="II932" s="140">
        <f>(II434*II485+II450*II$497+II466*II$498)/10^3</f>
        <v>0</v>
      </c>
      <c r="IJ932" s="140">
        <f>(IJ434*IJ485+IJ450*IJ$497+IJ466*IJ$498)/10^3</f>
        <v>0</v>
      </c>
      <c r="IK932" s="140">
        <f>(IK434*IK485+IK450*IK$497+IK466*IK$498)/10^3</f>
        <v>0</v>
      </c>
      <c r="IL932" s="140"/>
      <c r="IM932" s="140">
        <f>(IM888+IM895)*IM922/IN922</f>
        <v>21483.318941166453</v>
      </c>
      <c r="IN932" s="140">
        <f>(IN888+IN895)*IN922/IN922</f>
        <v>22523.183948624392</v>
      </c>
      <c r="IO932" s="140">
        <f>(IO888+IO895)*IO922/IN922</f>
        <v>22889.142698480809</v>
      </c>
      <c r="IP932" s="140">
        <f>(IP888+IP895)*IP922/IN922</f>
        <v>42898.035206793858</v>
      </c>
      <c r="IQ932" s="140">
        <f>(IQ888+IQ895)*IQ922/IN922</f>
        <v>43327.015558861785</v>
      </c>
      <c r="IR932" s="140">
        <f>(IR888+IR895)*IR922/IN922</f>
        <v>43760.285714450409</v>
      </c>
      <c r="IS932" s="140">
        <f>(IS888+IS895)*IS922/IN922</f>
        <v>44197.888571594907</v>
      </c>
      <c r="IT932" s="140">
        <f>(IT888+IT895)*IT922/IN922</f>
        <v>44639.867457310851</v>
      </c>
      <c r="IU932" s="140">
        <f>(IU888+IU895)*IU922/IN922</f>
        <v>45086.26613188396</v>
      </c>
      <c r="IV932" s="140">
        <f>(IV888+IV895)*IV922/IN922</f>
        <v>45537.128793202799</v>
      </c>
      <c r="IW932" s="140">
        <f>(IW888+IW895)*IW922/IN922</f>
        <v>29276.025444929888</v>
      </c>
      <c r="IX932" s="140">
        <f>(IX888+IX895)*IX922/IN922</f>
        <v>29568.78569937919</v>
      </c>
      <c r="IY932" s="140">
        <f>(IY888+IY895)*IY922/IN922</f>
        <v>29864.473556372981</v>
      </c>
      <c r="IZ932" s="140">
        <f>(IZ888+IZ895)*IZ922/IN922</f>
        <v>30163.118291936713</v>
      </c>
      <c r="JA932" s="140">
        <f>(JA888+JA895)*JA922/IN922</f>
        <v>30464.749474856078</v>
      </c>
      <c r="JB932" s="140">
        <f>(JB888+JB895)*JB922/IN922</f>
        <v>30769.396969604637</v>
      </c>
      <c r="JC932" s="140">
        <f>(JC888+JC895)*JC922/IN922</f>
        <v>31077.09093930068</v>
      </c>
      <c r="JD932" s="140">
        <f>(JD888+JD895)*JD922/IN922</f>
        <v>31387.86184869369</v>
      </c>
      <c r="JE932" s="140">
        <f>(JE888+JE895)*JE922/IN922</f>
        <v>31701.740467180629</v>
      </c>
      <c r="JF932" s="140">
        <f>(JF888+JF895)*JF922/IN922</f>
        <v>32018.757871852435</v>
      </c>
      <c r="JG932" s="140">
        <f>(JG888+JG895)*JG922/IN922</f>
        <v>32338.945450570962</v>
      </c>
      <c r="JH932" s="140">
        <f>(JH888+JH895)*JH922/IN922</f>
        <v>32662.334905076674</v>
      </c>
      <c r="JI932" s="140">
        <f>(JI888+JI895)*JI922/IN922</f>
        <v>32988.958254127436</v>
      </c>
      <c r="JJ932" s="140">
        <f>(JJ888+JJ895)*JJ922/IN922</f>
        <v>33318.847836668712</v>
      </c>
      <c r="JK932" s="140">
        <f>(JK888+JK895)*JK922/IN922</f>
        <v>33652.036315035402</v>
      </c>
      <c r="JL932" s="140">
        <f>(JL888+JL895)*JL922/IN922</f>
        <v>33988.556678185756</v>
      </c>
      <c r="JM932" s="140">
        <f>(JM888+JM895)*JM922/IN922</f>
        <v>34328.442244967606</v>
      </c>
      <c r="JN932" s="140">
        <f>(JN888+JN895)*JN922/IN922</f>
        <v>34671.726667417286</v>
      </c>
      <c r="JO932" s="140">
        <f>(JO888+JO895)*JO922/IN922</f>
        <v>35018.443934091454</v>
      </c>
      <c r="JP932" s="141">
        <f>(JP888+JP895)*JP922/IN922</f>
        <v>35368.628373432373</v>
      </c>
      <c r="JQ932" s="140"/>
      <c r="JR932" s="139"/>
      <c r="JS932" s="140"/>
      <c r="JT932" s="140"/>
      <c r="JU932" s="140"/>
      <c r="JV932" s="140"/>
      <c r="JW932" s="140"/>
      <c r="JX932" s="140">
        <f t="shared" ref="JX932:LA932" si="1371">(JX888+JX895)*JX922/JT922</f>
        <v>23536.730057401321</v>
      </c>
      <c r="JY932" s="140">
        <f t="shared" si="1371"/>
        <v>24353.275169784003</v>
      </c>
      <c r="JZ932" s="140">
        <f t="shared" si="1371"/>
        <v>24409.17732118976</v>
      </c>
      <c r="KA932" s="140">
        <f t="shared" si="1371"/>
        <v>41637.162698346168</v>
      </c>
      <c r="KB932" s="140">
        <f t="shared" si="1371"/>
        <v>43686.88162669466</v>
      </c>
      <c r="KC932" s="140">
        <f t="shared" si="1371"/>
        <v>44919.128949053396</v>
      </c>
      <c r="KD932" s="140">
        <f t="shared" si="1371"/>
        <v>47211.013999366623</v>
      </c>
      <c r="KE932" s="140">
        <f t="shared" si="1371"/>
        <v>49278.384048627224</v>
      </c>
      <c r="KF932" s="140">
        <f t="shared" si="1371"/>
        <v>50621.758951232237</v>
      </c>
      <c r="KG932" s="140">
        <f t="shared" si="1371"/>
        <v>51087.763172735205</v>
      </c>
      <c r="KH932" s="140">
        <f t="shared" si="1371"/>
        <v>50681.892240393572</v>
      </c>
      <c r="KI932" s="140">
        <f t="shared" si="1371"/>
        <v>49305.758319344422</v>
      </c>
      <c r="KJ932" s="140">
        <f t="shared" si="1371"/>
        <v>47187.974187281441</v>
      </c>
      <c r="KK932" s="140">
        <f t="shared" si="1371"/>
        <v>44557.293946778926</v>
      </c>
      <c r="KL932" s="140">
        <f t="shared" si="1371"/>
        <v>41673.548389283271</v>
      </c>
      <c r="KM932" s="140">
        <f t="shared" si="1371"/>
        <v>38785.944934647952</v>
      </c>
      <c r="KN932" s="140">
        <f t="shared" si="1371"/>
        <v>36099.334826537233</v>
      </c>
      <c r="KO932" s="140">
        <f t="shared" si="1371"/>
        <v>33754.269710456865</v>
      </c>
      <c r="KP932" s="140">
        <f t="shared" si="1371"/>
        <v>31822.29787818659</v>
      </c>
      <c r="KQ932" s="140">
        <f t="shared" si="1371"/>
        <v>30314.026519798474</v>
      </c>
      <c r="KR932" s="140">
        <f t="shared" si="1371"/>
        <v>29195.091407611111</v>
      </c>
      <c r="KS932" s="140">
        <f t="shared" si="1371"/>
        <v>28404.669831464493</v>
      </c>
      <c r="KT932" s="140">
        <f t="shared" si="1371"/>
        <v>27872.191645300718</v>
      </c>
      <c r="KU932" s="140">
        <f t="shared" si="1371"/>
        <v>27529.706415072669</v>
      </c>
      <c r="KV932" s="140">
        <f t="shared" si="1371"/>
        <v>27319.194034240663</v>
      </c>
      <c r="KW932" s="140">
        <f t="shared" si="1371"/>
        <v>27195.448918590526</v>
      </c>
      <c r="KX932" s="140">
        <f t="shared" si="1371"/>
        <v>27125.842054479985</v>
      </c>
      <c r="KY932" s="140">
        <f t="shared" si="1371"/>
        <v>27088.356596950369</v>
      </c>
      <c r="KZ932" s="140">
        <f t="shared" si="1371"/>
        <v>27069.021877577368</v>
      </c>
      <c r="LA932" s="141">
        <f t="shared" si="1371"/>
        <v>27059.466965224376</v>
      </c>
      <c r="LB932" s="140"/>
      <c r="LC932" s="139"/>
      <c r="LD932" s="140">
        <f>(LD434*LD485+LD450*LD$497+LD466*LD$498)/10^3</f>
        <v>0</v>
      </c>
      <c r="LE932" s="140">
        <f>(LE434*LE485+LE450*LE$497+LE466*LE$498)/10^3</f>
        <v>0</v>
      </c>
      <c r="LF932" s="140">
        <f>(LF434*LF485+LF450*LF$497+LF466*LF$498)/10^3</f>
        <v>0</v>
      </c>
      <c r="LG932" s="140">
        <f>(LG434*LG485+LG450*LG$497+LG466*LG$498)/10^3</f>
        <v>0</v>
      </c>
      <c r="LH932" s="140"/>
      <c r="LI932" s="140">
        <f>(LI888+LI895)*LI922/LJ922</f>
        <v>21483.318941166453</v>
      </c>
      <c r="LJ932" s="140">
        <f>(LJ888+LJ895)*LJ922/LJ922</f>
        <v>22523.183948624392</v>
      </c>
      <c r="LK932" s="140">
        <f>(LK888+LK895)*LK922/LJ922</f>
        <v>22889.142698480809</v>
      </c>
      <c r="LL932" s="140">
        <f>(LL888+LL895)*LL922/LJ922</f>
        <v>36245.283176294084</v>
      </c>
      <c r="LM932" s="140">
        <f>(LM888+LM895)*LM922/LJ922</f>
        <v>37452.762357884363</v>
      </c>
      <c r="LN932" s="140">
        <f>(LN888+LN895)*LN922/LJ922</f>
        <v>38381.878194982135</v>
      </c>
      <c r="LO932" s="140">
        <f>(LO888+LO895)*LO922/LJ922</f>
        <v>38960.002269279161</v>
      </c>
      <c r="LP932" s="140">
        <f>(LP888+LP895)*LP922/LJ922</f>
        <v>39153.353946701274</v>
      </c>
      <c r="LQ932" s="140">
        <f>(LQ888+LQ895)*LQ922/LJ922</f>
        <v>38973.494695191512</v>
      </c>
      <c r="LR932" s="140">
        <f>(LR888+LR895)*LR922/LJ922</f>
        <v>38475.098455875574</v>
      </c>
      <c r="LS932" s="140">
        <f>(LS888+LS895)*LS922/LJ922</f>
        <v>38874.213701460889</v>
      </c>
      <c r="LT932" s="140">
        <f>(LT888+LT895)*LT922/LJ922</f>
        <v>39099.69748352711</v>
      </c>
      <c r="LU932" s="140">
        <f>(LU888+LU895)*LU922/LJ922</f>
        <v>39015.354669099092</v>
      </c>
      <c r="LV932" s="140">
        <f>(LV888+LV895)*LV922/LJ922</f>
        <v>39885.601402946006</v>
      </c>
      <c r="LW932" s="140">
        <f>(LW888+LW895)*LW922/LJ922</f>
        <v>40452.662663337142</v>
      </c>
      <c r="LX932" s="140">
        <f>(LX888+LX895)*LX922/LJ922</f>
        <v>40687.301991145221</v>
      </c>
      <c r="LY932" s="140">
        <f>(LY888+LY895)*LY922/LJ922</f>
        <v>40599.534520236732</v>
      </c>
      <c r="LZ932" s="140">
        <f>(LZ888+LZ895)*LZ922/LJ922</f>
        <v>40236.696844047525</v>
      </c>
      <c r="MA932" s="140">
        <f>(MA888+MA895)*MA922/LJ922</f>
        <v>39674.480432591314</v>
      </c>
      <c r="MB932" s="140">
        <f>(MB888+MB895)*MB922/LJ922</f>
        <v>39003.27744009922</v>
      </c>
      <c r="MC932" s="140">
        <f>(MC888+MC895)*MC922/LJ922</f>
        <v>39468.383400374114</v>
      </c>
      <c r="MD932" s="140">
        <f>(MD888+MD895)*MD922/LJ922</f>
        <v>40597.017149790438</v>
      </c>
      <c r="ME932" s="140">
        <f>(ME888+ME895)*ME922/LJ922</f>
        <v>41002.987321288339</v>
      </c>
      <c r="MF932" s="140">
        <f>(MF888+MF895)*MF922/LJ922</f>
        <v>42015.747182212355</v>
      </c>
      <c r="MG932" s="140">
        <f>(MG888+MG895)*MG922/LJ922</f>
        <v>42831.474504829428</v>
      </c>
      <c r="MH932" s="140">
        <f>(MH888+MH895)*MH922/LJ922</f>
        <v>43398.38093579682</v>
      </c>
      <c r="MI932" s="140">
        <f>(MI888+MI895)*MI922/LJ922</f>
        <v>43692.387142376494</v>
      </c>
      <c r="MJ932" s="140">
        <f>(MJ888+MJ895)*MJ922/LJ922</f>
        <v>43721.755000956378</v>
      </c>
      <c r="MK932" s="140">
        <f>(MK888+MK895)*MK922/LJ922</f>
        <v>43525.497276384893</v>
      </c>
      <c r="ML932" s="141">
        <f>(ML888+ML895)*ML922/LJ922</f>
        <v>43165.989661649066</v>
      </c>
    </row>
    <row r="933" spans="3:350" s="4" customFormat="1" ht="18" customHeight="1" x14ac:dyDescent="0.3">
      <c r="C933" s="148" t="s">
        <v>106</v>
      </c>
      <c r="D933" s="132"/>
      <c r="E933" s="149" t="s">
        <v>367</v>
      </c>
      <c r="F933" s="179"/>
      <c r="H933" s="180">
        <f>H931+H932</f>
        <v>33992.687653893387</v>
      </c>
      <c r="I933" s="181">
        <f t="shared" ref="I933:P933" si="1372">I931+I932</f>
        <v>34344.141180854276</v>
      </c>
      <c r="J933" s="181">
        <f t="shared" si="1372"/>
        <v>35055.446782899642</v>
      </c>
      <c r="K933" s="181">
        <f t="shared" si="1372"/>
        <v>35127.910524434432</v>
      </c>
      <c r="L933" s="181">
        <f t="shared" si="1372"/>
        <v>35336.807634598474</v>
      </c>
      <c r="M933" s="181">
        <f t="shared" si="1372"/>
        <v>31458.245542828467</v>
      </c>
      <c r="N933" s="181">
        <f t="shared" si="1372"/>
        <v>34179.260336171297</v>
      </c>
      <c r="O933" s="181">
        <f t="shared" si="1372"/>
        <v>36829.300707877825</v>
      </c>
      <c r="P933" s="181">
        <f t="shared" si="1372"/>
        <v>37844.970854528801</v>
      </c>
      <c r="Q933" s="182"/>
      <c r="R933" s="140"/>
      <c r="S933" s="180"/>
      <c r="T933" s="181"/>
      <c r="U933" s="181"/>
      <c r="V933" s="181"/>
      <c r="W933" s="181"/>
      <c r="X933" s="181">
        <f t="shared" ref="X933:BB933" si="1373">X931+X932</f>
        <v>47480.464490428174</v>
      </c>
      <c r="Y933" s="181">
        <f t="shared" si="1373"/>
        <v>49606.966981906582</v>
      </c>
      <c r="Z933" s="181">
        <f t="shared" si="1373"/>
        <v>52008.111294471782</v>
      </c>
      <c r="AA933" s="181">
        <f t="shared" si="1373"/>
        <v>52853.143836723924</v>
      </c>
      <c r="AB933" s="181">
        <f t="shared" si="1373"/>
        <v>53381.675275091147</v>
      </c>
      <c r="AC933" s="181">
        <f t="shared" si="1373"/>
        <v>53915.492027842061</v>
      </c>
      <c r="AD933" s="181">
        <f t="shared" si="1373"/>
        <v>54454.646948120513</v>
      </c>
      <c r="AE933" s="181">
        <f t="shared" si="1373"/>
        <v>54999.193417601644</v>
      </c>
      <c r="AF933" s="181">
        <f t="shared" si="1373"/>
        <v>55549.18535177772</v>
      </c>
      <c r="AG933" s="181">
        <f t="shared" si="1373"/>
        <v>56104.677205295433</v>
      </c>
      <c r="AH933" s="181">
        <f t="shared" si="1373"/>
        <v>56665.723977348447</v>
      </c>
      <c r="AI933" s="181">
        <f t="shared" si="1373"/>
        <v>57232.381217121867</v>
      </c>
      <c r="AJ933" s="181">
        <f t="shared" si="1373"/>
        <v>57804.705029293233</v>
      </c>
      <c r="AK933" s="181">
        <f t="shared" si="1373"/>
        <v>58382.752079586018</v>
      </c>
      <c r="AL933" s="181">
        <f t="shared" si="1373"/>
        <v>58966.579600381883</v>
      </c>
      <c r="AM933" s="181">
        <f t="shared" si="1373"/>
        <v>59556.245396385842</v>
      </c>
      <c r="AN933" s="181">
        <f t="shared" si="1373"/>
        <v>60151.807850349476</v>
      </c>
      <c r="AO933" s="181">
        <f t="shared" si="1373"/>
        <v>60753.325928853206</v>
      </c>
      <c r="AP933" s="181">
        <f t="shared" si="1373"/>
        <v>61360.859188141578</v>
      </c>
      <c r="AQ933" s="181">
        <f t="shared" si="1373"/>
        <v>61974.467780022998</v>
      </c>
      <c r="AR933" s="181">
        <f t="shared" si="1373"/>
        <v>62594.212457823392</v>
      </c>
      <c r="AS933" s="181">
        <f t="shared" si="1373"/>
        <v>63220.154582401628</v>
      </c>
      <c r="AT933" s="181">
        <f t="shared" si="1373"/>
        <v>63852.356128225481</v>
      </c>
      <c r="AU933" s="181">
        <f t="shared" si="1373"/>
        <v>64490.879689507732</v>
      </c>
      <c r="AV933" s="181">
        <f t="shared" si="1373"/>
        <v>65135.788486402816</v>
      </c>
      <c r="AW933" s="181">
        <f t="shared" si="1373"/>
        <v>65787.146371267008</v>
      </c>
      <c r="AX933" s="181">
        <f t="shared" si="1373"/>
        <v>66445.017834979342</v>
      </c>
      <c r="AY933" s="181">
        <f t="shared" si="1373"/>
        <v>67109.468013329315</v>
      </c>
      <c r="AZ933" s="181">
        <f t="shared" si="1373"/>
        <v>67780.562693462765</v>
      </c>
      <c r="BA933" s="181">
        <f t="shared" si="1373"/>
        <v>68458.368320397392</v>
      </c>
      <c r="BB933" s="182">
        <f t="shared" si="1373"/>
        <v>69142.952003601182</v>
      </c>
      <c r="BC933" s="140"/>
      <c r="BD933" s="180"/>
      <c r="BE933" s="181"/>
      <c r="BF933" s="181"/>
      <c r="BG933" s="181"/>
      <c r="BH933" s="181"/>
      <c r="BI933" s="181"/>
      <c r="BJ933" s="181">
        <f t="shared" ref="BJ933:CM933" si="1374">BJ931+BJ932</f>
        <v>42174.740651121145</v>
      </c>
      <c r="BK933" s="181">
        <f t="shared" si="1374"/>
        <v>44216.140172387735</v>
      </c>
      <c r="BL933" s="181">
        <f t="shared" si="1374"/>
        <v>44934.568056201708</v>
      </c>
      <c r="BM933" s="181">
        <f t="shared" si="1374"/>
        <v>45383.913736763738</v>
      </c>
      <c r="BN933" s="181">
        <f t="shared" si="1374"/>
        <v>45837.752874131365</v>
      </c>
      <c r="BO933" s="181">
        <f t="shared" si="1374"/>
        <v>46296.130402872674</v>
      </c>
      <c r="BP933" s="181">
        <f t="shared" si="1374"/>
        <v>46759.091706901403</v>
      </c>
      <c r="BQ933" s="181">
        <f t="shared" si="1374"/>
        <v>47226.682623970424</v>
      </c>
      <c r="BR933" s="181">
        <f t="shared" si="1374"/>
        <v>47698.949450210115</v>
      </c>
      <c r="BS933" s="181">
        <f t="shared" si="1374"/>
        <v>48175.938944712223</v>
      </c>
      <c r="BT933" s="181">
        <f t="shared" si="1374"/>
        <v>48657.698334159344</v>
      </c>
      <c r="BU933" s="181">
        <f t="shared" si="1374"/>
        <v>49144.275317500927</v>
      </c>
      <c r="BV933" s="181">
        <f t="shared" si="1374"/>
        <v>49635.718070675946</v>
      </c>
      <c r="BW933" s="181">
        <f t="shared" si="1374"/>
        <v>50132.07525138271</v>
      </c>
      <c r="BX933" s="181">
        <f t="shared" si="1374"/>
        <v>50633.396003896538</v>
      </c>
      <c r="BY933" s="181">
        <f t="shared" si="1374"/>
        <v>51139.729963935482</v>
      </c>
      <c r="BZ933" s="181">
        <f t="shared" si="1374"/>
        <v>51651.127263574839</v>
      </c>
      <c r="CA933" s="181">
        <f t="shared" si="1374"/>
        <v>52167.638536210601</v>
      </c>
      <c r="CB933" s="181">
        <f t="shared" si="1374"/>
        <v>52689.314921572717</v>
      </c>
      <c r="CC933" s="181">
        <f t="shared" si="1374"/>
        <v>53216.208070788431</v>
      </c>
      <c r="CD933" s="181">
        <f t="shared" si="1374"/>
        <v>53748.370151496325</v>
      </c>
      <c r="CE933" s="181">
        <f t="shared" si="1374"/>
        <v>54285.853853011286</v>
      </c>
      <c r="CF933" s="181">
        <f t="shared" si="1374"/>
        <v>54828.712391541398</v>
      </c>
      <c r="CG933" s="181">
        <f t="shared" si="1374"/>
        <v>55376.999515456817</v>
      </c>
      <c r="CH933" s="181">
        <f t="shared" si="1374"/>
        <v>55930.769510611368</v>
      </c>
      <c r="CI933" s="181">
        <f t="shared" si="1374"/>
        <v>56490.077205717505</v>
      </c>
      <c r="CJ933" s="181">
        <f t="shared" si="1374"/>
        <v>57054.977977774673</v>
      </c>
      <c r="CK933" s="181">
        <f t="shared" si="1374"/>
        <v>57625.527757552416</v>
      </c>
      <c r="CL933" s="181">
        <f t="shared" si="1374"/>
        <v>58201.783035127926</v>
      </c>
      <c r="CM933" s="182">
        <f t="shared" si="1374"/>
        <v>58783.800865479243</v>
      </c>
      <c r="CN933" s="140"/>
      <c r="CO933" s="180"/>
      <c r="CP933" s="181"/>
      <c r="CQ933" s="181"/>
      <c r="CR933" s="181"/>
      <c r="CS933" s="181"/>
      <c r="CT933" s="181"/>
      <c r="CU933" s="181">
        <f t="shared" ref="CU933:DX933" si="1375">CU931+CU932</f>
        <v>42841.646715721938</v>
      </c>
      <c r="CV933" s="181">
        <f t="shared" si="1375"/>
        <v>44915.326737116979</v>
      </c>
      <c r="CW933" s="181">
        <f t="shared" si="1375"/>
        <v>45645.115068091909</v>
      </c>
      <c r="CX933" s="181">
        <f t="shared" si="1375"/>
        <v>46101.56621877283</v>
      </c>
      <c r="CY933" s="181">
        <f t="shared" si="1375"/>
        <v>46562.581880960548</v>
      </c>
      <c r="CZ933" s="181">
        <f t="shared" si="1375"/>
        <v>47028.207699770166</v>
      </c>
      <c r="DA933" s="181">
        <f t="shared" si="1375"/>
        <v>47498.489776767863</v>
      </c>
      <c r="DB933" s="181">
        <f t="shared" si="1375"/>
        <v>47973.47467453553</v>
      </c>
      <c r="DC933" s="181">
        <f t="shared" si="1375"/>
        <v>48453.209421280881</v>
      </c>
      <c r="DD933" s="181">
        <f t="shared" si="1375"/>
        <v>48937.741515493675</v>
      </c>
      <c r="DE933" s="181">
        <f t="shared" si="1375"/>
        <v>49427.118930648634</v>
      </c>
      <c r="DF933" s="181">
        <f t="shared" si="1375"/>
        <v>49921.390119955111</v>
      </c>
      <c r="DG933" s="181">
        <f t="shared" si="1375"/>
        <v>50420.604021154671</v>
      </c>
      <c r="DH933" s="181">
        <f t="shared" si="1375"/>
        <v>50924.81006136621</v>
      </c>
      <c r="DI933" s="181">
        <f t="shared" si="1375"/>
        <v>51434.058161979869</v>
      </c>
      <c r="DJ933" s="181">
        <f t="shared" si="1375"/>
        <v>51948.398743599682</v>
      </c>
      <c r="DK933" s="181">
        <f t="shared" si="1375"/>
        <v>52467.882731035672</v>
      </c>
      <c r="DL933" s="181">
        <f t="shared" si="1375"/>
        <v>52992.561558346017</v>
      </c>
      <c r="DM933" s="181">
        <f t="shared" si="1375"/>
        <v>53522.487173929469</v>
      </c>
      <c r="DN933" s="181">
        <f t="shared" si="1375"/>
        <v>54057.712045668792</v>
      </c>
      <c r="DO933" s="181">
        <f t="shared" si="1375"/>
        <v>54598.289166125483</v>
      </c>
      <c r="DP933" s="181">
        <f t="shared" si="1375"/>
        <v>55144.272057786751</v>
      </c>
      <c r="DQ933" s="181">
        <f t="shared" si="1375"/>
        <v>55695.714778364563</v>
      </c>
      <c r="DR933" s="181">
        <f t="shared" si="1375"/>
        <v>56252.671926148265</v>
      </c>
      <c r="DS933" s="181">
        <f t="shared" si="1375"/>
        <v>56815.198645409735</v>
      </c>
      <c r="DT933" s="181">
        <f t="shared" si="1375"/>
        <v>57383.350631863825</v>
      </c>
      <c r="DU933" s="181">
        <f t="shared" si="1375"/>
        <v>57957.184138182449</v>
      </c>
      <c r="DV933" s="181">
        <f t="shared" si="1375"/>
        <v>58536.755979564303</v>
      </c>
      <c r="DW933" s="181">
        <f t="shared" si="1375"/>
        <v>59122.123539359949</v>
      </c>
      <c r="DX933" s="182">
        <f t="shared" si="1375"/>
        <v>59713.344774753496</v>
      </c>
      <c r="DY933" s="140"/>
      <c r="DZ933" s="180"/>
      <c r="EA933" s="181"/>
      <c r="EB933" s="181"/>
      <c r="EC933" s="181"/>
      <c r="ED933" s="181"/>
      <c r="EE933" s="181"/>
      <c r="EF933" s="181">
        <f t="shared" ref="EF933:FI933" si="1376">EF931+EF932</f>
        <v>41220.215951835766</v>
      </c>
      <c r="EG933" s="181">
        <f t="shared" si="1376"/>
        <v>43215.413262156297</v>
      </c>
      <c r="EH933" s="181">
        <f t="shared" si="1376"/>
        <v>43917.581243735694</v>
      </c>
      <c r="EI933" s="181">
        <f t="shared" si="1376"/>
        <v>44356.757056173061</v>
      </c>
      <c r="EJ933" s="181">
        <f t="shared" si="1376"/>
        <v>44800.324626734786</v>
      </c>
      <c r="EK933" s="181">
        <f t="shared" si="1376"/>
        <v>45248.327873002141</v>
      </c>
      <c r="EL933" s="181">
        <f t="shared" si="1376"/>
        <v>45700.811151732159</v>
      </c>
      <c r="EM933" s="181">
        <f t="shared" si="1376"/>
        <v>46157.81926324949</v>
      </c>
      <c r="EN933" s="181">
        <f t="shared" si="1376"/>
        <v>46619.397455881961</v>
      </c>
      <c r="EO933" s="181">
        <f t="shared" si="1376"/>
        <v>47085.591430440785</v>
      </c>
      <c r="EP933" s="181">
        <f t="shared" si="1376"/>
        <v>47556.447344745189</v>
      </c>
      <c r="EQ933" s="181">
        <f t="shared" si="1376"/>
        <v>48032.011818192637</v>
      </c>
      <c r="ER933" s="181">
        <f t="shared" si="1376"/>
        <v>48512.331936374576</v>
      </c>
      <c r="ES933" s="181">
        <f t="shared" si="1376"/>
        <v>48997.455255738314</v>
      </c>
      <c r="ET933" s="181">
        <f t="shared" si="1376"/>
        <v>49487.42980829571</v>
      </c>
      <c r="EU933" s="181">
        <f t="shared" si="1376"/>
        <v>49982.30410637868</v>
      </c>
      <c r="EV933" s="181">
        <f t="shared" si="1376"/>
        <v>50482.127147442436</v>
      </c>
      <c r="EW933" s="181">
        <f t="shared" si="1376"/>
        <v>50986.948418916858</v>
      </c>
      <c r="EX933" s="181">
        <f t="shared" si="1376"/>
        <v>51496.817903106057</v>
      </c>
      <c r="EY933" s="181">
        <f t="shared" si="1376"/>
        <v>52011.786082137092</v>
      </c>
      <c r="EZ933" s="181">
        <f t="shared" si="1376"/>
        <v>52531.903942958445</v>
      </c>
      <c r="FA933" s="181">
        <f t="shared" si="1376"/>
        <v>53057.222982388113</v>
      </c>
      <c r="FB933" s="181">
        <f t="shared" si="1376"/>
        <v>53587.795212211931</v>
      </c>
      <c r="FC933" s="181">
        <f t="shared" si="1376"/>
        <v>54123.673164334046</v>
      </c>
      <c r="FD933" s="181">
        <f t="shared" si="1376"/>
        <v>54664.909895977406</v>
      </c>
      <c r="FE933" s="181">
        <f t="shared" si="1376"/>
        <v>55211.558994937157</v>
      </c>
      <c r="FF933" s="181">
        <f t="shared" si="1376"/>
        <v>55763.67458488659</v>
      </c>
      <c r="FG933" s="181">
        <f t="shared" si="1376"/>
        <v>56321.311330735349</v>
      </c>
      <c r="FH933" s="181">
        <f t="shared" si="1376"/>
        <v>56884.524444042807</v>
      </c>
      <c r="FI933" s="182">
        <f t="shared" si="1376"/>
        <v>57453.369688483173</v>
      </c>
      <c r="FJ933" s="140"/>
      <c r="FK933" s="180"/>
      <c r="FL933" s="181"/>
      <c r="FM933" s="181"/>
      <c r="FN933" s="181"/>
      <c r="FO933" s="181"/>
      <c r="FP933" s="181"/>
      <c r="FQ933" s="181">
        <f t="shared" ref="FQ933:GT933" si="1377">FQ931+FQ932</f>
        <v>45031.531494110408</v>
      </c>
      <c r="FR933" s="181">
        <f t="shared" si="1377"/>
        <v>47211.209315828899</v>
      </c>
      <c r="FS933" s="181">
        <f t="shared" si="1377"/>
        <v>47978.301356627417</v>
      </c>
      <c r="FT933" s="181">
        <f t="shared" si="1377"/>
        <v>48458.084370193697</v>
      </c>
      <c r="FU933" s="181">
        <f t="shared" si="1377"/>
        <v>48942.665213895627</v>
      </c>
      <c r="FV933" s="181">
        <f t="shared" si="1377"/>
        <v>49432.091866034578</v>
      </c>
      <c r="FW933" s="181">
        <f t="shared" si="1377"/>
        <v>49926.412784694927</v>
      </c>
      <c r="FX933" s="181">
        <f t="shared" si="1377"/>
        <v>50425.676912541887</v>
      </c>
      <c r="FY933" s="181">
        <f t="shared" si="1377"/>
        <v>50929.933681667288</v>
      </c>
      <c r="FZ933" s="181">
        <f t="shared" si="1377"/>
        <v>51439.233018483967</v>
      </c>
      <c r="GA933" s="181">
        <f t="shared" si="1377"/>
        <v>51953.625348668807</v>
      </c>
      <c r="GB933" s="181">
        <f t="shared" si="1377"/>
        <v>52473.161602155473</v>
      </c>
      <c r="GC933" s="181">
        <f t="shared" si="1377"/>
        <v>52997.893218177036</v>
      </c>
      <c r="GD933" s="181">
        <f t="shared" si="1377"/>
        <v>53527.872150358831</v>
      </c>
      <c r="GE933" s="181">
        <f t="shared" si="1377"/>
        <v>54063.150871862417</v>
      </c>
      <c r="GF933" s="181">
        <f t="shared" si="1377"/>
        <v>54603.782380581019</v>
      </c>
      <c r="GG933" s="181">
        <f t="shared" si="1377"/>
        <v>55149.82020438683</v>
      </c>
      <c r="GH933" s="181">
        <f t="shared" si="1377"/>
        <v>55701.318406430706</v>
      </c>
      <c r="GI933" s="181">
        <f t="shared" si="1377"/>
        <v>56258.331590495043</v>
      </c>
      <c r="GJ933" s="181">
        <f t="shared" si="1377"/>
        <v>56820.91490639995</v>
      </c>
      <c r="GK933" s="181">
        <f t="shared" si="1377"/>
        <v>57389.124055463959</v>
      </c>
      <c r="GL933" s="181">
        <f t="shared" si="1377"/>
        <v>57963.015296018624</v>
      </c>
      <c r="GM933" s="181">
        <f t="shared" si="1377"/>
        <v>58542.645448978823</v>
      </c>
      <c r="GN933" s="181">
        <f t="shared" si="1377"/>
        <v>59128.071903468539</v>
      </c>
      <c r="GO933" s="181">
        <f t="shared" si="1377"/>
        <v>59719.352622503298</v>
      </c>
      <c r="GP933" s="181">
        <f t="shared" si="1377"/>
        <v>60316.546148728259</v>
      </c>
      <c r="GQ933" s="181">
        <f t="shared" si="1377"/>
        <v>60919.711610215636</v>
      </c>
      <c r="GR933" s="181">
        <f t="shared" si="1377"/>
        <v>61528.908726317699</v>
      </c>
      <c r="GS933" s="181">
        <f t="shared" si="1377"/>
        <v>62144.197813580948</v>
      </c>
      <c r="GT933" s="182">
        <f t="shared" si="1377"/>
        <v>62765.63979171672</v>
      </c>
      <c r="GU933" s="140"/>
      <c r="GV933" s="180"/>
      <c r="GW933" s="181"/>
      <c r="GX933" s="181"/>
      <c r="GY933" s="181"/>
      <c r="GZ933" s="181"/>
      <c r="HA933" s="181"/>
      <c r="HB933" s="181">
        <f t="shared" ref="HB933:IE933" si="1378">HB931+HB932</f>
        <v>44109.102087588071</v>
      </c>
      <c r="HC933" s="181">
        <f t="shared" si="1378"/>
        <v>46244.131218649432</v>
      </c>
      <c r="HD933" s="181">
        <f t="shared" si="1378"/>
        <v>46995.510086201008</v>
      </c>
      <c r="HE933" s="181">
        <f t="shared" si="1378"/>
        <v>47465.465187063019</v>
      </c>
      <c r="HF933" s="181">
        <f t="shared" si="1378"/>
        <v>47940.11983893365</v>
      </c>
      <c r="HG933" s="181">
        <f t="shared" si="1378"/>
        <v>48419.521037322993</v>
      </c>
      <c r="HH933" s="181">
        <f t="shared" si="1378"/>
        <v>48903.716247696218</v>
      </c>
      <c r="HI933" s="181">
        <f t="shared" si="1378"/>
        <v>49392.753410173165</v>
      </c>
      <c r="HJ933" s="181">
        <f t="shared" si="1378"/>
        <v>49886.6809442749</v>
      </c>
      <c r="HK933" s="181">
        <f t="shared" si="1378"/>
        <v>50385.547753717641</v>
      </c>
      <c r="HL933" s="181">
        <f t="shared" si="1378"/>
        <v>50889.403231254852</v>
      </c>
      <c r="HM933" s="181">
        <f t="shared" si="1378"/>
        <v>51398.29726356738</v>
      </c>
      <c r="HN933" s="181">
        <f t="shared" si="1378"/>
        <v>51912.280236203042</v>
      </c>
      <c r="HO933" s="181">
        <f t="shared" si="1378"/>
        <v>52431.403038565084</v>
      </c>
      <c r="HP933" s="181">
        <f t="shared" si="1378"/>
        <v>52955.717068950726</v>
      </c>
      <c r="HQ933" s="181">
        <f t="shared" si="1378"/>
        <v>53485.27423964021</v>
      </c>
      <c r="HR933" s="181">
        <f t="shared" si="1378"/>
        <v>54020.126982036672</v>
      </c>
      <c r="HS933" s="181">
        <f t="shared" si="1378"/>
        <v>54560.328251856983</v>
      </c>
      <c r="HT933" s="181">
        <f t="shared" si="1378"/>
        <v>55105.931534375573</v>
      </c>
      <c r="HU933" s="181">
        <f t="shared" si="1378"/>
        <v>55656.990849719339</v>
      </c>
      <c r="HV933" s="181">
        <f t="shared" si="1378"/>
        <v>56213.560758216525</v>
      </c>
      <c r="HW933" s="181">
        <f t="shared" si="1378"/>
        <v>56775.696365798722</v>
      </c>
      <c r="HX933" s="181">
        <f t="shared" si="1378"/>
        <v>57343.45332945665</v>
      </c>
      <c r="HY933" s="181">
        <f t="shared" si="1378"/>
        <v>57916.887862751275</v>
      </c>
      <c r="HZ933" s="181">
        <f t="shared" si="1378"/>
        <v>58496.056741378728</v>
      </c>
      <c r="IA933" s="181">
        <f t="shared" si="1378"/>
        <v>59081.017308792565</v>
      </c>
      <c r="IB933" s="181">
        <f t="shared" si="1378"/>
        <v>59671.8274818805</v>
      </c>
      <c r="IC933" s="181">
        <f t="shared" si="1378"/>
        <v>60268.545756699248</v>
      </c>
      <c r="ID933" s="181">
        <f t="shared" si="1378"/>
        <v>60871.231214266285</v>
      </c>
      <c r="IE933" s="182">
        <f t="shared" si="1378"/>
        <v>61479.943526408933</v>
      </c>
      <c r="IF933" s="140"/>
      <c r="IG933" s="180"/>
      <c r="IH933" s="181"/>
      <c r="II933" s="181"/>
      <c r="IJ933" s="181"/>
      <c r="IK933" s="181"/>
      <c r="IL933" s="181"/>
      <c r="IM933" s="181"/>
      <c r="IN933" s="181"/>
      <c r="IO933" s="181"/>
      <c r="IP933" s="181">
        <f t="shared" ref="IP933:JP933" si="1379">IP931+IP932</f>
        <v>56084.70259434601</v>
      </c>
      <c r="IQ933" s="181">
        <f t="shared" si="1379"/>
        <v>56645.549620289457</v>
      </c>
      <c r="IR933" s="181">
        <f t="shared" si="1379"/>
        <v>57212.005116492357</v>
      </c>
      <c r="IS933" s="181">
        <f t="shared" si="1379"/>
        <v>57784.125167657272</v>
      </c>
      <c r="IT933" s="181">
        <f t="shared" si="1379"/>
        <v>58361.966419333839</v>
      </c>
      <c r="IU933" s="181">
        <f t="shared" si="1379"/>
        <v>58945.586083527181</v>
      </c>
      <c r="IV933" s="181">
        <f t="shared" si="1379"/>
        <v>59535.041944362456</v>
      </c>
      <c r="IW933" s="181">
        <f t="shared" si="1379"/>
        <v>32269.601303464515</v>
      </c>
      <c r="IX933" s="181">
        <f t="shared" si="1379"/>
        <v>32592.297316499164</v>
      </c>
      <c r="IY933" s="181">
        <f t="shared" si="1379"/>
        <v>32918.220289664154</v>
      </c>
      <c r="IZ933" s="181">
        <f t="shared" si="1379"/>
        <v>33247.402492560796</v>
      </c>
      <c r="JA933" s="181">
        <f t="shared" si="1379"/>
        <v>33579.876517486402</v>
      </c>
      <c r="JB933" s="181">
        <f t="shared" si="1379"/>
        <v>33915.675282661265</v>
      </c>
      <c r="JC933" s="181">
        <f t="shared" si="1379"/>
        <v>34254.832035487874</v>
      </c>
      <c r="JD933" s="181">
        <f t="shared" si="1379"/>
        <v>34597.380355842753</v>
      </c>
      <c r="JE933" s="181">
        <f t="shared" si="1379"/>
        <v>34943.354159401184</v>
      </c>
      <c r="JF933" s="181">
        <f t="shared" si="1379"/>
        <v>35292.787700995199</v>
      </c>
      <c r="JG933" s="181">
        <f t="shared" si="1379"/>
        <v>35645.715578005154</v>
      </c>
      <c r="JH933" s="181">
        <f t="shared" si="1379"/>
        <v>36002.172733785206</v>
      </c>
      <c r="JI933" s="181">
        <f t="shared" si="1379"/>
        <v>36362.19446112305</v>
      </c>
      <c r="JJ933" s="181">
        <f t="shared" si="1379"/>
        <v>36725.816405734287</v>
      </c>
      <c r="JK933" s="181">
        <f t="shared" si="1379"/>
        <v>37093.074569791628</v>
      </c>
      <c r="JL933" s="181">
        <f t="shared" si="1379"/>
        <v>37464.005315489543</v>
      </c>
      <c r="JM933" s="181">
        <f t="shared" si="1379"/>
        <v>37838.645368644437</v>
      </c>
      <c r="JN933" s="181">
        <f t="shared" si="1379"/>
        <v>38217.031822330886</v>
      </c>
      <c r="JO933" s="181">
        <f t="shared" si="1379"/>
        <v>38599.202140554189</v>
      </c>
      <c r="JP933" s="182">
        <f t="shared" si="1379"/>
        <v>38985.194161959735</v>
      </c>
      <c r="JQ933" s="140"/>
      <c r="JR933" s="180"/>
      <c r="JS933" s="181"/>
      <c r="JT933" s="181"/>
      <c r="JU933" s="181"/>
      <c r="JV933" s="181"/>
      <c r="JW933" s="181"/>
      <c r="JX933" s="181"/>
      <c r="JY933" s="181"/>
      <c r="JZ933" s="181"/>
      <c r="KA933" s="181">
        <f t="shared" ref="KA933:LA933" si="1380">KA931+KA932</f>
        <v>52717.409204194715</v>
      </c>
      <c r="KB933" s="181">
        <f t="shared" si="1380"/>
        <v>56491.872642328322</v>
      </c>
      <c r="KC933" s="181">
        <f t="shared" si="1380"/>
        <v>59143.410507497341</v>
      </c>
      <c r="KD933" s="181">
        <f t="shared" si="1380"/>
        <v>63059.879642340253</v>
      </c>
      <c r="KE933" s="181">
        <f t="shared" si="1380"/>
        <v>66505.49639110791</v>
      </c>
      <c r="KF933" s="181">
        <f t="shared" si="1380"/>
        <v>68744.454562116283</v>
      </c>
      <c r="KG933" s="181">
        <f t="shared" si="1380"/>
        <v>69521.12826462122</v>
      </c>
      <c r="KH933" s="181">
        <f t="shared" si="1380"/>
        <v>68844.676710718501</v>
      </c>
      <c r="KI933" s="181">
        <f t="shared" si="1380"/>
        <v>66551.120175636592</v>
      </c>
      <c r="KJ933" s="181">
        <f t="shared" si="1380"/>
        <v>63021.47995553162</v>
      </c>
      <c r="KK933" s="181">
        <f t="shared" si="1380"/>
        <v>58637.012888027428</v>
      </c>
      <c r="KL933" s="181">
        <f t="shared" si="1380"/>
        <v>53830.770292201334</v>
      </c>
      <c r="KM933" s="181">
        <f t="shared" si="1380"/>
        <v>49018.097867809141</v>
      </c>
      <c r="KN933" s="181">
        <f t="shared" si="1380"/>
        <v>44540.414354291272</v>
      </c>
      <c r="KO933" s="181">
        <f t="shared" si="1380"/>
        <v>40631.972494157322</v>
      </c>
      <c r="KP933" s="181">
        <f t="shared" si="1380"/>
        <v>37412.01944037353</v>
      </c>
      <c r="KQ933" s="181">
        <f t="shared" si="1380"/>
        <v>34898.233843060007</v>
      </c>
      <c r="KR933" s="181">
        <f t="shared" si="1380"/>
        <v>33033.341989414403</v>
      </c>
      <c r="KS933" s="181">
        <f t="shared" si="1380"/>
        <v>31715.972695836703</v>
      </c>
      <c r="KT933" s="181">
        <f t="shared" si="1380"/>
        <v>30828.509052230409</v>
      </c>
      <c r="KU933" s="181">
        <f t="shared" si="1380"/>
        <v>30257.700335183661</v>
      </c>
      <c r="KV933" s="181">
        <f t="shared" si="1380"/>
        <v>29906.846367130322</v>
      </c>
      <c r="KW933" s="181">
        <f t="shared" si="1380"/>
        <v>29700.604507713429</v>
      </c>
      <c r="KX933" s="181">
        <f t="shared" si="1380"/>
        <v>29584.593067529193</v>
      </c>
      <c r="KY933" s="181">
        <f t="shared" si="1380"/>
        <v>29522.117304979831</v>
      </c>
      <c r="KZ933" s="181">
        <f t="shared" si="1380"/>
        <v>29489.892772691495</v>
      </c>
      <c r="LA933" s="182">
        <f t="shared" si="1380"/>
        <v>29473.967918769842</v>
      </c>
      <c r="LB933" s="140"/>
      <c r="LC933" s="180"/>
      <c r="LD933" s="181"/>
      <c r="LE933" s="181"/>
      <c r="LF933" s="181"/>
      <c r="LG933" s="181"/>
      <c r="LH933" s="181"/>
      <c r="LI933" s="181"/>
      <c r="LJ933" s="181"/>
      <c r="LK933" s="181"/>
      <c r="LL933" s="181">
        <f t="shared" ref="LL933:ML933" si="1381">LL931+LL932</f>
        <v>44996.782543513058</v>
      </c>
      <c r="LM933" s="181">
        <f t="shared" si="1381"/>
        <v>46855.127618660423</v>
      </c>
      <c r="LN933" s="181">
        <f t="shared" si="1381"/>
        <v>48247.992584045242</v>
      </c>
      <c r="LO933" s="181">
        <f t="shared" si="1381"/>
        <v>49054.314663797697</v>
      </c>
      <c r="LP933" s="181">
        <f t="shared" si="1381"/>
        <v>49217.777234984547</v>
      </c>
      <c r="LQ933" s="181">
        <f t="shared" si="1381"/>
        <v>48757.633689039772</v>
      </c>
      <c r="LR933" s="181">
        <f t="shared" si="1381"/>
        <v>47764.991382150416</v>
      </c>
      <c r="LS933" s="181">
        <f t="shared" si="1381"/>
        <v>48266.58173101618</v>
      </c>
      <c r="LT933" s="181">
        <f t="shared" si="1381"/>
        <v>48477.150290079036</v>
      </c>
      <c r="LU933" s="181">
        <f t="shared" si="1381"/>
        <v>48169.688810874337</v>
      </c>
      <c r="LV933" s="181">
        <f t="shared" si="1381"/>
        <v>49451.541010909626</v>
      </c>
      <c r="LW933" s="181">
        <f t="shared" si="1381"/>
        <v>50226.398498288181</v>
      </c>
      <c r="LX933" s="181">
        <f t="shared" si="1381"/>
        <v>50445.516985228911</v>
      </c>
      <c r="LY933" s="181">
        <f t="shared" si="1381"/>
        <v>50125.571337047964</v>
      </c>
      <c r="LZ933" s="181">
        <f t="shared" si="1381"/>
        <v>49345.438681432483</v>
      </c>
      <c r="MA933" s="181">
        <f t="shared" si="1381"/>
        <v>48231.254101752333</v>
      </c>
      <c r="MB933" s="181">
        <f t="shared" si="1381"/>
        <v>46933.653648073174</v>
      </c>
      <c r="MC933" s="181">
        <f t="shared" si="1381"/>
        <v>47528.112161010402</v>
      </c>
      <c r="MD933" s="181">
        <f t="shared" si="1381"/>
        <v>49226.643141641485</v>
      </c>
      <c r="ME933" s="181">
        <f t="shared" si="1381"/>
        <v>49718.909573057899</v>
      </c>
      <c r="MF933" s="181">
        <f t="shared" si="1381"/>
        <v>51220.648648307026</v>
      </c>
      <c r="MG933" s="181">
        <f t="shared" si="1381"/>
        <v>52392.138219448338</v>
      </c>
      <c r="MH933" s="181">
        <f t="shared" si="1381"/>
        <v>53147.045744841322</v>
      </c>
      <c r="MI933" s="181">
        <f t="shared" si="1381"/>
        <v>53445.220197659248</v>
      </c>
      <c r="MJ933" s="181">
        <f t="shared" si="1381"/>
        <v>53300.412378229368</v>
      </c>
      <c r="MK933" s="181">
        <f t="shared" si="1381"/>
        <v>52777.624377709915</v>
      </c>
      <c r="ML933" s="182">
        <f t="shared" si="1381"/>
        <v>51980.796308987556</v>
      </c>
    </row>
    <row r="934" spans="3:350" ht="18" customHeight="1" x14ac:dyDescent="0.3">
      <c r="E934" s="361"/>
    </row>
    <row r="935" spans="3:350" ht="18" customHeight="1" x14ac:dyDescent="0.3">
      <c r="C935" s="4" t="s">
        <v>423</v>
      </c>
      <c r="E935" s="361"/>
    </row>
    <row r="937" spans="3:350" x14ac:dyDescent="0.3">
      <c r="C937" s="120" t="s">
        <v>424</v>
      </c>
      <c r="H937" s="121" t="s">
        <v>100</v>
      </c>
      <c r="S937" s="122" t="s">
        <v>5</v>
      </c>
      <c r="BD937" s="123" t="s">
        <v>6</v>
      </c>
      <c r="CO937" s="124" t="s">
        <v>7</v>
      </c>
      <c r="DZ937" s="125" t="s">
        <v>8</v>
      </c>
      <c r="FK937" s="126" t="s">
        <v>9</v>
      </c>
      <c r="GV937" s="127" t="s">
        <v>10</v>
      </c>
      <c r="IG937" s="128" t="s">
        <v>11</v>
      </c>
      <c r="JR937" s="129" t="str">
        <f>JR$4</f>
        <v>AMS2 2023</v>
      </c>
      <c r="LC937" s="130" t="str">
        <f>LC$4</f>
        <v>AMS3 2025</v>
      </c>
    </row>
    <row r="938" spans="3:350" s="4" customFormat="1" ht="18" customHeight="1" x14ac:dyDescent="0.3">
      <c r="C938" s="131"/>
      <c r="D938" s="132"/>
      <c r="E938" s="133" t="s">
        <v>101</v>
      </c>
      <c r="F938" s="134" t="s">
        <v>102</v>
      </c>
      <c r="H938" s="135">
        <f t="shared" ref="H938:Q938" si="1382">H$1</f>
        <v>2015</v>
      </c>
      <c r="I938" s="133">
        <f t="shared" si="1382"/>
        <v>2016</v>
      </c>
      <c r="J938" s="133">
        <f t="shared" si="1382"/>
        <v>2017</v>
      </c>
      <c r="K938" s="133">
        <f t="shared" si="1382"/>
        <v>2018</v>
      </c>
      <c r="L938" s="133">
        <f t="shared" si="1382"/>
        <v>2019</v>
      </c>
      <c r="M938" s="133">
        <f t="shared" si="1382"/>
        <v>2020</v>
      </c>
      <c r="N938" s="133">
        <f t="shared" si="1382"/>
        <v>2021</v>
      </c>
      <c r="O938" s="133">
        <f t="shared" si="1382"/>
        <v>2022</v>
      </c>
      <c r="P938" s="133">
        <f t="shared" si="1382"/>
        <v>2023</v>
      </c>
      <c r="Q938" s="134">
        <f t="shared" si="1382"/>
        <v>2024</v>
      </c>
      <c r="S938" s="135">
        <f t="shared" ref="S938:BB938" si="1383">S$1</f>
        <v>2015</v>
      </c>
      <c r="T938" s="133">
        <f t="shared" si="1383"/>
        <v>2016</v>
      </c>
      <c r="U938" s="133">
        <f t="shared" si="1383"/>
        <v>2017</v>
      </c>
      <c r="V938" s="133">
        <f t="shared" si="1383"/>
        <v>2018</v>
      </c>
      <c r="W938" s="133">
        <f t="shared" si="1383"/>
        <v>2019</v>
      </c>
      <c r="X938" s="133">
        <f t="shared" si="1383"/>
        <v>2020</v>
      </c>
      <c r="Y938" s="133">
        <f t="shared" si="1383"/>
        <v>2021</v>
      </c>
      <c r="Z938" s="133">
        <f t="shared" si="1383"/>
        <v>2022</v>
      </c>
      <c r="AA938" s="133">
        <f t="shared" si="1383"/>
        <v>2023</v>
      </c>
      <c r="AB938" s="133">
        <f t="shared" si="1383"/>
        <v>2024</v>
      </c>
      <c r="AC938" s="133">
        <f t="shared" si="1383"/>
        <v>2025</v>
      </c>
      <c r="AD938" s="133">
        <f t="shared" si="1383"/>
        <v>2026</v>
      </c>
      <c r="AE938" s="133">
        <f t="shared" si="1383"/>
        <v>2027</v>
      </c>
      <c r="AF938" s="133">
        <f t="shared" si="1383"/>
        <v>2028</v>
      </c>
      <c r="AG938" s="133">
        <f t="shared" si="1383"/>
        <v>2029</v>
      </c>
      <c r="AH938" s="133">
        <f t="shared" si="1383"/>
        <v>2030</v>
      </c>
      <c r="AI938" s="133">
        <f t="shared" si="1383"/>
        <v>2031</v>
      </c>
      <c r="AJ938" s="133">
        <f t="shared" si="1383"/>
        <v>2032</v>
      </c>
      <c r="AK938" s="133">
        <f t="shared" si="1383"/>
        <v>2033</v>
      </c>
      <c r="AL938" s="133">
        <f t="shared" si="1383"/>
        <v>2034</v>
      </c>
      <c r="AM938" s="133">
        <f t="shared" si="1383"/>
        <v>2035</v>
      </c>
      <c r="AN938" s="133">
        <f t="shared" si="1383"/>
        <v>2036</v>
      </c>
      <c r="AO938" s="133">
        <f t="shared" si="1383"/>
        <v>2037</v>
      </c>
      <c r="AP938" s="133">
        <f t="shared" si="1383"/>
        <v>2038</v>
      </c>
      <c r="AQ938" s="133">
        <f t="shared" si="1383"/>
        <v>2039</v>
      </c>
      <c r="AR938" s="133">
        <f t="shared" si="1383"/>
        <v>2040</v>
      </c>
      <c r="AS938" s="133">
        <f t="shared" si="1383"/>
        <v>2041</v>
      </c>
      <c r="AT938" s="133">
        <f t="shared" si="1383"/>
        <v>2042</v>
      </c>
      <c r="AU938" s="133">
        <f t="shared" si="1383"/>
        <v>2043</v>
      </c>
      <c r="AV938" s="133">
        <f t="shared" si="1383"/>
        <v>2044</v>
      </c>
      <c r="AW938" s="133">
        <f t="shared" si="1383"/>
        <v>2045</v>
      </c>
      <c r="AX938" s="133">
        <f t="shared" si="1383"/>
        <v>2046</v>
      </c>
      <c r="AY938" s="133">
        <f t="shared" si="1383"/>
        <v>2047</v>
      </c>
      <c r="AZ938" s="133">
        <f t="shared" si="1383"/>
        <v>2048</v>
      </c>
      <c r="BA938" s="133">
        <f t="shared" si="1383"/>
        <v>2049</v>
      </c>
      <c r="BB938" s="134">
        <f t="shared" si="1383"/>
        <v>2050</v>
      </c>
      <c r="BD938" s="135">
        <f t="shared" ref="BD938:CM938" si="1384">BD$1</f>
        <v>2015</v>
      </c>
      <c r="BE938" s="133">
        <f t="shared" si="1384"/>
        <v>2016</v>
      </c>
      <c r="BF938" s="133">
        <f t="shared" si="1384"/>
        <v>2017</v>
      </c>
      <c r="BG938" s="133">
        <f t="shared" si="1384"/>
        <v>2018</v>
      </c>
      <c r="BH938" s="133">
        <f t="shared" si="1384"/>
        <v>2019</v>
      </c>
      <c r="BI938" s="133">
        <f t="shared" si="1384"/>
        <v>2020</v>
      </c>
      <c r="BJ938" s="133">
        <f t="shared" si="1384"/>
        <v>2021</v>
      </c>
      <c r="BK938" s="133">
        <f t="shared" si="1384"/>
        <v>2022</v>
      </c>
      <c r="BL938" s="133">
        <f t="shared" si="1384"/>
        <v>2023</v>
      </c>
      <c r="BM938" s="133">
        <f t="shared" si="1384"/>
        <v>2024</v>
      </c>
      <c r="BN938" s="133">
        <f t="shared" si="1384"/>
        <v>2025</v>
      </c>
      <c r="BO938" s="133">
        <f t="shared" si="1384"/>
        <v>2026</v>
      </c>
      <c r="BP938" s="133">
        <f t="shared" si="1384"/>
        <v>2027</v>
      </c>
      <c r="BQ938" s="133">
        <f t="shared" si="1384"/>
        <v>2028</v>
      </c>
      <c r="BR938" s="133">
        <f t="shared" si="1384"/>
        <v>2029</v>
      </c>
      <c r="BS938" s="133">
        <f t="shared" si="1384"/>
        <v>2030</v>
      </c>
      <c r="BT938" s="133">
        <f t="shared" si="1384"/>
        <v>2031</v>
      </c>
      <c r="BU938" s="133">
        <f t="shared" si="1384"/>
        <v>2032</v>
      </c>
      <c r="BV938" s="133">
        <f t="shared" si="1384"/>
        <v>2033</v>
      </c>
      <c r="BW938" s="133">
        <f t="shared" si="1384"/>
        <v>2034</v>
      </c>
      <c r="BX938" s="133">
        <f t="shared" si="1384"/>
        <v>2035</v>
      </c>
      <c r="BY938" s="133">
        <f t="shared" si="1384"/>
        <v>2036</v>
      </c>
      <c r="BZ938" s="133">
        <f t="shared" si="1384"/>
        <v>2037</v>
      </c>
      <c r="CA938" s="133">
        <f t="shared" si="1384"/>
        <v>2038</v>
      </c>
      <c r="CB938" s="133">
        <f t="shared" si="1384"/>
        <v>2039</v>
      </c>
      <c r="CC938" s="133">
        <f t="shared" si="1384"/>
        <v>2040</v>
      </c>
      <c r="CD938" s="133">
        <f t="shared" si="1384"/>
        <v>2041</v>
      </c>
      <c r="CE938" s="133">
        <f t="shared" si="1384"/>
        <v>2042</v>
      </c>
      <c r="CF938" s="133">
        <f t="shared" si="1384"/>
        <v>2043</v>
      </c>
      <c r="CG938" s="133">
        <f t="shared" si="1384"/>
        <v>2044</v>
      </c>
      <c r="CH938" s="133">
        <f t="shared" si="1384"/>
        <v>2045</v>
      </c>
      <c r="CI938" s="133">
        <f t="shared" si="1384"/>
        <v>2046</v>
      </c>
      <c r="CJ938" s="133">
        <f t="shared" si="1384"/>
        <v>2047</v>
      </c>
      <c r="CK938" s="133">
        <f t="shared" si="1384"/>
        <v>2048</v>
      </c>
      <c r="CL938" s="133">
        <f t="shared" si="1384"/>
        <v>2049</v>
      </c>
      <c r="CM938" s="134">
        <f t="shared" si="1384"/>
        <v>2050</v>
      </c>
      <c r="CO938" s="135">
        <f t="shared" ref="CO938:DX938" si="1385">CO$1</f>
        <v>2015</v>
      </c>
      <c r="CP938" s="133">
        <f t="shared" si="1385"/>
        <v>2016</v>
      </c>
      <c r="CQ938" s="133">
        <f t="shared" si="1385"/>
        <v>2017</v>
      </c>
      <c r="CR938" s="133">
        <f t="shared" si="1385"/>
        <v>2018</v>
      </c>
      <c r="CS938" s="133">
        <f t="shared" si="1385"/>
        <v>2019</v>
      </c>
      <c r="CT938" s="133">
        <f t="shared" si="1385"/>
        <v>2020</v>
      </c>
      <c r="CU938" s="133">
        <f t="shared" si="1385"/>
        <v>2021</v>
      </c>
      <c r="CV938" s="133">
        <f t="shared" si="1385"/>
        <v>2022</v>
      </c>
      <c r="CW938" s="133">
        <f t="shared" si="1385"/>
        <v>2023</v>
      </c>
      <c r="CX938" s="133">
        <f t="shared" si="1385"/>
        <v>2024</v>
      </c>
      <c r="CY938" s="133">
        <f t="shared" si="1385"/>
        <v>2025</v>
      </c>
      <c r="CZ938" s="133">
        <f t="shared" si="1385"/>
        <v>2026</v>
      </c>
      <c r="DA938" s="133">
        <f t="shared" si="1385"/>
        <v>2027</v>
      </c>
      <c r="DB938" s="133">
        <f t="shared" si="1385"/>
        <v>2028</v>
      </c>
      <c r="DC938" s="133">
        <f t="shared" si="1385"/>
        <v>2029</v>
      </c>
      <c r="DD938" s="133">
        <f t="shared" si="1385"/>
        <v>2030</v>
      </c>
      <c r="DE938" s="133">
        <f t="shared" si="1385"/>
        <v>2031</v>
      </c>
      <c r="DF938" s="133">
        <f t="shared" si="1385"/>
        <v>2032</v>
      </c>
      <c r="DG938" s="133">
        <f t="shared" si="1385"/>
        <v>2033</v>
      </c>
      <c r="DH938" s="133">
        <f t="shared" si="1385"/>
        <v>2034</v>
      </c>
      <c r="DI938" s="133">
        <f t="shared" si="1385"/>
        <v>2035</v>
      </c>
      <c r="DJ938" s="133">
        <f t="shared" si="1385"/>
        <v>2036</v>
      </c>
      <c r="DK938" s="133">
        <f t="shared" si="1385"/>
        <v>2037</v>
      </c>
      <c r="DL938" s="133">
        <f t="shared" si="1385"/>
        <v>2038</v>
      </c>
      <c r="DM938" s="133">
        <f t="shared" si="1385"/>
        <v>2039</v>
      </c>
      <c r="DN938" s="133">
        <f t="shared" si="1385"/>
        <v>2040</v>
      </c>
      <c r="DO938" s="133">
        <f t="shared" si="1385"/>
        <v>2041</v>
      </c>
      <c r="DP938" s="133">
        <f t="shared" si="1385"/>
        <v>2042</v>
      </c>
      <c r="DQ938" s="133">
        <f t="shared" si="1385"/>
        <v>2043</v>
      </c>
      <c r="DR938" s="133">
        <f t="shared" si="1385"/>
        <v>2044</v>
      </c>
      <c r="DS938" s="133">
        <f t="shared" si="1385"/>
        <v>2045</v>
      </c>
      <c r="DT938" s="133">
        <f t="shared" si="1385"/>
        <v>2046</v>
      </c>
      <c r="DU938" s="133">
        <f t="shared" si="1385"/>
        <v>2047</v>
      </c>
      <c r="DV938" s="133">
        <f t="shared" si="1385"/>
        <v>2048</v>
      </c>
      <c r="DW938" s="133">
        <f t="shared" si="1385"/>
        <v>2049</v>
      </c>
      <c r="DX938" s="134">
        <f t="shared" si="1385"/>
        <v>2050</v>
      </c>
      <c r="DZ938" s="135">
        <f t="shared" ref="DZ938:FI938" si="1386">DZ$1</f>
        <v>2015</v>
      </c>
      <c r="EA938" s="133">
        <f t="shared" si="1386"/>
        <v>2016</v>
      </c>
      <c r="EB938" s="133">
        <f t="shared" si="1386"/>
        <v>2017</v>
      </c>
      <c r="EC938" s="133">
        <f t="shared" si="1386"/>
        <v>2018</v>
      </c>
      <c r="ED938" s="133">
        <f t="shared" si="1386"/>
        <v>2019</v>
      </c>
      <c r="EE938" s="133">
        <f t="shared" si="1386"/>
        <v>2020</v>
      </c>
      <c r="EF938" s="133">
        <f t="shared" si="1386"/>
        <v>2021</v>
      </c>
      <c r="EG938" s="133">
        <f t="shared" si="1386"/>
        <v>2022</v>
      </c>
      <c r="EH938" s="133">
        <f t="shared" si="1386"/>
        <v>2023</v>
      </c>
      <c r="EI938" s="133">
        <f t="shared" si="1386"/>
        <v>2024</v>
      </c>
      <c r="EJ938" s="133">
        <f t="shared" si="1386"/>
        <v>2025</v>
      </c>
      <c r="EK938" s="133">
        <f t="shared" si="1386"/>
        <v>2026</v>
      </c>
      <c r="EL938" s="133">
        <f t="shared" si="1386"/>
        <v>2027</v>
      </c>
      <c r="EM938" s="133">
        <f t="shared" si="1386"/>
        <v>2028</v>
      </c>
      <c r="EN938" s="133">
        <f t="shared" si="1386"/>
        <v>2029</v>
      </c>
      <c r="EO938" s="133">
        <f t="shared" si="1386"/>
        <v>2030</v>
      </c>
      <c r="EP938" s="133">
        <f t="shared" si="1386"/>
        <v>2031</v>
      </c>
      <c r="EQ938" s="133">
        <f t="shared" si="1386"/>
        <v>2032</v>
      </c>
      <c r="ER938" s="133">
        <f t="shared" si="1386"/>
        <v>2033</v>
      </c>
      <c r="ES938" s="133">
        <f t="shared" si="1386"/>
        <v>2034</v>
      </c>
      <c r="ET938" s="133">
        <f t="shared" si="1386"/>
        <v>2035</v>
      </c>
      <c r="EU938" s="133">
        <f t="shared" si="1386"/>
        <v>2036</v>
      </c>
      <c r="EV938" s="133">
        <f t="shared" si="1386"/>
        <v>2037</v>
      </c>
      <c r="EW938" s="133">
        <f t="shared" si="1386"/>
        <v>2038</v>
      </c>
      <c r="EX938" s="133">
        <f t="shared" si="1386"/>
        <v>2039</v>
      </c>
      <c r="EY938" s="133">
        <f t="shared" si="1386"/>
        <v>2040</v>
      </c>
      <c r="EZ938" s="133">
        <f t="shared" si="1386"/>
        <v>2041</v>
      </c>
      <c r="FA938" s="133">
        <f t="shared" si="1386"/>
        <v>2042</v>
      </c>
      <c r="FB938" s="133">
        <f t="shared" si="1386"/>
        <v>2043</v>
      </c>
      <c r="FC938" s="133">
        <f t="shared" si="1386"/>
        <v>2044</v>
      </c>
      <c r="FD938" s="133">
        <f t="shared" si="1386"/>
        <v>2045</v>
      </c>
      <c r="FE938" s="133">
        <f t="shared" si="1386"/>
        <v>2046</v>
      </c>
      <c r="FF938" s="133">
        <f t="shared" si="1386"/>
        <v>2047</v>
      </c>
      <c r="FG938" s="133">
        <f t="shared" si="1386"/>
        <v>2048</v>
      </c>
      <c r="FH938" s="133">
        <f t="shared" si="1386"/>
        <v>2049</v>
      </c>
      <c r="FI938" s="134">
        <f t="shared" si="1386"/>
        <v>2050</v>
      </c>
      <c r="FK938" s="135">
        <f t="shared" ref="FK938:GT938" si="1387">FK$1</f>
        <v>2015</v>
      </c>
      <c r="FL938" s="133">
        <f t="shared" si="1387"/>
        <v>2016</v>
      </c>
      <c r="FM938" s="133">
        <f t="shared" si="1387"/>
        <v>2017</v>
      </c>
      <c r="FN938" s="133">
        <f t="shared" si="1387"/>
        <v>2018</v>
      </c>
      <c r="FO938" s="133">
        <f t="shared" si="1387"/>
        <v>2019</v>
      </c>
      <c r="FP938" s="133">
        <f t="shared" si="1387"/>
        <v>2020</v>
      </c>
      <c r="FQ938" s="133">
        <f t="shared" si="1387"/>
        <v>2021</v>
      </c>
      <c r="FR938" s="133">
        <f t="shared" si="1387"/>
        <v>2022</v>
      </c>
      <c r="FS938" s="133">
        <f t="shared" si="1387"/>
        <v>2023</v>
      </c>
      <c r="FT938" s="133">
        <f t="shared" si="1387"/>
        <v>2024</v>
      </c>
      <c r="FU938" s="133">
        <f t="shared" si="1387"/>
        <v>2025</v>
      </c>
      <c r="FV938" s="133">
        <f t="shared" si="1387"/>
        <v>2026</v>
      </c>
      <c r="FW938" s="133">
        <f t="shared" si="1387"/>
        <v>2027</v>
      </c>
      <c r="FX938" s="133">
        <f t="shared" si="1387"/>
        <v>2028</v>
      </c>
      <c r="FY938" s="133">
        <f t="shared" si="1387"/>
        <v>2029</v>
      </c>
      <c r="FZ938" s="133">
        <f t="shared" si="1387"/>
        <v>2030</v>
      </c>
      <c r="GA938" s="133">
        <f t="shared" si="1387"/>
        <v>2031</v>
      </c>
      <c r="GB938" s="133">
        <f t="shared" si="1387"/>
        <v>2032</v>
      </c>
      <c r="GC938" s="133">
        <f t="shared" si="1387"/>
        <v>2033</v>
      </c>
      <c r="GD938" s="133">
        <f t="shared" si="1387"/>
        <v>2034</v>
      </c>
      <c r="GE938" s="133">
        <f t="shared" si="1387"/>
        <v>2035</v>
      </c>
      <c r="GF938" s="133">
        <f t="shared" si="1387"/>
        <v>2036</v>
      </c>
      <c r="GG938" s="133">
        <f t="shared" si="1387"/>
        <v>2037</v>
      </c>
      <c r="GH938" s="133">
        <f t="shared" si="1387"/>
        <v>2038</v>
      </c>
      <c r="GI938" s="133">
        <f t="shared" si="1387"/>
        <v>2039</v>
      </c>
      <c r="GJ938" s="133">
        <f t="shared" si="1387"/>
        <v>2040</v>
      </c>
      <c r="GK938" s="133">
        <f t="shared" si="1387"/>
        <v>2041</v>
      </c>
      <c r="GL938" s="133">
        <f t="shared" si="1387"/>
        <v>2042</v>
      </c>
      <c r="GM938" s="133">
        <f t="shared" si="1387"/>
        <v>2043</v>
      </c>
      <c r="GN938" s="133">
        <f t="shared" si="1387"/>
        <v>2044</v>
      </c>
      <c r="GO938" s="133">
        <f t="shared" si="1387"/>
        <v>2045</v>
      </c>
      <c r="GP938" s="133">
        <f t="shared" si="1387"/>
        <v>2046</v>
      </c>
      <c r="GQ938" s="133">
        <f t="shared" si="1387"/>
        <v>2047</v>
      </c>
      <c r="GR938" s="133">
        <f t="shared" si="1387"/>
        <v>2048</v>
      </c>
      <c r="GS938" s="133">
        <f t="shared" si="1387"/>
        <v>2049</v>
      </c>
      <c r="GT938" s="134">
        <f t="shared" si="1387"/>
        <v>2050</v>
      </c>
      <c r="GV938" s="135">
        <f t="shared" ref="GV938:IE938" si="1388">GV$1</f>
        <v>2015</v>
      </c>
      <c r="GW938" s="133">
        <f t="shared" si="1388"/>
        <v>2016</v>
      </c>
      <c r="GX938" s="133">
        <f t="shared" si="1388"/>
        <v>2017</v>
      </c>
      <c r="GY938" s="133">
        <f t="shared" si="1388"/>
        <v>2018</v>
      </c>
      <c r="GZ938" s="133">
        <f t="shared" si="1388"/>
        <v>2019</v>
      </c>
      <c r="HA938" s="133">
        <f t="shared" si="1388"/>
        <v>2020</v>
      </c>
      <c r="HB938" s="133">
        <f t="shared" si="1388"/>
        <v>2021</v>
      </c>
      <c r="HC938" s="133">
        <f t="shared" si="1388"/>
        <v>2022</v>
      </c>
      <c r="HD938" s="133">
        <f t="shared" si="1388"/>
        <v>2023</v>
      </c>
      <c r="HE938" s="133">
        <f t="shared" si="1388"/>
        <v>2024</v>
      </c>
      <c r="HF938" s="133">
        <f t="shared" si="1388"/>
        <v>2025</v>
      </c>
      <c r="HG938" s="133">
        <f t="shared" si="1388"/>
        <v>2026</v>
      </c>
      <c r="HH938" s="133">
        <f t="shared" si="1388"/>
        <v>2027</v>
      </c>
      <c r="HI938" s="133">
        <f t="shared" si="1388"/>
        <v>2028</v>
      </c>
      <c r="HJ938" s="133">
        <f t="shared" si="1388"/>
        <v>2029</v>
      </c>
      <c r="HK938" s="133">
        <f t="shared" si="1388"/>
        <v>2030</v>
      </c>
      <c r="HL938" s="133">
        <f t="shared" si="1388"/>
        <v>2031</v>
      </c>
      <c r="HM938" s="133">
        <f t="shared" si="1388"/>
        <v>2032</v>
      </c>
      <c r="HN938" s="133">
        <f t="shared" si="1388"/>
        <v>2033</v>
      </c>
      <c r="HO938" s="133">
        <f t="shared" si="1388"/>
        <v>2034</v>
      </c>
      <c r="HP938" s="133">
        <f t="shared" si="1388"/>
        <v>2035</v>
      </c>
      <c r="HQ938" s="133">
        <f t="shared" si="1388"/>
        <v>2036</v>
      </c>
      <c r="HR938" s="133">
        <f t="shared" si="1388"/>
        <v>2037</v>
      </c>
      <c r="HS938" s="133">
        <f t="shared" si="1388"/>
        <v>2038</v>
      </c>
      <c r="HT938" s="133">
        <f t="shared" si="1388"/>
        <v>2039</v>
      </c>
      <c r="HU938" s="133">
        <f t="shared" si="1388"/>
        <v>2040</v>
      </c>
      <c r="HV938" s="133">
        <f t="shared" si="1388"/>
        <v>2041</v>
      </c>
      <c r="HW938" s="133">
        <f t="shared" si="1388"/>
        <v>2042</v>
      </c>
      <c r="HX938" s="133">
        <f t="shared" si="1388"/>
        <v>2043</v>
      </c>
      <c r="HY938" s="133">
        <f t="shared" si="1388"/>
        <v>2044</v>
      </c>
      <c r="HZ938" s="133">
        <f t="shared" si="1388"/>
        <v>2045</v>
      </c>
      <c r="IA938" s="133">
        <f t="shared" si="1388"/>
        <v>2046</v>
      </c>
      <c r="IB938" s="133">
        <f t="shared" si="1388"/>
        <v>2047</v>
      </c>
      <c r="IC938" s="133">
        <f t="shared" si="1388"/>
        <v>2048</v>
      </c>
      <c r="ID938" s="133">
        <f t="shared" si="1388"/>
        <v>2049</v>
      </c>
      <c r="IE938" s="134">
        <f t="shared" si="1388"/>
        <v>2050</v>
      </c>
      <c r="IG938" s="135">
        <f t="shared" ref="IG938:JP938" si="1389">IG$1</f>
        <v>2015</v>
      </c>
      <c r="IH938" s="133">
        <f t="shared" si="1389"/>
        <v>2016</v>
      </c>
      <c r="II938" s="133">
        <f t="shared" si="1389"/>
        <v>2017</v>
      </c>
      <c r="IJ938" s="133">
        <f t="shared" si="1389"/>
        <v>2018</v>
      </c>
      <c r="IK938" s="133">
        <f t="shared" si="1389"/>
        <v>2019</v>
      </c>
      <c r="IL938" s="133">
        <f t="shared" si="1389"/>
        <v>2020</v>
      </c>
      <c r="IM938" s="133">
        <f t="shared" si="1389"/>
        <v>2021</v>
      </c>
      <c r="IN938" s="133">
        <f t="shared" si="1389"/>
        <v>2022</v>
      </c>
      <c r="IO938" s="133">
        <f t="shared" si="1389"/>
        <v>2023</v>
      </c>
      <c r="IP938" s="133">
        <f t="shared" si="1389"/>
        <v>2024</v>
      </c>
      <c r="IQ938" s="133">
        <f t="shared" si="1389"/>
        <v>2025</v>
      </c>
      <c r="IR938" s="133">
        <f t="shared" si="1389"/>
        <v>2026</v>
      </c>
      <c r="IS938" s="133">
        <f t="shared" si="1389"/>
        <v>2027</v>
      </c>
      <c r="IT938" s="133">
        <f t="shared" si="1389"/>
        <v>2028</v>
      </c>
      <c r="IU938" s="133">
        <f t="shared" si="1389"/>
        <v>2029</v>
      </c>
      <c r="IV938" s="133">
        <f t="shared" si="1389"/>
        <v>2030</v>
      </c>
      <c r="IW938" s="133">
        <f t="shared" si="1389"/>
        <v>2031</v>
      </c>
      <c r="IX938" s="133">
        <f t="shared" si="1389"/>
        <v>2032</v>
      </c>
      <c r="IY938" s="133">
        <f t="shared" si="1389"/>
        <v>2033</v>
      </c>
      <c r="IZ938" s="133">
        <f t="shared" si="1389"/>
        <v>2034</v>
      </c>
      <c r="JA938" s="133">
        <f t="shared" si="1389"/>
        <v>2035</v>
      </c>
      <c r="JB938" s="133">
        <f t="shared" si="1389"/>
        <v>2036</v>
      </c>
      <c r="JC938" s="133">
        <f t="shared" si="1389"/>
        <v>2037</v>
      </c>
      <c r="JD938" s="133">
        <f t="shared" si="1389"/>
        <v>2038</v>
      </c>
      <c r="JE938" s="133">
        <f t="shared" si="1389"/>
        <v>2039</v>
      </c>
      <c r="JF938" s="133">
        <f t="shared" si="1389"/>
        <v>2040</v>
      </c>
      <c r="JG938" s="133">
        <f t="shared" si="1389"/>
        <v>2041</v>
      </c>
      <c r="JH938" s="133">
        <f t="shared" si="1389"/>
        <v>2042</v>
      </c>
      <c r="JI938" s="133">
        <f t="shared" si="1389"/>
        <v>2043</v>
      </c>
      <c r="JJ938" s="133">
        <f t="shared" si="1389"/>
        <v>2044</v>
      </c>
      <c r="JK938" s="133">
        <f t="shared" si="1389"/>
        <v>2045</v>
      </c>
      <c r="JL938" s="133">
        <f t="shared" si="1389"/>
        <v>2046</v>
      </c>
      <c r="JM938" s="133">
        <f t="shared" si="1389"/>
        <v>2047</v>
      </c>
      <c r="JN938" s="133">
        <f t="shared" si="1389"/>
        <v>2048</v>
      </c>
      <c r="JO938" s="133">
        <f t="shared" si="1389"/>
        <v>2049</v>
      </c>
      <c r="JP938" s="134">
        <f t="shared" si="1389"/>
        <v>2050</v>
      </c>
      <c r="JR938" s="135">
        <f t="shared" ref="JR938:LA938" si="1390">JR$1</f>
        <v>2015</v>
      </c>
      <c r="JS938" s="133">
        <f t="shared" si="1390"/>
        <v>2016</v>
      </c>
      <c r="JT938" s="133">
        <f t="shared" si="1390"/>
        <v>2017</v>
      </c>
      <c r="JU938" s="133">
        <f t="shared" si="1390"/>
        <v>2018</v>
      </c>
      <c r="JV938" s="133">
        <f t="shared" si="1390"/>
        <v>2019</v>
      </c>
      <c r="JW938" s="133">
        <f t="shared" si="1390"/>
        <v>2020</v>
      </c>
      <c r="JX938" s="133">
        <f t="shared" si="1390"/>
        <v>2021</v>
      </c>
      <c r="JY938" s="133">
        <f t="shared" si="1390"/>
        <v>2022</v>
      </c>
      <c r="JZ938" s="133">
        <f t="shared" si="1390"/>
        <v>2023</v>
      </c>
      <c r="KA938" s="133">
        <f t="shared" si="1390"/>
        <v>2024</v>
      </c>
      <c r="KB938" s="133">
        <f t="shared" si="1390"/>
        <v>2025</v>
      </c>
      <c r="KC938" s="133">
        <f t="shared" si="1390"/>
        <v>2026</v>
      </c>
      <c r="KD938" s="133">
        <f t="shared" si="1390"/>
        <v>2027</v>
      </c>
      <c r="KE938" s="133">
        <f t="shared" si="1390"/>
        <v>2028</v>
      </c>
      <c r="KF938" s="133">
        <f t="shared" si="1390"/>
        <v>2029</v>
      </c>
      <c r="KG938" s="133">
        <f t="shared" si="1390"/>
        <v>2030</v>
      </c>
      <c r="KH938" s="133">
        <f t="shared" si="1390"/>
        <v>2031</v>
      </c>
      <c r="KI938" s="133">
        <f t="shared" si="1390"/>
        <v>2032</v>
      </c>
      <c r="KJ938" s="133">
        <f t="shared" si="1390"/>
        <v>2033</v>
      </c>
      <c r="KK938" s="133">
        <f t="shared" si="1390"/>
        <v>2034</v>
      </c>
      <c r="KL938" s="133">
        <f t="shared" si="1390"/>
        <v>2035</v>
      </c>
      <c r="KM938" s="133">
        <f t="shared" si="1390"/>
        <v>2036</v>
      </c>
      <c r="KN938" s="133">
        <f t="shared" si="1390"/>
        <v>2037</v>
      </c>
      <c r="KO938" s="133">
        <f t="shared" si="1390"/>
        <v>2038</v>
      </c>
      <c r="KP938" s="133">
        <f t="shared" si="1390"/>
        <v>2039</v>
      </c>
      <c r="KQ938" s="133">
        <f t="shared" si="1390"/>
        <v>2040</v>
      </c>
      <c r="KR938" s="133">
        <f t="shared" si="1390"/>
        <v>2041</v>
      </c>
      <c r="KS938" s="133">
        <f t="shared" si="1390"/>
        <v>2042</v>
      </c>
      <c r="KT938" s="133">
        <f t="shared" si="1390"/>
        <v>2043</v>
      </c>
      <c r="KU938" s="133">
        <f t="shared" si="1390"/>
        <v>2044</v>
      </c>
      <c r="KV938" s="133">
        <f t="shared" si="1390"/>
        <v>2045</v>
      </c>
      <c r="KW938" s="133">
        <f t="shared" si="1390"/>
        <v>2046</v>
      </c>
      <c r="KX938" s="133">
        <f t="shared" si="1390"/>
        <v>2047</v>
      </c>
      <c r="KY938" s="133">
        <f t="shared" si="1390"/>
        <v>2048</v>
      </c>
      <c r="KZ938" s="133">
        <f t="shared" si="1390"/>
        <v>2049</v>
      </c>
      <c r="LA938" s="134">
        <f t="shared" si="1390"/>
        <v>2050</v>
      </c>
      <c r="LC938" s="135">
        <f t="shared" ref="LC938:ML938" si="1391">LC$1</f>
        <v>2015</v>
      </c>
      <c r="LD938" s="133">
        <f t="shared" si="1391"/>
        <v>2016</v>
      </c>
      <c r="LE938" s="133">
        <f t="shared" si="1391"/>
        <v>2017</v>
      </c>
      <c r="LF938" s="133">
        <f t="shared" si="1391"/>
        <v>2018</v>
      </c>
      <c r="LG938" s="133">
        <f t="shared" si="1391"/>
        <v>2019</v>
      </c>
      <c r="LH938" s="133">
        <f t="shared" si="1391"/>
        <v>2020</v>
      </c>
      <c r="LI938" s="133">
        <f t="shared" si="1391"/>
        <v>2021</v>
      </c>
      <c r="LJ938" s="133">
        <f t="shared" si="1391"/>
        <v>2022</v>
      </c>
      <c r="LK938" s="133">
        <f t="shared" si="1391"/>
        <v>2023</v>
      </c>
      <c r="LL938" s="133">
        <f t="shared" si="1391"/>
        <v>2024</v>
      </c>
      <c r="LM938" s="133">
        <f t="shared" si="1391"/>
        <v>2025</v>
      </c>
      <c r="LN938" s="133">
        <f t="shared" si="1391"/>
        <v>2026</v>
      </c>
      <c r="LO938" s="133">
        <f t="shared" si="1391"/>
        <v>2027</v>
      </c>
      <c r="LP938" s="133">
        <f t="shared" si="1391"/>
        <v>2028</v>
      </c>
      <c r="LQ938" s="133">
        <f t="shared" si="1391"/>
        <v>2029</v>
      </c>
      <c r="LR938" s="133">
        <f t="shared" si="1391"/>
        <v>2030</v>
      </c>
      <c r="LS938" s="133">
        <f t="shared" si="1391"/>
        <v>2031</v>
      </c>
      <c r="LT938" s="133">
        <f t="shared" si="1391"/>
        <v>2032</v>
      </c>
      <c r="LU938" s="133">
        <f t="shared" si="1391"/>
        <v>2033</v>
      </c>
      <c r="LV938" s="133">
        <f t="shared" si="1391"/>
        <v>2034</v>
      </c>
      <c r="LW938" s="133">
        <f t="shared" si="1391"/>
        <v>2035</v>
      </c>
      <c r="LX938" s="133">
        <f t="shared" si="1391"/>
        <v>2036</v>
      </c>
      <c r="LY938" s="133">
        <f t="shared" si="1391"/>
        <v>2037</v>
      </c>
      <c r="LZ938" s="133">
        <f t="shared" si="1391"/>
        <v>2038</v>
      </c>
      <c r="MA938" s="133">
        <f t="shared" si="1391"/>
        <v>2039</v>
      </c>
      <c r="MB938" s="133">
        <f t="shared" si="1391"/>
        <v>2040</v>
      </c>
      <c r="MC938" s="133">
        <f t="shared" si="1391"/>
        <v>2041</v>
      </c>
      <c r="MD938" s="133">
        <f t="shared" si="1391"/>
        <v>2042</v>
      </c>
      <c r="ME938" s="133">
        <f t="shared" si="1391"/>
        <v>2043</v>
      </c>
      <c r="MF938" s="133">
        <f t="shared" si="1391"/>
        <v>2044</v>
      </c>
      <c r="MG938" s="133">
        <f t="shared" si="1391"/>
        <v>2045</v>
      </c>
      <c r="MH938" s="133">
        <f t="shared" si="1391"/>
        <v>2046</v>
      </c>
      <c r="MI938" s="133">
        <f t="shared" si="1391"/>
        <v>2047</v>
      </c>
      <c r="MJ938" s="133">
        <f t="shared" si="1391"/>
        <v>2048</v>
      </c>
      <c r="MK938" s="133">
        <f t="shared" si="1391"/>
        <v>2049</v>
      </c>
      <c r="ML938" s="134">
        <f t="shared" si="1391"/>
        <v>2050</v>
      </c>
    </row>
    <row r="939" spans="3:350" s="4" customFormat="1" ht="18" customHeight="1" x14ac:dyDescent="0.3">
      <c r="C939" s="136" t="s">
        <v>282</v>
      </c>
      <c r="E939" s="137" t="s">
        <v>367</v>
      </c>
      <c r="F939" s="138"/>
      <c r="H939" s="245"/>
      <c r="I939" s="1"/>
      <c r="J939" s="1"/>
      <c r="K939" s="1"/>
      <c r="L939" s="1"/>
      <c r="M939" s="1"/>
      <c r="N939" s="1"/>
      <c r="O939" s="1"/>
      <c r="P939" s="1"/>
      <c r="Q939" s="138"/>
      <c r="S939" s="245"/>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38"/>
      <c r="BD939" s="245"/>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38"/>
      <c r="CO939" s="245"/>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38"/>
      <c r="DZ939" s="245"/>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38"/>
      <c r="FK939" s="245"/>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I939" s="1"/>
      <c r="GJ939" s="1"/>
      <c r="GK939" s="1"/>
      <c r="GL939" s="1"/>
      <c r="GM939" s="1"/>
      <c r="GN939" s="1"/>
      <c r="GO939" s="1"/>
      <c r="GP939" s="1"/>
      <c r="GQ939" s="1"/>
      <c r="GR939" s="1"/>
      <c r="GS939" s="1"/>
      <c r="GT939" s="138"/>
      <c r="GV939" s="245"/>
      <c r="GW939" s="1"/>
      <c r="GX939" s="1"/>
      <c r="GY939" s="1"/>
      <c r="GZ939" s="1"/>
      <c r="HA939" s="1"/>
      <c r="HB939" s="1"/>
      <c r="HC939" s="1"/>
      <c r="HD939" s="1"/>
      <c r="HE939" s="1"/>
      <c r="HF939" s="1"/>
      <c r="HG939" s="1"/>
      <c r="HH939" s="1"/>
      <c r="HI939" s="1"/>
      <c r="HJ939" s="1"/>
      <c r="HK939" s="1"/>
      <c r="HL939" s="1"/>
      <c r="HM939" s="1"/>
      <c r="HN939" s="1"/>
      <c r="HO939" s="1"/>
      <c r="HP939" s="1"/>
      <c r="HQ939" s="1"/>
      <c r="HR939" s="1"/>
      <c r="HS939" s="1"/>
      <c r="HT939" s="1"/>
      <c r="HU939" s="1"/>
      <c r="HV939" s="1"/>
      <c r="HW939" s="1"/>
      <c r="HX939" s="1"/>
      <c r="HY939" s="1"/>
      <c r="HZ939" s="1"/>
      <c r="IA939" s="1"/>
      <c r="IB939" s="1"/>
      <c r="IC939" s="1"/>
      <c r="ID939" s="1"/>
      <c r="IE939" s="138"/>
      <c r="IG939" s="245"/>
      <c r="IH939" s="1"/>
      <c r="II939" s="1"/>
      <c r="IJ939" s="1"/>
      <c r="IK939" s="1"/>
      <c r="IL939" s="1"/>
      <c r="IM939" s="1"/>
      <c r="IN939" s="1"/>
      <c r="IO939" s="1"/>
      <c r="IP939" s="1"/>
      <c r="IQ939" s="1"/>
      <c r="IR939" s="1"/>
      <c r="IS939" s="1"/>
      <c r="IT939" s="1"/>
      <c r="IU939" s="1"/>
      <c r="IV939" s="1"/>
      <c r="IW939" s="1"/>
      <c r="IX939" s="1"/>
      <c r="IY939" s="1"/>
      <c r="IZ939" s="1"/>
      <c r="JA939" s="1"/>
      <c r="JB939" s="1"/>
      <c r="JC939" s="1"/>
      <c r="JD939" s="1"/>
      <c r="JE939" s="1"/>
      <c r="JF939" s="1"/>
      <c r="JG939" s="1"/>
      <c r="JH939" s="1"/>
      <c r="JI939" s="1"/>
      <c r="JJ939" s="1"/>
      <c r="JK939" s="1"/>
      <c r="JL939" s="1"/>
      <c r="JM939" s="1"/>
      <c r="JN939" s="1"/>
      <c r="JO939" s="1"/>
      <c r="JP939" s="138"/>
      <c r="JR939" s="245"/>
      <c r="JS939" s="1"/>
      <c r="JT939" s="1"/>
      <c r="JU939" s="1"/>
      <c r="JV939" s="1"/>
      <c r="JW939" s="1"/>
      <c r="JX939" s="1"/>
      <c r="JY939" s="1"/>
      <c r="JZ939" s="1"/>
      <c r="KA939" s="330">
        <f t="shared" ref="KA939:KG941" si="1392">$KG685/SUM($KG$685:$KG$687)*KA$931</f>
        <v>3032.443504066594</v>
      </c>
      <c r="KB939" s="330">
        <f t="shared" si="1392"/>
        <v>3504.4718368398526</v>
      </c>
      <c r="KC939" s="330">
        <f t="shared" si="1392"/>
        <v>3892.9034827113064</v>
      </c>
      <c r="KD939" s="330">
        <f t="shared" si="1392"/>
        <v>4337.5198954726693</v>
      </c>
      <c r="KE939" s="330">
        <f t="shared" si="1392"/>
        <v>4714.7186562326733</v>
      </c>
      <c r="KF939" s="330">
        <f t="shared" si="1392"/>
        <v>4959.8220177135727</v>
      </c>
      <c r="KG939" s="330">
        <f t="shared" si="1392"/>
        <v>5044.84608726644</v>
      </c>
      <c r="KH939" s="330">
        <f t="shared" ref="KH939:LA939" si="1393">$LA685/SUM($LA$685:$LA$687)*KH$931</f>
        <v>2255.4294859185588</v>
      </c>
      <c r="KI939" s="330">
        <f t="shared" si="1393"/>
        <v>2141.5052130121276</v>
      </c>
      <c r="KJ939" s="330">
        <f t="shared" si="1393"/>
        <v>1966.1828743009996</v>
      </c>
      <c r="KK939" s="330">
        <f t="shared" si="1393"/>
        <v>1748.400048760243</v>
      </c>
      <c r="KL939" s="330">
        <f t="shared" si="1393"/>
        <v>1509.6670222286564</v>
      </c>
      <c r="KM939" s="330">
        <f t="shared" si="1393"/>
        <v>1270.6146168053353</v>
      </c>
      <c r="KN939" s="330">
        <f t="shared" si="1393"/>
        <v>1048.2015954649141</v>
      </c>
      <c r="KO939" s="330">
        <f t="shared" si="1393"/>
        <v>854.06363099702946</v>
      </c>
      <c r="KP939" s="330">
        <f t="shared" si="1393"/>
        <v>694.12390209383102</v>
      </c>
      <c r="KQ939" s="330">
        <f t="shared" si="1393"/>
        <v>569.26053289575111</v>
      </c>
      <c r="KR939" s="330">
        <f t="shared" si="1393"/>
        <v>476.62865518704945</v>
      </c>
      <c r="KS939" s="330">
        <f t="shared" si="1393"/>
        <v>411.193015548571</v>
      </c>
      <c r="KT939" s="330">
        <f t="shared" si="1393"/>
        <v>367.11141181119973</v>
      </c>
      <c r="KU939" s="330">
        <f t="shared" si="1393"/>
        <v>338.75851661828472</v>
      </c>
      <c r="KV939" s="330">
        <f t="shared" si="1393"/>
        <v>321.33109218142192</v>
      </c>
      <c r="KW939" s="330">
        <f t="shared" si="1393"/>
        <v>311.08676049936025</v>
      </c>
      <c r="KX939" s="330">
        <f t="shared" si="1393"/>
        <v>305.32430434462469</v>
      </c>
      <c r="KY939" s="330">
        <f t="shared" si="1393"/>
        <v>302.22104278824139</v>
      </c>
      <c r="KZ939" s="330">
        <f t="shared" si="1393"/>
        <v>300.6204036260732</v>
      </c>
      <c r="LA939" s="331">
        <f t="shared" si="1393"/>
        <v>299.82939308135172</v>
      </c>
      <c r="LC939" s="245"/>
      <c r="LD939" s="1"/>
      <c r="LE939" s="1"/>
      <c r="LF939" s="1"/>
      <c r="LG939" s="1"/>
      <c r="LH939" s="1"/>
      <c r="LI939" s="1"/>
      <c r="LJ939" s="1"/>
      <c r="LK939" s="1"/>
      <c r="LL939" s="330">
        <f t="shared" ref="LL939:LR941" si="1394">$LR685/SUM($LR$685:$LR$687)*LL$931</f>
        <v>2966.6290671907655</v>
      </c>
      <c r="LM939" s="330">
        <f t="shared" si="1394"/>
        <v>3187.2629948925883</v>
      </c>
      <c r="LN939" s="330">
        <f t="shared" si="1394"/>
        <v>3344.4671019983989</v>
      </c>
      <c r="LO939" s="330">
        <f t="shared" si="1394"/>
        <v>3421.822856441443</v>
      </c>
      <c r="LP939" s="330">
        <f t="shared" si="1394"/>
        <v>3411.6908907485667</v>
      </c>
      <c r="LQ939" s="330">
        <f t="shared" si="1394"/>
        <v>3316.6786534098364</v>
      </c>
      <c r="LR939" s="330">
        <f t="shared" si="1394"/>
        <v>3149.1365341816445</v>
      </c>
      <c r="LS939" s="330">
        <f t="shared" ref="LS939:ML939" si="1395">$ML685/SUM($ML$685:$ML$687)*LS$931</f>
        <v>932.82932576780001</v>
      </c>
      <c r="LT939" s="330">
        <f t="shared" si="1395"/>
        <v>931.34797863849985</v>
      </c>
      <c r="LU939" s="330">
        <f t="shared" si="1395"/>
        <v>909.18832380226422</v>
      </c>
      <c r="LV939" s="330">
        <f t="shared" si="1395"/>
        <v>950.06807300913397</v>
      </c>
      <c r="LW939" s="330">
        <f t="shared" si="1395"/>
        <v>970.70593703956899</v>
      </c>
      <c r="LX939" s="330">
        <f t="shared" si="1395"/>
        <v>969.16444127661737</v>
      </c>
      <c r="LY939" s="330">
        <f t="shared" si="1395"/>
        <v>946.10501559381464</v>
      </c>
      <c r="LZ939" s="330">
        <f t="shared" si="1395"/>
        <v>904.66019645133804</v>
      </c>
      <c r="MA939" s="330">
        <f t="shared" si="1395"/>
        <v>849.8399325318029</v>
      </c>
      <c r="MB939" s="330">
        <f t="shared" si="1395"/>
        <v>787.62751500907802</v>
      </c>
      <c r="MC939" s="330">
        <f t="shared" si="1395"/>
        <v>800.4745259126812</v>
      </c>
      <c r="MD939" s="330">
        <f t="shared" si="1395"/>
        <v>857.07546491742801</v>
      </c>
      <c r="ME939" s="330">
        <f t="shared" si="1395"/>
        <v>865.64621956660244</v>
      </c>
      <c r="MF939" s="330">
        <f t="shared" si="1395"/>
        <v>914.21055918553895</v>
      </c>
      <c r="MG939" s="330">
        <f t="shared" si="1395"/>
        <v>949.54408289119147</v>
      </c>
      <c r="MH939" s="330">
        <f t="shared" si="1395"/>
        <v>968.21593791271312</v>
      </c>
      <c r="MI939" s="330">
        <f t="shared" si="1395"/>
        <v>968.62991895730443</v>
      </c>
      <c r="MJ939" s="330">
        <f t="shared" si="1395"/>
        <v>951.33117387281402</v>
      </c>
      <c r="MK939" s="330">
        <f t="shared" si="1395"/>
        <v>918.90090536152593</v>
      </c>
      <c r="ML939" s="331">
        <f t="shared" si="1395"/>
        <v>875.46720014969515</v>
      </c>
    </row>
    <row r="940" spans="3:350" s="4" customFormat="1" ht="18" customHeight="1" x14ac:dyDescent="0.3">
      <c r="C940" s="136" t="s">
        <v>283</v>
      </c>
      <c r="E940" s="1" t="s">
        <v>105</v>
      </c>
      <c r="F940" s="138"/>
      <c r="H940" s="332"/>
      <c r="I940" s="297"/>
      <c r="J940" s="297"/>
      <c r="K940" s="297"/>
      <c r="L940" s="297"/>
      <c r="M940" s="297"/>
      <c r="N940" s="297"/>
      <c r="O940" s="297"/>
      <c r="P940" s="297"/>
      <c r="Q940" s="333"/>
      <c r="S940" s="245"/>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38"/>
      <c r="BD940" s="245"/>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38"/>
      <c r="CO940" s="245"/>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38"/>
      <c r="DZ940" s="245"/>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38"/>
      <c r="FK940" s="245"/>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I940" s="1"/>
      <c r="GJ940" s="1"/>
      <c r="GK940" s="1"/>
      <c r="GL940" s="1"/>
      <c r="GM940" s="1"/>
      <c r="GN940" s="1"/>
      <c r="GO940" s="1"/>
      <c r="GP940" s="1"/>
      <c r="GQ940" s="1"/>
      <c r="GR940" s="1"/>
      <c r="GS940" s="1"/>
      <c r="GT940" s="138"/>
      <c r="GV940" s="245"/>
      <c r="GW940" s="1"/>
      <c r="GX940" s="1"/>
      <c r="GY940" s="1"/>
      <c r="GZ940" s="1"/>
      <c r="HA940" s="1"/>
      <c r="HB940" s="1"/>
      <c r="HC940" s="1"/>
      <c r="HD940" s="1"/>
      <c r="HE940" s="1"/>
      <c r="HF940" s="1"/>
      <c r="HG940" s="1"/>
      <c r="HH940" s="1"/>
      <c r="HI940" s="1"/>
      <c r="HJ940" s="1"/>
      <c r="HK940" s="1"/>
      <c r="HL940" s="1"/>
      <c r="HM940" s="1"/>
      <c r="HN940" s="1"/>
      <c r="HO940" s="1"/>
      <c r="HP940" s="1"/>
      <c r="HQ940" s="1"/>
      <c r="HR940" s="1"/>
      <c r="HS940" s="1"/>
      <c r="HT940" s="1"/>
      <c r="HU940" s="1"/>
      <c r="HV940" s="1"/>
      <c r="HW940" s="1"/>
      <c r="HX940" s="1"/>
      <c r="HY940" s="1"/>
      <c r="HZ940" s="1"/>
      <c r="IA940" s="1"/>
      <c r="IB940" s="1"/>
      <c r="IC940" s="1"/>
      <c r="ID940" s="1"/>
      <c r="IE940" s="138"/>
      <c r="IG940" s="245"/>
      <c r="IH940" s="1"/>
      <c r="II940" s="1"/>
      <c r="IJ940" s="1"/>
      <c r="IK940" s="1"/>
      <c r="IL940" s="1"/>
      <c r="IM940" s="1"/>
      <c r="IN940" s="1"/>
      <c r="IO940" s="1"/>
      <c r="IP940" s="1"/>
      <c r="IQ940" s="1"/>
      <c r="IR940" s="1"/>
      <c r="IS940" s="1"/>
      <c r="IT940" s="1"/>
      <c r="IU940" s="1"/>
      <c r="IV940" s="1"/>
      <c r="IW940" s="1"/>
      <c r="IX940" s="1"/>
      <c r="IY940" s="1"/>
      <c r="IZ940" s="1"/>
      <c r="JA940" s="1"/>
      <c r="JB940" s="1"/>
      <c r="JC940" s="1"/>
      <c r="JD940" s="1"/>
      <c r="JE940" s="1"/>
      <c r="JF940" s="1"/>
      <c r="JG940" s="1"/>
      <c r="JH940" s="1"/>
      <c r="JI940" s="1"/>
      <c r="JJ940" s="1"/>
      <c r="JK940" s="1"/>
      <c r="JL940" s="1"/>
      <c r="JM940" s="1"/>
      <c r="JN940" s="1"/>
      <c r="JO940" s="1"/>
      <c r="JP940" s="138"/>
      <c r="JR940" s="245"/>
      <c r="JS940" s="1"/>
      <c r="JT940" s="1"/>
      <c r="JU940" s="1"/>
      <c r="JV940" s="1"/>
      <c r="JW940" s="334"/>
      <c r="JX940" s="334"/>
      <c r="JY940" s="334"/>
      <c r="JZ940" s="335"/>
      <c r="KA940" s="330">
        <f t="shared" si="1392"/>
        <v>2776.4670514438158</v>
      </c>
      <c r="KB940" s="330">
        <f t="shared" si="1392"/>
        <v>3208.6502434918775</v>
      </c>
      <c r="KC940" s="330">
        <f t="shared" si="1392"/>
        <v>3564.2933626642312</v>
      </c>
      <c r="KD940" s="330">
        <f t="shared" si="1392"/>
        <v>3971.3785462488941</v>
      </c>
      <c r="KE940" s="330">
        <f t="shared" si="1392"/>
        <v>4316.7369773923447</v>
      </c>
      <c r="KF940" s="330">
        <f t="shared" si="1392"/>
        <v>4541.15052588459</v>
      </c>
      <c r="KG940" s="330">
        <f t="shared" si="1392"/>
        <v>4618.9974923248983</v>
      </c>
      <c r="KH940" s="330">
        <f t="shared" ref="KH940:LA940" si="1396">$LA686/SUM($LA$685:$LA$687)*KH$931</f>
        <v>7233.4396427957399</v>
      </c>
      <c r="KI940" s="330">
        <f t="shared" si="1396"/>
        <v>6868.0704937875435</v>
      </c>
      <c r="KJ940" s="330">
        <f t="shared" si="1396"/>
        <v>6305.7901994939493</v>
      </c>
      <c r="KK940" s="330">
        <f t="shared" si="1396"/>
        <v>5607.3339038651793</v>
      </c>
      <c r="KL940" s="330">
        <f t="shared" si="1396"/>
        <v>4841.6877380508249</v>
      </c>
      <c r="KM940" s="330">
        <f t="shared" si="1396"/>
        <v>4075.0172848663847</v>
      </c>
      <c r="KN940" s="330">
        <f t="shared" si="1396"/>
        <v>3361.7113820739664</v>
      </c>
      <c r="KO940" s="330">
        <f t="shared" si="1396"/>
        <v>2739.0870627941504</v>
      </c>
      <c r="KP940" s="330">
        <f t="shared" si="1396"/>
        <v>2226.1406892855025</v>
      </c>
      <c r="KQ940" s="330">
        <f t="shared" si="1396"/>
        <v>1825.6885136225628</v>
      </c>
      <c r="KR940" s="330">
        <f t="shared" si="1396"/>
        <v>1528.6066936906741</v>
      </c>
      <c r="KS940" s="330">
        <f t="shared" si="1396"/>
        <v>1318.7465527428858</v>
      </c>
      <c r="KT940" s="330">
        <f t="shared" si="1396"/>
        <v>1177.3714301852181</v>
      </c>
      <c r="KU940" s="330">
        <f t="shared" si="1396"/>
        <v>1086.4402096097547</v>
      </c>
      <c r="KV940" s="330">
        <f t="shared" si="1396"/>
        <v>1030.5483169212582</v>
      </c>
      <c r="KW940" s="330">
        <f t="shared" si="1396"/>
        <v>997.69348578350105</v>
      </c>
      <c r="KX940" s="330">
        <f t="shared" si="1396"/>
        <v>979.21258046157686</v>
      </c>
      <c r="KY940" s="330">
        <f t="shared" si="1396"/>
        <v>969.26003913671934</v>
      </c>
      <c r="KZ940" s="330">
        <f t="shared" si="1396"/>
        <v>964.12659256180973</v>
      </c>
      <c r="LA940" s="331">
        <f t="shared" si="1396"/>
        <v>961.58972449841849</v>
      </c>
      <c r="LC940" s="245"/>
      <c r="LD940" s="1"/>
      <c r="LE940" s="1"/>
      <c r="LF940" s="1"/>
      <c r="LG940" s="1"/>
      <c r="LH940" s="1"/>
      <c r="LI940" s="1"/>
      <c r="LJ940" s="1"/>
      <c r="LK940" s="1"/>
      <c r="LL940" s="330">
        <f t="shared" si="1394"/>
        <v>2007.873160054246</v>
      </c>
      <c r="LM940" s="330">
        <f t="shared" si="1394"/>
        <v>2157.2025610667361</v>
      </c>
      <c r="LN940" s="330">
        <f t="shared" si="1394"/>
        <v>2263.6014064090527</v>
      </c>
      <c r="LO940" s="330">
        <f t="shared" si="1394"/>
        <v>2315.9573092213359</v>
      </c>
      <c r="LP940" s="330">
        <f t="shared" si="1394"/>
        <v>2309.0997946778743</v>
      </c>
      <c r="LQ940" s="330">
        <f t="shared" si="1394"/>
        <v>2244.7936354283152</v>
      </c>
      <c r="LR940" s="330">
        <f t="shared" si="1394"/>
        <v>2131.3978192484883</v>
      </c>
      <c r="LS940" s="330">
        <f t="shared" ref="LS940:ML940" si="1397">$ML686/SUM($ML$685:$ML$687)*LS$931</f>
        <v>3652.1455679835685</v>
      </c>
      <c r="LT940" s="330">
        <f t="shared" si="1397"/>
        <v>3646.3459053834827</v>
      </c>
      <c r="LU940" s="330">
        <f t="shared" si="1397"/>
        <v>3559.5880355753152</v>
      </c>
      <c r="LV940" s="330">
        <f t="shared" si="1397"/>
        <v>3719.6374580816919</v>
      </c>
      <c r="LW940" s="330">
        <f t="shared" si="1397"/>
        <v>3800.4373231474287</v>
      </c>
      <c r="LX940" s="330">
        <f t="shared" si="1397"/>
        <v>3794.4021709891331</v>
      </c>
      <c r="LY940" s="330">
        <f t="shared" si="1397"/>
        <v>3704.1215837676959</v>
      </c>
      <c r="LZ940" s="330">
        <f t="shared" si="1397"/>
        <v>3541.859840524909</v>
      </c>
      <c r="MA940" s="330">
        <f t="shared" si="1397"/>
        <v>3327.2315281649517</v>
      </c>
      <c r="MB940" s="330">
        <f t="shared" si="1397"/>
        <v>3083.6619933605539</v>
      </c>
      <c r="MC940" s="330">
        <f t="shared" si="1397"/>
        <v>3133.95967658874</v>
      </c>
      <c r="MD940" s="330">
        <f t="shared" si="1397"/>
        <v>3355.5595586033305</v>
      </c>
      <c r="ME940" s="330">
        <f t="shared" si="1397"/>
        <v>3389.1151541893641</v>
      </c>
      <c r="MF940" s="330">
        <f t="shared" si="1397"/>
        <v>3579.2507264767833</v>
      </c>
      <c r="MG940" s="330">
        <f t="shared" si="1397"/>
        <v>3717.5859700612696</v>
      </c>
      <c r="MH940" s="330">
        <f t="shared" si="1397"/>
        <v>3790.6886595663987</v>
      </c>
      <c r="MI940" s="330">
        <f t="shared" si="1397"/>
        <v>3792.3094480595014</v>
      </c>
      <c r="MJ940" s="330">
        <f t="shared" si="1397"/>
        <v>3724.5826587671531</v>
      </c>
      <c r="MK940" s="330">
        <f t="shared" si="1397"/>
        <v>3597.6140288792244</v>
      </c>
      <c r="ML940" s="331">
        <f t="shared" si="1397"/>
        <v>3427.5655434717469</v>
      </c>
    </row>
    <row r="941" spans="3:350" s="4" customFormat="1" ht="18" customHeight="1" x14ac:dyDescent="0.3">
      <c r="C941" s="136" t="s">
        <v>284</v>
      </c>
      <c r="E941" s="137" t="s">
        <v>105</v>
      </c>
      <c r="F941" s="138"/>
      <c r="H941" s="332"/>
      <c r="I941" s="297"/>
      <c r="J941" s="297"/>
      <c r="K941" s="297"/>
      <c r="L941" s="297"/>
      <c r="M941" s="297"/>
      <c r="N941" s="297"/>
      <c r="O941" s="297"/>
      <c r="P941" s="297"/>
      <c r="Q941" s="333"/>
      <c r="S941" s="245"/>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38"/>
      <c r="BD941" s="245"/>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38"/>
      <c r="CO941" s="245"/>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38"/>
      <c r="DZ941" s="245"/>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38"/>
      <c r="FK941" s="245"/>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I941" s="1"/>
      <c r="GJ941" s="1"/>
      <c r="GK941" s="1"/>
      <c r="GL941" s="1"/>
      <c r="GM941" s="1"/>
      <c r="GN941" s="1"/>
      <c r="GO941" s="1"/>
      <c r="GP941" s="1"/>
      <c r="GQ941" s="1"/>
      <c r="GR941" s="1"/>
      <c r="GS941" s="1"/>
      <c r="GT941" s="138"/>
      <c r="GV941" s="245"/>
      <c r="GW941" s="1"/>
      <c r="GX941" s="1"/>
      <c r="GY941" s="1"/>
      <c r="GZ941" s="1"/>
      <c r="HA941" s="1"/>
      <c r="HB941" s="1"/>
      <c r="HC941" s="1"/>
      <c r="HD941" s="1"/>
      <c r="HE941" s="1"/>
      <c r="HF941" s="1"/>
      <c r="HG941" s="1"/>
      <c r="HH941" s="1"/>
      <c r="HI941" s="1"/>
      <c r="HJ941" s="1"/>
      <c r="HK941" s="1"/>
      <c r="HL941" s="1"/>
      <c r="HM941" s="1"/>
      <c r="HN941" s="1"/>
      <c r="HO941" s="1"/>
      <c r="HP941" s="1"/>
      <c r="HQ941" s="1"/>
      <c r="HR941" s="1"/>
      <c r="HS941" s="1"/>
      <c r="HT941" s="1"/>
      <c r="HU941" s="1"/>
      <c r="HV941" s="1"/>
      <c r="HW941" s="1"/>
      <c r="HX941" s="1"/>
      <c r="HY941" s="1"/>
      <c r="HZ941" s="1"/>
      <c r="IA941" s="1"/>
      <c r="IB941" s="1"/>
      <c r="IC941" s="1"/>
      <c r="ID941" s="1"/>
      <c r="IE941" s="138"/>
      <c r="IG941" s="245"/>
      <c r="IH941" s="1"/>
      <c r="II941" s="1"/>
      <c r="IJ941" s="1"/>
      <c r="IK941" s="1"/>
      <c r="IL941" s="1"/>
      <c r="IM941" s="1"/>
      <c r="IN941" s="1"/>
      <c r="IO941" s="1"/>
      <c r="IP941" s="1"/>
      <c r="IQ941" s="1"/>
      <c r="IR941" s="1"/>
      <c r="IS941" s="1"/>
      <c r="IT941" s="1"/>
      <c r="IU941" s="1"/>
      <c r="IV941" s="1"/>
      <c r="IW941" s="1"/>
      <c r="IX941" s="1"/>
      <c r="IY941" s="1"/>
      <c r="IZ941" s="1"/>
      <c r="JA941" s="1"/>
      <c r="JB941" s="1"/>
      <c r="JC941" s="1"/>
      <c r="JD941" s="1"/>
      <c r="JE941" s="1"/>
      <c r="JF941" s="1"/>
      <c r="JG941" s="1"/>
      <c r="JH941" s="1"/>
      <c r="JI941" s="1"/>
      <c r="JJ941" s="1"/>
      <c r="JK941" s="1"/>
      <c r="JL941" s="1"/>
      <c r="JM941" s="1"/>
      <c r="JN941" s="1"/>
      <c r="JO941" s="1"/>
      <c r="JP941" s="138"/>
      <c r="JR941" s="245"/>
      <c r="JS941" s="1"/>
      <c r="JT941" s="1"/>
      <c r="JU941" s="1"/>
      <c r="JV941" s="1"/>
      <c r="JW941" s="334"/>
      <c r="JX941" s="334"/>
      <c r="JY941" s="334"/>
      <c r="JZ941" s="334"/>
      <c r="KA941" s="330">
        <f t="shared" si="1392"/>
        <v>5271.3359503381353</v>
      </c>
      <c r="KB941" s="330">
        <f t="shared" si="1392"/>
        <v>6091.8689353019363</v>
      </c>
      <c r="KC941" s="330">
        <f t="shared" si="1392"/>
        <v>6767.0847130684069</v>
      </c>
      <c r="KD941" s="330">
        <f t="shared" si="1392"/>
        <v>7539.9672012520623</v>
      </c>
      <c r="KE941" s="330">
        <f t="shared" si="1392"/>
        <v>8195.6567088556749</v>
      </c>
      <c r="KF941" s="330">
        <f t="shared" si="1392"/>
        <v>8621.7230672858823</v>
      </c>
      <c r="KG941" s="330">
        <f t="shared" si="1392"/>
        <v>8769.5215122946829</v>
      </c>
      <c r="KH941" s="330">
        <f t="shared" ref="KH941:LA941" si="1398">$LA687/SUM($LA$685:$LA$687)*KH$931</f>
        <v>8673.9153416106346</v>
      </c>
      <c r="KI941" s="330">
        <f t="shared" si="1398"/>
        <v>8235.7861494924946</v>
      </c>
      <c r="KJ941" s="330">
        <f t="shared" si="1398"/>
        <v>7561.5326944552307</v>
      </c>
      <c r="KK941" s="330">
        <f t="shared" si="1398"/>
        <v>6723.9849886230768</v>
      </c>
      <c r="KL941" s="330">
        <f t="shared" si="1398"/>
        <v>5805.8671426385808</v>
      </c>
      <c r="KM941" s="330">
        <f t="shared" si="1398"/>
        <v>4886.5210314894675</v>
      </c>
      <c r="KN941" s="330">
        <f t="shared" si="1398"/>
        <v>4031.1665502151577</v>
      </c>
      <c r="KO941" s="330">
        <f t="shared" si="1398"/>
        <v>3284.5520899092812</v>
      </c>
      <c r="KP941" s="330">
        <f t="shared" si="1398"/>
        <v>2669.4569708076092</v>
      </c>
      <c r="KQ941" s="330">
        <f t="shared" si="1398"/>
        <v>2189.2582767432154</v>
      </c>
      <c r="KR941" s="330">
        <f t="shared" si="1398"/>
        <v>1833.0152329255645</v>
      </c>
      <c r="KS941" s="330">
        <f t="shared" si="1398"/>
        <v>1581.3632960807529</v>
      </c>
      <c r="KT941" s="330">
        <f t="shared" si="1398"/>
        <v>1411.8345649332734</v>
      </c>
      <c r="KU941" s="330">
        <f t="shared" si="1398"/>
        <v>1302.7951938829544</v>
      </c>
      <c r="KV941" s="330">
        <f t="shared" si="1398"/>
        <v>1235.7729237869773</v>
      </c>
      <c r="KW941" s="330">
        <f t="shared" si="1398"/>
        <v>1196.3753428400414</v>
      </c>
      <c r="KX941" s="330">
        <f t="shared" si="1398"/>
        <v>1174.2141282430073</v>
      </c>
      <c r="KY941" s="330">
        <f t="shared" si="1398"/>
        <v>1162.2796261045019</v>
      </c>
      <c r="KZ941" s="330">
        <f t="shared" si="1398"/>
        <v>1156.1238989262438</v>
      </c>
      <c r="LA941" s="331">
        <f t="shared" si="1398"/>
        <v>1153.081835965698</v>
      </c>
      <c r="LC941" s="245"/>
      <c r="LD941" s="1"/>
      <c r="LE941" s="1"/>
      <c r="LF941" s="1"/>
      <c r="LG941" s="1"/>
      <c r="LH941" s="1"/>
      <c r="LI941" s="1"/>
      <c r="LJ941" s="1"/>
      <c r="LK941" s="1"/>
      <c r="LL941" s="330">
        <f t="shared" si="1394"/>
        <v>3776.9971399739616</v>
      </c>
      <c r="LM941" s="330">
        <f t="shared" si="1394"/>
        <v>4057.8997048167344</v>
      </c>
      <c r="LN941" s="330">
        <f t="shared" si="1394"/>
        <v>4258.0458806556517</v>
      </c>
      <c r="LO941" s="330">
        <f t="shared" si="1394"/>
        <v>4356.5322288557581</v>
      </c>
      <c r="LP941" s="330">
        <f t="shared" si="1394"/>
        <v>4343.632602856831</v>
      </c>
      <c r="LQ941" s="330">
        <f t="shared" si="1394"/>
        <v>4222.6667050101096</v>
      </c>
      <c r="LR941" s="330">
        <f t="shared" si="1394"/>
        <v>4009.3585728447051</v>
      </c>
      <c r="LS941" s="330">
        <f t="shared" ref="LS941:ML941" si="1399">$ML687/SUM($ML$685:$ML$687)*LS$931</f>
        <v>4807.3931358039263</v>
      </c>
      <c r="LT941" s="330">
        <f t="shared" si="1399"/>
        <v>4799.7589225299398</v>
      </c>
      <c r="LU941" s="330">
        <f t="shared" si="1399"/>
        <v>4685.5577823976655</v>
      </c>
      <c r="LV941" s="330">
        <f t="shared" si="1399"/>
        <v>4896.2340768727936</v>
      </c>
      <c r="LW941" s="330">
        <f t="shared" si="1399"/>
        <v>5002.5925747640404</v>
      </c>
      <c r="LX941" s="330">
        <f t="shared" si="1399"/>
        <v>4994.6483818179358</v>
      </c>
      <c r="LY941" s="330">
        <f t="shared" si="1399"/>
        <v>4875.8102174497189</v>
      </c>
      <c r="LZ941" s="330">
        <f t="shared" si="1399"/>
        <v>4662.221800408709</v>
      </c>
      <c r="MA941" s="330">
        <f t="shared" si="1399"/>
        <v>4379.7022084642613</v>
      </c>
      <c r="MB941" s="330">
        <f t="shared" si="1399"/>
        <v>4059.0866996043233</v>
      </c>
      <c r="MC941" s="330">
        <f t="shared" si="1399"/>
        <v>4125.2945581348704</v>
      </c>
      <c r="MD941" s="330">
        <f t="shared" si="1399"/>
        <v>4416.9909683302858</v>
      </c>
      <c r="ME941" s="330">
        <f t="shared" si="1399"/>
        <v>4461.1608780135894</v>
      </c>
      <c r="MF941" s="330">
        <f t="shared" si="1399"/>
        <v>4711.4401804323479</v>
      </c>
      <c r="MG941" s="330">
        <f t="shared" si="1399"/>
        <v>4893.5336616664499</v>
      </c>
      <c r="MH941" s="330">
        <f t="shared" si="1399"/>
        <v>4989.7602115653899</v>
      </c>
      <c r="MI941" s="330">
        <f t="shared" si="1399"/>
        <v>4991.8936882659464</v>
      </c>
      <c r="MJ941" s="330">
        <f t="shared" si="1399"/>
        <v>4902.7435446330246</v>
      </c>
      <c r="MK941" s="330">
        <f t="shared" si="1399"/>
        <v>4735.612167084274</v>
      </c>
      <c r="ML941" s="331">
        <f t="shared" si="1399"/>
        <v>4511.7739037170459</v>
      </c>
    </row>
    <row r="942" spans="3:350" s="4" customFormat="1" ht="18" customHeight="1" x14ac:dyDescent="0.3">
      <c r="C942" s="362" t="s">
        <v>106</v>
      </c>
      <c r="D942" s="363"/>
      <c r="E942" s="364" t="s">
        <v>367</v>
      </c>
      <c r="F942" s="364"/>
      <c r="H942" s="338"/>
      <c r="I942" s="297"/>
      <c r="J942" s="297"/>
      <c r="K942" s="297"/>
      <c r="L942" s="297"/>
      <c r="M942" s="297"/>
      <c r="N942" s="297"/>
      <c r="O942" s="297"/>
      <c r="P942" s="297"/>
      <c r="Q942" s="339"/>
      <c r="S942" s="340"/>
      <c r="T942" s="209"/>
      <c r="U942" s="209"/>
      <c r="V942" s="209"/>
      <c r="W942" s="209"/>
      <c r="X942" s="209"/>
      <c r="Y942" s="209"/>
      <c r="Z942" s="209"/>
      <c r="AA942" s="209"/>
      <c r="AB942" s="209"/>
      <c r="AC942" s="209"/>
      <c r="AD942" s="209"/>
      <c r="AE942" s="209"/>
      <c r="AF942" s="209"/>
      <c r="AG942" s="209"/>
      <c r="AH942" s="209"/>
      <c r="AI942" s="209"/>
      <c r="AJ942" s="209"/>
      <c r="AK942" s="209"/>
      <c r="AL942" s="209"/>
      <c r="AM942" s="209"/>
      <c r="AN942" s="209"/>
      <c r="AO942" s="209"/>
      <c r="AP942" s="209"/>
      <c r="AQ942" s="209"/>
      <c r="AR942" s="209"/>
      <c r="AS942" s="209"/>
      <c r="AT942" s="209"/>
      <c r="AU942" s="209"/>
      <c r="AV942" s="209"/>
      <c r="AW942" s="209"/>
      <c r="AX942" s="209"/>
      <c r="AY942" s="209"/>
      <c r="AZ942" s="209"/>
      <c r="BA942" s="209"/>
      <c r="BB942" s="210"/>
      <c r="BD942" s="340"/>
      <c r="BE942" s="209"/>
      <c r="BF942" s="209"/>
      <c r="BG942" s="209"/>
      <c r="BH942" s="209"/>
      <c r="BI942" s="209"/>
      <c r="BJ942" s="209"/>
      <c r="BK942" s="209"/>
      <c r="BL942" s="209"/>
      <c r="BM942" s="209"/>
      <c r="BN942" s="209"/>
      <c r="BO942" s="209"/>
      <c r="BP942" s="209"/>
      <c r="BQ942" s="209"/>
      <c r="BR942" s="209"/>
      <c r="BS942" s="209"/>
      <c r="BT942" s="209"/>
      <c r="BU942" s="209"/>
      <c r="BV942" s="209"/>
      <c r="BW942" s="209"/>
      <c r="BX942" s="209"/>
      <c r="BY942" s="209"/>
      <c r="BZ942" s="209"/>
      <c r="CA942" s="209"/>
      <c r="CB942" s="209"/>
      <c r="CC942" s="209"/>
      <c r="CD942" s="209"/>
      <c r="CE942" s="209"/>
      <c r="CF942" s="209"/>
      <c r="CG942" s="209"/>
      <c r="CH942" s="209"/>
      <c r="CI942" s="209"/>
      <c r="CJ942" s="209"/>
      <c r="CK942" s="209"/>
      <c r="CL942" s="209"/>
      <c r="CM942" s="210"/>
      <c r="CO942" s="340"/>
      <c r="CP942" s="209"/>
      <c r="CQ942" s="209"/>
      <c r="CR942" s="209"/>
      <c r="CS942" s="209"/>
      <c r="CT942" s="209"/>
      <c r="CU942" s="209"/>
      <c r="CV942" s="209"/>
      <c r="CW942" s="209"/>
      <c r="CX942" s="209"/>
      <c r="CY942" s="209"/>
      <c r="CZ942" s="209"/>
      <c r="DA942" s="209"/>
      <c r="DB942" s="209"/>
      <c r="DC942" s="209"/>
      <c r="DD942" s="209"/>
      <c r="DE942" s="209"/>
      <c r="DF942" s="209"/>
      <c r="DG942" s="209"/>
      <c r="DH942" s="209"/>
      <c r="DI942" s="209"/>
      <c r="DJ942" s="209"/>
      <c r="DK942" s="209"/>
      <c r="DL942" s="209"/>
      <c r="DM942" s="209"/>
      <c r="DN942" s="209"/>
      <c r="DO942" s="209"/>
      <c r="DP942" s="209"/>
      <c r="DQ942" s="209"/>
      <c r="DR942" s="209"/>
      <c r="DS942" s="209"/>
      <c r="DT942" s="209"/>
      <c r="DU942" s="209"/>
      <c r="DV942" s="209"/>
      <c r="DW942" s="209"/>
      <c r="DX942" s="210"/>
      <c r="DZ942" s="340"/>
      <c r="EA942" s="209"/>
      <c r="EB942" s="209"/>
      <c r="EC942" s="209"/>
      <c r="ED942" s="209"/>
      <c r="EE942" s="209"/>
      <c r="EF942" s="209"/>
      <c r="EG942" s="209"/>
      <c r="EH942" s="209"/>
      <c r="EI942" s="209"/>
      <c r="EJ942" s="209"/>
      <c r="EK942" s="209"/>
      <c r="EL942" s="209"/>
      <c r="EM942" s="209"/>
      <c r="EN942" s="209"/>
      <c r="EO942" s="209"/>
      <c r="EP942" s="209"/>
      <c r="EQ942" s="209"/>
      <c r="ER942" s="209"/>
      <c r="ES942" s="209"/>
      <c r="ET942" s="209"/>
      <c r="EU942" s="209"/>
      <c r="EV942" s="209"/>
      <c r="EW942" s="209"/>
      <c r="EX942" s="209"/>
      <c r="EY942" s="209"/>
      <c r="EZ942" s="209"/>
      <c r="FA942" s="209"/>
      <c r="FB942" s="209"/>
      <c r="FC942" s="209"/>
      <c r="FD942" s="209"/>
      <c r="FE942" s="209"/>
      <c r="FF942" s="209"/>
      <c r="FG942" s="209"/>
      <c r="FH942" s="209"/>
      <c r="FI942" s="210"/>
      <c r="FK942" s="340"/>
      <c r="FL942" s="209"/>
      <c r="FM942" s="209"/>
      <c r="FN942" s="209"/>
      <c r="FO942" s="209"/>
      <c r="FP942" s="209"/>
      <c r="FQ942" s="209"/>
      <c r="FR942" s="209"/>
      <c r="FS942" s="209"/>
      <c r="FT942" s="209"/>
      <c r="FU942" s="209"/>
      <c r="FV942" s="209"/>
      <c r="FW942" s="209"/>
      <c r="FX942" s="209"/>
      <c r="FY942" s="209"/>
      <c r="FZ942" s="209"/>
      <c r="GA942" s="209"/>
      <c r="GB942" s="209"/>
      <c r="GC942" s="209"/>
      <c r="GD942" s="209"/>
      <c r="GE942" s="209"/>
      <c r="GF942" s="209"/>
      <c r="GG942" s="209"/>
      <c r="GH942" s="209"/>
      <c r="GI942" s="209"/>
      <c r="GJ942" s="209"/>
      <c r="GK942" s="209"/>
      <c r="GL942" s="209"/>
      <c r="GM942" s="209"/>
      <c r="GN942" s="209"/>
      <c r="GO942" s="209"/>
      <c r="GP942" s="209"/>
      <c r="GQ942" s="209"/>
      <c r="GR942" s="209"/>
      <c r="GS942" s="209"/>
      <c r="GT942" s="210"/>
      <c r="GV942" s="340"/>
      <c r="GW942" s="209"/>
      <c r="GX942" s="209"/>
      <c r="GY942" s="209"/>
      <c r="GZ942" s="209"/>
      <c r="HA942" s="209"/>
      <c r="HB942" s="209"/>
      <c r="HC942" s="209"/>
      <c r="HD942" s="209"/>
      <c r="HE942" s="209"/>
      <c r="HF942" s="209"/>
      <c r="HG942" s="209"/>
      <c r="HH942" s="209"/>
      <c r="HI942" s="209"/>
      <c r="HJ942" s="209"/>
      <c r="HK942" s="209"/>
      <c r="HL942" s="209"/>
      <c r="HM942" s="209"/>
      <c r="HN942" s="209"/>
      <c r="HO942" s="209"/>
      <c r="HP942" s="209"/>
      <c r="HQ942" s="209"/>
      <c r="HR942" s="209"/>
      <c r="HS942" s="209"/>
      <c r="HT942" s="209"/>
      <c r="HU942" s="209"/>
      <c r="HV942" s="209"/>
      <c r="HW942" s="209"/>
      <c r="HX942" s="209"/>
      <c r="HY942" s="209"/>
      <c r="HZ942" s="209"/>
      <c r="IA942" s="209"/>
      <c r="IB942" s="209"/>
      <c r="IC942" s="209"/>
      <c r="ID942" s="209"/>
      <c r="IE942" s="210"/>
      <c r="IG942" s="340"/>
      <c r="IH942" s="209"/>
      <c r="II942" s="209"/>
      <c r="IJ942" s="209"/>
      <c r="IK942" s="209"/>
      <c r="IL942" s="209"/>
      <c r="IM942" s="209"/>
      <c r="IN942" s="209"/>
      <c r="IO942" s="209"/>
      <c r="IP942" s="209"/>
      <c r="IQ942" s="209"/>
      <c r="IR942" s="209"/>
      <c r="IS942" s="209"/>
      <c r="IT942" s="209"/>
      <c r="IU942" s="209"/>
      <c r="IV942" s="209"/>
      <c r="IW942" s="209"/>
      <c r="IX942" s="209"/>
      <c r="IY942" s="209"/>
      <c r="IZ942" s="209"/>
      <c r="JA942" s="209"/>
      <c r="JB942" s="209"/>
      <c r="JC942" s="209"/>
      <c r="JD942" s="209"/>
      <c r="JE942" s="209"/>
      <c r="JF942" s="209"/>
      <c r="JG942" s="209"/>
      <c r="JH942" s="209"/>
      <c r="JI942" s="209"/>
      <c r="JJ942" s="209"/>
      <c r="JK942" s="209"/>
      <c r="JL942" s="209"/>
      <c r="JM942" s="209"/>
      <c r="JN942" s="209"/>
      <c r="JO942" s="209"/>
      <c r="JP942" s="210"/>
      <c r="JR942" s="340"/>
      <c r="JS942" s="209"/>
      <c r="JT942" s="209"/>
      <c r="JU942" s="209"/>
      <c r="JV942" s="209"/>
      <c r="JW942" s="209"/>
      <c r="JX942" s="209"/>
      <c r="JY942" s="209"/>
      <c r="JZ942" s="209"/>
      <c r="KA942" s="365">
        <f t="shared" ref="KA942:LA942" si="1400">SUM(KA939:KA941)</f>
        <v>11080.246505848545</v>
      </c>
      <c r="KB942" s="365">
        <f t="shared" si="1400"/>
        <v>12804.991015633666</v>
      </c>
      <c r="KC942" s="365">
        <f t="shared" si="1400"/>
        <v>14224.281558443945</v>
      </c>
      <c r="KD942" s="365">
        <f t="shared" si="1400"/>
        <v>15848.865642973626</v>
      </c>
      <c r="KE942" s="365">
        <f t="shared" si="1400"/>
        <v>17227.112342480694</v>
      </c>
      <c r="KF942" s="365">
        <f t="shared" si="1400"/>
        <v>18122.695610884046</v>
      </c>
      <c r="KG942" s="365">
        <f t="shared" si="1400"/>
        <v>18433.365091886022</v>
      </c>
      <c r="KH942" s="365">
        <f t="shared" si="1400"/>
        <v>18162.784470324936</v>
      </c>
      <c r="KI942" s="365">
        <f t="shared" si="1400"/>
        <v>17245.361856292166</v>
      </c>
      <c r="KJ942" s="365">
        <f t="shared" si="1400"/>
        <v>15833.505768250179</v>
      </c>
      <c r="KK942" s="365">
        <f t="shared" si="1400"/>
        <v>14079.718941248499</v>
      </c>
      <c r="KL942" s="365">
        <f t="shared" si="1400"/>
        <v>12157.221902918063</v>
      </c>
      <c r="KM942" s="365">
        <f t="shared" si="1400"/>
        <v>10232.152933161187</v>
      </c>
      <c r="KN942" s="365">
        <f t="shared" si="1400"/>
        <v>8441.0795277540383</v>
      </c>
      <c r="KO942" s="365">
        <f t="shared" si="1400"/>
        <v>6877.7027837004607</v>
      </c>
      <c r="KP942" s="365">
        <f t="shared" si="1400"/>
        <v>5589.7215621869427</v>
      </c>
      <c r="KQ942" s="365">
        <f t="shared" si="1400"/>
        <v>4584.2073232615294</v>
      </c>
      <c r="KR942" s="365">
        <f t="shared" si="1400"/>
        <v>3838.2505818032878</v>
      </c>
      <c r="KS942" s="365">
        <f t="shared" si="1400"/>
        <v>3311.30286437221</v>
      </c>
      <c r="KT942" s="365">
        <f t="shared" si="1400"/>
        <v>2956.3174069296911</v>
      </c>
      <c r="KU942" s="365">
        <f t="shared" si="1400"/>
        <v>2727.9939201109937</v>
      </c>
      <c r="KV942" s="365">
        <f t="shared" si="1400"/>
        <v>2587.6523328896574</v>
      </c>
      <c r="KW942" s="365">
        <f t="shared" si="1400"/>
        <v>2505.1555891229027</v>
      </c>
      <c r="KX942" s="365">
        <f t="shared" si="1400"/>
        <v>2458.7510130492092</v>
      </c>
      <c r="KY942" s="365">
        <f t="shared" si="1400"/>
        <v>2433.7607080294629</v>
      </c>
      <c r="KZ942" s="365">
        <f t="shared" si="1400"/>
        <v>2420.8708951141266</v>
      </c>
      <c r="LA942" s="365">
        <f t="shared" si="1400"/>
        <v>2414.5009535454683</v>
      </c>
      <c r="LC942" s="340"/>
      <c r="LD942" s="209"/>
      <c r="LE942" s="209"/>
      <c r="LF942" s="209"/>
      <c r="LG942" s="209"/>
      <c r="LH942" s="209"/>
      <c r="LI942" s="209"/>
      <c r="LJ942" s="209"/>
      <c r="LK942" s="209"/>
      <c r="LL942" s="365">
        <f t="shared" ref="LL942:LR942" si="1401">SUM(LL939:LL941)</f>
        <v>8751.4993672189739</v>
      </c>
      <c r="LM942" s="365">
        <f t="shared" si="1401"/>
        <v>9402.3652607760596</v>
      </c>
      <c r="LN942" s="365">
        <f t="shared" si="1401"/>
        <v>9866.1143890631029</v>
      </c>
      <c r="LO942" s="365">
        <f t="shared" si="1401"/>
        <v>10094.312394518536</v>
      </c>
      <c r="LP942" s="365">
        <f t="shared" si="1401"/>
        <v>10064.423288283273</v>
      </c>
      <c r="LQ942" s="365">
        <f t="shared" si="1401"/>
        <v>9784.1389938482607</v>
      </c>
      <c r="LR942" s="365">
        <f t="shared" si="1401"/>
        <v>9289.8929262748388</v>
      </c>
      <c r="LS942" s="365">
        <f t="shared" ref="LS942:ML942" si="1402">SUM(LS939:LS941)</f>
        <v>9392.3680295552949</v>
      </c>
      <c r="LT942" s="365">
        <f t="shared" si="1402"/>
        <v>9377.4528065519225</v>
      </c>
      <c r="LU942" s="365">
        <f t="shared" si="1402"/>
        <v>9154.3341417752454</v>
      </c>
      <c r="LV942" s="365">
        <f t="shared" si="1402"/>
        <v>9565.939607963619</v>
      </c>
      <c r="LW942" s="365">
        <f t="shared" si="1402"/>
        <v>9773.7358349510378</v>
      </c>
      <c r="LX942" s="365">
        <f t="shared" si="1402"/>
        <v>9758.2149940836862</v>
      </c>
      <c r="LY942" s="365">
        <f t="shared" si="1402"/>
        <v>9526.0368168112291</v>
      </c>
      <c r="LZ942" s="365">
        <f t="shared" si="1402"/>
        <v>9108.7418373849559</v>
      </c>
      <c r="MA942" s="365">
        <f t="shared" si="1402"/>
        <v>8556.7736691610153</v>
      </c>
      <c r="MB942" s="365">
        <f t="shared" si="1402"/>
        <v>7930.3762079739554</v>
      </c>
      <c r="MC942" s="365">
        <f t="shared" si="1402"/>
        <v>8059.7287606362916</v>
      </c>
      <c r="MD942" s="365">
        <f t="shared" si="1402"/>
        <v>8629.6259918510441</v>
      </c>
      <c r="ME942" s="365">
        <f t="shared" si="1402"/>
        <v>8715.9222517695562</v>
      </c>
      <c r="MF942" s="365">
        <f t="shared" si="1402"/>
        <v>9204.9014660946705</v>
      </c>
      <c r="MG942" s="365">
        <f t="shared" si="1402"/>
        <v>9560.6637146189114</v>
      </c>
      <c r="MH942" s="365">
        <f t="shared" si="1402"/>
        <v>9748.6648090445015</v>
      </c>
      <c r="MI942" s="365">
        <f t="shared" si="1402"/>
        <v>9752.833055282752</v>
      </c>
      <c r="MJ942" s="365">
        <f t="shared" si="1402"/>
        <v>9578.6573772729917</v>
      </c>
      <c r="MK942" s="365">
        <f t="shared" si="1402"/>
        <v>9252.1271013250243</v>
      </c>
      <c r="ML942" s="427">
        <f t="shared" si="1402"/>
        <v>8814.8066473384879</v>
      </c>
    </row>
    <row r="943" spans="3:350" s="4" customFormat="1" ht="15" customHeight="1" x14ac:dyDescent="0.3">
      <c r="C943" s="156"/>
      <c r="D943" s="156"/>
      <c r="E943" s="156"/>
      <c r="F943" s="156"/>
      <c r="H943" s="157"/>
      <c r="I943" s="157"/>
      <c r="J943" s="157"/>
      <c r="K943" s="157"/>
      <c r="L943" s="157"/>
      <c r="M943" s="157"/>
      <c r="N943" s="157"/>
      <c r="O943" s="157"/>
      <c r="P943" s="157"/>
      <c r="Q943" s="157"/>
      <c r="R943" s="140"/>
      <c r="S943" s="157"/>
      <c r="T943" s="157"/>
      <c r="U943" s="157"/>
      <c r="V943" s="157"/>
      <c r="W943" s="157"/>
      <c r="X943" s="157"/>
      <c r="Y943" s="157"/>
      <c r="Z943" s="157"/>
      <c r="AA943" s="157"/>
      <c r="AB943" s="157"/>
      <c r="AC943" s="157"/>
      <c r="AD943" s="157"/>
      <c r="AE943" s="157"/>
      <c r="AF943" s="157"/>
      <c r="AG943" s="157"/>
      <c r="AH943" s="157"/>
      <c r="AI943" s="157"/>
      <c r="AJ943" s="157"/>
      <c r="AK943" s="157"/>
      <c r="AL943" s="157"/>
      <c r="AM943" s="157"/>
      <c r="AN943" s="157"/>
      <c r="AO943" s="157"/>
      <c r="AP943" s="157"/>
      <c r="AQ943" s="157"/>
      <c r="AR943" s="157"/>
      <c r="AS943" s="157"/>
      <c r="AT943" s="157"/>
      <c r="AU943" s="157"/>
      <c r="AV943" s="157"/>
      <c r="AW943" s="157"/>
      <c r="AX943" s="157"/>
      <c r="AY943" s="157"/>
      <c r="AZ943" s="157"/>
      <c r="BA943" s="157"/>
      <c r="BB943" s="157"/>
      <c r="BC943" s="140"/>
      <c r="BD943" s="157"/>
      <c r="BE943" s="157"/>
      <c r="BF943" s="157"/>
      <c r="BG943" s="157"/>
      <c r="BH943" s="157"/>
      <c r="BI943" s="157"/>
      <c r="BJ943" s="157"/>
      <c r="BK943" s="157"/>
      <c r="BL943" s="157"/>
      <c r="BM943" s="157"/>
      <c r="BN943" s="157"/>
      <c r="BO943" s="157"/>
      <c r="BP943" s="157"/>
      <c r="BQ943" s="157"/>
      <c r="BR943" s="157"/>
      <c r="BS943" s="157"/>
      <c r="BT943" s="157"/>
      <c r="BU943" s="157"/>
      <c r="BV943" s="157"/>
      <c r="BW943" s="157"/>
      <c r="BX943" s="157"/>
      <c r="BY943" s="157"/>
      <c r="BZ943" s="157"/>
      <c r="CA943" s="157"/>
      <c r="CB943" s="157"/>
      <c r="CC943" s="157"/>
      <c r="CD943" s="157"/>
      <c r="CE943" s="157"/>
      <c r="CF943" s="157"/>
      <c r="CG943" s="157"/>
      <c r="CH943" s="157"/>
      <c r="CI943" s="157"/>
      <c r="CJ943" s="157"/>
      <c r="CK943" s="157"/>
      <c r="CL943" s="157"/>
      <c r="CM943" s="157"/>
      <c r="CN943" s="140"/>
      <c r="CO943" s="157"/>
      <c r="CP943" s="157"/>
      <c r="CQ943" s="157"/>
      <c r="CR943" s="157"/>
      <c r="CS943" s="157"/>
      <c r="CT943" s="157"/>
      <c r="CU943" s="157"/>
      <c r="CV943" s="157"/>
      <c r="CW943" s="157"/>
      <c r="CX943" s="157"/>
      <c r="CY943" s="157"/>
      <c r="CZ943" s="157"/>
      <c r="DA943" s="157"/>
      <c r="DB943" s="157"/>
      <c r="DC943" s="157"/>
      <c r="DD943" s="157"/>
      <c r="DE943" s="157"/>
      <c r="DF943" s="157"/>
      <c r="DG943" s="157"/>
      <c r="DH943" s="157"/>
      <c r="DI943" s="157"/>
      <c r="DJ943" s="157"/>
      <c r="DK943" s="157"/>
      <c r="DL943" s="157"/>
      <c r="DM943" s="157"/>
      <c r="DN943" s="157"/>
      <c r="DO943" s="157"/>
      <c r="DP943" s="157"/>
      <c r="DQ943" s="157"/>
      <c r="DR943" s="157"/>
      <c r="DS943" s="157"/>
      <c r="DT943" s="157"/>
      <c r="DU943" s="157"/>
      <c r="DV943" s="157"/>
      <c r="DW943" s="157"/>
      <c r="DX943" s="157"/>
      <c r="DY943" s="140"/>
      <c r="DZ943" s="157"/>
      <c r="EA943" s="157"/>
      <c r="EB943" s="157"/>
      <c r="EC943" s="157"/>
      <c r="ED943" s="157"/>
      <c r="EE943" s="157"/>
      <c r="EF943" s="157"/>
      <c r="EG943" s="157"/>
      <c r="EH943" s="157"/>
      <c r="EI943" s="157"/>
      <c r="EJ943" s="157"/>
      <c r="EK943" s="157"/>
      <c r="EL943" s="157"/>
      <c r="EM943" s="157"/>
      <c r="EN943" s="157"/>
      <c r="EO943" s="157"/>
      <c r="EP943" s="157"/>
      <c r="EQ943" s="157"/>
      <c r="ER943" s="157"/>
      <c r="ES943" s="157"/>
      <c r="ET943" s="157"/>
      <c r="EU943" s="157"/>
      <c r="EV943" s="157"/>
      <c r="EW943" s="157"/>
      <c r="EX943" s="157"/>
      <c r="EY943" s="157"/>
      <c r="EZ943" s="157"/>
      <c r="FA943" s="157"/>
      <c r="FB943" s="157"/>
      <c r="FC943" s="157"/>
      <c r="FD943" s="157"/>
      <c r="FE943" s="157"/>
      <c r="FF943" s="157"/>
      <c r="FG943" s="157"/>
      <c r="FH943" s="157"/>
      <c r="FI943" s="157"/>
      <c r="FJ943" s="140"/>
      <c r="FK943" s="157"/>
      <c r="FL943" s="157"/>
      <c r="FM943" s="157"/>
      <c r="FN943" s="157"/>
      <c r="FO943" s="157"/>
      <c r="FP943" s="157"/>
      <c r="FQ943" s="157"/>
      <c r="FR943" s="157"/>
      <c r="FS943" s="157"/>
      <c r="FT943" s="157"/>
      <c r="FU943" s="157"/>
      <c r="FV943" s="157"/>
      <c r="FW943" s="157"/>
      <c r="FX943" s="157"/>
      <c r="FY943" s="157"/>
      <c r="FZ943" s="157"/>
      <c r="GA943" s="157"/>
      <c r="GB943" s="157"/>
      <c r="GC943" s="157"/>
      <c r="GD943" s="157"/>
      <c r="GE943" s="157"/>
      <c r="GF943" s="157"/>
      <c r="GG943" s="157"/>
      <c r="GH943" s="157"/>
      <c r="GI943" s="157"/>
      <c r="GJ943" s="157"/>
      <c r="GK943" s="157"/>
      <c r="GL943" s="157"/>
      <c r="GM943" s="157"/>
      <c r="GN943" s="157"/>
      <c r="GO943" s="157"/>
      <c r="GP943" s="157"/>
      <c r="GQ943" s="157"/>
      <c r="GR943" s="157"/>
      <c r="GS943" s="157"/>
      <c r="GT943" s="157"/>
      <c r="GU943" s="140"/>
      <c r="GV943" s="157"/>
      <c r="GW943" s="157"/>
      <c r="GX943" s="157"/>
      <c r="GY943" s="157"/>
      <c r="GZ943" s="157"/>
      <c r="HA943" s="157"/>
      <c r="HB943" s="157"/>
      <c r="HC943" s="157"/>
      <c r="HD943" s="157"/>
      <c r="HE943" s="157"/>
      <c r="HF943" s="157"/>
      <c r="HG943" s="157"/>
      <c r="HH943" s="157"/>
      <c r="HI943" s="157"/>
      <c r="HJ943" s="157"/>
      <c r="HK943" s="157"/>
      <c r="HL943" s="157"/>
      <c r="HM943" s="157"/>
      <c r="HN943" s="157"/>
      <c r="HO943" s="157"/>
      <c r="HP943" s="157"/>
      <c r="HQ943" s="157"/>
      <c r="HR943" s="157"/>
      <c r="HS943" s="157"/>
      <c r="HT943" s="157"/>
      <c r="HU943" s="157"/>
      <c r="HV943" s="157"/>
      <c r="HW943" s="157"/>
      <c r="HX943" s="157"/>
      <c r="HY943" s="157"/>
      <c r="HZ943" s="157"/>
      <c r="IA943" s="157"/>
      <c r="IB943" s="157"/>
      <c r="IC943" s="157"/>
      <c r="ID943" s="157"/>
      <c r="IE943" s="157"/>
      <c r="IF943" s="140"/>
      <c r="IG943" s="157"/>
      <c r="IH943" s="157"/>
      <c r="II943" s="157"/>
      <c r="IJ943" s="157"/>
      <c r="IK943" s="157"/>
      <c r="IL943" s="157"/>
      <c r="IM943" s="157"/>
      <c r="IN943" s="157"/>
      <c r="IO943" s="157"/>
      <c r="IP943" s="157"/>
      <c r="IQ943" s="157"/>
      <c r="IR943" s="157"/>
      <c r="IS943" s="157"/>
      <c r="IT943" s="157"/>
      <c r="IU943" s="157"/>
      <c r="IV943" s="157"/>
      <c r="IW943" s="157"/>
      <c r="IX943" s="157"/>
      <c r="IY943" s="157"/>
      <c r="IZ943" s="157"/>
      <c r="JA943" s="157"/>
      <c r="JB943" s="157"/>
      <c r="JC943" s="157"/>
      <c r="JD943" s="157"/>
      <c r="JE943" s="157"/>
      <c r="JF943" s="157"/>
      <c r="JG943" s="157"/>
      <c r="JH943" s="157"/>
      <c r="JI943" s="157"/>
      <c r="JJ943" s="157"/>
      <c r="JK943" s="157"/>
      <c r="JL943" s="157"/>
      <c r="JM943" s="157"/>
      <c r="JN943" s="157"/>
      <c r="JO943" s="157"/>
      <c r="JP943" s="157"/>
      <c r="JQ943" s="140"/>
      <c r="JR943" s="157"/>
      <c r="JS943" s="157"/>
      <c r="JT943" s="157"/>
      <c r="JU943" s="157"/>
      <c r="JV943" s="157"/>
      <c r="JW943" s="157"/>
      <c r="JX943" s="157"/>
      <c r="JY943" s="157"/>
      <c r="JZ943" s="157"/>
      <c r="KA943" s="157"/>
      <c r="KB943" s="157"/>
      <c r="KC943" s="157"/>
      <c r="KD943" s="157"/>
      <c r="KE943" s="157"/>
      <c r="KF943" s="157"/>
      <c r="KG943" s="157"/>
      <c r="KH943" s="157"/>
      <c r="KI943" s="157"/>
      <c r="KJ943" s="157"/>
      <c r="KK943" s="157"/>
      <c r="KL943" s="157"/>
      <c r="KM943" s="157"/>
      <c r="KN943" s="157"/>
      <c r="KO943" s="157"/>
      <c r="KP943" s="157"/>
      <c r="KQ943" s="157"/>
      <c r="KR943" s="157"/>
      <c r="KS943" s="157"/>
      <c r="KT943" s="157"/>
      <c r="KU943" s="157"/>
      <c r="KV943" s="157"/>
      <c r="KW943" s="157"/>
      <c r="KX943" s="157"/>
      <c r="KY943" s="157"/>
      <c r="KZ943" s="157"/>
      <c r="LA943" s="157"/>
      <c r="LB943" s="140"/>
      <c r="LC943" s="157"/>
      <c r="LD943" s="157"/>
      <c r="LE943" s="157"/>
      <c r="LF943" s="157"/>
      <c r="LG943" s="157"/>
      <c r="LH943" s="157"/>
      <c r="LI943" s="157"/>
      <c r="LJ943" s="157"/>
      <c r="LK943" s="157"/>
      <c r="LL943" s="157"/>
      <c r="LM943" s="157"/>
      <c r="LN943" s="157"/>
      <c r="LO943" s="157"/>
      <c r="LP943" s="157"/>
      <c r="LQ943" s="157"/>
      <c r="LR943" s="157"/>
      <c r="LS943" s="157"/>
      <c r="LT943" s="157"/>
      <c r="LU943" s="157"/>
      <c r="LV943" s="157"/>
      <c r="LW943" s="157"/>
      <c r="LX943" s="157"/>
      <c r="LY943" s="157"/>
      <c r="LZ943" s="157"/>
      <c r="MA943" s="157"/>
      <c r="MB943" s="157"/>
      <c r="MC943" s="157"/>
      <c r="MD943" s="157"/>
      <c r="ME943" s="157"/>
      <c r="MF943" s="157"/>
      <c r="MG943" s="157"/>
      <c r="MH943" s="157"/>
      <c r="MI943" s="157"/>
      <c r="MJ943" s="157"/>
      <c r="MK943" s="157"/>
      <c r="ML943" s="157"/>
    </row>
    <row r="944" spans="3:350" x14ac:dyDescent="0.3">
      <c r="C944" s="120" t="s">
        <v>425</v>
      </c>
      <c r="H944" s="121" t="s">
        <v>100</v>
      </c>
      <c r="S944" s="122" t="s">
        <v>5</v>
      </c>
      <c r="BD944" s="123" t="s">
        <v>6</v>
      </c>
      <c r="CO944" s="124" t="s">
        <v>7</v>
      </c>
      <c r="DZ944" s="125" t="s">
        <v>8</v>
      </c>
      <c r="FK944" s="126" t="s">
        <v>9</v>
      </c>
      <c r="GV944" s="127" t="s">
        <v>10</v>
      </c>
      <c r="IG944" s="128" t="s">
        <v>11</v>
      </c>
      <c r="JR944" s="129" t="str">
        <f>JR$4</f>
        <v>AMS2 2023</v>
      </c>
      <c r="LC944" s="130" t="str">
        <f>LC$4</f>
        <v>AMS3 2025</v>
      </c>
    </row>
    <row r="945" spans="3:350" s="4" customFormat="1" ht="18" customHeight="1" x14ac:dyDescent="0.3">
      <c r="C945" s="131"/>
      <c r="D945" s="132"/>
      <c r="E945" s="133" t="s">
        <v>101</v>
      </c>
      <c r="F945" s="134" t="s">
        <v>102</v>
      </c>
      <c r="H945" s="135">
        <f t="shared" ref="H945:Q945" si="1403">H$1</f>
        <v>2015</v>
      </c>
      <c r="I945" s="133">
        <f t="shared" si="1403"/>
        <v>2016</v>
      </c>
      <c r="J945" s="133">
        <f t="shared" si="1403"/>
        <v>2017</v>
      </c>
      <c r="K945" s="133">
        <f t="shared" si="1403"/>
        <v>2018</v>
      </c>
      <c r="L945" s="133">
        <f t="shared" si="1403"/>
        <v>2019</v>
      </c>
      <c r="M945" s="133">
        <f t="shared" si="1403"/>
        <v>2020</v>
      </c>
      <c r="N945" s="133">
        <f t="shared" si="1403"/>
        <v>2021</v>
      </c>
      <c r="O945" s="133">
        <f t="shared" si="1403"/>
        <v>2022</v>
      </c>
      <c r="P945" s="133">
        <f t="shared" si="1403"/>
        <v>2023</v>
      </c>
      <c r="Q945" s="134">
        <f t="shared" si="1403"/>
        <v>2024</v>
      </c>
      <c r="S945" s="135">
        <f t="shared" ref="S945:BB945" si="1404">S$1</f>
        <v>2015</v>
      </c>
      <c r="T945" s="133">
        <f t="shared" si="1404"/>
        <v>2016</v>
      </c>
      <c r="U945" s="133">
        <f t="shared" si="1404"/>
        <v>2017</v>
      </c>
      <c r="V945" s="133">
        <f t="shared" si="1404"/>
        <v>2018</v>
      </c>
      <c r="W945" s="133">
        <f t="shared" si="1404"/>
        <v>2019</v>
      </c>
      <c r="X945" s="133">
        <f t="shared" si="1404"/>
        <v>2020</v>
      </c>
      <c r="Y945" s="133">
        <f t="shared" si="1404"/>
        <v>2021</v>
      </c>
      <c r="Z945" s="133">
        <f t="shared" si="1404"/>
        <v>2022</v>
      </c>
      <c r="AA945" s="133">
        <f t="shared" si="1404"/>
        <v>2023</v>
      </c>
      <c r="AB945" s="133">
        <f t="shared" si="1404"/>
        <v>2024</v>
      </c>
      <c r="AC945" s="133">
        <f t="shared" si="1404"/>
        <v>2025</v>
      </c>
      <c r="AD945" s="133">
        <f t="shared" si="1404"/>
        <v>2026</v>
      </c>
      <c r="AE945" s="133">
        <f t="shared" si="1404"/>
        <v>2027</v>
      </c>
      <c r="AF945" s="133">
        <f t="shared" si="1404"/>
        <v>2028</v>
      </c>
      <c r="AG945" s="133">
        <f t="shared" si="1404"/>
        <v>2029</v>
      </c>
      <c r="AH945" s="133">
        <f t="shared" si="1404"/>
        <v>2030</v>
      </c>
      <c r="AI945" s="133">
        <f t="shared" si="1404"/>
        <v>2031</v>
      </c>
      <c r="AJ945" s="133">
        <f t="shared" si="1404"/>
        <v>2032</v>
      </c>
      <c r="AK945" s="133">
        <f t="shared" si="1404"/>
        <v>2033</v>
      </c>
      <c r="AL945" s="133">
        <f t="shared" si="1404"/>
        <v>2034</v>
      </c>
      <c r="AM945" s="133">
        <f t="shared" si="1404"/>
        <v>2035</v>
      </c>
      <c r="AN945" s="133">
        <f t="shared" si="1404"/>
        <v>2036</v>
      </c>
      <c r="AO945" s="133">
        <f t="shared" si="1404"/>
        <v>2037</v>
      </c>
      <c r="AP945" s="133">
        <f t="shared" si="1404"/>
        <v>2038</v>
      </c>
      <c r="AQ945" s="133">
        <f t="shared" si="1404"/>
        <v>2039</v>
      </c>
      <c r="AR945" s="133">
        <f t="shared" si="1404"/>
        <v>2040</v>
      </c>
      <c r="AS945" s="133">
        <f t="shared" si="1404"/>
        <v>2041</v>
      </c>
      <c r="AT945" s="133">
        <f t="shared" si="1404"/>
        <v>2042</v>
      </c>
      <c r="AU945" s="133">
        <f t="shared" si="1404"/>
        <v>2043</v>
      </c>
      <c r="AV945" s="133">
        <f t="shared" si="1404"/>
        <v>2044</v>
      </c>
      <c r="AW945" s="133">
        <f t="shared" si="1404"/>
        <v>2045</v>
      </c>
      <c r="AX945" s="133">
        <f t="shared" si="1404"/>
        <v>2046</v>
      </c>
      <c r="AY945" s="133">
        <f t="shared" si="1404"/>
        <v>2047</v>
      </c>
      <c r="AZ945" s="133">
        <f t="shared" si="1404"/>
        <v>2048</v>
      </c>
      <c r="BA945" s="133">
        <f t="shared" si="1404"/>
        <v>2049</v>
      </c>
      <c r="BB945" s="134">
        <f t="shared" si="1404"/>
        <v>2050</v>
      </c>
      <c r="BD945" s="135">
        <f t="shared" ref="BD945:CM945" si="1405">BD$1</f>
        <v>2015</v>
      </c>
      <c r="BE945" s="133">
        <f t="shared" si="1405"/>
        <v>2016</v>
      </c>
      <c r="BF945" s="133">
        <f t="shared" si="1405"/>
        <v>2017</v>
      </c>
      <c r="BG945" s="133">
        <f t="shared" si="1405"/>
        <v>2018</v>
      </c>
      <c r="BH945" s="133">
        <f t="shared" si="1405"/>
        <v>2019</v>
      </c>
      <c r="BI945" s="133">
        <f t="shared" si="1405"/>
        <v>2020</v>
      </c>
      <c r="BJ945" s="133">
        <f t="shared" si="1405"/>
        <v>2021</v>
      </c>
      <c r="BK945" s="133">
        <f t="shared" si="1405"/>
        <v>2022</v>
      </c>
      <c r="BL945" s="133">
        <f t="shared" si="1405"/>
        <v>2023</v>
      </c>
      <c r="BM945" s="133">
        <f t="shared" si="1405"/>
        <v>2024</v>
      </c>
      <c r="BN945" s="133">
        <f t="shared" si="1405"/>
        <v>2025</v>
      </c>
      <c r="BO945" s="133">
        <f t="shared" si="1405"/>
        <v>2026</v>
      </c>
      <c r="BP945" s="133">
        <f t="shared" si="1405"/>
        <v>2027</v>
      </c>
      <c r="BQ945" s="133">
        <f t="shared" si="1405"/>
        <v>2028</v>
      </c>
      <c r="BR945" s="133">
        <f t="shared" si="1405"/>
        <v>2029</v>
      </c>
      <c r="BS945" s="133">
        <f t="shared" si="1405"/>
        <v>2030</v>
      </c>
      <c r="BT945" s="133">
        <f t="shared" si="1405"/>
        <v>2031</v>
      </c>
      <c r="BU945" s="133">
        <f t="shared" si="1405"/>
        <v>2032</v>
      </c>
      <c r="BV945" s="133">
        <f t="shared" si="1405"/>
        <v>2033</v>
      </c>
      <c r="BW945" s="133">
        <f t="shared" si="1405"/>
        <v>2034</v>
      </c>
      <c r="BX945" s="133">
        <f t="shared" si="1405"/>
        <v>2035</v>
      </c>
      <c r="BY945" s="133">
        <f t="shared" si="1405"/>
        <v>2036</v>
      </c>
      <c r="BZ945" s="133">
        <f t="shared" si="1405"/>
        <v>2037</v>
      </c>
      <c r="CA945" s="133">
        <f t="shared" si="1405"/>
        <v>2038</v>
      </c>
      <c r="CB945" s="133">
        <f t="shared" si="1405"/>
        <v>2039</v>
      </c>
      <c r="CC945" s="133">
        <f t="shared" si="1405"/>
        <v>2040</v>
      </c>
      <c r="CD945" s="133">
        <f t="shared" si="1405"/>
        <v>2041</v>
      </c>
      <c r="CE945" s="133">
        <f t="shared" si="1405"/>
        <v>2042</v>
      </c>
      <c r="CF945" s="133">
        <f t="shared" si="1405"/>
        <v>2043</v>
      </c>
      <c r="CG945" s="133">
        <f t="shared" si="1405"/>
        <v>2044</v>
      </c>
      <c r="CH945" s="133">
        <f t="shared" si="1405"/>
        <v>2045</v>
      </c>
      <c r="CI945" s="133">
        <f t="shared" si="1405"/>
        <v>2046</v>
      </c>
      <c r="CJ945" s="133">
        <f t="shared" si="1405"/>
        <v>2047</v>
      </c>
      <c r="CK945" s="133">
        <f t="shared" si="1405"/>
        <v>2048</v>
      </c>
      <c r="CL945" s="133">
        <f t="shared" si="1405"/>
        <v>2049</v>
      </c>
      <c r="CM945" s="134">
        <f t="shared" si="1405"/>
        <v>2050</v>
      </c>
      <c r="CO945" s="135">
        <f t="shared" ref="CO945:DX945" si="1406">CO$1</f>
        <v>2015</v>
      </c>
      <c r="CP945" s="133">
        <f t="shared" si="1406"/>
        <v>2016</v>
      </c>
      <c r="CQ945" s="133">
        <f t="shared" si="1406"/>
        <v>2017</v>
      </c>
      <c r="CR945" s="133">
        <f t="shared" si="1406"/>
        <v>2018</v>
      </c>
      <c r="CS945" s="133">
        <f t="shared" si="1406"/>
        <v>2019</v>
      </c>
      <c r="CT945" s="133">
        <f t="shared" si="1406"/>
        <v>2020</v>
      </c>
      <c r="CU945" s="133">
        <f t="shared" si="1406"/>
        <v>2021</v>
      </c>
      <c r="CV945" s="133">
        <f t="shared" si="1406"/>
        <v>2022</v>
      </c>
      <c r="CW945" s="133">
        <f t="shared" si="1406"/>
        <v>2023</v>
      </c>
      <c r="CX945" s="133">
        <f t="shared" si="1406"/>
        <v>2024</v>
      </c>
      <c r="CY945" s="133">
        <f t="shared" si="1406"/>
        <v>2025</v>
      </c>
      <c r="CZ945" s="133">
        <f t="shared" si="1406"/>
        <v>2026</v>
      </c>
      <c r="DA945" s="133">
        <f t="shared" si="1406"/>
        <v>2027</v>
      </c>
      <c r="DB945" s="133">
        <f t="shared" si="1406"/>
        <v>2028</v>
      </c>
      <c r="DC945" s="133">
        <f t="shared" si="1406"/>
        <v>2029</v>
      </c>
      <c r="DD945" s="133">
        <f t="shared" si="1406"/>
        <v>2030</v>
      </c>
      <c r="DE945" s="133">
        <f t="shared" si="1406"/>
        <v>2031</v>
      </c>
      <c r="DF945" s="133">
        <f t="shared" si="1406"/>
        <v>2032</v>
      </c>
      <c r="DG945" s="133">
        <f t="shared" si="1406"/>
        <v>2033</v>
      </c>
      <c r="DH945" s="133">
        <f t="shared" si="1406"/>
        <v>2034</v>
      </c>
      <c r="DI945" s="133">
        <f t="shared" si="1406"/>
        <v>2035</v>
      </c>
      <c r="DJ945" s="133">
        <f t="shared" si="1406"/>
        <v>2036</v>
      </c>
      <c r="DK945" s="133">
        <f t="shared" si="1406"/>
        <v>2037</v>
      </c>
      <c r="DL945" s="133">
        <f t="shared" si="1406"/>
        <v>2038</v>
      </c>
      <c r="DM945" s="133">
        <f t="shared" si="1406"/>
        <v>2039</v>
      </c>
      <c r="DN945" s="133">
        <f t="shared" si="1406"/>
        <v>2040</v>
      </c>
      <c r="DO945" s="133">
        <f t="shared" si="1406"/>
        <v>2041</v>
      </c>
      <c r="DP945" s="133">
        <f t="shared" si="1406"/>
        <v>2042</v>
      </c>
      <c r="DQ945" s="133">
        <f t="shared" si="1406"/>
        <v>2043</v>
      </c>
      <c r="DR945" s="133">
        <f t="shared" si="1406"/>
        <v>2044</v>
      </c>
      <c r="DS945" s="133">
        <f t="shared" si="1406"/>
        <v>2045</v>
      </c>
      <c r="DT945" s="133">
        <f t="shared" si="1406"/>
        <v>2046</v>
      </c>
      <c r="DU945" s="133">
        <f t="shared" si="1406"/>
        <v>2047</v>
      </c>
      <c r="DV945" s="133">
        <f t="shared" si="1406"/>
        <v>2048</v>
      </c>
      <c r="DW945" s="133">
        <f t="shared" si="1406"/>
        <v>2049</v>
      </c>
      <c r="DX945" s="134">
        <f t="shared" si="1406"/>
        <v>2050</v>
      </c>
      <c r="DZ945" s="135">
        <f t="shared" ref="DZ945:FI945" si="1407">DZ$1</f>
        <v>2015</v>
      </c>
      <c r="EA945" s="133">
        <f t="shared" si="1407"/>
        <v>2016</v>
      </c>
      <c r="EB945" s="133">
        <f t="shared" si="1407"/>
        <v>2017</v>
      </c>
      <c r="EC945" s="133">
        <f t="shared" si="1407"/>
        <v>2018</v>
      </c>
      <c r="ED945" s="133">
        <f t="shared" si="1407"/>
        <v>2019</v>
      </c>
      <c r="EE945" s="133">
        <f t="shared" si="1407"/>
        <v>2020</v>
      </c>
      <c r="EF945" s="133">
        <f t="shared" si="1407"/>
        <v>2021</v>
      </c>
      <c r="EG945" s="133">
        <f t="shared" si="1407"/>
        <v>2022</v>
      </c>
      <c r="EH945" s="133">
        <f t="shared" si="1407"/>
        <v>2023</v>
      </c>
      <c r="EI945" s="133">
        <f t="shared" si="1407"/>
        <v>2024</v>
      </c>
      <c r="EJ945" s="133">
        <f t="shared" si="1407"/>
        <v>2025</v>
      </c>
      <c r="EK945" s="133">
        <f t="shared" si="1407"/>
        <v>2026</v>
      </c>
      <c r="EL945" s="133">
        <f t="shared" si="1407"/>
        <v>2027</v>
      </c>
      <c r="EM945" s="133">
        <f t="shared" si="1407"/>
        <v>2028</v>
      </c>
      <c r="EN945" s="133">
        <f t="shared" si="1407"/>
        <v>2029</v>
      </c>
      <c r="EO945" s="133">
        <f t="shared" si="1407"/>
        <v>2030</v>
      </c>
      <c r="EP945" s="133">
        <f t="shared" si="1407"/>
        <v>2031</v>
      </c>
      <c r="EQ945" s="133">
        <f t="shared" si="1407"/>
        <v>2032</v>
      </c>
      <c r="ER945" s="133">
        <f t="shared" si="1407"/>
        <v>2033</v>
      </c>
      <c r="ES945" s="133">
        <f t="shared" si="1407"/>
        <v>2034</v>
      </c>
      <c r="ET945" s="133">
        <f t="shared" si="1407"/>
        <v>2035</v>
      </c>
      <c r="EU945" s="133">
        <f t="shared" si="1407"/>
        <v>2036</v>
      </c>
      <c r="EV945" s="133">
        <f t="shared" si="1407"/>
        <v>2037</v>
      </c>
      <c r="EW945" s="133">
        <f t="shared" si="1407"/>
        <v>2038</v>
      </c>
      <c r="EX945" s="133">
        <f t="shared" si="1407"/>
        <v>2039</v>
      </c>
      <c r="EY945" s="133">
        <f t="shared" si="1407"/>
        <v>2040</v>
      </c>
      <c r="EZ945" s="133">
        <f t="shared" si="1407"/>
        <v>2041</v>
      </c>
      <c r="FA945" s="133">
        <f t="shared" si="1407"/>
        <v>2042</v>
      </c>
      <c r="FB945" s="133">
        <f t="shared" si="1407"/>
        <v>2043</v>
      </c>
      <c r="FC945" s="133">
        <f t="shared" si="1407"/>
        <v>2044</v>
      </c>
      <c r="FD945" s="133">
        <f t="shared" si="1407"/>
        <v>2045</v>
      </c>
      <c r="FE945" s="133">
        <f t="shared" si="1407"/>
        <v>2046</v>
      </c>
      <c r="FF945" s="133">
        <f t="shared" si="1407"/>
        <v>2047</v>
      </c>
      <c r="FG945" s="133">
        <f t="shared" si="1407"/>
        <v>2048</v>
      </c>
      <c r="FH945" s="133">
        <f t="shared" si="1407"/>
        <v>2049</v>
      </c>
      <c r="FI945" s="134">
        <f t="shared" si="1407"/>
        <v>2050</v>
      </c>
      <c r="FK945" s="135">
        <f t="shared" ref="FK945:GT945" si="1408">FK$1</f>
        <v>2015</v>
      </c>
      <c r="FL945" s="133">
        <f t="shared" si="1408"/>
        <v>2016</v>
      </c>
      <c r="FM945" s="133">
        <f t="shared" si="1408"/>
        <v>2017</v>
      </c>
      <c r="FN945" s="133">
        <f t="shared" si="1408"/>
        <v>2018</v>
      </c>
      <c r="FO945" s="133">
        <f t="shared" si="1408"/>
        <v>2019</v>
      </c>
      <c r="FP945" s="133">
        <f t="shared" si="1408"/>
        <v>2020</v>
      </c>
      <c r="FQ945" s="133">
        <f t="shared" si="1408"/>
        <v>2021</v>
      </c>
      <c r="FR945" s="133">
        <f t="shared" si="1408"/>
        <v>2022</v>
      </c>
      <c r="FS945" s="133">
        <f t="shared" si="1408"/>
        <v>2023</v>
      </c>
      <c r="FT945" s="133">
        <f t="shared" si="1408"/>
        <v>2024</v>
      </c>
      <c r="FU945" s="133">
        <f t="shared" si="1408"/>
        <v>2025</v>
      </c>
      <c r="FV945" s="133">
        <f t="shared" si="1408"/>
        <v>2026</v>
      </c>
      <c r="FW945" s="133">
        <f t="shared" si="1408"/>
        <v>2027</v>
      </c>
      <c r="FX945" s="133">
        <f t="shared" si="1408"/>
        <v>2028</v>
      </c>
      <c r="FY945" s="133">
        <f t="shared" si="1408"/>
        <v>2029</v>
      </c>
      <c r="FZ945" s="133">
        <f t="shared" si="1408"/>
        <v>2030</v>
      </c>
      <c r="GA945" s="133">
        <f t="shared" si="1408"/>
        <v>2031</v>
      </c>
      <c r="GB945" s="133">
        <f t="shared" si="1408"/>
        <v>2032</v>
      </c>
      <c r="GC945" s="133">
        <f t="shared" si="1408"/>
        <v>2033</v>
      </c>
      <c r="GD945" s="133">
        <f t="shared" si="1408"/>
        <v>2034</v>
      </c>
      <c r="GE945" s="133">
        <f t="shared" si="1408"/>
        <v>2035</v>
      </c>
      <c r="GF945" s="133">
        <f t="shared" si="1408"/>
        <v>2036</v>
      </c>
      <c r="GG945" s="133">
        <f t="shared" si="1408"/>
        <v>2037</v>
      </c>
      <c r="GH945" s="133">
        <f t="shared" si="1408"/>
        <v>2038</v>
      </c>
      <c r="GI945" s="133">
        <f t="shared" si="1408"/>
        <v>2039</v>
      </c>
      <c r="GJ945" s="133">
        <f t="shared" si="1408"/>
        <v>2040</v>
      </c>
      <c r="GK945" s="133">
        <f t="shared" si="1408"/>
        <v>2041</v>
      </c>
      <c r="GL945" s="133">
        <f t="shared" si="1408"/>
        <v>2042</v>
      </c>
      <c r="GM945" s="133">
        <f t="shared" si="1408"/>
        <v>2043</v>
      </c>
      <c r="GN945" s="133">
        <f t="shared" si="1408"/>
        <v>2044</v>
      </c>
      <c r="GO945" s="133">
        <f t="shared" si="1408"/>
        <v>2045</v>
      </c>
      <c r="GP945" s="133">
        <f t="shared" si="1408"/>
        <v>2046</v>
      </c>
      <c r="GQ945" s="133">
        <f t="shared" si="1408"/>
        <v>2047</v>
      </c>
      <c r="GR945" s="133">
        <f t="shared" si="1408"/>
        <v>2048</v>
      </c>
      <c r="GS945" s="133">
        <f t="shared" si="1408"/>
        <v>2049</v>
      </c>
      <c r="GT945" s="134">
        <f t="shared" si="1408"/>
        <v>2050</v>
      </c>
      <c r="GV945" s="135">
        <f t="shared" ref="GV945:IE945" si="1409">GV$1</f>
        <v>2015</v>
      </c>
      <c r="GW945" s="133">
        <f t="shared" si="1409"/>
        <v>2016</v>
      </c>
      <c r="GX945" s="133">
        <f t="shared" si="1409"/>
        <v>2017</v>
      </c>
      <c r="GY945" s="133">
        <f t="shared" si="1409"/>
        <v>2018</v>
      </c>
      <c r="GZ945" s="133">
        <f t="shared" si="1409"/>
        <v>2019</v>
      </c>
      <c r="HA945" s="133">
        <f t="shared" si="1409"/>
        <v>2020</v>
      </c>
      <c r="HB945" s="133">
        <f t="shared" si="1409"/>
        <v>2021</v>
      </c>
      <c r="HC945" s="133">
        <f t="shared" si="1409"/>
        <v>2022</v>
      </c>
      <c r="HD945" s="133">
        <f t="shared" si="1409"/>
        <v>2023</v>
      </c>
      <c r="HE945" s="133">
        <f t="shared" si="1409"/>
        <v>2024</v>
      </c>
      <c r="HF945" s="133">
        <f t="shared" si="1409"/>
        <v>2025</v>
      </c>
      <c r="HG945" s="133">
        <f t="shared" si="1409"/>
        <v>2026</v>
      </c>
      <c r="HH945" s="133">
        <f t="shared" si="1409"/>
        <v>2027</v>
      </c>
      <c r="HI945" s="133">
        <f t="shared" si="1409"/>
        <v>2028</v>
      </c>
      <c r="HJ945" s="133">
        <f t="shared" si="1409"/>
        <v>2029</v>
      </c>
      <c r="HK945" s="133">
        <f t="shared" si="1409"/>
        <v>2030</v>
      </c>
      <c r="HL945" s="133">
        <f t="shared" si="1409"/>
        <v>2031</v>
      </c>
      <c r="HM945" s="133">
        <f t="shared" si="1409"/>
        <v>2032</v>
      </c>
      <c r="HN945" s="133">
        <f t="shared" si="1409"/>
        <v>2033</v>
      </c>
      <c r="HO945" s="133">
        <f t="shared" si="1409"/>
        <v>2034</v>
      </c>
      <c r="HP945" s="133">
        <f t="shared" si="1409"/>
        <v>2035</v>
      </c>
      <c r="HQ945" s="133">
        <f t="shared" si="1409"/>
        <v>2036</v>
      </c>
      <c r="HR945" s="133">
        <f t="shared" si="1409"/>
        <v>2037</v>
      </c>
      <c r="HS945" s="133">
        <f t="shared" si="1409"/>
        <v>2038</v>
      </c>
      <c r="HT945" s="133">
        <f t="shared" si="1409"/>
        <v>2039</v>
      </c>
      <c r="HU945" s="133">
        <f t="shared" si="1409"/>
        <v>2040</v>
      </c>
      <c r="HV945" s="133">
        <f t="shared" si="1409"/>
        <v>2041</v>
      </c>
      <c r="HW945" s="133">
        <f t="shared" si="1409"/>
        <v>2042</v>
      </c>
      <c r="HX945" s="133">
        <f t="shared" si="1409"/>
        <v>2043</v>
      </c>
      <c r="HY945" s="133">
        <f t="shared" si="1409"/>
        <v>2044</v>
      </c>
      <c r="HZ945" s="133">
        <f t="shared" si="1409"/>
        <v>2045</v>
      </c>
      <c r="IA945" s="133">
        <f t="shared" si="1409"/>
        <v>2046</v>
      </c>
      <c r="IB945" s="133">
        <f t="shared" si="1409"/>
        <v>2047</v>
      </c>
      <c r="IC945" s="133">
        <f t="shared" si="1409"/>
        <v>2048</v>
      </c>
      <c r="ID945" s="133">
        <f t="shared" si="1409"/>
        <v>2049</v>
      </c>
      <c r="IE945" s="134">
        <f t="shared" si="1409"/>
        <v>2050</v>
      </c>
      <c r="IG945" s="135">
        <f t="shared" ref="IG945:JP945" si="1410">IG$1</f>
        <v>2015</v>
      </c>
      <c r="IH945" s="133">
        <f t="shared" si="1410"/>
        <v>2016</v>
      </c>
      <c r="II945" s="133">
        <f t="shared" si="1410"/>
        <v>2017</v>
      </c>
      <c r="IJ945" s="133">
        <f t="shared" si="1410"/>
        <v>2018</v>
      </c>
      <c r="IK945" s="133">
        <f t="shared" si="1410"/>
        <v>2019</v>
      </c>
      <c r="IL945" s="133">
        <f t="shared" si="1410"/>
        <v>2020</v>
      </c>
      <c r="IM945" s="133">
        <f t="shared" si="1410"/>
        <v>2021</v>
      </c>
      <c r="IN945" s="133">
        <f t="shared" si="1410"/>
        <v>2022</v>
      </c>
      <c r="IO945" s="133">
        <f t="shared" si="1410"/>
        <v>2023</v>
      </c>
      <c r="IP945" s="133">
        <f t="shared" si="1410"/>
        <v>2024</v>
      </c>
      <c r="IQ945" s="133">
        <f t="shared" si="1410"/>
        <v>2025</v>
      </c>
      <c r="IR945" s="133">
        <f t="shared" si="1410"/>
        <v>2026</v>
      </c>
      <c r="IS945" s="133">
        <f t="shared" si="1410"/>
        <v>2027</v>
      </c>
      <c r="IT945" s="133">
        <f t="shared" si="1410"/>
        <v>2028</v>
      </c>
      <c r="IU945" s="133">
        <f t="shared" si="1410"/>
        <v>2029</v>
      </c>
      <c r="IV945" s="133">
        <f t="shared" si="1410"/>
        <v>2030</v>
      </c>
      <c r="IW945" s="133">
        <f t="shared" si="1410"/>
        <v>2031</v>
      </c>
      <c r="IX945" s="133">
        <f t="shared" si="1410"/>
        <v>2032</v>
      </c>
      <c r="IY945" s="133">
        <f t="shared" si="1410"/>
        <v>2033</v>
      </c>
      <c r="IZ945" s="133">
        <f t="shared" si="1410"/>
        <v>2034</v>
      </c>
      <c r="JA945" s="133">
        <f t="shared" si="1410"/>
        <v>2035</v>
      </c>
      <c r="JB945" s="133">
        <f t="shared" si="1410"/>
        <v>2036</v>
      </c>
      <c r="JC945" s="133">
        <f t="shared" si="1410"/>
        <v>2037</v>
      </c>
      <c r="JD945" s="133">
        <f t="shared" si="1410"/>
        <v>2038</v>
      </c>
      <c r="JE945" s="133">
        <f t="shared" si="1410"/>
        <v>2039</v>
      </c>
      <c r="JF945" s="133">
        <f t="shared" si="1410"/>
        <v>2040</v>
      </c>
      <c r="JG945" s="133">
        <f t="shared" si="1410"/>
        <v>2041</v>
      </c>
      <c r="JH945" s="133">
        <f t="shared" si="1410"/>
        <v>2042</v>
      </c>
      <c r="JI945" s="133">
        <f t="shared" si="1410"/>
        <v>2043</v>
      </c>
      <c r="JJ945" s="133">
        <f t="shared" si="1410"/>
        <v>2044</v>
      </c>
      <c r="JK945" s="133">
        <f t="shared" si="1410"/>
        <v>2045</v>
      </c>
      <c r="JL945" s="133">
        <f t="shared" si="1410"/>
        <v>2046</v>
      </c>
      <c r="JM945" s="133">
        <f t="shared" si="1410"/>
        <v>2047</v>
      </c>
      <c r="JN945" s="133">
        <f t="shared" si="1410"/>
        <v>2048</v>
      </c>
      <c r="JO945" s="133">
        <f t="shared" si="1410"/>
        <v>2049</v>
      </c>
      <c r="JP945" s="134">
        <f t="shared" si="1410"/>
        <v>2050</v>
      </c>
      <c r="JR945" s="135">
        <f t="shared" ref="JR945:LA945" si="1411">JR$1</f>
        <v>2015</v>
      </c>
      <c r="JS945" s="133">
        <f t="shared" si="1411"/>
        <v>2016</v>
      </c>
      <c r="JT945" s="133">
        <f t="shared" si="1411"/>
        <v>2017</v>
      </c>
      <c r="JU945" s="133">
        <f t="shared" si="1411"/>
        <v>2018</v>
      </c>
      <c r="JV945" s="133">
        <f t="shared" si="1411"/>
        <v>2019</v>
      </c>
      <c r="JW945" s="133">
        <f t="shared" si="1411"/>
        <v>2020</v>
      </c>
      <c r="JX945" s="133">
        <f t="shared" si="1411"/>
        <v>2021</v>
      </c>
      <c r="JY945" s="133">
        <f t="shared" si="1411"/>
        <v>2022</v>
      </c>
      <c r="JZ945" s="133">
        <f t="shared" si="1411"/>
        <v>2023</v>
      </c>
      <c r="KA945" s="133">
        <f t="shared" si="1411"/>
        <v>2024</v>
      </c>
      <c r="KB945" s="133">
        <f t="shared" si="1411"/>
        <v>2025</v>
      </c>
      <c r="KC945" s="133">
        <f t="shared" si="1411"/>
        <v>2026</v>
      </c>
      <c r="KD945" s="133">
        <f t="shared" si="1411"/>
        <v>2027</v>
      </c>
      <c r="KE945" s="133">
        <f t="shared" si="1411"/>
        <v>2028</v>
      </c>
      <c r="KF945" s="133">
        <f t="shared" si="1411"/>
        <v>2029</v>
      </c>
      <c r="KG945" s="133">
        <f t="shared" si="1411"/>
        <v>2030</v>
      </c>
      <c r="KH945" s="133">
        <f t="shared" si="1411"/>
        <v>2031</v>
      </c>
      <c r="KI945" s="133">
        <f t="shared" si="1411"/>
        <v>2032</v>
      </c>
      <c r="KJ945" s="133">
        <f t="shared" si="1411"/>
        <v>2033</v>
      </c>
      <c r="KK945" s="133">
        <f t="shared" si="1411"/>
        <v>2034</v>
      </c>
      <c r="KL945" s="133">
        <f t="shared" si="1411"/>
        <v>2035</v>
      </c>
      <c r="KM945" s="133">
        <f t="shared" si="1411"/>
        <v>2036</v>
      </c>
      <c r="KN945" s="133">
        <f t="shared" si="1411"/>
        <v>2037</v>
      </c>
      <c r="KO945" s="133">
        <f t="shared" si="1411"/>
        <v>2038</v>
      </c>
      <c r="KP945" s="133">
        <f t="shared" si="1411"/>
        <v>2039</v>
      </c>
      <c r="KQ945" s="133">
        <f t="shared" si="1411"/>
        <v>2040</v>
      </c>
      <c r="KR945" s="133">
        <f t="shared" si="1411"/>
        <v>2041</v>
      </c>
      <c r="KS945" s="133">
        <f t="shared" si="1411"/>
        <v>2042</v>
      </c>
      <c r="KT945" s="133">
        <f t="shared" si="1411"/>
        <v>2043</v>
      </c>
      <c r="KU945" s="133">
        <f t="shared" si="1411"/>
        <v>2044</v>
      </c>
      <c r="KV945" s="133">
        <f t="shared" si="1411"/>
        <v>2045</v>
      </c>
      <c r="KW945" s="133">
        <f t="shared" si="1411"/>
        <v>2046</v>
      </c>
      <c r="KX945" s="133">
        <f t="shared" si="1411"/>
        <v>2047</v>
      </c>
      <c r="KY945" s="133">
        <f t="shared" si="1411"/>
        <v>2048</v>
      </c>
      <c r="KZ945" s="133">
        <f t="shared" si="1411"/>
        <v>2049</v>
      </c>
      <c r="LA945" s="134">
        <f t="shared" si="1411"/>
        <v>2050</v>
      </c>
      <c r="LC945" s="135">
        <f t="shared" ref="LC945:ML945" si="1412">LC$1</f>
        <v>2015</v>
      </c>
      <c r="LD945" s="133">
        <f t="shared" si="1412"/>
        <v>2016</v>
      </c>
      <c r="LE945" s="133">
        <f t="shared" si="1412"/>
        <v>2017</v>
      </c>
      <c r="LF945" s="133">
        <f t="shared" si="1412"/>
        <v>2018</v>
      </c>
      <c r="LG945" s="133">
        <f t="shared" si="1412"/>
        <v>2019</v>
      </c>
      <c r="LH945" s="133">
        <f t="shared" si="1412"/>
        <v>2020</v>
      </c>
      <c r="LI945" s="133">
        <f t="shared" si="1412"/>
        <v>2021</v>
      </c>
      <c r="LJ945" s="133">
        <f t="shared" si="1412"/>
        <v>2022</v>
      </c>
      <c r="LK945" s="133">
        <f t="shared" si="1412"/>
        <v>2023</v>
      </c>
      <c r="LL945" s="133">
        <f t="shared" si="1412"/>
        <v>2024</v>
      </c>
      <c r="LM945" s="133">
        <f t="shared" si="1412"/>
        <v>2025</v>
      </c>
      <c r="LN945" s="133">
        <f t="shared" si="1412"/>
        <v>2026</v>
      </c>
      <c r="LO945" s="133">
        <f t="shared" si="1412"/>
        <v>2027</v>
      </c>
      <c r="LP945" s="133">
        <f t="shared" si="1412"/>
        <v>2028</v>
      </c>
      <c r="LQ945" s="133">
        <f t="shared" si="1412"/>
        <v>2029</v>
      </c>
      <c r="LR945" s="133">
        <f t="shared" si="1412"/>
        <v>2030</v>
      </c>
      <c r="LS945" s="133">
        <f t="shared" si="1412"/>
        <v>2031</v>
      </c>
      <c r="LT945" s="133">
        <f t="shared" si="1412"/>
        <v>2032</v>
      </c>
      <c r="LU945" s="133">
        <f t="shared" si="1412"/>
        <v>2033</v>
      </c>
      <c r="LV945" s="133">
        <f t="shared" si="1412"/>
        <v>2034</v>
      </c>
      <c r="LW945" s="133">
        <f t="shared" si="1412"/>
        <v>2035</v>
      </c>
      <c r="LX945" s="133">
        <f t="shared" si="1412"/>
        <v>2036</v>
      </c>
      <c r="LY945" s="133">
        <f t="shared" si="1412"/>
        <v>2037</v>
      </c>
      <c r="LZ945" s="133">
        <f t="shared" si="1412"/>
        <v>2038</v>
      </c>
      <c r="MA945" s="133">
        <f t="shared" si="1412"/>
        <v>2039</v>
      </c>
      <c r="MB945" s="133">
        <f t="shared" si="1412"/>
        <v>2040</v>
      </c>
      <c r="MC945" s="133">
        <f t="shared" si="1412"/>
        <v>2041</v>
      </c>
      <c r="MD945" s="133">
        <f t="shared" si="1412"/>
        <v>2042</v>
      </c>
      <c r="ME945" s="133">
        <f t="shared" si="1412"/>
        <v>2043</v>
      </c>
      <c r="MF945" s="133">
        <f t="shared" si="1412"/>
        <v>2044</v>
      </c>
      <c r="MG945" s="133">
        <f t="shared" si="1412"/>
        <v>2045</v>
      </c>
      <c r="MH945" s="133">
        <f t="shared" si="1412"/>
        <v>2046</v>
      </c>
      <c r="MI945" s="133">
        <f t="shared" si="1412"/>
        <v>2047</v>
      </c>
      <c r="MJ945" s="133">
        <f t="shared" si="1412"/>
        <v>2048</v>
      </c>
      <c r="MK945" s="133">
        <f t="shared" si="1412"/>
        <v>2049</v>
      </c>
      <c r="ML945" s="134">
        <f t="shared" si="1412"/>
        <v>2050</v>
      </c>
    </row>
    <row r="946" spans="3:350" s="4" customFormat="1" ht="18" customHeight="1" x14ac:dyDescent="0.3">
      <c r="C946" s="136" t="s">
        <v>426</v>
      </c>
      <c r="E946" s="137" t="s">
        <v>367</v>
      </c>
      <c r="F946" s="138" t="s">
        <v>104</v>
      </c>
      <c r="H946" s="245"/>
      <c r="I946" s="1"/>
      <c r="J946" s="1"/>
      <c r="K946" s="1"/>
      <c r="L946" s="1"/>
      <c r="M946" s="1"/>
      <c r="N946" s="1"/>
      <c r="O946" s="1"/>
      <c r="P946" s="1"/>
      <c r="Q946" s="138"/>
      <c r="S946" s="245"/>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38"/>
      <c r="BD946" s="245"/>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38"/>
      <c r="CO946" s="245"/>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38"/>
      <c r="DZ946" s="245"/>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38"/>
      <c r="FK946" s="245"/>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I946" s="1"/>
      <c r="GJ946" s="1"/>
      <c r="GK946" s="1"/>
      <c r="GL946" s="1"/>
      <c r="GM946" s="1"/>
      <c r="GN946" s="1"/>
      <c r="GO946" s="1"/>
      <c r="GP946" s="1"/>
      <c r="GQ946" s="1"/>
      <c r="GR946" s="1"/>
      <c r="GS946" s="1"/>
      <c r="GT946" s="138"/>
      <c r="GV946" s="245"/>
      <c r="GW946" s="1"/>
      <c r="GX946" s="1"/>
      <c r="GY946" s="1"/>
      <c r="GZ946" s="1"/>
      <c r="HA946" s="1"/>
      <c r="HB946" s="1"/>
      <c r="HC946" s="1"/>
      <c r="HD946" s="1"/>
      <c r="HE946" s="1"/>
      <c r="HF946" s="1"/>
      <c r="HG946" s="1"/>
      <c r="HH946" s="1"/>
      <c r="HI946" s="1"/>
      <c r="HJ946" s="1"/>
      <c r="HK946" s="1"/>
      <c r="HL946" s="1"/>
      <c r="HM946" s="1"/>
      <c r="HN946" s="1"/>
      <c r="HO946" s="1"/>
      <c r="HP946" s="1"/>
      <c r="HQ946" s="1"/>
      <c r="HR946" s="1"/>
      <c r="HS946" s="1"/>
      <c r="HT946" s="1"/>
      <c r="HU946" s="1"/>
      <c r="HV946" s="1"/>
      <c r="HW946" s="1"/>
      <c r="HX946" s="1"/>
      <c r="HY946" s="1"/>
      <c r="HZ946" s="1"/>
      <c r="IA946" s="1"/>
      <c r="IB946" s="1"/>
      <c r="IC946" s="1"/>
      <c r="ID946" s="1"/>
      <c r="IE946" s="138"/>
      <c r="IG946" s="245"/>
      <c r="IH946" s="1"/>
      <c r="II946" s="1"/>
      <c r="IJ946" s="1"/>
      <c r="IK946" s="1"/>
      <c r="IL946" s="1"/>
      <c r="IM946" s="1"/>
      <c r="IN946" s="1"/>
      <c r="IO946" s="1"/>
      <c r="IP946" s="1"/>
      <c r="IQ946" s="1"/>
      <c r="IR946" s="1"/>
      <c r="IS946" s="1"/>
      <c r="IT946" s="1"/>
      <c r="IU946" s="1"/>
      <c r="IV946" s="1"/>
      <c r="IW946" s="1"/>
      <c r="IX946" s="1"/>
      <c r="IY946" s="1"/>
      <c r="IZ946" s="1"/>
      <c r="JA946" s="1"/>
      <c r="JB946" s="1"/>
      <c r="JC946" s="1"/>
      <c r="JD946" s="1"/>
      <c r="JE946" s="1"/>
      <c r="JF946" s="1"/>
      <c r="JG946" s="1"/>
      <c r="JH946" s="1"/>
      <c r="JI946" s="1"/>
      <c r="JJ946" s="1"/>
      <c r="JK946" s="1"/>
      <c r="JL946" s="1"/>
      <c r="JM946" s="1"/>
      <c r="JN946" s="1"/>
      <c r="JO946" s="1"/>
      <c r="JP946" s="138"/>
      <c r="JR946" s="245"/>
      <c r="JS946" s="1"/>
      <c r="JT946" s="1"/>
      <c r="JU946" s="1"/>
      <c r="JV946" s="1"/>
      <c r="JW946" s="1"/>
      <c r="JX946" s="1"/>
      <c r="JY946" s="1"/>
      <c r="JZ946" s="1"/>
      <c r="KA946" s="330">
        <v>4300</v>
      </c>
      <c r="KB946" s="330">
        <v>4300</v>
      </c>
      <c r="KC946" s="330">
        <v>4300</v>
      </c>
      <c r="KD946" s="330">
        <v>4300</v>
      </c>
      <c r="KE946" s="330">
        <v>4300</v>
      </c>
      <c r="KF946" s="330">
        <v>6300</v>
      </c>
      <c r="KG946" s="330">
        <v>6300</v>
      </c>
      <c r="KH946" s="330">
        <v>6300</v>
      </c>
      <c r="KI946" s="330">
        <v>6300</v>
      </c>
      <c r="KJ946" s="330">
        <v>5300</v>
      </c>
      <c r="KK946" s="330">
        <v>5300</v>
      </c>
      <c r="KL946" s="330">
        <v>5300</v>
      </c>
      <c r="KM946" s="330">
        <v>5300</v>
      </c>
      <c r="KN946" s="330">
        <v>5300</v>
      </c>
      <c r="KO946" s="330">
        <v>5300</v>
      </c>
      <c r="KP946" s="330">
        <v>5300</v>
      </c>
      <c r="KQ946" s="330">
        <v>5300</v>
      </c>
      <c r="KR946" s="330">
        <v>5300</v>
      </c>
      <c r="KS946" s="330">
        <v>5300</v>
      </c>
      <c r="KT946" s="330">
        <v>4600</v>
      </c>
      <c r="KU946" s="330">
        <v>4600</v>
      </c>
      <c r="KV946" s="330">
        <v>4600</v>
      </c>
      <c r="KW946" s="330">
        <v>4600</v>
      </c>
      <c r="KX946" s="330">
        <v>4600</v>
      </c>
      <c r="KY946" s="330">
        <v>4600</v>
      </c>
      <c r="KZ946" s="330">
        <v>4600</v>
      </c>
      <c r="LA946" s="331">
        <v>4600</v>
      </c>
      <c r="LC946" s="245"/>
      <c r="LD946" s="1"/>
      <c r="LE946" s="1"/>
      <c r="LF946" s="1"/>
      <c r="LG946" s="1"/>
      <c r="LH946" s="1"/>
      <c r="LI946" s="1"/>
      <c r="LJ946" s="1"/>
      <c r="LK946" s="1"/>
      <c r="LL946" s="1"/>
      <c r="LM946" s="1"/>
      <c r="LN946" s="1"/>
      <c r="LO946" s="1"/>
      <c r="LP946" s="1"/>
      <c r="LQ946" s="1"/>
      <c r="LR946" s="1"/>
      <c r="LS946" s="1"/>
      <c r="LT946" s="1"/>
      <c r="LU946" s="1"/>
      <c r="LV946" s="1"/>
      <c r="LW946" s="1"/>
      <c r="LX946" s="1"/>
      <c r="LY946" s="1"/>
      <c r="LZ946" s="1"/>
      <c r="MA946" s="1"/>
      <c r="MB946" s="1"/>
      <c r="MC946" s="1"/>
      <c r="MD946" s="1"/>
      <c r="ME946" s="1"/>
      <c r="MF946" s="1"/>
      <c r="MG946" s="1"/>
      <c r="MH946" s="1"/>
      <c r="MI946" s="1"/>
      <c r="MJ946" s="1"/>
      <c r="MK946" s="1"/>
      <c r="ML946" s="138"/>
    </row>
    <row r="947" spans="3:350" s="4" customFormat="1" ht="18" customHeight="1" x14ac:dyDescent="0.3">
      <c r="C947" s="38" t="s">
        <v>427</v>
      </c>
      <c r="D947" s="39"/>
      <c r="E947" s="209" t="s">
        <v>105</v>
      </c>
      <c r="F947" s="210" t="s">
        <v>141</v>
      </c>
      <c r="H947" s="332"/>
      <c r="I947" s="297"/>
      <c r="J947" s="297"/>
      <c r="K947" s="297"/>
      <c r="L947" s="297"/>
      <c r="M947" s="297"/>
      <c r="N947" s="297"/>
      <c r="O947" s="297"/>
      <c r="P947" s="297"/>
      <c r="Q947" s="333"/>
      <c r="S947" s="245"/>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38"/>
      <c r="BD947" s="245"/>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38"/>
      <c r="CO947" s="245"/>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38"/>
      <c r="DZ947" s="245"/>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38"/>
      <c r="FK947" s="245"/>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c r="GN947" s="1"/>
      <c r="GO947" s="1"/>
      <c r="GP947" s="1"/>
      <c r="GQ947" s="1"/>
      <c r="GR947" s="1"/>
      <c r="GS947" s="1"/>
      <c r="GT947" s="138"/>
      <c r="GV947" s="245"/>
      <c r="GW947" s="1"/>
      <c r="GX947" s="1"/>
      <c r="GY947" s="1"/>
      <c r="GZ947" s="1"/>
      <c r="HA947" s="1"/>
      <c r="HB947" s="1"/>
      <c r="HC947" s="1"/>
      <c r="HD947" s="1"/>
      <c r="HE947" s="1"/>
      <c r="HF947" s="1"/>
      <c r="HG947" s="1"/>
      <c r="HH947" s="1"/>
      <c r="HI947" s="1"/>
      <c r="HJ947" s="1"/>
      <c r="HK947" s="1"/>
      <c r="HL947" s="1"/>
      <c r="HM947" s="1"/>
      <c r="HN947" s="1"/>
      <c r="HO947" s="1"/>
      <c r="HP947" s="1"/>
      <c r="HQ947" s="1"/>
      <c r="HR947" s="1"/>
      <c r="HS947" s="1"/>
      <c r="HT947" s="1"/>
      <c r="HU947" s="1"/>
      <c r="HV947" s="1"/>
      <c r="HW947" s="1"/>
      <c r="HX947" s="1"/>
      <c r="HY947" s="1"/>
      <c r="HZ947" s="1"/>
      <c r="IA947" s="1"/>
      <c r="IB947" s="1"/>
      <c r="IC947" s="1"/>
      <c r="ID947" s="1"/>
      <c r="IE947" s="138"/>
      <c r="IG947" s="245"/>
      <c r="IH947" s="1"/>
      <c r="II947" s="1"/>
      <c r="IJ947" s="1"/>
      <c r="IK947" s="1"/>
      <c r="IL947" s="1"/>
      <c r="IM947" s="1"/>
      <c r="IN947" s="1"/>
      <c r="IO947" s="1"/>
      <c r="IP947" s="1"/>
      <c r="IQ947" s="1"/>
      <c r="IR947" s="1"/>
      <c r="IS947" s="1"/>
      <c r="IT947" s="1"/>
      <c r="IU947" s="1"/>
      <c r="IV947" s="1"/>
      <c r="IW947" s="1"/>
      <c r="IX947" s="1"/>
      <c r="IY947" s="1"/>
      <c r="IZ947" s="1"/>
      <c r="JA947" s="1"/>
      <c r="JB947" s="1"/>
      <c r="JC947" s="1"/>
      <c r="JD947" s="1"/>
      <c r="JE947" s="1"/>
      <c r="JF947" s="1"/>
      <c r="JG947" s="1"/>
      <c r="JH947" s="1"/>
      <c r="JI947" s="1"/>
      <c r="JJ947" s="1"/>
      <c r="JK947" s="1"/>
      <c r="JL947" s="1"/>
      <c r="JM947" s="1"/>
      <c r="JN947" s="1"/>
      <c r="JO947" s="1"/>
      <c r="JP947" s="138"/>
      <c r="JR947" s="340"/>
      <c r="JS947" s="209"/>
      <c r="JT947" s="209"/>
      <c r="JU947" s="209"/>
      <c r="JV947" s="209"/>
      <c r="JW947" s="366"/>
      <c r="JX947" s="366"/>
      <c r="JY947" s="366"/>
      <c r="JZ947" s="367"/>
      <c r="KA947" s="368">
        <f t="shared" ref="KA947:LA947" si="1413">KA946/3</f>
        <v>1433.3333333333333</v>
      </c>
      <c r="KB947" s="368">
        <f t="shared" si="1413"/>
        <v>1433.3333333333333</v>
      </c>
      <c r="KC947" s="368">
        <f t="shared" si="1413"/>
        <v>1433.3333333333333</v>
      </c>
      <c r="KD947" s="368">
        <f t="shared" si="1413"/>
        <v>1433.3333333333333</v>
      </c>
      <c r="KE947" s="368">
        <f t="shared" si="1413"/>
        <v>1433.3333333333333</v>
      </c>
      <c r="KF947" s="368">
        <f t="shared" si="1413"/>
        <v>2100</v>
      </c>
      <c r="KG947" s="368">
        <f t="shared" si="1413"/>
        <v>2100</v>
      </c>
      <c r="KH947" s="368">
        <f t="shared" si="1413"/>
        <v>2100</v>
      </c>
      <c r="KI947" s="368">
        <f t="shared" si="1413"/>
        <v>2100</v>
      </c>
      <c r="KJ947" s="368">
        <f t="shared" si="1413"/>
        <v>1766.6666666666667</v>
      </c>
      <c r="KK947" s="368">
        <f t="shared" si="1413"/>
        <v>1766.6666666666667</v>
      </c>
      <c r="KL947" s="368">
        <f t="shared" si="1413"/>
        <v>1766.6666666666667</v>
      </c>
      <c r="KM947" s="368">
        <f t="shared" si="1413"/>
        <v>1766.6666666666667</v>
      </c>
      <c r="KN947" s="368">
        <f t="shared" si="1413"/>
        <v>1766.6666666666667</v>
      </c>
      <c r="KO947" s="368">
        <f t="shared" si="1413"/>
        <v>1766.6666666666667</v>
      </c>
      <c r="KP947" s="368">
        <f t="shared" si="1413"/>
        <v>1766.6666666666667</v>
      </c>
      <c r="KQ947" s="368">
        <f t="shared" si="1413"/>
        <v>1766.6666666666667</v>
      </c>
      <c r="KR947" s="368">
        <f t="shared" si="1413"/>
        <v>1766.6666666666667</v>
      </c>
      <c r="KS947" s="368">
        <f t="shared" si="1413"/>
        <v>1766.6666666666667</v>
      </c>
      <c r="KT947" s="368">
        <f t="shared" si="1413"/>
        <v>1533.3333333333333</v>
      </c>
      <c r="KU947" s="368">
        <f t="shared" si="1413"/>
        <v>1533.3333333333333</v>
      </c>
      <c r="KV947" s="368">
        <f t="shared" si="1413"/>
        <v>1533.3333333333333</v>
      </c>
      <c r="KW947" s="368">
        <f t="shared" si="1413"/>
        <v>1533.3333333333333</v>
      </c>
      <c r="KX947" s="368">
        <f t="shared" si="1413"/>
        <v>1533.3333333333333</v>
      </c>
      <c r="KY947" s="368">
        <f t="shared" si="1413"/>
        <v>1533.3333333333333</v>
      </c>
      <c r="KZ947" s="368">
        <f t="shared" si="1413"/>
        <v>1533.3333333333333</v>
      </c>
      <c r="LA947" s="369">
        <f t="shared" si="1413"/>
        <v>1533.3333333333333</v>
      </c>
      <c r="LC947" s="245"/>
      <c r="LD947" s="1"/>
      <c r="LE947" s="1"/>
      <c r="LF947" s="1"/>
      <c r="LG947" s="1"/>
      <c r="LH947" s="1"/>
      <c r="LI947" s="1"/>
      <c r="LJ947" s="1"/>
      <c r="LK947" s="1"/>
      <c r="LL947" s="1"/>
      <c r="LM947" s="1"/>
      <c r="LN947" s="1"/>
      <c r="LO947" s="1"/>
      <c r="LP947" s="1"/>
      <c r="LQ947" s="1"/>
      <c r="LR947" s="1"/>
      <c r="LS947" s="1"/>
      <c r="LT947" s="1"/>
      <c r="LU947" s="1"/>
      <c r="LV947" s="1"/>
      <c r="LW947" s="1"/>
      <c r="LX947" s="1"/>
      <c r="LY947" s="1"/>
      <c r="LZ947" s="1"/>
      <c r="MA947" s="1"/>
      <c r="MB947" s="1"/>
      <c r="MC947" s="1"/>
      <c r="MD947" s="1"/>
      <c r="ME947" s="1"/>
      <c r="MF947" s="1"/>
      <c r="MG947" s="1"/>
      <c r="MH947" s="1"/>
      <c r="MI947" s="1"/>
      <c r="MJ947" s="1"/>
      <c r="MK947" s="1"/>
      <c r="ML947" s="138"/>
    </row>
    <row r="948" spans="3:350" x14ac:dyDescent="0.3">
      <c r="KG948" s="370"/>
    </row>
    <row r="949" spans="3:350" x14ac:dyDescent="0.3">
      <c r="C949" s="69" t="s">
        <v>104</v>
      </c>
      <c r="D949" s="69" t="s">
        <v>428</v>
      </c>
      <c r="KG949" s="241"/>
    </row>
    <row r="950" spans="3:350" x14ac:dyDescent="0.3">
      <c r="C950" s="69" t="s">
        <v>141</v>
      </c>
      <c r="D950" s="69" t="s">
        <v>429</v>
      </c>
    </row>
    <row r="951" spans="3:350" x14ac:dyDescent="0.3">
      <c r="C951" s="69"/>
      <c r="D951" s="69" t="s">
        <v>430</v>
      </c>
    </row>
    <row r="952" spans="3:350" x14ac:dyDescent="0.3">
      <c r="C952" s="69"/>
      <c r="D952" s="69" t="s">
        <v>431</v>
      </c>
    </row>
    <row r="954" spans="3:350" x14ac:dyDescent="0.3">
      <c r="C954" s="120" t="s">
        <v>432</v>
      </c>
      <c r="H954" s="121" t="s">
        <v>100</v>
      </c>
      <c r="S954" s="122" t="s">
        <v>5</v>
      </c>
      <c r="BD954" s="123" t="s">
        <v>6</v>
      </c>
      <c r="CO954" s="124" t="s">
        <v>7</v>
      </c>
      <c r="DZ954" s="125" t="s">
        <v>8</v>
      </c>
      <c r="FK954" s="126" t="s">
        <v>9</v>
      </c>
      <c r="GV954" s="127" t="s">
        <v>10</v>
      </c>
      <c r="IG954" s="128" t="s">
        <v>11</v>
      </c>
      <c r="JR954" s="129" t="s">
        <v>12</v>
      </c>
      <c r="LC954" s="130" t="s">
        <v>13</v>
      </c>
    </row>
    <row r="955" spans="3:350" s="4" customFormat="1" x14ac:dyDescent="0.3">
      <c r="C955" s="131"/>
      <c r="D955" s="132"/>
      <c r="E955" s="133" t="s">
        <v>101</v>
      </c>
      <c r="F955" s="134" t="s">
        <v>102</v>
      </c>
      <c r="H955" s="135">
        <f t="shared" ref="H955:Q955" si="1414">H$1</f>
        <v>2015</v>
      </c>
      <c r="I955" s="133">
        <f t="shared" si="1414"/>
        <v>2016</v>
      </c>
      <c r="J955" s="133">
        <f t="shared" si="1414"/>
        <v>2017</v>
      </c>
      <c r="K955" s="133">
        <f t="shared" si="1414"/>
        <v>2018</v>
      </c>
      <c r="L955" s="133">
        <f t="shared" si="1414"/>
        <v>2019</v>
      </c>
      <c r="M955" s="133">
        <f t="shared" si="1414"/>
        <v>2020</v>
      </c>
      <c r="N955" s="133">
        <f t="shared" si="1414"/>
        <v>2021</v>
      </c>
      <c r="O955" s="133">
        <f t="shared" si="1414"/>
        <v>2022</v>
      </c>
      <c r="P955" s="133">
        <f t="shared" si="1414"/>
        <v>2023</v>
      </c>
      <c r="Q955" s="134">
        <f t="shared" si="1414"/>
        <v>2024</v>
      </c>
      <c r="S955" s="135">
        <f t="shared" ref="S955:BB955" si="1415">S$1</f>
        <v>2015</v>
      </c>
      <c r="T955" s="133">
        <f t="shared" si="1415"/>
        <v>2016</v>
      </c>
      <c r="U955" s="133">
        <f t="shared" si="1415"/>
        <v>2017</v>
      </c>
      <c r="V955" s="133">
        <f t="shared" si="1415"/>
        <v>2018</v>
      </c>
      <c r="W955" s="133">
        <f t="shared" si="1415"/>
        <v>2019</v>
      </c>
      <c r="X955" s="133">
        <f t="shared" si="1415"/>
        <v>2020</v>
      </c>
      <c r="Y955" s="133">
        <f t="shared" si="1415"/>
        <v>2021</v>
      </c>
      <c r="Z955" s="133">
        <f t="shared" si="1415"/>
        <v>2022</v>
      </c>
      <c r="AA955" s="133">
        <f t="shared" si="1415"/>
        <v>2023</v>
      </c>
      <c r="AB955" s="133">
        <f t="shared" si="1415"/>
        <v>2024</v>
      </c>
      <c r="AC955" s="133">
        <f t="shared" si="1415"/>
        <v>2025</v>
      </c>
      <c r="AD955" s="133">
        <f t="shared" si="1415"/>
        <v>2026</v>
      </c>
      <c r="AE955" s="133">
        <f t="shared" si="1415"/>
        <v>2027</v>
      </c>
      <c r="AF955" s="133">
        <f t="shared" si="1415"/>
        <v>2028</v>
      </c>
      <c r="AG955" s="133">
        <f t="shared" si="1415"/>
        <v>2029</v>
      </c>
      <c r="AH955" s="133">
        <f t="shared" si="1415"/>
        <v>2030</v>
      </c>
      <c r="AI955" s="133">
        <f t="shared" si="1415"/>
        <v>2031</v>
      </c>
      <c r="AJ955" s="133">
        <f t="shared" si="1415"/>
        <v>2032</v>
      </c>
      <c r="AK955" s="133">
        <f t="shared" si="1415"/>
        <v>2033</v>
      </c>
      <c r="AL955" s="133">
        <f t="shared" si="1415"/>
        <v>2034</v>
      </c>
      <c r="AM955" s="133">
        <f t="shared" si="1415"/>
        <v>2035</v>
      </c>
      <c r="AN955" s="133">
        <f t="shared" si="1415"/>
        <v>2036</v>
      </c>
      <c r="AO955" s="133">
        <f t="shared" si="1415"/>
        <v>2037</v>
      </c>
      <c r="AP955" s="133">
        <f t="shared" si="1415"/>
        <v>2038</v>
      </c>
      <c r="AQ955" s="133">
        <f t="shared" si="1415"/>
        <v>2039</v>
      </c>
      <c r="AR955" s="133">
        <f t="shared" si="1415"/>
        <v>2040</v>
      </c>
      <c r="AS955" s="133">
        <f t="shared" si="1415"/>
        <v>2041</v>
      </c>
      <c r="AT955" s="133">
        <f t="shared" si="1415"/>
        <v>2042</v>
      </c>
      <c r="AU955" s="133">
        <f t="shared" si="1415"/>
        <v>2043</v>
      </c>
      <c r="AV955" s="133">
        <f t="shared" si="1415"/>
        <v>2044</v>
      </c>
      <c r="AW955" s="133">
        <f t="shared" si="1415"/>
        <v>2045</v>
      </c>
      <c r="AX955" s="133">
        <f t="shared" si="1415"/>
        <v>2046</v>
      </c>
      <c r="AY955" s="133">
        <f t="shared" si="1415"/>
        <v>2047</v>
      </c>
      <c r="AZ955" s="133">
        <f t="shared" si="1415"/>
        <v>2048</v>
      </c>
      <c r="BA955" s="133">
        <f t="shared" si="1415"/>
        <v>2049</v>
      </c>
      <c r="BB955" s="134">
        <f t="shared" si="1415"/>
        <v>2050</v>
      </c>
      <c r="BD955" s="135">
        <f t="shared" ref="BD955:CM955" si="1416">BD$1</f>
        <v>2015</v>
      </c>
      <c r="BE955" s="133">
        <f t="shared" si="1416"/>
        <v>2016</v>
      </c>
      <c r="BF955" s="133">
        <f t="shared" si="1416"/>
        <v>2017</v>
      </c>
      <c r="BG955" s="133">
        <f t="shared" si="1416"/>
        <v>2018</v>
      </c>
      <c r="BH955" s="133">
        <f t="shared" si="1416"/>
        <v>2019</v>
      </c>
      <c r="BI955" s="133">
        <f t="shared" si="1416"/>
        <v>2020</v>
      </c>
      <c r="BJ955" s="133">
        <f t="shared" si="1416"/>
        <v>2021</v>
      </c>
      <c r="BK955" s="133">
        <f t="shared" si="1416"/>
        <v>2022</v>
      </c>
      <c r="BL955" s="133">
        <f t="shared" si="1416"/>
        <v>2023</v>
      </c>
      <c r="BM955" s="133">
        <f t="shared" si="1416"/>
        <v>2024</v>
      </c>
      <c r="BN955" s="133">
        <f t="shared" si="1416"/>
        <v>2025</v>
      </c>
      <c r="BO955" s="133">
        <f t="shared" si="1416"/>
        <v>2026</v>
      </c>
      <c r="BP955" s="133">
        <f t="shared" si="1416"/>
        <v>2027</v>
      </c>
      <c r="BQ955" s="133">
        <f t="shared" si="1416"/>
        <v>2028</v>
      </c>
      <c r="BR955" s="133">
        <f t="shared" si="1416"/>
        <v>2029</v>
      </c>
      <c r="BS955" s="133">
        <f t="shared" si="1416"/>
        <v>2030</v>
      </c>
      <c r="BT955" s="133">
        <f t="shared" si="1416"/>
        <v>2031</v>
      </c>
      <c r="BU955" s="133">
        <f t="shared" si="1416"/>
        <v>2032</v>
      </c>
      <c r="BV955" s="133">
        <f t="shared" si="1416"/>
        <v>2033</v>
      </c>
      <c r="BW955" s="133">
        <f t="shared" si="1416"/>
        <v>2034</v>
      </c>
      <c r="BX955" s="133">
        <f t="shared" si="1416"/>
        <v>2035</v>
      </c>
      <c r="BY955" s="133">
        <f t="shared" si="1416"/>
        <v>2036</v>
      </c>
      <c r="BZ955" s="133">
        <f t="shared" si="1416"/>
        <v>2037</v>
      </c>
      <c r="CA955" s="133">
        <f t="shared" si="1416"/>
        <v>2038</v>
      </c>
      <c r="CB955" s="133">
        <f t="shared" si="1416"/>
        <v>2039</v>
      </c>
      <c r="CC955" s="133">
        <f t="shared" si="1416"/>
        <v>2040</v>
      </c>
      <c r="CD955" s="133">
        <f t="shared" si="1416"/>
        <v>2041</v>
      </c>
      <c r="CE955" s="133">
        <f t="shared" si="1416"/>
        <v>2042</v>
      </c>
      <c r="CF955" s="133">
        <f t="shared" si="1416"/>
        <v>2043</v>
      </c>
      <c r="CG955" s="133">
        <f t="shared" si="1416"/>
        <v>2044</v>
      </c>
      <c r="CH955" s="133">
        <f t="shared" si="1416"/>
        <v>2045</v>
      </c>
      <c r="CI955" s="133">
        <f t="shared" si="1416"/>
        <v>2046</v>
      </c>
      <c r="CJ955" s="133">
        <f t="shared" si="1416"/>
        <v>2047</v>
      </c>
      <c r="CK955" s="133">
        <f t="shared" si="1416"/>
        <v>2048</v>
      </c>
      <c r="CL955" s="133">
        <f t="shared" si="1416"/>
        <v>2049</v>
      </c>
      <c r="CM955" s="134">
        <f t="shared" si="1416"/>
        <v>2050</v>
      </c>
      <c r="CO955" s="135">
        <f t="shared" ref="CO955:DX955" si="1417">CO$1</f>
        <v>2015</v>
      </c>
      <c r="CP955" s="133">
        <f t="shared" si="1417"/>
        <v>2016</v>
      </c>
      <c r="CQ955" s="133">
        <f t="shared" si="1417"/>
        <v>2017</v>
      </c>
      <c r="CR955" s="133">
        <f t="shared" si="1417"/>
        <v>2018</v>
      </c>
      <c r="CS955" s="133">
        <f t="shared" si="1417"/>
        <v>2019</v>
      </c>
      <c r="CT955" s="133">
        <f t="shared" si="1417"/>
        <v>2020</v>
      </c>
      <c r="CU955" s="133">
        <f t="shared" si="1417"/>
        <v>2021</v>
      </c>
      <c r="CV955" s="133">
        <f t="shared" si="1417"/>
        <v>2022</v>
      </c>
      <c r="CW955" s="133">
        <f t="shared" si="1417"/>
        <v>2023</v>
      </c>
      <c r="CX955" s="133">
        <f t="shared" si="1417"/>
        <v>2024</v>
      </c>
      <c r="CY955" s="133">
        <f t="shared" si="1417"/>
        <v>2025</v>
      </c>
      <c r="CZ955" s="133">
        <f t="shared" si="1417"/>
        <v>2026</v>
      </c>
      <c r="DA955" s="133">
        <f t="shared" si="1417"/>
        <v>2027</v>
      </c>
      <c r="DB955" s="133">
        <f t="shared" si="1417"/>
        <v>2028</v>
      </c>
      <c r="DC955" s="133">
        <f t="shared" si="1417"/>
        <v>2029</v>
      </c>
      <c r="DD955" s="133">
        <f t="shared" si="1417"/>
        <v>2030</v>
      </c>
      <c r="DE955" s="133">
        <f t="shared" si="1417"/>
        <v>2031</v>
      </c>
      <c r="DF955" s="133">
        <f t="shared" si="1417"/>
        <v>2032</v>
      </c>
      <c r="DG955" s="133">
        <f t="shared" si="1417"/>
        <v>2033</v>
      </c>
      <c r="DH955" s="133">
        <f t="shared" si="1417"/>
        <v>2034</v>
      </c>
      <c r="DI955" s="133">
        <f t="shared" si="1417"/>
        <v>2035</v>
      </c>
      <c r="DJ955" s="133">
        <f t="shared" si="1417"/>
        <v>2036</v>
      </c>
      <c r="DK955" s="133">
        <f t="shared" si="1417"/>
        <v>2037</v>
      </c>
      <c r="DL955" s="133">
        <f t="shared" si="1417"/>
        <v>2038</v>
      </c>
      <c r="DM955" s="133">
        <f t="shared" si="1417"/>
        <v>2039</v>
      </c>
      <c r="DN955" s="133">
        <f t="shared" si="1417"/>
        <v>2040</v>
      </c>
      <c r="DO955" s="133">
        <f t="shared" si="1417"/>
        <v>2041</v>
      </c>
      <c r="DP955" s="133">
        <f t="shared" si="1417"/>
        <v>2042</v>
      </c>
      <c r="DQ955" s="133">
        <f t="shared" si="1417"/>
        <v>2043</v>
      </c>
      <c r="DR955" s="133">
        <f t="shared" si="1417"/>
        <v>2044</v>
      </c>
      <c r="DS955" s="133">
        <f t="shared" si="1417"/>
        <v>2045</v>
      </c>
      <c r="DT955" s="133">
        <f t="shared" si="1417"/>
        <v>2046</v>
      </c>
      <c r="DU955" s="133">
        <f t="shared" si="1417"/>
        <v>2047</v>
      </c>
      <c r="DV955" s="133">
        <f t="shared" si="1417"/>
        <v>2048</v>
      </c>
      <c r="DW955" s="133">
        <f t="shared" si="1417"/>
        <v>2049</v>
      </c>
      <c r="DX955" s="134">
        <f t="shared" si="1417"/>
        <v>2050</v>
      </c>
      <c r="DZ955" s="135">
        <f t="shared" ref="DZ955:FI955" si="1418">DZ$1</f>
        <v>2015</v>
      </c>
      <c r="EA955" s="133">
        <f t="shared" si="1418"/>
        <v>2016</v>
      </c>
      <c r="EB955" s="133">
        <f t="shared" si="1418"/>
        <v>2017</v>
      </c>
      <c r="EC955" s="133">
        <f t="shared" si="1418"/>
        <v>2018</v>
      </c>
      <c r="ED955" s="133">
        <f t="shared" si="1418"/>
        <v>2019</v>
      </c>
      <c r="EE955" s="133">
        <f t="shared" si="1418"/>
        <v>2020</v>
      </c>
      <c r="EF955" s="133">
        <f t="shared" si="1418"/>
        <v>2021</v>
      </c>
      <c r="EG955" s="133">
        <f t="shared" si="1418"/>
        <v>2022</v>
      </c>
      <c r="EH955" s="133">
        <f t="shared" si="1418"/>
        <v>2023</v>
      </c>
      <c r="EI955" s="133">
        <f t="shared" si="1418"/>
        <v>2024</v>
      </c>
      <c r="EJ955" s="133">
        <f t="shared" si="1418"/>
        <v>2025</v>
      </c>
      <c r="EK955" s="133">
        <f t="shared" si="1418"/>
        <v>2026</v>
      </c>
      <c r="EL955" s="133">
        <f t="shared" si="1418"/>
        <v>2027</v>
      </c>
      <c r="EM955" s="133">
        <f t="shared" si="1418"/>
        <v>2028</v>
      </c>
      <c r="EN955" s="133">
        <f t="shared" si="1418"/>
        <v>2029</v>
      </c>
      <c r="EO955" s="133">
        <f t="shared" si="1418"/>
        <v>2030</v>
      </c>
      <c r="EP955" s="133">
        <f t="shared" si="1418"/>
        <v>2031</v>
      </c>
      <c r="EQ955" s="133">
        <f t="shared" si="1418"/>
        <v>2032</v>
      </c>
      <c r="ER955" s="133">
        <f t="shared" si="1418"/>
        <v>2033</v>
      </c>
      <c r="ES955" s="133">
        <f t="shared" si="1418"/>
        <v>2034</v>
      </c>
      <c r="ET955" s="133">
        <f t="shared" si="1418"/>
        <v>2035</v>
      </c>
      <c r="EU955" s="133">
        <f t="shared" si="1418"/>
        <v>2036</v>
      </c>
      <c r="EV955" s="133">
        <f t="shared" si="1418"/>
        <v>2037</v>
      </c>
      <c r="EW955" s="133">
        <f t="shared" si="1418"/>
        <v>2038</v>
      </c>
      <c r="EX955" s="133">
        <f t="shared" si="1418"/>
        <v>2039</v>
      </c>
      <c r="EY955" s="133">
        <f t="shared" si="1418"/>
        <v>2040</v>
      </c>
      <c r="EZ955" s="133">
        <f t="shared" si="1418"/>
        <v>2041</v>
      </c>
      <c r="FA955" s="133">
        <f t="shared" si="1418"/>
        <v>2042</v>
      </c>
      <c r="FB955" s="133">
        <f t="shared" si="1418"/>
        <v>2043</v>
      </c>
      <c r="FC955" s="133">
        <f t="shared" si="1418"/>
        <v>2044</v>
      </c>
      <c r="FD955" s="133">
        <f t="shared" si="1418"/>
        <v>2045</v>
      </c>
      <c r="FE955" s="133">
        <f t="shared" si="1418"/>
        <v>2046</v>
      </c>
      <c r="FF955" s="133">
        <f t="shared" si="1418"/>
        <v>2047</v>
      </c>
      <c r="FG955" s="133">
        <f t="shared" si="1418"/>
        <v>2048</v>
      </c>
      <c r="FH955" s="133">
        <f t="shared" si="1418"/>
        <v>2049</v>
      </c>
      <c r="FI955" s="134">
        <f t="shared" si="1418"/>
        <v>2050</v>
      </c>
      <c r="FK955" s="135">
        <f t="shared" ref="FK955:GT955" si="1419">FK$1</f>
        <v>2015</v>
      </c>
      <c r="FL955" s="133">
        <f t="shared" si="1419"/>
        <v>2016</v>
      </c>
      <c r="FM955" s="133">
        <f t="shared" si="1419"/>
        <v>2017</v>
      </c>
      <c r="FN955" s="133">
        <f t="shared" si="1419"/>
        <v>2018</v>
      </c>
      <c r="FO955" s="133">
        <f t="shared" si="1419"/>
        <v>2019</v>
      </c>
      <c r="FP955" s="133">
        <f t="shared" si="1419"/>
        <v>2020</v>
      </c>
      <c r="FQ955" s="133">
        <f t="shared" si="1419"/>
        <v>2021</v>
      </c>
      <c r="FR955" s="133">
        <f t="shared" si="1419"/>
        <v>2022</v>
      </c>
      <c r="FS955" s="133">
        <f t="shared" si="1419"/>
        <v>2023</v>
      </c>
      <c r="FT955" s="133">
        <f t="shared" si="1419"/>
        <v>2024</v>
      </c>
      <c r="FU955" s="133">
        <f t="shared" si="1419"/>
        <v>2025</v>
      </c>
      <c r="FV955" s="133">
        <f t="shared" si="1419"/>
        <v>2026</v>
      </c>
      <c r="FW955" s="133">
        <f t="shared" si="1419"/>
        <v>2027</v>
      </c>
      <c r="FX955" s="133">
        <f t="shared" si="1419"/>
        <v>2028</v>
      </c>
      <c r="FY955" s="133">
        <f t="shared" si="1419"/>
        <v>2029</v>
      </c>
      <c r="FZ955" s="133">
        <f t="shared" si="1419"/>
        <v>2030</v>
      </c>
      <c r="GA955" s="133">
        <f t="shared" si="1419"/>
        <v>2031</v>
      </c>
      <c r="GB955" s="133">
        <f t="shared" si="1419"/>
        <v>2032</v>
      </c>
      <c r="GC955" s="133">
        <f t="shared" si="1419"/>
        <v>2033</v>
      </c>
      <c r="GD955" s="133">
        <f t="shared" si="1419"/>
        <v>2034</v>
      </c>
      <c r="GE955" s="133">
        <f t="shared" si="1419"/>
        <v>2035</v>
      </c>
      <c r="GF955" s="133">
        <f t="shared" si="1419"/>
        <v>2036</v>
      </c>
      <c r="GG955" s="133">
        <f t="shared" si="1419"/>
        <v>2037</v>
      </c>
      <c r="GH955" s="133">
        <f t="shared" si="1419"/>
        <v>2038</v>
      </c>
      <c r="GI955" s="133">
        <f t="shared" si="1419"/>
        <v>2039</v>
      </c>
      <c r="GJ955" s="133">
        <f t="shared" si="1419"/>
        <v>2040</v>
      </c>
      <c r="GK955" s="133">
        <f t="shared" si="1419"/>
        <v>2041</v>
      </c>
      <c r="GL955" s="133">
        <f t="shared" si="1419"/>
        <v>2042</v>
      </c>
      <c r="GM955" s="133">
        <f t="shared" si="1419"/>
        <v>2043</v>
      </c>
      <c r="GN955" s="133">
        <f t="shared" si="1419"/>
        <v>2044</v>
      </c>
      <c r="GO955" s="133">
        <f t="shared" si="1419"/>
        <v>2045</v>
      </c>
      <c r="GP955" s="133">
        <f t="shared" si="1419"/>
        <v>2046</v>
      </c>
      <c r="GQ955" s="133">
        <f t="shared" si="1419"/>
        <v>2047</v>
      </c>
      <c r="GR955" s="133">
        <f t="shared" si="1419"/>
        <v>2048</v>
      </c>
      <c r="GS955" s="133">
        <f t="shared" si="1419"/>
        <v>2049</v>
      </c>
      <c r="GT955" s="134">
        <f t="shared" si="1419"/>
        <v>2050</v>
      </c>
      <c r="GV955" s="135">
        <f t="shared" ref="GV955:IE955" si="1420">GV$1</f>
        <v>2015</v>
      </c>
      <c r="GW955" s="133">
        <f t="shared" si="1420"/>
        <v>2016</v>
      </c>
      <c r="GX955" s="133">
        <f t="shared" si="1420"/>
        <v>2017</v>
      </c>
      <c r="GY955" s="133">
        <f t="shared" si="1420"/>
        <v>2018</v>
      </c>
      <c r="GZ955" s="133">
        <f t="shared" si="1420"/>
        <v>2019</v>
      </c>
      <c r="HA955" s="133">
        <f t="shared" si="1420"/>
        <v>2020</v>
      </c>
      <c r="HB955" s="133">
        <f t="shared" si="1420"/>
        <v>2021</v>
      </c>
      <c r="HC955" s="133">
        <f t="shared" si="1420"/>
        <v>2022</v>
      </c>
      <c r="HD955" s="133">
        <f t="shared" si="1420"/>
        <v>2023</v>
      </c>
      <c r="HE955" s="133">
        <f t="shared" si="1420"/>
        <v>2024</v>
      </c>
      <c r="HF955" s="133">
        <f t="shared" si="1420"/>
        <v>2025</v>
      </c>
      <c r="HG955" s="133">
        <f t="shared" si="1420"/>
        <v>2026</v>
      </c>
      <c r="HH955" s="133">
        <f t="shared" si="1420"/>
        <v>2027</v>
      </c>
      <c r="HI955" s="133">
        <f t="shared" si="1420"/>
        <v>2028</v>
      </c>
      <c r="HJ955" s="133">
        <f t="shared" si="1420"/>
        <v>2029</v>
      </c>
      <c r="HK955" s="133">
        <f t="shared" si="1420"/>
        <v>2030</v>
      </c>
      <c r="HL955" s="133">
        <f t="shared" si="1420"/>
        <v>2031</v>
      </c>
      <c r="HM955" s="133">
        <f t="shared" si="1420"/>
        <v>2032</v>
      </c>
      <c r="HN955" s="133">
        <f t="shared" si="1420"/>
        <v>2033</v>
      </c>
      <c r="HO955" s="133">
        <f t="shared" si="1420"/>
        <v>2034</v>
      </c>
      <c r="HP955" s="133">
        <f t="shared" si="1420"/>
        <v>2035</v>
      </c>
      <c r="HQ955" s="133">
        <f t="shared" si="1420"/>
        <v>2036</v>
      </c>
      <c r="HR955" s="133">
        <f t="shared" si="1420"/>
        <v>2037</v>
      </c>
      <c r="HS955" s="133">
        <f t="shared" si="1420"/>
        <v>2038</v>
      </c>
      <c r="HT955" s="133">
        <f t="shared" si="1420"/>
        <v>2039</v>
      </c>
      <c r="HU955" s="133">
        <f t="shared" si="1420"/>
        <v>2040</v>
      </c>
      <c r="HV955" s="133">
        <f t="shared" si="1420"/>
        <v>2041</v>
      </c>
      <c r="HW955" s="133">
        <f t="shared" si="1420"/>
        <v>2042</v>
      </c>
      <c r="HX955" s="133">
        <f t="shared" si="1420"/>
        <v>2043</v>
      </c>
      <c r="HY955" s="133">
        <f t="shared" si="1420"/>
        <v>2044</v>
      </c>
      <c r="HZ955" s="133">
        <f t="shared" si="1420"/>
        <v>2045</v>
      </c>
      <c r="IA955" s="133">
        <f t="shared" si="1420"/>
        <v>2046</v>
      </c>
      <c r="IB955" s="133">
        <f t="shared" si="1420"/>
        <v>2047</v>
      </c>
      <c r="IC955" s="133">
        <f t="shared" si="1420"/>
        <v>2048</v>
      </c>
      <c r="ID955" s="133">
        <f t="shared" si="1420"/>
        <v>2049</v>
      </c>
      <c r="IE955" s="134">
        <f t="shared" si="1420"/>
        <v>2050</v>
      </c>
      <c r="IG955" s="135">
        <f t="shared" ref="IG955:JP955" si="1421">IG$1</f>
        <v>2015</v>
      </c>
      <c r="IH955" s="133">
        <f t="shared" si="1421"/>
        <v>2016</v>
      </c>
      <c r="II955" s="133">
        <f t="shared" si="1421"/>
        <v>2017</v>
      </c>
      <c r="IJ955" s="133">
        <f t="shared" si="1421"/>
        <v>2018</v>
      </c>
      <c r="IK955" s="133">
        <f t="shared" si="1421"/>
        <v>2019</v>
      </c>
      <c r="IL955" s="133">
        <f t="shared" si="1421"/>
        <v>2020</v>
      </c>
      <c r="IM955" s="133">
        <f t="shared" si="1421"/>
        <v>2021</v>
      </c>
      <c r="IN955" s="133">
        <f t="shared" si="1421"/>
        <v>2022</v>
      </c>
      <c r="IO955" s="133">
        <f t="shared" si="1421"/>
        <v>2023</v>
      </c>
      <c r="IP955" s="133">
        <f t="shared" si="1421"/>
        <v>2024</v>
      </c>
      <c r="IQ955" s="133">
        <f t="shared" si="1421"/>
        <v>2025</v>
      </c>
      <c r="IR955" s="133">
        <f t="shared" si="1421"/>
        <v>2026</v>
      </c>
      <c r="IS955" s="133">
        <f t="shared" si="1421"/>
        <v>2027</v>
      </c>
      <c r="IT955" s="133">
        <f t="shared" si="1421"/>
        <v>2028</v>
      </c>
      <c r="IU955" s="133">
        <f t="shared" si="1421"/>
        <v>2029</v>
      </c>
      <c r="IV955" s="133">
        <f t="shared" si="1421"/>
        <v>2030</v>
      </c>
      <c r="IW955" s="133">
        <f t="shared" si="1421"/>
        <v>2031</v>
      </c>
      <c r="IX955" s="133">
        <f t="shared" si="1421"/>
        <v>2032</v>
      </c>
      <c r="IY955" s="133">
        <f t="shared" si="1421"/>
        <v>2033</v>
      </c>
      <c r="IZ955" s="133">
        <f t="shared" si="1421"/>
        <v>2034</v>
      </c>
      <c r="JA955" s="133">
        <f t="shared" si="1421"/>
        <v>2035</v>
      </c>
      <c r="JB955" s="133">
        <f t="shared" si="1421"/>
        <v>2036</v>
      </c>
      <c r="JC955" s="133">
        <f t="shared" si="1421"/>
        <v>2037</v>
      </c>
      <c r="JD955" s="133">
        <f t="shared" si="1421"/>
        <v>2038</v>
      </c>
      <c r="JE955" s="133">
        <f t="shared" si="1421"/>
        <v>2039</v>
      </c>
      <c r="JF955" s="133">
        <f t="shared" si="1421"/>
        <v>2040</v>
      </c>
      <c r="JG955" s="133">
        <f t="shared" si="1421"/>
        <v>2041</v>
      </c>
      <c r="JH955" s="133">
        <f t="shared" si="1421"/>
        <v>2042</v>
      </c>
      <c r="JI955" s="133">
        <f t="shared" si="1421"/>
        <v>2043</v>
      </c>
      <c r="JJ955" s="133">
        <f t="shared" si="1421"/>
        <v>2044</v>
      </c>
      <c r="JK955" s="133">
        <f t="shared" si="1421"/>
        <v>2045</v>
      </c>
      <c r="JL955" s="133">
        <f t="shared" si="1421"/>
        <v>2046</v>
      </c>
      <c r="JM955" s="133">
        <f t="shared" si="1421"/>
        <v>2047</v>
      </c>
      <c r="JN955" s="133">
        <f t="shared" si="1421"/>
        <v>2048</v>
      </c>
      <c r="JO955" s="133">
        <f t="shared" si="1421"/>
        <v>2049</v>
      </c>
      <c r="JP955" s="134">
        <f t="shared" si="1421"/>
        <v>2050</v>
      </c>
      <c r="JR955" s="135">
        <f t="shared" ref="JR955:LA955" si="1422">JR$1</f>
        <v>2015</v>
      </c>
      <c r="JS955" s="133">
        <f t="shared" si="1422"/>
        <v>2016</v>
      </c>
      <c r="JT955" s="133">
        <f t="shared" si="1422"/>
        <v>2017</v>
      </c>
      <c r="JU955" s="133">
        <f t="shared" si="1422"/>
        <v>2018</v>
      </c>
      <c r="JV955" s="133">
        <f t="shared" si="1422"/>
        <v>2019</v>
      </c>
      <c r="JW955" s="133">
        <f t="shared" si="1422"/>
        <v>2020</v>
      </c>
      <c r="JX955" s="133">
        <f t="shared" si="1422"/>
        <v>2021</v>
      </c>
      <c r="JY955" s="133">
        <f t="shared" si="1422"/>
        <v>2022</v>
      </c>
      <c r="JZ955" s="133">
        <f t="shared" si="1422"/>
        <v>2023</v>
      </c>
      <c r="KA955" s="133">
        <f t="shared" si="1422"/>
        <v>2024</v>
      </c>
      <c r="KB955" s="133">
        <f t="shared" si="1422"/>
        <v>2025</v>
      </c>
      <c r="KC955" s="133">
        <f t="shared" si="1422"/>
        <v>2026</v>
      </c>
      <c r="KD955" s="133">
        <f t="shared" si="1422"/>
        <v>2027</v>
      </c>
      <c r="KE955" s="133">
        <f t="shared" si="1422"/>
        <v>2028</v>
      </c>
      <c r="KF955" s="133">
        <f t="shared" si="1422"/>
        <v>2029</v>
      </c>
      <c r="KG955" s="133">
        <f t="shared" si="1422"/>
        <v>2030</v>
      </c>
      <c r="KH955" s="133">
        <f t="shared" si="1422"/>
        <v>2031</v>
      </c>
      <c r="KI955" s="133">
        <f t="shared" si="1422"/>
        <v>2032</v>
      </c>
      <c r="KJ955" s="133">
        <f t="shared" si="1422"/>
        <v>2033</v>
      </c>
      <c r="KK955" s="133">
        <f t="shared" si="1422"/>
        <v>2034</v>
      </c>
      <c r="KL955" s="133">
        <f t="shared" si="1422"/>
        <v>2035</v>
      </c>
      <c r="KM955" s="133">
        <f t="shared" si="1422"/>
        <v>2036</v>
      </c>
      <c r="KN955" s="133">
        <f t="shared" si="1422"/>
        <v>2037</v>
      </c>
      <c r="KO955" s="133">
        <f t="shared" si="1422"/>
        <v>2038</v>
      </c>
      <c r="KP955" s="133">
        <f t="shared" si="1422"/>
        <v>2039</v>
      </c>
      <c r="KQ955" s="133">
        <f t="shared" si="1422"/>
        <v>2040</v>
      </c>
      <c r="KR955" s="133">
        <f t="shared" si="1422"/>
        <v>2041</v>
      </c>
      <c r="KS955" s="133">
        <f t="shared" si="1422"/>
        <v>2042</v>
      </c>
      <c r="KT955" s="133">
        <f t="shared" si="1422"/>
        <v>2043</v>
      </c>
      <c r="KU955" s="133">
        <f t="shared" si="1422"/>
        <v>2044</v>
      </c>
      <c r="KV955" s="133">
        <f t="shared" si="1422"/>
        <v>2045</v>
      </c>
      <c r="KW955" s="133">
        <f t="shared" si="1422"/>
        <v>2046</v>
      </c>
      <c r="KX955" s="133">
        <f t="shared" si="1422"/>
        <v>2047</v>
      </c>
      <c r="KY955" s="133">
        <f t="shared" si="1422"/>
        <v>2048</v>
      </c>
      <c r="KZ955" s="133">
        <f t="shared" si="1422"/>
        <v>2049</v>
      </c>
      <c r="LA955" s="134">
        <f t="shared" si="1422"/>
        <v>2050</v>
      </c>
      <c r="LC955" s="135">
        <f t="shared" ref="LC955:ML955" si="1423">LC$1</f>
        <v>2015</v>
      </c>
      <c r="LD955" s="133">
        <f t="shared" si="1423"/>
        <v>2016</v>
      </c>
      <c r="LE955" s="133">
        <f t="shared" si="1423"/>
        <v>2017</v>
      </c>
      <c r="LF955" s="133">
        <f t="shared" si="1423"/>
        <v>2018</v>
      </c>
      <c r="LG955" s="133">
        <f t="shared" si="1423"/>
        <v>2019</v>
      </c>
      <c r="LH955" s="133">
        <f t="shared" si="1423"/>
        <v>2020</v>
      </c>
      <c r="LI955" s="133">
        <f t="shared" si="1423"/>
        <v>2021</v>
      </c>
      <c r="LJ955" s="133">
        <f t="shared" si="1423"/>
        <v>2022</v>
      </c>
      <c r="LK955" s="133">
        <f t="shared" si="1423"/>
        <v>2023</v>
      </c>
      <c r="LL955" s="133">
        <f t="shared" si="1423"/>
        <v>2024</v>
      </c>
      <c r="LM955" s="133">
        <f t="shared" si="1423"/>
        <v>2025</v>
      </c>
      <c r="LN955" s="133">
        <f t="shared" si="1423"/>
        <v>2026</v>
      </c>
      <c r="LO955" s="133">
        <f t="shared" si="1423"/>
        <v>2027</v>
      </c>
      <c r="LP955" s="133">
        <f t="shared" si="1423"/>
        <v>2028</v>
      </c>
      <c r="LQ955" s="133">
        <f t="shared" si="1423"/>
        <v>2029</v>
      </c>
      <c r="LR955" s="133">
        <f t="shared" si="1423"/>
        <v>2030</v>
      </c>
      <c r="LS955" s="133">
        <f t="shared" si="1423"/>
        <v>2031</v>
      </c>
      <c r="LT955" s="133">
        <f t="shared" si="1423"/>
        <v>2032</v>
      </c>
      <c r="LU955" s="133">
        <f t="shared" si="1423"/>
        <v>2033</v>
      </c>
      <c r="LV955" s="133">
        <f t="shared" si="1423"/>
        <v>2034</v>
      </c>
      <c r="LW955" s="133">
        <f t="shared" si="1423"/>
        <v>2035</v>
      </c>
      <c r="LX955" s="133">
        <f t="shared" si="1423"/>
        <v>2036</v>
      </c>
      <c r="LY955" s="133">
        <f t="shared" si="1423"/>
        <v>2037</v>
      </c>
      <c r="LZ955" s="133">
        <f t="shared" si="1423"/>
        <v>2038</v>
      </c>
      <c r="MA955" s="133">
        <f t="shared" si="1423"/>
        <v>2039</v>
      </c>
      <c r="MB955" s="133">
        <f t="shared" si="1423"/>
        <v>2040</v>
      </c>
      <c r="MC955" s="133">
        <f t="shared" si="1423"/>
        <v>2041</v>
      </c>
      <c r="MD955" s="133">
        <f t="shared" si="1423"/>
        <v>2042</v>
      </c>
      <c r="ME955" s="133">
        <f t="shared" si="1423"/>
        <v>2043</v>
      </c>
      <c r="MF955" s="133">
        <f t="shared" si="1423"/>
        <v>2044</v>
      </c>
      <c r="MG955" s="133">
        <f t="shared" si="1423"/>
        <v>2045</v>
      </c>
      <c r="MH955" s="133">
        <f t="shared" si="1423"/>
        <v>2046</v>
      </c>
      <c r="MI955" s="133">
        <f t="shared" si="1423"/>
        <v>2047</v>
      </c>
      <c r="MJ955" s="133">
        <f t="shared" si="1423"/>
        <v>2048</v>
      </c>
      <c r="MK955" s="133">
        <f t="shared" si="1423"/>
        <v>2049</v>
      </c>
      <c r="ML955" s="134">
        <f t="shared" si="1423"/>
        <v>2050</v>
      </c>
    </row>
    <row r="956" spans="3:350" s="4" customFormat="1" x14ac:dyDescent="0.3">
      <c r="C956" s="136" t="s">
        <v>282</v>
      </c>
      <c r="E956" s="137" t="s">
        <v>367</v>
      </c>
      <c r="F956" s="138" t="s">
        <v>104</v>
      </c>
      <c r="H956" s="245"/>
      <c r="I956" s="1"/>
      <c r="J956" s="1"/>
      <c r="K956" s="1"/>
      <c r="L956" s="1"/>
      <c r="M956" s="1"/>
      <c r="N956" s="1"/>
      <c r="O956" s="1"/>
      <c r="P956" s="1"/>
      <c r="Q956" s="138"/>
      <c r="S956" s="245"/>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38"/>
      <c r="BD956" s="245"/>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38"/>
      <c r="CO956" s="245"/>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38"/>
      <c r="DZ956" s="245"/>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38"/>
      <c r="FK956" s="245"/>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I956" s="1"/>
      <c r="GJ956" s="1"/>
      <c r="GK956" s="1"/>
      <c r="GL956" s="1"/>
      <c r="GM956" s="1"/>
      <c r="GN956" s="1"/>
      <c r="GO956" s="1"/>
      <c r="GP956" s="1"/>
      <c r="GQ956" s="1"/>
      <c r="GR956" s="1"/>
      <c r="GS956" s="1"/>
      <c r="GT956" s="138"/>
      <c r="GV956" s="245"/>
      <c r="GW956" s="1"/>
      <c r="GX956" s="1"/>
      <c r="GY956" s="1"/>
      <c r="GZ956" s="1"/>
      <c r="HA956" s="1"/>
      <c r="HB956" s="1"/>
      <c r="HC956" s="1"/>
      <c r="HD956" s="1"/>
      <c r="HE956" s="1"/>
      <c r="HF956" s="1"/>
      <c r="HG956" s="1"/>
      <c r="HH956" s="1"/>
      <c r="HI956" s="1"/>
      <c r="HJ956" s="1"/>
      <c r="HK956" s="1"/>
      <c r="HL956" s="1"/>
      <c r="HM956" s="1"/>
      <c r="HN956" s="1"/>
      <c r="HO956" s="1"/>
      <c r="HP956" s="1"/>
      <c r="HQ956" s="1"/>
      <c r="HR956" s="1"/>
      <c r="HS956" s="1"/>
      <c r="HT956" s="1"/>
      <c r="HU956" s="1"/>
      <c r="HV956" s="1"/>
      <c r="HW956" s="1"/>
      <c r="HX956" s="1"/>
      <c r="HY956" s="1"/>
      <c r="HZ956" s="1"/>
      <c r="IA956" s="1"/>
      <c r="IB956" s="1"/>
      <c r="IC956" s="1"/>
      <c r="ID956" s="1"/>
      <c r="IE956" s="138"/>
      <c r="IG956" s="245"/>
      <c r="IH956" s="1"/>
      <c r="II956" s="1"/>
      <c r="IJ956" s="1"/>
      <c r="IK956" s="1"/>
      <c r="IL956" s="1"/>
      <c r="IM956" s="1"/>
      <c r="IN956" s="1"/>
      <c r="IO956" s="1"/>
      <c r="IP956" s="1"/>
      <c r="IQ956" s="1"/>
      <c r="IR956" s="1"/>
      <c r="IS956" s="1"/>
      <c r="IT956" s="1"/>
      <c r="IU956" s="1"/>
      <c r="IV956" s="1"/>
      <c r="IW956" s="1"/>
      <c r="IX956" s="1"/>
      <c r="IY956" s="1"/>
      <c r="IZ956" s="1"/>
      <c r="JA956" s="1"/>
      <c r="JB956" s="1"/>
      <c r="JC956" s="1"/>
      <c r="JD956" s="1"/>
      <c r="JE956" s="1"/>
      <c r="JF956" s="1"/>
      <c r="JG956" s="1"/>
      <c r="JH956" s="1"/>
      <c r="JI956" s="1"/>
      <c r="JJ956" s="1"/>
      <c r="JK956" s="1"/>
      <c r="JL956" s="1"/>
      <c r="JM956" s="1"/>
      <c r="JN956" s="1"/>
      <c r="JO956" s="1"/>
      <c r="JP956" s="138"/>
      <c r="JR956" s="245"/>
      <c r="JS956" s="1"/>
      <c r="JT956" s="1"/>
      <c r="JU956" s="1"/>
      <c r="JV956" s="1"/>
      <c r="JW956" s="1"/>
      <c r="JX956" s="1"/>
      <c r="JY956" s="1"/>
      <c r="JZ956" s="1"/>
      <c r="KA956" s="330">
        <f t="shared" ref="KA956:LA956" si="1424">KA947</f>
        <v>1433.3333333333333</v>
      </c>
      <c r="KB956" s="330">
        <f t="shared" si="1424"/>
        <v>1433.3333333333333</v>
      </c>
      <c r="KC956" s="330">
        <f t="shared" si="1424"/>
        <v>1433.3333333333333</v>
      </c>
      <c r="KD956" s="330">
        <f t="shared" si="1424"/>
        <v>1433.3333333333333</v>
      </c>
      <c r="KE956" s="330">
        <f t="shared" si="1424"/>
        <v>1433.3333333333333</v>
      </c>
      <c r="KF956" s="330">
        <f t="shared" si="1424"/>
        <v>2100</v>
      </c>
      <c r="KG956" s="330">
        <f t="shared" si="1424"/>
        <v>2100</v>
      </c>
      <c r="KH956" s="330">
        <f t="shared" si="1424"/>
        <v>2100</v>
      </c>
      <c r="KI956" s="330">
        <f t="shared" si="1424"/>
        <v>2100</v>
      </c>
      <c r="KJ956" s="330">
        <f t="shared" si="1424"/>
        <v>1766.6666666666667</v>
      </c>
      <c r="KK956" s="330">
        <f t="shared" si="1424"/>
        <v>1766.6666666666667</v>
      </c>
      <c r="KL956" s="330">
        <f t="shared" si="1424"/>
        <v>1766.6666666666667</v>
      </c>
      <c r="KM956" s="330">
        <f t="shared" si="1424"/>
        <v>1766.6666666666667</v>
      </c>
      <c r="KN956" s="330">
        <f t="shared" si="1424"/>
        <v>1766.6666666666667</v>
      </c>
      <c r="KO956" s="330">
        <f t="shared" si="1424"/>
        <v>1766.6666666666667</v>
      </c>
      <c r="KP956" s="330">
        <f t="shared" si="1424"/>
        <v>1766.6666666666667</v>
      </c>
      <c r="KQ956" s="330">
        <f t="shared" si="1424"/>
        <v>1766.6666666666667</v>
      </c>
      <c r="KR956" s="330">
        <f t="shared" si="1424"/>
        <v>1766.6666666666667</v>
      </c>
      <c r="KS956" s="330">
        <f t="shared" si="1424"/>
        <v>1766.6666666666667</v>
      </c>
      <c r="KT956" s="330">
        <f t="shared" si="1424"/>
        <v>1533.3333333333333</v>
      </c>
      <c r="KU956" s="330">
        <f t="shared" si="1424"/>
        <v>1533.3333333333333</v>
      </c>
      <c r="KV956" s="330">
        <f t="shared" si="1424"/>
        <v>1533.3333333333333</v>
      </c>
      <c r="KW956" s="330">
        <f t="shared" si="1424"/>
        <v>1533.3333333333333</v>
      </c>
      <c r="KX956" s="330">
        <f t="shared" si="1424"/>
        <v>1533.3333333333333</v>
      </c>
      <c r="KY956" s="330">
        <f t="shared" si="1424"/>
        <v>1533.3333333333333</v>
      </c>
      <c r="KZ956" s="330">
        <f t="shared" si="1424"/>
        <v>1533.3333333333333</v>
      </c>
      <c r="LA956" s="331">
        <f t="shared" si="1424"/>
        <v>1533.3333333333333</v>
      </c>
      <c r="LC956" s="245"/>
      <c r="LD956" s="1"/>
      <c r="LE956" s="1"/>
      <c r="LF956" s="1"/>
      <c r="LG956" s="1"/>
      <c r="LH956" s="1"/>
      <c r="LI956" s="1"/>
      <c r="LJ956" s="1"/>
      <c r="LK956" s="1"/>
      <c r="LL956" s="1"/>
      <c r="LM956" s="1"/>
      <c r="LN956" s="1"/>
      <c r="LO956" s="1"/>
      <c r="LP956" s="1"/>
      <c r="LQ956" s="1"/>
      <c r="LR956" s="1"/>
      <c r="LS956" s="1"/>
      <c r="LT956" s="1"/>
      <c r="LU956" s="1"/>
      <c r="LV956" s="1"/>
      <c r="LW956" s="1"/>
      <c r="LX956" s="1"/>
      <c r="LY956" s="1"/>
      <c r="LZ956" s="1"/>
      <c r="MA956" s="1"/>
      <c r="MB956" s="1"/>
      <c r="MC956" s="1"/>
      <c r="MD956" s="1"/>
      <c r="ME956" s="1"/>
      <c r="MF956" s="1"/>
      <c r="MG956" s="1"/>
      <c r="MH956" s="1"/>
      <c r="MI956" s="1"/>
      <c r="MJ956" s="1"/>
      <c r="MK956" s="1"/>
      <c r="ML956" s="138"/>
    </row>
    <row r="957" spans="3:350" s="4" customFormat="1" x14ac:dyDescent="0.3">
      <c r="C957" s="136" t="s">
        <v>283</v>
      </c>
      <c r="E957" s="1" t="s">
        <v>105</v>
      </c>
      <c r="F957" s="138" t="s">
        <v>105</v>
      </c>
      <c r="H957" s="332"/>
      <c r="I957" s="297"/>
      <c r="J957" s="297"/>
      <c r="K957" s="297"/>
      <c r="L957" s="297"/>
      <c r="M957" s="297"/>
      <c r="N957" s="297"/>
      <c r="O957" s="297"/>
      <c r="P957" s="297"/>
      <c r="Q957" s="333"/>
      <c r="S957" s="245"/>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38"/>
      <c r="BD957" s="245"/>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38"/>
      <c r="CO957" s="245"/>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38"/>
      <c r="DZ957" s="245"/>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38"/>
      <c r="FK957" s="245"/>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I957" s="1"/>
      <c r="GJ957" s="1"/>
      <c r="GK957" s="1"/>
      <c r="GL957" s="1"/>
      <c r="GM957" s="1"/>
      <c r="GN957" s="1"/>
      <c r="GO957" s="1"/>
      <c r="GP957" s="1"/>
      <c r="GQ957" s="1"/>
      <c r="GR957" s="1"/>
      <c r="GS957" s="1"/>
      <c r="GT957" s="138"/>
      <c r="GV957" s="245"/>
      <c r="GW957" s="1"/>
      <c r="GX957" s="1"/>
      <c r="GY957" s="1"/>
      <c r="GZ957" s="1"/>
      <c r="HA957" s="1"/>
      <c r="HB957" s="1"/>
      <c r="HC957" s="1"/>
      <c r="HD957" s="1"/>
      <c r="HE957" s="1"/>
      <c r="HF957" s="1"/>
      <c r="HG957" s="1"/>
      <c r="HH957" s="1"/>
      <c r="HI957" s="1"/>
      <c r="HJ957" s="1"/>
      <c r="HK957" s="1"/>
      <c r="HL957" s="1"/>
      <c r="HM957" s="1"/>
      <c r="HN957" s="1"/>
      <c r="HO957" s="1"/>
      <c r="HP957" s="1"/>
      <c r="HQ957" s="1"/>
      <c r="HR957" s="1"/>
      <c r="HS957" s="1"/>
      <c r="HT957" s="1"/>
      <c r="HU957" s="1"/>
      <c r="HV957" s="1"/>
      <c r="HW957" s="1"/>
      <c r="HX957" s="1"/>
      <c r="HY957" s="1"/>
      <c r="HZ957" s="1"/>
      <c r="IA957" s="1"/>
      <c r="IB957" s="1"/>
      <c r="IC957" s="1"/>
      <c r="ID957" s="1"/>
      <c r="IE957" s="138"/>
      <c r="IG957" s="245"/>
      <c r="IH957" s="1"/>
      <c r="II957" s="1"/>
      <c r="IJ957" s="1"/>
      <c r="IK957" s="1"/>
      <c r="IL957" s="1"/>
      <c r="IM957" s="1"/>
      <c r="IN957" s="1"/>
      <c r="IO957" s="1"/>
      <c r="IP957" s="1"/>
      <c r="IQ957" s="1"/>
      <c r="IR957" s="1"/>
      <c r="IS957" s="1"/>
      <c r="IT957" s="1"/>
      <c r="IU957" s="1"/>
      <c r="IV957" s="1"/>
      <c r="IW957" s="1"/>
      <c r="IX957" s="1"/>
      <c r="IY957" s="1"/>
      <c r="IZ957" s="1"/>
      <c r="JA957" s="1"/>
      <c r="JB957" s="1"/>
      <c r="JC957" s="1"/>
      <c r="JD957" s="1"/>
      <c r="JE957" s="1"/>
      <c r="JF957" s="1"/>
      <c r="JG957" s="1"/>
      <c r="JH957" s="1"/>
      <c r="JI957" s="1"/>
      <c r="JJ957" s="1"/>
      <c r="JK957" s="1"/>
      <c r="JL957" s="1"/>
      <c r="JM957" s="1"/>
      <c r="JN957" s="1"/>
      <c r="JO957" s="1"/>
      <c r="JP957" s="138"/>
      <c r="JR957" s="245"/>
      <c r="JS957" s="1"/>
      <c r="JT957" s="1"/>
      <c r="JU957" s="1"/>
      <c r="JV957" s="1"/>
      <c r="JW957" s="334"/>
      <c r="JX957" s="334"/>
      <c r="JY957" s="334"/>
      <c r="JZ957" s="335"/>
      <c r="KA957" s="330">
        <f t="shared" ref="KA957:LA957" si="1425">KA940</f>
        <v>2776.4670514438158</v>
      </c>
      <c r="KB957" s="330">
        <f t="shared" si="1425"/>
        <v>3208.6502434918775</v>
      </c>
      <c r="KC957" s="330">
        <f t="shared" si="1425"/>
        <v>3564.2933626642312</v>
      </c>
      <c r="KD957" s="330">
        <f t="shared" si="1425"/>
        <v>3971.3785462488941</v>
      </c>
      <c r="KE957" s="330">
        <f t="shared" si="1425"/>
        <v>4316.7369773923447</v>
      </c>
      <c r="KF957" s="330">
        <f t="shared" si="1425"/>
        <v>4541.15052588459</v>
      </c>
      <c r="KG957" s="330">
        <f t="shared" si="1425"/>
        <v>4618.9974923248983</v>
      </c>
      <c r="KH957" s="330">
        <f t="shared" si="1425"/>
        <v>7233.4396427957399</v>
      </c>
      <c r="KI957" s="330">
        <f t="shared" si="1425"/>
        <v>6868.0704937875435</v>
      </c>
      <c r="KJ957" s="330">
        <f t="shared" si="1425"/>
        <v>6305.7901994939493</v>
      </c>
      <c r="KK957" s="330">
        <f t="shared" si="1425"/>
        <v>5607.3339038651793</v>
      </c>
      <c r="KL957" s="330">
        <f t="shared" si="1425"/>
        <v>4841.6877380508249</v>
      </c>
      <c r="KM957" s="330">
        <f t="shared" si="1425"/>
        <v>4075.0172848663847</v>
      </c>
      <c r="KN957" s="330">
        <f t="shared" si="1425"/>
        <v>3361.7113820739664</v>
      </c>
      <c r="KO957" s="330">
        <f t="shared" si="1425"/>
        <v>2739.0870627941504</v>
      </c>
      <c r="KP957" s="330">
        <f t="shared" si="1425"/>
        <v>2226.1406892855025</v>
      </c>
      <c r="KQ957" s="330">
        <f t="shared" si="1425"/>
        <v>1825.6885136225628</v>
      </c>
      <c r="KR957" s="330">
        <f t="shared" si="1425"/>
        <v>1528.6066936906741</v>
      </c>
      <c r="KS957" s="330">
        <f t="shared" si="1425"/>
        <v>1318.7465527428858</v>
      </c>
      <c r="KT957" s="330">
        <f t="shared" si="1425"/>
        <v>1177.3714301852181</v>
      </c>
      <c r="KU957" s="330">
        <f t="shared" si="1425"/>
        <v>1086.4402096097547</v>
      </c>
      <c r="KV957" s="330">
        <f t="shared" si="1425"/>
        <v>1030.5483169212582</v>
      </c>
      <c r="KW957" s="330">
        <f t="shared" si="1425"/>
        <v>997.69348578350105</v>
      </c>
      <c r="KX957" s="330">
        <f t="shared" si="1425"/>
        <v>979.21258046157686</v>
      </c>
      <c r="KY957" s="330">
        <f t="shared" si="1425"/>
        <v>969.26003913671934</v>
      </c>
      <c r="KZ957" s="330">
        <f t="shared" si="1425"/>
        <v>964.12659256180973</v>
      </c>
      <c r="LA957" s="331">
        <f t="shared" si="1425"/>
        <v>961.58972449841849</v>
      </c>
      <c r="LC957" s="245"/>
      <c r="LD957" s="1"/>
      <c r="LE957" s="1"/>
      <c r="LF957" s="1"/>
      <c r="LG957" s="1"/>
      <c r="LH957" s="1"/>
      <c r="LI957" s="1"/>
      <c r="LJ957" s="1"/>
      <c r="LK957" s="1"/>
      <c r="LL957" s="1"/>
      <c r="LM957" s="1"/>
      <c r="LN957" s="1"/>
      <c r="LO957" s="1"/>
      <c r="LP957" s="1"/>
      <c r="LQ957" s="1"/>
      <c r="LR957" s="1"/>
      <c r="LS957" s="1"/>
      <c r="LT957" s="1"/>
      <c r="LU957" s="1"/>
      <c r="LV957" s="1"/>
      <c r="LW957" s="1"/>
      <c r="LX957" s="1"/>
      <c r="LY957" s="1"/>
      <c r="LZ957" s="1"/>
      <c r="MA957" s="1"/>
      <c r="MB957" s="1"/>
      <c r="MC957" s="1"/>
      <c r="MD957" s="1"/>
      <c r="ME957" s="1"/>
      <c r="MF957" s="1"/>
      <c r="MG957" s="1"/>
      <c r="MH957" s="1"/>
      <c r="MI957" s="1"/>
      <c r="MJ957" s="1"/>
      <c r="MK957" s="1"/>
      <c r="ML957" s="138"/>
    </row>
    <row r="958" spans="3:350" s="4" customFormat="1" x14ac:dyDescent="0.3">
      <c r="C958" s="136" t="s">
        <v>284</v>
      </c>
      <c r="E958" s="137" t="s">
        <v>105</v>
      </c>
      <c r="F958" s="138" t="s">
        <v>105</v>
      </c>
      <c r="H958" s="332"/>
      <c r="I958" s="297"/>
      <c r="J958" s="297"/>
      <c r="K958" s="297"/>
      <c r="L958" s="297"/>
      <c r="M958" s="297"/>
      <c r="N958" s="297"/>
      <c r="O958" s="297"/>
      <c r="P958" s="297"/>
      <c r="Q958" s="333"/>
      <c r="S958" s="245"/>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38"/>
      <c r="BD958" s="245"/>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38"/>
      <c r="CO958" s="245"/>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38"/>
      <c r="DZ958" s="245"/>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38"/>
      <c r="FK958" s="245"/>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I958" s="1"/>
      <c r="GJ958" s="1"/>
      <c r="GK958" s="1"/>
      <c r="GL958" s="1"/>
      <c r="GM958" s="1"/>
      <c r="GN958" s="1"/>
      <c r="GO958" s="1"/>
      <c r="GP958" s="1"/>
      <c r="GQ958" s="1"/>
      <c r="GR958" s="1"/>
      <c r="GS958" s="1"/>
      <c r="GT958" s="138"/>
      <c r="GV958" s="245"/>
      <c r="GW958" s="1"/>
      <c r="GX958" s="1"/>
      <c r="GY958" s="1"/>
      <c r="GZ958" s="1"/>
      <c r="HA958" s="1"/>
      <c r="HB958" s="1"/>
      <c r="HC958" s="1"/>
      <c r="HD958" s="1"/>
      <c r="HE958" s="1"/>
      <c r="HF958" s="1"/>
      <c r="HG958" s="1"/>
      <c r="HH958" s="1"/>
      <c r="HI958" s="1"/>
      <c r="HJ958" s="1"/>
      <c r="HK958" s="1"/>
      <c r="HL958" s="1"/>
      <c r="HM958" s="1"/>
      <c r="HN958" s="1"/>
      <c r="HO958" s="1"/>
      <c r="HP958" s="1"/>
      <c r="HQ958" s="1"/>
      <c r="HR958" s="1"/>
      <c r="HS958" s="1"/>
      <c r="HT958" s="1"/>
      <c r="HU958" s="1"/>
      <c r="HV958" s="1"/>
      <c r="HW958" s="1"/>
      <c r="HX958" s="1"/>
      <c r="HY958" s="1"/>
      <c r="HZ958" s="1"/>
      <c r="IA958" s="1"/>
      <c r="IB958" s="1"/>
      <c r="IC958" s="1"/>
      <c r="ID958" s="1"/>
      <c r="IE958" s="138"/>
      <c r="IG958" s="245"/>
      <c r="IH958" s="1"/>
      <c r="II958" s="1"/>
      <c r="IJ958" s="1"/>
      <c r="IK958" s="1"/>
      <c r="IL958" s="1"/>
      <c r="IM958" s="1"/>
      <c r="IN958" s="1"/>
      <c r="IO958" s="1"/>
      <c r="IP958" s="1"/>
      <c r="IQ958" s="1"/>
      <c r="IR958" s="1"/>
      <c r="IS958" s="1"/>
      <c r="IT958" s="1"/>
      <c r="IU958" s="1"/>
      <c r="IV958" s="1"/>
      <c r="IW958" s="1"/>
      <c r="IX958" s="1"/>
      <c r="IY958" s="1"/>
      <c r="IZ958" s="1"/>
      <c r="JA958" s="1"/>
      <c r="JB958" s="1"/>
      <c r="JC958" s="1"/>
      <c r="JD958" s="1"/>
      <c r="JE958" s="1"/>
      <c r="JF958" s="1"/>
      <c r="JG958" s="1"/>
      <c r="JH958" s="1"/>
      <c r="JI958" s="1"/>
      <c r="JJ958" s="1"/>
      <c r="JK958" s="1"/>
      <c r="JL958" s="1"/>
      <c r="JM958" s="1"/>
      <c r="JN958" s="1"/>
      <c r="JO958" s="1"/>
      <c r="JP958" s="138"/>
      <c r="JR958" s="245"/>
      <c r="JS958" s="1"/>
      <c r="JT958" s="1"/>
      <c r="JU958" s="1"/>
      <c r="JV958" s="1"/>
      <c r="JW958" s="334"/>
      <c r="JX958" s="334"/>
      <c r="JY958" s="334"/>
      <c r="JZ958" s="334"/>
      <c r="KA958" s="330">
        <f t="shared" ref="KA958:LA958" si="1426">KA959-SUM(KA956:KA957)</f>
        <v>6870.4461210713962</v>
      </c>
      <c r="KB958" s="330">
        <f t="shared" si="1426"/>
        <v>8163.0074388084558</v>
      </c>
      <c r="KC958" s="330">
        <f t="shared" si="1426"/>
        <v>9226.6548624463794</v>
      </c>
      <c r="KD958" s="330">
        <f t="shared" si="1426"/>
        <v>10444.153763391398</v>
      </c>
      <c r="KE958" s="330">
        <f t="shared" si="1426"/>
        <v>11477.042031755016</v>
      </c>
      <c r="KF958" s="330">
        <f t="shared" si="1426"/>
        <v>11481.545084999456</v>
      </c>
      <c r="KG958" s="330">
        <f t="shared" si="1426"/>
        <v>11714.367599561123</v>
      </c>
      <c r="KH958" s="330">
        <f t="shared" si="1426"/>
        <v>8829.3448275291958</v>
      </c>
      <c r="KI958" s="330">
        <f t="shared" si="1426"/>
        <v>8277.2913625046222</v>
      </c>
      <c r="KJ958" s="330">
        <f t="shared" si="1426"/>
        <v>7761.0489020895629</v>
      </c>
      <c r="KK958" s="330">
        <f t="shared" si="1426"/>
        <v>6705.7183707166523</v>
      </c>
      <c r="KL958" s="330">
        <f t="shared" si="1426"/>
        <v>5548.8674982005714</v>
      </c>
      <c r="KM958" s="330">
        <f t="shared" si="1426"/>
        <v>4390.4689816281361</v>
      </c>
      <c r="KN958" s="330">
        <f t="shared" si="1426"/>
        <v>3312.7014790134053</v>
      </c>
      <c r="KO958" s="330">
        <f t="shared" si="1426"/>
        <v>2371.9490542396434</v>
      </c>
      <c r="KP958" s="330">
        <f t="shared" si="1426"/>
        <v>1596.9142062347737</v>
      </c>
      <c r="KQ958" s="330">
        <f t="shared" si="1426"/>
        <v>991.85214297229959</v>
      </c>
      <c r="KR958" s="330">
        <f t="shared" si="1426"/>
        <v>542.97722144594718</v>
      </c>
      <c r="KS958" s="330">
        <f t="shared" si="1426"/>
        <v>225.88964496265726</v>
      </c>
      <c r="KT958" s="330">
        <f t="shared" si="1426"/>
        <v>245.61264341113974</v>
      </c>
      <c r="KU958" s="330">
        <f t="shared" si="1426"/>
        <v>108.22037716790601</v>
      </c>
      <c r="KV958" s="330">
        <f t="shared" si="1426"/>
        <v>23.770682635065896</v>
      </c>
      <c r="KW958" s="330">
        <f t="shared" si="1426"/>
        <v>-25.871229993931593</v>
      </c>
      <c r="KX958" s="330">
        <f t="shared" si="1426"/>
        <v>-53.794900745700943</v>
      </c>
      <c r="KY958" s="330">
        <f t="shared" si="1426"/>
        <v>-68.832664440589724</v>
      </c>
      <c r="KZ958" s="330">
        <f t="shared" si="1426"/>
        <v>-76.58903078101639</v>
      </c>
      <c r="LA958" s="331">
        <f t="shared" si="1426"/>
        <v>-80.422104286283684</v>
      </c>
      <c r="LC958" s="245"/>
      <c r="LD958" s="1"/>
      <c r="LE958" s="1"/>
      <c r="LF958" s="1"/>
      <c r="LG958" s="1"/>
      <c r="LH958" s="1"/>
      <c r="LI958" s="1"/>
      <c r="LJ958" s="1"/>
      <c r="LK958" s="1"/>
      <c r="LL958" s="1"/>
      <c r="LM958" s="1"/>
      <c r="LN958" s="1"/>
      <c r="LO958" s="1"/>
      <c r="LP958" s="1"/>
      <c r="LQ958" s="1"/>
      <c r="LR958" s="1"/>
      <c r="LS958" s="1"/>
      <c r="LT958" s="1"/>
      <c r="LU958" s="1"/>
      <c r="LV958" s="1"/>
      <c r="LW958" s="1"/>
      <c r="LX958" s="1"/>
      <c r="LY958" s="1"/>
      <c r="LZ958" s="1"/>
      <c r="MA958" s="1"/>
      <c r="MB958" s="1"/>
      <c r="MC958" s="1"/>
      <c r="MD958" s="1"/>
      <c r="ME958" s="1"/>
      <c r="MF958" s="1"/>
      <c r="MG958" s="1"/>
      <c r="MH958" s="1"/>
      <c r="MI958" s="1"/>
      <c r="MJ958" s="1"/>
      <c r="MK958" s="1"/>
      <c r="ML958" s="138"/>
    </row>
    <row r="959" spans="3:350" s="4" customFormat="1" x14ac:dyDescent="0.3">
      <c r="C959" s="371" t="s">
        <v>106</v>
      </c>
      <c r="D959" s="372"/>
      <c r="E959" s="373" t="s">
        <v>367</v>
      </c>
      <c r="F959" s="374"/>
      <c r="H959" s="338"/>
      <c r="I959" s="297"/>
      <c r="J959" s="297"/>
      <c r="K959" s="297"/>
      <c r="L959" s="297"/>
      <c r="M959" s="297"/>
      <c r="N959" s="297"/>
      <c r="O959" s="297"/>
      <c r="P959" s="297"/>
      <c r="Q959" s="339"/>
      <c r="S959" s="340"/>
      <c r="T959" s="209"/>
      <c r="U959" s="209"/>
      <c r="V959" s="209"/>
      <c r="W959" s="209"/>
      <c r="X959" s="209"/>
      <c r="Y959" s="209"/>
      <c r="Z959" s="209"/>
      <c r="AA959" s="209"/>
      <c r="AB959" s="209"/>
      <c r="AC959" s="209"/>
      <c r="AD959" s="209"/>
      <c r="AE959" s="209"/>
      <c r="AF959" s="209"/>
      <c r="AG959" s="209"/>
      <c r="AH959" s="209"/>
      <c r="AI959" s="209"/>
      <c r="AJ959" s="209"/>
      <c r="AK959" s="209"/>
      <c r="AL959" s="209"/>
      <c r="AM959" s="209"/>
      <c r="AN959" s="209"/>
      <c r="AO959" s="209"/>
      <c r="AP959" s="209"/>
      <c r="AQ959" s="209"/>
      <c r="AR959" s="209"/>
      <c r="AS959" s="209"/>
      <c r="AT959" s="209"/>
      <c r="AU959" s="209"/>
      <c r="AV959" s="209"/>
      <c r="AW959" s="209"/>
      <c r="AX959" s="209"/>
      <c r="AY959" s="209"/>
      <c r="AZ959" s="209"/>
      <c r="BA959" s="209"/>
      <c r="BB959" s="210"/>
      <c r="BD959" s="340"/>
      <c r="BE959" s="209"/>
      <c r="BF959" s="209"/>
      <c r="BG959" s="209"/>
      <c r="BH959" s="209"/>
      <c r="BI959" s="209"/>
      <c r="BJ959" s="209"/>
      <c r="BK959" s="209"/>
      <c r="BL959" s="209"/>
      <c r="BM959" s="209"/>
      <c r="BN959" s="209"/>
      <c r="BO959" s="209"/>
      <c r="BP959" s="209"/>
      <c r="BQ959" s="209"/>
      <c r="BR959" s="209"/>
      <c r="BS959" s="209"/>
      <c r="BT959" s="209"/>
      <c r="BU959" s="209"/>
      <c r="BV959" s="209"/>
      <c r="BW959" s="209"/>
      <c r="BX959" s="209"/>
      <c r="BY959" s="209"/>
      <c r="BZ959" s="209"/>
      <c r="CA959" s="209"/>
      <c r="CB959" s="209"/>
      <c r="CC959" s="209"/>
      <c r="CD959" s="209"/>
      <c r="CE959" s="209"/>
      <c r="CF959" s="209"/>
      <c r="CG959" s="209"/>
      <c r="CH959" s="209"/>
      <c r="CI959" s="209"/>
      <c r="CJ959" s="209"/>
      <c r="CK959" s="209"/>
      <c r="CL959" s="209"/>
      <c r="CM959" s="210"/>
      <c r="CO959" s="340"/>
      <c r="CP959" s="209"/>
      <c r="CQ959" s="209"/>
      <c r="CR959" s="209"/>
      <c r="CS959" s="209"/>
      <c r="CT959" s="209"/>
      <c r="CU959" s="209"/>
      <c r="CV959" s="209"/>
      <c r="CW959" s="209"/>
      <c r="CX959" s="209"/>
      <c r="CY959" s="209"/>
      <c r="CZ959" s="209"/>
      <c r="DA959" s="209"/>
      <c r="DB959" s="209"/>
      <c r="DC959" s="209"/>
      <c r="DD959" s="209"/>
      <c r="DE959" s="209"/>
      <c r="DF959" s="209"/>
      <c r="DG959" s="209"/>
      <c r="DH959" s="209"/>
      <c r="DI959" s="209"/>
      <c r="DJ959" s="209"/>
      <c r="DK959" s="209"/>
      <c r="DL959" s="209"/>
      <c r="DM959" s="209"/>
      <c r="DN959" s="209"/>
      <c r="DO959" s="209"/>
      <c r="DP959" s="209"/>
      <c r="DQ959" s="209"/>
      <c r="DR959" s="209"/>
      <c r="DS959" s="209"/>
      <c r="DT959" s="209"/>
      <c r="DU959" s="209"/>
      <c r="DV959" s="209"/>
      <c r="DW959" s="209"/>
      <c r="DX959" s="210"/>
      <c r="DZ959" s="340"/>
      <c r="EA959" s="209"/>
      <c r="EB959" s="209"/>
      <c r="EC959" s="209"/>
      <c r="ED959" s="209"/>
      <c r="EE959" s="209"/>
      <c r="EF959" s="209"/>
      <c r="EG959" s="209"/>
      <c r="EH959" s="209"/>
      <c r="EI959" s="209"/>
      <c r="EJ959" s="209"/>
      <c r="EK959" s="209"/>
      <c r="EL959" s="209"/>
      <c r="EM959" s="209"/>
      <c r="EN959" s="209"/>
      <c r="EO959" s="209"/>
      <c r="EP959" s="209"/>
      <c r="EQ959" s="209"/>
      <c r="ER959" s="209"/>
      <c r="ES959" s="209"/>
      <c r="ET959" s="209"/>
      <c r="EU959" s="209"/>
      <c r="EV959" s="209"/>
      <c r="EW959" s="209"/>
      <c r="EX959" s="209"/>
      <c r="EY959" s="209"/>
      <c r="EZ959" s="209"/>
      <c r="FA959" s="209"/>
      <c r="FB959" s="209"/>
      <c r="FC959" s="209"/>
      <c r="FD959" s="209"/>
      <c r="FE959" s="209"/>
      <c r="FF959" s="209"/>
      <c r="FG959" s="209"/>
      <c r="FH959" s="209"/>
      <c r="FI959" s="210"/>
      <c r="FK959" s="340"/>
      <c r="FL959" s="209"/>
      <c r="FM959" s="209"/>
      <c r="FN959" s="209"/>
      <c r="FO959" s="209"/>
      <c r="FP959" s="209"/>
      <c r="FQ959" s="209"/>
      <c r="FR959" s="209"/>
      <c r="FS959" s="209"/>
      <c r="FT959" s="209"/>
      <c r="FU959" s="209"/>
      <c r="FV959" s="209"/>
      <c r="FW959" s="209"/>
      <c r="FX959" s="209"/>
      <c r="FY959" s="209"/>
      <c r="FZ959" s="209"/>
      <c r="GA959" s="209"/>
      <c r="GB959" s="209"/>
      <c r="GC959" s="209"/>
      <c r="GD959" s="209"/>
      <c r="GE959" s="209"/>
      <c r="GF959" s="209"/>
      <c r="GG959" s="209"/>
      <c r="GH959" s="209"/>
      <c r="GI959" s="209"/>
      <c r="GJ959" s="209"/>
      <c r="GK959" s="209"/>
      <c r="GL959" s="209"/>
      <c r="GM959" s="209"/>
      <c r="GN959" s="209"/>
      <c r="GO959" s="209"/>
      <c r="GP959" s="209"/>
      <c r="GQ959" s="209"/>
      <c r="GR959" s="209"/>
      <c r="GS959" s="209"/>
      <c r="GT959" s="210"/>
      <c r="GV959" s="340"/>
      <c r="GW959" s="209"/>
      <c r="GX959" s="209"/>
      <c r="GY959" s="209"/>
      <c r="GZ959" s="209"/>
      <c r="HA959" s="209"/>
      <c r="HB959" s="209"/>
      <c r="HC959" s="209"/>
      <c r="HD959" s="209"/>
      <c r="HE959" s="209"/>
      <c r="HF959" s="209"/>
      <c r="HG959" s="209"/>
      <c r="HH959" s="209"/>
      <c r="HI959" s="209"/>
      <c r="HJ959" s="209"/>
      <c r="HK959" s="209"/>
      <c r="HL959" s="209"/>
      <c r="HM959" s="209"/>
      <c r="HN959" s="209"/>
      <c r="HO959" s="209"/>
      <c r="HP959" s="209"/>
      <c r="HQ959" s="209"/>
      <c r="HR959" s="209"/>
      <c r="HS959" s="209"/>
      <c r="HT959" s="209"/>
      <c r="HU959" s="209"/>
      <c r="HV959" s="209"/>
      <c r="HW959" s="209"/>
      <c r="HX959" s="209"/>
      <c r="HY959" s="209"/>
      <c r="HZ959" s="209"/>
      <c r="IA959" s="209"/>
      <c r="IB959" s="209"/>
      <c r="IC959" s="209"/>
      <c r="ID959" s="209"/>
      <c r="IE959" s="210"/>
      <c r="IG959" s="340"/>
      <c r="IH959" s="209"/>
      <c r="II959" s="209"/>
      <c r="IJ959" s="209"/>
      <c r="IK959" s="209"/>
      <c r="IL959" s="209"/>
      <c r="IM959" s="209"/>
      <c r="IN959" s="209"/>
      <c r="IO959" s="209"/>
      <c r="IP959" s="209"/>
      <c r="IQ959" s="209"/>
      <c r="IR959" s="209"/>
      <c r="IS959" s="209"/>
      <c r="IT959" s="209"/>
      <c r="IU959" s="209"/>
      <c r="IV959" s="209"/>
      <c r="IW959" s="209"/>
      <c r="IX959" s="209"/>
      <c r="IY959" s="209"/>
      <c r="IZ959" s="209"/>
      <c r="JA959" s="209"/>
      <c r="JB959" s="209"/>
      <c r="JC959" s="209"/>
      <c r="JD959" s="209"/>
      <c r="JE959" s="209"/>
      <c r="JF959" s="209"/>
      <c r="JG959" s="209"/>
      <c r="JH959" s="209"/>
      <c r="JI959" s="209"/>
      <c r="JJ959" s="209"/>
      <c r="JK959" s="209"/>
      <c r="JL959" s="209"/>
      <c r="JM959" s="209"/>
      <c r="JN959" s="209"/>
      <c r="JO959" s="209"/>
      <c r="JP959" s="210"/>
      <c r="JR959" s="135"/>
      <c r="JS959" s="133"/>
      <c r="JT959" s="133"/>
      <c r="JU959" s="133"/>
      <c r="JV959" s="133"/>
      <c r="JW959" s="133"/>
      <c r="JX959" s="133"/>
      <c r="JY959" s="133"/>
      <c r="JZ959" s="133"/>
      <c r="KA959" s="375">
        <f t="shared" ref="KA959:LA959" si="1427">KA942</f>
        <v>11080.246505848545</v>
      </c>
      <c r="KB959" s="375">
        <f t="shared" si="1427"/>
        <v>12804.991015633666</v>
      </c>
      <c r="KC959" s="375">
        <f t="shared" si="1427"/>
        <v>14224.281558443945</v>
      </c>
      <c r="KD959" s="375">
        <f t="shared" si="1427"/>
        <v>15848.865642973626</v>
      </c>
      <c r="KE959" s="375">
        <f t="shared" si="1427"/>
        <v>17227.112342480694</v>
      </c>
      <c r="KF959" s="375">
        <f t="shared" si="1427"/>
        <v>18122.695610884046</v>
      </c>
      <c r="KG959" s="375">
        <f t="shared" si="1427"/>
        <v>18433.365091886022</v>
      </c>
      <c r="KH959" s="375">
        <f t="shared" si="1427"/>
        <v>18162.784470324936</v>
      </c>
      <c r="KI959" s="375">
        <f t="shared" si="1427"/>
        <v>17245.361856292166</v>
      </c>
      <c r="KJ959" s="375">
        <f t="shared" si="1427"/>
        <v>15833.505768250179</v>
      </c>
      <c r="KK959" s="375">
        <f t="shared" si="1427"/>
        <v>14079.718941248499</v>
      </c>
      <c r="KL959" s="375">
        <f t="shared" si="1427"/>
        <v>12157.221902918063</v>
      </c>
      <c r="KM959" s="375">
        <f t="shared" si="1427"/>
        <v>10232.152933161187</v>
      </c>
      <c r="KN959" s="375">
        <f t="shared" si="1427"/>
        <v>8441.0795277540383</v>
      </c>
      <c r="KO959" s="375">
        <f t="shared" si="1427"/>
        <v>6877.7027837004607</v>
      </c>
      <c r="KP959" s="375">
        <f t="shared" si="1427"/>
        <v>5589.7215621869427</v>
      </c>
      <c r="KQ959" s="375">
        <f t="shared" si="1427"/>
        <v>4584.2073232615294</v>
      </c>
      <c r="KR959" s="375">
        <f t="shared" si="1427"/>
        <v>3838.2505818032878</v>
      </c>
      <c r="KS959" s="375">
        <f t="shared" si="1427"/>
        <v>3311.30286437221</v>
      </c>
      <c r="KT959" s="375">
        <f t="shared" si="1427"/>
        <v>2956.3174069296911</v>
      </c>
      <c r="KU959" s="375">
        <f t="shared" si="1427"/>
        <v>2727.9939201109937</v>
      </c>
      <c r="KV959" s="375">
        <f t="shared" si="1427"/>
        <v>2587.6523328896574</v>
      </c>
      <c r="KW959" s="375">
        <f t="shared" si="1427"/>
        <v>2505.1555891229027</v>
      </c>
      <c r="KX959" s="375">
        <f t="shared" si="1427"/>
        <v>2458.7510130492092</v>
      </c>
      <c r="KY959" s="375">
        <f t="shared" si="1427"/>
        <v>2433.7607080294629</v>
      </c>
      <c r="KZ959" s="375">
        <f t="shared" si="1427"/>
        <v>2420.8708951141266</v>
      </c>
      <c r="LA959" s="376">
        <f t="shared" si="1427"/>
        <v>2414.5009535454683</v>
      </c>
      <c r="LC959" s="340"/>
      <c r="LD959" s="209"/>
      <c r="LE959" s="209"/>
      <c r="LF959" s="209"/>
      <c r="LG959" s="209"/>
      <c r="LH959" s="209"/>
      <c r="LI959" s="209"/>
      <c r="LJ959" s="209"/>
      <c r="LK959" s="209"/>
      <c r="LL959" s="209"/>
      <c r="LM959" s="209"/>
      <c r="LN959" s="209"/>
      <c r="LO959" s="209"/>
      <c r="LP959" s="209"/>
      <c r="LQ959" s="209"/>
      <c r="LR959" s="209"/>
      <c r="LS959" s="209"/>
      <c r="LT959" s="209"/>
      <c r="LU959" s="209"/>
      <c r="LV959" s="209"/>
      <c r="LW959" s="209"/>
      <c r="LX959" s="209"/>
      <c r="LY959" s="209"/>
      <c r="LZ959" s="209"/>
      <c r="MA959" s="209"/>
      <c r="MB959" s="209"/>
      <c r="MC959" s="209"/>
      <c r="MD959" s="209"/>
      <c r="ME959" s="209"/>
      <c r="MF959" s="209"/>
      <c r="MG959" s="209"/>
      <c r="MH959" s="209"/>
      <c r="MI959" s="209"/>
      <c r="MJ959" s="209"/>
      <c r="MK959" s="209"/>
      <c r="ML959" s="210"/>
    </row>
    <row r="960" spans="3:350" s="4" customFormat="1" x14ac:dyDescent="0.3">
      <c r="C960" s="158"/>
      <c r="D960" s="158"/>
      <c r="H960" s="157"/>
      <c r="I960" s="157"/>
      <c r="J960" s="157"/>
      <c r="K960" s="157"/>
      <c r="L960" s="157"/>
      <c r="M960" s="157"/>
      <c r="N960" s="157"/>
      <c r="O960" s="157"/>
      <c r="P960" s="157"/>
      <c r="Q960" s="157"/>
      <c r="R960" s="140"/>
      <c r="S960" s="157"/>
      <c r="T960" s="157"/>
      <c r="U960" s="157"/>
      <c r="V960" s="157"/>
      <c r="W960" s="157"/>
      <c r="X960" s="157"/>
      <c r="Y960" s="157"/>
      <c r="Z960" s="157"/>
      <c r="AA960" s="157"/>
      <c r="AB960" s="157"/>
      <c r="AC960" s="157"/>
      <c r="AD960" s="157"/>
      <c r="AE960" s="157"/>
      <c r="AF960" s="157"/>
      <c r="AG960" s="157"/>
      <c r="AH960" s="157"/>
      <c r="AI960" s="157"/>
      <c r="AJ960" s="157"/>
      <c r="AK960" s="157"/>
      <c r="AL960" s="157"/>
      <c r="AM960" s="157"/>
      <c r="AN960" s="157"/>
      <c r="AO960" s="157"/>
      <c r="AP960" s="157"/>
      <c r="AQ960" s="157"/>
      <c r="AR960" s="157"/>
      <c r="AS960" s="157"/>
      <c r="AT960" s="157"/>
      <c r="AU960" s="157"/>
      <c r="AV960" s="157"/>
      <c r="AW960" s="157"/>
      <c r="AX960" s="157"/>
      <c r="AY960" s="157"/>
      <c r="AZ960" s="157"/>
      <c r="BA960" s="157"/>
      <c r="BB960" s="157"/>
      <c r="BC960" s="140"/>
      <c r="BD960" s="157"/>
      <c r="BE960" s="157"/>
      <c r="BF960" s="157"/>
      <c r="BG960" s="157"/>
      <c r="BH960" s="157"/>
      <c r="BI960" s="157"/>
      <c r="BJ960" s="157"/>
      <c r="BK960" s="157"/>
      <c r="BL960" s="157"/>
      <c r="BM960" s="157"/>
      <c r="BN960" s="157"/>
      <c r="BO960" s="157"/>
      <c r="BP960" s="157"/>
      <c r="BQ960" s="157"/>
      <c r="BR960" s="157"/>
      <c r="BS960" s="157"/>
      <c r="BT960" s="157"/>
      <c r="BU960" s="157"/>
      <c r="BV960" s="157"/>
      <c r="BW960" s="157"/>
      <c r="BX960" s="157"/>
      <c r="BY960" s="157"/>
      <c r="BZ960" s="157"/>
      <c r="CA960" s="157"/>
      <c r="CB960" s="157"/>
      <c r="CC960" s="157"/>
      <c r="CD960" s="157"/>
      <c r="CE960" s="157"/>
      <c r="CF960" s="157"/>
      <c r="CG960" s="157"/>
      <c r="CH960" s="157"/>
      <c r="CI960" s="157"/>
      <c r="CJ960" s="157"/>
      <c r="CK960" s="157"/>
      <c r="CL960" s="157"/>
      <c r="CM960" s="157"/>
      <c r="CN960" s="140"/>
      <c r="CO960" s="157"/>
      <c r="CP960" s="157"/>
      <c r="CQ960" s="157"/>
      <c r="CR960" s="157"/>
      <c r="CS960" s="157"/>
      <c r="CT960" s="157"/>
      <c r="CU960" s="157"/>
      <c r="CV960" s="157"/>
      <c r="CW960" s="157"/>
      <c r="CX960" s="157"/>
      <c r="CY960" s="157"/>
      <c r="CZ960" s="157"/>
      <c r="DA960" s="157"/>
      <c r="DB960" s="157"/>
      <c r="DC960" s="157"/>
      <c r="DD960" s="157"/>
      <c r="DE960" s="157"/>
      <c r="DF960" s="157"/>
      <c r="DG960" s="157"/>
      <c r="DH960" s="157"/>
      <c r="DI960" s="157"/>
      <c r="DJ960" s="157"/>
      <c r="DK960" s="157"/>
      <c r="DL960" s="157"/>
      <c r="DM960" s="157"/>
      <c r="DN960" s="157"/>
      <c r="DO960" s="157"/>
      <c r="DP960" s="157"/>
      <c r="DQ960" s="157"/>
      <c r="DR960" s="157"/>
      <c r="DS960" s="157"/>
      <c r="DT960" s="157"/>
      <c r="DU960" s="157"/>
      <c r="DV960" s="157"/>
      <c r="DW960" s="157"/>
      <c r="DX960" s="157"/>
      <c r="DY960" s="140"/>
      <c r="DZ960" s="157"/>
      <c r="EA960" s="157"/>
      <c r="EB960" s="157"/>
      <c r="EC960" s="157"/>
      <c r="ED960" s="157"/>
      <c r="EE960" s="157"/>
      <c r="EF960" s="157"/>
      <c r="EG960" s="157"/>
      <c r="EH960" s="157"/>
      <c r="EI960" s="157"/>
      <c r="EJ960" s="157"/>
      <c r="EK960" s="157"/>
      <c r="EL960" s="157"/>
      <c r="EM960" s="157"/>
      <c r="EN960" s="157"/>
      <c r="EO960" s="157"/>
      <c r="EP960" s="157"/>
      <c r="EQ960" s="157"/>
      <c r="ER960" s="157"/>
      <c r="ES960" s="157"/>
      <c r="ET960" s="157"/>
      <c r="EU960" s="157"/>
      <c r="EV960" s="157"/>
      <c r="EW960" s="157"/>
      <c r="EX960" s="157"/>
      <c r="EY960" s="157"/>
      <c r="EZ960" s="157"/>
      <c r="FA960" s="157"/>
      <c r="FB960" s="157"/>
      <c r="FC960" s="157"/>
      <c r="FD960" s="157"/>
      <c r="FE960" s="157"/>
      <c r="FF960" s="157"/>
      <c r="FG960" s="157"/>
      <c r="FH960" s="157"/>
      <c r="FI960" s="157"/>
      <c r="FJ960" s="140"/>
      <c r="FK960" s="157"/>
      <c r="FL960" s="157"/>
      <c r="FM960" s="157"/>
      <c r="FN960" s="157"/>
      <c r="FO960" s="157"/>
      <c r="FP960" s="157"/>
      <c r="FQ960" s="157"/>
      <c r="FR960" s="157"/>
      <c r="FS960" s="157"/>
      <c r="FT960" s="157"/>
      <c r="FU960" s="157"/>
      <c r="FV960" s="157"/>
      <c r="FW960" s="157"/>
      <c r="FX960" s="157"/>
      <c r="FY960" s="157"/>
      <c r="FZ960" s="157"/>
      <c r="GA960" s="157"/>
      <c r="GB960" s="157"/>
      <c r="GC960" s="157"/>
      <c r="GD960" s="157"/>
      <c r="GE960" s="157"/>
      <c r="GF960" s="157"/>
      <c r="GG960" s="157"/>
      <c r="GH960" s="157"/>
      <c r="GI960" s="157"/>
      <c r="GJ960" s="157"/>
      <c r="GK960" s="157"/>
      <c r="GL960" s="157"/>
      <c r="GM960" s="157"/>
      <c r="GN960" s="157"/>
      <c r="GO960" s="157"/>
      <c r="GP960" s="157"/>
      <c r="GQ960" s="157"/>
      <c r="GR960" s="157"/>
      <c r="GS960" s="157"/>
      <c r="GT960" s="157"/>
      <c r="GU960" s="140"/>
      <c r="GV960" s="157"/>
      <c r="GW960" s="157"/>
      <c r="GX960" s="157"/>
      <c r="GY960" s="157"/>
      <c r="GZ960" s="157"/>
      <c r="HA960" s="157"/>
      <c r="HB960" s="157"/>
      <c r="HC960" s="157"/>
      <c r="HD960" s="157"/>
      <c r="HE960" s="157"/>
      <c r="HF960" s="157"/>
      <c r="HG960" s="157"/>
      <c r="HH960" s="157"/>
      <c r="HI960" s="157"/>
      <c r="HJ960" s="157"/>
      <c r="HK960" s="157"/>
      <c r="HL960" s="157"/>
      <c r="HM960" s="157"/>
      <c r="HN960" s="157"/>
      <c r="HO960" s="157"/>
      <c r="HP960" s="157"/>
      <c r="HQ960" s="157"/>
      <c r="HR960" s="157"/>
      <c r="HS960" s="157"/>
      <c r="HT960" s="157"/>
      <c r="HU960" s="157"/>
      <c r="HV960" s="157"/>
      <c r="HW960" s="157"/>
      <c r="HX960" s="157"/>
      <c r="HY960" s="157"/>
      <c r="HZ960" s="157"/>
      <c r="IA960" s="157"/>
      <c r="IB960" s="157"/>
      <c r="IC960" s="157"/>
      <c r="ID960" s="157"/>
      <c r="IE960" s="157"/>
      <c r="IF960" s="140"/>
      <c r="IG960" s="157"/>
      <c r="IH960" s="157"/>
      <c r="II960" s="157"/>
      <c r="IJ960" s="157"/>
      <c r="IK960" s="157"/>
      <c r="IL960" s="157"/>
      <c r="IM960" s="157"/>
      <c r="IN960" s="157"/>
      <c r="IO960" s="157"/>
      <c r="IP960" s="157"/>
      <c r="IQ960" s="157"/>
      <c r="IR960" s="157"/>
      <c r="IS960" s="157"/>
      <c r="IT960" s="157"/>
      <c r="IU960" s="157"/>
      <c r="IV960" s="157"/>
      <c r="IW960" s="157"/>
      <c r="IX960" s="157"/>
      <c r="IY960" s="157"/>
      <c r="IZ960" s="157"/>
      <c r="JA960" s="157"/>
      <c r="JB960" s="157"/>
      <c r="JC960" s="157"/>
      <c r="JD960" s="157"/>
      <c r="JE960" s="157"/>
      <c r="JF960" s="157"/>
      <c r="JG960" s="157"/>
      <c r="JH960" s="157"/>
      <c r="JI960" s="157"/>
      <c r="JJ960" s="157"/>
      <c r="JK960" s="157"/>
      <c r="JL960" s="157"/>
      <c r="JM960" s="157"/>
      <c r="JN960" s="157"/>
      <c r="JO960" s="157"/>
      <c r="JP960" s="157"/>
      <c r="JQ960" s="140"/>
      <c r="JR960" s="157"/>
      <c r="JS960" s="157"/>
      <c r="JT960" s="157"/>
      <c r="JU960" s="157"/>
      <c r="JV960" s="157"/>
      <c r="JW960" s="157"/>
      <c r="JX960" s="157"/>
      <c r="JY960" s="157"/>
      <c r="JZ960" s="157"/>
      <c r="KA960" s="157"/>
      <c r="KB960" s="157"/>
      <c r="KC960" s="157"/>
      <c r="KD960" s="157"/>
      <c r="KE960" s="157"/>
      <c r="KF960" s="157"/>
      <c r="KG960" s="157"/>
      <c r="KH960" s="157"/>
      <c r="KI960" s="157"/>
      <c r="KJ960" s="157"/>
      <c r="KK960" s="157"/>
      <c r="KL960" s="157"/>
      <c r="KM960" s="157"/>
      <c r="KN960" s="157"/>
      <c r="KO960" s="157"/>
      <c r="KP960" s="157"/>
      <c r="KQ960" s="157"/>
      <c r="KR960" s="157"/>
      <c r="KS960" s="157"/>
      <c r="KT960" s="157"/>
      <c r="KU960" s="157"/>
      <c r="KV960" s="157"/>
      <c r="KW960" s="157"/>
      <c r="KX960" s="157"/>
      <c r="KY960" s="157"/>
      <c r="KZ960" s="157"/>
      <c r="LA960" s="157"/>
      <c r="LB960" s="140"/>
      <c r="LC960" s="157"/>
      <c r="LD960" s="157"/>
      <c r="LE960" s="157"/>
      <c r="LF960" s="157"/>
      <c r="LG960" s="157"/>
      <c r="LH960" s="157"/>
      <c r="LI960" s="157"/>
      <c r="LJ960" s="157"/>
      <c r="LK960" s="157"/>
      <c r="LL960" s="157"/>
      <c r="LM960" s="157"/>
      <c r="LN960" s="157"/>
      <c r="LO960" s="157"/>
      <c r="LP960" s="157"/>
      <c r="LQ960" s="157"/>
      <c r="LR960" s="157"/>
      <c r="LS960" s="157"/>
      <c r="LT960" s="157"/>
      <c r="LU960" s="157"/>
      <c r="LV960" s="157"/>
      <c r="LW960" s="157"/>
      <c r="LX960" s="157"/>
      <c r="LY960" s="157"/>
      <c r="LZ960" s="157"/>
      <c r="MA960" s="157"/>
      <c r="MB960" s="157"/>
      <c r="MC960" s="157"/>
      <c r="MD960" s="157"/>
      <c r="ME960" s="157"/>
      <c r="MF960" s="157"/>
      <c r="MG960" s="157"/>
      <c r="MH960" s="157"/>
      <c r="MI960" s="157"/>
      <c r="MJ960" s="157"/>
      <c r="MK960" s="157"/>
      <c r="ML960" s="157"/>
    </row>
    <row r="961" spans="3:293" x14ac:dyDescent="0.3">
      <c r="C961" s="377" t="s">
        <v>104</v>
      </c>
      <c r="D961" s="69" t="s">
        <v>433</v>
      </c>
    </row>
    <row r="962" spans="3:293" x14ac:dyDescent="0.3">
      <c r="C962" s="377"/>
      <c r="D962" s="69" t="s">
        <v>434</v>
      </c>
      <c r="KA962" s="233"/>
      <c r="KB962" s="233"/>
      <c r="KC962" s="233"/>
      <c r="KD962" s="233"/>
      <c r="KE962" s="233"/>
      <c r="KF962" s="233"/>
      <c r="KG962" s="233"/>
    </row>
    <row r="963" spans="3:293" x14ac:dyDescent="0.3">
      <c r="C963" s="69"/>
      <c r="D963" s="69" t="s">
        <v>435</v>
      </c>
      <c r="KA963" s="233"/>
      <c r="KB963" s="233"/>
      <c r="KC963" s="233"/>
      <c r="KD963" s="233"/>
      <c r="KE963" s="233"/>
      <c r="KF963" s="233"/>
      <c r="KG963" s="233"/>
    </row>
    <row r="964" spans="3:293" x14ac:dyDescent="0.3">
      <c r="KA964" s="233"/>
      <c r="KB964" s="233"/>
      <c r="KC964" s="233"/>
      <c r="KD964" s="233"/>
      <c r="KE964" s="233"/>
      <c r="KF964" s="233"/>
      <c r="KG964" s="233"/>
    </row>
    <row r="979" spans="3:350" outlineLevel="1" x14ac:dyDescent="0.3">
      <c r="C979" s="120" t="s">
        <v>365</v>
      </c>
    </row>
    <row r="980" spans="3:350" ht="18" customHeight="1" outlineLevel="1" x14ac:dyDescent="0.3">
      <c r="C980" s="131"/>
      <c r="D980" s="132"/>
      <c r="E980" s="133" t="s">
        <v>101</v>
      </c>
      <c r="F980" s="134" t="s">
        <v>102</v>
      </c>
      <c r="H980" s="135">
        <v>2015</v>
      </c>
      <c r="I980" s="133">
        <v>2020</v>
      </c>
      <c r="J980" s="133">
        <v>2025</v>
      </c>
      <c r="K980" s="133">
        <v>2030</v>
      </c>
      <c r="L980" s="133">
        <v>2040</v>
      </c>
      <c r="M980" s="134">
        <v>2050</v>
      </c>
      <c r="N980" s="1"/>
      <c r="O980" s="1"/>
      <c r="P980" s="1"/>
      <c r="Q980" s="1"/>
      <c r="S980" s="135">
        <f>S$1</f>
        <v>2015</v>
      </c>
      <c r="T980" s="133">
        <f t="shared" ref="T980:BB980" si="1428">T$1</f>
        <v>2016</v>
      </c>
      <c r="U980" s="133">
        <f t="shared" si="1428"/>
        <v>2017</v>
      </c>
      <c r="V980" s="133">
        <f t="shared" si="1428"/>
        <v>2018</v>
      </c>
      <c r="W980" s="133">
        <f t="shared" si="1428"/>
        <v>2019</v>
      </c>
      <c r="X980" s="133">
        <f t="shared" si="1428"/>
        <v>2020</v>
      </c>
      <c r="Y980" s="133">
        <f t="shared" si="1428"/>
        <v>2021</v>
      </c>
      <c r="Z980" s="133">
        <f t="shared" si="1428"/>
        <v>2022</v>
      </c>
      <c r="AA980" s="133">
        <f t="shared" si="1428"/>
        <v>2023</v>
      </c>
      <c r="AB980" s="133">
        <f t="shared" si="1428"/>
        <v>2024</v>
      </c>
      <c r="AC980" s="133">
        <f t="shared" si="1428"/>
        <v>2025</v>
      </c>
      <c r="AD980" s="133">
        <f t="shared" si="1428"/>
        <v>2026</v>
      </c>
      <c r="AE980" s="133">
        <f t="shared" si="1428"/>
        <v>2027</v>
      </c>
      <c r="AF980" s="133">
        <f t="shared" si="1428"/>
        <v>2028</v>
      </c>
      <c r="AG980" s="133">
        <f t="shared" si="1428"/>
        <v>2029</v>
      </c>
      <c r="AH980" s="133">
        <f t="shared" si="1428"/>
        <v>2030</v>
      </c>
      <c r="AI980" s="133">
        <f t="shared" si="1428"/>
        <v>2031</v>
      </c>
      <c r="AJ980" s="133">
        <f t="shared" si="1428"/>
        <v>2032</v>
      </c>
      <c r="AK980" s="133">
        <f t="shared" si="1428"/>
        <v>2033</v>
      </c>
      <c r="AL980" s="133">
        <f t="shared" si="1428"/>
        <v>2034</v>
      </c>
      <c r="AM980" s="133">
        <f t="shared" si="1428"/>
        <v>2035</v>
      </c>
      <c r="AN980" s="133">
        <f t="shared" si="1428"/>
        <v>2036</v>
      </c>
      <c r="AO980" s="133">
        <f t="shared" si="1428"/>
        <v>2037</v>
      </c>
      <c r="AP980" s="133">
        <f t="shared" si="1428"/>
        <v>2038</v>
      </c>
      <c r="AQ980" s="133">
        <f t="shared" si="1428"/>
        <v>2039</v>
      </c>
      <c r="AR980" s="133">
        <f t="shared" si="1428"/>
        <v>2040</v>
      </c>
      <c r="AS980" s="133">
        <f t="shared" si="1428"/>
        <v>2041</v>
      </c>
      <c r="AT980" s="133">
        <f t="shared" si="1428"/>
        <v>2042</v>
      </c>
      <c r="AU980" s="133">
        <f t="shared" si="1428"/>
        <v>2043</v>
      </c>
      <c r="AV980" s="133">
        <f t="shared" si="1428"/>
        <v>2044</v>
      </c>
      <c r="AW980" s="133">
        <f t="shared" si="1428"/>
        <v>2045</v>
      </c>
      <c r="AX980" s="133">
        <f t="shared" si="1428"/>
        <v>2046</v>
      </c>
      <c r="AY980" s="133">
        <f t="shared" si="1428"/>
        <v>2047</v>
      </c>
      <c r="AZ980" s="133">
        <f t="shared" si="1428"/>
        <v>2048</v>
      </c>
      <c r="BA980" s="133">
        <f t="shared" si="1428"/>
        <v>2049</v>
      </c>
      <c r="BB980" s="134">
        <f t="shared" si="1428"/>
        <v>2050</v>
      </c>
    </row>
    <row r="981" spans="3:350" ht="18" customHeight="1" outlineLevel="1" x14ac:dyDescent="0.3">
      <c r="C981" s="204" t="str">
        <f>$H$2</f>
        <v>Historique</v>
      </c>
      <c r="D981" s="4"/>
      <c r="E981" s="1" t="s">
        <v>367</v>
      </c>
      <c r="F981" s="138"/>
      <c r="H981" s="205">
        <f>H$931</f>
        <v>3904.7894029099866</v>
      </c>
      <c r="I981" s="206">
        <f>Q$931</f>
        <v>0</v>
      </c>
      <c r="J981" s="206"/>
      <c r="K981" s="206"/>
      <c r="L981" s="206"/>
      <c r="M981" s="207"/>
      <c r="N981" s="206"/>
      <c r="O981" s="206"/>
      <c r="P981" s="206"/>
      <c r="Q981" s="206"/>
      <c r="S981" s="205">
        <f>H$931</f>
        <v>3904.7894029099866</v>
      </c>
      <c r="T981" s="206">
        <f>I$931</f>
        <v>4332.3763811623157</v>
      </c>
      <c r="U981" s="206">
        <f>J$931</f>
        <v>4788.5628989669758</v>
      </c>
      <c r="V981" s="206">
        <f>K$931</f>
        <v>4749.0333950238037</v>
      </c>
      <c r="W981" s="206">
        <f>L$931</f>
        <v>4727.5566916803346</v>
      </c>
      <c r="X981" s="206"/>
      <c r="Y981" s="206"/>
      <c r="Z981" s="206"/>
      <c r="AA981" s="206"/>
      <c r="AB981" s="206"/>
      <c r="AC981" s="206"/>
      <c r="AD981" s="206"/>
      <c r="AE981" s="206"/>
      <c r="AF981" s="206"/>
      <c r="AG981" s="206"/>
      <c r="AH981" s="206"/>
      <c r="AI981" s="206"/>
      <c r="AJ981" s="206"/>
      <c r="AK981" s="206"/>
      <c r="AL981" s="206"/>
      <c r="AM981" s="206"/>
      <c r="AN981" s="206"/>
      <c r="AO981" s="206"/>
      <c r="AP981" s="206"/>
      <c r="AQ981" s="206"/>
      <c r="AR981" s="206"/>
      <c r="AS981" s="206"/>
      <c r="AT981" s="206"/>
      <c r="AU981" s="206"/>
      <c r="AV981" s="206"/>
      <c r="AW981" s="206"/>
      <c r="AX981" s="206"/>
      <c r="AY981" s="206"/>
      <c r="AZ981" s="206"/>
      <c r="BA981" s="206"/>
      <c r="BB981" s="207"/>
    </row>
    <row r="982" spans="3:350" ht="18" customHeight="1" outlineLevel="1" x14ac:dyDescent="0.3">
      <c r="C982" s="204" t="str">
        <f>$S$2</f>
        <v>AMS 2018</v>
      </c>
      <c r="D982" s="4"/>
      <c r="E982" s="137" t="s">
        <v>105</v>
      </c>
      <c r="F982" s="138"/>
      <c r="H982" s="205">
        <f>S$931</f>
        <v>0</v>
      </c>
      <c r="I982" s="206">
        <f>X$931</f>
        <v>11175.645050860463</v>
      </c>
      <c r="J982" s="206">
        <f>AC$931</f>
        <v>12809.867547537584</v>
      </c>
      <c r="K982" s="206">
        <f>AH$931</f>
        <v>13463.299532911849</v>
      </c>
      <c r="L982" s="206">
        <f>AR$931</f>
        <v>14871.858545092799</v>
      </c>
      <c r="M982" s="207">
        <f>BB$931</f>
        <v>16427.783994895122</v>
      </c>
      <c r="N982" s="206"/>
      <c r="O982" s="206"/>
      <c r="P982" s="206"/>
      <c r="Q982" s="206"/>
      <c r="S982" s="205"/>
      <c r="T982" s="206"/>
      <c r="U982" s="206"/>
      <c r="V982" s="206"/>
      <c r="W982" s="206"/>
      <c r="X982" s="206"/>
      <c r="Y982" s="206">
        <f t="shared" ref="Y982:BB982" si="1429">Y$931</f>
        <v>11786.198225644343</v>
      </c>
      <c r="Z982" s="206">
        <f t="shared" si="1429"/>
        <v>12356.689923848629</v>
      </c>
      <c r="AA982" s="206">
        <f t="shared" si="1429"/>
        <v>12557.462550277023</v>
      </c>
      <c r="AB982" s="206">
        <f t="shared" si="1429"/>
        <v>12683.037175779786</v>
      </c>
      <c r="AC982" s="206">
        <f t="shared" si="1429"/>
        <v>12809.867547537584</v>
      </c>
      <c r="AD982" s="206">
        <f t="shared" si="1429"/>
        <v>12937.966223012972</v>
      </c>
      <c r="AE982" s="206">
        <f t="shared" si="1429"/>
        <v>13067.345885243076</v>
      </c>
      <c r="AF982" s="206">
        <f t="shared" si="1429"/>
        <v>13198.01934409553</v>
      </c>
      <c r="AG982" s="206">
        <f t="shared" si="1429"/>
        <v>13329.999537536458</v>
      </c>
      <c r="AH982" s="206">
        <f t="shared" si="1429"/>
        <v>13463.299532911849</v>
      </c>
      <c r="AI982" s="206">
        <f t="shared" si="1429"/>
        <v>13597.932528240939</v>
      </c>
      <c r="AJ982" s="206">
        <f t="shared" si="1429"/>
        <v>13733.91185352341</v>
      </c>
      <c r="AK982" s="206">
        <f t="shared" si="1429"/>
        <v>13871.250972058584</v>
      </c>
      <c r="AL982" s="206">
        <f t="shared" si="1429"/>
        <v>14009.96348177917</v>
      </c>
      <c r="AM982" s="206">
        <f t="shared" si="1429"/>
        <v>14150.063116597021</v>
      </c>
      <c r="AN982" s="206">
        <f t="shared" si="1429"/>
        <v>14291.563747762901</v>
      </c>
      <c r="AO982" s="206">
        <f t="shared" si="1429"/>
        <v>14434.479385240622</v>
      </c>
      <c r="AP982" s="206">
        <f t="shared" si="1429"/>
        <v>14578.824179092966</v>
      </c>
      <c r="AQ982" s="206">
        <f t="shared" si="1429"/>
        <v>14724.612420883896</v>
      </c>
      <c r="AR982" s="206">
        <f t="shared" si="1429"/>
        <v>14871.858545092799</v>
      </c>
      <c r="AS982" s="206">
        <f t="shared" si="1429"/>
        <v>15020.577130543728</v>
      </c>
      <c r="AT982" s="206">
        <f t="shared" si="1429"/>
        <v>15170.782901849099</v>
      </c>
      <c r="AU982" s="206">
        <f t="shared" si="1429"/>
        <v>15322.49073086759</v>
      </c>
      <c r="AV982" s="206">
        <f t="shared" si="1429"/>
        <v>15475.715638176267</v>
      </c>
      <c r="AW982" s="206">
        <f t="shared" si="1429"/>
        <v>15630.472794558096</v>
      </c>
      <c r="AX982" s="206">
        <f t="shared" si="1429"/>
        <v>15786.777522503542</v>
      </c>
      <c r="AY982" s="206">
        <f t="shared" si="1429"/>
        <v>15944.645297728646</v>
      </c>
      <c r="AZ982" s="206">
        <f t="shared" si="1429"/>
        <v>16104.091750706</v>
      </c>
      <c r="BA982" s="206">
        <f t="shared" si="1429"/>
        <v>16265.13266821306</v>
      </c>
      <c r="BB982" s="207">
        <f t="shared" si="1429"/>
        <v>16427.783994895122</v>
      </c>
    </row>
    <row r="983" spans="3:350" ht="18" customHeight="1" outlineLevel="1" x14ac:dyDescent="0.3">
      <c r="C983" s="204" t="str">
        <f>$BD$2</f>
        <v>ADEME Tend.</v>
      </c>
      <c r="D983" s="4"/>
      <c r="E983" s="137" t="s">
        <v>105</v>
      </c>
      <c r="F983" s="138"/>
      <c r="H983" s="205">
        <f>BD$931</f>
        <v>0</v>
      </c>
      <c r="I983" s="206">
        <f>BI$931</f>
        <v>0</v>
      </c>
      <c r="J983" s="206">
        <f>BN$931</f>
        <v>9424.6084679627402</v>
      </c>
      <c r="K983" s="206">
        <f>BS$931</f>
        <v>9905.3582180864014</v>
      </c>
      <c r="L983" s="206">
        <f>CC$931</f>
        <v>10941.677847821944</v>
      </c>
      <c r="M983" s="207">
        <f>CM$931</f>
        <v>12086.419439825781</v>
      </c>
      <c r="N983" s="206"/>
      <c r="O983" s="206"/>
      <c r="P983" s="206"/>
      <c r="Q983" s="206"/>
      <c r="S983" s="205"/>
      <c r="T983" s="206"/>
      <c r="U983" s="206"/>
      <c r="V983" s="206"/>
      <c r="W983" s="206"/>
      <c r="X983" s="206"/>
      <c r="Y983" s="206">
        <f t="shared" ref="Y983:BB983" si="1430">BJ$931</f>
        <v>8671.4638687929146</v>
      </c>
      <c r="Z983" s="206">
        <f t="shared" si="1430"/>
        <v>9091.1919315418636</v>
      </c>
      <c r="AA983" s="206">
        <f t="shared" si="1430"/>
        <v>9238.9064483508882</v>
      </c>
      <c r="AB983" s="206">
        <f t="shared" si="1430"/>
        <v>9331.2955128343965</v>
      </c>
      <c r="AC983" s="206">
        <f t="shared" si="1430"/>
        <v>9424.6084679627402</v>
      </c>
      <c r="AD983" s="206">
        <f t="shared" si="1430"/>
        <v>9518.8545526423659</v>
      </c>
      <c r="AE983" s="206">
        <f t="shared" si="1430"/>
        <v>9614.0430981687914</v>
      </c>
      <c r="AF983" s="206">
        <f t="shared" si="1430"/>
        <v>9710.1835291504794</v>
      </c>
      <c r="AG983" s="206">
        <f t="shared" si="1430"/>
        <v>9807.2853644419793</v>
      </c>
      <c r="AH983" s="206">
        <f t="shared" si="1430"/>
        <v>9905.3582180864014</v>
      </c>
      <c r="AI983" s="206">
        <f t="shared" si="1430"/>
        <v>10004.411800267266</v>
      </c>
      <c r="AJ983" s="206">
        <f t="shared" si="1430"/>
        <v>10104.455918269936</v>
      </c>
      <c r="AK983" s="206">
        <f t="shared" si="1430"/>
        <v>10205.500477452637</v>
      </c>
      <c r="AL983" s="206">
        <f t="shared" si="1430"/>
        <v>10307.555482227168</v>
      </c>
      <c r="AM983" s="206">
        <f t="shared" si="1430"/>
        <v>10410.631037049441</v>
      </c>
      <c r="AN983" s="206">
        <f t="shared" si="1430"/>
        <v>10514.737347419927</v>
      </c>
      <c r="AO983" s="206">
        <f t="shared" si="1430"/>
        <v>10619.884720894128</v>
      </c>
      <c r="AP983" s="206">
        <f t="shared" si="1430"/>
        <v>10726.083568103071</v>
      </c>
      <c r="AQ983" s="206">
        <f t="shared" si="1430"/>
        <v>10833.344403784107</v>
      </c>
      <c r="AR983" s="206">
        <f t="shared" si="1430"/>
        <v>10941.677847821944</v>
      </c>
      <c r="AS983" s="206">
        <f t="shared" si="1430"/>
        <v>11051.094626300166</v>
      </c>
      <c r="AT983" s="206">
        <f t="shared" si="1430"/>
        <v>11161.605572563163</v>
      </c>
      <c r="AU983" s="206">
        <f t="shared" si="1430"/>
        <v>11273.221628288793</v>
      </c>
      <c r="AV983" s="206">
        <f t="shared" si="1430"/>
        <v>11385.953844571688</v>
      </c>
      <c r="AW983" s="206">
        <f t="shared" si="1430"/>
        <v>11499.813383017397</v>
      </c>
      <c r="AX983" s="206">
        <f t="shared" si="1430"/>
        <v>11614.811516847582</v>
      </c>
      <c r="AY983" s="206">
        <f t="shared" si="1430"/>
        <v>11730.959632016058</v>
      </c>
      <c r="AZ983" s="206">
        <f t="shared" si="1430"/>
        <v>11848.269228336212</v>
      </c>
      <c r="BA983" s="206">
        <f t="shared" si="1430"/>
        <v>11966.75192061957</v>
      </c>
      <c r="BB983" s="207">
        <f t="shared" si="1430"/>
        <v>12086.419439825781</v>
      </c>
    </row>
    <row r="984" spans="3:350" ht="18" customHeight="1" outlineLevel="1" x14ac:dyDescent="0.3">
      <c r="C984" s="204" t="str">
        <f>$CO$2</f>
        <v>ADEME S1</v>
      </c>
      <c r="D984" s="4"/>
      <c r="E984" s="137" t="s">
        <v>105</v>
      </c>
      <c r="F984" s="138"/>
      <c r="H984" s="205">
        <f>CO$931</f>
        <v>0</v>
      </c>
      <c r="I984" s="206">
        <f>CT$931</f>
        <v>0</v>
      </c>
      <c r="J984" s="206">
        <f>CY$931</f>
        <v>9728.3734113232258</v>
      </c>
      <c r="K984" s="206">
        <f>DD$931</f>
        <v>10224.618226426328</v>
      </c>
      <c r="L984" s="206">
        <f>DN$931</f>
        <v>11294.339516793196</v>
      </c>
      <c r="M984" s="207">
        <f>DX$931</f>
        <v>12475.977322155844</v>
      </c>
      <c r="N984" s="206"/>
      <c r="O984" s="206"/>
      <c r="P984" s="206"/>
      <c r="Q984" s="206"/>
      <c r="S984" s="205"/>
      <c r="T984" s="206"/>
      <c r="U984" s="206"/>
      <c r="V984" s="206"/>
      <c r="W984" s="206"/>
      <c r="X984" s="206"/>
      <c r="Y984" s="206">
        <f t="shared" ref="Y984:BB984" si="1431">CU$931</f>
        <v>8950.9541775851048</v>
      </c>
      <c r="Z984" s="206">
        <f t="shared" si="1431"/>
        <v>9384.2105127966333</v>
      </c>
      <c r="AA984" s="206">
        <f t="shared" si="1431"/>
        <v>9536.6860222754894</v>
      </c>
      <c r="AB984" s="206">
        <f t="shared" si="1431"/>
        <v>9632.0528824982466</v>
      </c>
      <c r="AC984" s="206">
        <f t="shared" si="1431"/>
        <v>9728.3734113232258</v>
      </c>
      <c r="AD984" s="206">
        <f t="shared" si="1431"/>
        <v>9825.6571454364621</v>
      </c>
      <c r="AE984" s="206">
        <f t="shared" si="1431"/>
        <v>9923.9137168908237</v>
      </c>
      <c r="AF984" s="206">
        <f t="shared" si="1431"/>
        <v>10023.15285405973</v>
      </c>
      <c r="AG984" s="206">
        <f t="shared" si="1431"/>
        <v>10123.384382600329</v>
      </c>
      <c r="AH984" s="206">
        <f t="shared" si="1431"/>
        <v>10224.618226426328</v>
      </c>
      <c r="AI984" s="206">
        <f t="shared" si="1431"/>
        <v>10326.864408690599</v>
      </c>
      <c r="AJ984" s="206">
        <f t="shared" si="1431"/>
        <v>10430.133052777499</v>
      </c>
      <c r="AK984" s="206">
        <f t="shared" si="1431"/>
        <v>10534.434383305275</v>
      </c>
      <c r="AL984" s="206">
        <f t="shared" si="1431"/>
        <v>10639.778727138328</v>
      </c>
      <c r="AM984" s="206">
        <f t="shared" si="1431"/>
        <v>10746.17651440971</v>
      </c>
      <c r="AN984" s="206">
        <f t="shared" si="1431"/>
        <v>10853.638279553814</v>
      </c>
      <c r="AO984" s="206">
        <f t="shared" si="1431"/>
        <v>10962.174662349345</v>
      </c>
      <c r="AP984" s="206">
        <f t="shared" si="1431"/>
        <v>11071.796408972838</v>
      </c>
      <c r="AQ984" s="206">
        <f t="shared" si="1431"/>
        <v>11182.514373062562</v>
      </c>
      <c r="AR984" s="206">
        <f t="shared" si="1431"/>
        <v>11294.339516793196</v>
      </c>
      <c r="AS984" s="206">
        <f t="shared" si="1431"/>
        <v>11407.282911961131</v>
      </c>
      <c r="AT984" s="206">
        <f t="shared" si="1431"/>
        <v>11521.35574108075</v>
      </c>
      <c r="AU984" s="206">
        <f t="shared" si="1431"/>
        <v>11636.569298491533</v>
      </c>
      <c r="AV984" s="206">
        <f t="shared" si="1431"/>
        <v>11752.93499147647</v>
      </c>
      <c r="AW984" s="206">
        <f t="shared" si="1431"/>
        <v>11870.464341391225</v>
      </c>
      <c r="AX984" s="206">
        <f t="shared" si="1431"/>
        <v>11989.168984805139</v>
      </c>
      <c r="AY984" s="206">
        <f t="shared" si="1431"/>
        <v>12109.060674653185</v>
      </c>
      <c r="AZ984" s="206">
        <f t="shared" si="1431"/>
        <v>12230.151281399729</v>
      </c>
      <c r="BA984" s="206">
        <f t="shared" si="1431"/>
        <v>12352.452794213727</v>
      </c>
      <c r="BB984" s="207">
        <f t="shared" si="1431"/>
        <v>12475.977322155844</v>
      </c>
    </row>
    <row r="985" spans="3:350" ht="18" customHeight="1" outlineLevel="1" x14ac:dyDescent="0.3">
      <c r="C985" s="204" t="str">
        <f>$DZ$2</f>
        <v>ADEME S2</v>
      </c>
      <c r="D985" s="4"/>
      <c r="E985" s="137" t="s">
        <v>105</v>
      </c>
      <c r="F985" s="138"/>
      <c r="H985" s="205">
        <f>DZ$931</f>
        <v>0</v>
      </c>
      <c r="I985" s="206">
        <f>EE$931</f>
        <v>0</v>
      </c>
      <c r="J985" s="206">
        <f>EJ$931</f>
        <v>8989.8378809113638</v>
      </c>
      <c r="K985" s="206">
        <f>EO$931</f>
        <v>9448.4099616075309</v>
      </c>
      <c r="L985" s="206">
        <f>EY$931</f>
        <v>10436.922693547305</v>
      </c>
      <c r="M985" s="207">
        <f>FI$931</f>
        <v>11528.855728498653</v>
      </c>
      <c r="N985" s="206"/>
      <c r="O985" s="206"/>
      <c r="P985" s="206"/>
      <c r="Q985" s="206"/>
      <c r="S985" s="205"/>
      <c r="T985" s="206"/>
      <c r="U985" s="206"/>
      <c r="V985" s="206"/>
      <c r="W985" s="206"/>
      <c r="X985" s="206"/>
      <c r="Y985" s="206">
        <f t="shared" ref="Y985:BB985" si="1432">EF$931</f>
        <v>8271.4369128036396</v>
      </c>
      <c r="Z985" s="206">
        <f t="shared" si="1432"/>
        <v>8671.8023233147123</v>
      </c>
      <c r="AA985" s="206">
        <f t="shared" si="1432"/>
        <v>8812.7025594660954</v>
      </c>
      <c r="AB985" s="206">
        <f t="shared" si="1432"/>
        <v>8900.8295850607592</v>
      </c>
      <c r="AC985" s="206">
        <f t="shared" si="1432"/>
        <v>8989.8378809113638</v>
      </c>
      <c r="AD985" s="206">
        <f t="shared" si="1432"/>
        <v>9079.736259720481</v>
      </c>
      <c r="AE985" s="206">
        <f t="shared" si="1432"/>
        <v>9170.5336223176837</v>
      </c>
      <c r="AF985" s="206">
        <f t="shared" si="1432"/>
        <v>9262.2389585408655</v>
      </c>
      <c r="AG985" s="206">
        <f t="shared" si="1432"/>
        <v>9354.8613481262637</v>
      </c>
      <c r="AH985" s="206">
        <f t="shared" si="1432"/>
        <v>9448.4099616075309</v>
      </c>
      <c r="AI985" s="206">
        <f t="shared" si="1432"/>
        <v>9542.8940612236074</v>
      </c>
      <c r="AJ985" s="206">
        <f t="shared" si="1432"/>
        <v>9638.3230018358372</v>
      </c>
      <c r="AK985" s="206">
        <f t="shared" si="1432"/>
        <v>9734.7062318542012</v>
      </c>
      <c r="AL985" s="206">
        <f t="shared" si="1432"/>
        <v>9832.0532941727397</v>
      </c>
      <c r="AM985" s="206">
        <f t="shared" si="1432"/>
        <v>9930.3738271144739</v>
      </c>
      <c r="AN985" s="206">
        <f t="shared" si="1432"/>
        <v>10029.67756538562</v>
      </c>
      <c r="AO985" s="206">
        <f t="shared" si="1432"/>
        <v>10129.974341039468</v>
      </c>
      <c r="AP985" s="206">
        <f t="shared" si="1432"/>
        <v>10231.274084449862</v>
      </c>
      <c r="AQ985" s="206">
        <f t="shared" si="1432"/>
        <v>10333.586825294373</v>
      </c>
      <c r="AR985" s="206">
        <f t="shared" si="1432"/>
        <v>10436.922693547305</v>
      </c>
      <c r="AS985" s="206">
        <f t="shared" si="1432"/>
        <v>10541.291920482772</v>
      </c>
      <c r="AT985" s="206">
        <f t="shared" si="1432"/>
        <v>10646.704839687629</v>
      </c>
      <c r="AU985" s="206">
        <f t="shared" si="1432"/>
        <v>10753.171888084486</v>
      </c>
      <c r="AV985" s="206">
        <f t="shared" si="1432"/>
        <v>10860.703606965322</v>
      </c>
      <c r="AW985" s="206">
        <f t="shared" si="1432"/>
        <v>10969.310643034985</v>
      </c>
      <c r="AX985" s="206">
        <f t="shared" si="1432"/>
        <v>11079.003749465332</v>
      </c>
      <c r="AY985" s="206">
        <f t="shared" si="1432"/>
        <v>11189.793786960005</v>
      </c>
      <c r="AZ985" s="206">
        <f t="shared" si="1432"/>
        <v>11301.691724829561</v>
      </c>
      <c r="BA985" s="206">
        <f t="shared" si="1432"/>
        <v>11414.7086420779</v>
      </c>
      <c r="BB985" s="207">
        <f t="shared" si="1432"/>
        <v>11528.855728498653</v>
      </c>
    </row>
    <row r="986" spans="3:350" ht="18" customHeight="1" outlineLevel="1" x14ac:dyDescent="0.3">
      <c r="C986" s="204" t="str">
        <f>$FK$2</f>
        <v>ADEME S3</v>
      </c>
      <c r="D986" s="4"/>
      <c r="E986" s="137" t="s">
        <v>105</v>
      </c>
      <c r="F986" s="138"/>
      <c r="H986" s="205">
        <f>FK$931</f>
        <v>0</v>
      </c>
      <c r="I986" s="206">
        <f>FP$931</f>
        <v>0</v>
      </c>
      <c r="J986" s="206">
        <f>FU$931</f>
        <v>10725.830566059643</v>
      </c>
      <c r="K986" s="206">
        <f>FZ$931</f>
        <v>11272.955720598458</v>
      </c>
      <c r="L986" s="206">
        <f>GJ$931</f>
        <v>12452.356307753857</v>
      </c>
      <c r="M986" s="207">
        <f>GT$931</f>
        <v>13755.148291048688</v>
      </c>
      <c r="N986" s="206"/>
      <c r="O986" s="206"/>
      <c r="P986" s="206"/>
      <c r="Q986" s="206"/>
      <c r="S986" s="205"/>
      <c r="T986" s="206"/>
      <c r="U986" s="206"/>
      <c r="V986" s="206"/>
      <c r="W986" s="206"/>
      <c r="X986" s="206"/>
      <c r="Y986" s="206">
        <f t="shared" ref="Y986:BB986" si="1433">FQ$931</f>
        <v>9868.7019765910718</v>
      </c>
      <c r="Z986" s="206">
        <f t="shared" si="1433"/>
        <v>10346.380396885048</v>
      </c>
      <c r="AA986" s="206">
        <f t="shared" si="1433"/>
        <v>10514.489330516266</v>
      </c>
      <c r="AB986" s="206">
        <f t="shared" si="1433"/>
        <v>10619.634223821431</v>
      </c>
      <c r="AC986" s="206">
        <f t="shared" si="1433"/>
        <v>10725.830566059643</v>
      </c>
      <c r="AD986" s="206">
        <f t="shared" si="1433"/>
        <v>10833.08887172024</v>
      </c>
      <c r="AE986" s="206">
        <f t="shared" si="1433"/>
        <v>10941.419760437442</v>
      </c>
      <c r="AF986" s="206">
        <f t="shared" si="1433"/>
        <v>11050.83395804182</v>
      </c>
      <c r="AG986" s="206">
        <f t="shared" si="1433"/>
        <v>11161.342297622232</v>
      </c>
      <c r="AH986" s="206">
        <f t="shared" si="1433"/>
        <v>11272.955720598458</v>
      </c>
      <c r="AI986" s="206">
        <f t="shared" si="1433"/>
        <v>11385.685277804443</v>
      </c>
      <c r="AJ986" s="206">
        <f t="shared" si="1433"/>
        <v>11499.542130582478</v>
      </c>
      <c r="AK986" s="206">
        <f t="shared" si="1433"/>
        <v>11614.537551888308</v>
      </c>
      <c r="AL986" s="206">
        <f t="shared" si="1433"/>
        <v>11730.682927407197</v>
      </c>
      <c r="AM986" s="206">
        <f t="shared" si="1433"/>
        <v>11847.989756681272</v>
      </c>
      <c r="AN986" s="206">
        <f t="shared" si="1433"/>
        <v>11966.469654248076</v>
      </c>
      <c r="AO986" s="206">
        <f t="shared" si="1433"/>
        <v>12086.134350790557</v>
      </c>
      <c r="AP986" s="206">
        <f t="shared" si="1433"/>
        <v>12206.995694298463</v>
      </c>
      <c r="AQ986" s="206">
        <f t="shared" si="1433"/>
        <v>12329.065651241461</v>
      </c>
      <c r="AR986" s="206">
        <f t="shared" si="1433"/>
        <v>12452.356307753857</v>
      </c>
      <c r="AS986" s="206">
        <f t="shared" si="1433"/>
        <v>12576.879870831397</v>
      </c>
      <c r="AT986" s="206">
        <f t="shared" si="1433"/>
        <v>12702.648669539725</v>
      </c>
      <c r="AU986" s="206">
        <f t="shared" si="1433"/>
        <v>12829.675156235127</v>
      </c>
      <c r="AV986" s="206">
        <f t="shared" si="1433"/>
        <v>12957.971907797444</v>
      </c>
      <c r="AW986" s="206">
        <f t="shared" si="1433"/>
        <v>13087.551626875453</v>
      </c>
      <c r="AX986" s="206">
        <f t="shared" si="1433"/>
        <v>13218.427143144178</v>
      </c>
      <c r="AY986" s="206">
        <f t="shared" si="1433"/>
        <v>13350.611414575658</v>
      </c>
      <c r="AZ986" s="206">
        <f t="shared" si="1433"/>
        <v>13484.117528721375</v>
      </c>
      <c r="BA986" s="206">
        <f t="shared" si="1433"/>
        <v>13618.958704008621</v>
      </c>
      <c r="BB986" s="207">
        <f t="shared" si="1433"/>
        <v>13755.148291048688</v>
      </c>
    </row>
    <row r="987" spans="3:350" ht="18" customHeight="1" outlineLevel="1" x14ac:dyDescent="0.3">
      <c r="C987" s="204" t="str">
        <f>$GV$2</f>
        <v>ADEME S4</v>
      </c>
      <c r="D987" s="4"/>
      <c r="E987" s="137" t="s">
        <v>105</v>
      </c>
      <c r="F987" s="138"/>
      <c r="H987" s="205">
        <f>GV$931</f>
        <v>0</v>
      </c>
      <c r="I987" s="206">
        <f>HA$931</f>
        <v>0</v>
      </c>
      <c r="J987" s="206">
        <f>HF$931</f>
        <v>10305.678866593498</v>
      </c>
      <c r="K987" s="206">
        <f>HK$931</f>
        <v>10831.372061892938</v>
      </c>
      <c r="L987" s="206">
        <f>HU$931</f>
        <v>11964.573228127721</v>
      </c>
      <c r="M987" s="207">
        <f>IE$931</f>
        <v>13216.332308892439</v>
      </c>
      <c r="N987" s="206"/>
      <c r="O987" s="206"/>
      <c r="P987" s="206"/>
      <c r="Q987" s="206"/>
      <c r="S987" s="205"/>
      <c r="T987" s="206"/>
      <c r="U987" s="206"/>
      <c r="V987" s="206"/>
      <c r="W987" s="206"/>
      <c r="X987" s="206"/>
      <c r="Y987" s="206">
        <f t="shared" ref="Y987:BB987" si="1434">HB$931</f>
        <v>9482.1256754410042</v>
      </c>
      <c r="Z987" s="206">
        <f t="shared" si="1434"/>
        <v>9941.0925005024492</v>
      </c>
      <c r="AA987" s="206">
        <f t="shared" si="1434"/>
        <v>10102.616279378</v>
      </c>
      <c r="AB987" s="206">
        <f t="shared" si="1434"/>
        <v>10203.642442171777</v>
      </c>
      <c r="AC987" s="206">
        <f t="shared" si="1434"/>
        <v>10305.678866593498</v>
      </c>
      <c r="AD987" s="206">
        <f t="shared" si="1434"/>
        <v>10408.735655259434</v>
      </c>
      <c r="AE987" s="206">
        <f t="shared" si="1434"/>
        <v>10512.823011812025</v>
      </c>
      <c r="AF987" s="206">
        <f t="shared" si="1434"/>
        <v>10617.951241930139</v>
      </c>
      <c r="AG987" s="206">
        <f t="shared" si="1434"/>
        <v>10724.130754349448</v>
      </c>
      <c r="AH987" s="206">
        <f t="shared" si="1434"/>
        <v>10831.372061892938</v>
      </c>
      <c r="AI987" s="206">
        <f t="shared" si="1434"/>
        <v>10939.685782511875</v>
      </c>
      <c r="AJ987" s="206">
        <f t="shared" si="1434"/>
        <v>11049.082640336985</v>
      </c>
      <c r="AK987" s="206">
        <f t="shared" si="1434"/>
        <v>11159.573466740354</v>
      </c>
      <c r="AL987" s="206">
        <f t="shared" si="1434"/>
        <v>11271.169201407763</v>
      </c>
      <c r="AM987" s="206">
        <f t="shared" si="1434"/>
        <v>11383.880893421841</v>
      </c>
      <c r="AN987" s="206">
        <f t="shared" si="1434"/>
        <v>11497.719702356046</v>
      </c>
      <c r="AO987" s="206">
        <f t="shared" si="1434"/>
        <v>11612.696899379631</v>
      </c>
      <c r="AP987" s="206">
        <f t="shared" si="1434"/>
        <v>11728.823868373403</v>
      </c>
      <c r="AQ987" s="206">
        <f t="shared" si="1434"/>
        <v>11846.112107057144</v>
      </c>
      <c r="AR987" s="206">
        <f t="shared" si="1434"/>
        <v>11964.573228127721</v>
      </c>
      <c r="AS987" s="206">
        <f t="shared" si="1434"/>
        <v>12084.218960408998</v>
      </c>
      <c r="AT987" s="206">
        <f t="shared" si="1434"/>
        <v>12205.061150013098</v>
      </c>
      <c r="AU987" s="206">
        <f t="shared" si="1434"/>
        <v>12327.111761513201</v>
      </c>
      <c r="AV987" s="206">
        <f t="shared" si="1434"/>
        <v>12450.382879128363</v>
      </c>
      <c r="AW987" s="206">
        <f t="shared" si="1434"/>
        <v>12574.886707919621</v>
      </c>
      <c r="AX987" s="206">
        <f t="shared" si="1434"/>
        <v>12700.635574998834</v>
      </c>
      <c r="AY987" s="206">
        <f t="shared" si="1434"/>
        <v>12827.641930748834</v>
      </c>
      <c r="AZ987" s="206">
        <f t="shared" si="1434"/>
        <v>12955.918350056294</v>
      </c>
      <c r="BA987" s="206">
        <f t="shared" si="1434"/>
        <v>13085.477533556874</v>
      </c>
      <c r="BB987" s="207">
        <f t="shared" si="1434"/>
        <v>13216.332308892439</v>
      </c>
    </row>
    <row r="988" spans="3:350" ht="18" customHeight="1" outlineLevel="1" x14ac:dyDescent="0.3">
      <c r="C988" s="204" t="str">
        <f>$IG$2</f>
        <v>AME 2023</v>
      </c>
      <c r="D988" s="4"/>
      <c r="E988" s="137" t="s">
        <v>105</v>
      </c>
      <c r="F988" s="138"/>
      <c r="H988" s="205">
        <f>IG$931</f>
        <v>0</v>
      </c>
      <c r="I988" s="206">
        <f>IL$931</f>
        <v>0</v>
      </c>
      <c r="J988" s="206">
        <f>IQ$931</f>
        <v>13318.534061427674</v>
      </c>
      <c r="K988" s="206">
        <f>IV$931</f>
        <v>13997.913151159653</v>
      </c>
      <c r="L988" s="206">
        <f>JF$931</f>
        <v>3274.0298291427621</v>
      </c>
      <c r="M988" s="207">
        <f>JP$931</f>
        <v>3616.5657885273604</v>
      </c>
      <c r="N988" s="206"/>
      <c r="O988" s="206"/>
      <c r="P988" s="206"/>
      <c r="Q988" s="206"/>
      <c r="S988" s="205"/>
      <c r="T988" s="206"/>
      <c r="U988" s="206"/>
      <c r="V988" s="206"/>
      <c r="W988" s="206"/>
      <c r="X988" s="206"/>
      <c r="Y988" s="206"/>
      <c r="Z988" s="206"/>
      <c r="AA988" s="206"/>
      <c r="AB988" s="206">
        <f t="shared" ref="AB988:BB988" si="1435">IP$931</f>
        <v>13186.667387552154</v>
      </c>
      <c r="AC988" s="206">
        <f t="shared" si="1435"/>
        <v>13318.534061427674</v>
      </c>
      <c r="AD988" s="206">
        <f t="shared" si="1435"/>
        <v>13451.71940204195</v>
      </c>
      <c r="AE988" s="206">
        <f t="shared" si="1435"/>
        <v>13586.236596062368</v>
      </c>
      <c r="AF988" s="206">
        <f t="shared" si="1435"/>
        <v>13722.098962022992</v>
      </c>
      <c r="AG988" s="206">
        <f t="shared" si="1435"/>
        <v>13859.319951643221</v>
      </c>
      <c r="AH988" s="206">
        <f t="shared" si="1435"/>
        <v>13997.913151159653</v>
      </c>
      <c r="AI988" s="206">
        <f t="shared" si="1435"/>
        <v>2993.5758585346257</v>
      </c>
      <c r="AJ988" s="206">
        <f t="shared" si="1435"/>
        <v>3023.5116171199716</v>
      </c>
      <c r="AK988" s="206">
        <f t="shared" si="1435"/>
        <v>3053.7467332911715</v>
      </c>
      <c r="AL988" s="206">
        <f t="shared" si="1435"/>
        <v>3084.2842006240835</v>
      </c>
      <c r="AM988" s="206">
        <f t="shared" si="1435"/>
        <v>3115.127042630324</v>
      </c>
      <c r="AN988" s="206">
        <f t="shared" si="1435"/>
        <v>3146.2783130566272</v>
      </c>
      <c r="AO988" s="206">
        <f t="shared" si="1435"/>
        <v>3177.7410961871933</v>
      </c>
      <c r="AP988" s="206">
        <f t="shared" si="1435"/>
        <v>3209.5185071490655</v>
      </c>
      <c r="AQ988" s="206">
        <f t="shared" si="1435"/>
        <v>3241.6136922205565</v>
      </c>
      <c r="AR988" s="206">
        <f t="shared" si="1435"/>
        <v>3274.0298291427621</v>
      </c>
      <c r="AS988" s="206">
        <f t="shared" si="1435"/>
        <v>3306.7701274341898</v>
      </c>
      <c r="AT988" s="206">
        <f t="shared" si="1435"/>
        <v>3339.8378287085316</v>
      </c>
      <c r="AU988" s="206">
        <f t="shared" si="1435"/>
        <v>3373.2362069956171</v>
      </c>
      <c r="AV988" s="206">
        <f t="shared" si="1435"/>
        <v>3406.9685690655733</v>
      </c>
      <c r="AW988" s="206">
        <f t="shared" si="1435"/>
        <v>3441.038254756229</v>
      </c>
      <c r="AX988" s="206">
        <f t="shared" si="1435"/>
        <v>3475.4486373037907</v>
      </c>
      <c r="AY988" s="206">
        <f t="shared" si="1435"/>
        <v>3510.2031236768289</v>
      </c>
      <c r="AZ988" s="206">
        <f t="shared" si="1435"/>
        <v>3545.3051549135976</v>
      </c>
      <c r="BA988" s="206">
        <f t="shared" si="1435"/>
        <v>3580.7582064627327</v>
      </c>
      <c r="BB988" s="207">
        <f t="shared" si="1435"/>
        <v>3616.5657885273604</v>
      </c>
    </row>
    <row r="989" spans="3:350" ht="18" customHeight="1" outlineLevel="1" x14ac:dyDescent="0.3">
      <c r="C989" s="204" t="str">
        <f>$JR$2</f>
        <v>AMS run 2 2023</v>
      </c>
      <c r="D989" s="4"/>
      <c r="E989" s="137" t="s">
        <v>105</v>
      </c>
      <c r="F989" s="138"/>
      <c r="H989" s="205">
        <f>JR$931</f>
        <v>0</v>
      </c>
      <c r="I989" s="206">
        <f>JW$931</f>
        <v>0</v>
      </c>
      <c r="J989" s="206">
        <f>KB$931</f>
        <v>12804.991015633666</v>
      </c>
      <c r="K989" s="206">
        <f>KG$931</f>
        <v>18433.365091886022</v>
      </c>
      <c r="L989" s="206">
        <f>KQ$931</f>
        <v>4584.2073232615294</v>
      </c>
      <c r="M989" s="207">
        <f>LA$931</f>
        <v>2414.5009535454683</v>
      </c>
      <c r="N989" s="206"/>
      <c r="O989" s="206"/>
      <c r="P989" s="206"/>
      <c r="Q989" s="206"/>
      <c r="S989" s="205"/>
      <c r="T989" s="206"/>
      <c r="U989" s="206"/>
      <c r="V989" s="206"/>
      <c r="W989" s="206"/>
      <c r="X989" s="206"/>
      <c r="Y989" s="206"/>
      <c r="Z989" s="206"/>
      <c r="AA989" s="206"/>
      <c r="AB989" s="206">
        <f t="shared" ref="AB989:BB989" si="1436">KA$931</f>
        <v>11080.246505848545</v>
      </c>
      <c r="AC989" s="206">
        <f t="shared" si="1436"/>
        <v>12804.991015633666</v>
      </c>
      <c r="AD989" s="206">
        <f t="shared" si="1436"/>
        <v>14224.281558443945</v>
      </c>
      <c r="AE989" s="206">
        <f t="shared" si="1436"/>
        <v>15848.865642973626</v>
      </c>
      <c r="AF989" s="206">
        <f t="shared" si="1436"/>
        <v>17227.112342480694</v>
      </c>
      <c r="AG989" s="206">
        <f t="shared" si="1436"/>
        <v>18122.695610884046</v>
      </c>
      <c r="AH989" s="206">
        <f t="shared" si="1436"/>
        <v>18433.365091886022</v>
      </c>
      <c r="AI989" s="206">
        <f t="shared" si="1436"/>
        <v>18162.784470324932</v>
      </c>
      <c r="AJ989" s="206">
        <f t="shared" si="1436"/>
        <v>17245.361856292166</v>
      </c>
      <c r="AK989" s="206">
        <f t="shared" si="1436"/>
        <v>15833.505768250179</v>
      </c>
      <c r="AL989" s="206">
        <f t="shared" si="1436"/>
        <v>14079.718941248499</v>
      </c>
      <c r="AM989" s="206">
        <f t="shared" si="1436"/>
        <v>12157.221902918061</v>
      </c>
      <c r="AN989" s="206">
        <f t="shared" si="1436"/>
        <v>10232.152933161187</v>
      </c>
      <c r="AO989" s="206">
        <f t="shared" si="1436"/>
        <v>8441.0795277540383</v>
      </c>
      <c r="AP989" s="206">
        <f t="shared" si="1436"/>
        <v>6877.7027837004607</v>
      </c>
      <c r="AQ989" s="206">
        <f t="shared" si="1436"/>
        <v>5589.7215621869427</v>
      </c>
      <c r="AR989" s="206">
        <f t="shared" si="1436"/>
        <v>4584.2073232615294</v>
      </c>
      <c r="AS989" s="206">
        <f t="shared" si="1436"/>
        <v>3838.2505818032882</v>
      </c>
      <c r="AT989" s="206">
        <f t="shared" si="1436"/>
        <v>3311.3028643722096</v>
      </c>
      <c r="AU989" s="206">
        <f t="shared" si="1436"/>
        <v>2956.3174069296911</v>
      </c>
      <c r="AV989" s="206">
        <f t="shared" si="1436"/>
        <v>2727.9939201109937</v>
      </c>
      <c r="AW989" s="206">
        <f t="shared" si="1436"/>
        <v>2587.6523328896574</v>
      </c>
      <c r="AX989" s="206">
        <f t="shared" si="1436"/>
        <v>2505.1555891229027</v>
      </c>
      <c r="AY989" s="206">
        <f t="shared" si="1436"/>
        <v>2458.7510130492087</v>
      </c>
      <c r="AZ989" s="206">
        <f t="shared" si="1436"/>
        <v>2433.7607080294624</v>
      </c>
      <c r="BA989" s="206">
        <f t="shared" si="1436"/>
        <v>2420.8708951141266</v>
      </c>
      <c r="BB989" s="207">
        <f t="shared" si="1436"/>
        <v>2414.5009535454683</v>
      </c>
    </row>
    <row r="990" spans="3:350" ht="18" customHeight="1" outlineLevel="1" x14ac:dyDescent="0.3">
      <c r="C990" s="204" t="str">
        <f>$LC$2</f>
        <v>AMS run 3 2025</v>
      </c>
      <c r="D990" s="4"/>
      <c r="E990" s="137"/>
      <c r="F990" s="138"/>
      <c r="H990" s="205">
        <f>LC$931</f>
        <v>0</v>
      </c>
      <c r="I990" s="206">
        <f>LH$931</f>
        <v>0</v>
      </c>
      <c r="J990" s="206">
        <f>LM$931</f>
        <v>9402.3652607760596</v>
      </c>
      <c r="K990" s="206">
        <f>LR$931</f>
        <v>9289.8929262748388</v>
      </c>
      <c r="L990" s="206">
        <f>MB$931</f>
        <v>7930.3762079739554</v>
      </c>
      <c r="M990" s="207">
        <f>ML$931</f>
        <v>8814.8066473384879</v>
      </c>
      <c r="N990" s="206"/>
      <c r="O990" s="206"/>
      <c r="P990" s="206"/>
      <c r="Q990" s="206"/>
      <c r="S990" s="205"/>
      <c r="T990" s="206"/>
      <c r="U990" s="206"/>
      <c r="V990" s="206"/>
      <c r="W990" s="206"/>
      <c r="X990" s="206"/>
      <c r="Y990" s="206"/>
      <c r="Z990" s="206"/>
      <c r="AA990" s="206"/>
      <c r="AB990" s="206">
        <f t="shared" ref="AB990:BB990" si="1437">LL$931</f>
        <v>8751.4993672189739</v>
      </c>
      <c r="AC990" s="206">
        <f t="shared" si="1437"/>
        <v>9402.3652607760596</v>
      </c>
      <c r="AD990" s="206">
        <f t="shared" si="1437"/>
        <v>9866.1143890631047</v>
      </c>
      <c r="AE990" s="206">
        <f t="shared" si="1437"/>
        <v>10094.312394518538</v>
      </c>
      <c r="AF990" s="206">
        <f t="shared" si="1437"/>
        <v>10064.423288283273</v>
      </c>
      <c r="AG990" s="206">
        <f t="shared" si="1437"/>
        <v>9784.1389938482625</v>
      </c>
      <c r="AH990" s="206">
        <f t="shared" si="1437"/>
        <v>9289.8929262748388</v>
      </c>
      <c r="AI990" s="206">
        <f t="shared" si="1437"/>
        <v>9392.3680295552949</v>
      </c>
      <c r="AJ990" s="206">
        <f t="shared" si="1437"/>
        <v>9377.4528065519225</v>
      </c>
      <c r="AK990" s="206">
        <f t="shared" si="1437"/>
        <v>9154.3341417752454</v>
      </c>
      <c r="AL990" s="206">
        <f t="shared" si="1437"/>
        <v>9565.939607963619</v>
      </c>
      <c r="AM990" s="206">
        <f t="shared" si="1437"/>
        <v>9773.7358349510378</v>
      </c>
      <c r="AN990" s="206">
        <f t="shared" si="1437"/>
        <v>9758.2149940836862</v>
      </c>
      <c r="AO990" s="206">
        <f t="shared" si="1437"/>
        <v>9526.0368168112291</v>
      </c>
      <c r="AP990" s="206">
        <f t="shared" si="1437"/>
        <v>9108.7418373849559</v>
      </c>
      <c r="AQ990" s="206">
        <f t="shared" si="1437"/>
        <v>8556.7736691610153</v>
      </c>
      <c r="AR990" s="206">
        <f t="shared" si="1437"/>
        <v>7930.3762079739554</v>
      </c>
      <c r="AS990" s="206">
        <f t="shared" si="1437"/>
        <v>8059.7287606362916</v>
      </c>
      <c r="AT990" s="206">
        <f t="shared" si="1437"/>
        <v>8629.6259918510441</v>
      </c>
      <c r="AU990" s="206">
        <f t="shared" si="1437"/>
        <v>8715.9222517695562</v>
      </c>
      <c r="AV990" s="206">
        <f t="shared" si="1437"/>
        <v>9204.9014660946705</v>
      </c>
      <c r="AW990" s="206">
        <f t="shared" si="1437"/>
        <v>9560.6637146189114</v>
      </c>
      <c r="AX990" s="206">
        <f t="shared" si="1437"/>
        <v>9748.6648090445015</v>
      </c>
      <c r="AY990" s="206">
        <f t="shared" si="1437"/>
        <v>9752.833055282752</v>
      </c>
      <c r="AZ990" s="206">
        <f t="shared" si="1437"/>
        <v>9578.6573772729917</v>
      </c>
      <c r="BA990" s="206">
        <f t="shared" si="1437"/>
        <v>9252.1271013250243</v>
      </c>
      <c r="BB990" s="207">
        <f t="shared" si="1437"/>
        <v>8814.8066473384879</v>
      </c>
    </row>
    <row r="991" spans="3:350" ht="18" customHeight="1" outlineLevel="1" x14ac:dyDescent="0.3">
      <c r="C991" s="208"/>
      <c r="D991" s="39"/>
      <c r="E991" s="209"/>
      <c r="F991" s="210"/>
      <c r="H991" s="211"/>
      <c r="I991" s="166"/>
      <c r="J991" s="166"/>
      <c r="K991" s="166"/>
      <c r="L991" s="166"/>
      <c r="M991" s="212"/>
      <c r="S991" s="211"/>
      <c r="T991" s="166"/>
      <c r="U991" s="166"/>
      <c r="V991" s="166"/>
      <c r="W991" s="166"/>
      <c r="X991" s="166"/>
      <c r="Y991" s="166"/>
      <c r="Z991" s="166"/>
      <c r="AA991" s="166"/>
      <c r="AB991" s="166"/>
      <c r="AC991" s="166"/>
      <c r="AD991" s="166"/>
      <c r="AE991" s="166"/>
      <c r="AF991" s="166"/>
      <c r="AG991" s="166"/>
      <c r="AH991" s="166"/>
      <c r="AI991" s="166"/>
      <c r="AJ991" s="166"/>
      <c r="AK991" s="166"/>
      <c r="AL991" s="166"/>
      <c r="AM991" s="166"/>
      <c r="AN991" s="166"/>
      <c r="AO991" s="166"/>
      <c r="AP991" s="166"/>
      <c r="AQ991" s="166"/>
      <c r="AR991" s="166"/>
      <c r="AS991" s="166"/>
      <c r="AT991" s="166"/>
      <c r="AU991" s="166"/>
      <c r="AV991" s="166"/>
      <c r="AW991" s="166"/>
      <c r="AX991" s="166"/>
      <c r="AY991" s="166"/>
      <c r="AZ991" s="166"/>
      <c r="BA991" s="166"/>
      <c r="BB991" s="212"/>
    </row>
    <row r="992" spans="3:350" s="4" customFormat="1" ht="18" customHeight="1" outlineLevel="1" x14ac:dyDescent="0.3">
      <c r="H992" s="140"/>
      <c r="I992" s="140"/>
      <c r="J992" s="140"/>
      <c r="K992" s="140"/>
      <c r="L992" s="140"/>
      <c r="M992" s="140"/>
      <c r="N992" s="140"/>
      <c r="O992" s="140"/>
      <c r="P992" s="140"/>
      <c r="Q992" s="140"/>
      <c r="R992" s="140"/>
      <c r="S992" s="140"/>
      <c r="T992" s="140"/>
      <c r="U992" s="140"/>
      <c r="V992" s="140"/>
      <c r="W992" s="140"/>
      <c r="X992" s="140"/>
      <c r="Y992" s="140"/>
      <c r="Z992" s="140"/>
      <c r="AA992" s="140"/>
      <c r="AB992" s="140"/>
      <c r="AC992" s="140"/>
      <c r="AD992" s="140"/>
      <c r="AE992" s="140"/>
      <c r="AF992" s="140"/>
      <c r="AG992" s="140"/>
      <c r="AH992" s="140"/>
      <c r="AI992" s="140"/>
      <c r="AJ992" s="140"/>
      <c r="AK992" s="140"/>
      <c r="AL992" s="140"/>
      <c r="AM992" s="140"/>
      <c r="AN992" s="140"/>
      <c r="AO992" s="140"/>
      <c r="AP992" s="140"/>
      <c r="AQ992" s="140"/>
      <c r="AR992" s="140"/>
      <c r="AS992" s="140"/>
      <c r="AT992" s="140"/>
      <c r="AU992" s="140"/>
      <c r="AV992" s="140"/>
      <c r="AW992" s="140"/>
      <c r="AX992" s="140"/>
      <c r="AY992" s="140"/>
      <c r="AZ992" s="140"/>
      <c r="BA992" s="140"/>
      <c r="BB992" s="140"/>
      <c r="BC992" s="140"/>
      <c r="BD992" s="140"/>
      <c r="BE992" s="140"/>
      <c r="BF992" s="140"/>
      <c r="BG992" s="140"/>
      <c r="BH992" s="140"/>
      <c r="BI992" s="140"/>
      <c r="BJ992" s="140"/>
      <c r="BK992" s="140"/>
      <c r="BL992" s="140"/>
      <c r="BM992" s="140"/>
      <c r="BN992" s="140"/>
      <c r="BO992" s="140"/>
      <c r="BP992" s="140"/>
      <c r="BQ992" s="140"/>
      <c r="BR992" s="140"/>
      <c r="BS992" s="140"/>
      <c r="BT992" s="140"/>
      <c r="BU992" s="140"/>
      <c r="BV992" s="140"/>
      <c r="BW992" s="140"/>
      <c r="BX992" s="140"/>
      <c r="BY992" s="140"/>
      <c r="BZ992" s="140"/>
      <c r="CA992" s="140"/>
      <c r="CB992" s="140"/>
      <c r="CC992" s="140"/>
      <c r="CD992" s="140"/>
      <c r="CE992" s="140"/>
      <c r="CF992" s="140"/>
      <c r="CG992" s="140"/>
      <c r="CH992" s="140"/>
      <c r="CI992" s="140"/>
      <c r="CJ992" s="140"/>
      <c r="CK992" s="140"/>
      <c r="CL992" s="140"/>
      <c r="CM992" s="140"/>
      <c r="CN992" s="140"/>
      <c r="FJ992" s="140"/>
      <c r="FK992" s="140"/>
      <c r="FL992" s="140"/>
      <c r="FM992" s="140"/>
      <c r="FN992" s="140"/>
      <c r="FO992" s="140"/>
      <c r="FP992" s="140"/>
      <c r="FQ992" s="140"/>
      <c r="FR992" s="140"/>
      <c r="FS992" s="140"/>
      <c r="FT992" s="140"/>
      <c r="FU992" s="140"/>
      <c r="FV992" s="140"/>
      <c r="FW992" s="140"/>
      <c r="FX992" s="140"/>
      <c r="FY992" s="140"/>
      <c r="FZ992" s="140"/>
      <c r="GA992" s="140"/>
      <c r="GB992" s="140"/>
      <c r="GC992" s="140"/>
      <c r="GD992" s="140"/>
      <c r="GE992" s="140"/>
      <c r="GF992" s="140"/>
      <c r="GG992" s="140"/>
      <c r="GH992" s="140"/>
      <c r="GI992" s="140"/>
      <c r="GJ992" s="140"/>
      <c r="GK992" s="140"/>
      <c r="GL992" s="140"/>
      <c r="GM992" s="140"/>
      <c r="GN992" s="140"/>
      <c r="GO992" s="140"/>
      <c r="GP992" s="140"/>
      <c r="GQ992" s="140"/>
      <c r="GR992" s="140"/>
      <c r="GS992" s="140"/>
      <c r="GT992" s="140"/>
      <c r="GU992" s="140"/>
      <c r="GV992" s="140"/>
      <c r="GW992" s="140"/>
      <c r="GX992" s="140"/>
      <c r="GY992" s="140"/>
      <c r="GZ992" s="140"/>
      <c r="HA992" s="140"/>
      <c r="HB992" s="140"/>
      <c r="HC992" s="140"/>
      <c r="HD992" s="140"/>
      <c r="HE992" s="140"/>
      <c r="HF992" s="140"/>
      <c r="HG992" s="140"/>
      <c r="HH992" s="140"/>
      <c r="HI992" s="140"/>
      <c r="HJ992" s="140"/>
      <c r="HK992" s="140"/>
      <c r="HL992" s="140"/>
      <c r="HM992" s="140"/>
      <c r="HN992" s="140"/>
      <c r="HO992" s="140"/>
      <c r="HP992" s="140"/>
      <c r="HQ992" s="140"/>
      <c r="HR992" s="140"/>
      <c r="HS992" s="140"/>
      <c r="HT992" s="140"/>
      <c r="HU992" s="140"/>
      <c r="HV992" s="140"/>
      <c r="HW992" s="140"/>
      <c r="HX992" s="140"/>
      <c r="HY992" s="140"/>
      <c r="HZ992" s="140"/>
      <c r="IA992" s="140"/>
      <c r="IB992" s="140"/>
      <c r="IC992" s="140"/>
      <c r="ID992" s="140"/>
      <c r="IE992" s="140"/>
      <c r="IF992" s="140"/>
      <c r="IG992" s="140"/>
      <c r="IH992" s="140"/>
      <c r="II992" s="140"/>
      <c r="IJ992" s="140"/>
      <c r="IK992" s="140"/>
      <c r="IL992" s="140"/>
      <c r="IM992" s="140"/>
      <c r="IN992" s="140"/>
      <c r="IO992" s="140"/>
      <c r="IP992" s="140"/>
      <c r="IQ992" s="140"/>
      <c r="IR992" s="140"/>
      <c r="IS992" s="140"/>
      <c r="IT992" s="140"/>
      <c r="IU992" s="140"/>
      <c r="IV992" s="140"/>
      <c r="IW992" s="140"/>
      <c r="IX992" s="140"/>
      <c r="IY992" s="140"/>
      <c r="IZ992" s="140"/>
      <c r="JA992" s="140"/>
      <c r="JB992" s="140"/>
      <c r="JC992" s="140"/>
      <c r="JD992" s="140"/>
      <c r="JE992" s="140"/>
      <c r="JF992" s="140"/>
      <c r="JG992" s="140"/>
      <c r="JH992" s="140"/>
      <c r="JI992" s="140"/>
      <c r="JJ992" s="140"/>
      <c r="JK992" s="140"/>
      <c r="JL992" s="140"/>
      <c r="JM992" s="140"/>
      <c r="JN992" s="140"/>
      <c r="JO992" s="140"/>
      <c r="JP992" s="140"/>
      <c r="JQ992" s="140"/>
      <c r="JR992" s="140"/>
      <c r="JS992" s="140"/>
      <c r="JT992" s="140"/>
      <c r="JU992" s="140"/>
      <c r="JV992" s="140"/>
      <c r="JW992" s="140"/>
      <c r="JX992" s="140"/>
      <c r="JY992" s="140"/>
      <c r="JZ992" s="140"/>
      <c r="KA992" s="140"/>
      <c r="KB992" s="140"/>
      <c r="KC992" s="140"/>
      <c r="KD992" s="140"/>
      <c r="KE992" s="140"/>
      <c r="KF992" s="140"/>
      <c r="KG992" s="140"/>
      <c r="KH992" s="140"/>
      <c r="KI992" s="140"/>
      <c r="KJ992" s="140"/>
      <c r="KK992" s="140"/>
      <c r="KL992" s="140"/>
      <c r="KM992" s="140"/>
      <c r="KN992" s="140"/>
      <c r="KO992" s="140"/>
      <c r="KP992" s="140"/>
      <c r="KQ992" s="140"/>
      <c r="KR992" s="140"/>
      <c r="KS992" s="140"/>
      <c r="KT992" s="140"/>
      <c r="KU992" s="140"/>
      <c r="KV992" s="140"/>
      <c r="KW992" s="140"/>
      <c r="KX992" s="140"/>
      <c r="KY992" s="140"/>
      <c r="KZ992" s="140"/>
      <c r="LA992" s="140"/>
      <c r="LB992" s="140"/>
      <c r="LC992" s="140"/>
      <c r="LD992" s="140"/>
      <c r="LE992" s="140"/>
      <c r="LF992" s="140"/>
      <c r="LG992" s="140"/>
      <c r="LH992" s="140"/>
      <c r="LI992" s="140"/>
      <c r="LJ992" s="140"/>
      <c r="LK992" s="140"/>
      <c r="LL992" s="140"/>
      <c r="LM992" s="140"/>
      <c r="LN992" s="140"/>
      <c r="LO992" s="140"/>
      <c r="LP992" s="140"/>
      <c r="LQ992" s="140"/>
      <c r="LR992" s="140"/>
      <c r="LS992" s="140"/>
      <c r="LT992" s="140"/>
      <c r="LU992" s="140"/>
      <c r="LV992" s="140"/>
      <c r="LW992" s="140"/>
      <c r="LX992" s="140"/>
      <c r="LY992" s="140"/>
      <c r="LZ992" s="140"/>
      <c r="MA992" s="140"/>
      <c r="MB992" s="140"/>
      <c r="MC992" s="140"/>
      <c r="MD992" s="140"/>
      <c r="ME992" s="140"/>
      <c r="MF992" s="140"/>
      <c r="MG992" s="140"/>
      <c r="MH992" s="140"/>
      <c r="MI992" s="140"/>
      <c r="MJ992" s="140"/>
      <c r="MK992" s="140"/>
      <c r="ML992" s="140"/>
    </row>
    <row r="993" spans="8:350" s="4" customFormat="1" ht="18" customHeight="1" x14ac:dyDescent="0.3">
      <c r="H993" s="140"/>
      <c r="I993" s="140"/>
      <c r="J993" s="140"/>
      <c r="K993" s="140"/>
      <c r="L993" s="140"/>
      <c r="M993" s="140"/>
      <c r="N993" s="140"/>
      <c r="O993" s="140"/>
      <c r="P993" s="140"/>
      <c r="Q993" s="140"/>
      <c r="R993" s="140"/>
      <c r="S993" s="140"/>
      <c r="T993" s="140"/>
      <c r="U993" s="140"/>
      <c r="V993" s="140"/>
      <c r="W993" s="140"/>
      <c r="X993" s="140"/>
      <c r="Y993" s="140"/>
      <c r="Z993" s="140"/>
      <c r="AA993" s="140"/>
      <c r="AB993" s="140"/>
      <c r="AC993" s="140"/>
      <c r="AD993" s="140"/>
      <c r="AE993" s="140"/>
      <c r="AF993" s="140"/>
      <c r="AG993" s="140"/>
      <c r="AH993" s="140"/>
      <c r="AI993" s="140"/>
      <c r="AJ993" s="140"/>
      <c r="AK993" s="140"/>
      <c r="AL993" s="140"/>
      <c r="AM993" s="140"/>
      <c r="AN993" s="140"/>
      <c r="AO993" s="140"/>
      <c r="AP993" s="140"/>
      <c r="AQ993" s="140"/>
      <c r="AR993" s="140"/>
      <c r="AS993" s="140"/>
      <c r="AT993" s="140"/>
      <c r="AU993" s="140"/>
      <c r="AV993" s="140"/>
      <c r="AW993" s="140"/>
      <c r="AX993" s="140"/>
      <c r="AY993" s="140"/>
      <c r="AZ993" s="140"/>
      <c r="BA993" s="140"/>
      <c r="BB993" s="140"/>
      <c r="BC993" s="140"/>
      <c r="BD993" s="140"/>
      <c r="BE993" s="140"/>
      <c r="BF993" s="140"/>
      <c r="BG993" s="140"/>
      <c r="BH993" s="140"/>
      <c r="BI993" s="140"/>
      <c r="BJ993" s="140"/>
      <c r="BK993" s="140"/>
      <c r="BL993" s="140"/>
      <c r="BM993" s="140"/>
      <c r="BN993" s="140"/>
      <c r="BO993" s="140"/>
      <c r="BP993" s="140"/>
      <c r="BQ993" s="140"/>
      <c r="BR993" s="140"/>
      <c r="BS993" s="140"/>
      <c r="BT993" s="140"/>
      <c r="BU993" s="140"/>
      <c r="BV993" s="140"/>
      <c r="BW993" s="140"/>
      <c r="BX993" s="140"/>
      <c r="BY993" s="140"/>
      <c r="BZ993" s="140"/>
      <c r="CA993" s="140"/>
      <c r="CB993" s="140"/>
      <c r="CC993" s="140"/>
      <c r="CD993" s="140"/>
      <c r="CE993" s="140"/>
      <c r="CF993" s="140"/>
      <c r="CG993" s="140"/>
      <c r="CH993" s="140"/>
      <c r="CI993" s="140"/>
      <c r="CJ993" s="140"/>
      <c r="CK993" s="140"/>
      <c r="CL993" s="140"/>
      <c r="CM993" s="140"/>
      <c r="CN993" s="140"/>
      <c r="FJ993" s="140"/>
      <c r="FK993" s="140"/>
      <c r="FL993" s="140"/>
      <c r="FM993" s="140"/>
      <c r="FN993" s="140"/>
      <c r="FO993" s="140"/>
      <c r="FP993" s="140"/>
      <c r="FQ993" s="140"/>
      <c r="FR993" s="140"/>
      <c r="FS993" s="140"/>
      <c r="FT993" s="140"/>
      <c r="FU993" s="140"/>
      <c r="FV993" s="140"/>
      <c r="FW993" s="140"/>
      <c r="FX993" s="140"/>
      <c r="FY993" s="140"/>
      <c r="FZ993" s="140"/>
      <c r="GA993" s="140"/>
      <c r="GB993" s="140"/>
      <c r="GC993" s="140"/>
      <c r="GD993" s="140"/>
      <c r="GE993" s="140"/>
      <c r="GF993" s="140"/>
      <c r="GG993" s="140"/>
      <c r="GH993" s="140"/>
      <c r="GI993" s="140"/>
      <c r="GJ993" s="140"/>
      <c r="GK993" s="140"/>
      <c r="GL993" s="140"/>
      <c r="GM993" s="140"/>
      <c r="GN993" s="140"/>
      <c r="GO993" s="140"/>
      <c r="GP993" s="140"/>
      <c r="GQ993" s="140"/>
      <c r="GR993" s="140"/>
      <c r="GS993" s="140"/>
      <c r="GT993" s="140"/>
      <c r="GU993" s="140"/>
      <c r="GV993" s="140"/>
      <c r="GW993" s="140"/>
      <c r="GX993" s="140"/>
      <c r="GY993" s="140"/>
      <c r="GZ993" s="140"/>
      <c r="HA993" s="140"/>
      <c r="HB993" s="140"/>
      <c r="HC993" s="140"/>
      <c r="HD993" s="140"/>
      <c r="HE993" s="140"/>
      <c r="HF993" s="140"/>
      <c r="HG993" s="140"/>
      <c r="HH993" s="140"/>
      <c r="HI993" s="140"/>
      <c r="HJ993" s="140"/>
      <c r="HK993" s="140"/>
      <c r="HL993" s="140"/>
      <c r="HM993" s="140"/>
      <c r="HN993" s="140"/>
      <c r="HO993" s="140"/>
      <c r="HP993" s="140"/>
      <c r="HQ993" s="140"/>
      <c r="HR993" s="140"/>
      <c r="HS993" s="140"/>
      <c r="HT993" s="140"/>
      <c r="HU993" s="140"/>
      <c r="HV993" s="140"/>
      <c r="HW993" s="140"/>
      <c r="HX993" s="140"/>
      <c r="HY993" s="140"/>
      <c r="HZ993" s="140"/>
      <c r="IA993" s="140"/>
      <c r="IB993" s="140"/>
      <c r="IC993" s="140"/>
      <c r="ID993" s="140"/>
      <c r="IE993" s="140"/>
      <c r="IF993" s="140"/>
      <c r="IG993" s="140"/>
      <c r="IH993" s="140"/>
      <c r="II993" s="140"/>
      <c r="IJ993" s="140"/>
      <c r="IK993" s="140"/>
      <c r="IL993" s="140"/>
      <c r="IM993" s="140"/>
      <c r="IN993" s="140"/>
      <c r="IO993" s="140"/>
      <c r="IP993" s="140"/>
      <c r="IQ993" s="140"/>
      <c r="IR993" s="140"/>
      <c r="IS993" s="140"/>
      <c r="IT993" s="140"/>
      <c r="IU993" s="140"/>
      <c r="IV993" s="140"/>
      <c r="IW993" s="140"/>
      <c r="IX993" s="140"/>
      <c r="IY993" s="140"/>
      <c r="IZ993" s="140"/>
      <c r="JA993" s="140"/>
      <c r="JB993" s="140"/>
      <c r="JC993" s="140"/>
      <c r="JD993" s="140"/>
      <c r="JE993" s="140"/>
      <c r="JF993" s="140"/>
      <c r="JG993" s="140"/>
      <c r="JH993" s="140"/>
      <c r="JI993" s="140"/>
      <c r="JJ993" s="140"/>
      <c r="JK993" s="140"/>
      <c r="JL993" s="140"/>
      <c r="JM993" s="140"/>
      <c r="JN993" s="140"/>
      <c r="JO993" s="140"/>
      <c r="JP993" s="140"/>
      <c r="JQ993" s="140"/>
      <c r="JR993" s="140"/>
      <c r="JS993" s="140"/>
      <c r="JT993" s="140"/>
      <c r="JU993" s="140"/>
      <c r="JV993" s="140"/>
      <c r="JW993" s="140"/>
      <c r="JX993" s="140"/>
      <c r="JY993" s="140"/>
      <c r="JZ993" s="140"/>
      <c r="KA993" s="140"/>
      <c r="KB993" s="140"/>
      <c r="KC993" s="140"/>
      <c r="KD993" s="140"/>
      <c r="KE993" s="140"/>
      <c r="KF993" s="140"/>
      <c r="KG993" s="140"/>
      <c r="KH993" s="140"/>
      <c r="KI993" s="140"/>
      <c r="KJ993" s="140"/>
      <c r="KK993" s="140"/>
      <c r="KL993" s="140"/>
      <c r="KM993" s="140"/>
      <c r="KN993" s="140"/>
      <c r="KO993" s="140"/>
      <c r="KP993" s="140"/>
      <c r="KQ993" s="140"/>
      <c r="KR993" s="140"/>
      <c r="KS993" s="140"/>
      <c r="KT993" s="140"/>
      <c r="KU993" s="140"/>
      <c r="KV993" s="140"/>
      <c r="KW993" s="140"/>
      <c r="KX993" s="140"/>
      <c r="KY993" s="140"/>
      <c r="KZ993" s="140"/>
      <c r="LA993" s="140"/>
      <c r="LB993" s="140"/>
      <c r="LC993" s="140"/>
      <c r="LD993" s="140"/>
      <c r="LE993" s="140"/>
      <c r="LF993" s="140"/>
      <c r="LG993" s="140"/>
      <c r="LH993" s="140"/>
      <c r="LI993" s="140"/>
      <c r="LJ993" s="140"/>
      <c r="LK993" s="140"/>
      <c r="LL993" s="140"/>
      <c r="LM993" s="140"/>
      <c r="LN993" s="140"/>
      <c r="LO993" s="140"/>
      <c r="LP993" s="140"/>
      <c r="LQ993" s="140"/>
      <c r="LR993" s="140"/>
      <c r="LS993" s="140"/>
      <c r="LT993" s="140"/>
      <c r="LU993" s="140"/>
      <c r="LV993" s="140"/>
      <c r="LW993" s="140"/>
      <c r="LX993" s="140"/>
      <c r="LY993" s="140"/>
      <c r="LZ993" s="140"/>
      <c r="MA993" s="140"/>
      <c r="MB993" s="140"/>
      <c r="MC993" s="140"/>
      <c r="MD993" s="140"/>
      <c r="ME993" s="140"/>
      <c r="MF993" s="140"/>
      <c r="MG993" s="140"/>
      <c r="MH993" s="140"/>
      <c r="MI993" s="140"/>
      <c r="MJ993" s="140"/>
      <c r="MK993" s="140"/>
      <c r="ML993" s="140"/>
    </row>
    <row r="994" spans="8:350" s="4" customFormat="1" ht="18" customHeight="1" x14ac:dyDescent="0.3">
      <c r="H994" s="140"/>
      <c r="I994" s="140"/>
      <c r="J994" s="140"/>
      <c r="K994" s="140"/>
      <c r="L994" s="140"/>
      <c r="M994" s="140"/>
      <c r="N994" s="140"/>
      <c r="O994" s="140"/>
      <c r="P994" s="140"/>
      <c r="Q994" s="140"/>
      <c r="R994" s="140"/>
      <c r="S994" s="140"/>
      <c r="T994" s="140"/>
      <c r="U994" s="140"/>
      <c r="V994" s="140"/>
      <c r="W994" s="140"/>
      <c r="X994" s="140"/>
      <c r="Y994" s="140"/>
      <c r="Z994" s="140"/>
      <c r="AA994" s="140"/>
      <c r="AB994" s="140"/>
      <c r="AC994" s="140"/>
      <c r="AD994" s="140"/>
      <c r="AE994" s="140"/>
      <c r="AF994" s="140"/>
      <c r="AG994" s="140"/>
      <c r="AH994" s="140"/>
      <c r="AI994" s="140"/>
      <c r="AJ994" s="140"/>
      <c r="AK994" s="140"/>
      <c r="AL994" s="140"/>
      <c r="AM994" s="140"/>
      <c r="AN994" s="140"/>
      <c r="AO994" s="140"/>
      <c r="AP994" s="140"/>
      <c r="AQ994" s="140"/>
      <c r="AR994" s="140"/>
      <c r="AS994" s="140"/>
      <c r="AT994" s="140"/>
      <c r="AU994" s="140"/>
      <c r="AV994" s="140"/>
      <c r="AW994" s="140"/>
      <c r="AX994" s="140"/>
      <c r="AY994" s="140"/>
      <c r="AZ994" s="140"/>
      <c r="BA994" s="140"/>
      <c r="BB994" s="140"/>
      <c r="BC994" s="140"/>
      <c r="BD994" s="140"/>
      <c r="BE994" s="140"/>
      <c r="BF994" s="140"/>
      <c r="BG994" s="140"/>
      <c r="BH994" s="140"/>
      <c r="BI994" s="140"/>
      <c r="BJ994" s="140"/>
      <c r="BK994" s="140"/>
      <c r="BL994" s="140"/>
      <c r="BM994" s="140"/>
      <c r="BN994" s="140"/>
      <c r="BO994" s="140"/>
      <c r="BP994" s="140"/>
      <c r="BQ994" s="140"/>
      <c r="BR994" s="140"/>
      <c r="BS994" s="140"/>
      <c r="BT994" s="140"/>
      <c r="BU994" s="140"/>
      <c r="BV994" s="140"/>
      <c r="BW994" s="140"/>
      <c r="BX994" s="140"/>
      <c r="BY994" s="140"/>
      <c r="BZ994" s="140"/>
      <c r="CA994" s="140"/>
      <c r="CB994" s="140"/>
      <c r="CC994" s="140"/>
      <c r="CD994" s="140"/>
      <c r="CE994" s="140"/>
      <c r="CF994" s="140"/>
      <c r="CG994" s="140"/>
      <c r="CH994" s="140"/>
      <c r="CI994" s="140"/>
      <c r="CJ994" s="140"/>
      <c r="CK994" s="140"/>
      <c r="CL994" s="140"/>
      <c r="CM994" s="140"/>
      <c r="CN994" s="140"/>
      <c r="FJ994" s="140"/>
      <c r="FK994" s="140"/>
      <c r="FL994" s="140"/>
      <c r="FM994" s="140"/>
      <c r="FN994" s="140"/>
      <c r="FO994" s="140"/>
      <c r="FP994" s="140"/>
      <c r="FQ994" s="140"/>
      <c r="FR994" s="140"/>
      <c r="FS994" s="140"/>
      <c r="FT994" s="140"/>
      <c r="FU994" s="140"/>
      <c r="FV994" s="140"/>
      <c r="FW994" s="140"/>
      <c r="FX994" s="140"/>
      <c r="FY994" s="140"/>
      <c r="FZ994" s="140"/>
      <c r="GA994" s="140"/>
      <c r="GB994" s="140"/>
      <c r="GC994" s="140"/>
      <c r="GD994" s="140"/>
      <c r="GE994" s="140"/>
      <c r="GF994" s="140"/>
      <c r="GG994" s="140"/>
      <c r="GH994" s="140"/>
      <c r="GI994" s="140"/>
      <c r="GJ994" s="140"/>
      <c r="GK994" s="140"/>
      <c r="GL994" s="140"/>
      <c r="GM994" s="140"/>
      <c r="GN994" s="140"/>
      <c r="GO994" s="140"/>
      <c r="GP994" s="140"/>
      <c r="GQ994" s="140"/>
      <c r="GR994" s="140"/>
      <c r="GS994" s="140"/>
      <c r="GT994" s="140"/>
      <c r="GU994" s="140"/>
      <c r="GV994" s="140"/>
      <c r="GW994" s="140"/>
      <c r="GX994" s="140"/>
      <c r="GY994" s="140"/>
      <c r="GZ994" s="140"/>
      <c r="HA994" s="140"/>
      <c r="HB994" s="140"/>
      <c r="HC994" s="140"/>
      <c r="HD994" s="140"/>
      <c r="HE994" s="140"/>
      <c r="HF994" s="140"/>
      <c r="HG994" s="140"/>
      <c r="HH994" s="140"/>
      <c r="HI994" s="140"/>
      <c r="HJ994" s="140"/>
      <c r="HK994" s="140"/>
      <c r="HL994" s="140"/>
      <c r="HM994" s="140"/>
      <c r="HN994" s="140"/>
      <c r="HO994" s="140"/>
      <c r="HP994" s="140"/>
      <c r="HQ994" s="140"/>
      <c r="HR994" s="140"/>
      <c r="HS994" s="140"/>
      <c r="HT994" s="140"/>
      <c r="HU994" s="140"/>
      <c r="HV994" s="140"/>
      <c r="HW994" s="140"/>
      <c r="HX994" s="140"/>
      <c r="HY994" s="140"/>
      <c r="HZ994" s="140"/>
      <c r="IA994" s="140"/>
      <c r="IB994" s="140"/>
      <c r="IC994" s="140"/>
      <c r="ID994" s="140"/>
      <c r="IE994" s="140"/>
      <c r="IF994" s="140"/>
      <c r="IG994" s="140"/>
      <c r="IH994" s="140"/>
      <c r="II994" s="140"/>
      <c r="IJ994" s="140"/>
      <c r="IK994" s="140"/>
      <c r="IL994" s="140"/>
      <c r="IM994" s="140"/>
      <c r="IN994" s="140"/>
      <c r="IO994" s="140"/>
      <c r="IP994" s="140"/>
      <c r="IQ994" s="140"/>
      <c r="IR994" s="140"/>
      <c r="IS994" s="140"/>
      <c r="IT994" s="140"/>
      <c r="IU994" s="140"/>
      <c r="IV994" s="140"/>
      <c r="IW994" s="140"/>
      <c r="IX994" s="140"/>
      <c r="IY994" s="140"/>
      <c r="IZ994" s="140"/>
      <c r="JA994" s="140"/>
      <c r="JB994" s="140"/>
      <c r="JC994" s="140"/>
      <c r="JD994" s="140"/>
      <c r="JE994" s="140"/>
      <c r="JF994" s="140"/>
      <c r="JG994" s="140"/>
      <c r="JH994" s="140"/>
      <c r="JI994" s="140"/>
      <c r="JJ994" s="140"/>
      <c r="JK994" s="140"/>
      <c r="JL994" s="140"/>
      <c r="JM994" s="140"/>
      <c r="JN994" s="140"/>
      <c r="JO994" s="140"/>
      <c r="JP994" s="140"/>
      <c r="JQ994" s="140"/>
      <c r="JR994" s="140"/>
      <c r="JS994" s="140"/>
      <c r="JT994" s="140"/>
      <c r="JU994" s="140"/>
      <c r="JV994" s="140"/>
      <c r="JW994" s="140"/>
      <c r="JX994" s="140"/>
      <c r="JY994" s="140"/>
      <c r="JZ994" s="140"/>
      <c r="KA994" s="140"/>
      <c r="KB994" s="140"/>
      <c r="KC994" s="140"/>
      <c r="KD994" s="140"/>
      <c r="KE994" s="140"/>
      <c r="KF994" s="140"/>
      <c r="KG994" s="140"/>
      <c r="KH994" s="140"/>
      <c r="KI994" s="140"/>
      <c r="KJ994" s="140"/>
      <c r="KK994" s="140"/>
      <c r="KL994" s="140"/>
      <c r="KM994" s="140"/>
      <c r="KN994" s="140"/>
      <c r="KO994" s="140"/>
      <c r="KP994" s="140"/>
      <c r="KQ994" s="140"/>
      <c r="KR994" s="140"/>
      <c r="KS994" s="140"/>
      <c r="KT994" s="140"/>
      <c r="KU994" s="140"/>
      <c r="KV994" s="140"/>
      <c r="KW994" s="140"/>
      <c r="KX994" s="140"/>
      <c r="KY994" s="140"/>
      <c r="KZ994" s="140"/>
      <c r="LA994" s="140"/>
      <c r="LB994" s="140"/>
      <c r="LC994" s="140"/>
      <c r="LD994" s="140"/>
      <c r="LE994" s="140"/>
      <c r="LF994" s="140"/>
      <c r="LG994" s="140"/>
      <c r="LH994" s="140"/>
      <c r="LI994" s="140"/>
      <c r="LJ994" s="140"/>
      <c r="LK994" s="140"/>
      <c r="LL994" s="140"/>
      <c r="LM994" s="140"/>
      <c r="LN994" s="140"/>
      <c r="LO994" s="140"/>
      <c r="LP994" s="140"/>
      <c r="LQ994" s="140"/>
      <c r="LR994" s="140"/>
      <c r="LS994" s="140"/>
      <c r="LT994" s="140"/>
      <c r="LU994" s="140"/>
      <c r="LV994" s="140"/>
      <c r="LW994" s="140"/>
      <c r="LX994" s="140"/>
      <c r="LY994" s="140"/>
      <c r="LZ994" s="140"/>
      <c r="MA994" s="140"/>
      <c r="MB994" s="140"/>
      <c r="MC994" s="140"/>
      <c r="MD994" s="140"/>
      <c r="ME994" s="140"/>
      <c r="MF994" s="140"/>
      <c r="MG994" s="140"/>
      <c r="MH994" s="140"/>
      <c r="MI994" s="140"/>
      <c r="MJ994" s="140"/>
      <c r="MK994" s="140"/>
      <c r="ML994" s="140"/>
    </row>
    <row r="995" spans="8:350" s="4" customFormat="1" ht="18" customHeight="1" x14ac:dyDescent="0.3">
      <c r="H995" s="140"/>
      <c r="I995" s="140"/>
      <c r="J995" s="140"/>
      <c r="K995" s="140"/>
      <c r="L995" s="140"/>
      <c r="M995" s="140"/>
      <c r="N995" s="140"/>
      <c r="O995" s="140"/>
      <c r="P995" s="140"/>
      <c r="Q995" s="140"/>
      <c r="R995" s="140"/>
      <c r="S995" s="140"/>
      <c r="T995" s="140"/>
      <c r="U995" s="140"/>
      <c r="V995" s="140"/>
      <c r="W995" s="140"/>
      <c r="X995" s="140"/>
      <c r="Y995" s="140"/>
      <c r="Z995" s="140"/>
      <c r="AA995" s="140"/>
      <c r="AB995" s="140"/>
      <c r="AC995" s="140"/>
      <c r="AD995" s="140"/>
      <c r="AE995" s="140"/>
      <c r="AF995" s="140"/>
      <c r="AG995" s="140"/>
      <c r="AH995" s="140"/>
      <c r="AI995" s="140"/>
      <c r="AJ995" s="140"/>
      <c r="AK995" s="140"/>
      <c r="AL995" s="140"/>
      <c r="AM995" s="140"/>
      <c r="AN995" s="140"/>
      <c r="AO995" s="140"/>
      <c r="AP995" s="140"/>
      <c r="AQ995" s="140"/>
      <c r="AR995" s="140"/>
      <c r="AS995" s="140"/>
      <c r="AT995" s="140"/>
      <c r="AU995" s="140"/>
      <c r="AV995" s="140"/>
      <c r="AW995" s="140"/>
      <c r="AX995" s="140"/>
      <c r="AY995" s="140"/>
      <c r="AZ995" s="140"/>
      <c r="BA995" s="140"/>
      <c r="BB995" s="140"/>
      <c r="BC995" s="140"/>
      <c r="BD995" s="140"/>
      <c r="BE995" s="140"/>
      <c r="BF995" s="140"/>
      <c r="BG995" s="140"/>
      <c r="BH995" s="140"/>
      <c r="BI995" s="140"/>
      <c r="BJ995" s="140"/>
      <c r="BK995" s="140"/>
      <c r="BL995" s="140"/>
      <c r="BM995" s="140"/>
      <c r="BN995" s="140"/>
      <c r="BO995" s="140"/>
      <c r="BP995" s="140"/>
      <c r="BQ995" s="140"/>
      <c r="BR995" s="140"/>
      <c r="BS995" s="140"/>
      <c r="BT995" s="140"/>
      <c r="BU995" s="140"/>
      <c r="BV995" s="140"/>
      <c r="BW995" s="140"/>
      <c r="BX995" s="140"/>
      <c r="BY995" s="140"/>
      <c r="BZ995" s="140"/>
      <c r="CA995" s="140"/>
      <c r="CB995" s="140"/>
      <c r="CC995" s="140"/>
      <c r="CD995" s="140"/>
      <c r="CE995" s="140"/>
      <c r="CF995" s="140"/>
      <c r="CG995" s="140"/>
      <c r="CH995" s="140"/>
      <c r="CI995" s="140"/>
      <c r="CJ995" s="140"/>
      <c r="CK995" s="140"/>
      <c r="CL995" s="140"/>
      <c r="CM995" s="140"/>
      <c r="CN995" s="140"/>
      <c r="FJ995" s="140"/>
      <c r="FK995" s="140"/>
      <c r="FL995" s="140"/>
      <c r="FM995" s="140"/>
      <c r="FN995" s="140"/>
      <c r="FO995" s="140"/>
      <c r="FP995" s="140"/>
      <c r="FQ995" s="140"/>
      <c r="FR995" s="140"/>
      <c r="FS995" s="140"/>
      <c r="FT995" s="140"/>
      <c r="FU995" s="140"/>
      <c r="FV995" s="140"/>
      <c r="FW995" s="140"/>
      <c r="FX995" s="140"/>
      <c r="FY995" s="140"/>
      <c r="FZ995" s="140"/>
      <c r="GA995" s="140"/>
      <c r="GB995" s="140"/>
      <c r="GC995" s="140"/>
      <c r="GD995" s="140"/>
      <c r="GE995" s="140"/>
      <c r="GF995" s="140"/>
      <c r="GG995" s="140"/>
      <c r="GH995" s="140"/>
      <c r="GI995" s="140"/>
      <c r="GJ995" s="140"/>
      <c r="GK995" s="140"/>
      <c r="GL995" s="140"/>
      <c r="GM995" s="140"/>
      <c r="GN995" s="140"/>
      <c r="GO995" s="140"/>
      <c r="GP995" s="140"/>
      <c r="GQ995" s="140"/>
      <c r="GR995" s="140"/>
      <c r="GS995" s="140"/>
      <c r="GT995" s="140"/>
      <c r="GU995" s="140"/>
      <c r="GV995" s="140"/>
      <c r="GW995" s="140"/>
      <c r="GX995" s="140"/>
      <c r="GY995" s="140"/>
      <c r="GZ995" s="140"/>
      <c r="HA995" s="140"/>
      <c r="HB995" s="140"/>
      <c r="HC995" s="140"/>
      <c r="HD995" s="140"/>
      <c r="HE995" s="140"/>
      <c r="HF995" s="140"/>
      <c r="HG995" s="140"/>
      <c r="HH995" s="140"/>
      <c r="HI995" s="140"/>
      <c r="HJ995" s="140"/>
      <c r="HK995" s="140"/>
      <c r="HL995" s="140"/>
      <c r="HM995" s="140"/>
      <c r="HN995" s="140"/>
      <c r="HO995" s="140"/>
      <c r="HP995" s="140"/>
      <c r="HQ995" s="140"/>
      <c r="HR995" s="140"/>
      <c r="HS995" s="140"/>
      <c r="HT995" s="140"/>
      <c r="HU995" s="140"/>
      <c r="HV995" s="140"/>
      <c r="HW995" s="140"/>
      <c r="HX995" s="140"/>
      <c r="HY995" s="140"/>
      <c r="HZ995" s="140"/>
      <c r="IA995" s="140"/>
      <c r="IB995" s="140"/>
      <c r="IC995" s="140"/>
      <c r="ID995" s="140"/>
      <c r="IE995" s="140"/>
      <c r="IF995" s="140"/>
      <c r="IG995" s="140"/>
      <c r="IH995" s="140"/>
      <c r="II995" s="140"/>
      <c r="IJ995" s="140"/>
      <c r="IK995" s="140"/>
      <c r="IL995" s="140"/>
      <c r="IM995" s="140"/>
      <c r="IN995" s="140"/>
      <c r="IO995" s="140"/>
      <c r="IP995" s="140"/>
      <c r="IQ995" s="140"/>
      <c r="IR995" s="140"/>
      <c r="IS995" s="140"/>
      <c r="IT995" s="140"/>
      <c r="IU995" s="140"/>
      <c r="IV995" s="140"/>
      <c r="IW995" s="140"/>
      <c r="IX995" s="140"/>
      <c r="IY995" s="140"/>
      <c r="IZ995" s="140"/>
      <c r="JA995" s="140"/>
      <c r="JB995" s="140"/>
      <c r="JC995" s="140"/>
      <c r="JD995" s="140"/>
      <c r="JE995" s="140"/>
      <c r="JF995" s="140"/>
      <c r="JG995" s="140"/>
      <c r="JH995" s="140"/>
      <c r="JI995" s="140"/>
      <c r="JJ995" s="140"/>
      <c r="JK995" s="140"/>
      <c r="JL995" s="140"/>
      <c r="JM995" s="140"/>
      <c r="JN995" s="140"/>
      <c r="JO995" s="140"/>
      <c r="JP995" s="140"/>
      <c r="JQ995" s="140"/>
      <c r="JR995" s="140"/>
      <c r="JS995" s="140"/>
      <c r="JT995" s="140"/>
      <c r="JU995" s="140"/>
      <c r="JV995" s="140"/>
      <c r="JW995" s="140"/>
      <c r="JX995" s="140"/>
      <c r="JY995" s="140"/>
      <c r="JZ995" s="140"/>
      <c r="KA995" s="140"/>
      <c r="KB995" s="140"/>
      <c r="KC995" s="140"/>
      <c r="KD995" s="140"/>
      <c r="KE995" s="140"/>
      <c r="KF995" s="140"/>
      <c r="KG995" s="140"/>
      <c r="KH995" s="140"/>
      <c r="KI995" s="140"/>
      <c r="KJ995" s="140"/>
      <c r="KK995" s="140"/>
      <c r="KL995" s="140"/>
      <c r="KM995" s="140"/>
      <c r="KN995" s="140"/>
      <c r="KO995" s="140"/>
      <c r="KP995" s="140"/>
      <c r="KQ995" s="140"/>
      <c r="KR995" s="140"/>
      <c r="KS995" s="140"/>
      <c r="KT995" s="140"/>
      <c r="KU995" s="140"/>
      <c r="KV995" s="140"/>
      <c r="KW995" s="140"/>
      <c r="KX995" s="140"/>
      <c r="KY995" s="140"/>
      <c r="KZ995" s="140"/>
      <c r="LA995" s="140"/>
      <c r="LB995" s="140"/>
      <c r="LC995" s="140"/>
      <c r="LD995" s="140"/>
      <c r="LE995" s="140"/>
      <c r="LF995" s="140"/>
      <c r="LG995" s="140"/>
      <c r="LH995" s="140"/>
      <c r="LI995" s="140"/>
      <c r="LJ995" s="140"/>
      <c r="LK995" s="140"/>
      <c r="LL995" s="140"/>
      <c r="LM995" s="140"/>
      <c r="LN995" s="140"/>
      <c r="LO995" s="140"/>
      <c r="LP995" s="140"/>
      <c r="LQ995" s="140"/>
      <c r="LR995" s="140"/>
      <c r="LS995" s="140"/>
      <c r="LT995" s="140"/>
      <c r="LU995" s="140"/>
      <c r="LV995" s="140"/>
      <c r="LW995" s="140"/>
      <c r="LX995" s="140"/>
      <c r="LY995" s="140"/>
      <c r="LZ995" s="140"/>
      <c r="MA995" s="140"/>
      <c r="MB995" s="140"/>
      <c r="MC995" s="140"/>
      <c r="MD995" s="140"/>
      <c r="ME995" s="140"/>
      <c r="MF995" s="140"/>
      <c r="MG995" s="140"/>
      <c r="MH995" s="140"/>
      <c r="MI995" s="140"/>
      <c r="MJ995" s="140"/>
      <c r="MK995" s="140"/>
      <c r="ML995" s="140"/>
    </row>
    <row r="996" spans="8:350" s="4" customFormat="1" ht="18" customHeight="1" x14ac:dyDescent="0.3">
      <c r="H996" s="140"/>
      <c r="I996" s="140"/>
      <c r="J996" s="140"/>
      <c r="K996" s="140"/>
      <c r="L996" s="140"/>
      <c r="M996" s="140"/>
      <c r="N996" s="140"/>
      <c r="O996" s="140"/>
      <c r="P996" s="140"/>
      <c r="Q996" s="140"/>
      <c r="R996" s="140"/>
      <c r="S996" s="140"/>
      <c r="T996" s="140"/>
      <c r="U996" s="140"/>
      <c r="V996" s="140"/>
      <c r="W996" s="140"/>
      <c r="X996" s="140"/>
      <c r="Y996" s="140"/>
      <c r="Z996" s="140"/>
      <c r="AA996" s="140"/>
      <c r="AB996" s="140"/>
      <c r="AC996" s="140"/>
      <c r="AD996" s="140"/>
      <c r="AE996" s="140"/>
      <c r="AF996" s="140"/>
      <c r="AG996" s="140"/>
      <c r="AH996" s="140"/>
      <c r="AI996" s="140"/>
      <c r="AJ996" s="140"/>
      <c r="AK996" s="140"/>
      <c r="AL996" s="140"/>
      <c r="AM996" s="140"/>
      <c r="AN996" s="140"/>
      <c r="AO996" s="140"/>
      <c r="AP996" s="140"/>
      <c r="AQ996" s="140"/>
      <c r="AR996" s="140"/>
      <c r="AS996" s="140"/>
      <c r="AT996" s="140"/>
      <c r="AU996" s="140"/>
      <c r="AV996" s="140"/>
      <c r="AW996" s="140"/>
      <c r="AX996" s="140"/>
      <c r="AY996" s="140"/>
      <c r="AZ996" s="140"/>
      <c r="BA996" s="140"/>
      <c r="BB996" s="140"/>
      <c r="BC996" s="140"/>
      <c r="BD996" s="140"/>
      <c r="BE996" s="140"/>
      <c r="BF996" s="140"/>
      <c r="BG996" s="140"/>
      <c r="BH996" s="140"/>
      <c r="BI996" s="140"/>
      <c r="BJ996" s="140"/>
      <c r="BK996" s="140"/>
      <c r="BL996" s="140"/>
      <c r="BM996" s="140"/>
      <c r="BN996" s="140"/>
      <c r="BO996" s="140"/>
      <c r="BP996" s="140"/>
      <c r="BQ996" s="140"/>
      <c r="BR996" s="140"/>
      <c r="BS996" s="140"/>
      <c r="BT996" s="140"/>
      <c r="BU996" s="140"/>
      <c r="BV996" s="140"/>
      <c r="BW996" s="140"/>
      <c r="BX996" s="140"/>
      <c r="BY996" s="140"/>
      <c r="BZ996" s="140"/>
      <c r="CA996" s="140"/>
      <c r="CB996" s="140"/>
      <c r="CC996" s="140"/>
      <c r="CD996" s="140"/>
      <c r="CE996" s="140"/>
      <c r="CF996" s="140"/>
      <c r="CG996" s="140"/>
      <c r="CH996" s="140"/>
      <c r="CI996" s="140"/>
      <c r="CJ996" s="140"/>
      <c r="CK996" s="140"/>
      <c r="CL996" s="140"/>
      <c r="CM996" s="140"/>
      <c r="CN996" s="140"/>
      <c r="FJ996" s="140"/>
      <c r="FK996" s="140"/>
      <c r="FL996" s="140"/>
      <c r="FM996" s="140"/>
      <c r="FN996" s="140"/>
      <c r="FO996" s="140"/>
      <c r="FP996" s="140"/>
      <c r="FQ996" s="140"/>
      <c r="FR996" s="140"/>
      <c r="FS996" s="140"/>
      <c r="FT996" s="140"/>
      <c r="FU996" s="140"/>
      <c r="FV996" s="140"/>
      <c r="FW996" s="140"/>
      <c r="FX996" s="140"/>
      <c r="FY996" s="140"/>
      <c r="FZ996" s="140"/>
      <c r="GA996" s="140"/>
      <c r="GB996" s="140"/>
      <c r="GC996" s="140"/>
      <c r="GD996" s="140"/>
      <c r="GE996" s="140"/>
      <c r="GF996" s="140"/>
      <c r="GG996" s="140"/>
      <c r="GH996" s="140"/>
      <c r="GI996" s="140"/>
      <c r="GJ996" s="140"/>
      <c r="GK996" s="140"/>
      <c r="GL996" s="140"/>
      <c r="GM996" s="140"/>
      <c r="GN996" s="140"/>
      <c r="GO996" s="140"/>
      <c r="GP996" s="140"/>
      <c r="GQ996" s="140"/>
      <c r="GR996" s="140"/>
      <c r="GS996" s="140"/>
      <c r="GT996" s="140"/>
      <c r="GU996" s="140"/>
      <c r="GV996" s="140"/>
      <c r="GW996" s="140"/>
      <c r="GX996" s="140"/>
      <c r="GY996" s="140"/>
      <c r="GZ996" s="140"/>
      <c r="HA996" s="140"/>
      <c r="HB996" s="140"/>
      <c r="HC996" s="140"/>
      <c r="HD996" s="140"/>
      <c r="HE996" s="140"/>
      <c r="HF996" s="140"/>
      <c r="HG996" s="140"/>
      <c r="HH996" s="140"/>
      <c r="HI996" s="140"/>
      <c r="HJ996" s="140"/>
      <c r="HK996" s="140"/>
      <c r="HL996" s="140"/>
      <c r="HM996" s="140"/>
      <c r="HN996" s="140"/>
      <c r="HO996" s="140"/>
      <c r="HP996" s="140"/>
      <c r="HQ996" s="140"/>
      <c r="HR996" s="140"/>
      <c r="HS996" s="140"/>
      <c r="HT996" s="140"/>
      <c r="HU996" s="140"/>
      <c r="HV996" s="140"/>
      <c r="HW996" s="140"/>
      <c r="HX996" s="140"/>
      <c r="HY996" s="140"/>
      <c r="HZ996" s="140"/>
      <c r="IA996" s="140"/>
      <c r="IB996" s="140"/>
      <c r="IC996" s="140"/>
      <c r="ID996" s="140"/>
      <c r="IE996" s="140"/>
      <c r="IF996" s="140"/>
      <c r="IG996" s="140"/>
      <c r="IH996" s="140"/>
      <c r="II996" s="140"/>
      <c r="IJ996" s="140"/>
      <c r="IK996" s="140"/>
      <c r="IL996" s="140"/>
      <c r="IM996" s="140"/>
      <c r="IN996" s="140"/>
      <c r="IO996" s="140"/>
      <c r="IP996" s="140"/>
      <c r="IQ996" s="140"/>
      <c r="IR996" s="140"/>
      <c r="IS996" s="140"/>
      <c r="IT996" s="140"/>
      <c r="IU996" s="140"/>
      <c r="IV996" s="140"/>
      <c r="IW996" s="140"/>
      <c r="IX996" s="140"/>
      <c r="IY996" s="140"/>
      <c r="IZ996" s="140"/>
      <c r="JA996" s="140"/>
      <c r="JB996" s="140"/>
      <c r="JC996" s="140"/>
      <c r="JD996" s="140"/>
      <c r="JE996" s="140"/>
      <c r="JF996" s="140"/>
      <c r="JG996" s="140"/>
      <c r="JH996" s="140"/>
      <c r="JI996" s="140"/>
      <c r="JJ996" s="140"/>
      <c r="JK996" s="140"/>
      <c r="JL996" s="140"/>
      <c r="JM996" s="140"/>
      <c r="JN996" s="140"/>
      <c r="JO996" s="140"/>
      <c r="JP996" s="140"/>
      <c r="JQ996" s="140"/>
      <c r="JR996" s="140"/>
      <c r="JS996" s="140"/>
      <c r="JT996" s="140"/>
      <c r="JU996" s="140"/>
      <c r="JV996" s="140"/>
      <c r="JW996" s="140"/>
      <c r="JX996" s="140"/>
      <c r="JY996" s="140"/>
      <c r="JZ996" s="140"/>
      <c r="KA996" s="140"/>
      <c r="KB996" s="140"/>
      <c r="KC996" s="140"/>
      <c r="KD996" s="140"/>
      <c r="KE996" s="140"/>
      <c r="KF996" s="140"/>
      <c r="KG996" s="140"/>
      <c r="KH996" s="140"/>
      <c r="KI996" s="140"/>
      <c r="KJ996" s="140"/>
      <c r="KK996" s="140"/>
      <c r="KL996" s="140"/>
      <c r="KM996" s="140"/>
      <c r="KN996" s="140"/>
      <c r="KO996" s="140"/>
      <c r="KP996" s="140"/>
      <c r="KQ996" s="140"/>
      <c r="KR996" s="140"/>
      <c r="KS996" s="140"/>
      <c r="KT996" s="140"/>
      <c r="KU996" s="140"/>
      <c r="KV996" s="140"/>
      <c r="KW996" s="140"/>
      <c r="KX996" s="140"/>
      <c r="KY996" s="140"/>
      <c r="KZ996" s="140"/>
      <c r="LA996" s="140"/>
      <c r="LB996" s="140"/>
      <c r="LC996" s="140"/>
      <c r="LD996" s="140"/>
      <c r="LE996" s="140"/>
      <c r="LF996" s="140"/>
      <c r="LG996" s="140"/>
      <c r="LH996" s="140"/>
      <c r="LI996" s="140"/>
      <c r="LJ996" s="140"/>
      <c r="LK996" s="140"/>
      <c r="LL996" s="140"/>
      <c r="LM996" s="140"/>
      <c r="LN996" s="140"/>
      <c r="LO996" s="140"/>
      <c r="LP996" s="140"/>
      <c r="LQ996" s="140"/>
      <c r="LR996" s="140"/>
      <c r="LS996" s="140"/>
      <c r="LT996" s="140"/>
      <c r="LU996" s="140"/>
      <c r="LV996" s="140"/>
      <c r="LW996" s="140"/>
      <c r="LX996" s="140"/>
      <c r="LY996" s="140"/>
      <c r="LZ996" s="140"/>
      <c r="MA996" s="140"/>
      <c r="MB996" s="140"/>
      <c r="MC996" s="140"/>
      <c r="MD996" s="140"/>
      <c r="ME996" s="140"/>
      <c r="MF996" s="140"/>
      <c r="MG996" s="140"/>
      <c r="MH996" s="140"/>
      <c r="MI996" s="140"/>
      <c r="MJ996" s="140"/>
      <c r="MK996" s="140"/>
      <c r="ML996" s="140"/>
    </row>
    <row r="997" spans="8:350" s="4" customFormat="1" ht="18" customHeight="1" x14ac:dyDescent="0.3">
      <c r="H997" s="140"/>
      <c r="I997" s="140"/>
      <c r="J997" s="140"/>
      <c r="K997" s="140"/>
      <c r="L997" s="140"/>
      <c r="M997" s="140"/>
      <c r="N997" s="140"/>
      <c r="O997" s="140"/>
      <c r="P997" s="140"/>
      <c r="Q997" s="140"/>
      <c r="R997" s="140"/>
      <c r="S997" s="140"/>
      <c r="T997" s="140"/>
      <c r="U997" s="140"/>
      <c r="V997" s="140"/>
      <c r="W997" s="140"/>
      <c r="X997" s="140"/>
      <c r="Y997" s="140"/>
      <c r="Z997" s="140"/>
      <c r="AA997" s="140"/>
      <c r="AB997" s="140"/>
      <c r="AC997" s="140"/>
      <c r="AD997" s="140"/>
      <c r="AE997" s="140"/>
      <c r="AF997" s="140"/>
      <c r="AG997" s="140"/>
      <c r="AH997" s="140"/>
      <c r="AI997" s="140"/>
      <c r="AJ997" s="140"/>
      <c r="AK997" s="140"/>
      <c r="AL997" s="140"/>
      <c r="AM997" s="140"/>
      <c r="AN997" s="140"/>
      <c r="AO997" s="140"/>
      <c r="AP997" s="140"/>
      <c r="AQ997" s="140"/>
      <c r="AR997" s="140"/>
      <c r="AS997" s="140"/>
      <c r="AT997" s="140"/>
      <c r="AU997" s="140"/>
      <c r="AV997" s="140"/>
      <c r="AW997" s="140"/>
      <c r="AX997" s="140"/>
      <c r="AY997" s="140"/>
      <c r="AZ997" s="140"/>
      <c r="BA997" s="140"/>
      <c r="BB997" s="140"/>
      <c r="BC997" s="140"/>
      <c r="BD997" s="140"/>
      <c r="BE997" s="140"/>
      <c r="BF997" s="140"/>
      <c r="BG997" s="140"/>
      <c r="BH997" s="140"/>
      <c r="BI997" s="140"/>
      <c r="BJ997" s="140"/>
      <c r="BK997" s="140"/>
      <c r="BL997" s="140"/>
      <c r="BM997" s="140"/>
      <c r="BN997" s="140"/>
      <c r="BO997" s="140"/>
      <c r="BP997" s="140"/>
      <c r="BQ997" s="140"/>
      <c r="BR997" s="140"/>
      <c r="BS997" s="140"/>
      <c r="BT997" s="140"/>
      <c r="BU997" s="140"/>
      <c r="BV997" s="140"/>
      <c r="BW997" s="140"/>
      <c r="BX997" s="140"/>
      <c r="BY997" s="140"/>
      <c r="BZ997" s="140"/>
      <c r="CA997" s="140"/>
      <c r="CB997" s="140"/>
      <c r="CC997" s="140"/>
      <c r="CD997" s="140"/>
      <c r="CE997" s="140"/>
      <c r="CF997" s="140"/>
      <c r="CG997" s="140"/>
      <c r="CH997" s="140"/>
      <c r="CI997" s="140"/>
      <c r="CJ997" s="140"/>
      <c r="CK997" s="140"/>
      <c r="CL997" s="140"/>
      <c r="CM997" s="140"/>
      <c r="CN997" s="140"/>
      <c r="FJ997" s="140"/>
      <c r="FK997" s="140"/>
      <c r="FL997" s="140"/>
      <c r="FM997" s="140"/>
      <c r="FN997" s="140"/>
      <c r="FO997" s="140"/>
      <c r="FP997" s="140"/>
      <c r="FQ997" s="140"/>
      <c r="FR997" s="140"/>
      <c r="FS997" s="140"/>
      <c r="FT997" s="140"/>
      <c r="FU997" s="140"/>
      <c r="FV997" s="140"/>
      <c r="FW997" s="140"/>
      <c r="FX997" s="140"/>
      <c r="FY997" s="140"/>
      <c r="FZ997" s="140"/>
      <c r="GA997" s="140"/>
      <c r="GB997" s="140"/>
      <c r="GC997" s="140"/>
      <c r="GD997" s="140"/>
      <c r="GE997" s="140"/>
      <c r="GF997" s="140"/>
      <c r="GG997" s="140"/>
      <c r="GH997" s="140"/>
      <c r="GI997" s="140"/>
      <c r="GJ997" s="140"/>
      <c r="GK997" s="140"/>
      <c r="GL997" s="140"/>
      <c r="GM997" s="140"/>
      <c r="GN997" s="140"/>
      <c r="GO997" s="140"/>
      <c r="GP997" s="140"/>
      <c r="GQ997" s="140"/>
      <c r="GR997" s="140"/>
      <c r="GS997" s="140"/>
      <c r="GT997" s="140"/>
      <c r="GU997" s="140"/>
      <c r="GV997" s="140"/>
      <c r="GW997" s="140"/>
      <c r="GX997" s="140"/>
      <c r="GY997" s="140"/>
      <c r="GZ997" s="140"/>
      <c r="HA997" s="140"/>
      <c r="HB997" s="140"/>
      <c r="HC997" s="140"/>
      <c r="HD997" s="140"/>
      <c r="HE997" s="140"/>
      <c r="HF997" s="140"/>
      <c r="HG997" s="140"/>
      <c r="HH997" s="140"/>
      <c r="HI997" s="140"/>
      <c r="HJ997" s="140"/>
      <c r="HK997" s="140"/>
      <c r="HL997" s="140"/>
      <c r="HM997" s="140"/>
      <c r="HN997" s="140"/>
      <c r="HO997" s="140"/>
      <c r="HP997" s="140"/>
      <c r="HQ997" s="140"/>
      <c r="HR997" s="140"/>
      <c r="HS997" s="140"/>
      <c r="HT997" s="140"/>
      <c r="HU997" s="140"/>
      <c r="HV997" s="140"/>
      <c r="HW997" s="140"/>
      <c r="HX997" s="140"/>
      <c r="HY997" s="140"/>
      <c r="HZ997" s="140"/>
      <c r="IA997" s="140"/>
      <c r="IB997" s="140"/>
      <c r="IC997" s="140"/>
      <c r="ID997" s="140"/>
      <c r="IE997" s="140"/>
      <c r="IF997" s="140"/>
      <c r="IG997" s="140"/>
      <c r="IH997" s="140"/>
      <c r="II997" s="140"/>
      <c r="IJ997" s="140"/>
      <c r="IK997" s="140"/>
      <c r="IL997" s="140"/>
      <c r="IM997" s="140"/>
      <c r="IN997" s="140"/>
      <c r="IO997" s="140"/>
      <c r="IP997" s="140"/>
      <c r="IQ997" s="140"/>
      <c r="IR997" s="140"/>
      <c r="IS997" s="140"/>
      <c r="IT997" s="140"/>
      <c r="IU997" s="140"/>
      <c r="IV997" s="140"/>
      <c r="IW997" s="140"/>
      <c r="IX997" s="140"/>
      <c r="IY997" s="140"/>
      <c r="IZ997" s="140"/>
      <c r="JA997" s="140"/>
      <c r="JB997" s="140"/>
      <c r="JC997" s="140"/>
      <c r="JD997" s="140"/>
      <c r="JE997" s="140"/>
      <c r="JF997" s="140"/>
      <c r="JG997" s="140"/>
      <c r="JH997" s="140"/>
      <c r="JI997" s="140"/>
      <c r="JJ997" s="140"/>
      <c r="JK997" s="140"/>
      <c r="JL997" s="140"/>
      <c r="JM997" s="140"/>
      <c r="JN997" s="140"/>
      <c r="JO997" s="140"/>
      <c r="JP997" s="140"/>
      <c r="JQ997" s="140"/>
      <c r="JR997" s="140"/>
      <c r="JS997" s="140"/>
      <c r="JT997" s="140"/>
      <c r="JU997" s="140"/>
      <c r="JV997" s="140"/>
      <c r="JW997" s="140"/>
      <c r="JX997" s="140"/>
      <c r="JY997" s="140"/>
      <c r="JZ997" s="140"/>
      <c r="KA997" s="140"/>
      <c r="KB997" s="140"/>
      <c r="KC997" s="140"/>
      <c r="KD997" s="140"/>
      <c r="KE997" s="140"/>
      <c r="KF997" s="140"/>
      <c r="KG997" s="140"/>
      <c r="KH997" s="140"/>
      <c r="KI997" s="140"/>
      <c r="KJ997" s="140"/>
      <c r="KK997" s="140"/>
      <c r="KL997" s="140"/>
      <c r="KM997" s="140"/>
      <c r="KN997" s="140"/>
      <c r="KO997" s="140"/>
      <c r="KP997" s="140"/>
      <c r="KQ997" s="140"/>
      <c r="KR997" s="140"/>
      <c r="KS997" s="140"/>
      <c r="KT997" s="140"/>
      <c r="KU997" s="140"/>
      <c r="KV997" s="140"/>
      <c r="KW997" s="140"/>
      <c r="KX997" s="140"/>
      <c r="KY997" s="140"/>
      <c r="KZ997" s="140"/>
      <c r="LA997" s="140"/>
      <c r="LB997" s="140"/>
      <c r="LC997" s="140"/>
      <c r="LD997" s="140"/>
      <c r="LE997" s="140"/>
      <c r="LF997" s="140"/>
      <c r="LG997" s="140"/>
      <c r="LH997" s="140"/>
      <c r="LI997" s="140"/>
      <c r="LJ997" s="140"/>
      <c r="LK997" s="140"/>
      <c r="LL997" s="140"/>
      <c r="LM997" s="140"/>
      <c r="LN997" s="140"/>
      <c r="LO997" s="140"/>
      <c r="LP997" s="140"/>
      <c r="LQ997" s="140"/>
      <c r="LR997" s="140"/>
      <c r="LS997" s="140"/>
      <c r="LT997" s="140"/>
      <c r="LU997" s="140"/>
      <c r="LV997" s="140"/>
      <c r="LW997" s="140"/>
      <c r="LX997" s="140"/>
      <c r="LY997" s="140"/>
      <c r="LZ997" s="140"/>
      <c r="MA997" s="140"/>
      <c r="MB997" s="140"/>
      <c r="MC997" s="140"/>
      <c r="MD997" s="140"/>
      <c r="ME997" s="140"/>
      <c r="MF997" s="140"/>
      <c r="MG997" s="140"/>
      <c r="MH997" s="140"/>
      <c r="MI997" s="140"/>
      <c r="MJ997" s="140"/>
      <c r="MK997" s="140"/>
      <c r="ML997" s="140"/>
    </row>
    <row r="998" spans="8:350" s="4" customFormat="1" ht="18" customHeight="1" x14ac:dyDescent="0.3">
      <c r="H998" s="140"/>
      <c r="I998" s="140"/>
      <c r="J998" s="140"/>
      <c r="K998" s="140"/>
      <c r="L998" s="140"/>
      <c r="M998" s="140"/>
      <c r="N998" s="140"/>
      <c r="O998" s="140"/>
      <c r="P998" s="140"/>
      <c r="Q998" s="140"/>
      <c r="R998" s="140"/>
      <c r="S998" s="140"/>
      <c r="T998" s="140"/>
      <c r="U998" s="140"/>
      <c r="V998" s="140"/>
      <c r="W998" s="140"/>
      <c r="X998" s="140"/>
      <c r="Y998" s="140"/>
      <c r="Z998" s="140"/>
      <c r="AA998" s="140"/>
      <c r="AB998" s="140"/>
      <c r="AC998" s="140"/>
      <c r="AD998" s="140"/>
      <c r="AE998" s="140"/>
      <c r="AF998" s="140"/>
      <c r="AG998" s="140"/>
      <c r="AH998" s="140"/>
      <c r="AI998" s="140"/>
      <c r="AJ998" s="140"/>
      <c r="AK998" s="140"/>
      <c r="AL998" s="140"/>
      <c r="AM998" s="140"/>
      <c r="AN998" s="140"/>
      <c r="AO998" s="140"/>
      <c r="AP998" s="140"/>
      <c r="AQ998" s="140"/>
      <c r="AR998" s="140"/>
      <c r="AS998" s="140"/>
      <c r="AT998" s="140"/>
      <c r="AU998" s="140"/>
      <c r="AV998" s="140"/>
      <c r="AW998" s="140"/>
      <c r="AX998" s="140"/>
      <c r="AY998" s="140"/>
      <c r="AZ998" s="140"/>
      <c r="BA998" s="140"/>
      <c r="BB998" s="140"/>
      <c r="BC998" s="140"/>
      <c r="BD998" s="140"/>
      <c r="BE998" s="140"/>
      <c r="BF998" s="140"/>
      <c r="BG998" s="140"/>
      <c r="BH998" s="140"/>
      <c r="BI998" s="140"/>
      <c r="BJ998" s="140"/>
      <c r="BK998" s="140"/>
      <c r="BL998" s="140"/>
      <c r="BM998" s="140"/>
      <c r="BN998" s="140"/>
      <c r="BO998" s="140"/>
      <c r="BP998" s="140"/>
      <c r="BQ998" s="140"/>
      <c r="BR998" s="140"/>
      <c r="BS998" s="140"/>
      <c r="BT998" s="140"/>
      <c r="BU998" s="140"/>
      <c r="BV998" s="140"/>
      <c r="BW998" s="140"/>
      <c r="BX998" s="140"/>
      <c r="BY998" s="140"/>
      <c r="BZ998" s="140"/>
      <c r="CA998" s="140"/>
      <c r="CB998" s="140"/>
      <c r="CC998" s="140"/>
      <c r="CD998" s="140"/>
      <c r="CE998" s="140"/>
      <c r="CF998" s="140"/>
      <c r="CG998" s="140"/>
      <c r="CH998" s="140"/>
      <c r="CI998" s="140"/>
      <c r="CJ998" s="140"/>
      <c r="CK998" s="140"/>
      <c r="CL998" s="140"/>
      <c r="CM998" s="140"/>
      <c r="CN998" s="140"/>
      <c r="FJ998" s="140"/>
      <c r="FK998" s="140"/>
      <c r="FL998" s="140"/>
      <c r="FM998" s="140"/>
      <c r="FN998" s="140"/>
      <c r="FO998" s="140"/>
      <c r="FP998" s="140"/>
      <c r="FQ998" s="140"/>
      <c r="FR998" s="140"/>
      <c r="FS998" s="140"/>
      <c r="FT998" s="140"/>
      <c r="FU998" s="140"/>
      <c r="FV998" s="140"/>
      <c r="FW998" s="140"/>
      <c r="FX998" s="140"/>
      <c r="FY998" s="140"/>
      <c r="FZ998" s="140"/>
      <c r="GA998" s="140"/>
      <c r="GB998" s="140"/>
      <c r="GC998" s="140"/>
      <c r="GD998" s="140"/>
      <c r="GE998" s="140"/>
      <c r="GF998" s="140"/>
      <c r="GG998" s="140"/>
      <c r="GH998" s="140"/>
      <c r="GI998" s="140"/>
      <c r="GJ998" s="140"/>
      <c r="GK998" s="140"/>
      <c r="GL998" s="140"/>
      <c r="GM998" s="140"/>
      <c r="GN998" s="140"/>
      <c r="GO998" s="140"/>
      <c r="GP998" s="140"/>
      <c r="GQ998" s="140"/>
      <c r="GR998" s="140"/>
      <c r="GS998" s="140"/>
      <c r="GT998" s="140"/>
      <c r="GU998" s="140"/>
      <c r="GV998" s="140"/>
      <c r="GW998" s="140"/>
      <c r="GX998" s="140"/>
      <c r="GY998" s="140"/>
      <c r="GZ998" s="140"/>
      <c r="HA998" s="140"/>
      <c r="HB998" s="140"/>
      <c r="HC998" s="140"/>
      <c r="HD998" s="140"/>
      <c r="HE998" s="140"/>
      <c r="HF998" s="140"/>
      <c r="HG998" s="140"/>
      <c r="HH998" s="140"/>
      <c r="HI998" s="140"/>
      <c r="HJ998" s="140"/>
      <c r="HK998" s="140"/>
      <c r="HL998" s="140"/>
      <c r="HM998" s="140"/>
      <c r="HN998" s="140"/>
      <c r="HO998" s="140"/>
      <c r="HP998" s="140"/>
      <c r="HQ998" s="140"/>
      <c r="HR998" s="140"/>
      <c r="HS998" s="140"/>
      <c r="HT998" s="140"/>
      <c r="HU998" s="140"/>
      <c r="HV998" s="140"/>
      <c r="HW998" s="140"/>
      <c r="HX998" s="140"/>
      <c r="HY998" s="140"/>
      <c r="HZ998" s="140"/>
      <c r="IA998" s="140"/>
      <c r="IB998" s="140"/>
      <c r="IC998" s="140"/>
      <c r="ID998" s="140"/>
      <c r="IE998" s="140"/>
      <c r="IF998" s="140"/>
      <c r="IG998" s="140"/>
      <c r="IH998" s="140"/>
      <c r="II998" s="140"/>
      <c r="IJ998" s="140"/>
      <c r="IK998" s="140"/>
      <c r="IL998" s="140"/>
      <c r="IM998" s="140"/>
      <c r="IN998" s="140"/>
      <c r="IO998" s="140"/>
      <c r="IP998" s="140"/>
      <c r="IQ998" s="140"/>
      <c r="IR998" s="140"/>
      <c r="IS998" s="140"/>
      <c r="IT998" s="140"/>
      <c r="IU998" s="140"/>
      <c r="IV998" s="140"/>
      <c r="IW998" s="140"/>
      <c r="IX998" s="140"/>
      <c r="IY998" s="140"/>
      <c r="IZ998" s="140"/>
      <c r="JA998" s="140"/>
      <c r="JB998" s="140"/>
      <c r="JC998" s="140"/>
      <c r="JD998" s="140"/>
      <c r="JE998" s="140"/>
      <c r="JF998" s="140"/>
      <c r="JG998" s="140"/>
      <c r="JH998" s="140"/>
      <c r="JI998" s="140"/>
      <c r="JJ998" s="140"/>
      <c r="JK998" s="140"/>
      <c r="JL998" s="140"/>
      <c r="JM998" s="140"/>
      <c r="JN998" s="140"/>
      <c r="JO998" s="140"/>
      <c r="JP998" s="140"/>
      <c r="JQ998" s="140"/>
      <c r="JR998" s="140"/>
      <c r="JS998" s="140"/>
      <c r="JT998" s="140"/>
      <c r="JU998" s="140"/>
      <c r="JV998" s="140"/>
      <c r="JW998" s="140"/>
      <c r="JX998" s="140"/>
      <c r="JY998" s="140"/>
      <c r="JZ998" s="140"/>
      <c r="KA998" s="140"/>
      <c r="KB998" s="140"/>
      <c r="KC998" s="140"/>
      <c r="KD998" s="140"/>
      <c r="KE998" s="140"/>
      <c r="KF998" s="140"/>
      <c r="KG998" s="140"/>
      <c r="KH998" s="140"/>
      <c r="KI998" s="140"/>
      <c r="KJ998" s="140"/>
      <c r="KK998" s="140"/>
      <c r="KL998" s="140"/>
      <c r="KM998" s="140"/>
      <c r="KN998" s="140"/>
      <c r="KO998" s="140"/>
      <c r="KP998" s="140"/>
      <c r="KQ998" s="140"/>
      <c r="KR998" s="140"/>
      <c r="KS998" s="140"/>
      <c r="KT998" s="140"/>
      <c r="KU998" s="140"/>
      <c r="KV998" s="140"/>
      <c r="KW998" s="140"/>
      <c r="KX998" s="140"/>
      <c r="KY998" s="140"/>
      <c r="KZ998" s="140"/>
      <c r="LA998" s="140"/>
      <c r="LB998" s="140"/>
      <c r="LC998" s="140"/>
      <c r="LD998" s="140"/>
      <c r="LE998" s="140"/>
      <c r="LF998" s="140"/>
      <c r="LG998" s="140"/>
      <c r="LH998" s="140"/>
      <c r="LI998" s="140"/>
      <c r="LJ998" s="140"/>
      <c r="LK998" s="140"/>
      <c r="LL998" s="140"/>
      <c r="LM998" s="140"/>
      <c r="LN998" s="140"/>
      <c r="LO998" s="140"/>
      <c r="LP998" s="140"/>
      <c r="LQ998" s="140"/>
      <c r="LR998" s="140"/>
      <c r="LS998" s="140"/>
      <c r="LT998" s="140"/>
      <c r="LU998" s="140"/>
      <c r="LV998" s="140"/>
      <c r="LW998" s="140"/>
      <c r="LX998" s="140"/>
      <c r="LY998" s="140"/>
      <c r="LZ998" s="140"/>
      <c r="MA998" s="140"/>
      <c r="MB998" s="140"/>
      <c r="MC998" s="140"/>
      <c r="MD998" s="140"/>
      <c r="ME998" s="140"/>
      <c r="MF998" s="140"/>
      <c r="MG998" s="140"/>
      <c r="MH998" s="140"/>
      <c r="MI998" s="140"/>
      <c r="MJ998" s="140"/>
      <c r="MK998" s="140"/>
      <c r="ML998" s="140"/>
    </row>
    <row r="999" spans="8:350" s="4" customFormat="1" ht="18" customHeight="1" x14ac:dyDescent="0.3">
      <c r="H999" s="140"/>
      <c r="I999" s="140"/>
      <c r="J999" s="140"/>
      <c r="K999" s="140"/>
      <c r="L999" s="140"/>
      <c r="M999" s="140"/>
      <c r="N999" s="140"/>
      <c r="O999" s="140"/>
      <c r="P999" s="140"/>
      <c r="Q999" s="140"/>
      <c r="R999" s="140"/>
      <c r="S999" s="140"/>
      <c r="T999" s="140"/>
      <c r="U999" s="140"/>
      <c r="V999" s="140"/>
      <c r="W999" s="140"/>
      <c r="X999" s="140"/>
      <c r="Y999" s="140"/>
      <c r="Z999" s="140"/>
      <c r="AA999" s="140"/>
      <c r="AB999" s="140"/>
      <c r="AC999" s="140"/>
      <c r="AD999" s="140"/>
      <c r="AE999" s="140"/>
      <c r="AF999" s="140"/>
      <c r="AG999" s="140"/>
      <c r="AH999" s="140"/>
      <c r="AI999" s="140"/>
      <c r="AJ999" s="140"/>
      <c r="AK999" s="140"/>
      <c r="AL999" s="140"/>
      <c r="AM999" s="140"/>
      <c r="AN999" s="140"/>
      <c r="AO999" s="140"/>
      <c r="AP999" s="140"/>
      <c r="AQ999" s="140"/>
      <c r="AR999" s="140"/>
      <c r="AS999" s="140"/>
      <c r="AT999" s="140"/>
      <c r="AU999" s="140"/>
      <c r="AV999" s="140"/>
      <c r="AW999" s="140"/>
      <c r="AX999" s="140"/>
      <c r="AY999" s="140"/>
      <c r="AZ999" s="140"/>
      <c r="BA999" s="140"/>
      <c r="BB999" s="140"/>
      <c r="BC999" s="140"/>
      <c r="BD999" s="140"/>
      <c r="BE999" s="140"/>
      <c r="BF999" s="140"/>
      <c r="BG999" s="140"/>
      <c r="BH999" s="140"/>
      <c r="BI999" s="140"/>
      <c r="BJ999" s="140"/>
      <c r="BK999" s="140"/>
      <c r="BL999" s="140"/>
      <c r="BM999" s="140"/>
      <c r="BN999" s="140"/>
      <c r="BO999" s="140"/>
      <c r="BP999" s="140"/>
      <c r="BQ999" s="140"/>
      <c r="BR999" s="140"/>
      <c r="BS999" s="140"/>
      <c r="BT999" s="140"/>
      <c r="BU999" s="140"/>
      <c r="BV999" s="140"/>
      <c r="BW999" s="140"/>
      <c r="BX999" s="140"/>
      <c r="BY999" s="140"/>
      <c r="BZ999" s="140"/>
      <c r="CA999" s="140"/>
      <c r="CB999" s="140"/>
      <c r="CC999" s="140"/>
      <c r="CD999" s="140"/>
      <c r="CE999" s="140"/>
      <c r="CF999" s="140"/>
      <c r="CG999" s="140"/>
      <c r="CH999" s="140"/>
      <c r="CI999" s="140"/>
      <c r="CJ999" s="140"/>
      <c r="CK999" s="140"/>
      <c r="CL999" s="140"/>
      <c r="CM999" s="140"/>
      <c r="CN999" s="140"/>
      <c r="FJ999" s="140"/>
      <c r="FK999" s="140"/>
      <c r="FL999" s="140"/>
      <c r="FM999" s="140"/>
      <c r="FN999" s="140"/>
      <c r="FO999" s="140"/>
      <c r="FP999" s="140"/>
      <c r="FQ999" s="140"/>
      <c r="FR999" s="140"/>
      <c r="FS999" s="140"/>
      <c r="FT999" s="140"/>
      <c r="FU999" s="140"/>
      <c r="FV999" s="140"/>
      <c r="FW999" s="140"/>
      <c r="FX999" s="140"/>
      <c r="FY999" s="140"/>
      <c r="FZ999" s="140"/>
      <c r="GA999" s="140"/>
      <c r="GB999" s="140"/>
      <c r="GC999" s="140"/>
      <c r="GD999" s="140"/>
      <c r="GE999" s="140"/>
      <c r="GF999" s="140"/>
      <c r="GG999" s="140"/>
      <c r="GH999" s="140"/>
      <c r="GI999" s="140"/>
      <c r="GJ999" s="140"/>
      <c r="GK999" s="140"/>
      <c r="GL999" s="140"/>
      <c r="GM999" s="140"/>
      <c r="GN999" s="140"/>
      <c r="GO999" s="140"/>
      <c r="GP999" s="140"/>
      <c r="GQ999" s="140"/>
      <c r="GR999" s="140"/>
      <c r="GS999" s="140"/>
      <c r="GT999" s="140"/>
      <c r="GU999" s="140"/>
      <c r="GV999" s="140"/>
      <c r="GW999" s="140"/>
      <c r="GX999" s="140"/>
      <c r="GY999" s="140"/>
      <c r="GZ999" s="140"/>
      <c r="HA999" s="140"/>
      <c r="HB999" s="140"/>
      <c r="HC999" s="140"/>
      <c r="HD999" s="140"/>
      <c r="HE999" s="140"/>
      <c r="HF999" s="140"/>
      <c r="HG999" s="140"/>
      <c r="HH999" s="140"/>
      <c r="HI999" s="140"/>
      <c r="HJ999" s="140"/>
      <c r="HK999" s="140"/>
      <c r="HL999" s="140"/>
      <c r="HM999" s="140"/>
      <c r="HN999" s="140"/>
      <c r="HO999" s="140"/>
      <c r="HP999" s="140"/>
      <c r="HQ999" s="140"/>
      <c r="HR999" s="140"/>
      <c r="HS999" s="140"/>
      <c r="HT999" s="140"/>
      <c r="HU999" s="140"/>
      <c r="HV999" s="140"/>
      <c r="HW999" s="140"/>
      <c r="HX999" s="140"/>
      <c r="HY999" s="140"/>
      <c r="HZ999" s="140"/>
      <c r="IA999" s="140"/>
      <c r="IB999" s="140"/>
      <c r="IC999" s="140"/>
      <c r="ID999" s="140"/>
      <c r="IE999" s="140"/>
      <c r="IF999" s="140"/>
      <c r="IG999" s="140"/>
      <c r="IH999" s="140"/>
      <c r="II999" s="140"/>
      <c r="IJ999" s="140"/>
      <c r="IK999" s="140"/>
      <c r="IL999" s="140"/>
      <c r="IM999" s="140"/>
      <c r="IN999" s="140"/>
      <c r="IO999" s="140"/>
      <c r="IP999" s="140"/>
      <c r="IQ999" s="140"/>
      <c r="IR999" s="140"/>
      <c r="IS999" s="140"/>
      <c r="IT999" s="140"/>
      <c r="IU999" s="140"/>
      <c r="IV999" s="140"/>
      <c r="IW999" s="140"/>
      <c r="IX999" s="140"/>
      <c r="IY999" s="140"/>
      <c r="IZ999" s="140"/>
      <c r="JA999" s="140"/>
      <c r="JB999" s="140"/>
      <c r="JC999" s="140"/>
      <c r="JD999" s="140"/>
      <c r="JE999" s="140"/>
      <c r="JF999" s="140"/>
      <c r="JG999" s="140"/>
      <c r="JH999" s="140"/>
      <c r="JI999" s="140"/>
      <c r="JJ999" s="140"/>
      <c r="JK999" s="140"/>
      <c r="JL999" s="140"/>
      <c r="JM999" s="140"/>
      <c r="JN999" s="140"/>
      <c r="JO999" s="140"/>
      <c r="JP999" s="140"/>
      <c r="JQ999" s="140"/>
      <c r="JR999" s="140"/>
      <c r="JS999" s="140"/>
      <c r="JT999" s="140"/>
      <c r="JU999" s="140"/>
      <c r="JV999" s="140"/>
      <c r="JW999" s="140"/>
      <c r="JX999" s="140"/>
      <c r="JY999" s="140"/>
      <c r="JZ999" s="140"/>
      <c r="KA999" s="140"/>
      <c r="KB999" s="140"/>
      <c r="KC999" s="140"/>
      <c r="KD999" s="140"/>
      <c r="KE999" s="140"/>
      <c r="KF999" s="140"/>
      <c r="KG999" s="140"/>
      <c r="KH999" s="140"/>
      <c r="KI999" s="140"/>
      <c r="KJ999" s="140"/>
      <c r="KK999" s="140"/>
      <c r="KL999" s="140"/>
      <c r="KM999" s="140"/>
      <c r="KN999" s="140"/>
      <c r="KO999" s="140"/>
      <c r="KP999" s="140"/>
      <c r="KQ999" s="140"/>
      <c r="KR999" s="140"/>
      <c r="KS999" s="140"/>
      <c r="KT999" s="140"/>
      <c r="KU999" s="140"/>
      <c r="KV999" s="140"/>
      <c r="KW999" s="140"/>
      <c r="KX999" s="140"/>
      <c r="KY999" s="140"/>
      <c r="KZ999" s="140"/>
      <c r="LA999" s="140"/>
      <c r="LB999" s="140"/>
      <c r="LC999" s="140"/>
      <c r="LD999" s="140"/>
      <c r="LE999" s="140"/>
      <c r="LF999" s="140"/>
      <c r="LG999" s="140"/>
      <c r="LH999" s="140"/>
      <c r="LI999" s="140"/>
      <c r="LJ999" s="140"/>
      <c r="LK999" s="140"/>
      <c r="LL999" s="140"/>
      <c r="LM999" s="140"/>
      <c r="LN999" s="140"/>
      <c r="LO999" s="140"/>
      <c r="LP999" s="140"/>
      <c r="LQ999" s="140"/>
      <c r="LR999" s="140"/>
      <c r="LS999" s="140"/>
      <c r="LT999" s="140"/>
      <c r="LU999" s="140"/>
      <c r="LV999" s="140"/>
      <c r="LW999" s="140"/>
      <c r="LX999" s="140"/>
      <c r="LY999" s="140"/>
      <c r="LZ999" s="140"/>
      <c r="MA999" s="140"/>
      <c r="MB999" s="140"/>
      <c r="MC999" s="140"/>
      <c r="MD999" s="140"/>
      <c r="ME999" s="140"/>
      <c r="MF999" s="140"/>
      <c r="MG999" s="140"/>
      <c r="MH999" s="140"/>
      <c r="MI999" s="140"/>
      <c r="MJ999" s="140"/>
      <c r="MK999" s="140"/>
      <c r="ML999" s="140"/>
    </row>
    <row r="1000" spans="8:350" s="4" customFormat="1" ht="18" customHeight="1" x14ac:dyDescent="0.3">
      <c r="H1000" s="140"/>
      <c r="I1000" s="140"/>
      <c r="J1000" s="140"/>
      <c r="K1000" s="140"/>
      <c r="L1000" s="140"/>
      <c r="M1000" s="140"/>
      <c r="N1000" s="140"/>
      <c r="O1000" s="140"/>
      <c r="P1000" s="140"/>
      <c r="Q1000" s="140"/>
      <c r="R1000" s="140"/>
      <c r="S1000" s="140"/>
      <c r="T1000" s="140"/>
      <c r="U1000" s="140"/>
      <c r="V1000" s="140"/>
      <c r="W1000" s="140"/>
      <c r="X1000" s="140"/>
      <c r="Y1000" s="140"/>
      <c r="Z1000" s="140"/>
      <c r="AA1000" s="140"/>
      <c r="AB1000" s="140"/>
      <c r="AC1000" s="140"/>
      <c r="AD1000" s="140"/>
      <c r="AE1000" s="140"/>
      <c r="AF1000" s="140"/>
      <c r="AG1000" s="140"/>
      <c r="AH1000" s="140"/>
      <c r="AI1000" s="140"/>
      <c r="AJ1000" s="140"/>
      <c r="AK1000" s="140"/>
      <c r="AL1000" s="140"/>
      <c r="AM1000" s="140"/>
      <c r="AN1000" s="140"/>
      <c r="AO1000" s="140"/>
      <c r="AP1000" s="140"/>
      <c r="AQ1000" s="140"/>
      <c r="AR1000" s="140"/>
      <c r="AS1000" s="140"/>
      <c r="AT1000" s="140"/>
      <c r="AU1000" s="140"/>
      <c r="AV1000" s="140"/>
      <c r="AW1000" s="140"/>
      <c r="AX1000" s="140"/>
      <c r="AY1000" s="140"/>
      <c r="AZ1000" s="140"/>
      <c r="BA1000" s="140"/>
      <c r="BB1000" s="140"/>
      <c r="BC1000" s="140"/>
      <c r="BD1000" s="140"/>
      <c r="BE1000" s="140"/>
      <c r="BF1000" s="140"/>
      <c r="BG1000" s="140"/>
      <c r="BH1000" s="140"/>
      <c r="BI1000" s="140"/>
      <c r="BJ1000" s="140"/>
      <c r="BK1000" s="140"/>
      <c r="BL1000" s="140"/>
      <c r="BM1000" s="140"/>
      <c r="BN1000" s="140"/>
      <c r="BO1000" s="140"/>
      <c r="BP1000" s="140"/>
      <c r="BQ1000" s="140"/>
      <c r="BR1000" s="140"/>
      <c r="BS1000" s="140"/>
      <c r="BT1000" s="140"/>
      <c r="BU1000" s="140"/>
      <c r="BV1000" s="140"/>
      <c r="BW1000" s="140"/>
      <c r="BX1000" s="140"/>
      <c r="BY1000" s="140"/>
      <c r="BZ1000" s="140"/>
      <c r="CA1000" s="140"/>
      <c r="CB1000" s="140"/>
      <c r="CC1000" s="140"/>
      <c r="CD1000" s="140"/>
      <c r="CE1000" s="140"/>
      <c r="CF1000" s="140"/>
      <c r="CG1000" s="140"/>
      <c r="CH1000" s="140"/>
      <c r="CI1000" s="140"/>
      <c r="CJ1000" s="140"/>
      <c r="CK1000" s="140"/>
      <c r="CL1000" s="140"/>
      <c r="CM1000" s="140"/>
      <c r="CN1000" s="140"/>
      <c r="FJ1000" s="140"/>
      <c r="FK1000" s="140"/>
      <c r="FL1000" s="140"/>
      <c r="FM1000" s="140"/>
      <c r="FN1000" s="140"/>
      <c r="FO1000" s="140"/>
      <c r="FP1000" s="140"/>
      <c r="FQ1000" s="140"/>
      <c r="FR1000" s="140"/>
      <c r="FS1000" s="140"/>
      <c r="FT1000" s="140"/>
      <c r="FU1000" s="140"/>
      <c r="FV1000" s="140"/>
      <c r="FW1000" s="140"/>
      <c r="FX1000" s="140"/>
      <c r="FY1000" s="140"/>
      <c r="FZ1000" s="140"/>
      <c r="GA1000" s="140"/>
      <c r="GB1000" s="140"/>
      <c r="GC1000" s="140"/>
      <c r="GD1000" s="140"/>
      <c r="GE1000" s="140"/>
      <c r="GF1000" s="140"/>
      <c r="GG1000" s="140"/>
      <c r="GH1000" s="140"/>
      <c r="GI1000" s="140"/>
      <c r="GJ1000" s="140"/>
      <c r="GK1000" s="140"/>
      <c r="GL1000" s="140"/>
      <c r="GM1000" s="140"/>
      <c r="GN1000" s="140"/>
      <c r="GO1000" s="140"/>
      <c r="GP1000" s="140"/>
      <c r="GQ1000" s="140"/>
      <c r="GR1000" s="140"/>
      <c r="GS1000" s="140"/>
      <c r="GT1000" s="140"/>
      <c r="GU1000" s="140"/>
      <c r="GV1000" s="140"/>
      <c r="GW1000" s="140"/>
      <c r="GX1000" s="140"/>
      <c r="GY1000" s="140"/>
      <c r="GZ1000" s="140"/>
      <c r="HA1000" s="140"/>
      <c r="HB1000" s="140"/>
      <c r="HC1000" s="140"/>
      <c r="HD1000" s="140"/>
      <c r="HE1000" s="140"/>
      <c r="HF1000" s="140"/>
      <c r="HG1000" s="140"/>
      <c r="HH1000" s="140"/>
      <c r="HI1000" s="140"/>
      <c r="HJ1000" s="140"/>
      <c r="HK1000" s="140"/>
      <c r="HL1000" s="140"/>
      <c r="HM1000" s="140"/>
      <c r="HN1000" s="140"/>
      <c r="HO1000" s="140"/>
      <c r="HP1000" s="140"/>
      <c r="HQ1000" s="140"/>
      <c r="HR1000" s="140"/>
      <c r="HS1000" s="140"/>
      <c r="HT1000" s="140"/>
      <c r="HU1000" s="140"/>
      <c r="HV1000" s="140"/>
      <c r="HW1000" s="140"/>
      <c r="HX1000" s="140"/>
      <c r="HY1000" s="140"/>
      <c r="HZ1000" s="140"/>
      <c r="IA1000" s="140"/>
      <c r="IB1000" s="140"/>
      <c r="IC1000" s="140"/>
      <c r="ID1000" s="140"/>
      <c r="IE1000" s="140"/>
      <c r="IF1000" s="140"/>
      <c r="IG1000" s="140"/>
      <c r="IH1000" s="140"/>
      <c r="II1000" s="140"/>
      <c r="IJ1000" s="140"/>
      <c r="IK1000" s="140"/>
      <c r="IL1000" s="140"/>
      <c r="IM1000" s="140"/>
      <c r="IN1000" s="140"/>
      <c r="IO1000" s="140"/>
      <c r="IP1000" s="140"/>
      <c r="IQ1000" s="140"/>
      <c r="IR1000" s="140"/>
      <c r="IS1000" s="140"/>
      <c r="IT1000" s="140"/>
      <c r="IU1000" s="140"/>
      <c r="IV1000" s="140"/>
      <c r="IW1000" s="140"/>
      <c r="IX1000" s="140"/>
      <c r="IY1000" s="140"/>
      <c r="IZ1000" s="140"/>
      <c r="JA1000" s="140"/>
      <c r="JB1000" s="140"/>
      <c r="JC1000" s="140"/>
      <c r="JD1000" s="140"/>
      <c r="JE1000" s="140"/>
      <c r="JF1000" s="140"/>
      <c r="JG1000" s="140"/>
      <c r="JH1000" s="140"/>
      <c r="JI1000" s="140"/>
      <c r="JJ1000" s="140"/>
      <c r="JK1000" s="140"/>
      <c r="JL1000" s="140"/>
      <c r="JM1000" s="140"/>
      <c r="JN1000" s="140"/>
      <c r="JO1000" s="140"/>
      <c r="JP1000" s="140"/>
      <c r="JQ1000" s="140"/>
      <c r="JR1000" s="140"/>
      <c r="JS1000" s="140"/>
      <c r="JT1000" s="140"/>
      <c r="JU1000" s="140"/>
      <c r="JV1000" s="140"/>
      <c r="JW1000" s="140"/>
      <c r="JX1000" s="140"/>
      <c r="JY1000" s="140"/>
      <c r="JZ1000" s="140"/>
      <c r="KA1000" s="140"/>
      <c r="KB1000" s="140"/>
      <c r="KC1000" s="140"/>
      <c r="KD1000" s="140"/>
      <c r="KE1000" s="140"/>
      <c r="KF1000" s="140"/>
      <c r="KG1000" s="140"/>
      <c r="KH1000" s="140"/>
      <c r="KI1000" s="140"/>
      <c r="KJ1000" s="140"/>
      <c r="KK1000" s="140"/>
      <c r="KL1000" s="140"/>
      <c r="KM1000" s="140"/>
      <c r="KN1000" s="140"/>
      <c r="KO1000" s="140"/>
      <c r="KP1000" s="140"/>
      <c r="KQ1000" s="140"/>
      <c r="KR1000" s="140"/>
      <c r="KS1000" s="140"/>
      <c r="KT1000" s="140"/>
      <c r="KU1000" s="140"/>
      <c r="KV1000" s="140"/>
      <c r="KW1000" s="140"/>
      <c r="KX1000" s="140"/>
      <c r="KY1000" s="140"/>
      <c r="KZ1000" s="140"/>
      <c r="LA1000" s="140"/>
      <c r="LB1000" s="140"/>
      <c r="LC1000" s="140"/>
      <c r="LD1000" s="140"/>
      <c r="LE1000" s="140"/>
      <c r="LF1000" s="140"/>
      <c r="LG1000" s="140"/>
      <c r="LH1000" s="140"/>
      <c r="LI1000" s="140"/>
      <c r="LJ1000" s="140"/>
      <c r="LK1000" s="140"/>
      <c r="LL1000" s="140"/>
      <c r="LM1000" s="140"/>
      <c r="LN1000" s="140"/>
      <c r="LO1000" s="140"/>
      <c r="LP1000" s="140"/>
      <c r="LQ1000" s="140"/>
      <c r="LR1000" s="140"/>
      <c r="LS1000" s="140"/>
      <c r="LT1000" s="140"/>
      <c r="LU1000" s="140"/>
      <c r="LV1000" s="140"/>
      <c r="LW1000" s="140"/>
      <c r="LX1000" s="140"/>
      <c r="LY1000" s="140"/>
      <c r="LZ1000" s="140"/>
      <c r="MA1000" s="140"/>
      <c r="MB1000" s="140"/>
      <c r="MC1000" s="140"/>
      <c r="MD1000" s="140"/>
      <c r="ME1000" s="140"/>
      <c r="MF1000" s="140"/>
      <c r="MG1000" s="140"/>
      <c r="MH1000" s="140"/>
      <c r="MI1000" s="140"/>
      <c r="MJ1000" s="140"/>
      <c r="MK1000" s="140"/>
      <c r="ML1000" s="140"/>
    </row>
    <row r="1001" spans="8:350" s="4" customFormat="1" ht="18" customHeight="1" x14ac:dyDescent="0.3">
      <c r="H1001" s="140"/>
      <c r="I1001" s="140"/>
      <c r="J1001" s="140"/>
      <c r="K1001" s="140"/>
      <c r="L1001" s="140"/>
      <c r="M1001" s="140"/>
      <c r="N1001" s="140"/>
      <c r="O1001" s="140"/>
      <c r="P1001" s="140"/>
      <c r="Q1001" s="140"/>
      <c r="R1001" s="140"/>
      <c r="S1001" s="140"/>
      <c r="T1001" s="140"/>
      <c r="U1001" s="140"/>
      <c r="V1001" s="140"/>
      <c r="W1001" s="140"/>
      <c r="X1001" s="140"/>
      <c r="Y1001" s="140"/>
      <c r="Z1001" s="140"/>
      <c r="AA1001" s="140"/>
      <c r="AB1001" s="140"/>
      <c r="AC1001" s="140"/>
      <c r="AD1001" s="140"/>
      <c r="AE1001" s="140"/>
      <c r="AF1001" s="140"/>
      <c r="AG1001" s="140"/>
      <c r="AH1001" s="140"/>
      <c r="AI1001" s="140"/>
      <c r="AJ1001" s="140"/>
      <c r="AK1001" s="140"/>
      <c r="AL1001" s="140"/>
      <c r="AM1001" s="140"/>
      <c r="AN1001" s="140"/>
      <c r="AO1001" s="140"/>
      <c r="AP1001" s="140"/>
      <c r="AQ1001" s="140"/>
      <c r="AR1001" s="140"/>
      <c r="AS1001" s="140"/>
      <c r="AT1001" s="140"/>
      <c r="AU1001" s="140"/>
      <c r="AV1001" s="140"/>
      <c r="AW1001" s="140"/>
      <c r="AX1001" s="140"/>
      <c r="AY1001" s="140"/>
      <c r="AZ1001" s="140"/>
      <c r="BA1001" s="140"/>
      <c r="BB1001" s="140"/>
      <c r="BC1001" s="140"/>
      <c r="BD1001" s="140"/>
      <c r="BE1001" s="140"/>
      <c r="BF1001" s="140"/>
      <c r="BG1001" s="140"/>
      <c r="BH1001" s="140"/>
      <c r="BI1001" s="140"/>
      <c r="BJ1001" s="140"/>
      <c r="BK1001" s="140"/>
      <c r="BL1001" s="140"/>
      <c r="BM1001" s="140"/>
      <c r="BN1001" s="140"/>
      <c r="BO1001" s="140"/>
      <c r="BP1001" s="140"/>
      <c r="BQ1001" s="140"/>
      <c r="BR1001" s="140"/>
      <c r="BS1001" s="140"/>
      <c r="BT1001" s="140"/>
      <c r="BU1001" s="140"/>
      <c r="BV1001" s="140"/>
      <c r="BW1001" s="140"/>
      <c r="BX1001" s="140"/>
      <c r="BY1001" s="140"/>
      <c r="BZ1001" s="140"/>
      <c r="CA1001" s="140"/>
      <c r="CB1001" s="140"/>
      <c r="CC1001" s="140"/>
      <c r="CD1001" s="140"/>
      <c r="CE1001" s="140"/>
      <c r="CF1001" s="140"/>
      <c r="CG1001" s="140"/>
      <c r="CH1001" s="140"/>
      <c r="CI1001" s="140"/>
      <c r="CJ1001" s="140"/>
      <c r="CK1001" s="140"/>
      <c r="CL1001" s="140"/>
      <c r="CM1001" s="140"/>
      <c r="CN1001" s="140"/>
      <c r="FJ1001" s="140"/>
      <c r="FK1001" s="140"/>
      <c r="FL1001" s="140"/>
      <c r="FM1001" s="140"/>
      <c r="FN1001" s="140"/>
      <c r="FO1001" s="140"/>
      <c r="FP1001" s="140"/>
      <c r="FQ1001" s="140"/>
      <c r="FR1001" s="140"/>
      <c r="FS1001" s="140"/>
      <c r="FT1001" s="140"/>
      <c r="FU1001" s="140"/>
      <c r="FV1001" s="140"/>
      <c r="FW1001" s="140"/>
      <c r="FX1001" s="140"/>
      <c r="FY1001" s="140"/>
      <c r="FZ1001" s="140"/>
      <c r="GA1001" s="140"/>
      <c r="GB1001" s="140"/>
      <c r="GC1001" s="140"/>
      <c r="GD1001" s="140"/>
      <c r="GE1001" s="140"/>
      <c r="GF1001" s="140"/>
      <c r="GG1001" s="140"/>
      <c r="GH1001" s="140"/>
      <c r="GI1001" s="140"/>
      <c r="GJ1001" s="140"/>
      <c r="GK1001" s="140"/>
      <c r="GL1001" s="140"/>
      <c r="GM1001" s="140"/>
      <c r="GN1001" s="140"/>
      <c r="GO1001" s="140"/>
      <c r="GP1001" s="140"/>
      <c r="GQ1001" s="140"/>
      <c r="GR1001" s="140"/>
      <c r="GS1001" s="140"/>
      <c r="GT1001" s="140"/>
      <c r="GU1001" s="140"/>
      <c r="GV1001" s="140"/>
      <c r="GW1001" s="140"/>
      <c r="GX1001" s="140"/>
      <c r="GY1001" s="140"/>
      <c r="GZ1001" s="140"/>
      <c r="HA1001" s="140"/>
      <c r="HB1001" s="140"/>
      <c r="HC1001" s="140"/>
      <c r="HD1001" s="140"/>
      <c r="HE1001" s="140"/>
      <c r="HF1001" s="140"/>
      <c r="HG1001" s="140"/>
      <c r="HH1001" s="140"/>
      <c r="HI1001" s="140"/>
      <c r="HJ1001" s="140"/>
      <c r="HK1001" s="140"/>
      <c r="HL1001" s="140"/>
      <c r="HM1001" s="140"/>
      <c r="HN1001" s="140"/>
      <c r="HO1001" s="140"/>
      <c r="HP1001" s="140"/>
      <c r="HQ1001" s="140"/>
      <c r="HR1001" s="140"/>
      <c r="HS1001" s="140"/>
      <c r="HT1001" s="140"/>
      <c r="HU1001" s="140"/>
      <c r="HV1001" s="140"/>
      <c r="HW1001" s="140"/>
      <c r="HX1001" s="140"/>
      <c r="HY1001" s="140"/>
      <c r="HZ1001" s="140"/>
      <c r="IA1001" s="140"/>
      <c r="IB1001" s="140"/>
      <c r="IC1001" s="140"/>
      <c r="ID1001" s="140"/>
      <c r="IE1001" s="140"/>
      <c r="IF1001" s="140"/>
      <c r="IG1001" s="140"/>
      <c r="IH1001" s="140"/>
      <c r="II1001" s="140"/>
      <c r="IJ1001" s="140"/>
      <c r="IK1001" s="140"/>
      <c r="IL1001" s="140"/>
      <c r="IM1001" s="140"/>
      <c r="IN1001" s="140"/>
      <c r="IO1001" s="140"/>
      <c r="IP1001" s="140"/>
      <c r="IQ1001" s="140"/>
      <c r="IR1001" s="140"/>
      <c r="IS1001" s="140"/>
      <c r="IT1001" s="140"/>
      <c r="IU1001" s="140"/>
      <c r="IV1001" s="140"/>
      <c r="IW1001" s="140"/>
      <c r="IX1001" s="140"/>
      <c r="IY1001" s="140"/>
      <c r="IZ1001" s="140"/>
      <c r="JA1001" s="140"/>
      <c r="JB1001" s="140"/>
      <c r="JC1001" s="140"/>
      <c r="JD1001" s="140"/>
      <c r="JE1001" s="140"/>
      <c r="JF1001" s="140"/>
      <c r="JG1001" s="140"/>
      <c r="JH1001" s="140"/>
      <c r="JI1001" s="140"/>
      <c r="JJ1001" s="140"/>
      <c r="JK1001" s="140"/>
      <c r="JL1001" s="140"/>
      <c r="JM1001" s="140"/>
      <c r="JN1001" s="140"/>
      <c r="JO1001" s="140"/>
      <c r="JP1001" s="140"/>
      <c r="JQ1001" s="140"/>
      <c r="JR1001" s="140"/>
      <c r="JS1001" s="140"/>
      <c r="JT1001" s="140"/>
      <c r="JU1001" s="140"/>
      <c r="JV1001" s="140"/>
      <c r="JW1001" s="140"/>
      <c r="JX1001" s="140"/>
      <c r="JY1001" s="140"/>
      <c r="JZ1001" s="140"/>
      <c r="KA1001" s="140"/>
      <c r="KB1001" s="140"/>
      <c r="KC1001" s="140"/>
      <c r="KD1001" s="140"/>
      <c r="KE1001" s="140"/>
      <c r="KF1001" s="140"/>
      <c r="KG1001" s="140"/>
      <c r="KH1001" s="140"/>
      <c r="KI1001" s="140"/>
      <c r="KJ1001" s="140"/>
      <c r="KK1001" s="140"/>
      <c r="KL1001" s="140"/>
      <c r="KM1001" s="140"/>
      <c r="KN1001" s="140"/>
      <c r="KO1001" s="140"/>
      <c r="KP1001" s="140"/>
      <c r="KQ1001" s="140"/>
      <c r="KR1001" s="140"/>
      <c r="KS1001" s="140"/>
      <c r="KT1001" s="140"/>
      <c r="KU1001" s="140"/>
      <c r="KV1001" s="140"/>
      <c r="KW1001" s="140"/>
      <c r="KX1001" s="140"/>
      <c r="KY1001" s="140"/>
      <c r="KZ1001" s="140"/>
      <c r="LA1001" s="140"/>
      <c r="LB1001" s="140"/>
      <c r="LC1001" s="140"/>
      <c r="LD1001" s="140"/>
      <c r="LE1001" s="140"/>
      <c r="LF1001" s="140"/>
      <c r="LG1001" s="140"/>
      <c r="LH1001" s="140"/>
      <c r="LI1001" s="140"/>
      <c r="LJ1001" s="140"/>
      <c r="LK1001" s="140"/>
      <c r="LL1001" s="140"/>
      <c r="LM1001" s="140"/>
      <c r="LN1001" s="140"/>
      <c r="LO1001" s="140"/>
      <c r="LP1001" s="140"/>
      <c r="LQ1001" s="140"/>
      <c r="LR1001" s="140"/>
      <c r="LS1001" s="140"/>
      <c r="LT1001" s="140"/>
      <c r="LU1001" s="140"/>
      <c r="LV1001" s="140"/>
      <c r="LW1001" s="140"/>
      <c r="LX1001" s="140"/>
      <c r="LY1001" s="140"/>
      <c r="LZ1001" s="140"/>
      <c r="MA1001" s="140"/>
      <c r="MB1001" s="140"/>
      <c r="MC1001" s="140"/>
      <c r="MD1001" s="140"/>
      <c r="ME1001" s="140"/>
      <c r="MF1001" s="140"/>
      <c r="MG1001" s="140"/>
      <c r="MH1001" s="140"/>
      <c r="MI1001" s="140"/>
      <c r="MJ1001" s="140"/>
      <c r="MK1001" s="140"/>
      <c r="ML1001" s="140"/>
    </row>
    <row r="1002" spans="8:350" s="4" customFormat="1" ht="18" customHeight="1" x14ac:dyDescent="0.3">
      <c r="H1002" s="140"/>
      <c r="I1002" s="140"/>
      <c r="J1002" s="140"/>
      <c r="K1002" s="140"/>
      <c r="L1002" s="140"/>
      <c r="M1002" s="140"/>
      <c r="N1002" s="140"/>
      <c r="O1002" s="140"/>
      <c r="P1002" s="140"/>
      <c r="Q1002" s="140"/>
      <c r="R1002" s="140"/>
      <c r="S1002" s="140"/>
      <c r="T1002" s="140"/>
      <c r="U1002" s="140"/>
      <c r="V1002" s="140"/>
      <c r="W1002" s="140"/>
      <c r="X1002" s="140"/>
      <c r="Y1002" s="140"/>
      <c r="Z1002" s="140"/>
      <c r="AA1002" s="140"/>
      <c r="AB1002" s="140"/>
      <c r="AC1002" s="140"/>
      <c r="AD1002" s="140"/>
      <c r="AE1002" s="140"/>
      <c r="AF1002" s="140"/>
      <c r="AG1002" s="140"/>
      <c r="AH1002" s="140"/>
      <c r="AI1002" s="140"/>
      <c r="AJ1002" s="140"/>
      <c r="AK1002" s="140"/>
      <c r="AL1002" s="140"/>
      <c r="AM1002" s="140"/>
      <c r="AN1002" s="140"/>
      <c r="AO1002" s="140"/>
      <c r="AP1002" s="140"/>
      <c r="AQ1002" s="140"/>
      <c r="AR1002" s="140"/>
      <c r="AS1002" s="140"/>
      <c r="AT1002" s="140"/>
      <c r="AU1002" s="140"/>
      <c r="AV1002" s="140"/>
      <c r="AW1002" s="140"/>
      <c r="AX1002" s="140"/>
      <c r="AY1002" s="140"/>
      <c r="AZ1002" s="140"/>
      <c r="BA1002" s="140"/>
      <c r="BB1002" s="140"/>
      <c r="BC1002" s="140"/>
      <c r="BD1002" s="140"/>
      <c r="BE1002" s="140"/>
      <c r="BF1002" s="140"/>
      <c r="BG1002" s="140"/>
      <c r="BH1002" s="140"/>
      <c r="BI1002" s="140"/>
      <c r="BJ1002" s="140"/>
      <c r="BK1002" s="140"/>
      <c r="BL1002" s="140"/>
      <c r="BM1002" s="140"/>
      <c r="BN1002" s="140"/>
      <c r="BO1002" s="140"/>
      <c r="BP1002" s="140"/>
      <c r="BQ1002" s="140"/>
      <c r="BR1002" s="140"/>
      <c r="BS1002" s="140"/>
      <c r="BT1002" s="140"/>
      <c r="BU1002" s="140"/>
      <c r="BV1002" s="140"/>
      <c r="BW1002" s="140"/>
      <c r="BX1002" s="140"/>
      <c r="BY1002" s="140"/>
      <c r="BZ1002" s="140"/>
      <c r="CA1002" s="140"/>
      <c r="CB1002" s="140"/>
      <c r="CC1002" s="140"/>
      <c r="CD1002" s="140"/>
      <c r="CE1002" s="140"/>
      <c r="CF1002" s="140"/>
      <c r="CG1002" s="140"/>
      <c r="CH1002" s="140"/>
      <c r="CI1002" s="140"/>
      <c r="CJ1002" s="140"/>
      <c r="CK1002" s="140"/>
      <c r="CL1002" s="140"/>
      <c r="CM1002" s="140"/>
      <c r="CN1002" s="140"/>
      <c r="FJ1002" s="140"/>
      <c r="FK1002" s="140"/>
      <c r="FL1002" s="140"/>
      <c r="FM1002" s="140"/>
      <c r="FN1002" s="140"/>
      <c r="FO1002" s="140"/>
      <c r="FP1002" s="140"/>
      <c r="FQ1002" s="140"/>
      <c r="FR1002" s="140"/>
      <c r="FS1002" s="140"/>
      <c r="FT1002" s="140"/>
      <c r="FU1002" s="140"/>
      <c r="FV1002" s="140"/>
      <c r="FW1002" s="140"/>
      <c r="FX1002" s="140"/>
      <c r="FY1002" s="140"/>
      <c r="FZ1002" s="140"/>
      <c r="GA1002" s="140"/>
      <c r="GB1002" s="140"/>
      <c r="GC1002" s="140"/>
      <c r="GD1002" s="140"/>
      <c r="GE1002" s="140"/>
      <c r="GF1002" s="140"/>
      <c r="GG1002" s="140"/>
      <c r="GH1002" s="140"/>
      <c r="GI1002" s="140"/>
      <c r="GJ1002" s="140"/>
      <c r="GK1002" s="140"/>
      <c r="GL1002" s="140"/>
      <c r="GM1002" s="140"/>
      <c r="GN1002" s="140"/>
      <c r="GO1002" s="140"/>
      <c r="GP1002" s="140"/>
      <c r="GQ1002" s="140"/>
      <c r="GR1002" s="140"/>
      <c r="GS1002" s="140"/>
      <c r="GT1002" s="140"/>
      <c r="GU1002" s="140"/>
      <c r="GV1002" s="140"/>
      <c r="GW1002" s="140"/>
      <c r="GX1002" s="140"/>
      <c r="GY1002" s="140"/>
      <c r="GZ1002" s="140"/>
      <c r="HA1002" s="140"/>
      <c r="HB1002" s="140"/>
      <c r="HC1002" s="140"/>
      <c r="HD1002" s="140"/>
      <c r="HE1002" s="140"/>
      <c r="HF1002" s="140"/>
      <c r="HG1002" s="140"/>
      <c r="HH1002" s="140"/>
      <c r="HI1002" s="140"/>
      <c r="HJ1002" s="140"/>
      <c r="HK1002" s="140"/>
      <c r="HL1002" s="140"/>
      <c r="HM1002" s="140"/>
      <c r="HN1002" s="140"/>
      <c r="HO1002" s="140"/>
      <c r="HP1002" s="140"/>
      <c r="HQ1002" s="140"/>
      <c r="HR1002" s="140"/>
      <c r="HS1002" s="140"/>
      <c r="HT1002" s="140"/>
      <c r="HU1002" s="140"/>
      <c r="HV1002" s="140"/>
      <c r="HW1002" s="140"/>
      <c r="HX1002" s="140"/>
      <c r="HY1002" s="140"/>
      <c r="HZ1002" s="140"/>
      <c r="IA1002" s="140"/>
      <c r="IB1002" s="140"/>
      <c r="IC1002" s="140"/>
      <c r="ID1002" s="140"/>
      <c r="IE1002" s="140"/>
      <c r="IF1002" s="140"/>
      <c r="IG1002" s="140"/>
      <c r="IH1002" s="140"/>
      <c r="II1002" s="140"/>
      <c r="IJ1002" s="140"/>
      <c r="IK1002" s="140"/>
      <c r="IL1002" s="140"/>
      <c r="IM1002" s="140"/>
      <c r="IN1002" s="140"/>
      <c r="IO1002" s="140"/>
      <c r="IP1002" s="140"/>
      <c r="IQ1002" s="140"/>
      <c r="IR1002" s="140"/>
      <c r="IS1002" s="140"/>
      <c r="IT1002" s="140"/>
      <c r="IU1002" s="140"/>
      <c r="IV1002" s="140"/>
      <c r="IW1002" s="140"/>
      <c r="IX1002" s="140"/>
      <c r="IY1002" s="140"/>
      <c r="IZ1002" s="140"/>
      <c r="JA1002" s="140"/>
      <c r="JB1002" s="140"/>
      <c r="JC1002" s="140"/>
      <c r="JD1002" s="140"/>
      <c r="JE1002" s="140"/>
      <c r="JF1002" s="140"/>
      <c r="JG1002" s="140"/>
      <c r="JH1002" s="140"/>
      <c r="JI1002" s="140"/>
      <c r="JJ1002" s="140"/>
      <c r="JK1002" s="140"/>
      <c r="JL1002" s="140"/>
      <c r="JM1002" s="140"/>
      <c r="JN1002" s="140"/>
      <c r="JO1002" s="140"/>
      <c r="JP1002" s="140"/>
      <c r="JQ1002" s="140"/>
      <c r="JR1002" s="140"/>
      <c r="JS1002" s="140"/>
      <c r="JT1002" s="140"/>
      <c r="JU1002" s="140"/>
      <c r="JV1002" s="140"/>
      <c r="JW1002" s="140"/>
      <c r="JX1002" s="140"/>
      <c r="JY1002" s="140"/>
      <c r="JZ1002" s="140"/>
      <c r="KA1002" s="140"/>
      <c r="KB1002" s="140"/>
      <c r="KC1002" s="140"/>
      <c r="KD1002" s="140"/>
      <c r="KE1002" s="140"/>
      <c r="KF1002" s="140"/>
      <c r="KG1002" s="140"/>
      <c r="KH1002" s="140"/>
      <c r="KI1002" s="140"/>
      <c r="KJ1002" s="140"/>
      <c r="KK1002" s="140"/>
      <c r="KL1002" s="140"/>
      <c r="KM1002" s="140"/>
      <c r="KN1002" s="140"/>
      <c r="KO1002" s="140"/>
      <c r="KP1002" s="140"/>
      <c r="KQ1002" s="140"/>
      <c r="KR1002" s="140"/>
      <c r="KS1002" s="140"/>
      <c r="KT1002" s="140"/>
      <c r="KU1002" s="140"/>
      <c r="KV1002" s="140"/>
      <c r="KW1002" s="140"/>
      <c r="KX1002" s="140"/>
      <c r="KY1002" s="140"/>
      <c r="KZ1002" s="140"/>
      <c r="LA1002" s="140"/>
      <c r="LB1002" s="140"/>
      <c r="LC1002" s="140"/>
      <c r="LD1002" s="140"/>
      <c r="LE1002" s="140"/>
      <c r="LF1002" s="140"/>
      <c r="LG1002" s="140"/>
      <c r="LH1002" s="140"/>
      <c r="LI1002" s="140"/>
      <c r="LJ1002" s="140"/>
      <c r="LK1002" s="140"/>
      <c r="LL1002" s="140"/>
      <c r="LM1002" s="140"/>
      <c r="LN1002" s="140"/>
      <c r="LO1002" s="140"/>
      <c r="LP1002" s="140"/>
      <c r="LQ1002" s="140"/>
      <c r="LR1002" s="140"/>
      <c r="LS1002" s="140"/>
      <c r="LT1002" s="140"/>
      <c r="LU1002" s="140"/>
      <c r="LV1002" s="140"/>
      <c r="LW1002" s="140"/>
      <c r="LX1002" s="140"/>
      <c r="LY1002" s="140"/>
      <c r="LZ1002" s="140"/>
      <c r="MA1002" s="140"/>
      <c r="MB1002" s="140"/>
      <c r="MC1002" s="140"/>
      <c r="MD1002" s="140"/>
      <c r="ME1002" s="140"/>
      <c r="MF1002" s="140"/>
      <c r="MG1002" s="140"/>
      <c r="MH1002" s="140"/>
      <c r="MI1002" s="140"/>
      <c r="MJ1002" s="140"/>
      <c r="MK1002" s="140"/>
      <c r="ML1002" s="140"/>
    </row>
    <row r="1003" spans="8:350" s="4" customFormat="1" ht="18" customHeight="1" x14ac:dyDescent="0.3">
      <c r="H1003" s="140"/>
      <c r="I1003" s="140"/>
      <c r="J1003" s="140"/>
      <c r="K1003" s="140"/>
      <c r="L1003" s="140"/>
      <c r="M1003" s="140"/>
      <c r="N1003" s="140"/>
      <c r="O1003" s="140"/>
      <c r="P1003" s="140"/>
      <c r="Q1003" s="140"/>
      <c r="R1003" s="140"/>
      <c r="S1003" s="140"/>
      <c r="T1003" s="140"/>
      <c r="U1003" s="140"/>
      <c r="V1003" s="140"/>
      <c r="W1003" s="140"/>
      <c r="X1003" s="140"/>
      <c r="Y1003" s="140"/>
      <c r="Z1003" s="140"/>
      <c r="AA1003" s="140"/>
      <c r="AB1003" s="140"/>
      <c r="AC1003" s="140"/>
      <c r="AD1003" s="140"/>
      <c r="AE1003" s="140"/>
      <c r="AF1003" s="140"/>
      <c r="AG1003" s="140"/>
      <c r="AH1003" s="140"/>
      <c r="AI1003" s="140"/>
      <c r="AJ1003" s="140"/>
      <c r="AK1003" s="140"/>
      <c r="AL1003" s="140"/>
      <c r="AM1003" s="140"/>
      <c r="AN1003" s="140"/>
      <c r="AO1003" s="140"/>
      <c r="AP1003" s="140"/>
      <c r="AQ1003" s="140"/>
      <c r="AR1003" s="140"/>
      <c r="AS1003" s="140"/>
      <c r="AT1003" s="140"/>
      <c r="AU1003" s="140"/>
      <c r="AV1003" s="140"/>
      <c r="AW1003" s="140"/>
      <c r="AX1003" s="140"/>
      <c r="AY1003" s="140"/>
      <c r="AZ1003" s="140"/>
      <c r="BA1003" s="140"/>
      <c r="BB1003" s="140"/>
      <c r="BC1003" s="140"/>
      <c r="BD1003" s="140"/>
      <c r="BE1003" s="140"/>
      <c r="BF1003" s="140"/>
      <c r="BG1003" s="140"/>
      <c r="BH1003" s="140"/>
      <c r="BI1003" s="140"/>
      <c r="BJ1003" s="140"/>
      <c r="BK1003" s="140"/>
      <c r="BL1003" s="140"/>
      <c r="BM1003" s="140"/>
      <c r="BN1003" s="140"/>
      <c r="BO1003" s="140"/>
      <c r="BP1003" s="140"/>
      <c r="BQ1003" s="140"/>
      <c r="BR1003" s="140"/>
      <c r="BS1003" s="140"/>
      <c r="BT1003" s="140"/>
      <c r="BU1003" s="140"/>
      <c r="BV1003" s="140"/>
      <c r="BW1003" s="140"/>
      <c r="BX1003" s="140"/>
      <c r="BY1003" s="140"/>
      <c r="BZ1003" s="140"/>
      <c r="CA1003" s="140"/>
      <c r="CB1003" s="140"/>
      <c r="CC1003" s="140"/>
      <c r="CD1003" s="140"/>
      <c r="CE1003" s="140"/>
      <c r="CF1003" s="140"/>
      <c r="CG1003" s="140"/>
      <c r="CH1003" s="140"/>
      <c r="CI1003" s="140"/>
      <c r="CJ1003" s="140"/>
      <c r="CK1003" s="140"/>
      <c r="CL1003" s="140"/>
      <c r="CM1003" s="140"/>
      <c r="CN1003" s="140"/>
      <c r="FJ1003" s="140"/>
      <c r="FK1003" s="140"/>
      <c r="FL1003" s="140"/>
      <c r="FM1003" s="140"/>
      <c r="FN1003" s="140"/>
      <c r="FO1003" s="140"/>
      <c r="FP1003" s="140"/>
      <c r="FQ1003" s="140"/>
      <c r="FR1003" s="140"/>
      <c r="FS1003" s="140"/>
      <c r="FT1003" s="140"/>
      <c r="FU1003" s="140"/>
      <c r="FV1003" s="140"/>
      <c r="FW1003" s="140"/>
      <c r="FX1003" s="140"/>
      <c r="FY1003" s="140"/>
      <c r="FZ1003" s="140"/>
      <c r="GA1003" s="140"/>
      <c r="GB1003" s="140"/>
      <c r="GC1003" s="140"/>
      <c r="GD1003" s="140"/>
      <c r="GE1003" s="140"/>
      <c r="GF1003" s="140"/>
      <c r="GG1003" s="140"/>
      <c r="GH1003" s="140"/>
      <c r="GI1003" s="140"/>
      <c r="GJ1003" s="140"/>
      <c r="GK1003" s="140"/>
      <c r="GL1003" s="140"/>
      <c r="GM1003" s="140"/>
      <c r="GN1003" s="140"/>
      <c r="GO1003" s="140"/>
      <c r="GP1003" s="140"/>
      <c r="GQ1003" s="140"/>
      <c r="GR1003" s="140"/>
      <c r="GS1003" s="140"/>
      <c r="GT1003" s="140"/>
      <c r="GU1003" s="140"/>
      <c r="GV1003" s="140"/>
      <c r="GW1003" s="140"/>
      <c r="GX1003" s="140"/>
      <c r="GY1003" s="140"/>
      <c r="GZ1003" s="140"/>
      <c r="HA1003" s="140"/>
      <c r="HB1003" s="140"/>
      <c r="HC1003" s="140"/>
      <c r="HD1003" s="140"/>
      <c r="HE1003" s="140"/>
      <c r="HF1003" s="140"/>
      <c r="HG1003" s="140"/>
      <c r="HH1003" s="140"/>
      <c r="HI1003" s="140"/>
      <c r="HJ1003" s="140"/>
      <c r="HK1003" s="140"/>
      <c r="HL1003" s="140"/>
      <c r="HM1003" s="140"/>
      <c r="HN1003" s="140"/>
      <c r="HO1003" s="140"/>
      <c r="HP1003" s="140"/>
      <c r="HQ1003" s="140"/>
      <c r="HR1003" s="140"/>
      <c r="HS1003" s="140"/>
      <c r="HT1003" s="140"/>
      <c r="HU1003" s="140"/>
      <c r="HV1003" s="140"/>
      <c r="HW1003" s="140"/>
      <c r="HX1003" s="140"/>
      <c r="HY1003" s="140"/>
      <c r="HZ1003" s="140"/>
      <c r="IA1003" s="140"/>
      <c r="IB1003" s="140"/>
      <c r="IC1003" s="140"/>
      <c r="ID1003" s="140"/>
      <c r="IE1003" s="140"/>
      <c r="IF1003" s="140"/>
      <c r="IG1003" s="140"/>
      <c r="IH1003" s="140"/>
      <c r="II1003" s="140"/>
      <c r="IJ1003" s="140"/>
      <c r="IK1003" s="140"/>
      <c r="IL1003" s="140"/>
      <c r="IM1003" s="140"/>
      <c r="IN1003" s="140"/>
      <c r="IO1003" s="140"/>
      <c r="IP1003" s="140"/>
      <c r="IQ1003" s="140"/>
      <c r="IR1003" s="140"/>
      <c r="IS1003" s="140"/>
      <c r="IT1003" s="140"/>
      <c r="IU1003" s="140"/>
      <c r="IV1003" s="140"/>
      <c r="IW1003" s="140"/>
      <c r="IX1003" s="140"/>
      <c r="IY1003" s="140"/>
      <c r="IZ1003" s="140"/>
      <c r="JA1003" s="140"/>
      <c r="JB1003" s="140"/>
      <c r="JC1003" s="140"/>
      <c r="JD1003" s="140"/>
      <c r="JE1003" s="140"/>
      <c r="JF1003" s="140"/>
      <c r="JG1003" s="140"/>
      <c r="JH1003" s="140"/>
      <c r="JI1003" s="140"/>
      <c r="JJ1003" s="140"/>
      <c r="JK1003" s="140"/>
      <c r="JL1003" s="140"/>
      <c r="JM1003" s="140"/>
      <c r="JN1003" s="140"/>
      <c r="JO1003" s="140"/>
      <c r="JP1003" s="140"/>
      <c r="JQ1003" s="140"/>
      <c r="JR1003" s="140"/>
      <c r="JS1003" s="140"/>
      <c r="JT1003" s="140"/>
      <c r="JU1003" s="140"/>
      <c r="JV1003" s="140"/>
      <c r="JW1003" s="140"/>
      <c r="JX1003" s="140"/>
      <c r="JY1003" s="140"/>
      <c r="JZ1003" s="140"/>
      <c r="KA1003" s="140"/>
      <c r="KB1003" s="140"/>
      <c r="KC1003" s="140"/>
      <c r="KD1003" s="140"/>
      <c r="KE1003" s="140"/>
      <c r="KF1003" s="140"/>
      <c r="KG1003" s="140"/>
      <c r="KH1003" s="140"/>
      <c r="KI1003" s="140"/>
      <c r="KJ1003" s="140"/>
      <c r="KK1003" s="140"/>
      <c r="KL1003" s="140"/>
      <c r="KM1003" s="140"/>
      <c r="KN1003" s="140"/>
      <c r="KO1003" s="140"/>
      <c r="KP1003" s="140"/>
      <c r="KQ1003" s="140"/>
      <c r="KR1003" s="140"/>
      <c r="KS1003" s="140"/>
      <c r="KT1003" s="140"/>
      <c r="KU1003" s="140"/>
      <c r="KV1003" s="140"/>
      <c r="KW1003" s="140"/>
      <c r="KX1003" s="140"/>
      <c r="KY1003" s="140"/>
      <c r="KZ1003" s="140"/>
      <c r="LA1003" s="140"/>
      <c r="LB1003" s="140"/>
      <c r="LC1003" s="140"/>
      <c r="LD1003" s="140"/>
      <c r="LE1003" s="140"/>
      <c r="LF1003" s="140"/>
      <c r="LG1003" s="140"/>
      <c r="LH1003" s="140"/>
      <c r="LI1003" s="140"/>
      <c r="LJ1003" s="140"/>
      <c r="LK1003" s="140"/>
      <c r="LL1003" s="140"/>
      <c r="LM1003" s="140"/>
      <c r="LN1003" s="140"/>
      <c r="LO1003" s="140"/>
      <c r="LP1003" s="140"/>
      <c r="LQ1003" s="140"/>
      <c r="LR1003" s="140"/>
      <c r="LS1003" s="140"/>
      <c r="LT1003" s="140"/>
      <c r="LU1003" s="140"/>
      <c r="LV1003" s="140"/>
      <c r="LW1003" s="140"/>
      <c r="LX1003" s="140"/>
      <c r="LY1003" s="140"/>
      <c r="LZ1003" s="140"/>
      <c r="MA1003" s="140"/>
      <c r="MB1003" s="140"/>
      <c r="MC1003" s="140"/>
      <c r="MD1003" s="140"/>
      <c r="ME1003" s="140"/>
      <c r="MF1003" s="140"/>
      <c r="MG1003" s="140"/>
      <c r="MH1003" s="140"/>
      <c r="MI1003" s="140"/>
      <c r="MJ1003" s="140"/>
      <c r="MK1003" s="140"/>
      <c r="ML1003" s="140"/>
    </row>
    <row r="1004" spans="8:350" s="4" customFormat="1" ht="18" customHeight="1" x14ac:dyDescent="0.3">
      <c r="H1004" s="140"/>
      <c r="I1004" s="140"/>
      <c r="J1004" s="140"/>
      <c r="K1004" s="140"/>
      <c r="L1004" s="140"/>
      <c r="M1004" s="140"/>
      <c r="N1004" s="140"/>
      <c r="O1004" s="140"/>
      <c r="P1004" s="140"/>
      <c r="Q1004" s="140"/>
      <c r="R1004" s="140"/>
      <c r="S1004" s="140"/>
      <c r="T1004" s="140"/>
      <c r="U1004" s="140"/>
      <c r="V1004" s="140"/>
      <c r="W1004" s="140"/>
      <c r="X1004" s="140"/>
      <c r="Y1004" s="140"/>
      <c r="Z1004" s="140"/>
      <c r="AA1004" s="140"/>
      <c r="AB1004" s="140"/>
      <c r="AC1004" s="140"/>
      <c r="AD1004" s="140"/>
      <c r="AE1004" s="140"/>
      <c r="AF1004" s="140"/>
      <c r="AG1004" s="140"/>
      <c r="AH1004" s="140"/>
      <c r="AI1004" s="140"/>
      <c r="AJ1004" s="140"/>
      <c r="AK1004" s="140"/>
      <c r="AL1004" s="140"/>
      <c r="AM1004" s="140"/>
      <c r="AN1004" s="140"/>
      <c r="AO1004" s="140"/>
      <c r="AP1004" s="140"/>
      <c r="AQ1004" s="140"/>
      <c r="AR1004" s="140"/>
      <c r="AS1004" s="140"/>
      <c r="AT1004" s="140"/>
      <c r="AU1004" s="140"/>
      <c r="AV1004" s="140"/>
      <c r="AW1004" s="140"/>
      <c r="AX1004" s="140"/>
      <c r="AY1004" s="140"/>
      <c r="AZ1004" s="140"/>
      <c r="BA1004" s="140"/>
      <c r="BB1004" s="140"/>
      <c r="BC1004" s="140"/>
      <c r="BD1004" s="140"/>
      <c r="BE1004" s="140"/>
      <c r="BF1004" s="140"/>
      <c r="BG1004" s="140"/>
      <c r="BH1004" s="140"/>
      <c r="BI1004" s="140"/>
      <c r="BJ1004" s="140"/>
      <c r="BK1004" s="140"/>
      <c r="BL1004" s="140"/>
      <c r="BM1004" s="140"/>
      <c r="BN1004" s="140"/>
      <c r="BO1004" s="140"/>
      <c r="BP1004" s="140"/>
      <c r="BQ1004" s="140"/>
      <c r="BR1004" s="140"/>
      <c r="BS1004" s="140"/>
      <c r="BT1004" s="140"/>
      <c r="BU1004" s="140"/>
      <c r="BV1004" s="140"/>
      <c r="BW1004" s="140"/>
      <c r="BX1004" s="140"/>
      <c r="BY1004" s="140"/>
      <c r="BZ1004" s="140"/>
      <c r="CA1004" s="140"/>
      <c r="CB1004" s="140"/>
      <c r="CC1004" s="140"/>
      <c r="CD1004" s="140"/>
      <c r="CE1004" s="140"/>
      <c r="CF1004" s="140"/>
      <c r="CG1004" s="140"/>
      <c r="CH1004" s="140"/>
      <c r="CI1004" s="140"/>
      <c r="CJ1004" s="140"/>
      <c r="CK1004" s="140"/>
      <c r="CL1004" s="140"/>
      <c r="CM1004" s="140"/>
      <c r="CN1004" s="140"/>
      <c r="FJ1004" s="140"/>
      <c r="FK1004" s="140"/>
      <c r="FL1004" s="140"/>
      <c r="FM1004" s="140"/>
      <c r="FN1004" s="140"/>
      <c r="FO1004" s="140"/>
      <c r="FP1004" s="140"/>
      <c r="FQ1004" s="140"/>
      <c r="FR1004" s="140"/>
      <c r="FS1004" s="140"/>
      <c r="FT1004" s="140"/>
      <c r="FU1004" s="140"/>
      <c r="FV1004" s="140"/>
      <c r="FW1004" s="140"/>
      <c r="FX1004" s="140"/>
      <c r="FY1004" s="140"/>
      <c r="FZ1004" s="140"/>
      <c r="GA1004" s="140"/>
      <c r="GB1004" s="140"/>
      <c r="GC1004" s="140"/>
      <c r="GD1004" s="140"/>
      <c r="GE1004" s="140"/>
      <c r="GF1004" s="140"/>
      <c r="GG1004" s="140"/>
      <c r="GH1004" s="140"/>
      <c r="GI1004" s="140"/>
      <c r="GJ1004" s="140"/>
      <c r="GK1004" s="140"/>
      <c r="GL1004" s="140"/>
      <c r="GM1004" s="140"/>
      <c r="GN1004" s="140"/>
      <c r="GO1004" s="140"/>
      <c r="GP1004" s="140"/>
      <c r="GQ1004" s="140"/>
      <c r="GR1004" s="140"/>
      <c r="GS1004" s="140"/>
      <c r="GT1004" s="140"/>
      <c r="GU1004" s="140"/>
      <c r="GV1004" s="140"/>
      <c r="GW1004" s="140"/>
      <c r="GX1004" s="140"/>
      <c r="GY1004" s="140"/>
      <c r="GZ1004" s="140"/>
      <c r="HA1004" s="140"/>
      <c r="HB1004" s="140"/>
      <c r="HC1004" s="140"/>
      <c r="HD1004" s="140"/>
      <c r="HE1004" s="140"/>
      <c r="HF1004" s="140"/>
      <c r="HG1004" s="140"/>
      <c r="HH1004" s="140"/>
      <c r="HI1004" s="140"/>
      <c r="HJ1004" s="140"/>
      <c r="HK1004" s="140"/>
      <c r="HL1004" s="140"/>
      <c r="HM1004" s="140"/>
      <c r="HN1004" s="140"/>
      <c r="HO1004" s="140"/>
      <c r="HP1004" s="140"/>
      <c r="HQ1004" s="140"/>
      <c r="HR1004" s="140"/>
      <c r="HS1004" s="140"/>
      <c r="HT1004" s="140"/>
      <c r="HU1004" s="140"/>
      <c r="HV1004" s="140"/>
      <c r="HW1004" s="140"/>
      <c r="HX1004" s="140"/>
      <c r="HY1004" s="140"/>
      <c r="HZ1004" s="140"/>
      <c r="IA1004" s="140"/>
      <c r="IB1004" s="140"/>
      <c r="IC1004" s="140"/>
      <c r="ID1004" s="140"/>
      <c r="IE1004" s="140"/>
      <c r="IF1004" s="140"/>
      <c r="IG1004" s="140"/>
      <c r="IH1004" s="140"/>
      <c r="II1004" s="140"/>
      <c r="IJ1004" s="140"/>
      <c r="IK1004" s="140"/>
      <c r="IL1004" s="140"/>
      <c r="IM1004" s="140"/>
      <c r="IN1004" s="140"/>
      <c r="IO1004" s="140"/>
      <c r="IP1004" s="140"/>
      <c r="IQ1004" s="140"/>
      <c r="IR1004" s="140"/>
      <c r="IS1004" s="140"/>
      <c r="IT1004" s="140"/>
      <c r="IU1004" s="140"/>
      <c r="IV1004" s="140"/>
      <c r="IW1004" s="140"/>
      <c r="IX1004" s="140"/>
      <c r="IY1004" s="140"/>
      <c r="IZ1004" s="140"/>
      <c r="JA1004" s="140"/>
      <c r="JB1004" s="140"/>
      <c r="JC1004" s="140"/>
      <c r="JD1004" s="140"/>
      <c r="JE1004" s="140"/>
      <c r="JF1004" s="140"/>
      <c r="JG1004" s="140"/>
      <c r="JH1004" s="140"/>
      <c r="JI1004" s="140"/>
      <c r="JJ1004" s="140"/>
      <c r="JK1004" s="140"/>
      <c r="JL1004" s="140"/>
      <c r="JM1004" s="140"/>
      <c r="JN1004" s="140"/>
      <c r="JO1004" s="140"/>
      <c r="JP1004" s="140"/>
      <c r="JQ1004" s="140"/>
      <c r="JR1004" s="140"/>
      <c r="JS1004" s="140"/>
      <c r="JT1004" s="140"/>
      <c r="JU1004" s="140"/>
      <c r="JV1004" s="140"/>
      <c r="JW1004" s="140"/>
      <c r="JX1004" s="140"/>
      <c r="JY1004" s="140"/>
      <c r="JZ1004" s="140"/>
      <c r="KA1004" s="140"/>
      <c r="KB1004" s="140"/>
      <c r="KC1004" s="140"/>
      <c r="KD1004" s="140"/>
      <c r="KE1004" s="140"/>
      <c r="KF1004" s="140"/>
      <c r="KG1004" s="140"/>
      <c r="KH1004" s="140"/>
      <c r="KI1004" s="140"/>
      <c r="KJ1004" s="140"/>
      <c r="KK1004" s="140"/>
      <c r="KL1004" s="140"/>
      <c r="KM1004" s="140"/>
      <c r="KN1004" s="140"/>
      <c r="KO1004" s="140"/>
      <c r="KP1004" s="140"/>
      <c r="KQ1004" s="140"/>
      <c r="KR1004" s="140"/>
      <c r="KS1004" s="140"/>
      <c r="KT1004" s="140"/>
      <c r="KU1004" s="140"/>
      <c r="KV1004" s="140"/>
      <c r="KW1004" s="140"/>
      <c r="KX1004" s="140"/>
      <c r="KY1004" s="140"/>
      <c r="KZ1004" s="140"/>
      <c r="LA1004" s="140"/>
      <c r="LB1004" s="140"/>
      <c r="LC1004" s="140"/>
      <c r="LD1004" s="140"/>
      <c r="LE1004" s="140"/>
      <c r="LF1004" s="140"/>
      <c r="LG1004" s="140"/>
      <c r="LH1004" s="140"/>
      <c r="LI1004" s="140"/>
      <c r="LJ1004" s="140"/>
      <c r="LK1004" s="140"/>
      <c r="LL1004" s="140"/>
      <c r="LM1004" s="140"/>
      <c r="LN1004" s="140"/>
      <c r="LO1004" s="140"/>
      <c r="LP1004" s="140"/>
      <c r="LQ1004" s="140"/>
      <c r="LR1004" s="140"/>
      <c r="LS1004" s="140"/>
      <c r="LT1004" s="140"/>
      <c r="LU1004" s="140"/>
      <c r="LV1004" s="140"/>
      <c r="LW1004" s="140"/>
      <c r="LX1004" s="140"/>
      <c r="LY1004" s="140"/>
      <c r="LZ1004" s="140"/>
      <c r="MA1004" s="140"/>
      <c r="MB1004" s="140"/>
      <c r="MC1004" s="140"/>
      <c r="MD1004" s="140"/>
      <c r="ME1004" s="140"/>
      <c r="MF1004" s="140"/>
      <c r="MG1004" s="140"/>
      <c r="MH1004" s="140"/>
      <c r="MI1004" s="140"/>
      <c r="MJ1004" s="140"/>
      <c r="MK1004" s="140"/>
      <c r="ML1004" s="140"/>
    </row>
    <row r="1005" spans="8:350" s="4" customFormat="1" ht="18" customHeight="1" x14ac:dyDescent="0.3">
      <c r="H1005" s="140"/>
      <c r="I1005" s="140"/>
      <c r="J1005" s="140"/>
      <c r="K1005" s="140"/>
      <c r="L1005" s="140"/>
      <c r="M1005" s="140"/>
      <c r="N1005" s="140"/>
      <c r="O1005" s="140"/>
      <c r="P1005" s="140"/>
      <c r="Q1005" s="140"/>
      <c r="R1005" s="140"/>
      <c r="S1005" s="140"/>
      <c r="T1005" s="140"/>
      <c r="U1005" s="140"/>
      <c r="V1005" s="140"/>
      <c r="W1005" s="140"/>
      <c r="X1005" s="140"/>
      <c r="Y1005" s="140"/>
      <c r="Z1005" s="140"/>
      <c r="AA1005" s="140"/>
      <c r="AB1005" s="140"/>
      <c r="AC1005" s="140"/>
      <c r="AD1005" s="140"/>
      <c r="AE1005" s="140"/>
      <c r="AF1005" s="140"/>
      <c r="AG1005" s="140"/>
      <c r="AH1005" s="140"/>
      <c r="AI1005" s="140"/>
      <c r="AJ1005" s="140"/>
      <c r="AK1005" s="140"/>
      <c r="AL1005" s="140"/>
      <c r="AM1005" s="140"/>
      <c r="AN1005" s="140"/>
      <c r="AO1005" s="140"/>
      <c r="AP1005" s="140"/>
      <c r="AQ1005" s="140"/>
      <c r="AR1005" s="140"/>
      <c r="AS1005" s="140"/>
      <c r="AT1005" s="140"/>
      <c r="AU1005" s="140"/>
      <c r="AV1005" s="140"/>
      <c r="AW1005" s="140"/>
      <c r="AX1005" s="140"/>
      <c r="AY1005" s="140"/>
      <c r="AZ1005" s="140"/>
      <c r="BA1005" s="140"/>
      <c r="BB1005" s="140"/>
      <c r="BC1005" s="140"/>
      <c r="BD1005" s="140"/>
      <c r="BE1005" s="140"/>
      <c r="BF1005" s="140"/>
      <c r="BG1005" s="140"/>
      <c r="BH1005" s="140"/>
      <c r="BI1005" s="140"/>
      <c r="BJ1005" s="140"/>
      <c r="BK1005" s="140"/>
      <c r="BL1005" s="140"/>
      <c r="BM1005" s="140"/>
      <c r="BN1005" s="140"/>
      <c r="BO1005" s="140"/>
      <c r="BP1005" s="140"/>
      <c r="BQ1005" s="140"/>
      <c r="BR1005" s="140"/>
      <c r="BS1005" s="140"/>
      <c r="BT1005" s="140"/>
      <c r="BU1005" s="140"/>
      <c r="BV1005" s="140"/>
      <c r="BW1005" s="140"/>
      <c r="BX1005" s="140"/>
      <c r="BY1005" s="140"/>
      <c r="BZ1005" s="140"/>
      <c r="CA1005" s="140"/>
      <c r="CB1005" s="140"/>
      <c r="CC1005" s="140"/>
      <c r="CD1005" s="140"/>
      <c r="CE1005" s="140"/>
      <c r="CF1005" s="140"/>
      <c r="CG1005" s="140"/>
      <c r="CH1005" s="140"/>
      <c r="CI1005" s="140"/>
      <c r="CJ1005" s="140"/>
      <c r="CK1005" s="140"/>
      <c r="CL1005" s="140"/>
      <c r="CM1005" s="140"/>
      <c r="CN1005" s="140"/>
      <c r="FJ1005" s="140"/>
      <c r="FK1005" s="140"/>
      <c r="FL1005" s="140"/>
      <c r="FM1005" s="140"/>
      <c r="FN1005" s="140"/>
      <c r="FO1005" s="140"/>
      <c r="FP1005" s="140"/>
      <c r="FQ1005" s="140"/>
      <c r="FR1005" s="140"/>
      <c r="FS1005" s="140"/>
      <c r="FT1005" s="140"/>
      <c r="FU1005" s="140"/>
      <c r="FV1005" s="140"/>
      <c r="FW1005" s="140"/>
      <c r="FX1005" s="140"/>
      <c r="FY1005" s="140"/>
      <c r="FZ1005" s="140"/>
      <c r="GA1005" s="140"/>
      <c r="GB1005" s="140"/>
      <c r="GC1005" s="140"/>
      <c r="GD1005" s="140"/>
      <c r="GE1005" s="140"/>
      <c r="GF1005" s="140"/>
      <c r="GG1005" s="140"/>
      <c r="GH1005" s="140"/>
      <c r="GI1005" s="140"/>
      <c r="GJ1005" s="140"/>
      <c r="GK1005" s="140"/>
      <c r="GL1005" s="140"/>
      <c r="GM1005" s="140"/>
      <c r="GN1005" s="140"/>
      <c r="GO1005" s="140"/>
      <c r="GP1005" s="140"/>
      <c r="GQ1005" s="140"/>
      <c r="GR1005" s="140"/>
      <c r="GS1005" s="140"/>
      <c r="GT1005" s="140"/>
      <c r="GU1005" s="140"/>
      <c r="GV1005" s="140"/>
      <c r="GW1005" s="140"/>
      <c r="GX1005" s="140"/>
      <c r="GY1005" s="140"/>
      <c r="GZ1005" s="140"/>
      <c r="HA1005" s="140"/>
      <c r="HB1005" s="140"/>
      <c r="HC1005" s="140"/>
      <c r="HD1005" s="140"/>
      <c r="HE1005" s="140"/>
      <c r="HF1005" s="140"/>
      <c r="HG1005" s="140"/>
      <c r="HH1005" s="140"/>
      <c r="HI1005" s="140"/>
      <c r="HJ1005" s="140"/>
      <c r="HK1005" s="140"/>
      <c r="HL1005" s="140"/>
      <c r="HM1005" s="140"/>
      <c r="HN1005" s="140"/>
      <c r="HO1005" s="140"/>
      <c r="HP1005" s="140"/>
      <c r="HQ1005" s="140"/>
      <c r="HR1005" s="140"/>
      <c r="HS1005" s="140"/>
      <c r="HT1005" s="140"/>
      <c r="HU1005" s="140"/>
      <c r="HV1005" s="140"/>
      <c r="HW1005" s="140"/>
      <c r="HX1005" s="140"/>
      <c r="HY1005" s="140"/>
      <c r="HZ1005" s="140"/>
      <c r="IA1005" s="140"/>
      <c r="IB1005" s="140"/>
      <c r="IC1005" s="140"/>
      <c r="ID1005" s="140"/>
      <c r="IE1005" s="140"/>
      <c r="IF1005" s="140"/>
      <c r="IG1005" s="140"/>
      <c r="IH1005" s="140"/>
      <c r="II1005" s="140"/>
      <c r="IJ1005" s="140"/>
      <c r="IK1005" s="140"/>
      <c r="IL1005" s="140"/>
      <c r="IM1005" s="140"/>
      <c r="IN1005" s="140"/>
      <c r="IO1005" s="140"/>
      <c r="IP1005" s="140"/>
      <c r="IQ1005" s="140"/>
      <c r="IR1005" s="140"/>
      <c r="IS1005" s="140"/>
      <c r="IT1005" s="140"/>
      <c r="IU1005" s="140"/>
      <c r="IV1005" s="140"/>
      <c r="IW1005" s="140"/>
      <c r="IX1005" s="140"/>
      <c r="IY1005" s="140"/>
      <c r="IZ1005" s="140"/>
      <c r="JA1005" s="140"/>
      <c r="JB1005" s="140"/>
      <c r="JC1005" s="140"/>
      <c r="JD1005" s="140"/>
      <c r="JE1005" s="140"/>
      <c r="JF1005" s="140"/>
      <c r="JG1005" s="140"/>
      <c r="JH1005" s="140"/>
      <c r="JI1005" s="140"/>
      <c r="JJ1005" s="140"/>
      <c r="JK1005" s="140"/>
      <c r="JL1005" s="140"/>
      <c r="JM1005" s="140"/>
      <c r="JN1005" s="140"/>
      <c r="JO1005" s="140"/>
      <c r="JP1005" s="140"/>
      <c r="JQ1005" s="140"/>
      <c r="JR1005" s="140"/>
      <c r="JS1005" s="140"/>
      <c r="JT1005" s="140"/>
      <c r="JU1005" s="140"/>
      <c r="JV1005" s="140"/>
      <c r="JW1005" s="140"/>
      <c r="JX1005" s="140"/>
      <c r="JY1005" s="140"/>
      <c r="JZ1005" s="140"/>
      <c r="KA1005" s="140"/>
      <c r="KB1005" s="140"/>
      <c r="KC1005" s="140"/>
      <c r="KD1005" s="140"/>
      <c r="KE1005" s="140"/>
      <c r="KF1005" s="140"/>
      <c r="KG1005" s="140"/>
      <c r="KH1005" s="140"/>
      <c r="KI1005" s="140"/>
      <c r="KJ1005" s="140"/>
      <c r="KK1005" s="140"/>
      <c r="KL1005" s="140"/>
      <c r="KM1005" s="140"/>
      <c r="KN1005" s="140"/>
      <c r="KO1005" s="140"/>
      <c r="KP1005" s="140"/>
      <c r="KQ1005" s="140"/>
      <c r="KR1005" s="140"/>
      <c r="KS1005" s="140"/>
      <c r="KT1005" s="140"/>
      <c r="KU1005" s="140"/>
      <c r="KV1005" s="140"/>
      <c r="KW1005" s="140"/>
      <c r="KX1005" s="140"/>
      <c r="KY1005" s="140"/>
      <c r="KZ1005" s="140"/>
      <c r="LA1005" s="140"/>
      <c r="LB1005" s="140"/>
      <c r="LC1005" s="140"/>
      <c r="LD1005" s="140"/>
      <c r="LE1005" s="140"/>
      <c r="LF1005" s="140"/>
      <c r="LG1005" s="140"/>
      <c r="LH1005" s="140"/>
      <c r="LI1005" s="140"/>
      <c r="LJ1005" s="140"/>
      <c r="LK1005" s="140"/>
      <c r="LL1005" s="140"/>
      <c r="LM1005" s="140"/>
      <c r="LN1005" s="140"/>
      <c r="LO1005" s="140"/>
      <c r="LP1005" s="140"/>
      <c r="LQ1005" s="140"/>
      <c r="LR1005" s="140"/>
      <c r="LS1005" s="140"/>
      <c r="LT1005" s="140"/>
      <c r="LU1005" s="140"/>
      <c r="LV1005" s="140"/>
      <c r="LW1005" s="140"/>
      <c r="LX1005" s="140"/>
      <c r="LY1005" s="140"/>
      <c r="LZ1005" s="140"/>
      <c r="MA1005" s="140"/>
      <c r="MB1005" s="140"/>
      <c r="MC1005" s="140"/>
      <c r="MD1005" s="140"/>
      <c r="ME1005" s="140"/>
      <c r="MF1005" s="140"/>
      <c r="MG1005" s="140"/>
      <c r="MH1005" s="140"/>
      <c r="MI1005" s="140"/>
      <c r="MJ1005" s="140"/>
      <c r="MK1005" s="140"/>
      <c r="ML1005" s="140"/>
    </row>
    <row r="1006" spans="8:350" s="4" customFormat="1" ht="18" customHeight="1" x14ac:dyDescent="0.3">
      <c r="H1006" s="140"/>
      <c r="I1006" s="140"/>
      <c r="J1006" s="140"/>
      <c r="K1006" s="140"/>
      <c r="L1006" s="140"/>
      <c r="M1006" s="140"/>
      <c r="N1006" s="140"/>
      <c r="O1006" s="140"/>
      <c r="P1006" s="140"/>
      <c r="Q1006" s="140"/>
      <c r="R1006" s="140"/>
      <c r="S1006" s="140"/>
      <c r="T1006" s="140"/>
      <c r="U1006" s="140"/>
      <c r="V1006" s="140"/>
      <c r="W1006" s="140"/>
      <c r="X1006" s="140"/>
      <c r="Y1006" s="140"/>
      <c r="Z1006" s="140"/>
      <c r="AA1006" s="140"/>
      <c r="AB1006" s="140"/>
      <c r="AC1006" s="140"/>
      <c r="AD1006" s="140"/>
      <c r="AE1006" s="140"/>
      <c r="AF1006" s="140"/>
      <c r="AG1006" s="140"/>
      <c r="AH1006" s="140"/>
      <c r="AI1006" s="140"/>
      <c r="AJ1006" s="140"/>
      <c r="AK1006" s="140"/>
      <c r="AL1006" s="140"/>
      <c r="AM1006" s="140"/>
      <c r="AN1006" s="140"/>
      <c r="AO1006" s="140"/>
      <c r="AP1006" s="140"/>
      <c r="AQ1006" s="140"/>
      <c r="AR1006" s="140"/>
      <c r="AS1006" s="140"/>
      <c r="AT1006" s="140"/>
      <c r="AU1006" s="140"/>
      <c r="AV1006" s="140"/>
      <c r="AW1006" s="140"/>
      <c r="AX1006" s="140"/>
      <c r="AY1006" s="140"/>
      <c r="AZ1006" s="140"/>
      <c r="BA1006" s="140"/>
      <c r="BB1006" s="140"/>
      <c r="BC1006" s="140"/>
      <c r="BD1006" s="140"/>
      <c r="BE1006" s="140"/>
      <c r="BF1006" s="140"/>
      <c r="BG1006" s="140"/>
      <c r="BH1006" s="140"/>
      <c r="BI1006" s="140"/>
      <c r="BJ1006" s="140"/>
      <c r="BK1006" s="140"/>
      <c r="BL1006" s="140"/>
      <c r="BM1006" s="140"/>
      <c r="BN1006" s="140"/>
      <c r="BO1006" s="140"/>
      <c r="BP1006" s="140"/>
      <c r="BQ1006" s="140"/>
      <c r="BR1006" s="140"/>
      <c r="BS1006" s="140"/>
      <c r="BT1006" s="140"/>
      <c r="BU1006" s="140"/>
      <c r="BV1006" s="140"/>
      <c r="BW1006" s="140"/>
      <c r="BX1006" s="140"/>
      <c r="BY1006" s="140"/>
      <c r="BZ1006" s="140"/>
      <c r="CA1006" s="140"/>
      <c r="CB1006" s="140"/>
      <c r="CC1006" s="140"/>
      <c r="CD1006" s="140"/>
      <c r="CE1006" s="140"/>
      <c r="CF1006" s="140"/>
      <c r="CG1006" s="140"/>
      <c r="CH1006" s="140"/>
      <c r="CI1006" s="140"/>
      <c r="CJ1006" s="140"/>
      <c r="CK1006" s="140"/>
      <c r="CL1006" s="140"/>
      <c r="CM1006" s="140"/>
      <c r="CN1006" s="140"/>
      <c r="FJ1006" s="140"/>
      <c r="FK1006" s="140"/>
      <c r="FL1006" s="140"/>
      <c r="FM1006" s="140"/>
      <c r="FN1006" s="140"/>
      <c r="FO1006" s="140"/>
      <c r="FP1006" s="140"/>
      <c r="FQ1006" s="140"/>
      <c r="FR1006" s="140"/>
      <c r="FS1006" s="140"/>
      <c r="FT1006" s="140"/>
      <c r="FU1006" s="140"/>
      <c r="FV1006" s="140"/>
      <c r="FW1006" s="140"/>
      <c r="FX1006" s="140"/>
      <c r="FY1006" s="140"/>
      <c r="FZ1006" s="140"/>
      <c r="GA1006" s="140"/>
      <c r="GB1006" s="140"/>
      <c r="GC1006" s="140"/>
      <c r="GD1006" s="140"/>
      <c r="GE1006" s="140"/>
      <c r="GF1006" s="140"/>
      <c r="GG1006" s="140"/>
      <c r="GH1006" s="140"/>
      <c r="GI1006" s="140"/>
      <c r="GJ1006" s="140"/>
      <c r="GK1006" s="140"/>
      <c r="GL1006" s="140"/>
      <c r="GM1006" s="140"/>
      <c r="GN1006" s="140"/>
      <c r="GO1006" s="140"/>
      <c r="GP1006" s="140"/>
      <c r="GQ1006" s="140"/>
      <c r="GR1006" s="140"/>
      <c r="GS1006" s="140"/>
      <c r="GT1006" s="140"/>
      <c r="GU1006" s="140"/>
      <c r="GV1006" s="140"/>
      <c r="GW1006" s="140"/>
      <c r="GX1006" s="140"/>
      <c r="GY1006" s="140"/>
      <c r="GZ1006" s="140"/>
      <c r="HA1006" s="140"/>
      <c r="HB1006" s="140"/>
      <c r="HC1006" s="140"/>
      <c r="HD1006" s="140"/>
      <c r="HE1006" s="140"/>
      <c r="HF1006" s="140"/>
      <c r="HG1006" s="140"/>
      <c r="HH1006" s="140"/>
      <c r="HI1006" s="140"/>
      <c r="HJ1006" s="140"/>
      <c r="HK1006" s="140"/>
      <c r="HL1006" s="140"/>
      <c r="HM1006" s="140"/>
      <c r="HN1006" s="140"/>
      <c r="HO1006" s="140"/>
      <c r="HP1006" s="140"/>
      <c r="HQ1006" s="140"/>
      <c r="HR1006" s="140"/>
      <c r="HS1006" s="140"/>
      <c r="HT1006" s="140"/>
      <c r="HU1006" s="140"/>
      <c r="HV1006" s="140"/>
      <c r="HW1006" s="140"/>
      <c r="HX1006" s="140"/>
      <c r="HY1006" s="140"/>
      <c r="HZ1006" s="140"/>
      <c r="IA1006" s="140"/>
      <c r="IB1006" s="140"/>
      <c r="IC1006" s="140"/>
      <c r="ID1006" s="140"/>
      <c r="IE1006" s="140"/>
      <c r="IF1006" s="140"/>
      <c r="IG1006" s="140"/>
      <c r="IH1006" s="140"/>
      <c r="II1006" s="140"/>
      <c r="IJ1006" s="140"/>
      <c r="IK1006" s="140"/>
      <c r="IL1006" s="140"/>
      <c r="IM1006" s="140"/>
      <c r="IN1006" s="140"/>
      <c r="IO1006" s="140"/>
      <c r="IP1006" s="140"/>
      <c r="IQ1006" s="140"/>
      <c r="IR1006" s="140"/>
      <c r="IS1006" s="140"/>
      <c r="IT1006" s="140"/>
      <c r="IU1006" s="140"/>
      <c r="IV1006" s="140"/>
      <c r="IW1006" s="140"/>
      <c r="IX1006" s="140"/>
      <c r="IY1006" s="140"/>
      <c r="IZ1006" s="140"/>
      <c r="JA1006" s="140"/>
      <c r="JB1006" s="140"/>
      <c r="JC1006" s="140"/>
      <c r="JD1006" s="140"/>
      <c r="JE1006" s="140"/>
      <c r="JF1006" s="140"/>
      <c r="JG1006" s="140"/>
      <c r="JH1006" s="140"/>
      <c r="JI1006" s="140"/>
      <c r="JJ1006" s="140"/>
      <c r="JK1006" s="140"/>
      <c r="JL1006" s="140"/>
      <c r="JM1006" s="140"/>
      <c r="JN1006" s="140"/>
      <c r="JO1006" s="140"/>
      <c r="JP1006" s="140"/>
      <c r="JQ1006" s="140"/>
      <c r="JR1006" s="140"/>
      <c r="JS1006" s="140"/>
      <c r="JT1006" s="140"/>
      <c r="JU1006" s="140"/>
      <c r="JV1006" s="140"/>
      <c r="JW1006" s="140"/>
      <c r="JX1006" s="140"/>
      <c r="JY1006" s="140"/>
      <c r="JZ1006" s="140"/>
      <c r="KA1006" s="140"/>
      <c r="KB1006" s="140"/>
      <c r="KC1006" s="140"/>
      <c r="KD1006" s="140"/>
      <c r="KE1006" s="140"/>
      <c r="KF1006" s="140"/>
      <c r="KG1006" s="140"/>
      <c r="KH1006" s="140"/>
      <c r="KI1006" s="140"/>
      <c r="KJ1006" s="140"/>
      <c r="KK1006" s="140"/>
      <c r="KL1006" s="140"/>
      <c r="KM1006" s="140"/>
      <c r="KN1006" s="140"/>
      <c r="KO1006" s="140"/>
      <c r="KP1006" s="140"/>
      <c r="KQ1006" s="140"/>
      <c r="KR1006" s="140"/>
      <c r="KS1006" s="140"/>
      <c r="KT1006" s="140"/>
      <c r="KU1006" s="140"/>
      <c r="KV1006" s="140"/>
      <c r="KW1006" s="140"/>
      <c r="KX1006" s="140"/>
      <c r="KY1006" s="140"/>
      <c r="KZ1006" s="140"/>
      <c r="LA1006" s="140"/>
      <c r="LB1006" s="140"/>
      <c r="LC1006" s="140"/>
      <c r="LD1006" s="140"/>
      <c r="LE1006" s="140"/>
      <c r="LF1006" s="140"/>
      <c r="LG1006" s="140"/>
      <c r="LH1006" s="140"/>
      <c r="LI1006" s="140"/>
      <c r="LJ1006" s="140"/>
      <c r="LK1006" s="140"/>
      <c r="LL1006" s="140"/>
      <c r="LM1006" s="140"/>
      <c r="LN1006" s="140"/>
      <c r="LO1006" s="140"/>
      <c r="LP1006" s="140"/>
      <c r="LQ1006" s="140"/>
      <c r="LR1006" s="140"/>
      <c r="LS1006" s="140"/>
      <c r="LT1006" s="140"/>
      <c r="LU1006" s="140"/>
      <c r="LV1006" s="140"/>
      <c r="LW1006" s="140"/>
      <c r="LX1006" s="140"/>
      <c r="LY1006" s="140"/>
      <c r="LZ1006" s="140"/>
      <c r="MA1006" s="140"/>
      <c r="MB1006" s="140"/>
      <c r="MC1006" s="140"/>
      <c r="MD1006" s="140"/>
      <c r="ME1006" s="140"/>
      <c r="MF1006" s="140"/>
      <c r="MG1006" s="140"/>
      <c r="MH1006" s="140"/>
      <c r="MI1006" s="140"/>
      <c r="MJ1006" s="140"/>
      <c r="MK1006" s="140"/>
      <c r="ML1006" s="140"/>
    </row>
    <row r="1007" spans="8:350" s="4" customFormat="1" ht="18" customHeight="1" x14ac:dyDescent="0.3">
      <c r="H1007" s="140"/>
      <c r="I1007" s="140"/>
      <c r="J1007" s="140"/>
      <c r="K1007" s="140"/>
      <c r="L1007" s="140"/>
      <c r="M1007" s="140"/>
      <c r="N1007" s="140"/>
      <c r="O1007" s="140"/>
      <c r="P1007" s="140"/>
      <c r="Q1007" s="140"/>
      <c r="R1007" s="140"/>
      <c r="S1007" s="140"/>
      <c r="T1007" s="140"/>
      <c r="U1007" s="140"/>
      <c r="V1007" s="140"/>
      <c r="W1007" s="140"/>
      <c r="X1007" s="140"/>
      <c r="Y1007" s="140"/>
      <c r="Z1007" s="140"/>
      <c r="AA1007" s="140"/>
      <c r="AB1007" s="140"/>
      <c r="AC1007" s="140"/>
      <c r="AD1007" s="140"/>
      <c r="AE1007" s="140"/>
      <c r="AF1007" s="140"/>
      <c r="AG1007" s="140"/>
      <c r="AH1007" s="140"/>
      <c r="AI1007" s="140"/>
      <c r="AJ1007" s="140"/>
      <c r="AK1007" s="140"/>
      <c r="AL1007" s="140"/>
      <c r="AM1007" s="140"/>
      <c r="AN1007" s="140"/>
      <c r="AO1007" s="140"/>
      <c r="AP1007" s="140"/>
      <c r="AQ1007" s="140"/>
      <c r="AR1007" s="140"/>
      <c r="AS1007" s="140"/>
      <c r="AT1007" s="140"/>
      <c r="AU1007" s="140"/>
      <c r="AV1007" s="140"/>
      <c r="AW1007" s="140"/>
      <c r="AX1007" s="140"/>
      <c r="AY1007" s="140"/>
      <c r="AZ1007" s="140"/>
      <c r="BA1007" s="140"/>
      <c r="BB1007" s="140"/>
      <c r="BC1007" s="140"/>
      <c r="BD1007" s="140"/>
      <c r="BE1007" s="140"/>
      <c r="BF1007" s="140"/>
      <c r="BG1007" s="140"/>
      <c r="BH1007" s="140"/>
      <c r="BI1007" s="140"/>
      <c r="BJ1007" s="140"/>
      <c r="BK1007" s="140"/>
      <c r="BL1007" s="140"/>
      <c r="BM1007" s="140"/>
      <c r="BN1007" s="140"/>
      <c r="BO1007" s="140"/>
      <c r="BP1007" s="140"/>
      <c r="BQ1007" s="140"/>
      <c r="BR1007" s="140"/>
      <c r="BS1007" s="140"/>
      <c r="BT1007" s="140"/>
      <c r="BU1007" s="140"/>
      <c r="BV1007" s="140"/>
      <c r="BW1007" s="140"/>
      <c r="BX1007" s="140"/>
      <c r="BY1007" s="140"/>
      <c r="BZ1007" s="140"/>
      <c r="CA1007" s="140"/>
      <c r="CB1007" s="140"/>
      <c r="CC1007" s="140"/>
      <c r="CD1007" s="140"/>
      <c r="CE1007" s="140"/>
      <c r="CF1007" s="140"/>
      <c r="CG1007" s="140"/>
      <c r="CH1007" s="140"/>
      <c r="CI1007" s="140"/>
      <c r="CJ1007" s="140"/>
      <c r="CK1007" s="140"/>
      <c r="CL1007" s="140"/>
      <c r="CM1007" s="140"/>
      <c r="CN1007" s="140"/>
      <c r="FJ1007" s="140"/>
      <c r="FK1007" s="140"/>
      <c r="FL1007" s="140"/>
      <c r="FM1007" s="140"/>
      <c r="FN1007" s="140"/>
      <c r="FO1007" s="140"/>
      <c r="FP1007" s="140"/>
      <c r="FQ1007" s="140"/>
      <c r="FR1007" s="140"/>
      <c r="FS1007" s="140"/>
      <c r="FT1007" s="140"/>
      <c r="FU1007" s="140"/>
      <c r="FV1007" s="140"/>
      <c r="FW1007" s="140"/>
      <c r="FX1007" s="140"/>
      <c r="FY1007" s="140"/>
      <c r="FZ1007" s="140"/>
      <c r="GA1007" s="140"/>
      <c r="GB1007" s="140"/>
      <c r="GC1007" s="140"/>
      <c r="GD1007" s="140"/>
      <c r="GE1007" s="140"/>
      <c r="GF1007" s="140"/>
      <c r="GG1007" s="140"/>
      <c r="GH1007" s="140"/>
      <c r="GI1007" s="140"/>
      <c r="GJ1007" s="140"/>
      <c r="GK1007" s="140"/>
      <c r="GL1007" s="140"/>
      <c r="GM1007" s="140"/>
      <c r="GN1007" s="140"/>
      <c r="GO1007" s="140"/>
      <c r="GP1007" s="140"/>
      <c r="GQ1007" s="140"/>
      <c r="GR1007" s="140"/>
      <c r="GS1007" s="140"/>
      <c r="GT1007" s="140"/>
      <c r="GU1007" s="140"/>
      <c r="GV1007" s="140"/>
      <c r="GW1007" s="140"/>
      <c r="GX1007" s="140"/>
      <c r="GY1007" s="140"/>
      <c r="GZ1007" s="140"/>
      <c r="HA1007" s="140"/>
      <c r="HB1007" s="140"/>
      <c r="HC1007" s="140"/>
      <c r="HD1007" s="140"/>
      <c r="HE1007" s="140"/>
      <c r="HF1007" s="140"/>
      <c r="HG1007" s="140"/>
      <c r="HH1007" s="140"/>
      <c r="HI1007" s="140"/>
      <c r="HJ1007" s="140"/>
      <c r="HK1007" s="140"/>
      <c r="HL1007" s="140"/>
      <c r="HM1007" s="140"/>
      <c r="HN1007" s="140"/>
      <c r="HO1007" s="140"/>
      <c r="HP1007" s="140"/>
      <c r="HQ1007" s="140"/>
      <c r="HR1007" s="140"/>
      <c r="HS1007" s="140"/>
      <c r="HT1007" s="140"/>
      <c r="HU1007" s="140"/>
      <c r="HV1007" s="140"/>
      <c r="HW1007" s="140"/>
      <c r="HX1007" s="140"/>
      <c r="HY1007" s="140"/>
      <c r="HZ1007" s="140"/>
      <c r="IA1007" s="140"/>
      <c r="IB1007" s="140"/>
      <c r="IC1007" s="140"/>
      <c r="ID1007" s="140"/>
      <c r="IE1007" s="140"/>
      <c r="IF1007" s="140"/>
      <c r="IG1007" s="140"/>
      <c r="IH1007" s="140"/>
      <c r="II1007" s="140"/>
      <c r="IJ1007" s="140"/>
      <c r="IK1007" s="140"/>
      <c r="IL1007" s="140"/>
      <c r="IM1007" s="140"/>
      <c r="IN1007" s="140"/>
      <c r="IO1007" s="140"/>
      <c r="IP1007" s="140"/>
      <c r="IQ1007" s="140"/>
      <c r="IR1007" s="140"/>
      <c r="IS1007" s="140"/>
      <c r="IT1007" s="140"/>
      <c r="IU1007" s="140"/>
      <c r="IV1007" s="140"/>
      <c r="IW1007" s="140"/>
      <c r="IX1007" s="140"/>
      <c r="IY1007" s="140"/>
      <c r="IZ1007" s="140"/>
      <c r="JA1007" s="140"/>
      <c r="JB1007" s="140"/>
      <c r="JC1007" s="140"/>
      <c r="JD1007" s="140"/>
      <c r="JE1007" s="140"/>
      <c r="JF1007" s="140"/>
      <c r="JG1007" s="140"/>
      <c r="JH1007" s="140"/>
      <c r="JI1007" s="140"/>
      <c r="JJ1007" s="140"/>
      <c r="JK1007" s="140"/>
      <c r="JL1007" s="140"/>
      <c r="JM1007" s="140"/>
      <c r="JN1007" s="140"/>
      <c r="JO1007" s="140"/>
      <c r="JP1007" s="140"/>
      <c r="JQ1007" s="140"/>
      <c r="JR1007" s="140"/>
      <c r="JS1007" s="140"/>
      <c r="JT1007" s="140"/>
      <c r="JU1007" s="140"/>
      <c r="JV1007" s="140"/>
      <c r="JW1007" s="140"/>
      <c r="JX1007" s="140"/>
      <c r="JY1007" s="140"/>
      <c r="JZ1007" s="140"/>
      <c r="KA1007" s="140"/>
      <c r="KB1007" s="140"/>
      <c r="KC1007" s="140"/>
      <c r="KD1007" s="140"/>
      <c r="KE1007" s="140"/>
      <c r="KF1007" s="140"/>
      <c r="KG1007" s="140"/>
      <c r="KH1007" s="140"/>
      <c r="KI1007" s="140"/>
      <c r="KJ1007" s="140"/>
      <c r="KK1007" s="140"/>
      <c r="KL1007" s="140"/>
      <c r="KM1007" s="140"/>
      <c r="KN1007" s="140"/>
      <c r="KO1007" s="140"/>
      <c r="KP1007" s="140"/>
      <c r="KQ1007" s="140"/>
      <c r="KR1007" s="140"/>
      <c r="KS1007" s="140"/>
      <c r="KT1007" s="140"/>
      <c r="KU1007" s="140"/>
      <c r="KV1007" s="140"/>
      <c r="KW1007" s="140"/>
      <c r="KX1007" s="140"/>
      <c r="KY1007" s="140"/>
      <c r="KZ1007" s="140"/>
      <c r="LA1007" s="140"/>
      <c r="LB1007" s="140"/>
      <c r="LC1007" s="140"/>
      <c r="LD1007" s="140"/>
      <c r="LE1007" s="140"/>
      <c r="LF1007" s="140"/>
      <c r="LG1007" s="140"/>
      <c r="LH1007" s="140"/>
      <c r="LI1007" s="140"/>
      <c r="LJ1007" s="140"/>
      <c r="LK1007" s="140"/>
      <c r="LL1007" s="140"/>
      <c r="LM1007" s="140"/>
      <c r="LN1007" s="140"/>
      <c r="LO1007" s="140"/>
      <c r="LP1007" s="140"/>
      <c r="LQ1007" s="140"/>
      <c r="LR1007" s="140"/>
      <c r="LS1007" s="140"/>
      <c r="LT1007" s="140"/>
      <c r="LU1007" s="140"/>
      <c r="LV1007" s="140"/>
      <c r="LW1007" s="140"/>
      <c r="LX1007" s="140"/>
      <c r="LY1007" s="140"/>
      <c r="LZ1007" s="140"/>
      <c r="MA1007" s="140"/>
      <c r="MB1007" s="140"/>
      <c r="MC1007" s="140"/>
      <c r="MD1007" s="140"/>
      <c r="ME1007" s="140"/>
      <c r="MF1007" s="140"/>
      <c r="MG1007" s="140"/>
      <c r="MH1007" s="140"/>
      <c r="MI1007" s="140"/>
      <c r="MJ1007" s="140"/>
      <c r="MK1007" s="140"/>
      <c r="ML1007" s="140"/>
    </row>
    <row r="1008" spans="8:350" s="4" customFormat="1" ht="18" customHeight="1" x14ac:dyDescent="0.3">
      <c r="H1008" s="140"/>
      <c r="I1008" s="140"/>
      <c r="J1008" s="140"/>
      <c r="K1008" s="140"/>
      <c r="L1008" s="140"/>
      <c r="M1008" s="140"/>
      <c r="N1008" s="140"/>
      <c r="O1008" s="140"/>
      <c r="P1008" s="140"/>
      <c r="Q1008" s="140"/>
      <c r="R1008" s="140"/>
      <c r="S1008" s="140"/>
      <c r="T1008" s="140"/>
      <c r="U1008" s="140"/>
      <c r="V1008" s="140"/>
      <c r="W1008" s="140"/>
      <c r="X1008" s="140"/>
      <c r="Y1008" s="140"/>
      <c r="Z1008" s="140"/>
      <c r="AA1008" s="140"/>
      <c r="AB1008" s="140"/>
      <c r="AC1008" s="140"/>
      <c r="AD1008" s="140"/>
      <c r="AE1008" s="140"/>
      <c r="AF1008" s="140"/>
      <c r="AG1008" s="140"/>
      <c r="AH1008" s="140"/>
      <c r="AI1008" s="140"/>
      <c r="AJ1008" s="140"/>
      <c r="AK1008" s="140"/>
      <c r="AL1008" s="140"/>
      <c r="AM1008" s="140"/>
      <c r="AN1008" s="140"/>
      <c r="AO1008" s="140"/>
      <c r="AP1008" s="140"/>
      <c r="AQ1008" s="140"/>
      <c r="AR1008" s="140"/>
      <c r="AS1008" s="140"/>
      <c r="AT1008" s="140"/>
      <c r="AU1008" s="140"/>
      <c r="AV1008" s="140"/>
      <c r="AW1008" s="140"/>
      <c r="AX1008" s="140"/>
      <c r="AY1008" s="140"/>
      <c r="AZ1008" s="140"/>
      <c r="BA1008" s="140"/>
      <c r="BB1008" s="140"/>
      <c r="BC1008" s="140"/>
      <c r="BD1008" s="140"/>
      <c r="BE1008" s="140"/>
      <c r="BF1008" s="140"/>
      <c r="BG1008" s="140"/>
      <c r="BH1008" s="140"/>
      <c r="BI1008" s="140"/>
      <c r="BJ1008" s="140"/>
      <c r="BK1008" s="140"/>
      <c r="BL1008" s="140"/>
      <c r="BM1008" s="140"/>
      <c r="BN1008" s="140"/>
      <c r="BO1008" s="140"/>
      <c r="BP1008" s="140"/>
      <c r="BQ1008" s="140"/>
      <c r="BR1008" s="140"/>
      <c r="BS1008" s="140"/>
      <c r="BT1008" s="140"/>
      <c r="BU1008" s="140"/>
      <c r="BV1008" s="140"/>
      <c r="BW1008" s="140"/>
      <c r="BX1008" s="140"/>
      <c r="BY1008" s="140"/>
      <c r="BZ1008" s="140"/>
      <c r="CA1008" s="140"/>
      <c r="CB1008" s="140"/>
      <c r="CC1008" s="140"/>
      <c r="CD1008" s="140"/>
      <c r="CE1008" s="140"/>
      <c r="CF1008" s="140"/>
      <c r="CG1008" s="140"/>
      <c r="CH1008" s="140"/>
      <c r="CI1008" s="140"/>
      <c r="CJ1008" s="140"/>
      <c r="CK1008" s="140"/>
      <c r="CL1008" s="140"/>
      <c r="CM1008" s="140"/>
      <c r="CN1008" s="140"/>
      <c r="FJ1008" s="140"/>
      <c r="FK1008" s="140"/>
      <c r="FL1008" s="140"/>
      <c r="FM1008" s="140"/>
      <c r="FN1008" s="140"/>
      <c r="FO1008" s="140"/>
      <c r="FP1008" s="140"/>
      <c r="FQ1008" s="140"/>
      <c r="FR1008" s="140"/>
      <c r="FS1008" s="140"/>
      <c r="FT1008" s="140"/>
      <c r="FU1008" s="140"/>
      <c r="FV1008" s="140"/>
      <c r="FW1008" s="140"/>
      <c r="FX1008" s="140"/>
      <c r="FY1008" s="140"/>
      <c r="FZ1008" s="140"/>
      <c r="GA1008" s="140"/>
      <c r="GB1008" s="140"/>
      <c r="GC1008" s="140"/>
      <c r="GD1008" s="140"/>
      <c r="GE1008" s="140"/>
      <c r="GF1008" s="140"/>
      <c r="GG1008" s="140"/>
      <c r="GH1008" s="140"/>
      <c r="GI1008" s="140"/>
      <c r="GJ1008" s="140"/>
      <c r="GK1008" s="140"/>
      <c r="GL1008" s="140"/>
      <c r="GM1008" s="140"/>
      <c r="GN1008" s="140"/>
      <c r="GO1008" s="140"/>
      <c r="GP1008" s="140"/>
      <c r="GQ1008" s="140"/>
      <c r="GR1008" s="140"/>
      <c r="GS1008" s="140"/>
      <c r="GT1008" s="140"/>
      <c r="GU1008" s="140"/>
      <c r="GV1008" s="140"/>
      <c r="GW1008" s="140"/>
      <c r="GX1008" s="140"/>
      <c r="GY1008" s="140"/>
      <c r="GZ1008" s="140"/>
      <c r="HA1008" s="140"/>
      <c r="HB1008" s="140"/>
      <c r="HC1008" s="140"/>
      <c r="HD1008" s="140"/>
      <c r="HE1008" s="140"/>
      <c r="HF1008" s="140"/>
      <c r="HG1008" s="140"/>
      <c r="HH1008" s="140"/>
      <c r="HI1008" s="140"/>
      <c r="HJ1008" s="140"/>
      <c r="HK1008" s="140"/>
      <c r="HL1008" s="140"/>
      <c r="HM1008" s="140"/>
      <c r="HN1008" s="140"/>
      <c r="HO1008" s="140"/>
      <c r="HP1008" s="140"/>
      <c r="HQ1008" s="140"/>
      <c r="HR1008" s="140"/>
      <c r="HS1008" s="140"/>
      <c r="HT1008" s="140"/>
      <c r="HU1008" s="140"/>
      <c r="HV1008" s="140"/>
      <c r="HW1008" s="140"/>
      <c r="HX1008" s="140"/>
      <c r="HY1008" s="140"/>
      <c r="HZ1008" s="140"/>
      <c r="IA1008" s="140"/>
      <c r="IB1008" s="140"/>
      <c r="IC1008" s="140"/>
      <c r="ID1008" s="140"/>
      <c r="IE1008" s="140"/>
      <c r="IF1008" s="140"/>
      <c r="IG1008" s="140"/>
      <c r="IH1008" s="140"/>
      <c r="II1008" s="140"/>
      <c r="IJ1008" s="140"/>
      <c r="IK1008" s="140"/>
      <c r="IL1008" s="140"/>
      <c r="IM1008" s="140"/>
      <c r="IN1008" s="140"/>
      <c r="IO1008" s="140"/>
      <c r="IP1008" s="140"/>
      <c r="IQ1008" s="140"/>
      <c r="IR1008" s="140"/>
      <c r="IS1008" s="140"/>
      <c r="IT1008" s="140"/>
      <c r="IU1008" s="140"/>
      <c r="IV1008" s="140"/>
      <c r="IW1008" s="140"/>
      <c r="IX1008" s="140"/>
      <c r="IY1008" s="140"/>
      <c r="IZ1008" s="140"/>
      <c r="JA1008" s="140"/>
      <c r="JB1008" s="140"/>
      <c r="JC1008" s="140"/>
      <c r="JD1008" s="140"/>
      <c r="JE1008" s="140"/>
      <c r="JF1008" s="140"/>
      <c r="JG1008" s="140"/>
      <c r="JH1008" s="140"/>
      <c r="JI1008" s="140"/>
      <c r="JJ1008" s="140"/>
      <c r="JK1008" s="140"/>
      <c r="JL1008" s="140"/>
      <c r="JM1008" s="140"/>
      <c r="JN1008" s="140"/>
      <c r="JO1008" s="140"/>
      <c r="JP1008" s="140"/>
      <c r="JQ1008" s="140"/>
      <c r="JR1008" s="140"/>
      <c r="JS1008" s="140"/>
      <c r="JT1008" s="140"/>
      <c r="JU1008" s="140"/>
      <c r="JV1008" s="140"/>
      <c r="JW1008" s="140"/>
      <c r="JX1008" s="140"/>
      <c r="JY1008" s="140"/>
      <c r="JZ1008" s="140"/>
      <c r="KA1008" s="140"/>
      <c r="KB1008" s="140"/>
      <c r="KC1008" s="140"/>
      <c r="KD1008" s="140"/>
      <c r="KE1008" s="140"/>
      <c r="KF1008" s="140"/>
      <c r="KG1008" s="140"/>
      <c r="KH1008" s="140"/>
      <c r="KI1008" s="140"/>
      <c r="KJ1008" s="140"/>
      <c r="KK1008" s="140"/>
      <c r="KL1008" s="140"/>
      <c r="KM1008" s="140"/>
      <c r="KN1008" s="140"/>
      <c r="KO1008" s="140"/>
      <c r="KP1008" s="140"/>
      <c r="KQ1008" s="140"/>
      <c r="KR1008" s="140"/>
      <c r="KS1008" s="140"/>
      <c r="KT1008" s="140"/>
      <c r="KU1008" s="140"/>
      <c r="KV1008" s="140"/>
      <c r="KW1008" s="140"/>
      <c r="KX1008" s="140"/>
      <c r="KY1008" s="140"/>
      <c r="KZ1008" s="140"/>
      <c r="LA1008" s="140"/>
      <c r="LB1008" s="140"/>
      <c r="LC1008" s="140"/>
      <c r="LD1008" s="140"/>
      <c r="LE1008" s="140"/>
      <c r="LF1008" s="140"/>
      <c r="LG1008" s="140"/>
      <c r="LH1008" s="140"/>
      <c r="LI1008" s="140"/>
      <c r="LJ1008" s="140"/>
      <c r="LK1008" s="140"/>
      <c r="LL1008" s="140"/>
      <c r="LM1008" s="140"/>
      <c r="LN1008" s="140"/>
      <c r="LO1008" s="140"/>
      <c r="LP1008" s="140"/>
      <c r="LQ1008" s="140"/>
      <c r="LR1008" s="140"/>
      <c r="LS1008" s="140"/>
      <c r="LT1008" s="140"/>
      <c r="LU1008" s="140"/>
      <c r="LV1008" s="140"/>
      <c r="LW1008" s="140"/>
      <c r="LX1008" s="140"/>
      <c r="LY1008" s="140"/>
      <c r="LZ1008" s="140"/>
      <c r="MA1008" s="140"/>
      <c r="MB1008" s="140"/>
      <c r="MC1008" s="140"/>
      <c r="MD1008" s="140"/>
      <c r="ME1008" s="140"/>
      <c r="MF1008" s="140"/>
      <c r="MG1008" s="140"/>
      <c r="MH1008" s="140"/>
      <c r="MI1008" s="140"/>
      <c r="MJ1008" s="140"/>
      <c r="MK1008" s="140"/>
      <c r="ML1008" s="140"/>
    </row>
    <row r="1009" spans="8:350" s="4" customFormat="1" ht="15" customHeight="1" x14ac:dyDescent="0.3">
      <c r="H1009" s="140"/>
      <c r="I1009" s="140"/>
      <c r="J1009" s="140"/>
      <c r="K1009" s="140"/>
      <c r="L1009" s="140"/>
      <c r="M1009" s="140"/>
      <c r="N1009" s="140"/>
      <c r="O1009" s="140"/>
      <c r="P1009" s="140"/>
      <c r="Q1009" s="140"/>
      <c r="R1009" s="140"/>
      <c r="S1009" s="140"/>
      <c r="T1009" s="140"/>
      <c r="U1009" s="140"/>
      <c r="V1009" s="140"/>
      <c r="W1009" s="140"/>
      <c r="X1009" s="140"/>
      <c r="Y1009" s="140"/>
      <c r="Z1009" s="140"/>
      <c r="AA1009" s="140"/>
      <c r="AB1009" s="140"/>
      <c r="AC1009" s="140"/>
      <c r="AD1009" s="140"/>
      <c r="AE1009" s="140"/>
      <c r="AF1009" s="140"/>
      <c r="AG1009" s="140"/>
      <c r="AH1009" s="140"/>
      <c r="AI1009" s="140"/>
      <c r="AJ1009" s="140"/>
      <c r="AK1009" s="140"/>
      <c r="AL1009" s="140"/>
      <c r="AM1009" s="140"/>
      <c r="AN1009" s="140"/>
      <c r="AO1009" s="140"/>
      <c r="AP1009" s="140"/>
      <c r="AQ1009" s="140"/>
      <c r="AR1009" s="140"/>
      <c r="AS1009" s="140"/>
      <c r="AT1009" s="140"/>
      <c r="AU1009" s="140"/>
      <c r="AV1009" s="140"/>
      <c r="AW1009" s="140"/>
      <c r="AX1009" s="140"/>
      <c r="AY1009" s="140"/>
      <c r="AZ1009" s="140"/>
      <c r="BA1009" s="140"/>
      <c r="BB1009" s="140"/>
      <c r="BC1009" s="140"/>
      <c r="BD1009" s="140"/>
      <c r="BE1009" s="140"/>
      <c r="BF1009" s="140"/>
      <c r="BG1009" s="140"/>
      <c r="BH1009" s="140"/>
      <c r="BI1009" s="140"/>
      <c r="BJ1009" s="140"/>
      <c r="BK1009" s="140"/>
      <c r="BL1009" s="140"/>
      <c r="BM1009" s="140"/>
      <c r="BN1009" s="140"/>
      <c r="BO1009" s="140"/>
      <c r="BP1009" s="140"/>
      <c r="BQ1009" s="140"/>
      <c r="BR1009" s="140"/>
      <c r="BS1009" s="140"/>
      <c r="BT1009" s="140"/>
      <c r="BU1009" s="140"/>
      <c r="BV1009" s="140"/>
      <c r="BW1009" s="140"/>
      <c r="BX1009" s="140"/>
      <c r="BY1009" s="140"/>
      <c r="BZ1009" s="140"/>
      <c r="CA1009" s="140"/>
      <c r="CB1009" s="140"/>
      <c r="CC1009" s="140"/>
      <c r="CD1009" s="140"/>
      <c r="CE1009" s="140"/>
      <c r="CF1009" s="140"/>
      <c r="CG1009" s="140"/>
      <c r="CH1009" s="140"/>
      <c r="CI1009" s="140"/>
      <c r="CJ1009" s="140"/>
      <c r="CK1009" s="140"/>
      <c r="CL1009" s="140"/>
      <c r="CM1009" s="140"/>
      <c r="CN1009" s="140"/>
      <c r="CO1009" s="140"/>
      <c r="CP1009" s="140"/>
      <c r="CQ1009" s="140"/>
      <c r="CR1009" s="140"/>
      <c r="CS1009" s="140"/>
      <c r="CT1009" s="140"/>
      <c r="CU1009" s="140"/>
      <c r="CV1009" s="140"/>
      <c r="CW1009" s="140"/>
      <c r="CX1009" s="140"/>
      <c r="CY1009" s="140"/>
      <c r="CZ1009" s="140"/>
      <c r="DA1009" s="140"/>
      <c r="DB1009" s="140"/>
      <c r="DC1009" s="140"/>
      <c r="DD1009" s="140"/>
      <c r="DE1009" s="140"/>
      <c r="DF1009" s="140"/>
      <c r="DG1009" s="140"/>
      <c r="DH1009" s="140"/>
      <c r="DI1009" s="140"/>
      <c r="DJ1009" s="140"/>
      <c r="DK1009" s="140"/>
      <c r="DL1009" s="140"/>
      <c r="DM1009" s="140"/>
      <c r="DN1009" s="140"/>
      <c r="DO1009" s="140"/>
      <c r="DP1009" s="140"/>
      <c r="DQ1009" s="140"/>
      <c r="DR1009" s="140"/>
      <c r="DS1009" s="140"/>
      <c r="DT1009" s="140"/>
      <c r="DU1009" s="140"/>
      <c r="DV1009" s="140"/>
      <c r="DW1009" s="140"/>
      <c r="DX1009" s="140"/>
      <c r="DY1009" s="140"/>
      <c r="DZ1009" s="140"/>
      <c r="EA1009" s="140"/>
      <c r="EB1009" s="140"/>
      <c r="EC1009" s="140"/>
      <c r="ED1009" s="140"/>
      <c r="EE1009" s="140"/>
      <c r="EF1009" s="140"/>
      <c r="EG1009" s="140"/>
      <c r="EH1009" s="140"/>
      <c r="EI1009" s="140"/>
      <c r="EJ1009" s="140"/>
      <c r="EK1009" s="140"/>
      <c r="EL1009" s="140"/>
      <c r="EM1009" s="140"/>
      <c r="EN1009" s="140"/>
      <c r="EO1009" s="140"/>
      <c r="EP1009" s="140"/>
      <c r="EQ1009" s="140"/>
      <c r="ER1009" s="140"/>
      <c r="ES1009" s="140"/>
      <c r="ET1009" s="140"/>
      <c r="EU1009" s="140"/>
      <c r="EV1009" s="140"/>
      <c r="EW1009" s="140"/>
      <c r="EX1009" s="140"/>
      <c r="EY1009" s="140"/>
      <c r="EZ1009" s="140"/>
      <c r="FA1009" s="140"/>
      <c r="FB1009" s="140"/>
      <c r="FC1009" s="140"/>
      <c r="FD1009" s="140"/>
      <c r="FE1009" s="140"/>
      <c r="FF1009" s="140"/>
      <c r="FG1009" s="140"/>
      <c r="FH1009" s="140"/>
      <c r="FI1009" s="140"/>
      <c r="FJ1009" s="140"/>
      <c r="FK1009" s="140"/>
      <c r="FL1009" s="140"/>
      <c r="FM1009" s="140"/>
      <c r="FN1009" s="140"/>
      <c r="FO1009" s="140"/>
      <c r="FP1009" s="140"/>
      <c r="FQ1009" s="140"/>
      <c r="FR1009" s="140"/>
      <c r="FS1009" s="140"/>
      <c r="FT1009" s="140"/>
      <c r="FU1009" s="140"/>
      <c r="FV1009" s="140"/>
      <c r="FW1009" s="140"/>
      <c r="FX1009" s="140"/>
      <c r="FY1009" s="140"/>
      <c r="FZ1009" s="140"/>
      <c r="GA1009" s="140"/>
      <c r="GB1009" s="140"/>
      <c r="GC1009" s="140"/>
      <c r="GD1009" s="140"/>
      <c r="GE1009" s="140"/>
      <c r="GF1009" s="140"/>
      <c r="GG1009" s="140"/>
      <c r="GH1009" s="140"/>
      <c r="GI1009" s="140"/>
      <c r="GJ1009" s="140"/>
      <c r="GK1009" s="140"/>
      <c r="GL1009" s="140"/>
      <c r="GM1009" s="140"/>
      <c r="GN1009" s="140"/>
      <c r="GO1009" s="140"/>
      <c r="GP1009" s="140"/>
      <c r="GQ1009" s="140"/>
      <c r="GR1009" s="140"/>
      <c r="GS1009" s="140"/>
      <c r="GT1009" s="140"/>
      <c r="GU1009" s="140"/>
      <c r="GV1009" s="140"/>
      <c r="GW1009" s="140"/>
      <c r="GX1009" s="140"/>
      <c r="GY1009" s="140"/>
      <c r="GZ1009" s="140"/>
      <c r="HA1009" s="140"/>
      <c r="HB1009" s="140"/>
      <c r="HC1009" s="140"/>
      <c r="HD1009" s="140"/>
      <c r="HE1009" s="140"/>
      <c r="HF1009" s="140"/>
      <c r="HG1009" s="140"/>
      <c r="HH1009" s="140"/>
      <c r="HI1009" s="140"/>
      <c r="HJ1009" s="140"/>
      <c r="HK1009" s="140"/>
      <c r="HL1009" s="140"/>
      <c r="HM1009" s="140"/>
      <c r="HN1009" s="140"/>
      <c r="HO1009" s="140"/>
      <c r="HP1009" s="140"/>
      <c r="HQ1009" s="140"/>
      <c r="HR1009" s="140"/>
      <c r="HS1009" s="140"/>
      <c r="HT1009" s="140"/>
      <c r="HU1009" s="140"/>
      <c r="HV1009" s="140"/>
      <c r="HW1009" s="140"/>
      <c r="HX1009" s="140"/>
      <c r="HY1009" s="140"/>
      <c r="HZ1009" s="140"/>
      <c r="IA1009" s="140"/>
      <c r="IB1009" s="140"/>
      <c r="IC1009" s="140"/>
      <c r="ID1009" s="140"/>
      <c r="IE1009" s="140"/>
      <c r="IF1009" s="140"/>
      <c r="IG1009" s="140"/>
      <c r="IH1009" s="140"/>
      <c r="II1009" s="140"/>
      <c r="IJ1009" s="140"/>
      <c r="IK1009" s="140"/>
      <c r="IL1009" s="140"/>
      <c r="IM1009" s="140"/>
      <c r="IN1009" s="140"/>
      <c r="IO1009" s="140"/>
      <c r="IP1009" s="140"/>
      <c r="IQ1009" s="140"/>
      <c r="IR1009" s="140"/>
      <c r="IS1009" s="140"/>
      <c r="IT1009" s="140"/>
      <c r="IU1009" s="140"/>
      <c r="IV1009" s="140"/>
      <c r="IW1009" s="140"/>
      <c r="IX1009" s="140"/>
      <c r="IY1009" s="140"/>
      <c r="IZ1009" s="140"/>
      <c r="JA1009" s="140"/>
      <c r="JB1009" s="140"/>
      <c r="JC1009" s="140"/>
      <c r="JD1009" s="140"/>
      <c r="JE1009" s="140"/>
      <c r="JF1009" s="140"/>
      <c r="JG1009" s="140"/>
      <c r="JH1009" s="140"/>
      <c r="JI1009" s="140"/>
      <c r="JJ1009" s="140"/>
      <c r="JK1009" s="140"/>
      <c r="JL1009" s="140"/>
      <c r="JM1009" s="140"/>
      <c r="JN1009" s="140"/>
      <c r="JO1009" s="140"/>
      <c r="JP1009" s="140"/>
      <c r="JQ1009" s="140"/>
      <c r="JR1009" s="140"/>
      <c r="JS1009" s="140"/>
      <c r="JT1009" s="140"/>
      <c r="JU1009" s="140"/>
      <c r="JV1009" s="140"/>
      <c r="JW1009" s="140"/>
      <c r="JX1009" s="140"/>
      <c r="JY1009" s="140"/>
      <c r="JZ1009" s="140"/>
      <c r="KA1009" s="140"/>
      <c r="KB1009" s="140"/>
      <c r="KC1009" s="140"/>
      <c r="KD1009" s="140"/>
      <c r="KE1009" s="140"/>
      <c r="KF1009" s="140"/>
      <c r="KG1009" s="140"/>
      <c r="KH1009" s="140"/>
      <c r="KI1009" s="140"/>
      <c r="KJ1009" s="140"/>
      <c r="KK1009" s="140"/>
      <c r="KL1009" s="140"/>
      <c r="KM1009" s="140"/>
      <c r="KN1009" s="140"/>
      <c r="KO1009" s="140"/>
      <c r="KP1009" s="140"/>
      <c r="KQ1009" s="140"/>
      <c r="KR1009" s="140"/>
      <c r="KS1009" s="140"/>
      <c r="KT1009" s="140"/>
      <c r="KU1009" s="140"/>
      <c r="KV1009" s="140"/>
      <c r="KW1009" s="140"/>
      <c r="KX1009" s="140"/>
      <c r="KY1009" s="140"/>
      <c r="KZ1009" s="140"/>
      <c r="LA1009" s="140"/>
      <c r="LB1009" s="140"/>
      <c r="LC1009" s="140"/>
      <c r="LD1009" s="140"/>
      <c r="LE1009" s="140"/>
      <c r="LF1009" s="140"/>
      <c r="LG1009" s="140"/>
      <c r="LH1009" s="140"/>
      <c r="LI1009" s="140"/>
      <c r="LJ1009" s="140"/>
      <c r="LK1009" s="140"/>
      <c r="LL1009" s="140"/>
      <c r="LM1009" s="140"/>
      <c r="LN1009" s="140"/>
      <c r="LO1009" s="140"/>
      <c r="LP1009" s="140"/>
      <c r="LQ1009" s="140"/>
      <c r="LR1009" s="140"/>
      <c r="LS1009" s="140"/>
      <c r="LT1009" s="140"/>
      <c r="LU1009" s="140"/>
      <c r="LV1009" s="140"/>
      <c r="LW1009" s="140"/>
      <c r="LX1009" s="140"/>
      <c r="LY1009" s="140"/>
      <c r="LZ1009" s="140"/>
      <c r="MA1009" s="140"/>
      <c r="MB1009" s="140"/>
      <c r="MC1009" s="140"/>
      <c r="MD1009" s="140"/>
      <c r="ME1009" s="140"/>
      <c r="MF1009" s="140"/>
      <c r="MG1009" s="140"/>
      <c r="MH1009" s="140"/>
      <c r="MI1009" s="140"/>
      <c r="MJ1009" s="140"/>
      <c r="MK1009" s="140"/>
      <c r="ML1009" s="140"/>
    </row>
  </sheetData>
  <autoFilter ref="KV512:ML612" xr:uid="{313794DA-991E-4A77-A134-F0A01D5BC57E}">
    <filterColumn colId="41">
      <filters>
        <filter val="ELEC-PAC"/>
      </filters>
    </filterColumn>
  </autoFilter>
  <mergeCells count="29">
    <mergeCell ref="BD97:BI97"/>
    <mergeCell ref="CO97:CT97"/>
    <mergeCell ref="DZ97:EE97"/>
    <mergeCell ref="FK97:FP97"/>
    <mergeCell ref="GV97:HA97"/>
    <mergeCell ref="BD84:BI84"/>
    <mergeCell ref="CO84:CT84"/>
    <mergeCell ref="DZ84:EE84"/>
    <mergeCell ref="FK84:FP84"/>
    <mergeCell ref="GV84:HA84"/>
    <mergeCell ref="GV110:HA110"/>
    <mergeCell ref="BD120:BI120"/>
    <mergeCell ref="CO120:CT120"/>
    <mergeCell ref="DZ120:EE120"/>
    <mergeCell ref="FK120:FP120"/>
    <mergeCell ref="GV120:HA120"/>
    <mergeCell ref="BD110:BI110"/>
    <mergeCell ref="CO110:CT110"/>
    <mergeCell ref="DZ110:EE110"/>
    <mergeCell ref="FK110:FP110"/>
    <mergeCell ref="CO133:CT133"/>
    <mergeCell ref="DZ133:EE133"/>
    <mergeCell ref="FK133:FP133"/>
    <mergeCell ref="GV133:HA133"/>
    <mergeCell ref="D251:F251"/>
    <mergeCell ref="G251:I251"/>
    <mergeCell ref="J251:K251"/>
    <mergeCell ref="L251:M251"/>
    <mergeCell ref="BD133:BI133"/>
  </mergeCells>
  <hyperlinks>
    <hyperlink ref="B323" r:id="rId1" xr:uid="{D328A3B6-5888-4B78-A162-DB94840BDD21}"/>
    <hyperlink ref="B334" r:id="rId2" xr:uid="{94F5A8B9-E4A7-46BB-9DD6-4000E4445074}"/>
    <hyperlink ref="B460" r:id="rId3" xr:uid="{345D7A51-A659-4696-9986-690382B8227C}"/>
    <hyperlink ref="B457" r:id="rId4" xr:uid="{B7D6E56D-5C84-4311-8BF7-40794993AF40}"/>
    <hyperlink ref="B20" location="TER_RENO!$C$12" display="retour" xr:uid="{D04C794A-CD70-42DF-8C32-115C4E9CCE86}"/>
    <hyperlink ref="B225" location="TER_RENO!$C$12" display="retour" xr:uid="{85AB282E-5195-4731-BE81-3927974C4358}"/>
    <hyperlink ref="B293" location="TER_RENO!$C$12" display="retour" xr:uid="{E5815071-72C4-4D0D-BC88-A734F58FBE91}"/>
    <hyperlink ref="B315" location="TER_RENO!$C$12" display="retour" xr:uid="{E496971C-2D52-48F5-BE04-C8F451994521}"/>
    <hyperlink ref="B409" location="TER_RENO!$C$12" display="retour" xr:uid="{D681AF43-5A8D-40D6-BE06-641BD7773DFC}"/>
    <hyperlink ref="B443" location="TER_RENO!$C$12" display="retour" xr:uid="{1B24E551-5929-4DE9-B7A5-9E128EADA8FB}"/>
    <hyperlink ref="B758" location="TER_RENO!$C$12" display="retour" xr:uid="{12405D71-2A20-4B92-8B1D-0D710768704F}"/>
    <hyperlink ref="C10" location="TER_RENO!$C$22" display="Définitions" xr:uid="{CD1D855A-B5FD-4F98-A988-6A1631AF820F}"/>
    <hyperlink ref="C11" location="TER_RENO!$C$97" display="Parc de bâtiments" xr:uid="{A6C48DE2-345F-42E5-BEA5-3072D73F6939}"/>
    <hyperlink ref="C12" location="TER_RENO!$C$127" display="Consommation d'énergie" xr:uid="{5E33806D-F5BF-49DB-8711-B0155BDC4247}"/>
    <hyperlink ref="C13" location="TER_RENO!$C$166" display="Nombre de rénovations" xr:uid="{B1223434-D063-4E86-BE65-FC040BE38CF7}"/>
    <hyperlink ref="C14" location="TER_RENO!$C$176" display="Le dispositif éco-énergie tertiaire (DEET) et les rénovations basse consommation (BBC)" xr:uid="{FD7F7778-513B-4786-8D3F-18A09887879A}"/>
    <hyperlink ref="C15" location="TER_RENO!$C$289" display="Les autres rénovations" xr:uid="{B9CF0964-4DA3-487B-A8CB-A9217FDB0B1D}"/>
    <hyperlink ref="C16" location="TER_RENO!$C$324" display="Coûts" xr:uid="{129190AC-4513-4EEA-8E89-F00AEF36FA03}"/>
    <hyperlink ref="C17" location="TER_RENO!$C$404" display="Investissements" xr:uid="{FF5E3B4D-53CD-4F0A-A17D-305D79FCD4D5}"/>
    <hyperlink ref="B64" r:id="rId5" xr:uid="{6A954FFA-6ED5-43E8-84A8-7E9C637E37C9}"/>
    <hyperlink ref="B1" location="Introduction!A1" display="Intro" xr:uid="{07DC196E-25B2-48BD-832A-AB7AAF9C3628}"/>
    <hyperlink ref="B147" location="TER_RENO!$C$12" display="retour" xr:uid="{96B7570A-4972-4EF2-9EB4-BDBD37BD3AB8}"/>
    <hyperlink ref="B875" r:id="rId6" location="'€TER_RENO'!A920" xr:uid="{457A93FB-A56D-4F2C-A154-B99135A1EA89}"/>
    <hyperlink ref="B876" r:id="rId7" location="'€TER_RENO'!A921" xr:uid="{93E9FBA6-D1B4-45A3-AA0C-F298EFB783AA}"/>
    <hyperlink ref="B877" r:id="rId8" location="'€TER_RENO'!A923" xr:uid="{185FBB34-9CF8-4CF9-81EB-BA73956A6F8A}"/>
  </hyperlinks>
  <pageMargins left="0.7" right="0.7" top="0.75" bottom="0.75" header="0.3" footer="0.3"/>
  <pageSetup paperSize="9" orientation="portrait" r:id="rId9"/>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5C0BE-5A22-462A-B4B7-867470A2F48B}">
  <sheetPr>
    <tabColor theme="0" tint="-0.14999847407452621"/>
  </sheetPr>
  <dimension ref="B1:O156"/>
  <sheetViews>
    <sheetView showGridLines="0" topLeftCell="A63" zoomScale="70" zoomScaleNormal="70" workbookViewId="0">
      <selection activeCell="C65" sqref="C65"/>
    </sheetView>
  </sheetViews>
  <sheetFormatPr baseColWidth="10" defaultColWidth="11.9140625" defaultRowHeight="14" x14ac:dyDescent="0.3"/>
  <cols>
    <col min="2" max="2" width="11.9140625" style="66"/>
    <col min="3" max="6" width="16.9140625" customWidth="1"/>
    <col min="7" max="11" width="16.9140625" style="66" customWidth="1"/>
    <col min="12" max="16" width="16.9140625" customWidth="1"/>
  </cols>
  <sheetData>
    <row r="1" spans="2:12" ht="20" x14ac:dyDescent="0.3">
      <c r="C1" s="3" t="s">
        <v>436</v>
      </c>
      <c r="D1" s="3"/>
      <c r="E1" s="3"/>
      <c r="F1" s="3"/>
    </row>
    <row r="3" spans="2:12" x14ac:dyDescent="0.3">
      <c r="C3" t="s">
        <v>437</v>
      </c>
    </row>
    <row r="4" spans="2:12" x14ac:dyDescent="0.3">
      <c r="L4" s="66"/>
    </row>
    <row r="5" spans="2:12" x14ac:dyDescent="0.3">
      <c r="C5" s="120" t="s">
        <v>438</v>
      </c>
      <c r="D5" s="120"/>
      <c r="E5" s="120"/>
      <c r="F5" s="120"/>
      <c r="L5" s="66"/>
    </row>
    <row r="6" spans="2:12" s="4" customFormat="1" ht="18" customHeight="1" x14ac:dyDescent="0.3">
      <c r="B6" s="1"/>
      <c r="C6" s="378" t="s">
        <v>439</v>
      </c>
      <c r="D6" s="379"/>
      <c r="E6" s="379"/>
      <c r="F6" s="379"/>
      <c r="G6" s="9" t="s">
        <v>440</v>
      </c>
      <c r="H6" s="9" t="s">
        <v>440</v>
      </c>
      <c r="I6" s="9" t="s">
        <v>440</v>
      </c>
      <c r="J6" s="9" t="s">
        <v>441</v>
      </c>
      <c r="K6" s="9" t="s">
        <v>442</v>
      </c>
      <c r="L6" s="10" t="s">
        <v>443</v>
      </c>
    </row>
    <row r="7" spans="2:12" s="4" customFormat="1" ht="18" customHeight="1" x14ac:dyDescent="0.3">
      <c r="B7" s="1"/>
      <c r="C7" s="136" t="s">
        <v>444</v>
      </c>
      <c r="D7" s="380"/>
      <c r="E7" s="380"/>
      <c r="F7" s="380"/>
      <c r="G7" s="1" t="s">
        <v>445</v>
      </c>
      <c r="H7" s="1" t="s">
        <v>445</v>
      </c>
      <c r="I7" s="1" t="s">
        <v>446</v>
      </c>
      <c r="J7" s="1" t="s">
        <v>446</v>
      </c>
      <c r="K7" s="1" t="s">
        <v>446</v>
      </c>
      <c r="L7" s="138" t="s">
        <v>446</v>
      </c>
    </row>
    <row r="8" spans="2:12" s="4" customFormat="1" ht="18" customHeight="1" x14ac:dyDescent="0.3">
      <c r="B8" s="1"/>
      <c r="C8" s="38" t="s">
        <v>447</v>
      </c>
      <c r="D8" s="381"/>
      <c r="E8" s="381"/>
      <c r="F8" s="381"/>
      <c r="G8" s="209">
        <v>2019</v>
      </c>
      <c r="H8" s="209">
        <v>2050</v>
      </c>
      <c r="I8" s="209">
        <v>2050</v>
      </c>
      <c r="J8" s="209">
        <v>2050</v>
      </c>
      <c r="K8" s="209">
        <v>2050</v>
      </c>
      <c r="L8" s="210">
        <v>2050</v>
      </c>
    </row>
    <row r="9" spans="2:12" s="4" customFormat="1" ht="18" customHeight="1" x14ac:dyDescent="0.3">
      <c r="B9" s="1" t="s">
        <v>448</v>
      </c>
      <c r="C9" s="204" t="s">
        <v>449</v>
      </c>
      <c r="G9" s="1">
        <v>109</v>
      </c>
      <c r="H9" s="1">
        <v>74</v>
      </c>
      <c r="I9" s="1">
        <v>59</v>
      </c>
      <c r="J9" s="1">
        <v>52</v>
      </c>
      <c r="K9" s="1">
        <v>41</v>
      </c>
      <c r="L9" s="138">
        <v>28</v>
      </c>
    </row>
    <row r="10" spans="2:12" s="4" customFormat="1" ht="18" customHeight="1" x14ac:dyDescent="0.3">
      <c r="B10" s="1" t="s">
        <v>450</v>
      </c>
      <c r="C10" s="204" t="s">
        <v>451</v>
      </c>
      <c r="G10" s="1">
        <v>97</v>
      </c>
      <c r="H10" s="1">
        <v>82</v>
      </c>
      <c r="I10" s="1">
        <v>68</v>
      </c>
      <c r="J10" s="1">
        <v>64</v>
      </c>
      <c r="K10" s="1">
        <v>55</v>
      </c>
      <c r="L10" s="138">
        <v>46</v>
      </c>
    </row>
    <row r="11" spans="2:12" s="4" customFormat="1" ht="18" customHeight="1" x14ac:dyDescent="0.3">
      <c r="B11" s="1"/>
      <c r="C11" s="136" t="s">
        <v>452</v>
      </c>
      <c r="D11" s="380"/>
      <c r="E11" s="380"/>
      <c r="F11" s="380"/>
      <c r="G11" s="1"/>
      <c r="H11" s="316">
        <f>(H10-$G$10)/$G$10</f>
        <v>-0.15463917525773196</v>
      </c>
      <c r="I11" s="316">
        <f>(I10-$G$10)/$G$10</f>
        <v>-0.29896907216494845</v>
      </c>
      <c r="J11" s="316">
        <f>(J10-$G$10)/$G$10</f>
        <v>-0.34020618556701032</v>
      </c>
      <c r="K11" s="316">
        <f>(K10-$G$10)/$G$10</f>
        <v>-0.4329896907216495</v>
      </c>
      <c r="L11" s="382">
        <f>(L10-$G$10)/$G$10</f>
        <v>-0.52577319587628868</v>
      </c>
    </row>
    <row r="12" spans="2:12" s="4" customFormat="1" ht="18" customHeight="1" x14ac:dyDescent="0.3">
      <c r="B12" s="1" t="s">
        <v>450</v>
      </c>
      <c r="C12" s="204" t="s">
        <v>453</v>
      </c>
      <c r="G12" s="1">
        <v>0.9</v>
      </c>
      <c r="H12" s="1">
        <v>1.1000000000000001</v>
      </c>
      <c r="I12" s="1">
        <v>1.2</v>
      </c>
      <c r="J12" s="1">
        <v>1.2</v>
      </c>
      <c r="K12" s="1">
        <v>1.3</v>
      </c>
      <c r="L12" s="138">
        <v>1.6</v>
      </c>
    </row>
    <row r="13" spans="2:12" s="4" customFormat="1" ht="18" customHeight="1" x14ac:dyDescent="0.3">
      <c r="B13" s="1" t="s">
        <v>454</v>
      </c>
      <c r="C13" s="208" t="s">
        <v>455</v>
      </c>
      <c r="D13" s="39"/>
      <c r="E13" s="39"/>
      <c r="F13" s="39"/>
      <c r="G13" s="209">
        <v>284</v>
      </c>
      <c r="H13" s="209">
        <v>194</v>
      </c>
      <c r="I13" s="209" t="s">
        <v>456</v>
      </c>
      <c r="J13" s="209">
        <v>187</v>
      </c>
      <c r="K13" s="209">
        <v>176</v>
      </c>
      <c r="L13" s="210">
        <v>130</v>
      </c>
    </row>
    <row r="15" spans="2:12" ht="15.5" x14ac:dyDescent="0.3">
      <c r="C15" s="383" t="s">
        <v>457</v>
      </c>
      <c r="D15" s="383"/>
      <c r="E15" s="383"/>
      <c r="F15" s="383"/>
    </row>
    <row r="16" spans="2:12" x14ac:dyDescent="0.3">
      <c r="C16" s="4"/>
      <c r="D16" s="4"/>
      <c r="E16" s="4"/>
      <c r="F16" s="4"/>
    </row>
    <row r="17" spans="2:11" x14ac:dyDescent="0.3">
      <c r="C17" s="4"/>
      <c r="D17" s="4"/>
      <c r="E17" s="4"/>
      <c r="F17" s="4"/>
    </row>
    <row r="18" spans="2:11" x14ac:dyDescent="0.3">
      <c r="C18" s="363" t="s">
        <v>458</v>
      </c>
      <c r="D18" s="363"/>
      <c r="E18" s="363"/>
      <c r="F18" s="363"/>
    </row>
    <row r="19" spans="2:11" s="4" customFormat="1" ht="18" customHeight="1" x14ac:dyDescent="0.3">
      <c r="B19" s="1"/>
      <c r="C19" s="318" t="s">
        <v>459</v>
      </c>
      <c r="D19" s="156"/>
      <c r="E19" s="156"/>
      <c r="F19" s="156"/>
      <c r="G19" s="9" t="s">
        <v>460</v>
      </c>
      <c r="H19" s="9" t="s">
        <v>461</v>
      </c>
      <c r="I19" s="9" t="s">
        <v>462</v>
      </c>
      <c r="J19" s="9" t="s">
        <v>463</v>
      </c>
      <c r="K19" s="10" t="s">
        <v>464</v>
      </c>
    </row>
    <row r="20" spans="2:11" s="4" customFormat="1" ht="18" customHeight="1" x14ac:dyDescent="0.3">
      <c r="B20" s="1"/>
      <c r="C20" s="318" t="s">
        <v>465</v>
      </c>
      <c r="D20" s="156"/>
      <c r="E20" s="156"/>
      <c r="F20" s="156"/>
      <c r="G20" s="9">
        <v>10</v>
      </c>
      <c r="H20" s="9">
        <v>112</v>
      </c>
      <c r="I20" s="9">
        <v>152</v>
      </c>
      <c r="J20" s="9">
        <v>194</v>
      </c>
      <c r="K20" s="10">
        <v>345</v>
      </c>
    </row>
    <row r="21" spans="2:11" s="4" customFormat="1" ht="18" customHeight="1" x14ac:dyDescent="0.3">
      <c r="B21" s="1"/>
      <c r="C21" s="208" t="s">
        <v>466</v>
      </c>
      <c r="D21" s="39"/>
      <c r="E21" s="39"/>
      <c r="F21" s="39"/>
      <c r="G21" s="209">
        <v>10</v>
      </c>
      <c r="H21" s="209">
        <v>112</v>
      </c>
      <c r="I21" s="209">
        <v>148</v>
      </c>
      <c r="J21" s="209">
        <v>186</v>
      </c>
      <c r="K21" s="210">
        <v>319</v>
      </c>
    </row>
    <row r="22" spans="2:11" x14ac:dyDescent="0.3">
      <c r="C22" s="4" t="s">
        <v>467</v>
      </c>
      <c r="D22" s="4"/>
      <c r="E22" s="4"/>
      <c r="F22" s="4"/>
    </row>
    <row r="24" spans="2:11" x14ac:dyDescent="0.3">
      <c r="C24" s="363" t="s">
        <v>468</v>
      </c>
      <c r="D24" s="363"/>
      <c r="E24" s="363"/>
      <c r="F24" s="363"/>
    </row>
    <row r="25" spans="2:11" s="4" customFormat="1" ht="18" customHeight="1" x14ac:dyDescent="0.3">
      <c r="B25" s="1"/>
      <c r="C25" s="318" t="s">
        <v>459</v>
      </c>
      <c r="D25" s="156"/>
      <c r="E25" s="156"/>
      <c r="F25" s="156"/>
      <c r="G25" s="9" t="s">
        <v>469</v>
      </c>
      <c r="H25" s="9" t="s">
        <v>470</v>
      </c>
      <c r="I25" s="9" t="s">
        <v>471</v>
      </c>
      <c r="J25" s="9" t="s">
        <v>472</v>
      </c>
      <c r="K25" s="10" t="s">
        <v>106</v>
      </c>
    </row>
    <row r="26" spans="2:11" s="4" customFormat="1" ht="18" customHeight="1" x14ac:dyDescent="0.3">
      <c r="B26" s="1"/>
      <c r="C26" s="318" t="s">
        <v>465</v>
      </c>
      <c r="D26" s="156"/>
      <c r="E26" s="156"/>
      <c r="F26" s="156"/>
      <c r="G26" s="9">
        <f>H20</f>
        <v>112</v>
      </c>
      <c r="H26" s="9">
        <f t="shared" ref="H26:J27" si="0">I20-H20</f>
        <v>40</v>
      </c>
      <c r="I26" s="9">
        <f t="shared" si="0"/>
        <v>42</v>
      </c>
      <c r="J26" s="9">
        <f t="shared" si="0"/>
        <v>151</v>
      </c>
      <c r="K26" s="10">
        <f>SUM(G26:J26)</f>
        <v>345</v>
      </c>
    </row>
    <row r="27" spans="2:11" s="4" customFormat="1" ht="18" customHeight="1" x14ac:dyDescent="0.3">
      <c r="B27" s="1"/>
      <c r="C27" s="208" t="s">
        <v>466</v>
      </c>
      <c r="D27" s="39"/>
      <c r="E27" s="39"/>
      <c r="F27" s="39"/>
      <c r="G27" s="209">
        <f>H21</f>
        <v>112</v>
      </c>
      <c r="H27" s="209">
        <f t="shared" si="0"/>
        <v>36</v>
      </c>
      <c r="I27" s="209">
        <f t="shared" si="0"/>
        <v>38</v>
      </c>
      <c r="J27" s="209">
        <f t="shared" si="0"/>
        <v>133</v>
      </c>
      <c r="K27" s="210">
        <f>SUM(G27:J27)</f>
        <v>319</v>
      </c>
    </row>
    <row r="28" spans="2:11" x14ac:dyDescent="0.3">
      <c r="C28" s="4" t="s">
        <v>473</v>
      </c>
      <c r="D28" s="4"/>
      <c r="E28" s="4"/>
      <c r="F28" s="4"/>
    </row>
    <row r="31" spans="2:11" x14ac:dyDescent="0.3">
      <c r="C31" s="363" t="s">
        <v>474</v>
      </c>
      <c r="D31" s="363"/>
      <c r="E31" s="363"/>
      <c r="F31" s="363"/>
    </row>
    <row r="32" spans="2:11" s="4" customFormat="1" ht="18" customHeight="1" x14ac:dyDescent="0.3">
      <c r="B32" s="1"/>
      <c r="C32" s="318"/>
      <c r="D32" s="156"/>
      <c r="E32" s="156"/>
      <c r="F32" s="156"/>
      <c r="G32" s="9" t="s">
        <v>475</v>
      </c>
      <c r="H32" s="9" t="s">
        <v>476</v>
      </c>
      <c r="I32" s="10" t="s">
        <v>477</v>
      </c>
      <c r="J32" s="1"/>
      <c r="K32" s="1"/>
    </row>
    <row r="33" spans="2:11" s="4" customFormat="1" ht="18" customHeight="1" x14ac:dyDescent="0.3">
      <c r="B33" s="1"/>
      <c r="C33" s="318" t="s">
        <v>451</v>
      </c>
      <c r="D33" s="156"/>
      <c r="E33" s="156"/>
      <c r="F33" s="156"/>
      <c r="G33" s="9">
        <v>82</v>
      </c>
      <c r="H33" s="9">
        <v>68</v>
      </c>
      <c r="I33" s="384">
        <f>(H33*H34-G33*G34)/I34</f>
        <v>34.724637681159422</v>
      </c>
      <c r="J33" s="1"/>
      <c r="K33" s="1"/>
    </row>
    <row r="34" spans="2:11" s="4" customFormat="1" ht="18" customHeight="1" x14ac:dyDescent="0.3">
      <c r="B34" s="1"/>
      <c r="C34" s="208" t="s">
        <v>478</v>
      </c>
      <c r="D34" s="39"/>
      <c r="E34" s="39"/>
      <c r="F34" s="39"/>
      <c r="G34" s="209">
        <v>820</v>
      </c>
      <c r="H34" s="209">
        <f>820+345</f>
        <v>1165</v>
      </c>
      <c r="I34" s="210">
        <v>345</v>
      </c>
      <c r="J34" s="1"/>
      <c r="K34" s="1"/>
    </row>
    <row r="36" spans="2:11" x14ac:dyDescent="0.3">
      <c r="C36" s="120" t="s">
        <v>479</v>
      </c>
      <c r="D36" s="120"/>
      <c r="E36" s="120"/>
      <c r="F36" s="120"/>
    </row>
    <row r="37" spans="2:11" s="4" customFormat="1" ht="18" customHeight="1" x14ac:dyDescent="0.3">
      <c r="B37" s="1"/>
      <c r="C37" s="318" t="s">
        <v>480</v>
      </c>
      <c r="D37" s="156"/>
      <c r="E37" s="156"/>
      <c r="F37" s="156"/>
      <c r="G37" s="9" t="s">
        <v>469</v>
      </c>
      <c r="H37" s="9" t="s">
        <v>470</v>
      </c>
      <c r="I37" s="9" t="s">
        <v>471</v>
      </c>
      <c r="J37" s="9" t="s">
        <v>472</v>
      </c>
      <c r="K37" s="10" t="s">
        <v>106</v>
      </c>
    </row>
    <row r="38" spans="2:11" s="4" customFormat="1" ht="18" customHeight="1" x14ac:dyDescent="0.3">
      <c r="B38" s="1"/>
      <c r="C38" s="318" t="s">
        <v>465</v>
      </c>
      <c r="D38" s="156"/>
      <c r="E38" s="156"/>
      <c r="F38" s="156"/>
      <c r="G38" s="385">
        <v>35</v>
      </c>
      <c r="H38" s="385">
        <v>35</v>
      </c>
      <c r="I38" s="385">
        <v>35</v>
      </c>
      <c r="J38" s="385">
        <v>35</v>
      </c>
      <c r="K38" s="386"/>
    </row>
    <row r="39" spans="2:11" s="4" customFormat="1" ht="18" customHeight="1" x14ac:dyDescent="0.3">
      <c r="B39" s="1"/>
      <c r="C39" s="208" t="s">
        <v>466</v>
      </c>
      <c r="D39" s="39"/>
      <c r="E39" s="39"/>
      <c r="F39" s="39"/>
      <c r="G39" s="387">
        <v>35</v>
      </c>
      <c r="H39" s="387">
        <f>$G$38*(1-5%)</f>
        <v>33.25</v>
      </c>
      <c r="I39" s="387">
        <f>$G$38*(1-15%)</f>
        <v>29.75</v>
      </c>
      <c r="J39" s="387">
        <f>$G$38*(1-30%)</f>
        <v>24.5</v>
      </c>
      <c r="K39" s="388">
        <f>SUMPRODUCT(G39:J39,G27:J27)/K27</f>
        <v>29.79937304075235</v>
      </c>
    </row>
    <row r="40" spans="2:11" x14ac:dyDescent="0.3">
      <c r="C40" s="4" t="s">
        <v>481</v>
      </c>
      <c r="D40" s="4"/>
      <c r="E40" s="4"/>
      <c r="F40" s="4"/>
    </row>
    <row r="43" spans="2:11" x14ac:dyDescent="0.3">
      <c r="C43" s="363" t="s">
        <v>482</v>
      </c>
      <c r="D43" s="363"/>
      <c r="E43" s="363"/>
      <c r="F43" s="363"/>
    </row>
    <row r="44" spans="2:11" ht="18" customHeight="1" x14ac:dyDescent="0.3">
      <c r="C44" s="318"/>
      <c r="D44" s="156"/>
      <c r="E44" s="156"/>
      <c r="F44" s="156"/>
      <c r="G44" s="9" t="s">
        <v>475</v>
      </c>
      <c r="H44" s="9" t="s">
        <v>476</v>
      </c>
      <c r="I44" s="10" t="s">
        <v>477</v>
      </c>
    </row>
    <row r="45" spans="2:11" ht="18" customHeight="1" x14ac:dyDescent="0.3">
      <c r="C45" s="318" t="s">
        <v>451</v>
      </c>
      <c r="D45" s="156"/>
      <c r="E45" s="156"/>
      <c r="F45" s="156"/>
      <c r="G45" s="389">
        <f>(H45*H46-I45*I46)/G46</f>
        <v>52.239608801955988</v>
      </c>
      <c r="H45" s="9">
        <v>46</v>
      </c>
      <c r="I45" s="386">
        <v>30</v>
      </c>
    </row>
    <row r="46" spans="2:11" ht="18" customHeight="1" x14ac:dyDescent="0.3">
      <c r="C46" s="208" t="s">
        <v>478</v>
      </c>
      <c r="D46" s="39"/>
      <c r="E46" s="39"/>
      <c r="F46" s="39"/>
      <c r="G46" s="209">
        <v>818</v>
      </c>
      <c r="H46" s="209">
        <f>818+319</f>
        <v>1137</v>
      </c>
      <c r="I46" s="210">
        <v>319</v>
      </c>
    </row>
    <row r="49" spans="2:15" ht="20" x14ac:dyDescent="0.3">
      <c r="C49" s="3" t="s">
        <v>483</v>
      </c>
      <c r="D49" s="3"/>
      <c r="E49" s="3"/>
      <c r="F49" s="3"/>
    </row>
    <row r="51" spans="2:15" x14ac:dyDescent="0.3">
      <c r="C51" t="s">
        <v>484</v>
      </c>
    </row>
    <row r="52" spans="2:15" x14ac:dyDescent="0.3">
      <c r="C52" t="s">
        <v>485</v>
      </c>
    </row>
    <row r="54" spans="2:15" x14ac:dyDescent="0.3">
      <c r="G54" s="450" t="s">
        <v>486</v>
      </c>
      <c r="H54" s="450"/>
      <c r="I54"/>
      <c r="J54" s="441" t="s">
        <v>487</v>
      </c>
      <c r="K54" s="450" t="s">
        <v>488</v>
      </c>
      <c r="L54" s="450"/>
      <c r="M54" s="450"/>
      <c r="N54" s="450"/>
      <c r="O54" s="450"/>
    </row>
    <row r="55" spans="2:15" s="4" customFormat="1" ht="35.15" customHeight="1" x14ac:dyDescent="0.3">
      <c r="B55" s="1"/>
      <c r="C55" s="39"/>
      <c r="D55" s="39"/>
      <c r="E55" s="39"/>
      <c r="F55" s="39"/>
      <c r="G55" s="209" t="s">
        <v>489</v>
      </c>
      <c r="H55" s="209" t="s">
        <v>490</v>
      </c>
      <c r="I55" s="209" t="s">
        <v>491</v>
      </c>
      <c r="J55" s="451"/>
      <c r="K55" s="209" t="s">
        <v>97</v>
      </c>
      <c r="L55" s="390" t="s">
        <v>492</v>
      </c>
      <c r="M55" s="209" t="s">
        <v>493</v>
      </c>
      <c r="N55" s="209" t="s">
        <v>494</v>
      </c>
      <c r="O55" s="209" t="s">
        <v>495</v>
      </c>
    </row>
    <row r="56" spans="2:15" x14ac:dyDescent="0.3">
      <c r="C56" t="s">
        <v>496</v>
      </c>
      <c r="G56" s="66">
        <v>350</v>
      </c>
      <c r="H56" s="66">
        <v>140</v>
      </c>
      <c r="I56" s="391">
        <f>ROUND((H56-G56)/G56,2)</f>
        <v>-0.6</v>
      </c>
      <c r="J56" s="201">
        <v>2357</v>
      </c>
      <c r="K56" s="201">
        <v>1390962</v>
      </c>
      <c r="L56" s="201">
        <v>1309506</v>
      </c>
      <c r="M56" s="392">
        <v>0.93</v>
      </c>
      <c r="N56" s="201">
        <f>K56/J56</f>
        <v>590.14085702163766</v>
      </c>
      <c r="O56" s="201">
        <f>ROUND(K56*M56/J56,1)</f>
        <v>548.79999999999995</v>
      </c>
    </row>
    <row r="57" spans="2:15" x14ac:dyDescent="0.3">
      <c r="C57" t="s">
        <v>497</v>
      </c>
      <c r="G57" s="66">
        <v>372</v>
      </c>
      <c r="H57" s="66">
        <v>167</v>
      </c>
      <c r="I57" s="391">
        <f>ROUND((H57-G57)/G57,2)</f>
        <v>-0.55000000000000004</v>
      </c>
      <c r="J57" s="201">
        <v>1581</v>
      </c>
      <c r="K57" s="201">
        <v>1858823</v>
      </c>
      <c r="L57" s="201">
        <v>1792377</v>
      </c>
      <c r="M57" s="392">
        <v>0.35</v>
      </c>
      <c r="N57" s="201">
        <f>K57/J57</f>
        <v>1175.7261227071474</v>
      </c>
      <c r="O57" s="201">
        <f>ROUND(K57*M57/J57,1)</f>
        <v>411.5</v>
      </c>
    </row>
    <row r="58" spans="2:15" x14ac:dyDescent="0.3">
      <c r="I58" s="391"/>
      <c r="J58" s="201"/>
      <c r="K58" s="201"/>
      <c r="L58" s="201"/>
      <c r="M58" s="392"/>
      <c r="N58" s="201"/>
    </row>
    <row r="59" spans="2:15" x14ac:dyDescent="0.3">
      <c r="C59" t="s">
        <v>498</v>
      </c>
      <c r="I59" s="391"/>
      <c r="J59" s="201"/>
      <c r="K59" s="201"/>
      <c r="L59" s="201"/>
      <c r="M59" s="392"/>
      <c r="N59" s="201"/>
    </row>
    <row r="60" spans="2:15" x14ac:dyDescent="0.3">
      <c r="I60" s="391"/>
      <c r="J60" s="201"/>
      <c r="K60" s="201"/>
      <c r="L60" s="201"/>
      <c r="M60" s="392"/>
      <c r="N60" s="201"/>
    </row>
    <row r="61" spans="2:15" ht="20" x14ac:dyDescent="0.3">
      <c r="C61" s="3" t="s">
        <v>499</v>
      </c>
      <c r="D61" s="3"/>
      <c r="E61" s="3"/>
      <c r="F61" s="3"/>
    </row>
    <row r="63" spans="2:15" x14ac:dyDescent="0.3">
      <c r="C63" t="s">
        <v>500</v>
      </c>
    </row>
    <row r="65" spans="3:5" x14ac:dyDescent="0.3">
      <c r="C65" t="s">
        <v>253</v>
      </c>
      <c r="D65" s="289" t="s">
        <v>255</v>
      </c>
      <c r="E65">
        <v>144</v>
      </c>
    </row>
    <row r="66" spans="3:5" x14ac:dyDescent="0.3">
      <c r="C66" s="69" t="s">
        <v>253</v>
      </c>
      <c r="D66" s="289" t="s">
        <v>266</v>
      </c>
      <c r="E66">
        <v>72</v>
      </c>
    </row>
    <row r="67" spans="3:5" x14ac:dyDescent="0.3">
      <c r="C67" s="69" t="s">
        <v>253</v>
      </c>
      <c r="D67" s="289" t="s">
        <v>262</v>
      </c>
      <c r="E67">
        <v>120</v>
      </c>
    </row>
    <row r="68" spans="3:5" x14ac:dyDescent="0.3">
      <c r="C68" s="69" t="s">
        <v>253</v>
      </c>
      <c r="D68" s="289" t="s">
        <v>264</v>
      </c>
      <c r="E68">
        <v>80</v>
      </c>
    </row>
    <row r="69" spans="3:5" x14ac:dyDescent="0.3">
      <c r="C69" s="69" t="s">
        <v>253</v>
      </c>
      <c r="D69" s="289" t="s">
        <v>257</v>
      </c>
      <c r="E69">
        <v>50</v>
      </c>
    </row>
    <row r="70" spans="3:5" x14ac:dyDescent="0.3">
      <c r="C70" s="69" t="s">
        <v>268</v>
      </c>
      <c r="D70" s="289" t="s">
        <v>255</v>
      </c>
      <c r="E70">
        <v>136</v>
      </c>
    </row>
    <row r="71" spans="3:5" x14ac:dyDescent="0.3">
      <c r="C71" s="69" t="s">
        <v>268</v>
      </c>
      <c r="D71" s="289" t="s">
        <v>266</v>
      </c>
      <c r="E71">
        <v>72</v>
      </c>
    </row>
    <row r="72" spans="3:5" x14ac:dyDescent="0.3">
      <c r="C72" s="69" t="s">
        <v>268</v>
      </c>
      <c r="D72" s="289" t="s">
        <v>262</v>
      </c>
      <c r="E72">
        <v>120</v>
      </c>
    </row>
    <row r="73" spans="3:5" x14ac:dyDescent="0.3">
      <c r="C73" s="69" t="s">
        <v>268</v>
      </c>
      <c r="D73" s="289" t="s">
        <v>264</v>
      </c>
      <c r="E73">
        <v>80</v>
      </c>
    </row>
    <row r="74" spans="3:5" x14ac:dyDescent="0.3">
      <c r="C74" s="69" t="s">
        <v>268</v>
      </c>
      <c r="D74" s="289" t="s">
        <v>257</v>
      </c>
      <c r="E74">
        <v>50</v>
      </c>
    </row>
    <row r="75" spans="3:5" x14ac:dyDescent="0.3">
      <c r="C75" s="69" t="s">
        <v>269</v>
      </c>
      <c r="D75" s="289" t="s">
        <v>255</v>
      </c>
      <c r="E75">
        <v>96</v>
      </c>
    </row>
    <row r="76" spans="3:5" x14ac:dyDescent="0.3">
      <c r="C76" s="69" t="s">
        <v>269</v>
      </c>
      <c r="D76" s="289" t="s">
        <v>266</v>
      </c>
      <c r="E76">
        <v>64</v>
      </c>
    </row>
    <row r="77" spans="3:5" x14ac:dyDescent="0.3">
      <c r="C77" s="69" t="s">
        <v>269</v>
      </c>
      <c r="D77" s="289" t="s">
        <v>262</v>
      </c>
      <c r="E77">
        <v>80</v>
      </c>
    </row>
    <row r="78" spans="3:5" x14ac:dyDescent="0.3">
      <c r="C78" s="69" t="s">
        <v>269</v>
      </c>
      <c r="D78" s="289" t="s">
        <v>264</v>
      </c>
      <c r="E78">
        <v>60</v>
      </c>
    </row>
    <row r="79" spans="3:5" x14ac:dyDescent="0.3">
      <c r="C79" s="69" t="s">
        <v>269</v>
      </c>
      <c r="D79" s="289" t="s">
        <v>257</v>
      </c>
      <c r="E79">
        <v>50</v>
      </c>
    </row>
    <row r="80" spans="3:5" x14ac:dyDescent="0.3">
      <c r="C80" s="69" t="s">
        <v>271</v>
      </c>
      <c r="D80" s="289" t="s">
        <v>255</v>
      </c>
      <c r="E80">
        <v>120</v>
      </c>
    </row>
    <row r="81" spans="3:5" x14ac:dyDescent="0.3">
      <c r="C81" s="69" t="s">
        <v>271</v>
      </c>
      <c r="D81" s="289" t="s">
        <v>266</v>
      </c>
      <c r="E81">
        <v>64</v>
      </c>
    </row>
    <row r="82" spans="3:5" x14ac:dyDescent="0.3">
      <c r="C82" s="69" t="s">
        <v>271</v>
      </c>
      <c r="D82" s="289" t="s">
        <v>262</v>
      </c>
      <c r="E82">
        <v>100</v>
      </c>
    </row>
    <row r="83" spans="3:5" x14ac:dyDescent="0.3">
      <c r="C83" s="69" t="s">
        <v>271</v>
      </c>
      <c r="D83" s="289" t="s">
        <v>264</v>
      </c>
      <c r="E83">
        <v>80</v>
      </c>
    </row>
    <row r="84" spans="3:5" x14ac:dyDescent="0.3">
      <c r="C84" s="69" t="s">
        <v>271</v>
      </c>
      <c r="D84" s="289" t="s">
        <v>257</v>
      </c>
      <c r="E84">
        <v>50</v>
      </c>
    </row>
    <row r="85" spans="3:5" x14ac:dyDescent="0.3">
      <c r="C85" s="69" t="s">
        <v>272</v>
      </c>
      <c r="D85" s="289" t="s">
        <v>255</v>
      </c>
      <c r="E85">
        <v>120</v>
      </c>
    </row>
    <row r="86" spans="3:5" x14ac:dyDescent="0.3">
      <c r="C86" s="69" t="s">
        <v>272</v>
      </c>
      <c r="D86" s="289" t="s">
        <v>266</v>
      </c>
      <c r="E86">
        <v>90</v>
      </c>
    </row>
    <row r="87" spans="3:5" x14ac:dyDescent="0.3">
      <c r="C87" s="69" t="s">
        <v>272</v>
      </c>
      <c r="D87" s="289" t="s">
        <v>262</v>
      </c>
      <c r="E87">
        <v>100</v>
      </c>
    </row>
    <row r="88" spans="3:5" x14ac:dyDescent="0.3">
      <c r="C88" s="69" t="s">
        <v>272</v>
      </c>
      <c r="D88" s="289" t="s">
        <v>264</v>
      </c>
      <c r="E88">
        <v>80</v>
      </c>
    </row>
    <row r="89" spans="3:5" x14ac:dyDescent="0.3">
      <c r="C89" s="69" t="s">
        <v>272</v>
      </c>
      <c r="D89" s="289" t="s">
        <v>257</v>
      </c>
      <c r="E89">
        <v>50</v>
      </c>
    </row>
    <row r="90" spans="3:5" x14ac:dyDescent="0.3">
      <c r="C90" s="69" t="s">
        <v>273</v>
      </c>
      <c r="D90" s="289" t="s">
        <v>255</v>
      </c>
      <c r="E90">
        <v>88</v>
      </c>
    </row>
    <row r="91" spans="3:5" x14ac:dyDescent="0.3">
      <c r="C91" s="69" t="s">
        <v>273</v>
      </c>
      <c r="D91" s="289" t="s">
        <v>266</v>
      </c>
      <c r="E91">
        <v>64</v>
      </c>
    </row>
    <row r="92" spans="3:5" x14ac:dyDescent="0.3">
      <c r="C92" s="69" t="s">
        <v>273</v>
      </c>
      <c r="D92" s="289" t="s">
        <v>262</v>
      </c>
      <c r="E92">
        <v>80</v>
      </c>
    </row>
    <row r="93" spans="3:5" x14ac:dyDescent="0.3">
      <c r="C93" s="69" t="s">
        <v>273</v>
      </c>
      <c r="D93" s="289" t="s">
        <v>264</v>
      </c>
      <c r="E93">
        <v>60</v>
      </c>
    </row>
    <row r="94" spans="3:5" x14ac:dyDescent="0.3">
      <c r="C94" s="69" t="s">
        <v>273</v>
      </c>
      <c r="D94" s="289" t="s">
        <v>257</v>
      </c>
      <c r="E94">
        <v>40</v>
      </c>
    </row>
    <row r="95" spans="3:5" x14ac:dyDescent="0.3">
      <c r="C95" s="69" t="s">
        <v>274</v>
      </c>
      <c r="D95" s="289" t="s">
        <v>255</v>
      </c>
      <c r="E95">
        <v>88</v>
      </c>
    </row>
    <row r="96" spans="3:5" x14ac:dyDescent="0.3">
      <c r="C96" s="69" t="s">
        <v>274</v>
      </c>
      <c r="D96" s="289" t="s">
        <v>266</v>
      </c>
      <c r="E96">
        <v>64</v>
      </c>
    </row>
    <row r="97" spans="3:5" x14ac:dyDescent="0.3">
      <c r="C97" s="69" t="s">
        <v>274</v>
      </c>
      <c r="D97" s="289" t="s">
        <v>262</v>
      </c>
      <c r="E97">
        <v>80</v>
      </c>
    </row>
    <row r="98" spans="3:5" x14ac:dyDescent="0.3">
      <c r="C98" s="69" t="s">
        <v>274</v>
      </c>
      <c r="D98" s="289" t="s">
        <v>264</v>
      </c>
      <c r="E98">
        <v>60</v>
      </c>
    </row>
    <row r="99" spans="3:5" x14ac:dyDescent="0.3">
      <c r="C99" s="69" t="s">
        <v>274</v>
      </c>
      <c r="D99" s="289" t="s">
        <v>257</v>
      </c>
      <c r="E99">
        <v>40</v>
      </c>
    </row>
    <row r="100" spans="3:5" x14ac:dyDescent="0.3">
      <c r="C100" s="69" t="s">
        <v>275</v>
      </c>
      <c r="D100" s="289" t="s">
        <v>255</v>
      </c>
      <c r="E100">
        <v>88</v>
      </c>
    </row>
    <row r="101" spans="3:5" x14ac:dyDescent="0.3">
      <c r="C101" s="69" t="s">
        <v>275</v>
      </c>
      <c r="D101" s="289" t="s">
        <v>266</v>
      </c>
      <c r="E101">
        <v>64</v>
      </c>
    </row>
    <row r="102" spans="3:5" x14ac:dyDescent="0.3">
      <c r="C102" s="69" t="s">
        <v>275</v>
      </c>
      <c r="D102" s="289" t="s">
        <v>262</v>
      </c>
      <c r="E102">
        <v>80</v>
      </c>
    </row>
    <row r="103" spans="3:5" x14ac:dyDescent="0.3">
      <c r="C103" s="69" t="s">
        <v>275</v>
      </c>
      <c r="D103" s="289" t="s">
        <v>264</v>
      </c>
      <c r="E103">
        <v>60</v>
      </c>
    </row>
    <row r="104" spans="3:5" x14ac:dyDescent="0.3">
      <c r="C104" s="69" t="s">
        <v>275</v>
      </c>
      <c r="D104" s="289" t="s">
        <v>257</v>
      </c>
      <c r="E104">
        <v>40</v>
      </c>
    </row>
    <row r="105" spans="3:5" x14ac:dyDescent="0.3">
      <c r="C105" s="69"/>
      <c r="D105" s="69"/>
    </row>
    <row r="106" spans="3:5" x14ac:dyDescent="0.3">
      <c r="C106" s="69" t="s">
        <v>501</v>
      </c>
    </row>
    <row r="108" spans="3:5" x14ac:dyDescent="0.3">
      <c r="C108" s="69" t="s">
        <v>256</v>
      </c>
      <c r="D108" s="69"/>
      <c r="E108">
        <v>0.95</v>
      </c>
    </row>
    <row r="109" spans="3:5" x14ac:dyDescent="0.3">
      <c r="C109" s="69" t="s">
        <v>267</v>
      </c>
      <c r="D109" s="69"/>
      <c r="E109">
        <v>0.9</v>
      </c>
    </row>
    <row r="110" spans="3:5" x14ac:dyDescent="0.3">
      <c r="C110" s="69" t="s">
        <v>260</v>
      </c>
      <c r="D110" s="69"/>
      <c r="E110">
        <v>0.9</v>
      </c>
    </row>
    <row r="111" spans="3:5" x14ac:dyDescent="0.3">
      <c r="C111" s="69" t="s">
        <v>261</v>
      </c>
      <c r="D111" s="69"/>
      <c r="E111">
        <v>3</v>
      </c>
    </row>
    <row r="112" spans="3:5" x14ac:dyDescent="0.3">
      <c r="C112" s="69" t="s">
        <v>258</v>
      </c>
      <c r="D112" s="69"/>
      <c r="E112">
        <v>1</v>
      </c>
    </row>
    <row r="113" spans="3:5" x14ac:dyDescent="0.3">
      <c r="C113" s="69" t="s">
        <v>270</v>
      </c>
      <c r="D113" s="69"/>
      <c r="E113">
        <v>1</v>
      </c>
    </row>
    <row r="114" spans="3:5" x14ac:dyDescent="0.3">
      <c r="D114" s="69"/>
    </row>
    <row r="117" spans="3:5" x14ac:dyDescent="0.3">
      <c r="C117" s="120" t="s">
        <v>502</v>
      </c>
    </row>
    <row r="119" spans="3:5" x14ac:dyDescent="0.3">
      <c r="C119" t="s">
        <v>503</v>
      </c>
      <c r="D119" t="s">
        <v>504</v>
      </c>
      <c r="E119" t="s">
        <v>505</v>
      </c>
    </row>
    <row r="121" spans="3:5" x14ac:dyDescent="0.3">
      <c r="C121" s="281" t="s">
        <v>255</v>
      </c>
      <c r="D121" s="393" t="s">
        <v>262</v>
      </c>
      <c r="E121" s="281">
        <v>100</v>
      </c>
    </row>
    <row r="122" spans="3:5" x14ac:dyDescent="0.3">
      <c r="C122" s="281" t="s">
        <v>255</v>
      </c>
      <c r="D122" s="393" t="s">
        <v>264</v>
      </c>
      <c r="E122" s="281">
        <v>200</v>
      </c>
    </row>
    <row r="123" spans="3:5" x14ac:dyDescent="0.3">
      <c r="C123" s="281" t="s">
        <v>255</v>
      </c>
      <c r="D123" s="281" t="s">
        <v>257</v>
      </c>
      <c r="E123" s="281">
        <v>450</v>
      </c>
    </row>
    <row r="124" spans="3:5" x14ac:dyDescent="0.3">
      <c r="C124" s="281"/>
      <c r="D124" s="281"/>
      <c r="E124" s="281"/>
    </row>
    <row r="125" spans="3:5" x14ac:dyDescent="0.3">
      <c r="C125" s="281" t="s">
        <v>266</v>
      </c>
      <c r="D125" s="393" t="s">
        <v>262</v>
      </c>
      <c r="E125" s="281">
        <v>60</v>
      </c>
    </row>
    <row r="126" spans="3:5" x14ac:dyDescent="0.3">
      <c r="C126" s="281" t="s">
        <v>266</v>
      </c>
      <c r="D126" s="393" t="s">
        <v>264</v>
      </c>
      <c r="E126" s="281">
        <v>150</v>
      </c>
    </row>
    <row r="127" spans="3:5" x14ac:dyDescent="0.3">
      <c r="C127" s="281" t="s">
        <v>266</v>
      </c>
      <c r="D127" s="281" t="s">
        <v>257</v>
      </c>
      <c r="E127" s="281">
        <v>400</v>
      </c>
    </row>
    <row r="130" spans="3:7" x14ac:dyDescent="0.3">
      <c r="C130" s="120" t="s">
        <v>506</v>
      </c>
    </row>
    <row r="132" spans="3:7" x14ac:dyDescent="0.3">
      <c r="C132" t="s">
        <v>504</v>
      </c>
      <c r="E132" t="s">
        <v>507</v>
      </c>
    </row>
    <row r="133" spans="3:7" x14ac:dyDescent="0.3">
      <c r="C133" s="281" t="s">
        <v>255</v>
      </c>
      <c r="D133" s="281"/>
      <c r="E133">
        <v>4</v>
      </c>
      <c r="G133"/>
    </row>
    <row r="134" spans="3:7" x14ac:dyDescent="0.3">
      <c r="C134" s="281" t="s">
        <v>266</v>
      </c>
      <c r="D134" s="281"/>
      <c r="E134">
        <v>1.5</v>
      </c>
      <c r="G134"/>
    </row>
    <row r="135" spans="3:7" x14ac:dyDescent="0.3">
      <c r="C135" s="281" t="s">
        <v>262</v>
      </c>
      <c r="D135" s="281"/>
      <c r="E135">
        <v>1.5</v>
      </c>
      <c r="G135"/>
    </row>
    <row r="136" spans="3:7" x14ac:dyDescent="0.3">
      <c r="C136" s="281" t="s">
        <v>264</v>
      </c>
      <c r="D136" s="281"/>
      <c r="E136">
        <v>1.5</v>
      </c>
      <c r="G136"/>
    </row>
    <row r="137" spans="3:7" x14ac:dyDescent="0.3">
      <c r="C137" s="281" t="s">
        <v>257</v>
      </c>
      <c r="D137" s="281"/>
      <c r="E137">
        <v>1.5</v>
      </c>
      <c r="G137"/>
    </row>
    <row r="139" spans="3:7" x14ac:dyDescent="0.3">
      <c r="C139" s="120" t="s">
        <v>508</v>
      </c>
    </row>
    <row r="141" spans="3:7" x14ac:dyDescent="0.3">
      <c r="E141" t="s">
        <v>505</v>
      </c>
    </row>
    <row r="142" spans="3:7" x14ac:dyDescent="0.3">
      <c r="C142" s="69" t="s">
        <v>256</v>
      </c>
      <c r="E142">
        <v>18</v>
      </c>
      <c r="G142"/>
    </row>
    <row r="143" spans="3:7" x14ac:dyDescent="0.3">
      <c r="C143" s="69" t="s">
        <v>267</v>
      </c>
      <c r="E143">
        <v>24</v>
      </c>
      <c r="G143"/>
    </row>
    <row r="144" spans="3:7" x14ac:dyDescent="0.3">
      <c r="C144" s="69" t="s">
        <v>260</v>
      </c>
      <c r="E144">
        <v>10</v>
      </c>
      <c r="G144"/>
    </row>
    <row r="145" spans="3:7" x14ac:dyDescent="0.3">
      <c r="C145" s="69" t="s">
        <v>261</v>
      </c>
      <c r="E145">
        <v>80</v>
      </c>
      <c r="G145"/>
    </row>
    <row r="146" spans="3:7" x14ac:dyDescent="0.3">
      <c r="C146" s="69" t="s">
        <v>258</v>
      </c>
      <c r="E146">
        <v>31</v>
      </c>
      <c r="G146"/>
    </row>
    <row r="147" spans="3:7" x14ac:dyDescent="0.3">
      <c r="C147" s="69" t="s">
        <v>270</v>
      </c>
      <c r="E147">
        <v>31</v>
      </c>
      <c r="G147"/>
    </row>
    <row r="150" spans="3:7" x14ac:dyDescent="0.3">
      <c r="E150" t="s">
        <v>507</v>
      </c>
    </row>
    <row r="151" spans="3:7" x14ac:dyDescent="0.3">
      <c r="C151" s="69" t="s">
        <v>256</v>
      </c>
      <c r="E151">
        <f t="shared" ref="E151:E156" si="1">E142*0.035</f>
        <v>0.63000000000000012</v>
      </c>
      <c r="G151"/>
    </row>
    <row r="152" spans="3:7" x14ac:dyDescent="0.3">
      <c r="C152" s="69" t="s">
        <v>267</v>
      </c>
      <c r="E152">
        <f t="shared" si="1"/>
        <v>0.84000000000000008</v>
      </c>
      <c r="G152"/>
    </row>
    <row r="153" spans="3:7" x14ac:dyDescent="0.3">
      <c r="C153" s="69" t="s">
        <v>260</v>
      </c>
      <c r="E153">
        <f t="shared" si="1"/>
        <v>0.35000000000000003</v>
      </c>
      <c r="G153"/>
    </row>
    <row r="154" spans="3:7" x14ac:dyDescent="0.3">
      <c r="C154" s="69" t="s">
        <v>261</v>
      </c>
      <c r="E154">
        <f t="shared" si="1"/>
        <v>2.8000000000000003</v>
      </c>
      <c r="G154"/>
    </row>
    <row r="155" spans="3:7" x14ac:dyDescent="0.3">
      <c r="C155" s="69" t="s">
        <v>258</v>
      </c>
      <c r="E155">
        <f t="shared" si="1"/>
        <v>1.0850000000000002</v>
      </c>
      <c r="G155"/>
    </row>
    <row r="156" spans="3:7" x14ac:dyDescent="0.3">
      <c r="C156" s="69" t="s">
        <v>270</v>
      </c>
      <c r="E156">
        <f t="shared" si="1"/>
        <v>1.0850000000000002</v>
      </c>
      <c r="G156"/>
    </row>
  </sheetData>
  <mergeCells count="3">
    <mergeCell ref="G54:H54"/>
    <mergeCell ref="J54:J55"/>
    <mergeCell ref="K54:O54"/>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3565D2027CB5C43B896265DB26BF053" ma:contentTypeVersion="20" ma:contentTypeDescription="Crée un document." ma:contentTypeScope="" ma:versionID="30fe95e58db8b7b2ca9ceb81231135c3">
  <xsd:schema xmlns:xsd="http://www.w3.org/2001/XMLSchema" xmlns:xs="http://www.w3.org/2001/XMLSchema" xmlns:p="http://schemas.microsoft.com/office/2006/metadata/properties" xmlns:ns1="http://schemas.microsoft.com/sharepoint/v3" xmlns:ns2="6d25fa36-6e92-4a8c-bcd7-8d2e2e5dc1cc" xmlns:ns3="2a193445-8f29-4d28-b3a3-ce6182a987ad" targetNamespace="http://schemas.microsoft.com/office/2006/metadata/properties" ma:root="true" ma:fieldsID="c33110d45108f9c3a8d0b17f94a7edbf" ns1:_="" ns2:_="" ns3:_="">
    <xsd:import namespace="http://schemas.microsoft.com/sharepoint/v3"/>
    <xsd:import namespace="6d25fa36-6e92-4a8c-bcd7-8d2e2e5dc1cc"/>
    <xsd:import namespace="2a193445-8f29-4d28-b3a3-ce6182a987a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1:_ip_UnifiedCompliancePolicyProperties" minOccurs="0"/>
                <xsd:element ref="ns1:_ip_UnifiedCompliancePolicyUIAc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Propriétés de la stratégie de conformité unifiée" ma:hidden="true" ma:internalName="_ip_UnifiedCompliancePolicyProperties">
      <xsd:simpleType>
        <xsd:restriction base="dms:Note"/>
      </xsd:simpleType>
    </xsd:element>
    <xsd:element name="_ip_UnifiedCompliancePolicyUIAction" ma:index="21" nillable="true" ma:displayName="Action d’interface utilisateur de la stratégie de conformité unifiée"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d25fa36-6e92-4a8c-bcd7-8d2e2e5dc1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Balises d’images" ma:readOnly="false" ma:fieldId="{5cf76f15-5ced-4ddc-b409-7134ff3c332f}" ma:taxonomyMulti="true" ma:sspId="fdb6b646-3ed7-48ad-b39c-bbf27f50ba6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a193445-8f29-4d28-b3a3-ce6182a987ad" elementFormDefault="qualified">
    <xsd:import namespace="http://schemas.microsoft.com/office/2006/documentManagement/types"/>
    <xsd:import namespace="http://schemas.microsoft.com/office/infopath/2007/PartnerControls"/>
    <xsd:element name="SharedWithUsers" ma:index="17"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Partagé avec détails" ma:internalName="SharedWithDetails" ma:readOnly="true">
      <xsd:simpleType>
        <xsd:restriction base="dms:Note">
          <xsd:maxLength value="255"/>
        </xsd:restriction>
      </xsd:simpleType>
    </xsd:element>
    <xsd:element name="TaxCatchAll" ma:index="24" nillable="true" ma:displayName="Taxonomy Catch All Column" ma:hidden="true" ma:list="{4fd0a5eb-5bd5-4419-8c56-9da7f185a722}" ma:internalName="TaxCatchAll" ma:showField="CatchAllData" ma:web="2a193445-8f29-4d28-b3a3-ce6182a987a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6d25fa36-6e92-4a8c-bcd7-8d2e2e5dc1cc">
      <Terms xmlns="http://schemas.microsoft.com/office/infopath/2007/PartnerControls"/>
    </lcf76f155ced4ddcb4097134ff3c332f>
    <_ip_UnifiedCompliancePolicyProperties xmlns="http://schemas.microsoft.com/sharepoint/v3" xsi:nil="true"/>
    <TaxCatchAll xmlns="2a193445-8f29-4d28-b3a3-ce6182a987ad" xsi:nil="true"/>
  </documentManagement>
</p:properties>
</file>

<file path=customXml/itemProps1.xml><?xml version="1.0" encoding="utf-8"?>
<ds:datastoreItem xmlns:ds="http://schemas.openxmlformats.org/officeDocument/2006/customXml" ds:itemID="{FA6BB2CB-3BF4-46E9-84FB-D3FA5C2043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d25fa36-6e92-4a8c-bcd7-8d2e2e5dc1cc"/>
    <ds:schemaRef ds:uri="2a193445-8f29-4d28-b3a3-ce6182a987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C5E3AE8-9BF6-4760-A8C1-33754B1EE39B}">
  <ds:schemaRefs>
    <ds:schemaRef ds:uri="http://schemas.microsoft.com/sharepoint/v3/contenttype/forms"/>
  </ds:schemaRefs>
</ds:datastoreItem>
</file>

<file path=customXml/itemProps3.xml><?xml version="1.0" encoding="utf-8"?>
<ds:datastoreItem xmlns:ds="http://schemas.openxmlformats.org/officeDocument/2006/customXml" ds:itemID="{6826829B-A7A4-46EC-BFCA-62DDA6E14952}">
  <ds:schemaRefs>
    <ds:schemaRef ds:uri="http://schemas.microsoft.com/office/2006/metadata/properties"/>
    <ds:schemaRef ds:uri="http://schemas.microsoft.com/office/infopath/2007/PartnerControls"/>
    <ds:schemaRef ds:uri="http://schemas.microsoft.com/sharepoint/v3"/>
    <ds:schemaRef ds:uri="6d25fa36-6e92-4a8c-bcd7-8d2e2e5dc1cc"/>
    <ds:schemaRef ds:uri="2a193445-8f29-4d28-b3a3-ce6182a987a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TER_RENO</vt:lpstr>
      <vt:lpstr>axTER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Maxime LEDEZ</dc:creator>
  <cp:lastModifiedBy>Maxime LEDEZ</cp:lastModifiedBy>
  <dcterms:created xsi:type="dcterms:W3CDTF">2025-03-17T08:37:23Z</dcterms:created>
  <dcterms:modified xsi:type="dcterms:W3CDTF">2025-04-03T13:16:19Z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0x01010043565D2027CB5C43B896265DB26BF053</vt:lpwstr>
  </property>
  <property fmtid="{D5CDD505-2E9C-101B-9397-08002B2CF9AE}" pid="3" name="MediaServiceImageTags">
    <vt:lpwstr/>
  </property>
</Properties>
</file>