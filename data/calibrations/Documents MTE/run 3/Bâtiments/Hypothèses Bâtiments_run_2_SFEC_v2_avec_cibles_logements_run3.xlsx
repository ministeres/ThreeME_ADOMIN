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/>
  <xr:revisionPtr revIDLastSave="0" documentId="13_ncr:1_{1D7799C4-0E0C-465D-B5C9-5186C297A12D}" xr6:coauthVersionLast="47" xr6:coauthVersionMax="47" xr10:uidLastSave="{00000000-0000-0000-0000-000000000000}"/>
  <bookViews>
    <workbookView xWindow="-120" yWindow="-120" windowWidth="20730" windowHeight="11160" tabRatio="798" xr2:uid="{00000000-000D-0000-FFFF-FFFF00000000}"/>
  </bookViews>
  <sheets>
    <sheet name="Résidentiel Parc et neuf" sheetId="3" r:id="rId1"/>
    <sheet name="Tâto construction neuve" sheetId="10" r:id="rId2"/>
    <sheet name="Résidentiel Chauffage" sheetId="4" r:id="rId3"/>
    <sheet name="Résidentiel Hors chauffage" sheetId="5" r:id="rId4"/>
    <sheet name="Tertiaire Parc et neuf" sheetId="7" r:id="rId5"/>
    <sheet name="Tertiaire chauffage" sheetId="8" r:id="rId6"/>
    <sheet name="Tertiaire hors chauffage" sheetId="9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" i="3" l="1"/>
  <c r="E67" i="3"/>
  <c r="D67" i="3"/>
  <c r="G28" i="3" l="1"/>
  <c r="E56" i="3" l="1"/>
  <c r="F56" i="3"/>
  <c r="D56" i="3"/>
  <c r="D25" i="3" l="1"/>
  <c r="E25" i="3"/>
  <c r="F25" i="3"/>
  <c r="C25" i="3"/>
  <c r="D7" i="3"/>
  <c r="E7" i="3"/>
  <c r="F7" i="3"/>
  <c r="C7" i="3"/>
  <c r="G12" i="10" l="1"/>
  <c r="G11" i="10"/>
  <c r="G10" i="10"/>
  <c r="G8" i="10"/>
  <c r="G9" i="10"/>
  <c r="D68" i="3" l="1"/>
  <c r="D69" i="3" s="1"/>
  <c r="E68" i="3"/>
  <c r="E69" i="3" s="1"/>
  <c r="F68" i="3"/>
  <c r="F69" i="3" s="1"/>
  <c r="C68" i="3"/>
  <c r="D55" i="3"/>
  <c r="E55" i="3"/>
  <c r="F55" i="3"/>
  <c r="C55" i="3" l="1"/>
  <c r="F40" i="3"/>
  <c r="E40" i="3"/>
  <c r="D40" i="3"/>
  <c r="C40" i="3"/>
  <c r="D22" i="3"/>
  <c r="E22" i="3"/>
  <c r="F22" i="3"/>
  <c r="C22" i="3"/>
  <c r="D95" i="3" l="1"/>
  <c r="E119" i="3"/>
  <c r="F119" i="3"/>
  <c r="G119" i="3"/>
  <c r="D119" i="3"/>
  <c r="G112" i="3" l="1"/>
  <c r="F112" i="3"/>
  <c r="E112" i="3"/>
  <c r="D112" i="3"/>
  <c r="G111" i="3"/>
  <c r="F111" i="3"/>
  <c r="E111" i="3"/>
  <c r="D111" i="3"/>
  <c r="D88" i="3"/>
  <c r="D87" i="3"/>
  <c r="D94" i="3"/>
  <c r="C94" i="3"/>
  <c r="C110" i="3"/>
  <c r="C86" i="3"/>
  <c r="D110" i="3"/>
  <c r="D116" i="3" s="1"/>
  <c r="E110" i="3"/>
  <c r="E117" i="3" s="1"/>
  <c r="F110" i="3"/>
  <c r="F117" i="3" s="1"/>
  <c r="G110" i="3"/>
  <c r="G117" i="3" s="1"/>
  <c r="C116" i="3"/>
  <c r="D114" i="3"/>
  <c r="E114" i="3"/>
  <c r="F114" i="3"/>
  <c r="G114" i="3"/>
  <c r="D115" i="3"/>
  <c r="E115" i="3"/>
  <c r="F115" i="3"/>
  <c r="G115" i="3"/>
  <c r="C115" i="3"/>
  <c r="C114" i="3"/>
  <c r="D117" i="3"/>
  <c r="G116" i="3"/>
  <c r="F108" i="3"/>
  <c r="G108" i="3"/>
  <c r="F109" i="3"/>
  <c r="G109" i="3"/>
  <c r="E109" i="3"/>
  <c r="E108" i="3"/>
  <c r="D104" i="3"/>
  <c r="C104" i="3"/>
  <c r="D103" i="3"/>
  <c r="C103" i="3"/>
  <c r="D79" i="3"/>
  <c r="D80" i="3"/>
  <c r="D91" i="3" s="1"/>
  <c r="C80" i="3"/>
  <c r="C91" i="3" s="1"/>
  <c r="C79" i="3"/>
  <c r="C90" i="3" s="1"/>
  <c r="F116" i="3" l="1"/>
  <c r="E116" i="3"/>
  <c r="C117" i="3"/>
  <c r="C113" i="3"/>
  <c r="C118" i="3" s="1"/>
  <c r="D113" i="3"/>
  <c r="D118" i="3" s="1"/>
  <c r="C89" i="3"/>
  <c r="D86" i="3"/>
  <c r="D92" i="3" s="1"/>
  <c r="C93" i="3"/>
  <c r="D90" i="3"/>
  <c r="D89" i="3" s="1"/>
  <c r="C92" i="3" l="1"/>
  <c r="D93" i="3"/>
  <c r="AF129" i="9" l="1"/>
  <c r="AG129" i="9"/>
  <c r="AH129" i="9"/>
  <c r="AI129" i="9"/>
  <c r="AJ129" i="9"/>
  <c r="AK129" i="9"/>
  <c r="AD129" i="9"/>
  <c r="AE129" i="9"/>
  <c r="H63" i="5"/>
  <c r="G63" i="5"/>
  <c r="H47" i="5"/>
  <c r="G47" i="5"/>
  <c r="C47" i="5"/>
  <c r="C63" i="5" s="1"/>
  <c r="K40" i="5"/>
  <c r="K56" i="5" s="1"/>
  <c r="I40" i="5"/>
  <c r="H40" i="5"/>
  <c r="G40" i="5"/>
  <c r="G56" i="5" s="1"/>
  <c r="E40" i="5"/>
  <c r="E56" i="5" s="1"/>
  <c r="H56" i="5"/>
  <c r="C59" i="8" l="1"/>
  <c r="D57" i="8"/>
  <c r="D59" i="8" a="1"/>
  <c r="D59" i="8" s="1"/>
  <c r="F99" i="3" l="1"/>
  <c r="E75" i="3" l="1"/>
  <c r="D61" i="3" l="1"/>
  <c r="E103" i="3" s="1"/>
  <c r="E61" i="3"/>
  <c r="F61" i="3"/>
  <c r="C61" i="3"/>
  <c r="C48" i="3"/>
  <c r="D39" i="3"/>
  <c r="E39" i="3" s="1"/>
  <c r="F39" i="3" s="1"/>
  <c r="D38" i="3"/>
  <c r="E38" i="3" s="1"/>
  <c r="F38" i="3" s="1"/>
  <c r="F103" i="3" l="1"/>
  <c r="E113" i="3"/>
  <c r="E118" i="3" s="1"/>
  <c r="J161" i="3"/>
  <c r="J160" i="3"/>
  <c r="J159" i="3"/>
  <c r="J158" i="3"/>
  <c r="J157" i="3"/>
  <c r="J156" i="3"/>
  <c r="J155" i="3"/>
  <c r="J154" i="3"/>
  <c r="J153" i="3"/>
  <c r="J142" i="3"/>
  <c r="J143" i="3"/>
  <c r="J144" i="3"/>
  <c r="J145" i="3"/>
  <c r="J146" i="3"/>
  <c r="J147" i="3"/>
  <c r="J148" i="3"/>
  <c r="J149" i="3"/>
  <c r="J141" i="3"/>
  <c r="G103" i="3" l="1"/>
  <c r="F113" i="3"/>
  <c r="F118" i="3" s="1"/>
  <c r="D62" i="3"/>
  <c r="E104" i="3" s="1"/>
  <c r="E62" i="3"/>
  <c r="F62" i="3"/>
  <c r="C62" i="3"/>
  <c r="C49" i="3"/>
  <c r="E48" i="3"/>
  <c r="E49" i="3" s="1"/>
  <c r="F48" i="3"/>
  <c r="F49" i="3" s="1"/>
  <c r="D48" i="3"/>
  <c r="E79" i="3" s="1"/>
  <c r="F104" i="3" l="1"/>
  <c r="G113" i="3"/>
  <c r="G118" i="3" s="1"/>
  <c r="D49" i="3"/>
  <c r="E80" i="3" s="1"/>
  <c r="D17" i="9"/>
  <c r="E17" i="9" s="1"/>
  <c r="F17" i="9" s="1"/>
  <c r="G17" i="9" s="1"/>
  <c r="H17" i="9" s="1"/>
  <c r="G104" i="3" l="1"/>
  <c r="F79" i="3"/>
  <c r="E86" i="3"/>
  <c r="E90" i="3"/>
  <c r="F80" i="3"/>
  <c r="E91" i="3"/>
  <c r="K49" i="8"/>
  <c r="J49" i="8"/>
  <c r="I49" i="8"/>
  <c r="H49" i="8"/>
  <c r="H52" i="8" s="1"/>
  <c r="G49" i="8"/>
  <c r="F49" i="8"/>
  <c r="E49" i="8"/>
  <c r="D49" i="8"/>
  <c r="K48" i="8"/>
  <c r="K51" i="8" s="1"/>
  <c r="J48" i="8"/>
  <c r="J51" i="8" s="1"/>
  <c r="I48" i="8"/>
  <c r="I51" i="8" s="1"/>
  <c r="H48" i="8"/>
  <c r="H51" i="8" s="1"/>
  <c r="G48" i="8"/>
  <c r="G51" i="8" s="1"/>
  <c r="F48" i="8"/>
  <c r="F51" i="8" s="1"/>
  <c r="E48" i="8"/>
  <c r="E51" i="8" s="1"/>
  <c r="D48" i="8"/>
  <c r="D51" i="8" s="1"/>
  <c r="K37" i="8"/>
  <c r="K52" i="8" s="1"/>
  <c r="J37" i="8"/>
  <c r="J52" i="8" s="1"/>
  <c r="I37" i="8"/>
  <c r="G37" i="8"/>
  <c r="G52" i="8" s="1"/>
  <c r="F37" i="8"/>
  <c r="E37" i="8"/>
  <c r="D37" i="8"/>
  <c r="L30" i="8"/>
  <c r="L39" i="8" s="1"/>
  <c r="E87" i="3" l="1"/>
  <c r="E88" i="3"/>
  <c r="G80" i="3"/>
  <c r="E89" i="3"/>
  <c r="E92" i="3"/>
  <c r="E93" i="3"/>
  <c r="G79" i="3"/>
  <c r="L49" i="8"/>
  <c r="L34" i="8"/>
  <c r="D52" i="8"/>
  <c r="E52" i="8"/>
  <c r="L51" i="8"/>
  <c r="L33" i="8"/>
  <c r="L48" i="8"/>
  <c r="F52" i="8"/>
  <c r="L45" i="8"/>
  <c r="L44" i="8"/>
  <c r="I52" i="8"/>
  <c r="L43" i="8"/>
  <c r="L32" i="8"/>
  <c r="L41" i="8"/>
  <c r="L37" i="8"/>
  <c r="L40" i="8"/>
  <c r="L36" i="8"/>
  <c r="E94" i="3" l="1"/>
  <c r="E95" i="3" s="1"/>
  <c r="L52" i="8"/>
  <c r="F121" i="9" l="1"/>
  <c r="AF120" i="9" l="1"/>
  <c r="AG120" i="9" s="1"/>
  <c r="AH120" i="9" s="1"/>
  <c r="AI120" i="9" s="1"/>
  <c r="AJ120" i="9" s="1"/>
  <c r="AK120" i="9" s="1"/>
  <c r="B128" i="9"/>
  <c r="B126" i="9"/>
  <c r="C126" i="9" s="1"/>
  <c r="D126" i="9" s="1"/>
  <c r="E126" i="9" s="1"/>
  <c r="F126" i="9" s="1"/>
  <c r="G126" i="9" s="1"/>
  <c r="H126" i="9" s="1"/>
  <c r="B125" i="9"/>
  <c r="C125" i="9" s="1"/>
  <c r="D125" i="9" s="1"/>
  <c r="E125" i="9" s="1"/>
  <c r="F125" i="9" s="1"/>
  <c r="G125" i="9" s="1"/>
  <c r="H125" i="9" s="1"/>
  <c r="E124" i="9"/>
  <c r="F124" i="9" s="1"/>
  <c r="G124" i="9" s="1"/>
  <c r="H124" i="9" s="1"/>
  <c r="B124" i="9"/>
  <c r="B123" i="9"/>
  <c r="C123" i="9" s="1"/>
  <c r="D123" i="9" s="1"/>
  <c r="E123" i="9" s="1"/>
  <c r="F123" i="9" s="1"/>
  <c r="G123" i="9" s="1"/>
  <c r="H123" i="9" s="1"/>
  <c r="B122" i="9"/>
  <c r="C122" i="9" s="1"/>
  <c r="D122" i="9" s="1"/>
  <c r="G121" i="9"/>
  <c r="E121" i="9"/>
  <c r="C121" i="9"/>
  <c r="C119" i="9"/>
  <c r="D119" i="9" s="1"/>
  <c r="E119" i="9" s="1"/>
  <c r="F119" i="9" s="1"/>
  <c r="G119" i="9" s="1"/>
  <c r="H119" i="9" s="1"/>
  <c r="B54" i="9"/>
  <c r="B55" i="9" s="1"/>
  <c r="B56" i="9" s="1"/>
  <c r="B57" i="9" s="1"/>
  <c r="B58" i="9" s="1"/>
  <c r="B59" i="9" s="1"/>
  <c r="B47" i="9"/>
  <c r="B48" i="9" s="1"/>
  <c r="B49" i="9" s="1"/>
  <c r="B50" i="9" s="1"/>
  <c r="B51" i="9" s="1"/>
  <c r="B52" i="9" s="1"/>
  <c r="B37" i="9"/>
  <c r="B38" i="9" s="1"/>
  <c r="B39" i="9" s="1"/>
  <c r="B40" i="9" s="1"/>
  <c r="B41" i="9" s="1"/>
  <c r="B42" i="9" s="1"/>
  <c r="B30" i="9"/>
  <c r="B31" i="9" s="1"/>
  <c r="B32" i="9" s="1"/>
  <c r="B33" i="9" s="1"/>
  <c r="B34" i="9" s="1"/>
  <c r="B35" i="9" s="1"/>
  <c r="AK15" i="9"/>
  <c r="AL15" i="9" s="1"/>
  <c r="AM15" i="9" s="1"/>
  <c r="AN15" i="9" s="1"/>
  <c r="AO15" i="9" s="1"/>
  <c r="AP15" i="9" s="1"/>
  <c r="R15" i="9"/>
  <c r="S15" i="9" s="1"/>
  <c r="D8" i="9"/>
  <c r="E8" i="9" s="1"/>
  <c r="F8" i="9" s="1"/>
  <c r="G8" i="9" s="1"/>
  <c r="H8" i="9" s="1"/>
  <c r="AH68" i="5"/>
  <c r="AG68" i="5"/>
  <c r="AF68" i="5"/>
  <c r="AL65" i="5"/>
  <c r="AL66" i="5" s="1"/>
  <c r="AL67" i="5" s="1"/>
  <c r="AL68" i="5" s="1"/>
  <c r="AL69" i="5" s="1"/>
  <c r="AL70" i="5" s="1"/>
  <c r="AI63" i="5"/>
  <c r="AI64" i="5" s="1"/>
  <c r="AE63" i="5"/>
  <c r="AD63" i="5"/>
  <c r="AD64" i="5" s="1"/>
  <c r="AL57" i="5"/>
  <c r="AL58" i="5" s="1"/>
  <c r="AL59" i="5" s="1"/>
  <c r="AL60" i="5" s="1"/>
  <c r="AL61" i="5" s="1"/>
  <c r="AL62" i="5" s="1"/>
  <c r="AH57" i="5"/>
  <c r="AG57" i="5"/>
  <c r="AF57" i="5"/>
  <c r="AF63" i="5" s="1"/>
  <c r="AE57" i="5"/>
  <c r="H67" i="5"/>
  <c r="H68" i="5" s="1"/>
  <c r="C67" i="5"/>
  <c r="C68" i="5" s="1"/>
  <c r="B64" i="5"/>
  <c r="B65" i="5" s="1"/>
  <c r="B66" i="5" s="1"/>
  <c r="B67" i="5" s="1"/>
  <c r="B68" i="5" s="1"/>
  <c r="B69" i="5" s="1"/>
  <c r="H64" i="5"/>
  <c r="C64" i="5"/>
  <c r="B57" i="5"/>
  <c r="B58" i="5" s="1"/>
  <c r="B59" i="5" s="1"/>
  <c r="B60" i="5" s="1"/>
  <c r="B61" i="5" s="1"/>
  <c r="B62" i="5" s="1"/>
  <c r="L53" i="5"/>
  <c r="H51" i="5"/>
  <c r="H50" i="5" s="1"/>
  <c r="G51" i="5"/>
  <c r="G50" i="5" s="1"/>
  <c r="C51" i="5"/>
  <c r="C50" i="5" s="1"/>
  <c r="L49" i="5"/>
  <c r="G48" i="5"/>
  <c r="C48" i="5"/>
  <c r="B48" i="5"/>
  <c r="B49" i="5" s="1"/>
  <c r="B50" i="5" s="1"/>
  <c r="B51" i="5" s="1"/>
  <c r="B52" i="5" s="1"/>
  <c r="B53" i="5" s="1"/>
  <c r="H48" i="5"/>
  <c r="K44" i="5"/>
  <c r="K45" i="5" s="1"/>
  <c r="I44" i="5"/>
  <c r="I43" i="5" s="1"/>
  <c r="H44" i="5"/>
  <c r="H45" i="5" s="1"/>
  <c r="G44" i="5"/>
  <c r="G45" i="5" s="1"/>
  <c r="E44" i="5"/>
  <c r="E45" i="5" s="1"/>
  <c r="C44" i="5"/>
  <c r="C43" i="5" s="1"/>
  <c r="K43" i="5"/>
  <c r="D41" i="5"/>
  <c r="D42" i="5" s="1"/>
  <c r="C41" i="5"/>
  <c r="B41" i="5"/>
  <c r="B42" i="5" s="1"/>
  <c r="B43" i="5" s="1"/>
  <c r="B44" i="5" s="1"/>
  <c r="B45" i="5" s="1"/>
  <c r="B46" i="5" s="1"/>
  <c r="K41" i="5"/>
  <c r="I41" i="5"/>
  <c r="H41" i="5"/>
  <c r="G41" i="5"/>
  <c r="E41" i="5"/>
  <c r="C14" i="5"/>
  <c r="D14" i="5" s="1"/>
  <c r="E14" i="5" s="1"/>
  <c r="F14" i="5" s="1"/>
  <c r="G14" i="5" s="1"/>
  <c r="H14" i="5" s="1"/>
  <c r="AD20" i="5"/>
  <c r="AE20" i="5"/>
  <c r="AF20" i="5" s="1"/>
  <c r="AG20" i="5" s="1"/>
  <c r="AH20" i="5" s="1"/>
  <c r="AI20" i="5" s="1"/>
  <c r="AS16" i="5"/>
  <c r="AQ16" i="5"/>
  <c r="AO16" i="5"/>
  <c r="AM16" i="5"/>
  <c r="AK16" i="5"/>
  <c r="AS15" i="5"/>
  <c r="AQ15" i="5"/>
  <c r="AO15" i="5"/>
  <c r="AM15" i="5"/>
  <c r="AK15" i="5"/>
  <c r="AS14" i="5"/>
  <c r="AR14" i="5"/>
  <c r="AQ14" i="5"/>
  <c r="AP14" i="5"/>
  <c r="AO14" i="5"/>
  <c r="AN14" i="5"/>
  <c r="AM14" i="5"/>
  <c r="AL14" i="5"/>
  <c r="AK14" i="5"/>
  <c r="AJ14" i="5"/>
  <c r="B25" i="5"/>
  <c r="B24" i="5"/>
  <c r="C24" i="5" s="1"/>
  <c r="B23" i="5"/>
  <c r="H23" i="5" s="1"/>
  <c r="F23" i="5" s="1"/>
  <c r="F22" i="5"/>
  <c r="G22" i="5" s="1"/>
  <c r="B22" i="5"/>
  <c r="C22" i="5" s="1"/>
  <c r="C21" i="5"/>
  <c r="D21" i="5" s="1"/>
  <c r="E21" i="5" s="1"/>
  <c r="F21" i="5" s="1"/>
  <c r="G21" i="5" s="1"/>
  <c r="H21" i="5" s="1"/>
  <c r="B18" i="5"/>
  <c r="F17" i="5"/>
  <c r="G17" i="5" s="1"/>
  <c r="B17" i="5"/>
  <c r="C17" i="5" s="1"/>
  <c r="F16" i="5"/>
  <c r="G16" i="5" s="1"/>
  <c r="B16" i="5"/>
  <c r="C16" i="5" s="1"/>
  <c r="F15" i="5"/>
  <c r="E15" i="5" s="1"/>
  <c r="B15" i="5"/>
  <c r="C15" i="5" s="1"/>
  <c r="D76" i="3"/>
  <c r="F75" i="3"/>
  <c r="F76" i="3" s="1"/>
  <c r="G75" i="3"/>
  <c r="G76" i="3" s="1"/>
  <c r="E76" i="3"/>
  <c r="E99" i="3"/>
  <c r="E100" i="3" s="1"/>
  <c r="F100" i="3"/>
  <c r="G99" i="3"/>
  <c r="G100" i="3" s="1"/>
  <c r="D100" i="3"/>
  <c r="F54" i="3"/>
  <c r="E54" i="3"/>
  <c r="C100" i="3"/>
  <c r="C76" i="3"/>
  <c r="D54" i="3"/>
  <c r="C54" i="3"/>
  <c r="F21" i="3"/>
  <c r="F20" i="3"/>
  <c r="E20" i="3" l="1"/>
  <c r="E21" i="3"/>
  <c r="F91" i="3" s="1"/>
  <c r="G91" i="3"/>
  <c r="G15" i="5"/>
  <c r="L48" i="5"/>
  <c r="L40" i="5"/>
  <c r="AG63" i="5"/>
  <c r="AG64" i="5" s="1"/>
  <c r="C45" i="5"/>
  <c r="I45" i="5"/>
  <c r="L47" i="5"/>
  <c r="AE64" i="5"/>
  <c r="AF64" i="5"/>
  <c r="C128" i="9"/>
  <c r="E122" i="9"/>
  <c r="F122" i="9" s="1"/>
  <c r="D128" i="9"/>
  <c r="AH63" i="5"/>
  <c r="AH64" i="5" s="1"/>
  <c r="L50" i="5"/>
  <c r="L41" i="5"/>
  <c r="L42" i="5"/>
  <c r="D43" i="5"/>
  <c r="D44" i="5" s="1"/>
  <c r="L51" i="5"/>
  <c r="E43" i="5"/>
  <c r="G43" i="5"/>
  <c r="C52" i="5"/>
  <c r="C66" i="5"/>
  <c r="H43" i="5"/>
  <c r="G52" i="5"/>
  <c r="H66" i="5"/>
  <c r="H52" i="5"/>
  <c r="H24" i="5"/>
  <c r="F24" i="5" s="1"/>
  <c r="E24" i="5" s="1"/>
  <c r="C23" i="5"/>
  <c r="G24" i="5"/>
  <c r="G23" i="5"/>
  <c r="E23" i="5"/>
  <c r="E16" i="5"/>
  <c r="E17" i="5"/>
  <c r="E22" i="5"/>
  <c r="G86" i="3" l="1"/>
  <c r="G90" i="3"/>
  <c r="G89" i="3" s="1"/>
  <c r="F86" i="3"/>
  <c r="F90" i="3"/>
  <c r="F89" i="3" s="1"/>
  <c r="E128" i="9"/>
  <c r="F128" i="9"/>
  <c r="G122" i="9"/>
  <c r="L52" i="5"/>
  <c r="D45" i="5"/>
  <c r="L44" i="5"/>
  <c r="L43" i="5"/>
  <c r="F87" i="3" l="1"/>
  <c r="F88" i="3"/>
  <c r="G87" i="3"/>
  <c r="G88" i="3"/>
  <c r="F92" i="3"/>
  <c r="F93" i="3"/>
  <c r="G92" i="3"/>
  <c r="G93" i="3"/>
  <c r="H122" i="9"/>
  <c r="H128" i="9" s="1"/>
  <c r="G128" i="9"/>
  <c r="D46" i="5"/>
  <c r="L46" i="5" s="1"/>
  <c r="L45" i="5"/>
  <c r="G94" i="3" l="1"/>
  <c r="G95" i="3" s="1"/>
  <c r="F94" i="3"/>
  <c r="F9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F68" authorId="0" shapeId="0" xr:uid="{560C355F-842F-4E25-81B6-D68B8A58D4D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sur cette série que nous avons calé les chocs de baisse de la construction neuve pour la simulation AMS run 3</t>
        </r>
      </text>
    </comment>
    <comment ref="E84" authorId="0" shapeId="0" xr:uid="{52E43C81-2154-4105-90E0-97E1CA7B0295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Erreur : la surface moyenne dans le parc n'évolue pas instanténément comme la surface moyenne du neuf !
Par conséquent, ces chiffres de surface moyenne mais aussi les chiffres ci-dessous (l. 89-94) dont erronés également.
Nous allons donc calibrer nos  chocs dans les simulations pour reproduire le nb de m² de logements neufs (l. 55 et 68) et ignorer le parc.</t>
        </r>
      </text>
    </comment>
    <comment ref="F99" authorId="0" shapeId="0" xr:uid="{8711A8AA-C417-4205-9CD1-0235514F2C49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La formule ne donne pas le nb de logements construits après 2020 comme indiqué en cellule B99</t>
        </r>
      </text>
    </comment>
    <comment ref="E108" authorId="0" shapeId="0" xr:uid="{A064D16B-9699-4E1B-AAD0-60D9BE5F2AAE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Ici en revanche les surfaces moyennes restent constantes alors que les surfaces moyennes du neuf diminuent (l. 40). On devrait au moins voir une faible baisse.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Auteur</author>
  </authors>
  <commentList>
    <comment ref="A7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mis à jour le 24/10/2022</t>
        </r>
      </text>
    </comment>
    <comment ref="A1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Ajout run 2 pour prendre en compte le vieillissement de la population et se rapprocher des scénarios ADEME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<sst xmlns="http://schemas.openxmlformats.org/spreadsheetml/2006/main" count="1100" uniqueCount="528">
  <si>
    <t>Tertiaire</t>
  </si>
  <si>
    <t>Résidentiel</t>
  </si>
  <si>
    <t>Parc et construction neuve</t>
  </si>
  <si>
    <t>Chauffage</t>
  </si>
  <si>
    <t>Hors chauffage</t>
  </si>
  <si>
    <t>1. Déterminants de la construction neuve</t>
  </si>
  <si>
    <t>AME</t>
  </si>
  <si>
    <t>AME 2021</t>
  </si>
  <si>
    <t>Source / explication</t>
  </si>
  <si>
    <t>Démographie</t>
  </si>
  <si>
    <t>Population totale (Mhab métrop)</t>
  </si>
  <si>
    <t>Personnes par logement</t>
  </si>
  <si>
    <t>Taux de destruction constant à 0,2% du parc</t>
  </si>
  <si>
    <t>Qualification des résidences principales neuves</t>
  </si>
  <si>
    <t>taille moyenne MI (surface habitable)</t>
  </si>
  <si>
    <t>taille moyenne LC (surface habitable)</t>
  </si>
  <si>
    <t>Prolongation tendance récente (accélérée 2020-2030 covid)</t>
  </si>
  <si>
    <t>Besoin "en stock" (inadéquation et mal-logement)</t>
  </si>
  <si>
    <t>Nombre de logements manquant</t>
  </si>
  <si>
    <t>AMS</t>
  </si>
  <si>
    <t>AMS 2018</t>
  </si>
  <si>
    <t>S1</t>
  </si>
  <si>
    <t>S2</t>
  </si>
  <si>
    <t>S3</t>
  </si>
  <si>
    <t>S4</t>
  </si>
  <si>
    <t>Hyp stabilisation chiffre 2020</t>
  </si>
  <si>
    <t>2. Construction neuve</t>
  </si>
  <si>
    <t>2015-2020</t>
  </si>
  <si>
    <t>2020-2030</t>
  </si>
  <si>
    <t>2030-2040</t>
  </si>
  <si>
    <t>2040-2050</t>
  </si>
  <si>
    <t>Dont réponse à l’évolution du nombre de ménages</t>
  </si>
  <si>
    <t>dont MI</t>
  </si>
  <si>
    <t>dont LC</t>
  </si>
  <si>
    <t>Dont réponse à l’évolution du nombre de logements vacants</t>
  </si>
  <si>
    <t>Dont réponse à l’évolution du nombre de résidences secondaires</t>
  </si>
  <si>
    <t>Dont compensation des destructions</t>
  </si>
  <si>
    <t>Construction neuve (sur la période)</t>
  </si>
  <si>
    <t>Nombre total de logements</t>
  </si>
  <si>
    <t>Dont neuf (post 2020)</t>
  </si>
  <si>
    <t>Dont existant</t>
  </si>
  <si>
    <t>Dont résidences principales</t>
  </si>
  <si>
    <t>Dont résidences secondaires</t>
  </si>
  <si>
    <t>Dont logements vacants</t>
  </si>
  <si>
    <t>Hausse à 2030 au niveau pré-2014 (COVID) puis stabilité</t>
  </si>
  <si>
    <t>Hausse de la taille à 2030 (COVID) puis stabilité</t>
  </si>
  <si>
    <t>Similaire AMS 18 et ADEME S3</t>
  </si>
  <si>
    <t>Stabilité par rapport à 2020 (chiffres SITADEL de 2019 en fait)</t>
  </si>
  <si>
    <t>3. Parc de logements</t>
  </si>
  <si>
    <t>1. Mesures prises en compte</t>
  </si>
  <si>
    <t>AME 2023</t>
  </si>
  <si>
    <t>CEE</t>
  </si>
  <si>
    <t>8€/MWh cumac (SD5)</t>
  </si>
  <si>
    <t>3€/Mwhcumac jusqu’à 2030 puis augmentation de 10 %/an pour atteindre une plafond de 20€/MWh en 2050</t>
  </si>
  <si>
    <t>6€/MWh cumac (SD5)</t>
  </si>
  <si>
    <r>
      <rPr>
        <sz val="10"/>
        <rFont val="Arial"/>
        <family val="2"/>
        <charset val="1"/>
      </rPr>
      <t>5</t>
    </r>
    <r>
      <rPr>
        <vertAlign val="superscript"/>
        <sz val="10"/>
        <rFont val="Arial"/>
        <family val="2"/>
        <charset val="1"/>
      </rPr>
      <t>e</t>
    </r>
    <r>
      <rPr>
        <sz val="10"/>
        <rFont val="Arial"/>
        <family val="2"/>
        <charset val="1"/>
      </rPr>
      <t xml:space="preserve"> période jusqu’à fin 2025</t>
    </r>
  </si>
  <si>
    <t xml:space="preserve">Prolongement jusqu'en 2050 </t>
  </si>
  <si>
    <t>4e période 2018 prolongée jusqu'au 31/12/2021</t>
  </si>
  <si>
    <t>Elimination des logements E et D</t>
  </si>
  <si>
    <t>Fin de vente de nouveaux systèmes fioul en 2022</t>
  </si>
  <si>
    <t xml:space="preserve">Fin des ventes à partir de 2035 </t>
  </si>
  <si>
    <t>Stabilisation des systèmes bois</t>
  </si>
  <si>
    <t>Interdiction des ventes de système bois en cas de changement d'énergie à partir 2035</t>
  </si>
  <si>
    <t>Fonds chaleur</t>
  </si>
  <si>
    <t>Prolongement jusqu’à 2022 puis fin (350M€ 2021, 370M€ 2022)</t>
  </si>
  <si>
    <t xml:space="preserve">Prolongement jusqu'en 2050 de manière à atteindre le mix cible </t>
  </si>
  <si>
    <t>350M€ 2020</t>
  </si>
  <si>
    <t>41 klgts raccordés en 2021, 43 klgt en 2022</t>
  </si>
  <si>
    <t>34,2k lgts raccordés 2020 + 44k en 2021</t>
  </si>
  <si>
    <t>TVA réduite à 5,5%</t>
  </si>
  <si>
    <t>Prolongé jusqu’à 2050</t>
  </si>
  <si>
    <t>Supposée pérenne jusqu'en 2050</t>
  </si>
  <si>
    <t>idem AME2018</t>
  </si>
  <si>
    <t xml:space="preserve">CITE prolongé jusqu'en 2050 + retrait des chaudières à fioul et des fenêtres à partir de 2018 retrait chaudière à gaz en 2019 (exclusion à l'éligibilité) </t>
  </si>
  <si>
    <t>Prolongation jusqu’à 2022</t>
  </si>
  <si>
    <t>Eco-PTZ</t>
  </si>
  <si>
    <t xml:space="preserve">Prolongé jusqu'en 2050 </t>
  </si>
  <si>
    <t>Prolongé jusq'au 31/12/2021 et extensions d'applications</t>
  </si>
  <si>
    <t>EcoPLS</t>
  </si>
  <si>
    <t>Prolongé jusqu'au 31/12/2022</t>
  </si>
  <si>
    <t>Impact du changement climatique</t>
  </si>
  <si>
    <t>AME/AMS 2018</t>
  </si>
  <si>
    <t>Sobriété</t>
  </si>
  <si>
    <t>Baisse de la température de 1°C</t>
  </si>
  <si>
    <t>Hypothèse -1°C (7%) pour les ménages loin de la précarité énergétique (touche 12% de la pop)</t>
  </si>
  <si>
    <t>Individualisation des frais de chauffage</t>
  </si>
  <si>
    <t>Jusqu’à 15 % dans les logements concernés</t>
  </si>
  <si>
    <t>Total sobriété (baisse du besoin de chauffage)</t>
  </si>
  <si>
    <t>Autres</t>
  </si>
  <si>
    <t>Modélisées à partir des données historiques, inchangées</t>
  </si>
  <si>
    <t xml:space="preserve">COP des PAC </t>
  </si>
  <si>
    <t>AME et AMS</t>
  </si>
  <si>
    <t>Climatisation</t>
  </si>
  <si>
    <t>ADEME</t>
  </si>
  <si>
    <t>Historique</t>
  </si>
  <si>
    <t>ECS (kWh/hab/an)</t>
  </si>
  <si>
    <t>Cuisson (kWh/hab/an)</t>
  </si>
  <si>
    <t>Elec spécifique (kWh/hab/an)</t>
  </si>
  <si>
    <t>Climatisation (kWH/lgt)</t>
  </si>
  <si>
    <t>Poursuite de la baisse tendancielle (ADEME arrive autour de 400/500 en 2050 – regarder le tendanciel ?)</t>
  </si>
  <si>
    <t>Baisse plus marquée qu’en AME21 (restauration hors domicile et livraisons)</t>
  </si>
  <si>
    <t>Reprise AME21, similaire ADEME S4</t>
  </si>
  <si>
    <t>Similaire AMS18 et ADEME S1/S2/S3 (EE + déploiement des PAC) : 30 TWh EF pour l'ECS en 2050 (-38%)</t>
  </si>
  <si>
    <t>Baisse -30 % en 2050, similaire AMS18 et ADEME S2 (ne baisse pas trop car plus de repas à domicile). Généralisation de l’induction.</t>
  </si>
  <si>
    <t>Baisse -40 % en 2050, similaire ADEME S2 : limitation du nombre d’équipements électroniques, gains EE (dont LED)</t>
  </si>
  <si>
    <t>NW</t>
  </si>
  <si>
    <t>variation par rapport à 2015</t>
  </si>
  <si>
    <t>variations par rapport à 2020</t>
  </si>
  <si>
    <t>ECS</t>
  </si>
  <si>
    <t xml:space="preserve">Cuisson </t>
  </si>
  <si>
    <t>Elec spécifique</t>
  </si>
  <si>
    <t>Eclairage (kWh/lgt)</t>
  </si>
  <si>
    <t xml:space="preserve">CEREN </t>
  </si>
  <si>
    <t>données CEREN/SDES</t>
  </si>
  <si>
    <t>électricité</t>
  </si>
  <si>
    <t>chauffage urbain</t>
  </si>
  <si>
    <t>bois</t>
  </si>
  <si>
    <t>fioul</t>
  </si>
  <si>
    <t>gaz naturel</t>
  </si>
  <si>
    <t>GPL</t>
  </si>
  <si>
    <t>autres énergies</t>
  </si>
  <si>
    <t>Mix ECS 2016</t>
  </si>
  <si>
    <t>Mix ECS 2019</t>
  </si>
  <si>
    <t>Mix cuisson 2016</t>
  </si>
  <si>
    <t>Mix cuisson 2019</t>
  </si>
  <si>
    <t>Historique ADEME</t>
  </si>
  <si>
    <t>Joule</t>
  </si>
  <si>
    <t>Gaz</t>
  </si>
  <si>
    <t>Charbon</t>
  </si>
  <si>
    <t>Pétrole/GPL</t>
  </si>
  <si>
    <t>Bois</t>
  </si>
  <si>
    <t>PAC / CET</t>
  </si>
  <si>
    <t>Réseau de Chaleur Urbain</t>
  </si>
  <si>
    <t>EnR Thermiques</t>
  </si>
  <si>
    <t>Chaleur issue de l'Environnement</t>
  </si>
  <si>
    <t>Cuisson</t>
  </si>
  <si>
    <t>Électricité</t>
  </si>
  <si>
    <t>PAC/CET</t>
  </si>
  <si>
    <t>Réseau de chaleur</t>
  </si>
  <si>
    <t>Gaz naturel</t>
  </si>
  <si>
    <t>Biomasse</t>
  </si>
  <si>
    <t>Biogaz</t>
  </si>
  <si>
    <t>Renouvelables thermiques</t>
  </si>
  <si>
    <t>Chaleur Environnement</t>
  </si>
  <si>
    <t>Mix ECS</t>
  </si>
  <si>
    <t>Reprise AME21 globalement</t>
  </si>
  <si>
    <t>Mix Cuisson</t>
  </si>
  <si>
    <t>Reprise AME21 avec recul plus marqué du fioul</t>
  </si>
  <si>
    <t>Ajustement des hypothèses de l’AMS18 : moins de PAC/CET  et solaire thermique au profit du gaz et du Joule.Voir comment on traite les PAC hybrides.</t>
  </si>
  <si>
    <t>L’élec atteint 90 en 2050 (ADEME 100%) avec un quasi-phase-out du GPL et baisse du gaz</t>
  </si>
  <si>
    <t>gaz</t>
  </si>
  <si>
    <t>charbon</t>
  </si>
  <si>
    <t>RCU</t>
  </si>
  <si>
    <t>solaire thermique</t>
  </si>
  <si>
    <t>Mix cuisson</t>
  </si>
  <si>
    <t>Attention, choisir PCI</t>
  </si>
  <si>
    <t>Mix en énergie finale</t>
  </si>
  <si>
    <t>nW</t>
  </si>
  <si>
    <t>Gaz réseau</t>
  </si>
  <si>
    <t>Renouvelables thermiques (solaire)</t>
  </si>
  <si>
    <t>Electricité</t>
  </si>
  <si>
    <t>Fioul</t>
  </si>
  <si>
    <t>Solaire</t>
  </si>
  <si>
    <t>CET</t>
  </si>
  <si>
    <t>total</t>
  </si>
  <si>
    <t>1. Emploi tertiaire</t>
  </si>
  <si>
    <t>Source : cadrage</t>
  </si>
  <si>
    <t>TCAM emploi tertiaire</t>
  </si>
  <si>
    <t>Coefficient</t>
  </si>
  <si>
    <t>Bureaux Administration</t>
  </si>
  <si>
    <t>Café Hôtel Restaurant</t>
  </si>
  <si>
    <t>Commerce</t>
  </si>
  <si>
    <t>Enseignement Recherche</t>
  </si>
  <si>
    <t>Santé Action Sociale</t>
  </si>
  <si>
    <t>Sport Loisir Culture</t>
  </si>
  <si>
    <t>Transport</t>
  </si>
  <si>
    <t>Projection de répartition</t>
  </si>
  <si>
    <t>Projection emploi</t>
  </si>
  <si>
    <t>2. Surface par employé</t>
  </si>
  <si>
    <t>Elements explicatifs</t>
  </si>
  <si>
    <t>Total</t>
  </si>
  <si>
    <t>Fin du fioul</t>
  </si>
  <si>
    <t>Fin de vente de nouveaux systèmes fioul en 2022, et quasi disparition du parc en 2030</t>
  </si>
  <si>
    <t>ratio d’efficience 6€/MWh</t>
  </si>
  <si>
    <t>ratio efficience 6€/MWh</t>
  </si>
  <si>
    <t>Décret tertiaire</t>
  </si>
  <si>
    <t>1. Besoin par habitant et efficacité énergétique (ECS, cuisson, élec spé)</t>
  </si>
  <si>
    <t>2. Mix énergétique (ECS, cuisson)</t>
  </si>
  <si>
    <t>Source : ADEME</t>
  </si>
  <si>
    <t>kWh/m²</t>
  </si>
  <si>
    <t xml:space="preserve">ECS </t>
  </si>
  <si>
    <t xml:space="preserve">Elec spécifique </t>
  </si>
  <si>
    <t>Reprise AME21 (similaire ADEME S4)</t>
  </si>
  <si>
    <t>Hausse 10 % à 2050 (restauration hors domicile)</t>
  </si>
  <si>
    <t>Reprise AME 2021 baisse 5 % en 2050</t>
  </si>
  <si>
    <t>2. Mix énergétique (ECS et cuisson)</t>
  </si>
  <si>
    <t>électricité (PAC incluses)</t>
  </si>
  <si>
    <t>Secteur</t>
  </si>
  <si>
    <t>Eclairage public</t>
  </si>
  <si>
    <t>Data centers</t>
  </si>
  <si>
    <t>Parties communes d'immeubles</t>
  </si>
  <si>
    <t>Télécommunication</t>
  </si>
  <si>
    <t>Entrepôts frigorifiques</t>
  </si>
  <si>
    <t>Grands centres de recherche</t>
  </si>
  <si>
    <t>Secteur de l'eau</t>
  </si>
  <si>
    <t>Total extension du champ tertiaire</t>
  </si>
  <si>
    <t>TWh</t>
  </si>
  <si>
    <t>décroissance linéaire (~installation de LED à 50 %, nb de points lumineux suit la population, puissance moyenne et temps à pleine puissance constants)</t>
  </si>
  <si>
    <t>Consommations générales d’immeubles</t>
  </si>
  <si>
    <t xml:space="preserve">annexé au nb de LC </t>
  </si>
  <si>
    <t>Télécommunications</t>
  </si>
  <si>
    <t>annexé population</t>
  </si>
  <si>
    <t>Entrepôts frigorifiques et grands établissements de recherche</t>
  </si>
  <si>
    <t>hausse modérée (plateformes logistiques, livraisons alimentaires)</t>
  </si>
  <si>
    <t>Eau (distribution et assainissements)</t>
  </si>
  <si>
    <t>Non spécifié</t>
  </si>
  <si>
    <t xml:space="preserve">constant  </t>
  </si>
  <si>
    <t>baisse similaire ADEME/NW (en 2050 : installation de LED à 80 % + -1/3 du temps en pleine puissance, nb de points lumineux constant)</t>
  </si>
  <si>
    <t>constant (similaire ADEME)</t>
  </si>
  <si>
    <t>croissance à 2030 puis constant ensuite</t>
  </si>
  <si>
    <t>constant (gains EE compensés par meilleur traitement des eaux)</t>
  </si>
  <si>
    <t>Gain de 60 % en 2050/2015</t>
  </si>
  <si>
    <t>Croissance de 40 % d’ici 2030/2015, constant ensuite</t>
  </si>
  <si>
    <t>Gain de 20 % en 2030/2015, de 25 % en 2050/2015</t>
  </si>
  <si>
    <t>Croissance de 25 % en 2030/2015, constant ensuite</t>
  </si>
  <si>
    <t>Gain de 30 % en 2030, constant ensuite</t>
  </si>
  <si>
    <t>Constant</t>
  </si>
  <si>
    <t>AME 2021 : pas pris en compte</t>
  </si>
  <si>
    <t>Prise en compte via les réductions de consommations permises par le décret tertiaire</t>
  </si>
  <si>
    <t>3. Climatisation</t>
  </si>
  <si>
    <t>Taux pondéré Fce. entière</t>
  </si>
  <si>
    <t>H1A</t>
  </si>
  <si>
    <t>H1B</t>
  </si>
  <si>
    <t>H1C</t>
  </si>
  <si>
    <t>H2A</t>
  </si>
  <si>
    <t>H2B</t>
  </si>
  <si>
    <t>H2C</t>
  </si>
  <si>
    <t>H2D</t>
  </si>
  <si>
    <t>H3</t>
  </si>
  <si>
    <t>Martinique</t>
  </si>
  <si>
    <t>Guadeloupe</t>
  </si>
  <si>
    <t>Guyane</t>
  </si>
  <si>
    <t>Mayotte</t>
  </si>
  <si>
    <t>La Réunion</t>
  </si>
  <si>
    <t>Répartion du parc par technologie et type de logement [%]</t>
  </si>
  <si>
    <t>Surface moy. pondérée climatisée (M²)</t>
  </si>
  <si>
    <t>Climatiseur mobile</t>
  </si>
  <si>
    <t>Climatiseur Monosplit</t>
  </si>
  <si>
    <t>PAC Air-Air multisplit</t>
  </si>
  <si>
    <t>Pac Air Eau Elec</t>
  </si>
  <si>
    <t>Pac Gaz</t>
  </si>
  <si>
    <t>Réseau Froid</t>
  </si>
  <si>
    <t>Absorption solaire</t>
  </si>
  <si>
    <t>PAC Géothermique Eau-eau</t>
  </si>
  <si>
    <t>Techno alternat. 2</t>
  </si>
  <si>
    <t>Mais. Indiv.</t>
  </si>
  <si>
    <t>Appart. &amp; Autres</t>
  </si>
  <si>
    <t xml:space="preserve">TCAM </t>
  </si>
  <si>
    <t>$2006</t>
  </si>
  <si>
    <t>2030/2020</t>
  </si>
  <si>
    <t>2050/2030</t>
  </si>
  <si>
    <t>Technologie Alternative 2</t>
  </si>
  <si>
    <t>Durée moyenne de fonctionnement (h)</t>
  </si>
  <si>
    <t>AME  (post 2030)</t>
  </si>
  <si>
    <t>AMS (post 2030)</t>
  </si>
  <si>
    <t>3.1. Taux d'équipement</t>
  </si>
  <si>
    <t>3.2. Parc</t>
  </si>
  <si>
    <t>3.3. Usages</t>
  </si>
  <si>
    <t>Température de consigne (°C)</t>
  </si>
  <si>
    <t>Température de mise en route (°C)</t>
  </si>
  <si>
    <t>2030 : reprise du chiffre 10TWh du CGE, 2050 reprise du x3 de RTE ? (mais dit 3TWh en 2015). Erreur sur le point de départ</t>
  </si>
  <si>
    <t>Issu de la modélisation DGEC du numérique. Scénario tendanciel de l'ADEME-Arcep, sauf :
- La trajectoire des surfaces d'edge augmentent à un rythme deux fois inférieur à celui de l'AME (la valeur en 2050 est proche de celle atteinte par le scénario S3, mais la trajectoire globale est au-dessus de celle du scénario S3).
- On considère que la hausse des usages (freinée par la sobriété) équilibre parfaitement les gains d'efficacité énergétique, donc la consommation surfacique est stable.</t>
  </si>
  <si>
    <t>Mesures incitatives</t>
  </si>
  <si>
    <t>Mesures réglementaires</t>
  </si>
  <si>
    <t>Logements sociaux</t>
  </si>
  <si>
    <t>Pas d'effort particulier suite au plan de relance</t>
  </si>
  <si>
    <t>MaPrimeRénov'</t>
  </si>
  <si>
    <t>MPR et MPRS prolongé à son niveau actuel jusqu’à 2022</t>
  </si>
  <si>
    <t>Statu quo : TMO 90%, MO 70%, INT 60%, SUP 40%</t>
  </si>
  <si>
    <t>Taux d'écrêtement MPR+CEE</t>
  </si>
  <si>
    <t>Décence du parc locatif</t>
  </si>
  <si>
    <t>Non modélisé pour le moment</t>
  </si>
  <si>
    <t>Obligation de rénovation à la mutation</t>
  </si>
  <si>
    <t>Aucune</t>
  </si>
  <si>
    <t xml:space="preserve">La trajectoire de la loi Climat &amp; résilience (G en 2025, F en 2028, E en 2034, et on ajoute D en 2040) est respectée à 70% avec 3 ans de retard, avec une anticipation des rénovations à partir de 3 ans avant la date prévue, rénovations minimales à D. </t>
  </si>
  <si>
    <t>Décision de changement de chauffage</t>
  </si>
  <si>
    <t>Scénario RCP2.6, calculs Météo France / DGEC. Implique -9% de consommation en 2030</t>
  </si>
  <si>
    <t>Le changement de chauffage peut être déclenché dès lors que le temps de retour sur investissement est inférieur à 3 ans (Olsthoorn et al., 2017) même si l'ancien système fonctionne.</t>
  </si>
  <si>
    <t>En fin de vie de l'équipement</t>
  </si>
  <si>
    <t>Hypothèses transverses</t>
  </si>
  <si>
    <t>TMO</t>
  </si>
  <si>
    <t>MO</t>
  </si>
  <si>
    <t>INT</t>
  </si>
  <si>
    <t>SUP</t>
  </si>
  <si>
    <t>Fin du gaz</t>
  </si>
  <si>
    <t>Prix du carbone</t>
  </si>
  <si>
    <t>Mise en place de l'ETS2 en surplus de la composante carbone</t>
  </si>
  <si>
    <t>Non modélisé</t>
  </si>
  <si>
    <r>
      <t xml:space="preserve">Fin de vente de nouveaux systèmes fioul en 2022, et sortie de 75% des chaudières en 2030, via un renouvellement anticipé contraint </t>
    </r>
    <r>
      <rPr>
        <u/>
        <sz val="10"/>
        <rFont val="Arial"/>
        <family val="2"/>
      </rPr>
      <t>(mesure restant à identifier)</t>
    </r>
  </si>
  <si>
    <t>Pas d'interdiction</t>
  </si>
  <si>
    <t>Statu quo</t>
  </si>
  <si>
    <t>Mesures transverses</t>
  </si>
  <si>
    <t>Rénovation du parc public</t>
  </si>
  <si>
    <t>Pas modélisé directement</t>
  </si>
  <si>
    <t>Locaux 500-1000 m²</t>
  </si>
  <si>
    <t>Les surfaces de 500m² à 1000 m² suivent la même trajectoire avec un fort accompagnement financier des PME, TPE et collectivités</t>
  </si>
  <si>
    <t>Respect de la trajectoire DEE : 3% du parc public (Etat+CT) est rénové au niveau BBC chaque année (modélisé via le décret tertiaire)</t>
  </si>
  <si>
    <t>Prise en compte dégradée du décret tertiaire en raison du fait que :
- une part significative du parc atteint les valeurs absolues du décret
- une politique de contrôle/sanction peu dissuasive</t>
  </si>
  <si>
    <t>Pas de mesure sur le gaz</t>
  </si>
  <si>
    <t>Bureaux</t>
  </si>
  <si>
    <t>Café Hôtels Restaurants</t>
  </si>
  <si>
    <t>Enseignement</t>
  </si>
  <si>
    <t>Habitat communautaire</t>
  </si>
  <si>
    <t>Santé social</t>
  </si>
  <si>
    <t>Part Etat</t>
  </si>
  <si>
    <t>Part collectivités</t>
  </si>
  <si>
    <t>Part Privé</t>
  </si>
  <si>
    <t>Surfaces &gt; 1000m²</t>
  </si>
  <si>
    <t>Surfaces &gt; 500m²</t>
  </si>
  <si>
    <t>Part de la surface assujettie qui applique les objectifs du décret tertiaire</t>
  </si>
  <si>
    <t>Etat</t>
  </si>
  <si>
    <t>Collectivités</t>
  </si>
  <si>
    <t>Privé</t>
  </si>
  <si>
    <t>Proportion du parc assujetti qui applique la trajectoire décret tertiaire</t>
  </si>
  <si>
    <t>Proportion du parc qui applique la trajectoire décret tertiaire</t>
  </si>
  <si>
    <t>Hypothèses probablement datées à expertiser @DHUP !</t>
  </si>
  <si>
    <t>Parc initial (milliers de m²)</t>
  </si>
  <si>
    <t>Mêmes hypothèses que pour le chauffage : les surfaces conformes respectent les objectifs en valeur relative du décret tertiaire</t>
  </si>
  <si>
    <t>ECS, cuission, élec spécifique</t>
  </si>
  <si>
    <t>Scénario S2 de l'Ademe corrigé des ratios de surface</t>
  </si>
  <si>
    <t>Hypothèses tendancielles</t>
  </si>
  <si>
    <t>Scénario TEND de l'Ademe corrigé des ratios de surface</t>
  </si>
  <si>
    <t>Evolution des taux de climatisation</t>
  </si>
  <si>
    <t>Commerces</t>
  </si>
  <si>
    <t>Santé</t>
  </si>
  <si>
    <t>Cahore</t>
  </si>
  <si>
    <t>Sport, Loisir, Culture</t>
  </si>
  <si>
    <t>Bâtiment de transport</t>
  </si>
  <si>
    <t>Datacenter</t>
  </si>
  <si>
    <t>Paramétrisation</t>
  </si>
  <si>
    <t>Utilisation du modèle MICO de l'Ademe, avec TEND pour l'AME et S2 pour l'AMS, en corrigeant les données de surface et les températures de consigne (26°)</t>
  </si>
  <si>
    <t>Roof Top</t>
  </si>
  <si>
    <t>VRV - DRV + Multisplit</t>
  </si>
  <si>
    <t>Sur boucle eau glacée</t>
  </si>
  <si>
    <t>Sur réseau Froid</t>
  </si>
  <si>
    <t>Absorption Solaire</t>
  </si>
  <si>
    <t>PAC Géothermique Eau - eau</t>
  </si>
  <si>
    <t>Répartition des surfaces climatisées par technologies</t>
  </si>
  <si>
    <t>1600 TWh cumac/an pour la 6ème période (pas modélisé directement)</t>
  </si>
  <si>
    <r>
      <t xml:space="preserve">MaPrimeRénov prolongé jusqu’à 2050, structuré en 2 piliers à partir de 2024 :
- </t>
    </r>
    <r>
      <rPr>
        <u/>
        <sz val="10"/>
        <rFont val="Arial"/>
        <family val="2"/>
      </rPr>
      <t>Pilier performance</t>
    </r>
    <r>
      <rPr>
        <sz val="10"/>
        <rFont val="Arial"/>
        <family val="2"/>
        <charset val="1"/>
      </rPr>
      <t xml:space="preserve"> qui finance les rénovations globales pour tous, avec des taux croissants
- </t>
    </r>
    <r>
      <rPr>
        <u/>
        <sz val="10"/>
        <rFont val="Arial"/>
        <family val="2"/>
      </rPr>
      <t>Pilier efficacité</t>
    </r>
    <r>
      <rPr>
        <sz val="10"/>
        <rFont val="Arial"/>
        <family val="2"/>
        <charset val="1"/>
      </rPr>
      <t xml:space="preserve"> qui finance les gestes les plus efficaces, avec croissance des forfaits pour les systèmes de chauffage
Cf. Infra pour les montants d'aide</t>
    </r>
  </si>
  <si>
    <t>4. Hors CEREN</t>
  </si>
  <si>
    <t>A màj</t>
  </si>
  <si>
    <t xml:space="preserve"> Bureaux Administration</t>
  </si>
  <si>
    <t>Facteur de correction tendanciel</t>
  </si>
  <si>
    <t>Emploi tertiaire total</t>
  </si>
  <si>
    <t>m²/employé</t>
  </si>
  <si>
    <t>une baisse de 1%/an pr le télétravail</t>
  </si>
  <si>
    <t>une baisse de 0,5%/an pr le télétravail</t>
  </si>
  <si>
    <t>Branche</t>
  </si>
  <si>
    <t>Surface de bureaux disponibles (milliers de m2 par an)</t>
  </si>
  <si>
    <t>Equivalent en nombre de logements collectifs (surface moyenne 68m²)</t>
  </si>
  <si>
    <t>Surface de bureaux réhabilitées (hypothèse 25%)</t>
  </si>
  <si>
    <t>Surface réhabilitées totales (hypothèse +50%)
Source https://www.institutparisregion.fr/nos-travaux/publications/reconvertir-les-bureaux-et-batiments-dactivites-en-logements-un-potentiel-encore-sous-exploite/</t>
  </si>
  <si>
    <t>Annexe.  Réhabilitation de bureaux en logement</t>
  </si>
  <si>
    <t>3.  Parc tertiaire</t>
  </si>
  <si>
    <t>Variation annuelle du parc</t>
  </si>
  <si>
    <t>4. Construction neuve</t>
  </si>
  <si>
    <t>Renouvellement du parc (destruction/reconstruction)</t>
  </si>
  <si>
    <t>Construction neuve (en milliers de m2/an)</t>
  </si>
  <si>
    <t>On considère que les beosins en construction neuve sont, pour chaque branche, la somme du besoin en nouvelles surfaces (si positif) et du renouvellement du parc</t>
  </si>
  <si>
    <t>Source Ademe</t>
  </si>
  <si>
    <t>Cf. modélisation du parc tertiaire</t>
  </si>
  <si>
    <t>Estimation DHUP du besoin en stock, résorbé en 2050</t>
  </si>
  <si>
    <t>Estimation DHUP du besoin en stock, résorbé à moitié en 2050</t>
  </si>
  <si>
    <t>A affiner pour se rapprocher des COP de RTE</t>
  </si>
  <si>
    <t>Changement climatique</t>
  </si>
  <si>
    <t>4. Performance de la construction neuve</t>
  </si>
  <si>
    <t>Consommation de chauffage (kWh/m²)</t>
  </si>
  <si>
    <t>MI hors bois/RCU</t>
  </si>
  <si>
    <t xml:space="preserve">M bois/RCU </t>
  </si>
  <si>
    <t>LC hors bois/RCU</t>
  </si>
  <si>
    <t>LC bois/RCU</t>
  </si>
  <si>
    <t xml:space="preserve">Différenciation bois/RCU des autres vecteurs pour prendre en compte le double palier cep,nr / cep de la RE2020 </t>
  </si>
  <si>
    <t>On conserve le ratio 50% du cep pour le chauffage</t>
  </si>
  <si>
    <t xml:space="preserve">MI bois/RCU </t>
  </si>
  <si>
    <t>RE2020 jusqu'à 2030, puis baisse jusqu'à -30% en 2050 pour atteindre le niveau passif</t>
  </si>
  <si>
    <t>RE2020 jusqu'à 2030, puis baisse jusqu'à -35% en 2050 pour atteindre le niveau passif</t>
  </si>
  <si>
    <t>Mix de chauffage</t>
  </si>
  <si>
    <t>PAC</t>
  </si>
  <si>
    <t>solaire et géothermie</t>
  </si>
  <si>
    <t>MI 2022</t>
  </si>
  <si>
    <t>MI 2030</t>
  </si>
  <si>
    <t>- Pas de progression du RCU en MI</t>
  </si>
  <si>
    <t>MI 2040</t>
  </si>
  <si>
    <t>- Pas d'évolution post RE2020</t>
  </si>
  <si>
    <t>MI 2050</t>
  </si>
  <si>
    <t>- Diminution du gaz à partir de 2025 en LC</t>
  </si>
  <si>
    <t>LC 2022</t>
  </si>
  <si>
    <t>- Diminution du joule à partir de 2022 en LC et MI</t>
  </si>
  <si>
    <t>LC 2025</t>
  </si>
  <si>
    <t>- Répercutée principalement sur Joule et PAC</t>
  </si>
  <si>
    <t>LC 2030</t>
  </si>
  <si>
    <t>- progression mesurée des RCU en LC</t>
  </si>
  <si>
    <t>LC 2040</t>
  </si>
  <si>
    <t>LC 2050</t>
  </si>
  <si>
    <t>Palier RE2020 en 2022 (notamment sur le gaz)</t>
  </si>
  <si>
    <t>Poursuite de l’extension des réseaux de chaleur, notamment en LC</t>
  </si>
  <si>
    <t>Baisse progressive de la part du bois post-2030</t>
  </si>
  <si>
    <t>Fin  des systèmes gaz en MI puis LC</t>
  </si>
  <si>
    <t>5. Modes constructifs</t>
  </si>
  <si>
    <t>Part de marché en neuf</t>
  </si>
  <si>
    <t>Traduction de la RE2020 (DHUP)</t>
  </si>
  <si>
    <t>Valeur absolue 2030</t>
  </si>
  <si>
    <t>Valeur absolue 2050</t>
  </si>
  <si>
    <t>MI Structure bois</t>
  </si>
  <si>
    <t>%</t>
  </si>
  <si>
    <t>Géosourcé : reprise ADEME à 2030 puis stable</t>
  </si>
  <si>
    <t>MI Inertie Géosourcée</t>
  </si>
  <si>
    <t>LC Structure bois</t>
  </si>
  <si>
    <t>LC structure mixte bois-béton</t>
  </si>
  <si>
    <t>LC Inertie Géosourcée</t>
  </si>
  <si>
    <t>Tertiaire Structure bois</t>
  </si>
  <si>
    <t>idem LC</t>
  </si>
  <si>
    <t>Tertiaire structure mixte bois-béton</t>
  </si>
  <si>
    <t>Tertiaire Inertie Géosourcée</t>
  </si>
  <si>
    <t>Ind&amp;Agri Structure bois</t>
  </si>
  <si>
    <t>Ind&amp;Agri structure mixte bois-béton</t>
  </si>
  <si>
    <t>Un peu inférieur à LC car moins bien connu donc exigence probablement moindre sur les seuils</t>
  </si>
  <si>
    <t xml:space="preserve"> </t>
  </si>
  <si>
    <t>Ind&amp;Agri Inertie Géosourcée</t>
  </si>
  <si>
    <t>Reprise AME (RE2020 jusqu’à 2030) puis rejoint ADEME S2</t>
  </si>
  <si>
    <t>On compte les mixtes bois-béton comme équivalent à 1/2 structure bois</t>
  </si>
  <si>
    <t>Entrée et sortie du parc</t>
  </si>
  <si>
    <t>Nombre de destructions</t>
  </si>
  <si>
    <t>Réhabilitation de surface tertiaire en milliers de  logements</t>
  </si>
  <si>
    <t>Affectation des logements</t>
  </si>
  <si>
    <t>Taux de résidences secondaires</t>
  </si>
  <si>
    <t>Taux de vacance</t>
  </si>
  <si>
    <t>dont courte durée</t>
  </si>
  <si>
    <t>dont longue durée</t>
  </si>
  <si>
    <t>Part des maisons individuelles dans le neuf</t>
  </si>
  <si>
    <t>Cadrage INSEE</t>
  </si>
  <si>
    <t>Hypothèse décohabitation forte (DHUP) pour 2030-2050. Valeurs historiques INSEE pour 2020</t>
  </si>
  <si>
    <t>Prolongation tendance récente (linéaire jusqu'à 10% en 2050) y compris sur la répartition courte/longue durée</t>
  </si>
  <si>
    <t>Construction neuve (logements/an)</t>
  </si>
  <si>
    <t>Année</t>
  </si>
  <si>
    <t>+3pp en 2050</t>
  </si>
  <si>
    <t>-0,6pp en 2050</t>
  </si>
  <si>
    <t>-1,8pp en 2050</t>
  </si>
  <si>
    <t>2020 (SDES)</t>
  </si>
  <si>
    <t>2020 : Données SDES 2022 sur 2020</t>
  </si>
  <si>
    <t>Raccordement au réseau de chaleur urbain</t>
  </si>
  <si>
    <t>Nombre de logements raccordés par an</t>
  </si>
  <si>
    <r>
      <t xml:space="preserve">Objectifs de livraisons RCU au secteur résidentiel PPE3 (TWh) : 27,24 en 2030 ; entre 35,43 (point bas) et 44,28 (point haut) en 2035
</t>
    </r>
    <r>
      <rPr>
        <i/>
        <sz val="10"/>
        <rFont val="Arial"/>
        <family val="2"/>
      </rPr>
      <t>Cf. trajectoire infra</t>
    </r>
  </si>
  <si>
    <t>Augmentation du Fond chaleur de l'Ademe de 670 M€ en 2023 à 1 Md€ en 2024, puis augmentation jusqu'à 2,3 Mds€ en 2030, et stabilisation ensuite à 1,6 Mds€</t>
  </si>
  <si>
    <t>-7% de consommation en 2030 (-1°C de température de consigne), -10% en 2050. Cf. infra</t>
  </si>
  <si>
    <t>Scénario de décohabitation moyenne. Ademe S1-S2 en 2050 : 2,12 ; S3-S4 : 2,02</t>
  </si>
  <si>
    <t>0,2% par an sur toute la période</t>
  </si>
  <si>
    <t>Augmentation progressive suite à la baisse conséquente de la surface de bureaux à long terme</t>
  </si>
  <si>
    <t>Hyp baisse à 7,3 % en 2050 (7% pour Ademe S1-S2), et plutôt de la courte durée</t>
  </si>
  <si>
    <t>Vérif.</t>
  </si>
  <si>
    <t>Hypothèse retenue</t>
  </si>
  <si>
    <t>2. Prise en compte du décret tertiaire</t>
  </si>
  <si>
    <r>
      <t xml:space="preserve">Pleine prise en compte de la trajectoire du décret tertiaire (cf. infra), grâce à 
- le choix de </t>
    </r>
    <r>
      <rPr>
        <u/>
        <sz val="10"/>
        <rFont val="Arial"/>
        <family val="2"/>
      </rPr>
      <t>valeurs absolues ambitieuses,</t>
    </r>
    <r>
      <rPr>
        <sz val="10"/>
        <rFont val="Arial"/>
        <family val="2"/>
        <charset val="1"/>
      </rPr>
      <t xml:space="preserve"> déjà atteinte par une part limitée du parc
- une politique volontariste de </t>
    </r>
    <r>
      <rPr>
        <u/>
        <sz val="10"/>
        <rFont val="Arial"/>
        <family val="2"/>
      </rPr>
      <t>contrôle</t>
    </r>
    <r>
      <rPr>
        <sz val="10"/>
        <rFont val="Arial"/>
        <family val="2"/>
        <charset val="1"/>
      </rPr>
      <t xml:space="preserve"> et des </t>
    </r>
    <r>
      <rPr>
        <u/>
        <sz val="10"/>
        <rFont val="Arial"/>
        <family val="2"/>
      </rPr>
      <t>niveaux de sanctions dissuasifs.</t>
    </r>
    <r>
      <rPr>
        <sz val="10"/>
        <rFont val="Arial"/>
        <family val="2"/>
        <charset val="1"/>
      </rPr>
      <t xml:space="preserve">
</t>
    </r>
  </si>
  <si>
    <t xml:space="preserve">Part du parc </t>
  </si>
  <si>
    <r>
      <t xml:space="preserve">Parc assujetti </t>
    </r>
    <r>
      <rPr>
        <b/>
        <sz val="11"/>
        <color theme="1"/>
        <rFont val="Calibri"/>
        <family val="2"/>
        <scheme val="minor"/>
      </rPr>
      <t>atteignant les valeurs absolues</t>
    </r>
    <r>
      <rPr>
        <sz val="11"/>
        <color theme="1"/>
        <rFont val="Calibri"/>
        <family val="2"/>
        <scheme val="minor"/>
      </rPr>
      <t xml:space="preserve"> aujourd'hui</t>
    </r>
  </si>
  <si>
    <r>
      <t xml:space="preserve">Parc visant la valeur </t>
    </r>
    <r>
      <rPr>
        <b/>
        <sz val="11"/>
        <color theme="1"/>
        <rFont val="Calibri"/>
        <family val="2"/>
        <scheme val="minor"/>
      </rPr>
      <t>absolue</t>
    </r>
  </si>
  <si>
    <r>
      <t xml:space="preserve">Parc visant la valeur </t>
    </r>
    <r>
      <rPr>
        <b/>
        <sz val="11"/>
        <color theme="1"/>
        <rFont val="Calibri"/>
        <family val="2"/>
        <scheme val="minor"/>
      </rPr>
      <t>relative</t>
    </r>
  </si>
  <si>
    <t>Les travaux actuels visent des VA cohérentes avec le premier quartile de consommation. Certaines catégories ont des valeurs qui sont mal calibrées (ex : bureaux autour de la médiane de consommation). Il ne semble plus possible de revoir la valeur de 25% à 7 ans de l'échéance et ce alors que l'ambition est très élevée (il n'est pas certain que tous les bâtiments neufs soient en-dessous de la VA).
Aller plus loin nécessiterait de revoir les objectifs en valeurs absolue. Les aides ne pourraient rien changer à cette hypothèse.</t>
  </si>
  <si>
    <t>Moyenne entre le tendanciel et l'objectif du décret tertiaire</t>
  </si>
  <si>
    <t>Mesures supplémentaires possibles : aides, prix de l'énergie…</t>
  </si>
  <si>
    <t>Gain énergétique de + en 2030 par rapport à 2019</t>
  </si>
  <si>
    <t>Plus d'installation de chaudières gaz dans le tertiaire à partir de 2027 en considérant les dérogations</t>
  </si>
  <si>
    <t>Détail du gain énergétique en 2030 pour le parc qui respecte le décret tertiaire</t>
  </si>
  <si>
    <t>Commentaire</t>
  </si>
  <si>
    <t>Compromis qui devrait être RIMé</t>
  </si>
  <si>
    <t>Maisons individuelles</t>
  </si>
  <si>
    <t>Copropriétés</t>
  </si>
  <si>
    <t>Eligibilité</t>
  </si>
  <si>
    <t>Montants</t>
  </si>
  <si>
    <t>Montant 2023, +30% pour le chauffage</t>
  </si>
  <si>
    <t>Idem</t>
  </si>
  <si>
    <t>Montant 2023, +50% pour le chauffage</t>
  </si>
  <si>
    <t>Augmentation des forfaits chauffage pour réduire le RAC étant donné l'interdiction du gaz</t>
  </si>
  <si>
    <t>Taux d'aide MPR+CEE</t>
  </si>
  <si>
    <t>3. Paramètres divers</t>
  </si>
  <si>
    <t>2. Paramétrage de MaPrimeRénov' (AMS)</t>
  </si>
  <si>
    <t>Pilier "Performance"</t>
  </si>
  <si>
    <t>Pilier "Efficacité"</t>
  </si>
  <si>
    <r>
      <rPr>
        <b/>
        <sz val="11"/>
        <color theme="1"/>
        <rFont val="Calibri"/>
        <family val="2"/>
        <scheme val="minor"/>
      </rPr>
      <t>- Les pourcentages correspondent à l'aide cumulée de MPR et des CEE</t>
    </r>
    <r>
      <rPr>
        <sz val="11"/>
        <color theme="1"/>
        <rFont val="Calibri"/>
        <family val="2"/>
        <scheme val="minor"/>
      </rPr>
      <t xml:space="preserve"> sur le montant des travaux HT. La part indicative pour les CEE est de 20% pour les maisons individuelles et 15% pour les copropriétés. Le reste vient du budget MPR. Ex : 60% de MPR pour les TMO en 2030 et 20% de CEE
- </t>
    </r>
    <r>
      <rPr>
        <b/>
        <sz val="11"/>
        <color theme="1"/>
        <rFont val="Calibri"/>
        <family val="2"/>
        <scheme val="minor"/>
      </rPr>
      <t>Plafond de travaux de 60 000 €</t>
    </r>
    <r>
      <rPr>
        <sz val="11"/>
        <color theme="1"/>
        <rFont val="Calibri"/>
        <family val="2"/>
        <scheme val="minor"/>
      </rPr>
      <t xml:space="preserve"> (pas de modélisation de l'évolution du plafond en fonction du nombre de saut de classe
- Augmentations linéaires entre les années indiquées</t>
    </r>
  </si>
  <si>
    <t>+10 points partout jusqu'en 2030 puis constant</t>
  </si>
  <si>
    <t>Exclusion des passoires, accès à l'isolation conditionné à la décarbonation du chauffage</t>
  </si>
  <si>
    <t>Compromis qui devrait être RIMé pour l'éligibilité</t>
  </si>
  <si>
    <t>Barrières à la rénovation dans le parc privé (prise de décision en copropriété, dilemme propriétaire-locataire, contraintes de financement)</t>
  </si>
  <si>
    <t>Obligation de rénovation à la mutation pour les passoires en 2025, puis E en 2034, D en 2040. Mise en œuvre via une obligation de consignation du montant des travaux prévu par l'audit, s'applique aux maisons comme aux copropriétés.</t>
  </si>
  <si>
    <t>Trajectoire ambitieuse de rénovation du parc sociale, misant sur une sortie des passoires à court-terme</t>
  </si>
  <si>
    <t>Indice de rigueur climatique chauffage (normalisé à 2020)</t>
  </si>
  <si>
    <t>Indice de rigueur climatique climatisation (normalisé à 2020)</t>
  </si>
  <si>
    <t>Calcul DGEC à partir des données MétéoFrance (DRIAS) – RCP2.6</t>
  </si>
  <si>
    <t xml:space="preserve">Surface moyenne </t>
  </si>
  <si>
    <t>Maison individuelle</t>
  </si>
  <si>
    <t>Logement collectif</t>
  </si>
  <si>
    <t>Moyenne</t>
  </si>
  <si>
    <t>Résidences principales</t>
  </si>
  <si>
    <t>Résidences secondaires</t>
  </si>
  <si>
    <t>Logements vacants</t>
  </si>
  <si>
    <t xml:space="preserve">Dont maisons </t>
  </si>
  <si>
    <t>Dont logements collectifs</t>
  </si>
  <si>
    <t>Surface totale (Mm²)</t>
  </si>
  <si>
    <t>EER des équipements</t>
  </si>
  <si>
    <t>Fin des aides MPR aux chaudières et poêle à bois à moyen-terme, maintenu pour les CEE</t>
  </si>
  <si>
    <t>Gain en terme de consommation énergétique par m² en 2030 par rapport à 2010</t>
  </si>
  <si>
    <t>Gain en terme de consommation énergétique par m² en 2040 par rapport à 2010</t>
  </si>
  <si>
    <t>Gain en terme de consommation énergétique par m² en 2050 par rapport à 2010</t>
  </si>
  <si>
    <t xml:space="preserve">On considère qu’en moyenne les assujettis atteignent l’objectif relatif, grâce à des valeurs absolues ambitieuses et une partie du parc qui fait mieux que l’objectif </t>
  </si>
  <si>
    <t>à mettre à jour avec la modélisation numérique</t>
  </si>
  <si>
    <t>Pas d'interdiction, mais incitation à la décarbonation via les aides</t>
  </si>
  <si>
    <t>Sortie du gaz</t>
  </si>
  <si>
    <t xml:space="preserve">Respect à 70% des obligations de décence (2034 pour les E et ajout de 2040 pour les D), obligation de rénovation performante à la mutation à partir des mêmes années </t>
  </si>
  <si>
    <t>m²/hab</t>
  </si>
  <si>
    <t>res principales</t>
  </si>
  <si>
    <t>N.B. : incohérence entre cellule G88 et G95 alors que pour les autres années les chiffres sont identiques</t>
  </si>
  <si>
    <t>Construction neuve (m²/an)</t>
  </si>
  <si>
    <t>surface moyenne logement neuf</t>
  </si>
  <si>
    <t>gr_m2perCapita</t>
  </si>
  <si>
    <t>Mm² construits</t>
  </si>
  <si>
    <t>(valeur fin de période)</t>
  </si>
  <si>
    <t>en jaune, changement run3 par rapport à run2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</si>
</sst>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-* #,##0.00_-;\-* #,##0.00_-;_-* &quot;-&quot;??_-;_-@_-"/>
    <numFmt numFmtId="164" formatCode="0.0"/>
    <numFmt numFmtId="165" formatCode="0\ %"/>
    <numFmt numFmtId="166" formatCode="0.00\ %"/>
    <numFmt numFmtId="167" formatCode="0.0%"/>
    <numFmt numFmtId="168" formatCode="_-* #,##0_-;\-* #,##0_-;_-* &quot;-&quot;??_-;_-@_-"/>
    <numFmt numFmtId="169" formatCode="_-* #,##0.0000_-;\-* #,##0.0000_-;_-* &quot;-&quot;??_-;_-@_-"/>
    <numFmt numFmtId="170" formatCode="_-* #,##0.000_-;\-* #,##0.000_-;_-* &quot;-&quot;??_-;_-@_-"/>
    <numFmt numFmtId="171" formatCode="_-* #,##0\ _€_-;\-* #,##0\ _€_-;_-* &quot;-&quot;??\ _€_-;_-@_-"/>
    <numFmt numFmtId="172" formatCode="#,##0.0"/>
    <numFmt numFmtId="173" formatCode="#,##0.00&quot;    &quot;;#,##0.00&quot;    &quot;;&quot;-&quot;#&quot;    &quot;;@&quot; &quot;"/>
    <numFmt numFmtId="174" formatCode="#,##0&quot;    &quot;;#,##0&quot;    &quot;;&quot;-&quot;#&quot;    &quot;;@&quot; &quot;"/>
    <numFmt numFmtId="175" formatCode="0.000"/>
    <numFmt numFmtId="176" formatCode="_-* #,##0.00\ _€_-;\-* #,##0.00\ _€_-;_-* &quot;-&quot;??\ _€_-;_-@_-"/>
    <numFmt numFmtId="177" formatCode="0.0000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0"/>
      <name val="Arial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b/>
      <sz val="10"/>
      <name val="Arial"/>
      <family val="2"/>
    </font>
    <font>
      <sz val="10"/>
      <name val="Arial"/>
      <family val="2"/>
    </font>
    <font>
      <b/>
      <sz val="14"/>
      <color theme="0"/>
      <name val="Arial"/>
      <family val="2"/>
      <charset val="1"/>
    </font>
    <font>
      <vertAlign val="superscript"/>
      <sz val="10"/>
      <name val="Arial"/>
      <family val="2"/>
      <charset val="1"/>
    </font>
    <font>
      <i/>
      <sz val="10"/>
      <name val="Arial"/>
      <family val="2"/>
      <charset val="1"/>
    </font>
    <font>
      <i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rgb="FFCE181E"/>
      <name val="Arial"/>
      <family val="2"/>
      <charset val="1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000000"/>
      <name val="Arial"/>
      <family val="2"/>
      <charset val="1"/>
    </font>
    <font>
      <b/>
      <i/>
      <sz val="10"/>
      <name val="Arial"/>
      <family val="2"/>
      <charset val="1"/>
    </font>
    <font>
      <b/>
      <i/>
      <sz val="10"/>
      <color rgb="FF000000"/>
      <name val="Arial"/>
      <family val="2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0000"/>
      <name val="Calibri"/>
      <family val="2"/>
    </font>
    <font>
      <b/>
      <sz val="14"/>
      <color theme="0"/>
      <name val="Arial"/>
      <family val="2"/>
    </font>
    <font>
      <i/>
      <sz val="10"/>
      <color rgb="FFFF0000"/>
      <name val="Arial"/>
      <family val="2"/>
      <charset val="1"/>
    </font>
    <font>
      <b/>
      <i/>
      <sz val="10"/>
      <name val="Arial"/>
      <family val="2"/>
    </font>
    <font>
      <b/>
      <sz val="11"/>
      <color rgb="FFFFFFFF"/>
      <name val="Calibri"/>
      <family val="2"/>
      <charset val="1"/>
    </font>
    <font>
      <sz val="11"/>
      <color rgb="FFFFFFFF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sz val="8"/>
      <color rgb="FFFFFFFF"/>
      <name val="Calibri"/>
      <family val="2"/>
      <charset val="1"/>
    </font>
    <font>
      <b/>
      <sz val="9"/>
      <color rgb="FFFFFFFF"/>
      <name val="Arial"/>
      <family val="2"/>
      <charset val="1"/>
    </font>
    <font>
      <sz val="9"/>
      <color rgb="FFFFFFFF"/>
      <name val="Arial"/>
      <family val="2"/>
      <charset val="1"/>
    </font>
    <font>
      <sz val="9"/>
      <color rgb="FFFFFFFF"/>
      <name val="Calibri"/>
      <family val="2"/>
      <charset val="1"/>
    </font>
    <font>
      <i/>
      <sz val="8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8"/>
      <color rgb="FF000000"/>
      <name val="Arial"/>
      <family val="2"/>
      <charset val="1"/>
    </font>
    <font>
      <sz val="8"/>
      <name val="Arial"/>
      <family val="2"/>
      <charset val="1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0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b/>
      <sz val="11"/>
      <color theme="0"/>
      <name val="Arial"/>
      <family val="2"/>
      <charset val="1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1"/>
      <family val="2"/>
    </font>
    <font>
      <b/>
      <sz val="11"/>
      <color rgb="FF000000"/>
      <name val="Calibri"/>
      <family val="2"/>
      <scheme val="minor"/>
    </font>
    <font>
      <i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  <charset val="1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200"/>
      </patternFill>
    </fill>
    <fill>
      <patternFill patternType="solid">
        <fgColor rgb="FF002060"/>
        <bgColor rgb="FF000080"/>
      </patternFill>
    </fill>
    <fill>
      <patternFill patternType="solid">
        <fgColor rgb="FFBDD7EE"/>
        <bgColor rgb="FFDAE3F3"/>
      </patternFill>
    </fill>
    <fill>
      <patternFill patternType="solid">
        <fgColor rgb="FFDAE3F3"/>
        <bgColor rgb="FFDDDDDD"/>
      </patternFill>
    </fill>
    <fill>
      <patternFill patternType="solid">
        <fgColor rgb="FFE2F0D9"/>
        <bgColor rgb="FFDAE3F3"/>
      </patternFill>
    </fill>
    <fill>
      <patternFill patternType="solid">
        <fgColor rgb="FFC5E0B4"/>
        <bgColor rgb="FFDDDDDD"/>
      </patternFill>
    </fill>
    <fill>
      <patternFill patternType="solid">
        <fgColor rgb="FFF2F2F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rgb="FF333399"/>
      </right>
      <top/>
      <bottom style="thin">
        <color rgb="FF333399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173" fontId="25" fillId="0" borderId="0"/>
    <xf numFmtId="9" fontId="25" fillId="0" borderId="0"/>
    <xf numFmtId="0" fontId="53" fillId="0" borderId="0"/>
    <xf numFmtId="165" fontId="8" fillId="0" borderId="0" applyBorder="0" applyProtection="0"/>
    <xf numFmtId="0" fontId="10" fillId="0" borderId="0"/>
  </cellStyleXfs>
  <cellXfs count="47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6" fillId="0" borderId="0" xfId="0" applyFont="1"/>
    <xf numFmtId="0" fontId="0" fillId="0" borderId="7" xfId="0" applyBorder="1"/>
    <xf numFmtId="164" fontId="0" fillId="0" borderId="7" xfId="0" applyNumberFormat="1" applyBorder="1"/>
    <xf numFmtId="166" fontId="0" fillId="0" borderId="0" xfId="0" applyNumberFormat="1" applyAlignment="1">
      <alignment horizontal="center"/>
    </xf>
    <xf numFmtId="164" fontId="7" fillId="0" borderId="7" xfId="0" applyNumberFormat="1" applyFont="1" applyBorder="1"/>
    <xf numFmtId="0" fontId="7" fillId="0" borderId="7" xfId="0" applyFont="1" applyBorder="1" applyAlignment="1">
      <alignment wrapText="1"/>
    </xf>
    <xf numFmtId="165" fontId="0" fillId="0" borderId="0" xfId="0" applyNumberFormat="1"/>
    <xf numFmtId="166" fontId="0" fillId="0" borderId="0" xfId="0" applyNumberFormat="1"/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wrapText="1"/>
    </xf>
    <xf numFmtId="0" fontId="11" fillId="6" borderId="0" xfId="0" applyFont="1" applyFill="1" applyAlignment="1">
      <alignment horizontal="center"/>
    </xf>
    <xf numFmtId="0" fontId="0" fillId="0" borderId="7" xfId="0" applyBorder="1" applyAlignment="1">
      <alignment horizontal="left" vertical="top" wrapText="1"/>
    </xf>
    <xf numFmtId="0" fontId="6" fillId="3" borderId="7" xfId="0" applyFont="1" applyFill="1" applyBorder="1"/>
    <xf numFmtId="3" fontId="0" fillId="0" borderId="0" xfId="0" applyNumberFormat="1"/>
    <xf numFmtId="168" fontId="0" fillId="0" borderId="0" xfId="1" applyNumberFormat="1" applyFont="1"/>
    <xf numFmtId="9" fontId="0" fillId="0" borderId="0" xfId="0" applyNumberFormat="1"/>
    <xf numFmtId="9" fontId="0" fillId="0" borderId="0" xfId="2" applyFont="1"/>
    <xf numFmtId="0" fontId="7" fillId="0" borderId="0" xfId="0" applyFont="1"/>
    <xf numFmtId="0" fontId="16" fillId="0" borderId="0" xfId="0" applyFont="1"/>
    <xf numFmtId="0" fontId="6" fillId="4" borderId="0" xfId="0" applyFont="1" applyFill="1" applyAlignment="1">
      <alignment wrapText="1"/>
    </xf>
    <xf numFmtId="0" fontId="17" fillId="0" borderId="0" xfId="0" applyFont="1"/>
    <xf numFmtId="0" fontId="14" fillId="0" borderId="0" xfId="0" applyFont="1"/>
    <xf numFmtId="2" fontId="14" fillId="0" borderId="0" xfId="0" applyNumberFormat="1" applyFont="1"/>
    <xf numFmtId="0" fontId="6" fillId="3" borderId="9" xfId="0" applyFont="1" applyFill="1" applyBorder="1"/>
    <xf numFmtId="0" fontId="16" fillId="0" borderId="7" xfId="0" applyFont="1" applyBorder="1"/>
    <xf numFmtId="0" fontId="0" fillId="0" borderId="10" xfId="0" applyBorder="1"/>
    <xf numFmtId="1" fontId="0" fillId="0" borderId="10" xfId="0" applyNumberFormat="1" applyBorder="1"/>
    <xf numFmtId="164" fontId="0" fillId="0" borderId="10" xfId="0" applyNumberFormat="1" applyBorder="1"/>
    <xf numFmtId="167" fontId="0" fillId="0" borderId="0" xfId="0" applyNumberFormat="1"/>
    <xf numFmtId="1" fontId="16" fillId="0" borderId="10" xfId="0" applyNumberFormat="1" applyFont="1" applyBorder="1" applyAlignment="1">
      <alignment horizontal="center"/>
    </xf>
    <xf numFmtId="166" fontId="14" fillId="0" borderId="0" xfId="0" applyNumberFormat="1" applyFont="1"/>
    <xf numFmtId="1" fontId="19" fillId="0" borderId="12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 wrapText="1"/>
    </xf>
    <xf numFmtId="167" fontId="0" fillId="0" borderId="12" xfId="0" applyNumberFormat="1" applyBorder="1" applyAlignment="1">
      <alignment horizontal="center"/>
    </xf>
    <xf numFmtId="167" fontId="0" fillId="0" borderId="7" xfId="0" applyNumberFormat="1" applyBorder="1" applyAlignment="1">
      <alignment horizontal="center"/>
    </xf>
    <xf numFmtId="9" fontId="7" fillId="0" borderId="7" xfId="2" applyFont="1" applyBorder="1" applyAlignment="1" applyProtection="1">
      <alignment horizontal="center" wrapText="1"/>
    </xf>
    <xf numFmtId="9" fontId="7" fillId="0" borderId="7" xfId="2" applyFont="1" applyBorder="1" applyAlignment="1" applyProtection="1">
      <alignment horizontal="center" vertical="center" wrapText="1"/>
    </xf>
    <xf numFmtId="0" fontId="7" fillId="0" borderId="10" xfId="0" applyFont="1" applyBorder="1"/>
    <xf numFmtId="167" fontId="0" fillId="0" borderId="10" xfId="0" applyNumberFormat="1" applyBorder="1"/>
    <xf numFmtId="166" fontId="0" fillId="0" borderId="10" xfId="0" applyNumberFormat="1" applyBorder="1"/>
    <xf numFmtId="0" fontId="13" fillId="0" borderId="0" xfId="0" applyFont="1"/>
    <xf numFmtId="0" fontId="14" fillId="0" borderId="13" xfId="0" applyFont="1" applyBorder="1"/>
    <xf numFmtId="0" fontId="20" fillId="0" borderId="14" xfId="0" applyFont="1" applyBorder="1"/>
    <xf numFmtId="0" fontId="13" fillId="0" borderId="9" xfId="0" applyFont="1" applyBorder="1"/>
    <xf numFmtId="0" fontId="20" fillId="0" borderId="0" xfId="0" applyFont="1"/>
    <xf numFmtId="167" fontId="14" fillId="0" borderId="15" xfId="0" applyNumberFormat="1" applyFont="1" applyBorder="1"/>
    <xf numFmtId="166" fontId="14" fillId="0" borderId="15" xfId="0" applyNumberFormat="1" applyFont="1" applyBorder="1"/>
    <xf numFmtId="0" fontId="13" fillId="0" borderId="15" xfId="0" applyFont="1" applyBorder="1"/>
    <xf numFmtId="0" fontId="14" fillId="0" borderId="17" xfId="0" applyFont="1" applyBorder="1"/>
    <xf numFmtId="0" fontId="14" fillId="0" borderId="7" xfId="0" applyFont="1" applyBorder="1"/>
    <xf numFmtId="167" fontId="14" fillId="0" borderId="7" xfId="0" applyNumberFormat="1" applyFont="1" applyBorder="1"/>
    <xf numFmtId="0" fontId="14" fillId="0" borderId="18" xfId="0" applyFont="1" applyBorder="1"/>
    <xf numFmtId="0" fontId="14" fillId="0" borderId="19" xfId="0" applyFont="1" applyBorder="1"/>
    <xf numFmtId="167" fontId="14" fillId="0" borderId="19" xfId="0" applyNumberFormat="1" applyFont="1" applyBorder="1"/>
    <xf numFmtId="0" fontId="14" fillId="0" borderId="20" xfId="0" applyFont="1" applyBorder="1"/>
    <xf numFmtId="0" fontId="14" fillId="0" borderId="15" xfId="0" applyFont="1" applyBorder="1"/>
    <xf numFmtId="165" fontId="14" fillId="0" borderId="0" xfId="0" applyNumberFormat="1" applyFont="1"/>
    <xf numFmtId="0" fontId="2" fillId="0" borderId="7" xfId="0" applyFont="1" applyBorder="1"/>
    <xf numFmtId="169" fontId="1" fillId="0" borderId="7" xfId="1" applyNumberFormat="1" applyFont="1" applyBorder="1"/>
    <xf numFmtId="0" fontId="18" fillId="0" borderId="0" xfId="0" applyFont="1"/>
    <xf numFmtId="0" fontId="2" fillId="0" borderId="0" xfId="0" applyFont="1"/>
    <xf numFmtId="3" fontId="21" fillId="0" borderId="21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center"/>
    </xf>
    <xf numFmtId="9" fontId="1" fillId="0" borderId="7" xfId="2" applyFont="1" applyBorder="1"/>
    <xf numFmtId="49" fontId="0" fillId="0" borderId="0" xfId="0" applyNumberFormat="1"/>
    <xf numFmtId="0" fontId="22" fillId="0" borderId="0" xfId="0" applyFont="1"/>
    <xf numFmtId="43" fontId="1" fillId="0" borderId="0" xfId="1" applyFont="1" applyBorder="1"/>
    <xf numFmtId="170" fontId="1" fillId="0" borderId="0" xfId="1" applyNumberFormat="1" applyFont="1" applyFill="1" applyBorder="1"/>
    <xf numFmtId="171" fontId="0" fillId="0" borderId="7" xfId="0" applyNumberFormat="1" applyBorder="1"/>
    <xf numFmtId="171" fontId="0" fillId="0" borderId="0" xfId="0" applyNumberFormat="1"/>
    <xf numFmtId="0" fontId="17" fillId="0" borderId="21" xfId="0" applyFont="1" applyBorder="1"/>
    <xf numFmtId="10" fontId="17" fillId="0" borderId="7" xfId="2" applyNumberFormat="1" applyFont="1" applyFill="1" applyBorder="1"/>
    <xf numFmtId="0" fontId="18" fillId="0" borderId="0" xfId="0" applyFont="1" applyAlignment="1">
      <alignment vertical="center"/>
    </xf>
    <xf numFmtId="3" fontId="25" fillId="0" borderId="7" xfId="0" applyNumberFormat="1" applyFont="1" applyBorder="1"/>
    <xf numFmtId="3" fontId="0" fillId="0" borderId="7" xfId="0" applyNumberFormat="1" applyBorder="1"/>
    <xf numFmtId="0" fontId="0" fillId="0" borderId="0" xfId="0" applyAlignment="1">
      <alignment horizontal="center" vertical="center"/>
    </xf>
    <xf numFmtId="0" fontId="25" fillId="9" borderId="22" xfId="0" applyFont="1" applyFill="1" applyBorder="1" applyAlignment="1">
      <alignment horizontal="center" vertical="center"/>
    </xf>
    <xf numFmtId="3" fontId="18" fillId="0" borderId="7" xfId="0" applyNumberFormat="1" applyFont="1" applyBorder="1"/>
    <xf numFmtId="0" fontId="0" fillId="0" borderId="21" xfId="0" applyBorder="1"/>
    <xf numFmtId="172" fontId="18" fillId="0" borderId="7" xfId="0" applyNumberFormat="1" applyFont="1" applyBorder="1"/>
    <xf numFmtId="172" fontId="25" fillId="0" borderId="7" xfId="0" applyNumberFormat="1" applyFont="1" applyBorder="1"/>
    <xf numFmtId="0" fontId="26" fillId="6" borderId="0" xfId="0" applyFont="1" applyFill="1" applyAlignment="1">
      <alignment horizontal="center"/>
    </xf>
    <xf numFmtId="168" fontId="0" fillId="0" borderId="7" xfId="1" applyNumberFormat="1" applyFont="1" applyFill="1" applyBorder="1"/>
    <xf numFmtId="0" fontId="14" fillId="0" borderId="10" xfId="0" applyFont="1" applyBorder="1"/>
    <xf numFmtId="164" fontId="14" fillId="0" borderId="7" xfId="0" applyNumberFormat="1" applyFont="1" applyBorder="1"/>
    <xf numFmtId="0" fontId="27" fillId="0" borderId="0" xfId="0" applyFont="1"/>
    <xf numFmtId="166" fontId="14" fillId="0" borderId="10" xfId="0" applyNumberFormat="1" applyFont="1" applyBorder="1"/>
    <xf numFmtId="0" fontId="13" fillId="0" borderId="7" xfId="0" applyFont="1" applyBorder="1"/>
    <xf numFmtId="165" fontId="14" fillId="0" borderId="10" xfId="0" applyNumberFormat="1" applyFont="1" applyBorder="1" applyAlignment="1">
      <alignment horizontal="center"/>
    </xf>
    <xf numFmtId="166" fontId="14" fillId="0" borderId="7" xfId="0" applyNumberFormat="1" applyFont="1" applyBorder="1"/>
    <xf numFmtId="0" fontId="6" fillId="0" borderId="7" xfId="0" applyFont="1" applyBorder="1" applyAlignment="1">
      <alignment horizontal="center" wrapText="1"/>
    </xf>
    <xf numFmtId="3" fontId="7" fillId="0" borderId="7" xfId="0" applyNumberFormat="1" applyFont="1" applyBorder="1" applyAlignment="1">
      <alignment horizontal="center" wrapText="1"/>
    </xf>
    <xf numFmtId="3" fontId="6" fillId="0" borderId="7" xfId="0" applyNumberFormat="1" applyFont="1" applyBorder="1" applyAlignment="1">
      <alignment horizontal="center" wrapText="1"/>
    </xf>
    <xf numFmtId="164" fontId="6" fillId="0" borderId="0" xfId="0" applyNumberFormat="1" applyFont="1"/>
    <xf numFmtId="0" fontId="8" fillId="0" borderId="0" xfId="0" applyFont="1"/>
    <xf numFmtId="164" fontId="8" fillId="0" borderId="10" xfId="0" applyNumberFormat="1" applyFont="1" applyBorder="1"/>
    <xf numFmtId="164" fontId="8" fillId="0" borderId="0" xfId="0" applyNumberFormat="1" applyFont="1"/>
    <xf numFmtId="172" fontId="0" fillId="0" borderId="10" xfId="0" applyNumberFormat="1" applyBorder="1"/>
    <xf numFmtId="172" fontId="0" fillId="0" borderId="0" xfId="0" applyNumberFormat="1"/>
    <xf numFmtId="172" fontId="6" fillId="0" borderId="0" xfId="0" applyNumberFormat="1" applyFont="1"/>
    <xf numFmtId="0" fontId="20" fillId="10" borderId="0" xfId="0" applyFont="1" applyFill="1"/>
    <xf numFmtId="164" fontId="14" fillId="0" borderId="0" xfId="0" applyNumberFormat="1" applyFont="1"/>
    <xf numFmtId="0" fontId="28" fillId="0" borderId="0" xfId="0" applyFont="1"/>
    <xf numFmtId="0" fontId="29" fillId="11" borderId="1" xfId="0" applyFont="1" applyFill="1" applyBorder="1"/>
    <xf numFmtId="0" fontId="30" fillId="11" borderId="2" xfId="0" applyFont="1" applyFill="1" applyBorder="1"/>
    <xf numFmtId="0" fontId="30" fillId="11" borderId="3" xfId="0" applyFont="1" applyFill="1" applyBorder="1"/>
    <xf numFmtId="0" fontId="31" fillId="12" borderId="24" xfId="0" applyFont="1" applyFill="1" applyBorder="1"/>
    <xf numFmtId="0" fontId="31" fillId="12" borderId="0" xfId="0" applyFont="1" applyFill="1"/>
    <xf numFmtId="167" fontId="31" fillId="12" borderId="0" xfId="2" applyNumberFormat="1" applyFont="1" applyFill="1" applyBorder="1" applyAlignment="1" applyProtection="1"/>
    <xf numFmtId="167" fontId="31" fillId="12" borderId="25" xfId="2" applyNumberFormat="1" applyFont="1" applyFill="1" applyBorder="1" applyAlignment="1" applyProtection="1"/>
    <xf numFmtId="0" fontId="0" fillId="9" borderId="24" xfId="0" applyFill="1" applyBorder="1"/>
    <xf numFmtId="0" fontId="0" fillId="9" borderId="0" xfId="0" applyFill="1"/>
    <xf numFmtId="9" fontId="0" fillId="9" borderId="0" xfId="2" applyFont="1" applyFill="1" applyBorder="1" applyAlignment="1" applyProtection="1"/>
    <xf numFmtId="9" fontId="0" fillId="9" borderId="25" xfId="2" applyFont="1" applyFill="1" applyBorder="1" applyAlignment="1" applyProtection="1"/>
    <xf numFmtId="0" fontId="0" fillId="13" borderId="24" xfId="0" applyFill="1" applyBorder="1"/>
    <xf numFmtId="0" fontId="0" fillId="13" borderId="0" xfId="0" applyFill="1"/>
    <xf numFmtId="9" fontId="0" fillId="13" borderId="0" xfId="2" applyFont="1" applyFill="1" applyBorder="1" applyAlignment="1" applyProtection="1"/>
    <xf numFmtId="9" fontId="0" fillId="13" borderId="25" xfId="2" applyFont="1" applyFill="1" applyBorder="1" applyAlignment="1" applyProtection="1"/>
    <xf numFmtId="0" fontId="0" fillId="9" borderId="4" xfId="0" applyFill="1" applyBorder="1"/>
    <xf numFmtId="0" fontId="0" fillId="9" borderId="5" xfId="0" applyFill="1" applyBorder="1"/>
    <xf numFmtId="9" fontId="0" fillId="9" borderId="5" xfId="2" applyFont="1" applyFill="1" applyBorder="1" applyAlignment="1" applyProtection="1"/>
    <xf numFmtId="9" fontId="0" fillId="9" borderId="6" xfId="2" applyFont="1" applyFill="1" applyBorder="1" applyAlignment="1" applyProtection="1"/>
    <xf numFmtId="0" fontId="0" fillId="11" borderId="2" xfId="0" applyFill="1" applyBorder="1"/>
    <xf numFmtId="167" fontId="32" fillId="12" borderId="0" xfId="2" applyNumberFormat="1" applyFont="1" applyFill="1" applyBorder="1" applyAlignment="1" applyProtection="1"/>
    <xf numFmtId="0" fontId="0" fillId="14" borderId="24" xfId="0" applyFill="1" applyBorder="1"/>
    <xf numFmtId="0" fontId="0" fillId="14" borderId="0" xfId="0" applyFill="1"/>
    <xf numFmtId="165" fontId="33" fillId="14" borderId="0" xfId="0" applyNumberFormat="1" applyFont="1" applyFill="1"/>
    <xf numFmtId="9" fontId="33" fillId="14" borderId="0" xfId="2" applyFont="1" applyFill="1" applyBorder="1" applyAlignment="1" applyProtection="1"/>
    <xf numFmtId="9" fontId="0" fillId="14" borderId="0" xfId="2" applyFont="1" applyFill="1" applyBorder="1" applyAlignment="1" applyProtection="1"/>
    <xf numFmtId="9" fontId="0" fillId="14" borderId="25" xfId="2" applyFont="1" applyFill="1" applyBorder="1" applyAlignment="1" applyProtection="1"/>
    <xf numFmtId="0" fontId="0" fillId="15" borderId="24" xfId="0" applyFill="1" applyBorder="1"/>
    <xf numFmtId="0" fontId="0" fillId="15" borderId="0" xfId="0" applyFill="1"/>
    <xf numFmtId="167" fontId="33" fillId="15" borderId="0" xfId="0" applyNumberFormat="1" applyFont="1" applyFill="1"/>
    <xf numFmtId="167" fontId="33" fillId="15" borderId="0" xfId="2" applyNumberFormat="1" applyFont="1" applyFill="1" applyBorder="1" applyAlignment="1" applyProtection="1"/>
    <xf numFmtId="9" fontId="0" fillId="15" borderId="0" xfId="2" applyFont="1" applyFill="1" applyBorder="1" applyAlignment="1" applyProtection="1"/>
    <xf numFmtId="9" fontId="0" fillId="15" borderId="25" xfId="2" applyFont="1" applyFill="1" applyBorder="1" applyAlignment="1" applyProtection="1"/>
    <xf numFmtId="0" fontId="0" fillId="14" borderId="4" xfId="0" applyFill="1" applyBorder="1"/>
    <xf numFmtId="0" fontId="0" fillId="14" borderId="5" xfId="0" applyFill="1" applyBorder="1"/>
    <xf numFmtId="165" fontId="33" fillId="14" borderId="5" xfId="0" applyNumberFormat="1" applyFont="1" applyFill="1" applyBorder="1"/>
    <xf numFmtId="9" fontId="33" fillId="14" borderId="5" xfId="2" applyFont="1" applyFill="1" applyBorder="1" applyAlignment="1" applyProtection="1"/>
    <xf numFmtId="9" fontId="0" fillId="14" borderId="5" xfId="2" applyFont="1" applyFill="1" applyBorder="1" applyAlignment="1" applyProtection="1"/>
    <xf numFmtId="9" fontId="0" fillId="14" borderId="6" xfId="2" applyFont="1" applyFill="1" applyBorder="1" applyAlignment="1" applyProtection="1"/>
    <xf numFmtId="0" fontId="0" fillId="11" borderId="1" xfId="0" applyFill="1" applyBorder="1"/>
    <xf numFmtId="0" fontId="36" fillId="11" borderId="0" xfId="0" applyFont="1" applyFill="1" applyAlignment="1">
      <alignment wrapText="1"/>
    </xf>
    <xf numFmtId="0" fontId="37" fillId="11" borderId="0" xfId="0" applyFont="1" applyFill="1" applyAlignment="1">
      <alignment horizontal="center" wrapText="1"/>
    </xf>
    <xf numFmtId="0" fontId="37" fillId="11" borderId="0" xfId="0" applyFont="1" applyFill="1" applyAlignment="1">
      <alignment horizontal="center" vertical="center" wrapText="1"/>
    </xf>
    <xf numFmtId="0" fontId="38" fillId="13" borderId="24" xfId="0" applyFont="1" applyFill="1" applyBorder="1" applyAlignment="1">
      <alignment horizontal="center"/>
    </xf>
    <xf numFmtId="0" fontId="38" fillId="13" borderId="0" xfId="0" applyFont="1" applyFill="1" applyAlignment="1">
      <alignment horizontal="center"/>
    </xf>
    <xf numFmtId="165" fontId="39" fillId="13" borderId="0" xfId="0" applyNumberFormat="1" applyFont="1" applyFill="1" applyAlignment="1">
      <alignment horizontal="center"/>
    </xf>
    <xf numFmtId="164" fontId="40" fillId="13" borderId="25" xfId="0" applyNumberFormat="1" applyFont="1" applyFill="1" applyBorder="1" applyAlignment="1">
      <alignment horizontal="center"/>
    </xf>
    <xf numFmtId="0" fontId="41" fillId="9" borderId="24" xfId="0" applyFont="1" applyFill="1" applyBorder="1" applyAlignment="1">
      <alignment horizontal="center"/>
    </xf>
    <xf numFmtId="0" fontId="41" fillId="9" borderId="0" xfId="0" applyFont="1" applyFill="1" applyAlignment="1">
      <alignment horizontal="center"/>
    </xf>
    <xf numFmtId="165" fontId="39" fillId="9" borderId="0" xfId="0" applyNumberFormat="1" applyFont="1" applyFill="1" applyAlignment="1">
      <alignment horizontal="center"/>
    </xf>
    <xf numFmtId="164" fontId="40" fillId="9" borderId="25" xfId="0" applyNumberFormat="1" applyFont="1" applyFill="1" applyBorder="1" applyAlignment="1">
      <alignment horizontal="center"/>
    </xf>
    <xf numFmtId="0" fontId="41" fillId="13" borderId="24" xfId="0" applyFont="1" applyFill="1" applyBorder="1" applyAlignment="1">
      <alignment horizontal="center"/>
    </xf>
    <xf numFmtId="0" fontId="41" fillId="13" borderId="0" xfId="0" applyFont="1" applyFill="1" applyAlignment="1">
      <alignment horizontal="center"/>
    </xf>
    <xf numFmtId="0" fontId="41" fillId="9" borderId="26" xfId="0" applyFont="1" applyFill="1" applyBorder="1" applyAlignment="1">
      <alignment horizontal="center"/>
    </xf>
    <xf numFmtId="0" fontId="41" fillId="9" borderId="27" xfId="0" applyFont="1" applyFill="1" applyBorder="1" applyAlignment="1">
      <alignment horizontal="center"/>
    </xf>
    <xf numFmtId="165" fontId="39" fillId="9" borderId="27" xfId="0" applyNumberFormat="1" applyFont="1" applyFill="1" applyBorder="1" applyAlignment="1">
      <alignment horizontal="center"/>
    </xf>
    <xf numFmtId="164" fontId="40" fillId="9" borderId="28" xfId="0" applyNumberFormat="1" applyFont="1" applyFill="1" applyBorder="1" applyAlignment="1">
      <alignment horizontal="center"/>
    </xf>
    <xf numFmtId="0" fontId="38" fillId="13" borderId="29" xfId="0" applyFont="1" applyFill="1" applyBorder="1" applyAlignment="1">
      <alignment horizontal="center"/>
    </xf>
    <xf numFmtId="0" fontId="38" fillId="13" borderId="30" xfId="0" applyFont="1" applyFill="1" applyBorder="1" applyAlignment="1">
      <alignment horizontal="center"/>
    </xf>
    <xf numFmtId="165" fontId="39" fillId="13" borderId="30" xfId="0" applyNumberFormat="1" applyFont="1" applyFill="1" applyBorder="1" applyAlignment="1">
      <alignment horizontal="center"/>
    </xf>
    <xf numFmtId="0" fontId="38" fillId="9" borderId="24" xfId="0" applyFont="1" applyFill="1" applyBorder="1" applyAlignment="1">
      <alignment horizontal="center"/>
    </xf>
    <xf numFmtId="0" fontId="41" fillId="9" borderId="4" xfId="0" applyFont="1" applyFill="1" applyBorder="1" applyAlignment="1">
      <alignment horizontal="center"/>
    </xf>
    <xf numFmtId="0" fontId="41" fillId="9" borderId="5" xfId="0" applyFont="1" applyFill="1" applyBorder="1" applyAlignment="1">
      <alignment horizontal="center"/>
    </xf>
    <xf numFmtId="165" fontId="39" fillId="9" borderId="5" xfId="0" applyNumberFormat="1" applyFont="1" applyFill="1" applyBorder="1" applyAlignment="1">
      <alignment horizontal="center"/>
    </xf>
    <xf numFmtId="164" fontId="40" fillId="9" borderId="6" xfId="0" applyNumberFormat="1" applyFont="1" applyFill="1" applyBorder="1" applyAlignment="1">
      <alignment horizontal="center"/>
    </xf>
    <xf numFmtId="0" fontId="35" fillId="11" borderId="21" xfId="0" applyFont="1" applyFill="1" applyBorder="1"/>
    <xf numFmtId="0" fontId="35" fillId="11" borderId="23" xfId="0" applyFont="1" applyFill="1" applyBorder="1"/>
    <xf numFmtId="0" fontId="35" fillId="11" borderId="12" xfId="0" applyFont="1" applyFill="1" applyBorder="1"/>
    <xf numFmtId="0" fontId="39" fillId="12" borderId="9" xfId="0" applyFont="1" applyFill="1" applyBorder="1" applyAlignment="1">
      <alignment horizontal="center"/>
    </xf>
    <xf numFmtId="0" fontId="42" fillId="12" borderId="7" xfId="0" applyFont="1" applyFill="1" applyBorder="1"/>
    <xf numFmtId="0" fontId="42" fillId="12" borderId="7" xfId="0" applyFont="1" applyFill="1" applyBorder="1" applyAlignment="1">
      <alignment horizontal="center"/>
    </xf>
    <xf numFmtId="0" fontId="40" fillId="0" borderId="7" xfId="0" applyFont="1" applyBorder="1"/>
    <xf numFmtId="0" fontId="31" fillId="0" borderId="7" xfId="0" applyFont="1" applyBorder="1" applyAlignment="1">
      <alignment horizontal="center" vertical="center" wrapText="1"/>
    </xf>
    <xf numFmtId="0" fontId="15" fillId="6" borderId="7" xfId="0" applyFont="1" applyFill="1" applyBorder="1" applyAlignment="1">
      <alignment horizontal="left" vertical="top"/>
    </xf>
    <xf numFmtId="164" fontId="7" fillId="0" borderId="10" xfId="0" applyNumberFormat="1" applyFont="1" applyBorder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0" fillId="0" borderId="36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45" fillId="17" borderId="7" xfId="0" applyFont="1" applyFill="1" applyBorder="1" applyAlignment="1">
      <alignment horizontal="center" vertical="top" wrapText="1"/>
    </xf>
    <xf numFmtId="0" fontId="45" fillId="17" borderId="36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/>
    </xf>
    <xf numFmtId="168" fontId="0" fillId="0" borderId="7" xfId="1" applyNumberFormat="1" applyFont="1" applyBorder="1"/>
    <xf numFmtId="168" fontId="2" fillId="0" borderId="7" xfId="1" applyNumberFormat="1" applyFont="1" applyBorder="1" applyAlignment="1">
      <alignment horizontal="center" vertical="center"/>
    </xf>
    <xf numFmtId="9" fontId="0" fillId="18" borderId="7" xfId="2" applyFont="1" applyFill="1" applyBorder="1" applyAlignment="1">
      <alignment horizontal="center" vertical="center"/>
    </xf>
    <xf numFmtId="9" fontId="2" fillId="18" borderId="7" xfId="2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9" fontId="0" fillId="4" borderId="7" xfId="2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wrapText="1"/>
    </xf>
    <xf numFmtId="9" fontId="0" fillId="4" borderId="21" xfId="2" applyFont="1" applyFill="1" applyBorder="1" applyAlignment="1">
      <alignment vertical="center"/>
    </xf>
    <xf numFmtId="0" fontId="45" fillId="6" borderId="7" xfId="0" applyFont="1" applyFill="1" applyBorder="1" applyAlignment="1">
      <alignment horizontal="center" vertical="center" wrapText="1"/>
    </xf>
    <xf numFmtId="168" fontId="0" fillId="0" borderId="10" xfId="1" applyNumberFormat="1" applyFont="1" applyFill="1" applyBorder="1"/>
    <xf numFmtId="0" fontId="0" fillId="0" borderId="39" xfId="0" applyBorder="1"/>
    <xf numFmtId="0" fontId="6" fillId="3" borderId="36" xfId="0" applyFont="1" applyFill="1" applyBorder="1"/>
    <xf numFmtId="9" fontId="49" fillId="0" borderId="7" xfId="0" applyNumberFormat="1" applyFont="1" applyBorder="1" applyAlignment="1">
      <alignment horizontal="center" vertical="center"/>
    </xf>
    <xf numFmtId="9" fontId="49" fillId="0" borderId="7" xfId="2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3" fontId="10" fillId="0" borderId="7" xfId="0" applyNumberFormat="1" applyFont="1" applyBorder="1"/>
    <xf numFmtId="3" fontId="2" fillId="0" borderId="7" xfId="0" applyNumberFormat="1" applyFont="1" applyBorder="1"/>
    <xf numFmtId="168" fontId="2" fillId="0" borderId="7" xfId="1" applyNumberFormat="1" applyFont="1" applyBorder="1"/>
    <xf numFmtId="3" fontId="6" fillId="0" borderId="7" xfId="0" applyNumberFormat="1" applyFont="1" applyBorder="1"/>
    <xf numFmtId="168" fontId="0" fillId="0" borderId="7" xfId="0" applyNumberFormat="1" applyBorder="1"/>
    <xf numFmtId="169" fontId="1" fillId="0" borderId="0" xfId="1" applyNumberFormat="1" applyFont="1" applyBorder="1"/>
    <xf numFmtId="0" fontId="51" fillId="0" borderId="0" xfId="0" applyFont="1" applyAlignment="1">
      <alignment horizontal="center" vertical="center"/>
    </xf>
    <xf numFmtId="168" fontId="25" fillId="0" borderId="7" xfId="1" applyNumberFormat="1" applyFont="1" applyFill="1" applyBorder="1"/>
    <xf numFmtId="3" fontId="25" fillId="0" borderId="21" xfId="0" applyNumberFormat="1" applyFont="1" applyBorder="1"/>
    <xf numFmtId="3" fontId="25" fillId="0" borderId="12" xfId="0" applyNumberFormat="1" applyFont="1" applyBorder="1"/>
    <xf numFmtId="0" fontId="18" fillId="0" borderId="7" xfId="0" applyFont="1" applyBorder="1" applyAlignment="1">
      <alignment vertical="center"/>
    </xf>
    <xf numFmtId="0" fontId="51" fillId="0" borderId="0" xfId="0" applyFont="1" applyAlignment="1">
      <alignment vertical="center"/>
    </xf>
    <xf numFmtId="164" fontId="18" fillId="0" borderId="7" xfId="0" applyNumberFormat="1" applyFont="1" applyBorder="1" applyAlignment="1">
      <alignment horizontal="center"/>
    </xf>
    <xf numFmtId="174" fontId="25" fillId="19" borderId="40" xfId="4" applyNumberFormat="1" applyFill="1" applyBorder="1"/>
    <xf numFmtId="0" fontId="9" fillId="3" borderId="21" xfId="0" applyFont="1" applyFill="1" applyBorder="1" applyAlignment="1">
      <alignment vertical="center"/>
    </xf>
    <xf numFmtId="0" fontId="9" fillId="3" borderId="23" xfId="0" applyFont="1" applyFill="1" applyBorder="1" applyAlignment="1">
      <alignment vertical="center"/>
    </xf>
    <xf numFmtId="0" fontId="9" fillId="3" borderId="12" xfId="0" applyFont="1" applyFill="1" applyBorder="1" applyAlignment="1">
      <alignment vertical="center"/>
    </xf>
    <xf numFmtId="0" fontId="0" fillId="0" borderId="0" xfId="0" applyAlignment="1">
      <alignment horizontal="center" wrapText="1"/>
    </xf>
    <xf numFmtId="168" fontId="25" fillId="0" borderId="0" xfId="1" applyNumberFormat="1" applyFont="1" applyFill="1" applyBorder="1"/>
    <xf numFmtId="1" fontId="0" fillId="0" borderId="7" xfId="0" applyNumberFormat="1" applyBorder="1" applyAlignment="1">
      <alignment wrapText="1"/>
    </xf>
    <xf numFmtId="1" fontId="0" fillId="0" borderId="7" xfId="0" applyNumberFormat="1" applyBorder="1" applyAlignment="1">
      <alignment horizontal="left" vertical="top" wrapText="1"/>
    </xf>
    <xf numFmtId="168" fontId="1" fillId="0" borderId="7" xfId="1" applyNumberFormat="1" applyFont="1" applyBorder="1"/>
    <xf numFmtId="10" fontId="52" fillId="0" borderId="7" xfId="5" applyNumberFormat="1" applyFont="1" applyBorder="1" applyAlignment="1">
      <alignment horizontal="center" vertical="center"/>
    </xf>
    <xf numFmtId="0" fontId="52" fillId="0" borderId="0" xfId="6" applyFont="1"/>
    <xf numFmtId="0" fontId="10" fillId="4" borderId="7" xfId="0" applyFont="1" applyFill="1" applyBorder="1" applyAlignment="1">
      <alignment horizontal="center" vertical="center" wrapText="1"/>
    </xf>
    <xf numFmtId="0" fontId="10" fillId="4" borderId="0" xfId="0" applyFont="1" applyFill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/>
    </xf>
    <xf numFmtId="0" fontId="7" fillId="8" borderId="21" xfId="0" applyFont="1" applyFill="1" applyBorder="1" applyAlignment="1">
      <alignment vertical="center"/>
    </xf>
    <xf numFmtId="0" fontId="7" fillId="8" borderId="23" xfId="0" applyFont="1" applyFill="1" applyBorder="1" applyAlignment="1">
      <alignment vertical="center"/>
    </xf>
    <xf numFmtId="0" fontId="7" fillId="8" borderId="12" xfId="0" applyFont="1" applyFill="1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vertical="center" wrapText="1"/>
    </xf>
    <xf numFmtId="0" fontId="33" fillId="0" borderId="0" xfId="0" applyFont="1"/>
    <xf numFmtId="165" fontId="0" fillId="0" borderId="10" xfId="0" applyNumberFormat="1" applyBorder="1"/>
    <xf numFmtId="165" fontId="0" fillId="0" borderId="10" xfId="0" applyNumberFormat="1" applyBorder="1" applyAlignment="1">
      <alignment horizontal="center"/>
    </xf>
    <xf numFmtId="167" fontId="0" fillId="0" borderId="10" xfId="0" applyNumberFormat="1" applyBorder="1" applyAlignment="1">
      <alignment horizontal="center"/>
    </xf>
    <xf numFmtId="0" fontId="11" fillId="6" borderId="0" xfId="0" applyFont="1" applyFill="1" applyAlignment="1">
      <alignment horizontal="center" vertical="center"/>
    </xf>
    <xf numFmtId="166" fontId="0" fillId="0" borderId="7" xfId="0" applyNumberFormat="1" applyBorder="1"/>
    <xf numFmtId="0" fontId="13" fillId="0" borderId="10" xfId="0" applyFont="1" applyBorder="1"/>
    <xf numFmtId="0" fontId="7" fillId="0" borderId="7" xfId="0" applyFont="1" applyBorder="1" applyAlignment="1">
      <alignment horizontal="left" vertical="top" wrapText="1"/>
    </xf>
    <xf numFmtId="0" fontId="14" fillId="0" borderId="7" xfId="0" applyFont="1" applyBorder="1" applyAlignment="1">
      <alignment horizontal="right" vertical="top" wrapText="1"/>
    </xf>
    <xf numFmtId="164" fontId="0" fillId="0" borderId="7" xfId="0" applyNumberFormat="1" applyBorder="1" applyAlignment="1">
      <alignment horizontal="center" vertical="center"/>
    </xf>
    <xf numFmtId="164" fontId="8" fillId="0" borderId="7" xfId="3" applyNumberFormat="1" applyBorder="1" applyAlignment="1">
      <alignment horizontal="center" vertical="center"/>
    </xf>
    <xf numFmtId="2" fontId="0" fillId="8" borderId="7" xfId="0" applyNumberFormat="1" applyFill="1" applyBorder="1" applyAlignment="1">
      <alignment horizontal="center" vertical="center"/>
    </xf>
    <xf numFmtId="168" fontId="7" fillId="8" borderId="7" xfId="1" applyNumberFormat="1" applyFont="1" applyFill="1" applyBorder="1" applyAlignment="1">
      <alignment horizontal="center" vertical="center"/>
    </xf>
    <xf numFmtId="167" fontId="0" fillId="8" borderId="7" xfId="2" applyNumberFormat="1" applyFont="1" applyFill="1" applyBorder="1" applyAlignment="1">
      <alignment horizontal="center" vertical="center"/>
    </xf>
    <xf numFmtId="9" fontId="0" fillId="8" borderId="7" xfId="2" applyFont="1" applyFill="1" applyBorder="1" applyAlignment="1">
      <alignment horizontal="center" vertical="center"/>
    </xf>
    <xf numFmtId="168" fontId="1" fillId="8" borderId="7" xfId="1" applyNumberFormat="1" applyFill="1" applyBorder="1" applyAlignment="1">
      <alignment horizontal="center" vertical="center"/>
    </xf>
    <xf numFmtId="9" fontId="7" fillId="8" borderId="7" xfId="2" applyFont="1" applyFill="1" applyBorder="1" applyAlignment="1">
      <alignment horizontal="center" vertical="center"/>
    </xf>
    <xf numFmtId="1" fontId="7" fillId="8" borderId="7" xfId="0" applyNumberFormat="1" applyFont="1" applyFill="1" applyBorder="1" applyAlignment="1">
      <alignment horizontal="center" vertical="center"/>
    </xf>
    <xf numFmtId="2" fontId="7" fillId="8" borderId="7" xfId="0" applyNumberFormat="1" applyFont="1" applyFill="1" applyBorder="1" applyAlignment="1">
      <alignment horizontal="center" vertical="center"/>
    </xf>
    <xf numFmtId="164" fontId="7" fillId="8" borderId="7" xfId="0" applyNumberFormat="1" applyFont="1" applyFill="1" applyBorder="1" applyAlignment="1">
      <alignment horizontal="center" vertical="center"/>
    </xf>
    <xf numFmtId="168" fontId="0" fillId="8" borderId="7" xfId="1" applyNumberFormat="1" applyFont="1" applyFill="1" applyBorder="1" applyAlignment="1">
      <alignment horizontal="center" vertical="center"/>
    </xf>
    <xf numFmtId="174" fontId="54" fillId="19" borderId="40" xfId="4" applyNumberFormat="1" applyFont="1" applyFill="1" applyBorder="1"/>
    <xf numFmtId="174" fontId="18" fillId="19" borderId="40" xfId="4" applyNumberFormat="1" applyFont="1" applyFill="1" applyBorder="1"/>
    <xf numFmtId="168" fontId="2" fillId="0" borderId="7" xfId="1" applyNumberFormat="1" applyFont="1" applyFill="1" applyBorder="1"/>
    <xf numFmtId="164" fontId="0" fillId="0" borderId="0" xfId="0" applyNumberFormat="1"/>
    <xf numFmtId="0" fontId="6" fillId="4" borderId="7" xfId="0" applyFont="1" applyFill="1" applyBorder="1" applyAlignment="1">
      <alignment wrapText="1"/>
    </xf>
    <xf numFmtId="0" fontId="14" fillId="0" borderId="7" xfId="0" applyFont="1" applyBorder="1" applyAlignment="1">
      <alignment horizontal="center" vertical="center"/>
    </xf>
    <xf numFmtId="1" fontId="0" fillId="0" borderId="38" xfId="0" applyNumberFormat="1" applyBorder="1" applyAlignment="1">
      <alignment wrapText="1"/>
    </xf>
    <xf numFmtId="168" fontId="0" fillId="0" borderId="36" xfId="1" applyNumberFormat="1" applyFont="1" applyFill="1" applyBorder="1"/>
    <xf numFmtId="0" fontId="2" fillId="0" borderId="7" xfId="0" applyFont="1" applyBorder="1" applyAlignment="1">
      <alignment wrapText="1"/>
    </xf>
    <xf numFmtId="0" fontId="45" fillId="17" borderId="21" xfId="0" applyFont="1" applyFill="1" applyBorder="1" applyAlignment="1">
      <alignment horizontal="center" vertical="center" wrapText="1"/>
    </xf>
    <xf numFmtId="9" fontId="0" fillId="4" borderId="21" xfId="2" applyFont="1" applyFill="1" applyBorder="1" applyAlignment="1">
      <alignment horizontal="center" vertical="center"/>
    </xf>
    <xf numFmtId="9" fontId="44" fillId="0" borderId="0" xfId="0" applyNumberFormat="1" applyFont="1" applyAlignment="1">
      <alignment horizontal="center" vertical="center" wrapText="1"/>
    </xf>
    <xf numFmtId="9" fontId="44" fillId="0" borderId="0" xfId="0" quotePrefix="1" applyNumberFormat="1" applyFont="1" applyAlignment="1">
      <alignment horizontal="center" vertical="center" wrapText="1"/>
    </xf>
    <xf numFmtId="0" fontId="4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9" fontId="0" fillId="0" borderId="7" xfId="0" applyNumberFormat="1" applyBorder="1" applyAlignment="1">
      <alignment horizontal="center" vertical="center" wrapText="1"/>
    </xf>
    <xf numFmtId="43" fontId="0" fillId="0" borderId="0" xfId="1" applyFont="1"/>
    <xf numFmtId="2" fontId="49" fillId="0" borderId="7" xfId="0" applyNumberFormat="1" applyFont="1" applyBorder="1"/>
    <xf numFmtId="175" fontId="49" fillId="5" borderId="7" xfId="0" applyNumberFormat="1" applyFont="1" applyFill="1" applyBorder="1"/>
    <xf numFmtId="175" fontId="49" fillId="20" borderId="7" xfId="0" applyNumberFormat="1" applyFont="1" applyFill="1" applyBorder="1"/>
    <xf numFmtId="43" fontId="0" fillId="0" borderId="7" xfId="1" applyFont="1" applyBorder="1"/>
    <xf numFmtId="168" fontId="7" fillId="0" borderId="7" xfId="1" applyNumberFormat="1" applyFont="1" applyBorder="1"/>
    <xf numFmtId="0" fontId="3" fillId="0" borderId="32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0" fillId="21" borderId="0" xfId="0" applyFill="1"/>
    <xf numFmtId="0" fontId="46" fillId="0" borderId="0" xfId="0" applyFont="1"/>
    <xf numFmtId="164" fontId="57" fillId="0" borderId="0" xfId="0" applyNumberFormat="1" applyFont="1"/>
    <xf numFmtId="176" fontId="0" fillId="0" borderId="0" xfId="0" applyNumberFormat="1"/>
    <xf numFmtId="2" fontId="57" fillId="0" borderId="0" xfId="0" applyNumberFormat="1" applyFont="1"/>
    <xf numFmtId="176" fontId="46" fillId="0" borderId="0" xfId="0" applyNumberFormat="1" applyFont="1"/>
    <xf numFmtId="2" fontId="0" fillId="0" borderId="0" xfId="0" applyNumberFormat="1"/>
    <xf numFmtId="1" fontId="46" fillId="0" borderId="0" xfId="0" applyNumberFormat="1" applyFont="1"/>
    <xf numFmtId="3" fontId="46" fillId="0" borderId="0" xfId="0" applyNumberFormat="1" applyFont="1"/>
    <xf numFmtId="177" fontId="0" fillId="0" borderId="0" xfId="0" applyNumberFormat="1"/>
    <xf numFmtId="0" fontId="6" fillId="21" borderId="9" xfId="0" applyFont="1" applyFill="1" applyBorder="1"/>
    <xf numFmtId="168" fontId="2" fillId="21" borderId="7" xfId="1" applyNumberFormat="1" applyFont="1" applyFill="1" applyBorder="1"/>
    <xf numFmtId="3" fontId="2" fillId="21" borderId="7" xfId="0" applyNumberFormat="1" applyFont="1" applyFill="1" applyBorder="1"/>
    <xf numFmtId="0" fontId="7" fillId="8" borderId="21" xfId="0" applyFont="1" applyFill="1" applyBorder="1" applyAlignment="1">
      <alignment horizontal="left" vertical="top"/>
    </xf>
    <xf numFmtId="0" fontId="7" fillId="8" borderId="23" xfId="0" applyFont="1" applyFill="1" applyBorder="1" applyAlignment="1">
      <alignment horizontal="left" vertical="top"/>
    </xf>
    <xf numFmtId="0" fontId="7" fillId="8" borderId="12" xfId="0" applyFont="1" applyFill="1" applyBorder="1" applyAlignment="1">
      <alignment horizontal="left" vertical="top"/>
    </xf>
    <xf numFmtId="0" fontId="0" fillId="0" borderId="41" xfId="0" applyBorder="1"/>
    <xf numFmtId="0" fontId="0" fillId="0" borderId="42" xfId="0" applyBorder="1"/>
    <xf numFmtId="0" fontId="13" fillId="0" borderId="10" xfId="0" applyFont="1" applyBorder="1" applyAlignment="1">
      <alignment horizontal="center" vertical="center"/>
    </xf>
    <xf numFmtId="0" fontId="20" fillId="0" borderId="10" xfId="0" applyFont="1" applyBorder="1"/>
    <xf numFmtId="0" fontId="6" fillId="4" borderId="0" xfId="0" applyFont="1" applyFill="1" applyAlignment="1">
      <alignment horizontal="center" wrapText="1"/>
    </xf>
    <xf numFmtId="0" fontId="0" fillId="0" borderId="0" xfId="0" applyAlignment="1">
      <alignment horizontal="left" vertical="top" wrapText="1"/>
    </xf>
    <xf numFmtId="0" fontId="4" fillId="4" borderId="0" xfId="0" applyFont="1" applyFill="1" applyAlignment="1">
      <alignment horizontal="center" vertical="center"/>
    </xf>
    <xf numFmtId="0" fontId="7" fillId="8" borderId="21" xfId="0" applyFont="1" applyFill="1" applyBorder="1" applyAlignment="1">
      <alignment horizontal="left" vertical="top" wrapText="1"/>
    </xf>
    <xf numFmtId="0" fontId="7" fillId="8" borderId="23" xfId="0" applyFont="1" applyFill="1" applyBorder="1" applyAlignment="1">
      <alignment horizontal="left" vertical="top" wrapText="1"/>
    </xf>
    <xf numFmtId="0" fontId="7" fillId="8" borderId="12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37" xfId="0" applyFont="1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 wrapText="1"/>
    </xf>
    <xf numFmtId="0" fontId="7" fillId="8" borderId="33" xfId="0" applyFont="1" applyFill="1" applyBorder="1" applyAlignment="1">
      <alignment horizontal="center" vertical="center" wrapText="1"/>
    </xf>
    <xf numFmtId="0" fontId="7" fillId="8" borderId="30" xfId="0" applyFont="1" applyFill="1" applyBorder="1" applyAlignment="1">
      <alignment horizontal="center" vertical="center" wrapText="1"/>
    </xf>
    <xf numFmtId="0" fontId="7" fillId="8" borderId="34" xfId="0" applyFont="1" applyFill="1" applyBorder="1" applyAlignment="1">
      <alignment horizontal="center"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8" borderId="38" xfId="0" applyFont="1" applyFill="1" applyBorder="1" applyAlignment="1">
      <alignment horizontal="center" vertical="center" wrapText="1"/>
    </xf>
    <xf numFmtId="0" fontId="7" fillId="8" borderId="35" xfId="0" applyFont="1" applyFill="1" applyBorder="1" applyAlignment="1">
      <alignment horizontal="center" vertical="center" wrapText="1"/>
    </xf>
    <xf numFmtId="0" fontId="7" fillId="8" borderId="27" xfId="0" applyFont="1" applyFill="1" applyBorder="1" applyAlignment="1">
      <alignment horizontal="center" vertical="center" wrapText="1"/>
    </xf>
    <xf numFmtId="0" fontId="7" fillId="8" borderId="31" xfId="0" applyFont="1" applyFill="1" applyBorder="1" applyAlignment="1">
      <alignment horizontal="center" vertical="center" wrapText="1"/>
    </xf>
    <xf numFmtId="0" fontId="7" fillId="8" borderId="21" xfId="0" applyFont="1" applyFill="1" applyBorder="1" applyAlignment="1">
      <alignment horizontal="center" vertical="top" wrapText="1"/>
    </xf>
    <xf numFmtId="0" fontId="7" fillId="8" borderId="23" xfId="0" applyFont="1" applyFill="1" applyBorder="1" applyAlignment="1">
      <alignment horizontal="center" vertical="top" wrapText="1"/>
    </xf>
    <xf numFmtId="0" fontId="7" fillId="8" borderId="12" xfId="0" applyFont="1" applyFill="1" applyBorder="1" applyAlignment="1">
      <alignment horizontal="center" vertical="top" wrapText="1"/>
    </xf>
    <xf numFmtId="0" fontId="5" fillId="5" borderId="0" xfId="0" applyFont="1" applyFill="1" applyAlignment="1">
      <alignment horizontal="center" vertical="center"/>
    </xf>
    <xf numFmtId="0" fontId="6" fillId="0" borderId="0" xfId="0" applyFont="1" applyAlignment="1">
      <alignment wrapText="1"/>
    </xf>
    <xf numFmtId="0" fontId="5" fillId="2" borderId="0" xfId="0" applyFont="1" applyFill="1" applyAlignment="1">
      <alignment horizontal="center" vertical="center"/>
    </xf>
    <xf numFmtId="0" fontId="51" fillId="0" borderId="0" xfId="0" applyFont="1" applyAlignment="1">
      <alignment wrapText="1"/>
    </xf>
    <xf numFmtId="0" fontId="7" fillId="0" borderId="21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8" borderId="21" xfId="0" applyFont="1" applyFill="1" applyBorder="1" applyAlignment="1">
      <alignment vertical="center" wrapText="1"/>
    </xf>
    <xf numFmtId="0" fontId="7" fillId="8" borderId="23" xfId="0" applyFont="1" applyFill="1" applyBorder="1" applyAlignment="1">
      <alignment vertical="center" wrapText="1"/>
    </xf>
    <xf numFmtId="0" fontId="7" fillId="8" borderId="12" xfId="0" applyFont="1" applyFill="1" applyBorder="1" applyAlignment="1">
      <alignment vertical="center" wrapText="1"/>
    </xf>
    <xf numFmtId="0" fontId="7" fillId="8" borderId="21" xfId="0" applyFont="1" applyFill="1" applyBorder="1" applyAlignment="1">
      <alignment vertical="center"/>
    </xf>
    <xf numFmtId="0" fontId="7" fillId="8" borderId="23" xfId="0" applyFont="1" applyFill="1" applyBorder="1" applyAlignment="1">
      <alignment vertical="center"/>
    </xf>
    <xf numFmtId="0" fontId="7" fillId="8" borderId="12" xfId="0" applyFont="1" applyFill="1" applyBorder="1" applyAlignment="1">
      <alignment vertical="center"/>
    </xf>
    <xf numFmtId="0" fontId="7" fillId="8" borderId="21" xfId="0" applyFont="1" applyFill="1" applyBorder="1" applyAlignment="1">
      <alignment horizontal="center" vertical="center"/>
    </xf>
    <xf numFmtId="0" fontId="7" fillId="8" borderId="23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7" xfId="0" quotePrefix="1" applyBorder="1" applyAlignment="1">
      <alignment horizontal="left" vertical="top" wrapText="1"/>
    </xf>
    <xf numFmtId="0" fontId="56" fillId="4" borderId="8" xfId="0" applyFont="1" applyFill="1" applyBorder="1" applyAlignment="1">
      <alignment horizontal="center"/>
    </xf>
    <xf numFmtId="0" fontId="56" fillId="4" borderId="0" xfId="0" applyFont="1" applyFill="1" applyAlignment="1">
      <alignment horizontal="center"/>
    </xf>
    <xf numFmtId="0" fontId="0" fillId="16" borderId="21" xfId="0" applyFill="1" applyBorder="1" applyAlignment="1">
      <alignment horizontal="center" vertical="center" wrapText="1"/>
    </xf>
    <xf numFmtId="0" fontId="0" fillId="16" borderId="12" xfId="0" applyFill="1" applyBorder="1" applyAlignment="1">
      <alignment horizontal="center" vertical="center" wrapText="1"/>
    </xf>
    <xf numFmtId="9" fontId="2" fillId="4" borderId="7" xfId="0" applyNumberFormat="1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/>
    </xf>
    <xf numFmtId="0" fontId="2" fillId="16" borderId="7" xfId="0" applyFont="1" applyFill="1" applyBorder="1" applyAlignment="1">
      <alignment horizontal="center" vertical="center" wrapText="1"/>
    </xf>
    <xf numFmtId="0" fontId="0" fillId="0" borderId="33" xfId="0" quotePrefix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9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9" fontId="0" fillId="0" borderId="7" xfId="0" applyNumberFormat="1" applyBorder="1" applyAlignment="1">
      <alignment horizontal="left" vertical="top" wrapText="1"/>
    </xf>
    <xf numFmtId="0" fontId="13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15" fillId="6" borderId="27" xfId="0" applyFont="1" applyFill="1" applyBorder="1" applyAlignment="1">
      <alignment horizontal="center"/>
    </xf>
    <xf numFmtId="0" fontId="13" fillId="0" borderId="0" xfId="0" applyFont="1" applyAlignment="1">
      <alignment horizontal="center" wrapText="1"/>
    </xf>
    <xf numFmtId="0" fontId="7" fillId="0" borderId="7" xfId="0" applyFont="1" applyBorder="1" applyAlignment="1">
      <alignment horizontal="center" vertical="center" wrapText="1"/>
    </xf>
    <xf numFmtId="0" fontId="43" fillId="4" borderId="7" xfId="0" applyFont="1" applyFill="1" applyBorder="1" applyAlignment="1">
      <alignment horizontal="center"/>
    </xf>
    <xf numFmtId="0" fontId="14" fillId="0" borderId="0" xfId="0" applyFont="1" applyAlignment="1">
      <alignment wrapText="1"/>
    </xf>
    <xf numFmtId="0" fontId="7" fillId="0" borderId="7" xfId="0" applyFont="1" applyBorder="1" applyAlignment="1">
      <alignment horizont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top" wrapText="1"/>
    </xf>
    <xf numFmtId="0" fontId="13" fillId="0" borderId="0" xfId="0" applyFont="1" applyAlignment="1">
      <alignment horizontal="center"/>
    </xf>
    <xf numFmtId="0" fontId="7" fillId="0" borderId="7" xfId="0" applyFont="1" applyBorder="1" applyAlignment="1">
      <alignment horizontal="left" wrapText="1"/>
    </xf>
    <xf numFmtId="0" fontId="13" fillId="0" borderId="0" xfId="0" applyFont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23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3" fillId="0" borderId="0" xfId="0" applyFont="1" applyAlignment="1">
      <alignment wrapText="1"/>
    </xf>
    <xf numFmtId="0" fontId="7" fillId="0" borderId="33" xfId="0" applyFont="1" applyBorder="1" applyAlignment="1">
      <alignment horizontal="center" wrapText="1"/>
    </xf>
    <xf numFmtId="0" fontId="7" fillId="0" borderId="30" xfId="0" applyFont="1" applyBorder="1" applyAlignment="1">
      <alignment horizontal="center" wrapText="1"/>
    </xf>
    <xf numFmtId="0" fontId="7" fillId="0" borderId="34" xfId="0" applyFont="1" applyBorder="1" applyAlignment="1">
      <alignment horizontal="center" wrapText="1"/>
    </xf>
    <xf numFmtId="0" fontId="7" fillId="0" borderId="35" xfId="0" applyFont="1" applyBorder="1" applyAlignment="1">
      <alignment horizontal="center" wrapText="1"/>
    </xf>
    <xf numFmtId="0" fontId="7" fillId="0" borderId="27" xfId="0" applyFont="1" applyBorder="1" applyAlignment="1">
      <alignment horizontal="center" wrapText="1"/>
    </xf>
    <xf numFmtId="0" fontId="7" fillId="0" borderId="31" xfId="0" applyFont="1" applyBorder="1" applyAlignment="1">
      <alignment horizontal="center" wrapText="1"/>
    </xf>
    <xf numFmtId="0" fontId="15" fillId="6" borderId="7" xfId="0" applyFont="1" applyFill="1" applyBorder="1" applyAlignment="1">
      <alignment horizontal="center"/>
    </xf>
    <xf numFmtId="0" fontId="7" fillId="0" borderId="7" xfId="0" quotePrefix="1" applyFont="1" applyBorder="1" applyAlignment="1">
      <alignment horizontal="left" vertical="top" wrapText="1"/>
    </xf>
    <xf numFmtId="0" fontId="7" fillId="0" borderId="7" xfId="0" applyFont="1" applyBorder="1" applyAlignment="1">
      <alignment vertical="top" wrapText="1"/>
    </xf>
    <xf numFmtId="0" fontId="34" fillId="11" borderId="3" xfId="0" applyFont="1" applyFill="1" applyBorder="1" applyAlignment="1">
      <alignment horizontal="center" wrapText="1"/>
    </xf>
    <xf numFmtId="0" fontId="35" fillId="11" borderId="24" xfId="0" applyFont="1" applyFill="1" applyBorder="1" applyAlignment="1">
      <alignment horizontal="center" vertical="center" wrapText="1"/>
    </xf>
    <xf numFmtId="0" fontId="36" fillId="11" borderId="31" xfId="0" applyFont="1" applyFill="1" applyBorder="1" applyAlignment="1">
      <alignment horizontal="center" vertical="center" wrapText="1"/>
    </xf>
    <xf numFmtId="0" fontId="40" fillId="0" borderId="7" xfId="0" applyFont="1" applyBorder="1" applyAlignment="1">
      <alignment horizontal="center"/>
    </xf>
    <xf numFmtId="0" fontId="36" fillId="11" borderId="7" xfId="0" applyFont="1" applyFill="1" applyBorder="1" applyAlignment="1">
      <alignment horizontal="center" wrapText="1"/>
    </xf>
    <xf numFmtId="0" fontId="13" fillId="0" borderId="1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vertical="center" wrapText="1"/>
    </xf>
    <xf numFmtId="0" fontId="7" fillId="0" borderId="7" xfId="0" applyFont="1" applyBorder="1" applyAlignment="1">
      <alignment vertical="center"/>
    </xf>
    <xf numFmtId="0" fontId="13" fillId="0" borderId="0" xfId="0" applyFont="1"/>
    <xf numFmtId="0" fontId="7" fillId="0" borderId="11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5" fillId="0" borderId="7" xfId="0" applyFont="1" applyBorder="1" applyAlignment="1">
      <alignment wrapText="1"/>
    </xf>
    <xf numFmtId="0" fontId="10" fillId="0" borderId="7" xfId="0" applyFont="1" applyBorder="1" applyAlignment="1">
      <alignment horizontal="center" vertical="center" wrapText="1"/>
    </xf>
    <xf numFmtId="0" fontId="51" fillId="0" borderId="0" xfId="0" applyFont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45" fillId="17" borderId="0" xfId="0" applyFont="1" applyFill="1" applyAlignment="1">
      <alignment horizontal="center" vertical="center" wrapText="1"/>
    </xf>
    <xf numFmtId="9" fontId="0" fillId="4" borderId="7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48" fillId="0" borderId="7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6" borderId="38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7" fillId="0" borderId="21" xfId="0" applyFont="1" applyBorder="1" applyAlignment="1">
      <alignment horizontal="left" vertical="top" wrapText="1"/>
    </xf>
    <xf numFmtId="0" fontId="7" fillId="0" borderId="23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 wrapText="1"/>
    </xf>
    <xf numFmtId="0" fontId="7" fillId="0" borderId="0" xfId="0" applyFont="1" applyAlignment="1">
      <alignment horizontal="center"/>
    </xf>
    <xf numFmtId="0" fontId="7" fillId="0" borderId="21" xfId="0" applyFont="1" applyBorder="1" applyAlignment="1">
      <alignment horizontal="center" wrapText="1"/>
    </xf>
    <xf numFmtId="0" fontId="7" fillId="0" borderId="23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14" fillId="0" borderId="0" xfId="0" applyFont="1" applyAlignment="1">
      <alignment horizontal="center" vertical="center" wrapText="1"/>
    </xf>
    <xf numFmtId="0" fontId="7" fillId="0" borderId="2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10" fillId="0" borderId="33" xfId="0" quotePrefix="1" applyFont="1" applyBorder="1" applyAlignment="1">
      <alignment horizontal="center" vertical="center" wrapText="1"/>
    </xf>
    <xf numFmtId="0" fontId="10" fillId="0" borderId="30" xfId="0" quotePrefix="1" applyFont="1" applyBorder="1" applyAlignment="1">
      <alignment horizontal="center" vertical="center" wrapText="1"/>
    </xf>
    <xf numFmtId="0" fontId="10" fillId="0" borderId="34" xfId="0" quotePrefix="1" applyFont="1" applyBorder="1" applyAlignment="1">
      <alignment horizontal="center" vertical="center" wrapText="1"/>
    </xf>
    <xf numFmtId="0" fontId="10" fillId="0" borderId="8" xfId="0" quotePrefix="1" applyFont="1" applyBorder="1" applyAlignment="1">
      <alignment horizontal="center" vertical="center" wrapText="1"/>
    </xf>
    <xf numFmtId="0" fontId="10" fillId="0" borderId="0" xfId="0" quotePrefix="1" applyFont="1" applyAlignment="1">
      <alignment horizontal="center" vertical="center" wrapText="1"/>
    </xf>
    <xf numFmtId="0" fontId="10" fillId="0" borderId="38" xfId="0" quotePrefix="1" applyFont="1" applyBorder="1" applyAlignment="1">
      <alignment horizontal="center" vertical="center" wrapText="1"/>
    </xf>
    <xf numFmtId="0" fontId="10" fillId="0" borderId="35" xfId="0" quotePrefix="1" applyFont="1" applyBorder="1" applyAlignment="1">
      <alignment horizontal="center" vertical="center" wrapText="1"/>
    </xf>
    <xf numFmtId="0" fontId="10" fillId="0" borderId="27" xfId="0" quotePrefix="1" applyFont="1" applyBorder="1" applyAlignment="1">
      <alignment horizontal="center" vertical="center" wrapText="1"/>
    </xf>
    <xf numFmtId="0" fontId="10" fillId="0" borderId="31" xfId="0" quotePrefix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0" fillId="0" borderId="21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21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23" xfId="0" quotePrefix="1" applyBorder="1"/>
    <xf numFmtId="0" fontId="0" fillId="0" borderId="23" xfId="0" applyBorder="1"/>
    <xf numFmtId="0" fontId="0" fillId="0" borderId="12" xfId="0" applyBorder="1"/>
    <xf numFmtId="0" fontId="2" fillId="4" borderId="33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9" fontId="2" fillId="4" borderId="43" xfId="2" applyFont="1" applyFill="1" applyBorder="1" applyAlignment="1">
      <alignment horizontal="center" vertical="center"/>
    </xf>
    <xf numFmtId="9" fontId="2" fillId="4" borderId="44" xfId="2" applyFont="1" applyFill="1" applyBorder="1" applyAlignment="1">
      <alignment horizontal="center" vertical="center"/>
    </xf>
    <xf numFmtId="9" fontId="0" fillId="4" borderId="45" xfId="2" applyFont="1" applyFill="1" applyBorder="1" applyAlignment="1">
      <alignment horizontal="center" vertical="center"/>
    </xf>
    <xf numFmtId="9" fontId="0" fillId="4" borderId="46" xfId="2" applyFont="1" applyFill="1" applyBorder="1" applyAlignment="1">
      <alignment horizontal="center" vertical="center"/>
    </xf>
    <xf numFmtId="9" fontId="0" fillId="4" borderId="21" xfId="2" applyFont="1" applyFill="1" applyBorder="1" applyAlignment="1">
      <alignment horizontal="center" vertical="center"/>
    </xf>
    <xf numFmtId="9" fontId="0" fillId="4" borderId="12" xfId="2" applyFont="1" applyFill="1" applyBorder="1" applyAlignment="1">
      <alignment horizontal="center" vertical="center"/>
    </xf>
    <xf numFmtId="0" fontId="45" fillId="17" borderId="7" xfId="0" applyFont="1" applyFill="1" applyBorder="1" applyAlignment="1">
      <alignment horizontal="center" vertical="center" wrapText="1"/>
    </xf>
    <xf numFmtId="0" fontId="45" fillId="6" borderId="34" xfId="0" applyFont="1" applyFill="1" applyBorder="1" applyAlignment="1">
      <alignment horizontal="center" vertical="center" wrapText="1"/>
    </xf>
    <xf numFmtId="0" fontId="45" fillId="6" borderId="38" xfId="0" applyFont="1" applyFill="1" applyBorder="1" applyAlignment="1">
      <alignment horizontal="center" vertical="center" wrapText="1"/>
    </xf>
    <xf numFmtId="0" fontId="50" fillId="6" borderId="7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</cellXfs>
  <cellStyles count="9">
    <cellStyle name="Excel_BuiltIn_Comma" xfId="4" xr:uid="{00000000-0005-0000-0000-000000000000}"/>
    <cellStyle name="Milliers" xfId="1" builtinId="3"/>
    <cellStyle name="Normal" xfId="0" builtinId="0"/>
    <cellStyle name="Normal 2 2" xfId="8" xr:uid="{04BD4DAE-4493-4C20-9C42-1F434D5F1E5D}"/>
    <cellStyle name="Normal 3" xfId="6" xr:uid="{00000000-0005-0000-0000-000003000000}"/>
    <cellStyle name="Normal 7" xfId="3" xr:uid="{00000000-0005-0000-0000-000004000000}"/>
    <cellStyle name="Pourcentage" xfId="2" builtinId="5"/>
    <cellStyle name="Pourcentage 3" xfId="5" xr:uid="{00000000-0005-0000-0000-000006000000}"/>
    <cellStyle name="Pourcentage 3 4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demecloud-my.sharepoint.com/personal/alma_monserand_ademe_fr/Documents/Bureau/temporaire%20temporaire/scen%20ams2%20tato%20construction/construction_run3(2).xlsx" TargetMode="External"/><Relationship Id="rId1" Type="http://schemas.openxmlformats.org/officeDocument/2006/relationships/externalLinkPath" Target="construction_run3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uil1 (2)"/>
    </sheetNames>
    <sheetDataSet>
      <sheetData sheetId="0">
        <row r="13">
          <cell r="O13">
            <v>300</v>
          </cell>
          <cell r="Y13">
            <v>100</v>
          </cell>
          <cell r="AI13">
            <v>100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92"/>
  <sheetViews>
    <sheetView tabSelected="1" topLeftCell="A53" zoomScale="80" zoomScaleNormal="80" workbookViewId="0">
      <selection activeCell="H63" sqref="H63"/>
    </sheetView>
  </sheetViews>
  <sheetFormatPr baseColWidth="10" defaultRowHeight="15"/>
  <cols>
    <col min="1" max="1" width="19.5703125" customWidth="1"/>
    <col min="2" max="2" width="19.140625" customWidth="1"/>
    <col min="3" max="4" width="12.85546875" bestFit="1" customWidth="1"/>
    <col min="5" max="5" width="12.85546875" customWidth="1"/>
    <col min="6" max="7" width="12.42578125" customWidth="1"/>
    <col min="8" max="8" width="16" customWidth="1"/>
    <col min="9" max="9" width="8.85546875" customWidth="1"/>
    <col min="10" max="10" width="8" customWidth="1"/>
    <col min="11" max="11" width="18.85546875" customWidth="1"/>
  </cols>
  <sheetData>
    <row r="1" spans="1:15" ht="14.45" customHeight="1">
      <c r="A1" s="334" t="s">
        <v>1</v>
      </c>
      <c r="B1" s="334"/>
      <c r="C1" s="334"/>
      <c r="D1" s="332" t="s">
        <v>2</v>
      </c>
      <c r="E1" s="332"/>
      <c r="F1" s="332"/>
      <c r="G1" s="332"/>
      <c r="H1" s="332"/>
      <c r="I1" s="332"/>
      <c r="J1" s="332"/>
    </row>
    <row r="2" spans="1:15" ht="14.45" customHeight="1">
      <c r="A2" s="334"/>
      <c r="B2" s="334"/>
      <c r="C2" s="334"/>
      <c r="D2" s="332"/>
      <c r="E2" s="332"/>
      <c r="F2" s="332"/>
      <c r="G2" s="332"/>
      <c r="H2" s="332"/>
      <c r="I2" s="332"/>
      <c r="J2" s="332"/>
    </row>
    <row r="4" spans="1:15" ht="26.25">
      <c r="A4" s="311" t="s">
        <v>5</v>
      </c>
      <c r="B4" s="311"/>
      <c r="C4" s="311"/>
      <c r="D4" s="311"/>
      <c r="E4" s="311"/>
    </row>
    <row r="5" spans="1:15" ht="14.45" customHeight="1"/>
    <row r="6" spans="1:15" ht="14.45" customHeight="1"/>
    <row r="7" spans="1:15" ht="18">
      <c r="A7" s="15" t="s">
        <v>6</v>
      </c>
      <c r="C7" s="266">
        <f>C9/C10</f>
        <v>29.719036878900905</v>
      </c>
      <c r="D7" s="266">
        <f t="shared" ref="D7:F7" si="0">D9/D10</f>
        <v>31.29099110324784</v>
      </c>
      <c r="E7" s="266">
        <f t="shared" si="0"/>
        <v>32.395366456535164</v>
      </c>
      <c r="F7" s="266">
        <f t="shared" si="0"/>
        <v>32.50976416953025</v>
      </c>
      <c r="N7" s="11"/>
      <c r="O7" s="11"/>
    </row>
    <row r="8" spans="1:15">
      <c r="C8" s="17">
        <v>2020</v>
      </c>
      <c r="D8" s="17">
        <v>2030</v>
      </c>
      <c r="E8" s="17">
        <v>2040</v>
      </c>
      <c r="F8" s="17">
        <v>2050</v>
      </c>
      <c r="H8" s="222" t="s">
        <v>8</v>
      </c>
      <c r="I8" s="234"/>
      <c r="J8" s="223"/>
      <c r="K8" s="224"/>
      <c r="N8" s="2"/>
      <c r="O8" s="2"/>
    </row>
    <row r="9" spans="1:15" ht="25.5">
      <c r="A9" s="317" t="s">
        <v>9</v>
      </c>
      <c r="B9" s="249" t="s">
        <v>10</v>
      </c>
      <c r="C9" s="251">
        <v>65.150087834546284</v>
      </c>
      <c r="D9" s="251">
        <v>66.381694954194302</v>
      </c>
      <c r="E9" s="252">
        <v>66.908551375631674</v>
      </c>
      <c r="F9" s="252">
        <v>66.828310881977941</v>
      </c>
      <c r="H9" s="336" t="s">
        <v>441</v>
      </c>
      <c r="I9" s="337"/>
      <c r="J9" s="337"/>
      <c r="K9" s="338"/>
      <c r="N9" s="2"/>
      <c r="O9" s="2"/>
    </row>
    <row r="10" spans="1:15" ht="33.6" customHeight="1">
      <c r="A10" s="318"/>
      <c r="B10" s="249" t="s">
        <v>11</v>
      </c>
      <c r="C10" s="253">
        <v>2.1922005110737532</v>
      </c>
      <c r="D10" s="253">
        <v>2.1214315243375026</v>
      </c>
      <c r="E10" s="253">
        <v>2.0653741165546875</v>
      </c>
      <c r="F10" s="253">
        <v>2.0556381317774282</v>
      </c>
      <c r="H10" s="339" t="s">
        <v>442</v>
      </c>
      <c r="I10" s="340"/>
      <c r="J10" s="340"/>
      <c r="K10" s="341"/>
      <c r="N10" s="2"/>
      <c r="O10" s="2"/>
    </row>
    <row r="11" spans="1:15" ht="28.5" customHeight="1">
      <c r="A11" s="317" t="s">
        <v>432</v>
      </c>
      <c r="B11" s="249" t="s">
        <v>433</v>
      </c>
      <c r="C11" s="254">
        <v>56000</v>
      </c>
      <c r="D11" s="254">
        <v>58000</v>
      </c>
      <c r="E11" s="254">
        <v>61000</v>
      </c>
      <c r="F11" s="254">
        <v>63000</v>
      </c>
      <c r="H11" s="235" t="s">
        <v>12</v>
      </c>
      <c r="I11" s="236"/>
      <c r="J11" s="236"/>
      <c r="K11" s="237"/>
      <c r="N11" s="2"/>
      <c r="O11" s="2"/>
    </row>
    <row r="12" spans="1:15" ht="44.45" customHeight="1">
      <c r="A12" s="318"/>
      <c r="B12" s="16" t="s">
        <v>434</v>
      </c>
      <c r="C12" s="262">
        <v>5000</v>
      </c>
      <c r="D12" s="254">
        <v>7000</v>
      </c>
      <c r="E12" s="254">
        <v>10000</v>
      </c>
      <c r="F12" s="254">
        <v>10000</v>
      </c>
      <c r="H12" s="345" t="s">
        <v>371</v>
      </c>
      <c r="I12" s="346"/>
      <c r="J12" s="346"/>
      <c r="K12" s="347"/>
      <c r="N12" s="2"/>
      <c r="O12" s="2"/>
    </row>
    <row r="13" spans="1:15" ht="33.6" customHeight="1">
      <c r="A13" s="317" t="s">
        <v>435</v>
      </c>
      <c r="B13" s="16" t="s">
        <v>436</v>
      </c>
      <c r="C13" s="255">
        <v>0.1</v>
      </c>
      <c r="D13" s="255">
        <v>0.11</v>
      </c>
      <c r="E13" s="255">
        <v>0.115</v>
      </c>
      <c r="F13" s="255">
        <v>0.12</v>
      </c>
      <c r="H13" s="339" t="s">
        <v>16</v>
      </c>
      <c r="I13" s="340"/>
      <c r="J13" s="340"/>
      <c r="K13" s="341"/>
      <c r="N13" s="2"/>
      <c r="O13" s="2"/>
    </row>
    <row r="14" spans="1:15" ht="14.45" customHeight="1">
      <c r="A14" s="319"/>
      <c r="B14" s="16" t="s">
        <v>437</v>
      </c>
      <c r="C14" s="255">
        <v>8.14E-2</v>
      </c>
      <c r="D14" s="255">
        <v>8.7599999999999997E-2</v>
      </c>
      <c r="E14" s="255">
        <v>9.3799999999999994E-2</v>
      </c>
      <c r="F14" s="255">
        <v>0.1</v>
      </c>
      <c r="H14" s="320" t="s">
        <v>443</v>
      </c>
      <c r="I14" s="321"/>
      <c r="J14" s="321"/>
      <c r="K14" s="322"/>
      <c r="N14" s="2"/>
      <c r="O14" s="2"/>
    </row>
    <row r="15" spans="1:15">
      <c r="A15" s="319"/>
      <c r="B15" s="250" t="s">
        <v>438</v>
      </c>
      <c r="C15" s="256">
        <v>0.75</v>
      </c>
      <c r="D15" s="256">
        <v>0.74616501910855659</v>
      </c>
      <c r="E15" s="256">
        <v>0.73818110797762582</v>
      </c>
      <c r="F15" s="256">
        <v>0.77538623502699111</v>
      </c>
      <c r="H15" s="323"/>
      <c r="I15" s="324"/>
      <c r="J15" s="324"/>
      <c r="K15" s="325"/>
      <c r="N15" s="2"/>
      <c r="O15" s="2"/>
    </row>
    <row r="16" spans="1:15">
      <c r="A16" s="318"/>
      <c r="B16" s="250" t="s">
        <v>439</v>
      </c>
      <c r="C16" s="256">
        <v>0.17</v>
      </c>
      <c r="D16" s="256">
        <v>0.18808365699071419</v>
      </c>
      <c r="E16" s="256">
        <v>0.2029907090690907</v>
      </c>
      <c r="F16" s="256">
        <v>0.22933959064178608</v>
      </c>
      <c r="H16" s="326"/>
      <c r="I16" s="327"/>
      <c r="J16" s="327"/>
      <c r="K16" s="328"/>
      <c r="N16" s="2"/>
      <c r="O16" s="2"/>
    </row>
    <row r="17" spans="1:18" ht="51" customHeight="1">
      <c r="A17" s="187" t="s">
        <v>17</v>
      </c>
      <c r="B17" s="16" t="s">
        <v>18</v>
      </c>
      <c r="C17" s="257">
        <v>988000</v>
      </c>
      <c r="D17" s="257">
        <v>823333.33333333326</v>
      </c>
      <c r="E17" s="257">
        <v>658666.66666666663</v>
      </c>
      <c r="F17" s="257">
        <v>494000</v>
      </c>
      <c r="H17" s="329" t="s">
        <v>373</v>
      </c>
      <c r="I17" s="330"/>
      <c r="J17" s="330"/>
      <c r="K17" s="331"/>
      <c r="N17" s="225"/>
      <c r="O17" s="225"/>
      <c r="P17" s="225"/>
      <c r="Q17" s="225"/>
      <c r="R17" s="225"/>
    </row>
    <row r="18" spans="1:18" ht="15.6" customHeight="1"/>
    <row r="19" spans="1:18" ht="26.1" customHeight="1">
      <c r="A19" s="317" t="s">
        <v>13</v>
      </c>
      <c r="B19" s="8" t="s">
        <v>440</v>
      </c>
      <c r="C19" s="258">
        <v>0.46</v>
      </c>
      <c r="D19" s="258">
        <v>0.51</v>
      </c>
      <c r="E19" s="258">
        <v>0.51</v>
      </c>
      <c r="F19" s="258">
        <v>0.51</v>
      </c>
      <c r="H19" s="342" t="s">
        <v>44</v>
      </c>
      <c r="I19" s="343"/>
      <c r="J19" s="343"/>
      <c r="K19" s="344"/>
      <c r="N19" s="6"/>
      <c r="O19" s="6"/>
    </row>
    <row r="20" spans="1:18" ht="26.25">
      <c r="A20" s="319"/>
      <c r="B20" s="8" t="s">
        <v>14</v>
      </c>
      <c r="C20" s="259">
        <v>115.4</v>
      </c>
      <c r="D20" s="259">
        <v>120</v>
      </c>
      <c r="E20" s="259">
        <f>(D20+F20)/2</f>
        <v>120</v>
      </c>
      <c r="F20" s="259">
        <f>D20</f>
        <v>120</v>
      </c>
      <c r="H20" s="342" t="s">
        <v>45</v>
      </c>
      <c r="I20" s="343"/>
      <c r="J20" s="343"/>
      <c r="K20" s="344"/>
      <c r="N20" s="2"/>
      <c r="O20" s="2"/>
    </row>
    <row r="21" spans="1:18" ht="26.25">
      <c r="A21" s="318"/>
      <c r="B21" s="8" t="s">
        <v>15</v>
      </c>
      <c r="C21" s="259">
        <v>64.3</v>
      </c>
      <c r="D21" s="259">
        <v>68</v>
      </c>
      <c r="E21" s="259">
        <f>(D21+F21)/2</f>
        <v>68</v>
      </c>
      <c r="F21" s="259">
        <f>D21</f>
        <v>68</v>
      </c>
      <c r="H21" s="342" t="s">
        <v>45</v>
      </c>
      <c r="I21" s="343"/>
      <c r="J21" s="343"/>
      <c r="K21" s="344"/>
      <c r="N21" s="2"/>
      <c r="O21" s="2"/>
    </row>
    <row r="22" spans="1:18">
      <c r="A22" s="290" t="s">
        <v>523</v>
      </c>
      <c r="C22" s="296">
        <f>C19*C20+(1-C19)*C21</f>
        <v>87.806000000000012</v>
      </c>
      <c r="D22" s="296">
        <f t="shared" ref="D22:F22" si="1">D19*D20+(1-D19)*D21</f>
        <v>94.52000000000001</v>
      </c>
      <c r="E22" s="296">
        <f t="shared" si="1"/>
        <v>94.52000000000001</v>
      </c>
      <c r="F22" s="296">
        <f t="shared" si="1"/>
        <v>94.52000000000001</v>
      </c>
    </row>
    <row r="25" spans="1:18" ht="18">
      <c r="A25" s="15" t="s">
        <v>19</v>
      </c>
      <c r="C25" s="266">
        <f>C27/C28</f>
        <v>29.675683404876072</v>
      </c>
      <c r="D25" s="266">
        <f t="shared" ref="D25:F25" si="2">D27/D28</f>
        <v>31.386144186380282</v>
      </c>
      <c r="E25" s="266">
        <f t="shared" si="2"/>
        <v>31.710213922100323</v>
      </c>
      <c r="F25" s="266">
        <f t="shared" si="2"/>
        <v>31.97526836458275</v>
      </c>
    </row>
    <row r="26" spans="1:18">
      <c r="C26" s="17">
        <v>2020</v>
      </c>
      <c r="D26" s="17">
        <v>2030</v>
      </c>
      <c r="E26" s="17">
        <v>2040</v>
      </c>
      <c r="F26" s="17">
        <v>2050</v>
      </c>
      <c r="H26" s="222" t="s">
        <v>8</v>
      </c>
      <c r="I26" s="234"/>
      <c r="J26" s="223"/>
      <c r="K26" s="224"/>
      <c r="N26" s="2"/>
      <c r="O26" s="2"/>
    </row>
    <row r="27" spans="1:18" ht="25.5">
      <c r="A27" s="317" t="s">
        <v>9</v>
      </c>
      <c r="B27" s="249" t="s">
        <v>10</v>
      </c>
      <c r="C27" s="251">
        <v>65.150087834546284</v>
      </c>
      <c r="D27" s="251">
        <v>66.381694954194302</v>
      </c>
      <c r="E27" s="252">
        <v>66.908551375631674</v>
      </c>
      <c r="F27" s="252">
        <v>66.828310881977941</v>
      </c>
      <c r="H27" s="336" t="s">
        <v>441</v>
      </c>
      <c r="I27" s="337"/>
      <c r="J27" s="337"/>
      <c r="K27" s="338"/>
      <c r="N27" s="2"/>
      <c r="O27" s="2"/>
    </row>
    <row r="28" spans="1:18" ht="33.6" customHeight="1">
      <c r="A28" s="318"/>
      <c r="B28" s="249" t="s">
        <v>11</v>
      </c>
      <c r="C28" s="260">
        <v>2.195403116608305</v>
      </c>
      <c r="D28" s="260">
        <v>2.1150000000000002</v>
      </c>
      <c r="E28" s="260">
        <v>2.11</v>
      </c>
      <c r="F28" s="260">
        <v>2.09</v>
      </c>
      <c r="G28" s="295">
        <f>F27/36</f>
        <v>1.8563419689438316</v>
      </c>
      <c r="H28" s="302" t="s">
        <v>456</v>
      </c>
      <c r="I28" s="303"/>
      <c r="J28" s="303"/>
      <c r="K28" s="304"/>
      <c r="N28" s="2"/>
      <c r="O28" s="2"/>
    </row>
    <row r="29" spans="1:18" ht="42" customHeight="1">
      <c r="A29" s="317" t="s">
        <v>432</v>
      </c>
      <c r="B29" s="249" t="s">
        <v>433</v>
      </c>
      <c r="C29" s="257">
        <v>56334.212027700989</v>
      </c>
      <c r="D29" s="257">
        <v>58436.144389782472</v>
      </c>
      <c r="E29" s="257">
        <v>61089.165597675368</v>
      </c>
      <c r="F29" s="257">
        <v>62839.583270495757</v>
      </c>
      <c r="H29" s="312" t="s">
        <v>457</v>
      </c>
      <c r="I29" s="313"/>
      <c r="J29" s="313"/>
      <c r="K29" s="314"/>
      <c r="N29" s="2"/>
      <c r="O29" s="2"/>
    </row>
    <row r="30" spans="1:18" ht="44.45" customHeight="1">
      <c r="A30" s="318"/>
      <c r="B30" s="16" t="s">
        <v>434</v>
      </c>
      <c r="C30" s="262">
        <v>5000</v>
      </c>
      <c r="D30" s="262">
        <v>15000</v>
      </c>
      <c r="E30" s="262">
        <v>20000</v>
      </c>
      <c r="F30" s="262">
        <v>25000</v>
      </c>
      <c r="H30" s="312" t="s">
        <v>458</v>
      </c>
      <c r="I30" s="313"/>
      <c r="J30" s="313"/>
      <c r="K30" s="314"/>
      <c r="N30" s="2"/>
      <c r="O30" s="2"/>
    </row>
    <row r="31" spans="1:18" ht="33.6" customHeight="1">
      <c r="A31" s="317" t="s">
        <v>435</v>
      </c>
      <c r="B31" s="16" t="s">
        <v>436</v>
      </c>
      <c r="C31" s="255">
        <v>9.9288612238092586E-2</v>
      </c>
      <c r="D31" s="255">
        <v>9.9288612238092586E-2</v>
      </c>
      <c r="E31" s="255">
        <v>9.9288612238092586E-2</v>
      </c>
      <c r="F31" s="255">
        <v>9.9288612238092586E-2</v>
      </c>
      <c r="H31" s="302" t="s">
        <v>25</v>
      </c>
      <c r="I31" s="303"/>
      <c r="J31" s="303"/>
      <c r="K31" s="304"/>
      <c r="N31" s="2"/>
      <c r="O31" s="2"/>
    </row>
    <row r="32" spans="1:18" ht="14.45" customHeight="1">
      <c r="A32" s="319"/>
      <c r="B32" s="16" t="s">
        <v>437</v>
      </c>
      <c r="C32" s="255">
        <v>8.1448341021508358E-2</v>
      </c>
      <c r="D32" s="255">
        <v>7.8091934020381712E-2</v>
      </c>
      <c r="E32" s="255">
        <v>7.530522707589761E-2</v>
      </c>
      <c r="F32" s="255">
        <v>7.2593071016776201E-2</v>
      </c>
      <c r="H32" s="320" t="s">
        <v>459</v>
      </c>
      <c r="I32" s="321"/>
      <c r="J32" s="321"/>
      <c r="K32" s="322"/>
      <c r="N32" s="2"/>
      <c r="O32" s="2"/>
    </row>
    <row r="33" spans="1:25">
      <c r="A33" s="319"/>
      <c r="B33" s="250" t="s">
        <v>438</v>
      </c>
      <c r="C33" s="256">
        <v>0.75</v>
      </c>
      <c r="D33" s="256">
        <v>0.76388457183266723</v>
      </c>
      <c r="E33" s="256">
        <v>0.77477952701645825</v>
      </c>
      <c r="F33" s="256">
        <v>0.78556229084091111</v>
      </c>
      <c r="H33" s="323"/>
      <c r="I33" s="324"/>
      <c r="J33" s="324"/>
      <c r="K33" s="325"/>
      <c r="N33" s="2"/>
      <c r="O33" s="2"/>
    </row>
    <row r="34" spans="1:25">
      <c r="A34" s="318"/>
      <c r="B34" s="250" t="s">
        <v>439</v>
      </c>
      <c r="C34" s="256">
        <v>0.17</v>
      </c>
      <c r="D34" s="256">
        <v>0.1583580381597032</v>
      </c>
      <c r="E34" s="256">
        <v>0.14355190351206581</v>
      </c>
      <c r="F34" s="256">
        <v>0.12568996653454578</v>
      </c>
      <c r="H34" s="326"/>
      <c r="I34" s="327"/>
      <c r="J34" s="327"/>
      <c r="K34" s="328"/>
      <c r="N34" s="2"/>
      <c r="O34" s="2"/>
    </row>
    <row r="35" spans="1:25" ht="51" customHeight="1">
      <c r="A35" s="187" t="s">
        <v>17</v>
      </c>
      <c r="B35" s="16" t="s">
        <v>18</v>
      </c>
      <c r="C35" s="257">
        <v>988000</v>
      </c>
      <c r="D35" s="257">
        <v>658666.66666666663</v>
      </c>
      <c r="E35" s="257">
        <v>329333.33333333326</v>
      </c>
      <c r="F35" s="257">
        <v>0</v>
      </c>
      <c r="H35" s="329" t="s">
        <v>372</v>
      </c>
      <c r="I35" s="330"/>
      <c r="J35" s="330"/>
      <c r="K35" s="331"/>
      <c r="N35" s="225"/>
      <c r="O35" s="225"/>
      <c r="P35" s="225"/>
      <c r="Q35" s="225"/>
      <c r="R35" s="225"/>
    </row>
    <row r="36" spans="1:25" ht="15.6" customHeight="1">
      <c r="C36" s="80"/>
      <c r="D36" s="80"/>
      <c r="E36" s="80"/>
      <c r="F36" s="80"/>
    </row>
    <row r="37" spans="1:25" ht="42.6" customHeight="1">
      <c r="A37" s="317" t="s">
        <v>13</v>
      </c>
      <c r="B37" s="8" t="s">
        <v>440</v>
      </c>
      <c r="C37" s="258">
        <v>0.46</v>
      </c>
      <c r="D37" s="258">
        <v>0.41</v>
      </c>
      <c r="E37" s="258">
        <v>0.33</v>
      </c>
      <c r="F37" s="258">
        <v>0.25</v>
      </c>
      <c r="H37" s="302" t="s">
        <v>46</v>
      </c>
      <c r="I37" s="303"/>
      <c r="J37" s="303"/>
      <c r="K37" s="304"/>
      <c r="N37" s="6"/>
      <c r="O37" s="6"/>
    </row>
    <row r="38" spans="1:25" ht="26.25">
      <c r="A38" s="319"/>
      <c r="B38" s="8" t="s">
        <v>14</v>
      </c>
      <c r="C38" s="261">
        <v>115.4</v>
      </c>
      <c r="D38" s="261">
        <f t="shared" ref="D38:D39" si="3">C38</f>
        <v>115.4</v>
      </c>
      <c r="E38" s="261">
        <f t="shared" ref="E38:E39" si="4">D38</f>
        <v>115.4</v>
      </c>
      <c r="F38" s="261">
        <f t="shared" ref="F38:F39" si="5">E38</f>
        <v>115.4</v>
      </c>
      <c r="H38" s="302" t="s">
        <v>47</v>
      </c>
      <c r="I38" s="303"/>
      <c r="J38" s="303"/>
      <c r="K38" s="304"/>
      <c r="N38" s="2"/>
      <c r="O38" s="2"/>
    </row>
    <row r="39" spans="1:25" ht="26.25">
      <c r="A39" s="318"/>
      <c r="B39" s="8" t="s">
        <v>15</v>
      </c>
      <c r="C39" s="261">
        <v>64.3</v>
      </c>
      <c r="D39" s="261">
        <f t="shared" si="3"/>
        <v>64.3</v>
      </c>
      <c r="E39" s="261">
        <f t="shared" si="4"/>
        <v>64.3</v>
      </c>
      <c r="F39" s="261">
        <f t="shared" si="5"/>
        <v>64.3</v>
      </c>
      <c r="H39" s="302" t="s">
        <v>47</v>
      </c>
      <c r="I39" s="303"/>
      <c r="J39" s="303"/>
      <c r="K39" s="304"/>
      <c r="N39" s="2"/>
      <c r="O39" s="2"/>
    </row>
    <row r="40" spans="1:25" ht="16.5" customHeight="1">
      <c r="A40" s="290" t="s">
        <v>523</v>
      </c>
      <c r="C40" s="296">
        <f>C37*C38+(1-C37)*C39</f>
        <v>87.806000000000012</v>
      </c>
      <c r="D40" s="296">
        <f t="shared" ref="D40" si="6">D37*D38+(1-D37)*D39</f>
        <v>85.251000000000005</v>
      </c>
      <c r="E40" s="296">
        <f t="shared" ref="E40" si="7">E37*E38+(1-E37)*E39</f>
        <v>81.162999999999997</v>
      </c>
      <c r="F40" s="296">
        <f t="shared" ref="F40" si="8">F37*F38+(1-F37)*F39</f>
        <v>77.074999999999989</v>
      </c>
      <c r="K40" s="2"/>
      <c r="L40" s="2"/>
      <c r="M40" s="2"/>
      <c r="P40" s="10"/>
      <c r="Q40" s="10"/>
      <c r="R40" s="10"/>
      <c r="S40" s="10"/>
      <c r="T40" s="10"/>
      <c r="U40" s="10"/>
      <c r="V40" s="10"/>
      <c r="W40" s="10"/>
      <c r="X40" s="10"/>
      <c r="Y40" s="10"/>
    </row>
    <row r="42" spans="1:25" ht="26.25">
      <c r="A42" s="311" t="s">
        <v>26</v>
      </c>
      <c r="B42" s="311"/>
      <c r="C42" s="311"/>
      <c r="D42" s="311"/>
      <c r="E42" s="311"/>
    </row>
    <row r="44" spans="1:25" ht="18">
      <c r="A44" s="15" t="s">
        <v>6</v>
      </c>
    </row>
    <row r="45" spans="1:25">
      <c r="C45" s="17" t="s">
        <v>27</v>
      </c>
      <c r="D45" s="17" t="s">
        <v>28</v>
      </c>
      <c r="E45" s="17" t="s">
        <v>29</v>
      </c>
      <c r="F45" s="17" t="s">
        <v>30</v>
      </c>
    </row>
    <row r="46" spans="1:25" ht="14.45" customHeight="1">
      <c r="A46" s="333" t="s">
        <v>37</v>
      </c>
      <c r="B46" s="333"/>
      <c r="C46" s="208">
        <v>1944631.060138505</v>
      </c>
      <c r="D46" s="208">
        <v>2937188.3057598108</v>
      </c>
      <c r="E46" s="208">
        <v>2593568.3345230566</v>
      </c>
      <c r="F46" s="208">
        <v>1570405.2904936536</v>
      </c>
    </row>
    <row r="47" spans="1:25" ht="27.6" customHeight="1">
      <c r="A47" s="315" t="s">
        <v>31</v>
      </c>
      <c r="B47" s="315"/>
      <c r="C47" s="79">
        <v>1202000</v>
      </c>
      <c r="D47" s="79">
        <v>1317384.651501257</v>
      </c>
      <c r="E47" s="79">
        <v>1174248.2613126263</v>
      </c>
      <c r="F47" s="79">
        <v>307259.99811656401</v>
      </c>
    </row>
    <row r="48" spans="1:25">
      <c r="B48" s="26" t="s">
        <v>32</v>
      </c>
      <c r="C48" s="191">
        <f>C47*C19</f>
        <v>552920</v>
      </c>
      <c r="D48" s="191">
        <f>D47*D19</f>
        <v>671866.17226564104</v>
      </c>
      <c r="E48" s="191">
        <f>E47*E19</f>
        <v>598866.61326943943</v>
      </c>
      <c r="F48" s="191">
        <f>F47*F19</f>
        <v>156702.59903944764</v>
      </c>
    </row>
    <row r="49" spans="1:7">
      <c r="B49" s="26" t="s">
        <v>33</v>
      </c>
      <c r="C49" s="191">
        <f>C47-C48</f>
        <v>649080</v>
      </c>
      <c r="D49" s="191">
        <f>D47-D48</f>
        <v>645518.47923561593</v>
      </c>
      <c r="E49" s="191">
        <f t="shared" ref="E49:F49" si="9">E47-E48</f>
        <v>575381.64804318687</v>
      </c>
      <c r="F49" s="191">
        <f t="shared" si="9"/>
        <v>150557.39907711637</v>
      </c>
    </row>
    <row r="50" spans="1:7" ht="29.45" customHeight="1">
      <c r="A50" s="315" t="s">
        <v>34</v>
      </c>
      <c r="B50" s="315"/>
      <c r="C50" s="79">
        <v>195960</v>
      </c>
      <c r="D50" s="79">
        <v>393045.65555591072</v>
      </c>
      <c r="E50" s="79">
        <v>389181.93828279444</v>
      </c>
      <c r="F50" s="79">
        <v>315474.01505165128</v>
      </c>
    </row>
    <row r="51" spans="1:7" ht="32.1" customHeight="1">
      <c r="A51" s="315" t="s">
        <v>35</v>
      </c>
      <c r="B51" s="315"/>
      <c r="C51" s="79">
        <v>265000</v>
      </c>
      <c r="D51" s="79">
        <v>642396.5548048187</v>
      </c>
      <c r="E51" s="79">
        <v>419664.86696359701</v>
      </c>
      <c r="F51" s="79">
        <v>313923.28547987528</v>
      </c>
    </row>
    <row r="52" spans="1:7" ht="14.45" customHeight="1">
      <c r="A52" s="315" t="s">
        <v>36</v>
      </c>
      <c r="B52" s="315"/>
      <c r="C52" s="79">
        <v>281671.06013850495</v>
      </c>
      <c r="D52" s="79">
        <v>584361.44389782473</v>
      </c>
      <c r="E52" s="79">
        <v>610473.267964039</v>
      </c>
      <c r="F52" s="79">
        <v>633747.99184556305</v>
      </c>
    </row>
    <row r="53" spans="1:7">
      <c r="A53" s="315"/>
      <c r="B53" s="315"/>
    </row>
    <row r="54" spans="1:7" ht="14.45" customHeight="1">
      <c r="A54" s="316" t="s">
        <v>444</v>
      </c>
      <c r="B54" s="316"/>
      <c r="C54" s="209">
        <f>C46/5</f>
        <v>388926.21202770097</v>
      </c>
      <c r="D54" s="209">
        <f>D46/10</f>
        <v>293718.83057598106</v>
      </c>
      <c r="E54" s="209">
        <f>E46/10</f>
        <v>259356.83345230567</v>
      </c>
      <c r="F54" s="209">
        <f>F46/10</f>
        <v>157040.52904936537</v>
      </c>
    </row>
    <row r="55" spans="1:7" ht="14.45" customHeight="1">
      <c r="A55" s="335" t="s">
        <v>522</v>
      </c>
      <c r="B55" s="335"/>
      <c r="C55" s="297">
        <f>C54*C22</f>
        <v>34150054.973304316</v>
      </c>
      <c r="D55" s="297">
        <f t="shared" ref="D55:F55" si="10">D54*D22</f>
        <v>27762303.866041731</v>
      </c>
      <c r="E55" s="297">
        <f t="shared" si="10"/>
        <v>24514407.897911936</v>
      </c>
      <c r="F55" s="297">
        <f t="shared" si="10"/>
        <v>14843470.805746017</v>
      </c>
    </row>
    <row r="56" spans="1:7">
      <c r="D56" s="21">
        <f>(D55-$C$55)/$C$55</f>
        <v>-0.18704951169935158</v>
      </c>
      <c r="E56" s="21">
        <f t="shared" ref="E56:F56" si="11">(E55-$C$55)/$C$55</f>
        <v>-0.2821561219425483</v>
      </c>
      <c r="F56" s="21">
        <f t="shared" si="11"/>
        <v>-0.56534562485040174</v>
      </c>
    </row>
    <row r="57" spans="1:7" ht="18">
      <c r="A57" s="15" t="s">
        <v>19</v>
      </c>
      <c r="C57" s="9"/>
      <c r="D57" s="9"/>
    </row>
    <row r="58" spans="1:7">
      <c r="C58" s="28" t="s">
        <v>27</v>
      </c>
      <c r="D58" s="299">
        <v>2030</v>
      </c>
      <c r="E58" s="299">
        <v>2040</v>
      </c>
      <c r="F58" s="299">
        <v>2050</v>
      </c>
      <c r="G58" s="289" t="s">
        <v>526</v>
      </c>
    </row>
    <row r="59" spans="1:7">
      <c r="A59" s="333" t="s">
        <v>37</v>
      </c>
      <c r="B59" s="333"/>
      <c r="C59" s="191">
        <v>1944631.060138505</v>
      </c>
      <c r="D59" s="191">
        <v>2192719.2176097343</v>
      </c>
      <c r="E59" s="208">
        <v>1097565.7284335219</v>
      </c>
      <c r="F59" s="208">
        <v>995219.30063285469</v>
      </c>
    </row>
    <row r="60" spans="1:7" ht="30" customHeight="1">
      <c r="A60" s="315" t="s">
        <v>31</v>
      </c>
      <c r="B60" s="315"/>
      <c r="C60" s="191">
        <v>1202000</v>
      </c>
      <c r="D60" s="191">
        <v>1554740.4859807678</v>
      </c>
      <c r="E60" s="79">
        <v>666867.15834375471</v>
      </c>
      <c r="F60" s="79">
        <v>615814.0764968805</v>
      </c>
    </row>
    <row r="61" spans="1:7">
      <c r="B61" t="s">
        <v>32</v>
      </c>
      <c r="C61" s="191">
        <f>C60*C37</f>
        <v>552920</v>
      </c>
      <c r="D61" s="191">
        <f t="shared" ref="D61:F61" si="12">D60*D37</f>
        <v>637443.59925211477</v>
      </c>
      <c r="E61" s="191">
        <f t="shared" si="12"/>
        <v>220066.16225343908</v>
      </c>
      <c r="F61" s="191">
        <f t="shared" si="12"/>
        <v>153953.51912422013</v>
      </c>
    </row>
    <row r="62" spans="1:7">
      <c r="B62" t="s">
        <v>33</v>
      </c>
      <c r="C62" s="191">
        <f>C60-C61</f>
        <v>649080</v>
      </c>
      <c r="D62" s="191">
        <f t="shared" ref="D62:F62" si="13">D60-D61</f>
        <v>917296.88672865299</v>
      </c>
      <c r="E62" s="191">
        <f t="shared" si="13"/>
        <v>446800.99609031563</v>
      </c>
      <c r="F62" s="191">
        <f t="shared" si="13"/>
        <v>461860.55737266038</v>
      </c>
    </row>
    <row r="63" spans="1:7" ht="27.95" customHeight="1">
      <c r="A63" s="315" t="s">
        <v>34</v>
      </c>
      <c r="B63" s="315"/>
      <c r="C63" s="191">
        <v>195960</v>
      </c>
      <c r="D63" s="191">
        <v>30724.2625137617</v>
      </c>
      <c r="E63" s="79">
        <v>-52232.659297266626</v>
      </c>
      <c r="F63" s="79">
        <v>-60234.154695432866</v>
      </c>
    </row>
    <row r="64" spans="1:7" ht="26.1" customHeight="1">
      <c r="A64" s="315" t="s">
        <v>35</v>
      </c>
      <c r="B64" s="315"/>
      <c r="C64" s="191">
        <v>265000</v>
      </c>
      <c r="D64" s="191">
        <v>172893.02521738037</v>
      </c>
      <c r="E64" s="79">
        <v>67753.341717615724</v>
      </c>
      <c r="F64" s="79">
        <v>61243.546126449481</v>
      </c>
    </row>
    <row r="65" spans="1:8">
      <c r="A65" s="315" t="s">
        <v>36</v>
      </c>
      <c r="B65" s="315"/>
      <c r="C65" s="191">
        <v>281671.06013850495</v>
      </c>
      <c r="D65" s="191">
        <v>584361.44389782473</v>
      </c>
      <c r="E65" s="79">
        <v>615177.88766941801</v>
      </c>
      <c r="F65" s="79">
        <v>628395.83270495757</v>
      </c>
    </row>
    <row r="66" spans="1:8">
      <c r="A66" s="315"/>
      <c r="B66" s="315"/>
      <c r="C66" s="18"/>
      <c r="D66" s="18"/>
      <c r="E66" s="18"/>
      <c r="F66" s="18"/>
    </row>
    <row r="67" spans="1:8" ht="14.45" customHeight="1">
      <c r="A67" s="316" t="s">
        <v>444</v>
      </c>
      <c r="B67" s="316"/>
      <c r="C67" s="210">
        <v>388926.21202770097</v>
      </c>
      <c r="D67" s="300">
        <f>'[1]Feuil1 (2)'!$O$13*1000</f>
        <v>300000</v>
      </c>
      <c r="E67" s="301">
        <f>'[1]Feuil1 (2)'!$Y$13*1000</f>
        <v>100000</v>
      </c>
      <c r="F67" s="301">
        <f>'[1]Feuil1 (2)'!$AI$13*1000</f>
        <v>100000</v>
      </c>
      <c r="G67" s="289" t="s">
        <v>527</v>
      </c>
    </row>
    <row r="68" spans="1:8">
      <c r="A68" s="335" t="s">
        <v>522</v>
      </c>
      <c r="B68" s="335"/>
      <c r="C68" s="297">
        <f>C67*C40</f>
        <v>34150054.973304316</v>
      </c>
      <c r="D68" s="297">
        <f t="shared" ref="D68:F68" si="14">D67*D40</f>
        <v>25575300</v>
      </c>
      <c r="E68" s="297">
        <f t="shared" si="14"/>
        <v>8116300</v>
      </c>
      <c r="F68" s="297">
        <f t="shared" si="14"/>
        <v>7707499.9999999991</v>
      </c>
    </row>
    <row r="69" spans="1:8">
      <c r="C69" s="19"/>
      <c r="D69" s="21">
        <f>(D68-$C$68)/$C$68</f>
        <v>-0.25109051742397925</v>
      </c>
      <c r="E69" s="21">
        <f t="shared" ref="E69:F69" si="15">(E68-$C$68)/$C$68</f>
        <v>-0.76233420396117513</v>
      </c>
      <c r="F69" s="21">
        <f t="shared" si="15"/>
        <v>-0.77430490211435721</v>
      </c>
    </row>
    <row r="70" spans="1:8" ht="26.25">
      <c r="A70" s="311" t="s">
        <v>48</v>
      </c>
      <c r="B70" s="311"/>
      <c r="C70" s="311"/>
      <c r="D70" s="311"/>
      <c r="E70" s="311"/>
    </row>
    <row r="72" spans="1:8" ht="18">
      <c r="A72" s="15" t="s">
        <v>6</v>
      </c>
    </row>
    <row r="73" spans="1:8">
      <c r="C73" s="28">
        <v>2015</v>
      </c>
      <c r="D73" s="28">
        <v>2020</v>
      </c>
      <c r="E73" s="28">
        <v>2030</v>
      </c>
      <c r="F73" s="28">
        <v>2040</v>
      </c>
      <c r="G73" s="28">
        <v>2050</v>
      </c>
    </row>
    <row r="74" spans="1:8">
      <c r="A74" s="3" t="s">
        <v>38</v>
      </c>
      <c r="C74" s="211">
        <v>34306000</v>
      </c>
      <c r="D74" s="211">
        <v>35986000</v>
      </c>
      <c r="E74" s="211">
        <v>38321786.861861989</v>
      </c>
      <c r="F74" s="211">
        <v>40304881.928421006</v>
      </c>
      <c r="G74" s="211">
        <v>41241539.227069095</v>
      </c>
    </row>
    <row r="75" spans="1:8">
      <c r="B75" t="s">
        <v>39</v>
      </c>
      <c r="C75" s="4">
        <v>0</v>
      </c>
      <c r="D75" s="4">
        <v>0</v>
      </c>
      <c r="E75" s="79">
        <f>D46</f>
        <v>2937188.3057598108</v>
      </c>
      <c r="F75" s="79">
        <f>E46</f>
        <v>2593568.3345230566</v>
      </c>
      <c r="G75" s="79">
        <f>F46</f>
        <v>1570405.2904936536</v>
      </c>
    </row>
    <row r="76" spans="1:8">
      <c r="B76" t="s">
        <v>40</v>
      </c>
      <c r="C76" s="79">
        <f>C74-C75</f>
        <v>34306000</v>
      </c>
      <c r="D76" s="79">
        <f>D74-D75</f>
        <v>35986000</v>
      </c>
      <c r="E76" s="79">
        <f t="shared" ref="E76:G76" si="16">E74-E75</f>
        <v>35384598.556102179</v>
      </c>
      <c r="F76" s="79">
        <f t="shared" si="16"/>
        <v>37711313.593897946</v>
      </c>
      <c r="G76" s="79">
        <f t="shared" si="16"/>
        <v>39671133.936575443</v>
      </c>
    </row>
    <row r="78" spans="1:8">
      <c r="A78" t="s">
        <v>41</v>
      </c>
      <c r="C78" s="79">
        <v>28280000</v>
      </c>
      <c r="D78" s="79">
        <v>29482000</v>
      </c>
      <c r="E78" s="79">
        <v>29148508.557835802</v>
      </c>
      <c r="F78" s="79">
        <v>29864521.148929305</v>
      </c>
      <c r="G78" s="79">
        <v>30011910.679611649</v>
      </c>
      <c r="H78" s="18"/>
    </row>
    <row r="79" spans="1:8">
      <c r="B79" t="s">
        <v>506</v>
      </c>
      <c r="C79" s="18">
        <f>C78*0.5658</f>
        <v>16000824</v>
      </c>
      <c r="D79" s="18">
        <f>D78*0.5609</f>
        <v>16536453.799999999</v>
      </c>
      <c r="E79" s="79">
        <f t="shared" ref="E79:G80" si="17">D79+D48</f>
        <v>17208319.972265638</v>
      </c>
      <c r="F79" s="79">
        <f t="shared" si="17"/>
        <v>17807186.585535079</v>
      </c>
      <c r="G79" s="79">
        <f t="shared" si="17"/>
        <v>17963889.184574526</v>
      </c>
    </row>
    <row r="80" spans="1:8">
      <c r="B80" t="s">
        <v>507</v>
      </c>
      <c r="C80" s="18">
        <f>C78*0.4342</f>
        <v>12279176</v>
      </c>
      <c r="D80" s="18">
        <f>D78*0.4391</f>
        <v>12945546.199999999</v>
      </c>
      <c r="E80" s="79">
        <f t="shared" si="17"/>
        <v>13591064.679235615</v>
      </c>
      <c r="F80" s="79">
        <f t="shared" si="17"/>
        <v>14166446.327278802</v>
      </c>
      <c r="G80" s="79">
        <f t="shared" si="17"/>
        <v>14317003.726355918</v>
      </c>
    </row>
    <row r="81" spans="1:8">
      <c r="A81" t="s">
        <v>42</v>
      </c>
      <c r="C81" s="79">
        <v>3308000</v>
      </c>
      <c r="D81" s="79">
        <v>3573000</v>
      </c>
      <c r="E81" s="79">
        <v>4215396.5548048187</v>
      </c>
      <c r="F81" s="79">
        <v>4635061.4217684157</v>
      </c>
      <c r="G81" s="79">
        <v>4570040.5708038043</v>
      </c>
    </row>
    <row r="82" spans="1:8">
      <c r="A82" t="s">
        <v>43</v>
      </c>
      <c r="C82" s="79">
        <v>2718000</v>
      </c>
      <c r="D82" s="79">
        <v>2931000</v>
      </c>
      <c r="E82" s="79">
        <v>3307005.6555559109</v>
      </c>
      <c r="F82" s="79">
        <v>3696187.5938387052</v>
      </c>
      <c r="G82" s="79">
        <v>4011661.6088903565</v>
      </c>
    </row>
    <row r="83" spans="1:8">
      <c r="C83" s="18"/>
      <c r="D83" s="18"/>
      <c r="E83" s="18"/>
      <c r="F83" s="18"/>
      <c r="G83" s="18"/>
    </row>
    <row r="84" spans="1:8">
      <c r="A84" s="65" t="s">
        <v>499</v>
      </c>
      <c r="B84" t="s">
        <v>500</v>
      </c>
      <c r="C84" s="7">
        <v>115.696157148308</v>
      </c>
      <c r="D84" s="7">
        <v>115.4</v>
      </c>
      <c r="E84" s="7">
        <v>120</v>
      </c>
      <c r="F84" s="7">
        <v>120</v>
      </c>
      <c r="G84" s="7">
        <v>120</v>
      </c>
    </row>
    <row r="85" spans="1:8">
      <c r="B85" t="s">
        <v>501</v>
      </c>
      <c r="C85" s="7">
        <v>64.854803507717193</v>
      </c>
      <c r="D85" s="7">
        <v>64.3</v>
      </c>
      <c r="E85" s="7">
        <v>68</v>
      </c>
      <c r="F85" s="7">
        <v>68</v>
      </c>
      <c r="G85" s="7">
        <v>68</v>
      </c>
    </row>
    <row r="86" spans="1:8">
      <c r="B86" t="s">
        <v>502</v>
      </c>
      <c r="C86" s="7">
        <f>(C79*C84+C80*C85)/(C79+C80)</f>
        <v>93.620841397563467</v>
      </c>
      <c r="D86" s="7">
        <f>(D79*D84+D80*D85)/(D79+D80)</f>
        <v>92.96199</v>
      </c>
      <c r="E86" s="7">
        <f>(E79*E84+E80*E85)/(E79+E80)</f>
        <v>97.053588202587562</v>
      </c>
      <c r="F86" s="7">
        <f t="shared" ref="F86:G86" si="18">(F79*F84+F80*F85)/(F79+F80)</f>
        <v>96.960540861052024</v>
      </c>
      <c r="G86" s="7">
        <f t="shared" si="18"/>
        <v>96.937311002372482</v>
      </c>
    </row>
    <row r="87" spans="1:8">
      <c r="B87" s="290" t="s">
        <v>519</v>
      </c>
      <c r="C87" s="291" t="s">
        <v>520</v>
      </c>
      <c r="D87" s="291">
        <f>D86*D78/(C$9*10^6)</f>
        <v>42.067562458860138</v>
      </c>
      <c r="E87" s="291">
        <f t="shared" ref="E87:G87" si="19">E86*E78/(D$9*10^6)</f>
        <v>42.616678411780264</v>
      </c>
      <c r="F87" s="291">
        <f t="shared" si="19"/>
        <v>43.278176908955302</v>
      </c>
      <c r="G87" s="291">
        <f t="shared" si="19"/>
        <v>43.533554580825154</v>
      </c>
    </row>
    <row r="88" spans="1:8">
      <c r="A88" s="65" t="s">
        <v>508</v>
      </c>
      <c r="C88" s="291" t="s">
        <v>164</v>
      </c>
      <c r="D88" s="291">
        <f>D86*D74/(C$9*10^6)</f>
        <v>51.348053139018418</v>
      </c>
      <c r="E88" s="293">
        <f t="shared" ref="E88:G88" si="20">E86*E74/(D$9*10^6)</f>
        <v>56.02850189114497</v>
      </c>
      <c r="F88" s="293">
        <f t="shared" si="20"/>
        <v>58.407827860159635</v>
      </c>
      <c r="G88" s="293">
        <f t="shared" si="20"/>
        <v>59.822609033637391</v>
      </c>
    </row>
    <row r="89" spans="1:8">
      <c r="A89" t="s">
        <v>503</v>
      </c>
      <c r="C89" s="286">
        <f>C90+C91</f>
        <v>2647.597394723095</v>
      </c>
      <c r="D89" s="286">
        <f t="shared" ref="D89:G89" si="21">D90+D91</f>
        <v>2740.7053891799997</v>
      </c>
      <c r="E89" s="286">
        <f t="shared" si="21"/>
        <v>2989.1907948598987</v>
      </c>
      <c r="F89" s="286">
        <f t="shared" si="21"/>
        <v>3100.180740519168</v>
      </c>
      <c r="G89" s="286">
        <f t="shared" si="21"/>
        <v>3129.2229555411454</v>
      </c>
    </row>
    <row r="90" spans="1:8">
      <c r="B90" t="s">
        <v>506</v>
      </c>
      <c r="C90" s="286">
        <f>C79*C84/10^6</f>
        <v>1851.2338480064182</v>
      </c>
      <c r="D90" s="286">
        <f t="shared" ref="D90:G90" si="22">D79*D84/10^6</f>
        <v>1908.3067685199999</v>
      </c>
      <c r="E90" s="286">
        <f t="shared" si="22"/>
        <v>2064.9983966718769</v>
      </c>
      <c r="F90" s="286">
        <f t="shared" si="22"/>
        <v>2136.8623902642094</v>
      </c>
      <c r="G90" s="286">
        <f t="shared" si="22"/>
        <v>2155.6667021489429</v>
      </c>
    </row>
    <row r="91" spans="1:8">
      <c r="B91" t="s">
        <v>507</v>
      </c>
      <c r="C91" s="286">
        <f>C80*C85/10^6</f>
        <v>796.36354671667686</v>
      </c>
      <c r="D91" s="286">
        <f t="shared" ref="D91:G91" si="23">D80*D85/10^6</f>
        <v>832.39862066000001</v>
      </c>
      <c r="E91" s="286">
        <f t="shared" si="23"/>
        <v>924.1923981880218</v>
      </c>
      <c r="F91" s="286">
        <f t="shared" si="23"/>
        <v>963.31835025495855</v>
      </c>
      <c r="G91" s="286">
        <f t="shared" si="23"/>
        <v>973.55625339220239</v>
      </c>
    </row>
    <row r="92" spans="1:8">
      <c r="A92" t="s">
        <v>504</v>
      </c>
      <c r="C92" s="286">
        <f>C81*C86/10^6</f>
        <v>309.69774334313996</v>
      </c>
      <c r="D92" s="286">
        <f t="shared" ref="D92:G92" si="24">D81*D86/10^6</f>
        <v>332.15319026999998</v>
      </c>
      <c r="E92" s="286">
        <f t="shared" si="24"/>
        <v>409.11936134063319</v>
      </c>
      <c r="F92" s="286">
        <f t="shared" si="24"/>
        <v>449.41806237886237</v>
      </c>
      <c r="G92" s="286">
        <f t="shared" si="24"/>
        <v>443.00744410546821</v>
      </c>
    </row>
    <row r="93" spans="1:8">
      <c r="A93" t="s">
        <v>505</v>
      </c>
      <c r="C93" s="286">
        <f>C82*C86/10^6</f>
        <v>254.46144691857748</v>
      </c>
      <c r="D93" s="286">
        <f t="shared" ref="D93:G93" si="25">D82*D86/10^6</f>
        <v>272.47159269000002</v>
      </c>
      <c r="E93" s="286">
        <f t="shared" si="25"/>
        <v>320.9567650779515</v>
      </c>
      <c r="F93" s="286">
        <f t="shared" si="25"/>
        <v>358.38434822251133</v>
      </c>
      <c r="G93" s="286">
        <f t="shared" si="25"/>
        <v>388.87968901728243</v>
      </c>
    </row>
    <row r="94" spans="1:8">
      <c r="A94" t="s">
        <v>180</v>
      </c>
      <c r="C94" s="286">
        <f>C89+C92+C93</f>
        <v>3211.7565849848124</v>
      </c>
      <c r="D94" s="286">
        <f t="shared" ref="D94:G94" si="26">D89+D92+D93</f>
        <v>3345.3301721399994</v>
      </c>
      <c r="E94" s="286">
        <f t="shared" si="26"/>
        <v>3719.2669212784831</v>
      </c>
      <c r="F94" s="286">
        <f t="shared" si="26"/>
        <v>3907.9831511205421</v>
      </c>
      <c r="G94" s="286">
        <f t="shared" si="26"/>
        <v>3961.110088663896</v>
      </c>
    </row>
    <row r="95" spans="1:8">
      <c r="D95" s="292">
        <f>D94/C$9</f>
        <v>51.348053139018411</v>
      </c>
      <c r="E95" s="292">
        <f t="shared" ref="E95" si="27">E94/D$9</f>
        <v>56.028501891144955</v>
      </c>
      <c r="F95" s="292">
        <f t="shared" ref="F95" si="28">F94/E$9</f>
        <v>58.407827860159635</v>
      </c>
      <c r="G95" s="294">
        <f t="shared" ref="G95" si="29">G94/F$9</f>
        <v>59.272934425342726</v>
      </c>
      <c r="H95" s="290" t="s">
        <v>521</v>
      </c>
    </row>
    <row r="96" spans="1:8" ht="18">
      <c r="A96" s="15" t="s">
        <v>19</v>
      </c>
    </row>
    <row r="97" spans="1:8">
      <c r="C97" s="28">
        <v>2015</v>
      </c>
      <c r="D97" s="28">
        <v>2020</v>
      </c>
      <c r="E97" s="28">
        <v>2030</v>
      </c>
      <c r="F97" s="28">
        <v>2040</v>
      </c>
      <c r="G97" s="28">
        <v>2050</v>
      </c>
    </row>
    <row r="98" spans="1:8">
      <c r="A98" s="3" t="s">
        <v>38</v>
      </c>
      <c r="C98" s="211">
        <v>34306000</v>
      </c>
      <c r="D98" s="211">
        <v>35986000</v>
      </c>
      <c r="E98" s="211">
        <v>37727317.773711912</v>
      </c>
      <c r="F98" s="211">
        <v>38409705.61447601</v>
      </c>
      <c r="G98" s="211">
        <v>39026529.082403913</v>
      </c>
    </row>
    <row r="99" spans="1:8">
      <c r="B99" t="s">
        <v>39</v>
      </c>
      <c r="C99" s="4">
        <v>0</v>
      </c>
      <c r="D99" s="4">
        <v>0</v>
      </c>
      <c r="E99" s="212">
        <f>D59</f>
        <v>2192719.2176097343</v>
      </c>
      <c r="F99" s="212">
        <f>E59</f>
        <v>1097565.7284335219</v>
      </c>
      <c r="G99" s="212">
        <f>F59</f>
        <v>995219.30063285469</v>
      </c>
    </row>
    <row r="100" spans="1:8">
      <c r="B100" t="s">
        <v>40</v>
      </c>
      <c r="C100" s="79">
        <f>C98-C99</f>
        <v>34306000</v>
      </c>
      <c r="D100" s="79">
        <f>D98-D99</f>
        <v>35986000</v>
      </c>
      <c r="E100" s="79">
        <f t="shared" ref="E100:G100" si="30">E98-E99</f>
        <v>35534598.556102179</v>
      </c>
      <c r="F100" s="79">
        <f t="shared" si="30"/>
        <v>37312139.886042491</v>
      </c>
      <c r="G100" s="79">
        <f t="shared" si="30"/>
        <v>38031309.781771056</v>
      </c>
    </row>
    <row r="102" spans="1:8">
      <c r="A102" t="s">
        <v>41</v>
      </c>
      <c r="C102" s="79">
        <v>28280000</v>
      </c>
      <c r="D102" s="79">
        <v>29482000</v>
      </c>
      <c r="E102" s="79">
        <v>31036740.485980768</v>
      </c>
      <c r="F102" s="79">
        <v>31703607.644324522</v>
      </c>
      <c r="G102" s="79">
        <v>32319421.720821403</v>
      </c>
    </row>
    <row r="103" spans="1:8">
      <c r="B103" t="s">
        <v>506</v>
      </c>
      <c r="C103" s="79">
        <f>C102*0.5658</f>
        <v>16000824</v>
      </c>
      <c r="D103" s="79">
        <f>D102*0.5609</f>
        <v>16536453.799999999</v>
      </c>
      <c r="E103" s="79">
        <f>D103+D61</f>
        <v>17173897.399252113</v>
      </c>
      <c r="F103" s="79">
        <f t="shared" ref="F103:G103" si="31">E103+E61</f>
        <v>17393963.561505552</v>
      </c>
      <c r="G103" s="79">
        <f t="shared" si="31"/>
        <v>17547917.080629773</v>
      </c>
      <c r="H103" s="18"/>
    </row>
    <row r="104" spans="1:8">
      <c r="B104" t="s">
        <v>507</v>
      </c>
      <c r="C104" s="79">
        <f>C102*0.4342</f>
        <v>12279176</v>
      </c>
      <c r="D104" s="79">
        <f>D102*0.4391</f>
        <v>12945546.199999999</v>
      </c>
      <c r="E104" s="79">
        <f>D104+D62</f>
        <v>13862843.086728653</v>
      </c>
      <c r="F104" s="79">
        <f t="shared" ref="F104:G104" si="32">E104+E62</f>
        <v>14309644.082818968</v>
      </c>
      <c r="G104" s="79">
        <f t="shared" si="32"/>
        <v>14771504.64019163</v>
      </c>
    </row>
    <row r="105" spans="1:8">
      <c r="A105" t="s">
        <v>42</v>
      </c>
      <c r="C105" s="79">
        <v>3308000</v>
      </c>
      <c r="D105" s="79">
        <v>3573000</v>
      </c>
      <c r="E105" s="79">
        <v>3745893.0252173804</v>
      </c>
      <c r="F105" s="79">
        <v>3813646.3669349961</v>
      </c>
      <c r="G105" s="79">
        <v>3874889.9130614456</v>
      </c>
    </row>
    <row r="106" spans="1:8">
      <c r="A106" t="s">
        <v>43</v>
      </c>
      <c r="C106" s="79">
        <v>2718000</v>
      </c>
      <c r="D106" s="79">
        <v>2931000</v>
      </c>
      <c r="E106" s="79">
        <v>2944684.2625137619</v>
      </c>
      <c r="F106" s="79">
        <v>2892451.6032164954</v>
      </c>
      <c r="G106" s="79">
        <v>2832217.4485210623</v>
      </c>
    </row>
    <row r="108" spans="1:8">
      <c r="A108" s="65" t="s">
        <v>499</v>
      </c>
      <c r="B108" t="s">
        <v>500</v>
      </c>
      <c r="C108" s="7">
        <v>115.696157148308</v>
      </c>
      <c r="D108" s="7">
        <v>115.4</v>
      </c>
      <c r="E108" s="7">
        <f>D38</f>
        <v>115.4</v>
      </c>
      <c r="F108" s="7">
        <f t="shared" ref="F108:G108" si="33">E38</f>
        <v>115.4</v>
      </c>
      <c r="G108" s="7">
        <f t="shared" si="33"/>
        <v>115.4</v>
      </c>
    </row>
    <row r="109" spans="1:8">
      <c r="B109" t="s">
        <v>501</v>
      </c>
      <c r="C109" s="7">
        <v>64.854803507717193</v>
      </c>
      <c r="D109" s="7">
        <v>64.3</v>
      </c>
      <c r="E109" s="7">
        <f>D39</f>
        <v>64.3</v>
      </c>
      <c r="F109" s="7">
        <f t="shared" ref="F109:G109" si="34">E39</f>
        <v>64.3</v>
      </c>
      <c r="G109" s="7">
        <f t="shared" si="34"/>
        <v>64.3</v>
      </c>
    </row>
    <row r="110" spans="1:8">
      <c r="B110" t="s">
        <v>502</v>
      </c>
      <c r="C110" s="7">
        <f>(C103*C108+C104*C109)/(C103+C104)</f>
        <v>93.620841397563467</v>
      </c>
      <c r="D110" s="7">
        <f t="shared" ref="D110:G110" si="35">(D103*D108+D104*D109)/(D103+D104)</f>
        <v>92.96199</v>
      </c>
      <c r="E110" s="7">
        <f t="shared" si="35"/>
        <v>92.575719143193766</v>
      </c>
      <c r="F110" s="7">
        <f t="shared" si="35"/>
        <v>92.335659157927083</v>
      </c>
      <c r="G110" s="7">
        <f t="shared" si="35"/>
        <v>92.044882645672288</v>
      </c>
    </row>
    <row r="111" spans="1:8">
      <c r="B111" s="290" t="s">
        <v>519</v>
      </c>
      <c r="C111" s="291" t="s">
        <v>520</v>
      </c>
      <c r="D111" s="291">
        <f>D110*D102/(C$9*10^6)</f>
        <v>42.067562458860138</v>
      </c>
      <c r="E111" s="291">
        <f t="shared" ref="E111" si="36">E110*E102/(D$9*10^6)</f>
        <v>43.283748213012473</v>
      </c>
      <c r="F111" s="291">
        <f t="shared" ref="F111" si="37">F110*F102/(E$9*10^6)</f>
        <v>43.751859057423268</v>
      </c>
      <c r="G111" s="291">
        <f t="shared" ref="G111" si="38">G110*G102/(F$9*10^6)</f>
        <v>44.514627711041598</v>
      </c>
    </row>
    <row r="112" spans="1:8">
      <c r="A112" s="65" t="s">
        <v>508</v>
      </c>
      <c r="C112" s="291" t="s">
        <v>164</v>
      </c>
      <c r="D112" s="293">
        <f>D110*D98/(C$9*10^6)</f>
        <v>51.348053139018418</v>
      </c>
      <c r="E112" s="293">
        <f t="shared" ref="E112:G112" si="39">E110*E98/(D$9*10^6)</f>
        <v>52.614407882402162</v>
      </c>
      <c r="F112" s="293">
        <f t="shared" si="39"/>
        <v>53.006460505528949</v>
      </c>
      <c r="G112" s="293">
        <f t="shared" si="39"/>
        <v>53.752552504308717</v>
      </c>
    </row>
    <row r="113" spans="1:8">
      <c r="A113" t="s">
        <v>503</v>
      </c>
      <c r="C113" s="286">
        <f>C114+C115</f>
        <v>2647.597394723095</v>
      </c>
      <c r="D113" s="286">
        <f t="shared" ref="D113" si="40">D114+D115</f>
        <v>2740.7053891799997</v>
      </c>
      <c r="E113" s="286">
        <f t="shared" ref="E113" si="41">E114+E115</f>
        <v>2873.2485703503462</v>
      </c>
      <c r="F113" s="286">
        <f t="shared" ref="F113" si="42">F114+F115</f>
        <v>2927.3735095230004</v>
      </c>
      <c r="G113" s="286">
        <f t="shared" ref="G113" si="43">G114+G115</f>
        <v>2974.8373794689978</v>
      </c>
    </row>
    <row r="114" spans="1:8">
      <c r="B114" t="s">
        <v>506</v>
      </c>
      <c r="C114" s="286">
        <f>C103*C108/10^6</f>
        <v>1851.2338480064182</v>
      </c>
      <c r="D114" s="286">
        <f t="shared" ref="D114:G114" si="44">D103*D108/10^6</f>
        <v>1908.3067685199999</v>
      </c>
      <c r="E114" s="286">
        <f t="shared" si="44"/>
        <v>1981.867759873694</v>
      </c>
      <c r="F114" s="286">
        <f t="shared" si="44"/>
        <v>2007.2633949977408</v>
      </c>
      <c r="G114" s="286">
        <f t="shared" si="44"/>
        <v>2025.0296311046759</v>
      </c>
    </row>
    <row r="115" spans="1:8">
      <c r="B115" t="s">
        <v>507</v>
      </c>
      <c r="C115" s="286">
        <f>C104*C109/10^6</f>
        <v>796.36354671667686</v>
      </c>
      <c r="D115" s="286">
        <f t="shared" ref="D115:G115" si="45">D104*D109/10^6</f>
        <v>832.39862066000001</v>
      </c>
      <c r="E115" s="286">
        <f t="shared" si="45"/>
        <v>891.38081047665241</v>
      </c>
      <c r="F115" s="286">
        <f t="shared" si="45"/>
        <v>920.11011452525963</v>
      </c>
      <c r="G115" s="286">
        <f t="shared" si="45"/>
        <v>949.8077483643217</v>
      </c>
    </row>
    <row r="116" spans="1:8">
      <c r="A116" t="s">
        <v>504</v>
      </c>
      <c r="C116" s="286">
        <f>C105*C110/10^6</f>
        <v>309.69774334313996</v>
      </c>
      <c r="D116" s="286">
        <f t="shared" ref="D116:G116" si="46">D105*D110/10^6</f>
        <v>332.15319026999998</v>
      </c>
      <c r="E116" s="286">
        <f t="shared" si="46"/>
        <v>346.77874064297265</v>
      </c>
      <c r="F116" s="286">
        <f t="shared" si="46"/>
        <v>352.13555108617669</v>
      </c>
      <c r="G116" s="286">
        <f t="shared" si="46"/>
        <v>356.66378731264007</v>
      </c>
    </row>
    <row r="117" spans="1:8">
      <c r="A117" t="s">
        <v>505</v>
      </c>
      <c r="C117" s="286">
        <f>C106*C110/10^6</f>
        <v>254.46144691857748</v>
      </c>
      <c r="D117" s="286">
        <f t="shared" ref="D117:G117" si="47">D106*D110/10^6</f>
        <v>272.47159269000002</v>
      </c>
      <c r="E117" s="286">
        <f t="shared" si="47"/>
        <v>272.60626325185666</v>
      </c>
      <c r="F117" s="286">
        <f t="shared" si="47"/>
        <v>267.07642536539805</v>
      </c>
      <c r="G117" s="286">
        <f t="shared" si="47"/>
        <v>260.69112267614656</v>
      </c>
    </row>
    <row r="118" spans="1:8">
      <c r="A118" t="s">
        <v>180</v>
      </c>
      <c r="C118" s="286">
        <f>C113+C116+C117</f>
        <v>3211.7565849848124</v>
      </c>
      <c r="D118" s="286">
        <f t="shared" ref="D118:G118" si="48">D113+D116+D117</f>
        <v>3345.3301721399994</v>
      </c>
      <c r="E118" s="286">
        <f t="shared" si="48"/>
        <v>3492.6335742451752</v>
      </c>
      <c r="F118" s="286">
        <f t="shared" si="48"/>
        <v>3546.585485974575</v>
      </c>
      <c r="G118" s="286">
        <f t="shared" si="48"/>
        <v>3592.1922894577847</v>
      </c>
    </row>
    <row r="119" spans="1:8">
      <c r="D119" s="292">
        <f>D118/C$9</f>
        <v>51.348053139018411</v>
      </c>
      <c r="E119" s="292">
        <f t="shared" ref="E119:G119" si="49">E118/D$9</f>
        <v>52.614407882402141</v>
      </c>
      <c r="F119" s="292">
        <f t="shared" si="49"/>
        <v>53.006460505528949</v>
      </c>
      <c r="G119" s="292">
        <f t="shared" si="49"/>
        <v>53.752552504308717</v>
      </c>
    </row>
    <row r="120" spans="1:8" ht="26.25">
      <c r="A120" s="311" t="s">
        <v>376</v>
      </c>
      <c r="B120" s="311"/>
      <c r="C120" s="311"/>
      <c r="D120" s="311"/>
      <c r="E120" s="311"/>
    </row>
    <row r="122" spans="1:8" ht="14.45" customHeight="1">
      <c r="A122" s="309" t="s">
        <v>377</v>
      </c>
      <c r="B122" s="309"/>
    </row>
    <row r="123" spans="1:8" ht="14.45" customHeight="1"/>
    <row r="124" spans="1:8" ht="18">
      <c r="A124" s="15" t="s">
        <v>6</v>
      </c>
    </row>
    <row r="125" spans="1:8">
      <c r="A125" s="241"/>
      <c r="C125" s="28">
        <v>2020</v>
      </c>
      <c r="D125" s="28">
        <v>2030</v>
      </c>
      <c r="E125" s="28">
        <v>2040</v>
      </c>
      <c r="F125" s="28">
        <v>2050</v>
      </c>
    </row>
    <row r="126" spans="1:8">
      <c r="A126" s="241"/>
      <c r="B126" s="42" t="s">
        <v>378</v>
      </c>
      <c r="C126" s="42">
        <v>27.5</v>
      </c>
      <c r="D126" s="42">
        <v>27.5</v>
      </c>
      <c r="E126" s="42">
        <v>27.5</v>
      </c>
      <c r="F126" s="42">
        <v>27.5</v>
      </c>
      <c r="H126" s="22" t="s">
        <v>382</v>
      </c>
    </row>
    <row r="127" spans="1:8">
      <c r="B127" s="42" t="s">
        <v>379</v>
      </c>
      <c r="C127" s="42">
        <v>37.5</v>
      </c>
      <c r="D127" s="42">
        <v>37.5</v>
      </c>
      <c r="E127" s="42">
        <v>37.5</v>
      </c>
      <c r="F127" s="42">
        <v>37.5</v>
      </c>
      <c r="H127" s="22" t="s">
        <v>383</v>
      </c>
    </row>
    <row r="128" spans="1:8">
      <c r="B128" s="42" t="s">
        <v>380</v>
      </c>
      <c r="C128" s="42">
        <v>35</v>
      </c>
      <c r="D128" s="42">
        <v>35</v>
      </c>
      <c r="E128" s="42">
        <v>35</v>
      </c>
      <c r="F128" s="42">
        <v>35</v>
      </c>
    </row>
    <row r="129" spans="1:11">
      <c r="B129" s="42" t="s">
        <v>381</v>
      </c>
      <c r="C129" s="42">
        <v>42.5</v>
      </c>
      <c r="D129" s="42">
        <v>42.5</v>
      </c>
      <c r="E129" s="42">
        <v>42.5</v>
      </c>
      <c r="F129" s="42">
        <v>42.5</v>
      </c>
    </row>
    <row r="132" spans="1:11" ht="18">
      <c r="A132" s="15" t="s">
        <v>19</v>
      </c>
      <c r="B132" s="242"/>
      <c r="C132" s="28">
        <v>2020</v>
      </c>
      <c r="D132" s="28">
        <v>2030</v>
      </c>
      <c r="E132" s="28">
        <v>2040</v>
      </c>
      <c r="F132" s="28">
        <v>2050</v>
      </c>
    </row>
    <row r="133" spans="1:11">
      <c r="B133" s="42" t="s">
        <v>378</v>
      </c>
      <c r="C133" s="42">
        <v>27.5</v>
      </c>
      <c r="D133" s="42">
        <v>27.5</v>
      </c>
      <c r="E133" s="182">
        <v>26.25</v>
      </c>
      <c r="F133" s="42">
        <v>25</v>
      </c>
      <c r="H133" s="310" t="s">
        <v>385</v>
      </c>
      <c r="I133" s="310"/>
      <c r="J133" s="310"/>
      <c r="K133" s="310"/>
    </row>
    <row r="134" spans="1:11">
      <c r="B134" s="42" t="s">
        <v>384</v>
      </c>
      <c r="C134" s="42">
        <v>37.5</v>
      </c>
      <c r="D134" s="42">
        <v>37.5</v>
      </c>
      <c r="E134" s="182">
        <v>35.75</v>
      </c>
      <c r="F134" s="42">
        <v>34</v>
      </c>
      <c r="H134" s="310"/>
      <c r="I134" s="310"/>
      <c r="J134" s="310"/>
      <c r="K134" s="310"/>
    </row>
    <row r="135" spans="1:11">
      <c r="B135" s="42" t="s">
        <v>380</v>
      </c>
      <c r="C135" s="42">
        <v>35</v>
      </c>
      <c r="D135" s="42">
        <v>35</v>
      </c>
      <c r="E135" s="182">
        <v>33.25</v>
      </c>
      <c r="F135" s="42">
        <v>31.5</v>
      </c>
      <c r="H135" s="310" t="s">
        <v>386</v>
      </c>
      <c r="I135" s="310"/>
      <c r="J135" s="310"/>
      <c r="K135" s="310"/>
    </row>
    <row r="136" spans="1:11">
      <c r="B136" s="42" t="s">
        <v>381</v>
      </c>
      <c r="C136" s="42">
        <v>42.5</v>
      </c>
      <c r="D136" s="42">
        <v>42.5</v>
      </c>
      <c r="E136" s="182">
        <v>40.25</v>
      </c>
      <c r="F136" s="42">
        <v>38</v>
      </c>
      <c r="H136" s="310"/>
      <c r="I136" s="310"/>
      <c r="J136" s="310"/>
      <c r="K136" s="310"/>
    </row>
    <row r="138" spans="1:11">
      <c r="A138" s="309" t="s">
        <v>387</v>
      </c>
      <c r="B138" s="309"/>
    </row>
    <row r="140" spans="1:11" ht="60">
      <c r="A140" s="246" t="s">
        <v>6</v>
      </c>
      <c r="B140" s="242"/>
      <c r="C140" s="239" t="s">
        <v>127</v>
      </c>
      <c r="D140" s="239" t="s">
        <v>126</v>
      </c>
      <c r="E140" s="239" t="s">
        <v>388</v>
      </c>
      <c r="F140" s="239" t="s">
        <v>161</v>
      </c>
      <c r="G140" s="239" t="s">
        <v>152</v>
      </c>
      <c r="H140" s="239" t="s">
        <v>130</v>
      </c>
      <c r="I140" s="238" t="s">
        <v>389</v>
      </c>
      <c r="J140" s="268" t="s">
        <v>460</v>
      </c>
    </row>
    <row r="141" spans="1:11">
      <c r="B141" s="42" t="s">
        <v>390</v>
      </c>
      <c r="C141" s="243">
        <v>0.02</v>
      </c>
      <c r="D141" s="243">
        <v>0.02</v>
      </c>
      <c r="E141" s="243">
        <v>0.75</v>
      </c>
      <c r="F141" s="243">
        <v>0</v>
      </c>
      <c r="G141" s="43">
        <v>0</v>
      </c>
      <c r="H141" s="243">
        <v>0.18</v>
      </c>
      <c r="I141" s="243">
        <v>0.03</v>
      </c>
      <c r="J141" s="61">
        <f>SUM(C141:I141)</f>
        <v>1</v>
      </c>
    </row>
    <row r="142" spans="1:11">
      <c r="B142" s="42" t="s">
        <v>391</v>
      </c>
      <c r="C142" s="243">
        <v>0.02</v>
      </c>
      <c r="D142" s="243">
        <v>0.02</v>
      </c>
      <c r="E142" s="243">
        <v>0.75</v>
      </c>
      <c r="F142" s="243">
        <v>0</v>
      </c>
      <c r="G142" s="43">
        <v>0</v>
      </c>
      <c r="H142" s="243">
        <v>0.18</v>
      </c>
      <c r="I142" s="243">
        <v>0.03</v>
      </c>
      <c r="J142" s="61">
        <f t="shared" ref="J142:J149" si="50">SUM(C142:I142)</f>
        <v>1</v>
      </c>
      <c r="K142" s="22" t="s">
        <v>392</v>
      </c>
    </row>
    <row r="143" spans="1:11">
      <c r="B143" s="42" t="s">
        <v>393</v>
      </c>
      <c r="C143" s="243">
        <v>0.02</v>
      </c>
      <c r="D143" s="243">
        <v>0.02</v>
      </c>
      <c r="E143" s="243">
        <v>0.75</v>
      </c>
      <c r="F143" s="243">
        <v>0</v>
      </c>
      <c r="G143" s="43">
        <v>0</v>
      </c>
      <c r="H143" s="243">
        <v>0.18</v>
      </c>
      <c r="I143" s="243">
        <v>0.03</v>
      </c>
      <c r="J143" s="61">
        <f t="shared" si="50"/>
        <v>1</v>
      </c>
      <c r="K143" s="22" t="s">
        <v>394</v>
      </c>
    </row>
    <row r="144" spans="1:11">
      <c r="B144" s="42" t="s">
        <v>395</v>
      </c>
      <c r="C144" s="243">
        <v>0.02</v>
      </c>
      <c r="D144" s="243">
        <v>0.02</v>
      </c>
      <c r="E144" s="243">
        <v>0.75</v>
      </c>
      <c r="F144" s="243">
        <v>0</v>
      </c>
      <c r="G144" s="43">
        <v>0</v>
      </c>
      <c r="H144" s="243">
        <v>0.18</v>
      </c>
      <c r="I144" s="243">
        <v>0.03</v>
      </c>
      <c r="J144" s="61">
        <f t="shared" si="50"/>
        <v>1</v>
      </c>
      <c r="K144" s="22" t="s">
        <v>396</v>
      </c>
    </row>
    <row r="145" spans="1:11">
      <c r="B145" s="42" t="s">
        <v>397</v>
      </c>
      <c r="C145" s="243">
        <v>0.74</v>
      </c>
      <c r="D145" s="243">
        <v>0.02</v>
      </c>
      <c r="E145" s="243">
        <v>0.1</v>
      </c>
      <c r="F145" s="243">
        <v>0</v>
      </c>
      <c r="G145" s="43">
        <v>0.1</v>
      </c>
      <c r="H145" s="243">
        <v>0.01</v>
      </c>
      <c r="I145" s="243">
        <v>0.03</v>
      </c>
      <c r="J145" s="61">
        <f t="shared" si="50"/>
        <v>1</v>
      </c>
      <c r="K145" s="22" t="s">
        <v>398</v>
      </c>
    </row>
    <row r="146" spans="1:11">
      <c r="B146" s="42" t="s">
        <v>399</v>
      </c>
      <c r="C146" s="243">
        <v>0.2</v>
      </c>
      <c r="D146" s="243">
        <v>0.02</v>
      </c>
      <c r="E146" s="243">
        <v>0.61</v>
      </c>
      <c r="F146" s="243">
        <v>0</v>
      </c>
      <c r="G146" s="43">
        <v>0.12</v>
      </c>
      <c r="H146" s="243">
        <v>0.02</v>
      </c>
      <c r="I146" s="243">
        <v>0.03</v>
      </c>
      <c r="J146" s="61">
        <f t="shared" si="50"/>
        <v>1</v>
      </c>
      <c r="K146" s="22" t="s">
        <v>400</v>
      </c>
    </row>
    <row r="147" spans="1:11">
      <c r="B147" s="42" t="s">
        <v>401</v>
      </c>
      <c r="C147" s="243">
        <v>0.2</v>
      </c>
      <c r="D147" s="243">
        <v>0.02</v>
      </c>
      <c r="E147" s="243">
        <v>0.61</v>
      </c>
      <c r="F147" s="243">
        <v>0</v>
      </c>
      <c r="G147" s="43">
        <v>0.12</v>
      </c>
      <c r="H147" s="243">
        <v>0.02</v>
      </c>
      <c r="I147" s="243">
        <v>0.03</v>
      </c>
      <c r="J147" s="61">
        <f t="shared" si="50"/>
        <v>1</v>
      </c>
      <c r="K147" s="22" t="s">
        <v>402</v>
      </c>
    </row>
    <row r="148" spans="1:11">
      <c r="B148" s="42" t="s">
        <v>403</v>
      </c>
      <c r="C148" s="243">
        <v>0.2</v>
      </c>
      <c r="D148" s="243">
        <v>0.02</v>
      </c>
      <c r="E148" s="243">
        <v>0.61</v>
      </c>
      <c r="F148" s="243">
        <v>0</v>
      </c>
      <c r="G148" s="43">
        <v>0.12</v>
      </c>
      <c r="H148" s="243">
        <v>0.02</v>
      </c>
      <c r="I148" s="243">
        <v>0.03</v>
      </c>
      <c r="J148" s="61">
        <f t="shared" si="50"/>
        <v>1</v>
      </c>
    </row>
    <row r="149" spans="1:11">
      <c r="B149" s="42" t="s">
        <v>404</v>
      </c>
      <c r="C149" s="243">
        <v>0.2</v>
      </c>
      <c r="D149" s="243">
        <v>0.02</v>
      </c>
      <c r="E149" s="243">
        <v>0.61</v>
      </c>
      <c r="F149" s="243">
        <v>0</v>
      </c>
      <c r="G149" s="43">
        <v>0.12</v>
      </c>
      <c r="H149" s="243">
        <v>0.02</v>
      </c>
      <c r="I149" s="243">
        <v>0.03</v>
      </c>
      <c r="J149" s="61">
        <f t="shared" si="50"/>
        <v>1</v>
      </c>
      <c r="K149" t="s">
        <v>405</v>
      </c>
    </row>
    <row r="152" spans="1:11" ht="44.1" customHeight="1">
      <c r="A152" s="246" t="s">
        <v>19</v>
      </c>
      <c r="C152" s="239" t="s">
        <v>127</v>
      </c>
      <c r="D152" s="239" t="s">
        <v>126</v>
      </c>
      <c r="E152" s="239" t="s">
        <v>388</v>
      </c>
      <c r="F152" s="239" t="s">
        <v>161</v>
      </c>
      <c r="G152" s="239" t="s">
        <v>152</v>
      </c>
      <c r="H152" s="239" t="s">
        <v>130</v>
      </c>
      <c r="I152" s="238" t="s">
        <v>389</v>
      </c>
      <c r="J152" s="268" t="s">
        <v>460</v>
      </c>
    </row>
    <row r="153" spans="1:11">
      <c r="B153" s="42" t="s">
        <v>390</v>
      </c>
      <c r="C153" s="244">
        <v>0.02</v>
      </c>
      <c r="D153" s="244">
        <v>0.02</v>
      </c>
      <c r="E153" s="244">
        <v>0.75</v>
      </c>
      <c r="F153" s="244">
        <v>0</v>
      </c>
      <c r="G153" s="245">
        <v>5.0000000000000001E-3</v>
      </c>
      <c r="H153" s="244">
        <v>0.17499999999999999</v>
      </c>
      <c r="I153" s="244">
        <v>0.03</v>
      </c>
      <c r="J153" s="61">
        <f>SUM(C153:I153)</f>
        <v>1</v>
      </c>
    </row>
    <row r="154" spans="1:11">
      <c r="B154" s="42" t="s">
        <v>391</v>
      </c>
      <c r="C154" s="244">
        <v>0</v>
      </c>
      <c r="D154" s="244">
        <v>0.02</v>
      </c>
      <c r="E154" s="244">
        <v>0.76</v>
      </c>
      <c r="F154" s="244">
        <v>0</v>
      </c>
      <c r="G154" s="245">
        <v>0.01</v>
      </c>
      <c r="H154" s="244">
        <v>0.18</v>
      </c>
      <c r="I154" s="244">
        <v>0.03</v>
      </c>
      <c r="J154" s="61">
        <f t="shared" ref="J154:J161" si="51">SUM(C154:I154)</f>
        <v>1</v>
      </c>
      <c r="K154" s="22" t="s">
        <v>406</v>
      </c>
    </row>
    <row r="155" spans="1:11">
      <c r="B155" s="42" t="s">
        <v>393</v>
      </c>
      <c r="C155" s="244">
        <v>0</v>
      </c>
      <c r="D155" s="244">
        <v>0.02</v>
      </c>
      <c r="E155" s="244">
        <v>0.8</v>
      </c>
      <c r="F155" s="244">
        <v>0</v>
      </c>
      <c r="G155" s="245">
        <v>3.5000000000000003E-2</v>
      </c>
      <c r="H155" s="244">
        <v>0.1</v>
      </c>
      <c r="I155" s="244">
        <v>0.04</v>
      </c>
      <c r="J155" s="61">
        <f t="shared" si="51"/>
        <v>0.99500000000000011</v>
      </c>
      <c r="K155" s="22" t="s">
        <v>407</v>
      </c>
    </row>
    <row r="156" spans="1:11">
      <c r="B156" s="42" t="s">
        <v>395</v>
      </c>
      <c r="C156" s="244">
        <v>0</v>
      </c>
      <c r="D156" s="244">
        <v>0.02</v>
      </c>
      <c r="E156" s="244">
        <v>0.83</v>
      </c>
      <c r="F156" s="244">
        <v>0</v>
      </c>
      <c r="G156" s="245">
        <v>0.05</v>
      </c>
      <c r="H156" s="244">
        <v>0.05</v>
      </c>
      <c r="I156" s="244">
        <v>0.05</v>
      </c>
      <c r="J156" s="61">
        <f t="shared" si="51"/>
        <v>1</v>
      </c>
      <c r="K156" s="22" t="s">
        <v>408</v>
      </c>
    </row>
    <row r="157" spans="1:11">
      <c r="B157" t="s">
        <v>397</v>
      </c>
      <c r="C157" s="244">
        <v>0.74</v>
      </c>
      <c r="D157" s="244">
        <v>0.02</v>
      </c>
      <c r="E157" s="244">
        <v>0.1</v>
      </c>
      <c r="F157" s="244">
        <v>0</v>
      </c>
      <c r="G157" s="244">
        <v>0.1</v>
      </c>
      <c r="H157" s="244">
        <v>0.01</v>
      </c>
      <c r="I157" s="244">
        <v>0.03</v>
      </c>
      <c r="J157" s="61">
        <f t="shared" si="51"/>
        <v>1</v>
      </c>
    </row>
    <row r="158" spans="1:11">
      <c r="B158" s="42" t="s">
        <v>399</v>
      </c>
      <c r="C158" s="244">
        <v>0.21</v>
      </c>
      <c r="D158" s="244">
        <v>0.02</v>
      </c>
      <c r="E158" s="244">
        <v>0.59</v>
      </c>
      <c r="F158" s="244">
        <v>0</v>
      </c>
      <c r="G158" s="244">
        <v>0.13</v>
      </c>
      <c r="H158" s="244">
        <v>0.02</v>
      </c>
      <c r="I158" s="244">
        <v>0.03</v>
      </c>
      <c r="J158" s="61">
        <f t="shared" si="51"/>
        <v>1</v>
      </c>
    </row>
    <row r="159" spans="1:11">
      <c r="B159" s="42" t="s">
        <v>401</v>
      </c>
      <c r="C159" s="244">
        <v>0</v>
      </c>
      <c r="D159" s="244">
        <v>0.02</v>
      </c>
      <c r="E159" s="244">
        <v>0.65</v>
      </c>
      <c r="F159" s="244">
        <v>0</v>
      </c>
      <c r="G159" s="244">
        <v>0.28000000000000003</v>
      </c>
      <c r="H159" s="244">
        <v>0.02</v>
      </c>
      <c r="I159" s="244">
        <v>0.03</v>
      </c>
      <c r="J159" s="61">
        <f t="shared" si="51"/>
        <v>1</v>
      </c>
    </row>
    <row r="160" spans="1:11">
      <c r="B160" s="42" t="s">
        <v>403</v>
      </c>
      <c r="C160" s="244">
        <v>0</v>
      </c>
      <c r="D160" s="244">
        <v>1.4999999999999999E-2</v>
      </c>
      <c r="E160" s="244">
        <v>0.65</v>
      </c>
      <c r="F160" s="244">
        <v>0</v>
      </c>
      <c r="G160" s="244">
        <v>0.28000000000000003</v>
      </c>
      <c r="H160" s="244">
        <v>1.4999999999999999E-2</v>
      </c>
      <c r="I160" s="244">
        <v>0.04</v>
      </c>
      <c r="J160" s="61">
        <f t="shared" si="51"/>
        <v>1</v>
      </c>
    </row>
    <row r="161" spans="1:27">
      <c r="B161" s="42" t="s">
        <v>404</v>
      </c>
      <c r="C161" s="244">
        <v>0</v>
      </c>
      <c r="D161" s="244">
        <v>0.01</v>
      </c>
      <c r="E161" s="244">
        <v>0.65</v>
      </c>
      <c r="F161" s="244">
        <v>0</v>
      </c>
      <c r="G161" s="244">
        <v>0.28000000000000003</v>
      </c>
      <c r="H161" s="244">
        <v>0.01</v>
      </c>
      <c r="I161" s="244">
        <v>0.05</v>
      </c>
      <c r="J161" s="61">
        <f t="shared" si="51"/>
        <v>1</v>
      </c>
    </row>
    <row r="163" spans="1:27" ht="26.25">
      <c r="A163" s="311" t="s">
        <v>409</v>
      </c>
      <c r="B163" s="311"/>
      <c r="C163" s="311"/>
      <c r="D163" s="311"/>
      <c r="E163" s="311"/>
    </row>
    <row r="166" spans="1:27">
      <c r="A166" s="309" t="s">
        <v>410</v>
      </c>
      <c r="B166" s="309"/>
      <c r="D166" s="10"/>
      <c r="E166" s="10"/>
      <c r="F166" s="10"/>
      <c r="G166" s="10"/>
      <c r="H166" s="10"/>
      <c r="I166" s="10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>
      <c r="B167" s="2"/>
      <c r="Q167" s="49" t="s">
        <v>93</v>
      </c>
      <c r="R167" s="26"/>
      <c r="S167" s="307" t="s">
        <v>21</v>
      </c>
      <c r="T167" s="307"/>
      <c r="U167" s="240" t="s">
        <v>22</v>
      </c>
      <c r="V167" s="240"/>
      <c r="W167" s="240" t="s">
        <v>23</v>
      </c>
      <c r="X167" s="240"/>
      <c r="Y167" s="240" t="s">
        <v>24</v>
      </c>
      <c r="Z167" s="240"/>
      <c r="AA167" s="26"/>
    </row>
    <row r="168" spans="1:27" ht="18">
      <c r="A168" s="246" t="s">
        <v>6</v>
      </c>
      <c r="B168" s="42"/>
      <c r="C168" s="28">
        <v>2020</v>
      </c>
      <c r="D168" s="28">
        <v>2030</v>
      </c>
      <c r="E168" s="28">
        <v>2040</v>
      </c>
      <c r="F168" s="28">
        <v>2050</v>
      </c>
      <c r="H168" s="22" t="s">
        <v>411</v>
      </c>
      <c r="K168" s="3"/>
      <c r="Q168" s="26"/>
      <c r="R168" s="54">
        <v>2014</v>
      </c>
      <c r="S168" s="54" t="s">
        <v>412</v>
      </c>
      <c r="T168" s="54" t="s">
        <v>413</v>
      </c>
      <c r="U168" s="54" t="s">
        <v>412</v>
      </c>
      <c r="V168" s="54" t="s">
        <v>413</v>
      </c>
      <c r="W168" s="54" t="s">
        <v>412</v>
      </c>
      <c r="X168" s="54" t="s">
        <v>413</v>
      </c>
      <c r="Y168" s="54" t="s">
        <v>412</v>
      </c>
      <c r="Z168" s="54" t="s">
        <v>413</v>
      </c>
      <c r="AA168" s="26"/>
    </row>
    <row r="169" spans="1:27">
      <c r="A169" s="305" t="s">
        <v>414</v>
      </c>
      <c r="B169" s="306"/>
      <c r="C169" s="243">
        <v>0.05</v>
      </c>
      <c r="D169" s="243">
        <v>0.25</v>
      </c>
      <c r="E169" s="243">
        <v>0.25</v>
      </c>
      <c r="F169" s="243">
        <v>0.25</v>
      </c>
      <c r="H169" t="s">
        <v>416</v>
      </c>
      <c r="Q169" s="248" t="s">
        <v>414</v>
      </c>
      <c r="R169" s="94">
        <v>9.7000000000000003E-2</v>
      </c>
      <c r="S169" s="94">
        <v>0.23300000000000001</v>
      </c>
      <c r="T169" s="94">
        <v>0.55000000000000004</v>
      </c>
      <c r="U169" s="94">
        <v>0.192</v>
      </c>
      <c r="V169" s="94">
        <v>0.4</v>
      </c>
      <c r="W169" s="94">
        <v>0.16</v>
      </c>
      <c r="X169" s="94">
        <v>0.28999999999999998</v>
      </c>
      <c r="Y169" s="94">
        <v>0.113</v>
      </c>
      <c r="Z169" s="94">
        <v>0.14000000000000001</v>
      </c>
      <c r="AA169" s="26"/>
    </row>
    <row r="170" spans="1:27">
      <c r="A170" s="305" t="s">
        <v>417</v>
      </c>
      <c r="B170" s="306"/>
      <c r="C170" s="243">
        <v>0</v>
      </c>
      <c r="D170" s="243">
        <v>0.02</v>
      </c>
      <c r="E170" s="243">
        <v>0.02</v>
      </c>
      <c r="F170" s="243">
        <v>0.02</v>
      </c>
      <c r="Q170" s="248" t="s">
        <v>417</v>
      </c>
      <c r="R170" s="94">
        <v>0</v>
      </c>
      <c r="S170" s="94">
        <v>2.3E-2</v>
      </c>
      <c r="T170" s="94">
        <v>7.0000000000000007E-2</v>
      </c>
      <c r="U170" s="94">
        <v>2.3E-2</v>
      </c>
      <c r="V170" s="94">
        <v>7.0000000000000007E-2</v>
      </c>
      <c r="W170" s="94">
        <v>2.3E-2</v>
      </c>
      <c r="X170" s="94">
        <v>7.0000000000000007E-2</v>
      </c>
      <c r="Y170" s="94">
        <v>2.3E-2</v>
      </c>
      <c r="Z170" s="94">
        <v>7.0000000000000007E-2</v>
      </c>
      <c r="AA170" s="26"/>
    </row>
    <row r="171" spans="1:27">
      <c r="A171" s="305" t="s">
        <v>418</v>
      </c>
      <c r="B171" s="306"/>
      <c r="C171" s="243">
        <v>0.01</v>
      </c>
      <c r="D171" s="243">
        <v>0.05</v>
      </c>
      <c r="E171" s="243">
        <v>0.05</v>
      </c>
      <c r="F171" s="243">
        <v>0.05</v>
      </c>
      <c r="Q171" s="248" t="s">
        <v>418</v>
      </c>
      <c r="R171" s="94">
        <v>3.3000000000000002E-2</v>
      </c>
      <c r="S171" s="94">
        <v>0.154</v>
      </c>
      <c r="T171" s="94">
        <v>0.45</v>
      </c>
      <c r="U171" s="94">
        <v>0.13300000000000001</v>
      </c>
      <c r="V171" s="94">
        <v>0.37</v>
      </c>
      <c r="W171" s="94">
        <v>9.9000000000000005E-2</v>
      </c>
      <c r="X171" s="94">
        <v>0.25</v>
      </c>
      <c r="Y171" s="94">
        <v>5.8999999999999997E-2</v>
      </c>
      <c r="Z171" s="94">
        <v>0.12</v>
      </c>
      <c r="AA171" s="26"/>
    </row>
    <row r="172" spans="1:27">
      <c r="A172" s="305" t="s">
        <v>419</v>
      </c>
      <c r="B172" s="306"/>
      <c r="C172" s="243">
        <v>0.01</v>
      </c>
      <c r="D172" s="243">
        <v>0.2</v>
      </c>
      <c r="E172" s="243">
        <v>0.2</v>
      </c>
      <c r="F172" s="243">
        <v>0.2</v>
      </c>
      <c r="Q172" s="248"/>
      <c r="R172" s="94"/>
      <c r="S172" s="94"/>
      <c r="T172" s="94"/>
      <c r="U172" s="94"/>
      <c r="V172" s="94"/>
      <c r="W172" s="94"/>
      <c r="X172" s="94"/>
      <c r="Y172" s="94"/>
      <c r="Z172" s="94"/>
      <c r="AA172" s="26"/>
    </row>
    <row r="173" spans="1:27">
      <c r="A173" s="305" t="s">
        <v>420</v>
      </c>
      <c r="B173" s="306"/>
      <c r="C173" s="243">
        <v>0</v>
      </c>
      <c r="D173" s="243">
        <v>0.02</v>
      </c>
      <c r="E173" s="243">
        <v>0.02</v>
      </c>
      <c r="F173" s="243">
        <v>0.02</v>
      </c>
      <c r="Q173" s="248" t="s">
        <v>420</v>
      </c>
      <c r="R173" s="94">
        <v>0</v>
      </c>
      <c r="S173" s="94">
        <v>2.3E-2</v>
      </c>
      <c r="T173" s="94">
        <v>7.0000000000000007E-2</v>
      </c>
      <c r="U173" s="94">
        <v>2.3E-2</v>
      </c>
      <c r="V173" s="94">
        <v>7.0000000000000007E-2</v>
      </c>
      <c r="W173" s="94">
        <v>2.3E-2</v>
      </c>
      <c r="X173" s="94">
        <v>7.0000000000000007E-2</v>
      </c>
      <c r="Y173" s="94">
        <v>2.3E-2</v>
      </c>
      <c r="Z173" s="94">
        <v>7.0000000000000007E-2</v>
      </c>
      <c r="AA173" s="26"/>
    </row>
    <row r="174" spans="1:27">
      <c r="A174" s="305" t="s">
        <v>421</v>
      </c>
      <c r="B174" s="306"/>
      <c r="C174" s="243">
        <v>0.01</v>
      </c>
      <c r="D174" s="243">
        <v>0.05</v>
      </c>
      <c r="E174" s="243">
        <v>0.05</v>
      </c>
      <c r="F174" s="243">
        <v>0.05</v>
      </c>
      <c r="H174" t="s">
        <v>422</v>
      </c>
      <c r="Q174" s="248" t="s">
        <v>421</v>
      </c>
      <c r="R174" s="94">
        <v>0.02</v>
      </c>
      <c r="S174" s="94">
        <v>0.152</v>
      </c>
      <c r="T174" s="94">
        <v>0.47</v>
      </c>
      <c r="U174" s="94">
        <v>0.128</v>
      </c>
      <c r="V174" s="94">
        <v>0.38</v>
      </c>
      <c r="W174" s="94">
        <v>9.7000000000000003E-2</v>
      </c>
      <c r="X174" s="94">
        <v>0.27</v>
      </c>
      <c r="Y174" s="94">
        <v>6.2E-2</v>
      </c>
      <c r="Z174" s="94">
        <v>0.15</v>
      </c>
      <c r="AA174" s="26"/>
    </row>
    <row r="175" spans="1:27">
      <c r="A175" s="305" t="s">
        <v>423</v>
      </c>
      <c r="B175" s="306"/>
      <c r="C175" s="243">
        <v>0.01</v>
      </c>
      <c r="D175" s="243">
        <v>0.2</v>
      </c>
      <c r="E175" s="243">
        <v>0.2</v>
      </c>
      <c r="F175" s="243">
        <v>0.2</v>
      </c>
      <c r="H175" t="s">
        <v>422</v>
      </c>
      <c r="Q175" s="248"/>
      <c r="R175" s="94"/>
      <c r="S175" s="94"/>
      <c r="T175" s="94"/>
      <c r="U175" s="94"/>
      <c r="V175" s="94"/>
      <c r="W175" s="94"/>
      <c r="X175" s="94"/>
      <c r="Y175" s="94"/>
      <c r="Z175" s="94"/>
      <c r="AA175" s="26"/>
    </row>
    <row r="176" spans="1:27">
      <c r="A176" s="305" t="s">
        <v>424</v>
      </c>
      <c r="B176" s="306"/>
      <c r="C176" s="243">
        <v>0</v>
      </c>
      <c r="D176" s="243">
        <v>0.02</v>
      </c>
      <c r="E176" s="243">
        <v>0.02</v>
      </c>
      <c r="F176" s="243">
        <v>0.02</v>
      </c>
      <c r="Q176" s="248" t="s">
        <v>424</v>
      </c>
      <c r="R176" s="94">
        <v>0</v>
      </c>
      <c r="S176" s="94">
        <v>2.3E-2</v>
      </c>
      <c r="T176" s="94">
        <v>7.0000000000000007E-2</v>
      </c>
      <c r="U176" s="94">
        <v>2.3E-2</v>
      </c>
      <c r="V176" s="94">
        <v>7.0000000000000007E-2</v>
      </c>
      <c r="W176" s="94">
        <v>2.3E-2</v>
      </c>
      <c r="X176" s="94">
        <v>7.0000000000000007E-2</v>
      </c>
      <c r="Y176" s="94">
        <v>2.3E-2</v>
      </c>
      <c r="Z176" s="94">
        <v>7.0000000000000007E-2</v>
      </c>
      <c r="AA176" s="26"/>
    </row>
    <row r="177" spans="1:27">
      <c r="A177" s="305" t="s">
        <v>425</v>
      </c>
      <c r="B177" s="306"/>
      <c r="C177" s="243">
        <v>0.01</v>
      </c>
      <c r="D177" s="243">
        <v>0.05</v>
      </c>
      <c r="E177" s="243">
        <v>0.05</v>
      </c>
      <c r="F177" s="243">
        <v>0.05</v>
      </c>
      <c r="H177" t="s">
        <v>422</v>
      </c>
      <c r="Q177" s="248" t="s">
        <v>425</v>
      </c>
      <c r="R177" s="94">
        <v>0.15740000000000001</v>
      </c>
      <c r="S177" s="94">
        <v>0.189</v>
      </c>
      <c r="T177" s="94">
        <v>0.25</v>
      </c>
      <c r="U177" s="94">
        <v>0.189</v>
      </c>
      <c r="V177" s="94">
        <v>0.25</v>
      </c>
      <c r="W177" s="94">
        <v>0.189</v>
      </c>
      <c r="X177" s="94">
        <v>0.25</v>
      </c>
      <c r="Y177" s="94">
        <v>0.189</v>
      </c>
      <c r="Z177" s="94">
        <v>0.25</v>
      </c>
      <c r="AA177" s="26"/>
    </row>
    <row r="178" spans="1:27">
      <c r="A178" s="305" t="s">
        <v>426</v>
      </c>
      <c r="B178" s="306"/>
      <c r="C178" s="243">
        <v>0.01</v>
      </c>
      <c r="D178" s="243">
        <v>0.12</v>
      </c>
      <c r="E178" s="243">
        <v>0.12</v>
      </c>
      <c r="F178" s="243">
        <v>0.12</v>
      </c>
      <c r="H178" s="22" t="s">
        <v>427</v>
      </c>
      <c r="Q178" s="248" t="s">
        <v>428</v>
      </c>
      <c r="R178" s="94"/>
      <c r="S178" s="94"/>
      <c r="T178" s="94"/>
      <c r="U178" s="94"/>
      <c r="V178" s="94"/>
      <c r="W178" s="94"/>
      <c r="X178" s="94"/>
      <c r="Y178" s="94"/>
      <c r="Z178" s="94"/>
      <c r="AA178" s="26"/>
    </row>
    <row r="179" spans="1:27">
      <c r="A179" s="305" t="s">
        <v>429</v>
      </c>
      <c r="B179" s="306"/>
      <c r="C179" s="243">
        <v>0</v>
      </c>
      <c r="D179" s="243">
        <v>0.02</v>
      </c>
      <c r="E179" s="243">
        <v>0.02</v>
      </c>
      <c r="F179" s="243">
        <v>0.02</v>
      </c>
      <c r="Q179" s="248" t="s">
        <v>429</v>
      </c>
      <c r="R179" s="94">
        <v>0</v>
      </c>
      <c r="S179" s="94">
        <v>2.3E-2</v>
      </c>
      <c r="T179" s="94">
        <v>7.0000000000000007E-2</v>
      </c>
      <c r="U179" s="94">
        <v>2.3E-2</v>
      </c>
      <c r="V179" s="94">
        <v>7.0000000000000007E-2</v>
      </c>
      <c r="W179" s="94">
        <v>2.3E-2</v>
      </c>
      <c r="X179" s="94">
        <v>7.0000000000000007E-2</v>
      </c>
      <c r="Y179" s="94">
        <v>2.3E-2</v>
      </c>
      <c r="Z179" s="94">
        <v>7.0000000000000007E-2</v>
      </c>
      <c r="AA179" s="26"/>
    </row>
    <row r="180" spans="1:27"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ht="18">
      <c r="A181" s="246" t="s">
        <v>19</v>
      </c>
      <c r="C181" s="28">
        <v>2020</v>
      </c>
      <c r="D181" s="28">
        <v>2030</v>
      </c>
      <c r="E181" s="28">
        <v>2040</v>
      </c>
      <c r="F181" s="28">
        <v>2050</v>
      </c>
      <c r="H181" s="22" t="s">
        <v>430</v>
      </c>
      <c r="Q181" s="308" t="s">
        <v>105</v>
      </c>
      <c r="R181" s="308"/>
      <c r="S181" s="54">
        <v>2015</v>
      </c>
      <c r="T181" s="54">
        <v>2020</v>
      </c>
      <c r="U181" s="54">
        <v>2025</v>
      </c>
      <c r="V181" s="54">
        <v>2030</v>
      </c>
      <c r="W181" s="54">
        <v>2035</v>
      </c>
      <c r="X181" s="54">
        <v>2040</v>
      </c>
      <c r="Y181" s="54">
        <v>2045</v>
      </c>
      <c r="Z181" s="54">
        <v>2050</v>
      </c>
      <c r="AA181" s="26"/>
    </row>
    <row r="182" spans="1:27">
      <c r="A182" s="305" t="s">
        <v>414</v>
      </c>
      <c r="B182" s="306"/>
      <c r="C182" s="243">
        <v>0.05</v>
      </c>
      <c r="D182" s="243">
        <v>0.25</v>
      </c>
      <c r="E182" s="243">
        <v>0.32500000000000001</v>
      </c>
      <c r="F182" s="247">
        <v>0.4</v>
      </c>
      <c r="H182" t="s">
        <v>431</v>
      </c>
      <c r="Q182" s="248" t="s">
        <v>414</v>
      </c>
      <c r="R182" s="248" t="s">
        <v>415</v>
      </c>
      <c r="S182" s="94">
        <v>9.1999999999999998E-2</v>
      </c>
      <c r="T182" s="94">
        <v>0.21199999999999999</v>
      </c>
      <c r="U182" s="94">
        <v>0.50600000000000001</v>
      </c>
      <c r="V182" s="94">
        <v>0.8</v>
      </c>
      <c r="W182" s="94">
        <v>0.83799999999999997</v>
      </c>
      <c r="X182" s="94">
        <v>0.875</v>
      </c>
      <c r="Y182" s="94">
        <v>0.91300000000000003</v>
      </c>
      <c r="Z182" s="94">
        <v>0.95</v>
      </c>
      <c r="AA182" s="26"/>
    </row>
    <row r="183" spans="1:27">
      <c r="A183" s="305" t="s">
        <v>417</v>
      </c>
      <c r="B183" s="306"/>
      <c r="C183" s="243">
        <v>0</v>
      </c>
      <c r="D183" s="243">
        <v>0.02</v>
      </c>
      <c r="E183" s="243">
        <v>4.5000000000000005E-2</v>
      </c>
      <c r="F183" s="247">
        <v>7.0000000000000007E-2</v>
      </c>
      <c r="Q183" s="248" t="s">
        <v>417</v>
      </c>
      <c r="R183" s="248" t="s">
        <v>415</v>
      </c>
      <c r="S183" s="94">
        <v>0</v>
      </c>
      <c r="T183" s="94">
        <v>1.2999999999999999E-2</v>
      </c>
      <c r="U183" s="94">
        <v>3.2000000000000001E-2</v>
      </c>
      <c r="V183" s="94">
        <v>0.05</v>
      </c>
      <c r="W183" s="94">
        <v>7.4999999999999997E-2</v>
      </c>
      <c r="X183" s="94">
        <v>0.1</v>
      </c>
      <c r="Y183" s="94">
        <v>0.125</v>
      </c>
      <c r="Z183" s="94">
        <v>0.15</v>
      </c>
      <c r="AA183" s="26"/>
    </row>
    <row r="184" spans="1:27">
      <c r="A184" s="305" t="s">
        <v>418</v>
      </c>
      <c r="B184" s="306"/>
      <c r="C184" s="243">
        <v>0.01</v>
      </c>
      <c r="D184" s="243">
        <v>0.05</v>
      </c>
      <c r="E184" s="243">
        <v>0.1</v>
      </c>
      <c r="F184" s="247">
        <v>0.15</v>
      </c>
      <c r="Q184" s="248" t="s">
        <v>418</v>
      </c>
      <c r="R184" s="248" t="s">
        <v>415</v>
      </c>
      <c r="S184" s="94">
        <v>3.6999999999999998E-2</v>
      </c>
      <c r="T184" s="94">
        <v>6.9000000000000006E-2</v>
      </c>
      <c r="U184" s="94">
        <v>0.13500000000000001</v>
      </c>
      <c r="V184" s="94">
        <v>0.2</v>
      </c>
      <c r="W184" s="94">
        <v>0.25</v>
      </c>
      <c r="X184" s="94">
        <v>0.3</v>
      </c>
      <c r="Y184" s="94">
        <v>0.35</v>
      </c>
      <c r="Z184" s="94">
        <v>0.4</v>
      </c>
      <c r="AA184" s="26"/>
    </row>
    <row r="185" spans="1:27">
      <c r="A185" s="305" t="s">
        <v>419</v>
      </c>
      <c r="B185" s="306"/>
      <c r="C185" s="243">
        <v>0.01</v>
      </c>
      <c r="D185" s="243">
        <v>0.2</v>
      </c>
      <c r="E185" s="243">
        <v>0.33</v>
      </c>
      <c r="F185" s="247">
        <v>0.46</v>
      </c>
      <c r="Q185" s="248" t="s">
        <v>420</v>
      </c>
      <c r="R185" s="248" t="s">
        <v>415</v>
      </c>
      <c r="S185" s="94">
        <v>0</v>
      </c>
      <c r="T185" s="94">
        <v>0.01</v>
      </c>
      <c r="U185" s="94">
        <v>0.02</v>
      </c>
      <c r="V185" s="94">
        <v>0.03</v>
      </c>
      <c r="W185" s="94">
        <v>0.04</v>
      </c>
      <c r="X185" s="94">
        <v>0.05</v>
      </c>
      <c r="Y185" s="94">
        <v>0.06</v>
      </c>
      <c r="Z185" s="94">
        <v>7.0000000000000007E-2</v>
      </c>
      <c r="AA185" s="26"/>
    </row>
    <row r="186" spans="1:27">
      <c r="A186" s="305" t="s">
        <v>420</v>
      </c>
      <c r="B186" s="306"/>
      <c r="C186" s="243">
        <v>0</v>
      </c>
      <c r="D186" s="243">
        <v>0.02</v>
      </c>
      <c r="E186" s="243">
        <v>4.5000000000000005E-2</v>
      </c>
      <c r="F186" s="247">
        <v>7.0000000000000007E-2</v>
      </c>
      <c r="Q186" s="248" t="s">
        <v>421</v>
      </c>
      <c r="R186" s="248" t="s">
        <v>415</v>
      </c>
      <c r="S186" s="94">
        <v>3.9E-2</v>
      </c>
      <c r="T186" s="94">
        <v>0.114</v>
      </c>
      <c r="U186" s="94">
        <v>0.157</v>
      </c>
      <c r="V186" s="94">
        <v>0.2</v>
      </c>
      <c r="W186" s="94">
        <v>0.25</v>
      </c>
      <c r="X186" s="94">
        <v>0.3</v>
      </c>
      <c r="Y186" s="94">
        <v>0.35</v>
      </c>
      <c r="Z186" s="94">
        <v>0.4</v>
      </c>
      <c r="AA186" s="26"/>
    </row>
    <row r="187" spans="1:27">
      <c r="A187" s="305" t="s">
        <v>421</v>
      </c>
      <c r="B187" s="306"/>
      <c r="C187" s="243">
        <v>0.01</v>
      </c>
      <c r="D187" s="243">
        <v>0.05</v>
      </c>
      <c r="E187" s="243">
        <v>7.5000000000000011E-2</v>
      </c>
      <c r="F187" s="247">
        <v>0.1</v>
      </c>
      <c r="Q187" s="248" t="s">
        <v>424</v>
      </c>
      <c r="R187" s="248" t="s">
        <v>415</v>
      </c>
      <c r="S187" s="94">
        <v>0</v>
      </c>
      <c r="T187" s="94">
        <v>0.01</v>
      </c>
      <c r="U187" s="94">
        <v>0.02</v>
      </c>
      <c r="V187" s="94">
        <v>0.03</v>
      </c>
      <c r="W187" s="94">
        <v>0.04</v>
      </c>
      <c r="X187" s="94">
        <v>0.05</v>
      </c>
      <c r="Y187" s="94">
        <v>0.06</v>
      </c>
      <c r="Z187" s="94">
        <v>7.0000000000000007E-2</v>
      </c>
      <c r="AA187" s="26"/>
    </row>
    <row r="188" spans="1:27">
      <c r="A188" s="305" t="s">
        <v>423</v>
      </c>
      <c r="B188" s="306"/>
      <c r="C188" s="243">
        <v>0.01</v>
      </c>
      <c r="D188" s="243">
        <v>0.2</v>
      </c>
      <c r="E188" s="243">
        <v>0.25</v>
      </c>
      <c r="F188" s="247">
        <v>0.3</v>
      </c>
      <c r="Q188" s="248" t="s">
        <v>425</v>
      </c>
      <c r="R188" s="248" t="s">
        <v>415</v>
      </c>
      <c r="S188" s="94">
        <v>0.13100000000000001</v>
      </c>
      <c r="T188" s="94">
        <v>0.193</v>
      </c>
      <c r="U188" s="94">
        <v>0.246</v>
      </c>
      <c r="V188" s="94">
        <v>0.3</v>
      </c>
      <c r="W188" s="94">
        <v>0.35</v>
      </c>
      <c r="X188" s="94">
        <v>0.4</v>
      </c>
      <c r="Y188" s="94">
        <v>0.45</v>
      </c>
      <c r="Z188" s="94">
        <v>0.5</v>
      </c>
      <c r="AA188" s="26"/>
    </row>
    <row r="189" spans="1:27">
      <c r="A189" s="305" t="s">
        <v>424</v>
      </c>
      <c r="B189" s="306"/>
      <c r="C189" s="243">
        <v>0</v>
      </c>
      <c r="D189" s="243">
        <v>0.02</v>
      </c>
      <c r="E189" s="243">
        <v>4.5000000000000005E-2</v>
      </c>
      <c r="F189" s="247">
        <v>7.0000000000000007E-2</v>
      </c>
      <c r="Q189" s="248" t="s">
        <v>429</v>
      </c>
      <c r="R189" s="248" t="s">
        <v>415</v>
      </c>
      <c r="S189" s="94">
        <v>0</v>
      </c>
      <c r="T189" s="94">
        <v>0.01</v>
      </c>
      <c r="U189" s="94">
        <v>0.02</v>
      </c>
      <c r="V189" s="94">
        <v>0.03</v>
      </c>
      <c r="W189" s="94">
        <v>0.04</v>
      </c>
      <c r="X189" s="94">
        <v>0.05</v>
      </c>
      <c r="Y189" s="94">
        <v>0.06</v>
      </c>
      <c r="Z189" s="94">
        <v>7.0000000000000007E-2</v>
      </c>
      <c r="AA189" s="26"/>
    </row>
    <row r="190" spans="1:27">
      <c r="A190" s="305" t="s">
        <v>425</v>
      </c>
      <c r="B190" s="306"/>
      <c r="C190" s="243">
        <v>0.01</v>
      </c>
      <c r="D190" s="243">
        <v>0.05</v>
      </c>
      <c r="E190" s="243">
        <v>7.5000000000000011E-2</v>
      </c>
      <c r="F190" s="247">
        <v>0.1</v>
      </c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>
      <c r="A191" s="305" t="s">
        <v>426</v>
      </c>
      <c r="B191" s="306"/>
      <c r="C191" s="243">
        <v>0.01</v>
      </c>
      <c r="D191" s="243">
        <v>0.12</v>
      </c>
      <c r="E191" s="243">
        <v>0.18</v>
      </c>
      <c r="F191" s="247">
        <v>0.24</v>
      </c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>
      <c r="A192" s="305" t="s">
        <v>429</v>
      </c>
      <c r="B192" s="306"/>
      <c r="C192" s="243">
        <v>0</v>
      </c>
      <c r="D192" s="243">
        <v>0.02</v>
      </c>
      <c r="E192" s="243">
        <v>4.5000000000000005E-2</v>
      </c>
      <c r="F192" s="247">
        <v>7.0000000000000007E-2</v>
      </c>
    </row>
  </sheetData>
  <mergeCells count="79">
    <mergeCell ref="A55:B55"/>
    <mergeCell ref="A68:B68"/>
    <mergeCell ref="H9:K9"/>
    <mergeCell ref="H10:K10"/>
    <mergeCell ref="H19:K19"/>
    <mergeCell ref="H20:K20"/>
    <mergeCell ref="H21:K21"/>
    <mergeCell ref="H12:K12"/>
    <mergeCell ref="H13:K13"/>
    <mergeCell ref="H17:K17"/>
    <mergeCell ref="A13:A16"/>
    <mergeCell ref="H14:K16"/>
    <mergeCell ref="A27:A28"/>
    <mergeCell ref="H27:K27"/>
    <mergeCell ref="H28:K28"/>
    <mergeCell ref="A37:A39"/>
    <mergeCell ref="D1:J2"/>
    <mergeCell ref="A59:B59"/>
    <mergeCell ref="A60:B60"/>
    <mergeCell ref="A63:B63"/>
    <mergeCell ref="A64:B64"/>
    <mergeCell ref="A54:B54"/>
    <mergeCell ref="A46:B46"/>
    <mergeCell ref="A47:B47"/>
    <mergeCell ref="A42:E42"/>
    <mergeCell ref="A50:B50"/>
    <mergeCell ref="A51:B51"/>
    <mergeCell ref="A19:A21"/>
    <mergeCell ref="A4:E4"/>
    <mergeCell ref="A9:A10"/>
    <mergeCell ref="A1:C2"/>
    <mergeCell ref="A11:A12"/>
    <mergeCell ref="A120:E120"/>
    <mergeCell ref="A122:B122"/>
    <mergeCell ref="H133:K134"/>
    <mergeCell ref="H30:K30"/>
    <mergeCell ref="H31:K31"/>
    <mergeCell ref="A65:B65"/>
    <mergeCell ref="A66:B66"/>
    <mergeCell ref="A52:B52"/>
    <mergeCell ref="A53:B53"/>
    <mergeCell ref="A67:B67"/>
    <mergeCell ref="A70:E70"/>
    <mergeCell ref="A29:A30"/>
    <mergeCell ref="A31:A34"/>
    <mergeCell ref="H32:K34"/>
    <mergeCell ref="H35:K35"/>
    <mergeCell ref="H29:K29"/>
    <mergeCell ref="S167:T167"/>
    <mergeCell ref="Q181:R181"/>
    <mergeCell ref="A178:B178"/>
    <mergeCell ref="A166:B166"/>
    <mergeCell ref="H135:K136"/>
    <mergeCell ref="A138:B138"/>
    <mergeCell ref="A163:E163"/>
    <mergeCell ref="A189:B189"/>
    <mergeCell ref="A190:B190"/>
    <mergeCell ref="A191:B191"/>
    <mergeCell ref="A182:B182"/>
    <mergeCell ref="A183:B183"/>
    <mergeCell ref="A184:B184"/>
    <mergeCell ref="A185:B185"/>
    <mergeCell ref="A186:B186"/>
    <mergeCell ref="H37:K37"/>
    <mergeCell ref="H38:K38"/>
    <mergeCell ref="H39:K39"/>
    <mergeCell ref="A192:B192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9:B179"/>
    <mergeCell ref="A187:B187"/>
    <mergeCell ref="A188:B188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51FB7-D02E-4AF1-9043-D21D3BDF40B2}">
  <dimension ref="C2:H12"/>
  <sheetViews>
    <sheetView workbookViewId="0">
      <selection activeCell="G13" sqref="G13"/>
    </sheetView>
  </sheetViews>
  <sheetFormatPr baseColWidth="10" defaultRowHeight="15"/>
  <cols>
    <col min="3" max="3" width="16.28515625" customWidth="1"/>
    <col min="4" max="4" width="15.7109375" customWidth="1"/>
  </cols>
  <sheetData>
    <row r="2" spans="3:8">
      <c r="C2" t="s">
        <v>524</v>
      </c>
      <c r="D2" t="s">
        <v>525</v>
      </c>
    </row>
    <row r="3" spans="3:8">
      <c r="C3" s="298">
        <v>8.7968664323356816E-3</v>
      </c>
      <c r="D3">
        <v>33</v>
      </c>
    </row>
    <row r="4" spans="3:8">
      <c r="C4" s="298">
        <v>3.0872976891511694E-3</v>
      </c>
      <c r="D4">
        <v>15.5</v>
      </c>
    </row>
    <row r="5" spans="3:8">
      <c r="C5">
        <v>7.0000000000000001E-3</v>
      </c>
      <c r="D5">
        <v>27.4</v>
      </c>
    </row>
    <row r="6" spans="3:8">
      <c r="C6">
        <v>6.4999999999999997E-3</v>
      </c>
      <c r="D6">
        <v>24.35</v>
      </c>
    </row>
    <row r="7" spans="3:8">
      <c r="C7">
        <v>4.0000000000000001E-3</v>
      </c>
      <c r="D7">
        <v>15.44</v>
      </c>
    </row>
    <row r="8" spans="3:8">
      <c r="C8">
        <v>5.0000000000000001E-3</v>
      </c>
      <c r="D8">
        <v>21.2</v>
      </c>
      <c r="G8" s="298">
        <f>C3*H8/D3</f>
        <v>7.3840363689605566E-3</v>
      </c>
      <c r="H8">
        <v>27.7</v>
      </c>
    </row>
    <row r="9" spans="3:8">
      <c r="C9">
        <v>3.0000000000000001E-3</v>
      </c>
      <c r="D9">
        <v>12.48</v>
      </c>
      <c r="G9" s="298">
        <f>C4*H9/D4</f>
        <v>5.5172997412572507E-3</v>
      </c>
      <c r="H9">
        <v>27.7</v>
      </c>
    </row>
    <row r="10" spans="3:8">
      <c r="G10" s="298">
        <f>C5*H10/D5</f>
        <v>6.259124087591242E-3</v>
      </c>
      <c r="H10">
        <v>24.5</v>
      </c>
    </row>
    <row r="11" spans="3:8">
      <c r="G11" s="298">
        <f>C7*H11/D7</f>
        <v>4.8445595854922285E-3</v>
      </c>
      <c r="H11">
        <v>18.7</v>
      </c>
    </row>
    <row r="12" spans="3:8">
      <c r="G12">
        <f>C9*H12/D9</f>
        <v>2.139423076923077E-3</v>
      </c>
      <c r="H12">
        <v>8.9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8"/>
  <sheetViews>
    <sheetView topLeftCell="A28" zoomScale="205" zoomScaleNormal="205" workbookViewId="0">
      <selection activeCell="B30" sqref="B30:E30"/>
    </sheetView>
  </sheetViews>
  <sheetFormatPr baseColWidth="10" defaultRowHeight="15"/>
  <cols>
    <col min="1" max="1" width="24.5703125" customWidth="1"/>
    <col min="6" max="6" width="13.5703125" customWidth="1"/>
    <col min="7" max="7" width="14.42578125" customWidth="1"/>
    <col min="8" max="8" width="14" customWidth="1"/>
    <col min="9" max="9" width="13.85546875" customWidth="1"/>
    <col min="11" max="14" width="8.85546875" customWidth="1"/>
    <col min="15" max="18" width="11.5703125" customWidth="1"/>
  </cols>
  <sheetData>
    <row r="1" spans="1:18">
      <c r="A1" s="334" t="s">
        <v>1</v>
      </c>
      <c r="B1" s="334"/>
      <c r="C1" s="334"/>
      <c r="D1" s="332" t="s">
        <v>3</v>
      </c>
      <c r="E1" s="332"/>
      <c r="F1" s="332"/>
      <c r="G1" s="332"/>
      <c r="H1" s="332"/>
      <c r="I1" s="332"/>
      <c r="J1" s="332"/>
    </row>
    <row r="2" spans="1:18">
      <c r="A2" s="334"/>
      <c r="B2" s="334"/>
      <c r="C2" s="334"/>
      <c r="D2" s="332"/>
      <c r="E2" s="332"/>
      <c r="F2" s="332"/>
      <c r="G2" s="332"/>
      <c r="H2" s="332"/>
      <c r="I2" s="332"/>
      <c r="J2" s="332"/>
    </row>
    <row r="4" spans="1:18" ht="26.25">
      <c r="A4" s="348" t="s">
        <v>49</v>
      </c>
      <c r="B4" s="348"/>
      <c r="C4" s="348"/>
      <c r="D4" s="348"/>
      <c r="E4" s="348"/>
      <c r="F4" s="348"/>
      <c r="G4" s="348"/>
      <c r="H4" s="348"/>
      <c r="I4" s="348"/>
      <c r="J4" s="348"/>
    </row>
    <row r="6" spans="1:18">
      <c r="B6" s="394" t="s">
        <v>19</v>
      </c>
      <c r="C6" s="394"/>
      <c r="D6" s="394"/>
      <c r="E6" s="394"/>
      <c r="F6" s="394" t="s">
        <v>6</v>
      </c>
      <c r="G6" s="394"/>
      <c r="H6" s="394"/>
      <c r="I6" s="394"/>
      <c r="K6" s="381" t="s">
        <v>20</v>
      </c>
      <c r="L6" s="381"/>
      <c r="M6" s="381"/>
      <c r="N6" s="381"/>
      <c r="O6" s="381" t="s">
        <v>7</v>
      </c>
      <c r="P6" s="381"/>
      <c r="Q6" s="381"/>
      <c r="R6" s="381"/>
    </row>
    <row r="7" spans="1:18">
      <c r="B7" s="376" t="s">
        <v>272</v>
      </c>
      <c r="C7" s="376"/>
      <c r="D7" s="376"/>
      <c r="E7" s="376"/>
      <c r="F7" s="376"/>
      <c r="G7" s="376"/>
      <c r="H7" s="376"/>
      <c r="I7" s="376"/>
      <c r="K7" s="183"/>
      <c r="L7" s="183"/>
      <c r="M7" s="183"/>
      <c r="N7" s="183"/>
      <c r="O7" s="183"/>
      <c r="P7" s="183"/>
      <c r="Q7" s="183"/>
      <c r="R7" s="183"/>
    </row>
    <row r="8" spans="1:18" ht="14.45" customHeight="1">
      <c r="A8" s="317" t="s">
        <v>51</v>
      </c>
      <c r="B8" s="388" t="s">
        <v>348</v>
      </c>
      <c r="C8" s="389"/>
      <c r="D8" s="389"/>
      <c r="E8" s="390"/>
      <c r="F8" s="378" t="s">
        <v>52</v>
      </c>
      <c r="G8" s="378"/>
      <c r="H8" s="378"/>
      <c r="I8" s="378"/>
      <c r="J8" s="1"/>
      <c r="K8" s="387" t="s">
        <v>53</v>
      </c>
      <c r="L8" s="387"/>
      <c r="M8" s="387"/>
      <c r="N8" s="387"/>
      <c r="O8" s="374" t="s">
        <v>54</v>
      </c>
      <c r="P8" s="374"/>
      <c r="Q8" s="374"/>
      <c r="R8" s="374"/>
    </row>
    <row r="9" spans="1:18" ht="14.45" customHeight="1">
      <c r="A9" s="318"/>
      <c r="B9" s="391"/>
      <c r="C9" s="392"/>
      <c r="D9" s="392"/>
      <c r="E9" s="393"/>
      <c r="F9" s="378" t="s">
        <v>55</v>
      </c>
      <c r="G9" s="378"/>
      <c r="H9" s="378"/>
      <c r="I9" s="378"/>
      <c r="J9" s="1"/>
      <c r="K9" s="374" t="s">
        <v>56</v>
      </c>
      <c r="L9" s="374"/>
      <c r="M9" s="374"/>
      <c r="N9" s="374"/>
      <c r="O9" s="374" t="s">
        <v>57</v>
      </c>
      <c r="P9" s="374"/>
      <c r="Q9" s="374"/>
      <c r="R9" s="374"/>
    </row>
    <row r="10" spans="1:18" ht="105.6" customHeight="1">
      <c r="A10" s="187" t="s">
        <v>276</v>
      </c>
      <c r="B10" s="382" t="s">
        <v>349</v>
      </c>
      <c r="C10" s="382"/>
      <c r="D10" s="382"/>
      <c r="E10" s="382"/>
      <c r="F10" s="375" t="s">
        <v>277</v>
      </c>
      <c r="G10" s="375"/>
      <c r="H10" s="375"/>
      <c r="I10" s="375"/>
      <c r="J10" s="1"/>
      <c r="K10" s="383" t="s">
        <v>73</v>
      </c>
      <c r="L10" s="383"/>
      <c r="M10" s="383"/>
      <c r="N10" s="383"/>
      <c r="O10" s="374"/>
      <c r="P10" s="374"/>
      <c r="Q10" s="374"/>
      <c r="R10" s="374"/>
    </row>
    <row r="11" spans="1:18" ht="36.950000000000003" customHeight="1">
      <c r="A11" s="187" t="s">
        <v>279</v>
      </c>
      <c r="B11" s="384" t="s">
        <v>278</v>
      </c>
      <c r="C11" s="385"/>
      <c r="D11" s="385"/>
      <c r="E11" s="386"/>
      <c r="F11" s="384" t="s">
        <v>278</v>
      </c>
      <c r="G11" s="385"/>
      <c r="H11" s="385"/>
      <c r="I11" s="386"/>
      <c r="J11" s="1"/>
      <c r="K11" s="184"/>
      <c r="L11" s="184"/>
      <c r="M11" s="184"/>
      <c r="N11" s="184"/>
      <c r="O11" s="184"/>
      <c r="P11" s="184"/>
      <c r="Q11" s="184"/>
      <c r="R11" s="184"/>
    </row>
    <row r="12" spans="1:18" ht="41.1" customHeight="1">
      <c r="A12" s="187" t="s">
        <v>75</v>
      </c>
      <c r="B12" s="375" t="s">
        <v>70</v>
      </c>
      <c r="C12" s="375"/>
      <c r="D12" s="375"/>
      <c r="E12" s="375"/>
      <c r="F12" s="375" t="s">
        <v>74</v>
      </c>
      <c r="G12" s="375"/>
      <c r="H12" s="375"/>
      <c r="I12" s="375"/>
      <c r="J12" s="1"/>
      <c r="K12" s="374" t="s">
        <v>76</v>
      </c>
      <c r="L12" s="374"/>
      <c r="M12" s="374"/>
      <c r="N12" s="374"/>
      <c r="O12" s="374" t="s">
        <v>77</v>
      </c>
      <c r="P12" s="374"/>
      <c r="Q12" s="374"/>
      <c r="R12" s="374"/>
    </row>
    <row r="13" spans="1:18" ht="38.1" customHeight="1">
      <c r="A13" s="187" t="s">
        <v>78</v>
      </c>
      <c r="B13" s="375" t="s">
        <v>70</v>
      </c>
      <c r="C13" s="375"/>
      <c r="D13" s="375"/>
      <c r="E13" s="375"/>
      <c r="F13" s="375" t="s">
        <v>74</v>
      </c>
      <c r="G13" s="375"/>
      <c r="H13" s="375"/>
      <c r="I13" s="375"/>
      <c r="J13" s="1"/>
      <c r="K13" s="374" t="s">
        <v>76</v>
      </c>
      <c r="L13" s="374"/>
      <c r="M13" s="374"/>
      <c r="N13" s="374"/>
      <c r="O13" s="374" t="s">
        <v>79</v>
      </c>
      <c r="P13" s="374"/>
      <c r="Q13" s="374"/>
      <c r="R13" s="374"/>
    </row>
    <row r="14" spans="1:18" ht="44.45" customHeight="1">
      <c r="A14" s="187" t="s">
        <v>61</v>
      </c>
      <c r="B14" s="375" t="s">
        <v>510</v>
      </c>
      <c r="C14" s="375"/>
      <c r="D14" s="375"/>
      <c r="E14" s="375"/>
      <c r="F14" s="375" t="s">
        <v>300</v>
      </c>
      <c r="G14" s="375"/>
      <c r="H14" s="375"/>
      <c r="I14" s="375"/>
      <c r="J14" s="1"/>
      <c r="K14" s="374" t="s">
        <v>62</v>
      </c>
      <c r="L14" s="374"/>
      <c r="M14" s="374"/>
      <c r="N14" s="374"/>
      <c r="O14" s="377"/>
      <c r="P14" s="377"/>
      <c r="Q14" s="377"/>
      <c r="R14" s="377"/>
    </row>
    <row r="15" spans="1:18" ht="46.5" customHeight="1">
      <c r="A15" s="317" t="s">
        <v>63</v>
      </c>
      <c r="B15" s="375" t="s">
        <v>454</v>
      </c>
      <c r="C15" s="375"/>
      <c r="D15" s="375"/>
      <c r="E15" s="375"/>
      <c r="F15" s="378" t="s">
        <v>64</v>
      </c>
      <c r="G15" s="378"/>
      <c r="H15" s="378"/>
      <c r="I15" s="378"/>
      <c r="J15" s="1"/>
      <c r="K15" s="374" t="s">
        <v>65</v>
      </c>
      <c r="L15" s="374"/>
      <c r="M15" s="374"/>
      <c r="N15" s="374"/>
      <c r="O15" s="374" t="s">
        <v>66</v>
      </c>
      <c r="P15" s="374"/>
      <c r="Q15" s="374"/>
      <c r="R15" s="374"/>
    </row>
    <row r="16" spans="1:18" ht="51" customHeight="1">
      <c r="A16" s="318"/>
      <c r="B16" s="379" t="s">
        <v>453</v>
      </c>
      <c r="C16" s="379"/>
      <c r="D16" s="379"/>
      <c r="E16" s="379"/>
      <c r="F16" s="375" t="s">
        <v>67</v>
      </c>
      <c r="G16" s="375"/>
      <c r="H16" s="375"/>
      <c r="I16" s="375"/>
      <c r="J16" s="1"/>
      <c r="K16" s="374"/>
      <c r="L16" s="374"/>
      <c r="M16" s="374"/>
      <c r="N16" s="374"/>
      <c r="O16" s="374" t="s">
        <v>68</v>
      </c>
      <c r="P16" s="374"/>
      <c r="Q16" s="374"/>
      <c r="R16" s="374"/>
    </row>
    <row r="17" spans="1:18" ht="15.75">
      <c r="A17" s="187" t="s">
        <v>69</v>
      </c>
      <c r="B17" s="378" t="s">
        <v>70</v>
      </c>
      <c r="C17" s="378"/>
      <c r="D17" s="378"/>
      <c r="E17" s="378"/>
      <c r="F17" s="378" t="s">
        <v>70</v>
      </c>
      <c r="G17" s="378"/>
      <c r="H17" s="378"/>
      <c r="I17" s="378"/>
      <c r="J17" s="1"/>
      <c r="K17" s="374" t="s">
        <v>71</v>
      </c>
      <c r="L17" s="374"/>
      <c r="M17" s="374"/>
      <c r="N17" s="374"/>
      <c r="O17" s="374" t="s">
        <v>72</v>
      </c>
      <c r="P17" s="374"/>
      <c r="Q17" s="374"/>
      <c r="R17" s="374"/>
    </row>
    <row r="18" spans="1:18" ht="30.6" customHeight="1">
      <c r="A18" s="187" t="s">
        <v>295</v>
      </c>
      <c r="B18" s="380" t="s">
        <v>296</v>
      </c>
      <c r="C18" s="380"/>
      <c r="D18" s="380"/>
      <c r="E18" s="380"/>
      <c r="F18" s="375" t="s">
        <v>297</v>
      </c>
      <c r="G18" s="375"/>
      <c r="H18" s="375"/>
      <c r="I18" s="375"/>
      <c r="J18" s="1"/>
      <c r="K18" s="184"/>
      <c r="L18" s="184"/>
      <c r="M18" s="184"/>
      <c r="N18" s="184"/>
      <c r="O18" s="184"/>
      <c r="P18" s="184"/>
      <c r="Q18" s="184"/>
      <c r="R18" s="184"/>
    </row>
    <row r="19" spans="1:18" ht="14.1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84"/>
      <c r="L19" s="184"/>
      <c r="M19" s="184"/>
      <c r="N19" s="184"/>
      <c r="O19" s="184"/>
      <c r="P19" s="184"/>
      <c r="Q19" s="184"/>
      <c r="R19" s="184"/>
    </row>
    <row r="20" spans="1:18">
      <c r="A20" s="185"/>
      <c r="B20" s="376" t="s">
        <v>273</v>
      </c>
      <c r="C20" s="376"/>
      <c r="D20" s="376"/>
      <c r="E20" s="376"/>
      <c r="F20" s="376"/>
      <c r="G20" s="376"/>
      <c r="H20" s="376"/>
      <c r="I20" s="376"/>
      <c r="J20" s="1"/>
      <c r="K20" s="1"/>
      <c r="L20" s="1"/>
      <c r="M20" s="1"/>
      <c r="N20" s="1"/>
      <c r="O20" s="1"/>
      <c r="P20" s="1"/>
      <c r="Q20" s="1"/>
      <c r="R20" s="1"/>
    </row>
    <row r="21" spans="1:18" ht="66.95" customHeight="1">
      <c r="A21" s="187" t="s">
        <v>280</v>
      </c>
      <c r="B21" s="380" t="s">
        <v>284</v>
      </c>
      <c r="C21" s="380"/>
      <c r="D21" s="380"/>
      <c r="E21" s="380"/>
      <c r="F21" s="375" t="s">
        <v>281</v>
      </c>
      <c r="G21" s="375"/>
      <c r="H21" s="375"/>
      <c r="I21" s="375"/>
      <c r="J21" s="1"/>
      <c r="K21" s="1"/>
      <c r="L21" s="1"/>
      <c r="M21" s="1"/>
      <c r="N21" s="1"/>
      <c r="O21" s="1"/>
      <c r="P21" s="1"/>
      <c r="Q21" s="1"/>
      <c r="R21" s="1"/>
    </row>
    <row r="22" spans="1:18" ht="67.5" customHeight="1">
      <c r="A22" s="187" t="s">
        <v>282</v>
      </c>
      <c r="B22" s="380" t="s">
        <v>494</v>
      </c>
      <c r="C22" s="380"/>
      <c r="D22" s="380"/>
      <c r="E22" s="380"/>
      <c r="F22" s="375" t="s">
        <v>283</v>
      </c>
      <c r="G22" s="375"/>
      <c r="H22" s="375"/>
      <c r="I22" s="375"/>
    </row>
    <row r="23" spans="1:18" ht="56.45" customHeight="1">
      <c r="A23" s="187" t="s">
        <v>58</v>
      </c>
      <c r="B23" s="375" t="s">
        <v>518</v>
      </c>
      <c r="C23" s="375"/>
      <c r="D23" s="375"/>
      <c r="E23" s="375"/>
      <c r="F23" s="375" t="s">
        <v>281</v>
      </c>
      <c r="G23" s="375"/>
      <c r="H23" s="375"/>
      <c r="I23" s="375"/>
    </row>
    <row r="24" spans="1:18" ht="52.5" customHeight="1">
      <c r="A24" s="187" t="s">
        <v>181</v>
      </c>
      <c r="B24" s="380" t="s">
        <v>298</v>
      </c>
      <c r="C24" s="380"/>
      <c r="D24" s="380"/>
      <c r="E24" s="380"/>
      <c r="F24" s="375" t="s">
        <v>59</v>
      </c>
      <c r="G24" s="375"/>
      <c r="H24" s="375"/>
      <c r="I24" s="375"/>
    </row>
    <row r="25" spans="1:18">
      <c r="A25" s="187" t="s">
        <v>517</v>
      </c>
      <c r="B25" s="380" t="s">
        <v>516</v>
      </c>
      <c r="C25" s="380"/>
      <c r="D25" s="380"/>
      <c r="E25" s="380"/>
      <c r="F25" s="375" t="s">
        <v>299</v>
      </c>
      <c r="G25" s="375"/>
      <c r="H25" s="375"/>
      <c r="I25" s="375"/>
    </row>
    <row r="26" spans="1:18" ht="14.1" customHeight="1"/>
    <row r="27" spans="1:18">
      <c r="A27" s="186"/>
      <c r="B27" s="376" t="s">
        <v>289</v>
      </c>
      <c r="C27" s="376"/>
      <c r="D27" s="376"/>
      <c r="E27" s="376"/>
      <c r="F27" s="376"/>
      <c r="G27" s="376"/>
      <c r="H27" s="376"/>
      <c r="I27" s="376"/>
      <c r="J27" s="1"/>
      <c r="K27" s="184"/>
      <c r="L27" s="184"/>
      <c r="M27" s="184"/>
      <c r="N27" s="184"/>
      <c r="O27" s="184"/>
      <c r="P27" s="184"/>
      <c r="Q27" s="184"/>
      <c r="R27" s="184"/>
    </row>
    <row r="28" spans="1:18" ht="33" customHeight="1">
      <c r="A28" s="187" t="s">
        <v>274</v>
      </c>
      <c r="B28" s="396" t="s">
        <v>495</v>
      </c>
      <c r="C28" s="396"/>
      <c r="D28" s="396"/>
      <c r="E28" s="396"/>
      <c r="F28" s="375" t="s">
        <v>275</v>
      </c>
      <c r="G28" s="375"/>
      <c r="H28" s="375"/>
      <c r="I28" s="375"/>
    </row>
    <row r="29" spans="1:18" ht="29.1" customHeight="1">
      <c r="A29" s="187" t="s">
        <v>80</v>
      </c>
      <c r="B29" s="380" t="s">
        <v>286</v>
      </c>
      <c r="C29" s="380"/>
      <c r="D29" s="380"/>
      <c r="E29" s="380"/>
      <c r="F29" s="375" t="s">
        <v>286</v>
      </c>
      <c r="G29" s="375"/>
      <c r="H29" s="375"/>
      <c r="I29" s="375"/>
    </row>
    <row r="30" spans="1:18" ht="29.1" customHeight="1">
      <c r="A30" s="187" t="s">
        <v>82</v>
      </c>
      <c r="B30" s="395" t="s">
        <v>455</v>
      </c>
      <c r="C30" s="380"/>
      <c r="D30" s="380"/>
      <c r="E30" s="380"/>
      <c r="F30" s="375" t="s">
        <v>283</v>
      </c>
      <c r="G30" s="375"/>
      <c r="H30" s="375"/>
      <c r="I30" s="375"/>
    </row>
    <row r="31" spans="1:18" ht="57.95" customHeight="1">
      <c r="A31" s="187" t="s">
        <v>285</v>
      </c>
      <c r="B31" s="380" t="s">
        <v>287</v>
      </c>
      <c r="C31" s="380"/>
      <c r="D31" s="380"/>
      <c r="E31" s="380"/>
      <c r="F31" s="375" t="s">
        <v>288</v>
      </c>
      <c r="G31" s="375"/>
      <c r="H31" s="375"/>
      <c r="I31" s="375"/>
    </row>
    <row r="33" spans="1:13" ht="26.25">
      <c r="A33" s="348" t="s">
        <v>486</v>
      </c>
      <c r="B33" s="348"/>
      <c r="C33" s="348"/>
      <c r="D33" s="348"/>
      <c r="E33" s="348"/>
      <c r="F33" s="348"/>
      <c r="G33" s="348"/>
      <c r="H33" s="348"/>
      <c r="I33" s="348"/>
      <c r="J33" s="348"/>
    </row>
    <row r="35" spans="1:13">
      <c r="A35" s="350" t="s">
        <v>487</v>
      </c>
      <c r="B35" s="351"/>
      <c r="C35" s="351"/>
      <c r="D35" s="351"/>
      <c r="E35" s="351"/>
      <c r="F35" s="351"/>
      <c r="G35" s="351"/>
      <c r="H35" s="351"/>
      <c r="I35" s="351"/>
    </row>
    <row r="36" spans="1:13" ht="61.5" customHeight="1">
      <c r="A36" s="349" t="s">
        <v>489</v>
      </c>
      <c r="B36" s="349"/>
      <c r="C36" s="349"/>
      <c r="D36" s="349"/>
      <c r="E36" s="349"/>
      <c r="F36" s="349"/>
      <c r="G36" s="349"/>
      <c r="H36" s="349"/>
      <c r="I36" s="349"/>
    </row>
    <row r="38" spans="1:13" ht="15.6" customHeight="1">
      <c r="B38" s="355" t="s">
        <v>484</v>
      </c>
      <c r="C38" s="355"/>
      <c r="D38" s="355"/>
      <c r="E38" s="355"/>
      <c r="F38" s="355"/>
      <c r="G38" s="355"/>
      <c r="H38" s="355"/>
      <c r="I38" s="355"/>
    </row>
    <row r="39" spans="1:13" ht="15.6" customHeight="1">
      <c r="B39" s="364" t="s">
        <v>476</v>
      </c>
      <c r="C39" s="365"/>
      <c r="D39" s="365"/>
      <c r="E39" s="366"/>
      <c r="F39" s="317" t="s">
        <v>477</v>
      </c>
      <c r="G39" s="356" t="s">
        <v>474</v>
      </c>
      <c r="H39" s="356"/>
      <c r="I39" s="356"/>
    </row>
    <row r="40" spans="1:13" ht="15.6" customHeight="1">
      <c r="B40" s="278" t="s">
        <v>290</v>
      </c>
      <c r="C40" s="278" t="s">
        <v>291</v>
      </c>
      <c r="D40" s="278" t="s">
        <v>292</v>
      </c>
      <c r="E40" s="278" t="s">
        <v>293</v>
      </c>
      <c r="F40" s="318"/>
      <c r="G40" s="356"/>
      <c r="H40" s="356"/>
      <c r="I40" s="356"/>
    </row>
    <row r="41" spans="1:13" ht="15.6" customHeight="1">
      <c r="A41" s="187">
        <v>2024</v>
      </c>
      <c r="B41" s="280">
        <v>0.8</v>
      </c>
      <c r="C41" s="280">
        <v>0.6</v>
      </c>
      <c r="D41" s="280">
        <v>0.45</v>
      </c>
      <c r="E41" s="280">
        <v>0.3</v>
      </c>
      <c r="F41" s="280">
        <v>0.4</v>
      </c>
      <c r="G41" s="363" t="s">
        <v>475</v>
      </c>
      <c r="H41" s="363"/>
      <c r="I41" s="363"/>
    </row>
    <row r="42" spans="1:13">
      <c r="A42" s="187">
        <v>2030</v>
      </c>
      <c r="B42" s="280">
        <v>0.9</v>
      </c>
      <c r="C42" s="280">
        <v>0.7</v>
      </c>
      <c r="D42" s="280">
        <v>0.55000000000000004</v>
      </c>
      <c r="E42" s="280">
        <v>0.45</v>
      </c>
      <c r="F42" s="280">
        <v>0.5</v>
      </c>
      <c r="G42" s="357" t="s">
        <v>490</v>
      </c>
      <c r="H42" s="358"/>
      <c r="I42" s="359"/>
    </row>
    <row r="43" spans="1:13">
      <c r="A43" s="187">
        <v>2050</v>
      </c>
      <c r="B43" s="280">
        <v>0.9</v>
      </c>
      <c r="C43" s="280">
        <v>0.7</v>
      </c>
      <c r="D43" s="280">
        <v>0.55000000000000004</v>
      </c>
      <c r="E43" s="280">
        <v>0.45</v>
      </c>
      <c r="F43" s="280">
        <v>0.5</v>
      </c>
      <c r="G43" s="360"/>
      <c r="H43" s="361"/>
      <c r="I43" s="362"/>
    </row>
    <row r="44" spans="1:13" ht="15.75">
      <c r="B44" s="274"/>
      <c r="C44" s="274"/>
      <c r="D44" s="274"/>
      <c r="E44" s="274"/>
      <c r="F44" s="274"/>
      <c r="G44" s="80"/>
      <c r="H44" s="80"/>
      <c r="I44" s="80"/>
      <c r="K44" s="277"/>
      <c r="L44" s="277"/>
      <c r="M44" s="277"/>
    </row>
    <row r="45" spans="1:13">
      <c r="A45" s="350" t="s">
        <v>488</v>
      </c>
      <c r="B45" s="351"/>
      <c r="C45" s="351"/>
      <c r="D45" s="351"/>
      <c r="E45" s="351"/>
      <c r="F45" s="351"/>
      <c r="G45" s="351"/>
      <c r="H45" s="351"/>
      <c r="I45" s="351"/>
      <c r="K45" s="277"/>
      <c r="L45" s="277"/>
      <c r="M45" s="277"/>
    </row>
    <row r="46" spans="1:13" ht="15.75">
      <c r="A46" s="274"/>
      <c r="B46" s="274"/>
      <c r="C46" s="274"/>
      <c r="D46" s="274"/>
      <c r="E46" s="274"/>
      <c r="F46" s="274"/>
      <c r="G46" s="275"/>
      <c r="H46" s="276"/>
      <c r="I46" s="276"/>
      <c r="J46" s="277"/>
      <c r="K46" s="277"/>
      <c r="L46" s="277"/>
      <c r="M46" s="277"/>
    </row>
    <row r="47" spans="1:13">
      <c r="A47" s="279"/>
      <c r="B47" s="354" t="s">
        <v>478</v>
      </c>
      <c r="C47" s="354"/>
      <c r="D47" s="354"/>
      <c r="E47" s="354"/>
      <c r="F47" s="354" t="s">
        <v>479</v>
      </c>
      <c r="G47" s="354"/>
      <c r="H47" s="352" t="s">
        <v>474</v>
      </c>
      <c r="I47" s="353"/>
      <c r="J47" s="277"/>
      <c r="K47" s="277"/>
      <c r="L47" s="277"/>
      <c r="M47" s="277"/>
    </row>
    <row r="48" spans="1:13" ht="36" customHeight="1">
      <c r="A48" s="187">
        <v>2024</v>
      </c>
      <c r="B48" s="370" t="s">
        <v>491</v>
      </c>
      <c r="C48" s="370"/>
      <c r="D48" s="370"/>
      <c r="E48" s="370"/>
      <c r="F48" s="367" t="s">
        <v>480</v>
      </c>
      <c r="G48" s="367"/>
      <c r="H48" s="369" t="s">
        <v>492</v>
      </c>
      <c r="I48" s="369"/>
      <c r="J48" s="277"/>
      <c r="K48" s="277"/>
      <c r="L48" s="277"/>
      <c r="M48" s="277"/>
    </row>
    <row r="49" spans="1:13" ht="56.45" customHeight="1">
      <c r="A49" s="187">
        <v>2030</v>
      </c>
      <c r="B49" s="367" t="s">
        <v>481</v>
      </c>
      <c r="C49" s="367"/>
      <c r="D49" s="367"/>
      <c r="E49" s="367"/>
      <c r="F49" s="367" t="s">
        <v>482</v>
      </c>
      <c r="G49" s="367"/>
      <c r="H49" s="368" t="s">
        <v>483</v>
      </c>
      <c r="I49" s="368"/>
      <c r="K49" s="277"/>
      <c r="L49" s="277"/>
      <c r="M49" s="277"/>
    </row>
    <row r="50" spans="1:13" ht="30" customHeight="1">
      <c r="A50" s="187">
        <v>2050</v>
      </c>
      <c r="B50" s="367" t="s">
        <v>481</v>
      </c>
      <c r="C50" s="367"/>
      <c r="D50" s="367"/>
      <c r="E50" s="367"/>
      <c r="F50" s="367" t="s">
        <v>481</v>
      </c>
      <c r="G50" s="367"/>
      <c r="H50" s="368" t="s">
        <v>481</v>
      </c>
      <c r="I50" s="368"/>
    </row>
    <row r="52" spans="1:13" ht="26.25">
      <c r="A52" s="348" t="s">
        <v>485</v>
      </c>
      <c r="B52" s="348"/>
      <c r="C52" s="348"/>
      <c r="D52" s="348"/>
      <c r="E52" s="348"/>
      <c r="F52" s="348"/>
      <c r="G52" s="348"/>
      <c r="H52" s="348"/>
      <c r="I52" s="348"/>
      <c r="J52" s="348"/>
    </row>
    <row r="54" spans="1:13" ht="26.25">
      <c r="A54" s="24" t="s">
        <v>80</v>
      </c>
    </row>
    <row r="55" spans="1:13">
      <c r="B55" s="373" t="s">
        <v>91</v>
      </c>
      <c r="C55" s="373"/>
      <c r="D55" s="373"/>
      <c r="E55" s="373"/>
      <c r="F55" s="373"/>
      <c r="I55" s="371" t="s">
        <v>81</v>
      </c>
      <c r="J55" s="371"/>
      <c r="K55" s="371"/>
      <c r="L55" s="371"/>
      <c r="M55" s="371"/>
    </row>
    <row r="56" spans="1:13">
      <c r="B56" s="28">
        <v>2020</v>
      </c>
      <c r="C56" s="28">
        <v>2025</v>
      </c>
      <c r="D56" s="28">
        <v>2030</v>
      </c>
      <c r="E56" s="28">
        <v>2040</v>
      </c>
      <c r="F56" s="28">
        <v>2050</v>
      </c>
      <c r="I56" s="26">
        <v>2015</v>
      </c>
      <c r="J56" s="26">
        <v>2020</v>
      </c>
      <c r="K56" s="26">
        <v>2025</v>
      </c>
      <c r="L56" s="26">
        <v>2030</v>
      </c>
      <c r="M56" s="26">
        <v>2050</v>
      </c>
    </row>
    <row r="57" spans="1:13" ht="39">
      <c r="A57" s="8" t="s">
        <v>496</v>
      </c>
      <c r="B57" s="285">
        <v>1</v>
      </c>
      <c r="C57" s="285">
        <v>0.96477007719035712</v>
      </c>
      <c r="D57" s="285">
        <v>0.95097635622744225</v>
      </c>
      <c r="E57" s="285">
        <v>0.9116184873346338</v>
      </c>
      <c r="F57" s="285">
        <v>0.89802673419415702</v>
      </c>
      <c r="I57" s="27">
        <v>1</v>
      </c>
      <c r="J57" s="27">
        <v>0.99466666666666703</v>
      </c>
      <c r="K57" s="27">
        <v>0.98933333333333295</v>
      </c>
      <c r="L57" s="27">
        <v>0.98399999999999999</v>
      </c>
      <c r="M57" s="27">
        <v>0.94699999999999995</v>
      </c>
    </row>
    <row r="58" spans="1:13" ht="39">
      <c r="A58" s="8" t="s">
        <v>497</v>
      </c>
      <c r="B58" s="285">
        <v>1</v>
      </c>
      <c r="C58" s="285">
        <v>1.1767138986246819</v>
      </c>
      <c r="D58" s="285">
        <v>1.2280787406162423</v>
      </c>
      <c r="E58" s="285">
        <v>1.3029785219756893</v>
      </c>
      <c r="F58" s="285">
        <v>1.3042349157377622</v>
      </c>
      <c r="I58" s="26">
        <v>1</v>
      </c>
      <c r="J58" s="26">
        <v>1.04</v>
      </c>
      <c r="K58" s="26">
        <v>1.08</v>
      </c>
      <c r="L58" s="26">
        <v>1.1200000000000001</v>
      </c>
      <c r="M58" s="26">
        <v>1.27</v>
      </c>
    </row>
    <row r="59" spans="1:13">
      <c r="B59" s="22" t="s">
        <v>498</v>
      </c>
      <c r="I59" s="26"/>
      <c r="J59" s="26"/>
      <c r="K59" s="26"/>
      <c r="L59" s="26"/>
      <c r="M59" s="26"/>
    </row>
    <row r="61" spans="1:13">
      <c r="B61" s="373" t="s">
        <v>19</v>
      </c>
      <c r="C61" s="373"/>
      <c r="D61" s="373"/>
      <c r="E61" s="373"/>
      <c r="F61" s="373"/>
    </row>
    <row r="62" spans="1:13">
      <c r="A62" s="24" t="s">
        <v>82</v>
      </c>
      <c r="B62" s="28">
        <v>2020</v>
      </c>
      <c r="C62" s="28">
        <v>2025</v>
      </c>
      <c r="D62" s="28">
        <v>2030</v>
      </c>
      <c r="E62" s="28">
        <v>2040</v>
      </c>
      <c r="F62" s="28">
        <v>2050</v>
      </c>
    </row>
    <row r="63" spans="1:13">
      <c r="A63" s="4" t="s">
        <v>83</v>
      </c>
      <c r="B63" s="29"/>
      <c r="C63" s="4"/>
      <c r="D63" s="4"/>
      <c r="E63" s="4"/>
      <c r="F63" s="4"/>
      <c r="G63" t="s">
        <v>84</v>
      </c>
    </row>
    <row r="64" spans="1:13">
      <c r="A64" s="4" t="s">
        <v>85</v>
      </c>
      <c r="B64" s="29"/>
      <c r="C64" s="4"/>
      <c r="D64" s="4"/>
      <c r="E64" s="4"/>
      <c r="F64" s="4"/>
      <c r="G64" t="s">
        <v>86</v>
      </c>
    </row>
    <row r="65" spans="1:9" ht="26.25">
      <c r="A65" s="8" t="s">
        <v>87</v>
      </c>
      <c r="B65" s="4"/>
      <c r="C65" s="4">
        <v>1</v>
      </c>
      <c r="D65" s="4">
        <v>0.93</v>
      </c>
      <c r="E65" s="4">
        <v>0.91500000000000004</v>
      </c>
      <c r="F65" s="4">
        <v>0.9</v>
      </c>
    </row>
    <row r="67" spans="1:9">
      <c r="B67" s="373" t="s">
        <v>19</v>
      </c>
      <c r="C67" s="373"/>
      <c r="D67" s="373"/>
      <c r="E67" s="373"/>
      <c r="F67" s="373"/>
    </row>
    <row r="68" spans="1:9">
      <c r="A68" s="24" t="s">
        <v>90</v>
      </c>
      <c r="B68" s="7">
        <v>3</v>
      </c>
      <c r="C68" s="7">
        <v>3.25</v>
      </c>
      <c r="D68" s="5">
        <v>3.5</v>
      </c>
      <c r="E68" s="5">
        <v>3.75</v>
      </c>
      <c r="F68" s="5">
        <v>4</v>
      </c>
      <c r="G68" s="26" t="s">
        <v>374</v>
      </c>
    </row>
    <row r="71" spans="1:9">
      <c r="B71" s="373" t="s">
        <v>19</v>
      </c>
      <c r="C71" s="373"/>
      <c r="D71" s="373"/>
      <c r="E71" s="373"/>
      <c r="F71" s="373"/>
    </row>
    <row r="72" spans="1:9" ht="26.25">
      <c r="A72" s="267" t="s">
        <v>451</v>
      </c>
      <c r="D72" s="28" t="s">
        <v>28</v>
      </c>
      <c r="E72" s="28" t="s">
        <v>29</v>
      </c>
      <c r="F72" s="28" t="s">
        <v>30</v>
      </c>
    </row>
    <row r="73" spans="1:9" ht="30">
      <c r="A73" s="199" t="s">
        <v>452</v>
      </c>
      <c r="D73" s="79">
        <v>315000</v>
      </c>
      <c r="E73" s="79">
        <v>330000</v>
      </c>
      <c r="F73" s="79">
        <v>330000</v>
      </c>
    </row>
    <row r="75" spans="1:9">
      <c r="I75" s="281"/>
    </row>
    <row r="77" spans="1:9">
      <c r="A77" s="24" t="s">
        <v>88</v>
      </c>
    </row>
    <row r="78" spans="1:9" ht="68.099999999999994" customHeight="1">
      <c r="A78" s="8" t="s">
        <v>493</v>
      </c>
      <c r="B78" s="372" t="s">
        <v>89</v>
      </c>
      <c r="C78" s="372"/>
      <c r="D78" s="372"/>
      <c r="E78" s="372"/>
      <c r="F78" s="372"/>
    </row>
  </sheetData>
  <mergeCells count="98">
    <mergeCell ref="F28:I28"/>
    <mergeCell ref="B28:E28"/>
    <mergeCell ref="B27:I27"/>
    <mergeCell ref="B21:E21"/>
    <mergeCell ref="F21:I21"/>
    <mergeCell ref="B22:E22"/>
    <mergeCell ref="F22:I22"/>
    <mergeCell ref="B23:E23"/>
    <mergeCell ref="F23:I23"/>
    <mergeCell ref="B24:E24"/>
    <mergeCell ref="F24:I24"/>
    <mergeCell ref="B25:E25"/>
    <mergeCell ref="F25:I25"/>
    <mergeCell ref="B29:E29"/>
    <mergeCell ref="F29:I29"/>
    <mergeCell ref="B30:E30"/>
    <mergeCell ref="F30:I30"/>
    <mergeCell ref="B31:E31"/>
    <mergeCell ref="F31:I31"/>
    <mergeCell ref="A1:C2"/>
    <mergeCell ref="D1:J2"/>
    <mergeCell ref="A4:J4"/>
    <mergeCell ref="B6:E6"/>
    <mergeCell ref="F6:I6"/>
    <mergeCell ref="A8:A9"/>
    <mergeCell ref="F8:I8"/>
    <mergeCell ref="K8:N8"/>
    <mergeCell ref="O8:R8"/>
    <mergeCell ref="F9:I9"/>
    <mergeCell ref="K9:N9"/>
    <mergeCell ref="O9:R9"/>
    <mergeCell ref="B8:E9"/>
    <mergeCell ref="B17:E17"/>
    <mergeCell ref="F17:I17"/>
    <mergeCell ref="B18:E18"/>
    <mergeCell ref="F18:I18"/>
    <mergeCell ref="O6:R6"/>
    <mergeCell ref="K6:N6"/>
    <mergeCell ref="B7:I7"/>
    <mergeCell ref="B10:E10"/>
    <mergeCell ref="F10:I10"/>
    <mergeCell ref="K10:N10"/>
    <mergeCell ref="O10:R10"/>
    <mergeCell ref="B11:E11"/>
    <mergeCell ref="F11:I11"/>
    <mergeCell ref="B12:E12"/>
    <mergeCell ref="F12:I12"/>
    <mergeCell ref="K12:N12"/>
    <mergeCell ref="B20:I20"/>
    <mergeCell ref="K14:N14"/>
    <mergeCell ref="O14:R14"/>
    <mergeCell ref="A15:A16"/>
    <mergeCell ref="B15:E15"/>
    <mergeCell ref="F15:I15"/>
    <mergeCell ref="K15:N15"/>
    <mergeCell ref="O15:R15"/>
    <mergeCell ref="B16:E16"/>
    <mergeCell ref="F16:I16"/>
    <mergeCell ref="K16:N16"/>
    <mergeCell ref="O16:R16"/>
    <mergeCell ref="K17:N17"/>
    <mergeCell ref="O17:R17"/>
    <mergeCell ref="B14:E14"/>
    <mergeCell ref="F14:I14"/>
    <mergeCell ref="O12:R12"/>
    <mergeCell ref="B13:E13"/>
    <mergeCell ref="F13:I13"/>
    <mergeCell ref="K13:N13"/>
    <mergeCell ref="O13:R13"/>
    <mergeCell ref="I55:M55"/>
    <mergeCell ref="B78:F78"/>
    <mergeCell ref="B61:F61"/>
    <mergeCell ref="B67:F67"/>
    <mergeCell ref="B71:F71"/>
    <mergeCell ref="B55:F55"/>
    <mergeCell ref="A52:J52"/>
    <mergeCell ref="G41:I41"/>
    <mergeCell ref="B39:E39"/>
    <mergeCell ref="B50:E50"/>
    <mergeCell ref="F50:G50"/>
    <mergeCell ref="H50:I50"/>
    <mergeCell ref="H48:I48"/>
    <mergeCell ref="B49:E49"/>
    <mergeCell ref="F49:G49"/>
    <mergeCell ref="H49:I49"/>
    <mergeCell ref="B48:E48"/>
    <mergeCell ref="F48:G48"/>
    <mergeCell ref="A33:J33"/>
    <mergeCell ref="A36:I36"/>
    <mergeCell ref="A35:I35"/>
    <mergeCell ref="A45:I45"/>
    <mergeCell ref="H47:I47"/>
    <mergeCell ref="B47:E47"/>
    <mergeCell ref="F47:G47"/>
    <mergeCell ref="F39:F40"/>
    <mergeCell ref="B38:I38"/>
    <mergeCell ref="G39:I40"/>
    <mergeCell ref="G42:I4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V150"/>
  <sheetViews>
    <sheetView topLeftCell="B110" zoomScale="115" zoomScaleNormal="115" workbookViewId="0">
      <selection activeCell="Q126" sqref="Q126"/>
    </sheetView>
  </sheetViews>
  <sheetFormatPr baseColWidth="10" defaultRowHeight="15"/>
  <cols>
    <col min="1" max="1" width="17.140625" customWidth="1"/>
    <col min="18" max="19" width="6.140625" customWidth="1"/>
    <col min="20" max="20" width="7.5703125" bestFit="1" customWidth="1"/>
    <col min="21" max="34" width="6.140625" customWidth="1"/>
  </cols>
  <sheetData>
    <row r="1" spans="1:45">
      <c r="A1" s="334" t="s">
        <v>1</v>
      </c>
      <c r="B1" s="334"/>
      <c r="C1" s="334"/>
      <c r="D1" s="332" t="s">
        <v>4</v>
      </c>
      <c r="E1" s="332"/>
      <c r="F1" s="332"/>
      <c r="G1" s="332"/>
      <c r="H1" s="332"/>
      <c r="I1" s="332"/>
      <c r="J1" s="332"/>
    </row>
    <row r="2" spans="1:45">
      <c r="A2" s="334"/>
      <c r="B2" s="334"/>
      <c r="C2" s="334"/>
      <c r="D2" s="332"/>
      <c r="E2" s="332"/>
      <c r="F2" s="332"/>
      <c r="G2" s="332"/>
      <c r="H2" s="332"/>
      <c r="I2" s="332"/>
      <c r="J2" s="332"/>
    </row>
    <row r="4" spans="1:45" ht="26.25">
      <c r="A4" s="348" t="s">
        <v>186</v>
      </c>
      <c r="B4" s="348"/>
      <c r="C4" s="348"/>
      <c r="D4" s="348"/>
      <c r="E4" s="348"/>
      <c r="F4" s="348"/>
      <c r="G4" s="348"/>
      <c r="H4" s="348"/>
      <c r="I4" s="348"/>
      <c r="J4" s="348"/>
    </row>
    <row r="7" spans="1:45">
      <c r="B7" s="410" t="s">
        <v>112</v>
      </c>
      <c r="C7" s="410"/>
      <c r="D7" s="410"/>
      <c r="E7" s="410"/>
      <c r="G7" s="11" t="s">
        <v>93</v>
      </c>
      <c r="H7" s="11"/>
    </row>
    <row r="8" spans="1:45" ht="18">
      <c r="A8" s="15" t="s">
        <v>94</v>
      </c>
      <c r="B8" s="30">
        <v>2016</v>
      </c>
      <c r="C8" s="30">
        <v>2017</v>
      </c>
      <c r="D8" s="30">
        <v>2018</v>
      </c>
      <c r="E8" s="30">
        <v>2019</v>
      </c>
      <c r="G8" s="31">
        <v>2015</v>
      </c>
      <c r="H8" s="31">
        <v>2020</v>
      </c>
    </row>
    <row r="9" spans="1:45">
      <c r="A9" s="30" t="s">
        <v>95</v>
      </c>
      <c r="B9" s="32">
        <v>745</v>
      </c>
      <c r="C9" s="32">
        <v>741</v>
      </c>
      <c r="D9" s="32">
        <v>735</v>
      </c>
      <c r="E9" s="30">
        <v>732</v>
      </c>
      <c r="G9" s="31">
        <v>788.12375099105498</v>
      </c>
      <c r="H9" s="31">
        <v>704.90527042790598</v>
      </c>
      <c r="K9" s="33"/>
    </row>
    <row r="10" spans="1:45">
      <c r="A10" s="30" t="s">
        <v>96</v>
      </c>
      <c r="B10" s="32">
        <v>361</v>
      </c>
      <c r="C10" s="32">
        <v>360</v>
      </c>
      <c r="D10" s="32">
        <v>359</v>
      </c>
      <c r="E10" s="30">
        <v>357</v>
      </c>
      <c r="G10" s="31">
        <v>217.20341369217201</v>
      </c>
      <c r="H10" s="31">
        <v>207.286298318484</v>
      </c>
      <c r="K10" s="33"/>
    </row>
    <row r="11" spans="1:45">
      <c r="A11" s="30" t="s">
        <v>97</v>
      </c>
      <c r="B11" s="32">
        <v>1114</v>
      </c>
      <c r="C11" s="32">
        <v>1105</v>
      </c>
      <c r="D11" s="32">
        <v>1098</v>
      </c>
      <c r="E11" s="30">
        <v>1090</v>
      </c>
      <c r="G11" s="31">
        <v>903.04294443720596</v>
      </c>
      <c r="H11" s="31">
        <v>852.31746001289196</v>
      </c>
      <c r="K11" s="33"/>
    </row>
    <row r="12" spans="1:45">
      <c r="A12" s="30" t="s">
        <v>98</v>
      </c>
      <c r="B12" s="32">
        <v>26.6</v>
      </c>
      <c r="C12" s="32">
        <v>26.5</v>
      </c>
      <c r="D12" s="32">
        <v>30.3</v>
      </c>
      <c r="E12" s="30">
        <v>37.6</v>
      </c>
      <c r="G12" s="31"/>
      <c r="H12" s="34">
        <v>532.00595604499495</v>
      </c>
      <c r="AA12" s="26"/>
      <c r="AB12" s="26"/>
      <c r="AC12" s="26"/>
      <c r="AD12" s="26"/>
      <c r="AE12" s="26"/>
      <c r="AF12" s="26"/>
      <c r="AG12" s="26"/>
      <c r="AH12" s="26"/>
      <c r="AI12" s="26"/>
      <c r="AJ12" s="409" t="s">
        <v>21</v>
      </c>
      <c r="AK12" s="409"/>
      <c r="AL12" s="45" t="s">
        <v>22</v>
      </c>
      <c r="AM12" s="45"/>
      <c r="AN12" s="45" t="s">
        <v>23</v>
      </c>
      <c r="AO12" s="45"/>
      <c r="AP12" s="45" t="s">
        <v>24</v>
      </c>
      <c r="AQ12" s="45"/>
      <c r="AR12" s="26" t="s">
        <v>105</v>
      </c>
      <c r="AS12" s="26"/>
    </row>
    <row r="13" spans="1:45">
      <c r="AA13" s="26" t="s">
        <v>7</v>
      </c>
      <c r="AB13" s="26" t="s">
        <v>106</v>
      </c>
      <c r="AC13" s="26"/>
      <c r="AD13" s="26"/>
      <c r="AE13" s="26">
        <v>2030</v>
      </c>
      <c r="AF13" s="26">
        <v>2050</v>
      </c>
      <c r="AG13" s="26"/>
      <c r="AH13" s="26" t="s">
        <v>93</v>
      </c>
      <c r="AI13" s="26" t="s">
        <v>107</v>
      </c>
      <c r="AJ13" s="26">
        <v>2030</v>
      </c>
      <c r="AK13" s="26">
        <v>2050</v>
      </c>
      <c r="AL13" s="26">
        <v>2030</v>
      </c>
      <c r="AM13" s="26">
        <v>2050</v>
      </c>
      <c r="AN13" s="26">
        <v>2030</v>
      </c>
      <c r="AO13" s="26">
        <v>2050</v>
      </c>
      <c r="AP13" s="26">
        <v>2030</v>
      </c>
      <c r="AQ13" s="26">
        <v>2050</v>
      </c>
      <c r="AR13" s="26">
        <v>2030</v>
      </c>
      <c r="AS13" s="26">
        <v>2050</v>
      </c>
    </row>
    <row r="14" spans="1:45" ht="18">
      <c r="A14" s="15" t="s">
        <v>6</v>
      </c>
      <c r="B14" s="28">
        <v>2020</v>
      </c>
      <c r="C14" s="28">
        <f t="shared" ref="C14:H14" si="0">B14+5</f>
        <v>2025</v>
      </c>
      <c r="D14" s="28">
        <f t="shared" si="0"/>
        <v>2030</v>
      </c>
      <c r="E14" s="28">
        <f t="shared" si="0"/>
        <v>2035</v>
      </c>
      <c r="F14" s="28">
        <f t="shared" si="0"/>
        <v>2040</v>
      </c>
      <c r="G14" s="28">
        <f t="shared" si="0"/>
        <v>2045</v>
      </c>
      <c r="H14" s="28">
        <f t="shared" si="0"/>
        <v>2050</v>
      </c>
      <c r="AA14" s="26"/>
      <c r="AB14" s="26" t="s">
        <v>108</v>
      </c>
      <c r="AC14" s="26"/>
      <c r="AD14" s="26"/>
      <c r="AE14" s="35">
        <v>0</v>
      </c>
      <c r="AF14" s="35">
        <v>-0.05</v>
      </c>
      <c r="AG14" s="26"/>
      <c r="AH14" s="26"/>
      <c r="AI14" s="26" t="s">
        <v>108</v>
      </c>
      <c r="AJ14" s="27">
        <f>515/705</f>
        <v>0.73049645390070927</v>
      </c>
      <c r="AK14" s="27">
        <f>464/705</f>
        <v>0.65815602836879428</v>
      </c>
      <c r="AL14" s="27">
        <f>584/705</f>
        <v>0.82836879432624111</v>
      </c>
      <c r="AM14" s="27">
        <f>500/705</f>
        <v>0.70921985815602839</v>
      </c>
      <c r="AN14" s="27">
        <f>616/705</f>
        <v>0.87375886524822699</v>
      </c>
      <c r="AO14" s="27">
        <f>534/705</f>
        <v>0.75744680851063828</v>
      </c>
      <c r="AP14" s="27">
        <f>564/698</f>
        <v>0.8080229226361032</v>
      </c>
      <c r="AQ14" s="27">
        <f>418/698</f>
        <v>0.59885386819484243</v>
      </c>
      <c r="AR14" s="27">
        <f>424/468</f>
        <v>0.90598290598290598</v>
      </c>
      <c r="AS14" s="27">
        <f>347/468</f>
        <v>0.74145299145299148</v>
      </c>
    </row>
    <row r="15" spans="1:45">
      <c r="A15" s="30" t="s">
        <v>95</v>
      </c>
      <c r="B15" s="30">
        <f>E9</f>
        <v>732</v>
      </c>
      <c r="C15" s="31">
        <f>(B15+D15)/2</f>
        <v>728.5</v>
      </c>
      <c r="D15" s="31">
        <v>725</v>
      </c>
      <c r="E15" s="31">
        <f>(D15+F15)/2</f>
        <v>718.75</v>
      </c>
      <c r="F15" s="31">
        <f>(D15+H15)/2</f>
        <v>712.5</v>
      </c>
      <c r="G15" s="31">
        <f>(F15+H15)/2</f>
        <v>706.25</v>
      </c>
      <c r="H15" s="31">
        <v>700</v>
      </c>
      <c r="I15" t="s">
        <v>99</v>
      </c>
      <c r="AA15" s="26"/>
      <c r="AB15" s="26" t="s">
        <v>109</v>
      </c>
      <c r="AC15" s="26"/>
      <c r="AD15" s="26"/>
      <c r="AE15" s="35">
        <v>-0.05</v>
      </c>
      <c r="AF15" s="35">
        <v>-0.1</v>
      </c>
      <c r="AG15" s="26"/>
      <c r="AH15" s="26"/>
      <c r="AI15" s="26" t="s">
        <v>109</v>
      </c>
      <c r="AJ15" s="27"/>
      <c r="AK15" s="27">
        <f>126/217</f>
        <v>0.58064516129032262</v>
      </c>
      <c r="AL15" s="27"/>
      <c r="AM15" s="27">
        <f>148/217</f>
        <v>0.6820276497695853</v>
      </c>
      <c r="AN15" s="27"/>
      <c r="AO15" s="27">
        <f>170/217</f>
        <v>0.78341013824884798</v>
      </c>
      <c r="AP15" s="27"/>
      <c r="AQ15" s="27">
        <f>162/217</f>
        <v>0.74654377880184331</v>
      </c>
      <c r="AR15" s="27"/>
      <c r="AS15" s="27">
        <f>127/195</f>
        <v>0.6512820512820513</v>
      </c>
    </row>
    <row r="16" spans="1:45">
      <c r="A16" s="30" t="s">
        <v>96</v>
      </c>
      <c r="B16" s="30">
        <f>E10</f>
        <v>357</v>
      </c>
      <c r="C16" s="31">
        <f>(B16+D16)/2</f>
        <v>338.5</v>
      </c>
      <c r="D16" s="31">
        <v>320</v>
      </c>
      <c r="E16" s="31">
        <f>(D16+F16)/2</f>
        <v>310</v>
      </c>
      <c r="F16" s="31">
        <f>(D16+H16)/2</f>
        <v>300</v>
      </c>
      <c r="G16" s="31">
        <f>(F16+H16)/2</f>
        <v>290</v>
      </c>
      <c r="H16" s="31">
        <v>280</v>
      </c>
      <c r="I16" t="s">
        <v>100</v>
      </c>
      <c r="AA16" s="26"/>
      <c r="AB16" s="26" t="s">
        <v>110</v>
      </c>
      <c r="AC16" s="26"/>
      <c r="AD16" s="26"/>
      <c r="AE16" s="35">
        <v>0</v>
      </c>
      <c r="AF16" s="35">
        <v>0.05</v>
      </c>
      <c r="AG16" s="26"/>
      <c r="AH16" s="26"/>
      <c r="AI16" s="26" t="s">
        <v>110</v>
      </c>
      <c r="AJ16" s="26"/>
      <c r="AK16" s="27">
        <f>380/903</f>
        <v>0.42081949058693247</v>
      </c>
      <c r="AL16" s="27"/>
      <c r="AM16" s="27">
        <f>538/903</f>
        <v>0.59579180509413066</v>
      </c>
      <c r="AN16" s="27"/>
      <c r="AO16" s="27">
        <f>703/903</f>
        <v>0.77851605758582498</v>
      </c>
      <c r="AP16" s="27"/>
      <c r="AQ16" s="27">
        <f>1012/903</f>
        <v>1.1207087486157254</v>
      </c>
      <c r="AR16" s="27"/>
      <c r="AS16" s="27">
        <f>522/1053</f>
        <v>0.49572649572649574</v>
      </c>
    </row>
    <row r="17" spans="1:45">
      <c r="A17" s="30" t="s">
        <v>97</v>
      </c>
      <c r="B17" s="30">
        <f>E11</f>
        <v>1090</v>
      </c>
      <c r="C17" s="31">
        <f>(B17+D17)/2</f>
        <v>1095</v>
      </c>
      <c r="D17" s="31">
        <v>1100</v>
      </c>
      <c r="E17" s="31">
        <f>(D17+F17)/2</f>
        <v>1112.5</v>
      </c>
      <c r="F17" s="31">
        <f>(D17+H17)/2</f>
        <v>1125</v>
      </c>
      <c r="G17" s="31">
        <f>(F17+H17)/2</f>
        <v>1137.5</v>
      </c>
      <c r="H17" s="31">
        <v>1150</v>
      </c>
      <c r="I17" t="s">
        <v>101</v>
      </c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</row>
    <row r="18" spans="1:45">
      <c r="A18" s="30" t="s">
        <v>98</v>
      </c>
      <c r="B18" s="30">
        <f>E12</f>
        <v>37.6</v>
      </c>
      <c r="C18" s="30"/>
      <c r="D18" s="30"/>
      <c r="E18" s="30"/>
      <c r="F18" s="30"/>
      <c r="G18" s="30"/>
      <c r="H18" s="30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</row>
    <row r="19" spans="1:45"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</row>
    <row r="20" spans="1:45">
      <c r="AA20" s="26" t="s">
        <v>20</v>
      </c>
      <c r="AB20" s="26"/>
      <c r="AC20" s="26">
        <v>2020</v>
      </c>
      <c r="AD20" s="26">
        <f t="shared" ref="AD20:AI20" si="1">AC20+5</f>
        <v>2025</v>
      </c>
      <c r="AE20" s="26">
        <f>AD20+5</f>
        <v>2030</v>
      </c>
      <c r="AF20" s="26">
        <f t="shared" si="1"/>
        <v>2035</v>
      </c>
      <c r="AG20" s="26">
        <f t="shared" si="1"/>
        <v>2040</v>
      </c>
      <c r="AH20" s="26">
        <f t="shared" si="1"/>
        <v>2045</v>
      </c>
      <c r="AI20" s="26">
        <f t="shared" si="1"/>
        <v>2050</v>
      </c>
      <c r="AJ20" s="26"/>
      <c r="AK20" s="26"/>
      <c r="AL20" s="26"/>
      <c r="AM20" s="26"/>
      <c r="AN20" s="26"/>
      <c r="AO20" s="26"/>
      <c r="AP20" s="26"/>
      <c r="AQ20" s="26"/>
      <c r="AR20" s="26"/>
      <c r="AS20" s="26"/>
    </row>
    <row r="21" spans="1:45" ht="18">
      <c r="A21" s="15" t="s">
        <v>19</v>
      </c>
      <c r="B21" s="28">
        <v>2020</v>
      </c>
      <c r="C21" s="28">
        <f t="shared" ref="C21:H21" si="2">B21+5</f>
        <v>2025</v>
      </c>
      <c r="D21" s="28">
        <f t="shared" si="2"/>
        <v>2030</v>
      </c>
      <c r="E21" s="28">
        <f t="shared" si="2"/>
        <v>2035</v>
      </c>
      <c r="F21" s="28">
        <f t="shared" si="2"/>
        <v>2040</v>
      </c>
      <c r="G21" s="28">
        <f t="shared" si="2"/>
        <v>2045</v>
      </c>
      <c r="H21" s="28">
        <f t="shared" si="2"/>
        <v>2050</v>
      </c>
      <c r="AA21" s="26"/>
      <c r="AB21" s="26" t="s">
        <v>95</v>
      </c>
      <c r="AC21" s="26"/>
      <c r="AD21" s="26"/>
      <c r="AE21" s="26">
        <v>750</v>
      </c>
      <c r="AF21" s="26"/>
      <c r="AG21" s="26"/>
      <c r="AH21" s="26"/>
      <c r="AI21" s="26">
        <v>656</v>
      </c>
      <c r="AJ21" s="26"/>
      <c r="AK21" s="26"/>
      <c r="AL21" s="26"/>
      <c r="AM21" s="26"/>
      <c r="AN21" s="26"/>
      <c r="AO21" s="26"/>
      <c r="AP21" s="26"/>
      <c r="AQ21" s="26"/>
      <c r="AR21" s="26"/>
      <c r="AS21" s="26"/>
    </row>
    <row r="22" spans="1:45">
      <c r="A22" s="30" t="s">
        <v>95</v>
      </c>
      <c r="B22" s="31">
        <f>E9</f>
        <v>732</v>
      </c>
      <c r="C22" s="31">
        <f>(B22+D22)/2</f>
        <v>716</v>
      </c>
      <c r="D22" s="31">
        <v>700</v>
      </c>
      <c r="E22" s="31">
        <f>(D22+F22)/2</f>
        <v>637.5</v>
      </c>
      <c r="F22" s="31">
        <f>(D22+H22)/2</f>
        <v>575</v>
      </c>
      <c r="G22" s="31">
        <f>(F22+H22)/2</f>
        <v>512.5</v>
      </c>
      <c r="H22" s="31">
        <v>450</v>
      </c>
      <c r="I22" t="s">
        <v>102</v>
      </c>
      <c r="AA22" s="26"/>
      <c r="AB22" s="26" t="s">
        <v>96</v>
      </c>
      <c r="AC22" s="26"/>
      <c r="AD22" s="26"/>
      <c r="AE22" s="26">
        <v>486.6</v>
      </c>
      <c r="AF22" s="26"/>
      <c r="AG22" s="26"/>
      <c r="AH22" s="26"/>
      <c r="AI22" s="26">
        <v>486.6</v>
      </c>
      <c r="AJ22" s="26"/>
      <c r="AK22" s="26"/>
      <c r="AL22" s="26"/>
      <c r="AM22" s="26"/>
      <c r="AN22" s="26"/>
      <c r="AO22" s="26"/>
      <c r="AP22" s="26"/>
      <c r="AQ22" s="26"/>
      <c r="AR22" s="26"/>
      <c r="AS22" s="26"/>
    </row>
    <row r="23" spans="1:45">
      <c r="A23" s="30" t="s">
        <v>96</v>
      </c>
      <c r="B23" s="31">
        <f>E10</f>
        <v>357</v>
      </c>
      <c r="C23" s="31">
        <f>(B23+D23)/2</f>
        <v>338.5</v>
      </c>
      <c r="D23" s="31">
        <v>320</v>
      </c>
      <c r="E23" s="31">
        <f>(D23+F23)/2</f>
        <v>302.47500000000002</v>
      </c>
      <c r="F23" s="31">
        <f>(D23+H23)/2</f>
        <v>284.95</v>
      </c>
      <c r="G23" s="31">
        <f>(F23+H23)/2</f>
        <v>267.42499999999995</v>
      </c>
      <c r="H23" s="31">
        <f>B23*0.7</f>
        <v>249.89999999999998</v>
      </c>
      <c r="I23" t="s">
        <v>103</v>
      </c>
      <c r="AA23" s="26"/>
      <c r="AB23" s="26" t="s">
        <v>111</v>
      </c>
      <c r="AC23" s="26"/>
      <c r="AD23" s="26"/>
      <c r="AE23" s="26">
        <v>121</v>
      </c>
      <c r="AF23" s="26"/>
      <c r="AG23" s="26"/>
      <c r="AH23" s="26"/>
      <c r="AI23" s="26">
        <v>83</v>
      </c>
      <c r="AJ23" s="26"/>
      <c r="AK23" s="26"/>
      <c r="AL23" s="26"/>
      <c r="AM23" s="26"/>
      <c r="AN23" s="26"/>
      <c r="AO23" s="26"/>
      <c r="AP23" s="26"/>
      <c r="AQ23" s="26"/>
      <c r="AR23" s="26"/>
      <c r="AS23" s="26"/>
    </row>
    <row r="24" spans="1:45">
      <c r="A24" s="30" t="s">
        <v>97</v>
      </c>
      <c r="B24" s="31">
        <f>E11</f>
        <v>1090</v>
      </c>
      <c r="C24" s="31">
        <f>(B24+D24)/2</f>
        <v>1025</v>
      </c>
      <c r="D24" s="31">
        <v>960</v>
      </c>
      <c r="E24" s="31">
        <f>(D24+F24)/2</f>
        <v>883.5</v>
      </c>
      <c r="F24" s="31">
        <f>(D24+H24)/2</f>
        <v>807</v>
      </c>
      <c r="G24" s="31">
        <f>(F24+H24)/2</f>
        <v>730.5</v>
      </c>
      <c r="H24" s="31">
        <f>B24*0.6</f>
        <v>654</v>
      </c>
      <c r="I24" t="s">
        <v>104</v>
      </c>
      <c r="AA24" s="26"/>
      <c r="AB24" s="26" t="s">
        <v>97</v>
      </c>
      <c r="AC24" s="26"/>
      <c r="AD24" s="26"/>
      <c r="AE24" s="26">
        <v>1691</v>
      </c>
      <c r="AF24" s="26"/>
      <c r="AG24" s="26"/>
      <c r="AH24" s="26"/>
      <c r="AI24" s="26">
        <v>1433</v>
      </c>
      <c r="AJ24" s="26"/>
      <c r="AK24" s="26"/>
      <c r="AL24" s="26"/>
      <c r="AM24" s="26"/>
      <c r="AN24" s="26"/>
      <c r="AO24" s="26"/>
      <c r="AP24" s="26"/>
      <c r="AQ24" s="26"/>
      <c r="AR24" s="26"/>
      <c r="AS24" s="26"/>
    </row>
    <row r="25" spans="1:45">
      <c r="A25" s="30" t="s">
        <v>98</v>
      </c>
      <c r="B25" s="30">
        <f>E12</f>
        <v>37.6</v>
      </c>
      <c r="C25" s="30"/>
      <c r="D25" s="30"/>
      <c r="E25" s="30"/>
      <c r="F25" s="30"/>
      <c r="G25" s="30"/>
      <c r="H25" s="30"/>
      <c r="AA25" s="26"/>
      <c r="AB25" s="26" t="s">
        <v>98</v>
      </c>
      <c r="AC25" s="26"/>
      <c r="AD25" s="26"/>
      <c r="AE25" s="26">
        <v>565</v>
      </c>
      <c r="AF25" s="26"/>
      <c r="AG25" s="26"/>
      <c r="AH25" s="26"/>
      <c r="AI25" s="26">
        <v>553</v>
      </c>
      <c r="AJ25" s="26"/>
      <c r="AK25" s="26"/>
      <c r="AL25" s="26"/>
      <c r="AM25" s="26"/>
      <c r="AN25" s="26"/>
      <c r="AO25" s="26"/>
      <c r="AP25" s="26"/>
      <c r="AQ25" s="26"/>
      <c r="AR25" s="26"/>
      <c r="AS25" s="26"/>
    </row>
    <row r="28" spans="1:45" ht="26.25">
      <c r="A28" s="348" t="s">
        <v>187</v>
      </c>
      <c r="B28" s="348"/>
      <c r="C28" s="348"/>
      <c r="D28" s="348"/>
      <c r="E28" s="348"/>
      <c r="F28" s="348"/>
      <c r="G28" s="348"/>
      <c r="H28" s="348"/>
      <c r="I28" s="348"/>
      <c r="J28" s="348"/>
    </row>
    <row r="30" spans="1:45" ht="18">
      <c r="A30" s="15" t="s">
        <v>94</v>
      </c>
    </row>
    <row r="32" spans="1:45">
      <c r="B32" t="s">
        <v>113</v>
      </c>
    </row>
    <row r="33" spans="1:48" ht="76.5">
      <c r="A33" s="4">
        <v>2015</v>
      </c>
      <c r="B33" s="36" t="s">
        <v>114</v>
      </c>
      <c r="C33" s="37" t="s">
        <v>115</v>
      </c>
      <c r="D33" s="37" t="s">
        <v>116</v>
      </c>
      <c r="E33" s="37" t="s">
        <v>117</v>
      </c>
      <c r="F33" s="37" t="s">
        <v>118</v>
      </c>
      <c r="G33" s="37" t="s">
        <v>119</v>
      </c>
      <c r="H33" s="37" t="s">
        <v>120</v>
      </c>
      <c r="K33" s="13" t="s">
        <v>125</v>
      </c>
      <c r="L33" s="13" t="s">
        <v>126</v>
      </c>
      <c r="M33" s="13" t="s">
        <v>127</v>
      </c>
      <c r="N33" s="13" t="s">
        <v>128</v>
      </c>
      <c r="O33" s="13" t="s">
        <v>129</v>
      </c>
      <c r="P33" s="13" t="s">
        <v>130</v>
      </c>
      <c r="Q33" s="13" t="s">
        <v>131</v>
      </c>
      <c r="R33" s="13" t="s">
        <v>132</v>
      </c>
      <c r="S33" s="13" t="s">
        <v>133</v>
      </c>
      <c r="T33" s="13" t="s">
        <v>134</v>
      </c>
    </row>
    <row r="34" spans="1:48">
      <c r="A34" s="4" t="s">
        <v>121</v>
      </c>
      <c r="B34" s="38">
        <v>0.46150000000000002</v>
      </c>
      <c r="C34" s="39">
        <v>7.5200000000000003E-2</v>
      </c>
      <c r="D34" s="39">
        <v>1.67E-2</v>
      </c>
      <c r="E34" s="39">
        <v>0.1133</v>
      </c>
      <c r="F34" s="39">
        <v>0.31640000000000001</v>
      </c>
      <c r="G34" s="39">
        <v>1.43E-2</v>
      </c>
      <c r="H34" s="39">
        <v>2.5999999999999999E-3</v>
      </c>
      <c r="J34" s="408" t="s">
        <v>108</v>
      </c>
      <c r="K34" s="13">
        <v>2015</v>
      </c>
      <c r="L34" s="40">
        <v>0.45834756076175798</v>
      </c>
      <c r="M34" s="40">
        <v>0.33422540524682398</v>
      </c>
      <c r="N34" s="40"/>
      <c r="O34" s="40">
        <v>0.11077222963578</v>
      </c>
      <c r="P34" s="40">
        <v>8.6193857352961298E-3</v>
      </c>
      <c r="Q34" s="40">
        <v>5.5433145748345998E-3</v>
      </c>
      <c r="R34" s="40">
        <v>5.8279968624909202E-2</v>
      </c>
      <c r="S34" s="40">
        <v>2.0054649489471599E-2</v>
      </c>
      <c r="T34" s="40">
        <v>4.1574859311259496E-3</v>
      </c>
    </row>
    <row r="35" spans="1:48">
      <c r="A35" s="4" t="s">
        <v>122</v>
      </c>
      <c r="B35" s="38">
        <v>0.4556</v>
      </c>
      <c r="C35" s="39">
        <v>8.0399999999999999E-2</v>
      </c>
      <c r="D35" s="39">
        <v>1.47E-2</v>
      </c>
      <c r="E35" s="39">
        <v>0.1036</v>
      </c>
      <c r="F35" s="39">
        <v>0.32869999999999999</v>
      </c>
      <c r="G35" s="39">
        <v>1.4E-2</v>
      </c>
      <c r="H35" s="39">
        <v>3.0000000000000001E-3</v>
      </c>
      <c r="J35" s="408"/>
      <c r="K35" s="12">
        <v>2020</v>
      </c>
      <c r="L35" s="40">
        <v>0.41472416486959102</v>
      </c>
      <c r="M35" s="40">
        <v>0.36621606958064901</v>
      </c>
      <c r="N35" s="40"/>
      <c r="O35" s="40">
        <v>9.0810150388764194E-2</v>
      </c>
      <c r="P35" s="40">
        <v>1.3987631362280199E-2</v>
      </c>
      <c r="Q35" s="40">
        <v>1.1535160611301399E-2</v>
      </c>
      <c r="R35" s="40">
        <v>6.8074425735909994E-2</v>
      </c>
      <c r="S35" s="40">
        <v>2.3117236840203E-2</v>
      </c>
      <c r="T35" s="40">
        <v>1.1535160611301399E-2</v>
      </c>
    </row>
    <row r="36" spans="1:48">
      <c r="A36" s="4" t="s">
        <v>123</v>
      </c>
      <c r="B36" s="38">
        <v>0.44130000000000003</v>
      </c>
      <c r="C36" s="39"/>
      <c r="D36" s="39"/>
      <c r="E36" s="39"/>
      <c r="F36" s="39">
        <v>0.36030000000000001</v>
      </c>
      <c r="G36" s="39">
        <v>0.19839999999999999</v>
      </c>
      <c r="H36" s="39"/>
      <c r="J36" s="408" t="s">
        <v>135</v>
      </c>
      <c r="K36" s="13">
        <v>2015</v>
      </c>
      <c r="L36" s="41">
        <v>0.67974421511788896</v>
      </c>
      <c r="M36" s="41">
        <v>0.32025578488211098</v>
      </c>
    </row>
    <row r="37" spans="1:48">
      <c r="A37" s="4" t="s">
        <v>124</v>
      </c>
      <c r="B37" s="38">
        <v>0.45519999999999999</v>
      </c>
      <c r="C37" s="39"/>
      <c r="D37" s="39"/>
      <c r="E37" s="39"/>
      <c r="F37" s="39">
        <v>0.36149999999999999</v>
      </c>
      <c r="G37" s="39">
        <v>0.18329999999999999</v>
      </c>
      <c r="H37" s="39"/>
      <c r="J37" s="408"/>
      <c r="K37" s="12">
        <v>2020</v>
      </c>
      <c r="L37" s="41">
        <v>0.71524025875472397</v>
      </c>
      <c r="M37" s="41">
        <v>0.28475974124527598</v>
      </c>
    </row>
    <row r="39" spans="1:48" ht="18">
      <c r="A39" s="15" t="s">
        <v>6</v>
      </c>
      <c r="C39" s="30" t="s">
        <v>136</v>
      </c>
      <c r="D39" s="30" t="s">
        <v>137</v>
      </c>
      <c r="E39" s="30" t="s">
        <v>138</v>
      </c>
      <c r="F39" s="30" t="s">
        <v>128</v>
      </c>
      <c r="G39" s="30" t="s">
        <v>129</v>
      </c>
      <c r="H39" s="30" t="s">
        <v>139</v>
      </c>
      <c r="I39" s="30" t="s">
        <v>140</v>
      </c>
      <c r="J39" s="30" t="s">
        <v>141</v>
      </c>
      <c r="K39" s="30" t="s">
        <v>142</v>
      </c>
      <c r="L39" s="30" t="s">
        <v>143</v>
      </c>
      <c r="AB39" s="26" t="s">
        <v>7</v>
      </c>
      <c r="AC39" s="26"/>
      <c r="AD39" s="26" t="s">
        <v>126</v>
      </c>
      <c r="AE39" s="26" t="s">
        <v>150</v>
      </c>
      <c r="AF39" s="26" t="s">
        <v>117</v>
      </c>
      <c r="AG39" s="26" t="s">
        <v>151</v>
      </c>
      <c r="AH39" s="26" t="s">
        <v>119</v>
      </c>
      <c r="AI39" s="26" t="s">
        <v>130</v>
      </c>
      <c r="AJ39" s="26" t="s">
        <v>137</v>
      </c>
      <c r="AK39" s="26" t="s">
        <v>152</v>
      </c>
      <c r="AL39" s="26" t="s">
        <v>153</v>
      </c>
      <c r="AM39" s="26"/>
      <c r="AN39" s="26"/>
      <c r="AO39" s="26"/>
      <c r="AP39" s="26"/>
      <c r="AQ39" s="26"/>
      <c r="AR39" s="26"/>
      <c r="AS39" s="26"/>
      <c r="AT39" s="26"/>
      <c r="AU39" s="26"/>
      <c r="AV39" s="26"/>
    </row>
    <row r="40" spans="1:48">
      <c r="A40" s="405" t="s">
        <v>144</v>
      </c>
      <c r="B40" s="42">
        <v>2020</v>
      </c>
      <c r="C40" s="43">
        <v>0.41599999999999998</v>
      </c>
      <c r="D40" s="43">
        <v>0.04</v>
      </c>
      <c r="E40" s="43">
        <f>C35</f>
        <v>8.0399999999999999E-2</v>
      </c>
      <c r="F40" s="43"/>
      <c r="G40" s="43">
        <f>G35+E35</f>
        <v>0.1176</v>
      </c>
      <c r="H40" s="43">
        <f>F35</f>
        <v>0.32869999999999999</v>
      </c>
      <c r="I40" s="43">
        <f>D35</f>
        <v>1.47E-2</v>
      </c>
      <c r="J40" s="43"/>
      <c r="K40" s="43">
        <f>H35</f>
        <v>3.0000000000000001E-3</v>
      </c>
      <c r="L40" s="43">
        <f t="shared" ref="L40:L53" si="3">SUM(C40:K40)</f>
        <v>1.0004</v>
      </c>
      <c r="M40" s="404" t="s">
        <v>145</v>
      </c>
      <c r="N40" s="404"/>
      <c r="Q40" s="403"/>
      <c r="S40" s="10"/>
      <c r="T40" s="10"/>
      <c r="U40" s="10"/>
      <c r="V40" s="10"/>
      <c r="W40" s="10"/>
      <c r="X40" s="10"/>
      <c r="Y40" s="10"/>
      <c r="Z40" s="10"/>
      <c r="AA40" s="10"/>
      <c r="AB40" s="371" t="s">
        <v>144</v>
      </c>
      <c r="AC40" s="26">
        <v>2015</v>
      </c>
      <c r="AD40" s="35">
        <v>0.48599999999999999</v>
      </c>
      <c r="AE40" s="35">
        <v>0.32100000000000001</v>
      </c>
      <c r="AF40" s="35">
        <v>0.09</v>
      </c>
      <c r="AG40" s="35">
        <v>4.0000000000000001E-3</v>
      </c>
      <c r="AH40" s="35">
        <v>1.6E-2</v>
      </c>
      <c r="AI40" s="35">
        <v>0.01</v>
      </c>
      <c r="AJ40" s="35">
        <v>0</v>
      </c>
      <c r="AK40" s="35">
        <v>7.3999999999999996E-2</v>
      </c>
      <c r="AL40" s="35">
        <v>0</v>
      </c>
      <c r="AM40" s="26"/>
      <c r="AN40" s="26"/>
      <c r="AO40" s="26"/>
      <c r="AP40" s="26"/>
      <c r="AQ40" s="26"/>
      <c r="AR40" s="26"/>
      <c r="AS40" s="26"/>
      <c r="AT40" s="26"/>
      <c r="AU40" s="26"/>
      <c r="AV40" s="26"/>
    </row>
    <row r="41" spans="1:48">
      <c r="A41" s="405"/>
      <c r="B41" s="30">
        <f t="shared" ref="B41:B46" si="4">B40+5</f>
        <v>2025</v>
      </c>
      <c r="C41" s="43">
        <f>(C40+C42)/2</f>
        <v>0.42799999999999999</v>
      </c>
      <c r="D41" s="43">
        <f t="shared" ref="D41:D46" si="5">D40</f>
        <v>0.04</v>
      </c>
      <c r="E41" s="43">
        <f>(E40+E42)/2</f>
        <v>8.5199999999999998E-2</v>
      </c>
      <c r="F41" s="43"/>
      <c r="G41" s="43">
        <f>(G40+G42)/2</f>
        <v>8.3799999999999999E-2</v>
      </c>
      <c r="H41" s="43">
        <f>(H40+H42)/2</f>
        <v>0.33934999999999998</v>
      </c>
      <c r="I41" s="43">
        <f>(I40+I42)/2</f>
        <v>1.235E-2</v>
      </c>
      <c r="J41" s="43"/>
      <c r="K41" s="43">
        <f>(K40+K42)/2</f>
        <v>1.15E-2</v>
      </c>
      <c r="L41" s="43">
        <f t="shared" si="3"/>
        <v>1.0001999999999998</v>
      </c>
      <c r="M41" s="404"/>
      <c r="N41" s="404"/>
      <c r="Q41" s="403"/>
      <c r="S41" s="10"/>
      <c r="T41" s="10"/>
      <c r="U41" s="10"/>
      <c r="V41" s="10"/>
      <c r="W41" s="10"/>
      <c r="X41" s="10"/>
      <c r="Y41" s="10"/>
      <c r="Z41" s="10"/>
      <c r="AA41" s="10"/>
      <c r="AB41" s="371"/>
      <c r="AC41" s="26">
        <v>2030</v>
      </c>
      <c r="AD41" s="35">
        <v>0.46500000000000002</v>
      </c>
      <c r="AE41" s="35">
        <v>0.35</v>
      </c>
      <c r="AF41" s="35">
        <v>0.05</v>
      </c>
      <c r="AG41" s="35">
        <v>0</v>
      </c>
      <c r="AH41" s="35">
        <v>0.01</v>
      </c>
      <c r="AI41" s="35">
        <v>5.0000000000000001E-3</v>
      </c>
      <c r="AJ41" s="35">
        <v>0</v>
      </c>
      <c r="AK41" s="35">
        <v>0.1</v>
      </c>
      <c r="AL41" s="35">
        <v>0.02</v>
      </c>
      <c r="AM41" s="26"/>
      <c r="AN41" s="26"/>
      <c r="AO41" s="26"/>
      <c r="AP41" s="26"/>
      <c r="AQ41" s="26"/>
      <c r="AR41" s="26"/>
      <c r="AS41" s="26"/>
      <c r="AT41" s="26"/>
      <c r="AU41" s="26"/>
      <c r="AV41" s="26"/>
    </row>
    <row r="42" spans="1:48">
      <c r="A42" s="405"/>
      <c r="B42" s="30">
        <f t="shared" si="4"/>
        <v>2030</v>
      </c>
      <c r="C42" s="43">
        <v>0.44</v>
      </c>
      <c r="D42" s="43">
        <f t="shared" si="5"/>
        <v>0.04</v>
      </c>
      <c r="E42" s="43">
        <v>0.09</v>
      </c>
      <c r="F42" s="43"/>
      <c r="G42" s="43">
        <v>0.05</v>
      </c>
      <c r="H42" s="43">
        <v>0.35</v>
      </c>
      <c r="I42" s="43">
        <v>0.01</v>
      </c>
      <c r="J42" s="43"/>
      <c r="K42" s="43">
        <v>0.02</v>
      </c>
      <c r="L42" s="43">
        <f t="shared" si="3"/>
        <v>1</v>
      </c>
      <c r="M42" s="404"/>
      <c r="N42" s="404"/>
      <c r="Q42" s="403"/>
      <c r="S42" s="10"/>
      <c r="T42" s="10"/>
      <c r="U42" s="10"/>
      <c r="V42" s="10"/>
      <c r="W42" s="10"/>
      <c r="X42" s="10"/>
      <c r="Z42" s="10"/>
      <c r="AA42" s="10"/>
      <c r="AB42" s="371"/>
      <c r="AC42" s="26">
        <v>2050</v>
      </c>
      <c r="AD42" s="35">
        <v>0.48499999999999999</v>
      </c>
      <c r="AE42" s="35">
        <v>0.38</v>
      </c>
      <c r="AF42" s="35">
        <v>0</v>
      </c>
      <c r="AG42" s="35">
        <v>0</v>
      </c>
      <c r="AH42" s="35">
        <v>0.01</v>
      </c>
      <c r="AI42" s="35">
        <v>5.0000000000000001E-3</v>
      </c>
      <c r="AJ42" s="26">
        <v>0</v>
      </c>
      <c r="AK42" s="35">
        <v>0.1</v>
      </c>
      <c r="AL42" s="35">
        <v>0.02</v>
      </c>
      <c r="AM42" s="26"/>
      <c r="AN42" s="26"/>
      <c r="AO42" s="26"/>
      <c r="AP42" s="26"/>
      <c r="AQ42" s="26"/>
      <c r="AR42" s="26"/>
      <c r="AS42" s="26"/>
      <c r="AT42" s="26"/>
      <c r="AU42" s="26"/>
      <c r="AV42" s="26"/>
    </row>
    <row r="43" spans="1:48">
      <c r="A43" s="405"/>
      <c r="B43" s="30">
        <f t="shared" si="4"/>
        <v>2035</v>
      </c>
      <c r="C43" s="43">
        <f>(C42+C44)/2</f>
        <v>0.44125000000000003</v>
      </c>
      <c r="D43" s="43">
        <f t="shared" si="5"/>
        <v>0.04</v>
      </c>
      <c r="E43" s="43">
        <f>(E42+E44)/2</f>
        <v>9.2499999999999999E-2</v>
      </c>
      <c r="F43" s="43"/>
      <c r="G43" s="43">
        <f>(G42+G44)/2</f>
        <v>0.04</v>
      </c>
      <c r="H43" s="43">
        <f>(H42+H44)/2</f>
        <v>0.35749999999999998</v>
      </c>
      <c r="I43" s="43">
        <f>(I42+I44)/2</f>
        <v>8.7500000000000008E-3</v>
      </c>
      <c r="J43" s="43"/>
      <c r="K43" s="43">
        <f>(K42+K44)/2</f>
        <v>0.02</v>
      </c>
      <c r="L43" s="43">
        <f t="shared" si="3"/>
        <v>1</v>
      </c>
      <c r="M43" s="404"/>
      <c r="N43" s="404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</row>
    <row r="44" spans="1:48">
      <c r="A44" s="405"/>
      <c r="B44" s="30">
        <f t="shared" si="4"/>
        <v>2040</v>
      </c>
      <c r="C44" s="43">
        <f>(C42+C46)/2</f>
        <v>0.4425</v>
      </c>
      <c r="D44" s="43">
        <f t="shared" si="5"/>
        <v>0.04</v>
      </c>
      <c r="E44" s="43">
        <f>(E42+E46)/2</f>
        <v>9.5000000000000001E-2</v>
      </c>
      <c r="F44" s="43"/>
      <c r="G44" s="43">
        <f>(G42+G46)/2</f>
        <v>3.0000000000000002E-2</v>
      </c>
      <c r="H44" s="43">
        <f>(H42+H46)/2</f>
        <v>0.36499999999999999</v>
      </c>
      <c r="I44" s="43">
        <f>(I42+I46)/2</f>
        <v>7.4999999999999997E-3</v>
      </c>
      <c r="J44" s="43"/>
      <c r="K44" s="43">
        <f>(K42+K46)/2</f>
        <v>0.02</v>
      </c>
      <c r="L44" s="43">
        <f t="shared" si="3"/>
        <v>1</v>
      </c>
      <c r="M44" s="404"/>
      <c r="N44" s="404"/>
      <c r="Q44" s="404"/>
      <c r="S44" s="10"/>
      <c r="T44" s="10"/>
      <c r="X44" s="10"/>
      <c r="AB44" s="383" t="s">
        <v>154</v>
      </c>
      <c r="AC44" s="26">
        <v>2015</v>
      </c>
      <c r="AD44" s="35">
        <v>0.438</v>
      </c>
      <c r="AE44" s="35">
        <v>0.35399999999999998</v>
      </c>
      <c r="AF44" s="26"/>
      <c r="AG44" s="26"/>
      <c r="AH44" s="26"/>
      <c r="AI44" s="35">
        <v>0.20799999999999999</v>
      </c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</row>
    <row r="45" spans="1:48">
      <c r="A45" s="405"/>
      <c r="B45" s="30">
        <f t="shared" si="4"/>
        <v>2045</v>
      </c>
      <c r="C45" s="43">
        <f>(C44+C46)/2</f>
        <v>0.44374999999999998</v>
      </c>
      <c r="D45" s="43">
        <f t="shared" si="5"/>
        <v>0.04</v>
      </c>
      <c r="E45" s="43">
        <f>(E44+E46)/2</f>
        <v>9.7500000000000003E-2</v>
      </c>
      <c r="F45" s="43"/>
      <c r="G45" s="43">
        <f>(G44+G46)/2</f>
        <v>0.02</v>
      </c>
      <c r="H45" s="43">
        <f>(H44+H46)/2</f>
        <v>0.3725</v>
      </c>
      <c r="I45" s="43">
        <f>(I44+I46)/2</f>
        <v>6.2500000000000003E-3</v>
      </c>
      <c r="J45" s="43"/>
      <c r="K45" s="43">
        <f>(K44+K46)/2</f>
        <v>0.02</v>
      </c>
      <c r="L45" s="43">
        <f t="shared" si="3"/>
        <v>0.99999999999999989</v>
      </c>
      <c r="M45" s="404"/>
      <c r="N45" s="404"/>
      <c r="Q45" s="404"/>
      <c r="S45" s="10"/>
      <c r="T45" s="10"/>
      <c r="X45" s="10"/>
      <c r="AB45" s="383"/>
      <c r="AC45" s="26">
        <v>2030</v>
      </c>
      <c r="AD45" s="35">
        <v>0.55000000000000004</v>
      </c>
      <c r="AE45" s="35">
        <v>0.35</v>
      </c>
      <c r="AF45" s="26"/>
      <c r="AG45" s="26"/>
      <c r="AH45" s="26"/>
      <c r="AI45" s="35">
        <v>0.15</v>
      </c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</row>
    <row r="46" spans="1:48">
      <c r="A46" s="405"/>
      <c r="B46" s="30">
        <f t="shared" si="4"/>
        <v>2050</v>
      </c>
      <c r="C46" s="43">
        <v>0.44500000000000001</v>
      </c>
      <c r="D46" s="43">
        <f t="shared" si="5"/>
        <v>0.04</v>
      </c>
      <c r="E46" s="43">
        <v>0.1</v>
      </c>
      <c r="F46" s="43"/>
      <c r="G46" s="43">
        <v>0.01</v>
      </c>
      <c r="H46" s="43">
        <v>0.38</v>
      </c>
      <c r="I46" s="43">
        <v>5.0000000000000001E-3</v>
      </c>
      <c r="J46" s="43"/>
      <c r="K46" s="43">
        <v>0.02</v>
      </c>
      <c r="L46" s="43">
        <f t="shared" si="3"/>
        <v>1</v>
      </c>
      <c r="M46" s="404"/>
      <c r="N46" s="404"/>
      <c r="Q46" s="404"/>
      <c r="S46" s="10"/>
      <c r="T46" s="10"/>
      <c r="X46" s="10"/>
      <c r="AB46" s="383"/>
      <c r="AC46" s="26">
        <v>2050</v>
      </c>
      <c r="AD46" s="35">
        <v>0.66</v>
      </c>
      <c r="AE46" s="35">
        <v>0.24</v>
      </c>
      <c r="AF46" s="26"/>
      <c r="AG46" s="26"/>
      <c r="AH46" s="26"/>
      <c r="AI46" s="35">
        <v>0.1</v>
      </c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</row>
    <row r="47" spans="1:48">
      <c r="A47" s="405" t="s">
        <v>146</v>
      </c>
      <c r="B47" s="42">
        <v>2020</v>
      </c>
      <c r="C47" s="43">
        <f>B37</f>
        <v>0.45519999999999999</v>
      </c>
      <c r="D47" s="43"/>
      <c r="E47" s="43"/>
      <c r="F47" s="43"/>
      <c r="G47" s="43">
        <f>G37</f>
        <v>0.18329999999999999</v>
      </c>
      <c r="H47" s="43">
        <f>F37</f>
        <v>0.36149999999999999</v>
      </c>
      <c r="I47" s="30"/>
      <c r="J47" s="30"/>
      <c r="K47" s="30"/>
      <c r="L47" s="43">
        <f t="shared" si="3"/>
        <v>1</v>
      </c>
      <c r="M47" s="404" t="s">
        <v>147</v>
      </c>
      <c r="N47" s="404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</row>
    <row r="48" spans="1:48">
      <c r="A48" s="405"/>
      <c r="B48" s="30">
        <f t="shared" ref="B48:B53" si="6">B47+5</f>
        <v>2025</v>
      </c>
      <c r="C48" s="43">
        <f>(C47+C49)/2</f>
        <v>0.50260000000000005</v>
      </c>
      <c r="D48" s="43"/>
      <c r="E48" s="43"/>
      <c r="F48" s="43"/>
      <c r="G48" s="43">
        <f>(G47+G49)/2</f>
        <v>0.14165</v>
      </c>
      <c r="H48" s="43">
        <f>(H47+H49)/2</f>
        <v>0.35575000000000001</v>
      </c>
      <c r="I48" s="30"/>
      <c r="J48" s="30"/>
      <c r="K48" s="30"/>
      <c r="L48" s="43">
        <f t="shared" si="3"/>
        <v>1</v>
      </c>
      <c r="M48" s="404"/>
      <c r="N48" s="404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</row>
    <row r="49" spans="1:48">
      <c r="A49" s="405"/>
      <c r="B49" s="30">
        <f t="shared" si="6"/>
        <v>2030</v>
      </c>
      <c r="C49" s="43">
        <v>0.55000000000000004</v>
      </c>
      <c r="D49" s="43"/>
      <c r="E49" s="43"/>
      <c r="F49" s="43"/>
      <c r="G49" s="43">
        <v>0.1</v>
      </c>
      <c r="H49" s="43">
        <v>0.35</v>
      </c>
      <c r="I49" s="30"/>
      <c r="J49" s="30"/>
      <c r="K49" s="30"/>
      <c r="L49" s="43">
        <f t="shared" si="3"/>
        <v>1</v>
      </c>
      <c r="M49" s="404"/>
      <c r="N49" s="404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</row>
    <row r="50" spans="1:48">
      <c r="A50" s="405"/>
      <c r="B50" s="30">
        <f t="shared" si="6"/>
        <v>2035</v>
      </c>
      <c r="C50" s="43">
        <f>(C49+C51)/2</f>
        <v>0.57750000000000001</v>
      </c>
      <c r="D50" s="43"/>
      <c r="E50" s="43"/>
      <c r="F50" s="43"/>
      <c r="G50" s="43">
        <f>(G49+G51)/2</f>
        <v>8.7500000000000008E-2</v>
      </c>
      <c r="H50" s="43">
        <f>(H49+H51)/2</f>
        <v>0.33499999999999996</v>
      </c>
      <c r="I50" s="30"/>
      <c r="J50" s="30"/>
      <c r="K50" s="30"/>
      <c r="L50" s="43">
        <f>SUM(C50:K50)</f>
        <v>1</v>
      </c>
      <c r="M50" s="404"/>
      <c r="N50" s="404"/>
      <c r="T50" s="10"/>
      <c r="U50" s="10"/>
      <c r="V50" s="10"/>
      <c r="W50" s="10"/>
      <c r="X50" s="10"/>
      <c r="Y50" s="10"/>
      <c r="Z50" s="10"/>
      <c r="AA50" s="10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</row>
    <row r="51" spans="1:48">
      <c r="A51" s="405"/>
      <c r="B51" s="30">
        <f t="shared" si="6"/>
        <v>2040</v>
      </c>
      <c r="C51" s="43">
        <f>(C49+C53)/2</f>
        <v>0.60499999999999998</v>
      </c>
      <c r="D51" s="43"/>
      <c r="E51" s="43"/>
      <c r="F51" s="43"/>
      <c r="G51" s="43">
        <f>(G49+G53)/2</f>
        <v>7.5000000000000011E-2</v>
      </c>
      <c r="H51" s="43">
        <f>(H49+H53)/2</f>
        <v>0.31999999999999995</v>
      </c>
      <c r="I51" s="30"/>
      <c r="J51" s="30"/>
      <c r="K51" s="30"/>
      <c r="L51" s="43">
        <f t="shared" si="3"/>
        <v>0.99999999999999989</v>
      </c>
      <c r="M51" s="404"/>
      <c r="N51" s="404"/>
      <c r="T51" s="10"/>
      <c r="U51" s="10"/>
      <c r="V51" s="10"/>
      <c r="W51" s="10"/>
      <c r="X51" s="10"/>
      <c r="Y51" s="10"/>
      <c r="Z51" s="10"/>
      <c r="AA51" s="10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</row>
    <row r="52" spans="1:48">
      <c r="A52" s="405"/>
      <c r="B52" s="30">
        <f t="shared" si="6"/>
        <v>2045</v>
      </c>
      <c r="C52" s="43">
        <f>(C51+C53)/2</f>
        <v>0.63250000000000006</v>
      </c>
      <c r="D52" s="43"/>
      <c r="E52" s="43"/>
      <c r="F52" s="43"/>
      <c r="G52" s="43">
        <f>(G51+G53)/2</f>
        <v>6.25E-2</v>
      </c>
      <c r="H52" s="43">
        <f>(H51+H53)/2</f>
        <v>0.30499999999999994</v>
      </c>
      <c r="I52" s="30"/>
      <c r="J52" s="30"/>
      <c r="K52" s="30"/>
      <c r="L52" s="43">
        <f t="shared" si="3"/>
        <v>1</v>
      </c>
      <c r="M52" s="404"/>
      <c r="N52" s="404"/>
      <c r="T52" s="10"/>
      <c r="U52" s="10"/>
      <c r="V52" s="10"/>
      <c r="W52" s="10"/>
      <c r="X52" s="10"/>
      <c r="Y52" s="10"/>
      <c r="Z52" s="10"/>
      <c r="AA52" s="10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45"/>
      <c r="AP52" s="45"/>
      <c r="AQ52" s="26"/>
      <c r="AR52" s="26"/>
      <c r="AS52" s="26"/>
      <c r="AT52" s="26"/>
      <c r="AU52" s="26"/>
      <c r="AV52" s="26"/>
    </row>
    <row r="53" spans="1:48">
      <c r="A53" s="405"/>
      <c r="B53" s="30">
        <f t="shared" si="6"/>
        <v>2050</v>
      </c>
      <c r="C53" s="43">
        <v>0.66</v>
      </c>
      <c r="D53" s="43"/>
      <c r="E53" s="43"/>
      <c r="F53" s="43"/>
      <c r="G53" s="43">
        <v>0.05</v>
      </c>
      <c r="H53" s="43">
        <v>0.28999999999999998</v>
      </c>
      <c r="I53" s="30"/>
      <c r="J53" s="30"/>
      <c r="K53" s="30"/>
      <c r="L53" s="43">
        <f t="shared" si="3"/>
        <v>1</v>
      </c>
      <c r="M53" s="404"/>
      <c r="N53" s="404"/>
      <c r="T53" s="10"/>
      <c r="U53" s="10"/>
      <c r="V53" s="10"/>
      <c r="W53" s="10"/>
      <c r="X53" s="10"/>
      <c r="Y53" s="10"/>
      <c r="Z53" s="10"/>
      <c r="AA53" s="10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45" t="s">
        <v>155</v>
      </c>
      <c r="AM53" s="26"/>
      <c r="AN53" s="45" t="s">
        <v>156</v>
      </c>
      <c r="AO53" s="26"/>
      <c r="AP53" s="26"/>
      <c r="AQ53" s="26"/>
      <c r="AR53" s="26"/>
      <c r="AS53" s="26"/>
      <c r="AT53" s="26"/>
      <c r="AU53" s="26"/>
      <c r="AV53" s="26"/>
    </row>
    <row r="54" spans="1:48" ht="15.75" thickBot="1">
      <c r="T54" s="10"/>
      <c r="U54" s="10"/>
      <c r="V54" s="10"/>
      <c r="W54" s="10"/>
      <c r="X54" s="10"/>
      <c r="Y54" s="10"/>
      <c r="Z54" s="10"/>
      <c r="AA54" s="10"/>
      <c r="AB54" s="26"/>
      <c r="AC54" s="26"/>
      <c r="AD54" s="26"/>
      <c r="AE54" s="26"/>
      <c r="AF54" s="26"/>
      <c r="AG54" s="26"/>
      <c r="AH54" s="26"/>
      <c r="AI54" s="26"/>
      <c r="AJ54" s="26"/>
      <c r="AK54" s="46"/>
      <c r="AL54" s="47" t="s">
        <v>157</v>
      </c>
      <c r="AM54" s="48" t="s">
        <v>136</v>
      </c>
      <c r="AN54" s="48" t="s">
        <v>137</v>
      </c>
      <c r="AO54" s="48" t="s">
        <v>138</v>
      </c>
      <c r="AP54" s="48" t="s">
        <v>128</v>
      </c>
      <c r="AQ54" s="48" t="s">
        <v>129</v>
      </c>
      <c r="AR54" s="48" t="s">
        <v>158</v>
      </c>
      <c r="AS54" s="48" t="s">
        <v>140</v>
      </c>
      <c r="AT54" s="48" t="s">
        <v>141</v>
      </c>
      <c r="AU54" s="48" t="s">
        <v>159</v>
      </c>
      <c r="AV54" s="48" t="s">
        <v>143</v>
      </c>
    </row>
    <row r="55" spans="1:48" ht="18.75" thickBot="1">
      <c r="A55" s="15" t="s">
        <v>19</v>
      </c>
      <c r="C55" s="30" t="s">
        <v>136</v>
      </c>
      <c r="D55" s="30" t="s">
        <v>137</v>
      </c>
      <c r="E55" s="30" t="s">
        <v>138</v>
      </c>
      <c r="F55" s="30" t="s">
        <v>128</v>
      </c>
      <c r="G55" s="30" t="s">
        <v>129</v>
      </c>
      <c r="H55" s="30" t="s">
        <v>139</v>
      </c>
      <c r="I55" s="30" t="s">
        <v>140</v>
      </c>
      <c r="J55" s="30" t="s">
        <v>141</v>
      </c>
      <c r="K55" s="30" t="s">
        <v>142</v>
      </c>
      <c r="L55" s="30" t="s">
        <v>143</v>
      </c>
      <c r="R55" s="3"/>
      <c r="T55" s="10"/>
      <c r="U55" s="10"/>
      <c r="V55" s="10"/>
      <c r="W55" s="10"/>
      <c r="X55" s="10"/>
      <c r="Y55" s="10"/>
      <c r="Z55" s="10"/>
      <c r="AA55" s="10"/>
      <c r="AB55" s="26"/>
      <c r="AC55" s="49" t="s">
        <v>20</v>
      </c>
      <c r="AD55" s="26"/>
      <c r="AE55" s="26"/>
      <c r="AF55" s="26"/>
      <c r="AG55" s="26"/>
      <c r="AH55" s="26"/>
      <c r="AI55" s="26"/>
      <c r="AJ55" s="26"/>
      <c r="AK55" s="26"/>
      <c r="AL55" s="26">
        <v>2015</v>
      </c>
      <c r="AM55" s="50">
        <v>0.4450426994876</v>
      </c>
      <c r="AN55" s="50">
        <v>4.4353969251033701E-3</v>
      </c>
      <c r="AO55" s="50">
        <v>6.9478531028973098E-2</v>
      </c>
      <c r="AP55" s="51">
        <v>4.6024542818639999E-4</v>
      </c>
      <c r="AQ55" s="50">
        <v>0.121112306095158</v>
      </c>
      <c r="AR55" s="50">
        <v>0.32245275339129897</v>
      </c>
      <c r="AS55" s="50">
        <v>1.7503849726014299E-2</v>
      </c>
      <c r="AT55" s="50"/>
      <c r="AU55" s="50">
        <v>1.95142179176661E-2</v>
      </c>
      <c r="AV55" s="26"/>
    </row>
    <row r="56" spans="1:48" ht="15.75" thickBot="1">
      <c r="A56" s="405" t="s">
        <v>144</v>
      </c>
      <c r="B56" s="42">
        <v>2020</v>
      </c>
      <c r="C56" s="43">
        <v>0.41599999999999998</v>
      </c>
      <c r="D56" s="44">
        <v>0.04</v>
      </c>
      <c r="E56" s="43">
        <f>E40</f>
        <v>8.0399999999999999E-2</v>
      </c>
      <c r="F56" s="30"/>
      <c r="G56" s="44">
        <f>G40</f>
        <v>0.1176</v>
      </c>
      <c r="H56" s="43">
        <f>F35</f>
        <v>0.32869999999999999</v>
      </c>
      <c r="I56" s="43">
        <v>1.4999999999999999E-2</v>
      </c>
      <c r="J56" s="30"/>
      <c r="K56" s="43">
        <f>K40</f>
        <v>3.0000000000000001E-3</v>
      </c>
      <c r="L56" s="44"/>
      <c r="M56" s="406" t="s">
        <v>148</v>
      </c>
      <c r="N56" s="406"/>
      <c r="R56" s="3"/>
      <c r="T56" s="10"/>
      <c r="U56" s="10"/>
      <c r="V56" s="10"/>
      <c r="W56" s="10"/>
      <c r="X56" s="10"/>
      <c r="Y56" s="10"/>
      <c r="Z56" s="10"/>
      <c r="AA56" s="10"/>
      <c r="AB56" s="26"/>
      <c r="AC56" s="49" t="s">
        <v>144</v>
      </c>
      <c r="AD56" s="26">
        <v>2015</v>
      </c>
      <c r="AE56" s="26">
        <v>2020</v>
      </c>
      <c r="AF56" s="26">
        <v>2025</v>
      </c>
      <c r="AG56" s="26">
        <v>2030</v>
      </c>
      <c r="AH56" s="26">
        <v>2040</v>
      </c>
      <c r="AI56" s="26">
        <v>2050</v>
      </c>
      <c r="AJ56" s="26"/>
      <c r="AK56" s="402" t="s">
        <v>144</v>
      </c>
      <c r="AL56" s="52">
        <v>2020</v>
      </c>
      <c r="AM56" s="50">
        <v>0.44695836962948399</v>
      </c>
      <c r="AN56" s="50">
        <v>1.14849599262023E-2</v>
      </c>
      <c r="AO56" s="50">
        <v>7.4344583604081804E-2</v>
      </c>
      <c r="AP56" s="51">
        <v>5.1165599974224599E-4</v>
      </c>
      <c r="AQ56" s="50">
        <v>0.102068232630758</v>
      </c>
      <c r="AR56" s="50">
        <v>0.32407096925102402</v>
      </c>
      <c r="AS56" s="50">
        <v>1.83834720502974E-2</v>
      </c>
      <c r="AT56" s="50"/>
      <c r="AU56" s="50">
        <v>2.2177756908410302E-2</v>
      </c>
      <c r="AV56" s="53"/>
    </row>
    <row r="57" spans="1:48" ht="15.75" thickBot="1">
      <c r="A57" s="405"/>
      <c r="B57" s="30">
        <f t="shared" ref="B57:B62" si="7">B56+5</f>
        <v>2025</v>
      </c>
      <c r="C57" s="44">
        <v>0.45</v>
      </c>
      <c r="D57" s="44">
        <v>0.06</v>
      </c>
      <c r="E57" s="44">
        <v>0.09</v>
      </c>
      <c r="F57" s="30"/>
      <c r="G57" s="44">
        <v>7.0000000000000007E-2</v>
      </c>
      <c r="H57" s="44">
        <v>0.29499999999999998</v>
      </c>
      <c r="I57" s="43">
        <v>2.5000000000000001E-2</v>
      </c>
      <c r="J57" s="30"/>
      <c r="K57" s="44">
        <v>0.01</v>
      </c>
      <c r="L57" s="44"/>
      <c r="M57" s="406"/>
      <c r="N57" s="406"/>
      <c r="S57" s="10"/>
      <c r="T57" s="10"/>
      <c r="U57" s="10"/>
      <c r="V57" s="10"/>
      <c r="W57" s="10"/>
      <c r="X57" s="10"/>
      <c r="Y57" s="10"/>
      <c r="Z57" s="10"/>
      <c r="AA57" s="10"/>
      <c r="AB57" s="26"/>
      <c r="AC57" s="26" t="s">
        <v>160</v>
      </c>
      <c r="AD57" s="35">
        <v>0.48</v>
      </c>
      <c r="AE57" s="35">
        <f>1-SUM(AE58:AE62)</f>
        <v>0.4900000000000001</v>
      </c>
      <c r="AF57" s="35">
        <f>1-SUM(AF58:AF62)</f>
        <v>0.48</v>
      </c>
      <c r="AG57" s="35">
        <f>1-SUM(AG58:AG62)</f>
        <v>0.36999999999999988</v>
      </c>
      <c r="AH57" s="35">
        <f>1-SUM(AH58:AH62)</f>
        <v>0.30000000000000004</v>
      </c>
      <c r="AI57" s="35">
        <v>0.05</v>
      </c>
      <c r="AJ57" s="26"/>
      <c r="AK57" s="402"/>
      <c r="AL57" s="54">
        <f t="shared" ref="AL57:AL62" si="8">AL56+5</f>
        <v>2025</v>
      </c>
      <c r="AM57" s="55">
        <v>0.44244630343804597</v>
      </c>
      <c r="AN57" s="55">
        <v>1.6202456512891199E-2</v>
      </c>
      <c r="AO57" s="55">
        <v>7.1952933203248304E-2</v>
      </c>
      <c r="AP57" s="55">
        <v>4.5892844664889598E-4</v>
      </c>
      <c r="AQ57" s="55">
        <v>9.79660094038977E-2</v>
      </c>
      <c r="AR57" s="55">
        <v>0.32223840362029399</v>
      </c>
      <c r="AS57" s="55">
        <v>2.3874664838680702E-2</v>
      </c>
      <c r="AT57" s="55"/>
      <c r="AU57" s="55">
        <v>2.48603005362934E-2</v>
      </c>
      <c r="AV57" s="56"/>
    </row>
    <row r="58" spans="1:48" ht="15.75" thickBot="1">
      <c r="A58" s="405"/>
      <c r="B58" s="30">
        <f t="shared" si="7"/>
        <v>2030</v>
      </c>
      <c r="C58" s="44">
        <v>0.495</v>
      </c>
      <c r="D58" s="44">
        <v>8.5000000000000006E-2</v>
      </c>
      <c r="E58" s="44">
        <v>0.1</v>
      </c>
      <c r="F58" s="30"/>
      <c r="G58" s="44">
        <v>0.01</v>
      </c>
      <c r="H58" s="44">
        <v>0.255</v>
      </c>
      <c r="I58" s="43">
        <v>3.5000000000000003E-2</v>
      </c>
      <c r="J58" s="30"/>
      <c r="K58" s="44">
        <v>0.02</v>
      </c>
      <c r="L58" s="44"/>
      <c r="M58" s="406"/>
      <c r="N58" s="406"/>
      <c r="S58" s="10"/>
      <c r="T58" s="10"/>
      <c r="U58" s="10"/>
      <c r="V58" s="10"/>
      <c r="W58" s="10"/>
      <c r="X58" s="10"/>
      <c r="Y58" s="10"/>
      <c r="Z58" s="10"/>
      <c r="AA58" s="10"/>
      <c r="AB58" s="26"/>
      <c r="AC58" s="26" t="s">
        <v>127</v>
      </c>
      <c r="AD58" s="35">
        <v>0.36</v>
      </c>
      <c r="AE58" s="35">
        <v>0.35</v>
      </c>
      <c r="AF58" s="35">
        <v>0.31</v>
      </c>
      <c r="AG58" s="35">
        <v>0.28000000000000003</v>
      </c>
      <c r="AH58" s="35">
        <v>0.15</v>
      </c>
      <c r="AI58" s="35">
        <v>0.05</v>
      </c>
      <c r="AJ58" s="26"/>
      <c r="AK58" s="402"/>
      <c r="AL58" s="54">
        <f t="shared" si="8"/>
        <v>2030</v>
      </c>
      <c r="AM58" s="55">
        <v>0.41820628472615701</v>
      </c>
      <c r="AN58" s="55">
        <v>4.2689059852871997E-2</v>
      </c>
      <c r="AO58" s="55">
        <v>6.6904961396342E-2</v>
      </c>
      <c r="AP58" s="55">
        <v>3.4410700515058901E-4</v>
      </c>
      <c r="AQ58" s="55">
        <v>8.4772914283416795E-2</v>
      </c>
      <c r="AR58" s="55">
        <v>0.307079581583386</v>
      </c>
      <c r="AS58" s="55">
        <v>5.0458196579862398E-2</v>
      </c>
      <c r="AT58" s="55"/>
      <c r="AU58" s="55">
        <v>2.9544894572813299E-2</v>
      </c>
      <c r="AV58" s="56"/>
    </row>
    <row r="59" spans="1:48" ht="15.75" thickBot="1">
      <c r="A59" s="405"/>
      <c r="B59" s="30">
        <f t="shared" si="7"/>
        <v>2035</v>
      </c>
      <c r="C59" s="44">
        <v>0.45500000000000002</v>
      </c>
      <c r="D59" s="44">
        <v>0.125</v>
      </c>
      <c r="E59" s="44">
        <v>0.11</v>
      </c>
      <c r="F59" s="30"/>
      <c r="G59" s="44">
        <v>5.0000000000000001E-3</v>
      </c>
      <c r="H59" s="44">
        <v>0.23</v>
      </c>
      <c r="I59" s="43">
        <v>0.04</v>
      </c>
      <c r="J59" s="30"/>
      <c r="K59" s="44">
        <v>3.5000000000000003E-2</v>
      </c>
      <c r="L59" s="44"/>
      <c r="M59" s="406"/>
      <c r="N59" s="406"/>
      <c r="S59" s="10"/>
      <c r="T59" s="10"/>
      <c r="U59" s="10"/>
      <c r="V59" s="10"/>
      <c r="W59" s="10"/>
      <c r="X59" s="10"/>
      <c r="Y59" s="10"/>
      <c r="Z59" s="10"/>
      <c r="AA59" s="10"/>
      <c r="AB59" s="26"/>
      <c r="AC59" s="26" t="s">
        <v>161</v>
      </c>
      <c r="AD59" s="35">
        <v>0.08</v>
      </c>
      <c r="AE59" s="35">
        <v>0.06</v>
      </c>
      <c r="AF59" s="35">
        <v>0.02</v>
      </c>
      <c r="AG59" s="35">
        <v>0</v>
      </c>
      <c r="AH59" s="35">
        <v>0</v>
      </c>
      <c r="AI59" s="35">
        <v>0</v>
      </c>
      <c r="AJ59" s="26"/>
      <c r="AK59" s="402"/>
      <c r="AL59" s="54">
        <f t="shared" si="8"/>
        <v>2035</v>
      </c>
      <c r="AM59" s="55">
        <v>0.349300707445513</v>
      </c>
      <c r="AN59" s="55">
        <v>0.109564734735778</v>
      </c>
      <c r="AO59" s="55">
        <v>7.2206390043181204E-2</v>
      </c>
      <c r="AP59" s="55">
        <v>1.7953716938090599E-4</v>
      </c>
      <c r="AQ59" s="55">
        <v>5.5901746806820397E-2</v>
      </c>
      <c r="AR59" s="55">
        <v>0.271504379846702</v>
      </c>
      <c r="AS59" s="55">
        <v>0.10126522871999601</v>
      </c>
      <c r="AT59" s="55"/>
      <c r="AU59" s="55">
        <v>4.0077275232627503E-2</v>
      </c>
      <c r="AV59" s="56"/>
    </row>
    <row r="60" spans="1:48" ht="15.75" thickBot="1">
      <c r="A60" s="405"/>
      <c r="B60" s="30">
        <f t="shared" si="7"/>
        <v>2040</v>
      </c>
      <c r="C60" s="44">
        <v>0.38500000000000001</v>
      </c>
      <c r="D60" s="44">
        <v>0.19</v>
      </c>
      <c r="E60" s="44">
        <v>0.12</v>
      </c>
      <c r="F60" s="30"/>
      <c r="G60" s="44">
        <v>0</v>
      </c>
      <c r="H60" s="44">
        <v>0.21</v>
      </c>
      <c r="I60" s="43">
        <v>4.4999999999999998E-2</v>
      </c>
      <c r="J60" s="30"/>
      <c r="K60" s="44">
        <v>0.05</v>
      </c>
      <c r="L60" s="44"/>
      <c r="M60" s="406"/>
      <c r="N60" s="406"/>
      <c r="S60" s="10"/>
      <c r="T60" s="10"/>
      <c r="U60" s="10"/>
      <c r="V60" s="10"/>
      <c r="W60" s="10"/>
      <c r="X60" s="10"/>
      <c r="Y60" s="10"/>
      <c r="Z60" s="10"/>
      <c r="AA60" s="10"/>
      <c r="AB60" s="26"/>
      <c r="AC60" s="26" t="s">
        <v>162</v>
      </c>
      <c r="AD60" s="35">
        <v>0.02</v>
      </c>
      <c r="AE60" s="35">
        <v>0.03</v>
      </c>
      <c r="AF60" s="35">
        <v>0.04</v>
      </c>
      <c r="AG60" s="35">
        <v>0.06</v>
      </c>
      <c r="AH60" s="35">
        <v>0.1</v>
      </c>
      <c r="AI60" s="35">
        <v>0.2</v>
      </c>
      <c r="AJ60" s="26"/>
      <c r="AK60" s="402"/>
      <c r="AL60" s="54">
        <f t="shared" si="8"/>
        <v>2040</v>
      </c>
      <c r="AM60" s="55">
        <v>0.24887781308909701</v>
      </c>
      <c r="AN60" s="55">
        <v>0.19310814324384301</v>
      </c>
      <c r="AO60" s="55">
        <v>9.0884342821553901E-2</v>
      </c>
      <c r="AP60" s="55">
        <v>5.7983851015957902E-5</v>
      </c>
      <c r="AQ60" s="55">
        <v>2.1135460651644102E-2</v>
      </c>
      <c r="AR60" s="55">
        <v>0.23165376836321699</v>
      </c>
      <c r="AS60" s="55">
        <v>0.15824244215621999</v>
      </c>
      <c r="AT60" s="55"/>
      <c r="AU60" s="55">
        <v>5.6040045823408297E-2</v>
      </c>
      <c r="AV60" s="56"/>
    </row>
    <row r="61" spans="1:48" ht="15.75" thickBot="1">
      <c r="A61" s="405"/>
      <c r="B61" s="30">
        <f t="shared" si="7"/>
        <v>2045</v>
      </c>
      <c r="C61" s="44">
        <v>0.30499999999999999</v>
      </c>
      <c r="D61" s="44">
        <v>0.26</v>
      </c>
      <c r="E61" s="44">
        <v>0.13</v>
      </c>
      <c r="F61" s="30"/>
      <c r="G61" s="44">
        <v>0</v>
      </c>
      <c r="H61" s="44">
        <v>0.19</v>
      </c>
      <c r="I61" s="43">
        <v>0.05</v>
      </c>
      <c r="J61" s="30"/>
      <c r="K61" s="44">
        <v>6.5000000000000002E-2</v>
      </c>
      <c r="L61" s="44"/>
      <c r="M61" s="406"/>
      <c r="N61" s="406"/>
      <c r="S61" s="10"/>
      <c r="T61" s="10"/>
      <c r="U61" s="10"/>
      <c r="V61" s="10"/>
      <c r="W61" s="10"/>
      <c r="X61" s="10"/>
      <c r="Y61" s="10"/>
      <c r="Z61" s="10"/>
      <c r="AA61" s="10"/>
      <c r="AB61" s="26"/>
      <c r="AC61" s="26" t="s">
        <v>163</v>
      </c>
      <c r="AD61" s="35">
        <v>0.03</v>
      </c>
      <c r="AE61" s="35">
        <v>0.05</v>
      </c>
      <c r="AF61" s="35">
        <v>0.12</v>
      </c>
      <c r="AG61" s="35">
        <v>0.24</v>
      </c>
      <c r="AH61" s="35">
        <v>0.35</v>
      </c>
      <c r="AI61" s="35">
        <v>0.6</v>
      </c>
      <c r="AJ61" s="26"/>
      <c r="AK61" s="402"/>
      <c r="AL61" s="54">
        <f t="shared" si="8"/>
        <v>2045</v>
      </c>
      <c r="AM61" s="55">
        <v>0.19168617036701699</v>
      </c>
      <c r="AN61" s="55">
        <v>0.23577484270427901</v>
      </c>
      <c r="AO61" s="55">
        <v>0.102502585635614</v>
      </c>
      <c r="AP61" s="55">
        <v>8.6663014382820906E-6</v>
      </c>
      <c r="AQ61" s="55">
        <v>3.28356532713486E-3</v>
      </c>
      <c r="AR61" s="55">
        <v>0.21069216916221301</v>
      </c>
      <c r="AS61" s="55">
        <v>0.18694711114658699</v>
      </c>
      <c r="AT61" s="55"/>
      <c r="AU61" s="55">
        <v>6.9104889355716806E-2</v>
      </c>
      <c r="AV61" s="56"/>
    </row>
    <row r="62" spans="1:48" ht="15.75" thickBot="1">
      <c r="A62" s="405"/>
      <c r="B62" s="30">
        <f t="shared" si="7"/>
        <v>2050</v>
      </c>
      <c r="C62" s="44">
        <v>0.245</v>
      </c>
      <c r="D62" s="44">
        <v>0.32</v>
      </c>
      <c r="E62" s="44">
        <v>0.14000000000000001</v>
      </c>
      <c r="F62" s="30"/>
      <c r="G62" s="44">
        <v>0</v>
      </c>
      <c r="H62" s="44">
        <v>0.16</v>
      </c>
      <c r="I62" s="43">
        <v>5.5E-2</v>
      </c>
      <c r="J62" s="30"/>
      <c r="K62" s="44">
        <v>0.08</v>
      </c>
      <c r="L62" s="44"/>
      <c r="M62" s="406"/>
      <c r="N62" s="406"/>
      <c r="S62" s="10"/>
      <c r="T62" s="10"/>
      <c r="U62" s="10"/>
      <c r="V62" s="10"/>
      <c r="W62" s="10"/>
      <c r="X62" s="10"/>
      <c r="Y62" s="10"/>
      <c r="Z62" s="10"/>
      <c r="AA62" s="10"/>
      <c r="AB62" s="26"/>
      <c r="AC62" s="26" t="s">
        <v>152</v>
      </c>
      <c r="AD62" s="35">
        <v>0.02</v>
      </c>
      <c r="AE62" s="35">
        <v>0.02</v>
      </c>
      <c r="AF62" s="35">
        <v>0.03</v>
      </c>
      <c r="AG62" s="35">
        <v>0.05</v>
      </c>
      <c r="AH62" s="35">
        <v>0.1</v>
      </c>
      <c r="AI62" s="35">
        <v>0.1</v>
      </c>
      <c r="AJ62" s="26"/>
      <c r="AK62" s="402"/>
      <c r="AL62" s="57">
        <f t="shared" si="8"/>
        <v>2050</v>
      </c>
      <c r="AM62" s="58">
        <v>0.17890779538780799</v>
      </c>
      <c r="AN62" s="58">
        <v>0.24229423860989799</v>
      </c>
      <c r="AO62" s="58">
        <v>0.104599300664899</v>
      </c>
      <c r="AP62" s="58">
        <v>0</v>
      </c>
      <c r="AQ62" s="58">
        <v>0</v>
      </c>
      <c r="AR62" s="58">
        <v>0.20471329345585701</v>
      </c>
      <c r="AS62" s="58">
        <v>0.19109948396790999</v>
      </c>
      <c r="AT62" s="58"/>
      <c r="AU62" s="58">
        <v>7.83858879136273E-2</v>
      </c>
      <c r="AV62" s="59"/>
    </row>
    <row r="63" spans="1:48" ht="15.75" thickBot="1">
      <c r="A63" s="405" t="s">
        <v>146</v>
      </c>
      <c r="B63" s="42">
        <v>2020</v>
      </c>
      <c r="C63" s="43">
        <f>C47</f>
        <v>0.45519999999999999</v>
      </c>
      <c r="D63" s="30"/>
      <c r="E63" s="43"/>
      <c r="F63" s="30"/>
      <c r="G63" s="43">
        <f>G47</f>
        <v>0.18329999999999999</v>
      </c>
      <c r="H63" s="43">
        <f>H47</f>
        <v>0.36149999999999999</v>
      </c>
      <c r="I63" s="30"/>
      <c r="J63" s="30"/>
      <c r="K63" s="30"/>
      <c r="L63" s="44"/>
      <c r="M63" s="407" t="s">
        <v>149</v>
      </c>
      <c r="N63" s="407"/>
      <c r="Q63" s="10"/>
      <c r="S63" s="10"/>
      <c r="T63" s="10"/>
      <c r="U63" s="10"/>
      <c r="V63" s="10"/>
      <c r="W63" s="10"/>
      <c r="X63" s="10"/>
      <c r="Y63" s="10"/>
      <c r="Z63" s="10"/>
      <c r="AA63" s="10"/>
      <c r="AB63" s="35"/>
      <c r="AC63" s="26" t="s">
        <v>88</v>
      </c>
      <c r="AD63" s="35">
        <f t="shared" ref="AD63:AI63" si="9">1-SUM(AD57:AD62)</f>
        <v>1.0000000000000009E-2</v>
      </c>
      <c r="AE63" s="35">
        <f t="shared" si="9"/>
        <v>0</v>
      </c>
      <c r="AF63" s="35">
        <f t="shared" si="9"/>
        <v>0</v>
      </c>
      <c r="AG63" s="35">
        <f t="shared" si="9"/>
        <v>0</v>
      </c>
      <c r="AH63" s="35">
        <f t="shared" si="9"/>
        <v>0</v>
      </c>
      <c r="AI63" s="35">
        <f t="shared" si="9"/>
        <v>0</v>
      </c>
      <c r="AJ63" s="26"/>
      <c r="AK63" s="26"/>
      <c r="AL63" s="26">
        <v>2015</v>
      </c>
      <c r="AM63" s="50">
        <v>0.78084935617317197</v>
      </c>
      <c r="AN63" s="50"/>
      <c r="AO63" s="50"/>
      <c r="AP63" s="50"/>
      <c r="AQ63" s="50">
        <v>8.7150873914614596E-2</v>
      </c>
      <c r="AR63" s="50">
        <v>0.13199976991221399</v>
      </c>
      <c r="AS63" s="26"/>
      <c r="AT63" s="26"/>
      <c r="AU63" s="26"/>
      <c r="AV63" s="26"/>
    </row>
    <row r="64" spans="1:48" ht="15.75" thickBot="1">
      <c r="A64" s="405"/>
      <c r="B64" s="30">
        <f t="shared" ref="B64:B69" si="10">B63+5</f>
        <v>2025</v>
      </c>
      <c r="C64" s="43">
        <f>(C63+C65)/2</f>
        <v>0.61009999999999998</v>
      </c>
      <c r="D64" s="30"/>
      <c r="E64" s="43"/>
      <c r="F64" s="30"/>
      <c r="G64" s="43">
        <v>0.1091</v>
      </c>
      <c r="H64" s="43">
        <f>(H63+H65)/2</f>
        <v>0.28075</v>
      </c>
      <c r="I64" s="30"/>
      <c r="J64" s="30"/>
      <c r="K64" s="30"/>
      <c r="L64" s="44"/>
      <c r="M64" s="407"/>
      <c r="N64" s="407"/>
      <c r="Q64" s="10"/>
      <c r="S64" s="10"/>
      <c r="T64" s="10"/>
      <c r="U64" s="10"/>
      <c r="V64" s="10"/>
      <c r="W64" s="10"/>
      <c r="X64" s="10"/>
      <c r="Y64" s="10"/>
      <c r="Z64" s="10"/>
      <c r="AA64" s="10"/>
      <c r="AB64" s="35"/>
      <c r="AC64" s="26" t="s">
        <v>164</v>
      </c>
      <c r="AD64" s="35">
        <f t="shared" ref="AD64:AI64" si="11">SUM(AD57:AD63)</f>
        <v>1</v>
      </c>
      <c r="AE64" s="35">
        <f t="shared" si="11"/>
        <v>1.0000000000000002</v>
      </c>
      <c r="AF64" s="35">
        <f t="shared" si="11"/>
        <v>1</v>
      </c>
      <c r="AG64" s="35">
        <f t="shared" si="11"/>
        <v>1</v>
      </c>
      <c r="AH64" s="35">
        <f t="shared" si="11"/>
        <v>1</v>
      </c>
      <c r="AI64" s="35">
        <f t="shared" si="11"/>
        <v>1</v>
      </c>
      <c r="AJ64" s="26"/>
      <c r="AK64" s="402" t="s">
        <v>146</v>
      </c>
      <c r="AL64" s="52">
        <v>2020</v>
      </c>
      <c r="AM64" s="50">
        <v>0.80258786934979598</v>
      </c>
      <c r="AN64" s="50"/>
      <c r="AO64" s="50"/>
      <c r="AP64" s="50"/>
      <c r="AQ64" s="50">
        <v>6.2236682747967599E-2</v>
      </c>
      <c r="AR64" s="50">
        <v>0.13517544790223601</v>
      </c>
      <c r="AS64" s="60"/>
      <c r="AT64" s="60"/>
      <c r="AU64" s="60"/>
      <c r="AV64" s="53"/>
    </row>
    <row r="65" spans="1:48" ht="15.75" thickBot="1">
      <c r="A65" s="405"/>
      <c r="B65" s="30">
        <f t="shared" si="10"/>
        <v>2030</v>
      </c>
      <c r="C65" s="43">
        <v>0.76500000000000001</v>
      </c>
      <c r="D65" s="30"/>
      <c r="E65" s="43"/>
      <c r="F65" s="30"/>
      <c r="G65" s="43">
        <v>3.5000000000000003E-2</v>
      </c>
      <c r="H65" s="43">
        <v>0.2</v>
      </c>
      <c r="I65" s="30"/>
      <c r="J65" s="30"/>
      <c r="K65" s="30"/>
      <c r="L65" s="44"/>
      <c r="M65" s="407"/>
      <c r="N65" s="407"/>
      <c r="Q65" s="10"/>
      <c r="R65" s="3"/>
      <c r="T65" s="10"/>
      <c r="U65" s="10"/>
      <c r="V65" s="10"/>
      <c r="W65" s="10"/>
      <c r="X65" s="10"/>
      <c r="Y65" s="10"/>
      <c r="Z65" s="10"/>
      <c r="AA65" s="10"/>
      <c r="AB65" s="35"/>
      <c r="AC65" s="49" t="s">
        <v>154</v>
      </c>
      <c r="AD65" s="26">
        <v>2015</v>
      </c>
      <c r="AE65" s="26">
        <v>2020</v>
      </c>
      <c r="AF65" s="26">
        <v>2025</v>
      </c>
      <c r="AG65" s="26">
        <v>2030</v>
      </c>
      <c r="AH65" s="26">
        <v>2040</v>
      </c>
      <c r="AI65" s="26">
        <v>2050</v>
      </c>
      <c r="AJ65" s="26"/>
      <c r="AK65" s="402"/>
      <c r="AL65" s="54">
        <f t="shared" ref="AL65:AL70" si="12">AL64+5</f>
        <v>2025</v>
      </c>
      <c r="AM65" s="55">
        <v>0.82408014231233895</v>
      </c>
      <c r="AN65" s="55"/>
      <c r="AO65" s="55"/>
      <c r="AP65" s="55"/>
      <c r="AQ65" s="55">
        <v>3.5565510981207797E-2</v>
      </c>
      <c r="AR65" s="55">
        <v>0.140354346706454</v>
      </c>
      <c r="AS65" s="54"/>
      <c r="AT65" s="54"/>
      <c r="AU65" s="54"/>
      <c r="AV65" s="56"/>
    </row>
    <row r="66" spans="1:48" ht="15.75" thickBot="1">
      <c r="A66" s="405"/>
      <c r="B66" s="30">
        <f t="shared" si="10"/>
        <v>2035</v>
      </c>
      <c r="C66" s="43">
        <f>(C65+C67)/2</f>
        <v>0.79875000000000007</v>
      </c>
      <c r="D66" s="30"/>
      <c r="E66" s="43"/>
      <c r="F66" s="30"/>
      <c r="G66" s="43">
        <v>3.1199999999999999E-2</v>
      </c>
      <c r="H66" s="43">
        <f>(H65+H67)/2</f>
        <v>0.17</v>
      </c>
      <c r="I66" s="30"/>
      <c r="J66" s="30"/>
      <c r="K66" s="30"/>
      <c r="L66" s="44"/>
      <c r="M66" s="407"/>
      <c r="N66" s="407"/>
      <c r="Q66" s="10"/>
      <c r="S66" s="9"/>
      <c r="T66" s="10"/>
      <c r="U66" s="10"/>
      <c r="V66" s="10"/>
      <c r="W66" s="10"/>
      <c r="X66" s="10"/>
      <c r="Y66" s="10"/>
      <c r="Z66" s="10"/>
      <c r="AA66" s="10"/>
      <c r="AB66" s="35"/>
      <c r="AC66" s="26" t="s">
        <v>150</v>
      </c>
      <c r="AD66" s="61">
        <v>0</v>
      </c>
      <c r="AE66" s="35">
        <v>0.3</v>
      </c>
      <c r="AF66" s="35">
        <v>0.24</v>
      </c>
      <c r="AG66" s="35">
        <v>0.21</v>
      </c>
      <c r="AH66" s="35">
        <v>0.2</v>
      </c>
      <c r="AI66" s="61">
        <v>0.15</v>
      </c>
      <c r="AJ66" s="26"/>
      <c r="AK66" s="402"/>
      <c r="AL66" s="54">
        <f t="shared" si="12"/>
        <v>2030</v>
      </c>
      <c r="AM66" s="55">
        <v>0.83992532794310704</v>
      </c>
      <c r="AN66" s="55"/>
      <c r="AO66" s="55"/>
      <c r="AP66" s="55"/>
      <c r="AQ66" s="55">
        <v>6.1875148828591303E-3</v>
      </c>
      <c r="AR66" s="55">
        <v>0.15388715717403401</v>
      </c>
      <c r="AS66" s="54"/>
      <c r="AT66" s="54"/>
      <c r="AU66" s="54"/>
      <c r="AV66" s="56"/>
    </row>
    <row r="67" spans="1:48" ht="15.75" thickBot="1">
      <c r="A67" s="405"/>
      <c r="B67" s="30">
        <f t="shared" si="10"/>
        <v>2040</v>
      </c>
      <c r="C67" s="43">
        <f>(C65+C69)/2</f>
        <v>0.83250000000000002</v>
      </c>
      <c r="D67" s="30"/>
      <c r="E67" s="43"/>
      <c r="F67" s="30"/>
      <c r="G67" s="43">
        <v>2.75E-2</v>
      </c>
      <c r="H67" s="43">
        <f>(H65+H69)/2</f>
        <v>0.14000000000000001</v>
      </c>
      <c r="I67" s="30"/>
      <c r="J67" s="30"/>
      <c r="K67" s="30"/>
      <c r="L67" s="44"/>
      <c r="M67" s="407"/>
      <c r="N67" s="407"/>
      <c r="Q67" s="10"/>
      <c r="S67" s="9"/>
      <c r="T67" s="10"/>
      <c r="U67" s="10"/>
      <c r="V67" s="10"/>
      <c r="W67" s="10"/>
      <c r="X67" s="10"/>
      <c r="Y67" s="10"/>
      <c r="Z67" s="10"/>
      <c r="AA67" s="10"/>
      <c r="AB67" s="35"/>
      <c r="AC67" s="26" t="s">
        <v>119</v>
      </c>
      <c r="AD67" s="61">
        <v>0</v>
      </c>
      <c r="AE67" s="35">
        <v>0.2</v>
      </c>
      <c r="AF67" s="35">
        <v>0.15</v>
      </c>
      <c r="AG67" s="35">
        <v>0.1</v>
      </c>
      <c r="AH67" s="35">
        <v>0.05</v>
      </c>
      <c r="AI67" s="61">
        <v>0.05</v>
      </c>
      <c r="AJ67" s="26"/>
      <c r="AK67" s="402"/>
      <c r="AL67" s="54">
        <f t="shared" si="12"/>
        <v>2035</v>
      </c>
      <c r="AM67" s="55">
        <v>0.85827527508212598</v>
      </c>
      <c r="AN67" s="55"/>
      <c r="AO67" s="55"/>
      <c r="AP67" s="55"/>
      <c r="AQ67" s="55">
        <v>0</v>
      </c>
      <c r="AR67" s="55">
        <v>0.141724724917874</v>
      </c>
      <c r="AS67" s="54"/>
      <c r="AT67" s="54"/>
      <c r="AU67" s="54"/>
      <c r="AV67" s="56"/>
    </row>
    <row r="68" spans="1:48" ht="15.75" thickBot="1">
      <c r="A68" s="405"/>
      <c r="B68" s="30">
        <f t="shared" si="10"/>
        <v>2045</v>
      </c>
      <c r="C68" s="43">
        <f>(C67+C69)/2</f>
        <v>0.86624999999999996</v>
      </c>
      <c r="D68" s="30"/>
      <c r="E68" s="43"/>
      <c r="F68" s="30"/>
      <c r="G68" s="43">
        <v>2.3699999999999999E-2</v>
      </c>
      <c r="H68" s="43">
        <f>(H67+H69)/2</f>
        <v>0.11000000000000001</v>
      </c>
      <c r="I68" s="30"/>
      <c r="J68" s="30"/>
      <c r="K68" s="30"/>
      <c r="L68" s="44"/>
      <c r="M68" s="407"/>
      <c r="N68" s="407"/>
      <c r="Q68" s="10"/>
      <c r="S68" s="9"/>
      <c r="T68" s="10"/>
      <c r="U68" s="10"/>
      <c r="V68" s="10"/>
      <c r="W68" s="10"/>
      <c r="X68" s="10"/>
      <c r="Y68" s="10"/>
      <c r="Z68" s="10"/>
      <c r="AA68" s="10"/>
      <c r="AB68" s="35"/>
      <c r="AC68" s="26" t="s">
        <v>160</v>
      </c>
      <c r="AD68" s="61">
        <v>0</v>
      </c>
      <c r="AE68" s="35">
        <v>0.48</v>
      </c>
      <c r="AF68" s="35">
        <f>1-AF66-AF67</f>
        <v>0.61</v>
      </c>
      <c r="AG68" s="35">
        <f>1-AG66-AG67</f>
        <v>0.69000000000000006</v>
      </c>
      <c r="AH68" s="35">
        <f>1-AH66-AH67</f>
        <v>0.75</v>
      </c>
      <c r="AI68" s="61">
        <v>0.8</v>
      </c>
      <c r="AJ68" s="26"/>
      <c r="AK68" s="402"/>
      <c r="AL68" s="54">
        <f t="shared" si="12"/>
        <v>2040</v>
      </c>
      <c r="AM68" s="55">
        <v>0.87859994214450898</v>
      </c>
      <c r="AN68" s="55"/>
      <c r="AO68" s="55"/>
      <c r="AP68" s="55"/>
      <c r="AQ68" s="55">
        <v>0</v>
      </c>
      <c r="AR68" s="55">
        <v>0.121400057855491</v>
      </c>
      <c r="AS68" s="54"/>
      <c r="AT68" s="54"/>
      <c r="AU68" s="54"/>
      <c r="AV68" s="56"/>
    </row>
    <row r="69" spans="1:48" ht="15.75" thickBot="1">
      <c r="A69" s="405"/>
      <c r="B69" s="30">
        <f t="shared" si="10"/>
        <v>2050</v>
      </c>
      <c r="C69" s="43">
        <v>0.9</v>
      </c>
      <c r="D69" s="30"/>
      <c r="E69" s="43"/>
      <c r="F69" s="30"/>
      <c r="G69" s="43">
        <v>0.02</v>
      </c>
      <c r="H69" s="43">
        <v>0.08</v>
      </c>
      <c r="I69" s="30"/>
      <c r="J69" s="30"/>
      <c r="K69" s="30"/>
      <c r="L69" s="44"/>
      <c r="M69" s="407"/>
      <c r="N69" s="407"/>
      <c r="Q69" s="10"/>
      <c r="T69" s="10"/>
      <c r="U69" s="10"/>
      <c r="V69" s="10"/>
      <c r="W69" s="10"/>
      <c r="X69" s="10"/>
      <c r="Y69" s="10"/>
      <c r="Z69" s="10"/>
      <c r="AA69" s="10"/>
      <c r="AB69" s="35"/>
      <c r="AC69" s="26"/>
      <c r="AD69" s="26"/>
      <c r="AE69" s="26"/>
      <c r="AF69" s="26"/>
      <c r="AG69" s="26"/>
      <c r="AH69" s="26"/>
      <c r="AI69" s="26"/>
      <c r="AJ69" s="26"/>
      <c r="AK69" s="402"/>
      <c r="AL69" s="54">
        <f t="shared" si="12"/>
        <v>2045</v>
      </c>
      <c r="AM69" s="55">
        <v>0.90114890178043205</v>
      </c>
      <c r="AN69" s="55"/>
      <c r="AO69" s="55"/>
      <c r="AP69" s="55"/>
      <c r="AQ69" s="55">
        <v>0</v>
      </c>
      <c r="AR69" s="55">
        <v>9.8851098219568098E-2</v>
      </c>
      <c r="AS69" s="54"/>
      <c r="AT69" s="54"/>
      <c r="AU69" s="54"/>
      <c r="AV69" s="56"/>
    </row>
    <row r="70" spans="1:48" ht="15.75" thickBot="1">
      <c r="T70" s="10"/>
      <c r="U70" s="10"/>
      <c r="V70" s="10"/>
      <c r="W70" s="10"/>
      <c r="X70" s="10"/>
      <c r="Y70" s="10"/>
      <c r="Z70" s="10"/>
      <c r="AA70" s="10"/>
      <c r="AB70" s="26"/>
      <c r="AC70" s="26"/>
      <c r="AD70" s="26"/>
      <c r="AE70" s="26"/>
      <c r="AF70" s="26"/>
      <c r="AG70" s="26"/>
      <c r="AH70" s="26"/>
      <c r="AI70" s="26"/>
      <c r="AJ70" s="26"/>
      <c r="AK70" s="402"/>
      <c r="AL70" s="57">
        <f t="shared" si="12"/>
        <v>2050</v>
      </c>
      <c r="AM70" s="58">
        <v>0.92564409863252595</v>
      </c>
      <c r="AN70" s="58"/>
      <c r="AO70" s="58"/>
      <c r="AP70" s="58"/>
      <c r="AQ70" s="58">
        <v>0</v>
      </c>
      <c r="AR70" s="58">
        <v>7.4355901367473998E-2</v>
      </c>
      <c r="AS70" s="57"/>
      <c r="AT70" s="57"/>
      <c r="AU70" s="57"/>
      <c r="AV70" s="59"/>
    </row>
    <row r="71" spans="1:48">
      <c r="T71" s="10"/>
      <c r="U71" s="10"/>
      <c r="V71" s="10"/>
      <c r="W71" s="10"/>
      <c r="X71" s="10"/>
      <c r="Y71" s="10"/>
      <c r="Z71" s="10"/>
      <c r="AA71" s="10"/>
    </row>
    <row r="72" spans="1:48" ht="26.25">
      <c r="A72" s="348" t="s">
        <v>229</v>
      </c>
      <c r="B72" s="348"/>
      <c r="C72" s="348"/>
      <c r="D72" s="348"/>
      <c r="E72" s="348"/>
      <c r="F72" s="348"/>
      <c r="G72" s="348"/>
      <c r="H72" s="348"/>
      <c r="I72" s="348"/>
      <c r="J72" s="348"/>
      <c r="T72" s="10"/>
      <c r="U72" s="10"/>
      <c r="V72" s="10"/>
      <c r="W72" s="10"/>
      <c r="X72" s="10"/>
      <c r="Y72" s="10"/>
      <c r="Z72" s="10"/>
      <c r="AA72" s="10"/>
    </row>
    <row r="73" spans="1:48">
      <c r="T73" s="10"/>
      <c r="U73" s="10"/>
      <c r="V73" s="10"/>
      <c r="W73" s="10"/>
      <c r="X73" s="10"/>
      <c r="Y73" s="10"/>
      <c r="Z73" s="10"/>
      <c r="AA73" s="10"/>
    </row>
    <row r="74" spans="1:48" ht="30.6" customHeight="1">
      <c r="A74" s="24" t="s">
        <v>265</v>
      </c>
      <c r="T74" s="10"/>
      <c r="U74" s="10"/>
      <c r="V74" s="10"/>
      <c r="W74" s="10"/>
      <c r="X74" s="10"/>
      <c r="Y74" s="10"/>
      <c r="Z74" s="10"/>
      <c r="AA74" s="10"/>
    </row>
    <row r="75" spans="1:48" ht="18.75" thickBot="1">
      <c r="A75" s="15" t="s">
        <v>6</v>
      </c>
      <c r="T75" s="10"/>
      <c r="U75" s="10"/>
      <c r="V75" s="10"/>
      <c r="W75" s="10"/>
      <c r="X75" s="10"/>
      <c r="Y75" s="10"/>
      <c r="Z75" s="10"/>
      <c r="AA75" s="10"/>
    </row>
    <row r="76" spans="1:48">
      <c r="A76" s="108"/>
      <c r="B76" s="109"/>
      <c r="C76" s="109">
        <v>2015</v>
      </c>
      <c r="D76" s="109">
        <v>2017</v>
      </c>
      <c r="E76" s="109">
        <v>2020</v>
      </c>
      <c r="F76" s="109">
        <v>2022</v>
      </c>
      <c r="G76" s="109">
        <v>2025</v>
      </c>
      <c r="H76" s="109">
        <v>2030</v>
      </c>
      <c r="I76" s="109">
        <v>2035</v>
      </c>
      <c r="J76" s="109">
        <v>2040</v>
      </c>
      <c r="K76" s="109">
        <v>2045</v>
      </c>
      <c r="L76" s="110">
        <v>2050</v>
      </c>
      <c r="T76" s="10"/>
      <c r="U76" s="10"/>
      <c r="V76" s="10"/>
      <c r="W76" s="10"/>
      <c r="X76" s="10"/>
      <c r="Y76" s="10"/>
      <c r="Z76" s="10"/>
      <c r="AA76" s="10"/>
    </row>
    <row r="77" spans="1:48">
      <c r="A77" s="111" t="s">
        <v>230</v>
      </c>
      <c r="B77" s="112"/>
      <c r="C77" s="113">
        <v>8.2638280080537599E-2</v>
      </c>
      <c r="D77" s="113">
        <v>8.6020121913760406E-2</v>
      </c>
      <c r="E77" s="113">
        <v>0.26847589488554602</v>
      </c>
      <c r="F77" s="113">
        <v>0.30347199041591899</v>
      </c>
      <c r="G77" s="113">
        <v>0.36529987816808801</v>
      </c>
      <c r="H77" s="113">
        <v>0.49989560176576597</v>
      </c>
      <c r="I77" s="113">
        <v>0.60370310882621203</v>
      </c>
      <c r="J77" s="113">
        <v>0.72987497446577698</v>
      </c>
      <c r="K77" s="113">
        <v>0.82959293846398896</v>
      </c>
      <c r="L77" s="114">
        <v>0.95008466226982002</v>
      </c>
      <c r="T77" s="10"/>
      <c r="U77" s="10"/>
      <c r="V77" s="10"/>
      <c r="W77" s="10"/>
      <c r="X77" s="10"/>
      <c r="Y77" s="10"/>
      <c r="Z77" s="10"/>
      <c r="AA77" s="10"/>
    </row>
    <row r="78" spans="1:48">
      <c r="A78" s="115" t="s">
        <v>231</v>
      </c>
      <c r="B78" s="116"/>
      <c r="C78" s="117">
        <v>0.05</v>
      </c>
      <c r="D78" s="117">
        <v>5.0999999999999997E-2</v>
      </c>
      <c r="E78" s="117">
        <v>0.17</v>
      </c>
      <c r="F78" s="117">
        <v>0.19914315836042401</v>
      </c>
      <c r="G78" s="117">
        <v>0.25248762345905201</v>
      </c>
      <c r="H78" s="117">
        <v>0.375</v>
      </c>
      <c r="I78" s="117">
        <v>0.466368952654441</v>
      </c>
      <c r="J78" s="117">
        <v>0.57999999999999996</v>
      </c>
      <c r="K78" s="117">
        <v>0.73443856107914096</v>
      </c>
      <c r="L78" s="118">
        <v>0.93</v>
      </c>
    </row>
    <row r="79" spans="1:48">
      <c r="A79" s="119" t="s">
        <v>232</v>
      </c>
      <c r="B79" s="120"/>
      <c r="C79" s="121">
        <v>5.5E-2</v>
      </c>
      <c r="D79" s="121">
        <v>5.6099999999999997E-2</v>
      </c>
      <c r="E79" s="121">
        <v>0.31</v>
      </c>
      <c r="F79" s="121">
        <v>0.33832773597806898</v>
      </c>
      <c r="G79" s="121">
        <v>0.385746030439718</v>
      </c>
      <c r="H79" s="121">
        <v>0.48</v>
      </c>
      <c r="I79" s="121">
        <v>0.58787753826796296</v>
      </c>
      <c r="J79" s="121">
        <v>0.72</v>
      </c>
      <c r="K79" s="121">
        <v>0.827042925125413</v>
      </c>
      <c r="L79" s="122">
        <v>0.95</v>
      </c>
    </row>
    <row r="80" spans="1:48">
      <c r="A80" s="115" t="s">
        <v>233</v>
      </c>
      <c r="B80" s="116"/>
      <c r="C80" s="117">
        <v>0.06</v>
      </c>
      <c r="D80" s="117">
        <v>6.1199999999999997E-2</v>
      </c>
      <c r="E80" s="117">
        <v>0.28000000000000003</v>
      </c>
      <c r="F80" s="117">
        <v>0.31811313305807898</v>
      </c>
      <c r="G80" s="117">
        <v>0.385227205685164</v>
      </c>
      <c r="H80" s="117">
        <v>0.53</v>
      </c>
      <c r="I80" s="117">
        <v>0.64296189622713995</v>
      </c>
      <c r="J80" s="117">
        <v>0.78</v>
      </c>
      <c r="K80" s="117">
        <v>0.856270985144305</v>
      </c>
      <c r="L80" s="118">
        <v>0.94</v>
      </c>
    </row>
    <row r="81" spans="1:12">
      <c r="A81" s="119" t="s">
        <v>234</v>
      </c>
      <c r="B81" s="120"/>
      <c r="C81" s="121">
        <v>0.05</v>
      </c>
      <c r="D81" s="121">
        <v>5.0999999999999997E-2</v>
      </c>
      <c r="E81" s="121">
        <v>0.11</v>
      </c>
      <c r="F81" s="121">
        <v>0.13785100337053999</v>
      </c>
      <c r="G81" s="121">
        <v>0.193390796058137</v>
      </c>
      <c r="H81" s="121">
        <v>0.34</v>
      </c>
      <c r="I81" s="121">
        <v>0.428485705712571</v>
      </c>
      <c r="J81" s="121">
        <v>0.54</v>
      </c>
      <c r="K81" s="121">
        <v>0.68934751758456403</v>
      </c>
      <c r="L81" s="122">
        <v>0.88</v>
      </c>
    </row>
    <row r="82" spans="1:12">
      <c r="A82" s="115" t="s">
        <v>235</v>
      </c>
      <c r="B82" s="116"/>
      <c r="C82" s="117">
        <v>0.05</v>
      </c>
      <c r="D82" s="117">
        <v>5.0999999999999997E-2</v>
      </c>
      <c r="E82" s="117">
        <v>0.24</v>
      </c>
      <c r="F82" s="117">
        <v>0.27335093246109599</v>
      </c>
      <c r="G82" s="117">
        <v>0.332264954516723</v>
      </c>
      <c r="H82" s="117">
        <v>0.46</v>
      </c>
      <c r="I82" s="117">
        <v>0.56745043836444398</v>
      </c>
      <c r="J82" s="117">
        <v>0.7</v>
      </c>
      <c r="K82" s="117">
        <v>0.82825116963394596</v>
      </c>
      <c r="L82" s="118">
        <v>0.98</v>
      </c>
    </row>
    <row r="83" spans="1:12">
      <c r="A83" s="119" t="s">
        <v>236</v>
      </c>
      <c r="B83" s="120"/>
      <c r="C83" s="121">
        <v>0.12</v>
      </c>
      <c r="D83" s="121">
        <v>0.12239999999999999</v>
      </c>
      <c r="E83" s="121">
        <v>0.32</v>
      </c>
      <c r="F83" s="121">
        <v>0.35916578149825501</v>
      </c>
      <c r="G83" s="121">
        <v>0.42708313008125298</v>
      </c>
      <c r="H83" s="121">
        <v>0.56999999999999995</v>
      </c>
      <c r="I83" s="121">
        <v>0.69195375568024797</v>
      </c>
      <c r="J83" s="121">
        <v>0.84</v>
      </c>
      <c r="K83" s="121">
        <v>0.90730369777709996</v>
      </c>
      <c r="L83" s="122">
        <v>0.98</v>
      </c>
    </row>
    <row r="84" spans="1:12">
      <c r="A84" s="115" t="s">
        <v>237</v>
      </c>
      <c r="B84" s="116"/>
      <c r="C84" s="117">
        <v>0.15</v>
      </c>
      <c r="D84" s="117">
        <v>0.153</v>
      </c>
      <c r="E84" s="117">
        <v>0.40500000000000003</v>
      </c>
      <c r="F84" s="117">
        <v>0.45183890918233299</v>
      </c>
      <c r="G84" s="117">
        <v>0.532447180478965</v>
      </c>
      <c r="H84" s="117">
        <v>0.7</v>
      </c>
      <c r="I84" s="117">
        <v>0.82825116963394596</v>
      </c>
      <c r="J84" s="117">
        <v>0.98</v>
      </c>
      <c r="K84" s="117">
        <v>0.98</v>
      </c>
      <c r="L84" s="118">
        <v>0.98</v>
      </c>
    </row>
    <row r="85" spans="1:12">
      <c r="A85" s="119" t="s">
        <v>238</v>
      </c>
      <c r="B85" s="120"/>
      <c r="C85" s="121">
        <v>0.18</v>
      </c>
      <c r="D85" s="121">
        <v>0.18360000000000001</v>
      </c>
      <c r="E85" s="121">
        <v>0.46500000000000002</v>
      </c>
      <c r="F85" s="121">
        <v>0.51300911401597205</v>
      </c>
      <c r="G85" s="121">
        <v>0.59447455790807402</v>
      </c>
      <c r="H85" s="121">
        <v>0.76</v>
      </c>
      <c r="I85" s="121">
        <v>0.86301796041565704</v>
      </c>
      <c r="J85" s="121">
        <v>0.98</v>
      </c>
      <c r="K85" s="121">
        <v>0.98</v>
      </c>
      <c r="L85" s="122">
        <v>0.98</v>
      </c>
    </row>
    <row r="86" spans="1:12">
      <c r="A86" s="115" t="s">
        <v>239</v>
      </c>
      <c r="B86" s="116"/>
      <c r="C86" s="117">
        <v>0.28000000000000003</v>
      </c>
      <c r="D86" s="117">
        <v>0.28560000000000002</v>
      </c>
      <c r="E86" s="117">
        <v>0.27</v>
      </c>
      <c r="F86" s="117">
        <v>0.31128883866200602</v>
      </c>
      <c r="G86" s="117">
        <v>0.385356977359954</v>
      </c>
      <c r="H86" s="117">
        <v>0.55000000000000004</v>
      </c>
      <c r="I86" s="117">
        <v>0.66332495807108005</v>
      </c>
      <c r="J86" s="117">
        <v>0.8</v>
      </c>
      <c r="K86" s="117">
        <v>0.88543774484714599</v>
      </c>
      <c r="L86" s="118">
        <v>0.98</v>
      </c>
    </row>
    <row r="87" spans="1:12">
      <c r="A87" s="119" t="s">
        <v>240</v>
      </c>
      <c r="B87" s="120"/>
      <c r="C87" s="121">
        <v>0.28000000000000003</v>
      </c>
      <c r="D87" s="121">
        <v>0.28560000000000002</v>
      </c>
      <c r="E87" s="121">
        <v>0.5</v>
      </c>
      <c r="F87" s="121">
        <v>0.54790015302060002</v>
      </c>
      <c r="G87" s="121">
        <v>0.62849025449882701</v>
      </c>
      <c r="H87" s="121">
        <v>0.79</v>
      </c>
      <c r="I87" s="121">
        <v>0.87988635629835699</v>
      </c>
      <c r="J87" s="121">
        <v>0.98</v>
      </c>
      <c r="K87" s="121">
        <v>0.98</v>
      </c>
      <c r="L87" s="122">
        <v>0.98</v>
      </c>
    </row>
    <row r="88" spans="1:12">
      <c r="A88" s="115" t="s">
        <v>241</v>
      </c>
      <c r="B88" s="116"/>
      <c r="C88" s="117">
        <v>0.28000000000000003</v>
      </c>
      <c r="D88" s="117">
        <v>0.28560000000000002</v>
      </c>
      <c r="E88" s="117">
        <v>0.46</v>
      </c>
      <c r="F88" s="117">
        <v>0.50724586805301197</v>
      </c>
      <c r="G88" s="117">
        <v>0.58736700622353699</v>
      </c>
      <c r="H88" s="117">
        <v>0.75</v>
      </c>
      <c r="I88" s="117">
        <v>0.85732140997411199</v>
      </c>
      <c r="J88" s="117">
        <v>0.98</v>
      </c>
      <c r="K88" s="117">
        <v>0.98</v>
      </c>
      <c r="L88" s="118">
        <v>0.98</v>
      </c>
    </row>
    <row r="89" spans="1:12">
      <c r="A89" s="119" t="s">
        <v>242</v>
      </c>
      <c r="B89" s="120"/>
      <c r="C89" s="121">
        <v>0.28000000000000003</v>
      </c>
      <c r="D89" s="121">
        <v>0.28560000000000002</v>
      </c>
      <c r="E89" s="121">
        <v>0.21</v>
      </c>
      <c r="F89" s="121">
        <v>0.24978677258264201</v>
      </c>
      <c r="G89" s="121">
        <v>0.32403703492039299</v>
      </c>
      <c r="H89" s="121">
        <v>0.5</v>
      </c>
      <c r="I89" s="121">
        <v>0.60827625302982202</v>
      </c>
      <c r="J89" s="121">
        <v>0.74</v>
      </c>
      <c r="K89" s="121">
        <v>0.85592055706122605</v>
      </c>
      <c r="L89" s="122">
        <v>0.99</v>
      </c>
    </row>
    <row r="90" spans="1:12" ht="15.75" thickBot="1">
      <c r="A90" s="123" t="s">
        <v>243</v>
      </c>
      <c r="B90" s="124"/>
      <c r="C90" s="125">
        <v>0.25</v>
      </c>
      <c r="D90" s="125">
        <v>0.255</v>
      </c>
      <c r="E90" s="125">
        <v>0.26</v>
      </c>
      <c r="F90" s="125">
        <v>0.29632799275872401</v>
      </c>
      <c r="G90" s="125">
        <v>0.36055512754639901</v>
      </c>
      <c r="H90" s="125">
        <v>0.5</v>
      </c>
      <c r="I90" s="125">
        <v>0.60827625302982202</v>
      </c>
      <c r="J90" s="125">
        <v>0.74</v>
      </c>
      <c r="K90" s="125">
        <v>0.85592055706122605</v>
      </c>
      <c r="L90" s="126">
        <v>0.99</v>
      </c>
    </row>
    <row r="92" spans="1:12" ht="18.75" thickBot="1">
      <c r="A92" s="15" t="s">
        <v>19</v>
      </c>
    </row>
    <row r="93" spans="1:12">
      <c r="A93" s="108"/>
      <c r="B93" s="127"/>
      <c r="C93" s="109">
        <v>2015</v>
      </c>
      <c r="D93" s="109">
        <v>2017</v>
      </c>
      <c r="E93" s="109">
        <v>2020</v>
      </c>
      <c r="F93" s="109">
        <v>2022</v>
      </c>
      <c r="G93" s="109">
        <v>2025</v>
      </c>
      <c r="H93" s="109">
        <v>2030</v>
      </c>
      <c r="I93" s="109">
        <v>2035</v>
      </c>
      <c r="J93" s="109">
        <v>2040</v>
      </c>
      <c r="K93" s="109">
        <v>2045</v>
      </c>
      <c r="L93" s="110">
        <v>2050</v>
      </c>
    </row>
    <row r="94" spans="1:12">
      <c r="A94" s="111" t="s">
        <v>230</v>
      </c>
      <c r="B94" s="112"/>
      <c r="C94" s="128">
        <v>8.2638280080537599E-2</v>
      </c>
      <c r="D94" s="128">
        <v>8.6020121913760406E-2</v>
      </c>
      <c r="E94" s="128">
        <v>0.26847136310478598</v>
      </c>
      <c r="F94" s="128">
        <v>0.28021009642314398</v>
      </c>
      <c r="G94" s="128">
        <v>0.30203338291255</v>
      </c>
      <c r="H94" s="128">
        <v>0.41046862037689102</v>
      </c>
      <c r="I94" s="128">
        <v>0.487829369960878</v>
      </c>
      <c r="J94" s="128">
        <v>0.58047329412370297</v>
      </c>
      <c r="K94" s="128">
        <v>0.67643314363296403</v>
      </c>
      <c r="L94" s="128">
        <v>0.79985318376700498</v>
      </c>
    </row>
    <row r="95" spans="1:12">
      <c r="A95" s="129" t="s">
        <v>231</v>
      </c>
      <c r="B95" s="130"/>
      <c r="C95" s="131">
        <v>0.05</v>
      </c>
      <c r="D95" s="132">
        <v>5.0999999999999997E-2</v>
      </c>
      <c r="E95" s="133">
        <v>0.17</v>
      </c>
      <c r="F95" s="133">
        <v>0.16130595827194399</v>
      </c>
      <c r="G95" s="133">
        <v>0.181384397682439</v>
      </c>
      <c r="H95" s="133">
        <v>0.28999999999999998</v>
      </c>
      <c r="I95" s="133">
        <v>0.35312887166019102</v>
      </c>
      <c r="J95" s="133">
        <v>0.43</v>
      </c>
      <c r="K95" s="133">
        <v>0.58651513194460703</v>
      </c>
      <c r="L95" s="134">
        <v>0.8</v>
      </c>
    </row>
    <row r="96" spans="1:12">
      <c r="A96" s="135" t="s">
        <v>232</v>
      </c>
      <c r="B96" s="136"/>
      <c r="C96" s="137">
        <v>5.5E-2</v>
      </c>
      <c r="D96" s="138">
        <v>5.6099999999999997E-2</v>
      </c>
      <c r="E96" s="139">
        <v>0.31</v>
      </c>
      <c r="F96" s="139">
        <v>0.32141134917916597</v>
      </c>
      <c r="G96" s="139">
        <v>0.33408877775710999</v>
      </c>
      <c r="H96" s="139">
        <v>0.39</v>
      </c>
      <c r="I96" s="139">
        <v>0.471487009365052</v>
      </c>
      <c r="J96" s="139">
        <v>0.56999999999999995</v>
      </c>
      <c r="K96" s="139">
        <v>0.67527772064536495</v>
      </c>
      <c r="L96" s="140">
        <v>0.8</v>
      </c>
    </row>
    <row r="97" spans="1:25">
      <c r="A97" s="129" t="s">
        <v>233</v>
      </c>
      <c r="B97" s="130"/>
      <c r="C97" s="131">
        <v>0.06</v>
      </c>
      <c r="D97" s="132">
        <v>6.1199999999999997E-2</v>
      </c>
      <c r="E97" s="133">
        <v>0.28000000000000003</v>
      </c>
      <c r="F97" s="133">
        <v>0.30220747640517498</v>
      </c>
      <c r="G97" s="133">
        <v>0.32429320922582899</v>
      </c>
      <c r="H97" s="133">
        <v>0.43</v>
      </c>
      <c r="I97" s="133">
        <v>0.52048054718692405</v>
      </c>
      <c r="J97" s="133">
        <v>0.63</v>
      </c>
      <c r="K97" s="133">
        <v>0.709929573971954</v>
      </c>
      <c r="L97" s="134">
        <v>0.8</v>
      </c>
    </row>
    <row r="98" spans="1:25">
      <c r="A98" s="135" t="s">
        <v>234</v>
      </c>
      <c r="B98" s="136"/>
      <c r="C98" s="137">
        <v>0.05</v>
      </c>
      <c r="D98" s="138">
        <v>5.0999999999999997E-2</v>
      </c>
      <c r="E98" s="139">
        <v>0.11</v>
      </c>
      <c r="F98" s="139">
        <v>0.13095845320201299</v>
      </c>
      <c r="G98" s="139">
        <v>0.150210917576793</v>
      </c>
      <c r="H98" s="139">
        <v>0.26</v>
      </c>
      <c r="I98" s="139">
        <v>0.322490309931942</v>
      </c>
      <c r="J98" s="139">
        <v>0.4</v>
      </c>
      <c r="K98" s="139">
        <v>0.54772255750516596</v>
      </c>
      <c r="L98" s="140">
        <v>0.75</v>
      </c>
    </row>
    <row r="99" spans="1:25">
      <c r="A99" s="129" t="s">
        <v>235</v>
      </c>
      <c r="B99" s="130"/>
      <c r="C99" s="131">
        <v>0.05</v>
      </c>
      <c r="D99" s="132">
        <v>5.0999999999999997E-2</v>
      </c>
      <c r="E99" s="133">
        <v>0.24</v>
      </c>
      <c r="F99" s="133">
        <v>0.25968338583804101</v>
      </c>
      <c r="G99" s="133">
        <v>0.28022833816742698</v>
      </c>
      <c r="H99" s="133">
        <v>0.38</v>
      </c>
      <c r="I99" s="133">
        <v>0.46130250378683202</v>
      </c>
      <c r="J99" s="133">
        <v>0.56000000000000005</v>
      </c>
      <c r="K99" s="133">
        <v>0.68176242196237302</v>
      </c>
      <c r="L99" s="134">
        <v>0.83</v>
      </c>
    </row>
    <row r="100" spans="1:25">
      <c r="A100" s="135" t="s">
        <v>236</v>
      </c>
      <c r="B100" s="136"/>
      <c r="C100" s="137">
        <v>0.12</v>
      </c>
      <c r="D100" s="138">
        <v>0.12239999999999999</v>
      </c>
      <c r="E100" s="139">
        <v>0.32</v>
      </c>
      <c r="F100" s="139">
        <v>0.34120749242334197</v>
      </c>
      <c r="G100" s="139">
        <v>0.36531129032246501</v>
      </c>
      <c r="H100" s="139">
        <v>0.48</v>
      </c>
      <c r="I100" s="139">
        <v>0.575499782797527</v>
      </c>
      <c r="J100" s="139">
        <v>0.69</v>
      </c>
      <c r="K100" s="139">
        <v>0.75676944970050197</v>
      </c>
      <c r="L100" s="140">
        <v>0.83</v>
      </c>
    </row>
    <row r="101" spans="1:25">
      <c r="A101" s="129" t="s">
        <v>237</v>
      </c>
      <c r="B101" s="130"/>
      <c r="C101" s="131">
        <v>0.15</v>
      </c>
      <c r="D101" s="132">
        <v>0.153</v>
      </c>
      <c r="E101" s="133">
        <v>0.40500000000000003</v>
      </c>
      <c r="F101" s="133">
        <v>0.42924696372321602</v>
      </c>
      <c r="G101" s="133">
        <v>0.46050224576413901</v>
      </c>
      <c r="H101" s="133">
        <v>0.61</v>
      </c>
      <c r="I101" s="133">
        <v>0.70724818840347703</v>
      </c>
      <c r="J101" s="133">
        <v>0.82</v>
      </c>
      <c r="K101" s="133">
        <v>0.82498484834571395</v>
      </c>
      <c r="L101" s="134">
        <v>0.83</v>
      </c>
    </row>
    <row r="102" spans="1:25">
      <c r="A102" s="135" t="s">
        <v>238</v>
      </c>
      <c r="B102" s="136"/>
      <c r="C102" s="137">
        <v>0.18</v>
      </c>
      <c r="D102" s="138">
        <v>0.18360000000000001</v>
      </c>
      <c r="E102" s="139">
        <v>0.46500000000000002</v>
      </c>
      <c r="F102" s="139">
        <v>0.487358658315174</v>
      </c>
      <c r="G102" s="139">
        <v>0.51783063036940102</v>
      </c>
      <c r="H102" s="139">
        <v>0.66</v>
      </c>
      <c r="I102" s="139">
        <v>0.73566296630998096</v>
      </c>
      <c r="J102" s="139">
        <v>0.82</v>
      </c>
      <c r="K102" s="139">
        <v>0.78943017423962203</v>
      </c>
      <c r="L102" s="140">
        <v>0.76</v>
      </c>
    </row>
    <row r="103" spans="1:25">
      <c r="A103" s="129" t="s">
        <v>239</v>
      </c>
      <c r="B103" s="130"/>
      <c r="C103" s="131">
        <v>0.28000000000000003</v>
      </c>
      <c r="D103" s="132">
        <v>0.28560000000000002</v>
      </c>
      <c r="E103" s="133">
        <v>0.27</v>
      </c>
      <c r="F103" s="133">
        <v>0.29572439672890599</v>
      </c>
      <c r="G103" s="133">
        <v>0.323043710490169</v>
      </c>
      <c r="H103" s="133">
        <v>0.46</v>
      </c>
      <c r="I103" s="133">
        <v>0.54680892457969299</v>
      </c>
      <c r="J103" s="133">
        <v>0.65</v>
      </c>
      <c r="K103" s="133">
        <v>0.73450663713815401</v>
      </c>
      <c r="L103" s="134">
        <v>0.83</v>
      </c>
    </row>
    <row r="104" spans="1:25">
      <c r="A104" s="135" t="s">
        <v>240</v>
      </c>
      <c r="B104" s="136"/>
      <c r="C104" s="137">
        <v>0.28000000000000003</v>
      </c>
      <c r="D104" s="138">
        <v>0.28560000000000002</v>
      </c>
      <c r="E104" s="139">
        <v>0.5</v>
      </c>
      <c r="F104" s="139">
        <v>0.52050514536957004</v>
      </c>
      <c r="G104" s="139">
        <v>0.55069335970150401</v>
      </c>
      <c r="H104" s="139">
        <v>0.69</v>
      </c>
      <c r="I104" s="139">
        <v>0.75219678276365898</v>
      </c>
      <c r="J104" s="139">
        <v>0.82</v>
      </c>
      <c r="K104" s="139">
        <v>0.82498484834571395</v>
      </c>
      <c r="L104" s="140">
        <v>0.83</v>
      </c>
    </row>
    <row r="105" spans="1:25">
      <c r="A105" s="129" t="s">
        <v>241</v>
      </c>
      <c r="B105" s="130"/>
      <c r="C105" s="131">
        <v>0.28000000000000003</v>
      </c>
      <c r="D105" s="132">
        <v>0.28560000000000002</v>
      </c>
      <c r="E105" s="133">
        <v>0.46</v>
      </c>
      <c r="F105" s="133">
        <v>0.48188357465036202</v>
      </c>
      <c r="G105" s="133">
        <v>0.51160687271545702</v>
      </c>
      <c r="H105" s="133">
        <v>0.65</v>
      </c>
      <c r="I105" s="133">
        <v>0.73006848993775897</v>
      </c>
      <c r="J105" s="133">
        <v>0.82</v>
      </c>
      <c r="K105" s="133">
        <v>0.82498484834571395</v>
      </c>
      <c r="L105" s="134">
        <v>0.83</v>
      </c>
    </row>
    <row r="106" spans="1:25">
      <c r="A106" s="135" t="s">
        <v>242</v>
      </c>
      <c r="B106" s="136"/>
      <c r="C106" s="137">
        <v>0.28000000000000003</v>
      </c>
      <c r="D106" s="138">
        <v>0.28560000000000002</v>
      </c>
      <c r="E106" s="139">
        <v>0.21</v>
      </c>
      <c r="F106" s="139">
        <v>0.23729743395351</v>
      </c>
      <c r="G106" s="139">
        <v>0.26600162616151701</v>
      </c>
      <c r="H106" s="139">
        <v>0.42</v>
      </c>
      <c r="I106" s="139">
        <v>0.49779513858614599</v>
      </c>
      <c r="J106" s="139">
        <v>0.59</v>
      </c>
      <c r="K106" s="139">
        <v>0.70398863627192199</v>
      </c>
      <c r="L106" s="140">
        <v>0.84</v>
      </c>
    </row>
    <row r="107" spans="1:25" ht="15.75" thickBot="1">
      <c r="A107" s="141" t="s">
        <v>243</v>
      </c>
      <c r="B107" s="142"/>
      <c r="C107" s="143">
        <v>0.25</v>
      </c>
      <c r="D107" s="144">
        <v>0.255</v>
      </c>
      <c r="E107" s="145">
        <v>0.26</v>
      </c>
      <c r="F107" s="145">
        <v>0.281511593120788</v>
      </c>
      <c r="G107" s="145">
        <v>0.30496281353645699</v>
      </c>
      <c r="H107" s="145">
        <v>0.42</v>
      </c>
      <c r="I107" s="145">
        <v>0.49779513858614599</v>
      </c>
      <c r="J107" s="145">
        <v>0.59</v>
      </c>
      <c r="K107" s="145">
        <v>0.70398863627192199</v>
      </c>
      <c r="L107" s="146">
        <v>0.84</v>
      </c>
    </row>
    <row r="109" spans="1:25">
      <c r="A109" s="24" t="s">
        <v>266</v>
      </c>
    </row>
    <row r="110" spans="1:25" ht="18">
      <c r="A110" s="15" t="s">
        <v>6</v>
      </c>
    </row>
    <row r="111" spans="1:25" ht="15.75" thickBot="1"/>
    <row r="112" spans="1:25" ht="15.75" thickBot="1">
      <c r="A112" s="147"/>
      <c r="B112" s="127"/>
      <c r="C112" s="127"/>
      <c r="D112" s="109" t="s">
        <v>244</v>
      </c>
      <c r="E112" s="109"/>
      <c r="F112" s="109"/>
      <c r="G112" s="109"/>
      <c r="H112" s="109"/>
      <c r="I112" s="109"/>
      <c r="J112" s="109"/>
      <c r="K112" s="109"/>
      <c r="L112" s="109"/>
      <c r="M112" s="109"/>
      <c r="N112" s="397" t="s">
        <v>245</v>
      </c>
      <c r="P112" s="399"/>
      <c r="Q112" s="399"/>
      <c r="R112" s="173" t="s">
        <v>509</v>
      </c>
      <c r="S112" s="174"/>
      <c r="T112" s="174"/>
      <c r="U112" s="174"/>
      <c r="V112" s="174"/>
      <c r="W112" s="175"/>
      <c r="X112" s="401" t="s">
        <v>257</v>
      </c>
      <c r="Y112" s="401"/>
    </row>
    <row r="113" spans="1:25" ht="36">
      <c r="A113" s="398"/>
      <c r="B113" s="398"/>
      <c r="C113" s="148"/>
      <c r="D113" s="149" t="s">
        <v>246</v>
      </c>
      <c r="E113" s="149" t="s">
        <v>247</v>
      </c>
      <c r="F113" s="149" t="s">
        <v>248</v>
      </c>
      <c r="G113" s="150" t="s">
        <v>249</v>
      </c>
      <c r="H113" s="150" t="s">
        <v>250</v>
      </c>
      <c r="I113" s="150" t="s">
        <v>251</v>
      </c>
      <c r="J113" s="150" t="s">
        <v>252</v>
      </c>
      <c r="K113" s="150" t="s">
        <v>253</v>
      </c>
      <c r="L113" s="150" t="s">
        <v>254</v>
      </c>
      <c r="M113" s="149" t="s">
        <v>180</v>
      </c>
      <c r="N113" s="397"/>
      <c r="P113" s="399"/>
      <c r="Q113" s="399"/>
      <c r="R113" s="176" t="s">
        <v>258</v>
      </c>
      <c r="S113" s="176">
        <v>2015</v>
      </c>
      <c r="T113" s="176">
        <v>2020</v>
      </c>
      <c r="U113" s="176">
        <v>2030</v>
      </c>
      <c r="V113" s="176">
        <v>2040</v>
      </c>
      <c r="W113" s="176">
        <v>2050</v>
      </c>
      <c r="X113" s="177" t="s">
        <v>259</v>
      </c>
      <c r="Y113" s="178" t="s">
        <v>260</v>
      </c>
    </row>
    <row r="114" spans="1:25">
      <c r="A114" s="151" t="s">
        <v>255</v>
      </c>
      <c r="B114" s="152"/>
      <c r="C114" s="152">
        <v>2006</v>
      </c>
      <c r="D114" s="152">
        <v>0.37</v>
      </c>
      <c r="E114" s="152">
        <v>0.35</v>
      </c>
      <c r="F114" s="152">
        <v>0.25</v>
      </c>
      <c r="G114" s="152">
        <v>0.03</v>
      </c>
      <c r="H114" s="152">
        <v>0</v>
      </c>
      <c r="I114" s="152">
        <v>0</v>
      </c>
      <c r="J114" s="152">
        <v>0</v>
      </c>
      <c r="K114" s="152">
        <v>0</v>
      </c>
      <c r="L114" s="152">
        <v>0</v>
      </c>
      <c r="M114" s="153">
        <v>1</v>
      </c>
      <c r="N114" s="154">
        <v>59.746000000000002</v>
      </c>
      <c r="P114" s="400" t="s">
        <v>246</v>
      </c>
      <c r="Q114" s="400"/>
      <c r="R114" s="282">
        <v>1.85</v>
      </c>
      <c r="S114" s="282">
        <v>2.12</v>
      </c>
      <c r="T114" s="282">
        <v>2.2999999999999998</v>
      </c>
      <c r="U114" s="282">
        <v>2.54</v>
      </c>
      <c r="V114" s="282">
        <v>2.67</v>
      </c>
      <c r="W114" s="282">
        <v>2.8</v>
      </c>
      <c r="X114" s="283">
        <v>1.02</v>
      </c>
      <c r="Y114" s="283">
        <v>1.0049999999999999</v>
      </c>
    </row>
    <row r="115" spans="1:25">
      <c r="A115" s="155" t="s">
        <v>255</v>
      </c>
      <c r="B115" s="156"/>
      <c r="C115" s="156">
        <v>2015</v>
      </c>
      <c r="D115" s="156">
        <v>0.37</v>
      </c>
      <c r="E115" s="156">
        <v>0.35</v>
      </c>
      <c r="F115" s="156">
        <v>0.26</v>
      </c>
      <c r="G115" s="156">
        <v>0.02</v>
      </c>
      <c r="H115" s="156">
        <v>0</v>
      </c>
      <c r="I115" s="156">
        <v>0</v>
      </c>
      <c r="J115" s="156">
        <v>0</v>
      </c>
      <c r="K115" s="156">
        <v>0</v>
      </c>
      <c r="L115" s="156">
        <v>0</v>
      </c>
      <c r="M115" s="157">
        <v>1</v>
      </c>
      <c r="N115" s="158">
        <v>59.746000000000002</v>
      </c>
      <c r="P115" s="400" t="s">
        <v>247</v>
      </c>
      <c r="Q115" s="400"/>
      <c r="R115" s="282">
        <v>2.68</v>
      </c>
      <c r="S115" s="282">
        <v>3.08</v>
      </c>
      <c r="T115" s="282">
        <v>3.55</v>
      </c>
      <c r="U115" s="282">
        <v>3.92</v>
      </c>
      <c r="V115" s="282">
        <v>4.33</v>
      </c>
      <c r="W115" s="282">
        <v>4.78</v>
      </c>
      <c r="X115" s="284">
        <v>1.04</v>
      </c>
      <c r="Y115" s="284">
        <v>1.01</v>
      </c>
    </row>
    <row r="116" spans="1:25">
      <c r="A116" s="159" t="s">
        <v>255</v>
      </c>
      <c r="B116" s="160"/>
      <c r="C116" s="160">
        <v>2020</v>
      </c>
      <c r="D116" s="160">
        <v>0.37</v>
      </c>
      <c r="E116" s="160">
        <v>0.35</v>
      </c>
      <c r="F116" s="160">
        <v>0.25</v>
      </c>
      <c r="G116" s="160">
        <v>0.03</v>
      </c>
      <c r="H116" s="160">
        <v>0</v>
      </c>
      <c r="I116" s="160">
        <v>0</v>
      </c>
      <c r="J116" s="160">
        <v>0</v>
      </c>
      <c r="K116" s="160">
        <v>0</v>
      </c>
      <c r="L116" s="160">
        <v>0</v>
      </c>
      <c r="M116" s="153">
        <v>1</v>
      </c>
      <c r="N116" s="154">
        <v>59.746000000000002</v>
      </c>
      <c r="P116" s="400" t="s">
        <v>248</v>
      </c>
      <c r="Q116" s="400"/>
      <c r="R116" s="282">
        <v>2.68</v>
      </c>
      <c r="S116" s="282">
        <v>3.08</v>
      </c>
      <c r="T116" s="282">
        <v>3.55</v>
      </c>
      <c r="U116" s="282">
        <v>3.92</v>
      </c>
      <c r="V116" s="282">
        <v>4.33</v>
      </c>
      <c r="W116" s="282">
        <v>4.78</v>
      </c>
      <c r="X116" s="283">
        <v>1.04</v>
      </c>
      <c r="Y116" s="283">
        <v>1.01</v>
      </c>
    </row>
    <row r="117" spans="1:25">
      <c r="A117" s="155" t="s">
        <v>255</v>
      </c>
      <c r="B117" s="156"/>
      <c r="C117" s="156">
        <v>2030</v>
      </c>
      <c r="D117" s="156">
        <v>0.3</v>
      </c>
      <c r="E117" s="156">
        <v>0.3</v>
      </c>
      <c r="F117" s="156">
        <v>0.24</v>
      </c>
      <c r="G117" s="156">
        <v>0.1</v>
      </c>
      <c r="H117" s="156">
        <v>0</v>
      </c>
      <c r="I117" s="156">
        <v>0.01</v>
      </c>
      <c r="J117" s="156">
        <v>0.02</v>
      </c>
      <c r="K117" s="156">
        <v>0.03</v>
      </c>
      <c r="L117" s="156">
        <v>0</v>
      </c>
      <c r="M117" s="157">
        <v>1</v>
      </c>
      <c r="N117" s="158">
        <v>62.02</v>
      </c>
      <c r="P117" s="400" t="s">
        <v>249</v>
      </c>
      <c r="Q117" s="400"/>
      <c r="R117" s="282">
        <v>1.85</v>
      </c>
      <c r="S117" s="282">
        <v>2.12</v>
      </c>
      <c r="T117" s="282">
        <v>3.26</v>
      </c>
      <c r="U117" s="282">
        <v>4.59</v>
      </c>
      <c r="V117" s="282">
        <v>5.07</v>
      </c>
      <c r="W117" s="282">
        <v>5.6</v>
      </c>
      <c r="X117" s="284">
        <v>1.0349999999999999</v>
      </c>
      <c r="Y117" s="284">
        <v>1.01</v>
      </c>
    </row>
    <row r="118" spans="1:25">
      <c r="A118" s="159" t="s">
        <v>255</v>
      </c>
      <c r="B118" s="160"/>
      <c r="C118" s="160">
        <v>2040</v>
      </c>
      <c r="D118" s="160">
        <v>0.26</v>
      </c>
      <c r="E118" s="160">
        <v>0.26</v>
      </c>
      <c r="F118" s="160">
        <v>0.22</v>
      </c>
      <c r="G118" s="160">
        <v>0.15</v>
      </c>
      <c r="H118" s="160">
        <v>0</v>
      </c>
      <c r="I118" s="160">
        <v>0.03</v>
      </c>
      <c r="J118" s="160">
        <v>0.02</v>
      </c>
      <c r="K118" s="160">
        <v>0.05</v>
      </c>
      <c r="L118" s="160">
        <v>0.01</v>
      </c>
      <c r="M118" s="153">
        <v>1</v>
      </c>
      <c r="N118" s="154">
        <v>63.404000000000003</v>
      </c>
      <c r="P118" s="400" t="s">
        <v>250</v>
      </c>
      <c r="Q118" s="400"/>
      <c r="R118" s="282">
        <v>1.85</v>
      </c>
      <c r="S118" s="282">
        <v>2.12</v>
      </c>
      <c r="T118" s="282">
        <v>3.26</v>
      </c>
      <c r="U118" s="282">
        <v>4.82</v>
      </c>
      <c r="V118" s="282">
        <v>5.32</v>
      </c>
      <c r="W118" s="282">
        <v>5.88</v>
      </c>
      <c r="X118" s="283">
        <v>1.0349999999999999</v>
      </c>
      <c r="Y118" s="283">
        <v>1.01</v>
      </c>
    </row>
    <row r="119" spans="1:25">
      <c r="A119" s="161" t="s">
        <v>255</v>
      </c>
      <c r="B119" s="162"/>
      <c r="C119" s="162">
        <v>2050</v>
      </c>
      <c r="D119" s="162">
        <v>0.23</v>
      </c>
      <c r="E119" s="162">
        <v>0.23</v>
      </c>
      <c r="F119" s="162">
        <v>0.22</v>
      </c>
      <c r="G119" s="162">
        <v>0.15</v>
      </c>
      <c r="H119" s="162">
        <v>0</v>
      </c>
      <c r="I119" s="162">
        <v>0.05</v>
      </c>
      <c r="J119" s="162">
        <v>0.02</v>
      </c>
      <c r="K119" s="162">
        <v>0.05</v>
      </c>
      <c r="L119" s="162">
        <v>0.05</v>
      </c>
      <c r="M119" s="163">
        <v>1</v>
      </c>
      <c r="N119" s="164">
        <v>64.441999999999993</v>
      </c>
      <c r="P119" s="400" t="s">
        <v>251</v>
      </c>
      <c r="Q119" s="400"/>
      <c r="R119" s="282">
        <v>1.85</v>
      </c>
      <c r="S119" s="282">
        <v>2.12</v>
      </c>
      <c r="T119" s="282">
        <v>3.26</v>
      </c>
      <c r="U119" s="282">
        <v>4.82</v>
      </c>
      <c r="V119" s="282">
        <v>5.32</v>
      </c>
      <c r="W119" s="282">
        <v>5.88</v>
      </c>
      <c r="X119" s="284">
        <v>1.04</v>
      </c>
      <c r="Y119" s="284">
        <v>1.01</v>
      </c>
    </row>
    <row r="120" spans="1:25">
      <c r="A120" s="165" t="s">
        <v>256</v>
      </c>
      <c r="B120" s="166"/>
      <c r="C120" s="152">
        <v>2006</v>
      </c>
      <c r="D120" s="152">
        <v>0.62</v>
      </c>
      <c r="E120" s="152">
        <v>0.12</v>
      </c>
      <c r="F120" s="152">
        <v>0.26</v>
      </c>
      <c r="G120" s="152">
        <v>0</v>
      </c>
      <c r="H120" s="152">
        <v>0</v>
      </c>
      <c r="I120" s="152">
        <v>0</v>
      </c>
      <c r="J120" s="152">
        <v>0</v>
      </c>
      <c r="K120" s="152">
        <v>0</v>
      </c>
      <c r="L120" s="152">
        <v>0</v>
      </c>
      <c r="M120" s="167">
        <v>1</v>
      </c>
      <c r="N120" s="154">
        <v>40.265999999999998</v>
      </c>
      <c r="P120" s="400" t="s">
        <v>252</v>
      </c>
      <c r="Q120" s="400"/>
      <c r="R120" s="282">
        <v>3.49</v>
      </c>
      <c r="S120" s="282">
        <v>4.0199999999999996</v>
      </c>
      <c r="T120" s="282">
        <v>5</v>
      </c>
      <c r="U120" s="282">
        <v>7</v>
      </c>
      <c r="V120" s="282">
        <v>9</v>
      </c>
      <c r="W120" s="282">
        <v>10</v>
      </c>
      <c r="X120" s="283">
        <v>1.04</v>
      </c>
      <c r="Y120" s="283">
        <v>1.01</v>
      </c>
    </row>
    <row r="121" spans="1:25">
      <c r="A121" s="168" t="s">
        <v>256</v>
      </c>
      <c r="B121" s="156"/>
      <c r="C121" s="156">
        <v>2015</v>
      </c>
      <c r="D121" s="156">
        <v>0.62</v>
      </c>
      <c r="E121" s="156">
        <v>0.12</v>
      </c>
      <c r="F121" s="156">
        <v>0.26</v>
      </c>
      <c r="G121" s="156">
        <v>0</v>
      </c>
      <c r="H121" s="156">
        <v>0</v>
      </c>
      <c r="I121" s="156">
        <v>0</v>
      </c>
      <c r="J121" s="156">
        <v>0</v>
      </c>
      <c r="K121" s="156">
        <v>0</v>
      </c>
      <c r="L121" s="156">
        <v>0</v>
      </c>
      <c r="M121" s="157">
        <v>1</v>
      </c>
      <c r="N121" s="158">
        <v>40.265999999999998</v>
      </c>
      <c r="P121" s="400" t="s">
        <v>253</v>
      </c>
      <c r="Q121" s="400"/>
      <c r="R121" s="282">
        <v>1</v>
      </c>
      <c r="S121" s="282">
        <v>1</v>
      </c>
      <c r="T121" s="282">
        <v>5</v>
      </c>
      <c r="U121" s="282">
        <v>5</v>
      </c>
      <c r="V121" s="282">
        <v>6</v>
      </c>
      <c r="W121" s="282">
        <v>7</v>
      </c>
      <c r="X121" s="284">
        <v>1.04</v>
      </c>
      <c r="Y121" s="284">
        <v>1.01</v>
      </c>
    </row>
    <row r="122" spans="1:25">
      <c r="A122" s="151" t="s">
        <v>256</v>
      </c>
      <c r="B122" s="160"/>
      <c r="C122" s="160">
        <v>2020</v>
      </c>
      <c r="D122" s="160">
        <v>0.61</v>
      </c>
      <c r="E122" s="160">
        <v>0.12</v>
      </c>
      <c r="F122" s="160">
        <v>0.26</v>
      </c>
      <c r="G122" s="160">
        <v>0.01</v>
      </c>
      <c r="H122" s="160">
        <v>0</v>
      </c>
      <c r="I122" s="160">
        <v>0</v>
      </c>
      <c r="J122" s="160">
        <v>0</v>
      </c>
      <c r="K122" s="160">
        <v>0</v>
      </c>
      <c r="L122" s="160">
        <v>0</v>
      </c>
      <c r="M122" s="153">
        <v>1</v>
      </c>
      <c r="N122" s="154">
        <v>40.423000000000002</v>
      </c>
      <c r="P122" s="179" t="s">
        <v>261</v>
      </c>
      <c r="Q122" s="179"/>
      <c r="R122" s="282">
        <v>1</v>
      </c>
      <c r="S122" s="282">
        <v>1</v>
      </c>
      <c r="T122" s="282">
        <v>5</v>
      </c>
      <c r="U122" s="282">
        <v>8</v>
      </c>
      <c r="V122" s="282">
        <v>10</v>
      </c>
      <c r="W122" s="282">
        <v>12</v>
      </c>
      <c r="X122" s="283">
        <v>1.04</v>
      </c>
      <c r="Y122" s="283">
        <v>1.01</v>
      </c>
    </row>
    <row r="123" spans="1:25">
      <c r="A123" s="168" t="s">
        <v>256</v>
      </c>
      <c r="B123" s="156"/>
      <c r="C123" s="156">
        <v>2030</v>
      </c>
      <c r="D123" s="156">
        <v>0.56000000000000005</v>
      </c>
      <c r="E123" s="156">
        <v>0.11</v>
      </c>
      <c r="F123" s="156">
        <v>0.26</v>
      </c>
      <c r="G123" s="156">
        <v>0.05</v>
      </c>
      <c r="H123" s="156">
        <v>0</v>
      </c>
      <c r="I123" s="156">
        <v>0.02</v>
      </c>
      <c r="J123" s="156">
        <v>0</v>
      </c>
      <c r="K123" s="156">
        <v>0</v>
      </c>
      <c r="L123" s="156">
        <v>0</v>
      </c>
      <c r="M123" s="157">
        <v>1</v>
      </c>
      <c r="N123" s="158">
        <v>41.207999999999998</v>
      </c>
    </row>
    <row r="124" spans="1:25">
      <c r="A124" s="159" t="s">
        <v>256</v>
      </c>
      <c r="B124" s="160"/>
      <c r="C124" s="160">
        <v>2040</v>
      </c>
      <c r="D124" s="160">
        <v>0.47</v>
      </c>
      <c r="E124" s="160">
        <v>0.1</v>
      </c>
      <c r="F124" s="160">
        <v>0.24</v>
      </c>
      <c r="G124" s="160">
        <v>0.12</v>
      </c>
      <c r="H124" s="160">
        <v>0</v>
      </c>
      <c r="I124" s="160">
        <v>0.05</v>
      </c>
      <c r="J124" s="160">
        <v>0</v>
      </c>
      <c r="K124" s="160">
        <v>0</v>
      </c>
      <c r="L124" s="160">
        <v>0.02</v>
      </c>
      <c r="M124" s="153">
        <v>1</v>
      </c>
      <c r="N124" s="154">
        <v>42.621000000000002</v>
      </c>
    </row>
    <row r="125" spans="1:25" ht="15.75" thickBot="1">
      <c r="A125" s="169" t="s">
        <v>256</v>
      </c>
      <c r="B125" s="170"/>
      <c r="C125" s="162">
        <v>2050</v>
      </c>
      <c r="D125" s="162">
        <v>0.42</v>
      </c>
      <c r="E125" s="162">
        <v>0.09</v>
      </c>
      <c r="F125" s="162">
        <v>0.15</v>
      </c>
      <c r="G125" s="162">
        <v>0.15</v>
      </c>
      <c r="H125" s="162">
        <v>0</v>
      </c>
      <c r="I125" s="162">
        <v>7.0000000000000007E-2</v>
      </c>
      <c r="J125" s="162">
        <v>0.02</v>
      </c>
      <c r="K125" s="162">
        <v>0.05</v>
      </c>
      <c r="L125" s="162">
        <v>0.05</v>
      </c>
      <c r="M125" s="171">
        <v>1</v>
      </c>
      <c r="N125" s="172">
        <v>43.405999999999999</v>
      </c>
    </row>
    <row r="128" spans="1:25" ht="18.75" thickBot="1">
      <c r="A128" s="15" t="s">
        <v>19</v>
      </c>
    </row>
    <row r="129" spans="1:25" ht="15.75" thickBot="1">
      <c r="A129" s="147"/>
      <c r="B129" s="127"/>
      <c r="C129" s="127"/>
      <c r="D129" s="109" t="s">
        <v>244</v>
      </c>
      <c r="E129" s="109"/>
      <c r="F129" s="109"/>
      <c r="G129" s="109"/>
      <c r="H129" s="109"/>
      <c r="I129" s="109"/>
      <c r="J129" s="109"/>
      <c r="K129" s="109"/>
      <c r="L129" s="109"/>
      <c r="M129" s="109"/>
      <c r="N129" s="397" t="s">
        <v>245</v>
      </c>
      <c r="P129" s="399"/>
      <c r="Q129" s="399"/>
      <c r="R129" s="173" t="s">
        <v>509</v>
      </c>
      <c r="S129" s="174"/>
      <c r="T129" s="174"/>
      <c r="U129" s="174"/>
      <c r="V129" s="174"/>
      <c r="W129" s="175"/>
      <c r="X129" s="401" t="s">
        <v>257</v>
      </c>
      <c r="Y129" s="401"/>
    </row>
    <row r="130" spans="1:25" ht="36">
      <c r="A130" s="398"/>
      <c r="B130" s="398"/>
      <c r="C130" s="148"/>
      <c r="D130" s="149" t="s">
        <v>246</v>
      </c>
      <c r="E130" s="149" t="s">
        <v>247</v>
      </c>
      <c r="F130" s="149" t="s">
        <v>248</v>
      </c>
      <c r="G130" s="150" t="s">
        <v>249</v>
      </c>
      <c r="H130" s="150" t="s">
        <v>250</v>
      </c>
      <c r="I130" s="150" t="s">
        <v>251</v>
      </c>
      <c r="J130" s="150" t="s">
        <v>252</v>
      </c>
      <c r="K130" s="150" t="s">
        <v>253</v>
      </c>
      <c r="L130" s="150" t="s">
        <v>254</v>
      </c>
      <c r="M130" s="149" t="s">
        <v>180</v>
      </c>
      <c r="N130" s="397"/>
      <c r="P130" s="399"/>
      <c r="Q130" s="399"/>
      <c r="R130" s="176" t="s">
        <v>258</v>
      </c>
      <c r="S130" s="176">
        <v>2015</v>
      </c>
      <c r="T130" s="176">
        <v>2020</v>
      </c>
      <c r="U130" s="176">
        <v>2030</v>
      </c>
      <c r="V130" s="176">
        <v>2040</v>
      </c>
      <c r="W130" s="176">
        <v>2050</v>
      </c>
      <c r="X130" s="177" t="s">
        <v>259</v>
      </c>
      <c r="Y130" s="178" t="s">
        <v>260</v>
      </c>
    </row>
    <row r="131" spans="1:25">
      <c r="A131" s="151" t="s">
        <v>255</v>
      </c>
      <c r="B131" s="152"/>
      <c r="C131" s="152">
        <v>2006</v>
      </c>
      <c r="D131" s="152">
        <v>0.37</v>
      </c>
      <c r="E131" s="152">
        <v>0.35</v>
      </c>
      <c r="F131" s="152">
        <v>0.27</v>
      </c>
      <c r="G131" s="152">
        <v>0.01</v>
      </c>
      <c r="H131" s="152">
        <v>0</v>
      </c>
      <c r="I131" s="152">
        <v>0</v>
      </c>
      <c r="J131" s="152">
        <v>0</v>
      </c>
      <c r="K131" s="152">
        <v>0</v>
      </c>
      <c r="L131" s="152">
        <v>0</v>
      </c>
      <c r="M131" s="153">
        <v>1</v>
      </c>
      <c r="N131" s="154">
        <v>59.746000000000002</v>
      </c>
      <c r="P131" s="400" t="s">
        <v>246</v>
      </c>
      <c r="Q131" s="400"/>
      <c r="R131" s="282">
        <v>1.85</v>
      </c>
      <c r="S131" s="282">
        <v>2.12</v>
      </c>
      <c r="T131" s="282">
        <v>2.2999999999999998</v>
      </c>
      <c r="U131" s="282">
        <v>2.54</v>
      </c>
      <c r="V131" s="282">
        <v>2.67</v>
      </c>
      <c r="W131" s="282">
        <v>2.8</v>
      </c>
      <c r="X131" s="283">
        <v>1.02</v>
      </c>
      <c r="Y131" s="283">
        <v>1.0049999999999999</v>
      </c>
    </row>
    <row r="132" spans="1:25">
      <c r="A132" s="155" t="s">
        <v>255</v>
      </c>
      <c r="B132" s="156"/>
      <c r="C132" s="156">
        <v>2015</v>
      </c>
      <c r="D132" s="156">
        <v>0.37</v>
      </c>
      <c r="E132" s="156">
        <v>0.35</v>
      </c>
      <c r="F132" s="156">
        <v>0.26</v>
      </c>
      <c r="G132" s="156">
        <v>0.02</v>
      </c>
      <c r="H132" s="156">
        <v>0</v>
      </c>
      <c r="I132" s="156">
        <v>0</v>
      </c>
      <c r="J132" s="156">
        <v>0</v>
      </c>
      <c r="K132" s="156">
        <v>0</v>
      </c>
      <c r="L132" s="156">
        <v>0</v>
      </c>
      <c r="M132" s="157">
        <v>1</v>
      </c>
      <c r="N132" s="158">
        <v>59.746000000000002</v>
      </c>
      <c r="P132" s="400" t="s">
        <v>247</v>
      </c>
      <c r="Q132" s="400"/>
      <c r="R132" s="282">
        <v>2.68</v>
      </c>
      <c r="S132" s="282">
        <v>3.08</v>
      </c>
      <c r="T132" s="282">
        <v>3.55</v>
      </c>
      <c r="U132" s="282">
        <v>3.92</v>
      </c>
      <c r="V132" s="282">
        <v>4.33</v>
      </c>
      <c r="W132" s="282">
        <v>4.78</v>
      </c>
      <c r="X132" s="284">
        <v>1.04</v>
      </c>
      <c r="Y132" s="284">
        <v>1.01</v>
      </c>
    </row>
    <row r="133" spans="1:25">
      <c r="A133" s="159" t="s">
        <v>255</v>
      </c>
      <c r="B133" s="160"/>
      <c r="C133" s="160">
        <v>2020</v>
      </c>
      <c r="D133" s="160">
        <v>0.37</v>
      </c>
      <c r="E133" s="160">
        <v>0.35</v>
      </c>
      <c r="F133" s="160">
        <v>0.25</v>
      </c>
      <c r="G133" s="160">
        <v>0.03</v>
      </c>
      <c r="H133" s="160">
        <v>0</v>
      </c>
      <c r="I133" s="160">
        <v>0</v>
      </c>
      <c r="J133" s="160">
        <v>0</v>
      </c>
      <c r="K133" s="160">
        <v>0</v>
      </c>
      <c r="L133" s="160">
        <v>0</v>
      </c>
      <c r="M133" s="153">
        <v>1</v>
      </c>
      <c r="N133" s="154">
        <v>59.746000000000002</v>
      </c>
      <c r="P133" s="400" t="s">
        <v>248</v>
      </c>
      <c r="Q133" s="400"/>
      <c r="R133" s="282">
        <v>2.68</v>
      </c>
      <c r="S133" s="282">
        <v>3.08</v>
      </c>
      <c r="T133" s="282">
        <v>3.55</v>
      </c>
      <c r="U133" s="282">
        <v>3.92</v>
      </c>
      <c r="V133" s="282">
        <v>4.33</v>
      </c>
      <c r="W133" s="282">
        <v>4.78</v>
      </c>
      <c r="X133" s="283">
        <v>1.04</v>
      </c>
      <c r="Y133" s="283">
        <v>1.01</v>
      </c>
    </row>
    <row r="134" spans="1:25">
      <c r="A134" s="155" t="s">
        <v>255</v>
      </c>
      <c r="B134" s="156"/>
      <c r="C134" s="156">
        <v>2030</v>
      </c>
      <c r="D134" s="156">
        <v>0.28000000000000003</v>
      </c>
      <c r="E134" s="156">
        <v>0.27</v>
      </c>
      <c r="F134" s="156">
        <v>0.25</v>
      </c>
      <c r="G134" s="156">
        <v>0.11</v>
      </c>
      <c r="H134" s="156">
        <v>0</v>
      </c>
      <c r="I134" s="156">
        <v>0.02</v>
      </c>
      <c r="J134" s="156">
        <v>0.02</v>
      </c>
      <c r="K134" s="156">
        <v>0.03</v>
      </c>
      <c r="L134" s="156">
        <v>0.02</v>
      </c>
      <c r="M134" s="157">
        <v>1</v>
      </c>
      <c r="N134" s="158">
        <v>62.786000000000001</v>
      </c>
      <c r="P134" s="400" t="s">
        <v>249</v>
      </c>
      <c r="Q134" s="400"/>
      <c r="R134" s="282">
        <v>1.85</v>
      </c>
      <c r="S134" s="282">
        <v>2.12</v>
      </c>
      <c r="T134" s="282">
        <v>3.26</v>
      </c>
      <c r="U134" s="282">
        <v>4.59</v>
      </c>
      <c r="V134" s="282">
        <v>5.07</v>
      </c>
      <c r="W134" s="282">
        <v>5.6</v>
      </c>
      <c r="X134" s="284">
        <v>1.0349999999999999</v>
      </c>
      <c r="Y134" s="284">
        <v>1.01</v>
      </c>
    </row>
    <row r="135" spans="1:25">
      <c r="A135" s="159" t="s">
        <v>255</v>
      </c>
      <c r="B135" s="160"/>
      <c r="C135" s="160">
        <v>2040</v>
      </c>
      <c r="D135" s="160">
        <v>0.25</v>
      </c>
      <c r="E135" s="160">
        <v>0.19</v>
      </c>
      <c r="F135" s="160">
        <v>0.25</v>
      </c>
      <c r="G135" s="160">
        <v>0.15</v>
      </c>
      <c r="H135" s="160">
        <v>0</v>
      </c>
      <c r="I135" s="160">
        <v>0.03</v>
      </c>
      <c r="J135" s="160">
        <v>0.03</v>
      </c>
      <c r="K135" s="160">
        <v>7.0000000000000007E-2</v>
      </c>
      <c r="L135" s="160">
        <v>0.03</v>
      </c>
      <c r="M135" s="153">
        <v>1</v>
      </c>
      <c r="N135" s="154">
        <v>64.194000000000003</v>
      </c>
      <c r="P135" s="400" t="s">
        <v>250</v>
      </c>
      <c r="Q135" s="400"/>
      <c r="R135" s="282">
        <v>1.85</v>
      </c>
      <c r="S135" s="282">
        <v>2.12</v>
      </c>
      <c r="T135" s="282">
        <v>3.26</v>
      </c>
      <c r="U135" s="282">
        <v>4.82</v>
      </c>
      <c r="V135" s="282">
        <v>5.32</v>
      </c>
      <c r="W135" s="282">
        <v>5.88</v>
      </c>
      <c r="X135" s="283">
        <v>1.0349999999999999</v>
      </c>
      <c r="Y135" s="283">
        <v>1.01</v>
      </c>
    </row>
    <row r="136" spans="1:25">
      <c r="A136" s="161" t="s">
        <v>255</v>
      </c>
      <c r="B136" s="162"/>
      <c r="C136" s="162">
        <v>2050</v>
      </c>
      <c r="D136" s="162">
        <v>0.2</v>
      </c>
      <c r="E136" s="162">
        <v>0.1</v>
      </c>
      <c r="F136" s="162">
        <v>0.25</v>
      </c>
      <c r="G136" s="162">
        <v>0.2</v>
      </c>
      <c r="H136" s="162">
        <v>0</v>
      </c>
      <c r="I136" s="162">
        <v>0.05</v>
      </c>
      <c r="J136" s="162">
        <v>0.05</v>
      </c>
      <c r="K136" s="162">
        <v>0.1</v>
      </c>
      <c r="L136" s="162">
        <v>0.05</v>
      </c>
      <c r="M136" s="163">
        <v>1</v>
      </c>
      <c r="N136" s="164">
        <v>66.22</v>
      </c>
      <c r="P136" s="400" t="s">
        <v>251</v>
      </c>
      <c r="Q136" s="400"/>
      <c r="R136" s="282">
        <v>1.85</v>
      </c>
      <c r="S136" s="282">
        <v>2.12</v>
      </c>
      <c r="T136" s="282">
        <v>3.26</v>
      </c>
      <c r="U136" s="282">
        <v>4.82</v>
      </c>
      <c r="V136" s="282">
        <v>5.32</v>
      </c>
      <c r="W136" s="282">
        <v>5.88</v>
      </c>
      <c r="X136" s="284">
        <v>1.04</v>
      </c>
      <c r="Y136" s="284">
        <v>1.01</v>
      </c>
    </row>
    <row r="137" spans="1:25">
      <c r="A137" s="165" t="s">
        <v>256</v>
      </c>
      <c r="B137" s="166"/>
      <c r="C137" s="152">
        <v>2006</v>
      </c>
      <c r="D137" s="152">
        <v>0.62</v>
      </c>
      <c r="E137" s="152">
        <v>0.12</v>
      </c>
      <c r="F137" s="152">
        <v>0.26</v>
      </c>
      <c r="G137" s="152">
        <v>0</v>
      </c>
      <c r="H137" s="152">
        <v>0</v>
      </c>
      <c r="I137" s="152">
        <v>0</v>
      </c>
      <c r="J137" s="152">
        <v>0</v>
      </c>
      <c r="K137" s="152">
        <v>0</v>
      </c>
      <c r="L137" s="152">
        <v>0</v>
      </c>
      <c r="M137" s="167">
        <v>1</v>
      </c>
      <c r="N137" s="154">
        <v>40.265999999999998</v>
      </c>
      <c r="P137" s="400" t="s">
        <v>252</v>
      </c>
      <c r="Q137" s="400"/>
      <c r="R137" s="282">
        <v>3.49</v>
      </c>
      <c r="S137" s="282">
        <v>4.0199999999999996</v>
      </c>
      <c r="T137" s="282">
        <v>5</v>
      </c>
      <c r="U137" s="282">
        <v>7</v>
      </c>
      <c r="V137" s="282">
        <v>9</v>
      </c>
      <c r="W137" s="282">
        <v>10</v>
      </c>
      <c r="X137" s="283">
        <v>1.04</v>
      </c>
      <c r="Y137" s="283">
        <v>1.01</v>
      </c>
    </row>
    <row r="138" spans="1:25">
      <c r="A138" s="168" t="s">
        <v>256</v>
      </c>
      <c r="B138" s="156"/>
      <c r="C138" s="156">
        <v>2015</v>
      </c>
      <c r="D138" s="156">
        <v>0.62</v>
      </c>
      <c r="E138" s="156">
        <v>0.12</v>
      </c>
      <c r="F138" s="156">
        <v>0.26</v>
      </c>
      <c r="G138" s="156">
        <v>0</v>
      </c>
      <c r="H138" s="156">
        <v>0</v>
      </c>
      <c r="I138" s="156">
        <v>0</v>
      </c>
      <c r="J138" s="156">
        <v>0</v>
      </c>
      <c r="K138" s="156">
        <v>0</v>
      </c>
      <c r="L138" s="156">
        <v>0</v>
      </c>
      <c r="M138" s="157">
        <v>1</v>
      </c>
      <c r="N138" s="158">
        <v>40.265999999999998</v>
      </c>
      <c r="P138" s="400" t="s">
        <v>253</v>
      </c>
      <c r="Q138" s="400"/>
      <c r="R138" s="282">
        <v>1</v>
      </c>
      <c r="S138" s="282">
        <v>1</v>
      </c>
      <c r="T138" s="282">
        <v>5</v>
      </c>
      <c r="U138" s="282">
        <v>5</v>
      </c>
      <c r="V138" s="282">
        <v>6</v>
      </c>
      <c r="W138" s="282">
        <v>7</v>
      </c>
      <c r="X138" s="284">
        <v>1.04</v>
      </c>
      <c r="Y138" s="284">
        <v>1.01</v>
      </c>
    </row>
    <row r="139" spans="1:25">
      <c r="A139" s="151" t="s">
        <v>256</v>
      </c>
      <c r="B139" s="160"/>
      <c r="C139" s="160">
        <v>2020</v>
      </c>
      <c r="D139" s="160">
        <v>0.62</v>
      </c>
      <c r="E139" s="160">
        <v>0.12</v>
      </c>
      <c r="F139" s="160">
        <v>0.26</v>
      </c>
      <c r="G139" s="160">
        <v>0</v>
      </c>
      <c r="H139" s="160">
        <v>0</v>
      </c>
      <c r="I139" s="160">
        <v>0</v>
      </c>
      <c r="J139" s="160">
        <v>0</v>
      </c>
      <c r="K139" s="160">
        <v>0</v>
      </c>
      <c r="L139" s="160">
        <v>0</v>
      </c>
      <c r="M139" s="153">
        <v>1</v>
      </c>
      <c r="N139" s="154">
        <v>40.265999999999998</v>
      </c>
      <c r="P139" s="179" t="s">
        <v>261</v>
      </c>
      <c r="Q139" s="179"/>
      <c r="R139" s="282">
        <v>1</v>
      </c>
      <c r="S139" s="282">
        <v>1</v>
      </c>
      <c r="T139" s="282">
        <v>5</v>
      </c>
      <c r="U139" s="282">
        <v>8</v>
      </c>
      <c r="V139" s="282">
        <v>10</v>
      </c>
      <c r="W139" s="282">
        <v>12</v>
      </c>
      <c r="X139" s="283">
        <v>1.04</v>
      </c>
      <c r="Y139" s="283">
        <v>1.01</v>
      </c>
    </row>
    <row r="140" spans="1:25">
      <c r="A140" s="168" t="s">
        <v>256</v>
      </c>
      <c r="B140" s="156"/>
      <c r="C140" s="156">
        <v>2030</v>
      </c>
      <c r="D140" s="156">
        <v>0.45</v>
      </c>
      <c r="E140" s="156">
        <v>0.11</v>
      </c>
      <c r="F140" s="156">
        <v>0.24</v>
      </c>
      <c r="G140" s="156">
        <v>0.1</v>
      </c>
      <c r="H140" s="156">
        <v>0</v>
      </c>
      <c r="I140" s="156">
        <v>0.04</v>
      </c>
      <c r="J140" s="156">
        <v>0.02</v>
      </c>
      <c r="K140" s="156">
        <v>0.04</v>
      </c>
      <c r="L140" s="156">
        <v>0</v>
      </c>
      <c r="M140" s="157">
        <v>1</v>
      </c>
      <c r="N140" s="158">
        <v>42.935000000000002</v>
      </c>
    </row>
    <row r="141" spans="1:25">
      <c r="A141" s="159" t="s">
        <v>256</v>
      </c>
      <c r="B141" s="160"/>
      <c r="C141" s="160">
        <v>2040</v>
      </c>
      <c r="D141" s="160">
        <v>0.28000000000000003</v>
      </c>
      <c r="E141" s="160">
        <v>0.11</v>
      </c>
      <c r="F141" s="160">
        <v>0.22</v>
      </c>
      <c r="G141" s="160">
        <v>0.18</v>
      </c>
      <c r="H141" s="160">
        <v>0</v>
      </c>
      <c r="I141" s="160">
        <v>0.09</v>
      </c>
      <c r="J141" s="160">
        <v>0.03</v>
      </c>
      <c r="K141" s="160">
        <v>7.0000000000000007E-2</v>
      </c>
      <c r="L141" s="160">
        <v>0.02</v>
      </c>
      <c r="M141" s="153">
        <v>1</v>
      </c>
      <c r="N141" s="154">
        <v>45.603999999999999</v>
      </c>
    </row>
    <row r="142" spans="1:25" ht="15.75" thickBot="1">
      <c r="A142" s="169" t="s">
        <v>256</v>
      </c>
      <c r="B142" s="170"/>
      <c r="C142" s="162">
        <v>2050</v>
      </c>
      <c r="D142" s="162">
        <v>0.3</v>
      </c>
      <c r="E142" s="162">
        <v>0.1</v>
      </c>
      <c r="F142" s="162">
        <v>0.2</v>
      </c>
      <c r="G142" s="162">
        <v>0.1</v>
      </c>
      <c r="H142" s="162">
        <v>0</v>
      </c>
      <c r="I142" s="162">
        <v>0.1</v>
      </c>
      <c r="J142" s="162">
        <v>0.05</v>
      </c>
      <c r="K142" s="162">
        <v>0.1</v>
      </c>
      <c r="L142" s="162">
        <v>0.05</v>
      </c>
      <c r="M142" s="171">
        <v>1</v>
      </c>
      <c r="N142" s="172">
        <v>45.29</v>
      </c>
    </row>
    <row r="146" spans="1:4">
      <c r="A146" s="24" t="s">
        <v>267</v>
      </c>
    </row>
    <row r="147" spans="1:4" ht="75">
      <c r="A147" s="4"/>
      <c r="B147" s="180" t="s">
        <v>268</v>
      </c>
      <c r="C147" s="180" t="s">
        <v>269</v>
      </c>
      <c r="D147" s="180" t="s">
        <v>262</v>
      </c>
    </row>
    <row r="148" spans="1:4">
      <c r="A148" s="181">
        <v>2015</v>
      </c>
      <c r="B148" s="4">
        <v>22</v>
      </c>
      <c r="C148" s="4">
        <v>27</v>
      </c>
      <c r="D148" s="4">
        <v>12</v>
      </c>
    </row>
    <row r="149" spans="1:4">
      <c r="A149" s="181" t="s">
        <v>263</v>
      </c>
      <c r="B149" s="4">
        <v>22</v>
      </c>
      <c r="C149" s="4">
        <v>27</v>
      </c>
      <c r="D149" s="4">
        <v>12</v>
      </c>
    </row>
    <row r="150" spans="1:4">
      <c r="A150" s="181" t="s">
        <v>264</v>
      </c>
      <c r="B150" s="4">
        <v>26</v>
      </c>
      <c r="C150" s="4">
        <v>27</v>
      </c>
      <c r="D150" s="4">
        <v>8</v>
      </c>
    </row>
  </sheetData>
  <mergeCells count="47">
    <mergeCell ref="J36:J37"/>
    <mergeCell ref="AJ12:AK12"/>
    <mergeCell ref="B7:E7"/>
    <mergeCell ref="J34:J35"/>
    <mergeCell ref="A1:C2"/>
    <mergeCell ref="D1:J2"/>
    <mergeCell ref="A4:J4"/>
    <mergeCell ref="A28:J28"/>
    <mergeCell ref="N112:N113"/>
    <mergeCell ref="A113:B113"/>
    <mergeCell ref="P112:Q113"/>
    <mergeCell ref="X112:Y112"/>
    <mergeCell ref="A63:A69"/>
    <mergeCell ref="M63:N69"/>
    <mergeCell ref="AB40:AB42"/>
    <mergeCell ref="AB44:AB46"/>
    <mergeCell ref="AK56:AK62"/>
    <mergeCell ref="AK64:AK70"/>
    <mergeCell ref="A72:J72"/>
    <mergeCell ref="Q40:Q42"/>
    <mergeCell ref="Q44:Q46"/>
    <mergeCell ref="A40:A46"/>
    <mergeCell ref="M40:N46"/>
    <mergeCell ref="A47:A53"/>
    <mergeCell ref="M47:N53"/>
    <mergeCell ref="A56:A62"/>
    <mergeCell ref="M56:N62"/>
    <mergeCell ref="X129:Y129"/>
    <mergeCell ref="P114:Q114"/>
    <mergeCell ref="P115:Q115"/>
    <mergeCell ref="P116:Q116"/>
    <mergeCell ref="P117:Q117"/>
    <mergeCell ref="P118:Q118"/>
    <mergeCell ref="P119:Q119"/>
    <mergeCell ref="P120:Q120"/>
    <mergeCell ref="P121:Q121"/>
    <mergeCell ref="N129:N130"/>
    <mergeCell ref="A130:B130"/>
    <mergeCell ref="P129:Q130"/>
    <mergeCell ref="P137:Q137"/>
    <mergeCell ref="P138:Q138"/>
    <mergeCell ref="P131:Q131"/>
    <mergeCell ref="P132:Q132"/>
    <mergeCell ref="P133:Q133"/>
    <mergeCell ref="P134:Q134"/>
    <mergeCell ref="P135:Q135"/>
    <mergeCell ref="P136:Q136"/>
  </mergeCells>
  <pageMargins left="0.7" right="0.7" top="0.75" bottom="0.75" header="0.3" footer="0.3"/>
  <ignoredErrors>
    <ignoredError sqref="F15:F17 F22:F24 D41 D43:D45 C44 E44 G44:I44 K44 C51 G51:H51 C67 H67" formula="1"/>
    <ignoredError sqref="AD63 AI63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3"/>
  <sheetViews>
    <sheetView topLeftCell="A110" zoomScale="130" zoomScaleNormal="130" workbookViewId="0">
      <selection activeCell="F94" sqref="F94"/>
    </sheetView>
  </sheetViews>
  <sheetFormatPr baseColWidth="10" defaultRowHeight="15"/>
  <cols>
    <col min="1" max="1" width="30" customWidth="1"/>
    <col min="2" max="3" width="15.85546875" customWidth="1"/>
    <col min="4" max="4" width="14" customWidth="1"/>
    <col min="5" max="5" width="13.140625" bestFit="1" customWidth="1"/>
    <col min="6" max="6" width="12.140625" bestFit="1" customWidth="1"/>
  </cols>
  <sheetData>
    <row r="1" spans="1:13">
      <c r="A1" s="416" t="s">
        <v>0</v>
      </c>
      <c r="B1" s="416"/>
      <c r="C1" s="416"/>
      <c r="D1" s="332" t="s">
        <v>2</v>
      </c>
      <c r="E1" s="332"/>
      <c r="F1" s="332"/>
      <c r="G1" s="332"/>
      <c r="H1" s="332"/>
      <c r="I1" s="332"/>
      <c r="J1" s="332"/>
    </row>
    <row r="2" spans="1:13">
      <c r="A2" s="416"/>
      <c r="B2" s="416"/>
      <c r="C2" s="416"/>
      <c r="D2" s="332"/>
      <c r="E2" s="332"/>
      <c r="F2" s="332"/>
      <c r="G2" s="332"/>
      <c r="H2" s="332"/>
      <c r="I2" s="332"/>
      <c r="J2" s="332"/>
    </row>
    <row r="4" spans="1:13" ht="26.25">
      <c r="A4" s="348" t="s">
        <v>165</v>
      </c>
      <c r="B4" s="348"/>
      <c r="C4" s="348"/>
      <c r="D4" s="348"/>
      <c r="E4" s="348"/>
      <c r="F4" s="348"/>
      <c r="G4" s="348"/>
      <c r="H4" s="348"/>
      <c r="I4" s="348"/>
      <c r="J4" s="348"/>
    </row>
    <row r="7" spans="1:13">
      <c r="A7" s="4" t="s">
        <v>50</v>
      </c>
      <c r="B7" s="62">
        <v>2020</v>
      </c>
      <c r="C7" s="62">
        <v>2025</v>
      </c>
      <c r="D7" s="62">
        <v>2030</v>
      </c>
      <c r="E7" s="62">
        <v>2035</v>
      </c>
      <c r="F7" s="62">
        <v>2040</v>
      </c>
      <c r="G7" s="62">
        <v>2045</v>
      </c>
      <c r="H7" s="62">
        <v>2050</v>
      </c>
      <c r="J7" t="s">
        <v>166</v>
      </c>
      <c r="L7" s="415" t="s">
        <v>351</v>
      </c>
      <c r="M7" s="415"/>
    </row>
    <row r="8" spans="1:13">
      <c r="A8" s="75" t="s">
        <v>167</v>
      </c>
      <c r="B8" s="76">
        <v>2.0390098754221402E-3</v>
      </c>
      <c r="C8" s="76">
        <v>2.2177719452343148E-4</v>
      </c>
      <c r="D8" s="76">
        <v>1.5614029998498591E-3</v>
      </c>
      <c r="E8" s="76">
        <v>2.4092508150153069E-3</v>
      </c>
      <c r="F8" s="76">
        <v>-9.3311937365436748E-4</v>
      </c>
      <c r="G8" s="76">
        <v>-7.394898284844853E-4</v>
      </c>
      <c r="H8" s="76">
        <v>-2.1100066202016654E-3</v>
      </c>
      <c r="L8" s="415"/>
      <c r="M8" s="415"/>
    </row>
    <row r="9" spans="1:13">
      <c r="A9" s="4" t="s">
        <v>168</v>
      </c>
      <c r="B9" s="63"/>
      <c r="C9" s="63">
        <v>1.0002217771945234</v>
      </c>
      <c r="D9" s="63">
        <v>1.0015614029998499</v>
      </c>
      <c r="E9" s="63">
        <v>1.0024092508150153</v>
      </c>
      <c r="F9" s="63">
        <v>0.99906688062634563</v>
      </c>
      <c r="G9" s="63">
        <v>0.99926051017151551</v>
      </c>
      <c r="H9" s="63">
        <v>0.99788999337979833</v>
      </c>
      <c r="L9" s="415"/>
      <c r="M9" s="415"/>
    </row>
    <row r="10" spans="1:13">
      <c r="F10" s="213"/>
      <c r="G10" s="213"/>
      <c r="H10" s="213"/>
      <c r="I10" s="213"/>
      <c r="L10" s="214"/>
      <c r="M10" s="214"/>
    </row>
    <row r="11" spans="1:13">
      <c r="B11" s="28">
        <v>2020</v>
      </c>
      <c r="C11" s="28">
        <v>2030</v>
      </c>
      <c r="D11" s="28">
        <v>2040</v>
      </c>
      <c r="E11" s="28">
        <v>2050</v>
      </c>
    </row>
    <row r="12" spans="1:13">
      <c r="A12" s="62" t="s">
        <v>354</v>
      </c>
      <c r="B12" s="215">
        <v>21809817.269189551</v>
      </c>
      <c r="C12" s="215">
        <v>22005004.203556482</v>
      </c>
      <c r="D12" s="215">
        <v>22167646.973946128</v>
      </c>
      <c r="E12" s="215">
        <v>21853779.608409245</v>
      </c>
      <c r="I12" s="64"/>
    </row>
    <row r="14" spans="1:13" ht="18">
      <c r="A14" s="15" t="s">
        <v>91</v>
      </c>
    </row>
    <row r="15" spans="1:13">
      <c r="A15" s="65" t="s">
        <v>176</v>
      </c>
      <c r="B15" t="s">
        <v>353</v>
      </c>
      <c r="E15" s="20">
        <v>0.03</v>
      </c>
      <c r="F15" s="69"/>
    </row>
    <row r="16" spans="1:13">
      <c r="A16" s="66" t="s">
        <v>445</v>
      </c>
      <c r="B16" s="67">
        <v>2020</v>
      </c>
      <c r="C16" s="67">
        <v>2030</v>
      </c>
      <c r="D16" s="67">
        <v>2040</v>
      </c>
      <c r="E16" s="67">
        <v>2050</v>
      </c>
      <c r="J16" s="219"/>
      <c r="K16" s="219"/>
    </row>
    <row r="17" spans="1:11">
      <c r="A17" s="79" t="s">
        <v>169</v>
      </c>
      <c r="B17" s="68">
        <v>0.46867889045604133</v>
      </c>
      <c r="C17" s="68">
        <v>0.46267889045604133</v>
      </c>
      <c r="D17" s="68">
        <v>0.45667889045604132</v>
      </c>
      <c r="E17" s="68">
        <v>0.45067889045604131</v>
      </c>
      <c r="F17" s="69" t="s">
        <v>448</v>
      </c>
      <c r="J17" s="219"/>
      <c r="K17" s="219"/>
    </row>
    <row r="18" spans="1:11">
      <c r="A18" s="79" t="s">
        <v>170</v>
      </c>
      <c r="B18" s="68">
        <v>4.5369064409967089E-2</v>
      </c>
      <c r="C18" s="68">
        <v>4.5369064409967089E-2</v>
      </c>
      <c r="D18" s="68">
        <v>4.5369064409967089E-2</v>
      </c>
      <c r="E18" s="68">
        <v>4.5369064409967089E-2</v>
      </c>
      <c r="F18" s="69"/>
      <c r="J18" s="219"/>
      <c r="K18" s="219"/>
    </row>
    <row r="19" spans="1:11">
      <c r="A19" s="79" t="s">
        <v>171</v>
      </c>
      <c r="B19" s="68">
        <v>0.14978843441466855</v>
      </c>
      <c r="C19" s="68">
        <v>0.14778843441466855</v>
      </c>
      <c r="D19" s="68">
        <v>0.14578843441466854</v>
      </c>
      <c r="E19" s="68">
        <v>0.14378843441466854</v>
      </c>
      <c r="F19" s="69" t="s">
        <v>447</v>
      </c>
    </row>
    <row r="20" spans="1:11">
      <c r="A20" s="79" t="s">
        <v>172</v>
      </c>
      <c r="B20" s="68">
        <v>8.6224729666196515E-2</v>
      </c>
      <c r="C20" s="68">
        <v>8.4224729666196513E-2</v>
      </c>
      <c r="D20" s="68">
        <v>8.2224729666196511E-2</v>
      </c>
      <c r="E20" s="68">
        <v>8.0224729666196509E-2</v>
      </c>
      <c r="F20" s="69" t="s">
        <v>447</v>
      </c>
    </row>
    <row r="21" spans="1:11">
      <c r="A21" s="79" t="s">
        <v>173</v>
      </c>
      <c r="B21" s="68">
        <v>0.17157968970380819</v>
      </c>
      <c r="C21" s="68">
        <v>0.18157968970380819</v>
      </c>
      <c r="D21" s="68">
        <v>0.1915796897038082</v>
      </c>
      <c r="E21" s="68">
        <v>0.20157968970380818</v>
      </c>
      <c r="F21" s="69" t="s">
        <v>446</v>
      </c>
    </row>
    <row r="22" spans="1:11">
      <c r="A22" s="79" t="s">
        <v>174</v>
      </c>
      <c r="B22" s="68">
        <v>1.2035731076633756E-2</v>
      </c>
      <c r="C22" s="68">
        <v>1.2035731076633756E-2</v>
      </c>
      <c r="D22" s="68">
        <v>1.2035731076633756E-2</v>
      </c>
      <c r="E22" s="68">
        <v>1.2035731076633756E-2</v>
      </c>
      <c r="F22" s="69"/>
      <c r="I22" s="72"/>
    </row>
    <row r="23" spans="1:11">
      <c r="A23" s="79" t="s">
        <v>175</v>
      </c>
      <c r="B23" s="68">
        <v>6.6337564645039968E-2</v>
      </c>
      <c r="C23" s="68">
        <v>6.6337564645039968E-2</v>
      </c>
      <c r="D23" s="68">
        <v>6.6337564645039968E-2</v>
      </c>
      <c r="E23" s="68">
        <v>6.6337564645039968E-2</v>
      </c>
      <c r="I23" s="72"/>
    </row>
    <row r="24" spans="1:11">
      <c r="A24" s="79"/>
      <c r="B24" s="68">
        <v>1.0000141043723554</v>
      </c>
      <c r="C24" s="68">
        <v>1.0000141043723554</v>
      </c>
      <c r="D24" s="68">
        <v>1.0000141043723554</v>
      </c>
      <c r="E24" s="68">
        <v>1.0000141043723554</v>
      </c>
    </row>
    <row r="25" spans="1:11">
      <c r="A25" s="77"/>
      <c r="B25" s="70"/>
      <c r="C25" s="71"/>
      <c r="F25" s="67"/>
    </row>
    <row r="26" spans="1:11">
      <c r="A26" s="65" t="s">
        <v>177</v>
      </c>
      <c r="B26" s="28">
        <v>2020</v>
      </c>
      <c r="C26" s="28">
        <v>2030</v>
      </c>
      <c r="D26" s="28">
        <v>2040</v>
      </c>
      <c r="E26" s="28">
        <v>2050</v>
      </c>
    </row>
    <row r="27" spans="1:11">
      <c r="A27" s="79" t="s">
        <v>169</v>
      </c>
      <c r="B27" s="73">
        <v>10221800.958772769</v>
      </c>
      <c r="C27" s="73">
        <v>10181250.929382039</v>
      </c>
      <c r="D27" s="73">
        <v>10123496.42408294</v>
      </c>
      <c r="E27" s="73">
        <v>9849037.1461887397</v>
      </c>
    </row>
    <row r="28" spans="1:11">
      <c r="A28" s="79" t="s">
        <v>170</v>
      </c>
      <c r="B28" s="73">
        <v>989491.00445547327</v>
      </c>
      <c r="C28" s="73">
        <v>998346.45305275056</v>
      </c>
      <c r="D28" s="73">
        <v>1005725.4033783739</v>
      </c>
      <c r="E28" s="73">
        <v>991485.53465514432</v>
      </c>
    </row>
    <row r="29" spans="1:11">
      <c r="A29" s="79" t="s">
        <v>171</v>
      </c>
      <c r="B29" s="73">
        <v>3266858.3836219045</v>
      </c>
      <c r="C29" s="73">
        <v>3252085.1205318128</v>
      </c>
      <c r="D29" s="73">
        <v>3231786.5469886707</v>
      </c>
      <c r="E29" s="73">
        <v>3142320.7559363735</v>
      </c>
    </row>
    <row r="30" spans="1:11">
      <c r="A30" s="79" t="s">
        <v>172</v>
      </c>
      <c r="B30" s="73">
        <v>1880545.5981050134</v>
      </c>
      <c r="C30" s="73">
        <v>1853365.5303480625</v>
      </c>
      <c r="D30" s="73">
        <v>1822728.7797683994</v>
      </c>
      <c r="E30" s="73">
        <v>1753213.5612692696</v>
      </c>
    </row>
    <row r="31" spans="1:11">
      <c r="A31" s="79" t="s">
        <v>173</v>
      </c>
      <c r="B31" s="73">
        <v>3742121.6795443003</v>
      </c>
      <c r="C31" s="73">
        <v>3995661.8352127811</v>
      </c>
      <c r="D31" s="73">
        <v>4246870.9287321623</v>
      </c>
      <c r="E31" s="73">
        <v>4405278.1123185465</v>
      </c>
    </row>
    <row r="32" spans="1:11">
      <c r="A32" s="79" t="s">
        <v>174</v>
      </c>
      <c r="B32" s="73">
        <v>262497.09548248822</v>
      </c>
      <c r="C32" s="73">
        <v>264846.31293420115</v>
      </c>
      <c r="D32" s="73">
        <v>266803.83758016967</v>
      </c>
      <c r="E32" s="73">
        <v>263026.21437483624</v>
      </c>
      <c r="G32" s="74"/>
    </row>
    <row r="33" spans="1:11">
      <c r="A33" s="79" t="s">
        <v>175</v>
      </c>
      <c r="B33" s="73">
        <v>1446810.162991371</v>
      </c>
      <c r="C33" s="73">
        <v>1459758.3888678043</v>
      </c>
      <c r="D33" s="73">
        <v>1470547.7141625758</v>
      </c>
      <c r="E33" s="73">
        <v>1449726.5175113045</v>
      </c>
    </row>
    <row r="34" spans="1:11">
      <c r="A34" s="218" t="s">
        <v>180</v>
      </c>
      <c r="B34" s="73">
        <v>21810124.882973321</v>
      </c>
      <c r="C34" s="73">
        <v>22005314.57032945</v>
      </c>
      <c r="D34" s="73">
        <v>22167959.634693295</v>
      </c>
      <c r="E34" s="73">
        <v>21854087.842254214</v>
      </c>
    </row>
    <row r="36" spans="1:11" ht="26.25">
      <c r="A36" s="348" t="s">
        <v>178</v>
      </c>
      <c r="B36" s="348"/>
      <c r="C36" s="348"/>
      <c r="D36" s="348"/>
      <c r="E36" s="348"/>
      <c r="F36" s="348"/>
      <c r="G36" s="348"/>
      <c r="H36" s="348"/>
      <c r="I36" s="348"/>
      <c r="J36" s="348"/>
    </row>
    <row r="38" spans="1:11" ht="18">
      <c r="A38" s="15" t="s">
        <v>94</v>
      </c>
    </row>
    <row r="39" spans="1:11">
      <c r="A39" s="80"/>
      <c r="B39" s="81" t="s">
        <v>355</v>
      </c>
    </row>
    <row r="40" spans="1:11">
      <c r="A40" s="78" t="s">
        <v>169</v>
      </c>
      <c r="B40" s="73">
        <v>28.10989895479474</v>
      </c>
    </row>
    <row r="41" spans="1:11">
      <c r="A41" s="78" t="s">
        <v>170</v>
      </c>
      <c r="B41" s="73">
        <v>67.958040156246341</v>
      </c>
    </row>
    <row r="42" spans="1:11">
      <c r="A42" s="78" t="s">
        <v>171</v>
      </c>
      <c r="B42" s="73">
        <v>56.393520494026554</v>
      </c>
    </row>
    <row r="43" spans="1:11">
      <c r="A43" s="78" t="s">
        <v>172</v>
      </c>
      <c r="B43" s="73">
        <v>88.86075973760876</v>
      </c>
    </row>
    <row r="44" spans="1:11">
      <c r="A44" s="78" t="s">
        <v>173</v>
      </c>
      <c r="B44" s="73">
        <v>47.887328017192445</v>
      </c>
    </row>
    <row r="45" spans="1:11">
      <c r="A45" s="78" t="s">
        <v>174</v>
      </c>
      <c r="B45" s="73">
        <v>215.27260679829701</v>
      </c>
    </row>
    <row r="46" spans="1:11">
      <c r="A46" s="78" t="s">
        <v>175</v>
      </c>
      <c r="B46" s="73">
        <v>28.901237553512988</v>
      </c>
    </row>
    <row r="48" spans="1:11" ht="18">
      <c r="A48" s="15" t="s">
        <v>6</v>
      </c>
      <c r="I48" s="2"/>
      <c r="J48" s="2"/>
      <c r="K48" s="2"/>
    </row>
    <row r="49" spans="1:11" ht="30">
      <c r="A49" s="4" t="s">
        <v>358</v>
      </c>
      <c r="B49" s="199" t="s">
        <v>365</v>
      </c>
      <c r="C49" s="411" t="s">
        <v>179</v>
      </c>
      <c r="D49" s="412"/>
      <c r="E49" s="412"/>
      <c r="H49" s="81" t="s">
        <v>355</v>
      </c>
      <c r="I49" s="28">
        <v>2030</v>
      </c>
      <c r="J49" s="28">
        <v>2040</v>
      </c>
      <c r="K49" s="28">
        <v>2050</v>
      </c>
    </row>
    <row r="50" spans="1:11">
      <c r="A50" s="82" t="s">
        <v>352</v>
      </c>
      <c r="B50" s="4">
        <v>0.995</v>
      </c>
      <c r="C50" s="413" t="s">
        <v>357</v>
      </c>
      <c r="D50" s="413"/>
      <c r="E50" s="413"/>
      <c r="G50" s="216" t="s">
        <v>169</v>
      </c>
      <c r="H50" s="217"/>
      <c r="I50" s="220">
        <v>24.942250135036041</v>
      </c>
      <c r="J50" s="220">
        <v>23.722826780044048</v>
      </c>
      <c r="K50" s="220">
        <v>22.563020873784605</v>
      </c>
    </row>
    <row r="52" spans="1:11" ht="18">
      <c r="A52" s="15" t="s">
        <v>19</v>
      </c>
    </row>
    <row r="53" spans="1:11" ht="30">
      <c r="A53" s="4" t="s">
        <v>358</v>
      </c>
      <c r="B53" s="199" t="s">
        <v>365</v>
      </c>
      <c r="C53" s="411" t="s">
        <v>179</v>
      </c>
      <c r="D53" s="412"/>
      <c r="E53" s="412"/>
      <c r="H53" s="81" t="s">
        <v>355</v>
      </c>
      <c r="I53" s="28">
        <v>2030</v>
      </c>
      <c r="J53" s="28">
        <v>2040</v>
      </c>
      <c r="K53" s="28">
        <v>2050</v>
      </c>
    </row>
    <row r="54" spans="1:11">
      <c r="A54" s="82" t="s">
        <v>352</v>
      </c>
      <c r="B54" s="83">
        <v>0.99</v>
      </c>
      <c r="C54" s="413" t="s">
        <v>356</v>
      </c>
      <c r="D54" s="413"/>
      <c r="E54" s="413"/>
      <c r="G54" s="216" t="s">
        <v>169</v>
      </c>
      <c r="H54" s="217"/>
      <c r="I54" s="220">
        <v>23.716836999166318</v>
      </c>
      <c r="J54" s="220">
        <v>21.44908225795162</v>
      </c>
      <c r="K54" s="220">
        <v>19.398165519480816</v>
      </c>
    </row>
    <row r="57" spans="1:11" ht="26.25">
      <c r="A57" s="348" t="s">
        <v>364</v>
      </c>
      <c r="B57" s="348"/>
      <c r="C57" s="348"/>
      <c r="D57" s="348"/>
      <c r="E57" s="348"/>
      <c r="F57" s="348"/>
      <c r="G57" s="348"/>
      <c r="H57" s="348"/>
      <c r="I57" s="348"/>
      <c r="J57" s="348"/>
    </row>
    <row r="59" spans="1:11" ht="18">
      <c r="A59" s="86" t="s">
        <v>6</v>
      </c>
    </row>
    <row r="60" spans="1:11">
      <c r="B60" s="28">
        <v>2020</v>
      </c>
      <c r="C60" s="28">
        <v>2030</v>
      </c>
      <c r="D60" s="28">
        <v>2040</v>
      </c>
      <c r="E60" s="28">
        <v>2050</v>
      </c>
    </row>
    <row r="61" spans="1:11">
      <c r="A61" s="85" t="s">
        <v>169</v>
      </c>
      <c r="B61" s="221">
        <v>287333.79208712658</v>
      </c>
      <c r="C61" s="87">
        <v>272201.95072162757</v>
      </c>
      <c r="D61" s="87">
        <v>257425.42189489363</v>
      </c>
      <c r="E61" s="87">
        <v>238202.04314518778</v>
      </c>
    </row>
    <row r="62" spans="1:11">
      <c r="A62" s="85" t="s">
        <v>170</v>
      </c>
      <c r="B62" s="221">
        <v>67243.869415029592</v>
      </c>
      <c r="C62" s="87">
        <v>67845.668346404927</v>
      </c>
      <c r="D62" s="87">
        <v>68347.127348944588</v>
      </c>
      <c r="E62" s="87">
        <v>67379.41377843167</v>
      </c>
    </row>
    <row r="63" spans="1:11">
      <c r="A63" s="85" t="s">
        <v>171</v>
      </c>
      <c r="B63" s="221">
        <v>184229.64520786435</v>
      </c>
      <c r="C63" s="87">
        <v>183396.52889302961</v>
      </c>
      <c r="D63" s="87">
        <v>182251.82086992491</v>
      </c>
      <c r="E63" s="87">
        <v>177206.5299487029</v>
      </c>
    </row>
    <row r="64" spans="1:11">
      <c r="A64" s="85" t="s">
        <v>172</v>
      </c>
      <c r="B64" s="221">
        <v>167106.71056882737</v>
      </c>
      <c r="C64" s="87">
        <v>164691.46909822503</v>
      </c>
      <c r="D64" s="87">
        <v>161969.06416582453</v>
      </c>
      <c r="E64" s="87">
        <v>155791.88903666596</v>
      </c>
    </row>
    <row r="65" spans="1:5">
      <c r="A65" s="85" t="s">
        <v>173</v>
      </c>
      <c r="B65" s="221">
        <v>179200.208348585</v>
      </c>
      <c r="C65" s="87">
        <v>191341.56894861159</v>
      </c>
      <c r="D65" s="87">
        <v>203371.30121087577</v>
      </c>
      <c r="E65" s="87">
        <v>210956.99797155659</v>
      </c>
    </row>
    <row r="66" spans="1:5">
      <c r="A66" s="85" t="s">
        <v>174</v>
      </c>
      <c r="B66" s="221">
        <v>56508.434021496716</v>
      </c>
      <c r="C66" s="87">
        <v>57014.156186263011</v>
      </c>
      <c r="D66" s="87">
        <v>57435.55761967256</v>
      </c>
      <c r="E66" s="87">
        <v>56622.338824758699</v>
      </c>
    </row>
    <row r="67" spans="1:5">
      <c r="A67" s="85" t="s">
        <v>175</v>
      </c>
      <c r="B67" s="221">
        <v>41814.604215450461</v>
      </c>
      <c r="C67" s="87">
        <v>42188.823967401804</v>
      </c>
      <c r="D67" s="87">
        <v>42500.648820788112</v>
      </c>
      <c r="E67" s="87">
        <v>41898.890470221319</v>
      </c>
    </row>
    <row r="68" spans="1:5">
      <c r="A68" s="84" t="s">
        <v>180</v>
      </c>
      <c r="B68" s="264">
        <v>983437.26386437996</v>
      </c>
      <c r="C68" s="265">
        <v>978680.16616156348</v>
      </c>
      <c r="D68" s="265">
        <v>973300.94193092408</v>
      </c>
      <c r="E68" s="265">
        <v>948058.10317552486</v>
      </c>
    </row>
    <row r="70" spans="1:5" ht="18">
      <c r="A70" s="86" t="s">
        <v>19</v>
      </c>
    </row>
    <row r="71" spans="1:5">
      <c r="B71" s="28">
        <v>2020</v>
      </c>
      <c r="C71" s="28">
        <v>2030</v>
      </c>
      <c r="D71" s="28">
        <v>2040</v>
      </c>
      <c r="E71" s="28">
        <v>2050</v>
      </c>
    </row>
    <row r="72" spans="1:5">
      <c r="A72" s="85" t="s">
        <v>169</v>
      </c>
      <c r="B72" s="221">
        <v>287333.79208712658</v>
      </c>
      <c r="C72" s="221">
        <v>258828.66466211932</v>
      </c>
      <c r="D72" s="221">
        <v>232752.15473715233</v>
      </c>
      <c r="E72" s="221">
        <v>204790.07158910698</v>
      </c>
    </row>
    <row r="73" spans="1:5">
      <c r="A73" s="85" t="s">
        <v>170</v>
      </c>
      <c r="B73" s="221">
        <v>67243.869415029592</v>
      </c>
      <c r="C73" s="221">
        <v>67845.668346404927</v>
      </c>
      <c r="D73" s="221">
        <v>68347.127348944588</v>
      </c>
      <c r="E73" s="221">
        <v>67379.41377843167</v>
      </c>
    </row>
    <row r="74" spans="1:5">
      <c r="A74" s="85" t="s">
        <v>171</v>
      </c>
      <c r="B74" s="221">
        <v>184229.64520786435</v>
      </c>
      <c r="C74" s="221">
        <v>183396.52889302961</v>
      </c>
      <c r="D74" s="221">
        <v>182251.82086992491</v>
      </c>
      <c r="E74" s="221">
        <v>177206.5299487029</v>
      </c>
    </row>
    <row r="75" spans="1:5">
      <c r="A75" s="85" t="s">
        <v>172</v>
      </c>
      <c r="B75" s="221">
        <v>167106.71056882737</v>
      </c>
      <c r="C75" s="221">
        <v>164691.46909822503</v>
      </c>
      <c r="D75" s="221">
        <v>161969.06416582453</v>
      </c>
      <c r="E75" s="221">
        <v>155791.88903666596</v>
      </c>
    </row>
    <row r="76" spans="1:5">
      <c r="A76" s="85" t="s">
        <v>173</v>
      </c>
      <c r="B76" s="221">
        <v>179200.208348585</v>
      </c>
      <c r="C76" s="221">
        <v>191341.56894861159</v>
      </c>
      <c r="D76" s="221">
        <v>203371.30121087577</v>
      </c>
      <c r="E76" s="221">
        <v>210956.99797155659</v>
      </c>
    </row>
    <row r="77" spans="1:5">
      <c r="A77" s="85" t="s">
        <v>174</v>
      </c>
      <c r="B77" s="221">
        <v>56508.434021496716</v>
      </c>
      <c r="C77" s="221">
        <v>57014.156186263011</v>
      </c>
      <c r="D77" s="221">
        <v>57435.55761967256</v>
      </c>
      <c r="E77" s="221">
        <v>56622.338824758699</v>
      </c>
    </row>
    <row r="78" spans="1:5">
      <c r="A78" s="85" t="s">
        <v>175</v>
      </c>
      <c r="B78" s="221">
        <v>41814.604215450461</v>
      </c>
      <c r="C78" s="221">
        <v>42188.823967401804</v>
      </c>
      <c r="D78" s="221">
        <v>42500.648820788112</v>
      </c>
      <c r="E78" s="221">
        <v>41898.890470221319</v>
      </c>
    </row>
    <row r="79" spans="1:5">
      <c r="A79" s="84" t="s">
        <v>180</v>
      </c>
      <c r="B79" s="263">
        <v>983437.26386437996</v>
      </c>
      <c r="C79" s="263">
        <v>965306.88010205526</v>
      </c>
      <c r="D79" s="263">
        <v>948627.67477318272</v>
      </c>
      <c r="E79" s="263">
        <v>914646.13161944412</v>
      </c>
    </row>
    <row r="83" spans="1:10" ht="26.25">
      <c r="A83" s="348" t="s">
        <v>366</v>
      </c>
      <c r="B83" s="348"/>
      <c r="C83" s="348"/>
      <c r="D83" s="348"/>
      <c r="E83" s="348"/>
      <c r="F83" s="348"/>
      <c r="G83" s="348"/>
      <c r="H83" s="348"/>
      <c r="I83" s="348"/>
      <c r="J83" s="348"/>
    </row>
    <row r="85" spans="1:10" ht="27.6" customHeight="1">
      <c r="A85" s="233" t="s">
        <v>367</v>
      </c>
      <c r="B85" s="414" t="s">
        <v>370</v>
      </c>
      <c r="C85" s="414"/>
      <c r="D85" s="414"/>
    </row>
    <row r="87" spans="1:10" ht="18">
      <c r="A87" s="15" t="s">
        <v>91</v>
      </c>
    </row>
    <row r="88" spans="1:10">
      <c r="B88" s="28" t="s">
        <v>28</v>
      </c>
      <c r="C88" s="28" t="s">
        <v>29</v>
      </c>
      <c r="D88" s="28" t="s">
        <v>30</v>
      </c>
    </row>
    <row r="89" spans="1:10">
      <c r="A89" s="4" t="s">
        <v>169</v>
      </c>
      <c r="B89" s="230">
        <v>2.16E-3</v>
      </c>
      <c r="C89" s="230">
        <v>2.16E-3</v>
      </c>
      <c r="D89" s="230">
        <v>2.16E-3</v>
      </c>
    </row>
    <row r="90" spans="1:10">
      <c r="A90" s="4" t="s">
        <v>170</v>
      </c>
      <c r="B90" s="230">
        <v>2.8800000000000002E-3</v>
      </c>
      <c r="C90" s="230">
        <v>2.8800000000000002E-3</v>
      </c>
      <c r="D90" s="230">
        <v>2.8800000000000002E-3</v>
      </c>
    </row>
    <row r="91" spans="1:10">
      <c r="A91" s="4" t="s">
        <v>171</v>
      </c>
      <c r="B91" s="230">
        <v>4.64E-3</v>
      </c>
      <c r="C91" s="230">
        <v>4.64E-3</v>
      </c>
      <c r="D91" s="230">
        <v>4.64E-3</v>
      </c>
    </row>
    <row r="92" spans="1:10">
      <c r="A92" s="4" t="s">
        <v>172</v>
      </c>
      <c r="B92" s="230">
        <v>2.0122074695686078E-3</v>
      </c>
      <c r="C92" s="230">
        <v>2.0122074695686078E-3</v>
      </c>
      <c r="D92" s="230">
        <v>2.0122074695686078E-3</v>
      </c>
    </row>
    <row r="93" spans="1:10">
      <c r="A93" s="4" t="s">
        <v>312</v>
      </c>
      <c r="B93" s="230">
        <v>2.0122074695686078E-3</v>
      </c>
      <c r="C93" s="230">
        <v>2.0122074695686078E-3</v>
      </c>
      <c r="D93" s="230">
        <v>2.0122074695686078E-3</v>
      </c>
    </row>
    <row r="94" spans="1:10">
      <c r="A94" s="4" t="s">
        <v>174</v>
      </c>
      <c r="B94" s="230">
        <v>2.0122074695686078E-3</v>
      </c>
      <c r="C94" s="230">
        <v>2.0122074695686078E-3</v>
      </c>
      <c r="D94" s="230">
        <v>2.0122074695686078E-3</v>
      </c>
    </row>
    <row r="95" spans="1:10">
      <c r="A95" s="4" t="s">
        <v>175</v>
      </c>
      <c r="B95" s="230">
        <v>2.5999999999999999E-3</v>
      </c>
      <c r="C95" s="230">
        <v>2.5999999999999999E-3</v>
      </c>
      <c r="D95" s="230">
        <v>2.5999999999999999E-3</v>
      </c>
    </row>
    <row r="98" spans="1:4" ht="53.1" customHeight="1">
      <c r="A98" s="232" t="s">
        <v>368</v>
      </c>
      <c r="B98" s="414" t="s">
        <v>369</v>
      </c>
      <c r="C98" s="414"/>
      <c r="D98" s="414"/>
    </row>
    <row r="100" spans="1:4" ht="18">
      <c r="A100" s="15" t="s">
        <v>6</v>
      </c>
    </row>
    <row r="101" spans="1:4">
      <c r="B101" s="28">
        <v>2030</v>
      </c>
      <c r="C101" s="28">
        <v>2040</v>
      </c>
      <c r="D101" s="28">
        <v>2050</v>
      </c>
    </row>
    <row r="102" spans="1:4">
      <c r="A102" t="s">
        <v>169</v>
      </c>
      <c r="B102" s="226">
        <v>6206.4099090819345</v>
      </c>
      <c r="C102" s="226">
        <v>5879.5621355871563</v>
      </c>
      <c r="D102" s="226">
        <v>5560.3891129297026</v>
      </c>
    </row>
    <row r="103" spans="1:4">
      <c r="A103" s="231" t="s">
        <v>170</v>
      </c>
      <c r="B103" s="226">
        <v>2538.4223705281875</v>
      </c>
      <c r="C103" s="226">
        <v>2455.4142509161229</v>
      </c>
      <c r="D103" s="226">
        <v>1968.3972676496044</v>
      </c>
    </row>
    <row r="104" spans="1:4">
      <c r="A104" s="231" t="s">
        <v>171</v>
      </c>
      <c r="B104" s="226">
        <v>8548.2555376449054</v>
      </c>
      <c r="C104" s="226">
        <v>8509.5989406365734</v>
      </c>
      <c r="D104" s="226">
        <v>8456.4844883645164</v>
      </c>
    </row>
    <row r="105" spans="1:4">
      <c r="A105" s="231" t="s">
        <v>172</v>
      </c>
      <c r="B105" s="226">
        <v>3362.5337122163387</v>
      </c>
      <c r="C105" s="226">
        <v>3313.9340429367594</v>
      </c>
      <c r="D105" s="226">
        <v>3259.1536075350923</v>
      </c>
    </row>
    <row r="106" spans="1:4">
      <c r="A106" s="231" t="s">
        <v>173</v>
      </c>
      <c r="B106" s="226">
        <v>16775.217201482246</v>
      </c>
      <c r="C106" s="226">
        <v>16977.546779760014</v>
      </c>
      <c r="D106" s="226">
        <v>12844.582647852752</v>
      </c>
    </row>
    <row r="107" spans="1:4">
      <c r="A107" s="231" t="s">
        <v>174</v>
      </c>
      <c r="B107" s="226">
        <v>1642.7890950831008</v>
      </c>
      <c r="C107" s="226">
        <v>1568.644542901045</v>
      </c>
      <c r="D107" s="226">
        <v>1155.7225806114329</v>
      </c>
    </row>
    <row r="108" spans="1:4">
      <c r="A108" s="231" t="s">
        <v>175</v>
      </c>
      <c r="B108" s="226">
        <v>1461.3994615530548</v>
      </c>
      <c r="C108" s="226">
        <v>1408.7342765387548</v>
      </c>
      <c r="D108" s="226">
        <v>1105.016869340491</v>
      </c>
    </row>
    <row r="110" spans="1:4" ht="18">
      <c r="A110" s="15" t="s">
        <v>19</v>
      </c>
    </row>
    <row r="111" spans="1:4">
      <c r="B111" s="28">
        <v>2030</v>
      </c>
      <c r="C111" s="28">
        <v>2040</v>
      </c>
      <c r="D111" s="28">
        <v>2050</v>
      </c>
    </row>
    <row r="112" spans="1:4">
      <c r="A112" t="s">
        <v>169</v>
      </c>
      <c r="B112" s="226">
        <v>6206.4099090819345</v>
      </c>
      <c r="C112" s="226">
        <v>5590.6991567017767</v>
      </c>
      <c r="D112" s="226">
        <v>5027.4465423224901</v>
      </c>
    </row>
    <row r="113" spans="1:10">
      <c r="A113" s="231" t="s">
        <v>170</v>
      </c>
      <c r="B113" s="226">
        <v>2538.4223705281875</v>
      </c>
      <c r="C113" s="226">
        <v>2455.4142509161229</v>
      </c>
      <c r="D113" s="226">
        <v>1968.3972676496044</v>
      </c>
    </row>
    <row r="114" spans="1:10">
      <c r="A114" s="231" t="s">
        <v>171</v>
      </c>
      <c r="B114" s="226">
        <v>8548.2555376449054</v>
      </c>
      <c r="C114" s="226">
        <v>8509.5989406365734</v>
      </c>
      <c r="D114" s="226">
        <v>8456.4844883645164</v>
      </c>
    </row>
    <row r="115" spans="1:10">
      <c r="A115" s="231" t="s">
        <v>172</v>
      </c>
      <c r="B115" s="226">
        <v>3362.5337122163387</v>
      </c>
      <c r="C115" s="226">
        <v>3313.9340429367594</v>
      </c>
      <c r="D115" s="226">
        <v>3259.1536075350923</v>
      </c>
    </row>
    <row r="116" spans="1:10">
      <c r="A116" s="231" t="s">
        <v>173</v>
      </c>
      <c r="B116" s="226">
        <v>16775.217201482246</v>
      </c>
      <c r="C116" s="226">
        <v>16977.546779760014</v>
      </c>
      <c r="D116" s="226">
        <v>12844.582647852752</v>
      </c>
    </row>
    <row r="117" spans="1:10">
      <c r="A117" s="231" t="s">
        <v>174</v>
      </c>
      <c r="B117" s="226">
        <v>1642.7890950831008</v>
      </c>
      <c r="C117" s="226">
        <v>1568.644542901045</v>
      </c>
      <c r="D117" s="226">
        <v>1155.7225806114329</v>
      </c>
    </row>
    <row r="118" spans="1:10">
      <c r="A118" s="231" t="s">
        <v>175</v>
      </c>
      <c r="B118" s="226">
        <v>1461.3994615530548</v>
      </c>
      <c r="C118" s="226">
        <v>1408.7342765387548</v>
      </c>
      <c r="D118" s="226">
        <v>1105.016869340491</v>
      </c>
    </row>
    <row r="120" spans="1:10" ht="26.25">
      <c r="A120" s="348" t="s">
        <v>363</v>
      </c>
      <c r="B120" s="348"/>
      <c r="C120" s="348"/>
      <c r="D120" s="348"/>
      <c r="E120" s="348"/>
      <c r="F120" s="348"/>
      <c r="G120" s="348"/>
      <c r="H120" s="348"/>
      <c r="I120" s="348"/>
      <c r="J120" s="348"/>
    </row>
    <row r="122" spans="1:10" ht="18">
      <c r="A122" s="15" t="s">
        <v>6</v>
      </c>
      <c r="B122" s="28">
        <v>2030</v>
      </c>
      <c r="C122" s="28">
        <v>2040</v>
      </c>
      <c r="D122" s="28">
        <v>2050</v>
      </c>
    </row>
    <row r="123" spans="1:10" ht="30">
      <c r="A123" s="227" t="s">
        <v>359</v>
      </c>
      <c r="B123" s="215">
        <v>1513.1841365499015</v>
      </c>
      <c r="C123" s="215">
        <v>1477.6528826733934</v>
      </c>
      <c r="D123" s="215">
        <v>1922.3378749705851</v>
      </c>
    </row>
    <row r="124" spans="1:10" ht="30">
      <c r="A124" s="227" t="s">
        <v>361</v>
      </c>
      <c r="B124" s="215">
        <v>378.29603413747537</v>
      </c>
      <c r="C124" s="215">
        <v>369.41322066834834</v>
      </c>
      <c r="D124" s="215">
        <v>480.58446874264627</v>
      </c>
    </row>
    <row r="125" spans="1:10" ht="30.6" customHeight="1">
      <c r="A125" s="228" t="s">
        <v>362</v>
      </c>
      <c r="B125" s="215">
        <v>567.44405120621309</v>
      </c>
      <c r="C125" s="215">
        <v>554.11983100252246</v>
      </c>
      <c r="D125" s="215">
        <v>720.87670311396937</v>
      </c>
    </row>
    <row r="126" spans="1:10" ht="30" customHeight="1">
      <c r="A126" s="227" t="s">
        <v>360</v>
      </c>
      <c r="B126" s="215">
        <v>8344.7654589148988</v>
      </c>
      <c r="C126" s="215">
        <v>8148.8210441547426</v>
      </c>
      <c r="D126" s="215">
        <v>10601.127986970139</v>
      </c>
    </row>
    <row r="128" spans="1:10" ht="18">
      <c r="A128" s="15" t="s">
        <v>19</v>
      </c>
      <c r="B128" s="28">
        <v>2030</v>
      </c>
      <c r="C128" s="28">
        <v>2040</v>
      </c>
      <c r="D128" s="28">
        <v>2050</v>
      </c>
    </row>
    <row r="129" spans="1:4" ht="30">
      <c r="A129" s="227" t="s">
        <v>359</v>
      </c>
      <c r="B129" s="229">
        <v>2850.5127425007258</v>
      </c>
      <c r="C129" s="229">
        <v>2607.6509924966986</v>
      </c>
      <c r="D129" s="229">
        <v>2796.2083148045349</v>
      </c>
    </row>
    <row r="130" spans="1:4" ht="30">
      <c r="A130" s="227" t="s">
        <v>361</v>
      </c>
      <c r="B130" s="229">
        <v>1140.2050970002904</v>
      </c>
      <c r="C130" s="229">
        <v>1043.0603969986794</v>
      </c>
      <c r="D130" s="229">
        <v>1118.483325921814</v>
      </c>
    </row>
    <row r="131" spans="1:4" ht="29.1" customHeight="1">
      <c r="A131" s="228" t="s">
        <v>362</v>
      </c>
      <c r="B131" s="229">
        <v>1710.3076455004357</v>
      </c>
      <c r="C131" s="229">
        <v>1564.590595498019</v>
      </c>
      <c r="D131" s="229">
        <v>1677.7249888827209</v>
      </c>
    </row>
    <row r="132" spans="1:4" ht="28.5" customHeight="1">
      <c r="A132" s="227" t="s">
        <v>360</v>
      </c>
      <c r="B132" s="191">
        <v>25151.583022065231</v>
      </c>
      <c r="C132" s="191">
        <v>23008.685227912043</v>
      </c>
      <c r="D132" s="191">
        <v>24672.426307098838</v>
      </c>
    </row>
    <row r="133" spans="1:4">
      <c r="A133" s="269" t="s">
        <v>461</v>
      </c>
      <c r="B133" s="270">
        <v>15000</v>
      </c>
      <c r="C133" s="270">
        <v>20000</v>
      </c>
      <c r="D133" s="270">
        <v>25000</v>
      </c>
    </row>
  </sheetData>
  <mergeCells count="14">
    <mergeCell ref="L7:M9"/>
    <mergeCell ref="A1:C2"/>
    <mergeCell ref="D1:J2"/>
    <mergeCell ref="A4:J4"/>
    <mergeCell ref="A36:J36"/>
    <mergeCell ref="A120:J120"/>
    <mergeCell ref="A57:J57"/>
    <mergeCell ref="C49:E49"/>
    <mergeCell ref="C53:E53"/>
    <mergeCell ref="C50:E50"/>
    <mergeCell ref="C54:E54"/>
    <mergeCell ref="A83:J83"/>
    <mergeCell ref="B98:D98"/>
    <mergeCell ref="B85:D85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64"/>
  <sheetViews>
    <sheetView topLeftCell="A7" zoomScale="130" zoomScaleNormal="130" workbookViewId="0">
      <selection activeCell="J20" sqref="J20"/>
    </sheetView>
  </sheetViews>
  <sheetFormatPr baseColWidth="10" defaultRowHeight="15"/>
  <cols>
    <col min="1" max="1" width="14.85546875" customWidth="1"/>
    <col min="2" max="2" width="22" customWidth="1"/>
    <col min="5" max="5" width="13" customWidth="1"/>
    <col min="9" max="9" width="11.42578125" customWidth="1"/>
    <col min="14" max="14" width="13.85546875" customWidth="1"/>
  </cols>
  <sheetData>
    <row r="1" spans="1:18" ht="14.45" customHeight="1">
      <c r="A1" s="416" t="s">
        <v>0</v>
      </c>
      <c r="B1" s="416"/>
      <c r="C1" s="416"/>
      <c r="D1" s="332" t="s">
        <v>3</v>
      </c>
      <c r="E1" s="332"/>
      <c r="F1" s="332"/>
      <c r="G1" s="332"/>
      <c r="H1" s="332"/>
      <c r="I1" s="332"/>
      <c r="J1" s="332"/>
    </row>
    <row r="2" spans="1:18" ht="14.45" customHeight="1">
      <c r="A2" s="416"/>
      <c r="B2" s="416"/>
      <c r="C2" s="416"/>
      <c r="D2" s="332"/>
      <c r="E2" s="332"/>
      <c r="F2" s="332"/>
      <c r="G2" s="332"/>
      <c r="H2" s="332"/>
      <c r="I2" s="332"/>
      <c r="J2" s="332"/>
    </row>
    <row r="4" spans="1:18" ht="26.25">
      <c r="A4" s="348" t="s">
        <v>49</v>
      </c>
      <c r="B4" s="348"/>
      <c r="C4" s="348"/>
      <c r="D4" s="348"/>
      <c r="E4" s="348"/>
      <c r="F4" s="348"/>
      <c r="G4" s="348"/>
      <c r="H4" s="348"/>
      <c r="I4" s="348"/>
      <c r="J4" s="348"/>
    </row>
    <row r="7" spans="1:18">
      <c r="B7" s="448" t="s">
        <v>19</v>
      </c>
      <c r="C7" s="448"/>
      <c r="D7" s="448"/>
      <c r="E7" s="448"/>
      <c r="F7" s="448" t="s">
        <v>6</v>
      </c>
      <c r="G7" s="448"/>
      <c r="H7" s="448"/>
      <c r="I7" s="448"/>
      <c r="K7" s="381" t="s">
        <v>20</v>
      </c>
      <c r="L7" s="381"/>
      <c r="M7" s="381"/>
      <c r="N7" s="381"/>
      <c r="O7" s="381" t="s">
        <v>7</v>
      </c>
      <c r="P7" s="381"/>
      <c r="Q7" s="381"/>
      <c r="R7" s="381"/>
    </row>
    <row r="8" spans="1:18">
      <c r="B8" s="376" t="s">
        <v>272</v>
      </c>
      <c r="C8" s="376"/>
      <c r="D8" s="376"/>
      <c r="E8" s="376"/>
      <c r="F8" s="376"/>
      <c r="G8" s="376"/>
      <c r="H8" s="376"/>
      <c r="I8" s="376"/>
      <c r="K8" s="183"/>
      <c r="L8" s="183"/>
      <c r="M8" s="183"/>
      <c r="N8" s="183"/>
      <c r="O8" s="183"/>
      <c r="P8" s="183"/>
      <c r="Q8" s="183"/>
      <c r="R8" s="183"/>
    </row>
    <row r="9" spans="1:18" ht="15.6" customHeight="1">
      <c r="A9" s="317" t="s">
        <v>51</v>
      </c>
      <c r="B9" s="388" t="s">
        <v>348</v>
      </c>
      <c r="C9" s="389"/>
      <c r="D9" s="389"/>
      <c r="E9" s="390"/>
      <c r="F9" s="447" t="s">
        <v>52</v>
      </c>
      <c r="G9" s="447"/>
      <c r="H9" s="447"/>
      <c r="I9" s="447"/>
      <c r="K9" s="26"/>
      <c r="L9" s="26"/>
      <c r="M9" s="26"/>
      <c r="N9" s="26"/>
      <c r="O9" s="381" t="s">
        <v>54</v>
      </c>
      <c r="P9" s="381"/>
      <c r="Q9" s="381"/>
      <c r="R9" s="381"/>
    </row>
    <row r="10" spans="1:18">
      <c r="A10" s="318"/>
      <c r="B10" s="391"/>
      <c r="C10" s="392"/>
      <c r="D10" s="392"/>
      <c r="E10" s="393"/>
      <c r="F10" s="447" t="s">
        <v>55</v>
      </c>
      <c r="G10" s="447"/>
      <c r="H10" s="447"/>
      <c r="I10" s="447"/>
      <c r="K10" s="374" t="s">
        <v>56</v>
      </c>
      <c r="L10" s="374"/>
      <c r="M10" s="374"/>
      <c r="N10" s="374"/>
      <c r="O10" s="374" t="s">
        <v>57</v>
      </c>
      <c r="P10" s="374"/>
      <c r="Q10" s="374"/>
      <c r="R10" s="374"/>
    </row>
    <row r="11" spans="1:18" ht="40.5" customHeight="1">
      <c r="A11" s="317" t="s">
        <v>63</v>
      </c>
      <c r="B11" s="438" t="s">
        <v>454</v>
      </c>
      <c r="C11" s="439"/>
      <c r="D11" s="439"/>
      <c r="E11" s="440"/>
      <c r="F11" s="378" t="s">
        <v>64</v>
      </c>
      <c r="G11" s="378"/>
      <c r="H11" s="378"/>
      <c r="I11" s="378"/>
      <c r="K11" s="374" t="s">
        <v>65</v>
      </c>
      <c r="L11" s="374"/>
      <c r="M11" s="374"/>
      <c r="N11" s="374"/>
      <c r="O11" s="374" t="s">
        <v>66</v>
      </c>
      <c r="P11" s="374"/>
      <c r="Q11" s="374"/>
      <c r="R11" s="374"/>
    </row>
    <row r="12" spans="1:18" ht="15.6" customHeight="1">
      <c r="A12" s="319"/>
      <c r="B12" s="441"/>
      <c r="C12" s="442"/>
      <c r="D12" s="442"/>
      <c r="E12" s="443"/>
      <c r="F12" s="378" t="s">
        <v>67</v>
      </c>
      <c r="G12" s="378"/>
      <c r="H12" s="378"/>
      <c r="I12" s="378"/>
      <c r="K12" s="374"/>
      <c r="L12" s="374"/>
      <c r="M12" s="374"/>
      <c r="N12" s="374"/>
      <c r="O12" s="374" t="s">
        <v>68</v>
      </c>
      <c r="P12" s="374"/>
      <c r="Q12" s="374"/>
      <c r="R12" s="374"/>
    </row>
    <row r="13" spans="1:18" ht="15.6" customHeight="1">
      <c r="A13" s="318"/>
      <c r="B13" s="444"/>
      <c r="C13" s="445"/>
      <c r="D13" s="445"/>
      <c r="E13" s="446"/>
      <c r="F13" s="378" t="s">
        <v>183</v>
      </c>
      <c r="G13" s="378"/>
      <c r="H13" s="378"/>
      <c r="I13" s="378"/>
      <c r="K13" s="374"/>
      <c r="L13" s="374"/>
      <c r="M13" s="374"/>
      <c r="N13" s="374"/>
      <c r="O13" s="374" t="s">
        <v>184</v>
      </c>
      <c r="P13" s="374"/>
      <c r="Q13" s="374"/>
      <c r="R13" s="374"/>
    </row>
    <row r="15" spans="1:18">
      <c r="B15" s="376" t="s">
        <v>273</v>
      </c>
      <c r="C15" s="376"/>
      <c r="D15" s="376"/>
      <c r="E15" s="376"/>
      <c r="F15" s="376"/>
      <c r="G15" s="376"/>
      <c r="H15" s="376"/>
      <c r="I15" s="376"/>
    </row>
    <row r="16" spans="1:18" ht="82.5" customHeight="1">
      <c r="A16" s="187" t="s">
        <v>185</v>
      </c>
      <c r="B16" s="427" t="s">
        <v>463</v>
      </c>
      <c r="C16" s="428"/>
      <c r="D16" s="428"/>
      <c r="E16" s="429"/>
      <c r="F16" s="427" t="s">
        <v>307</v>
      </c>
      <c r="G16" s="428"/>
      <c r="H16" s="428"/>
      <c r="I16" s="429"/>
      <c r="K16" s="430"/>
      <c r="L16" s="430"/>
      <c r="M16" s="430"/>
      <c r="N16" s="430"/>
      <c r="O16" s="430"/>
      <c r="P16" s="430"/>
      <c r="Q16" s="430"/>
      <c r="R16" s="430"/>
    </row>
    <row r="17" spans="1:18" ht="39" customHeight="1">
      <c r="A17" s="187" t="s">
        <v>302</v>
      </c>
      <c r="B17" s="427" t="s">
        <v>306</v>
      </c>
      <c r="C17" s="428"/>
      <c r="D17" s="428"/>
      <c r="E17" s="429"/>
      <c r="F17" s="435" t="s">
        <v>303</v>
      </c>
      <c r="G17" s="436"/>
      <c r="H17" s="436"/>
      <c r="I17" s="437"/>
      <c r="K17" s="11"/>
      <c r="L17" s="11"/>
      <c r="M17" s="11"/>
      <c r="N17" s="11"/>
      <c r="O17" s="11"/>
      <c r="P17" s="11"/>
      <c r="Q17" s="11"/>
      <c r="R17" s="11"/>
    </row>
    <row r="18" spans="1:18" ht="39.950000000000003" customHeight="1">
      <c r="A18" s="187" t="s">
        <v>304</v>
      </c>
      <c r="B18" s="427" t="s">
        <v>305</v>
      </c>
      <c r="C18" s="428"/>
      <c r="D18" s="428"/>
      <c r="E18" s="429"/>
      <c r="F18" s="435" t="s">
        <v>303</v>
      </c>
      <c r="G18" s="436"/>
      <c r="H18" s="436"/>
      <c r="I18" s="437"/>
      <c r="K18" s="11"/>
      <c r="L18" s="11"/>
      <c r="M18" s="11"/>
      <c r="N18" s="11"/>
      <c r="O18" s="11"/>
      <c r="P18" s="11"/>
      <c r="Q18" s="11"/>
      <c r="R18" s="11"/>
    </row>
    <row r="19" spans="1:18" ht="35.1" customHeight="1">
      <c r="A19" s="187" t="s">
        <v>181</v>
      </c>
      <c r="B19" s="375" t="s">
        <v>182</v>
      </c>
      <c r="C19" s="375"/>
      <c r="D19" s="375"/>
      <c r="E19" s="375"/>
      <c r="F19" s="375" t="s">
        <v>59</v>
      </c>
      <c r="G19" s="375"/>
      <c r="H19" s="375"/>
      <c r="I19" s="375"/>
      <c r="K19" s="374" t="s">
        <v>60</v>
      </c>
      <c r="L19" s="374"/>
      <c r="M19" s="374"/>
      <c r="N19" s="374"/>
      <c r="O19" s="434"/>
      <c r="P19" s="434"/>
      <c r="Q19" s="434"/>
      <c r="R19" s="434"/>
    </row>
    <row r="20" spans="1:18" ht="42.6" customHeight="1">
      <c r="A20" s="187" t="s">
        <v>294</v>
      </c>
      <c r="B20" s="375" t="s">
        <v>472</v>
      </c>
      <c r="C20" s="375"/>
      <c r="D20" s="375"/>
      <c r="E20" s="375"/>
      <c r="F20" s="375" t="s">
        <v>308</v>
      </c>
      <c r="G20" s="375"/>
      <c r="H20" s="375"/>
      <c r="I20" s="375"/>
      <c r="K20" s="434"/>
      <c r="L20" s="434"/>
      <c r="M20" s="434"/>
      <c r="N20" s="434"/>
      <c r="O20" s="434"/>
      <c r="P20" s="434"/>
      <c r="Q20" s="434"/>
      <c r="R20" s="434"/>
    </row>
    <row r="22" spans="1:18">
      <c r="B22" s="376" t="s">
        <v>301</v>
      </c>
      <c r="C22" s="376"/>
      <c r="D22" s="376"/>
      <c r="E22" s="376"/>
      <c r="F22" s="376"/>
      <c r="G22" s="376"/>
      <c r="H22" s="376"/>
      <c r="I22" s="376"/>
    </row>
    <row r="23" spans="1:18" ht="29.1" customHeight="1">
      <c r="A23" s="187" t="s">
        <v>82</v>
      </c>
      <c r="B23" s="431" t="s">
        <v>228</v>
      </c>
      <c r="C23" s="432"/>
      <c r="D23" s="432"/>
      <c r="E23" s="433"/>
      <c r="F23" s="431" t="s">
        <v>228</v>
      </c>
      <c r="G23" s="432"/>
      <c r="H23" s="432"/>
      <c r="I23" s="433"/>
    </row>
    <row r="24" spans="1:18" ht="30.75">
      <c r="A24" s="187" t="s">
        <v>375</v>
      </c>
      <c r="B24" s="431" t="s">
        <v>228</v>
      </c>
      <c r="C24" s="432"/>
      <c r="D24" s="432"/>
      <c r="E24" s="433"/>
      <c r="F24" s="431" t="s">
        <v>228</v>
      </c>
      <c r="G24" s="432"/>
      <c r="H24" s="432"/>
      <c r="I24" s="433"/>
    </row>
    <row r="26" spans="1:18" ht="26.25">
      <c r="A26" s="348" t="s">
        <v>462</v>
      </c>
      <c r="B26" s="348"/>
      <c r="C26" s="348"/>
      <c r="D26" s="348"/>
      <c r="E26" s="348"/>
      <c r="F26" s="348"/>
      <c r="G26" s="348"/>
      <c r="H26" s="348"/>
      <c r="I26" s="348"/>
      <c r="J26" s="348"/>
    </row>
    <row r="28" spans="1:18" ht="45">
      <c r="C28" s="1"/>
      <c r="D28" s="188" t="s">
        <v>309</v>
      </c>
      <c r="E28" s="188" t="s">
        <v>310</v>
      </c>
      <c r="F28" s="188" t="s">
        <v>171</v>
      </c>
      <c r="G28" s="188" t="s">
        <v>311</v>
      </c>
      <c r="H28" s="188" t="s">
        <v>312</v>
      </c>
      <c r="I28" s="188" t="s">
        <v>313</v>
      </c>
      <c r="J28" s="188" t="s">
        <v>174</v>
      </c>
      <c r="K28" s="188" t="s">
        <v>175</v>
      </c>
      <c r="L28" s="189" t="s">
        <v>180</v>
      </c>
    </row>
    <row r="29" spans="1:18">
      <c r="L29" s="190"/>
    </row>
    <row r="30" spans="1:18">
      <c r="B30" s="426" t="s">
        <v>326</v>
      </c>
      <c r="C30" s="426"/>
      <c r="D30" s="191">
        <v>239113.67300849396</v>
      </c>
      <c r="E30" s="191">
        <v>67389.90174661066</v>
      </c>
      <c r="F30" s="191">
        <v>215959</v>
      </c>
      <c r="G30" s="191">
        <v>190850</v>
      </c>
      <c r="H30" s="191">
        <v>72592</v>
      </c>
      <c r="I30" s="191">
        <v>118445.13907375958</v>
      </c>
      <c r="J30" s="191">
        <v>74481</v>
      </c>
      <c r="K30" s="191">
        <v>25839.303197908266</v>
      </c>
      <c r="L30" s="192">
        <f>SUM(D30:K30)</f>
        <v>1004670.0170267724</v>
      </c>
      <c r="N30" s="422" t="s">
        <v>325</v>
      </c>
    </row>
    <row r="31" spans="1:18">
      <c r="L31" s="190"/>
      <c r="N31" s="422"/>
    </row>
    <row r="32" spans="1:18">
      <c r="B32" s="423" t="s">
        <v>314</v>
      </c>
      <c r="C32" s="424"/>
      <c r="D32" s="193">
        <v>0.1</v>
      </c>
      <c r="E32" s="193">
        <v>0</v>
      </c>
      <c r="F32" s="193">
        <v>0</v>
      </c>
      <c r="G32" s="193">
        <v>7.0000000000000007E-2</v>
      </c>
      <c r="H32" s="193">
        <v>0</v>
      </c>
      <c r="I32" s="193">
        <v>0.6</v>
      </c>
      <c r="J32" s="193">
        <v>0.06</v>
      </c>
      <c r="K32" s="193">
        <v>0.5</v>
      </c>
      <c r="L32" s="194">
        <f>SUMPRODUCT(D$30:K$30,D32:K32)/L$30</f>
        <v>0.12514204685448369</v>
      </c>
      <c r="N32" s="422"/>
    </row>
    <row r="33" spans="1:14">
      <c r="B33" s="423" t="s">
        <v>315</v>
      </c>
      <c r="C33" s="424"/>
      <c r="D33" s="193">
        <v>0.1</v>
      </c>
      <c r="E33" s="193">
        <v>0</v>
      </c>
      <c r="F33" s="193">
        <v>0</v>
      </c>
      <c r="G33" s="193">
        <v>0.72</v>
      </c>
      <c r="H33" s="193">
        <v>0.1</v>
      </c>
      <c r="I33" s="193">
        <v>0.08</v>
      </c>
      <c r="J33" s="193">
        <v>0.85</v>
      </c>
      <c r="K33" s="193">
        <v>0</v>
      </c>
      <c r="L33" s="194">
        <f>SUMPRODUCT(D$30:K$30,D33:K33)/L$30</f>
        <v>0.24024507981342322</v>
      </c>
      <c r="N33" s="422"/>
    </row>
    <row r="34" spans="1:14">
      <c r="B34" s="423" t="s">
        <v>316</v>
      </c>
      <c r="C34" s="424"/>
      <c r="D34" s="193">
        <v>0.8</v>
      </c>
      <c r="E34" s="193">
        <v>1</v>
      </c>
      <c r="F34" s="193">
        <v>1</v>
      </c>
      <c r="G34" s="193">
        <v>0.21</v>
      </c>
      <c r="H34" s="193">
        <v>0.9</v>
      </c>
      <c r="I34" s="193">
        <v>0.32</v>
      </c>
      <c r="J34" s="193">
        <v>0.09</v>
      </c>
      <c r="K34" s="193">
        <v>0.5</v>
      </c>
      <c r="L34" s="194">
        <f>SUMPRODUCT(D$30:K$30,D34:K34)/L$30</f>
        <v>0.63461287333209315</v>
      </c>
      <c r="N34" s="422"/>
    </row>
    <row r="35" spans="1:14">
      <c r="C35" s="195"/>
      <c r="D35" s="20"/>
      <c r="E35" s="20"/>
      <c r="F35" s="20"/>
      <c r="G35" s="20"/>
      <c r="H35" s="20"/>
      <c r="I35" s="20"/>
      <c r="J35" s="20"/>
      <c r="K35" s="20"/>
      <c r="N35" s="422"/>
    </row>
    <row r="36" spans="1:14">
      <c r="B36" s="423" t="s">
        <v>317</v>
      </c>
      <c r="C36" s="424"/>
      <c r="D36" s="193">
        <v>0.65</v>
      </c>
      <c r="E36" s="193">
        <v>0.65</v>
      </c>
      <c r="F36" s="193">
        <v>0.55000000000000004</v>
      </c>
      <c r="G36" s="193">
        <v>0.85</v>
      </c>
      <c r="H36" s="193">
        <v>0.8</v>
      </c>
      <c r="I36" s="193">
        <v>0.93</v>
      </c>
      <c r="J36" s="193">
        <v>0.56999999999999995</v>
      </c>
      <c r="K36" s="193">
        <v>0.78</v>
      </c>
      <c r="L36" s="194">
        <f>SUMPRODUCT(D$30:K$30,D36:K36)/L$30</f>
        <v>0.7077584354792531</v>
      </c>
      <c r="N36" s="422"/>
    </row>
    <row r="37" spans="1:14">
      <c r="B37" s="423" t="s">
        <v>318</v>
      </c>
      <c r="C37" s="424"/>
      <c r="D37" s="193">
        <f>MIN(100%, D36+0.175)</f>
        <v>0.82499999999999996</v>
      </c>
      <c r="E37" s="193">
        <f t="shared" ref="E37:K37" si="0">MIN(100%, E36+0.175)</f>
        <v>0.82499999999999996</v>
      </c>
      <c r="F37" s="193">
        <f t="shared" si="0"/>
        <v>0.72500000000000009</v>
      </c>
      <c r="G37" s="193">
        <f t="shared" si="0"/>
        <v>1</v>
      </c>
      <c r="H37" s="193">
        <v>0.9</v>
      </c>
      <c r="I37" s="193">
        <f t="shared" si="0"/>
        <v>1</v>
      </c>
      <c r="J37" s="193">
        <f t="shared" si="0"/>
        <v>0.74499999999999988</v>
      </c>
      <c r="K37" s="193">
        <f t="shared" si="0"/>
        <v>0.95500000000000007</v>
      </c>
      <c r="L37" s="194">
        <f>SUMPRODUCT(D$30:K$30,D37:K37)/L$30</f>
        <v>0.86021134119073972</v>
      </c>
      <c r="N37" s="422"/>
    </row>
    <row r="38" spans="1:14">
      <c r="B38" s="195"/>
      <c r="C38" s="195"/>
    </row>
    <row r="39" spans="1:14">
      <c r="A39" s="425" t="s">
        <v>6</v>
      </c>
      <c r="B39" s="421" t="s">
        <v>319</v>
      </c>
      <c r="C39" s="196" t="s">
        <v>320</v>
      </c>
      <c r="D39" s="197">
        <v>0.6</v>
      </c>
      <c r="E39" s="197">
        <v>0.6</v>
      </c>
      <c r="F39" s="197">
        <v>0.6</v>
      </c>
      <c r="G39" s="197">
        <v>0.6</v>
      </c>
      <c r="H39" s="197">
        <v>0.6</v>
      </c>
      <c r="I39" s="197">
        <v>0.6</v>
      </c>
      <c r="J39" s="197">
        <v>0.6</v>
      </c>
      <c r="K39" s="197">
        <v>0.6</v>
      </c>
      <c r="L39" s="194">
        <f>SUMPRODUCT(D$30:K$30,D39:K39)/L$30</f>
        <v>0.6</v>
      </c>
    </row>
    <row r="40" spans="1:14" ht="30">
      <c r="A40" s="425"/>
      <c r="B40" s="421"/>
      <c r="C40" s="196" t="s">
        <v>321</v>
      </c>
      <c r="D40" s="197">
        <v>0.5</v>
      </c>
      <c r="E40" s="197">
        <v>0.5</v>
      </c>
      <c r="F40" s="197">
        <v>0.5</v>
      </c>
      <c r="G40" s="197">
        <v>0.5</v>
      </c>
      <c r="H40" s="197">
        <v>0.5</v>
      </c>
      <c r="I40" s="197">
        <v>0.5</v>
      </c>
      <c r="J40" s="197">
        <v>0.5</v>
      </c>
      <c r="K40" s="197">
        <v>0.5</v>
      </c>
      <c r="L40" s="194">
        <f>SUMPRODUCT(D$30:K$30,D40:K40)/L$30</f>
        <v>0.5</v>
      </c>
    </row>
    <row r="41" spans="1:14" ht="12.6" customHeight="1">
      <c r="A41" s="425"/>
      <c r="B41" s="421"/>
      <c r="C41" s="196" t="s">
        <v>322</v>
      </c>
      <c r="D41" s="197">
        <v>0.45</v>
      </c>
      <c r="E41" s="197">
        <v>0.45</v>
      </c>
      <c r="F41" s="197">
        <v>0.45</v>
      </c>
      <c r="G41" s="197">
        <v>0.45</v>
      </c>
      <c r="H41" s="197">
        <v>0.45</v>
      </c>
      <c r="I41" s="197">
        <v>0.45</v>
      </c>
      <c r="J41" s="197">
        <v>0.45</v>
      </c>
      <c r="K41" s="197">
        <v>0.45</v>
      </c>
      <c r="L41" s="194">
        <f>SUMPRODUCT(D$30:K$30,D41:K41)/L$30</f>
        <v>0.45000000000000012</v>
      </c>
    </row>
    <row r="42" spans="1:14" ht="12.6" customHeight="1">
      <c r="B42" s="198"/>
      <c r="C42" s="195"/>
    </row>
    <row r="43" spans="1:14">
      <c r="A43" s="425" t="s">
        <v>19</v>
      </c>
      <c r="B43" s="421" t="s">
        <v>319</v>
      </c>
      <c r="C43" s="196" t="s">
        <v>320</v>
      </c>
      <c r="D43" s="197">
        <v>1</v>
      </c>
      <c r="E43" s="197">
        <v>1</v>
      </c>
      <c r="F43" s="197">
        <v>1</v>
      </c>
      <c r="G43" s="197">
        <v>1</v>
      </c>
      <c r="H43" s="197">
        <v>1</v>
      </c>
      <c r="I43" s="197">
        <v>1</v>
      </c>
      <c r="J43" s="197">
        <v>1</v>
      </c>
      <c r="K43" s="197">
        <v>1</v>
      </c>
      <c r="L43" s="194">
        <f>SUMPRODUCT(D$30:K$30,D43:K43)/L$30</f>
        <v>1</v>
      </c>
    </row>
    <row r="44" spans="1:14" ht="30">
      <c r="A44" s="425"/>
      <c r="B44" s="421"/>
      <c r="C44" s="196" t="s">
        <v>321</v>
      </c>
      <c r="D44" s="197">
        <v>0.95</v>
      </c>
      <c r="E44" s="197">
        <v>0.95</v>
      </c>
      <c r="F44" s="197">
        <v>0.95</v>
      </c>
      <c r="G44" s="197">
        <v>0.95</v>
      </c>
      <c r="H44" s="197">
        <v>0.95</v>
      </c>
      <c r="I44" s="197">
        <v>0.95</v>
      </c>
      <c r="J44" s="197">
        <v>0.95</v>
      </c>
      <c r="K44" s="197">
        <v>0.95</v>
      </c>
      <c r="L44" s="194">
        <f>SUMPRODUCT(D$30:K$30,D44:K44)/L$30</f>
        <v>0.95</v>
      </c>
    </row>
    <row r="45" spans="1:14">
      <c r="A45" s="425"/>
      <c r="B45" s="421"/>
      <c r="C45" s="196" t="s">
        <v>322</v>
      </c>
      <c r="D45" s="197">
        <v>0.9</v>
      </c>
      <c r="E45" s="197">
        <v>0.9</v>
      </c>
      <c r="F45" s="197">
        <v>0.9</v>
      </c>
      <c r="G45" s="197">
        <v>0.9</v>
      </c>
      <c r="H45" s="197">
        <v>0.9</v>
      </c>
      <c r="I45" s="197">
        <v>0.9</v>
      </c>
      <c r="J45" s="197">
        <v>0.9</v>
      </c>
      <c r="K45" s="197">
        <v>0.9</v>
      </c>
      <c r="L45" s="194">
        <f>SUMPRODUCT(D$30:K$30,D45:K45)/L$30</f>
        <v>0.90000000000000024</v>
      </c>
    </row>
    <row r="46" spans="1:14">
      <c r="B46" s="80"/>
      <c r="C46" s="1"/>
    </row>
    <row r="47" spans="1:14">
      <c r="B47" s="80"/>
      <c r="C47" s="1"/>
    </row>
    <row r="48" spans="1:14">
      <c r="A48" s="201" t="s">
        <v>6</v>
      </c>
      <c r="B48" s="421" t="s">
        <v>323</v>
      </c>
      <c r="C48" s="199" t="s">
        <v>180</v>
      </c>
      <c r="D48" s="197">
        <f>D32*D39+D33*D40+D34*D41</f>
        <v>0.47000000000000003</v>
      </c>
      <c r="E48" s="197">
        <f>E32*E39+E33*E40+E34*E41</f>
        <v>0.45</v>
      </c>
      <c r="F48" s="197">
        <f t="shared" ref="F48:K48" si="1">F32*F39+F33*F40+F34*F41</f>
        <v>0.45</v>
      </c>
      <c r="G48" s="197">
        <f t="shared" si="1"/>
        <v>0.49649999999999994</v>
      </c>
      <c r="H48" s="197">
        <f t="shared" si="1"/>
        <v>0.45500000000000002</v>
      </c>
      <c r="I48" s="197">
        <f t="shared" si="1"/>
        <v>0.54400000000000004</v>
      </c>
      <c r="J48" s="197">
        <f t="shared" si="1"/>
        <v>0.50149999999999995</v>
      </c>
      <c r="K48" s="200">
        <f t="shared" si="1"/>
        <v>0.52500000000000002</v>
      </c>
      <c r="L48" s="194">
        <f>SUMPRODUCT(D$30:K$30,D48:K48)/L$30</f>
        <v>0.48078356101884373</v>
      </c>
    </row>
    <row r="49" spans="1:12" ht="17.100000000000001" customHeight="1">
      <c r="A49" s="201" t="s">
        <v>19</v>
      </c>
      <c r="B49" s="421"/>
      <c r="C49" s="199" t="s">
        <v>180</v>
      </c>
      <c r="D49" s="197">
        <f>D32*D43+D33*D44+D34*D45</f>
        <v>0.91500000000000004</v>
      </c>
      <c r="E49" s="197">
        <f t="shared" ref="E49:K49" si="2">E32*E43+E33*E44+E34*E45</f>
        <v>0.9</v>
      </c>
      <c r="F49" s="197">
        <f t="shared" si="2"/>
        <v>0.9</v>
      </c>
      <c r="G49" s="197">
        <f t="shared" si="2"/>
        <v>0.94300000000000006</v>
      </c>
      <c r="H49" s="197">
        <f t="shared" si="2"/>
        <v>0.90500000000000003</v>
      </c>
      <c r="I49" s="197">
        <f t="shared" si="2"/>
        <v>0.96399999999999997</v>
      </c>
      <c r="J49" s="197">
        <f t="shared" si="2"/>
        <v>0.9484999999999999</v>
      </c>
      <c r="K49" s="200">
        <f t="shared" si="2"/>
        <v>0.95</v>
      </c>
      <c r="L49" s="194">
        <f>SUMPRODUCT(D$30:K$30,D49:K49)/L$30</f>
        <v>0.92452645867611971</v>
      </c>
    </row>
    <row r="50" spans="1:12">
      <c r="B50" s="80"/>
      <c r="C50" s="1"/>
      <c r="K50" s="21"/>
    </row>
    <row r="51" spans="1:12">
      <c r="A51" s="201" t="s">
        <v>6</v>
      </c>
      <c r="B51" s="421" t="s">
        <v>324</v>
      </c>
      <c r="C51" s="199" t="s">
        <v>180</v>
      </c>
      <c r="D51" s="197">
        <f>D36*D48</f>
        <v>0.30550000000000005</v>
      </c>
      <c r="E51" s="197">
        <f t="shared" ref="E51:K52" si="3">E36*E48</f>
        <v>0.29250000000000004</v>
      </c>
      <c r="F51" s="197">
        <f t="shared" si="3"/>
        <v>0.24750000000000003</v>
      </c>
      <c r="G51" s="197">
        <f t="shared" si="3"/>
        <v>0.42202499999999993</v>
      </c>
      <c r="H51" s="197">
        <f t="shared" si="3"/>
        <v>0.36400000000000005</v>
      </c>
      <c r="I51" s="197">
        <f t="shared" si="3"/>
        <v>0.50592000000000004</v>
      </c>
      <c r="J51" s="197">
        <f t="shared" si="3"/>
        <v>0.28585499999999997</v>
      </c>
      <c r="K51" s="200">
        <f>K36*K48</f>
        <v>0.40950000000000003</v>
      </c>
      <c r="L51" s="194">
        <f>SUMPRODUCT(D$30:K$30,D51:K51)/L$30</f>
        <v>0.34336976812609077</v>
      </c>
    </row>
    <row r="52" spans="1:12">
      <c r="A52" s="201" t="s">
        <v>19</v>
      </c>
      <c r="B52" s="421"/>
      <c r="C52" s="199" t="s">
        <v>180</v>
      </c>
      <c r="D52" s="197">
        <f>D37*D49</f>
        <v>0.75487499999999996</v>
      </c>
      <c r="E52" s="197">
        <f t="shared" si="3"/>
        <v>0.74249999999999994</v>
      </c>
      <c r="F52" s="197">
        <f t="shared" si="3"/>
        <v>0.65250000000000008</v>
      </c>
      <c r="G52" s="197">
        <f t="shared" si="3"/>
        <v>0.94300000000000006</v>
      </c>
      <c r="H52" s="197">
        <f t="shared" si="3"/>
        <v>0.8145</v>
      </c>
      <c r="I52" s="197">
        <f t="shared" si="3"/>
        <v>0.96399999999999997</v>
      </c>
      <c r="J52" s="197">
        <f t="shared" si="3"/>
        <v>0.70663249999999977</v>
      </c>
      <c r="K52" s="197">
        <f t="shared" si="3"/>
        <v>0.90725</v>
      </c>
      <c r="L52" s="194">
        <f>SUMPRODUCT(D$30:K$30,D52:K52)/L$30</f>
        <v>0.79708105249816774</v>
      </c>
    </row>
    <row r="54" spans="1:12" ht="30.95" customHeight="1"/>
    <row r="55" spans="1:12" ht="63.6" customHeight="1">
      <c r="A55" s="459" t="s">
        <v>473</v>
      </c>
      <c r="B55" s="460"/>
      <c r="C55" s="272" t="s">
        <v>464</v>
      </c>
      <c r="D55" s="467" t="s">
        <v>511</v>
      </c>
      <c r="E55" s="467"/>
    </row>
    <row r="56" spans="1:12" ht="42.95" customHeight="1">
      <c r="A56" s="468" t="s">
        <v>19</v>
      </c>
      <c r="B56" s="16" t="s">
        <v>465</v>
      </c>
      <c r="C56" s="273">
        <v>0.25</v>
      </c>
      <c r="D56" s="465">
        <v>0.2</v>
      </c>
      <c r="E56" s="466"/>
      <c r="F56" s="449" t="s">
        <v>468</v>
      </c>
      <c r="G56" s="450"/>
      <c r="H56" s="450"/>
      <c r="I56" s="450"/>
      <c r="J56" s="450"/>
      <c r="K56" s="450"/>
      <c r="L56" s="451"/>
    </row>
    <row r="57" spans="1:12" ht="33" customHeight="1">
      <c r="A57" s="469"/>
      <c r="B57" s="16" t="s">
        <v>466</v>
      </c>
      <c r="C57" s="273">
        <v>0.25</v>
      </c>
      <c r="D57" s="465">
        <f>AVERAGE(D56,D58)</f>
        <v>0.32500000000000001</v>
      </c>
      <c r="E57" s="466"/>
      <c r="F57" s="452" t="s">
        <v>469</v>
      </c>
      <c r="G57" s="453"/>
      <c r="H57" s="453"/>
      <c r="I57" s="453"/>
      <c r="J57" s="453"/>
      <c r="K57" s="453"/>
      <c r="L57" s="454"/>
    </row>
    <row r="58" spans="1:12" ht="27.6" customHeight="1" thickBot="1">
      <c r="A58" s="469"/>
      <c r="B58" s="16" t="s">
        <v>467</v>
      </c>
      <c r="C58" s="273">
        <v>0.5</v>
      </c>
      <c r="D58" s="463">
        <v>0.45</v>
      </c>
      <c r="E58" s="464"/>
      <c r="F58" s="455" t="s">
        <v>470</v>
      </c>
      <c r="G58" s="455"/>
      <c r="H58" s="455"/>
      <c r="I58" s="455"/>
      <c r="J58" s="455"/>
      <c r="K58" s="455"/>
      <c r="L58" s="455"/>
    </row>
    <row r="59" spans="1:12" ht="15" customHeight="1" thickBot="1">
      <c r="A59" s="469"/>
      <c r="B59" s="271" t="s">
        <v>180</v>
      </c>
      <c r="C59" s="273">
        <f>SUM(C56:C58)</f>
        <v>1</v>
      </c>
      <c r="D59" s="461" cm="1">
        <f t="array" ref="D59">MMULT(TRANSPOSE(C56:C58),D56:D58)</f>
        <v>0.35625000000000001</v>
      </c>
      <c r="E59" s="462"/>
      <c r="F59" s="456" t="s">
        <v>471</v>
      </c>
      <c r="G59" s="457"/>
      <c r="H59" s="457"/>
      <c r="I59" s="457"/>
      <c r="J59" s="457"/>
      <c r="K59" s="457"/>
      <c r="L59" s="458"/>
    </row>
    <row r="60" spans="1:12">
      <c r="G60" s="1"/>
    </row>
    <row r="61" spans="1:12" ht="14.45" customHeight="1">
      <c r="A61" s="418" t="s">
        <v>512</v>
      </c>
      <c r="B61" s="418"/>
      <c r="C61" s="418"/>
      <c r="D61" s="419">
        <v>0.5</v>
      </c>
      <c r="E61" s="420"/>
      <c r="F61" s="417" t="s">
        <v>514</v>
      </c>
      <c r="G61" s="417"/>
      <c r="H61" s="417"/>
      <c r="I61" s="417"/>
      <c r="J61" s="417"/>
      <c r="K61" s="417"/>
      <c r="L61" s="417"/>
    </row>
    <row r="62" spans="1:12">
      <c r="A62" s="418"/>
      <c r="B62" s="418"/>
      <c r="C62" s="418"/>
      <c r="D62" s="420"/>
      <c r="E62" s="420"/>
      <c r="F62" s="417"/>
      <c r="G62" s="417"/>
      <c r="H62" s="417"/>
      <c r="I62" s="417"/>
      <c r="J62" s="417"/>
      <c r="K62" s="417"/>
      <c r="L62" s="417"/>
    </row>
    <row r="63" spans="1:12">
      <c r="A63" s="418" t="s">
        <v>513</v>
      </c>
      <c r="B63" s="418"/>
      <c r="C63" s="418"/>
      <c r="D63" s="419">
        <v>0.6</v>
      </c>
      <c r="E63" s="420"/>
      <c r="F63" s="417" t="s">
        <v>481</v>
      </c>
      <c r="G63" s="417"/>
      <c r="H63" s="417"/>
      <c r="I63" s="417"/>
      <c r="J63" s="417"/>
      <c r="K63" s="417"/>
      <c r="L63" s="417"/>
    </row>
    <row r="64" spans="1:12">
      <c r="A64" s="418"/>
      <c r="B64" s="418"/>
      <c r="C64" s="418"/>
      <c r="D64" s="420"/>
      <c r="E64" s="420"/>
      <c r="F64" s="417"/>
      <c r="G64" s="417"/>
      <c r="H64" s="417"/>
      <c r="I64" s="417"/>
      <c r="J64" s="417"/>
      <c r="K64" s="417"/>
      <c r="L64" s="417"/>
    </row>
  </sheetData>
  <mergeCells count="79">
    <mergeCell ref="F56:L56"/>
    <mergeCell ref="F57:L57"/>
    <mergeCell ref="F58:L58"/>
    <mergeCell ref="F59:L59"/>
    <mergeCell ref="A55:B55"/>
    <mergeCell ref="D59:E59"/>
    <mergeCell ref="D58:E58"/>
    <mergeCell ref="D57:E57"/>
    <mergeCell ref="D56:E56"/>
    <mergeCell ref="D55:E55"/>
    <mergeCell ref="A56:A59"/>
    <mergeCell ref="A1:C2"/>
    <mergeCell ref="D1:J2"/>
    <mergeCell ref="A4:J4"/>
    <mergeCell ref="B7:E7"/>
    <mergeCell ref="F7:I7"/>
    <mergeCell ref="K7:N7"/>
    <mergeCell ref="O7:R7"/>
    <mergeCell ref="A9:A10"/>
    <mergeCell ref="F9:I9"/>
    <mergeCell ref="O9:R9"/>
    <mergeCell ref="F10:I10"/>
    <mergeCell ref="K10:N10"/>
    <mergeCell ref="O10:R10"/>
    <mergeCell ref="B9:E10"/>
    <mergeCell ref="B8:I8"/>
    <mergeCell ref="A11:A13"/>
    <mergeCell ref="F11:I11"/>
    <mergeCell ref="K11:N11"/>
    <mergeCell ref="O11:R11"/>
    <mergeCell ref="F12:I12"/>
    <mergeCell ref="K12:N12"/>
    <mergeCell ref="O12:R12"/>
    <mergeCell ref="F13:I13"/>
    <mergeCell ref="K13:N13"/>
    <mergeCell ref="O13:R13"/>
    <mergeCell ref="B11:E13"/>
    <mergeCell ref="B15:I15"/>
    <mergeCell ref="B22:I22"/>
    <mergeCell ref="B17:E17"/>
    <mergeCell ref="F17:I17"/>
    <mergeCell ref="B18:E18"/>
    <mergeCell ref="F18:I18"/>
    <mergeCell ref="B20:E20"/>
    <mergeCell ref="F20:I20"/>
    <mergeCell ref="B19:E19"/>
    <mergeCell ref="F19:I19"/>
    <mergeCell ref="A26:J26"/>
    <mergeCell ref="B16:E16"/>
    <mergeCell ref="F16:I16"/>
    <mergeCell ref="O16:R16"/>
    <mergeCell ref="K16:N16"/>
    <mergeCell ref="B23:E23"/>
    <mergeCell ref="F23:I23"/>
    <mergeCell ref="K19:N19"/>
    <mergeCell ref="O19:R19"/>
    <mergeCell ref="K20:N20"/>
    <mergeCell ref="O20:R20"/>
    <mergeCell ref="B24:E24"/>
    <mergeCell ref="F24:I24"/>
    <mergeCell ref="B48:B49"/>
    <mergeCell ref="B51:B52"/>
    <mergeCell ref="N30:N37"/>
    <mergeCell ref="B37:C37"/>
    <mergeCell ref="A39:A41"/>
    <mergeCell ref="B39:B41"/>
    <mergeCell ref="A43:A45"/>
    <mergeCell ref="B43:B45"/>
    <mergeCell ref="B30:C30"/>
    <mergeCell ref="B32:C32"/>
    <mergeCell ref="B33:C33"/>
    <mergeCell ref="B34:C34"/>
    <mergeCell ref="B36:C36"/>
    <mergeCell ref="F61:L62"/>
    <mergeCell ref="F63:L64"/>
    <mergeCell ref="A61:C62"/>
    <mergeCell ref="A63:C64"/>
    <mergeCell ref="D61:E62"/>
    <mergeCell ref="D63:E6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Q130"/>
  <sheetViews>
    <sheetView topLeftCell="A104" zoomScale="115" zoomScaleNormal="115" workbookViewId="0">
      <selection activeCell="L116" sqref="L116"/>
    </sheetView>
  </sheetViews>
  <sheetFormatPr baseColWidth="10" defaultRowHeight="15"/>
  <cols>
    <col min="1" max="1" width="21.140625" customWidth="1"/>
    <col min="2" max="2" width="11.42578125" customWidth="1"/>
  </cols>
  <sheetData>
    <row r="1" spans="1:43" ht="14.45" customHeight="1">
      <c r="A1" s="416" t="s">
        <v>0</v>
      </c>
      <c r="B1" s="416"/>
      <c r="C1" s="416"/>
      <c r="D1" s="332" t="s">
        <v>4</v>
      </c>
      <c r="E1" s="332"/>
      <c r="F1" s="332"/>
      <c r="G1" s="332"/>
      <c r="H1" s="332"/>
      <c r="I1" s="332"/>
      <c r="J1" s="332"/>
    </row>
    <row r="2" spans="1:43" ht="14.45" customHeight="1">
      <c r="A2" s="416"/>
      <c r="B2" s="416"/>
      <c r="C2" s="416"/>
      <c r="D2" s="332"/>
      <c r="E2" s="332"/>
      <c r="F2" s="332"/>
      <c r="G2" s="332"/>
      <c r="H2" s="332"/>
      <c r="I2" s="332"/>
      <c r="J2" s="332"/>
    </row>
    <row r="4" spans="1:43" ht="26.25">
      <c r="A4" s="348" t="s">
        <v>186</v>
      </c>
      <c r="B4" s="348"/>
      <c r="C4" s="348"/>
      <c r="D4" s="348"/>
      <c r="E4" s="348"/>
      <c r="F4" s="348"/>
      <c r="G4" s="348"/>
      <c r="H4" s="348"/>
      <c r="I4" s="348"/>
      <c r="J4" s="348"/>
    </row>
    <row r="6" spans="1:43" ht="18">
      <c r="A6" s="15" t="s">
        <v>6</v>
      </c>
    </row>
    <row r="7" spans="1:43" ht="30">
      <c r="A7" s="187" t="s">
        <v>328</v>
      </c>
      <c r="B7" s="471" t="s">
        <v>330</v>
      </c>
      <c r="C7" s="471"/>
      <c r="D7" s="471"/>
      <c r="E7" s="471"/>
      <c r="F7" s="471"/>
      <c r="G7" s="471"/>
      <c r="H7" s="471"/>
    </row>
    <row r="8" spans="1:43">
      <c r="A8" s="203" t="s">
        <v>189</v>
      </c>
      <c r="B8" s="204" t="s">
        <v>449</v>
      </c>
      <c r="C8" s="204">
        <v>2025</v>
      </c>
      <c r="D8" s="204">
        <f t="shared" ref="D8:H8" si="0">C8+5</f>
        <v>2030</v>
      </c>
      <c r="E8" s="204">
        <f t="shared" si="0"/>
        <v>2035</v>
      </c>
      <c r="F8" s="204">
        <f t="shared" si="0"/>
        <v>2040</v>
      </c>
      <c r="G8" s="204">
        <f t="shared" si="0"/>
        <v>2045</v>
      </c>
      <c r="H8" s="204">
        <f t="shared" si="0"/>
        <v>2050</v>
      </c>
      <c r="O8" s="26" t="s">
        <v>7</v>
      </c>
      <c r="P8" s="26" t="s">
        <v>106</v>
      </c>
      <c r="Q8" s="26"/>
      <c r="R8" s="26"/>
      <c r="S8" s="26">
        <v>2030</v>
      </c>
      <c r="T8" s="26">
        <v>2050</v>
      </c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</row>
    <row r="9" spans="1:43">
      <c r="A9" s="30" t="s">
        <v>190</v>
      </c>
      <c r="B9" s="266">
        <v>24.157047003746801</v>
      </c>
      <c r="C9" s="266">
        <v>23</v>
      </c>
      <c r="D9" s="266">
        <v>23</v>
      </c>
      <c r="E9" s="266">
        <v>22.682296583231299</v>
      </c>
      <c r="F9" s="266">
        <v>22.364593166462701</v>
      </c>
      <c r="G9" s="266">
        <v>22.046889749694</v>
      </c>
      <c r="H9" s="266">
        <v>21.729186332925401</v>
      </c>
      <c r="I9" t="s">
        <v>192</v>
      </c>
      <c r="O9" s="26"/>
      <c r="P9" s="26" t="s">
        <v>108</v>
      </c>
      <c r="Q9" s="26"/>
      <c r="R9" s="26"/>
      <c r="S9" s="35">
        <v>0</v>
      </c>
      <c r="T9" s="35">
        <v>-0.05</v>
      </c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</row>
    <row r="10" spans="1:43">
      <c r="A10" s="30" t="s">
        <v>109</v>
      </c>
      <c r="B10" s="266">
        <v>11.917242128551779</v>
      </c>
      <c r="C10" s="266">
        <v>11.59</v>
      </c>
      <c r="D10" s="266">
        <v>11.78</v>
      </c>
      <c r="E10" s="266">
        <v>11.97</v>
      </c>
      <c r="F10" s="266">
        <v>12.16</v>
      </c>
      <c r="G10" s="266">
        <v>12.35</v>
      </c>
      <c r="H10" s="266">
        <v>12.54</v>
      </c>
      <c r="I10" t="s">
        <v>193</v>
      </c>
      <c r="O10" s="26"/>
      <c r="P10" s="26" t="s">
        <v>135</v>
      </c>
      <c r="Q10" s="26"/>
      <c r="R10" s="26"/>
      <c r="S10" s="35">
        <v>0</v>
      </c>
      <c r="T10" s="35">
        <v>0</v>
      </c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</row>
    <row r="11" spans="1:43">
      <c r="A11" s="30" t="s">
        <v>191</v>
      </c>
      <c r="B11" s="266">
        <v>71.486715150511714</v>
      </c>
      <c r="C11" s="266">
        <v>71.102500000000006</v>
      </c>
      <c r="D11" s="266">
        <v>70.504999999999995</v>
      </c>
      <c r="E11" s="266">
        <v>69.907499999999999</v>
      </c>
      <c r="F11" s="266">
        <v>69.31</v>
      </c>
      <c r="G11" s="266">
        <v>68.712500000000006</v>
      </c>
      <c r="H11" s="266">
        <v>68.114999999999995</v>
      </c>
      <c r="I11" t="s">
        <v>194</v>
      </c>
      <c r="O11" s="26"/>
      <c r="P11" s="26" t="s">
        <v>110</v>
      </c>
      <c r="Q11" s="26"/>
      <c r="R11" s="26"/>
      <c r="S11" s="35">
        <v>-0.05</v>
      </c>
      <c r="T11" s="35">
        <v>-0.04</v>
      </c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</row>
    <row r="12" spans="1:43">
      <c r="O12" s="26"/>
      <c r="P12" s="26" t="s">
        <v>92</v>
      </c>
      <c r="Q12" s="26"/>
      <c r="R12" s="26"/>
      <c r="S12" s="35">
        <v>0.15</v>
      </c>
      <c r="T12" s="35">
        <v>0.2</v>
      </c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45" t="s">
        <v>155</v>
      </c>
      <c r="AI12" s="26"/>
      <c r="AJ12" s="26"/>
      <c r="AK12" s="26"/>
      <c r="AL12" s="26"/>
      <c r="AM12" s="26"/>
      <c r="AN12" s="26"/>
      <c r="AO12" s="26"/>
      <c r="AP12" s="26"/>
      <c r="AQ12" s="26"/>
    </row>
    <row r="13" spans="1:43">
      <c r="A13" s="187" t="s">
        <v>92</v>
      </c>
      <c r="B13" s="471" t="s">
        <v>331</v>
      </c>
      <c r="C13" s="471"/>
      <c r="D13" s="471"/>
      <c r="E13" s="471"/>
      <c r="F13" s="471"/>
      <c r="G13" s="471"/>
      <c r="H13" s="471"/>
      <c r="O13" s="26"/>
      <c r="P13" s="26"/>
      <c r="Q13" s="26"/>
      <c r="R13" s="26"/>
      <c r="S13" s="35"/>
      <c r="T13" s="35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45"/>
      <c r="AI13" s="26"/>
      <c r="AJ13" s="26"/>
      <c r="AK13" s="26"/>
      <c r="AL13" s="26"/>
      <c r="AM13" s="26"/>
      <c r="AN13" s="26"/>
      <c r="AO13" s="26"/>
      <c r="AP13" s="26"/>
      <c r="AQ13" s="26"/>
    </row>
    <row r="14" spans="1:43">
      <c r="O14" s="26"/>
      <c r="P14" s="26"/>
      <c r="Q14" s="26"/>
      <c r="R14" s="26"/>
      <c r="S14" s="35"/>
      <c r="T14" s="35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45"/>
      <c r="AI14" s="26"/>
      <c r="AJ14" s="26"/>
      <c r="AK14" s="26"/>
      <c r="AL14" s="26"/>
      <c r="AM14" s="26"/>
      <c r="AN14" s="26"/>
      <c r="AO14" s="26"/>
      <c r="AP14" s="26"/>
      <c r="AQ14" s="26"/>
    </row>
    <row r="15" spans="1:43" ht="18">
      <c r="A15" s="15" t="s">
        <v>19</v>
      </c>
      <c r="O15" s="26" t="s">
        <v>20</v>
      </c>
      <c r="P15" s="26"/>
      <c r="Q15" s="26">
        <v>2020</v>
      </c>
      <c r="R15" s="26">
        <f>Q15+5</f>
        <v>2025</v>
      </c>
      <c r="S15" s="26">
        <f>R15+5</f>
        <v>2030</v>
      </c>
      <c r="T15" s="26">
        <v>2050</v>
      </c>
      <c r="U15" s="26"/>
      <c r="V15" s="26"/>
      <c r="W15" s="26"/>
      <c r="X15" s="26"/>
      <c r="Y15" s="45" t="s">
        <v>21</v>
      </c>
      <c r="Z15" s="45"/>
      <c r="AA15" s="45" t="s">
        <v>22</v>
      </c>
      <c r="AB15" s="45"/>
      <c r="AC15" s="45" t="s">
        <v>23</v>
      </c>
      <c r="AD15" s="45"/>
      <c r="AE15" s="45" t="s">
        <v>24</v>
      </c>
      <c r="AF15" s="45"/>
      <c r="AG15" s="26"/>
      <c r="AH15" s="54" t="s">
        <v>189</v>
      </c>
      <c r="AI15" s="54">
        <v>2015</v>
      </c>
      <c r="AJ15" s="54">
        <v>2020</v>
      </c>
      <c r="AK15" s="54">
        <f t="shared" ref="AK15:AP15" si="1">AJ15+5</f>
        <v>2025</v>
      </c>
      <c r="AL15" s="54">
        <f t="shared" si="1"/>
        <v>2030</v>
      </c>
      <c r="AM15" s="54">
        <f t="shared" si="1"/>
        <v>2035</v>
      </c>
      <c r="AN15" s="54">
        <f t="shared" si="1"/>
        <v>2040</v>
      </c>
      <c r="AO15" s="54">
        <f t="shared" si="1"/>
        <v>2045</v>
      </c>
      <c r="AP15" s="54">
        <f t="shared" si="1"/>
        <v>2050</v>
      </c>
      <c r="AQ15" s="26"/>
    </row>
    <row r="16" spans="1:43" ht="30">
      <c r="A16" s="187" t="s">
        <v>328</v>
      </c>
      <c r="B16" s="368" t="s">
        <v>327</v>
      </c>
      <c r="C16" s="368"/>
      <c r="D16" s="368"/>
      <c r="E16" s="368"/>
      <c r="F16" s="368"/>
      <c r="G16" s="368"/>
      <c r="H16" s="368"/>
      <c r="O16" s="26"/>
      <c r="P16" s="26" t="s">
        <v>96</v>
      </c>
      <c r="Q16" s="26">
        <v>15.2</v>
      </c>
      <c r="R16" s="26">
        <v>15.1</v>
      </c>
      <c r="S16" s="26">
        <v>15</v>
      </c>
      <c r="T16" s="26">
        <v>13.7</v>
      </c>
      <c r="U16" s="26"/>
      <c r="V16" s="26"/>
      <c r="W16" s="26" t="s">
        <v>108</v>
      </c>
      <c r="X16" s="26">
        <v>22</v>
      </c>
      <c r="Y16" s="26">
        <v>18</v>
      </c>
      <c r="Z16" s="26">
        <v>11</v>
      </c>
      <c r="AA16" s="26">
        <v>19</v>
      </c>
      <c r="AB16" s="26">
        <v>15</v>
      </c>
      <c r="AC16" s="26">
        <v>20</v>
      </c>
      <c r="AD16" s="26">
        <v>17</v>
      </c>
      <c r="AE16" s="26">
        <v>22</v>
      </c>
      <c r="AF16" s="26">
        <v>21</v>
      </c>
      <c r="AG16" s="26"/>
      <c r="AH16" s="54" t="s">
        <v>190</v>
      </c>
      <c r="AI16" s="89">
        <v>24.093226210580301</v>
      </c>
      <c r="AJ16" s="89">
        <v>23.191239548752101</v>
      </c>
      <c r="AK16" s="89">
        <v>21.7699369405818</v>
      </c>
      <c r="AL16" s="89">
        <v>18.140983609579099</v>
      </c>
      <c r="AM16" s="89">
        <v>12.699546984096299</v>
      </c>
      <c r="AN16" s="89">
        <v>9.2987919595210506</v>
      </c>
      <c r="AO16" s="89">
        <v>8.0409923304662705</v>
      </c>
      <c r="AP16" s="89">
        <v>7.5641161751548598</v>
      </c>
      <c r="AQ16" s="26"/>
    </row>
    <row r="17" spans="1:43">
      <c r="A17" s="203" t="s">
        <v>189</v>
      </c>
      <c r="B17" s="204" t="s">
        <v>449</v>
      </c>
      <c r="C17" s="204">
        <v>2025</v>
      </c>
      <c r="D17" s="204">
        <f t="shared" ref="D17:H17" si="2">C17+5</f>
        <v>2030</v>
      </c>
      <c r="E17" s="204">
        <f t="shared" si="2"/>
        <v>2035</v>
      </c>
      <c r="F17" s="204">
        <f t="shared" si="2"/>
        <v>2040</v>
      </c>
      <c r="G17" s="204">
        <f t="shared" si="2"/>
        <v>2045</v>
      </c>
      <c r="H17" s="204">
        <f t="shared" si="2"/>
        <v>2050</v>
      </c>
      <c r="O17" s="26"/>
      <c r="P17" s="26" t="s">
        <v>111</v>
      </c>
      <c r="Q17" s="26">
        <v>23.4</v>
      </c>
      <c r="R17" s="26">
        <v>19.399999999999999</v>
      </c>
      <c r="S17" s="26">
        <v>15.3</v>
      </c>
      <c r="T17" s="26">
        <v>9.8000000000000007</v>
      </c>
      <c r="U17" s="26"/>
      <c r="V17" s="26"/>
      <c r="W17" s="26" t="s">
        <v>109</v>
      </c>
      <c r="X17" s="26">
        <v>11</v>
      </c>
      <c r="Y17" s="26">
        <v>10</v>
      </c>
      <c r="Z17" s="26">
        <v>8</v>
      </c>
      <c r="AA17" s="26">
        <v>10</v>
      </c>
      <c r="AB17" s="26">
        <v>8</v>
      </c>
      <c r="AC17" s="26">
        <v>10</v>
      </c>
      <c r="AD17" s="26">
        <v>8</v>
      </c>
      <c r="AE17" s="26">
        <v>10</v>
      </c>
      <c r="AF17" s="26">
        <v>8</v>
      </c>
      <c r="AG17" s="26"/>
      <c r="AH17" s="54" t="s">
        <v>109</v>
      </c>
      <c r="AI17" s="89">
        <v>8.9749615982581492</v>
      </c>
      <c r="AJ17" s="89">
        <v>9.0458621775000001</v>
      </c>
      <c r="AK17" s="89">
        <v>8.1053636415832493</v>
      </c>
      <c r="AL17" s="89">
        <v>7.5127388379789402</v>
      </c>
      <c r="AM17" s="89">
        <v>6.9825806803564703</v>
      </c>
      <c r="AN17" s="89">
        <v>6.5200187936538798</v>
      </c>
      <c r="AO17" s="89">
        <v>6.2059559775700297</v>
      </c>
      <c r="AP17" s="89">
        <v>5.9616571182789997</v>
      </c>
      <c r="AQ17" s="26"/>
    </row>
    <row r="18" spans="1:43">
      <c r="A18" s="202" t="s">
        <v>190</v>
      </c>
      <c r="B18" s="32">
        <v>24.157047003746801</v>
      </c>
      <c r="C18" s="32">
        <v>20.727227960913456</v>
      </c>
      <c r="D18" s="32">
        <v>17.297408918080112</v>
      </c>
      <c r="E18" s="32">
        <v>15.913446848164904</v>
      </c>
      <c r="F18" s="32">
        <v>14.529484778249696</v>
      </c>
      <c r="G18" s="32">
        <v>13.566728555699985</v>
      </c>
      <c r="H18" s="32">
        <v>12.603972333150276</v>
      </c>
      <c r="O18" s="26"/>
      <c r="P18" s="26" t="s">
        <v>97</v>
      </c>
      <c r="Q18" s="26">
        <v>46.7</v>
      </c>
      <c r="R18" s="26">
        <v>46.4</v>
      </c>
      <c r="S18" s="26">
        <v>45.9</v>
      </c>
      <c r="T18" s="26">
        <v>42.9</v>
      </c>
      <c r="U18" s="26"/>
      <c r="V18" s="26"/>
      <c r="W18" s="26" t="s">
        <v>110</v>
      </c>
      <c r="X18" s="26">
        <v>61</v>
      </c>
      <c r="Y18" s="26">
        <v>53</v>
      </c>
      <c r="Z18" s="26">
        <v>43</v>
      </c>
      <c r="AA18" s="26">
        <v>53</v>
      </c>
      <c r="AB18" s="26">
        <v>43</v>
      </c>
      <c r="AC18" s="26">
        <v>55</v>
      </c>
      <c r="AD18" s="26">
        <v>46</v>
      </c>
      <c r="AE18" s="26">
        <v>55</v>
      </c>
      <c r="AF18" s="26">
        <v>49</v>
      </c>
      <c r="AG18" s="26"/>
      <c r="AH18" s="54" t="s">
        <v>191</v>
      </c>
      <c r="AI18" s="89">
        <v>64.585579801064895</v>
      </c>
      <c r="AJ18" s="89">
        <v>57.716675851170898</v>
      </c>
      <c r="AK18" s="89">
        <v>51.9900555768942</v>
      </c>
      <c r="AL18" s="89">
        <v>47.007451639583003</v>
      </c>
      <c r="AM18" s="89">
        <v>42.599124332702601</v>
      </c>
      <c r="AN18" s="89">
        <v>38.902948926186497</v>
      </c>
      <c r="AO18" s="89">
        <v>35.663141297341298</v>
      </c>
      <c r="AP18" s="89">
        <v>33.271600806753497</v>
      </c>
      <c r="AQ18" s="26"/>
    </row>
    <row r="19" spans="1:43">
      <c r="A19" s="202" t="s">
        <v>109</v>
      </c>
      <c r="B19" s="32">
        <v>11.4</v>
      </c>
      <c r="C19" s="32">
        <v>10.225231346595564</v>
      </c>
      <c r="D19" s="32">
        <v>8.5332205646393486</v>
      </c>
      <c r="E19" s="32">
        <v>7.8504793719201746</v>
      </c>
      <c r="F19" s="32">
        <v>7.1677381792010006</v>
      </c>
      <c r="G19" s="32">
        <v>6.6927877842659225</v>
      </c>
      <c r="H19" s="32">
        <v>6.2178373893308452</v>
      </c>
      <c r="O19" s="26"/>
      <c r="P19" s="26" t="s">
        <v>98</v>
      </c>
      <c r="Q19" s="26">
        <v>21.4</v>
      </c>
      <c r="R19" s="26">
        <v>20.9</v>
      </c>
      <c r="S19" s="26">
        <v>24.9</v>
      </c>
      <c r="T19" s="26">
        <v>29.9</v>
      </c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</row>
    <row r="20" spans="1:43">
      <c r="A20" s="202" t="s">
        <v>191</v>
      </c>
      <c r="B20" s="32">
        <v>71.486715150511714</v>
      </c>
      <c r="C20" s="32">
        <v>61.337026867221169</v>
      </c>
      <c r="D20" s="32">
        <v>51.187338583930618</v>
      </c>
      <c r="E20" s="32">
        <v>47.091850329269519</v>
      </c>
      <c r="F20" s="32">
        <v>42.99636207460842</v>
      </c>
      <c r="G20" s="32">
        <v>40.147326767018086</v>
      </c>
      <c r="H20" s="32">
        <v>37.298291459427759</v>
      </c>
      <c r="AQ20" s="26"/>
    </row>
    <row r="21" spans="1:43">
      <c r="AQ21" s="26"/>
    </row>
    <row r="22" spans="1:43">
      <c r="A22" s="187" t="s">
        <v>92</v>
      </c>
      <c r="B22" s="471" t="s">
        <v>329</v>
      </c>
      <c r="C22" s="471"/>
      <c r="D22" s="471"/>
      <c r="E22" s="471"/>
      <c r="F22" s="471"/>
      <c r="G22" s="471"/>
      <c r="H22" s="471"/>
      <c r="AQ22" s="26"/>
    </row>
    <row r="23" spans="1:43"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</row>
    <row r="24" spans="1:43" ht="26.25">
      <c r="A24" s="348" t="s">
        <v>195</v>
      </c>
      <c r="B24" s="348"/>
      <c r="C24" s="348"/>
      <c r="D24" s="348"/>
      <c r="E24" s="348"/>
      <c r="F24" s="348"/>
      <c r="G24" s="348"/>
      <c r="H24" s="348"/>
      <c r="I24" s="348"/>
      <c r="J24" s="348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</row>
    <row r="26" spans="1:43" ht="18">
      <c r="A26" s="15" t="s">
        <v>6</v>
      </c>
      <c r="B26" t="s">
        <v>450</v>
      </c>
    </row>
    <row r="27" spans="1:43">
      <c r="P27" s="90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43">
      <c r="C28" s="30" t="s">
        <v>196</v>
      </c>
      <c r="D28" s="30" t="s">
        <v>127</v>
      </c>
      <c r="E28" s="30" t="s">
        <v>128</v>
      </c>
      <c r="F28" s="30" t="s">
        <v>129</v>
      </c>
      <c r="G28" s="30" t="s">
        <v>130</v>
      </c>
      <c r="H28" s="30" t="s">
        <v>132</v>
      </c>
      <c r="I28" s="30" t="s">
        <v>133</v>
      </c>
      <c r="P28" s="26" t="s">
        <v>7</v>
      </c>
      <c r="Q28" s="26"/>
      <c r="R28" s="26" t="s">
        <v>126</v>
      </c>
      <c r="S28" s="26" t="s">
        <v>127</v>
      </c>
      <c r="T28" s="26" t="s">
        <v>128</v>
      </c>
      <c r="U28" s="26" t="s">
        <v>129</v>
      </c>
      <c r="V28" s="26" t="s">
        <v>130</v>
      </c>
      <c r="W28" s="26" t="s">
        <v>131</v>
      </c>
      <c r="X28" s="26" t="s">
        <v>132</v>
      </c>
      <c r="Y28" s="26" t="s">
        <v>133</v>
      </c>
      <c r="Z28" s="26" t="s">
        <v>134</v>
      </c>
      <c r="AA28" s="26"/>
    </row>
    <row r="29" spans="1:43">
      <c r="A29" s="405" t="s">
        <v>144</v>
      </c>
      <c r="B29" s="28">
        <v>2020</v>
      </c>
      <c r="C29" s="43">
        <v>0.30436996905591907</v>
      </c>
      <c r="D29" s="43">
        <v>0.4755949508570973</v>
      </c>
      <c r="E29" s="43"/>
      <c r="F29" s="43">
        <v>0.14872764446813611</v>
      </c>
      <c r="G29" s="43">
        <v>6.0425857322091549E-3</v>
      </c>
      <c r="H29" s="43">
        <v>6.5264849886638152E-2</v>
      </c>
      <c r="I29" s="43"/>
      <c r="P29" s="307" t="s">
        <v>144</v>
      </c>
      <c r="Q29" s="88">
        <v>2015</v>
      </c>
      <c r="R29" s="91">
        <v>0.3</v>
      </c>
      <c r="S29" s="91">
        <v>0.34</v>
      </c>
      <c r="T29" s="91">
        <v>0.04</v>
      </c>
      <c r="U29" s="91">
        <v>0.1</v>
      </c>
      <c r="V29" s="91">
        <v>0</v>
      </c>
      <c r="W29" s="91">
        <v>0.05</v>
      </c>
      <c r="X29" s="91">
        <v>0.05</v>
      </c>
      <c r="Y29" s="91">
        <v>0.04</v>
      </c>
      <c r="Z29" s="91">
        <v>7.0000000000000007E-2</v>
      </c>
      <c r="AA29" s="26"/>
    </row>
    <row r="30" spans="1:43">
      <c r="A30" s="405"/>
      <c r="B30" s="28">
        <f t="shared" ref="B30:B35" si="3">B29+5</f>
        <v>2025</v>
      </c>
      <c r="C30" s="43">
        <v>0.36218498452795955</v>
      </c>
      <c r="D30" s="43">
        <v>0.45879747542854865</v>
      </c>
      <c r="E30" s="43"/>
      <c r="F30" s="43">
        <v>9.9363822234068061E-2</v>
      </c>
      <c r="G30" s="43">
        <v>7.0212928661045771E-3</v>
      </c>
      <c r="H30" s="43">
        <v>7.2632424943319077E-2</v>
      </c>
      <c r="I30" s="43"/>
      <c r="P30" s="307"/>
      <c r="Q30" s="88">
        <v>2030</v>
      </c>
      <c r="R30" s="91">
        <v>0.32</v>
      </c>
      <c r="S30" s="91">
        <v>0.32</v>
      </c>
      <c r="T30" s="91">
        <v>0</v>
      </c>
      <c r="U30" s="91">
        <v>0.02</v>
      </c>
      <c r="V30" s="91">
        <v>0</v>
      </c>
      <c r="W30" s="91">
        <v>0.15</v>
      </c>
      <c r="X30" s="91">
        <v>0.06</v>
      </c>
      <c r="Y30" s="91">
        <v>0.05</v>
      </c>
      <c r="Z30" s="91">
        <v>0.08</v>
      </c>
      <c r="AA30" s="26"/>
    </row>
    <row r="31" spans="1:43">
      <c r="A31" s="405"/>
      <c r="B31" s="28">
        <f t="shared" si="3"/>
        <v>2030</v>
      </c>
      <c r="C31" s="43">
        <v>0.42</v>
      </c>
      <c r="D31" s="43">
        <v>0.442</v>
      </c>
      <c r="E31" s="43"/>
      <c r="F31" s="43">
        <v>0.05</v>
      </c>
      <c r="G31" s="43">
        <v>8.0000000000000002E-3</v>
      </c>
      <c r="H31" s="43">
        <v>0.08</v>
      </c>
      <c r="I31" s="43"/>
      <c r="P31" s="307"/>
      <c r="Q31" s="88">
        <v>2050</v>
      </c>
      <c r="R31" s="91">
        <v>0.32</v>
      </c>
      <c r="S31" s="91">
        <v>0.25</v>
      </c>
      <c r="T31" s="91">
        <v>0</v>
      </c>
      <c r="U31" s="91">
        <v>0</v>
      </c>
      <c r="V31" s="91">
        <v>0</v>
      </c>
      <c r="W31" s="91">
        <v>0.24</v>
      </c>
      <c r="X31" s="88">
        <v>6</v>
      </c>
      <c r="Y31" s="91">
        <v>0.05</v>
      </c>
      <c r="Z31" s="91">
        <v>0.08</v>
      </c>
      <c r="AA31" s="26"/>
    </row>
    <row r="32" spans="1:43">
      <c r="A32" s="405"/>
      <c r="B32" s="28">
        <f t="shared" si="3"/>
        <v>2035</v>
      </c>
      <c r="C32" s="43">
        <v>0.46499999999999997</v>
      </c>
      <c r="D32" s="43">
        <v>0.40900000000000003</v>
      </c>
      <c r="E32" s="43"/>
      <c r="F32" s="43">
        <v>3.7500000000000006E-2</v>
      </c>
      <c r="G32" s="43">
        <v>8.5000000000000006E-3</v>
      </c>
      <c r="H32" s="43">
        <v>0.08</v>
      </c>
      <c r="I32" s="43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41">
      <c r="A33" s="405"/>
      <c r="B33" s="28">
        <f t="shared" si="3"/>
        <v>2040</v>
      </c>
      <c r="C33" s="43">
        <v>0.51</v>
      </c>
      <c r="D33" s="43">
        <v>0.376</v>
      </c>
      <c r="E33" s="43"/>
      <c r="F33" s="43">
        <v>2.5000000000000001E-2</v>
      </c>
      <c r="G33" s="43">
        <v>9.0000000000000011E-3</v>
      </c>
      <c r="H33" s="43">
        <v>0.08</v>
      </c>
      <c r="I33" s="43"/>
      <c r="P33" s="473" t="s">
        <v>154</v>
      </c>
      <c r="Q33" s="88">
        <v>2015</v>
      </c>
      <c r="R33" s="91">
        <v>0.62</v>
      </c>
      <c r="S33" s="91">
        <v>0.28000000000000003</v>
      </c>
      <c r="T33" s="88"/>
      <c r="U33" s="91">
        <v>0.1</v>
      </c>
      <c r="V33" s="88"/>
      <c r="W33" s="91"/>
      <c r="X33" s="88"/>
      <c r="Y33" s="88"/>
      <c r="Z33" s="88"/>
      <c r="AA33" s="26"/>
    </row>
    <row r="34" spans="1:41">
      <c r="A34" s="405"/>
      <c r="B34" s="28">
        <f t="shared" si="3"/>
        <v>2045</v>
      </c>
      <c r="C34" s="43">
        <v>0.55499999999999994</v>
      </c>
      <c r="D34" s="43">
        <v>0.34299999999999997</v>
      </c>
      <c r="E34" s="43"/>
      <c r="F34" s="43">
        <v>1.2500000000000001E-2</v>
      </c>
      <c r="G34" s="43">
        <v>9.5000000000000015E-3</v>
      </c>
      <c r="H34" s="43">
        <v>0.08</v>
      </c>
      <c r="I34" s="43"/>
      <c r="P34" s="473"/>
      <c r="Q34" s="88">
        <v>2030</v>
      </c>
      <c r="R34" s="91">
        <v>0.62</v>
      </c>
      <c r="S34" s="91">
        <v>0.28000000000000003</v>
      </c>
      <c r="T34" s="88"/>
      <c r="U34" s="91">
        <v>0.1</v>
      </c>
      <c r="V34" s="88"/>
      <c r="W34" s="91"/>
      <c r="X34" s="88"/>
      <c r="Y34" s="88"/>
      <c r="Z34" s="88"/>
      <c r="AA34" s="26"/>
    </row>
    <row r="35" spans="1:41">
      <c r="A35" s="405"/>
      <c r="B35" s="28">
        <f t="shared" si="3"/>
        <v>2050</v>
      </c>
      <c r="C35" s="43">
        <v>0.6</v>
      </c>
      <c r="D35" s="43">
        <v>0.31</v>
      </c>
      <c r="E35" s="43"/>
      <c r="F35" s="43">
        <v>0</v>
      </c>
      <c r="G35" s="43">
        <v>0.01</v>
      </c>
      <c r="H35" s="43">
        <v>0.08</v>
      </c>
      <c r="I35" s="43"/>
      <c r="P35" s="473"/>
      <c r="Q35" s="88">
        <v>2050</v>
      </c>
      <c r="R35" s="91">
        <v>0.62</v>
      </c>
      <c r="S35" s="91">
        <v>0.28000000000000003</v>
      </c>
      <c r="T35" s="88"/>
      <c r="U35" s="91">
        <v>0.1</v>
      </c>
      <c r="V35" s="88"/>
      <c r="W35" s="91"/>
      <c r="X35" s="88"/>
      <c r="Y35" s="88"/>
      <c r="Z35" s="88"/>
      <c r="AA35" s="26"/>
    </row>
    <row r="36" spans="1:41">
      <c r="A36" s="405" t="s">
        <v>146</v>
      </c>
      <c r="B36" s="28">
        <v>2020</v>
      </c>
      <c r="C36" s="43">
        <v>0.38145894795856289</v>
      </c>
      <c r="D36" s="43">
        <v>0.4908480359618167</v>
      </c>
      <c r="E36" s="43"/>
      <c r="F36" s="43">
        <v>0.121629632897873</v>
      </c>
      <c r="G36" s="43">
        <v>6.0633831817471636E-3</v>
      </c>
      <c r="H36" s="43"/>
      <c r="I36" s="43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41">
      <c r="A37" s="405"/>
      <c r="B37" s="28">
        <f t="shared" ref="B37:B42" si="4">B36+5</f>
        <v>2025</v>
      </c>
      <c r="C37" s="43">
        <v>0.39300000000000002</v>
      </c>
      <c r="D37" s="43">
        <v>0.49049999999999999</v>
      </c>
      <c r="E37" s="43"/>
      <c r="F37" s="43">
        <v>0.1105</v>
      </c>
      <c r="G37" s="43">
        <v>6.0000000000000001E-3</v>
      </c>
      <c r="H37" s="43"/>
      <c r="I37" s="43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41">
      <c r="A38" s="405"/>
      <c r="B38" s="28">
        <f t="shared" si="4"/>
        <v>2030</v>
      </c>
      <c r="C38" s="43">
        <v>0.40400000000000003</v>
      </c>
      <c r="D38" s="43">
        <v>0.49</v>
      </c>
      <c r="E38" s="43"/>
      <c r="F38" s="43">
        <v>0.1</v>
      </c>
      <c r="G38" s="43">
        <v>6.0000000000000001E-3</v>
      </c>
      <c r="H38" s="43"/>
      <c r="I38" s="43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41">
      <c r="A39" s="405"/>
      <c r="B39" s="28">
        <f t="shared" si="4"/>
        <v>2035</v>
      </c>
      <c r="C39" s="43">
        <v>0.40400000000000003</v>
      </c>
      <c r="D39" s="43">
        <v>0.49</v>
      </c>
      <c r="E39" s="43"/>
      <c r="F39" s="43">
        <v>0.1</v>
      </c>
      <c r="G39" s="43">
        <v>6.0000000000000001E-3</v>
      </c>
      <c r="H39" s="43"/>
      <c r="I39" s="43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41">
      <c r="A40" s="405"/>
      <c r="B40" s="28">
        <f t="shared" si="4"/>
        <v>2040</v>
      </c>
      <c r="C40" s="43">
        <v>0.40400000000000003</v>
      </c>
      <c r="D40" s="43">
        <v>0.49</v>
      </c>
      <c r="E40" s="43"/>
      <c r="F40" s="43">
        <v>0.1</v>
      </c>
      <c r="G40" s="43">
        <v>6.0000000000000001E-3</v>
      </c>
      <c r="H40" s="43"/>
      <c r="I40" s="43"/>
    </row>
    <row r="41" spans="1:41">
      <c r="A41" s="405"/>
      <c r="B41" s="28">
        <f t="shared" si="4"/>
        <v>2045</v>
      </c>
      <c r="C41" s="43">
        <v>0.40400000000000003</v>
      </c>
      <c r="D41" s="43">
        <v>0.49</v>
      </c>
      <c r="E41" s="43"/>
      <c r="F41" s="43">
        <v>0.1</v>
      </c>
      <c r="G41" s="43">
        <v>6.0000000000000001E-3</v>
      </c>
      <c r="H41" s="43"/>
      <c r="I41" s="43"/>
    </row>
    <row r="42" spans="1:41">
      <c r="A42" s="405"/>
      <c r="B42" s="28">
        <f t="shared" si="4"/>
        <v>2050</v>
      </c>
      <c r="C42" s="43">
        <v>0.40400000000000003</v>
      </c>
      <c r="D42" s="43">
        <v>0.49</v>
      </c>
      <c r="E42" s="43"/>
      <c r="F42" s="43">
        <v>0.1</v>
      </c>
      <c r="G42" s="43">
        <v>6.0000000000000001E-3</v>
      </c>
      <c r="H42" s="43"/>
      <c r="I42" s="43"/>
    </row>
    <row r="44" spans="1:41" ht="18">
      <c r="A44" s="15" t="s">
        <v>19</v>
      </c>
    </row>
    <row r="45" spans="1:41" ht="13.5" customHeight="1">
      <c r="C45" s="30" t="s">
        <v>196</v>
      </c>
      <c r="D45" s="30" t="s">
        <v>127</v>
      </c>
      <c r="E45" s="30" t="s">
        <v>128</v>
      </c>
      <c r="F45" s="30" t="s">
        <v>129</v>
      </c>
      <c r="G45" s="30" t="s">
        <v>130</v>
      </c>
      <c r="H45" s="30" t="s">
        <v>132</v>
      </c>
      <c r="I45" s="30" t="s">
        <v>133</v>
      </c>
    </row>
    <row r="46" spans="1:41">
      <c r="A46" s="405" t="s">
        <v>144</v>
      </c>
      <c r="B46" s="28">
        <v>2020</v>
      </c>
      <c r="C46" s="43">
        <v>0.30436996905591907</v>
      </c>
      <c r="D46" s="43">
        <v>0.4755949508570973</v>
      </c>
      <c r="E46" s="43"/>
      <c r="F46" s="43">
        <v>0.14872764446813611</v>
      </c>
      <c r="G46" s="43">
        <v>6.0425857322091549E-3</v>
      </c>
      <c r="H46" s="43">
        <v>6.5264849886638152E-2</v>
      </c>
      <c r="I46" s="43">
        <v>0</v>
      </c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45"/>
      <c r="AH46" s="45"/>
      <c r="AI46" s="26"/>
      <c r="AJ46" s="26"/>
      <c r="AK46" s="26"/>
      <c r="AL46" s="26"/>
      <c r="AM46" s="26"/>
      <c r="AN46" s="26"/>
      <c r="AO46" s="26"/>
    </row>
    <row r="47" spans="1:41">
      <c r="A47" s="405"/>
      <c r="B47" s="28">
        <f t="shared" ref="B47:B52" si="5">B46+5</f>
        <v>2025</v>
      </c>
      <c r="C47" s="43">
        <v>0.39718498452795953</v>
      </c>
      <c r="D47" s="43">
        <v>0.39279747542854865</v>
      </c>
      <c r="E47" s="43"/>
      <c r="F47" s="43">
        <v>8.4363822234068048E-2</v>
      </c>
      <c r="G47" s="43">
        <v>1.8021292866104578E-2</v>
      </c>
      <c r="H47" s="43">
        <v>8.2632424943319072E-2</v>
      </c>
      <c r="I47" s="43">
        <v>2.5000000000000001E-2</v>
      </c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45" t="s">
        <v>155</v>
      </c>
      <c r="AE47" s="26"/>
      <c r="AF47" s="45" t="s">
        <v>156</v>
      </c>
      <c r="AG47" s="26"/>
      <c r="AH47" s="26"/>
      <c r="AI47" s="26"/>
      <c r="AJ47" s="26"/>
      <c r="AK47" s="26"/>
      <c r="AL47" s="26"/>
      <c r="AM47" s="26"/>
      <c r="AN47" s="26"/>
      <c r="AO47" s="26"/>
    </row>
    <row r="48" spans="1:41">
      <c r="A48" s="405"/>
      <c r="B48" s="28">
        <f t="shared" si="5"/>
        <v>2030</v>
      </c>
      <c r="C48" s="43">
        <v>0.49</v>
      </c>
      <c r="D48" s="43">
        <v>0.31</v>
      </c>
      <c r="E48" s="43"/>
      <c r="F48" s="43">
        <v>0.02</v>
      </c>
      <c r="G48" s="43">
        <v>0.03</v>
      </c>
      <c r="H48" s="43">
        <v>0.1</v>
      </c>
      <c r="I48" s="43">
        <v>0.05</v>
      </c>
      <c r="P48" s="26" t="s">
        <v>20</v>
      </c>
      <c r="Q48" s="26"/>
      <c r="R48" s="26" t="s">
        <v>126</v>
      </c>
      <c r="S48" s="26" t="s">
        <v>127</v>
      </c>
      <c r="T48" s="26" t="s">
        <v>128</v>
      </c>
      <c r="U48" s="26" t="s">
        <v>129</v>
      </c>
      <c r="V48" s="26" t="s">
        <v>130</v>
      </c>
      <c r="W48" s="26" t="s">
        <v>131</v>
      </c>
      <c r="X48" s="26" t="s">
        <v>132</v>
      </c>
      <c r="Y48" s="26" t="s">
        <v>133</v>
      </c>
      <c r="Z48" s="26" t="s">
        <v>134</v>
      </c>
      <c r="AA48" s="26"/>
      <c r="AB48" s="26"/>
      <c r="AC48" s="26"/>
      <c r="AD48" s="92" t="s">
        <v>157</v>
      </c>
      <c r="AE48" s="54"/>
      <c r="AF48" s="54" t="s">
        <v>126</v>
      </c>
      <c r="AG48" s="54" t="s">
        <v>127</v>
      </c>
      <c r="AH48" s="54" t="s">
        <v>128</v>
      </c>
      <c r="AI48" s="54" t="s">
        <v>129</v>
      </c>
      <c r="AJ48" s="54" t="s">
        <v>130</v>
      </c>
      <c r="AK48" s="54" t="s">
        <v>131</v>
      </c>
      <c r="AL48" s="54" t="s">
        <v>152</v>
      </c>
      <c r="AM48" s="54" t="s">
        <v>133</v>
      </c>
      <c r="AN48" s="54" t="s">
        <v>134</v>
      </c>
      <c r="AO48" s="26"/>
    </row>
    <row r="49" spans="1:41">
      <c r="A49" s="405"/>
      <c r="B49" s="28">
        <f t="shared" si="5"/>
        <v>2035</v>
      </c>
      <c r="C49" s="43">
        <v>0.55249999999999999</v>
      </c>
      <c r="D49" s="43">
        <v>0.25</v>
      </c>
      <c r="E49" s="43"/>
      <c r="F49" s="43">
        <v>0</v>
      </c>
      <c r="G49" s="43">
        <v>0.03</v>
      </c>
      <c r="H49" s="43">
        <v>0.10500000000000001</v>
      </c>
      <c r="I49" s="43">
        <v>6.25E-2</v>
      </c>
      <c r="P49" s="307" t="s">
        <v>144</v>
      </c>
      <c r="Q49" s="88">
        <v>2015</v>
      </c>
      <c r="R49" s="93">
        <v>0.29596380321351401</v>
      </c>
      <c r="S49" s="93">
        <v>0.34476771821396901</v>
      </c>
      <c r="T49" s="93">
        <v>4.4276957985255598E-2</v>
      </c>
      <c r="U49" s="93">
        <v>0.10220548479180799</v>
      </c>
      <c r="V49" s="93">
        <v>0</v>
      </c>
      <c r="W49" s="93">
        <v>4.6190882582455697E-2</v>
      </c>
      <c r="X49" s="93">
        <v>5.3031871354058999E-2</v>
      </c>
      <c r="Y49" s="93">
        <v>4.4276957985255598E-2</v>
      </c>
      <c r="Z49" s="93">
        <v>6.9286323873683997E-2</v>
      </c>
      <c r="AA49" s="26"/>
      <c r="AB49" s="26"/>
      <c r="AC49" s="26"/>
      <c r="AD49" s="472" t="s">
        <v>144</v>
      </c>
      <c r="AE49" s="54">
        <v>2015</v>
      </c>
      <c r="AF49" s="94">
        <v>0.30848501930126099</v>
      </c>
      <c r="AG49" s="94">
        <v>0.47844389558517703</v>
      </c>
      <c r="AH49" s="94">
        <v>0</v>
      </c>
      <c r="AI49" s="94">
        <v>0.16479045013994501</v>
      </c>
      <c r="AJ49" s="94">
        <v>9.7221935754176602E-3</v>
      </c>
      <c r="AK49" s="94">
        <v>-1.86291885413769E-2</v>
      </c>
      <c r="AL49" s="94">
        <v>5.71876299395764E-2</v>
      </c>
      <c r="AM49" s="94">
        <v>0</v>
      </c>
      <c r="AN49" s="94">
        <v>0</v>
      </c>
      <c r="AO49" s="26"/>
    </row>
    <row r="50" spans="1:41">
      <c r="A50" s="405"/>
      <c r="B50" s="28">
        <f t="shared" si="5"/>
        <v>2040</v>
      </c>
      <c r="C50" s="43">
        <v>0.57999999999999996</v>
      </c>
      <c r="D50" s="43">
        <v>0.20500000000000002</v>
      </c>
      <c r="E50" s="43"/>
      <c r="F50" s="43">
        <v>0</v>
      </c>
      <c r="G50" s="43">
        <v>0.03</v>
      </c>
      <c r="H50" s="43">
        <v>0.11</v>
      </c>
      <c r="I50" s="43">
        <v>7.5000000000000011E-2</v>
      </c>
      <c r="P50" s="307"/>
      <c r="Q50" s="88">
        <v>2030</v>
      </c>
      <c r="R50" s="93">
        <v>0.32</v>
      </c>
      <c r="S50" s="93">
        <v>0.32</v>
      </c>
      <c r="T50" s="93">
        <v>0</v>
      </c>
      <c r="U50" s="93">
        <v>0.02</v>
      </c>
      <c r="V50" s="93">
        <v>0</v>
      </c>
      <c r="W50" s="93">
        <v>0.15</v>
      </c>
      <c r="X50" s="93">
        <v>0.06</v>
      </c>
      <c r="Y50" s="93">
        <v>0.05</v>
      </c>
      <c r="Z50" s="93">
        <v>0.08</v>
      </c>
      <c r="AA50" s="26"/>
      <c r="AB50" s="26"/>
      <c r="AC50" s="26"/>
      <c r="AD50" s="472"/>
      <c r="AE50" s="54">
        <v>2030</v>
      </c>
      <c r="AF50" s="94">
        <v>0.26664099886069298</v>
      </c>
      <c r="AG50" s="94">
        <v>0.449782719823278</v>
      </c>
      <c r="AH50" s="94">
        <v>0</v>
      </c>
      <c r="AI50" s="94">
        <v>0.133150440156169</v>
      </c>
      <c r="AJ50" s="94">
        <v>4.40945246344258E-2</v>
      </c>
      <c r="AK50" s="94">
        <v>-4.7704700456802102E-3</v>
      </c>
      <c r="AL50" s="94">
        <v>9.8151807605843702E-2</v>
      </c>
      <c r="AM50" s="94">
        <v>5.4131471289505201E-4</v>
      </c>
      <c r="AN50" s="94">
        <v>1.24086642523745E-2</v>
      </c>
      <c r="AO50" s="26"/>
    </row>
    <row r="51" spans="1:41">
      <c r="A51" s="405"/>
      <c r="B51" s="28">
        <f t="shared" si="5"/>
        <v>2045</v>
      </c>
      <c r="C51" s="43">
        <v>0.61499999999999999</v>
      </c>
      <c r="D51" s="43">
        <v>0.15250000000000002</v>
      </c>
      <c r="E51" s="43"/>
      <c r="F51" s="43">
        <v>0</v>
      </c>
      <c r="G51" s="43">
        <v>0.03</v>
      </c>
      <c r="H51" s="43">
        <v>0.11499999999999999</v>
      </c>
      <c r="I51" s="43">
        <v>8.7500000000000008E-2</v>
      </c>
      <c r="P51" s="307"/>
      <c r="Q51" s="88">
        <v>2050</v>
      </c>
      <c r="R51" s="93">
        <v>0.01</v>
      </c>
      <c r="S51" s="93">
        <v>0.1</v>
      </c>
      <c r="T51" s="93">
        <v>0</v>
      </c>
      <c r="U51" s="93">
        <v>0</v>
      </c>
      <c r="V51" s="93">
        <v>0</v>
      </c>
      <c r="W51" s="93">
        <v>0.63</v>
      </c>
      <c r="X51" s="93">
        <v>5.7000000000000002E-2</v>
      </c>
      <c r="Y51" s="93">
        <v>0.20300000000000001</v>
      </c>
      <c r="Z51" s="93">
        <v>0</v>
      </c>
      <c r="AA51" s="26"/>
      <c r="AB51" s="26"/>
      <c r="AC51" s="26"/>
      <c r="AD51" s="472"/>
      <c r="AE51" s="54">
        <v>2050</v>
      </c>
      <c r="AF51" s="94">
        <v>2.06834499080428E-2</v>
      </c>
      <c r="AG51" s="94">
        <v>0.21270050613842501</v>
      </c>
      <c r="AH51" s="94">
        <v>0</v>
      </c>
      <c r="AI51" s="94">
        <v>0</v>
      </c>
      <c r="AJ51" s="94">
        <v>0.22333553144534701</v>
      </c>
      <c r="AK51" s="94">
        <v>8.21152303949233E-2</v>
      </c>
      <c r="AL51" s="94">
        <v>0.28714568328687401</v>
      </c>
      <c r="AM51" s="94">
        <v>9.5426298877431606E-3</v>
      </c>
      <c r="AN51" s="94">
        <v>0.164476968938644</v>
      </c>
      <c r="AO51" s="26"/>
    </row>
    <row r="52" spans="1:41">
      <c r="A52" s="405"/>
      <c r="B52" s="28">
        <f t="shared" si="5"/>
        <v>2050</v>
      </c>
      <c r="C52" s="43">
        <v>0.65</v>
      </c>
      <c r="D52" s="43">
        <v>0.1</v>
      </c>
      <c r="E52" s="43"/>
      <c r="F52" s="43">
        <v>0</v>
      </c>
      <c r="G52" s="43">
        <v>0.03</v>
      </c>
      <c r="H52" s="43">
        <v>0.12</v>
      </c>
      <c r="I52" s="43">
        <v>0.1</v>
      </c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26"/>
    </row>
    <row r="53" spans="1:41">
      <c r="A53" s="405" t="s">
        <v>146</v>
      </c>
      <c r="B53" s="28">
        <v>2020</v>
      </c>
      <c r="C53" s="43">
        <v>0.38145894795856289</v>
      </c>
      <c r="D53" s="43">
        <v>0.4908480359618167</v>
      </c>
      <c r="E53" s="43"/>
      <c r="F53" s="43">
        <v>0.121629632897873</v>
      </c>
      <c r="G53" s="43">
        <v>6.0633831817471636E-3</v>
      </c>
      <c r="H53" s="43"/>
      <c r="I53" s="43"/>
      <c r="P53" s="473" t="s">
        <v>154</v>
      </c>
      <c r="Q53" s="88">
        <v>2015</v>
      </c>
      <c r="R53" s="93">
        <v>0.61631512642602804</v>
      </c>
      <c r="S53" s="93">
        <v>0.28354316367266802</v>
      </c>
      <c r="T53" s="93">
        <v>0</v>
      </c>
      <c r="U53" s="93">
        <v>0.100141709901304</v>
      </c>
      <c r="V53" s="93">
        <v>0</v>
      </c>
      <c r="W53" s="93">
        <v>0</v>
      </c>
      <c r="X53" s="93">
        <v>0</v>
      </c>
      <c r="Y53" s="93">
        <v>0</v>
      </c>
      <c r="Z53" s="93">
        <v>0</v>
      </c>
      <c r="AA53" s="26"/>
      <c r="AB53" s="26"/>
      <c r="AC53" s="26"/>
      <c r="AD53" s="474" t="s">
        <v>154</v>
      </c>
      <c r="AE53" s="54">
        <v>2015</v>
      </c>
      <c r="AF53" s="94">
        <v>0.44058055663972501</v>
      </c>
      <c r="AG53" s="94">
        <v>0.45446474801494102</v>
      </c>
      <c r="AH53" s="54"/>
      <c r="AI53" s="94">
        <v>0.104954695345334</v>
      </c>
      <c r="AJ53" s="54"/>
      <c r="AK53" s="94"/>
      <c r="AL53" s="54"/>
      <c r="AM53" s="54"/>
      <c r="AN53" s="54"/>
      <c r="AO53" s="26"/>
    </row>
    <row r="54" spans="1:41">
      <c r="A54" s="405"/>
      <c r="B54" s="28">
        <f t="shared" ref="B54:B59" si="6">B53+5</f>
        <v>2025</v>
      </c>
      <c r="C54" s="43">
        <v>0.54600000000000004</v>
      </c>
      <c r="D54" s="43">
        <v>0.38550000000000001</v>
      </c>
      <c r="E54" s="43"/>
      <c r="F54" s="43">
        <v>6.0499999999999998E-2</v>
      </c>
      <c r="G54" s="43">
        <v>8.0000000000000002E-3</v>
      </c>
      <c r="H54" s="43"/>
      <c r="I54" s="43"/>
      <c r="P54" s="473"/>
      <c r="Q54" s="88">
        <v>2030</v>
      </c>
      <c r="R54" s="93">
        <v>0.61631512642602804</v>
      </c>
      <c r="S54" s="93">
        <v>0.28354316367266802</v>
      </c>
      <c r="T54" s="93">
        <v>0</v>
      </c>
      <c r="U54" s="93">
        <v>0.100141709901304</v>
      </c>
      <c r="V54" s="93">
        <v>0</v>
      </c>
      <c r="W54" s="93">
        <v>0</v>
      </c>
      <c r="X54" s="93">
        <v>0</v>
      </c>
      <c r="Y54" s="93">
        <v>0</v>
      </c>
      <c r="Z54" s="93">
        <v>0</v>
      </c>
      <c r="AA54" s="26"/>
      <c r="AB54" s="26"/>
      <c r="AC54" s="26"/>
      <c r="AD54" s="474"/>
      <c r="AE54" s="54">
        <v>2030</v>
      </c>
      <c r="AF54" s="94">
        <v>0.57451986978709602</v>
      </c>
      <c r="AG54" s="94">
        <v>0.42382800561380801</v>
      </c>
      <c r="AH54" s="54"/>
      <c r="AI54" s="94">
        <v>1.6521245990967499E-3</v>
      </c>
      <c r="AJ54" s="54"/>
      <c r="AK54" s="94"/>
      <c r="AL54" s="54"/>
      <c r="AM54" s="54"/>
      <c r="AN54" s="54"/>
      <c r="AO54" s="26"/>
    </row>
    <row r="55" spans="1:41">
      <c r="A55" s="405"/>
      <c r="B55" s="28">
        <f t="shared" si="6"/>
        <v>2030</v>
      </c>
      <c r="C55" s="43">
        <v>0.71</v>
      </c>
      <c r="D55" s="43">
        <v>0.28000000000000003</v>
      </c>
      <c r="E55" s="43"/>
      <c r="F55" s="43">
        <v>0</v>
      </c>
      <c r="G55" s="43">
        <v>0.01</v>
      </c>
      <c r="H55" s="43"/>
      <c r="I55" s="43"/>
      <c r="P55" s="473"/>
      <c r="Q55" s="88">
        <v>2050</v>
      </c>
      <c r="R55" s="93">
        <v>0.88300000000000001</v>
      </c>
      <c r="S55" s="93">
        <v>0.1</v>
      </c>
      <c r="T55" s="93">
        <v>0</v>
      </c>
      <c r="U55" s="93">
        <v>1.7000000000000001E-2</v>
      </c>
      <c r="V55" s="93">
        <v>0</v>
      </c>
      <c r="W55" s="93">
        <v>0</v>
      </c>
      <c r="X55" s="93">
        <v>0</v>
      </c>
      <c r="Y55" s="93">
        <v>0</v>
      </c>
      <c r="Z55" s="93">
        <v>0</v>
      </c>
      <c r="AA55" s="26"/>
      <c r="AB55" s="26"/>
      <c r="AC55" s="26"/>
      <c r="AD55" s="474"/>
      <c r="AE55" s="54">
        <v>2050</v>
      </c>
      <c r="AF55" s="94">
        <v>0.57474695449886204</v>
      </c>
      <c r="AG55" s="94">
        <v>0.42525304550113802</v>
      </c>
      <c r="AH55" s="54"/>
      <c r="AI55" s="94">
        <v>0</v>
      </c>
      <c r="AJ55" s="54"/>
      <c r="AK55" s="94"/>
      <c r="AL55" s="54"/>
      <c r="AM55" s="54"/>
      <c r="AN55" s="54"/>
      <c r="AO55" s="26"/>
    </row>
    <row r="56" spans="1:41">
      <c r="A56" s="405"/>
      <c r="B56" s="28">
        <f t="shared" si="6"/>
        <v>2035</v>
      </c>
      <c r="C56" s="43">
        <v>0.75749999999999995</v>
      </c>
      <c r="D56" s="43">
        <v>0.23250000000000001</v>
      </c>
      <c r="E56" s="43"/>
      <c r="F56" s="43">
        <v>0</v>
      </c>
      <c r="G56" s="43">
        <v>0.01</v>
      </c>
      <c r="H56" s="43"/>
      <c r="I56" s="43"/>
    </row>
    <row r="57" spans="1:41">
      <c r="A57" s="405"/>
      <c r="B57" s="28">
        <f t="shared" si="6"/>
        <v>2040</v>
      </c>
      <c r="C57" s="43">
        <v>0.80500000000000005</v>
      </c>
      <c r="D57" s="43">
        <v>0.185</v>
      </c>
      <c r="E57" s="43"/>
      <c r="F57" s="43">
        <v>0</v>
      </c>
      <c r="G57" s="43">
        <v>0.01</v>
      </c>
      <c r="H57" s="43"/>
      <c r="I57" s="43"/>
    </row>
    <row r="58" spans="1:41">
      <c r="A58" s="405"/>
      <c r="B58" s="28">
        <f t="shared" si="6"/>
        <v>2045</v>
      </c>
      <c r="C58" s="43">
        <v>0.85250000000000004</v>
      </c>
      <c r="D58" s="43">
        <v>0.13750000000000001</v>
      </c>
      <c r="E58" s="43"/>
      <c r="F58" s="43">
        <v>0</v>
      </c>
      <c r="G58" s="43">
        <v>0.01</v>
      </c>
      <c r="H58" s="43"/>
      <c r="I58" s="43"/>
    </row>
    <row r="59" spans="1:41">
      <c r="A59" s="405"/>
      <c r="B59" s="28">
        <f t="shared" si="6"/>
        <v>2050</v>
      </c>
      <c r="C59" s="43">
        <v>0.9</v>
      </c>
      <c r="D59" s="43">
        <v>0.09</v>
      </c>
      <c r="E59" s="43"/>
      <c r="F59" s="43">
        <v>0</v>
      </c>
      <c r="G59" s="43">
        <v>0.01</v>
      </c>
      <c r="H59" s="43"/>
      <c r="I59" s="43"/>
    </row>
    <row r="63" spans="1:41" ht="26.25">
      <c r="A63" s="348" t="s">
        <v>229</v>
      </c>
      <c r="B63" s="348"/>
      <c r="C63" s="348"/>
      <c r="D63" s="348"/>
      <c r="E63" s="348"/>
      <c r="F63" s="348"/>
      <c r="G63" s="348"/>
      <c r="H63" s="348"/>
      <c r="I63" s="348"/>
      <c r="J63" s="348"/>
    </row>
    <row r="65" spans="1:9">
      <c r="A65" s="187" t="s">
        <v>339</v>
      </c>
      <c r="B65" s="368" t="s">
        <v>340</v>
      </c>
      <c r="C65" s="368"/>
      <c r="D65" s="368"/>
      <c r="E65" s="368"/>
      <c r="F65" s="368"/>
      <c r="G65" s="368"/>
      <c r="H65" s="368"/>
      <c r="I65" s="368"/>
    </row>
    <row r="67" spans="1:9">
      <c r="B67" s="475" t="s">
        <v>332</v>
      </c>
      <c r="C67" s="475"/>
      <c r="D67" s="475"/>
      <c r="E67" s="475"/>
      <c r="F67" s="475"/>
      <c r="G67" s="475"/>
      <c r="H67" s="475"/>
      <c r="I67" s="475"/>
    </row>
    <row r="68" spans="1:9">
      <c r="B68" s="470" t="s">
        <v>6</v>
      </c>
      <c r="C68" s="470"/>
      <c r="D68" s="470"/>
      <c r="E68" s="470"/>
      <c r="F68" s="470" t="s">
        <v>19</v>
      </c>
      <c r="G68" s="470"/>
      <c r="H68" s="470"/>
      <c r="I68" s="470"/>
    </row>
    <row r="69" spans="1:9">
      <c r="B69" s="204">
        <v>2020</v>
      </c>
      <c r="C69" s="204">
        <v>2030</v>
      </c>
      <c r="D69" s="204">
        <v>2040</v>
      </c>
      <c r="E69" s="204">
        <v>2050</v>
      </c>
      <c r="F69" s="204">
        <v>2020</v>
      </c>
      <c r="G69" s="204">
        <v>2030</v>
      </c>
      <c r="H69" s="204">
        <v>2040</v>
      </c>
      <c r="I69" s="204">
        <v>2050</v>
      </c>
    </row>
    <row r="70" spans="1:9">
      <c r="A70" s="207" t="s">
        <v>309</v>
      </c>
      <c r="B70" s="206">
        <v>0.64</v>
      </c>
      <c r="C70" s="206">
        <v>0.74561163625966664</v>
      </c>
      <c r="D70" s="206">
        <v>0.83342141060747543</v>
      </c>
      <c r="E70" s="206">
        <v>0.95169329111252798</v>
      </c>
      <c r="F70" s="206">
        <v>0.64</v>
      </c>
      <c r="G70" s="206">
        <v>0.74561163625966664</v>
      </c>
      <c r="H70" s="206">
        <v>0.83342141060747543</v>
      </c>
      <c r="I70" s="206">
        <v>0.95169329111252798</v>
      </c>
    </row>
    <row r="71" spans="1:9">
      <c r="A71" s="207" t="s">
        <v>333</v>
      </c>
      <c r="B71" s="206">
        <v>0.55176919304714811</v>
      </c>
      <c r="C71" s="206">
        <v>0.65803049601027597</v>
      </c>
      <c r="D71" s="206">
        <v>0.79007168328931565</v>
      </c>
      <c r="E71" s="206">
        <v>0.94738018274747127</v>
      </c>
      <c r="F71" s="206">
        <v>0.55176919304714811</v>
      </c>
      <c r="G71" s="206">
        <v>0.65803049601027597</v>
      </c>
      <c r="H71" s="206">
        <v>0.79007168328931565</v>
      </c>
      <c r="I71" s="206">
        <v>0.94738018274747127</v>
      </c>
    </row>
    <row r="72" spans="1:9">
      <c r="A72" s="207" t="s">
        <v>334</v>
      </c>
      <c r="B72" s="206">
        <v>0.41745265457331937</v>
      </c>
      <c r="C72" s="206">
        <v>0.53108286690033679</v>
      </c>
      <c r="D72" s="206">
        <v>0.69397345295988366</v>
      </c>
      <c r="E72" s="206">
        <v>0.91210104856825147</v>
      </c>
      <c r="F72" s="206">
        <v>0.41745265457331937</v>
      </c>
      <c r="G72" s="206">
        <v>0.53108286690033679</v>
      </c>
      <c r="H72" s="206">
        <v>0.69397345295988366</v>
      </c>
      <c r="I72" s="206">
        <v>0.91210104856825147</v>
      </c>
    </row>
    <row r="73" spans="1:9">
      <c r="A73" s="207" t="s">
        <v>335</v>
      </c>
      <c r="B73" s="206">
        <v>0.46256223021394904</v>
      </c>
      <c r="C73" s="206">
        <v>0.56905805560277067</v>
      </c>
      <c r="D73" s="206">
        <v>0.72511899937529134</v>
      </c>
      <c r="E73" s="206">
        <v>0.94962285257523105</v>
      </c>
      <c r="F73" s="206">
        <v>0.46256223021394904</v>
      </c>
      <c r="G73" s="206">
        <v>0.56905805560277067</v>
      </c>
      <c r="H73" s="206">
        <v>0.72511899937529134</v>
      </c>
      <c r="I73" s="206">
        <v>0.94962285257523105</v>
      </c>
    </row>
    <row r="74" spans="1:9">
      <c r="A74" s="207" t="s">
        <v>336</v>
      </c>
      <c r="B74" s="206">
        <v>0.21017455937877239</v>
      </c>
      <c r="C74" s="206">
        <v>0.3311288622532102</v>
      </c>
      <c r="D74" s="206">
        <v>0.5503769918325766</v>
      </c>
      <c r="E74" s="206">
        <v>0.94978364834216733</v>
      </c>
      <c r="F74" s="206">
        <v>0.21017455937877239</v>
      </c>
      <c r="G74" s="206">
        <v>0.31293969697377583</v>
      </c>
      <c r="H74" s="206">
        <v>0.49144226124736395</v>
      </c>
      <c r="I74" s="206">
        <v>0.80110426246927302</v>
      </c>
    </row>
    <row r="75" spans="1:9">
      <c r="A75" s="207" t="s">
        <v>311</v>
      </c>
      <c r="B75" s="206">
        <v>6.7000000000000004E-2</v>
      </c>
      <c r="C75" s="206">
        <v>0.35</v>
      </c>
      <c r="D75" s="206">
        <v>0.65</v>
      </c>
      <c r="E75" s="206">
        <v>0.9</v>
      </c>
      <c r="F75" s="206">
        <v>6.7000000000000004E-2</v>
      </c>
      <c r="G75" s="206">
        <v>0.35</v>
      </c>
      <c r="H75" s="206">
        <v>0.65</v>
      </c>
      <c r="I75" s="206">
        <v>0.9</v>
      </c>
    </row>
    <row r="76" spans="1:9">
      <c r="A76" s="207" t="s">
        <v>312</v>
      </c>
      <c r="B76" s="206">
        <v>0.15523075128500144</v>
      </c>
      <c r="C76" s="206">
        <v>0.27109693620385039</v>
      </c>
      <c r="D76" s="206">
        <v>0.50091601221698745</v>
      </c>
      <c r="E76" s="206">
        <v>0.9496968597865606</v>
      </c>
      <c r="F76" s="206">
        <v>0.15523075128500144</v>
      </c>
      <c r="G76" s="206">
        <v>0.27109693620385039</v>
      </c>
      <c r="H76" s="206">
        <v>0.50091601221698745</v>
      </c>
      <c r="I76" s="206">
        <v>0.9496968597865606</v>
      </c>
    </row>
    <row r="77" spans="1:9">
      <c r="A77" s="207" t="s">
        <v>337</v>
      </c>
      <c r="B77" s="206">
        <v>0.14271082649478137</v>
      </c>
      <c r="C77" s="206">
        <v>0.18825699184555564</v>
      </c>
      <c r="D77" s="206">
        <v>0.34435117225329009</v>
      </c>
      <c r="E77" s="206">
        <v>0.7999475073598985</v>
      </c>
      <c r="F77" s="206">
        <v>0.14271082649478137</v>
      </c>
      <c r="G77" s="206">
        <v>0.18825699184555564</v>
      </c>
      <c r="H77" s="206">
        <v>0.34435117225329009</v>
      </c>
      <c r="I77" s="206">
        <v>0.7999475073598985</v>
      </c>
    </row>
    <row r="78" spans="1:9">
      <c r="A78" s="207" t="s">
        <v>338</v>
      </c>
      <c r="B78" s="206">
        <v>1</v>
      </c>
      <c r="C78" s="206">
        <v>1</v>
      </c>
      <c r="D78" s="206">
        <v>1</v>
      </c>
      <c r="E78" s="206">
        <v>1</v>
      </c>
      <c r="F78" s="206">
        <v>1</v>
      </c>
      <c r="G78" s="206">
        <v>1</v>
      </c>
      <c r="H78" s="206">
        <v>1</v>
      </c>
      <c r="I78" s="206">
        <v>1</v>
      </c>
    </row>
    <row r="80" spans="1:9">
      <c r="B80" s="475" t="s">
        <v>347</v>
      </c>
      <c r="C80" s="475"/>
      <c r="D80" s="475"/>
      <c r="E80" s="475"/>
      <c r="F80" s="475"/>
      <c r="G80" s="475"/>
      <c r="H80" s="475"/>
      <c r="I80" s="475"/>
    </row>
    <row r="81" spans="1:10">
      <c r="B81" s="470" t="s">
        <v>6</v>
      </c>
      <c r="C81" s="470"/>
      <c r="D81" s="470"/>
      <c r="E81" s="470"/>
      <c r="F81" s="470" t="s">
        <v>19</v>
      </c>
      <c r="G81" s="470"/>
      <c r="H81" s="470"/>
      <c r="I81" s="470"/>
    </row>
    <row r="82" spans="1:10">
      <c r="B82" s="17">
        <v>2020</v>
      </c>
      <c r="C82" s="17">
        <v>2030</v>
      </c>
      <c r="D82" s="17">
        <v>2040</v>
      </c>
      <c r="E82" s="17">
        <v>2050</v>
      </c>
      <c r="F82" s="17">
        <v>2020</v>
      </c>
      <c r="G82" s="17">
        <v>2030</v>
      </c>
      <c r="H82" s="17">
        <v>2040</v>
      </c>
      <c r="I82" s="17">
        <v>2050</v>
      </c>
    </row>
    <row r="83" spans="1:10">
      <c r="A83" s="207" t="s">
        <v>341</v>
      </c>
      <c r="B83" s="205">
        <v>0.10319825812373608</v>
      </c>
      <c r="C83" s="205">
        <v>0.1014412120583497</v>
      </c>
      <c r="D83" s="205">
        <v>9.8047616831004714E-2</v>
      </c>
      <c r="E83" s="205">
        <v>9.7982377413269137E-2</v>
      </c>
      <c r="F83" s="205">
        <v>0.10316367027769414</v>
      </c>
      <c r="G83" s="205">
        <v>9.8286841538564623E-2</v>
      </c>
      <c r="H83" s="205">
        <v>0.10175116522593455</v>
      </c>
      <c r="I83" s="205">
        <v>9.8898166253844427E-2</v>
      </c>
    </row>
    <row r="84" spans="1:10">
      <c r="A84" s="207" t="s">
        <v>342</v>
      </c>
      <c r="B84" s="205">
        <v>0.39593513844754236</v>
      </c>
      <c r="C84" s="205">
        <v>0.41887411869328944</v>
      </c>
      <c r="D84" s="205">
        <v>0.41852095302476444</v>
      </c>
      <c r="E84" s="205">
        <v>0.40081930915006558</v>
      </c>
      <c r="F84" s="205">
        <v>0.39601358744021337</v>
      </c>
      <c r="G84" s="205">
        <v>0.40763030783013027</v>
      </c>
      <c r="H84" s="205">
        <v>0.39498021849985721</v>
      </c>
      <c r="I84" s="205">
        <v>0.29846590389197436</v>
      </c>
    </row>
    <row r="85" spans="1:10">
      <c r="A85" s="207" t="s">
        <v>343</v>
      </c>
      <c r="B85" s="205">
        <v>0.46764492482416536</v>
      </c>
      <c r="C85" s="205">
        <v>0.39346177901478652</v>
      </c>
      <c r="D85" s="205">
        <v>0.3558083033525552</v>
      </c>
      <c r="E85" s="205">
        <v>0.33121512649010693</v>
      </c>
      <c r="F85" s="205">
        <v>0.46760549504481236</v>
      </c>
      <c r="G85" s="205">
        <v>0.38181864324269604</v>
      </c>
      <c r="H85" s="205">
        <v>0.31337486486621668</v>
      </c>
      <c r="I85" s="205">
        <v>0.30208597014177968</v>
      </c>
    </row>
    <row r="86" spans="1:10">
      <c r="A86" s="207" t="s">
        <v>344</v>
      </c>
      <c r="B86" s="205">
        <v>3.3221678604556028E-2</v>
      </c>
      <c r="C86" s="205">
        <v>3.6222890233574404E-2</v>
      </c>
      <c r="D86" s="205">
        <v>4.9985638055588193E-2</v>
      </c>
      <c r="E86" s="205">
        <v>4.998318694655822E-2</v>
      </c>
      <c r="F86" s="205">
        <v>3.321724723728002E-2</v>
      </c>
      <c r="G86" s="205">
        <v>4.226420738860899E-2</v>
      </c>
      <c r="H86" s="205">
        <v>6.0490966218059904E-2</v>
      </c>
      <c r="I86" s="205">
        <v>0.10054995971240144</v>
      </c>
    </row>
    <row r="87" spans="1:10">
      <c r="A87" s="207" t="s">
        <v>345</v>
      </c>
      <c r="B87" s="205">
        <v>0</v>
      </c>
      <c r="C87" s="205">
        <v>2.0000000000000004E-2</v>
      </c>
      <c r="D87" s="205">
        <v>0.02</v>
      </c>
      <c r="E87" s="205">
        <v>1.9999999999999997E-2</v>
      </c>
      <c r="F87" s="205">
        <v>0</v>
      </c>
      <c r="G87" s="205">
        <v>0.02</v>
      </c>
      <c r="H87" s="205">
        <v>2.9999999999999988E-2</v>
      </c>
      <c r="I87" s="205">
        <v>4.9999999999999989E-2</v>
      </c>
    </row>
    <row r="88" spans="1:10">
      <c r="A88" s="207" t="s">
        <v>346</v>
      </c>
      <c r="B88" s="205">
        <v>0</v>
      </c>
      <c r="C88" s="205">
        <v>3.0000000000000002E-2</v>
      </c>
      <c r="D88" s="205">
        <v>5.000000000000001E-2</v>
      </c>
      <c r="E88" s="205">
        <v>0.05</v>
      </c>
      <c r="F88" s="205">
        <v>0</v>
      </c>
      <c r="G88" s="205">
        <v>3.0000000000000002E-2</v>
      </c>
      <c r="H88" s="205">
        <v>6.9999999999999979E-2</v>
      </c>
      <c r="I88" s="205">
        <v>9.9999999999999978E-2</v>
      </c>
    </row>
    <row r="89" spans="1:10">
      <c r="A89" s="207" t="s">
        <v>261</v>
      </c>
      <c r="B89" s="205">
        <v>0</v>
      </c>
      <c r="C89" s="205">
        <v>0</v>
      </c>
      <c r="D89" s="205">
        <v>0.01</v>
      </c>
      <c r="E89" s="205">
        <v>0.05</v>
      </c>
      <c r="F89" s="205">
        <v>0</v>
      </c>
      <c r="G89" s="205">
        <v>0.02</v>
      </c>
      <c r="H89" s="205">
        <v>2.9999999999999988E-2</v>
      </c>
      <c r="I89" s="205">
        <v>4.9999999999999989E-2</v>
      </c>
    </row>
    <row r="92" spans="1:10" ht="26.25">
      <c r="A92" s="348" t="s">
        <v>350</v>
      </c>
      <c r="B92" s="348"/>
      <c r="C92" s="348"/>
      <c r="D92" s="348"/>
      <c r="E92" s="348"/>
      <c r="F92" s="348"/>
      <c r="G92" s="348"/>
      <c r="H92" s="348"/>
      <c r="I92" s="348"/>
      <c r="J92" s="348"/>
    </row>
    <row r="94" spans="1:10" ht="18">
      <c r="A94" s="15" t="s">
        <v>94</v>
      </c>
      <c r="B94" s="25" t="s">
        <v>188</v>
      </c>
    </row>
    <row r="95" spans="1:10">
      <c r="A95" s="14" t="s">
        <v>197</v>
      </c>
      <c r="B95" s="95">
        <v>2015</v>
      </c>
      <c r="C95" s="95">
        <v>2020</v>
      </c>
    </row>
    <row r="96" spans="1:10">
      <c r="A96" s="8" t="s">
        <v>198</v>
      </c>
      <c r="B96" s="96">
        <v>6500</v>
      </c>
      <c r="C96" s="96">
        <v>6500</v>
      </c>
    </row>
    <row r="97" spans="1:18">
      <c r="A97" s="8" t="s">
        <v>199</v>
      </c>
      <c r="B97" s="96">
        <v>7700</v>
      </c>
      <c r="C97" s="96">
        <v>7700</v>
      </c>
    </row>
    <row r="98" spans="1:18" ht="26.25">
      <c r="A98" s="8" t="s">
        <v>200</v>
      </c>
      <c r="B98" s="96">
        <v>1270</v>
      </c>
      <c r="C98" s="96">
        <v>1270</v>
      </c>
    </row>
    <row r="99" spans="1:18">
      <c r="A99" s="8" t="s">
        <v>201</v>
      </c>
      <c r="B99" s="96">
        <v>1364</v>
      </c>
      <c r="C99" s="96">
        <v>1364</v>
      </c>
    </row>
    <row r="100" spans="1:18">
      <c r="A100" s="8" t="s">
        <v>202</v>
      </c>
      <c r="B100" s="96">
        <v>2296</v>
      </c>
      <c r="C100" s="96">
        <v>2296</v>
      </c>
    </row>
    <row r="101" spans="1:18" ht="26.25">
      <c r="A101" s="8" t="s">
        <v>203</v>
      </c>
      <c r="B101" s="96">
        <v>4000</v>
      </c>
      <c r="C101" s="96">
        <v>4000</v>
      </c>
    </row>
    <row r="102" spans="1:18">
      <c r="A102" s="8" t="s">
        <v>204</v>
      </c>
      <c r="B102" s="96">
        <v>6363</v>
      </c>
      <c r="C102" s="96">
        <v>6363</v>
      </c>
    </row>
    <row r="103" spans="1:18">
      <c r="A103" s="8" t="s">
        <v>88</v>
      </c>
      <c r="B103" s="96">
        <v>1920</v>
      </c>
      <c r="C103" s="96">
        <v>1920</v>
      </c>
    </row>
    <row r="104" spans="1:18" ht="26.25">
      <c r="A104" s="14" t="s">
        <v>205</v>
      </c>
      <c r="B104" s="97">
        <v>31413</v>
      </c>
      <c r="C104" s="97">
        <v>31413</v>
      </c>
    </row>
    <row r="105" spans="1:18">
      <c r="B105" s="25"/>
      <c r="C105" s="25"/>
    </row>
    <row r="106" spans="1:18" ht="18">
      <c r="A106" s="15" t="s">
        <v>6</v>
      </c>
      <c r="R106" s="107" t="s">
        <v>227</v>
      </c>
    </row>
    <row r="107" spans="1:18">
      <c r="A107" s="99" t="s">
        <v>206</v>
      </c>
      <c r="B107" s="204">
        <v>2020</v>
      </c>
      <c r="C107" s="204">
        <v>2025</v>
      </c>
      <c r="D107" s="204">
        <v>2030</v>
      </c>
      <c r="E107" s="204">
        <v>2035</v>
      </c>
      <c r="F107" s="204">
        <v>2040</v>
      </c>
      <c r="G107" s="204">
        <v>2045</v>
      </c>
      <c r="H107" s="204">
        <v>2050</v>
      </c>
      <c r="I107" s="99"/>
    </row>
    <row r="108" spans="1:18">
      <c r="A108" s="42" t="s">
        <v>198</v>
      </c>
      <c r="B108" s="100">
        <v>6.5</v>
      </c>
      <c r="C108" s="100">
        <v>6</v>
      </c>
      <c r="D108" s="100">
        <v>5.5</v>
      </c>
      <c r="E108" s="100">
        <v>5.2</v>
      </c>
      <c r="F108" s="100">
        <v>4.9000000000000004</v>
      </c>
      <c r="G108" s="100">
        <v>4.5999999999999996</v>
      </c>
      <c r="H108" s="100">
        <v>4.3</v>
      </c>
      <c r="I108" s="99" t="s">
        <v>207</v>
      </c>
    </row>
    <row r="109" spans="1:18">
      <c r="A109" s="42" t="s">
        <v>199</v>
      </c>
      <c r="B109" s="100">
        <v>7.7</v>
      </c>
      <c r="C109" s="100">
        <v>8.8979999999999997</v>
      </c>
      <c r="D109" s="100">
        <v>10.096</v>
      </c>
      <c r="E109" s="100">
        <v>13.347</v>
      </c>
      <c r="F109" s="100">
        <v>16.597999999999999</v>
      </c>
      <c r="G109" s="100">
        <v>19.849</v>
      </c>
      <c r="H109" s="100">
        <v>23.1</v>
      </c>
      <c r="I109" s="99" t="s">
        <v>270</v>
      </c>
      <c r="J109" s="289" t="s">
        <v>515</v>
      </c>
    </row>
    <row r="110" spans="1:18">
      <c r="A110" s="42" t="s">
        <v>208</v>
      </c>
      <c r="B110" s="100">
        <v>1.27</v>
      </c>
      <c r="C110" s="100">
        <v>1.3017500000000002</v>
      </c>
      <c r="D110" s="100">
        <v>1.3335000000000001</v>
      </c>
      <c r="E110" s="100">
        <v>1.41859</v>
      </c>
      <c r="F110" s="100">
        <v>1.5036800000000001</v>
      </c>
      <c r="G110" s="100">
        <v>1.5887700000000002</v>
      </c>
      <c r="H110" s="100">
        <v>1.6738600000000001</v>
      </c>
      <c r="I110" s="22" t="s">
        <v>209</v>
      </c>
    </row>
    <row r="111" spans="1:18">
      <c r="A111" s="42" t="s">
        <v>210</v>
      </c>
      <c r="B111" s="100">
        <v>1.3640000000000001</v>
      </c>
      <c r="C111" s="100">
        <v>1.3779930469399537</v>
      </c>
      <c r="D111" s="100">
        <v>1.3897852624153966</v>
      </c>
      <c r="E111" s="100">
        <v>1.3974091050992337</v>
      </c>
      <c r="F111" s="100">
        <v>1.4008156720852285</v>
      </c>
      <c r="G111" s="100">
        <v>1.4020662702392706</v>
      </c>
      <c r="H111" s="100">
        <v>1.3991357352350793</v>
      </c>
      <c r="I111" s="99" t="s">
        <v>211</v>
      </c>
    </row>
    <row r="112" spans="1:18">
      <c r="A112" s="42" t="s">
        <v>212</v>
      </c>
      <c r="B112" s="100">
        <v>6.2960000000000003</v>
      </c>
      <c r="C112" s="100">
        <v>6.4</v>
      </c>
      <c r="D112" s="100">
        <v>6.5</v>
      </c>
      <c r="E112" s="100">
        <v>6.6</v>
      </c>
      <c r="F112" s="100">
        <v>6.7</v>
      </c>
      <c r="G112" s="100">
        <v>6.8</v>
      </c>
      <c r="H112" s="100">
        <v>6.9</v>
      </c>
      <c r="I112" s="99" t="s">
        <v>213</v>
      </c>
    </row>
    <row r="113" spans="1:37">
      <c r="A113" s="42" t="s">
        <v>214</v>
      </c>
      <c r="B113" s="100">
        <v>6.3630000000000004</v>
      </c>
      <c r="C113" s="100">
        <v>6.4282769484449593</v>
      </c>
      <c r="D113" s="100">
        <v>6.4832871149187454</v>
      </c>
      <c r="E113" s="100">
        <v>6.5188520056791965</v>
      </c>
      <c r="F113" s="100">
        <v>6.5347434908198743</v>
      </c>
      <c r="G113" s="100">
        <v>6.5405774761968321</v>
      </c>
      <c r="H113" s="100">
        <v>6.526906659311444</v>
      </c>
      <c r="I113" s="99" t="s">
        <v>211</v>
      </c>
    </row>
    <row r="114" spans="1:37">
      <c r="A114" s="42" t="s">
        <v>215</v>
      </c>
      <c r="B114" s="100">
        <v>1.92</v>
      </c>
      <c r="C114" s="100">
        <v>1.92</v>
      </c>
      <c r="D114" s="100">
        <v>1.92</v>
      </c>
      <c r="E114" s="100">
        <v>1.92</v>
      </c>
      <c r="F114" s="100">
        <v>1.92</v>
      </c>
      <c r="G114" s="100">
        <v>1.92</v>
      </c>
      <c r="H114" s="100">
        <v>1.92</v>
      </c>
      <c r="I114" s="99" t="s">
        <v>216</v>
      </c>
    </row>
    <row r="115" spans="1:37">
      <c r="A115" s="99" t="s">
        <v>88</v>
      </c>
      <c r="B115" s="101"/>
      <c r="C115" s="99"/>
      <c r="D115" s="99"/>
      <c r="E115" s="99"/>
      <c r="F115" s="99"/>
      <c r="G115" s="99"/>
      <c r="H115" s="99"/>
      <c r="I115" s="99"/>
    </row>
    <row r="116" spans="1:37">
      <c r="A116" s="3" t="s">
        <v>180</v>
      </c>
      <c r="B116" s="98">
        <v>31.412999999999997</v>
      </c>
      <c r="C116" s="98">
        <v>32.326019995384918</v>
      </c>
      <c r="D116" s="98">
        <v>33.222572377334146</v>
      </c>
      <c r="E116" s="98">
        <v>36.401851110778424</v>
      </c>
      <c r="F116" s="98">
        <v>39.557239162905105</v>
      </c>
      <c r="G116" s="98">
        <v>42.700413746436098</v>
      </c>
      <c r="H116" s="98">
        <v>45.819902394546524</v>
      </c>
      <c r="I116" s="99"/>
    </row>
    <row r="118" spans="1:37" ht="18">
      <c r="A118" s="15" t="s">
        <v>19</v>
      </c>
    </row>
    <row r="119" spans="1:37">
      <c r="A119" t="s">
        <v>206</v>
      </c>
      <c r="B119" s="204">
        <v>2020</v>
      </c>
      <c r="C119" s="204">
        <f t="shared" ref="C119:H119" si="7">B119+5</f>
        <v>2025</v>
      </c>
      <c r="D119" s="204">
        <f t="shared" si="7"/>
        <v>2030</v>
      </c>
      <c r="E119" s="204">
        <f t="shared" si="7"/>
        <v>2035</v>
      </c>
      <c r="F119" s="204">
        <f t="shared" si="7"/>
        <v>2040</v>
      </c>
      <c r="G119" s="204">
        <f t="shared" si="7"/>
        <v>2045</v>
      </c>
      <c r="H119" s="204">
        <f t="shared" si="7"/>
        <v>2050</v>
      </c>
      <c r="R119" s="49" t="s">
        <v>20</v>
      </c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105" t="s">
        <v>157</v>
      </c>
      <c r="AD119" s="26"/>
      <c r="AE119" s="26"/>
      <c r="AF119" s="26"/>
      <c r="AG119" s="26"/>
      <c r="AH119" s="26"/>
      <c r="AI119" s="26"/>
      <c r="AJ119" s="26"/>
      <c r="AK119" s="26"/>
    </row>
    <row r="120" spans="1:37">
      <c r="A120" s="42" t="s">
        <v>198</v>
      </c>
      <c r="B120" s="100">
        <v>6.5</v>
      </c>
      <c r="C120" s="42">
        <v>5.5</v>
      </c>
      <c r="D120" s="42">
        <v>4</v>
      </c>
      <c r="E120" s="42">
        <v>3.5</v>
      </c>
      <c r="F120" s="42">
        <v>3</v>
      </c>
      <c r="G120" s="42">
        <v>2.5</v>
      </c>
      <c r="H120" s="42">
        <v>2</v>
      </c>
      <c r="I120" t="s">
        <v>217</v>
      </c>
      <c r="R120" s="26">
        <v>2015</v>
      </c>
      <c r="S120" s="26">
        <v>2020</v>
      </c>
      <c r="T120" s="26">
        <v>2025</v>
      </c>
      <c r="U120" s="26">
        <v>2030</v>
      </c>
      <c r="V120" s="26">
        <v>2050</v>
      </c>
      <c r="W120" s="26"/>
      <c r="X120" s="26"/>
      <c r="Y120" s="26"/>
      <c r="Z120" s="26"/>
      <c r="AA120" s="26"/>
      <c r="AB120" s="26"/>
      <c r="AC120" s="54" t="s">
        <v>206</v>
      </c>
      <c r="AD120" s="4">
        <v>2019</v>
      </c>
      <c r="AE120" s="4">
        <v>2020</v>
      </c>
      <c r="AF120" s="4">
        <f t="shared" ref="AF120:AK120" si="8">AE120+5</f>
        <v>2025</v>
      </c>
      <c r="AG120" s="4">
        <f t="shared" si="8"/>
        <v>2030</v>
      </c>
      <c r="AH120" s="4">
        <f t="shared" si="8"/>
        <v>2035</v>
      </c>
      <c r="AI120" s="4">
        <f t="shared" si="8"/>
        <v>2040</v>
      </c>
      <c r="AJ120" s="4">
        <f t="shared" si="8"/>
        <v>2045</v>
      </c>
      <c r="AK120" s="4">
        <f t="shared" si="8"/>
        <v>2050</v>
      </c>
    </row>
    <row r="121" spans="1:37" ht="71.45" customHeight="1">
      <c r="A121" s="42" t="s">
        <v>199</v>
      </c>
      <c r="B121" s="182">
        <v>11.59222447281984</v>
      </c>
      <c r="C121" s="182">
        <f>(B121+D121)/2</f>
        <v>12.077838324415229</v>
      </c>
      <c r="D121" s="182">
        <v>12.563452176010619</v>
      </c>
      <c r="E121" s="182">
        <f>(D121+F121)/2</f>
        <v>14.389707810630121</v>
      </c>
      <c r="F121" s="182">
        <f>(D121+H121)/2</f>
        <v>16.215963445249621</v>
      </c>
      <c r="G121" s="182">
        <f>(F121+H121)/2</f>
        <v>18.04221907986912</v>
      </c>
      <c r="H121" s="182">
        <v>19.868474714488624</v>
      </c>
      <c r="I121" s="287" t="s">
        <v>271</v>
      </c>
      <c r="J121" s="289" t="s">
        <v>515</v>
      </c>
      <c r="K121" s="288"/>
      <c r="L121" s="288"/>
      <c r="M121" s="288"/>
      <c r="N121" s="288"/>
      <c r="O121" s="288"/>
      <c r="P121" s="288"/>
      <c r="Q121" s="288"/>
      <c r="R121" s="106">
        <v>4.1519927827443199</v>
      </c>
      <c r="S121" s="106">
        <v>3.91473605230179</v>
      </c>
      <c r="T121" s="106">
        <v>3.6774793218592499</v>
      </c>
      <c r="U121" s="106">
        <v>3.4402225914167199</v>
      </c>
      <c r="V121" s="106">
        <v>2.49119566964659</v>
      </c>
      <c r="W121" s="26" t="s">
        <v>221</v>
      </c>
      <c r="X121" s="26"/>
      <c r="Y121" s="26"/>
      <c r="Z121" s="26"/>
      <c r="AA121" s="26"/>
      <c r="AB121" s="26"/>
      <c r="AC121" s="54" t="s">
        <v>198</v>
      </c>
      <c r="AD121" s="89">
        <v>5.8458399999999999</v>
      </c>
      <c r="AE121" s="89">
        <v>4.2194000000000003</v>
      </c>
      <c r="AF121" s="89">
        <v>3.2559489795918299</v>
      </c>
      <c r="AG121" s="89">
        <v>2.5537731092436902</v>
      </c>
      <c r="AH121" s="89">
        <v>2.0648571428571398</v>
      </c>
      <c r="AI121" s="89">
        <v>1.8163095238095199</v>
      </c>
      <c r="AJ121" s="89">
        <v>1.6042918719211801</v>
      </c>
      <c r="AK121" s="89">
        <v>1.41290322580645</v>
      </c>
    </row>
    <row r="122" spans="1:37">
      <c r="A122" s="42" t="s">
        <v>208</v>
      </c>
      <c r="B122" s="102">
        <f t="shared" ref="B122:B126" si="9">B109</f>
        <v>7.7</v>
      </c>
      <c r="C122" s="102">
        <f t="shared" ref="C122:H126" si="10">B122</f>
        <v>7.7</v>
      </c>
      <c r="D122" s="102">
        <f t="shared" si="10"/>
        <v>7.7</v>
      </c>
      <c r="E122" s="102">
        <f t="shared" si="10"/>
        <v>7.7</v>
      </c>
      <c r="F122" s="102">
        <f t="shared" si="10"/>
        <v>7.7</v>
      </c>
      <c r="G122" s="102">
        <f t="shared" si="10"/>
        <v>7.7</v>
      </c>
      <c r="H122" s="102">
        <f t="shared" si="10"/>
        <v>7.7</v>
      </c>
      <c r="I122" t="s">
        <v>218</v>
      </c>
      <c r="R122" s="106">
        <v>2.68658356530515</v>
      </c>
      <c r="S122" s="106">
        <v>3.0447947073458299</v>
      </c>
      <c r="T122" s="106">
        <v>3.4030058493865201</v>
      </c>
      <c r="U122" s="106">
        <v>3.7612169914272</v>
      </c>
      <c r="V122" s="106">
        <v>3.7612169914272</v>
      </c>
      <c r="W122" s="26" t="s">
        <v>222</v>
      </c>
      <c r="X122" s="26"/>
      <c r="Y122" s="26"/>
      <c r="Z122" s="26"/>
      <c r="AA122" s="26"/>
      <c r="AB122" s="26"/>
      <c r="AC122" s="54" t="s">
        <v>199</v>
      </c>
      <c r="AD122" s="89">
        <v>6</v>
      </c>
      <c r="AE122" s="89">
        <v>7.3333333333333304</v>
      </c>
      <c r="AF122" s="89">
        <v>8.6666666666666696</v>
      </c>
      <c r="AG122" s="89">
        <v>9.4</v>
      </c>
      <c r="AH122" s="89">
        <v>9.4</v>
      </c>
      <c r="AI122" s="89">
        <v>9.1</v>
      </c>
      <c r="AJ122" s="89">
        <v>8.6005835464128797</v>
      </c>
      <c r="AK122" s="89">
        <v>8.1790693759723094</v>
      </c>
    </row>
    <row r="123" spans="1:37">
      <c r="A123" s="42" t="s">
        <v>210</v>
      </c>
      <c r="B123" s="102">
        <f t="shared" si="9"/>
        <v>1.27</v>
      </c>
      <c r="C123" s="102">
        <f t="shared" si="10"/>
        <v>1.27</v>
      </c>
      <c r="D123" s="102">
        <f t="shared" si="10"/>
        <v>1.27</v>
      </c>
      <c r="E123" s="102">
        <f t="shared" si="10"/>
        <v>1.27</v>
      </c>
      <c r="F123" s="102">
        <f t="shared" si="10"/>
        <v>1.27</v>
      </c>
      <c r="G123" s="102">
        <f t="shared" si="10"/>
        <v>1.27</v>
      </c>
      <c r="H123" s="102">
        <f t="shared" si="10"/>
        <v>1.27</v>
      </c>
      <c r="I123" t="s">
        <v>218</v>
      </c>
      <c r="R123" s="106">
        <v>6.8385763480494601</v>
      </c>
      <c r="S123" s="106">
        <v>6.3826712581795002</v>
      </c>
      <c r="T123" s="106">
        <v>5.9267661683095403</v>
      </c>
      <c r="U123" s="106">
        <v>5.4708610784395697</v>
      </c>
      <c r="V123" s="106">
        <v>5.1289322610371002</v>
      </c>
      <c r="W123" s="26" t="s">
        <v>223</v>
      </c>
      <c r="X123" s="26"/>
      <c r="Y123" s="26"/>
      <c r="Z123" s="26"/>
      <c r="AA123" s="26"/>
      <c r="AB123" s="26"/>
      <c r="AC123" s="54" t="s">
        <v>208</v>
      </c>
      <c r="AD123" s="89"/>
      <c r="AE123" s="89"/>
      <c r="AF123" s="89"/>
      <c r="AG123" s="89"/>
      <c r="AH123" s="89"/>
      <c r="AI123" s="89"/>
      <c r="AJ123" s="89"/>
      <c r="AK123" s="89"/>
    </row>
    <row r="124" spans="1:37">
      <c r="A124" s="42" t="s">
        <v>212</v>
      </c>
      <c r="B124" s="102">
        <f t="shared" si="9"/>
        <v>1.3640000000000001</v>
      </c>
      <c r="C124" s="42">
        <v>6.6</v>
      </c>
      <c r="D124" s="42">
        <v>7</v>
      </c>
      <c r="E124" s="42">
        <f t="shared" si="10"/>
        <v>7</v>
      </c>
      <c r="F124" s="42">
        <f t="shared" si="10"/>
        <v>7</v>
      </c>
      <c r="G124" s="42">
        <f t="shared" si="10"/>
        <v>7</v>
      </c>
      <c r="H124" s="42">
        <f t="shared" si="10"/>
        <v>7</v>
      </c>
      <c r="I124" t="s">
        <v>219</v>
      </c>
      <c r="R124" s="106">
        <v>2.1167022029676898</v>
      </c>
      <c r="S124" s="106">
        <v>1.9755887227698501</v>
      </c>
      <c r="T124" s="106">
        <v>1.8344752425719999</v>
      </c>
      <c r="U124" s="106">
        <v>1.6933617623741499</v>
      </c>
      <c r="V124" s="106">
        <v>1.5875266522257701</v>
      </c>
      <c r="W124" s="26" t="s">
        <v>223</v>
      </c>
      <c r="X124" s="26"/>
      <c r="Y124" s="26"/>
      <c r="Z124" s="26"/>
      <c r="AA124" s="26"/>
      <c r="AB124" s="26"/>
      <c r="AC124" s="54" t="s">
        <v>210</v>
      </c>
      <c r="AD124" s="89">
        <v>3.5</v>
      </c>
      <c r="AE124" s="89">
        <v>3.9</v>
      </c>
      <c r="AF124" s="89">
        <v>4.3</v>
      </c>
      <c r="AG124" s="89">
        <v>4.7</v>
      </c>
      <c r="AH124" s="89">
        <v>5.0999999999999996</v>
      </c>
      <c r="AI124" s="89">
        <v>5.5</v>
      </c>
      <c r="AJ124" s="89">
        <v>5.5</v>
      </c>
      <c r="AK124" s="89">
        <v>5.5</v>
      </c>
    </row>
    <row r="125" spans="1:37">
      <c r="A125" s="42" t="s">
        <v>214</v>
      </c>
      <c r="B125" s="102">
        <f t="shared" si="9"/>
        <v>6.2960000000000003</v>
      </c>
      <c r="C125" s="102">
        <f>B125</f>
        <v>6.2960000000000003</v>
      </c>
      <c r="D125" s="102">
        <f>C125</f>
        <v>6.2960000000000003</v>
      </c>
      <c r="E125" s="102">
        <f t="shared" si="10"/>
        <v>6.2960000000000003</v>
      </c>
      <c r="F125" s="102">
        <f t="shared" si="10"/>
        <v>6.2960000000000003</v>
      </c>
      <c r="G125" s="102">
        <f t="shared" si="10"/>
        <v>6.2960000000000003</v>
      </c>
      <c r="H125" s="102">
        <f t="shared" si="10"/>
        <v>6.2960000000000003</v>
      </c>
      <c r="I125" t="s">
        <v>220</v>
      </c>
      <c r="R125" s="106">
        <v>3.4192881740247301</v>
      </c>
      <c r="S125" s="106">
        <v>3.7042288551934601</v>
      </c>
      <c r="T125" s="106">
        <v>3.9891695363621902</v>
      </c>
      <c r="U125" s="106">
        <v>4.2741102175309198</v>
      </c>
      <c r="V125" s="106">
        <v>4.2741102175309198</v>
      </c>
      <c r="W125" s="26" t="s">
        <v>224</v>
      </c>
      <c r="X125" s="26"/>
      <c r="Y125" s="26"/>
      <c r="Z125" s="26"/>
      <c r="AA125" s="26"/>
      <c r="AB125" s="26"/>
      <c r="AC125" s="54" t="s">
        <v>212</v>
      </c>
      <c r="AD125" s="89">
        <v>8.4</v>
      </c>
      <c r="AE125" s="89">
        <v>7.6333333333333302</v>
      </c>
      <c r="AF125" s="89">
        <v>7.0222222222222301</v>
      </c>
      <c r="AG125" s="89">
        <v>6.4111111111111203</v>
      </c>
      <c r="AH125" s="89">
        <v>5.8</v>
      </c>
      <c r="AI125" s="89">
        <v>5.2</v>
      </c>
      <c r="AJ125" s="89">
        <v>4.5999999999999996</v>
      </c>
      <c r="AK125" s="89">
        <v>4.08</v>
      </c>
    </row>
    <row r="126" spans="1:37">
      <c r="A126" s="42" t="s">
        <v>215</v>
      </c>
      <c r="B126" s="102">
        <f t="shared" si="9"/>
        <v>6.3630000000000004</v>
      </c>
      <c r="C126" s="102">
        <f>B126</f>
        <v>6.3630000000000004</v>
      </c>
      <c r="D126" s="102">
        <f>C126</f>
        <v>6.3630000000000004</v>
      </c>
      <c r="E126" s="102">
        <f t="shared" si="10"/>
        <v>6.3630000000000004</v>
      </c>
      <c r="F126" s="102">
        <f t="shared" si="10"/>
        <v>6.3630000000000004</v>
      </c>
      <c r="G126" s="102">
        <f t="shared" si="10"/>
        <v>6.3630000000000004</v>
      </c>
      <c r="H126" s="102">
        <f t="shared" si="10"/>
        <v>6.3630000000000004</v>
      </c>
      <c r="I126" s="23"/>
      <c r="R126" s="106">
        <v>5.6988136233745497</v>
      </c>
      <c r="S126" s="106">
        <v>5.3188927151495804</v>
      </c>
      <c r="T126" s="106">
        <v>4.9389718069246102</v>
      </c>
      <c r="U126" s="106">
        <v>4.5590508986996401</v>
      </c>
      <c r="V126" s="106">
        <v>4.27411021753091</v>
      </c>
      <c r="W126" s="26" t="s">
        <v>223</v>
      </c>
      <c r="X126" s="26"/>
      <c r="Y126" s="26"/>
      <c r="Z126" s="26"/>
      <c r="AA126" s="26"/>
      <c r="AB126" s="26"/>
      <c r="AC126" s="54" t="s">
        <v>214</v>
      </c>
      <c r="AD126" s="89"/>
      <c r="AE126" s="89"/>
      <c r="AF126" s="89"/>
      <c r="AG126" s="89"/>
      <c r="AH126" s="89"/>
      <c r="AI126" s="89"/>
      <c r="AJ126" s="89"/>
      <c r="AK126" s="89"/>
    </row>
    <row r="127" spans="1:37">
      <c r="A127" t="s">
        <v>88</v>
      </c>
      <c r="B127" s="103"/>
      <c r="R127" s="106">
        <v>1.13976272467491</v>
      </c>
      <c r="S127" s="106">
        <v>1.02578645220742</v>
      </c>
      <c r="T127" s="106">
        <v>0.91181017973992895</v>
      </c>
      <c r="U127" s="106">
        <v>0.79783390727243797</v>
      </c>
      <c r="V127" s="106">
        <v>0.79783390727243797</v>
      </c>
      <c r="W127" s="26" t="s">
        <v>225</v>
      </c>
      <c r="X127" s="26"/>
      <c r="Y127" s="26"/>
      <c r="Z127" s="26"/>
      <c r="AA127" s="26"/>
      <c r="AB127" s="26"/>
      <c r="AC127" s="54" t="s">
        <v>215</v>
      </c>
      <c r="AD127" s="89"/>
      <c r="AE127" s="89"/>
      <c r="AF127" s="89"/>
      <c r="AG127" s="89"/>
      <c r="AH127" s="89"/>
      <c r="AI127" s="89"/>
      <c r="AJ127" s="89"/>
      <c r="AK127" s="89"/>
    </row>
    <row r="128" spans="1:37">
      <c r="A128" s="3" t="s">
        <v>180</v>
      </c>
      <c r="B128" s="104">
        <f>B115</f>
        <v>0</v>
      </c>
      <c r="C128" s="98">
        <f t="shared" ref="C128:H128" si="11">SUM(C120:C126)</f>
        <v>45.806838324415224</v>
      </c>
      <c r="D128" s="98">
        <f t="shared" si="11"/>
        <v>45.192452176010619</v>
      </c>
      <c r="E128" s="98">
        <f t="shared" si="11"/>
        <v>46.518707810630119</v>
      </c>
      <c r="F128" s="98">
        <f t="shared" si="11"/>
        <v>47.844963445249618</v>
      </c>
      <c r="G128" s="98">
        <f t="shared" si="11"/>
        <v>49.171219079869118</v>
      </c>
      <c r="H128" s="98">
        <f t="shared" si="11"/>
        <v>50.497474714488625</v>
      </c>
      <c r="R128" s="106">
        <v>1.6282324638212999</v>
      </c>
      <c r="S128" s="106">
        <v>1.6282324638212999</v>
      </c>
      <c r="T128" s="106">
        <v>1.6282324638212999</v>
      </c>
      <c r="U128" s="106">
        <v>1.6282324638212999</v>
      </c>
      <c r="V128" s="106">
        <v>1.6282324638212999</v>
      </c>
      <c r="W128" s="26" t="s">
        <v>226</v>
      </c>
      <c r="X128" s="26"/>
      <c r="Y128" s="26"/>
      <c r="Z128" s="26"/>
      <c r="AA128" s="26"/>
      <c r="AB128" s="26"/>
      <c r="AC128" s="54" t="s">
        <v>88</v>
      </c>
      <c r="AD128" s="89"/>
      <c r="AE128" s="89"/>
      <c r="AF128" s="89"/>
      <c r="AG128" s="89"/>
      <c r="AH128" s="89"/>
      <c r="AI128" s="89"/>
      <c r="AJ128" s="89"/>
      <c r="AK128" s="89"/>
    </row>
    <row r="129" spans="18:37">
      <c r="R129" s="106">
        <v>27.679951884962101</v>
      </c>
      <c r="S129" s="106">
        <v>26.994931226968699</v>
      </c>
      <c r="T129" s="106">
        <v>26.309910568975301</v>
      </c>
      <c r="U129" s="106">
        <v>25.624889910981899</v>
      </c>
      <c r="V129" s="106">
        <v>23.9431583804922</v>
      </c>
      <c r="W129" s="26"/>
      <c r="X129" s="26"/>
      <c r="Y129" s="26"/>
      <c r="Z129" s="26"/>
      <c r="AA129" s="26"/>
      <c r="AB129" s="26"/>
      <c r="AC129" s="54" t="s">
        <v>180</v>
      </c>
      <c r="AD129" s="89">
        <f>SUM(AD121:AD128)</f>
        <v>23.745840000000001</v>
      </c>
      <c r="AE129" s="89">
        <f>SUM(AE121:AE128)</f>
        <v>23.08606666666666</v>
      </c>
      <c r="AF129" s="89">
        <f t="shared" ref="AF129:AK129" si="12">SUM(AF121:AF128)</f>
        <v>23.24483786848073</v>
      </c>
      <c r="AG129" s="89">
        <f t="shared" si="12"/>
        <v>23.064884220354813</v>
      </c>
      <c r="AH129" s="89">
        <f t="shared" si="12"/>
        <v>22.36485714285714</v>
      </c>
      <c r="AI129" s="89">
        <f t="shared" si="12"/>
        <v>21.61630952380952</v>
      </c>
      <c r="AJ129" s="89">
        <f t="shared" si="12"/>
        <v>20.30487541833406</v>
      </c>
      <c r="AK129" s="89">
        <f t="shared" si="12"/>
        <v>19.171972601778762</v>
      </c>
    </row>
    <row r="130" spans="18:37"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</row>
  </sheetData>
  <mergeCells count="27">
    <mergeCell ref="AD49:AD51"/>
    <mergeCell ref="P53:P55"/>
    <mergeCell ref="AD53:AD55"/>
    <mergeCell ref="A92:J92"/>
    <mergeCell ref="A29:A35"/>
    <mergeCell ref="A36:A42"/>
    <mergeCell ref="A46:A52"/>
    <mergeCell ref="A53:A59"/>
    <mergeCell ref="P29:P31"/>
    <mergeCell ref="P49:P51"/>
    <mergeCell ref="B67:I67"/>
    <mergeCell ref="B80:I80"/>
    <mergeCell ref="B81:E81"/>
    <mergeCell ref="F81:I81"/>
    <mergeCell ref="P33:P35"/>
    <mergeCell ref="A63:J63"/>
    <mergeCell ref="B65:I65"/>
    <mergeCell ref="B68:E68"/>
    <mergeCell ref="F68:I68"/>
    <mergeCell ref="A1:C2"/>
    <mergeCell ref="D1:J2"/>
    <mergeCell ref="A4:J4"/>
    <mergeCell ref="B16:H16"/>
    <mergeCell ref="B22:H22"/>
    <mergeCell ref="B7:H7"/>
    <mergeCell ref="B13:H13"/>
    <mergeCell ref="A24:J24"/>
  </mergeCells>
  <pageMargins left="0.7" right="0.7" top="0.75" bottom="0.75" header="0.3" footer="0.3"/>
  <pageSetup paperSize="9" orientation="portrait" r:id="rId1"/>
  <ignoredErrors>
    <ignoredError sqref="F121" formula="1"/>
    <ignoredError sqref="AD129:AE12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Résidentiel Parc et neuf</vt:lpstr>
      <vt:lpstr>Tâto construction neuve</vt:lpstr>
      <vt:lpstr>Résidentiel Chauffage</vt:lpstr>
      <vt:lpstr>Résidentiel Hors chauffage</vt:lpstr>
      <vt:lpstr>Tertiaire Parc et neuf</vt:lpstr>
      <vt:lpstr>Tertiaire chauffage</vt:lpstr>
      <vt:lpstr>Tertiaire hors chauffage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2025-05-13T11:28:05Z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ce3bfb-fff1-481a-835b-0a342757958d_Enabled">
    <vt:lpwstr>true</vt:lpwstr>
  </property>
  <property fmtid="{D5CDD505-2E9C-101B-9397-08002B2CF9AE}" pid="3" name="MSIP_Label_98ce3bfb-fff1-481a-835b-0a342757958d_SetDate">
    <vt:lpwstr>2025-05-12T16:35:28Z</vt:lpwstr>
  </property>
  <property fmtid="{D5CDD505-2E9C-101B-9397-08002B2CF9AE}" pid="4" name="MSIP_Label_98ce3bfb-fff1-481a-835b-0a342757958d_Method">
    <vt:lpwstr>Standard</vt:lpwstr>
  </property>
  <property fmtid="{D5CDD505-2E9C-101B-9397-08002B2CF9AE}" pid="5" name="MSIP_Label_98ce3bfb-fff1-481a-835b-0a342757958d_Name">
    <vt:lpwstr>C0 - Public</vt:lpwstr>
  </property>
  <property fmtid="{D5CDD505-2E9C-101B-9397-08002B2CF9AE}" pid="6" name="MSIP_Label_98ce3bfb-fff1-481a-835b-0a342757958d_SiteId">
    <vt:lpwstr>cb6c2492-4a85-4b15-85a1-ed94d47e5849</vt:lpwstr>
  </property>
  <property fmtid="{D5CDD505-2E9C-101B-9397-08002B2CF9AE}" pid="7" name="MSIP_Label_98ce3bfb-fff1-481a-835b-0a342757958d_ActionId">
    <vt:lpwstr>4e2824d7-53d6-426c-8e16-a6f33969a151</vt:lpwstr>
  </property>
  <property fmtid="{D5CDD505-2E9C-101B-9397-08002B2CF9AE}" pid="8" name="MSIP_Label_98ce3bfb-fff1-481a-835b-0a342757958d_ContentBits">
    <vt:lpwstr>0</vt:lpwstr>
  </property>
  <property fmtid="{D5CDD505-2E9C-101B-9397-08002B2CF9AE}" pid="9" name="MSIP_Label_98ce3bfb-fff1-481a-835b-0a342757958d_Tag">
    <vt:lpwstr>10, 3, 0, 1</vt:lpwstr>
  </property>
</Properties>
</file>