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tHub\ThreeME\data\calibrations\Documents MTE\run 3\Bâtiments\"/>
    </mc:Choice>
  </mc:AlternateContent>
  <xr:revisionPtr revIDLastSave="0" documentId="13_ncr:1_{CE23CB8C-693C-471E-9A63-C7698C5CB4C4}" xr6:coauthVersionLast="47" xr6:coauthVersionMax="47" xr10:uidLastSave="{00000000-0000-0000-0000-000000000000}"/>
  <bookViews>
    <workbookView xWindow="-120" yWindow="-120" windowWidth="20730" windowHeight="11160" xr2:uid="{82D7BDF0-7032-4204-B083-C6E0488920D4}"/>
  </bookViews>
  <sheets>
    <sheet name="Feuil1 (2)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50" i="2" l="1"/>
  <c r="F49" i="2"/>
  <c r="F48" i="2"/>
  <c r="AI13" i="2"/>
  <c r="AH13" i="2"/>
  <c r="AG13" i="2"/>
  <c r="AF13" i="2"/>
  <c r="AE13" i="2"/>
  <c r="AD13" i="2"/>
  <c r="AC13" i="2"/>
  <c r="AB13" i="2"/>
  <c r="AA13" i="2"/>
  <c r="Z13" i="2"/>
  <c r="Y13" i="2"/>
  <c r="J17" i="2" s="1"/>
  <c r="T19" i="2" l="1"/>
  <c r="F45" i="2"/>
  <c r="F52" i="2" s="1"/>
  <c r="O13" i="2" s="1"/>
  <c r="T18" i="2" l="1"/>
  <c r="Q25" i="2" l="1"/>
  <c r="Q34" i="2"/>
  <c r="Q33" i="2"/>
  <c r="Q32" i="2"/>
  <c r="Q30" i="2"/>
  <c r="Q29" i="2"/>
  <c r="Q31" i="2"/>
  <c r="Q28" i="2"/>
  <c r="Q27" i="2"/>
  <c r="Q26" i="2"/>
  <c r="Q24" i="2"/>
  <c r="Q23" i="2"/>
  <c r="Q18" i="2"/>
  <c r="Q19" i="2"/>
  <c r="Q22" i="2"/>
  <c r="Q20" i="2"/>
  <c r="Q21" i="2"/>
  <c r="J15" i="2" l="1"/>
  <c r="P13" i="2" a="1"/>
  <c r="P13" i="2" s="1"/>
  <c r="J16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<sst xmlns="http://schemas.openxmlformats.org/spreadsheetml/2006/main" count="15" uniqueCount="13">
  <si>
    <t>Moyenne annuelle</t>
  </si>
  <si>
    <t>A la recherche de y1 ie donnée de 2030</t>
  </si>
  <si>
    <t>y2</t>
  </si>
  <si>
    <t>x1</t>
  </si>
  <si>
    <t>x2</t>
  </si>
  <si>
    <t xml:space="preserve">somme x </t>
  </si>
  <si>
    <t>x2-x1</t>
  </si>
  <si>
    <t xml:space="preserve">moyenne y </t>
  </si>
  <si>
    <t>y1</t>
  </si>
  <si>
    <t>2020-2029</t>
  </si>
  <si>
    <t>2030-2039</t>
  </si>
  <si>
    <t>2040-2049</t>
  </si>
  <si>
    <t>2020 - 2029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</si>
</sst>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">
    <xf numFmtId="0" fontId="0" fillId="0" borderId="0" xfId="0"/>
    <xf numFmtId="1" fontId="0" fillId="0" borderId="0" xfId="0" applyNumberFormat="1"/>
    <xf numFmtId="164" fontId="0" fillId="0" borderId="0" xfId="1" applyNumberFormat="1" applyFont="1"/>
    <xf numFmtId="0" fontId="2" fillId="0" borderId="0" xfId="0" applyFont="1"/>
    <xf numFmtId="1" fontId="2" fillId="0" borderId="0" xfId="0" applyNumberFormat="1" applyFont="1"/>
  </cellXfs>
  <cellStyles count="2">
    <cellStyle name="Millier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'Feuil1 (2)'!$E$12:$AI$12</c:f>
              <c:numCache>
                <c:formatCode>General</c:formatCode>
                <c:ptCount val="3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</c:numCache>
            </c:numRef>
          </c:xVal>
          <c:yVal>
            <c:numRef>
              <c:f>'Feuil1 (2)'!$E$13:$AI$13</c:f>
              <c:numCache>
                <c:formatCode>General</c:formatCode>
                <c:ptCount val="31"/>
                <c:pt idx="0">
                  <c:v>342</c:v>
                </c:pt>
                <c:pt idx="1">
                  <c:v>383</c:v>
                </c:pt>
                <c:pt idx="2">
                  <c:v>357</c:v>
                </c:pt>
                <c:pt idx="3">
                  <c:v>279</c:v>
                </c:pt>
                <c:pt idx="4" formatCode="_-* #\ ##0_-;\-* #\ ##0_-;_-* &quot;-&quot;??_-;_-@_-">
                  <c:v>270</c:v>
                </c:pt>
                <c:pt idx="5" formatCode="_-* #\ ##0_-;\-* #\ ##0_-;_-* &quot;-&quot;??_-;_-@_-">
                  <c:v>278</c:v>
                </c:pt>
                <c:pt idx="6" formatCode="_-* #\ ##0_-;\-* #\ ##0_-;_-* &quot;-&quot;??_-;_-@_-">
                  <c:v>290</c:v>
                </c:pt>
                <c:pt idx="7" formatCode="_-* #\ ##0_-;\-* #\ ##0_-;_-* &quot;-&quot;??_-;_-@_-">
                  <c:v>298</c:v>
                </c:pt>
                <c:pt idx="8" formatCode="_-* #\ ##0_-;\-* #\ ##0_-;_-* &quot;-&quot;??_-;_-@_-">
                  <c:v>300</c:v>
                </c:pt>
                <c:pt idx="9" formatCode="_-* #\ ##0_-;\-* #\ ##0_-;_-* &quot;-&quot;??_-;_-@_-">
                  <c:v>300</c:v>
                </c:pt>
                <c:pt idx="10" formatCode="0">
                  <c:v>300</c:v>
                </c:pt>
                <c:pt idx="11" formatCode="_-* #\ ##0_-;\-* #\ ##0_-;_-* &quot;-&quot;??_-;_-@_-">
                  <c:v>280</c:v>
                </c:pt>
                <c:pt idx="12" formatCode="_-* #\ ##0_-;\-* #\ ##0_-;_-* &quot;-&quot;??_-;_-@_-">
                  <c:v>260</c:v>
                </c:pt>
                <c:pt idx="13" formatCode="_-* #\ ##0_-;\-* #\ ##0_-;_-* &quot;-&quot;??_-;_-@_-">
                  <c:v>240</c:v>
                </c:pt>
                <c:pt idx="14" formatCode="_-* #\ ##0_-;\-* #\ ##0_-;_-* &quot;-&quot;??_-;_-@_-">
                  <c:v>220</c:v>
                </c:pt>
                <c:pt idx="15" formatCode="_-* #\ ##0_-;\-* #\ ##0_-;_-* &quot;-&quot;??_-;_-@_-">
                  <c:v>200</c:v>
                </c:pt>
                <c:pt idx="16" formatCode="_-* #\ ##0_-;\-* #\ ##0_-;_-* &quot;-&quot;??_-;_-@_-">
                  <c:v>180</c:v>
                </c:pt>
                <c:pt idx="17" formatCode="_-* #\ ##0_-;\-* #\ ##0_-;_-* &quot;-&quot;??_-;_-@_-">
                  <c:v>160</c:v>
                </c:pt>
                <c:pt idx="18" formatCode="_-* #\ ##0_-;\-* #\ ##0_-;_-* &quot;-&quot;??_-;_-@_-">
                  <c:v>140</c:v>
                </c:pt>
                <c:pt idx="19" formatCode="_-* #\ ##0_-;\-* #\ ##0_-;_-* &quot;-&quot;??_-;_-@_-">
                  <c:v>120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4FF-493A-9DA5-920130EB46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43191952"/>
        <c:axId val="1720057168"/>
      </c:scatterChart>
      <c:valAx>
        <c:axId val="15431919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720057168"/>
        <c:crosses val="autoZero"/>
        <c:crossBetween val="midCat"/>
      </c:valAx>
      <c:valAx>
        <c:axId val="1720057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431919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236220</xdr:colOff>
      <xdr:row>17</xdr:row>
      <xdr:rowOff>123825</xdr:rowOff>
    </xdr:from>
    <xdr:to>
      <xdr:col>13</xdr:col>
      <xdr:colOff>742950</xdr:colOff>
      <xdr:row>37</xdr:row>
      <xdr:rowOff>180975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6B6B4E9D-A6D9-413A-A38D-E371F3AA4A4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0DEAA9-1C55-4E8C-95C9-16DB4C7948E6}">
  <dimension ref="E7:AI53"/>
  <sheetViews>
    <sheetView tabSelected="1" topLeftCell="C4" workbookViewId="0">
      <selection activeCell="J17" sqref="J17"/>
    </sheetView>
  </sheetViews>
  <sheetFormatPr baseColWidth="10" defaultRowHeight="15" x14ac:dyDescent="0.25"/>
  <sheetData>
    <row r="7" spans="5:35" x14ac:dyDescent="0.25">
      <c r="F7" t="s">
        <v>12</v>
      </c>
      <c r="G7" t="s">
        <v>10</v>
      </c>
      <c r="H7" t="s">
        <v>11</v>
      </c>
    </row>
    <row r="8" spans="5:35" x14ac:dyDescent="0.25">
      <c r="E8" t="s">
        <v>0</v>
      </c>
      <c r="F8">
        <v>310</v>
      </c>
      <c r="G8">
        <v>210</v>
      </c>
      <c r="H8">
        <v>100</v>
      </c>
    </row>
    <row r="12" spans="5:35" x14ac:dyDescent="0.25">
      <c r="E12">
        <v>2020</v>
      </c>
      <c r="F12">
        <v>2021</v>
      </c>
      <c r="G12">
        <v>2022</v>
      </c>
      <c r="H12">
        <v>2023</v>
      </c>
      <c r="I12">
        <v>2024</v>
      </c>
      <c r="J12">
        <v>2025</v>
      </c>
      <c r="K12">
        <v>2026</v>
      </c>
      <c r="L12">
        <v>2027</v>
      </c>
      <c r="M12">
        <v>2028</v>
      </c>
      <c r="N12">
        <v>2029</v>
      </c>
      <c r="O12">
        <v>2030</v>
      </c>
      <c r="P12">
        <v>2031</v>
      </c>
      <c r="Q12">
        <v>2032</v>
      </c>
      <c r="R12">
        <v>2033</v>
      </c>
      <c r="S12">
        <v>2034</v>
      </c>
      <c r="T12">
        <v>2035</v>
      </c>
      <c r="U12">
        <v>2036</v>
      </c>
      <c r="V12">
        <v>2037</v>
      </c>
      <c r="W12">
        <v>2038</v>
      </c>
      <c r="X12">
        <v>2039</v>
      </c>
      <c r="Y12">
        <v>2040</v>
      </c>
      <c r="Z12">
        <v>2041</v>
      </c>
      <c r="AA12">
        <v>2042</v>
      </c>
      <c r="AB12">
        <v>2043</v>
      </c>
      <c r="AC12">
        <v>2044</v>
      </c>
      <c r="AD12">
        <v>2045</v>
      </c>
      <c r="AE12">
        <v>2046</v>
      </c>
      <c r="AF12">
        <v>2047</v>
      </c>
      <c r="AG12">
        <v>2048</v>
      </c>
      <c r="AH12">
        <v>2049</v>
      </c>
      <c r="AI12">
        <v>2050</v>
      </c>
    </row>
    <row r="13" spans="5:35" x14ac:dyDescent="0.25">
      <c r="E13">
        <v>342</v>
      </c>
      <c r="F13">
        <v>383</v>
      </c>
      <c r="G13">
        <v>357</v>
      </c>
      <c r="H13">
        <v>279</v>
      </c>
      <c r="I13" s="2">
        <v>270</v>
      </c>
      <c r="J13" s="2">
        <v>278</v>
      </c>
      <c r="K13" s="2">
        <v>290</v>
      </c>
      <c r="L13" s="2">
        <v>298</v>
      </c>
      <c r="M13" s="2">
        <v>300</v>
      </c>
      <c r="N13" s="2">
        <v>300</v>
      </c>
      <c r="O13" s="1">
        <f>F52</f>
        <v>300</v>
      </c>
      <c r="P13" s="2" cm="1">
        <f t="array" ref="P13:X13">TRANSPOSE(Q25:Q33)</f>
        <v>280</v>
      </c>
      <c r="Q13" s="2">
        <v>260</v>
      </c>
      <c r="R13" s="2">
        <v>240</v>
      </c>
      <c r="S13" s="2">
        <v>220</v>
      </c>
      <c r="T13" s="2">
        <v>200</v>
      </c>
      <c r="U13" s="2">
        <v>180</v>
      </c>
      <c r="V13" s="2">
        <v>160</v>
      </c>
      <c r="W13" s="2">
        <v>140</v>
      </c>
      <c r="X13" s="2">
        <v>120</v>
      </c>
      <c r="Y13">
        <f t="shared" ref="Y13:AH13" si="0">$H$8</f>
        <v>100</v>
      </c>
      <c r="Z13">
        <f t="shared" si="0"/>
        <v>100</v>
      </c>
      <c r="AA13">
        <f t="shared" si="0"/>
        <v>100</v>
      </c>
      <c r="AB13">
        <f t="shared" si="0"/>
        <v>100</v>
      </c>
      <c r="AC13">
        <f t="shared" si="0"/>
        <v>100</v>
      </c>
      <c r="AD13">
        <f t="shared" si="0"/>
        <v>100</v>
      </c>
      <c r="AE13">
        <f t="shared" si="0"/>
        <v>100</v>
      </c>
      <c r="AF13">
        <f t="shared" si="0"/>
        <v>100</v>
      </c>
      <c r="AG13">
        <f t="shared" si="0"/>
        <v>100</v>
      </c>
      <c r="AH13">
        <f t="shared" si="0"/>
        <v>100</v>
      </c>
      <c r="AI13">
        <f>$H$8</f>
        <v>100</v>
      </c>
    </row>
    <row r="15" spans="5:35" x14ac:dyDescent="0.25">
      <c r="I15" t="s">
        <v>9</v>
      </c>
      <c r="J15" s="1">
        <f>AVERAGE(E13:N13)</f>
        <v>309.7</v>
      </c>
    </row>
    <row r="16" spans="5:35" x14ac:dyDescent="0.25">
      <c r="I16" t="s">
        <v>10</v>
      </c>
      <c r="J16" s="1">
        <f>AVERAGE(O13:X13)</f>
        <v>210</v>
      </c>
    </row>
    <row r="17" spans="9:20" x14ac:dyDescent="0.25">
      <c r="I17" t="s">
        <v>11</v>
      </c>
      <c r="J17">
        <f>AVERAGE(Y13:AH13)</f>
        <v>100</v>
      </c>
      <c r="Q17" s="2"/>
      <c r="S17">
        <v>2023</v>
      </c>
      <c r="T17">
        <v>300</v>
      </c>
    </row>
    <row r="18" spans="9:20" x14ac:dyDescent="0.25">
      <c r="P18">
        <v>2024</v>
      </c>
      <c r="Q18" s="2">
        <f t="shared" ref="Q18:Q24" si="1">_xlfn.FORECAST.LINEAR(P18,$T$17:$T$18,$S$17:$S$18)</f>
        <v>300</v>
      </c>
      <c r="S18">
        <v>2030</v>
      </c>
      <c r="T18" s="1">
        <f>O13</f>
        <v>300</v>
      </c>
    </row>
    <row r="19" spans="9:20" x14ac:dyDescent="0.25">
      <c r="P19">
        <v>2025</v>
      </c>
      <c r="Q19" s="2">
        <f t="shared" si="1"/>
        <v>300</v>
      </c>
      <c r="S19">
        <v>2040</v>
      </c>
      <c r="T19">
        <f>Y13</f>
        <v>100</v>
      </c>
    </row>
    <row r="20" spans="9:20" x14ac:dyDescent="0.25">
      <c r="P20">
        <v>2026</v>
      </c>
      <c r="Q20" s="2">
        <f t="shared" si="1"/>
        <v>300</v>
      </c>
    </row>
    <row r="21" spans="9:20" x14ac:dyDescent="0.25">
      <c r="P21">
        <v>2027</v>
      </c>
      <c r="Q21" s="2">
        <f t="shared" si="1"/>
        <v>300</v>
      </c>
    </row>
    <row r="22" spans="9:20" x14ac:dyDescent="0.25">
      <c r="P22">
        <v>2028</v>
      </c>
      <c r="Q22" s="2">
        <f t="shared" si="1"/>
        <v>300</v>
      </c>
    </row>
    <row r="23" spans="9:20" x14ac:dyDescent="0.25">
      <c r="P23">
        <v>2029</v>
      </c>
      <c r="Q23" s="2">
        <f t="shared" si="1"/>
        <v>300</v>
      </c>
    </row>
    <row r="24" spans="9:20" x14ac:dyDescent="0.25">
      <c r="P24">
        <v>2030</v>
      </c>
      <c r="Q24" s="2">
        <f t="shared" si="1"/>
        <v>300</v>
      </c>
    </row>
    <row r="25" spans="9:20" x14ac:dyDescent="0.25">
      <c r="P25">
        <v>2031</v>
      </c>
      <c r="Q25" s="2">
        <f>_xlfn.FORECAST.LINEAR(P25,$T$18:$T$19,$S$18:$S$19)</f>
        <v>280</v>
      </c>
    </row>
    <row r="26" spans="9:20" x14ac:dyDescent="0.25">
      <c r="P26">
        <v>2032</v>
      </c>
      <c r="Q26" s="2">
        <f t="shared" ref="Q26:Q34" si="2">_xlfn.FORECAST.LINEAR(P26,$T$18:$T$19,$S$18:$S$19)</f>
        <v>260</v>
      </c>
    </row>
    <row r="27" spans="9:20" x14ac:dyDescent="0.25">
      <c r="P27">
        <v>2033</v>
      </c>
      <c r="Q27" s="2">
        <f t="shared" si="2"/>
        <v>240</v>
      </c>
    </row>
    <row r="28" spans="9:20" x14ac:dyDescent="0.25">
      <c r="P28">
        <v>2034</v>
      </c>
      <c r="Q28" s="2">
        <f t="shared" si="2"/>
        <v>220</v>
      </c>
    </row>
    <row r="29" spans="9:20" x14ac:dyDescent="0.25">
      <c r="P29">
        <v>2035</v>
      </c>
      <c r="Q29" s="2">
        <f t="shared" si="2"/>
        <v>200</v>
      </c>
    </row>
    <row r="30" spans="9:20" x14ac:dyDescent="0.25">
      <c r="P30">
        <v>2036</v>
      </c>
      <c r="Q30" s="2">
        <f t="shared" si="2"/>
        <v>180</v>
      </c>
    </row>
    <row r="31" spans="9:20" x14ac:dyDescent="0.25">
      <c r="P31">
        <v>2037</v>
      </c>
      <c r="Q31" s="2">
        <f t="shared" si="2"/>
        <v>160</v>
      </c>
    </row>
    <row r="32" spans="9:20" x14ac:dyDescent="0.25">
      <c r="P32">
        <v>2038</v>
      </c>
      <c r="Q32" s="2">
        <f t="shared" si="2"/>
        <v>140</v>
      </c>
    </row>
    <row r="33" spans="5:17" x14ac:dyDescent="0.25">
      <c r="P33">
        <v>2039</v>
      </c>
      <c r="Q33" s="2">
        <f t="shared" si="2"/>
        <v>120</v>
      </c>
    </row>
    <row r="34" spans="5:17" x14ac:dyDescent="0.25">
      <c r="P34">
        <v>2040</v>
      </c>
      <c r="Q34" s="2">
        <f t="shared" si="2"/>
        <v>100</v>
      </c>
    </row>
    <row r="44" spans="5:17" x14ac:dyDescent="0.25">
      <c r="E44" s="3" t="s">
        <v>1</v>
      </c>
      <c r="F44" s="3"/>
      <c r="G44" s="3"/>
    </row>
    <row r="45" spans="5:17" x14ac:dyDescent="0.25">
      <c r="E45" s="3" t="s">
        <v>2</v>
      </c>
      <c r="F45" s="3">
        <f>Y13</f>
        <v>100</v>
      </c>
      <c r="G45" s="3"/>
    </row>
    <row r="46" spans="5:17" x14ac:dyDescent="0.25">
      <c r="E46" s="3" t="s">
        <v>3</v>
      </c>
      <c r="F46" s="3">
        <v>0</v>
      </c>
      <c r="G46" s="3"/>
    </row>
    <row r="47" spans="5:17" x14ac:dyDescent="0.25">
      <c r="E47" s="3" t="s">
        <v>4</v>
      </c>
      <c r="F47" s="3">
        <v>10</v>
      </c>
      <c r="G47" s="3"/>
    </row>
    <row r="48" spans="5:17" x14ac:dyDescent="0.25">
      <c r="E48" s="3" t="s">
        <v>5</v>
      </c>
      <c r="F48" s="3">
        <f>0+1+2+3+4+5+6+7+8+9</f>
        <v>45</v>
      </c>
      <c r="G48" s="3"/>
    </row>
    <row r="49" spans="5:7" x14ac:dyDescent="0.25">
      <c r="E49" s="3" t="s">
        <v>6</v>
      </c>
      <c r="F49" s="3">
        <f>F47-F46</f>
        <v>10</v>
      </c>
      <c r="G49" s="3"/>
    </row>
    <row r="50" spans="5:7" x14ac:dyDescent="0.25">
      <c r="E50" s="3" t="s">
        <v>7</v>
      </c>
      <c r="F50" s="3">
        <f>G8</f>
        <v>210</v>
      </c>
      <c r="G50" s="3"/>
    </row>
    <row r="51" spans="5:7" x14ac:dyDescent="0.25">
      <c r="E51" s="3"/>
      <c r="F51" s="3"/>
      <c r="G51" s="3"/>
    </row>
    <row r="52" spans="5:7" x14ac:dyDescent="0.25">
      <c r="E52" s="3" t="s">
        <v>8</v>
      </c>
      <c r="F52" s="4">
        <f>(F50-1/10*F48*F45/F49)/(1-1/10*F48*1/F49)</f>
        <v>300</v>
      </c>
      <c r="G52" s="3"/>
    </row>
    <row r="53" spans="5:7" x14ac:dyDescent="0.25">
      <c r="E53" s="3"/>
      <c r="F53" s="3"/>
      <c r="G53" s="3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CHAIGNEAU Yanis</dc:creator>
  <cp:lastModifiedBy>MONSERAND Alma</cp:lastModifiedBy>
  <dcterms:created xsi:type="dcterms:W3CDTF">2025-05-12T08:45:35Z</dcterms:created>
  <dcterms:modified xsi:type="dcterms:W3CDTF">2025-05-13T08:37:42Z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8ce3bfb-fff1-481a-835b-0a342757958d_Enabled">
    <vt:lpwstr>true</vt:lpwstr>
  </property>
  <property fmtid="{D5CDD505-2E9C-101B-9397-08002B2CF9AE}" pid="3" name="MSIP_Label_98ce3bfb-fff1-481a-835b-0a342757958d_SetDate">
    <vt:lpwstr>2025-05-13T08:37:42Z</vt:lpwstr>
  </property>
  <property fmtid="{D5CDD505-2E9C-101B-9397-08002B2CF9AE}" pid="4" name="MSIP_Label_98ce3bfb-fff1-481a-835b-0a342757958d_Method">
    <vt:lpwstr>Standard</vt:lpwstr>
  </property>
  <property fmtid="{D5CDD505-2E9C-101B-9397-08002B2CF9AE}" pid="5" name="MSIP_Label_98ce3bfb-fff1-481a-835b-0a342757958d_Name">
    <vt:lpwstr>C0 - Public</vt:lpwstr>
  </property>
  <property fmtid="{D5CDD505-2E9C-101B-9397-08002B2CF9AE}" pid="6" name="MSIP_Label_98ce3bfb-fff1-481a-835b-0a342757958d_SiteId">
    <vt:lpwstr>cb6c2492-4a85-4b15-85a1-ed94d47e5849</vt:lpwstr>
  </property>
  <property fmtid="{D5CDD505-2E9C-101B-9397-08002B2CF9AE}" pid="7" name="MSIP_Label_98ce3bfb-fff1-481a-835b-0a342757958d_ActionId">
    <vt:lpwstr>01f5a65f-7258-498a-a631-15f024594611</vt:lpwstr>
  </property>
  <property fmtid="{D5CDD505-2E9C-101B-9397-08002B2CF9AE}" pid="8" name="MSIP_Label_98ce3bfb-fff1-481a-835b-0a342757958d_ContentBits">
    <vt:lpwstr>0</vt:lpwstr>
  </property>
  <property fmtid="{D5CDD505-2E9C-101B-9397-08002B2CF9AE}" pid="9" name="MSIP_Label_98ce3bfb-fff1-481a-835b-0a342757958d_Tag">
    <vt:lpwstr>10, 3, 0, 1</vt:lpwstr>
  </property>
</Properties>
</file>